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Análises do tanqu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Dados!$A$1:$AI$3971</definedName>
    <definedName function="false" hidden="false" localSheetId="0" name="_xlnm.Print_Titles" vbProcedure="false">Monitoramento!$4:$4</definedName>
    <definedName function="false" hidden="false" name="DATAS" vbProcedure="false">Parâmetros!$B$15:$B$15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DIAS_IA" vbProcedure="false">Parâmetros!$B$9</definedName>
    <definedName function="false" hidden="false" name="P_ECM_BASE" vbProcedure="false">Parâmetros!$B$10</definedName>
    <definedName function="false" hidden="false" name="P_ECM_GORD" vbProcedure="false">Parâmetros!$B$11</definedName>
    <definedName function="false" hidden="false" name="P_ECM_PROT" vbProcedure="false">Parâmetros!$B$12</definedName>
    <definedName function="false" hidden="false" name="P_IDADE_15M" vbProcedure="false">Parâmetros!$B$8</definedName>
    <definedName function="false" hidden="false" name="P_IDADE_3M" vbProcedure="false">Parâmetros!$B$7</definedName>
    <definedName function="false" hidden="false" name="TQ_CCS" vbProcedure="false">'Análises do tanque'!$U$5:$U$5</definedName>
    <definedName function="false" hidden="false" name="TQ_CPP" vbProcedure="false">'Análises do tanque'!$V$5:$V$5</definedName>
    <definedName function="false" hidden="false" name="TQ_DATA" vbProcedure="false">'Análises do tanque'!$N$5:$N$5</definedName>
    <definedName function="false" hidden="false" name="TQ_GORD" vbProcedure="false">'Análises do tanque'!$R$5:$R$5</definedName>
    <definedName function="false" hidden="false" name="TQ_PROT" vbProcedure="false">'Análises do tanque'!$S$5:$S$5</definedName>
    <definedName function="false" hidden="false" name="TQ_ST" vbProcedure="false">'Análises do tanque'!$T$5:$T$5</definedName>
    <definedName function="false" hidden="false" name="TQ_UREIA" vbProcedure="false">'Análises do tanque'!$W$5:$W$5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<sst xmlns="http://schemas.openxmlformats.org/spreadsheetml/2006/main" count="8206" uniqueCount="1764">
  <si>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</si>
  <si>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</si>
  <si>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</si>
  <si>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</si>
  <si>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Média
10 dias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</si>
  <si>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</si>
  <si>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</si>
  <si>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</si>
  <si>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</si>
  <si>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</si>
  <si>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</si>
  <si>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</si>
  <si>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</si>
  <si>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</si>
  <si>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</si>
  <si>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</si>
  <si>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</si>
  <si>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</si>
  <si>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</si>
  <si>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</si>
  <si>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</si>
  <si>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</si>
  <si>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</si>
  <si>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</si>
  <si>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Média de leite ECM (gordura e proteína do tanque)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</si>
  <si>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</si>
  <si>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</si>
  <si>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</si>
  <si>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</si>
  <si>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</si>
  <si>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</si>
  <si>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</si>
  <si>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</si>
  <si>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</si>
  <si>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</si>
  <si>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</si>
  <si>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</si>
  <si>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</si>
  <si>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</si>
  <si>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</si>
  <si>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</si>
  <si>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</si>
  <si>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</si>
  <si>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</si>
  <si>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</si>
  <si>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Análise do tanque vigente desde</t>
  </si>
  <si>
    <t xml:space="preserve">data</t>
  </si>
  <si>
    <t xml:space="preserve">Gordura – análise do tanque</t>
  </si>
  <si>
    <t xml:space="preserve">Proteína – análise do tanque</t>
  </si>
  <si>
    <t xml:space="preserve">Sólidos totais – análise do tanque</t>
  </si>
  <si>
    <t xml:space="preserve">CCS – análise do tanque</t>
  </si>
  <si>
    <t xml:space="preserve">mil/mL</t>
  </si>
  <si>
    <t xml:space="preserve">CPP – análise do tanque</t>
  </si>
  <si>
    <t xml:space="preserve">mil UFC</t>
  </si>
  <si>
    <t xml:space="preserve">Ureia – análise do tanque</t>
  </si>
  <si>
    <t xml:space="preserve">mg/dL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</si>
  <si>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</si>
  <si>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</si>
  <si>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</si>
  <si>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</si>
  <si>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</si>
  <si>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</si>
  <si>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Inseminadas (Bred) com IA há &gt; 35 dias</t>
  </si>
  <si>
    <t xml:space="preserve">Vazias com IA há &gt; 35 dias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</si>
  <si>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</si>
  <si>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</si>
  <si>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</si>
  <si>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</si>
  <si>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</si>
  <si>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</si>
  <si>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Novilhas inseminadas (Bred) com IA há &gt; 35 dias</t>
  </si>
  <si>
    <t xml:space="preserve">Novilhas vazias com IA há &gt; 35 dias</t>
  </si>
  <si>
    <t xml:space="preserve">Análises do leite do tanque (laticínio)</t>
  </si>
  <si>
    <t xml:space="preserve">Valores azuis transcritos das mensagens do laticínio (dados/analise_tanque.json). Volume = coleta do mesmo dia e tanque no Demonstrativo das Coletas; 0 = não encontrado. Análises do mesmo grupo (mesma mensagem) contam como uma só coleta.</t>
  </si>
  <si>
    <t xml:space="preserve">Média geral do tanque por grupo de análises (ponderada pelo volume)</t>
  </si>
  <si>
    <t xml:space="preserve">Data coleta</t>
  </si>
  <si>
    <t xml:space="preserve">Tanque</t>
  </si>
  <si>
    <t xml:space="preserve">Volume (L)</t>
  </si>
  <si>
    <t xml:space="preserve">Gordura %</t>
  </si>
  <si>
    <t xml:space="preserve">Proteína %</t>
  </si>
  <si>
    <t xml:space="preserve">Sólidos totais %</t>
  </si>
  <si>
    <t xml:space="preserve">CCS (mil cél/mL)</t>
  </si>
  <si>
    <t xml:space="preserve">CPP (mil UFC/mL)</t>
  </si>
  <si>
    <t xml:space="preserve">Ureia (mg/dL)</t>
  </si>
  <si>
    <t xml:space="preserve">Grupo</t>
  </si>
  <si>
    <t xml:space="preserve">Fonte</t>
  </si>
  <si>
    <t xml:space="preserve">Vale a partir de</t>
  </si>
  <si>
    <t xml:space="preserve">Coletas até</t>
  </si>
  <si>
    <t xml:space="preserve">Volume analisado (L)</t>
  </si>
  <si>
    <t xml:space="preserve">Mensagem recebida 15/10/2026</t>
  </si>
  <si>
    <t xml:space="preserve">analise_tanque/WhatsApp_recebido_2026-10-15.png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</si>
  <si>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</si>
  <si>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</si>
  <si>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</si>
  <si>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</si>
  <si>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</si>
  <si>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</si>
  <si>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</si>
  <si>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</si>
  <si>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</si>
  <si>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</si>
  <si>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</si>
  <si>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</si>
  <si>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</si>
  <si>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Inseminadas / vazias: dias desde a última IA acima de</t>
  </si>
  <si>
    <t xml:space="preserve">P_DIAS_IA</t>
  </si>
  <si>
    <t xml:space="preserve">ECM: fator do leite (Sjaunja et al., 1990)</t>
  </si>
  <si>
    <t xml:space="preserve">P_ECM_BASE</t>
  </si>
  <si>
    <t xml:space="preserve">ECM: fator por ponto % de gordura (12,95 ÷ 100)</t>
  </si>
  <si>
    <t xml:space="preserve">P_ECM_GORD</t>
  </si>
  <si>
    <t xml:space="preserve">ECM: fator por ponto % de proteína (7,65 ÷ 100)</t>
  </si>
  <si>
    <t xml:space="preserve">P_ECM_PROT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</si>
  <si>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</si>
  <si>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</si>
  <si>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</si>
  <si>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</si>
  <si>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</si>
  <si>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</si>
  <si>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</si>
  <si>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</si>
  <si>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</si>
  <si>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</si>
  <si>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</si>
  <si>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</si>
  <si>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</si>
  <si>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</si>
  <si>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</si>
  <si>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</si>
  <si>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</si>
  <si>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</si>
  <si>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</si>
  <si>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</si>
  <si>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</si>
  <si>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</si>
  <si>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</si>
  <si>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</si>
  <si>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DATA da IA</t>
  </si>
  <si>
    <t xml:space="preserve">Fêmea</t>
  </si>
  <si>
    <t xml:space="preserve">DNB</t>
  </si>
  <si>
    <t xml:space="preserve">Dias desde IA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</si>
  <si>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</si>
  <si>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</si>
  <si>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</si>
  <si>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</si>
  <si>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</si>
  <si>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</si>
  <si>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</si>
  <si>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</si>
  <si>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</si>
  <si>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</si>
  <si>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</si>
  <si>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</si>
  <si>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</si>
  <si>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</si>
  <si>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</si>
  <si>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</si>
  <si>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</si>
  <si>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</si>
  <si>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</si>
  <si>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</si>
  <si>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</si>
  <si>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</si>
  <si>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</si>
  <si>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</si>
  <si>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</si>
  <si>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</si>
  <si>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</si>
  <si>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</si>
  <si>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</si>
  <si>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</si>
  <si>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</si>
  <si>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</si>
  <si>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</si>
  <si>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</si>
  <si>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</si>
  <si>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</si>
  <si>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</si>
  <si>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</si>
  <si>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</si>
  <si>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</si>
  <si>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</si>
  <si>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</si>
  <si>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</si>
  <si>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</si>
  <si>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</si>
  <si>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</si>
  <si>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</si>
  <si>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</si>
  <si>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</si>
  <si>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</si>
  <si>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</si>
  <si>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</si>
  <si>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</si>
  <si>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</si>
  <si>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</si>
  <si>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</si>
  <si>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</si>
  <si>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</si>
  <si>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</si>
  <si>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</si>
  <si>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</si>
  <si>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</si>
  <si>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</si>
  <si>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</si>
  <si>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</si>
  <si>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</si>
  <si>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</si>
  <si>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</si>
  <si>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</si>
  <si>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</si>
  <si>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</si>
  <si>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</si>
  <si>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</si>
  <si>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</si>
  <si>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</si>
  <si>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</si>
  <si>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</si>
  <si>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</si>
  <si>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</si>
  <si>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</si>
  <si>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</si>
  <si>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</si>
  <si>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</si>
  <si>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</si>
  <si>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</si>
  <si>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</si>
  <si>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</si>
  <si>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</si>
  <si>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</si>
  <si>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</si>
  <si>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</si>
  <si>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</si>
  <si>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</si>
  <si>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</si>
  <si>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</si>
  <si>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</si>
  <si>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</si>
  <si>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</si>
  <si>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</si>
  <si>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</si>
  <si>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</si>
  <si>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</si>
  <si>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</si>
  <si>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</si>
  <si>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</si>
  <si>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</si>
  <si>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</si>
  <si>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</si>
  <si>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</si>
  <si>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</si>
  <si>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</si>
  <si>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</si>
  <si>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</si>
  <si>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</si>
  <si>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</si>
  <si>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</si>
  <si>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</si>
  <si>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</si>
  <si>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</si>
  <si>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</si>
  <si>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</si>
  <si>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</si>
  <si>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</si>
  <si>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</si>
  <si>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</si>
  <si>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</si>
  <si>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</si>
  <si>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</si>
  <si>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</si>
  <si>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</si>
  <si>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</si>
  <si>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</si>
  <si>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</si>
  <si>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</si>
  <si>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</si>
  <si>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</si>
  <si>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</si>
  <si>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</si>
  <si>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</si>
  <si>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</si>
  <si>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</si>
  <si>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</si>
  <si>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</si>
  <si>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</si>
  <si>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</si>
  <si>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</si>
  <si>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</si>
  <si>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</si>
  <si>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</si>
  <si>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</si>
  <si>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</si>
  <si>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</si>
  <si>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</si>
  <si>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</si>
  <si>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</si>
  <si>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</si>
  <si>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</si>
  <si>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</si>
  <si>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</si>
  <si>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</si>
  <si>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</si>
  <si>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</si>
  <si>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</si>
  <si>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</si>
  <si>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</si>
  <si>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</si>
  <si>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</si>
  <si>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</si>
  <si>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</si>
  <si>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</si>
  <si>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</si>
  <si>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</si>
  <si>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</si>
  <si>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</si>
  <si>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</si>
  <si>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</si>
  <si>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</si>
  <si>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</si>
  <si>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</si>
  <si>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</si>
  <si>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</si>
  <si>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</si>
  <si>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</si>
  <si>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</si>
  <si>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</si>
  <si>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</si>
  <si>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</si>
  <si>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</si>
  <si>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</si>
  <si>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</si>
  <si>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</si>
  <si>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</si>
  <si>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</si>
  <si>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</si>
  <si>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</si>
  <si>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</si>
  <si>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</si>
  <si>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</si>
  <si>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</si>
  <si>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</si>
  <si>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</si>
  <si>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</si>
  <si>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</si>
  <si>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</si>
  <si>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</si>
  <si>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</si>
  <si>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</si>
  <si>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</si>
  <si>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</si>
  <si>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</si>
  <si>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</si>
  <si>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</si>
  <si>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</si>
  <si>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</si>
  <si>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</si>
  <si>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</si>
  <si>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</si>
  <si>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</si>
  <si>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</si>
  <si>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</si>
  <si>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</si>
  <si>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</si>
  <si>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</si>
  <si>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</si>
  <si>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</si>
  <si>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</si>
  <si>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</si>
  <si>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</si>
  <si>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</si>
  <si>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</si>
  <si>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</si>
  <si>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</si>
  <si>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</si>
  <si>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</si>
  <si>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</si>
  <si>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</si>
  <si>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</si>
  <si>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</si>
  <si>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</si>
  <si>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</si>
  <si>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</si>
  <si>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</si>
  <si>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</si>
  <si>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</si>
  <si>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</si>
  <si>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</si>
  <si>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</si>
  <si>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</si>
  <si>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</si>
  <si>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</si>
  <si>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</si>
  <si>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</si>
  <si>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</si>
  <si>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</si>
  <si>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</si>
  <si>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</si>
  <si>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</si>
  <si>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</si>
  <si>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</si>
  <si>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</si>
  <si>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</si>
  <si>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</si>
  <si>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</si>
  <si>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</si>
  <si>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</si>
  <si>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</si>
  <si>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</si>
  <si>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</si>
  <si>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</si>
  <si>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</si>
  <si>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</si>
  <si>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</si>
  <si>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</si>
  <si>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</si>
  <si>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</si>
  <si>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</si>
  <si>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</si>
  <si>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</si>
  <si>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</si>
  <si>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</si>
  <si>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</si>
  <si>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</si>
  <si>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</si>
  <si>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</si>
  <si>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</si>
  <si>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</si>
  <si>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</si>
  <si>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</si>
  <si>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</si>
  <si>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</si>
  <si>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</si>
  <si>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</si>
  <si>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</si>
  <si>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</si>
  <si>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</si>
  <si>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</si>
  <si>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</si>
  <si>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</si>
  <si>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</si>
  <si>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</si>
  <si>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</si>
  <si>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</si>
  <si>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</si>
  <si>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</si>
  <si>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</si>
  <si>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</si>
  <si>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</si>
  <si>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</si>
  <si>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</si>
  <si>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</si>
  <si>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</si>
  <si>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</si>
  <si>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</si>
  <si>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</si>
  <si>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</si>
  <si>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</si>
  <si>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</si>
  <si>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</si>
  <si>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</si>
  <si>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</si>
  <si>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</si>
  <si>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</si>
  <si>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</si>
  <si>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</si>
  <si>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</si>
  <si>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</si>
  <si>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</si>
  <si>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</si>
  <si>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</si>
  <si>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</si>
  <si>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</si>
  <si>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</si>
  <si>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</si>
  <si>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</si>
  <si>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</si>
  <si>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</si>
  <si>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</si>
  <si>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</si>
  <si>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</si>
  <si>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</si>
  <si>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</si>
  <si>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</si>
  <si>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</si>
  <si>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</si>
  <si>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</si>
  <si>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</si>
  <si>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</si>
  <si>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</si>
  <si>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</si>
  <si>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</si>
  <si>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</si>
  <si>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</si>
  <si>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</si>
  <si>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</si>
  <si>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</si>
  <si>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</si>
  <si>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</si>
  <si>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</si>
  <si>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</si>
  <si>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</si>
  <si>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</si>
  <si>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</si>
  <si>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</si>
  <si>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</si>
  <si>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</si>
  <si>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</si>
  <si>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</si>
  <si>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</si>
  <si>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</si>
  <si>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</si>
  <si>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</si>
  <si>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</si>
  <si>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</si>
  <si>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</si>
  <si>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</si>
  <si>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</si>
  <si>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</si>
  <si>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</si>
  <si>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</si>
  <si>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</si>
  <si>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</si>
  <si>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</si>
  <si>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</si>
  <si>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</si>
  <si>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</si>
  <si>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</si>
  <si>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</si>
  <si>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</si>
  <si>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</si>
  <si>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</si>
  <si>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</si>
  <si>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</si>
  <si>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</si>
  <si>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</si>
  <si>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</si>
  <si>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</si>
  <si>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</si>
  <si>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</si>
  <si>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</si>
  <si>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</si>
  <si>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</si>
  <si>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</si>
  <si>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</si>
  <si>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</si>
  <si>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</si>
  <si>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</si>
  <si>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</si>
  <si>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</si>
  <si>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</si>
  <si>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</si>
  <si>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</si>
  <si>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</si>
  <si>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</si>
  <si>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</si>
  <si>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</si>
  <si>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</si>
  <si>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</si>
  <si>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</si>
  <si>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</si>
  <si>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</si>
  <si>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</si>
  <si>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</si>
  <si>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</si>
  <si>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</si>
  <si>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</si>
  <si>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</si>
  <si>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</si>
  <si>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</si>
  <si>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</si>
  <si>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</si>
  <si>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</si>
  <si>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</si>
  <si>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</si>
  <si>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</si>
  <si>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</si>
  <si>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</si>
  <si>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</si>
  <si>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</si>
  <si>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</si>
  <si>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</si>
  <si>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</si>
  <si>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</si>
  <si>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</si>
  <si>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</si>
  <si>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</si>
  <si>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</si>
  <si>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</si>
  <si>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</si>
  <si>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</si>
  <si>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</si>
  <si>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</si>
  <si>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</si>
  <si>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</si>
  <si>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</si>
  <si>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</si>
  <si>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</si>
  <si>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</si>
  <si>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</si>
  <si>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</si>
  <si>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</si>
  <si>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</si>
  <si>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</si>
  <si>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</si>
  <si>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</si>
  <si>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</si>
  <si>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</si>
  <si>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</si>
  <si>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</si>
  <si>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</si>
  <si>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</si>
  <si>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</si>
  <si>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</si>
  <si>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</si>
  <si>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</si>
  <si>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</si>
  <si>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</si>
  <si>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</si>
  <si>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</si>
  <si>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</si>
  <si>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</si>
  <si>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</si>
  <si>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</si>
  <si>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</si>
  <si>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</si>
  <si>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</si>
  <si>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</si>
  <si>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</si>
  <si>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</si>
  <si>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</si>
  <si>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</si>
  <si>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</si>
  <si>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</si>
  <si>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</si>
  <si>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</si>
  <si>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</si>
  <si>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</si>
  <si>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</si>
  <si>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</si>
  <si>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</si>
  <si>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</si>
  <si>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</si>
  <si>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</si>
  <si>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</si>
  <si>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</si>
  <si>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</si>
  <si>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</si>
  <si>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</si>
  <si>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</si>
  <si>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</si>
  <si>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</si>
  <si>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</si>
  <si>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</si>
  <si>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</si>
  <si>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</si>
  <si>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</si>
  <si>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</si>
  <si>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</si>
  <si>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</si>
  <si>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</si>
  <si>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</si>
  <si>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</si>
  <si>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</si>
  <si>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</si>
  <si>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</si>
  <si>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</si>
  <si>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</si>
  <si>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</si>
  <si>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</si>
  <si>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</si>
  <si>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</si>
  <si>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</si>
  <si>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</si>
  <si>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</si>
  <si>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</si>
  <si>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</si>
  <si>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</si>
  <si>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</si>
  <si>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</si>
  <si>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</si>
  <si>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</si>
  <si>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</si>
  <si>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</si>
  <si>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</si>
  <si>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</si>
  <si>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</si>
  <si>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</si>
  <si>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</si>
  <si>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</si>
  <si>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</si>
  <si>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</si>
  <si>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</si>
  <si>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</si>
  <si>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</si>
  <si>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</si>
  <si>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</si>
  <si>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</si>
  <si>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</si>
  <si>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</si>
  <si>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</si>
  <si>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</si>
  <si>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</si>
  <si>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</si>
  <si>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</si>
  <si>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</si>
  <si>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</si>
  <si>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</si>
  <si>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</si>
  <si>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</si>
  <si>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</si>
  <si>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</si>
  <si>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</si>
  <si>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</si>
  <si>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</si>
  <si>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</si>
  <si>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</si>
  <si>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</si>
  <si>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</si>
  <si>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</si>
  <si>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</si>
  <si>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</si>
  <si>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</si>
  <si>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</si>
  <si>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</si>
  <si>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</si>
  <si>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</si>
  <si>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</si>
  <si>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</si>
  <si>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</si>
  <si>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</si>
  <si>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</si>
  <si>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</si>
  <si>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</si>
  <si>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</si>
  <si>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</si>
  <si>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</si>
  <si>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</si>
  <si>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</si>
  <si>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</si>
  <si>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</si>
  <si>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</si>
  <si>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</si>
  <si>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</si>
  <si>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</si>
  <si>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</si>
  <si>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</si>
  <si>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</si>
  <si>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</si>
  <si>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</si>
  <si>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</si>
  <si>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</si>
  <si>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</si>
  <si>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</si>
  <si>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</si>
  <si>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</si>
  <si>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</si>
  <si>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</si>
  <si>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</si>
  <si>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</si>
  <si>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</si>
  <si>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</si>
  <si>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</si>
  <si>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</si>
  <si>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</si>
  <si>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</si>
  <si>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</si>
  <si>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</si>
  <si>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</si>
  <si>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</si>
  <si>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</si>
  <si>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</si>
  <si>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</si>
  <si>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</si>
  <si>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</si>
  <si>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</si>
  <si>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</si>
  <si>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</si>
  <si>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</si>
  <si>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</si>
  <si>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</si>
  <si>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</si>
  <si>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</si>
  <si>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</si>
  <si>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</si>
  <si>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</si>
  <si>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</si>
  <si>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</si>
  <si>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</si>
  <si>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</si>
  <si>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</si>
  <si>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</si>
  <si>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</si>
  <si>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</si>
  <si>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</si>
  <si>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</si>
  <si>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</si>
  <si>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</si>
  <si>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</si>
  <si>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</si>
  <si>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</si>
  <si>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</si>
  <si>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</si>
  <si>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</si>
  <si>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</si>
  <si>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</si>
  <si>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</si>
  <si>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</si>
  <si>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</si>
  <si>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</si>
  <si>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</si>
  <si>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</si>
  <si>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</si>
  <si>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</si>
  <si>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</si>
  <si>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</si>
  <si>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</si>
  <si>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</si>
  <si>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</si>
  <si>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</si>
  <si>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</si>
  <si>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</si>
  <si>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</si>
  <si>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</si>
  <si>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</si>
  <si>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</si>
  <si>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</si>
  <si>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</si>
  <si>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</si>
  <si>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</si>
  <si>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</si>
  <si>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</si>
  <si>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</si>
  <si>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</si>
  <si>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</si>
  <si>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</si>
  <si>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</si>
  <si>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</si>
  <si>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</si>
  <si>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</si>
  <si>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</si>
  <si>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</si>
  <si>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</si>
  <si>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</si>
  <si>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</si>
  <si>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</si>
  <si>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</si>
  <si>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</si>
  <si>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</si>
  <si>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</si>
  <si>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</si>
  <si>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</si>
  <si>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</si>
  <si>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</si>
  <si>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</si>
  <si>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</si>
  <si>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</si>
  <si>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</si>
  <si>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</si>
  <si>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</si>
  <si>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</si>
  <si>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</si>
  <si>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</si>
  <si>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</si>
  <si>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</si>
  <si>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</si>
  <si>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</si>
  <si>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</si>
  <si>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</si>
  <si>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</si>
  <si>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</si>
  <si>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</si>
  <si>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</si>
  <si>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</si>
  <si>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</si>
  <si>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</si>
  <si>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</si>
  <si>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</si>
  <si>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</si>
  <si>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</si>
  <si>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</si>
  <si>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</si>
  <si>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</si>
  <si>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</si>
  <si>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</si>
  <si>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</si>
  <si>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</si>
  <si>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</si>
  <si>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</si>
  <si>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</si>
  <si>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</si>
  <si>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</si>
  <si>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</si>
  <si>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</si>
  <si>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</si>
  <si>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</si>
  <si>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</si>
  <si>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</si>
  <si>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</si>
  <si>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</si>
  <si>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</si>
  <si>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</si>
  <si>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</si>
  <si>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</si>
  <si>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</si>
  <si>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</si>
  <si>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</si>
  <si>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</si>
  <si>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</si>
  <si>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</si>
  <si>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</si>
  <si>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</si>
  <si>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</si>
  <si>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</si>
  <si>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</si>
  <si>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</si>
  <si>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</si>
  <si>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</si>
  <si>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</si>
  <si>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</si>
  <si>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</si>
  <si>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</si>
  <si>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</si>
  <si>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</si>
  <si>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</si>
  <si>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</si>
  <si>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</si>
  <si>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</si>
  <si>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</si>
  <si>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</si>
  <si>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</si>
  <si>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</si>
  <si>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</si>
  <si>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</si>
  <si>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</si>
  <si>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</si>
  <si>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</si>
  <si>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</si>
  <si>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</si>
  <si>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</si>
  <si>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</si>
  <si>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</si>
  <si>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</si>
  <si>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</si>
  <si>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</si>
  <si>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</si>
  <si>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</si>
  <si>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</si>
  <si>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</si>
  <si>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</si>
  <si>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</si>
  <si>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</si>
  <si>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</si>
  <si>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</si>
  <si>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</si>
  <si>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</si>
  <si>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</si>
  <si>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</si>
  <si>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</si>
  <si>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</si>
  <si>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</si>
  <si>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</si>
  <si>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</si>
  <si>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</si>
  <si>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</si>
  <si>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</si>
  <si>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</si>
  <si>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</si>
  <si>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</si>
  <si>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</si>
  <si>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</si>
  <si>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</si>
  <si>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</si>
  <si>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</si>
  <si>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</si>
  <si>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</si>
  <si>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</si>
  <si>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</si>
  <si>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</si>
  <si>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</si>
  <si>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</si>
  <si>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</si>
  <si>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</si>
  <si>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</si>
  <si>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</si>
  <si>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</si>
  <si>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</si>
  <si>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</si>
  <si>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</si>
  <si>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</si>
  <si>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</si>
  <si>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</si>
  <si>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</si>
  <si>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</si>
  <si>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</si>
  <si>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</si>
  <si>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</si>
  <si>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</si>
  <si>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</si>
  <si>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</si>
  <si>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</si>
  <si>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</si>
  <si>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</si>
  <si>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</si>
  <si>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</si>
  <si>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</si>
  <si>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</si>
  <si>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</si>
  <si>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</si>
  <si>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</si>
  <si>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</si>
  <si>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</si>
  <si>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</si>
  <si>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</si>
  <si>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</si>
  <si>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</si>
  <si>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</si>
  <si>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</si>
  <si>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</si>
  <si>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</si>
  <si>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</si>
  <si>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</si>
  <si>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</si>
  <si>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</si>
  <si>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</si>
  <si>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</si>
  <si>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</si>
  <si>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</si>
  <si>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</si>
  <si>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</si>
  <si>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</si>
  <si>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</si>
  <si>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</si>
  <si>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</si>
  <si>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</si>
  <si>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</si>
  <si>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</si>
  <si>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</si>
  <si>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</si>
  <si>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</si>
  <si>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</si>
  <si>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</si>
  <si>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</si>
  <si>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</si>
  <si>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</si>
  <si>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</si>
  <si>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</si>
  <si>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</si>
  <si>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</si>
  <si>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</si>
  <si>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</si>
  <si>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</si>
  <si>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</si>
  <si>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</si>
  <si>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</si>
  <si>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</si>
  <si>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</si>
  <si>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</si>
  <si>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</si>
  <si>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</si>
  <si>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</si>
  <si>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</si>
  <si>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</si>
  <si>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</si>
  <si>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</si>
  <si>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</si>
  <si>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</si>
  <si>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</si>
  <si>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</si>
  <si>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</si>
  <si>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</si>
  <si>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</si>
  <si>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</si>
  <si>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</si>
  <si>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</si>
  <si>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</si>
  <si>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</si>
  <si>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</si>
  <si>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</si>
  <si>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</si>
  <si>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</si>
  <si>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</si>
  <si>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</si>
  <si>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</si>
  <si>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</si>
  <si>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</si>
  <si>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</si>
  <si>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</si>
  <si>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</si>
  <si>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</si>
  <si>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</si>
  <si>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</si>
  <si>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</si>
  <si>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</si>
  <si>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</si>
  <si>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</si>
  <si>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</si>
  <si>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</si>
  <si>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</si>
  <si>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</si>
  <si>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</si>
  <si>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</si>
  <si>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</si>
  <si>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</si>
  <si>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</si>
  <si>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</si>
  <si>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</si>
  <si>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</si>
  <si>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</si>
  <si>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</si>
  <si>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</si>
  <si>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</si>
  <si>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</si>
  <si>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</si>
  <si>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</si>
  <si>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</si>
  <si>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</si>
  <si>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</si>
  <si>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</si>
  <si>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</si>
  <si>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</si>
  <si>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</si>
  <si>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</si>
  <si>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</si>
  <si>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</si>
  <si>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</si>
  <si>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</si>
  <si>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</si>
  <si>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</si>
  <si>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</si>
  <si>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</si>
  <si>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</si>
  <si>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</si>
  <si>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</si>
  <si>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</si>
  <si>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</si>
  <si>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</si>
  <si>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</si>
  <si>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</si>
  <si>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</si>
  <si>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</si>
  <si>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</si>
  <si>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</si>
  <si>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</si>
  <si>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</si>
  <si>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</si>
  <si>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</si>
  <si>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</si>
  <si>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</si>
  <si>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</si>
  <si>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</si>
  <si>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</si>
  <si>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</si>
  <si>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</si>
  <si>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</si>
  <si>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</si>
  <si>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</si>
  <si>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</si>
  <si>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</si>
  <si>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</si>
  <si>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</si>
  <si>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</si>
  <si>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</si>
  <si>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</si>
  <si>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</si>
  <si>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</si>
  <si>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</si>
  <si>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</si>
  <si>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</si>
  <si>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</si>
  <si>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</si>
  <si>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</si>
  <si>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</si>
  <si>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</si>
  <si>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</si>
  <si>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</si>
  <si>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</si>
  <si>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</si>
  <si>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</si>
  <si>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</si>
  <si>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</si>
  <si>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</si>
  <si>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</si>
  <si>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</si>
  <si>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</si>
  <si>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</si>
  <si>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</si>
  <si>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</si>
  <si>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</si>
  <si>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</si>
  <si>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</si>
  <si>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</si>
  <si>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</si>
  <si>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</si>
  <si>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</si>
  <si>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</si>
  <si>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</si>
  <si>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</si>
  <si>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</si>
  <si>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</si>
  <si>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</si>
  <si>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</si>
  <si>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</si>
  <si>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</si>
  <si>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</si>
  <si>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</si>
  <si>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</si>
  <si>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</si>
  <si>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</si>
  <si>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</si>
  <si>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</si>
  <si>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</si>
  <si>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</si>
  <si>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</si>
  <si>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</si>
  <si>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</si>
  <si>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</si>
  <si>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</si>
  <si>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</si>
  <si>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</si>
  <si>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</si>
  <si>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</si>
  <si>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</si>
  <si>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</si>
  <si>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</si>
  <si>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</si>
  <si>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</si>
  <si>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</si>
  <si>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</si>
  <si>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</si>
  <si>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</si>
  <si>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</si>
  <si>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</si>
  <si>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</si>
  <si>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</si>
  <si>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</si>
  <si>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</si>
  <si>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</si>
  <si>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</si>
  <si>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</si>
  <si>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</si>
  <si>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</si>
  <si>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</si>
  <si>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</si>
  <si>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</si>
  <si>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</si>
  <si>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</si>
  <si>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</si>
  <si>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</si>
  <si>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</si>
  <si>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</si>
  <si>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</si>
  <si>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</si>
  <si>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</si>
  <si>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</si>
  <si>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</si>
  <si>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</si>
  <si>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</si>
  <si>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</si>
  <si>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</si>
  <si>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</si>
  <si>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</si>
  <si>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</si>
  <si>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</si>
  <si>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</si>
  <si>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</si>
  <si>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</si>
  <si>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</si>
  <si>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</si>
  <si>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</si>
  <si>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</si>
  <si>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</si>
  <si>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</si>
  <si>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</si>
  <si>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</si>
  <si>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</si>
  <si>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</si>
  <si>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</si>
  <si>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</si>
  <si>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</si>
  <si>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</si>
  <si>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</si>
  <si>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</si>
  <si>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</si>
  <si>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</si>
  <si>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</si>
  <si>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</si>
  <si>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</si>
  <si>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</si>
  <si>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</si>
  <si>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</si>
  <si>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</si>
  <si>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</si>
  <si>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</si>
  <si>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</si>
  <si>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</si>
  <si>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</si>
  <si>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</si>
  <si>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</si>
  <si>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</si>
  <si>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</si>
  <si>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</si>
  <si>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</si>
  <si>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</si>
  <si>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</si>
  <si>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</si>
  <si>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</si>
  <si>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</si>
  <si>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</si>
  <si>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</si>
  <si>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</si>
  <si>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</si>
  <si>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</si>
  <si>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</si>
  <si>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</si>
  <si>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</si>
  <si>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</si>
  <si>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</si>
  <si>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</si>
  <si>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</si>
  <si>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</si>
  <si>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</si>
  <si>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</si>
  <si>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</si>
  <si>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</si>
  <si>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</si>
  <si>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</si>
  <si>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</si>
  <si>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</si>
  <si>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</si>
  <si>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</si>
  <si>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</si>
  <si>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</si>
  <si>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</si>
  <si>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</si>
  <si>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</si>
  <si>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</si>
  <si>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</si>
  <si>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</si>
  <si>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</si>
  <si>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</si>
  <si>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</si>
  <si>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</si>
  <si>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</si>
  <si>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</si>
  <si>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</si>
  <si>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</si>
  <si>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</si>
  <si>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</si>
  <si>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</si>
  <si>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</si>
  <si>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</si>
  <si>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</si>
  <si>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</si>
  <si>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</si>
  <si>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</si>
  <si>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</si>
  <si>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</si>
  <si>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</si>
  <si>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</si>
  <si>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</si>
  <si>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</si>
  <si>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</si>
  <si>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</si>
  <si>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</si>
  <si>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</si>
  <si>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</si>
  <si>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</si>
  <si>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</si>
  <si>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</si>
  <si>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</si>
  <si>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</si>
  <si>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</si>
  <si>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</si>
  <si>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</si>
  <si>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</si>
  <si>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</si>
  <si>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</si>
  <si>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</si>
  <si>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</si>
  <si>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</si>
  <si>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</si>
  <si>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</si>
  <si>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</si>
  <si>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</si>
  <si>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</si>
  <si>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</si>
  <si>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</si>
  <si>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</si>
  <si>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</si>
  <si>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</si>
  <si>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</si>
  <si>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</si>
  <si>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</si>
  <si>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</si>
  <si>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</si>
  <si>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</si>
  <si>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</si>
  <si>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</si>
  <si>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</si>
  <si>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</si>
  <si>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</si>
  <si>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</si>
  <si>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</si>
  <si>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</si>
  <si>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</si>
  <si>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</si>
  <si>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</si>
  <si>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</si>
  <si>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</si>
  <si>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</si>
  <si>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</si>
  <si>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</si>
  <si>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</si>
  <si>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</si>
  <si>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</si>
  <si>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</si>
  <si>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</si>
  <si>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</si>
  <si>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</si>
  <si>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</si>
  <si>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</si>
  <si>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</si>
  <si>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</si>
  <si>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</si>
  <si>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</si>
  <si>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</si>
  <si>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</si>
  <si>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</si>
  <si>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</si>
  <si>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</si>
  <si>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</si>
  <si>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</si>
  <si>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</si>
  <si>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</si>
  <si>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</si>
  <si>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</si>
  <si>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</si>
  <si>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</si>
  <si>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</si>
  <si>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</si>
  <si>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</si>
  <si>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</si>
  <si>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</si>
  <si>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</si>
  <si>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</si>
  <si>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</si>
  <si>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</si>
  <si>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</si>
  <si>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</si>
  <si>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</si>
  <si>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</si>
  <si>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</si>
  <si>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</si>
  <si>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</si>
  <si>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</si>
  <si>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</si>
  <si>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</si>
  <si>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</si>
  <si>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</si>
  <si>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</si>
  <si>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</si>
  <si>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</si>
  <si>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</si>
  <si>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</si>
  <si>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</si>
  <si>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</si>
  <si>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</si>
  <si>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</si>
  <si>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</si>
  <si>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</si>
  <si>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</si>
  <si>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</si>
  <si>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</si>
  <si>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</si>
  <si>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</si>
  <si>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</si>
  <si>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</si>
  <si>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</si>
  <si>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</si>
  <si>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</si>
  <si>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</si>
  <si>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</si>
  <si>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</si>
  <si>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</si>
  <si>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</si>
  <si>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</si>
  <si>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</si>
  <si>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</si>
  <si>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</si>
  <si>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</si>
  <si>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</si>
  <si>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</si>
  <si>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</si>
  <si>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</si>
  <si>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</si>
  <si>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</si>
  <si>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</si>
  <si>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</si>
  <si>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</si>
  <si>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</si>
  <si>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</si>
  <si>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</si>
  <si>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</si>
  <si>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</si>
  <si>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</si>
  <si>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</si>
  <si>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</si>
  <si>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</si>
  <si>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</si>
  <si>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</si>
  <si>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</si>
  <si>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</si>
  <si>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</si>
  <si>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</si>
  <si>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</si>
  <si>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</si>
  <si>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</si>
  <si>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</si>
  <si>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</si>
  <si>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</si>
  <si>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</si>
  <si>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</si>
  <si>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</si>
  <si>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</si>
  <si>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</si>
  <si>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</si>
  <si>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</si>
  <si>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</si>
  <si>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</si>
  <si>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</si>
  <si>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</si>
  <si>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</si>
  <si>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</si>
  <si>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</si>
  <si>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</si>
  <si>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</si>
  <si>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</si>
  <si>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</si>
  <si>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</si>
  <si>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</si>
  <si>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</si>
  <si>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</si>
  <si>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</si>
  <si>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</si>
  <si>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</si>
  <si>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</si>
  <si>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</si>
  <si>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</si>
  <si>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</si>
  <si>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</si>
  <si>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</si>
  <si>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</si>
  <si>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</si>
  <si>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</si>
  <si>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</si>
  <si>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</si>
  <si>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</si>
  <si>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</si>
  <si>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</si>
  <si>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</si>
  <si>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</si>
  <si>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</si>
  <si>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</si>
  <si>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</si>
  <si>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</si>
  <si>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</si>
  <si>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</si>
  <si>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</si>
  <si>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</si>
  <si>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</si>
  <si>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</si>
  <si>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</si>
  <si>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</si>
  <si>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</si>
  <si>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</si>
  <si>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</si>
  <si>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</si>
  <si>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</si>
  <si>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</si>
  <si>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</si>
  <si>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</si>
  <si>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</si>
  <si>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</si>
  <si>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</si>
  <si>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</si>
  <si>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</si>
  <si>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</si>
  <si>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</si>
  <si>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</si>
  <si>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</si>
  <si>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</si>
  <si>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</si>
  <si>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</si>
  <si>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</si>
  <si>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</si>
  <si>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</si>
  <si>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</si>
  <si>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</si>
  <si>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</si>
  <si>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</si>
  <si>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</si>
  <si>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</si>
  <si>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</si>
  <si>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</si>
  <si>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</si>
  <si>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</si>
  <si>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</si>
  <si>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</si>
  <si>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</si>
  <si>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</si>
  <si>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</si>
  <si>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</si>
  <si>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</si>
  <si>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</si>
  <si>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</si>
  <si>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</si>
  <si>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</si>
  <si>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</si>
  <si>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</si>
  <si>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</si>
  <si>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</si>
  <si>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</si>
  <si>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</si>
  <si>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</si>
  <si>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</si>
  <si>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</si>
  <si>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</si>
  <si>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</si>
  <si>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</si>
  <si>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</si>
  <si>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</si>
  <si>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</si>
  <si>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</si>
  <si>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</si>
  <si>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</si>
  <si>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</si>
  <si>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</si>
  <si>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</si>
  <si>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</si>
  <si>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</si>
  <si>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</si>
  <si>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</si>
  <si>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</si>
  <si>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</si>
  <si>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</si>
  <si>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</si>
  <si>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</si>
  <si>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</si>
  <si>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</si>
  <si>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</si>
  <si>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</si>
  <si>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</si>
  <si>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</si>
  <si>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</si>
  <si>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</si>
  <si>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</si>
  <si>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</si>
  <si>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</si>
  <si>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</si>
  <si>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</si>
  <si>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</si>
  <si>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</si>
  <si>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</si>
  <si>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</si>
  <si>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</si>
  <si>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</si>
  <si>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</si>
  <si>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</si>
  <si>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</si>
  <si>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</si>
  <si>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</si>
  <si>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</si>
  <si>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</si>
  <si>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</si>
  <si>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</si>
  <si>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</si>
  <si>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</si>
  <si>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</si>
  <si>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</si>
  <si>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</si>
  <si>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</si>
  <si>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</si>
  <si>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</si>
  <si>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</si>
  <si>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</si>
  <si>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</si>
  <si>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</si>
  <si>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</si>
  <si>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</si>
  <si>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</si>
  <si>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</si>
  <si>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</si>
  <si>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</si>
  <si>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</si>
  <si>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</si>
  <si>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</si>
  <si>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</si>
  <si>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</si>
  <si>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</si>
  <si>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</si>
  <si>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</si>
  <si>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</si>
  <si>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</si>
  <si>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</si>
  <si>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</si>
  <si>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</si>
  <si>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</si>
  <si>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</si>
  <si>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</si>
  <si>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</si>
  <si>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</si>
  <si>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</si>
  <si>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</si>
  <si>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</si>
  <si>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</si>
  <si>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</si>
  <si>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</si>
  <si>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</si>
  <si>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</si>
  <si>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</si>
  <si>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</si>
  <si>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</si>
  <si>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</si>
  <si>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</si>
  <si>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</si>
  <si>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</si>
  <si>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</si>
  <si>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Análises do tanque</t>
  </si>
  <si>
    <t xml:space="preserve">Aba própria. Valores transcritos das mensagens do laticínio (Ref. coleta = data da coleta e tanque). As análises de uma mesma mensagem formam um grupo, tratado como uma só coleta: média geral ponderada pelo volume de cada tanque (Demonstrativo das Coletas; sem volume, média simples), válida a partir da primeira data de coleta do grupo e repetida até chegar um grupo novo. Gordura e proteína do tanque substituem as médias do DairyPlan.</t>
  </si>
  <si>
    <t xml:space="preserve">Leite ECM</t>
  </si>
  <si>
    <t xml:space="preserve">Produção média nas últimas 24 h × (0,327 + 0,1295 × gordura % + 0,0765 × proteína %), com gordura e proteína da análise do tanque (Sjaunja et al., 1990; fatores na aba Parâmetros).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</si>
  <si>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</si>
  <si>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</si>
  <si>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</si>
  <si>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</si>
  <si>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</si>
  <si>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</si>
  <si>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</si>
  <si>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</si>
  <si>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IA há &gt; 35 dias</t>
  </si>
  <si>
    <t xml:space="preserve">Dias desde IA = data do relatório − DATA da IA (última inseminação, coluna do relatório desde 14/10/2026). Inseminadas: StatRepro Bred (adultas também Dry Bred); vazias: StatRepro Vazia; sem DNB. Dias sem a coluna ficam vazios.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</si>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</sst>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"/>
    <numFmt numFmtId="168" formatCode="0.0%"/>
    <numFmt numFmtId="169" formatCode="#,##0"/>
    <numFmt numFmtId="170" formatCode="\+0.0%;\-0.0%;0.0%"/>
    <numFmt numFmtId="171" formatCode="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1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  <c r="E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COUNTIFS(Dados!$A$2:$A$3971,C$4,Dados!$X$2:$X$3971,1,Dados!$E$2:$E$3971,"&gt;0")</f>
        <v>1856</v>
      </c>
      <c r="D6" s="10" t="n">
        <f aca="false">IFERROR(AVERAGE(C6:C6),"")</f>
        <v>1856</v>
      </c>
      <c r="E6" s="11"/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COUNTIFS(Dados!$A$2:$A$3971,C$4,Dados!$X$2:$X$3971,1,Dados!$AB$2:$AB$3971,1)</f>
        <v>1652</v>
      </c>
      <c r="D7" s="15" t="n">
        <f aca="false">IFERROR(AVERAGE(C7:C7),"")</f>
        <v>1652</v>
      </c>
      <c r="E7" s="16"/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COUNTIFS(Dados!$A$2:$A$3971,C$4,Dados!$X$2:$X$3971,1,Dados!$AB$2:$AB$3971,1,Dados!$B$2:$B$3971,"&lt;=6")</f>
        <v>1595</v>
      </c>
      <c r="D8" s="10" t="n">
        <f aca="false">IFERROR(AVERAGE(C8:C8),"")</f>
        <v>1595</v>
      </c>
      <c r="E8" s="11"/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COUNTIFS(Dados!$A$2:$A$3971,C$4,Dados!$X$2:$X$3971,1,Dados!$E$2:$E$3971,"&gt;0",Dados!$B$2:$B$3971,10)</f>
        <v>57</v>
      </c>
      <c r="D9" s="15" t="n">
        <f aca="false">IFERROR(AVERAGE(C9:C9),"")</f>
        <v>57</v>
      </c>
      <c r="E9" s="16"/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COUNTIFS(Dados!$A$2:$A$3971,C$4,Dados!$X$2:$X$3971,1,Dados!$E$2:$E$3971,"&gt;0",Dados!$AB$2:$AB$3971,0)</f>
        <v>204</v>
      </c>
      <c r="D10" s="10" t="n">
        <f aca="false">IFERROR(AVERAGE(C10:C10),"")</f>
        <v>204</v>
      </c>
      <c r="E10" s="11"/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COUNTIFS(Dados!$A$2:$A$3971,C$4,Dados!$X$2:$X$3971,1,Dados!$AB$2:$AB$3971,1,Dados!$D$2:$D$3971,"&lt;=21")</f>
        <v>94</v>
      </c>
      <c r="D11" s="15" t="n">
        <f aca="false">IFERROR(AVERAGE(C11:C11),"")</f>
        <v>94</v>
      </c>
      <c r="E11" s="16"/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IF(MATCH(C$4,DATAS,0)=1,"",COUNTIFS(Dados!$A$2:$A$3971,C$4,Dados!$X$2:$X$3971,1,Dados!$AF$2:$AF$3971,1))</f>
        <v/>
      </c>
      <c r="D12" s="10" t="str">
        <f aca="false">IFERROR(AVERAGE(C12:C12),"")</f>
        <v/>
      </c>
      <c r="E12" s="11"/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IF(MATCH(C$4,DATAS,0)=1,"",COUNTIFS(Dados!$AH$2:$AH$3971,C$4))</f>
        <v/>
      </c>
      <c r="D13" s="15" t="str">
        <f aca="false">IFERROR(AVERAGE(C13:C13),"")</f>
        <v/>
      </c>
      <c r="E13" s="16"/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IF(MATCH(C$4,DATAS,0)=1,"",COUNTIFS(Dados!$A$2:$A$3971,C$4,Dados!$X$2:$X$3971,1,Dados!$AG$2:$AG$3971,1))</f>
        <v/>
      </c>
      <c r="D14" s="10" t="str">
        <f aca="false">IFERROR(AVERAGE(C14:C14),"")</f>
        <v/>
      </c>
      <c r="E14" s="11"/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IF(MATCH(C$4,DATAS,0)=1,"",COUNTIFS(Dados!$AI$2:$AI$3971,C$4))</f>
        <v/>
      </c>
      <c r="D15" s="15" t="str">
        <f aca="false">IFERROR(AVERAGE(C15:C15),"")</f>
        <v/>
      </c>
      <c r="E15" s="16"/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IF(MATCH(C$4,DATAS,0)=1,"",(COUNTIFS(Dados!$A$2:$A$3971,C$4,Dados!$X$2:$X$3971,1,Dados!$AG$2:$AG$3971,1)-COUNTIFS(Dados!$AI$2:$AI$3971,C$4)))</f>
        <v/>
      </c>
      <c r="D16" s="10" t="str">
        <f aca="false">IFERROR(AVERAGE(C16:C16),"")</f>
        <v/>
      </c>
      <c r="E16" s="11"/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IFERROR(AVERAGEIFS(Dados!$D$2:$D$3971,Dados!$A$2:$A$3971,C$4,Dados!$X$2:$X$3971,1,Dados!$AB$2:$AB$3971,1),"")</f>
        <v>187.771791767554</v>
      </c>
      <c r="D17" s="15" t="n">
        <f aca="false">IFERROR(AVERAGE(C17:C17),"")</f>
        <v>187.771791767554</v>
      </c>
      <c r="E17" s="16"/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IFERROR(AVERAGEIFS(Dados!$D$2:$D$3971,Dados!$A$2:$A$3971,C$4,Dados!$X$2:$X$3971,1,Dados!$AB$2:$AB$3971,1,Dados!$B$2:$B$3971,"&lt;=6"),"")</f>
        <v>188.575548589342</v>
      </c>
      <c r="D18" s="10" t="n">
        <f aca="false">IFERROR(AVERAGE(C18:C18),"")</f>
        <v>188.575548589342</v>
      </c>
      <c r="E18" s="11"/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$3971=C$4)*(Dados!$X$2:$X$3971=1)*(Dados!$AB$2:$AB$3971=1)*(Dados!$G$2:$G$3971&gt;0))=0,"",IF(SUMPRODUCT((Dados!$A$2:$A$3971=C$4)*(Dados!$X$2:$X$3971=1)*(Dados!$AB$2:$AB$3971=1)*(Dados!$G$2:$G$3971&gt;0))&lt;2,FIXED(SUMPRODUCT((Dados!$A$2:$A$3971=C$4)*(Dados!$X$2:$X$3971=1)*(Dados!$AB$2:$AB$3971=1)*(Dados!$G$2:$G$3971&gt;0),Dados!$G$2:$G$3971)/SUMPRODUCT((Dados!$A$2:$A$3971=C$4)*(Dados!$X$2:$X$3971=1)*(Dados!$AB$2:$AB$3971=1)*(Dados!$G$2:$G$3971&gt;0)),1,TRUE()),FIXED(SUMPRODUCT((Dados!$A$2:$A$3971=C$4)*(Dados!$X$2:$X$3971=1)*(Dados!$AB$2:$AB$3971=1)*(Dados!$G$2:$G$3971&gt;0),Dados!$G$2:$G$3971)/SUMPRODUCT((Dados!$A$2:$A$3971=C$4)*(Dados!$X$2:$X$3971=1)*(Dados!$AB$2:$AB$3971=1)*(Dados!$G$2:$G$3971&gt;0)),1,TRUE())&amp;" ("&amp;FIXED(SQRT(MAX(0,(SUMPRODUCT((Dados!$A$2:$A$3971=C$4)*(Dados!$X$2:$X$3971=1)*(Dados!$AB$2:$AB$3971=1)*(Dados!$G$2:$G$3971&gt;0),Dados!$G$2:$G$3971,Dados!$G$2:$G$3971)-SUMPRODUCT((Dados!$A$2:$A$3971=C$4)*(Dados!$X$2:$X$3971=1)*(Dados!$AB$2:$AB$3971=1)*(Dados!$G$2:$G$3971&gt;0),Dados!$G$2:$G$3971)^2/SUMPRODUCT((Dados!$A$2:$A$3971=C$4)*(Dados!$X$2:$X$3971=1)*(Dados!$AB$2:$AB$3971=1)*(Dados!$G$2:$G$3971&gt;0)))/(SUMPRODUCT((Dados!$A$2:$A$3971=C$4)*(Dados!$X$2:$X$3971=1)*(Dados!$AB$2:$AB$3971=1)*(Dados!$G$2:$G$3971&gt;0))-1))),1,TRUE())&amp;")"))</f>
        <v>43.3 (12.4)</v>
      </c>
      <c r="D19" s="18" t="n">
        <f aca="false">IF((IF(ISERROR(AVERAGEIFS(Dados!$G$2:$G$3971,Dados!$A$2:$A$3971,C$4,Dados!$X$2:$X$3971,1,Dados!$AB$2:$AB$3971,1,Dados!$G$2:$G$3971,"&gt;0")),0,1))=0,"",(IFERROR(AVERAGEIFS(Dados!$G$2:$G$3971,Dados!$A$2:$A$3971,C$4,Dados!$X$2:$X$3971,1,Dados!$AB$2:$AB$3971,1,Dados!$G$2:$G$3971,"&gt;0"),0))/(IF(ISERROR(AVERAGEIFS(Dados!$G$2:$G$3971,Dados!$A$2:$A$3971,C$4,Dados!$X$2:$X$3971,1,Dados!$AB$2:$AB$3971,1,Dados!$G$2:$G$3971,"&gt;0")),0,1)))</f>
        <v>43.2982278481013</v>
      </c>
      <c r="E19" s="16"/>
    </row>
    <row r="20" customFormat="false" ht="15" hidden="false" customHeight="false" outlineLevel="0" collapsed="false">
      <c r="A20" s="7" t="s">
        <v>24</v>
      </c>
      <c r="B20" s="8" t="s">
        <v>23</v>
      </c>
      <c r="C20" s="19" t="n">
        <f aca="false">IFERROR(AVERAGEIFS(Dados!$G$2:$G$3971,Dados!$A$2:$A$3971,C$4,Dados!$X$2:$X$3971,1,Dados!$AB$2:$AB$3971,1,Dados!$G$2:$G$3971,"&gt;0")*(P_ECM_BASE+P_ECM_GORD*INDEX(TQ_GORD,MATCH(C$4,TQ_DATA,1))+P_ECM_PROT*INDEX(TQ_PROT,MATCH(C$4,TQ_DATA,1))),"")</f>
        <v>44.7084141291256</v>
      </c>
      <c r="D20" s="20" t="n">
        <f aca="false">IFERROR(AVERAGE(C20:C20),"")</f>
        <v>44.7084141291256</v>
      </c>
      <c r="E20" s="11"/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$3971=C$4)*(Dados!$X$2:$X$3971=1)*(Dados!$E$2:$E$3971&gt;0)*(Dados!$B$2:$B$3971=1)*(Dados!$G$2:$G$3971&gt;0))=0,"",IF(SUMPRODUCT((Dados!$A$2:$A$3971=C$4)*(Dados!$X$2:$X$3971=1)*(Dados!$E$2:$E$3971&gt;0)*(Dados!$B$2:$B$3971=1)*(Dados!$G$2:$G$3971&gt;0))&lt;2,FIXED(SUMPRODUCT((Dados!$A$2:$A$3971=C$4)*(Dados!$X$2:$X$3971=1)*(Dados!$E$2:$E$3971&gt;0)*(Dados!$B$2:$B$3971=1)*(Dados!$G$2:$G$3971&gt;0),Dados!$G$2:$G$3971)/SUMPRODUCT((Dados!$A$2:$A$3971=C$4)*(Dados!$X$2:$X$3971=1)*(Dados!$E$2:$E$3971&gt;0)*(Dados!$B$2:$B$3971=1)*(Dados!$G$2:$G$3971&gt;0)),1,TRUE()),FIXED(SUMPRODUCT((Dados!$A$2:$A$3971=C$4)*(Dados!$X$2:$X$3971=1)*(Dados!$E$2:$E$3971&gt;0)*(Dados!$B$2:$B$3971=1)*(Dados!$G$2:$G$3971&gt;0),Dados!$G$2:$G$3971)/SUMPRODUCT((Dados!$A$2:$A$3971=C$4)*(Dados!$X$2:$X$3971=1)*(Dados!$E$2:$E$3971&gt;0)*(Dados!$B$2:$B$3971=1)*(Dados!$G$2:$G$3971&gt;0)),1,TRUE())&amp;" ("&amp;FIXED(SQRT(MAX(0,(SUMPRODUCT((Dados!$A$2:$A$3971=C$4)*(Dados!$X$2:$X$3971=1)*(Dados!$E$2:$E$3971&gt;0)*(Dados!$B$2:$B$3971=1)*(Dados!$G$2:$G$3971&gt;0),Dados!$G$2:$G$3971,Dados!$G$2:$G$3971)-SUMPRODUCT((Dados!$A$2:$A$3971=C$4)*(Dados!$X$2:$X$3971=1)*(Dados!$E$2:$E$3971&gt;0)*(Dados!$B$2:$B$3971=1)*(Dados!$G$2:$G$3971&gt;0),Dados!$G$2:$G$3971)^2/SUMPRODUCT((Dados!$A$2:$A$3971=C$4)*(Dados!$X$2:$X$3971=1)*(Dados!$E$2:$E$3971&gt;0)*(Dados!$B$2:$B$3971=1)*(Dados!$G$2:$G$3971&gt;0)))/(SUMPRODUCT((Dados!$A$2:$A$3971=C$4)*(Dados!$X$2:$X$3971=1)*(Dados!$E$2:$E$3971&gt;0)*(Dados!$B$2:$B$3971=1)*(Dados!$G$2:$G$3971&gt;0))-1))),1,TRUE())&amp;")"))</f>
        <v>43.6 (10.1)</v>
      </c>
      <c r="D21" s="18" t="n">
        <f aca="false">IF((IF(ISERROR(AVERAGEIFS(Dados!$G$2:$G$3971,Dados!$A$2:$A$3971,C$4,Dados!$X$2:$X$3971,1,Dados!$E$2:$E$3971,"&gt;0",Dados!$B$2:$B$3971,1,Dados!$G$2:$G$3971,"&gt;0")),0,1))=0,"",(IFERROR(AVERAGEIFS(Dados!$G$2:$G$3971,Dados!$A$2:$A$3971,C$4,Dados!$X$2:$X$3971,1,Dados!$E$2:$E$3971,"&gt;0",Dados!$B$2:$B$3971,1,Dados!$G$2:$G$3971,"&gt;0"),0))/(IF(ISERROR(AVERAGEIFS(Dados!$G$2:$G$3971,Dados!$A$2:$A$3971,C$4,Dados!$X$2:$X$3971,1,Dados!$E$2:$E$3971,"&gt;0",Dados!$B$2:$B$3971,1,Dados!$G$2:$G$3971,"&gt;0")),0,1)))</f>
        <v>43.5710784313726</v>
      </c>
      <c r="E21" s="16"/>
    </row>
    <row r="22" customFormat="false" ht="15" hidden="false" customHeight="false" outlineLevel="0" collapsed="false">
      <c r="A22" s="7" t="s">
        <v>26</v>
      </c>
      <c r="B22" s="8" t="s">
        <v>23</v>
      </c>
      <c r="C22" s="21" t="str">
        <f aca="false">IF(SUMPRODUCT((Dados!$A$2:$A$3971=C$4)*(Dados!$X$2:$X$3971=1)*(Dados!$E$2:$E$3971&gt;0)*(Dados!$B$2:$B$3971=2)*(Dados!$G$2:$G$3971&gt;0))=0,"",IF(SUMPRODUCT((Dados!$A$2:$A$3971=C$4)*(Dados!$X$2:$X$3971=1)*(Dados!$E$2:$E$3971&gt;0)*(Dados!$B$2:$B$3971=2)*(Dados!$G$2:$G$3971&gt;0))&lt;2,FIXED(SUMPRODUCT((Dados!$A$2:$A$3971=C$4)*(Dados!$X$2:$X$3971=1)*(Dados!$E$2:$E$3971&gt;0)*(Dados!$B$2:$B$3971=2)*(Dados!$G$2:$G$3971&gt;0),Dados!$G$2:$G$3971)/SUMPRODUCT((Dados!$A$2:$A$3971=C$4)*(Dados!$X$2:$X$3971=1)*(Dados!$E$2:$E$3971&gt;0)*(Dados!$B$2:$B$3971=2)*(Dados!$G$2:$G$3971&gt;0)),1,TRUE()),FIXED(SUMPRODUCT((Dados!$A$2:$A$3971=C$4)*(Dados!$X$2:$X$3971=1)*(Dados!$E$2:$E$3971&gt;0)*(Dados!$B$2:$B$3971=2)*(Dados!$G$2:$G$3971&gt;0),Dados!$G$2:$G$3971)/SUMPRODUCT((Dados!$A$2:$A$3971=C$4)*(Dados!$X$2:$X$3971=1)*(Dados!$E$2:$E$3971&gt;0)*(Dados!$B$2:$B$3971=2)*(Dados!$G$2:$G$3971&gt;0)),1,TRUE())&amp;" ("&amp;FIXED(SQRT(MAX(0,(SUMPRODUCT((Dados!$A$2:$A$3971=C$4)*(Dados!$X$2:$X$3971=1)*(Dados!$E$2:$E$3971&gt;0)*(Dados!$B$2:$B$3971=2)*(Dados!$G$2:$G$3971&gt;0),Dados!$G$2:$G$3971,Dados!$G$2:$G$3971)-SUMPRODUCT((Dados!$A$2:$A$3971=C$4)*(Dados!$X$2:$X$3971=1)*(Dados!$E$2:$E$3971&gt;0)*(Dados!$B$2:$B$3971=2)*(Dados!$G$2:$G$3971&gt;0),Dados!$G$2:$G$3971)^2/SUMPRODUCT((Dados!$A$2:$A$3971=C$4)*(Dados!$X$2:$X$3971=1)*(Dados!$E$2:$E$3971&gt;0)*(Dados!$B$2:$B$3971=2)*(Dados!$G$2:$G$3971&gt;0)))/(SUMPRODUCT((Dados!$A$2:$A$3971=C$4)*(Dados!$X$2:$X$3971=1)*(Dados!$E$2:$E$3971&gt;0)*(Dados!$B$2:$B$3971=2)*(Dados!$G$2:$G$3971&gt;0))-1))),1,TRUE())&amp;")"))</f>
        <v>53.4 (9.4)</v>
      </c>
      <c r="D22" s="20" t="n">
        <f aca="false">IF((IF(ISERROR(AVERAGEIFS(Dados!$G$2:$G$3971,Dados!$A$2:$A$3971,C$4,Dados!$X$2:$X$3971,1,Dados!$E$2:$E$3971,"&gt;0",Dados!$B$2:$B$3971,2,Dados!$G$2:$G$3971,"&gt;0")),0,1))=0,"",(IFERROR(AVERAGEIFS(Dados!$G$2:$G$3971,Dados!$A$2:$A$3971,C$4,Dados!$X$2:$X$3971,1,Dados!$E$2:$E$3971,"&gt;0",Dados!$B$2:$B$3971,2,Dados!$G$2:$G$3971,"&gt;0"),0))/(IF(ISERROR(AVERAGEIFS(Dados!$G$2:$G$3971,Dados!$A$2:$A$3971,C$4,Dados!$X$2:$X$3971,1,Dados!$E$2:$E$3971,"&gt;0",Dados!$B$2:$B$3971,2,Dados!$G$2:$G$3971,"&gt;0")),0,1)))</f>
        <v>53.3717703349282</v>
      </c>
      <c r="E22" s="11"/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$3971=C$4)*(Dados!$X$2:$X$3971=1)*(Dados!$E$2:$E$3971&gt;0)*(Dados!$B$2:$B$3971=3)*(Dados!$G$2:$G$3971&gt;0))=0,"",IF(SUMPRODUCT((Dados!$A$2:$A$3971=C$4)*(Dados!$X$2:$X$3971=1)*(Dados!$E$2:$E$3971&gt;0)*(Dados!$B$2:$B$3971=3)*(Dados!$G$2:$G$3971&gt;0))&lt;2,FIXED(SUMPRODUCT((Dados!$A$2:$A$3971=C$4)*(Dados!$X$2:$X$3971=1)*(Dados!$E$2:$E$3971&gt;0)*(Dados!$B$2:$B$3971=3)*(Dados!$G$2:$G$3971&gt;0),Dados!$G$2:$G$3971)/SUMPRODUCT((Dados!$A$2:$A$3971=C$4)*(Dados!$X$2:$X$3971=1)*(Dados!$E$2:$E$3971&gt;0)*(Dados!$B$2:$B$3971=3)*(Dados!$G$2:$G$3971&gt;0)),1,TRUE()),FIXED(SUMPRODUCT((Dados!$A$2:$A$3971=C$4)*(Dados!$X$2:$X$3971=1)*(Dados!$E$2:$E$3971&gt;0)*(Dados!$B$2:$B$3971=3)*(Dados!$G$2:$G$3971&gt;0),Dados!$G$2:$G$3971)/SUMPRODUCT((Dados!$A$2:$A$3971=C$4)*(Dados!$X$2:$X$3971=1)*(Dados!$E$2:$E$3971&gt;0)*(Dados!$B$2:$B$3971=3)*(Dados!$G$2:$G$3971&gt;0)),1,TRUE())&amp;" ("&amp;FIXED(SQRT(MAX(0,(SUMPRODUCT((Dados!$A$2:$A$3971=C$4)*(Dados!$X$2:$X$3971=1)*(Dados!$E$2:$E$3971&gt;0)*(Dados!$B$2:$B$3971=3)*(Dados!$G$2:$G$3971&gt;0),Dados!$G$2:$G$3971,Dados!$G$2:$G$3971)-SUMPRODUCT((Dados!$A$2:$A$3971=C$4)*(Dados!$X$2:$X$3971=1)*(Dados!$E$2:$E$3971&gt;0)*(Dados!$B$2:$B$3971=3)*(Dados!$G$2:$G$3971&gt;0),Dados!$G$2:$G$3971)^2/SUMPRODUCT((Dados!$A$2:$A$3971=C$4)*(Dados!$X$2:$X$3971=1)*(Dados!$E$2:$E$3971&gt;0)*(Dados!$B$2:$B$3971=3)*(Dados!$G$2:$G$3971&gt;0)))/(SUMPRODUCT((Dados!$A$2:$A$3971=C$4)*(Dados!$X$2:$X$3971=1)*(Dados!$E$2:$E$3971&gt;0)*(Dados!$B$2:$B$3971=3)*(Dados!$G$2:$G$3971&gt;0))-1))),1,TRUE())&amp;")"))</f>
        <v>54.7 (10.7)</v>
      </c>
      <c r="D23" s="18" t="n">
        <f aca="false">IF((IF(ISERROR(AVERAGEIFS(Dados!$G$2:$G$3971,Dados!$A$2:$A$3971,C$4,Dados!$X$2:$X$3971,1,Dados!$E$2:$E$3971,"&gt;0",Dados!$B$2:$B$3971,3,Dados!$G$2:$G$3971,"&gt;0")),0,1))=0,"",(IFERROR(AVERAGEIFS(Dados!$G$2:$G$3971,Dados!$A$2:$A$3971,C$4,Dados!$X$2:$X$3971,1,Dados!$E$2:$E$3971,"&gt;0",Dados!$B$2:$B$3971,3,Dados!$G$2:$G$3971,"&gt;0"),0))/(IF(ISERROR(AVERAGEIFS(Dados!$G$2:$G$3971,Dados!$A$2:$A$3971,C$4,Dados!$X$2:$X$3971,1,Dados!$E$2:$E$3971,"&gt;0",Dados!$B$2:$B$3971,3,Dados!$G$2:$G$3971,"&gt;0")),0,1)))</f>
        <v>54.7116504854369</v>
      </c>
      <c r="E23" s="16"/>
    </row>
    <row r="24" customFormat="false" ht="15" hidden="false" customHeight="false" outlineLevel="0" collapsed="false">
      <c r="A24" s="7" t="s">
        <v>28</v>
      </c>
      <c r="B24" s="8" t="s">
        <v>23</v>
      </c>
      <c r="C24" s="21" t="str">
        <f aca="false">IF(SUMPRODUCT((Dados!$A$2:$A$3971=C$4)*(Dados!$X$2:$X$3971=1)*(Dados!$E$2:$E$3971&gt;0)*(Dados!$B$2:$B$3971=4)*(Dados!$G$2:$G$3971&gt;0))=0,"",IF(SUMPRODUCT((Dados!$A$2:$A$3971=C$4)*(Dados!$X$2:$X$3971=1)*(Dados!$E$2:$E$3971&gt;0)*(Dados!$B$2:$B$3971=4)*(Dados!$G$2:$G$3971&gt;0))&lt;2,FIXED(SUMPRODUCT((Dados!$A$2:$A$3971=C$4)*(Dados!$X$2:$X$3971=1)*(Dados!$E$2:$E$3971&gt;0)*(Dados!$B$2:$B$3971=4)*(Dados!$G$2:$G$3971&gt;0),Dados!$G$2:$G$3971)/SUMPRODUCT((Dados!$A$2:$A$3971=C$4)*(Dados!$X$2:$X$3971=1)*(Dados!$E$2:$E$3971&gt;0)*(Dados!$B$2:$B$3971=4)*(Dados!$G$2:$G$3971&gt;0)),1,TRUE()),FIXED(SUMPRODUCT((Dados!$A$2:$A$3971=C$4)*(Dados!$X$2:$X$3971=1)*(Dados!$E$2:$E$3971&gt;0)*(Dados!$B$2:$B$3971=4)*(Dados!$G$2:$G$3971&gt;0),Dados!$G$2:$G$3971)/SUMPRODUCT((Dados!$A$2:$A$3971=C$4)*(Dados!$X$2:$X$3971=1)*(Dados!$E$2:$E$3971&gt;0)*(Dados!$B$2:$B$3971=4)*(Dados!$G$2:$G$3971&gt;0)),1,TRUE())&amp;" ("&amp;FIXED(SQRT(MAX(0,(SUMPRODUCT((Dados!$A$2:$A$3971=C$4)*(Dados!$X$2:$X$3971=1)*(Dados!$E$2:$E$3971&gt;0)*(Dados!$B$2:$B$3971=4)*(Dados!$G$2:$G$3971&gt;0),Dados!$G$2:$G$3971,Dados!$G$2:$G$3971)-SUMPRODUCT((Dados!$A$2:$A$3971=C$4)*(Dados!$X$2:$X$3971=1)*(Dados!$E$2:$E$3971&gt;0)*(Dados!$B$2:$B$3971=4)*(Dados!$G$2:$G$3971&gt;0),Dados!$G$2:$G$3971)^2/SUMPRODUCT((Dados!$A$2:$A$3971=C$4)*(Dados!$X$2:$X$3971=1)*(Dados!$E$2:$E$3971&gt;0)*(Dados!$B$2:$B$3971=4)*(Dados!$G$2:$G$3971&gt;0)))/(SUMPRODUCT((Dados!$A$2:$A$3971=C$4)*(Dados!$X$2:$X$3971=1)*(Dados!$E$2:$E$3971&gt;0)*(Dados!$B$2:$B$3971=4)*(Dados!$G$2:$G$3971&gt;0))-1))),1,TRUE())&amp;")"))</f>
        <v>45.2 (8.6)</v>
      </c>
      <c r="D24" s="20" t="n">
        <f aca="false">IF((IF(ISERROR(AVERAGEIFS(Dados!$G$2:$G$3971,Dados!$A$2:$A$3971,C$4,Dados!$X$2:$X$3971,1,Dados!$E$2:$E$3971,"&gt;0",Dados!$B$2:$B$3971,4,Dados!$G$2:$G$3971,"&gt;0")),0,1))=0,"",(IFERROR(AVERAGEIFS(Dados!$G$2:$G$3971,Dados!$A$2:$A$3971,C$4,Dados!$X$2:$X$3971,1,Dados!$E$2:$E$3971,"&gt;0",Dados!$B$2:$B$3971,4,Dados!$G$2:$G$3971,"&gt;0"),0))/(IF(ISERROR(AVERAGEIFS(Dados!$G$2:$G$3971,Dados!$A$2:$A$3971,C$4,Dados!$X$2:$X$3971,1,Dados!$E$2:$E$3971,"&gt;0",Dados!$B$2:$B$3971,4,Dados!$G$2:$G$3971,"&gt;0")),0,1)))</f>
        <v>45.1829145728643</v>
      </c>
      <c r="E24" s="11"/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$3971=C$4)*(Dados!$X$2:$X$3971=1)*(Dados!$E$2:$E$3971&gt;0)*(Dados!$B$2:$B$3971=5)*(Dados!$G$2:$G$3971&gt;0))=0,"",IF(SUMPRODUCT((Dados!$A$2:$A$3971=C$4)*(Dados!$X$2:$X$3971=1)*(Dados!$E$2:$E$3971&gt;0)*(Dados!$B$2:$B$3971=5)*(Dados!$G$2:$G$3971&gt;0))&lt;2,FIXED(SUMPRODUCT((Dados!$A$2:$A$3971=C$4)*(Dados!$X$2:$X$3971=1)*(Dados!$E$2:$E$3971&gt;0)*(Dados!$B$2:$B$3971=5)*(Dados!$G$2:$G$3971&gt;0),Dados!$G$2:$G$3971)/SUMPRODUCT((Dados!$A$2:$A$3971=C$4)*(Dados!$X$2:$X$3971=1)*(Dados!$E$2:$E$3971&gt;0)*(Dados!$B$2:$B$3971=5)*(Dados!$G$2:$G$3971&gt;0)),1,TRUE()),FIXED(SUMPRODUCT((Dados!$A$2:$A$3971=C$4)*(Dados!$X$2:$X$3971=1)*(Dados!$E$2:$E$3971&gt;0)*(Dados!$B$2:$B$3971=5)*(Dados!$G$2:$G$3971&gt;0),Dados!$G$2:$G$3971)/SUMPRODUCT((Dados!$A$2:$A$3971=C$4)*(Dados!$X$2:$X$3971=1)*(Dados!$E$2:$E$3971&gt;0)*(Dados!$B$2:$B$3971=5)*(Dados!$G$2:$G$3971&gt;0)),1,TRUE())&amp;" ("&amp;FIXED(SQRT(MAX(0,(SUMPRODUCT((Dados!$A$2:$A$3971=C$4)*(Dados!$X$2:$X$3971=1)*(Dados!$E$2:$E$3971&gt;0)*(Dados!$B$2:$B$3971=5)*(Dados!$G$2:$G$3971&gt;0),Dados!$G$2:$G$3971,Dados!$G$2:$G$3971)-SUMPRODUCT((Dados!$A$2:$A$3971=C$4)*(Dados!$X$2:$X$3971=1)*(Dados!$E$2:$E$3971&gt;0)*(Dados!$B$2:$B$3971=5)*(Dados!$G$2:$G$3971&gt;0),Dados!$G$2:$G$3971)^2/SUMPRODUCT((Dados!$A$2:$A$3971=C$4)*(Dados!$X$2:$X$3971=1)*(Dados!$E$2:$E$3971&gt;0)*(Dados!$B$2:$B$3971=5)*(Dados!$G$2:$G$3971&gt;0)))/(SUMPRODUCT((Dados!$A$2:$A$3971=C$4)*(Dados!$X$2:$X$3971=1)*(Dados!$E$2:$E$3971&gt;0)*(Dados!$B$2:$B$3971=5)*(Dados!$G$2:$G$3971&gt;0))-1))),1,TRUE())&amp;")"))</f>
        <v>38.0 (7.7)</v>
      </c>
      <c r="D25" s="18" t="n">
        <f aca="false">IF((IF(ISERROR(AVERAGEIFS(Dados!$G$2:$G$3971,Dados!$A$2:$A$3971,C$4,Dados!$X$2:$X$3971,1,Dados!$E$2:$E$3971,"&gt;0",Dados!$B$2:$B$3971,5,Dados!$G$2:$G$3971,"&gt;0")),0,1))=0,"",(IFERROR(AVERAGEIFS(Dados!$G$2:$G$3971,Dados!$A$2:$A$3971,C$4,Dados!$X$2:$X$3971,1,Dados!$E$2:$E$3971,"&gt;0",Dados!$B$2:$B$3971,5,Dados!$G$2:$G$3971,"&gt;0"),0))/(IF(ISERROR(AVERAGEIFS(Dados!$G$2:$G$3971,Dados!$A$2:$A$3971,C$4,Dados!$X$2:$X$3971,1,Dados!$E$2:$E$3971,"&gt;0",Dados!$B$2:$B$3971,5,Dados!$G$2:$G$3971,"&gt;0")),0,1)))</f>
        <v>37.9517766497462</v>
      </c>
      <c r="E25" s="16"/>
    </row>
    <row r="26" customFormat="false" ht="15" hidden="false" customHeight="false" outlineLevel="0" collapsed="false">
      <c r="A26" s="7" t="s">
        <v>30</v>
      </c>
      <c r="B26" s="8" t="s">
        <v>23</v>
      </c>
      <c r="C26" s="21" t="str">
        <f aca="false">IF(SUMPRODUCT((Dados!$A$2:$A$3971=C$4)*(Dados!$X$2:$X$3971=1)*(Dados!$E$2:$E$3971&gt;0)*(Dados!$B$2:$B$3971=6)*(Dados!$G$2:$G$3971&gt;0))=0,"",IF(SUMPRODUCT((Dados!$A$2:$A$3971=C$4)*(Dados!$X$2:$X$3971=1)*(Dados!$E$2:$E$3971&gt;0)*(Dados!$B$2:$B$3971=6)*(Dados!$G$2:$G$3971&gt;0))&lt;2,FIXED(SUMPRODUCT((Dados!$A$2:$A$3971=C$4)*(Dados!$X$2:$X$3971=1)*(Dados!$E$2:$E$3971&gt;0)*(Dados!$B$2:$B$3971=6)*(Dados!$G$2:$G$3971&gt;0),Dados!$G$2:$G$3971)/SUMPRODUCT((Dados!$A$2:$A$3971=C$4)*(Dados!$X$2:$X$3971=1)*(Dados!$E$2:$E$3971&gt;0)*(Dados!$B$2:$B$3971=6)*(Dados!$G$2:$G$3971&gt;0)),1,TRUE()),FIXED(SUMPRODUCT((Dados!$A$2:$A$3971=C$4)*(Dados!$X$2:$X$3971=1)*(Dados!$E$2:$E$3971&gt;0)*(Dados!$B$2:$B$3971=6)*(Dados!$G$2:$G$3971&gt;0),Dados!$G$2:$G$3971)/SUMPRODUCT((Dados!$A$2:$A$3971=C$4)*(Dados!$X$2:$X$3971=1)*(Dados!$E$2:$E$3971&gt;0)*(Dados!$B$2:$B$3971=6)*(Dados!$G$2:$G$3971&gt;0)),1,TRUE())&amp;" ("&amp;FIXED(SQRT(MAX(0,(SUMPRODUCT((Dados!$A$2:$A$3971=C$4)*(Dados!$X$2:$X$3971=1)*(Dados!$E$2:$E$3971&gt;0)*(Dados!$B$2:$B$3971=6)*(Dados!$G$2:$G$3971&gt;0),Dados!$G$2:$G$3971,Dados!$G$2:$G$3971)-SUMPRODUCT((Dados!$A$2:$A$3971=C$4)*(Dados!$X$2:$X$3971=1)*(Dados!$E$2:$E$3971&gt;0)*(Dados!$B$2:$B$3971=6)*(Dados!$G$2:$G$3971&gt;0),Dados!$G$2:$G$3971)^2/SUMPRODUCT((Dados!$A$2:$A$3971=C$4)*(Dados!$X$2:$X$3971=1)*(Dados!$E$2:$E$3971&gt;0)*(Dados!$B$2:$B$3971=6)*(Dados!$G$2:$G$3971&gt;0)))/(SUMPRODUCT((Dados!$A$2:$A$3971=C$4)*(Dados!$X$2:$X$3971=1)*(Dados!$E$2:$E$3971&gt;0)*(Dados!$B$2:$B$3971=6)*(Dados!$G$2:$G$3971&gt;0))-1))),1,TRUE())&amp;")"))</f>
        <v>25.0 (6.4)</v>
      </c>
      <c r="D26" s="20" t="n">
        <f aca="false">IF((IF(ISERROR(AVERAGEIFS(Dados!$G$2:$G$3971,Dados!$A$2:$A$3971,C$4,Dados!$X$2:$X$3971,1,Dados!$E$2:$E$3971,"&gt;0",Dados!$B$2:$B$3971,6,Dados!$G$2:$G$3971,"&gt;0")),0,1))=0,"",(IFERROR(AVERAGEIFS(Dados!$G$2:$G$3971,Dados!$A$2:$A$3971,C$4,Dados!$X$2:$X$3971,1,Dados!$E$2:$E$3971,"&gt;0",Dados!$B$2:$B$3971,6,Dados!$G$2:$G$3971,"&gt;0"),0))/(IF(ISERROR(AVERAGEIFS(Dados!$G$2:$G$3971,Dados!$A$2:$A$3971,C$4,Dados!$X$2:$X$3971,1,Dados!$E$2:$E$3971,"&gt;0",Dados!$B$2:$B$3971,6,Dados!$G$2:$G$3971,"&gt;0")),0,1)))</f>
        <v>24.9544117647059</v>
      </c>
      <c r="E26" s="11"/>
    </row>
    <row r="27" customFormat="false" ht="15" hidden="false" customHeight="false" outlineLevel="0" collapsed="false">
      <c r="A27" s="12" t="s">
        <v>31</v>
      </c>
      <c r="B27" s="13" t="s">
        <v>23</v>
      </c>
      <c r="C27" s="22" t="n">
        <f aca="false">IFERROR(AVERAGEIFS(Dados!$G$2:$G$3971,Dados!$A$2:$A$3971,C$4,Dados!$X$2:$X$3971,1,Dados!$AB$2:$AB$3971,1,Dados!$B$2:$B$3971,"&lt;=6",Dados!$G$2:$G$3971,"&gt;0"),"")</f>
        <v>43.7255332902392</v>
      </c>
      <c r="D27" s="18" t="n">
        <f aca="false">IFERROR(AVERAGE(C27:C27),"")</f>
        <v>43.7255332902392</v>
      </c>
      <c r="E27" s="16"/>
    </row>
    <row r="28" customFormat="false" ht="15" hidden="false" customHeight="false" outlineLevel="0" collapsed="false">
      <c r="A28" s="7" t="s">
        <v>32</v>
      </c>
      <c r="B28" s="8" t="s">
        <v>23</v>
      </c>
      <c r="C28" s="19" t="n">
        <f aca="false">IFERROR(AVERAGEIFS(Dados!$G$2:$G$3971,Dados!$A$2:$A$3971,C$4,Dados!$X$2:$X$3971,1,Dados!$AB$2:$AB$3971,1,Dados!$B$2:$B$3971,"&lt;=6",Dados!$G$2:$G$3971,"&gt;0",Dados!$E$2:$E$3971,1),"")</f>
        <v>43.1134670487106</v>
      </c>
      <c r="D28" s="20" t="n">
        <f aca="false">IFERROR(AVERAGE(C28:C28),"")</f>
        <v>43.1134670487106</v>
      </c>
      <c r="E28" s="11"/>
    </row>
    <row r="29" customFormat="false" ht="15" hidden="false" customHeight="false" outlineLevel="0" collapsed="false">
      <c r="A29" s="12" t="s">
        <v>33</v>
      </c>
      <c r="B29" s="13" t="s">
        <v>23</v>
      </c>
      <c r="C29" s="22" t="n">
        <f aca="false">IFERROR(AVERAGEIFS(Dados!$G$2:$G$3971,Dados!$A$2:$A$3971,C$4,Dados!$X$2:$X$3971,1,Dados!$AB$2:$AB$3971,1,Dados!$B$2:$B$3971,"&lt;=6",Dados!$G$2:$G$3971,"&gt;0",Dados!$E$2:$E$3971,"&gt;=2"),"")</f>
        <v>44.2287396937574</v>
      </c>
      <c r="D29" s="18" t="n">
        <f aca="false">IFERROR(AVERAGE(C29:C29),"")</f>
        <v>44.2287396937574</v>
      </c>
      <c r="E29" s="16"/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COUNTIFS(Dados!$A$2:$A$3971,C$4,Dados!$X$2:$X$3971,1,Dados!$AB$2:$AB$3971,1,Dados!$B$2:$B$3971,"&lt;=6",Dados!$G$2:$G$3971,"&gt;0",Dados!$G$2:$G$3971,"&lt;20")</f>
        <v>45</v>
      </c>
      <c r="D30" s="10" t="n">
        <f aca="false">IFERROR(AVERAGE(C30:C30),"")</f>
        <v>45</v>
      </c>
      <c r="E30" s="11"/>
    </row>
    <row r="31" customFormat="false" ht="15" hidden="false" customHeight="false" outlineLevel="0" collapsed="false">
      <c r="A31" s="12" t="s">
        <v>35</v>
      </c>
      <c r="B31" s="13" t="s">
        <v>8</v>
      </c>
      <c r="C31" s="14" t="n">
        <f aca="false">COUNTIFS(Dados!$A$2:$A$3971,C$4,Dados!$X$2:$X$3971,1,Dados!$AB$2:$AB$3971,1,Dados!$B$2:$B$3971,"&lt;=6",Dados!$G$2:$G$3971,"&gt;0")</f>
        <v>1547</v>
      </c>
      <c r="D31" s="15" t="n">
        <f aca="false">IFERROR(AVERAGE(C31:C31),"")</f>
        <v>1547</v>
      </c>
      <c r="E31" s="16"/>
    </row>
    <row r="32" customFormat="false" ht="15" hidden="false" customHeight="false" outlineLevel="0" collapsed="false">
      <c r="A32" s="7" t="s">
        <v>36</v>
      </c>
      <c r="B32" s="8" t="s">
        <v>37</v>
      </c>
      <c r="C32" s="23" t="n">
        <f aca="false">IFERROR(COUNTIFS(Dados!$A$2:$A$3971,C$4,Dados!$X$2:$X$3971,1,Dados!$AB$2:$AB$3971,1,Dados!$B$2:$B$3971,"&lt;=6",Dados!$G$2:$G$3971,"&gt;0")/COUNTIFS(Dados!$A$2:$A$3971,C$4,Dados!$X$2:$X$3971,1,Dados!$AB$2:$AB$3971,1,Dados!$B$2:$B$3971,"&lt;=6"),"")</f>
        <v>0.969905956112853</v>
      </c>
      <c r="D32" s="24" t="n">
        <f aca="false">IFERROR(AVERAGE(C32:C32),"")</f>
        <v>0.969905956112853</v>
      </c>
      <c r="E32" s="11"/>
    </row>
    <row r="33" customFormat="false" ht="15" hidden="false" customHeight="false" outlineLevel="0" collapsed="false">
      <c r="A33" s="12" t="s">
        <v>38</v>
      </c>
      <c r="B33" s="13" t="s">
        <v>39</v>
      </c>
      <c r="C33" s="25" t="n">
        <f aca="false">SUMIFS(Dados!$G$2:$G$3971,Dados!$A$2:$A$3971,C$4,Dados!$X$2:$X$3971,1,Dados!$AB$2:$AB$3971,1,Dados!$B$2:$B$3971,"&lt;=6",Dados!$G$2:$G$3971,"&gt;0")</f>
        <v>67643.4</v>
      </c>
      <c r="D33" s="26" t="n">
        <f aca="false">IFERROR(AVERAGE(C33:C33),"")</f>
        <v>67643.4</v>
      </c>
      <c r="E33" s="16"/>
    </row>
    <row r="34" customFormat="false" ht="15" hidden="false" customHeight="false" outlineLevel="0" collapsed="false">
      <c r="A34" s="7" t="s">
        <v>40</v>
      </c>
      <c r="B34" s="8" t="s">
        <v>41</v>
      </c>
      <c r="C34" s="27" t="n">
        <v>70310</v>
      </c>
      <c r="D34" s="28" t="n">
        <f aca="false">IFERROR(AVERAGE(C34:C34),"")</f>
        <v>70310</v>
      </c>
      <c r="E34" s="11"/>
    </row>
    <row r="35" customFormat="false" ht="15" hidden="false" customHeight="false" outlineLevel="0" collapsed="false">
      <c r="A35" s="12" t="s">
        <v>42</v>
      </c>
      <c r="B35" s="13" t="s">
        <v>37</v>
      </c>
      <c r="C35" s="29" t="n">
        <f aca="false">IF(OR(C33="",C34="",C34=0),"",(C33-C34)/C34)</f>
        <v>-0.0379263262693786</v>
      </c>
      <c r="D35" s="30" t="n">
        <f aca="false">IFERROR(AVERAGE(C35:C35),"")</f>
        <v>-0.0379263262693786</v>
      </c>
      <c r="E35" s="16"/>
    </row>
    <row r="36" customFormat="false" ht="15" hidden="false" customHeight="false" outlineLevel="0" collapsed="false">
      <c r="A36" s="7" t="s">
        <v>43</v>
      </c>
      <c r="B36" s="8" t="s">
        <v>39</v>
      </c>
      <c r="C36" s="31" t="n">
        <f aca="false">SUMIFS(Dados!$G$2:$G$3971,Dados!$A$2:$A$3971,C$4,Dados!$X$2:$X$3971,1,Dados!$AB$2:$AB$3971,1,Dados!$B$2:$B$3971,10,Dados!$G$2:$G$3971,"&gt;0")</f>
        <v>767.8</v>
      </c>
      <c r="D36" s="28" t="n">
        <f aca="false">IFERROR(AVERAGE(C36:C36),"")</f>
        <v>767.8</v>
      </c>
      <c r="E36" s="11"/>
    </row>
    <row r="37" customFormat="false" ht="15" hidden="false" customHeight="false" outlineLevel="0" collapsed="false">
      <c r="A37" s="12" t="s">
        <v>44</v>
      </c>
      <c r="B37" s="13" t="s">
        <v>37</v>
      </c>
      <c r="C37" s="32" t="n">
        <f aca="false">IFERROR(SUMIFS(Dados!$G$2:$G$3971,Dados!$A$2:$A$3971,C$4,Dados!$X$2:$X$3971,1,Dados!$AB$2:$AB$3971,1,Dados!$B$2:$B$3971,10,Dados!$G$2:$G$3971,"&gt;0")/(SUMIFS(Dados!$G$2:$G$3971,Dados!$A$2:$A$3971,C$4,Dados!$X$2:$X$3971,1,Dados!$AB$2:$AB$3971,1,Dados!$B$2:$B$3971,"&lt;=6",Dados!$G$2:$G$3971,"&gt;0")+SUMIFS(Dados!$G$2:$G$3971,Dados!$A$2:$A$3971,C$4,Dados!$X$2:$X$3971,1,Dados!$AB$2:$AB$3971,1,Dados!$B$2:$B$3971,10,Dados!$G$2:$G$3971,"&gt;0")),"")</f>
        <v>0.0112233084641111</v>
      </c>
      <c r="D37" s="33" t="n">
        <f aca="false">IFERROR(AVERAGE(C37:C37),"")</f>
        <v>0.0112233084641111</v>
      </c>
      <c r="E37" s="16"/>
    </row>
    <row r="38" customFormat="false" ht="15" hidden="false" customHeight="false" outlineLevel="0" collapsed="false">
      <c r="A38" s="7" t="s">
        <v>45</v>
      </c>
      <c r="B38" s="8" t="s">
        <v>46</v>
      </c>
      <c r="C38" s="34" t="n">
        <f aca="false">IFERROR(INDEX(TQ_DATA,MATCH(C$4,TQ_DATA,1)),"")</f>
        <v>46299</v>
      </c>
      <c r="D38" s="35"/>
      <c r="E38" s="11"/>
    </row>
    <row r="39" customFormat="false" ht="15" hidden="false" customHeight="false" outlineLevel="0" collapsed="false">
      <c r="A39" s="12" t="s">
        <v>47</v>
      </c>
      <c r="B39" s="13" t="s">
        <v>37</v>
      </c>
      <c r="C39" s="36" t="n">
        <f aca="false">IFERROR(INDEX(TQ_GORD,MATCH(C$4,TQ_DATA,1)),"")</f>
        <v>3.44361317037334</v>
      </c>
      <c r="D39" s="37" t="n">
        <f aca="false">IFERROR(AVERAGE(C39:C39),"")</f>
        <v>3.44361317037334</v>
      </c>
      <c r="E39" s="16"/>
    </row>
    <row r="40" customFormat="false" ht="15" hidden="false" customHeight="false" outlineLevel="0" collapsed="false">
      <c r="A40" s="7" t="s">
        <v>48</v>
      </c>
      <c r="B40" s="8" t="s">
        <v>37</v>
      </c>
      <c r="C40" s="38" t="n">
        <f aca="false">IFERROR(INDEX(TQ_PROT,MATCH(C$4,TQ_DATA,1)),"")</f>
        <v>3.3937416980194</v>
      </c>
      <c r="D40" s="39" t="n">
        <f aca="false">IFERROR(AVERAGE(C40:C40),"")</f>
        <v>3.3937416980194</v>
      </c>
      <c r="E40" s="11"/>
    </row>
    <row r="41" customFormat="false" ht="15" hidden="false" customHeight="false" outlineLevel="0" collapsed="false">
      <c r="A41" s="12" t="s">
        <v>49</v>
      </c>
      <c r="B41" s="13" t="s">
        <v>37</v>
      </c>
      <c r="C41" s="36" t="n">
        <f aca="false">IFERROR(INDEX(TQ_ST,MATCH(C$4,TQ_DATA,1)),"")</f>
        <v>12.5376014604065</v>
      </c>
      <c r="D41" s="37" t="n">
        <f aca="false">IFERROR(AVERAGE(C41:C41),"")</f>
        <v>12.5376014604065</v>
      </c>
      <c r="E41" s="16"/>
    </row>
    <row r="42" customFormat="false" ht="15" hidden="false" customHeight="false" outlineLevel="0" collapsed="false">
      <c r="A42" s="7" t="s">
        <v>50</v>
      </c>
      <c r="B42" s="8" t="s">
        <v>51</v>
      </c>
      <c r="C42" s="9" t="n">
        <f aca="false">IFERROR(INDEX(TQ_CCS,MATCH(C$4,TQ_DATA,1)),"")</f>
        <v>260.543979162492</v>
      </c>
      <c r="D42" s="10" t="n">
        <f aca="false">IFERROR(AVERAGE(C42:C42),"")</f>
        <v>260.543979162492</v>
      </c>
      <c r="E42" s="11"/>
    </row>
    <row r="43" customFormat="false" ht="15" hidden="false" customHeight="false" outlineLevel="0" collapsed="false">
      <c r="A43" s="12" t="s">
        <v>52</v>
      </c>
      <c r="B43" s="13" t="s">
        <v>53</v>
      </c>
      <c r="C43" s="14" t="n">
        <f aca="false">IFERROR(INDEX(TQ_CPP,MATCH(C$4,TQ_DATA,1)),"")</f>
        <v>10.748599330647</v>
      </c>
      <c r="D43" s="15" t="n">
        <f aca="false">IFERROR(AVERAGE(C43:C43),"")</f>
        <v>10.748599330647</v>
      </c>
      <c r="E43" s="16"/>
    </row>
    <row r="44" customFormat="false" ht="15" hidden="false" customHeight="false" outlineLevel="0" collapsed="false">
      <c r="A44" s="7" t="s">
        <v>54</v>
      </c>
      <c r="B44" s="8" t="s">
        <v>55</v>
      </c>
      <c r="C44" s="19" t="n">
        <f aca="false">IFERROR(INDEX(TQ_UREIA,MATCH(C$4,TQ_DATA,1)),"")</f>
        <v>13.4102451078608</v>
      </c>
      <c r="D44" s="20" t="n">
        <f aca="false">IFERROR(AVERAGE(C44:C44),"")</f>
        <v>13.4102451078608</v>
      </c>
      <c r="E44" s="11"/>
    </row>
    <row r="45" customFormat="false" ht="15" hidden="false" customHeight="false" outlineLevel="0" collapsed="false">
      <c r="A45" s="12" t="s">
        <v>56</v>
      </c>
      <c r="B45" s="13" t="s">
        <v>8</v>
      </c>
      <c r="C45" s="14" t="n">
        <f aca="false">COUNTIFS(Dados!$A$2:$A$3971,C$4,Dados!$X$2:$X$3971,1,Dados!$E$2:$E$3971,"&gt;0",Dados!$Y$2:$Y$3971,0,Dados!$L$2:$L$3971,"&gt;=1")</f>
        <v>988</v>
      </c>
      <c r="D45" s="15" t="n">
        <f aca="false">IFERROR(AVERAGE(C45:C45),"")</f>
        <v>988</v>
      </c>
      <c r="E45" s="16"/>
    </row>
    <row r="46" customFormat="false" ht="15" hidden="false" customHeight="false" outlineLevel="0" collapsed="false">
      <c r="A46" s="7" t="s">
        <v>57</v>
      </c>
      <c r="B46" s="8" t="s">
        <v>37</v>
      </c>
      <c r="C46" s="23" t="n">
        <f aca="false">IFERROR(COUNTIFS(Dados!$A$2:$A$3971,C$4,Dados!$X$2:$X$3971,1,Dados!$E$2:$E$3971,"&gt;0",Dados!$Y$2:$Y$3971,0,Dados!$L$2:$L$3971,"&gt;=1")/COUNTIFS(Dados!$A$2:$A$3971,C$4,Dados!$X$2:$X$3971,1,Dados!$E$2:$E$3971,"&gt;0",Dados!$Y$2:$Y$3971,0),"")</f>
        <v>0.549805230940456</v>
      </c>
      <c r="D46" s="24" t="n">
        <f aca="false">IFERROR(AVERAGE(C46:C46),"")</f>
        <v>0.549805230940456</v>
      </c>
      <c r="E46" s="11"/>
    </row>
    <row r="47" customFormat="false" ht="15" hidden="false" customHeight="false" outlineLevel="0" collapsed="false">
      <c r="A47" s="12" t="s">
        <v>58</v>
      </c>
      <c r="B47" s="13" t="s">
        <v>8</v>
      </c>
      <c r="C47" s="14" t="n">
        <f aca="false">(COUNTIFS(Dados!$A$2:$A$3971,C$4,Dados!$X$2:$X$3971,1,Dados!$AB$2:$AB$3971,1,Dados!$Y$2:$Y$3971,0,Dados!$D$2:$D$3971,"&gt;"&amp;P_DEL_NG&amp;"")-COUNTIFS(Dados!$A$2:$A$3971,C$4,Dados!$X$2:$X$3971,1,Dados!$AB$2:$AB$3971,1,Dados!$Y$2:$Y$3971,0,Dados!$D$2:$D$3971,"&gt;"&amp;P_DEL_NG&amp;"",Dados!$L$2:$L$3971,"&gt;=1"))</f>
        <v>224</v>
      </c>
      <c r="D47" s="15" t="n">
        <f aca="false">IFERROR(AVERAGE(C47:C47),"")</f>
        <v>224</v>
      </c>
      <c r="E47" s="16"/>
    </row>
    <row r="48" customFormat="false" ht="15" hidden="false" customHeight="false" outlineLevel="0" collapsed="false">
      <c r="A48" s="7" t="s">
        <v>59</v>
      </c>
      <c r="B48" s="8" t="s">
        <v>37</v>
      </c>
      <c r="C48" s="23" t="n">
        <f aca="false">IFERROR((COUNTIFS(Dados!$A$2:$A$3971,C$4,Dados!$X$2:$X$3971,1,Dados!$AB$2:$AB$3971,1,Dados!$Y$2:$Y$3971,0,Dados!$D$2:$D$3971,"&gt;"&amp;P_DEL_NG&amp;"")-COUNTIFS(Dados!$A$2:$A$3971,C$4,Dados!$X$2:$X$3971,1,Dados!$AB$2:$AB$3971,1,Dados!$Y$2:$Y$3971,0,Dados!$D$2:$D$3971,"&gt;"&amp;P_DEL_NG&amp;"",Dados!$L$2:$L$3971,"&gt;=1"))/COUNTIFS(Dados!$A$2:$A$3971,C$4,Dados!$X$2:$X$3971,1,Dados!$AB$2:$AB$3971,1),"")</f>
        <v>0.135593220338983</v>
      </c>
      <c r="D48" s="24" t="n">
        <f aca="false">IFERROR(AVERAGE(C48:C48),"")</f>
        <v>0.135593220338983</v>
      </c>
      <c r="E48" s="11"/>
    </row>
    <row r="49" customFormat="false" ht="15" hidden="false" customHeight="false" outlineLevel="0" collapsed="false">
      <c r="A49" s="12" t="s">
        <v>60</v>
      </c>
      <c r="B49" s="13" t="s">
        <v>8</v>
      </c>
      <c r="C49" s="14" t="n">
        <f aca="false">COUNTIFS(Dados!$A$2:$A$3971,C$4,Dados!$X$2:$X$3971,1,Dados!$E$2:$E$3971,"&gt;0",Dados!$Y$2:$Y$3971,1)</f>
        <v>59</v>
      </c>
      <c r="D49" s="15" t="n">
        <f aca="false">IFERROR(AVERAGE(C49:C49),"")</f>
        <v>59</v>
      </c>
      <c r="E49" s="16"/>
    </row>
    <row r="50" customFormat="false" ht="15" hidden="false" customHeight="false" outlineLevel="0" collapsed="false">
      <c r="A50" s="7" t="s">
        <v>61</v>
      </c>
      <c r="B50" s="8" t="s">
        <v>8</v>
      </c>
      <c r="C50" s="9" t="n">
        <f aca="false">COUNTIFS(Dados!$A$2:$A$3971,C$4,Dados!$X$2:$X$3971,1,Dados!$AB$2:$AB$3971,1,Dados!$Y$2:$Y$3971,0,Dados!$D$2:$D$3971,"&gt;"&amp;P_DEL_SEM_IA&amp;"",Dados!$V$2:$V$3971,0)</f>
        <v>8</v>
      </c>
      <c r="D50" s="10" t="n">
        <f aca="false">IFERROR(AVERAGE(C50:C50),"")</f>
        <v>8</v>
      </c>
      <c r="E50" s="11"/>
    </row>
    <row r="51" customFormat="false" ht="15" hidden="false" customHeight="false" outlineLevel="0" collapsed="false">
      <c r="A51" s="12" t="s">
        <v>62</v>
      </c>
      <c r="B51" s="13" t="s">
        <v>8</v>
      </c>
      <c r="C51" s="14" t="n">
        <f aca="false">IF(COUNTIFS(Dados!$A$2:$A$3971,C$4,Dados!$Z$2:$Z$3971,"&gt;-100000")=0,"",(COUNTIFS(Dados!$A$2:$A$3971,C$4,Dados!$X$2:$X$3971,1,Dados!$E$2:$E$3971,"&gt;0",Dados!$Y$2:$Y$3971,0,Dados!$I$2:$I$3971,"Bred",Dados!$Z$2:$Z$3971,"&gt;"&amp;P_DIAS_IA&amp;"")+COUNTIFS(Dados!$A$2:$A$3971,C$4,Dados!$X$2:$X$3971,1,Dados!$E$2:$E$3971,"&gt;0",Dados!$Y$2:$Y$3971,0,Dados!$I$2:$I$3971,"Dry Bred",Dados!$Z$2:$Z$3971,"&gt;"&amp;P_DIAS_IA&amp;"")))</f>
        <v>20</v>
      </c>
      <c r="D51" s="15" t="n">
        <f aca="false">IFERROR(AVERAGE(C51:C51),"")</f>
        <v>20</v>
      </c>
      <c r="E51" s="16"/>
    </row>
    <row r="52" customFormat="false" ht="15" hidden="false" customHeight="false" outlineLevel="0" collapsed="false">
      <c r="A52" s="7" t="s">
        <v>63</v>
      </c>
      <c r="B52" s="8" t="s">
        <v>8</v>
      </c>
      <c r="C52" s="9" t="n">
        <f aca="false">IF(COUNTIFS(Dados!$A$2:$A$3971,C$4,Dados!$Z$2:$Z$3971,"&gt;-100000")=0,"",COUNTIFS(Dados!$A$2:$A$3971,C$4,Dados!$X$2:$X$3971,1,Dados!$E$2:$E$3971,"&gt;0",Dados!$Y$2:$Y$3971,0,Dados!$I$2:$I$3971,"Vazia",Dados!$Z$2:$Z$3971,"&gt;"&amp;P_DIAS_IA&amp;""))</f>
        <v>81</v>
      </c>
      <c r="D52" s="10" t="n">
        <f aca="false">IFERROR(AVERAGE(C52:C52),"")</f>
        <v>81</v>
      </c>
      <c r="E52" s="11"/>
    </row>
    <row r="53" customFormat="false" ht="15" hidden="false" customHeight="false" outlineLevel="0" collapsed="false">
      <c r="A53" s="5" t="s">
        <v>64</v>
      </c>
      <c r="B53" s="6"/>
      <c r="C53" s="6"/>
      <c r="D53" s="6"/>
      <c r="E53" s="6"/>
    </row>
    <row r="54" customFormat="false" ht="15" hidden="false" customHeight="false" outlineLevel="0" collapsed="false">
      <c r="A54" s="7" t="s">
        <v>65</v>
      </c>
      <c r="B54" s="8" t="s">
        <v>8</v>
      </c>
      <c r="C54" s="9" t="n">
        <f aca="false">COUNTIFS(Dados!$A$2:$A$3971,C$4,Dados!$X$2:$X$3971,1,Dados!$E$2:$E$3971,0)</f>
        <v>1905</v>
      </c>
      <c r="D54" s="10" t="n">
        <f aca="false">IFERROR(AVERAGE(C54:C54),"")</f>
        <v>1905</v>
      </c>
      <c r="E54" s="11"/>
    </row>
    <row r="55" customFormat="false" ht="15" hidden="false" customHeight="false" outlineLevel="0" collapsed="false">
      <c r="A55" s="12" t="s">
        <v>66</v>
      </c>
      <c r="B55" s="13" t="s">
        <v>8</v>
      </c>
      <c r="C55" s="14" t="n">
        <f aca="false">COUNTIFS(Dados!$A$2:$A$3971,C$4,Dados!$X$2:$X$3971,1,Dados!$E$2:$E$3971,0,Dados!$U$2:$U$3971,"&lt;"&amp;P_IDADE_3M&amp;"")</f>
        <v>245</v>
      </c>
      <c r="D55" s="15" t="n">
        <f aca="false">IFERROR(AVERAGE(C55:C55),"")</f>
        <v>245</v>
      </c>
      <c r="E55" s="16"/>
    </row>
    <row r="56" customFormat="false" ht="15" hidden="false" customHeight="false" outlineLevel="0" collapsed="false">
      <c r="A56" s="7" t="s">
        <v>67</v>
      </c>
      <c r="B56" s="8" t="s">
        <v>8</v>
      </c>
      <c r="C56" s="9" t="n">
        <f aca="false">COUNTIFS(Dados!$A$2:$A$3971,C$4,Dados!$X$2:$X$3971,1,Dados!$E$2:$E$3971,0,Dados!$U$2:$U$3971,"&lt;=7")</f>
        <v>15</v>
      </c>
      <c r="D56" s="10" t="n">
        <f aca="false">IFERROR(AVERAGE(C56:C56),"")</f>
        <v>15</v>
      </c>
      <c r="E56" s="11"/>
    </row>
    <row r="57" customFormat="false" ht="15" hidden="false" customHeight="false" outlineLevel="0" collapsed="false">
      <c r="A57" s="12" t="s">
        <v>68</v>
      </c>
      <c r="B57" s="13" t="s">
        <v>8</v>
      </c>
      <c r="C57" s="14" t="n">
        <f aca="false">COUNTIFS(Dados!$A$2:$A$3971,C$4,Dados!$X$2:$X$3971,1,Dados!$E$2:$E$3971,0,Dados!$Y$2:$Y$3971,0,Dados!$L$2:$L$3971,"&gt;=1")</f>
        <v>542</v>
      </c>
      <c r="D57" s="15" t="n">
        <f aca="false">IFERROR(AVERAGE(C57:C57),"")</f>
        <v>542</v>
      </c>
      <c r="E57" s="16"/>
    </row>
    <row r="58" customFormat="false" ht="15" hidden="false" customHeight="false" outlineLevel="0" collapsed="false">
      <c r="A58" s="7" t="s">
        <v>69</v>
      </c>
      <c r="B58" s="8" t="s">
        <v>8</v>
      </c>
      <c r="C58" s="9" t="n">
        <f aca="false">(COUNTIFS(Dados!$A$2:$A$3971,C$4,Dados!$X$2:$X$3971,1,Dados!$E$2:$E$3971,0,Dados!$Y$2:$Y$3971,0,Dados!$U$2:$U$3971,"&gt;"&amp;P_IDADE_15M&amp;"")-COUNTIFS(Dados!$A$2:$A$3971,C$4,Dados!$X$2:$X$3971,1,Dados!$E$2:$E$3971,0,Dados!$Y$2:$Y$3971,0,Dados!$U$2:$U$3971,"&gt;"&amp;P_IDADE_15M&amp;"",Dados!$L$2:$L$3971,"&gt;=1"))</f>
        <v>69</v>
      </c>
      <c r="D58" s="10" t="n">
        <f aca="false">IFERROR(AVERAGE(C58:C58),"")</f>
        <v>69</v>
      </c>
      <c r="E58" s="11"/>
    </row>
    <row r="59" customFormat="false" ht="15" hidden="false" customHeight="false" outlineLevel="0" collapsed="false">
      <c r="A59" s="12" t="s">
        <v>70</v>
      </c>
      <c r="B59" s="13" t="s">
        <v>8</v>
      </c>
      <c r="C59" s="14" t="n">
        <f aca="false">IF(COUNTIFS(Dados!$A$2:$A$3971,C$4,Dados!$Z$2:$Z$3971,"&gt;-100000")=0,"",COUNTIFS(Dados!$A$2:$A$3971,C$4,Dados!$X$2:$X$3971,1,Dados!$E$2:$E$3971,0,Dados!$Y$2:$Y$3971,0,Dados!$I$2:$I$3971,"Bred",Dados!$Z$2:$Z$3971,"&gt;"&amp;P_DIAS_IA&amp;""))</f>
        <v>3</v>
      </c>
      <c r="D59" s="15" t="n">
        <f aca="false">IFERROR(AVERAGE(C59:C59),"")</f>
        <v>3</v>
      </c>
      <c r="E59" s="16"/>
    </row>
    <row r="60" customFormat="false" ht="15" hidden="false" customHeight="false" outlineLevel="0" collapsed="false">
      <c r="A60" s="7" t="s">
        <v>71</v>
      </c>
      <c r="B60" s="8" t="s">
        <v>8</v>
      </c>
      <c r="C60" s="9" t="n">
        <f aca="false">IF(COUNTIFS(Dados!$A$2:$A$3971,C$4,Dados!$Z$2:$Z$3971,"&gt;-100000")=0,"",COUNTIFS(Dados!$A$2:$A$3971,C$4,Dados!$X$2:$X$3971,1,Dados!$E$2:$E$3971,0,Dados!$Y$2:$Y$3971,0,Dados!$I$2:$I$3971,"Vazia",Dados!$Z$2:$Z$3971,"&gt;"&amp;P_DIAS_IA&amp;""))</f>
        <v>2</v>
      </c>
      <c r="D60" s="10" t="n">
        <f aca="false">IFERROR(AVERAGE(C60:C60),"")</f>
        <v>2</v>
      </c>
      <c r="E60" s="11"/>
    </row>
  </sheetData>
  <conditionalFormatting sqref="E5:E6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1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5" min="12" style="0" width="11"/>
    <col collapsed="false" customWidth="true" hidden="false" outlineLevel="0" max="16" min="16" style="0" width="26"/>
    <col collapsed="false" customWidth="true" hidden="false" outlineLevel="0" max="23" min="17" style="0" width="11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N3" s="40" t="s">
        <v>74</v>
      </c>
    </row>
    <row r="4" customFormat="false" ht="30" hidden="false" customHeight="true" outlineLevel="0" collapsed="false">
      <c r="A4" s="3" t="s">
        <v>75</v>
      </c>
      <c r="B4" s="3" t="s">
        <v>76</v>
      </c>
      <c r="C4" s="3" t="s">
        <v>77</v>
      </c>
      <c r="D4" s="3" t="s">
        <v>78</v>
      </c>
      <c r="E4" s="3" t="s">
        <v>79</v>
      </c>
      <c r="F4" s="3" t="s">
        <v>80</v>
      </c>
      <c r="G4" s="3" t="s">
        <v>81</v>
      </c>
      <c r="H4" s="3" t="s">
        <v>82</v>
      </c>
      <c r="I4" s="3" t="s">
        <v>83</v>
      </c>
      <c r="J4" s="3" t="s">
        <v>84</v>
      </c>
      <c r="K4" s="3" t="s">
        <v>85</v>
      </c>
      <c r="N4" s="3" t="s">
        <v>86</v>
      </c>
      <c r="O4" s="3" t="s">
        <v>87</v>
      </c>
      <c r="P4" s="3" t="s">
        <v>84</v>
      </c>
      <c r="Q4" s="3" t="s">
        <v>88</v>
      </c>
      <c r="R4" s="3" t="s">
        <v>78</v>
      </c>
      <c r="S4" s="3" t="s">
        <v>79</v>
      </c>
      <c r="T4" s="3" t="s">
        <v>80</v>
      </c>
      <c r="U4" s="3" t="s">
        <v>81</v>
      </c>
      <c r="V4" s="3" t="s">
        <v>82</v>
      </c>
      <c r="W4" s="3" t="s">
        <v>83</v>
      </c>
    </row>
    <row r="5" customFormat="false" ht="15" hidden="false" customHeight="false" outlineLevel="0" collapsed="false">
      <c r="A5" s="41" t="n">
        <v>46299</v>
      </c>
      <c r="B5" s="42" t="n">
        <v>2</v>
      </c>
      <c r="C5" s="43" t="n">
        <v>33806</v>
      </c>
      <c r="D5" s="42" t="n">
        <v>3.56</v>
      </c>
      <c r="E5" s="42" t="n">
        <v>3.39</v>
      </c>
      <c r="F5" s="42" t="n">
        <v>12.66</v>
      </c>
      <c r="G5" s="42" t="n">
        <v>266</v>
      </c>
      <c r="H5" s="42" t="n">
        <v>14</v>
      </c>
      <c r="I5" s="42" t="n">
        <v>12.4</v>
      </c>
      <c r="J5" s="42" t="s">
        <v>89</v>
      </c>
      <c r="K5" s="44" t="s">
        <v>90</v>
      </c>
      <c r="N5" s="34" t="n">
        <v>46299</v>
      </c>
      <c r="O5" s="34" t="n">
        <v>46300</v>
      </c>
      <c r="P5" s="7" t="s">
        <v>89</v>
      </c>
      <c r="Q5" s="31" t="n">
        <f aca="false">SUMIFS('Análises do tanque'!$C$5:$C$8,'Análises do tanque'!$J$5:$J$8,P5)</f>
        <v>134757</v>
      </c>
      <c r="R5" s="38" t="n">
        <f aca="false">IF(COUNTIFS('Análises do tanque'!$J$5:$J$8,P5,'Análises do tanque'!$C$5:$C$8,0)&gt;0,AVERAGEIFS('Análises do tanque'!$D$5:$D$8,'Análises do tanque'!$J$5:$J$8,P5),SUMPRODUCT(('Análises do tanque'!$J$5:$J$8=P5)*'Análises do tanque'!$C$5:$C$8*'Análises do tanque'!$D$5:$D$8)/Q5)</f>
        <v>3.44361317037334</v>
      </c>
      <c r="S5" s="38" t="n">
        <f aca="false">IF(COUNTIFS('Análises do tanque'!$J$5:$J$8,P5,'Análises do tanque'!$C$5:$C$8,0)&gt;0,AVERAGEIFS('Análises do tanque'!$E$5:$E$8,'Análises do tanque'!$J$5:$J$8,P5),SUMPRODUCT(('Análises do tanque'!$J$5:$J$8=P5)*'Análises do tanque'!$C$5:$C$8*'Análises do tanque'!$E$5:$E$8)/Q5)</f>
        <v>3.3937416980194</v>
      </c>
      <c r="T5" s="38" t="n">
        <f aca="false">IF(COUNTIFS('Análises do tanque'!$J$5:$J$8,P5,'Análises do tanque'!$C$5:$C$8,0)&gt;0,AVERAGEIFS('Análises do tanque'!$F$5:$F$8,'Análises do tanque'!$J$5:$J$8,P5),SUMPRODUCT(('Análises do tanque'!$J$5:$J$8=P5)*'Análises do tanque'!$C$5:$C$8*'Análises do tanque'!$F$5:$F$8)/Q5)</f>
        <v>12.5376014604065</v>
      </c>
      <c r="U5" s="9" t="n">
        <f aca="false">IF(COUNTIFS('Análises do tanque'!$J$5:$J$8,P5,'Análises do tanque'!$C$5:$C$8,0)&gt;0,AVERAGEIFS('Análises do tanque'!$G$5:$G$8,'Análises do tanque'!$J$5:$J$8,P5),SUMPRODUCT(('Análises do tanque'!$J$5:$J$8=P5)*'Análises do tanque'!$C$5:$C$8*'Análises do tanque'!$G$5:$G$8)/Q5)</f>
        <v>260.543979162492</v>
      </c>
      <c r="V5" s="9" t="n">
        <f aca="false">IF(COUNTIFS('Análises do tanque'!$J$5:$J$8,P5,'Análises do tanque'!$C$5:$C$8,0)&gt;0,AVERAGEIFS('Análises do tanque'!$H$5:$H$8,'Análises do tanque'!$J$5:$J$8,P5),SUMPRODUCT(('Análises do tanque'!$J$5:$J$8=P5)*'Análises do tanque'!$C$5:$C$8*'Análises do tanque'!$H$5:$H$8)/Q5)</f>
        <v>10.748599330647</v>
      </c>
      <c r="W5" s="9" t="n">
        <f aca="false">IF(COUNTIFS('Análises do tanque'!$J$5:$J$8,P5,'Análises do tanque'!$C$5:$C$8,0)&gt;0,AVERAGEIFS('Análises do tanque'!$I$5:$I$8,'Análises do tanque'!$J$5:$J$8,P5),SUMPRODUCT(('Análises do tanque'!$J$5:$J$8=P5)*'Análises do tanque'!$C$5:$C$8*'Análises do tanque'!$I$5:$I$8)/Q5)</f>
        <v>13.4102451078608</v>
      </c>
    </row>
    <row r="6" customFormat="false" ht="15" hidden="false" customHeight="false" outlineLevel="0" collapsed="false">
      <c r="A6" s="41" t="n">
        <v>46299</v>
      </c>
      <c r="B6" s="42" t="n">
        <v>3</v>
      </c>
      <c r="C6" s="43" t="n">
        <v>35234</v>
      </c>
      <c r="D6" s="42" t="n">
        <v>3.54</v>
      </c>
      <c r="E6" s="42" t="n">
        <v>3.38</v>
      </c>
      <c r="F6" s="42" t="n">
        <v>12.63</v>
      </c>
      <c r="G6" s="42" t="n">
        <v>224</v>
      </c>
      <c r="H6" s="42" t="n">
        <v>13</v>
      </c>
      <c r="I6" s="42" t="n">
        <v>14.4</v>
      </c>
      <c r="J6" s="42" t="s">
        <v>89</v>
      </c>
      <c r="K6" s="44" t="s">
        <v>90</v>
      </c>
    </row>
    <row r="7" customFormat="false" ht="15" hidden="false" customHeight="false" outlineLevel="0" collapsed="false">
      <c r="A7" s="41" t="n">
        <v>46300</v>
      </c>
      <c r="B7" s="42" t="n">
        <v>1</v>
      </c>
      <c r="C7" s="43" t="n">
        <v>37165</v>
      </c>
      <c r="D7" s="42" t="n">
        <v>3.18</v>
      </c>
      <c r="E7" s="42" t="n">
        <v>3.39</v>
      </c>
      <c r="F7" s="42" t="n">
        <v>12.26</v>
      </c>
      <c r="G7" s="42" t="n">
        <v>253</v>
      </c>
      <c r="H7" s="42" t="n">
        <v>7</v>
      </c>
      <c r="I7" s="42" t="n">
        <v>12.4</v>
      </c>
      <c r="J7" s="42" t="s">
        <v>89</v>
      </c>
      <c r="K7" s="44" t="s">
        <v>90</v>
      </c>
    </row>
    <row r="8" customFormat="false" ht="15" hidden="false" customHeight="false" outlineLevel="0" collapsed="false">
      <c r="A8" s="41" t="n">
        <v>46300</v>
      </c>
      <c r="B8" s="42" t="n">
        <v>4</v>
      </c>
      <c r="C8" s="43" t="n">
        <v>28552</v>
      </c>
      <c r="D8" s="42" t="n">
        <v>3.53</v>
      </c>
      <c r="E8" s="42" t="n">
        <v>3.42</v>
      </c>
      <c r="F8" s="42" t="n">
        <v>12.64</v>
      </c>
      <c r="G8" s="42" t="n">
        <v>309</v>
      </c>
      <c r="H8" s="42" t="n">
        <v>9</v>
      </c>
      <c r="I8" s="42" t="n">
        <v>14.7</v>
      </c>
      <c r="J8" s="42" t="s">
        <v>89</v>
      </c>
      <c r="K8" s="4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45" t="s">
        <v>93</v>
      </c>
      <c r="B4" s="45" t="s">
        <v>94</v>
      </c>
      <c r="C4" s="45" t="s">
        <v>95</v>
      </c>
    </row>
    <row r="5" customFormat="false" ht="15" hidden="false" customHeight="false" outlineLevel="0" collapsed="false">
      <c r="A5" s="46" t="s">
        <v>96</v>
      </c>
      <c r="B5" s="47" t="n">
        <v>150</v>
      </c>
      <c r="C5" s="48" t="s">
        <v>97</v>
      </c>
    </row>
    <row r="6" customFormat="false" ht="15" hidden="false" customHeight="false" outlineLevel="0" collapsed="false">
      <c r="A6" s="46" t="s">
        <v>98</v>
      </c>
      <c r="B6" s="47" t="n">
        <v>70</v>
      </c>
      <c r="C6" s="48" t="s">
        <v>99</v>
      </c>
    </row>
    <row r="7" customFormat="false" ht="15" hidden="false" customHeight="false" outlineLevel="0" collapsed="false">
      <c r="A7" s="46" t="s">
        <v>100</v>
      </c>
      <c r="B7" s="47" t="n">
        <v>90</v>
      </c>
      <c r="C7" s="48" t="s">
        <v>101</v>
      </c>
    </row>
    <row r="8" customFormat="false" ht="15" hidden="false" customHeight="false" outlineLevel="0" collapsed="false">
      <c r="A8" s="46" t="s">
        <v>102</v>
      </c>
      <c r="B8" s="47" t="n">
        <v>456</v>
      </c>
      <c r="C8" s="48" t="s">
        <v>103</v>
      </c>
    </row>
    <row r="9" customFormat="false" ht="15" hidden="false" customHeight="false" outlineLevel="0" collapsed="false">
      <c r="A9" s="46" t="s">
        <v>104</v>
      </c>
      <c r="B9" s="47" t="n">
        <v>35</v>
      </c>
      <c r="C9" s="48" t="s">
        <v>105</v>
      </c>
    </row>
    <row r="10" customFormat="false" ht="15" hidden="false" customHeight="false" outlineLevel="0" collapsed="false">
      <c r="A10" s="46" t="s">
        <v>106</v>
      </c>
      <c r="B10" s="47" t="n">
        <v>0.327</v>
      </c>
      <c r="C10" s="48" t="s">
        <v>107</v>
      </c>
    </row>
    <row r="11" customFormat="false" ht="15" hidden="false" customHeight="false" outlineLevel="0" collapsed="false">
      <c r="A11" s="46" t="s">
        <v>108</v>
      </c>
      <c r="B11" s="47" t="n">
        <v>0.1295</v>
      </c>
      <c r="C11" s="48" t="s">
        <v>109</v>
      </c>
    </row>
    <row r="12" customFormat="false" ht="15" hidden="false" customHeight="false" outlineLevel="0" collapsed="false">
      <c r="A12" s="46" t="s">
        <v>110</v>
      </c>
      <c r="B12" s="47" t="n">
        <v>0.0765</v>
      </c>
      <c r="C12" s="48" t="s">
        <v>111</v>
      </c>
    </row>
    <row r="14" customFormat="false" ht="15" hidden="false" customHeight="false" outlineLevel="0" collapsed="false">
      <c r="A14" s="40" t="s">
        <v>112</v>
      </c>
    </row>
    <row r="15" customFormat="false" ht="15" hidden="false" customHeight="false" outlineLevel="0" collapsed="false">
      <c r="A15" s="46" t="n">
        <v>1</v>
      </c>
      <c r="B15" s="49" t="n">
        <v>46309</v>
      </c>
      <c r="C15" s="48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5" min="24" style="0" width="12"/>
  </cols>
  <sheetData>
    <row r="1" customFormat="false" ht="43.25" hidden="false" customHeight="false" outlineLevel="0" collapsed="false">
      <c r="A1" s="3" t="s">
        <v>114</v>
      </c>
      <c r="B1" s="3" t="s">
        <v>115</v>
      </c>
      <c r="C1" s="3" t="s">
        <v>116</v>
      </c>
      <c r="D1" s="3" t="s">
        <v>117</v>
      </c>
      <c r="E1" s="3" t="s">
        <v>118</v>
      </c>
      <c r="F1" s="3" t="s">
        <v>119</v>
      </c>
      <c r="G1" s="3" t="s">
        <v>120</v>
      </c>
      <c r="H1" s="3" t="s">
        <v>121</v>
      </c>
      <c r="I1" s="3" t="s">
        <v>122</v>
      </c>
      <c r="J1" s="3" t="s">
        <v>123</v>
      </c>
      <c r="K1" s="3" t="s">
        <v>124</v>
      </c>
      <c r="L1" s="3" t="s">
        <v>125</v>
      </c>
      <c r="M1" s="3" t="s">
        <v>126</v>
      </c>
      <c r="N1" s="3" t="s">
        <v>127</v>
      </c>
      <c r="O1" s="3" t="s">
        <v>128</v>
      </c>
      <c r="P1" s="3" t="s">
        <v>129</v>
      </c>
      <c r="Q1" s="3" t="s">
        <v>130</v>
      </c>
      <c r="R1" s="3" t="s">
        <v>131</v>
      </c>
      <c r="S1" s="3" t="s">
        <v>132</v>
      </c>
      <c r="T1" s="3" t="s">
        <v>133</v>
      </c>
      <c r="U1" s="3" t="s">
        <v>134</v>
      </c>
      <c r="V1" s="3" t="s">
        <v>135</v>
      </c>
      <c r="W1" s="3" t="s">
        <v>136</v>
      </c>
      <c r="X1" s="50" t="s">
        <v>137</v>
      </c>
      <c r="Y1" s="50" t="s">
        <v>138</v>
      </c>
      <c r="Z1" s="50" t="s">
        <v>139</v>
      </c>
      <c r="AA1" s="50" t="s">
        <v>140</v>
      </c>
      <c r="AB1" s="50" t="s">
        <v>141</v>
      </c>
      <c r="AC1" s="50" t="s">
        <v>142</v>
      </c>
      <c r="AD1" s="50" t="s">
        <v>143</v>
      </c>
      <c r="AE1" s="50" t="s">
        <v>144</v>
      </c>
      <c r="AF1" s="50" t="s">
        <v>145</v>
      </c>
      <c r="AG1" s="50" t="s">
        <v>146</v>
      </c>
      <c r="AH1" s="50" t="s">
        <v>147</v>
      </c>
      <c r="AI1" s="50" t="s">
        <v>148</v>
      </c>
    </row>
    <row r="2" customFormat="false" ht="15" hidden="false" customHeight="false" outlineLevel="0" collapsed="false">
      <c r="A2" s="51" t="n">
        <v>46309</v>
      </c>
      <c r="B2" s="0" t="n">
        <v>15</v>
      </c>
      <c r="C2" s="0" t="n">
        <v>0</v>
      </c>
      <c r="E2" s="0" t="n">
        <v>0</v>
      </c>
      <c r="F2" s="46" t="s">
        <v>149</v>
      </c>
      <c r="I2" s="46" t="s">
        <v>150</v>
      </c>
      <c r="U2" s="0" t="n">
        <v>4</v>
      </c>
      <c r="V2" s="0" t="n">
        <v>0</v>
      </c>
      <c r="X2" s="46" t="n">
        <f aca="false">IF(I2="Male",0,1)</f>
        <v>0</v>
      </c>
      <c r="Y2" s="46" t="n">
        <f aca="false">IF(OR(I2="DNB",I2="Dry DNB"),1,0)</f>
        <v>0</v>
      </c>
      <c r="Z2" s="0" t="str">
        <f aca="false">IF(ISNUMBER(W2),A2-W2,"")</f>
        <v/>
      </c>
      <c r="AA2" s="46" t="n">
        <f aca="false">MATCH(A2,DATAS,0)</f>
        <v>1</v>
      </c>
      <c r="AB2" s="46" t="n">
        <f aca="false">IF(AND(E2&gt;0,OR(AND(B2&gt;=1,B2&lt;=6),B2=10)),1,0)</f>
        <v>0</v>
      </c>
      <c r="AC2" s="46" t="n">
        <f aca="false">IF(AND(E2&gt;0,B2=10),1,0)</f>
        <v>0</v>
      </c>
      <c r="AD2" s="0" t="str">
        <f aca="false">IF(FALSE(),AB1,"")</f>
        <v/>
      </c>
      <c r="AE2" s="0" t="str">
        <f aca="false">IF(FALSE(),AC1,"")</f>
        <v/>
      </c>
      <c r="AF2" s="0" t="str">
        <f aca="false">IF(AA2=1,"",IF(AND(AB2=1,AD2&lt;&gt;1),1,0))</f>
        <v/>
      </c>
      <c r="AG2" s="0" t="str">
        <f aca="false">IF(AA2=1,"",IF(AND(AC2=1,AE2&lt;&gt;1),1,0))</f>
        <v/>
      </c>
      <c r="AH2" s="51" t="str">
        <f aca="false">IF(AND(E2&gt;0,AA2&lt;1,NOT(AND(C3=C2,AA3=AA2+1))),INDEX(DATAS,AA2+1),"")</f>
        <v/>
      </c>
      <c r="AI2" s="51" t="str">
        <f aca="false">IF(AND(AC2=1,AA2&lt;1),IF(AND(C3=C2,AA3=AA2+1),IF(AC3=1,"",INDEX(DATAS,AA2+1)),INDEX(DATAS,AA2+1)),"")</f>
        <v/>
      </c>
    </row>
    <row r="3" customFormat="false" ht="15" hidden="false" customHeight="false" outlineLevel="0" collapsed="false">
      <c r="A3" s="51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46" t="s">
        <v>151</v>
      </c>
      <c r="G3" s="0" t="n">
        <v>29.9</v>
      </c>
      <c r="H3" s="0" t="n">
        <v>42</v>
      </c>
      <c r="I3" s="46" t="s">
        <v>152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51" t="n">
        <v>46200</v>
      </c>
      <c r="X3" s="46" t="n">
        <f aca="false">IF(I3="Male",0,1)</f>
        <v>1</v>
      </c>
      <c r="Y3" s="46" t="n">
        <f aca="false">IF(OR(I3="DNB",I3="Dry DNB"),1,0)</f>
        <v>0</v>
      </c>
      <c r="Z3" s="46" t="n">
        <f aca="false">IF(ISNUMBER(W3),A3-W3,"")</f>
        <v>109</v>
      </c>
      <c r="AA3" s="46" t="n">
        <f aca="false">MATCH(A3,DATAS,0)</f>
        <v>1</v>
      </c>
      <c r="AB3" s="46" t="n">
        <f aca="false">IF(AND(E3&gt;0,OR(AND(B3&gt;=1,B3&lt;=6),B3=10)),1,0)</f>
        <v>1</v>
      </c>
      <c r="AC3" s="46" t="n">
        <f aca="false">IF(AND(E3&gt;0,B3=10),1,0)</f>
        <v>1</v>
      </c>
      <c r="AD3" s="0" t="str">
        <f aca="false">IF(AND(C2=C3,AA2=AA3-1),AB2,"")</f>
        <v/>
      </c>
      <c r="AE3" s="0" t="str">
        <f aca="false">IF(AND(C2=C3,AA2=AA3-1),AC2,"")</f>
        <v/>
      </c>
      <c r="AF3" s="0" t="str">
        <f aca="false">IF(AA3=1,"",IF(AND(AB3=1,AD3&lt;&gt;1),1,0))</f>
        <v/>
      </c>
      <c r="AG3" s="0" t="str">
        <f aca="false">IF(AA3=1,"",IF(AND(AC3=1,AE3&lt;&gt;1),1,0))</f>
        <v/>
      </c>
      <c r="AH3" s="51" t="str">
        <f aca="false">IF(AND(E3&gt;0,AA3&lt;1,NOT(AND(C4=C3,AA4=AA3+1))),INDEX(DATAS,AA3+1),"")</f>
        <v/>
      </c>
      <c r="AI3" s="51" t="str">
        <f aca="false">IF(AND(AC3=1,AA3&lt;1),IF(AND(C4=C3,AA4=AA3+1),IF(AC4=1,"",INDEX(DATAS,AA3+1)),INDEX(DATAS,AA3+1)),"")</f>
        <v/>
      </c>
    </row>
    <row r="4" customFormat="false" ht="15" hidden="false" customHeight="false" outlineLevel="0" collapsed="false">
      <c r="A4" s="51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46" t="s">
        <v>153</v>
      </c>
      <c r="G4" s="0" t="n">
        <v>22.5</v>
      </c>
      <c r="H4" s="0" t="n">
        <v>32</v>
      </c>
      <c r="I4" s="46" t="s">
        <v>152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51" t="n">
        <v>46219</v>
      </c>
      <c r="X4" s="46" t="n">
        <f aca="false">IF(I4="Male",0,1)</f>
        <v>1</v>
      </c>
      <c r="Y4" s="46" t="n">
        <f aca="false">IF(OR(I4="DNB",I4="Dry DNB"),1,0)</f>
        <v>0</v>
      </c>
      <c r="Z4" s="46" t="n">
        <f aca="false">IF(ISNUMBER(W4),A4-W4,"")</f>
        <v>90</v>
      </c>
      <c r="AA4" s="46" t="n">
        <f aca="false">MATCH(A4,DATAS,0)</f>
        <v>1</v>
      </c>
      <c r="AB4" s="46" t="n">
        <f aca="false">IF(AND(E4&gt;0,OR(AND(B4&gt;=1,B4&lt;=6),B4=10)),1,0)</f>
        <v>1</v>
      </c>
      <c r="AC4" s="46" t="n">
        <f aca="false">IF(AND(E4&gt;0,B4=10),1,0)</f>
        <v>1</v>
      </c>
      <c r="AD4" s="0" t="str">
        <f aca="false">IF(AND(C3=C4,AA3=AA4-1),AB3,"")</f>
        <v/>
      </c>
      <c r="AE4" s="0" t="str">
        <f aca="false">IF(AND(C3=C4,AA3=AA4-1),AC3,"")</f>
        <v/>
      </c>
      <c r="AF4" s="0" t="str">
        <f aca="false">IF(AA4=1,"",IF(AND(AB4=1,AD4&lt;&gt;1),1,0))</f>
        <v/>
      </c>
      <c r="AG4" s="0" t="str">
        <f aca="false">IF(AA4=1,"",IF(AND(AC4=1,AE4&lt;&gt;1),1,0))</f>
        <v/>
      </c>
      <c r="AH4" s="51" t="str">
        <f aca="false">IF(AND(E4&gt;0,AA4&lt;1,NOT(AND(C5=C4,AA5=AA4+1))),INDEX(DATAS,AA4+1),"")</f>
        <v/>
      </c>
      <c r="AI4" s="51" t="str">
        <f aca="false">IF(AND(AC4=1,AA4&lt;1),IF(AND(C5=C4,AA5=AA4+1),IF(AC5=1,"",INDEX(DATAS,AA4+1)),INDEX(DATAS,AA4+1)),"")</f>
        <v/>
      </c>
    </row>
    <row r="5" customFormat="false" ht="15" hidden="false" customHeight="false" outlineLevel="0" collapsed="false">
      <c r="A5" s="51" t="n">
        <v>46309</v>
      </c>
      <c r="B5" s="0" t="n">
        <v>8</v>
      </c>
      <c r="C5" s="0" t="n">
        <v>102</v>
      </c>
      <c r="E5" s="0" t="n">
        <v>0</v>
      </c>
      <c r="F5" s="46" t="s">
        <v>154</v>
      </c>
      <c r="I5" s="46" t="s">
        <v>152</v>
      </c>
      <c r="L5" s="0" t="n">
        <v>132</v>
      </c>
      <c r="U5" s="0" t="n">
        <v>757</v>
      </c>
      <c r="V5" s="0" t="n">
        <v>4</v>
      </c>
      <c r="W5" s="51" t="n">
        <v>46178</v>
      </c>
      <c r="X5" s="46" t="n">
        <f aca="false">IF(I5="Male",0,1)</f>
        <v>1</v>
      </c>
      <c r="Y5" s="46" t="n">
        <f aca="false">IF(OR(I5="DNB",I5="Dry DNB"),1,0)</f>
        <v>0</v>
      </c>
      <c r="Z5" s="46" t="n">
        <f aca="false">IF(ISNUMBER(W5),A5-W5,"")</f>
        <v>131</v>
      </c>
      <c r="AA5" s="46" t="n">
        <f aca="false">MATCH(A5,DATAS,0)</f>
        <v>1</v>
      </c>
      <c r="AB5" s="46" t="n">
        <f aca="false">IF(AND(E5&gt;0,OR(AND(B5&gt;=1,B5&lt;=6),B5=10)),1,0)</f>
        <v>0</v>
      </c>
      <c r="AC5" s="46" t="n">
        <f aca="false">IF(AND(E5&gt;0,B5=10),1,0)</f>
        <v>0</v>
      </c>
      <c r="AD5" s="0" t="str">
        <f aca="false">IF(AND(C4=C5,AA4=AA5-1),AB4,"")</f>
        <v/>
      </c>
      <c r="AE5" s="0" t="str">
        <f aca="false">IF(AND(C4=C5,AA4=AA5-1),AC4,"")</f>
        <v/>
      </c>
      <c r="AF5" s="0" t="str">
        <f aca="false">IF(AA5=1,"",IF(AND(AB5=1,AD5&lt;&gt;1),1,0))</f>
        <v/>
      </c>
      <c r="AG5" s="0" t="str">
        <f aca="false">IF(AA5=1,"",IF(AND(AC5=1,AE5&lt;&gt;1),1,0))</f>
        <v/>
      </c>
      <c r="AH5" s="51" t="str">
        <f aca="false">IF(AND(E5&gt;0,AA5&lt;1,NOT(AND(C6=C5,AA6=AA5+1))),INDEX(DATAS,AA5+1),"")</f>
        <v/>
      </c>
      <c r="AI5" s="51" t="str">
        <f aca="false">IF(AND(AC5=1,AA5&lt;1),IF(AND(C6=C5,AA6=AA5+1),IF(AC6=1,"",INDEX(DATAS,AA5+1)),INDEX(DATAS,AA5+1)),"")</f>
        <v/>
      </c>
    </row>
    <row r="6" customFormat="false" ht="15" hidden="false" customHeight="false" outlineLevel="0" collapsed="false">
      <c r="A6" s="51" t="n">
        <v>46309</v>
      </c>
      <c r="B6" s="0" t="n">
        <v>8</v>
      </c>
      <c r="C6" s="0" t="n">
        <v>103</v>
      </c>
      <c r="E6" s="0" t="n">
        <v>0</v>
      </c>
      <c r="F6" s="46" t="s">
        <v>155</v>
      </c>
      <c r="I6" s="46" t="s">
        <v>152</v>
      </c>
      <c r="L6" s="0" t="n">
        <v>93</v>
      </c>
      <c r="U6" s="0" t="n">
        <v>629</v>
      </c>
      <c r="V6" s="0" t="n">
        <v>1</v>
      </c>
      <c r="W6" s="51" t="n">
        <v>46217</v>
      </c>
      <c r="X6" s="46" t="n">
        <f aca="false">IF(I6="Male",0,1)</f>
        <v>1</v>
      </c>
      <c r="Y6" s="46" t="n">
        <f aca="false">IF(OR(I6="DNB",I6="Dry DNB"),1,0)</f>
        <v>0</v>
      </c>
      <c r="Z6" s="46" t="n">
        <f aca="false">IF(ISNUMBER(W6),A6-W6,"")</f>
        <v>92</v>
      </c>
      <c r="AA6" s="46" t="n">
        <f aca="false">MATCH(A6,DATAS,0)</f>
        <v>1</v>
      </c>
      <c r="AB6" s="46" t="n">
        <f aca="false">IF(AND(E6&gt;0,OR(AND(B6&gt;=1,B6&lt;=6),B6=10)),1,0)</f>
        <v>0</v>
      </c>
      <c r="AC6" s="46" t="n">
        <f aca="false">IF(AND(E6&gt;0,B6=10),1,0)</f>
        <v>0</v>
      </c>
      <c r="AD6" s="0" t="str">
        <f aca="false">IF(AND(C5=C6,AA5=AA6-1),AB5,"")</f>
        <v/>
      </c>
      <c r="AE6" s="0" t="str">
        <f aca="false">IF(AND(C5=C6,AA5=AA6-1),AC5,"")</f>
        <v/>
      </c>
      <c r="AF6" s="0" t="str">
        <f aca="false">IF(AA6=1,"",IF(AND(AB6=1,AD6&lt;&gt;1),1,0))</f>
        <v/>
      </c>
      <c r="AG6" s="0" t="str">
        <f aca="false">IF(AA6=1,"",IF(AND(AC6=1,AE6&lt;&gt;1),1,0))</f>
        <v/>
      </c>
      <c r="AH6" s="51" t="str">
        <f aca="false">IF(AND(E6&gt;0,AA6&lt;1,NOT(AND(C7=C6,AA7=AA6+1))),INDEX(DATAS,AA6+1),"")</f>
        <v/>
      </c>
      <c r="AI6" s="51" t="str">
        <f aca="false">IF(AND(AC6=1,AA6&lt;1),IF(AND(C7=C6,AA7=AA6+1),IF(AC7=1,"",INDEX(DATAS,AA6+1)),INDEX(DATAS,AA6+1)),"")</f>
        <v/>
      </c>
    </row>
    <row r="7" customFormat="false" ht="15" hidden="false" customHeight="false" outlineLevel="0" collapsed="false">
      <c r="A7" s="51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46" t="s">
        <v>156</v>
      </c>
      <c r="I7" s="46" t="s">
        <v>157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51" t="n">
        <v>46128</v>
      </c>
      <c r="X7" s="46" t="n">
        <f aca="false">IF(I7="Male",0,1)</f>
        <v>1</v>
      </c>
      <c r="Y7" s="46" t="n">
        <f aca="false">IF(OR(I7="DNB",I7="Dry DNB"),1,0)</f>
        <v>0</v>
      </c>
      <c r="Z7" s="46" t="n">
        <f aca="false">IF(ISNUMBER(W7),A7-W7,"")</f>
        <v>181</v>
      </c>
      <c r="AA7" s="46" t="n">
        <f aca="false">MATCH(A7,DATAS,0)</f>
        <v>1</v>
      </c>
      <c r="AB7" s="46" t="n">
        <f aca="false">IF(AND(E7&gt;0,OR(AND(B7&gt;=1,B7&lt;=6),B7=10)),1,0)</f>
        <v>0</v>
      </c>
      <c r="AC7" s="46" t="n">
        <f aca="false">IF(AND(E7&gt;0,B7=10),1,0)</f>
        <v>0</v>
      </c>
      <c r="AD7" s="0" t="str">
        <f aca="false">IF(AND(C6=C7,AA6=AA7-1),AB6,"")</f>
        <v/>
      </c>
      <c r="AE7" s="0" t="str">
        <f aca="false">IF(AND(C6=C7,AA6=AA7-1),AC6,"")</f>
        <v/>
      </c>
      <c r="AF7" s="0" t="str">
        <f aca="false">IF(AA7=1,"",IF(AND(AB7=1,AD7&lt;&gt;1),1,0))</f>
        <v/>
      </c>
      <c r="AG7" s="0" t="str">
        <f aca="false">IF(AA7=1,"",IF(AND(AC7=1,AE7&lt;&gt;1),1,0))</f>
        <v/>
      </c>
      <c r="AH7" s="51" t="str">
        <f aca="false">IF(AND(E7&gt;0,AA7&lt;1,NOT(AND(C8=C7,AA8=AA7+1))),INDEX(DATAS,AA7+1),"")</f>
        <v/>
      </c>
      <c r="AI7" s="51" t="str">
        <f aca="false">IF(AND(AC7=1,AA7&lt;1),IF(AND(C8=C7,AA8=AA7+1),IF(AC8=1,"",INDEX(DATAS,AA7+1)),INDEX(DATAS,AA7+1)),"")</f>
        <v/>
      </c>
    </row>
    <row r="8" customFormat="false" ht="15" hidden="false" customHeight="false" outlineLevel="0" collapsed="false">
      <c r="A8" s="51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46" t="s">
        <v>158</v>
      </c>
      <c r="G8" s="0" t="n">
        <v>51.4</v>
      </c>
      <c r="H8" s="0" t="n">
        <v>41</v>
      </c>
      <c r="I8" s="46" t="s">
        <v>152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51" t="n">
        <v>46212</v>
      </c>
      <c r="X8" s="46" t="n">
        <f aca="false">IF(I8="Male",0,1)</f>
        <v>1</v>
      </c>
      <c r="Y8" s="46" t="n">
        <f aca="false">IF(OR(I8="DNB",I8="Dry DNB"),1,0)</f>
        <v>0</v>
      </c>
      <c r="Z8" s="46" t="n">
        <f aca="false">IF(ISNUMBER(W8),A8-W8,"")</f>
        <v>97</v>
      </c>
      <c r="AA8" s="46" t="n">
        <f aca="false">MATCH(A8,DATAS,0)</f>
        <v>1</v>
      </c>
      <c r="AB8" s="46" t="n">
        <f aca="false">IF(AND(E8&gt;0,OR(AND(B8&gt;=1,B8&lt;=6),B8=10)),1,0)</f>
        <v>1</v>
      </c>
      <c r="AC8" s="46" t="n">
        <f aca="false">IF(AND(E8&gt;0,B8=10),1,0)</f>
        <v>0</v>
      </c>
      <c r="AD8" s="0" t="str">
        <f aca="false">IF(AND(C7=C8,AA7=AA8-1),AB7,"")</f>
        <v/>
      </c>
      <c r="AE8" s="0" t="str">
        <f aca="false">IF(AND(C7=C8,AA7=AA8-1),AC7,"")</f>
        <v/>
      </c>
      <c r="AF8" s="0" t="str">
        <f aca="false">IF(AA8=1,"",IF(AND(AB8=1,AD8&lt;&gt;1),1,0))</f>
        <v/>
      </c>
      <c r="AG8" s="0" t="str">
        <f aca="false">IF(AA8=1,"",IF(AND(AC8=1,AE8&lt;&gt;1),1,0))</f>
        <v/>
      </c>
      <c r="AH8" s="51" t="str">
        <f aca="false">IF(AND(E8&gt;0,AA8&lt;1,NOT(AND(C9=C8,AA9=AA8+1))),INDEX(DATAS,AA8+1),"")</f>
        <v/>
      </c>
      <c r="AI8" s="51" t="str">
        <f aca="false">IF(AND(AC8=1,AA8&lt;1),IF(AND(C9=C8,AA9=AA8+1),IF(AC9=1,"",INDEX(DATAS,AA8+1)),INDEX(DATAS,AA8+1)),"")</f>
        <v/>
      </c>
    </row>
    <row r="9" customFormat="false" ht="15" hidden="false" customHeight="false" outlineLevel="0" collapsed="false">
      <c r="A9" s="51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46" t="s">
        <v>159</v>
      </c>
      <c r="I9" s="46" t="s">
        <v>157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51" t="n">
        <v>46024</v>
      </c>
      <c r="X9" s="46" t="n">
        <f aca="false">IF(I9="Male",0,1)</f>
        <v>1</v>
      </c>
      <c r="Y9" s="46" t="n">
        <f aca="false">IF(OR(I9="DNB",I9="Dry DNB"),1,0)</f>
        <v>0</v>
      </c>
      <c r="Z9" s="46" t="n">
        <f aca="false">IF(ISNUMBER(W9),A9-W9,"")</f>
        <v>285</v>
      </c>
      <c r="AA9" s="46" t="n">
        <f aca="false">MATCH(A9,DATAS,0)</f>
        <v>1</v>
      </c>
      <c r="AB9" s="46" t="n">
        <f aca="false">IF(AND(E9&gt;0,OR(AND(B9&gt;=1,B9&lt;=6),B9=10)),1,0)</f>
        <v>0</v>
      </c>
      <c r="AC9" s="46" t="n">
        <f aca="false">IF(AND(E9&gt;0,B9=10),1,0)</f>
        <v>0</v>
      </c>
      <c r="AD9" s="0" t="str">
        <f aca="false">IF(AND(C8=C9,AA8=AA9-1),AB8,"")</f>
        <v/>
      </c>
      <c r="AE9" s="0" t="str">
        <f aca="false">IF(AND(C8=C9,AA8=AA9-1),AC8,"")</f>
        <v/>
      </c>
      <c r="AF9" s="0" t="str">
        <f aca="false">IF(AA9=1,"",IF(AND(AB9=1,AD9&lt;&gt;1),1,0))</f>
        <v/>
      </c>
      <c r="AG9" s="0" t="str">
        <f aca="false">IF(AA9=1,"",IF(AND(AC9=1,AE9&lt;&gt;1),1,0))</f>
        <v/>
      </c>
      <c r="AH9" s="51" t="str">
        <f aca="false">IF(AND(E9&gt;0,AA9&lt;1,NOT(AND(C10=C9,AA10=AA9+1))),INDEX(DATAS,AA9+1),"")</f>
        <v/>
      </c>
      <c r="AI9" s="51" t="str">
        <f aca="false">IF(AND(AC9=1,AA9&lt;1),IF(AND(C10=C9,AA10=AA9+1),IF(AC10=1,"",INDEX(DATAS,AA9+1)),INDEX(DATAS,AA9+1)),"")</f>
        <v/>
      </c>
    </row>
    <row r="10" customFormat="false" ht="15" hidden="false" customHeight="false" outlineLevel="0" collapsed="false">
      <c r="A10" s="51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46" t="s">
        <v>160</v>
      </c>
      <c r="G10" s="0" t="n">
        <v>32.8</v>
      </c>
      <c r="H10" s="0" t="n">
        <v>38</v>
      </c>
      <c r="I10" s="46" t="s">
        <v>161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X10" s="46" t="n">
        <f aca="false">IF(I10="Male",0,1)</f>
        <v>1</v>
      </c>
      <c r="Y10" s="46" t="n">
        <f aca="false">IF(OR(I10="DNB",I10="Dry DNB"),1,0)</f>
        <v>0</v>
      </c>
      <c r="Z10" s="0" t="str">
        <f aca="false">IF(ISNUMBER(W10),A10-W10,"")</f>
        <v/>
      </c>
      <c r="AA10" s="46" t="n">
        <f aca="false">MATCH(A10,DATAS,0)</f>
        <v>1</v>
      </c>
      <c r="AB10" s="46" t="n">
        <f aca="false">IF(AND(E10&gt;0,OR(AND(B10&gt;=1,B10&lt;=6),B10=10)),1,0)</f>
        <v>1</v>
      </c>
      <c r="AC10" s="46" t="n">
        <f aca="false">IF(AND(E10&gt;0,B10=10),1,0)</f>
        <v>0</v>
      </c>
      <c r="AD10" s="0" t="str">
        <f aca="false">IF(AND(C9=C10,AA9=AA10-1),AB9,"")</f>
        <v/>
      </c>
      <c r="AE10" s="0" t="str">
        <f aca="false">IF(AND(C9=C10,AA9=AA10-1),AC9,"")</f>
        <v/>
      </c>
      <c r="AF10" s="0" t="str">
        <f aca="false">IF(AA10=1,"",IF(AND(AB10=1,AD10&lt;&gt;1),1,0))</f>
        <v/>
      </c>
      <c r="AG10" s="0" t="str">
        <f aca="false">IF(AA10=1,"",IF(AND(AC10=1,AE10&lt;&gt;1),1,0))</f>
        <v/>
      </c>
      <c r="AH10" s="51" t="str">
        <f aca="false">IF(AND(E10&gt;0,AA10&lt;1,NOT(AND(C11=C10,AA11=AA10+1))),INDEX(DATAS,AA10+1),"")</f>
        <v/>
      </c>
      <c r="AI10" s="51" t="str">
        <f aca="false">IF(AND(AC10=1,AA10&lt;1),IF(AND(C11=C10,AA11=AA10+1),IF(AC11=1,"",INDEX(DATAS,AA10+1)),INDEX(DATAS,AA10+1)),"")</f>
        <v/>
      </c>
    </row>
    <row r="11" customFormat="false" ht="15" hidden="false" customHeight="false" outlineLevel="0" collapsed="false">
      <c r="A11" s="51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46" t="s">
        <v>162</v>
      </c>
      <c r="I11" s="46" t="s">
        <v>157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51" t="n">
        <v>46002</v>
      </c>
      <c r="X11" s="46" t="n">
        <f aca="false">IF(I11="Male",0,1)</f>
        <v>1</v>
      </c>
      <c r="Y11" s="46" t="n">
        <f aca="false">IF(OR(I11="DNB",I11="Dry DNB"),1,0)</f>
        <v>0</v>
      </c>
      <c r="Z11" s="46" t="n">
        <f aca="false">IF(ISNUMBER(W11),A11-W11,"")</f>
        <v>307</v>
      </c>
      <c r="AA11" s="46" t="n">
        <f aca="false">MATCH(A11,DATAS,0)</f>
        <v>1</v>
      </c>
      <c r="AB11" s="46" t="n">
        <f aca="false">IF(AND(E11&gt;0,OR(AND(B11&gt;=1,B11&lt;=6),B11=10)),1,0)</f>
        <v>0</v>
      </c>
      <c r="AC11" s="46" t="n">
        <f aca="false">IF(AND(E11&gt;0,B11=10),1,0)</f>
        <v>0</v>
      </c>
      <c r="AD11" s="0" t="str">
        <f aca="false">IF(AND(C10=C11,AA10=AA11-1),AB10,"")</f>
        <v/>
      </c>
      <c r="AE11" s="0" t="str">
        <f aca="false">IF(AND(C10=C11,AA10=AA11-1),AC10,"")</f>
        <v/>
      </c>
      <c r="AF11" s="0" t="str">
        <f aca="false">IF(AA11=1,"",IF(AND(AB11=1,AD11&lt;&gt;1),1,0))</f>
        <v/>
      </c>
      <c r="AG11" s="0" t="str">
        <f aca="false">IF(AA11=1,"",IF(AND(AC11=1,AE11&lt;&gt;1),1,0))</f>
        <v/>
      </c>
      <c r="AH11" s="51" t="str">
        <f aca="false">IF(AND(E11&gt;0,AA11&lt;1,NOT(AND(C12=C11,AA12=AA11+1))),INDEX(DATAS,AA11+1),"")</f>
        <v/>
      </c>
      <c r="AI11" s="51" t="str">
        <f aca="false">IF(AND(AC11=1,AA11&lt;1),IF(AND(C12=C11,AA12=AA11+1),IF(AC12=1,"",INDEX(DATAS,AA11+1)),INDEX(DATAS,AA11+1)),"")</f>
        <v/>
      </c>
    </row>
    <row r="12" customFormat="false" ht="15" hidden="false" customHeight="false" outlineLevel="0" collapsed="false">
      <c r="A12" s="51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46" t="s">
        <v>163</v>
      </c>
      <c r="G12" s="0" t="n">
        <v>37.1</v>
      </c>
      <c r="H12" s="0" t="n">
        <v>31</v>
      </c>
      <c r="I12" s="46" t="s">
        <v>161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X12" s="46" t="n">
        <f aca="false">IF(I12="Male",0,1)</f>
        <v>1</v>
      </c>
      <c r="Y12" s="46" t="n">
        <f aca="false">IF(OR(I12="DNB",I12="Dry DNB"),1,0)</f>
        <v>0</v>
      </c>
      <c r="Z12" s="0" t="str">
        <f aca="false">IF(ISNUMBER(W12),A12-W12,"")</f>
        <v/>
      </c>
      <c r="AA12" s="46" t="n">
        <f aca="false">MATCH(A12,DATAS,0)</f>
        <v>1</v>
      </c>
      <c r="AB12" s="46" t="n">
        <f aca="false">IF(AND(E12&gt;0,OR(AND(B12&gt;=1,B12&lt;=6),B12=10)),1,0)</f>
        <v>1</v>
      </c>
      <c r="AC12" s="46" t="n">
        <f aca="false">IF(AND(E12&gt;0,B12=10),1,0)</f>
        <v>0</v>
      </c>
      <c r="AD12" s="0" t="str">
        <f aca="false">IF(AND(C11=C12,AA11=AA12-1),AB11,"")</f>
        <v/>
      </c>
      <c r="AE12" s="0" t="str">
        <f aca="false">IF(AND(C11=C12,AA11=AA12-1),AC11,"")</f>
        <v/>
      </c>
      <c r="AF12" s="0" t="str">
        <f aca="false">IF(AA12=1,"",IF(AND(AB12=1,AD12&lt;&gt;1),1,0))</f>
        <v/>
      </c>
      <c r="AG12" s="0" t="str">
        <f aca="false">IF(AA12=1,"",IF(AND(AC12=1,AE12&lt;&gt;1),1,0))</f>
        <v/>
      </c>
      <c r="AH12" s="51" t="str">
        <f aca="false">IF(AND(E12&gt;0,AA12&lt;1,NOT(AND(C13=C12,AA13=AA12+1))),INDEX(DATAS,AA12+1),"")</f>
        <v/>
      </c>
      <c r="AI12" s="51" t="str">
        <f aca="false">IF(AND(AC12=1,AA12&lt;1),IF(AND(C13=C12,AA13=AA12+1),IF(AC13=1,"",INDEX(DATAS,AA12+1)),INDEX(DATAS,AA12+1)),"")</f>
        <v/>
      </c>
    </row>
    <row r="13" customFormat="false" ht="15" hidden="false" customHeight="false" outlineLevel="0" collapsed="false">
      <c r="A13" s="51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46" t="s">
        <v>164</v>
      </c>
      <c r="G13" s="0" t="n">
        <v>21.1</v>
      </c>
      <c r="H13" s="0" t="n">
        <v>30</v>
      </c>
      <c r="I13" s="46" t="s">
        <v>138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51" t="n">
        <v>46233</v>
      </c>
      <c r="X13" s="46" t="n">
        <f aca="false">IF(I13="Male",0,1)</f>
        <v>1</v>
      </c>
      <c r="Y13" s="46" t="n">
        <f aca="false">IF(OR(I13="DNB",I13="Dry DNB"),1,0)</f>
        <v>1</v>
      </c>
      <c r="Z13" s="46" t="n">
        <f aca="false">IF(ISNUMBER(W13),A13-W13,"")</f>
        <v>76</v>
      </c>
      <c r="AA13" s="46" t="n">
        <f aca="false">MATCH(A13,DATAS,0)</f>
        <v>1</v>
      </c>
      <c r="AB13" s="46" t="n">
        <f aca="false">IF(AND(E13&gt;0,OR(AND(B13&gt;=1,B13&lt;=6),B13=10)),1,0)</f>
        <v>1</v>
      </c>
      <c r="AC13" s="46" t="n">
        <f aca="false">IF(AND(E13&gt;0,B13=10),1,0)</f>
        <v>0</v>
      </c>
      <c r="AD13" s="0" t="str">
        <f aca="false">IF(AND(C12=C13,AA12=AA13-1),AB12,"")</f>
        <v/>
      </c>
      <c r="AE13" s="0" t="str">
        <f aca="false">IF(AND(C12=C13,AA12=AA13-1),AC12,"")</f>
        <v/>
      </c>
      <c r="AF13" s="0" t="str">
        <f aca="false">IF(AA13=1,"",IF(AND(AB13=1,AD13&lt;&gt;1),1,0))</f>
        <v/>
      </c>
      <c r="AG13" s="0" t="str">
        <f aca="false">IF(AA13=1,"",IF(AND(AC13=1,AE13&lt;&gt;1),1,0))</f>
        <v/>
      </c>
      <c r="AH13" s="51" t="str">
        <f aca="false">IF(AND(E13&gt;0,AA13&lt;1,NOT(AND(C14=C13,AA14=AA13+1))),INDEX(DATAS,AA13+1),"")</f>
        <v/>
      </c>
      <c r="AI13" s="51" t="str">
        <f aca="false">IF(AND(AC13=1,AA13&lt;1),IF(AND(C14=C13,AA14=AA13+1),IF(AC14=1,"",INDEX(DATAS,AA13+1)),INDEX(DATAS,AA13+1)),"")</f>
        <v/>
      </c>
    </row>
    <row r="14" customFormat="false" ht="15" hidden="false" customHeight="false" outlineLevel="0" collapsed="false">
      <c r="A14" s="51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46" t="s">
        <v>165</v>
      </c>
      <c r="G14" s="0" t="n">
        <v>33.5</v>
      </c>
      <c r="H14" s="0" t="n">
        <v>35</v>
      </c>
      <c r="I14" s="46" t="s">
        <v>138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X14" s="46" t="n">
        <f aca="false">IF(I14="Male",0,1)</f>
        <v>1</v>
      </c>
      <c r="Y14" s="46" t="n">
        <f aca="false">IF(OR(I14="DNB",I14="Dry DNB"),1,0)</f>
        <v>1</v>
      </c>
      <c r="Z14" s="0" t="str">
        <f aca="false">IF(ISNUMBER(W14),A14-W14,"")</f>
        <v/>
      </c>
      <c r="AA14" s="46" t="n">
        <f aca="false">MATCH(A14,DATAS,0)</f>
        <v>1</v>
      </c>
      <c r="AB14" s="46" t="n">
        <f aca="false">IF(AND(E14&gt;0,OR(AND(B14&gt;=1,B14&lt;=6),B14=10)),1,0)</f>
        <v>1</v>
      </c>
      <c r="AC14" s="46" t="n">
        <f aca="false">IF(AND(E14&gt;0,B14=10),1,0)</f>
        <v>0</v>
      </c>
      <c r="AD14" s="0" t="str">
        <f aca="false">IF(AND(C13=C14,AA13=AA14-1),AB13,"")</f>
        <v/>
      </c>
      <c r="AE14" s="0" t="str">
        <f aca="false">IF(AND(C13=C14,AA13=AA14-1),AC13,"")</f>
        <v/>
      </c>
      <c r="AF14" s="0" t="str">
        <f aca="false">IF(AA14=1,"",IF(AND(AB14=1,AD14&lt;&gt;1),1,0))</f>
        <v/>
      </c>
      <c r="AG14" s="0" t="str">
        <f aca="false">IF(AA14=1,"",IF(AND(AC14=1,AE14&lt;&gt;1),1,0))</f>
        <v/>
      </c>
      <c r="AH14" s="51" t="str">
        <f aca="false">IF(AND(E14&gt;0,AA14&lt;1,NOT(AND(C15=C14,AA15=AA14+1))),INDEX(DATAS,AA14+1),"")</f>
        <v/>
      </c>
      <c r="AI14" s="51" t="str">
        <f aca="false">IF(AND(AC14=1,AA14&lt;1),IF(AND(C15=C14,AA15=AA14+1),IF(AC15=1,"",INDEX(DATAS,AA14+1)),INDEX(DATAS,AA14+1)),"")</f>
        <v/>
      </c>
    </row>
    <row r="15" customFormat="false" ht="15" hidden="false" customHeight="false" outlineLevel="0" collapsed="false">
      <c r="A15" s="51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46" t="s">
        <v>166</v>
      </c>
      <c r="G15" s="0" t="n">
        <v>49</v>
      </c>
      <c r="H15" s="0" t="n">
        <v>46</v>
      </c>
      <c r="I15" s="46" t="s">
        <v>161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X15" s="46" t="n">
        <f aca="false">IF(I15="Male",0,1)</f>
        <v>1</v>
      </c>
      <c r="Y15" s="46" t="n">
        <f aca="false">IF(OR(I15="DNB",I15="Dry DNB"),1,0)</f>
        <v>0</v>
      </c>
      <c r="Z15" s="0" t="str">
        <f aca="false">IF(ISNUMBER(W15),A15-W15,"")</f>
        <v/>
      </c>
      <c r="AA15" s="46" t="n">
        <f aca="false">MATCH(A15,DATAS,0)</f>
        <v>1</v>
      </c>
      <c r="AB15" s="46" t="n">
        <f aca="false">IF(AND(E15&gt;0,OR(AND(B15&gt;=1,B15&lt;=6),B15=10)),1,0)</f>
        <v>1</v>
      </c>
      <c r="AC15" s="46" t="n">
        <f aca="false">IF(AND(E15&gt;0,B15=10),1,0)</f>
        <v>0</v>
      </c>
      <c r="AD15" s="0" t="str">
        <f aca="false">IF(AND(C14=C15,AA14=AA15-1),AB14,"")</f>
        <v/>
      </c>
      <c r="AE15" s="0" t="str">
        <f aca="false">IF(AND(C14=C15,AA14=AA15-1),AC14,"")</f>
        <v/>
      </c>
      <c r="AF15" s="0" t="str">
        <f aca="false">IF(AA15=1,"",IF(AND(AB15=1,AD15&lt;&gt;1),1,0))</f>
        <v/>
      </c>
      <c r="AG15" s="0" t="str">
        <f aca="false">IF(AA15=1,"",IF(AND(AC15=1,AE15&lt;&gt;1),1,0))</f>
        <v/>
      </c>
      <c r="AH15" s="51" t="str">
        <f aca="false">IF(AND(E15&gt;0,AA15&lt;1,NOT(AND(C16=C15,AA16=AA15+1))),INDEX(DATAS,AA15+1),"")</f>
        <v/>
      </c>
      <c r="AI15" s="51" t="str">
        <f aca="false">IF(AND(AC15=1,AA15&lt;1),IF(AND(C16=C15,AA16=AA15+1),IF(AC16=1,"",INDEX(DATAS,AA15+1)),INDEX(DATAS,AA15+1)),"")</f>
        <v/>
      </c>
    </row>
    <row r="16" customFormat="false" ht="15" hidden="false" customHeight="false" outlineLevel="0" collapsed="false">
      <c r="A16" s="51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46" t="s">
        <v>167</v>
      </c>
      <c r="G16" s="0" t="n">
        <v>45.5</v>
      </c>
      <c r="H16" s="0" t="n">
        <v>37</v>
      </c>
      <c r="I16" s="46" t="s">
        <v>161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X16" s="46" t="n">
        <f aca="false">IF(I16="Male",0,1)</f>
        <v>1</v>
      </c>
      <c r="Y16" s="46" t="n">
        <f aca="false">IF(OR(I16="DNB",I16="Dry DNB"),1,0)</f>
        <v>0</v>
      </c>
      <c r="Z16" s="0" t="str">
        <f aca="false">IF(ISNUMBER(W16),A16-W16,"")</f>
        <v/>
      </c>
      <c r="AA16" s="46" t="n">
        <f aca="false">MATCH(A16,DATAS,0)</f>
        <v>1</v>
      </c>
      <c r="AB16" s="46" t="n">
        <f aca="false">IF(AND(E16&gt;0,OR(AND(B16&gt;=1,B16&lt;=6),B16=10)),1,0)</f>
        <v>1</v>
      </c>
      <c r="AC16" s="46" t="n">
        <f aca="false">IF(AND(E16&gt;0,B16=10),1,0)</f>
        <v>0</v>
      </c>
      <c r="AD16" s="0" t="str">
        <f aca="false">IF(AND(C15=C16,AA15=AA16-1),AB15,"")</f>
        <v/>
      </c>
      <c r="AE16" s="0" t="str">
        <f aca="false">IF(AND(C15=C16,AA15=AA16-1),AC15,"")</f>
        <v/>
      </c>
      <c r="AF16" s="0" t="str">
        <f aca="false">IF(AA16=1,"",IF(AND(AB16=1,AD16&lt;&gt;1),1,0))</f>
        <v/>
      </c>
      <c r="AG16" s="0" t="str">
        <f aca="false">IF(AA16=1,"",IF(AND(AC16=1,AE16&lt;&gt;1),1,0))</f>
        <v/>
      </c>
      <c r="AH16" s="51" t="str">
        <f aca="false">IF(AND(E16&gt;0,AA16&lt;1,NOT(AND(C17=C16,AA17=AA16+1))),INDEX(DATAS,AA16+1),"")</f>
        <v/>
      </c>
      <c r="AI16" s="51" t="str">
        <f aca="false">IF(AND(AC16=1,AA16&lt;1),IF(AND(C17=C16,AA17=AA16+1),IF(AC17=1,"",INDEX(DATAS,AA16+1)),INDEX(DATAS,AA16+1)),"")</f>
        <v/>
      </c>
    </row>
    <row r="17" customFormat="false" ht="15" hidden="false" customHeight="false" outlineLevel="0" collapsed="false">
      <c r="A17" s="51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46" t="s">
        <v>165</v>
      </c>
      <c r="G17" s="0" t="n">
        <v>55</v>
      </c>
      <c r="H17" s="0" t="n">
        <v>51</v>
      </c>
      <c r="I17" s="46" t="s">
        <v>161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X17" s="46" t="n">
        <f aca="false">IF(I17="Male",0,1)</f>
        <v>1</v>
      </c>
      <c r="Y17" s="46" t="n">
        <f aca="false">IF(OR(I17="DNB",I17="Dry DNB"),1,0)</f>
        <v>0</v>
      </c>
      <c r="Z17" s="0" t="str">
        <f aca="false">IF(ISNUMBER(W17),A17-W17,"")</f>
        <v/>
      </c>
      <c r="AA17" s="46" t="n">
        <f aca="false">MATCH(A17,DATAS,0)</f>
        <v>1</v>
      </c>
      <c r="AB17" s="46" t="n">
        <f aca="false">IF(AND(E17&gt;0,OR(AND(B17&gt;=1,B17&lt;=6),B17=10)),1,0)</f>
        <v>1</v>
      </c>
      <c r="AC17" s="46" t="n">
        <f aca="false">IF(AND(E17&gt;0,B17=10),1,0)</f>
        <v>0</v>
      </c>
      <c r="AD17" s="0" t="str">
        <f aca="false">IF(AND(C16=C17,AA16=AA17-1),AB16,"")</f>
        <v/>
      </c>
      <c r="AE17" s="0" t="str">
        <f aca="false">IF(AND(C16=C17,AA16=AA17-1),AC16,"")</f>
        <v/>
      </c>
      <c r="AF17" s="0" t="str">
        <f aca="false">IF(AA17=1,"",IF(AND(AB17=1,AD17&lt;&gt;1),1,0))</f>
        <v/>
      </c>
      <c r="AG17" s="0" t="str">
        <f aca="false">IF(AA17=1,"",IF(AND(AC17=1,AE17&lt;&gt;1),1,0))</f>
        <v/>
      </c>
      <c r="AH17" s="51" t="str">
        <f aca="false">IF(AND(E17&gt;0,AA17&lt;1,NOT(AND(C18=C17,AA18=AA17+1))),INDEX(DATAS,AA17+1),"")</f>
        <v/>
      </c>
      <c r="AI17" s="51" t="str">
        <f aca="false">IF(AND(AC17=1,AA17&lt;1),IF(AND(C18=C17,AA18=AA17+1),IF(AC18=1,"",INDEX(DATAS,AA17+1)),INDEX(DATAS,AA17+1)),"")</f>
        <v/>
      </c>
    </row>
    <row r="18" customFormat="false" ht="15" hidden="false" customHeight="false" outlineLevel="0" collapsed="false">
      <c r="A18" s="51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46" t="s">
        <v>166</v>
      </c>
      <c r="G18" s="0" t="n">
        <v>38.4</v>
      </c>
      <c r="H18" s="0" t="n">
        <v>34</v>
      </c>
      <c r="I18" s="46" t="s">
        <v>152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51" t="n">
        <v>46240</v>
      </c>
      <c r="X18" s="46" t="n">
        <f aca="false">IF(I18="Male",0,1)</f>
        <v>1</v>
      </c>
      <c r="Y18" s="46" t="n">
        <f aca="false">IF(OR(I18="DNB",I18="Dry DNB"),1,0)</f>
        <v>0</v>
      </c>
      <c r="Z18" s="46" t="n">
        <f aca="false">IF(ISNUMBER(W18),A18-W18,"")</f>
        <v>69</v>
      </c>
      <c r="AA18" s="46" t="n">
        <f aca="false">MATCH(A18,DATAS,0)</f>
        <v>1</v>
      </c>
      <c r="AB18" s="46" t="n">
        <f aca="false">IF(AND(E18&gt;0,OR(AND(B18&gt;=1,B18&lt;=6),B18=10)),1,0)</f>
        <v>1</v>
      </c>
      <c r="AC18" s="46" t="n">
        <f aca="false">IF(AND(E18&gt;0,B18=10),1,0)</f>
        <v>0</v>
      </c>
      <c r="AD18" s="0" t="str">
        <f aca="false">IF(AND(C17=C18,AA17=AA18-1),AB17,"")</f>
        <v/>
      </c>
      <c r="AE18" s="0" t="str">
        <f aca="false">IF(AND(C17=C18,AA17=AA18-1),AC17,"")</f>
        <v/>
      </c>
      <c r="AF18" s="0" t="str">
        <f aca="false">IF(AA18=1,"",IF(AND(AB18=1,AD18&lt;&gt;1),1,0))</f>
        <v/>
      </c>
      <c r="AG18" s="0" t="str">
        <f aca="false">IF(AA18=1,"",IF(AND(AC18=1,AE18&lt;&gt;1),1,0))</f>
        <v/>
      </c>
      <c r="AH18" s="51" t="str">
        <f aca="false">IF(AND(E18&gt;0,AA18&lt;1,NOT(AND(C19=C18,AA19=AA18+1))),INDEX(DATAS,AA18+1),"")</f>
        <v/>
      </c>
      <c r="AI18" s="51" t="str">
        <f aca="false">IF(AND(AC18=1,AA18&lt;1),IF(AND(C19=C18,AA19=AA18+1),IF(AC19=1,"",INDEX(DATAS,AA18+1)),INDEX(DATAS,AA18+1)),"")</f>
        <v/>
      </c>
    </row>
    <row r="19" customFormat="false" ht="15" hidden="false" customHeight="false" outlineLevel="0" collapsed="false">
      <c r="A19" s="51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46" t="s">
        <v>168</v>
      </c>
      <c r="G19" s="0" t="n">
        <v>17.6</v>
      </c>
      <c r="H19" s="0" t="n">
        <v>17</v>
      </c>
      <c r="I19" s="46" t="s">
        <v>138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51" t="n">
        <v>46093</v>
      </c>
      <c r="X19" s="46" t="n">
        <f aca="false">IF(I19="Male",0,1)</f>
        <v>1</v>
      </c>
      <c r="Y19" s="46" t="n">
        <f aca="false">IF(OR(I19="DNB",I19="Dry DNB"),1,0)</f>
        <v>1</v>
      </c>
      <c r="Z19" s="46" t="n">
        <f aca="false">IF(ISNUMBER(W19),A19-W19,"")</f>
        <v>216</v>
      </c>
      <c r="AA19" s="46" t="n">
        <f aca="false">MATCH(A19,DATAS,0)</f>
        <v>1</v>
      </c>
      <c r="AB19" s="46" t="n">
        <f aca="false">IF(AND(E19&gt;0,OR(AND(B19&gt;=1,B19&lt;=6),B19=10)),1,0)</f>
        <v>1</v>
      </c>
      <c r="AC19" s="46" t="n">
        <f aca="false">IF(AND(E19&gt;0,B19=10),1,0)</f>
        <v>0</v>
      </c>
      <c r="AD19" s="0" t="str">
        <f aca="false">IF(AND(C18=C19,AA18=AA19-1),AB18,"")</f>
        <v/>
      </c>
      <c r="AE19" s="0" t="str">
        <f aca="false">IF(AND(C18=C19,AA18=AA19-1),AC18,"")</f>
        <v/>
      </c>
      <c r="AF19" s="0" t="str">
        <f aca="false">IF(AA19=1,"",IF(AND(AB19=1,AD19&lt;&gt;1),1,0))</f>
        <v/>
      </c>
      <c r="AG19" s="0" t="str">
        <f aca="false">IF(AA19=1,"",IF(AND(AC19=1,AE19&lt;&gt;1),1,0))</f>
        <v/>
      </c>
      <c r="AH19" s="51" t="str">
        <f aca="false">IF(AND(E19&gt;0,AA19&lt;1,NOT(AND(C20=C19,AA20=AA19+1))),INDEX(DATAS,AA19+1),"")</f>
        <v/>
      </c>
      <c r="AI19" s="51" t="str">
        <f aca="false">IF(AND(AC19=1,AA19&lt;1),IF(AND(C20=C19,AA20=AA19+1),IF(AC20=1,"",INDEX(DATAS,AA19+1)),INDEX(DATAS,AA19+1)),"")</f>
        <v/>
      </c>
    </row>
    <row r="20" customFormat="false" ht="15" hidden="false" customHeight="false" outlineLevel="0" collapsed="false">
      <c r="A20" s="51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46" t="s">
        <v>169</v>
      </c>
      <c r="G20" s="0" t="n">
        <v>13.1</v>
      </c>
      <c r="H20" s="0" t="n">
        <v>30</v>
      </c>
      <c r="I20" s="46" t="s">
        <v>152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51" t="n">
        <v>46170</v>
      </c>
      <c r="X20" s="46" t="n">
        <f aca="false">IF(I20="Male",0,1)</f>
        <v>1</v>
      </c>
      <c r="Y20" s="46" t="n">
        <f aca="false">IF(OR(I20="DNB",I20="Dry DNB"),1,0)</f>
        <v>0</v>
      </c>
      <c r="Z20" s="46" t="n">
        <f aca="false">IF(ISNUMBER(W20),A20-W20,"")</f>
        <v>139</v>
      </c>
      <c r="AA20" s="46" t="n">
        <f aca="false">MATCH(A20,DATAS,0)</f>
        <v>1</v>
      </c>
      <c r="AB20" s="46" t="n">
        <f aca="false">IF(AND(E20&gt;0,OR(AND(B20&gt;=1,B20&lt;=6),B20=10)),1,0)</f>
        <v>1</v>
      </c>
      <c r="AC20" s="46" t="n">
        <f aca="false">IF(AND(E20&gt;0,B20=10),1,0)</f>
        <v>1</v>
      </c>
      <c r="AD20" s="0" t="str">
        <f aca="false">IF(AND(C19=C20,AA19=AA20-1),AB19,"")</f>
        <v/>
      </c>
      <c r="AE20" s="0" t="str">
        <f aca="false">IF(AND(C19=C20,AA19=AA20-1),AC19,"")</f>
        <v/>
      </c>
      <c r="AF20" s="0" t="str">
        <f aca="false">IF(AA20=1,"",IF(AND(AB20=1,AD20&lt;&gt;1),1,0))</f>
        <v/>
      </c>
      <c r="AG20" s="0" t="str">
        <f aca="false">IF(AA20=1,"",IF(AND(AC20=1,AE20&lt;&gt;1),1,0))</f>
        <v/>
      </c>
      <c r="AH20" s="51" t="str">
        <f aca="false">IF(AND(E20&gt;0,AA20&lt;1,NOT(AND(C21=C20,AA21=AA20+1))),INDEX(DATAS,AA20+1),"")</f>
        <v/>
      </c>
      <c r="AI20" s="51" t="str">
        <f aca="false">IF(AND(AC20=1,AA20&lt;1),IF(AND(C21=C20,AA21=AA20+1),IF(AC21=1,"",INDEX(DATAS,AA20+1)),INDEX(DATAS,AA20+1)),"")</f>
        <v/>
      </c>
    </row>
    <row r="21" customFormat="false" ht="15" hidden="false" customHeight="false" outlineLevel="0" collapsed="false">
      <c r="A21" s="51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46" t="s">
        <v>170</v>
      </c>
      <c r="G21" s="0" t="n">
        <v>19.3</v>
      </c>
      <c r="H21" s="0" t="n">
        <v>19</v>
      </c>
      <c r="I21" s="46" t="s">
        <v>138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51" t="n">
        <v>46156</v>
      </c>
      <c r="X21" s="46" t="n">
        <f aca="false">IF(I21="Male",0,1)</f>
        <v>1</v>
      </c>
      <c r="Y21" s="46" t="n">
        <f aca="false">IF(OR(I21="DNB",I21="Dry DNB"),1,0)</f>
        <v>1</v>
      </c>
      <c r="Z21" s="46" t="n">
        <f aca="false">IF(ISNUMBER(W21),A21-W21,"")</f>
        <v>153</v>
      </c>
      <c r="AA21" s="46" t="n">
        <f aca="false">MATCH(A21,DATAS,0)</f>
        <v>1</v>
      </c>
      <c r="AB21" s="46" t="n">
        <f aca="false">IF(AND(E21&gt;0,OR(AND(B21&gt;=1,B21&lt;=6),B21=10)),1,0)</f>
        <v>1</v>
      </c>
      <c r="AC21" s="46" t="n">
        <f aca="false">IF(AND(E21&gt;0,B21=10),1,0)</f>
        <v>0</v>
      </c>
      <c r="AD21" s="0" t="str">
        <f aca="false">IF(AND(C20=C21,AA20=AA21-1),AB20,"")</f>
        <v/>
      </c>
      <c r="AE21" s="0" t="str">
        <f aca="false">IF(AND(C20=C21,AA20=AA21-1),AC20,"")</f>
        <v/>
      </c>
      <c r="AF21" s="0" t="str">
        <f aca="false">IF(AA21=1,"",IF(AND(AB21=1,AD21&lt;&gt;1),1,0))</f>
        <v/>
      </c>
      <c r="AG21" s="0" t="str">
        <f aca="false">IF(AA21=1,"",IF(AND(AC21=1,AE21&lt;&gt;1),1,0))</f>
        <v/>
      </c>
      <c r="AH21" s="51" t="str">
        <f aca="false">IF(AND(E21&gt;0,AA21&lt;1,NOT(AND(C22=C21,AA22=AA21+1))),INDEX(DATAS,AA21+1),"")</f>
        <v/>
      </c>
      <c r="AI21" s="51" t="str">
        <f aca="false">IF(AND(AC21=1,AA21&lt;1),IF(AND(C22=C21,AA22=AA21+1),IF(AC22=1,"",INDEX(DATAS,AA21+1)),INDEX(DATAS,AA21+1)),"")</f>
        <v/>
      </c>
    </row>
    <row r="22" customFormat="false" ht="15" hidden="false" customHeight="false" outlineLevel="0" collapsed="false">
      <c r="A22" s="51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46" t="s">
        <v>171</v>
      </c>
      <c r="G22" s="0" t="n">
        <v>55.3</v>
      </c>
      <c r="H22" s="0" t="n">
        <v>51</v>
      </c>
      <c r="I22" s="46" t="s">
        <v>161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X22" s="46" t="n">
        <f aca="false">IF(I22="Male",0,1)</f>
        <v>1</v>
      </c>
      <c r="Y22" s="46" t="n">
        <f aca="false">IF(OR(I22="DNB",I22="Dry DNB"),1,0)</f>
        <v>0</v>
      </c>
      <c r="Z22" s="0" t="str">
        <f aca="false">IF(ISNUMBER(W22),A22-W22,"")</f>
        <v/>
      </c>
      <c r="AA22" s="46" t="n">
        <f aca="false">MATCH(A22,DATAS,0)</f>
        <v>1</v>
      </c>
      <c r="AB22" s="46" t="n">
        <f aca="false">IF(AND(E22&gt;0,OR(AND(B22&gt;=1,B22&lt;=6),B22=10)),1,0)</f>
        <v>1</v>
      </c>
      <c r="AC22" s="46" t="n">
        <f aca="false">IF(AND(E22&gt;0,B22=10),1,0)</f>
        <v>0</v>
      </c>
      <c r="AD22" s="0" t="str">
        <f aca="false">IF(AND(C21=C22,AA21=AA22-1),AB21,"")</f>
        <v/>
      </c>
      <c r="AE22" s="0" t="str">
        <f aca="false">IF(AND(C21=C22,AA21=AA22-1),AC21,"")</f>
        <v/>
      </c>
      <c r="AF22" s="0" t="str">
        <f aca="false">IF(AA22=1,"",IF(AND(AB22=1,AD22&lt;&gt;1),1,0))</f>
        <v/>
      </c>
      <c r="AG22" s="0" t="str">
        <f aca="false">IF(AA22=1,"",IF(AND(AC22=1,AE22&lt;&gt;1),1,0))</f>
        <v/>
      </c>
      <c r="AH22" s="51" t="str">
        <f aca="false">IF(AND(E22&gt;0,AA22&lt;1,NOT(AND(C23=C22,AA23=AA22+1))),INDEX(DATAS,AA22+1),"")</f>
        <v/>
      </c>
      <c r="AI22" s="51" t="str">
        <f aca="false">IF(AND(AC22=1,AA22&lt;1),IF(AND(C23=C22,AA23=AA22+1),IF(AC23=1,"",INDEX(DATAS,AA22+1)),INDEX(DATAS,AA22+1)),"")</f>
        <v/>
      </c>
    </row>
    <row r="23" customFormat="false" ht="15" hidden="false" customHeight="false" outlineLevel="0" collapsed="false">
      <c r="A23" s="51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46" t="s">
        <v>172</v>
      </c>
      <c r="G23" s="0" t="n">
        <v>44.3</v>
      </c>
      <c r="H23" s="0" t="n">
        <v>42</v>
      </c>
      <c r="I23" s="46" t="s">
        <v>161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X23" s="46" t="n">
        <f aca="false">IF(I23="Male",0,1)</f>
        <v>1</v>
      </c>
      <c r="Y23" s="46" t="n">
        <f aca="false">IF(OR(I23="DNB",I23="Dry DNB"),1,0)</f>
        <v>0</v>
      </c>
      <c r="Z23" s="0" t="str">
        <f aca="false">IF(ISNUMBER(W23),A23-W23,"")</f>
        <v/>
      </c>
      <c r="AA23" s="46" t="n">
        <f aca="false">MATCH(A23,DATAS,0)</f>
        <v>1</v>
      </c>
      <c r="AB23" s="46" t="n">
        <f aca="false">IF(AND(E23&gt;0,OR(AND(B23&gt;=1,B23&lt;=6),B23=10)),1,0)</f>
        <v>1</v>
      </c>
      <c r="AC23" s="46" t="n">
        <f aca="false">IF(AND(E23&gt;0,B23=10),1,0)</f>
        <v>0</v>
      </c>
      <c r="AD23" s="0" t="str">
        <f aca="false">IF(AND(C22=C23,AA22=AA23-1),AB22,"")</f>
        <v/>
      </c>
      <c r="AE23" s="0" t="str">
        <f aca="false">IF(AND(C22=C23,AA22=AA23-1),AC22,"")</f>
        <v/>
      </c>
      <c r="AF23" s="0" t="str">
        <f aca="false">IF(AA23=1,"",IF(AND(AB23=1,AD23&lt;&gt;1),1,0))</f>
        <v/>
      </c>
      <c r="AG23" s="0" t="str">
        <f aca="false">IF(AA23=1,"",IF(AND(AC23=1,AE23&lt;&gt;1),1,0))</f>
        <v/>
      </c>
      <c r="AH23" s="51" t="str">
        <f aca="false">IF(AND(E23&gt;0,AA23&lt;1,NOT(AND(C24=C23,AA24=AA23+1))),INDEX(DATAS,AA23+1),"")</f>
        <v/>
      </c>
      <c r="AI23" s="51" t="str">
        <f aca="false">IF(AND(AC23=1,AA23&lt;1),IF(AND(C24=C23,AA24=AA23+1),IF(AC24=1,"",INDEX(DATAS,AA23+1)),INDEX(DATAS,AA23+1)),"")</f>
        <v/>
      </c>
    </row>
    <row r="24" customFormat="false" ht="15" hidden="false" customHeight="false" outlineLevel="0" collapsed="false">
      <c r="A24" s="51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46" t="s">
        <v>173</v>
      </c>
      <c r="I24" s="46" t="s">
        <v>157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51" t="n">
        <v>46191</v>
      </c>
      <c r="X24" s="46" t="n">
        <f aca="false">IF(I24="Male",0,1)</f>
        <v>1</v>
      </c>
      <c r="Y24" s="46" t="n">
        <f aca="false">IF(OR(I24="DNB",I24="Dry DNB"),1,0)</f>
        <v>0</v>
      </c>
      <c r="Z24" s="46" t="n">
        <f aca="false">IF(ISNUMBER(W24),A24-W24,"")</f>
        <v>118</v>
      </c>
      <c r="AA24" s="46" t="n">
        <f aca="false">MATCH(A24,DATAS,0)</f>
        <v>1</v>
      </c>
      <c r="AB24" s="46" t="n">
        <f aca="false">IF(AND(E24&gt;0,OR(AND(B24&gt;=1,B24&lt;=6),B24=10)),1,0)</f>
        <v>0</v>
      </c>
      <c r="AC24" s="46" t="n">
        <f aca="false">IF(AND(E24&gt;0,B24=10),1,0)</f>
        <v>0</v>
      </c>
      <c r="AD24" s="0" t="str">
        <f aca="false">IF(AND(C23=C24,AA23=AA24-1),AB23,"")</f>
        <v/>
      </c>
      <c r="AE24" s="0" t="str">
        <f aca="false">IF(AND(C23=C24,AA23=AA24-1),AC23,"")</f>
        <v/>
      </c>
      <c r="AF24" s="0" t="str">
        <f aca="false">IF(AA24=1,"",IF(AND(AB24=1,AD24&lt;&gt;1),1,0))</f>
        <v/>
      </c>
      <c r="AG24" s="0" t="str">
        <f aca="false">IF(AA24=1,"",IF(AND(AC24=1,AE24&lt;&gt;1),1,0))</f>
        <v/>
      </c>
      <c r="AH24" s="51" t="str">
        <f aca="false">IF(AND(E24&gt;0,AA24&lt;1,NOT(AND(C25=C24,AA25=AA24+1))),INDEX(DATAS,AA24+1),"")</f>
        <v/>
      </c>
      <c r="AI24" s="51" t="str">
        <f aca="false">IF(AND(AC24=1,AA24&lt;1),IF(AND(C25=C24,AA25=AA24+1),IF(AC25=1,"",INDEX(DATAS,AA24+1)),INDEX(DATAS,AA24+1)),"")</f>
        <v/>
      </c>
    </row>
    <row r="25" customFormat="false" ht="15" hidden="false" customHeight="false" outlineLevel="0" collapsed="false">
      <c r="A25" s="51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46" t="s">
        <v>174</v>
      </c>
      <c r="I25" s="46" t="s">
        <v>157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51" t="n">
        <v>46037</v>
      </c>
      <c r="X25" s="46" t="n">
        <f aca="false">IF(I25="Male",0,1)</f>
        <v>1</v>
      </c>
      <c r="Y25" s="46" t="n">
        <f aca="false">IF(OR(I25="DNB",I25="Dry DNB"),1,0)</f>
        <v>0</v>
      </c>
      <c r="Z25" s="46" t="n">
        <f aca="false">IF(ISNUMBER(W25),A25-W25,"")</f>
        <v>272</v>
      </c>
      <c r="AA25" s="46" t="n">
        <f aca="false">MATCH(A25,DATAS,0)</f>
        <v>1</v>
      </c>
      <c r="AB25" s="46" t="n">
        <f aca="false">IF(AND(E25&gt;0,OR(AND(B25&gt;=1,B25&lt;=6),B25=10)),1,0)</f>
        <v>0</v>
      </c>
      <c r="AC25" s="46" t="n">
        <f aca="false">IF(AND(E25&gt;0,B25=10),1,0)</f>
        <v>0</v>
      </c>
      <c r="AD25" s="0" t="str">
        <f aca="false">IF(AND(C24=C25,AA24=AA25-1),AB24,"")</f>
        <v/>
      </c>
      <c r="AE25" s="0" t="str">
        <f aca="false">IF(AND(C24=C25,AA24=AA25-1),AC24,"")</f>
        <v/>
      </c>
      <c r="AF25" s="0" t="str">
        <f aca="false">IF(AA25=1,"",IF(AND(AB25=1,AD25&lt;&gt;1),1,0))</f>
        <v/>
      </c>
      <c r="AG25" s="0" t="str">
        <f aca="false">IF(AA25=1,"",IF(AND(AC25=1,AE25&lt;&gt;1),1,0))</f>
        <v/>
      </c>
      <c r="AH25" s="51" t="str">
        <f aca="false">IF(AND(E25&gt;0,AA25&lt;1,NOT(AND(C26=C25,AA26=AA25+1))),INDEX(DATAS,AA25+1),"")</f>
        <v/>
      </c>
      <c r="AI25" s="51" t="str">
        <f aca="false">IF(AND(AC25=1,AA25&lt;1),IF(AND(C26=C25,AA26=AA25+1),IF(AC26=1,"",INDEX(DATAS,AA25+1)),INDEX(DATAS,AA25+1)),"")</f>
        <v/>
      </c>
    </row>
    <row r="26" customFormat="false" ht="15" hidden="false" customHeight="false" outlineLevel="0" collapsed="false">
      <c r="A26" s="51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46" t="s">
        <v>175</v>
      </c>
      <c r="G26" s="0" t="n">
        <v>10.3</v>
      </c>
      <c r="H26" s="0" t="n">
        <v>20</v>
      </c>
      <c r="I26" s="46" t="s">
        <v>152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51" t="n">
        <v>46247</v>
      </c>
      <c r="X26" s="46" t="n">
        <f aca="false">IF(I26="Male",0,1)</f>
        <v>1</v>
      </c>
      <c r="Y26" s="46" t="n">
        <f aca="false">IF(OR(I26="DNB",I26="Dry DNB"),1,0)</f>
        <v>0</v>
      </c>
      <c r="Z26" s="46" t="n">
        <f aca="false">IF(ISNUMBER(W26),A26-W26,"")</f>
        <v>62</v>
      </c>
      <c r="AA26" s="46" t="n">
        <f aca="false">MATCH(A26,DATAS,0)</f>
        <v>1</v>
      </c>
      <c r="AB26" s="46" t="n">
        <f aca="false">IF(AND(E26&gt;0,OR(AND(B26&gt;=1,B26&lt;=6),B26=10)),1,0)</f>
        <v>1</v>
      </c>
      <c r="AC26" s="46" t="n">
        <f aca="false">IF(AND(E26&gt;0,B26=10),1,0)</f>
        <v>1</v>
      </c>
      <c r="AD26" s="0" t="str">
        <f aca="false">IF(AND(C25=C26,AA25=AA26-1),AB25,"")</f>
        <v/>
      </c>
      <c r="AE26" s="0" t="str">
        <f aca="false">IF(AND(C25=C26,AA25=AA26-1),AC25,"")</f>
        <v/>
      </c>
      <c r="AF26" s="0" t="str">
        <f aca="false">IF(AA26=1,"",IF(AND(AB26=1,AD26&lt;&gt;1),1,0))</f>
        <v/>
      </c>
      <c r="AG26" s="0" t="str">
        <f aca="false">IF(AA26=1,"",IF(AND(AC26=1,AE26&lt;&gt;1),1,0))</f>
        <v/>
      </c>
      <c r="AH26" s="51" t="str">
        <f aca="false">IF(AND(E26&gt;0,AA26&lt;1,NOT(AND(C27=C26,AA27=AA26+1))),INDEX(DATAS,AA26+1),"")</f>
        <v/>
      </c>
      <c r="AI26" s="51" t="str">
        <f aca="false">IF(AND(AC26=1,AA26&lt;1),IF(AND(C27=C26,AA27=AA26+1),IF(AC27=1,"",INDEX(DATAS,AA26+1)),INDEX(DATAS,AA26+1)),"")</f>
        <v/>
      </c>
    </row>
    <row r="27" customFormat="false" ht="15" hidden="false" customHeight="false" outlineLevel="0" collapsed="false">
      <c r="A27" s="51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46" t="s">
        <v>176</v>
      </c>
      <c r="G27" s="0" t="n">
        <v>25</v>
      </c>
      <c r="H27" s="0" t="n">
        <v>24</v>
      </c>
      <c r="I27" s="46" t="s">
        <v>152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51" t="n">
        <v>46240</v>
      </c>
      <c r="X27" s="46" t="n">
        <f aca="false">IF(I27="Male",0,1)</f>
        <v>1</v>
      </c>
      <c r="Y27" s="46" t="n">
        <f aca="false">IF(OR(I27="DNB",I27="Dry DNB"),1,0)</f>
        <v>0</v>
      </c>
      <c r="Z27" s="46" t="n">
        <f aca="false">IF(ISNUMBER(W27),A27-W27,"")</f>
        <v>69</v>
      </c>
      <c r="AA27" s="46" t="n">
        <f aca="false">MATCH(A27,DATAS,0)</f>
        <v>1</v>
      </c>
      <c r="AB27" s="46" t="n">
        <f aca="false">IF(AND(E27&gt;0,OR(AND(B27&gt;=1,B27&lt;=6),B27=10)),1,0)</f>
        <v>1</v>
      </c>
      <c r="AC27" s="46" t="n">
        <f aca="false">IF(AND(E27&gt;0,B27=10),1,0)</f>
        <v>0</v>
      </c>
      <c r="AD27" s="0" t="str">
        <f aca="false">IF(AND(C26=C27,AA26=AA27-1),AB26,"")</f>
        <v/>
      </c>
      <c r="AE27" s="0" t="str">
        <f aca="false">IF(AND(C26=C27,AA26=AA27-1),AC26,"")</f>
        <v/>
      </c>
      <c r="AF27" s="0" t="str">
        <f aca="false">IF(AA27=1,"",IF(AND(AB27=1,AD27&lt;&gt;1),1,0))</f>
        <v/>
      </c>
      <c r="AG27" s="0" t="str">
        <f aca="false">IF(AA27=1,"",IF(AND(AC27=1,AE27&lt;&gt;1),1,0))</f>
        <v/>
      </c>
      <c r="AH27" s="51" t="str">
        <f aca="false">IF(AND(E27&gt;0,AA27&lt;1,NOT(AND(C28=C27,AA28=AA27+1))),INDEX(DATAS,AA27+1),"")</f>
        <v/>
      </c>
      <c r="AI27" s="51" t="str">
        <f aca="false">IF(AND(AC27=1,AA27&lt;1),IF(AND(C28=C27,AA28=AA27+1),IF(AC28=1,"",INDEX(DATAS,AA27+1)),INDEX(DATAS,AA27+1)),"")</f>
        <v/>
      </c>
    </row>
    <row r="28" customFormat="false" ht="15" hidden="false" customHeight="false" outlineLevel="0" collapsed="false">
      <c r="A28" s="51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46" t="s">
        <v>177</v>
      </c>
      <c r="G28" s="0" t="n">
        <v>47.9</v>
      </c>
      <c r="H28" s="0" t="n">
        <v>46</v>
      </c>
      <c r="I28" s="46" t="s">
        <v>152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51" t="n">
        <v>46219</v>
      </c>
      <c r="X28" s="46" t="n">
        <f aca="false">IF(I28="Male",0,1)</f>
        <v>1</v>
      </c>
      <c r="Y28" s="46" t="n">
        <f aca="false">IF(OR(I28="DNB",I28="Dry DNB"),1,0)</f>
        <v>0</v>
      </c>
      <c r="Z28" s="46" t="n">
        <f aca="false">IF(ISNUMBER(W28),A28-W28,"")</f>
        <v>90</v>
      </c>
      <c r="AA28" s="46" t="n">
        <f aca="false">MATCH(A28,DATAS,0)</f>
        <v>1</v>
      </c>
      <c r="AB28" s="46" t="n">
        <f aca="false">IF(AND(E28&gt;0,OR(AND(B28&gt;=1,B28&lt;=6),B28=10)),1,0)</f>
        <v>1</v>
      </c>
      <c r="AC28" s="46" t="n">
        <f aca="false">IF(AND(E28&gt;0,B28=10),1,0)</f>
        <v>0</v>
      </c>
      <c r="AD28" s="0" t="str">
        <f aca="false">IF(AND(C27=C28,AA27=AA28-1),AB27,"")</f>
        <v/>
      </c>
      <c r="AE28" s="0" t="str">
        <f aca="false">IF(AND(C27=C28,AA27=AA28-1),AC27,"")</f>
        <v/>
      </c>
      <c r="AF28" s="0" t="str">
        <f aca="false">IF(AA28=1,"",IF(AND(AB28=1,AD28&lt;&gt;1),1,0))</f>
        <v/>
      </c>
      <c r="AG28" s="0" t="str">
        <f aca="false">IF(AA28=1,"",IF(AND(AC28=1,AE28&lt;&gt;1),1,0))</f>
        <v/>
      </c>
      <c r="AH28" s="51" t="str">
        <f aca="false">IF(AND(E28&gt;0,AA28&lt;1,NOT(AND(C29=C28,AA29=AA28+1))),INDEX(DATAS,AA28+1),"")</f>
        <v/>
      </c>
      <c r="AI28" s="51" t="str">
        <f aca="false">IF(AND(AC28=1,AA28&lt;1),IF(AND(C29=C28,AA29=AA28+1),IF(AC29=1,"",INDEX(DATAS,AA28+1)),INDEX(DATAS,AA28+1)),"")</f>
        <v/>
      </c>
    </row>
    <row r="29" customFormat="false" ht="15" hidden="false" customHeight="false" outlineLevel="0" collapsed="false">
      <c r="A29" s="51" t="n">
        <v>46309</v>
      </c>
      <c r="B29" s="0" t="n">
        <v>13</v>
      </c>
      <c r="C29" s="0" t="n">
        <v>2413</v>
      </c>
      <c r="E29" s="0" t="n">
        <v>0</v>
      </c>
      <c r="F29" s="46" t="s">
        <v>178</v>
      </c>
      <c r="I29" s="46" t="s">
        <v>179</v>
      </c>
      <c r="U29" s="0" t="n">
        <v>220</v>
      </c>
      <c r="V29" s="0" t="n">
        <v>0</v>
      </c>
      <c r="X29" s="46" t="n">
        <f aca="false">IF(I29="Male",0,1)</f>
        <v>1</v>
      </c>
      <c r="Y29" s="46" t="n">
        <f aca="false">IF(OR(I29="DNB",I29="Dry DNB"),1,0)</f>
        <v>0</v>
      </c>
      <c r="Z29" s="0" t="str">
        <f aca="false">IF(ISNUMBER(W29),A29-W29,"")</f>
        <v/>
      </c>
      <c r="AA29" s="46" t="n">
        <f aca="false">MATCH(A29,DATAS,0)</f>
        <v>1</v>
      </c>
      <c r="AB29" s="46" t="n">
        <f aca="false">IF(AND(E29&gt;0,OR(AND(B29&gt;=1,B29&lt;=6),B29=10)),1,0)</f>
        <v>0</v>
      </c>
      <c r="AC29" s="46" t="n">
        <f aca="false">IF(AND(E29&gt;0,B29=10),1,0)</f>
        <v>0</v>
      </c>
      <c r="AD29" s="0" t="str">
        <f aca="false">IF(AND(C28=C29,AA28=AA29-1),AB28,"")</f>
        <v/>
      </c>
      <c r="AE29" s="0" t="str">
        <f aca="false">IF(AND(C28=C29,AA28=AA29-1),AC28,"")</f>
        <v/>
      </c>
      <c r="AF29" s="0" t="str">
        <f aca="false">IF(AA29=1,"",IF(AND(AB29=1,AD29&lt;&gt;1),1,0))</f>
        <v/>
      </c>
      <c r="AG29" s="0" t="str">
        <f aca="false">IF(AA29=1,"",IF(AND(AC29=1,AE29&lt;&gt;1),1,0))</f>
        <v/>
      </c>
      <c r="AH29" s="51" t="str">
        <f aca="false">IF(AND(E29&gt;0,AA29&lt;1,NOT(AND(C30=C29,AA30=AA29+1))),INDEX(DATAS,AA29+1),"")</f>
        <v/>
      </c>
      <c r="AI29" s="51" t="str">
        <f aca="false">IF(AND(AC29=1,AA29&lt;1),IF(AND(C30=C29,AA30=AA29+1),IF(AC30=1,"",INDEX(DATAS,AA29+1)),INDEX(DATAS,AA29+1)),"")</f>
        <v/>
      </c>
    </row>
    <row r="30" customFormat="false" ht="15" hidden="false" customHeight="false" outlineLevel="0" collapsed="false">
      <c r="A30" s="51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46" t="s">
        <v>180</v>
      </c>
      <c r="G30" s="0" t="n">
        <v>20.1</v>
      </c>
      <c r="H30" s="0" t="n">
        <v>18</v>
      </c>
      <c r="I30" s="46" t="s">
        <v>181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51" t="n">
        <v>46281</v>
      </c>
      <c r="X30" s="46" t="n">
        <f aca="false">IF(I30="Male",0,1)</f>
        <v>1</v>
      </c>
      <c r="Y30" s="46" t="n">
        <f aca="false">IF(OR(I30="DNB",I30="Dry DNB"),1,0)</f>
        <v>0</v>
      </c>
      <c r="Z30" s="46" t="n">
        <f aca="false">IF(ISNUMBER(W30),A30-W30,"")</f>
        <v>28</v>
      </c>
      <c r="AA30" s="46" t="n">
        <f aca="false">MATCH(A30,DATAS,0)</f>
        <v>1</v>
      </c>
      <c r="AB30" s="46" t="n">
        <f aca="false">IF(AND(E30&gt;0,OR(AND(B30&gt;=1,B30&lt;=6),B30=10)),1,0)</f>
        <v>1</v>
      </c>
      <c r="AC30" s="46" t="n">
        <f aca="false">IF(AND(E30&gt;0,B30=10),1,0)</f>
        <v>0</v>
      </c>
      <c r="AD30" s="0" t="str">
        <f aca="false">IF(AND(C29=C30,AA29=AA30-1),AB29,"")</f>
        <v/>
      </c>
      <c r="AE30" s="0" t="str">
        <f aca="false">IF(AND(C29=C30,AA29=AA30-1),AC29,"")</f>
        <v/>
      </c>
      <c r="AF30" s="0" t="str">
        <f aca="false">IF(AA30=1,"",IF(AND(AB30=1,AD30&lt;&gt;1),1,0))</f>
        <v/>
      </c>
      <c r="AG30" s="0" t="str">
        <f aca="false">IF(AA30=1,"",IF(AND(AC30=1,AE30&lt;&gt;1),1,0))</f>
        <v/>
      </c>
      <c r="AH30" s="51" t="str">
        <f aca="false">IF(AND(E30&gt;0,AA30&lt;1,NOT(AND(C31=C30,AA31=AA30+1))),INDEX(DATAS,AA30+1),"")</f>
        <v/>
      </c>
      <c r="AI30" s="51" t="str">
        <f aca="false">IF(AND(AC30=1,AA30&lt;1),IF(AND(C31=C30,AA31=AA30+1),IF(AC31=1,"",INDEX(DATAS,AA30+1)),INDEX(DATAS,AA30+1)),"")</f>
        <v/>
      </c>
    </row>
    <row r="31" customFormat="false" ht="15" hidden="false" customHeight="false" outlineLevel="0" collapsed="false">
      <c r="A31" s="51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46" t="s">
        <v>182</v>
      </c>
      <c r="G31" s="0" t="n">
        <v>21.9</v>
      </c>
      <c r="H31" s="0" t="n">
        <v>22</v>
      </c>
      <c r="I31" s="46" t="s">
        <v>138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51" t="n">
        <v>46135</v>
      </c>
      <c r="X31" s="46" t="n">
        <f aca="false">IF(I31="Male",0,1)</f>
        <v>1</v>
      </c>
      <c r="Y31" s="46" t="n">
        <f aca="false">IF(OR(I31="DNB",I31="Dry DNB"),1,0)</f>
        <v>1</v>
      </c>
      <c r="Z31" s="46" t="n">
        <f aca="false">IF(ISNUMBER(W31),A31-W31,"")</f>
        <v>174</v>
      </c>
      <c r="AA31" s="46" t="n">
        <f aca="false">MATCH(A31,DATAS,0)</f>
        <v>1</v>
      </c>
      <c r="AB31" s="46" t="n">
        <f aca="false">IF(AND(E31&gt;0,OR(AND(B31&gt;=1,B31&lt;=6),B31=10)),1,0)</f>
        <v>1</v>
      </c>
      <c r="AC31" s="46" t="n">
        <f aca="false">IF(AND(E31&gt;0,B31=10),1,0)</f>
        <v>0</v>
      </c>
      <c r="AD31" s="0" t="str">
        <f aca="false">IF(AND(C30=C31,AA30=AA31-1),AB30,"")</f>
        <v/>
      </c>
      <c r="AE31" s="0" t="str">
        <f aca="false">IF(AND(C30=C31,AA30=AA31-1),AC30,"")</f>
        <v/>
      </c>
      <c r="AF31" s="0" t="str">
        <f aca="false">IF(AA31=1,"",IF(AND(AB31=1,AD31&lt;&gt;1),1,0))</f>
        <v/>
      </c>
      <c r="AG31" s="0" t="str">
        <f aca="false">IF(AA31=1,"",IF(AND(AC31=1,AE31&lt;&gt;1),1,0))</f>
        <v/>
      </c>
      <c r="AH31" s="51" t="str">
        <f aca="false">IF(AND(E31&gt;0,AA31&lt;1,NOT(AND(C32=C31,AA32=AA31+1))),INDEX(DATAS,AA31+1),"")</f>
        <v/>
      </c>
      <c r="AI31" s="51" t="str">
        <f aca="false">IF(AND(AC31=1,AA31&lt;1),IF(AND(C32=C31,AA32=AA31+1),IF(AC32=1,"",INDEX(DATAS,AA31+1)),INDEX(DATAS,AA31+1)),"")</f>
        <v/>
      </c>
    </row>
    <row r="32" customFormat="false" ht="15" hidden="false" customHeight="false" outlineLevel="0" collapsed="false">
      <c r="A32" s="51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46" t="s">
        <v>183</v>
      </c>
      <c r="I32" s="46" t="s">
        <v>157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51" t="n">
        <v>46086</v>
      </c>
      <c r="X32" s="46" t="n">
        <f aca="false">IF(I32="Male",0,1)</f>
        <v>1</v>
      </c>
      <c r="Y32" s="46" t="n">
        <f aca="false">IF(OR(I32="DNB",I32="Dry DNB"),1,0)</f>
        <v>0</v>
      </c>
      <c r="Z32" s="46" t="n">
        <f aca="false">IF(ISNUMBER(W32),A32-W32,"")</f>
        <v>223</v>
      </c>
      <c r="AA32" s="46" t="n">
        <f aca="false">MATCH(A32,DATAS,0)</f>
        <v>1</v>
      </c>
      <c r="AB32" s="46" t="n">
        <f aca="false">IF(AND(E32&gt;0,OR(AND(B32&gt;=1,B32&lt;=6),B32=10)),1,0)</f>
        <v>0</v>
      </c>
      <c r="AC32" s="46" t="n">
        <f aca="false">IF(AND(E32&gt;0,B32=10),1,0)</f>
        <v>0</v>
      </c>
      <c r="AD32" s="0" t="str">
        <f aca="false">IF(AND(C31=C32,AA31=AA32-1),AB31,"")</f>
        <v/>
      </c>
      <c r="AE32" s="0" t="str">
        <f aca="false">IF(AND(C31=C32,AA31=AA32-1),AC31,"")</f>
        <v/>
      </c>
      <c r="AF32" s="0" t="str">
        <f aca="false">IF(AA32=1,"",IF(AND(AB32=1,AD32&lt;&gt;1),1,0))</f>
        <v/>
      </c>
      <c r="AG32" s="0" t="str">
        <f aca="false">IF(AA32=1,"",IF(AND(AC32=1,AE32&lt;&gt;1),1,0))</f>
        <v/>
      </c>
      <c r="AH32" s="51" t="str">
        <f aca="false">IF(AND(E32&gt;0,AA32&lt;1,NOT(AND(C33=C32,AA33=AA32+1))),INDEX(DATAS,AA32+1),"")</f>
        <v/>
      </c>
      <c r="AI32" s="51" t="str">
        <f aca="false">IF(AND(AC32=1,AA32&lt;1),IF(AND(C33=C32,AA33=AA32+1),IF(AC33=1,"",INDEX(DATAS,AA32+1)),INDEX(DATAS,AA32+1)),"")</f>
        <v/>
      </c>
    </row>
    <row r="33" customFormat="false" ht="15" hidden="false" customHeight="false" outlineLevel="0" collapsed="false">
      <c r="A33" s="51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46" t="s">
        <v>184</v>
      </c>
      <c r="G33" s="0" t="n">
        <v>34</v>
      </c>
      <c r="H33" s="0" t="n">
        <v>36</v>
      </c>
      <c r="I33" s="46" t="s">
        <v>161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X33" s="46" t="n">
        <f aca="false">IF(I33="Male",0,1)</f>
        <v>1</v>
      </c>
      <c r="Y33" s="46" t="n">
        <f aca="false">IF(OR(I33="DNB",I33="Dry DNB"),1,0)</f>
        <v>0</v>
      </c>
      <c r="Z33" s="0" t="str">
        <f aca="false">IF(ISNUMBER(W33),A33-W33,"")</f>
        <v/>
      </c>
      <c r="AA33" s="46" t="n">
        <f aca="false">MATCH(A33,DATAS,0)</f>
        <v>1</v>
      </c>
      <c r="AB33" s="46" t="n">
        <f aca="false">IF(AND(E33&gt;0,OR(AND(B33&gt;=1,B33&lt;=6),B33=10)),1,0)</f>
        <v>1</v>
      </c>
      <c r="AC33" s="46" t="n">
        <f aca="false">IF(AND(E33&gt;0,B33=10),1,0)</f>
        <v>0</v>
      </c>
      <c r="AD33" s="0" t="str">
        <f aca="false">IF(AND(C32=C33,AA32=AA33-1),AB32,"")</f>
        <v/>
      </c>
      <c r="AE33" s="0" t="str">
        <f aca="false">IF(AND(C32=C33,AA32=AA33-1),AC32,"")</f>
        <v/>
      </c>
      <c r="AF33" s="0" t="str">
        <f aca="false">IF(AA33=1,"",IF(AND(AB33=1,AD33&lt;&gt;1),1,0))</f>
        <v/>
      </c>
      <c r="AG33" s="0" t="str">
        <f aca="false">IF(AA33=1,"",IF(AND(AC33=1,AE33&lt;&gt;1),1,0))</f>
        <v/>
      </c>
      <c r="AH33" s="51" t="str">
        <f aca="false">IF(AND(E33&gt;0,AA33&lt;1,NOT(AND(C34=C33,AA34=AA33+1))),INDEX(DATAS,AA33+1),"")</f>
        <v/>
      </c>
      <c r="AI33" s="51" t="str">
        <f aca="false">IF(AND(AC33=1,AA33&lt;1),IF(AND(C34=C33,AA34=AA33+1),IF(AC34=1,"",INDEX(DATAS,AA33+1)),INDEX(DATAS,AA33+1)),"")</f>
        <v/>
      </c>
    </row>
    <row r="34" customFormat="false" ht="15" hidden="false" customHeight="false" outlineLevel="0" collapsed="false">
      <c r="A34" s="51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46" t="s">
        <v>185</v>
      </c>
      <c r="I34" s="46" t="s">
        <v>157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51" t="n">
        <v>46044</v>
      </c>
      <c r="X34" s="46" t="n">
        <f aca="false">IF(I34="Male",0,1)</f>
        <v>1</v>
      </c>
      <c r="Y34" s="46" t="n">
        <f aca="false">IF(OR(I34="DNB",I34="Dry DNB"),1,0)</f>
        <v>0</v>
      </c>
      <c r="Z34" s="46" t="n">
        <f aca="false">IF(ISNUMBER(W34),A34-W34,"")</f>
        <v>265</v>
      </c>
      <c r="AA34" s="46" t="n">
        <f aca="false">MATCH(A34,DATAS,0)</f>
        <v>1</v>
      </c>
      <c r="AB34" s="46" t="n">
        <f aca="false">IF(AND(E34&gt;0,OR(AND(B34&gt;=1,B34&lt;=6),B34=10)),1,0)</f>
        <v>0</v>
      </c>
      <c r="AC34" s="46" t="n">
        <f aca="false">IF(AND(E34&gt;0,B34=10),1,0)</f>
        <v>0</v>
      </c>
      <c r="AD34" s="0" t="str">
        <f aca="false">IF(AND(C33=C34,AA33=AA34-1),AB33,"")</f>
        <v/>
      </c>
      <c r="AE34" s="0" t="str">
        <f aca="false">IF(AND(C33=C34,AA33=AA34-1),AC33,"")</f>
        <v/>
      </c>
      <c r="AF34" s="0" t="str">
        <f aca="false">IF(AA34=1,"",IF(AND(AB34=1,AD34&lt;&gt;1),1,0))</f>
        <v/>
      </c>
      <c r="AG34" s="0" t="str">
        <f aca="false">IF(AA34=1,"",IF(AND(AC34=1,AE34&lt;&gt;1),1,0))</f>
        <v/>
      </c>
      <c r="AH34" s="51" t="str">
        <f aca="false">IF(AND(E34&gt;0,AA34&lt;1,NOT(AND(C35=C34,AA35=AA34+1))),INDEX(DATAS,AA34+1),"")</f>
        <v/>
      </c>
      <c r="AI34" s="51" t="str">
        <f aca="false">IF(AND(AC34=1,AA34&lt;1),IF(AND(C35=C34,AA35=AA34+1),IF(AC35=1,"",INDEX(DATAS,AA34+1)),INDEX(DATAS,AA34+1)),"")</f>
        <v/>
      </c>
    </row>
    <row r="35" customFormat="false" ht="15" hidden="false" customHeight="false" outlineLevel="0" collapsed="false">
      <c r="A35" s="51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46" t="s">
        <v>186</v>
      </c>
      <c r="G35" s="0" t="n">
        <v>18.5</v>
      </c>
      <c r="H35" s="0" t="n">
        <v>20</v>
      </c>
      <c r="I35" s="46" t="s">
        <v>138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51" t="n">
        <v>46093</v>
      </c>
      <c r="X35" s="46" t="n">
        <f aca="false">IF(I35="Male",0,1)</f>
        <v>1</v>
      </c>
      <c r="Y35" s="46" t="n">
        <f aca="false">IF(OR(I35="DNB",I35="Dry DNB"),1,0)</f>
        <v>1</v>
      </c>
      <c r="Z35" s="46" t="n">
        <f aca="false">IF(ISNUMBER(W35),A35-W35,"")</f>
        <v>216</v>
      </c>
      <c r="AA35" s="46" t="n">
        <f aca="false">MATCH(A35,DATAS,0)</f>
        <v>1</v>
      </c>
      <c r="AB35" s="46" t="n">
        <f aca="false">IF(AND(E35&gt;0,OR(AND(B35&gt;=1,B35&lt;=6),B35=10)),1,0)</f>
        <v>1</v>
      </c>
      <c r="AC35" s="46" t="n">
        <f aca="false">IF(AND(E35&gt;0,B35=10),1,0)</f>
        <v>0</v>
      </c>
      <c r="AD35" s="0" t="str">
        <f aca="false">IF(AND(C34=C35,AA34=AA35-1),AB34,"")</f>
        <v/>
      </c>
      <c r="AE35" s="0" t="str">
        <f aca="false">IF(AND(C34=C35,AA34=AA35-1),AC34,"")</f>
        <v/>
      </c>
      <c r="AF35" s="0" t="str">
        <f aca="false">IF(AA35=1,"",IF(AND(AB35=1,AD35&lt;&gt;1),1,0))</f>
        <v/>
      </c>
      <c r="AG35" s="0" t="str">
        <f aca="false">IF(AA35=1,"",IF(AND(AC35=1,AE35&lt;&gt;1),1,0))</f>
        <v/>
      </c>
      <c r="AH35" s="51" t="str">
        <f aca="false">IF(AND(E35&gt;0,AA35&lt;1,NOT(AND(C36=C35,AA36=AA35+1))),INDEX(DATAS,AA35+1),"")</f>
        <v/>
      </c>
      <c r="AI35" s="51" t="str">
        <f aca="false">IF(AND(AC35=1,AA35&lt;1),IF(AND(C36=C35,AA36=AA35+1),IF(AC36=1,"",INDEX(DATAS,AA35+1)),INDEX(DATAS,AA35+1)),"")</f>
        <v/>
      </c>
    </row>
    <row r="36" customFormat="false" ht="15" hidden="false" customHeight="false" outlineLevel="0" collapsed="false">
      <c r="A36" s="51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46" t="s">
        <v>187</v>
      </c>
      <c r="I36" s="46" t="s">
        <v>157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51" t="n">
        <v>46268</v>
      </c>
      <c r="X36" s="46" t="n">
        <f aca="false">IF(I36="Male",0,1)</f>
        <v>1</v>
      </c>
      <c r="Y36" s="46" t="n">
        <f aca="false">IF(OR(I36="DNB",I36="Dry DNB"),1,0)</f>
        <v>0</v>
      </c>
      <c r="Z36" s="46" t="n">
        <f aca="false">IF(ISNUMBER(W36),A36-W36,"")</f>
        <v>41</v>
      </c>
      <c r="AA36" s="46" t="n">
        <f aca="false">MATCH(A36,DATAS,0)</f>
        <v>1</v>
      </c>
      <c r="AB36" s="46" t="n">
        <f aca="false">IF(AND(E36&gt;0,OR(AND(B36&gt;=1,B36&lt;=6),B36=10)),1,0)</f>
        <v>0</v>
      </c>
      <c r="AC36" s="46" t="n">
        <f aca="false">IF(AND(E36&gt;0,B36=10),1,0)</f>
        <v>0</v>
      </c>
      <c r="AD36" s="0" t="str">
        <f aca="false">IF(AND(C35=C36,AA35=AA36-1),AB35,"")</f>
        <v/>
      </c>
      <c r="AE36" s="0" t="str">
        <f aca="false">IF(AND(C35=C36,AA35=AA36-1),AC35,"")</f>
        <v/>
      </c>
      <c r="AF36" s="0" t="str">
        <f aca="false">IF(AA36=1,"",IF(AND(AB36=1,AD36&lt;&gt;1),1,0))</f>
        <v/>
      </c>
      <c r="AG36" s="0" t="str">
        <f aca="false">IF(AA36=1,"",IF(AND(AC36=1,AE36&lt;&gt;1),1,0))</f>
        <v/>
      </c>
      <c r="AH36" s="51" t="str">
        <f aca="false">IF(AND(E36&gt;0,AA36&lt;1,NOT(AND(C37=C36,AA37=AA36+1))),INDEX(DATAS,AA36+1),"")</f>
        <v/>
      </c>
      <c r="AI36" s="51" t="str">
        <f aca="false">IF(AND(AC36=1,AA36&lt;1),IF(AND(C37=C36,AA37=AA36+1),IF(AC37=1,"",INDEX(DATAS,AA36+1)),INDEX(DATAS,AA36+1)),"")</f>
        <v/>
      </c>
    </row>
    <row r="37" customFormat="false" ht="15" hidden="false" customHeight="false" outlineLevel="0" collapsed="false">
      <c r="A37" s="51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46" t="s">
        <v>188</v>
      </c>
      <c r="G37" s="0" t="n">
        <v>38.2</v>
      </c>
      <c r="H37" s="0" t="n">
        <v>37</v>
      </c>
      <c r="I37" s="46" t="s">
        <v>189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51" t="n">
        <v>46226</v>
      </c>
      <c r="X37" s="46" t="n">
        <f aca="false">IF(I37="Male",0,1)</f>
        <v>1</v>
      </c>
      <c r="Y37" s="46" t="n">
        <f aca="false">IF(OR(I37="DNB",I37="Dry DNB"),1,0)</f>
        <v>0</v>
      </c>
      <c r="Z37" s="46" t="n">
        <f aca="false">IF(ISNUMBER(W37),A37-W37,"")</f>
        <v>83</v>
      </c>
      <c r="AA37" s="46" t="n">
        <f aca="false">MATCH(A37,DATAS,0)</f>
        <v>1</v>
      </c>
      <c r="AB37" s="46" t="n">
        <f aca="false">IF(AND(E37&gt;0,OR(AND(B37&gt;=1,B37&lt;=6),B37=10)),1,0)</f>
        <v>1</v>
      </c>
      <c r="AC37" s="46" t="n">
        <f aca="false">IF(AND(E37&gt;0,B37=10),1,0)</f>
        <v>0</v>
      </c>
      <c r="AD37" s="0" t="str">
        <f aca="false">IF(AND(C36=C37,AA36=AA37-1),AB36,"")</f>
        <v/>
      </c>
      <c r="AE37" s="0" t="str">
        <f aca="false">IF(AND(C36=C37,AA36=AA37-1),AC36,"")</f>
        <v/>
      </c>
      <c r="AF37" s="0" t="str">
        <f aca="false">IF(AA37=1,"",IF(AND(AB37=1,AD37&lt;&gt;1),1,0))</f>
        <v/>
      </c>
      <c r="AG37" s="0" t="str">
        <f aca="false">IF(AA37=1,"",IF(AND(AC37=1,AE37&lt;&gt;1),1,0))</f>
        <v/>
      </c>
      <c r="AH37" s="51" t="str">
        <f aca="false">IF(AND(E37&gt;0,AA37&lt;1,NOT(AND(C38=C37,AA38=AA37+1))),INDEX(DATAS,AA37+1),"")</f>
        <v/>
      </c>
      <c r="AI37" s="51" t="str">
        <f aca="false">IF(AND(AC37=1,AA37&lt;1),IF(AND(C38=C37,AA38=AA37+1),IF(AC38=1,"",INDEX(DATAS,AA37+1)),INDEX(DATAS,AA37+1)),"")</f>
        <v/>
      </c>
    </row>
    <row r="38" customFormat="false" ht="15" hidden="false" customHeight="false" outlineLevel="0" collapsed="false">
      <c r="A38" s="51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46" t="s">
        <v>190</v>
      </c>
      <c r="G38" s="0" t="n">
        <v>23.8</v>
      </c>
      <c r="H38" s="0" t="n">
        <v>32</v>
      </c>
      <c r="I38" s="46" t="s">
        <v>152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X38" s="46" t="n">
        <f aca="false">IF(I38="Male",0,1)</f>
        <v>1</v>
      </c>
      <c r="Y38" s="46" t="n">
        <f aca="false">IF(OR(I38="DNB",I38="Dry DNB"),1,0)</f>
        <v>0</v>
      </c>
      <c r="Z38" s="0" t="str">
        <f aca="false">IF(ISNUMBER(W38),A38-W38,"")</f>
        <v/>
      </c>
      <c r="AA38" s="46" t="n">
        <f aca="false">MATCH(A38,DATAS,0)</f>
        <v>1</v>
      </c>
      <c r="AB38" s="46" t="n">
        <f aca="false">IF(AND(E38&gt;0,OR(AND(B38&gt;=1,B38&lt;=6),B38=10)),1,0)</f>
        <v>1</v>
      </c>
      <c r="AC38" s="46" t="n">
        <f aca="false">IF(AND(E38&gt;0,B38=10),1,0)</f>
        <v>1</v>
      </c>
      <c r="AD38" s="0" t="str">
        <f aca="false">IF(AND(C37=C38,AA37=AA38-1),AB37,"")</f>
        <v/>
      </c>
      <c r="AE38" s="0" t="str">
        <f aca="false">IF(AND(C37=C38,AA37=AA38-1),AC37,"")</f>
        <v/>
      </c>
      <c r="AF38" s="0" t="str">
        <f aca="false">IF(AA38=1,"",IF(AND(AB38=1,AD38&lt;&gt;1),1,0))</f>
        <v/>
      </c>
      <c r="AG38" s="0" t="str">
        <f aca="false">IF(AA38=1,"",IF(AND(AC38=1,AE38&lt;&gt;1),1,0))</f>
        <v/>
      </c>
      <c r="AH38" s="51" t="str">
        <f aca="false">IF(AND(E38&gt;0,AA38&lt;1,NOT(AND(C39=C38,AA39=AA38+1))),INDEX(DATAS,AA38+1),"")</f>
        <v/>
      </c>
      <c r="AI38" s="51" t="str">
        <f aca="false">IF(AND(AC38=1,AA38&lt;1),IF(AND(C39=C38,AA39=AA38+1),IF(AC39=1,"",INDEX(DATAS,AA38+1)),INDEX(DATAS,AA38+1)),"")</f>
        <v/>
      </c>
    </row>
    <row r="39" customFormat="false" ht="15" hidden="false" customHeight="false" outlineLevel="0" collapsed="false">
      <c r="A39" s="51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46" t="s">
        <v>191</v>
      </c>
      <c r="G39" s="0" t="n">
        <v>50</v>
      </c>
      <c r="H39" s="0" t="n">
        <v>48</v>
      </c>
      <c r="I39" s="46" t="s">
        <v>181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51" t="n">
        <v>46289</v>
      </c>
      <c r="X39" s="46" t="n">
        <f aca="false">IF(I39="Male",0,1)</f>
        <v>1</v>
      </c>
      <c r="Y39" s="46" t="n">
        <f aca="false">IF(OR(I39="DNB",I39="Dry DNB"),1,0)</f>
        <v>0</v>
      </c>
      <c r="Z39" s="46" t="n">
        <f aca="false">IF(ISNUMBER(W39),A39-W39,"")</f>
        <v>20</v>
      </c>
      <c r="AA39" s="46" t="n">
        <f aca="false">MATCH(A39,DATAS,0)</f>
        <v>1</v>
      </c>
      <c r="AB39" s="46" t="n">
        <f aca="false">IF(AND(E39&gt;0,OR(AND(B39&gt;=1,B39&lt;=6),B39=10)),1,0)</f>
        <v>1</v>
      </c>
      <c r="AC39" s="46" t="n">
        <f aca="false">IF(AND(E39&gt;0,B39=10),1,0)</f>
        <v>0</v>
      </c>
      <c r="AD39" s="0" t="str">
        <f aca="false">IF(AND(C38=C39,AA38=AA39-1),AB38,"")</f>
        <v/>
      </c>
      <c r="AE39" s="0" t="str">
        <f aca="false">IF(AND(C38=C39,AA38=AA39-1),AC38,"")</f>
        <v/>
      </c>
      <c r="AF39" s="0" t="str">
        <f aca="false">IF(AA39=1,"",IF(AND(AB39=1,AD39&lt;&gt;1),1,0))</f>
        <v/>
      </c>
      <c r="AG39" s="0" t="str">
        <f aca="false">IF(AA39=1,"",IF(AND(AC39=1,AE39&lt;&gt;1),1,0))</f>
        <v/>
      </c>
      <c r="AH39" s="51" t="str">
        <f aca="false">IF(AND(E39&gt;0,AA39&lt;1,NOT(AND(C40=C39,AA40=AA39+1))),INDEX(DATAS,AA39+1),"")</f>
        <v/>
      </c>
      <c r="AI39" s="51" t="str">
        <f aca="false">IF(AND(AC39=1,AA39&lt;1),IF(AND(C40=C39,AA40=AA39+1),IF(AC40=1,"",INDEX(DATAS,AA39+1)),INDEX(DATAS,AA39+1)),"")</f>
        <v/>
      </c>
    </row>
    <row r="40" customFormat="false" ht="15" hidden="false" customHeight="false" outlineLevel="0" collapsed="false">
      <c r="A40" s="51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46" t="s">
        <v>192</v>
      </c>
      <c r="G40" s="0" t="n">
        <v>65.9</v>
      </c>
      <c r="H40" s="0" t="n">
        <v>67</v>
      </c>
      <c r="I40" s="46" t="s">
        <v>161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X40" s="46" t="n">
        <f aca="false">IF(I40="Male",0,1)</f>
        <v>1</v>
      </c>
      <c r="Y40" s="46" t="n">
        <f aca="false">IF(OR(I40="DNB",I40="Dry DNB"),1,0)</f>
        <v>0</v>
      </c>
      <c r="Z40" s="0" t="str">
        <f aca="false">IF(ISNUMBER(W40),A40-W40,"")</f>
        <v/>
      </c>
      <c r="AA40" s="46" t="n">
        <f aca="false">MATCH(A40,DATAS,0)</f>
        <v>1</v>
      </c>
      <c r="AB40" s="46" t="n">
        <f aca="false">IF(AND(E40&gt;0,OR(AND(B40&gt;=1,B40&lt;=6),B40=10)),1,0)</f>
        <v>1</v>
      </c>
      <c r="AC40" s="46" t="n">
        <f aca="false">IF(AND(E40&gt;0,B40=10),1,0)</f>
        <v>0</v>
      </c>
      <c r="AD40" s="0" t="str">
        <f aca="false">IF(AND(C39=C40,AA39=AA40-1),AB39,"")</f>
        <v/>
      </c>
      <c r="AE40" s="0" t="str">
        <f aca="false">IF(AND(C39=C40,AA39=AA40-1),AC39,"")</f>
        <v/>
      </c>
      <c r="AF40" s="0" t="str">
        <f aca="false">IF(AA40=1,"",IF(AND(AB40=1,AD40&lt;&gt;1),1,0))</f>
        <v/>
      </c>
      <c r="AG40" s="0" t="str">
        <f aca="false">IF(AA40=1,"",IF(AND(AC40=1,AE40&lt;&gt;1),1,0))</f>
        <v/>
      </c>
      <c r="AH40" s="51" t="str">
        <f aca="false">IF(AND(E40&gt;0,AA40&lt;1,NOT(AND(C41=C40,AA41=AA40+1))),INDEX(DATAS,AA40+1),"")</f>
        <v/>
      </c>
      <c r="AI40" s="51" t="str">
        <f aca="false">IF(AND(AC40=1,AA40&lt;1),IF(AND(C41=C40,AA41=AA40+1),IF(AC41=1,"",INDEX(DATAS,AA40+1)),INDEX(DATAS,AA40+1)),"")</f>
        <v/>
      </c>
    </row>
    <row r="41" customFormat="false" ht="15" hidden="false" customHeight="false" outlineLevel="0" collapsed="false">
      <c r="A41" s="51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46" t="s">
        <v>193</v>
      </c>
      <c r="G41" s="0" t="n">
        <v>37.2</v>
      </c>
      <c r="H41" s="0" t="n">
        <v>34</v>
      </c>
      <c r="I41" s="46" t="s">
        <v>181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51" t="n">
        <v>46282</v>
      </c>
      <c r="X41" s="46" t="n">
        <f aca="false">IF(I41="Male",0,1)</f>
        <v>1</v>
      </c>
      <c r="Y41" s="46" t="n">
        <f aca="false">IF(OR(I41="DNB",I41="Dry DNB"),1,0)</f>
        <v>0</v>
      </c>
      <c r="Z41" s="46" t="n">
        <f aca="false">IF(ISNUMBER(W41),A41-W41,"")</f>
        <v>27</v>
      </c>
      <c r="AA41" s="46" t="n">
        <f aca="false">MATCH(A41,DATAS,0)</f>
        <v>1</v>
      </c>
      <c r="AB41" s="46" t="n">
        <f aca="false">IF(AND(E41&gt;0,OR(AND(B41&gt;=1,B41&lt;=6),B41=10)),1,0)</f>
        <v>1</v>
      </c>
      <c r="AC41" s="46" t="n">
        <f aca="false">IF(AND(E41&gt;0,B41=10),1,0)</f>
        <v>0</v>
      </c>
      <c r="AD41" s="0" t="str">
        <f aca="false">IF(AND(C40=C41,AA40=AA41-1),AB40,"")</f>
        <v/>
      </c>
      <c r="AE41" s="0" t="str">
        <f aca="false">IF(AND(C40=C41,AA40=AA41-1),AC40,"")</f>
        <v/>
      </c>
      <c r="AF41" s="0" t="str">
        <f aca="false">IF(AA41=1,"",IF(AND(AB41=1,AD41&lt;&gt;1),1,0))</f>
        <v/>
      </c>
      <c r="AG41" s="0" t="str">
        <f aca="false">IF(AA41=1,"",IF(AND(AC41=1,AE41&lt;&gt;1),1,0))</f>
        <v/>
      </c>
      <c r="AH41" s="51" t="str">
        <f aca="false">IF(AND(E41&gt;0,AA41&lt;1,NOT(AND(C42=C41,AA42=AA41+1))),INDEX(DATAS,AA41+1),"")</f>
        <v/>
      </c>
      <c r="AI41" s="51" t="str">
        <f aca="false">IF(AND(AC41=1,AA41&lt;1),IF(AND(C42=C41,AA42=AA41+1),IF(AC42=1,"",INDEX(DATAS,AA41+1)),INDEX(DATAS,AA41+1)),"")</f>
        <v/>
      </c>
    </row>
    <row r="42" customFormat="false" ht="15" hidden="false" customHeight="false" outlineLevel="0" collapsed="false">
      <c r="A42" s="51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46" t="s">
        <v>194</v>
      </c>
      <c r="G42" s="0" t="n">
        <v>57.7</v>
      </c>
      <c r="H42" s="0" t="n">
        <v>56</v>
      </c>
      <c r="I42" s="46" t="s">
        <v>181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51" t="n">
        <v>46282</v>
      </c>
      <c r="X42" s="46" t="n">
        <f aca="false">IF(I42="Male",0,1)</f>
        <v>1</v>
      </c>
      <c r="Y42" s="46" t="n">
        <f aca="false">IF(OR(I42="DNB",I42="Dry DNB"),1,0)</f>
        <v>0</v>
      </c>
      <c r="Z42" s="46" t="n">
        <f aca="false">IF(ISNUMBER(W42),A42-W42,"")</f>
        <v>27</v>
      </c>
      <c r="AA42" s="46" t="n">
        <f aca="false">MATCH(A42,DATAS,0)</f>
        <v>1</v>
      </c>
      <c r="AB42" s="46" t="n">
        <f aca="false">IF(AND(E42&gt;0,OR(AND(B42&gt;=1,B42&lt;=6),B42=10)),1,0)</f>
        <v>1</v>
      </c>
      <c r="AC42" s="46" t="n">
        <f aca="false">IF(AND(E42&gt;0,B42=10),1,0)</f>
        <v>0</v>
      </c>
      <c r="AD42" s="0" t="str">
        <f aca="false">IF(AND(C41=C42,AA41=AA42-1),AB41,"")</f>
        <v/>
      </c>
      <c r="AE42" s="0" t="str">
        <f aca="false">IF(AND(C41=C42,AA41=AA42-1),AC41,"")</f>
        <v/>
      </c>
      <c r="AF42" s="0" t="str">
        <f aca="false">IF(AA42=1,"",IF(AND(AB42=1,AD42&lt;&gt;1),1,0))</f>
        <v/>
      </c>
      <c r="AG42" s="0" t="str">
        <f aca="false">IF(AA42=1,"",IF(AND(AC42=1,AE42&lt;&gt;1),1,0))</f>
        <v/>
      </c>
      <c r="AH42" s="51" t="str">
        <f aca="false">IF(AND(E42&gt;0,AA42&lt;1,NOT(AND(C43=C42,AA43=AA42+1))),INDEX(DATAS,AA42+1),"")</f>
        <v/>
      </c>
      <c r="AI42" s="51" t="str">
        <f aca="false">IF(AND(AC42=1,AA42&lt;1),IF(AND(C43=C42,AA43=AA42+1),IF(AC43=1,"",INDEX(DATAS,AA42+1)),INDEX(DATAS,AA42+1)),"")</f>
        <v/>
      </c>
    </row>
    <row r="43" customFormat="false" ht="15" hidden="false" customHeight="false" outlineLevel="0" collapsed="false">
      <c r="A43" s="51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46" t="s">
        <v>195</v>
      </c>
      <c r="G43" s="0" t="n">
        <v>21.6</v>
      </c>
      <c r="H43" s="0" t="n">
        <v>22</v>
      </c>
      <c r="I43" s="46" t="s">
        <v>138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51" t="n">
        <v>46184</v>
      </c>
      <c r="X43" s="46" t="n">
        <f aca="false">IF(I43="Male",0,1)</f>
        <v>1</v>
      </c>
      <c r="Y43" s="46" t="n">
        <f aca="false">IF(OR(I43="DNB",I43="Dry DNB"),1,0)</f>
        <v>1</v>
      </c>
      <c r="Z43" s="46" t="n">
        <f aca="false">IF(ISNUMBER(W43),A43-W43,"")</f>
        <v>125</v>
      </c>
      <c r="AA43" s="46" t="n">
        <f aca="false">MATCH(A43,DATAS,0)</f>
        <v>1</v>
      </c>
      <c r="AB43" s="46" t="n">
        <f aca="false">IF(AND(E43&gt;0,OR(AND(B43&gt;=1,B43&lt;=6),B43=10)),1,0)</f>
        <v>1</v>
      </c>
      <c r="AC43" s="46" t="n">
        <f aca="false">IF(AND(E43&gt;0,B43=10),1,0)</f>
        <v>0</v>
      </c>
      <c r="AD43" s="0" t="str">
        <f aca="false">IF(AND(C42=C43,AA42=AA43-1),AB42,"")</f>
        <v/>
      </c>
      <c r="AE43" s="0" t="str">
        <f aca="false">IF(AND(C42=C43,AA42=AA43-1),AC42,"")</f>
        <v/>
      </c>
      <c r="AF43" s="0" t="str">
        <f aca="false">IF(AA43=1,"",IF(AND(AB43=1,AD43&lt;&gt;1),1,0))</f>
        <v/>
      </c>
      <c r="AG43" s="0" t="str">
        <f aca="false">IF(AA43=1,"",IF(AND(AC43=1,AE43&lt;&gt;1),1,0))</f>
        <v/>
      </c>
      <c r="AH43" s="51" t="str">
        <f aca="false">IF(AND(E43&gt;0,AA43&lt;1,NOT(AND(C44=C43,AA44=AA43+1))),INDEX(DATAS,AA43+1),"")</f>
        <v/>
      </c>
      <c r="AI43" s="51" t="str">
        <f aca="false">IF(AND(AC43=1,AA43&lt;1),IF(AND(C44=C43,AA44=AA43+1),IF(AC44=1,"",INDEX(DATAS,AA43+1)),INDEX(DATAS,AA43+1)),"")</f>
        <v/>
      </c>
    </row>
    <row r="44" customFormat="false" ht="15" hidden="false" customHeight="false" outlineLevel="0" collapsed="false">
      <c r="A44" s="51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46" t="s">
        <v>196</v>
      </c>
      <c r="G44" s="0" t="n">
        <v>30.3</v>
      </c>
      <c r="H44" s="0" t="n">
        <v>33</v>
      </c>
      <c r="I44" s="46" t="s">
        <v>181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51" t="n">
        <v>46296</v>
      </c>
      <c r="X44" s="46" t="n">
        <f aca="false">IF(I44="Male",0,1)</f>
        <v>1</v>
      </c>
      <c r="Y44" s="46" t="n">
        <f aca="false">IF(OR(I44="DNB",I44="Dry DNB"),1,0)</f>
        <v>0</v>
      </c>
      <c r="Z44" s="46" t="n">
        <f aca="false">IF(ISNUMBER(W44),A44-W44,"")</f>
        <v>13</v>
      </c>
      <c r="AA44" s="46" t="n">
        <f aca="false">MATCH(A44,DATAS,0)</f>
        <v>1</v>
      </c>
      <c r="AB44" s="46" t="n">
        <f aca="false">IF(AND(E44&gt;0,OR(AND(B44&gt;=1,B44&lt;=6),B44=10)),1,0)</f>
        <v>1</v>
      </c>
      <c r="AC44" s="46" t="n">
        <f aca="false">IF(AND(E44&gt;0,B44=10),1,0)</f>
        <v>0</v>
      </c>
      <c r="AD44" s="0" t="str">
        <f aca="false">IF(AND(C43=C44,AA43=AA44-1),AB43,"")</f>
        <v/>
      </c>
      <c r="AE44" s="0" t="str">
        <f aca="false">IF(AND(C43=C44,AA43=AA44-1),AC43,"")</f>
        <v/>
      </c>
      <c r="AF44" s="0" t="str">
        <f aca="false">IF(AA44=1,"",IF(AND(AB44=1,AD44&lt;&gt;1),1,0))</f>
        <v/>
      </c>
      <c r="AG44" s="0" t="str">
        <f aca="false">IF(AA44=1,"",IF(AND(AC44=1,AE44&lt;&gt;1),1,0))</f>
        <v/>
      </c>
      <c r="AH44" s="51" t="str">
        <f aca="false">IF(AND(E44&gt;0,AA44&lt;1,NOT(AND(C45=C44,AA45=AA44+1))),INDEX(DATAS,AA44+1),"")</f>
        <v/>
      </c>
      <c r="AI44" s="51" t="str">
        <f aca="false">IF(AND(AC44=1,AA44&lt;1),IF(AND(C45=C44,AA45=AA44+1),IF(AC45=1,"",INDEX(DATAS,AA44+1)),INDEX(DATAS,AA44+1)),"")</f>
        <v/>
      </c>
    </row>
    <row r="45" customFormat="false" ht="15" hidden="false" customHeight="false" outlineLevel="0" collapsed="false">
      <c r="A45" s="51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46" t="s">
        <v>197</v>
      </c>
      <c r="I45" s="46" t="s">
        <v>157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51" t="n">
        <v>46156</v>
      </c>
      <c r="X45" s="46" t="n">
        <f aca="false">IF(I45="Male",0,1)</f>
        <v>1</v>
      </c>
      <c r="Y45" s="46" t="n">
        <f aca="false">IF(OR(I45="DNB",I45="Dry DNB"),1,0)</f>
        <v>0</v>
      </c>
      <c r="Z45" s="46" t="n">
        <f aca="false">IF(ISNUMBER(W45),A45-W45,"")</f>
        <v>153</v>
      </c>
      <c r="AA45" s="46" t="n">
        <f aca="false">MATCH(A45,DATAS,0)</f>
        <v>1</v>
      </c>
      <c r="AB45" s="46" t="n">
        <f aca="false">IF(AND(E45&gt;0,OR(AND(B45&gt;=1,B45&lt;=6),B45=10)),1,0)</f>
        <v>0</v>
      </c>
      <c r="AC45" s="46" t="n">
        <f aca="false">IF(AND(E45&gt;0,B45=10),1,0)</f>
        <v>0</v>
      </c>
      <c r="AD45" s="0" t="str">
        <f aca="false">IF(AND(C44=C45,AA44=AA45-1),AB44,"")</f>
        <v/>
      </c>
      <c r="AE45" s="0" t="str">
        <f aca="false">IF(AND(C44=C45,AA44=AA45-1),AC44,"")</f>
        <v/>
      </c>
      <c r="AF45" s="0" t="str">
        <f aca="false">IF(AA45=1,"",IF(AND(AB45=1,AD45&lt;&gt;1),1,0))</f>
        <v/>
      </c>
      <c r="AG45" s="0" t="str">
        <f aca="false">IF(AA45=1,"",IF(AND(AC45=1,AE45&lt;&gt;1),1,0))</f>
        <v/>
      </c>
      <c r="AH45" s="51" t="str">
        <f aca="false">IF(AND(E45&gt;0,AA45&lt;1,NOT(AND(C46=C45,AA46=AA45+1))),INDEX(DATAS,AA45+1),"")</f>
        <v/>
      </c>
      <c r="AI45" s="51" t="str">
        <f aca="false">IF(AND(AC45=1,AA45&lt;1),IF(AND(C46=C45,AA46=AA45+1),IF(AC46=1,"",INDEX(DATAS,AA45+1)),INDEX(DATAS,AA45+1)),"")</f>
        <v/>
      </c>
    </row>
    <row r="46" customFormat="false" ht="15" hidden="false" customHeight="false" outlineLevel="0" collapsed="false">
      <c r="A46" s="51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46" t="s">
        <v>198</v>
      </c>
      <c r="G46" s="0" t="n">
        <v>25.3</v>
      </c>
      <c r="H46" s="0" t="n">
        <v>24</v>
      </c>
      <c r="I46" s="46" t="s">
        <v>152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51" t="n">
        <v>46212</v>
      </c>
      <c r="X46" s="46" t="n">
        <f aca="false">IF(I46="Male",0,1)</f>
        <v>1</v>
      </c>
      <c r="Y46" s="46" t="n">
        <f aca="false">IF(OR(I46="DNB",I46="Dry DNB"),1,0)</f>
        <v>0</v>
      </c>
      <c r="Z46" s="46" t="n">
        <f aca="false">IF(ISNUMBER(W46),A46-W46,"")</f>
        <v>97</v>
      </c>
      <c r="AA46" s="46" t="n">
        <f aca="false">MATCH(A46,DATAS,0)</f>
        <v>1</v>
      </c>
      <c r="AB46" s="46" t="n">
        <f aca="false">IF(AND(E46&gt;0,OR(AND(B46&gt;=1,B46&lt;=6),B46=10)),1,0)</f>
        <v>1</v>
      </c>
      <c r="AC46" s="46" t="n">
        <f aca="false">IF(AND(E46&gt;0,B46=10),1,0)</f>
        <v>0</v>
      </c>
      <c r="AD46" s="0" t="str">
        <f aca="false">IF(AND(C45=C46,AA45=AA46-1),AB45,"")</f>
        <v/>
      </c>
      <c r="AE46" s="0" t="str">
        <f aca="false">IF(AND(C45=C46,AA45=AA46-1),AC45,"")</f>
        <v/>
      </c>
      <c r="AF46" s="0" t="str">
        <f aca="false">IF(AA46=1,"",IF(AND(AB46=1,AD46&lt;&gt;1),1,0))</f>
        <v/>
      </c>
      <c r="AG46" s="0" t="str">
        <f aca="false">IF(AA46=1,"",IF(AND(AC46=1,AE46&lt;&gt;1),1,0))</f>
        <v/>
      </c>
      <c r="AH46" s="51" t="str">
        <f aca="false">IF(AND(E46&gt;0,AA46&lt;1,NOT(AND(C47=C46,AA47=AA46+1))),INDEX(DATAS,AA46+1),"")</f>
        <v/>
      </c>
      <c r="AI46" s="51" t="str">
        <f aca="false">IF(AND(AC46=1,AA46&lt;1),IF(AND(C47=C46,AA47=AA46+1),IF(AC47=1,"",INDEX(DATAS,AA46+1)),INDEX(DATAS,AA46+1)),"")</f>
        <v/>
      </c>
    </row>
    <row r="47" customFormat="false" ht="15" hidden="false" customHeight="false" outlineLevel="0" collapsed="false">
      <c r="A47" s="51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46" t="s">
        <v>199</v>
      </c>
      <c r="G47" s="0" t="n">
        <v>17.1</v>
      </c>
      <c r="H47" s="0" t="n">
        <v>27</v>
      </c>
      <c r="I47" s="46" t="s">
        <v>181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51" t="n">
        <v>46297</v>
      </c>
      <c r="X47" s="46" t="n">
        <f aca="false">IF(I47="Male",0,1)</f>
        <v>1</v>
      </c>
      <c r="Y47" s="46" t="n">
        <f aca="false">IF(OR(I47="DNB",I47="Dry DNB"),1,0)</f>
        <v>0</v>
      </c>
      <c r="Z47" s="46" t="n">
        <f aca="false">IF(ISNUMBER(W47),A47-W47,"")</f>
        <v>12</v>
      </c>
      <c r="AA47" s="46" t="n">
        <f aca="false">MATCH(A47,DATAS,0)</f>
        <v>1</v>
      </c>
      <c r="AB47" s="46" t="n">
        <f aca="false">IF(AND(E47&gt;0,OR(AND(B47&gt;=1,B47&lt;=6),B47=10)),1,0)</f>
        <v>1</v>
      </c>
      <c r="AC47" s="46" t="n">
        <f aca="false">IF(AND(E47&gt;0,B47=10),1,0)</f>
        <v>0</v>
      </c>
      <c r="AD47" s="0" t="str">
        <f aca="false">IF(AND(C46=C47,AA46=AA47-1),AB46,"")</f>
        <v/>
      </c>
      <c r="AE47" s="0" t="str">
        <f aca="false">IF(AND(C46=C47,AA46=AA47-1),AC46,"")</f>
        <v/>
      </c>
      <c r="AF47" s="0" t="str">
        <f aca="false">IF(AA47=1,"",IF(AND(AB47=1,AD47&lt;&gt;1),1,0))</f>
        <v/>
      </c>
      <c r="AG47" s="0" t="str">
        <f aca="false">IF(AA47=1,"",IF(AND(AC47=1,AE47&lt;&gt;1),1,0))</f>
        <v/>
      </c>
      <c r="AH47" s="51" t="str">
        <f aca="false">IF(AND(E47&gt;0,AA47&lt;1,NOT(AND(C48=C47,AA48=AA47+1))),INDEX(DATAS,AA47+1),"")</f>
        <v/>
      </c>
      <c r="AI47" s="51" t="str">
        <f aca="false">IF(AND(AC47=1,AA47&lt;1),IF(AND(C48=C47,AA48=AA47+1),IF(AC48=1,"",INDEX(DATAS,AA47+1)),INDEX(DATAS,AA47+1)),"")</f>
        <v/>
      </c>
    </row>
    <row r="48" customFormat="false" ht="15" hidden="false" customHeight="false" outlineLevel="0" collapsed="false">
      <c r="A48" s="51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46" t="s">
        <v>200</v>
      </c>
      <c r="G48" s="0" t="n">
        <v>28.5</v>
      </c>
      <c r="H48" s="0" t="n">
        <v>23</v>
      </c>
      <c r="I48" s="46" t="s">
        <v>152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51" t="n">
        <v>46104</v>
      </c>
      <c r="X48" s="46" t="n">
        <f aca="false">IF(I48="Male",0,1)</f>
        <v>1</v>
      </c>
      <c r="Y48" s="46" t="n">
        <f aca="false">IF(OR(I48="DNB",I48="Dry DNB"),1,0)</f>
        <v>0</v>
      </c>
      <c r="Z48" s="46" t="n">
        <f aca="false">IF(ISNUMBER(W48),A48-W48,"")</f>
        <v>205</v>
      </c>
      <c r="AA48" s="46" t="n">
        <f aca="false">MATCH(A48,DATAS,0)</f>
        <v>1</v>
      </c>
      <c r="AB48" s="46" t="n">
        <f aca="false">IF(AND(E48&gt;0,OR(AND(B48&gt;=1,B48&lt;=6),B48=10)),1,0)</f>
        <v>1</v>
      </c>
      <c r="AC48" s="46" t="n">
        <f aca="false">IF(AND(E48&gt;0,B48=10),1,0)</f>
        <v>0</v>
      </c>
      <c r="AD48" s="0" t="str">
        <f aca="false">IF(AND(C47=C48,AA47=AA48-1),AB47,"")</f>
        <v/>
      </c>
      <c r="AE48" s="0" t="str">
        <f aca="false">IF(AND(C47=C48,AA47=AA48-1),AC47,"")</f>
        <v/>
      </c>
      <c r="AF48" s="0" t="str">
        <f aca="false">IF(AA48=1,"",IF(AND(AB48=1,AD48&lt;&gt;1),1,0))</f>
        <v/>
      </c>
      <c r="AG48" s="0" t="str">
        <f aca="false">IF(AA48=1,"",IF(AND(AC48=1,AE48&lt;&gt;1),1,0))</f>
        <v/>
      </c>
      <c r="AH48" s="51" t="str">
        <f aca="false">IF(AND(E48&gt;0,AA48&lt;1,NOT(AND(C49=C48,AA49=AA48+1))),INDEX(DATAS,AA48+1),"")</f>
        <v/>
      </c>
      <c r="AI48" s="51" t="str">
        <f aca="false">IF(AND(AC48=1,AA48&lt;1),IF(AND(C49=C48,AA49=AA48+1),IF(AC49=1,"",INDEX(DATAS,AA48+1)),INDEX(DATAS,AA48+1)),"")</f>
        <v/>
      </c>
    </row>
    <row r="49" customFormat="false" ht="15" hidden="false" customHeight="false" outlineLevel="0" collapsed="false">
      <c r="A49" s="51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46" t="s">
        <v>201</v>
      </c>
      <c r="G49" s="0" t="n">
        <v>34</v>
      </c>
      <c r="H49" s="0" t="n">
        <v>32</v>
      </c>
      <c r="I49" s="46" t="s">
        <v>181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51" t="n">
        <v>46289</v>
      </c>
      <c r="X49" s="46" t="n">
        <f aca="false">IF(I49="Male",0,1)</f>
        <v>1</v>
      </c>
      <c r="Y49" s="46" t="n">
        <f aca="false">IF(OR(I49="DNB",I49="Dry DNB"),1,0)</f>
        <v>0</v>
      </c>
      <c r="Z49" s="46" t="n">
        <f aca="false">IF(ISNUMBER(W49),A49-W49,"")</f>
        <v>20</v>
      </c>
      <c r="AA49" s="46" t="n">
        <f aca="false">MATCH(A49,DATAS,0)</f>
        <v>1</v>
      </c>
      <c r="AB49" s="46" t="n">
        <f aca="false">IF(AND(E49&gt;0,OR(AND(B49&gt;=1,B49&lt;=6),B49=10)),1,0)</f>
        <v>1</v>
      </c>
      <c r="AC49" s="46" t="n">
        <f aca="false">IF(AND(E49&gt;0,B49=10),1,0)</f>
        <v>0</v>
      </c>
      <c r="AD49" s="0" t="str">
        <f aca="false">IF(AND(C48=C49,AA48=AA49-1),AB48,"")</f>
        <v/>
      </c>
      <c r="AE49" s="0" t="str">
        <f aca="false">IF(AND(C48=C49,AA48=AA49-1),AC48,"")</f>
        <v/>
      </c>
      <c r="AF49" s="0" t="str">
        <f aca="false">IF(AA49=1,"",IF(AND(AB49=1,AD49&lt;&gt;1),1,0))</f>
        <v/>
      </c>
      <c r="AG49" s="0" t="str">
        <f aca="false">IF(AA49=1,"",IF(AND(AC49=1,AE49&lt;&gt;1),1,0))</f>
        <v/>
      </c>
      <c r="AH49" s="51" t="str">
        <f aca="false">IF(AND(E49&gt;0,AA49&lt;1,NOT(AND(C50=C49,AA50=AA49+1))),INDEX(DATAS,AA49+1),"")</f>
        <v/>
      </c>
      <c r="AI49" s="51" t="str">
        <f aca="false">IF(AND(AC49=1,AA49&lt;1),IF(AND(C50=C49,AA50=AA49+1),IF(AC50=1,"",INDEX(DATAS,AA49+1)),INDEX(DATAS,AA49+1)),"")</f>
        <v/>
      </c>
    </row>
    <row r="50" customFormat="false" ht="15" hidden="false" customHeight="false" outlineLevel="0" collapsed="false">
      <c r="A50" s="51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46" t="s">
        <v>202</v>
      </c>
      <c r="G50" s="0" t="n">
        <v>21.2</v>
      </c>
      <c r="H50" s="0" t="n">
        <v>24</v>
      </c>
      <c r="I50" s="46" t="s">
        <v>152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51" t="n">
        <v>46128</v>
      </c>
      <c r="X50" s="46" t="n">
        <f aca="false">IF(I50="Male",0,1)</f>
        <v>1</v>
      </c>
      <c r="Y50" s="46" t="n">
        <f aca="false">IF(OR(I50="DNB",I50="Dry DNB"),1,0)</f>
        <v>0</v>
      </c>
      <c r="Z50" s="46" t="n">
        <f aca="false">IF(ISNUMBER(W50),A50-W50,"")</f>
        <v>181</v>
      </c>
      <c r="AA50" s="46" t="n">
        <f aca="false">MATCH(A50,DATAS,0)</f>
        <v>1</v>
      </c>
      <c r="AB50" s="46" t="n">
        <f aca="false">IF(AND(E50&gt;0,OR(AND(B50&gt;=1,B50&lt;=6),B50=10)),1,0)</f>
        <v>1</v>
      </c>
      <c r="AC50" s="46" t="n">
        <f aca="false">IF(AND(E50&gt;0,B50=10),1,0)</f>
        <v>0</v>
      </c>
      <c r="AD50" s="0" t="str">
        <f aca="false">IF(AND(C49=C50,AA49=AA50-1),AB49,"")</f>
        <v/>
      </c>
      <c r="AE50" s="0" t="str">
        <f aca="false">IF(AND(C49=C50,AA49=AA50-1),AC49,"")</f>
        <v/>
      </c>
      <c r="AF50" s="0" t="str">
        <f aca="false">IF(AA50=1,"",IF(AND(AB50=1,AD50&lt;&gt;1),1,0))</f>
        <v/>
      </c>
      <c r="AG50" s="0" t="str">
        <f aca="false">IF(AA50=1,"",IF(AND(AC50=1,AE50&lt;&gt;1),1,0))</f>
        <v/>
      </c>
      <c r="AH50" s="51" t="str">
        <f aca="false">IF(AND(E50&gt;0,AA50&lt;1,NOT(AND(C51=C50,AA51=AA50+1))),INDEX(DATAS,AA50+1),"")</f>
        <v/>
      </c>
      <c r="AI50" s="51" t="str">
        <f aca="false">IF(AND(AC50=1,AA50&lt;1),IF(AND(C51=C50,AA51=AA50+1),IF(AC51=1,"",INDEX(DATAS,AA50+1)),INDEX(DATAS,AA50+1)),"")</f>
        <v/>
      </c>
    </row>
    <row r="51" customFormat="false" ht="15" hidden="false" customHeight="false" outlineLevel="0" collapsed="false">
      <c r="A51" s="51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46" t="s">
        <v>202</v>
      </c>
      <c r="G51" s="0" t="n">
        <v>37.9</v>
      </c>
      <c r="H51" s="0" t="n">
        <v>36</v>
      </c>
      <c r="I51" s="46" t="s">
        <v>152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51" t="n">
        <v>46142</v>
      </c>
      <c r="X51" s="46" t="n">
        <f aca="false">IF(I51="Male",0,1)</f>
        <v>1</v>
      </c>
      <c r="Y51" s="46" t="n">
        <f aca="false">IF(OR(I51="DNB",I51="Dry DNB"),1,0)</f>
        <v>0</v>
      </c>
      <c r="Z51" s="46" t="n">
        <f aca="false">IF(ISNUMBER(W51),A51-W51,"")</f>
        <v>167</v>
      </c>
      <c r="AA51" s="46" t="n">
        <f aca="false">MATCH(A51,DATAS,0)</f>
        <v>1</v>
      </c>
      <c r="AB51" s="46" t="n">
        <f aca="false">IF(AND(E51&gt;0,OR(AND(B51&gt;=1,B51&lt;=6),B51=10)),1,0)</f>
        <v>1</v>
      </c>
      <c r="AC51" s="46" t="n">
        <f aca="false">IF(AND(E51&gt;0,B51=10),1,0)</f>
        <v>0</v>
      </c>
      <c r="AD51" s="0" t="str">
        <f aca="false">IF(AND(C50=C51,AA50=AA51-1),AB50,"")</f>
        <v/>
      </c>
      <c r="AE51" s="0" t="str">
        <f aca="false">IF(AND(C50=C51,AA50=AA51-1),AC50,"")</f>
        <v/>
      </c>
      <c r="AF51" s="0" t="str">
        <f aca="false">IF(AA51=1,"",IF(AND(AB51=1,AD51&lt;&gt;1),1,0))</f>
        <v/>
      </c>
      <c r="AG51" s="0" t="str">
        <f aca="false">IF(AA51=1,"",IF(AND(AC51=1,AE51&lt;&gt;1),1,0))</f>
        <v/>
      </c>
      <c r="AH51" s="51" t="str">
        <f aca="false">IF(AND(E51&gt;0,AA51&lt;1,NOT(AND(C52=C51,AA52=AA51+1))),INDEX(DATAS,AA51+1),"")</f>
        <v/>
      </c>
      <c r="AI51" s="51" t="str">
        <f aca="false">IF(AND(AC51=1,AA51&lt;1),IF(AND(C52=C51,AA52=AA51+1),IF(AC52=1,"",INDEX(DATAS,AA51+1)),INDEX(DATAS,AA51+1)),"")</f>
        <v/>
      </c>
    </row>
    <row r="52" customFormat="false" ht="15" hidden="false" customHeight="false" outlineLevel="0" collapsed="false">
      <c r="A52" s="51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46" t="s">
        <v>203</v>
      </c>
      <c r="G52" s="0" t="n">
        <v>16</v>
      </c>
      <c r="H52" s="0" t="n">
        <v>11</v>
      </c>
      <c r="I52" s="46" t="s">
        <v>152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51" t="n">
        <v>46165</v>
      </c>
      <c r="X52" s="46" t="n">
        <f aca="false">IF(I52="Male",0,1)</f>
        <v>1</v>
      </c>
      <c r="Y52" s="46" t="n">
        <f aca="false">IF(OR(I52="DNB",I52="Dry DNB"),1,0)</f>
        <v>0</v>
      </c>
      <c r="Z52" s="46" t="n">
        <f aca="false">IF(ISNUMBER(W52),A52-W52,"")</f>
        <v>144</v>
      </c>
      <c r="AA52" s="46" t="n">
        <f aca="false">MATCH(A52,DATAS,0)</f>
        <v>1</v>
      </c>
      <c r="AB52" s="46" t="n">
        <f aca="false">IF(AND(E52&gt;0,OR(AND(B52&gt;=1,B52&lt;=6),B52=10)),1,0)</f>
        <v>1</v>
      </c>
      <c r="AC52" s="46" t="n">
        <f aca="false">IF(AND(E52&gt;0,B52=10),1,0)</f>
        <v>0</v>
      </c>
      <c r="AD52" s="0" t="str">
        <f aca="false">IF(AND(C51=C52,AA51=AA52-1),AB51,"")</f>
        <v/>
      </c>
      <c r="AE52" s="0" t="str">
        <f aca="false">IF(AND(C51=C52,AA51=AA52-1),AC51,"")</f>
        <v/>
      </c>
      <c r="AF52" s="0" t="str">
        <f aca="false">IF(AA52=1,"",IF(AND(AB52=1,AD52&lt;&gt;1),1,0))</f>
        <v/>
      </c>
      <c r="AG52" s="0" t="str">
        <f aca="false">IF(AA52=1,"",IF(AND(AC52=1,AE52&lt;&gt;1),1,0))</f>
        <v/>
      </c>
      <c r="AH52" s="51" t="str">
        <f aca="false">IF(AND(E52&gt;0,AA52&lt;1,NOT(AND(C53=C52,AA53=AA52+1))),INDEX(DATAS,AA52+1),"")</f>
        <v/>
      </c>
      <c r="AI52" s="51" t="str">
        <f aca="false">IF(AND(AC52=1,AA52&lt;1),IF(AND(C53=C52,AA53=AA52+1),IF(AC53=1,"",INDEX(DATAS,AA52+1)),INDEX(DATAS,AA52+1)),"")</f>
        <v/>
      </c>
    </row>
    <row r="53" customFormat="false" ht="15" hidden="false" customHeight="false" outlineLevel="0" collapsed="false">
      <c r="A53" s="51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46" t="s">
        <v>204</v>
      </c>
      <c r="G53" s="0" t="n">
        <v>30.1</v>
      </c>
      <c r="H53" s="0" t="n">
        <v>27</v>
      </c>
      <c r="I53" s="46" t="s">
        <v>152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51" t="n">
        <v>46212</v>
      </c>
      <c r="X53" s="46" t="n">
        <f aca="false">IF(I53="Male",0,1)</f>
        <v>1</v>
      </c>
      <c r="Y53" s="46" t="n">
        <f aca="false">IF(OR(I53="DNB",I53="Dry DNB"),1,0)</f>
        <v>0</v>
      </c>
      <c r="Z53" s="46" t="n">
        <f aca="false">IF(ISNUMBER(W53),A53-W53,"")</f>
        <v>97</v>
      </c>
      <c r="AA53" s="46" t="n">
        <f aca="false">MATCH(A53,DATAS,0)</f>
        <v>1</v>
      </c>
      <c r="AB53" s="46" t="n">
        <f aca="false">IF(AND(E53&gt;0,OR(AND(B53&gt;=1,B53&lt;=6),B53=10)),1,0)</f>
        <v>1</v>
      </c>
      <c r="AC53" s="46" t="n">
        <f aca="false">IF(AND(E53&gt;0,B53=10),1,0)</f>
        <v>0</v>
      </c>
      <c r="AD53" s="0" t="str">
        <f aca="false">IF(AND(C52=C53,AA52=AA53-1),AB52,"")</f>
        <v/>
      </c>
      <c r="AE53" s="0" t="str">
        <f aca="false">IF(AND(C52=C53,AA52=AA53-1),AC52,"")</f>
        <v/>
      </c>
      <c r="AF53" s="0" t="str">
        <f aca="false">IF(AA53=1,"",IF(AND(AB53=1,AD53&lt;&gt;1),1,0))</f>
        <v/>
      </c>
      <c r="AG53" s="0" t="str">
        <f aca="false">IF(AA53=1,"",IF(AND(AC53=1,AE53&lt;&gt;1),1,0))</f>
        <v/>
      </c>
      <c r="AH53" s="51" t="str">
        <f aca="false">IF(AND(E53&gt;0,AA53&lt;1,NOT(AND(C54=C53,AA54=AA53+1))),INDEX(DATAS,AA53+1),"")</f>
        <v/>
      </c>
      <c r="AI53" s="51" t="str">
        <f aca="false">IF(AND(AC53=1,AA53&lt;1),IF(AND(C54=C53,AA54=AA53+1),IF(AC54=1,"",INDEX(DATAS,AA53+1)),INDEX(DATAS,AA53+1)),"")</f>
        <v/>
      </c>
    </row>
    <row r="54" customFormat="false" ht="15" hidden="false" customHeight="false" outlineLevel="0" collapsed="false">
      <c r="A54" s="51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46" t="s">
        <v>205</v>
      </c>
      <c r="G54" s="0" t="n">
        <v>41.8</v>
      </c>
      <c r="H54" s="0" t="n">
        <v>37</v>
      </c>
      <c r="I54" s="46" t="s">
        <v>181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51" t="n">
        <v>46289</v>
      </c>
      <c r="X54" s="46" t="n">
        <f aca="false">IF(I54="Male",0,1)</f>
        <v>1</v>
      </c>
      <c r="Y54" s="46" t="n">
        <f aca="false">IF(OR(I54="DNB",I54="Dry DNB"),1,0)</f>
        <v>0</v>
      </c>
      <c r="Z54" s="46" t="n">
        <f aca="false">IF(ISNUMBER(W54),A54-W54,"")</f>
        <v>20</v>
      </c>
      <c r="AA54" s="46" t="n">
        <f aca="false">MATCH(A54,DATAS,0)</f>
        <v>1</v>
      </c>
      <c r="AB54" s="46" t="n">
        <f aca="false">IF(AND(E54&gt;0,OR(AND(B54&gt;=1,B54&lt;=6),B54=10)),1,0)</f>
        <v>1</v>
      </c>
      <c r="AC54" s="46" t="n">
        <f aca="false">IF(AND(E54&gt;0,B54=10),1,0)</f>
        <v>0</v>
      </c>
      <c r="AD54" s="0" t="str">
        <f aca="false">IF(AND(C53=C54,AA53=AA54-1),AB53,"")</f>
        <v/>
      </c>
      <c r="AE54" s="0" t="str">
        <f aca="false">IF(AND(C53=C54,AA53=AA54-1),AC53,"")</f>
        <v/>
      </c>
      <c r="AF54" s="0" t="str">
        <f aca="false">IF(AA54=1,"",IF(AND(AB54=1,AD54&lt;&gt;1),1,0))</f>
        <v/>
      </c>
      <c r="AG54" s="0" t="str">
        <f aca="false">IF(AA54=1,"",IF(AND(AC54=1,AE54&lt;&gt;1),1,0))</f>
        <v/>
      </c>
      <c r="AH54" s="51" t="str">
        <f aca="false">IF(AND(E54&gt;0,AA54&lt;1,NOT(AND(C55=C54,AA55=AA54+1))),INDEX(DATAS,AA54+1),"")</f>
        <v/>
      </c>
      <c r="AI54" s="51" t="str">
        <f aca="false">IF(AND(AC54=1,AA54&lt;1),IF(AND(C55=C54,AA55=AA54+1),IF(AC55=1,"",INDEX(DATAS,AA54+1)),INDEX(DATAS,AA54+1)),"")</f>
        <v/>
      </c>
    </row>
    <row r="55" customFormat="false" ht="15" hidden="false" customHeight="false" outlineLevel="0" collapsed="false">
      <c r="A55" s="51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46" t="s">
        <v>206</v>
      </c>
      <c r="G55" s="0" t="n">
        <v>17.9</v>
      </c>
      <c r="H55" s="0" t="n">
        <v>18</v>
      </c>
      <c r="I55" s="46" t="s">
        <v>189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51" t="n">
        <v>46275</v>
      </c>
      <c r="X55" s="46" t="n">
        <f aca="false">IF(I55="Male",0,1)</f>
        <v>1</v>
      </c>
      <c r="Y55" s="46" t="n">
        <f aca="false">IF(OR(I55="DNB",I55="Dry DNB"),1,0)</f>
        <v>0</v>
      </c>
      <c r="Z55" s="46" t="n">
        <f aca="false">IF(ISNUMBER(W55),A55-W55,"")</f>
        <v>34</v>
      </c>
      <c r="AA55" s="46" t="n">
        <f aca="false">MATCH(A55,DATAS,0)</f>
        <v>1</v>
      </c>
      <c r="AB55" s="46" t="n">
        <f aca="false">IF(AND(E55&gt;0,OR(AND(B55&gt;=1,B55&lt;=6),B55=10)),1,0)</f>
        <v>1</v>
      </c>
      <c r="AC55" s="46" t="n">
        <f aca="false">IF(AND(E55&gt;0,B55=10),1,0)</f>
        <v>0</v>
      </c>
      <c r="AD55" s="0" t="str">
        <f aca="false">IF(AND(C54=C55,AA54=AA55-1),AB54,"")</f>
        <v/>
      </c>
      <c r="AE55" s="0" t="str">
        <f aca="false">IF(AND(C54=C55,AA54=AA55-1),AC54,"")</f>
        <v/>
      </c>
      <c r="AF55" s="0" t="str">
        <f aca="false">IF(AA55=1,"",IF(AND(AB55=1,AD55&lt;&gt;1),1,0))</f>
        <v/>
      </c>
      <c r="AG55" s="0" t="str">
        <f aca="false">IF(AA55=1,"",IF(AND(AC55=1,AE55&lt;&gt;1),1,0))</f>
        <v/>
      </c>
      <c r="AH55" s="51" t="str">
        <f aca="false">IF(AND(E55&gt;0,AA55&lt;1,NOT(AND(C56=C55,AA56=AA55+1))),INDEX(DATAS,AA55+1),"")</f>
        <v/>
      </c>
      <c r="AI55" s="51" t="str">
        <f aca="false">IF(AND(AC55=1,AA55&lt;1),IF(AND(C56=C55,AA56=AA55+1),IF(AC56=1,"",INDEX(DATAS,AA55+1)),INDEX(DATAS,AA55+1)),"")</f>
        <v/>
      </c>
    </row>
    <row r="56" customFormat="false" ht="15" hidden="false" customHeight="false" outlineLevel="0" collapsed="false">
      <c r="A56" s="51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46" t="s">
        <v>207</v>
      </c>
      <c r="G56" s="0" t="n">
        <v>36</v>
      </c>
      <c r="H56" s="0" t="n">
        <v>35</v>
      </c>
      <c r="I56" s="46" t="s">
        <v>189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51" t="n">
        <v>46272</v>
      </c>
      <c r="X56" s="46" t="n">
        <f aca="false">IF(I56="Male",0,1)</f>
        <v>1</v>
      </c>
      <c r="Y56" s="46" t="n">
        <f aca="false">IF(OR(I56="DNB",I56="Dry DNB"),1,0)</f>
        <v>0</v>
      </c>
      <c r="Z56" s="46" t="n">
        <f aca="false">IF(ISNUMBER(W56),A56-W56,"")</f>
        <v>37</v>
      </c>
      <c r="AA56" s="46" t="n">
        <f aca="false">MATCH(A56,DATAS,0)</f>
        <v>1</v>
      </c>
      <c r="AB56" s="46" t="n">
        <f aca="false">IF(AND(E56&gt;0,OR(AND(B56&gt;=1,B56&lt;=6),B56=10)),1,0)</f>
        <v>1</v>
      </c>
      <c r="AC56" s="46" t="n">
        <f aca="false">IF(AND(E56&gt;0,B56=10),1,0)</f>
        <v>0</v>
      </c>
      <c r="AD56" s="0" t="str">
        <f aca="false">IF(AND(C55=C56,AA55=AA56-1),AB55,"")</f>
        <v/>
      </c>
      <c r="AE56" s="0" t="str">
        <f aca="false">IF(AND(C55=C56,AA55=AA56-1),AC55,"")</f>
        <v/>
      </c>
      <c r="AF56" s="0" t="str">
        <f aca="false">IF(AA56=1,"",IF(AND(AB56=1,AD56&lt;&gt;1),1,0))</f>
        <v/>
      </c>
      <c r="AG56" s="0" t="str">
        <f aca="false">IF(AA56=1,"",IF(AND(AC56=1,AE56&lt;&gt;1),1,0))</f>
        <v/>
      </c>
      <c r="AH56" s="51" t="str">
        <f aca="false">IF(AND(E56&gt;0,AA56&lt;1,NOT(AND(C57=C56,AA57=AA56+1))),INDEX(DATAS,AA56+1),"")</f>
        <v/>
      </c>
      <c r="AI56" s="51" t="str">
        <f aca="false">IF(AND(AC56=1,AA56&lt;1),IF(AND(C57=C56,AA57=AA56+1),IF(AC57=1,"",INDEX(DATAS,AA56+1)),INDEX(DATAS,AA56+1)),"")</f>
        <v/>
      </c>
    </row>
    <row r="57" customFormat="false" ht="15" hidden="false" customHeight="false" outlineLevel="0" collapsed="false">
      <c r="A57" s="51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46" t="s">
        <v>208</v>
      </c>
      <c r="G57" s="0" t="n">
        <v>45.6</v>
      </c>
      <c r="H57" s="0" t="n">
        <v>35</v>
      </c>
      <c r="I57" s="46" t="s">
        <v>181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51" t="n">
        <v>46254</v>
      </c>
      <c r="X57" s="46" t="n">
        <f aca="false">IF(I57="Male",0,1)</f>
        <v>1</v>
      </c>
      <c r="Y57" s="46" t="n">
        <f aca="false">IF(OR(I57="DNB",I57="Dry DNB"),1,0)</f>
        <v>0</v>
      </c>
      <c r="Z57" s="46" t="n">
        <f aca="false">IF(ISNUMBER(W57),A57-W57,"")</f>
        <v>55</v>
      </c>
      <c r="AA57" s="46" t="n">
        <f aca="false">MATCH(A57,DATAS,0)</f>
        <v>1</v>
      </c>
      <c r="AB57" s="46" t="n">
        <f aca="false">IF(AND(E57&gt;0,OR(AND(B57&gt;=1,B57&lt;=6),B57=10)),1,0)</f>
        <v>1</v>
      </c>
      <c r="AC57" s="46" t="n">
        <f aca="false">IF(AND(E57&gt;0,B57=10),1,0)</f>
        <v>0</v>
      </c>
      <c r="AD57" s="0" t="str">
        <f aca="false">IF(AND(C56=C57,AA56=AA57-1),AB56,"")</f>
        <v/>
      </c>
      <c r="AE57" s="0" t="str">
        <f aca="false">IF(AND(C56=C57,AA56=AA57-1),AC56,"")</f>
        <v/>
      </c>
      <c r="AF57" s="0" t="str">
        <f aca="false">IF(AA57=1,"",IF(AND(AB57=1,AD57&lt;&gt;1),1,0))</f>
        <v/>
      </c>
      <c r="AG57" s="0" t="str">
        <f aca="false">IF(AA57=1,"",IF(AND(AC57=1,AE57&lt;&gt;1),1,0))</f>
        <v/>
      </c>
      <c r="AH57" s="51" t="str">
        <f aca="false">IF(AND(E57&gt;0,AA57&lt;1,NOT(AND(C58=C57,AA58=AA57+1))),INDEX(DATAS,AA57+1),"")</f>
        <v/>
      </c>
      <c r="AI57" s="51" t="str">
        <f aca="false">IF(AND(AC57=1,AA57&lt;1),IF(AND(C58=C57,AA58=AA57+1),IF(AC58=1,"",INDEX(DATAS,AA57+1)),INDEX(DATAS,AA57+1)),"")</f>
        <v/>
      </c>
    </row>
    <row r="58" customFormat="false" ht="15" hidden="false" customHeight="false" outlineLevel="0" collapsed="false">
      <c r="A58" s="51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46" t="s">
        <v>209</v>
      </c>
      <c r="G58" s="0" t="n">
        <v>50.4</v>
      </c>
      <c r="H58" s="0" t="n">
        <v>46</v>
      </c>
      <c r="I58" s="46" t="s">
        <v>152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51" t="n">
        <v>46212</v>
      </c>
      <c r="X58" s="46" t="n">
        <f aca="false">IF(I58="Male",0,1)</f>
        <v>1</v>
      </c>
      <c r="Y58" s="46" t="n">
        <f aca="false">IF(OR(I58="DNB",I58="Dry DNB"),1,0)</f>
        <v>0</v>
      </c>
      <c r="Z58" s="46" t="n">
        <f aca="false">IF(ISNUMBER(W58),A58-W58,"")</f>
        <v>97</v>
      </c>
      <c r="AA58" s="46" t="n">
        <f aca="false">MATCH(A58,DATAS,0)</f>
        <v>1</v>
      </c>
      <c r="AB58" s="46" t="n">
        <f aca="false">IF(AND(E58&gt;0,OR(AND(B58&gt;=1,B58&lt;=6),B58=10)),1,0)</f>
        <v>1</v>
      </c>
      <c r="AC58" s="46" t="n">
        <f aca="false">IF(AND(E58&gt;0,B58=10),1,0)</f>
        <v>0</v>
      </c>
      <c r="AD58" s="0" t="str">
        <f aca="false">IF(AND(C57=C58,AA57=AA58-1),AB57,"")</f>
        <v/>
      </c>
      <c r="AE58" s="0" t="str">
        <f aca="false">IF(AND(C57=C58,AA57=AA58-1),AC57,"")</f>
        <v/>
      </c>
      <c r="AF58" s="0" t="str">
        <f aca="false">IF(AA58=1,"",IF(AND(AB58=1,AD58&lt;&gt;1),1,0))</f>
        <v/>
      </c>
      <c r="AG58" s="0" t="str">
        <f aca="false">IF(AA58=1,"",IF(AND(AC58=1,AE58&lt;&gt;1),1,0))</f>
        <v/>
      </c>
      <c r="AH58" s="51" t="str">
        <f aca="false">IF(AND(E58&gt;0,AA58&lt;1,NOT(AND(C59=C58,AA59=AA58+1))),INDEX(DATAS,AA58+1),"")</f>
        <v/>
      </c>
      <c r="AI58" s="51" t="str">
        <f aca="false">IF(AND(AC58=1,AA58&lt;1),IF(AND(C59=C58,AA59=AA58+1),IF(AC59=1,"",INDEX(DATAS,AA58+1)),INDEX(DATAS,AA58+1)),"")</f>
        <v/>
      </c>
    </row>
    <row r="59" customFormat="false" ht="15" hidden="false" customHeight="false" outlineLevel="0" collapsed="false">
      <c r="A59" s="51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46" t="s">
        <v>210</v>
      </c>
      <c r="G59" s="0" t="n">
        <v>53.6</v>
      </c>
      <c r="H59" s="0" t="n">
        <v>52</v>
      </c>
      <c r="I59" s="46" t="s">
        <v>152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51" t="n">
        <v>46268</v>
      </c>
      <c r="X59" s="46" t="n">
        <f aca="false">IF(I59="Male",0,1)</f>
        <v>1</v>
      </c>
      <c r="Y59" s="46" t="n">
        <f aca="false">IF(OR(I59="DNB",I59="Dry DNB"),1,0)</f>
        <v>0</v>
      </c>
      <c r="Z59" s="46" t="n">
        <f aca="false">IF(ISNUMBER(W59),A59-W59,"")</f>
        <v>41</v>
      </c>
      <c r="AA59" s="46" t="n">
        <f aca="false">MATCH(A59,DATAS,0)</f>
        <v>1</v>
      </c>
      <c r="AB59" s="46" t="n">
        <f aca="false">IF(AND(E59&gt;0,OR(AND(B59&gt;=1,B59&lt;=6),B59=10)),1,0)</f>
        <v>1</v>
      </c>
      <c r="AC59" s="46" t="n">
        <f aca="false">IF(AND(E59&gt;0,B59=10),1,0)</f>
        <v>0</v>
      </c>
      <c r="AD59" s="0" t="str">
        <f aca="false">IF(AND(C58=C59,AA58=AA59-1),AB58,"")</f>
        <v/>
      </c>
      <c r="AE59" s="0" t="str">
        <f aca="false">IF(AND(C58=C59,AA58=AA59-1),AC58,"")</f>
        <v/>
      </c>
      <c r="AF59" s="0" t="str">
        <f aca="false">IF(AA59=1,"",IF(AND(AB59=1,AD59&lt;&gt;1),1,0))</f>
        <v/>
      </c>
      <c r="AG59" s="0" t="str">
        <f aca="false">IF(AA59=1,"",IF(AND(AC59=1,AE59&lt;&gt;1),1,0))</f>
        <v/>
      </c>
      <c r="AH59" s="51" t="str">
        <f aca="false">IF(AND(E59&gt;0,AA59&lt;1,NOT(AND(C60=C59,AA60=AA59+1))),INDEX(DATAS,AA59+1),"")</f>
        <v/>
      </c>
      <c r="AI59" s="51" t="str">
        <f aca="false">IF(AND(AC59=1,AA59&lt;1),IF(AND(C60=C59,AA60=AA59+1),IF(AC60=1,"",INDEX(DATAS,AA59+1)),INDEX(DATAS,AA59+1)),"")</f>
        <v/>
      </c>
    </row>
    <row r="60" customFormat="false" ht="15" hidden="false" customHeight="false" outlineLevel="0" collapsed="false">
      <c r="A60" s="51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46" t="s">
        <v>211</v>
      </c>
      <c r="G60" s="0" t="n">
        <v>67.7</v>
      </c>
      <c r="H60" s="0" t="n">
        <v>66</v>
      </c>
      <c r="I60" s="46" t="s">
        <v>181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51" t="n">
        <v>46303</v>
      </c>
      <c r="X60" s="46" t="n">
        <f aca="false">IF(I60="Male",0,1)</f>
        <v>1</v>
      </c>
      <c r="Y60" s="46" t="n">
        <f aca="false">IF(OR(I60="DNB",I60="Dry DNB"),1,0)</f>
        <v>0</v>
      </c>
      <c r="Z60" s="46" t="n">
        <f aca="false">IF(ISNUMBER(W60),A60-W60,"")</f>
        <v>6</v>
      </c>
      <c r="AA60" s="46" t="n">
        <f aca="false">MATCH(A60,DATAS,0)</f>
        <v>1</v>
      </c>
      <c r="AB60" s="46" t="n">
        <f aca="false">IF(AND(E60&gt;0,OR(AND(B60&gt;=1,B60&lt;=6),B60=10)),1,0)</f>
        <v>1</v>
      </c>
      <c r="AC60" s="46" t="n">
        <f aca="false">IF(AND(E60&gt;0,B60=10),1,0)</f>
        <v>0</v>
      </c>
      <c r="AD60" s="0" t="str">
        <f aca="false">IF(AND(C59=C60,AA59=AA60-1),AB59,"")</f>
        <v/>
      </c>
      <c r="AE60" s="0" t="str">
        <f aca="false">IF(AND(C59=C60,AA59=AA60-1),AC59,"")</f>
        <v/>
      </c>
      <c r="AF60" s="0" t="str">
        <f aca="false">IF(AA60=1,"",IF(AND(AB60=1,AD60&lt;&gt;1),1,0))</f>
        <v/>
      </c>
      <c r="AG60" s="0" t="str">
        <f aca="false">IF(AA60=1,"",IF(AND(AC60=1,AE60&lt;&gt;1),1,0))</f>
        <v/>
      </c>
      <c r="AH60" s="51" t="str">
        <f aca="false">IF(AND(E60&gt;0,AA60&lt;1,NOT(AND(C61=C60,AA61=AA60+1))),INDEX(DATAS,AA60+1),"")</f>
        <v/>
      </c>
      <c r="AI60" s="51" t="str">
        <f aca="false">IF(AND(AC60=1,AA60&lt;1),IF(AND(C61=C60,AA61=AA60+1),IF(AC61=1,"",INDEX(DATAS,AA60+1)),INDEX(DATAS,AA60+1)),"")</f>
        <v/>
      </c>
    </row>
    <row r="61" customFormat="false" ht="15" hidden="false" customHeight="false" outlineLevel="0" collapsed="false">
      <c r="A61" s="51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46" t="s">
        <v>212</v>
      </c>
      <c r="I61" s="46" t="s">
        <v>157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51" t="n">
        <v>46051</v>
      </c>
      <c r="X61" s="46" t="n">
        <f aca="false">IF(I61="Male",0,1)</f>
        <v>1</v>
      </c>
      <c r="Y61" s="46" t="n">
        <f aca="false">IF(OR(I61="DNB",I61="Dry DNB"),1,0)</f>
        <v>0</v>
      </c>
      <c r="Z61" s="46" t="n">
        <f aca="false">IF(ISNUMBER(W61),A61-W61,"")</f>
        <v>258</v>
      </c>
      <c r="AA61" s="46" t="n">
        <f aca="false">MATCH(A61,DATAS,0)</f>
        <v>1</v>
      </c>
      <c r="AB61" s="46" t="n">
        <f aca="false">IF(AND(E61&gt;0,OR(AND(B61&gt;=1,B61&lt;=6),B61=10)),1,0)</f>
        <v>0</v>
      </c>
      <c r="AC61" s="46" t="n">
        <f aca="false">IF(AND(E61&gt;0,B61=10),1,0)</f>
        <v>0</v>
      </c>
      <c r="AD61" s="0" t="str">
        <f aca="false">IF(AND(C60=C61,AA60=AA61-1),AB60,"")</f>
        <v/>
      </c>
      <c r="AE61" s="0" t="str">
        <f aca="false">IF(AND(C60=C61,AA60=AA61-1),AC60,"")</f>
        <v/>
      </c>
      <c r="AF61" s="0" t="str">
        <f aca="false">IF(AA61=1,"",IF(AND(AB61=1,AD61&lt;&gt;1),1,0))</f>
        <v/>
      </c>
      <c r="AG61" s="0" t="str">
        <f aca="false">IF(AA61=1,"",IF(AND(AC61=1,AE61&lt;&gt;1),1,0))</f>
        <v/>
      </c>
      <c r="AH61" s="51" t="str">
        <f aca="false">IF(AND(E61&gt;0,AA61&lt;1,NOT(AND(C62=C61,AA62=AA61+1))),INDEX(DATAS,AA61+1),"")</f>
        <v/>
      </c>
      <c r="AI61" s="51" t="str">
        <f aca="false">IF(AND(AC61=1,AA61&lt;1),IF(AND(C62=C61,AA62=AA61+1),IF(AC62=1,"",INDEX(DATAS,AA61+1)),INDEX(DATAS,AA61+1)),"")</f>
        <v/>
      </c>
    </row>
    <row r="62" customFormat="false" ht="15" hidden="false" customHeight="false" outlineLevel="0" collapsed="false">
      <c r="A62" s="51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46" t="s">
        <v>213</v>
      </c>
      <c r="I62" s="46" t="s">
        <v>157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51" t="n">
        <v>46037</v>
      </c>
      <c r="X62" s="46" t="n">
        <f aca="false">IF(I62="Male",0,1)</f>
        <v>1</v>
      </c>
      <c r="Y62" s="46" t="n">
        <f aca="false">IF(OR(I62="DNB",I62="Dry DNB"),1,0)</f>
        <v>0</v>
      </c>
      <c r="Z62" s="46" t="n">
        <f aca="false">IF(ISNUMBER(W62),A62-W62,"")</f>
        <v>272</v>
      </c>
      <c r="AA62" s="46" t="n">
        <f aca="false">MATCH(A62,DATAS,0)</f>
        <v>1</v>
      </c>
      <c r="AB62" s="46" t="n">
        <f aca="false">IF(AND(E62&gt;0,OR(AND(B62&gt;=1,B62&lt;=6),B62=10)),1,0)</f>
        <v>0</v>
      </c>
      <c r="AC62" s="46" t="n">
        <f aca="false">IF(AND(E62&gt;0,B62=10),1,0)</f>
        <v>0</v>
      </c>
      <c r="AD62" s="0" t="str">
        <f aca="false">IF(AND(C61=C62,AA61=AA62-1),AB61,"")</f>
        <v/>
      </c>
      <c r="AE62" s="0" t="str">
        <f aca="false">IF(AND(C61=C62,AA61=AA62-1),AC61,"")</f>
        <v/>
      </c>
      <c r="AF62" s="0" t="str">
        <f aca="false">IF(AA62=1,"",IF(AND(AB62=1,AD62&lt;&gt;1),1,0))</f>
        <v/>
      </c>
      <c r="AG62" s="0" t="str">
        <f aca="false">IF(AA62=1,"",IF(AND(AC62=1,AE62&lt;&gt;1),1,0))</f>
        <v/>
      </c>
      <c r="AH62" s="51" t="str">
        <f aca="false">IF(AND(E62&gt;0,AA62&lt;1,NOT(AND(C63=C62,AA63=AA62+1))),INDEX(DATAS,AA62+1),"")</f>
        <v/>
      </c>
      <c r="AI62" s="51" t="str">
        <f aca="false">IF(AND(AC62=1,AA62&lt;1),IF(AND(C63=C62,AA63=AA62+1),IF(AC63=1,"",INDEX(DATAS,AA62+1)),INDEX(DATAS,AA62+1)),"")</f>
        <v/>
      </c>
    </row>
    <row r="63" customFormat="false" ht="15" hidden="false" customHeight="false" outlineLevel="0" collapsed="false">
      <c r="A63" s="51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46" t="s">
        <v>214</v>
      </c>
      <c r="G63" s="0" t="n">
        <v>28.7</v>
      </c>
      <c r="H63" s="0" t="n">
        <v>28</v>
      </c>
      <c r="I63" s="46" t="s">
        <v>181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51" t="n">
        <v>46205</v>
      </c>
      <c r="X63" s="46" t="n">
        <f aca="false">IF(I63="Male",0,1)</f>
        <v>1</v>
      </c>
      <c r="Y63" s="46" t="n">
        <f aca="false">IF(OR(I63="DNB",I63="Dry DNB"),1,0)</f>
        <v>0</v>
      </c>
      <c r="Z63" s="46" t="n">
        <f aca="false">IF(ISNUMBER(W63),A63-W63,"")</f>
        <v>104</v>
      </c>
      <c r="AA63" s="46" t="n">
        <f aca="false">MATCH(A63,DATAS,0)</f>
        <v>1</v>
      </c>
      <c r="AB63" s="46" t="n">
        <f aca="false">IF(AND(E63&gt;0,OR(AND(B63&gt;=1,B63&lt;=6),B63=10)),1,0)</f>
        <v>1</v>
      </c>
      <c r="AC63" s="46" t="n">
        <f aca="false">IF(AND(E63&gt;0,B63=10),1,0)</f>
        <v>0</v>
      </c>
      <c r="AD63" s="0" t="str">
        <f aca="false">IF(AND(C62=C63,AA62=AA63-1),AB62,"")</f>
        <v/>
      </c>
      <c r="AE63" s="0" t="str">
        <f aca="false">IF(AND(C62=C63,AA62=AA63-1),AC62,"")</f>
        <v/>
      </c>
      <c r="AF63" s="0" t="str">
        <f aca="false">IF(AA63=1,"",IF(AND(AB63=1,AD63&lt;&gt;1),1,0))</f>
        <v/>
      </c>
      <c r="AG63" s="0" t="str">
        <f aca="false">IF(AA63=1,"",IF(AND(AC63=1,AE63&lt;&gt;1),1,0))</f>
        <v/>
      </c>
      <c r="AH63" s="51" t="str">
        <f aca="false">IF(AND(E63&gt;0,AA63&lt;1,NOT(AND(C64=C63,AA64=AA63+1))),INDEX(DATAS,AA63+1),"")</f>
        <v/>
      </c>
      <c r="AI63" s="51" t="str">
        <f aca="false">IF(AND(AC63=1,AA63&lt;1),IF(AND(C64=C63,AA64=AA63+1),IF(AC64=1,"",INDEX(DATAS,AA63+1)),INDEX(DATAS,AA63+1)),"")</f>
        <v/>
      </c>
    </row>
    <row r="64" customFormat="false" ht="15" hidden="false" customHeight="false" outlineLevel="0" collapsed="false">
      <c r="A64" s="51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46" t="s">
        <v>215</v>
      </c>
      <c r="I64" s="46" t="s">
        <v>157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51" t="n">
        <v>46086</v>
      </c>
      <c r="X64" s="46" t="n">
        <f aca="false">IF(I64="Male",0,1)</f>
        <v>1</v>
      </c>
      <c r="Y64" s="46" t="n">
        <f aca="false">IF(OR(I64="DNB",I64="Dry DNB"),1,0)</f>
        <v>0</v>
      </c>
      <c r="Z64" s="46" t="n">
        <f aca="false">IF(ISNUMBER(W64),A64-W64,"")</f>
        <v>223</v>
      </c>
      <c r="AA64" s="46" t="n">
        <f aca="false">MATCH(A64,DATAS,0)</f>
        <v>1</v>
      </c>
      <c r="AB64" s="46" t="n">
        <f aca="false">IF(AND(E64&gt;0,OR(AND(B64&gt;=1,B64&lt;=6),B64=10)),1,0)</f>
        <v>0</v>
      </c>
      <c r="AC64" s="46" t="n">
        <f aca="false">IF(AND(E64&gt;0,B64=10),1,0)</f>
        <v>0</v>
      </c>
      <c r="AD64" s="0" t="str">
        <f aca="false">IF(AND(C63=C64,AA63=AA64-1),AB63,"")</f>
        <v/>
      </c>
      <c r="AE64" s="0" t="str">
        <f aca="false">IF(AND(C63=C64,AA63=AA64-1),AC63,"")</f>
        <v/>
      </c>
      <c r="AF64" s="0" t="str">
        <f aca="false">IF(AA64=1,"",IF(AND(AB64=1,AD64&lt;&gt;1),1,0))</f>
        <v/>
      </c>
      <c r="AG64" s="0" t="str">
        <f aca="false">IF(AA64=1,"",IF(AND(AC64=1,AE64&lt;&gt;1),1,0))</f>
        <v/>
      </c>
      <c r="AH64" s="51" t="str">
        <f aca="false">IF(AND(E64&gt;0,AA64&lt;1,NOT(AND(C65=C64,AA65=AA64+1))),INDEX(DATAS,AA64+1),"")</f>
        <v/>
      </c>
      <c r="AI64" s="51" t="str">
        <f aca="false">IF(AND(AC64=1,AA64&lt;1),IF(AND(C65=C64,AA65=AA64+1),IF(AC65=1,"",INDEX(DATAS,AA64+1)),INDEX(DATAS,AA64+1)),"")</f>
        <v/>
      </c>
    </row>
    <row r="65" customFormat="false" ht="15" hidden="false" customHeight="false" outlineLevel="0" collapsed="false">
      <c r="A65" s="51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46" t="s">
        <v>216</v>
      </c>
      <c r="G65" s="0" t="n">
        <v>17.7</v>
      </c>
      <c r="H65" s="0" t="n">
        <v>19</v>
      </c>
      <c r="I65" s="46" t="s">
        <v>138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51" t="n">
        <v>46163</v>
      </c>
      <c r="X65" s="46" t="n">
        <f aca="false">IF(I65="Male",0,1)</f>
        <v>1</v>
      </c>
      <c r="Y65" s="46" t="n">
        <f aca="false">IF(OR(I65="DNB",I65="Dry DNB"),1,0)</f>
        <v>1</v>
      </c>
      <c r="Z65" s="46" t="n">
        <f aca="false">IF(ISNUMBER(W65),A65-W65,"")</f>
        <v>146</v>
      </c>
      <c r="AA65" s="46" t="n">
        <f aca="false">MATCH(A65,DATAS,0)</f>
        <v>1</v>
      </c>
      <c r="AB65" s="46" t="n">
        <f aca="false">IF(AND(E65&gt;0,OR(AND(B65&gt;=1,B65&lt;=6),B65=10)),1,0)</f>
        <v>1</v>
      </c>
      <c r="AC65" s="46" t="n">
        <f aca="false">IF(AND(E65&gt;0,B65=10),1,0)</f>
        <v>0</v>
      </c>
      <c r="AD65" s="0" t="str">
        <f aca="false">IF(AND(C64=C65,AA64=AA65-1),AB64,"")</f>
        <v/>
      </c>
      <c r="AE65" s="0" t="str">
        <f aca="false">IF(AND(C64=C65,AA64=AA65-1),AC64,"")</f>
        <v/>
      </c>
      <c r="AF65" s="0" t="str">
        <f aca="false">IF(AA65=1,"",IF(AND(AB65=1,AD65&lt;&gt;1),1,0))</f>
        <v/>
      </c>
      <c r="AG65" s="0" t="str">
        <f aca="false">IF(AA65=1,"",IF(AND(AC65=1,AE65&lt;&gt;1),1,0))</f>
        <v/>
      </c>
      <c r="AH65" s="51" t="str">
        <f aca="false">IF(AND(E65&gt;0,AA65&lt;1,NOT(AND(C66=C65,AA66=AA65+1))),INDEX(DATAS,AA65+1),"")</f>
        <v/>
      </c>
      <c r="AI65" s="51" t="str">
        <f aca="false">IF(AND(AC65=1,AA65&lt;1),IF(AND(C66=C65,AA66=AA65+1),IF(AC66=1,"",INDEX(DATAS,AA65+1)),INDEX(DATAS,AA65+1)),"")</f>
        <v/>
      </c>
    </row>
    <row r="66" customFormat="false" ht="15" hidden="false" customHeight="false" outlineLevel="0" collapsed="false">
      <c r="A66" s="51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46" t="s">
        <v>217</v>
      </c>
      <c r="I66" s="46" t="s">
        <v>157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51" t="n">
        <v>46037</v>
      </c>
      <c r="X66" s="46" t="n">
        <f aca="false">IF(I66="Male",0,1)</f>
        <v>1</v>
      </c>
      <c r="Y66" s="46" t="n">
        <f aca="false">IF(OR(I66="DNB",I66="Dry DNB"),1,0)</f>
        <v>0</v>
      </c>
      <c r="Z66" s="46" t="n">
        <f aca="false">IF(ISNUMBER(W66),A66-W66,"")</f>
        <v>272</v>
      </c>
      <c r="AA66" s="46" t="n">
        <f aca="false">MATCH(A66,DATAS,0)</f>
        <v>1</v>
      </c>
      <c r="AB66" s="46" t="n">
        <f aca="false">IF(AND(E66&gt;0,OR(AND(B66&gt;=1,B66&lt;=6),B66=10)),1,0)</f>
        <v>0</v>
      </c>
      <c r="AC66" s="46" t="n">
        <f aca="false">IF(AND(E66&gt;0,B66=10),1,0)</f>
        <v>0</v>
      </c>
      <c r="AD66" s="0" t="str">
        <f aca="false">IF(AND(C65=C66,AA65=AA66-1),AB65,"")</f>
        <v/>
      </c>
      <c r="AE66" s="0" t="str">
        <f aca="false">IF(AND(C65=C66,AA65=AA66-1),AC65,"")</f>
        <v/>
      </c>
      <c r="AF66" s="0" t="str">
        <f aca="false">IF(AA66=1,"",IF(AND(AB66=1,AD66&lt;&gt;1),1,0))</f>
        <v/>
      </c>
      <c r="AG66" s="0" t="str">
        <f aca="false">IF(AA66=1,"",IF(AND(AC66=1,AE66&lt;&gt;1),1,0))</f>
        <v/>
      </c>
      <c r="AH66" s="51" t="str">
        <f aca="false">IF(AND(E66&gt;0,AA66&lt;1,NOT(AND(C67=C66,AA67=AA66+1))),INDEX(DATAS,AA66+1),"")</f>
        <v/>
      </c>
      <c r="AI66" s="51" t="str">
        <f aca="false">IF(AND(AC66=1,AA66&lt;1),IF(AND(C67=C66,AA67=AA66+1),IF(AC67=1,"",INDEX(DATAS,AA66+1)),INDEX(DATAS,AA66+1)),"")</f>
        <v/>
      </c>
    </row>
    <row r="67" customFormat="false" ht="15" hidden="false" customHeight="false" outlineLevel="0" collapsed="false">
      <c r="A67" s="51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46" t="s">
        <v>218</v>
      </c>
      <c r="G67" s="0" t="n">
        <v>50.9</v>
      </c>
      <c r="H67" s="0" t="n">
        <v>50</v>
      </c>
      <c r="I67" s="46" t="s">
        <v>138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51" t="n">
        <v>46268</v>
      </c>
      <c r="X67" s="46" t="n">
        <f aca="false">IF(I67="Male",0,1)</f>
        <v>1</v>
      </c>
      <c r="Y67" s="46" t="n">
        <f aca="false">IF(OR(I67="DNB",I67="Dry DNB"),1,0)</f>
        <v>1</v>
      </c>
      <c r="Z67" s="46" t="n">
        <f aca="false">IF(ISNUMBER(W67),A67-W67,"")</f>
        <v>41</v>
      </c>
      <c r="AA67" s="46" t="n">
        <f aca="false">MATCH(A67,DATAS,0)</f>
        <v>1</v>
      </c>
      <c r="AB67" s="46" t="n">
        <f aca="false">IF(AND(E67&gt;0,OR(AND(B67&gt;=1,B67&lt;=6),B67=10)),1,0)</f>
        <v>1</v>
      </c>
      <c r="AC67" s="46" t="n">
        <f aca="false">IF(AND(E67&gt;0,B67=10),1,0)</f>
        <v>0</v>
      </c>
      <c r="AD67" s="0" t="str">
        <f aca="false">IF(AND(C66=C67,AA66=AA67-1),AB66,"")</f>
        <v/>
      </c>
      <c r="AE67" s="0" t="str">
        <f aca="false">IF(AND(C66=C67,AA66=AA67-1),AC66,"")</f>
        <v/>
      </c>
      <c r="AF67" s="0" t="str">
        <f aca="false">IF(AA67=1,"",IF(AND(AB67=1,AD67&lt;&gt;1),1,0))</f>
        <v/>
      </c>
      <c r="AG67" s="0" t="str">
        <f aca="false">IF(AA67=1,"",IF(AND(AC67=1,AE67&lt;&gt;1),1,0))</f>
        <v/>
      </c>
      <c r="AH67" s="51" t="str">
        <f aca="false">IF(AND(E67&gt;0,AA67&lt;1,NOT(AND(C68=C67,AA68=AA67+1))),INDEX(DATAS,AA67+1),"")</f>
        <v/>
      </c>
      <c r="AI67" s="51" t="str">
        <f aca="false">IF(AND(AC67=1,AA67&lt;1),IF(AND(C68=C67,AA68=AA67+1),IF(AC68=1,"",INDEX(DATAS,AA67+1)),INDEX(DATAS,AA67+1)),"")</f>
        <v/>
      </c>
    </row>
    <row r="68" customFormat="false" ht="15" hidden="false" customHeight="false" outlineLevel="0" collapsed="false">
      <c r="A68" s="51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46" t="s">
        <v>219</v>
      </c>
      <c r="I68" s="46" t="s">
        <v>157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51" t="n">
        <v>46044</v>
      </c>
      <c r="X68" s="46" t="n">
        <f aca="false">IF(I68="Male",0,1)</f>
        <v>1</v>
      </c>
      <c r="Y68" s="46" t="n">
        <f aca="false">IF(OR(I68="DNB",I68="Dry DNB"),1,0)</f>
        <v>0</v>
      </c>
      <c r="Z68" s="46" t="n">
        <f aca="false">IF(ISNUMBER(W68),A68-W68,"")</f>
        <v>265</v>
      </c>
      <c r="AA68" s="46" t="n">
        <f aca="false">MATCH(A68,DATAS,0)</f>
        <v>1</v>
      </c>
      <c r="AB68" s="46" t="n">
        <f aca="false">IF(AND(E68&gt;0,OR(AND(B68&gt;=1,B68&lt;=6),B68=10)),1,0)</f>
        <v>0</v>
      </c>
      <c r="AC68" s="46" t="n">
        <f aca="false">IF(AND(E68&gt;0,B68=10),1,0)</f>
        <v>0</v>
      </c>
      <c r="AD68" s="0" t="str">
        <f aca="false">IF(AND(C67=C68,AA67=AA68-1),AB67,"")</f>
        <v/>
      </c>
      <c r="AE68" s="0" t="str">
        <f aca="false">IF(AND(C67=C68,AA67=AA68-1),AC67,"")</f>
        <v/>
      </c>
      <c r="AF68" s="0" t="str">
        <f aca="false">IF(AA68=1,"",IF(AND(AB68=1,AD68&lt;&gt;1),1,0))</f>
        <v/>
      </c>
      <c r="AG68" s="0" t="str">
        <f aca="false">IF(AA68=1,"",IF(AND(AC68=1,AE68&lt;&gt;1),1,0))</f>
        <v/>
      </c>
      <c r="AH68" s="51" t="str">
        <f aca="false">IF(AND(E68&gt;0,AA68&lt;1,NOT(AND(C69=C68,AA69=AA68+1))),INDEX(DATAS,AA68+1),"")</f>
        <v/>
      </c>
      <c r="AI68" s="51" t="str">
        <f aca="false">IF(AND(AC68=1,AA68&lt;1),IF(AND(C69=C68,AA69=AA68+1),IF(AC69=1,"",INDEX(DATAS,AA68+1)),INDEX(DATAS,AA68+1)),"")</f>
        <v/>
      </c>
    </row>
    <row r="69" customFormat="false" ht="15" hidden="false" customHeight="false" outlineLevel="0" collapsed="false">
      <c r="A69" s="51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46" t="s">
        <v>220</v>
      </c>
      <c r="G69" s="0" t="n">
        <v>32.1</v>
      </c>
      <c r="H69" s="0" t="n">
        <v>27</v>
      </c>
      <c r="I69" s="46" t="s">
        <v>181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51" t="n">
        <v>46282</v>
      </c>
      <c r="X69" s="46" t="n">
        <f aca="false">IF(I69="Male",0,1)</f>
        <v>1</v>
      </c>
      <c r="Y69" s="46" t="n">
        <f aca="false">IF(OR(I69="DNB",I69="Dry DNB"),1,0)</f>
        <v>0</v>
      </c>
      <c r="Z69" s="46" t="n">
        <f aca="false">IF(ISNUMBER(W69),A69-W69,"")</f>
        <v>27</v>
      </c>
      <c r="AA69" s="46" t="n">
        <f aca="false">MATCH(A69,DATAS,0)</f>
        <v>1</v>
      </c>
      <c r="AB69" s="46" t="n">
        <f aca="false">IF(AND(E69&gt;0,OR(AND(B69&gt;=1,B69&lt;=6),B69=10)),1,0)</f>
        <v>1</v>
      </c>
      <c r="AC69" s="46" t="n">
        <f aca="false">IF(AND(E69&gt;0,B69=10),1,0)</f>
        <v>0</v>
      </c>
      <c r="AD69" s="0" t="str">
        <f aca="false">IF(AND(C68=C69,AA68=AA69-1),AB68,"")</f>
        <v/>
      </c>
      <c r="AE69" s="0" t="str">
        <f aca="false">IF(AND(C68=C69,AA68=AA69-1),AC68,"")</f>
        <v/>
      </c>
      <c r="AF69" s="0" t="str">
        <f aca="false">IF(AA69=1,"",IF(AND(AB69=1,AD69&lt;&gt;1),1,0))</f>
        <v/>
      </c>
      <c r="AG69" s="0" t="str">
        <f aca="false">IF(AA69=1,"",IF(AND(AC69=1,AE69&lt;&gt;1),1,0))</f>
        <v/>
      </c>
      <c r="AH69" s="51" t="str">
        <f aca="false">IF(AND(E69&gt;0,AA69&lt;1,NOT(AND(C70=C69,AA70=AA69+1))),INDEX(DATAS,AA69+1),"")</f>
        <v/>
      </c>
      <c r="AI69" s="51" t="str">
        <f aca="false">IF(AND(AC69=1,AA69&lt;1),IF(AND(C70=C69,AA70=AA69+1),IF(AC70=1,"",INDEX(DATAS,AA69+1)),INDEX(DATAS,AA69+1)),"")</f>
        <v/>
      </c>
    </row>
    <row r="70" customFormat="false" ht="15" hidden="false" customHeight="false" outlineLevel="0" collapsed="false">
      <c r="A70" s="51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46" t="s">
        <v>221</v>
      </c>
      <c r="I70" s="46" t="s">
        <v>157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51" t="n">
        <v>46037</v>
      </c>
      <c r="X70" s="46" t="n">
        <f aca="false">IF(I70="Male",0,1)</f>
        <v>1</v>
      </c>
      <c r="Y70" s="46" t="n">
        <f aca="false">IF(OR(I70="DNB",I70="Dry DNB"),1,0)</f>
        <v>0</v>
      </c>
      <c r="Z70" s="46" t="n">
        <f aca="false">IF(ISNUMBER(W70),A70-W70,"")</f>
        <v>272</v>
      </c>
      <c r="AA70" s="46" t="n">
        <f aca="false">MATCH(A70,DATAS,0)</f>
        <v>1</v>
      </c>
      <c r="AB70" s="46" t="n">
        <f aca="false">IF(AND(E70&gt;0,OR(AND(B70&gt;=1,B70&lt;=6),B70=10)),1,0)</f>
        <v>0</v>
      </c>
      <c r="AC70" s="46" t="n">
        <f aca="false">IF(AND(E70&gt;0,B70=10),1,0)</f>
        <v>0</v>
      </c>
      <c r="AD70" s="0" t="str">
        <f aca="false">IF(AND(C69=C70,AA69=AA70-1),AB69,"")</f>
        <v/>
      </c>
      <c r="AE70" s="0" t="str">
        <f aca="false">IF(AND(C69=C70,AA69=AA70-1),AC69,"")</f>
        <v/>
      </c>
      <c r="AF70" s="0" t="str">
        <f aca="false">IF(AA70=1,"",IF(AND(AB70=1,AD70&lt;&gt;1),1,0))</f>
        <v/>
      </c>
      <c r="AG70" s="0" t="str">
        <f aca="false">IF(AA70=1,"",IF(AND(AC70=1,AE70&lt;&gt;1),1,0))</f>
        <v/>
      </c>
      <c r="AH70" s="51" t="str">
        <f aca="false">IF(AND(E70&gt;0,AA70&lt;1,NOT(AND(C71=C70,AA71=AA70+1))),INDEX(DATAS,AA70+1),"")</f>
        <v/>
      </c>
      <c r="AI70" s="51" t="str">
        <f aca="false">IF(AND(AC70=1,AA70&lt;1),IF(AND(C71=C70,AA71=AA70+1),IF(AC71=1,"",INDEX(DATAS,AA70+1)),INDEX(DATAS,AA70+1)),"")</f>
        <v/>
      </c>
    </row>
    <row r="71" customFormat="false" ht="15" hidden="false" customHeight="false" outlineLevel="0" collapsed="false">
      <c r="A71" s="51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46" t="s">
        <v>222</v>
      </c>
      <c r="G71" s="0" t="n">
        <v>14.6</v>
      </c>
      <c r="H71" s="0" t="n">
        <v>23</v>
      </c>
      <c r="I71" s="46" t="s">
        <v>138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51" t="n">
        <v>46240</v>
      </c>
      <c r="X71" s="46" t="n">
        <f aca="false">IF(I71="Male",0,1)</f>
        <v>1</v>
      </c>
      <c r="Y71" s="46" t="n">
        <f aca="false">IF(OR(I71="DNB",I71="Dry DNB"),1,0)</f>
        <v>1</v>
      </c>
      <c r="Z71" s="46" t="n">
        <f aca="false">IF(ISNUMBER(W71),A71-W71,"")</f>
        <v>69</v>
      </c>
      <c r="AA71" s="46" t="n">
        <f aca="false">MATCH(A71,DATAS,0)</f>
        <v>1</v>
      </c>
      <c r="AB71" s="46" t="n">
        <f aca="false">IF(AND(E71&gt;0,OR(AND(B71&gt;=1,B71&lt;=6),B71=10)),1,0)</f>
        <v>1</v>
      </c>
      <c r="AC71" s="46" t="n">
        <f aca="false">IF(AND(E71&gt;0,B71=10),1,0)</f>
        <v>0</v>
      </c>
      <c r="AD71" s="0" t="str">
        <f aca="false">IF(AND(C70=C71,AA70=AA71-1),AB70,"")</f>
        <v/>
      </c>
      <c r="AE71" s="0" t="str">
        <f aca="false">IF(AND(C70=C71,AA70=AA71-1),AC70,"")</f>
        <v/>
      </c>
      <c r="AF71" s="0" t="str">
        <f aca="false">IF(AA71=1,"",IF(AND(AB71=1,AD71&lt;&gt;1),1,0))</f>
        <v/>
      </c>
      <c r="AG71" s="0" t="str">
        <f aca="false">IF(AA71=1,"",IF(AND(AC71=1,AE71&lt;&gt;1),1,0))</f>
        <v/>
      </c>
      <c r="AH71" s="51" t="str">
        <f aca="false">IF(AND(E71&gt;0,AA71&lt;1,NOT(AND(C72=C71,AA72=AA71+1))),INDEX(DATAS,AA71+1),"")</f>
        <v/>
      </c>
      <c r="AI71" s="51" t="str">
        <f aca="false">IF(AND(AC71=1,AA71&lt;1),IF(AND(C72=C71,AA72=AA71+1),IF(AC72=1,"",INDEX(DATAS,AA71+1)),INDEX(DATAS,AA71+1)),"")</f>
        <v/>
      </c>
    </row>
    <row r="72" customFormat="false" ht="15" hidden="false" customHeight="false" outlineLevel="0" collapsed="false">
      <c r="A72" s="51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46" t="s">
        <v>223</v>
      </c>
      <c r="G72" s="0" t="n">
        <v>29.1</v>
      </c>
      <c r="H72" s="0" t="n">
        <v>31</v>
      </c>
      <c r="I72" s="46" t="s">
        <v>181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51" t="n">
        <v>46282</v>
      </c>
      <c r="X72" s="46" t="n">
        <f aca="false">IF(I72="Male",0,1)</f>
        <v>1</v>
      </c>
      <c r="Y72" s="46" t="n">
        <f aca="false">IF(OR(I72="DNB",I72="Dry DNB"),1,0)</f>
        <v>0</v>
      </c>
      <c r="Z72" s="46" t="n">
        <f aca="false">IF(ISNUMBER(W72),A72-W72,"")</f>
        <v>27</v>
      </c>
      <c r="AA72" s="46" t="n">
        <f aca="false">MATCH(A72,DATAS,0)</f>
        <v>1</v>
      </c>
      <c r="AB72" s="46" t="n">
        <f aca="false">IF(AND(E72&gt;0,OR(AND(B72&gt;=1,B72&lt;=6),B72=10)),1,0)</f>
        <v>1</v>
      </c>
      <c r="AC72" s="46" t="n">
        <f aca="false">IF(AND(E72&gt;0,B72=10),1,0)</f>
        <v>0</v>
      </c>
      <c r="AD72" s="0" t="str">
        <f aca="false">IF(AND(C71=C72,AA71=AA72-1),AB71,"")</f>
        <v/>
      </c>
      <c r="AE72" s="0" t="str">
        <f aca="false">IF(AND(C71=C72,AA71=AA72-1),AC71,"")</f>
        <v/>
      </c>
      <c r="AF72" s="0" t="str">
        <f aca="false">IF(AA72=1,"",IF(AND(AB72=1,AD72&lt;&gt;1),1,0))</f>
        <v/>
      </c>
      <c r="AG72" s="0" t="str">
        <f aca="false">IF(AA72=1,"",IF(AND(AC72=1,AE72&lt;&gt;1),1,0))</f>
        <v/>
      </c>
      <c r="AH72" s="51" t="str">
        <f aca="false">IF(AND(E72&gt;0,AA72&lt;1,NOT(AND(C73=C72,AA73=AA72+1))),INDEX(DATAS,AA72+1),"")</f>
        <v/>
      </c>
      <c r="AI72" s="51" t="str">
        <f aca="false">IF(AND(AC72=1,AA72&lt;1),IF(AND(C73=C72,AA73=AA72+1),IF(AC73=1,"",INDEX(DATAS,AA72+1)),INDEX(DATAS,AA72+1)),"")</f>
        <v/>
      </c>
    </row>
    <row r="73" customFormat="false" ht="15" hidden="false" customHeight="false" outlineLevel="0" collapsed="false">
      <c r="A73" s="51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46" t="s">
        <v>224</v>
      </c>
      <c r="I73" s="46" t="s">
        <v>157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51" t="n">
        <v>46079</v>
      </c>
      <c r="X73" s="46" t="n">
        <f aca="false">IF(I73="Male",0,1)</f>
        <v>1</v>
      </c>
      <c r="Y73" s="46" t="n">
        <f aca="false">IF(OR(I73="DNB",I73="Dry DNB"),1,0)</f>
        <v>0</v>
      </c>
      <c r="Z73" s="46" t="n">
        <f aca="false">IF(ISNUMBER(W73),A73-W73,"")</f>
        <v>230</v>
      </c>
      <c r="AA73" s="46" t="n">
        <f aca="false">MATCH(A73,DATAS,0)</f>
        <v>1</v>
      </c>
      <c r="AB73" s="46" t="n">
        <f aca="false">IF(AND(E73&gt;0,OR(AND(B73&gt;=1,B73&lt;=6),B73=10)),1,0)</f>
        <v>0</v>
      </c>
      <c r="AC73" s="46" t="n">
        <f aca="false">IF(AND(E73&gt;0,B73=10),1,0)</f>
        <v>0</v>
      </c>
      <c r="AD73" s="0" t="str">
        <f aca="false">IF(AND(C72=C73,AA72=AA73-1),AB72,"")</f>
        <v/>
      </c>
      <c r="AE73" s="0" t="str">
        <f aca="false">IF(AND(C72=C73,AA72=AA73-1),AC72,"")</f>
        <v/>
      </c>
      <c r="AF73" s="0" t="str">
        <f aca="false">IF(AA73=1,"",IF(AND(AB73=1,AD73&lt;&gt;1),1,0))</f>
        <v/>
      </c>
      <c r="AG73" s="0" t="str">
        <f aca="false">IF(AA73=1,"",IF(AND(AC73=1,AE73&lt;&gt;1),1,0))</f>
        <v/>
      </c>
      <c r="AH73" s="51" t="str">
        <f aca="false">IF(AND(E73&gt;0,AA73&lt;1,NOT(AND(C74=C73,AA74=AA73+1))),INDEX(DATAS,AA73+1),"")</f>
        <v/>
      </c>
      <c r="AI73" s="51" t="str">
        <f aca="false">IF(AND(AC73=1,AA73&lt;1),IF(AND(C74=C73,AA74=AA73+1),IF(AC74=1,"",INDEX(DATAS,AA73+1)),INDEX(DATAS,AA73+1)),"")</f>
        <v/>
      </c>
    </row>
    <row r="74" customFormat="false" ht="15" hidden="false" customHeight="false" outlineLevel="0" collapsed="false">
      <c r="A74" s="51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46" t="s">
        <v>225</v>
      </c>
      <c r="H74" s="0" t="n">
        <v>21</v>
      </c>
      <c r="I74" s="46" t="s">
        <v>152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51" t="n">
        <v>46177</v>
      </c>
      <c r="X74" s="46" t="n">
        <f aca="false">IF(I74="Male",0,1)</f>
        <v>1</v>
      </c>
      <c r="Y74" s="46" t="n">
        <f aca="false">IF(OR(I74="DNB",I74="Dry DNB"),1,0)</f>
        <v>0</v>
      </c>
      <c r="Z74" s="46" t="n">
        <f aca="false">IF(ISNUMBER(W74),A74-W74,"")</f>
        <v>132</v>
      </c>
      <c r="AA74" s="46" t="n">
        <f aca="false">MATCH(A74,DATAS,0)</f>
        <v>1</v>
      </c>
      <c r="AB74" s="46" t="n">
        <f aca="false">IF(AND(E74&gt;0,OR(AND(B74&gt;=1,B74&lt;=6),B74=10)),1,0)</f>
        <v>1</v>
      </c>
      <c r="AC74" s="46" t="n">
        <f aca="false">IF(AND(E74&gt;0,B74=10),1,0)</f>
        <v>0</v>
      </c>
      <c r="AD74" s="0" t="str">
        <f aca="false">IF(AND(C73=C74,AA73=AA74-1),AB73,"")</f>
        <v/>
      </c>
      <c r="AE74" s="0" t="str">
        <f aca="false">IF(AND(C73=C74,AA73=AA74-1),AC73,"")</f>
        <v/>
      </c>
      <c r="AF74" s="0" t="str">
        <f aca="false">IF(AA74=1,"",IF(AND(AB74=1,AD74&lt;&gt;1),1,0))</f>
        <v/>
      </c>
      <c r="AG74" s="0" t="str">
        <f aca="false">IF(AA74=1,"",IF(AND(AC74=1,AE74&lt;&gt;1),1,0))</f>
        <v/>
      </c>
      <c r="AH74" s="51" t="str">
        <f aca="false">IF(AND(E74&gt;0,AA74&lt;1,NOT(AND(C75=C74,AA75=AA74+1))),INDEX(DATAS,AA74+1),"")</f>
        <v/>
      </c>
      <c r="AI74" s="51" t="str">
        <f aca="false">IF(AND(AC74=1,AA74&lt;1),IF(AND(C75=C74,AA75=AA74+1),IF(AC75=1,"",INDEX(DATAS,AA74+1)),INDEX(DATAS,AA74+1)),"")</f>
        <v/>
      </c>
    </row>
    <row r="75" customFormat="false" ht="15" hidden="false" customHeight="false" outlineLevel="0" collapsed="false">
      <c r="A75" s="51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46" t="s">
        <v>226</v>
      </c>
      <c r="I75" s="46" t="s">
        <v>157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51" t="n">
        <v>46065</v>
      </c>
      <c r="X75" s="46" t="n">
        <f aca="false">IF(I75="Male",0,1)</f>
        <v>1</v>
      </c>
      <c r="Y75" s="46" t="n">
        <f aca="false">IF(OR(I75="DNB",I75="Dry DNB"),1,0)</f>
        <v>0</v>
      </c>
      <c r="Z75" s="46" t="n">
        <f aca="false">IF(ISNUMBER(W75),A75-W75,"")</f>
        <v>244</v>
      </c>
      <c r="AA75" s="46" t="n">
        <f aca="false">MATCH(A75,DATAS,0)</f>
        <v>1</v>
      </c>
      <c r="AB75" s="46" t="n">
        <f aca="false">IF(AND(E75&gt;0,OR(AND(B75&gt;=1,B75&lt;=6),B75=10)),1,0)</f>
        <v>0</v>
      </c>
      <c r="AC75" s="46" t="n">
        <f aca="false">IF(AND(E75&gt;0,B75=10),1,0)</f>
        <v>0</v>
      </c>
      <c r="AD75" s="0" t="str">
        <f aca="false">IF(AND(C74=C75,AA74=AA75-1),AB74,"")</f>
        <v/>
      </c>
      <c r="AE75" s="0" t="str">
        <f aca="false">IF(AND(C74=C75,AA74=AA75-1),AC74,"")</f>
        <v/>
      </c>
      <c r="AF75" s="0" t="str">
        <f aca="false">IF(AA75=1,"",IF(AND(AB75=1,AD75&lt;&gt;1),1,0))</f>
        <v/>
      </c>
      <c r="AG75" s="0" t="str">
        <f aca="false">IF(AA75=1,"",IF(AND(AC75=1,AE75&lt;&gt;1),1,0))</f>
        <v/>
      </c>
      <c r="AH75" s="51" t="str">
        <f aca="false">IF(AND(E75&gt;0,AA75&lt;1,NOT(AND(C76=C75,AA76=AA75+1))),INDEX(DATAS,AA75+1),"")</f>
        <v/>
      </c>
      <c r="AI75" s="51" t="str">
        <f aca="false">IF(AND(AC75=1,AA75&lt;1),IF(AND(C76=C75,AA76=AA75+1),IF(AC76=1,"",INDEX(DATAS,AA75+1)),INDEX(DATAS,AA75+1)),"")</f>
        <v/>
      </c>
    </row>
    <row r="76" customFormat="false" ht="15" hidden="false" customHeight="false" outlineLevel="0" collapsed="false">
      <c r="A76" s="51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46" t="s">
        <v>227</v>
      </c>
      <c r="I76" s="46" t="s">
        <v>157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51" t="n">
        <v>46087</v>
      </c>
      <c r="X76" s="46" t="n">
        <f aca="false">IF(I76="Male",0,1)</f>
        <v>1</v>
      </c>
      <c r="Y76" s="46" t="n">
        <f aca="false">IF(OR(I76="DNB",I76="Dry DNB"),1,0)</f>
        <v>0</v>
      </c>
      <c r="Z76" s="46" t="n">
        <f aca="false">IF(ISNUMBER(W76),A76-W76,"")</f>
        <v>222</v>
      </c>
      <c r="AA76" s="46" t="n">
        <f aca="false">MATCH(A76,DATAS,0)</f>
        <v>1</v>
      </c>
      <c r="AB76" s="46" t="n">
        <f aca="false">IF(AND(E76&gt;0,OR(AND(B76&gt;=1,B76&lt;=6),B76=10)),1,0)</f>
        <v>0</v>
      </c>
      <c r="AC76" s="46" t="n">
        <f aca="false">IF(AND(E76&gt;0,B76=10),1,0)</f>
        <v>0</v>
      </c>
      <c r="AD76" s="0" t="str">
        <f aca="false">IF(AND(C75=C76,AA75=AA76-1),AB75,"")</f>
        <v/>
      </c>
      <c r="AE76" s="0" t="str">
        <f aca="false">IF(AND(C75=C76,AA75=AA76-1),AC75,"")</f>
        <v/>
      </c>
      <c r="AF76" s="0" t="str">
        <f aca="false">IF(AA76=1,"",IF(AND(AB76=1,AD76&lt;&gt;1),1,0))</f>
        <v/>
      </c>
      <c r="AG76" s="0" t="str">
        <f aca="false">IF(AA76=1,"",IF(AND(AC76=1,AE76&lt;&gt;1),1,0))</f>
        <v/>
      </c>
      <c r="AH76" s="51" t="str">
        <f aca="false">IF(AND(E76&gt;0,AA76&lt;1,NOT(AND(C77=C76,AA77=AA76+1))),INDEX(DATAS,AA76+1),"")</f>
        <v/>
      </c>
      <c r="AI76" s="51" t="str">
        <f aca="false">IF(AND(AC76=1,AA76&lt;1),IF(AND(C77=C76,AA77=AA76+1),IF(AC77=1,"",INDEX(DATAS,AA76+1)),INDEX(DATAS,AA76+1)),"")</f>
        <v/>
      </c>
    </row>
    <row r="77" customFormat="false" ht="15" hidden="false" customHeight="false" outlineLevel="0" collapsed="false">
      <c r="A77" s="51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46" t="s">
        <v>227</v>
      </c>
      <c r="G77" s="0" t="n">
        <v>33.8</v>
      </c>
      <c r="H77" s="0" t="n">
        <v>28</v>
      </c>
      <c r="I77" s="46" t="s">
        <v>181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51" t="n">
        <v>46303</v>
      </c>
      <c r="X77" s="46" t="n">
        <f aca="false">IF(I77="Male",0,1)</f>
        <v>1</v>
      </c>
      <c r="Y77" s="46" t="n">
        <f aca="false">IF(OR(I77="DNB",I77="Dry DNB"),1,0)</f>
        <v>0</v>
      </c>
      <c r="Z77" s="46" t="n">
        <f aca="false">IF(ISNUMBER(W77),A77-W77,"")</f>
        <v>6</v>
      </c>
      <c r="AA77" s="46" t="n">
        <f aca="false">MATCH(A77,DATAS,0)</f>
        <v>1</v>
      </c>
      <c r="AB77" s="46" t="n">
        <f aca="false">IF(AND(E77&gt;0,OR(AND(B77&gt;=1,B77&lt;=6),B77=10)),1,0)</f>
        <v>1</v>
      </c>
      <c r="AC77" s="46" t="n">
        <f aca="false">IF(AND(E77&gt;0,B77=10),1,0)</f>
        <v>0</v>
      </c>
      <c r="AD77" s="0" t="str">
        <f aca="false">IF(AND(C76=C77,AA76=AA77-1),AB76,"")</f>
        <v/>
      </c>
      <c r="AE77" s="0" t="str">
        <f aca="false">IF(AND(C76=C77,AA76=AA77-1),AC76,"")</f>
        <v/>
      </c>
      <c r="AF77" s="0" t="str">
        <f aca="false">IF(AA77=1,"",IF(AND(AB77=1,AD77&lt;&gt;1),1,0))</f>
        <v/>
      </c>
      <c r="AG77" s="0" t="str">
        <f aca="false">IF(AA77=1,"",IF(AND(AC77=1,AE77&lt;&gt;1),1,0))</f>
        <v/>
      </c>
      <c r="AH77" s="51" t="str">
        <f aca="false">IF(AND(E77&gt;0,AA77&lt;1,NOT(AND(C78=C77,AA78=AA77+1))),INDEX(DATAS,AA77+1),"")</f>
        <v/>
      </c>
      <c r="AI77" s="51" t="str">
        <f aca="false">IF(AND(AC77=1,AA77&lt;1),IF(AND(C78=C77,AA78=AA77+1),IF(AC78=1,"",INDEX(DATAS,AA77+1)),INDEX(DATAS,AA77+1)),"")</f>
        <v/>
      </c>
    </row>
    <row r="78" customFormat="false" ht="15" hidden="false" customHeight="false" outlineLevel="0" collapsed="false">
      <c r="A78" s="51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46" t="s">
        <v>228</v>
      </c>
      <c r="G78" s="0" t="n">
        <v>23.3</v>
      </c>
      <c r="H78" s="0" t="n">
        <v>21</v>
      </c>
      <c r="I78" s="46" t="s">
        <v>181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51" t="n">
        <v>46282</v>
      </c>
      <c r="X78" s="46" t="n">
        <f aca="false">IF(I78="Male",0,1)</f>
        <v>1</v>
      </c>
      <c r="Y78" s="46" t="n">
        <f aca="false">IF(OR(I78="DNB",I78="Dry DNB"),1,0)</f>
        <v>0</v>
      </c>
      <c r="Z78" s="46" t="n">
        <f aca="false">IF(ISNUMBER(W78),A78-W78,"")</f>
        <v>27</v>
      </c>
      <c r="AA78" s="46" t="n">
        <f aca="false">MATCH(A78,DATAS,0)</f>
        <v>1</v>
      </c>
      <c r="AB78" s="46" t="n">
        <f aca="false">IF(AND(E78&gt;0,OR(AND(B78&gt;=1,B78&lt;=6),B78=10)),1,0)</f>
        <v>1</v>
      </c>
      <c r="AC78" s="46" t="n">
        <f aca="false">IF(AND(E78&gt;0,B78=10),1,0)</f>
        <v>0</v>
      </c>
      <c r="AD78" s="0" t="str">
        <f aca="false">IF(AND(C77=C78,AA77=AA78-1),AB77,"")</f>
        <v/>
      </c>
      <c r="AE78" s="0" t="str">
        <f aca="false">IF(AND(C77=C78,AA77=AA78-1),AC77,"")</f>
        <v/>
      </c>
      <c r="AF78" s="0" t="str">
        <f aca="false">IF(AA78=1,"",IF(AND(AB78=1,AD78&lt;&gt;1),1,0))</f>
        <v/>
      </c>
      <c r="AG78" s="0" t="str">
        <f aca="false">IF(AA78=1,"",IF(AND(AC78=1,AE78&lt;&gt;1),1,0))</f>
        <v/>
      </c>
      <c r="AH78" s="51" t="str">
        <f aca="false">IF(AND(E78&gt;0,AA78&lt;1,NOT(AND(C79=C78,AA79=AA78+1))),INDEX(DATAS,AA78+1),"")</f>
        <v/>
      </c>
      <c r="AI78" s="51" t="str">
        <f aca="false">IF(AND(AC78=1,AA78&lt;1),IF(AND(C79=C78,AA79=AA78+1),IF(AC79=1,"",INDEX(DATAS,AA78+1)),INDEX(DATAS,AA78+1)),"")</f>
        <v/>
      </c>
    </row>
    <row r="79" customFormat="false" ht="15" hidden="false" customHeight="false" outlineLevel="0" collapsed="false">
      <c r="A79" s="51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46" t="s">
        <v>229</v>
      </c>
      <c r="G79" s="0" t="n">
        <v>2.3</v>
      </c>
      <c r="H79" s="0" t="n">
        <v>6</v>
      </c>
      <c r="I79" s="46" t="s">
        <v>157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51" t="n">
        <v>46178</v>
      </c>
      <c r="X79" s="46" t="n">
        <f aca="false">IF(I79="Male",0,1)</f>
        <v>1</v>
      </c>
      <c r="Y79" s="46" t="n">
        <f aca="false">IF(OR(I79="DNB",I79="Dry DNB"),1,0)</f>
        <v>0</v>
      </c>
      <c r="Z79" s="46" t="n">
        <f aca="false">IF(ISNUMBER(W79),A79-W79,"")</f>
        <v>131</v>
      </c>
      <c r="AA79" s="46" t="n">
        <f aca="false">MATCH(A79,DATAS,0)</f>
        <v>1</v>
      </c>
      <c r="AB79" s="46" t="n">
        <f aca="false">IF(AND(E79&gt;0,OR(AND(B79&gt;=1,B79&lt;=6),B79=10)),1,0)</f>
        <v>0</v>
      </c>
      <c r="AC79" s="46" t="n">
        <f aca="false">IF(AND(E79&gt;0,B79=10),1,0)</f>
        <v>0</v>
      </c>
      <c r="AD79" s="0" t="str">
        <f aca="false">IF(AND(C78=C79,AA78=AA79-1),AB78,"")</f>
        <v/>
      </c>
      <c r="AE79" s="0" t="str">
        <f aca="false">IF(AND(C78=C79,AA78=AA79-1),AC78,"")</f>
        <v/>
      </c>
      <c r="AF79" s="0" t="str">
        <f aca="false">IF(AA79=1,"",IF(AND(AB79=1,AD79&lt;&gt;1),1,0))</f>
        <v/>
      </c>
      <c r="AG79" s="0" t="str">
        <f aca="false">IF(AA79=1,"",IF(AND(AC79=1,AE79&lt;&gt;1),1,0))</f>
        <v/>
      </c>
      <c r="AH79" s="51" t="str">
        <f aca="false">IF(AND(E79&gt;0,AA79&lt;1,NOT(AND(C80=C79,AA80=AA79+1))),INDEX(DATAS,AA79+1),"")</f>
        <v/>
      </c>
      <c r="AI79" s="51" t="str">
        <f aca="false">IF(AND(AC79=1,AA79&lt;1),IF(AND(C80=C79,AA80=AA79+1),IF(AC80=1,"",INDEX(DATAS,AA79+1)),INDEX(DATAS,AA79+1)),"")</f>
        <v/>
      </c>
    </row>
    <row r="80" customFormat="false" ht="15" hidden="false" customHeight="false" outlineLevel="0" collapsed="false">
      <c r="A80" s="51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46" t="s">
        <v>230</v>
      </c>
      <c r="G80" s="0" t="n">
        <v>40.2</v>
      </c>
      <c r="H80" s="0" t="n">
        <v>38</v>
      </c>
      <c r="I80" s="46" t="s">
        <v>152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51" t="n">
        <v>46272</v>
      </c>
      <c r="X80" s="46" t="n">
        <f aca="false">IF(I80="Male",0,1)</f>
        <v>1</v>
      </c>
      <c r="Y80" s="46" t="n">
        <f aca="false">IF(OR(I80="DNB",I80="Dry DNB"),1,0)</f>
        <v>0</v>
      </c>
      <c r="Z80" s="46" t="n">
        <f aca="false">IF(ISNUMBER(W80),A80-W80,"")</f>
        <v>37</v>
      </c>
      <c r="AA80" s="46" t="n">
        <f aca="false">MATCH(A80,DATAS,0)</f>
        <v>1</v>
      </c>
      <c r="AB80" s="46" t="n">
        <f aca="false">IF(AND(E80&gt;0,OR(AND(B80&gt;=1,B80&lt;=6),B80=10)),1,0)</f>
        <v>1</v>
      </c>
      <c r="AC80" s="46" t="n">
        <f aca="false">IF(AND(E80&gt;0,B80=10),1,0)</f>
        <v>0</v>
      </c>
      <c r="AD80" s="0" t="str">
        <f aca="false">IF(AND(C79=C80,AA79=AA80-1),AB79,"")</f>
        <v/>
      </c>
      <c r="AE80" s="0" t="str">
        <f aca="false">IF(AND(C79=C80,AA79=AA80-1),AC79,"")</f>
        <v/>
      </c>
      <c r="AF80" s="0" t="str">
        <f aca="false">IF(AA80=1,"",IF(AND(AB80=1,AD80&lt;&gt;1),1,0))</f>
        <v/>
      </c>
      <c r="AG80" s="0" t="str">
        <f aca="false">IF(AA80=1,"",IF(AND(AC80=1,AE80&lt;&gt;1),1,0))</f>
        <v/>
      </c>
      <c r="AH80" s="51" t="str">
        <f aca="false">IF(AND(E80&gt;0,AA80&lt;1,NOT(AND(C81=C80,AA81=AA80+1))),INDEX(DATAS,AA80+1),"")</f>
        <v/>
      </c>
      <c r="AI80" s="51" t="str">
        <f aca="false">IF(AND(AC80=1,AA80&lt;1),IF(AND(C81=C80,AA81=AA80+1),IF(AC81=1,"",INDEX(DATAS,AA80+1)),INDEX(DATAS,AA80+1)),"")</f>
        <v/>
      </c>
    </row>
    <row r="81" customFormat="false" ht="15" hidden="false" customHeight="false" outlineLevel="0" collapsed="false">
      <c r="A81" s="51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46" t="s">
        <v>231</v>
      </c>
      <c r="G81" s="0" t="n">
        <v>38.9</v>
      </c>
      <c r="H81" s="0" t="n">
        <v>37</v>
      </c>
      <c r="I81" s="46" t="s">
        <v>189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X81" s="46" t="n">
        <f aca="false">IF(I81="Male",0,1)</f>
        <v>1</v>
      </c>
      <c r="Y81" s="46" t="n">
        <f aca="false">IF(OR(I81="DNB",I81="Dry DNB"),1,0)</f>
        <v>0</v>
      </c>
      <c r="Z81" s="0" t="str">
        <f aca="false">IF(ISNUMBER(W81),A81-W81,"")</f>
        <v/>
      </c>
      <c r="AA81" s="46" t="n">
        <f aca="false">MATCH(A81,DATAS,0)</f>
        <v>1</v>
      </c>
      <c r="AB81" s="46" t="n">
        <f aca="false">IF(AND(E81&gt;0,OR(AND(B81&gt;=1,B81&lt;=6),B81=10)),1,0)</f>
        <v>1</v>
      </c>
      <c r="AC81" s="46" t="n">
        <f aca="false">IF(AND(E81&gt;0,B81=10),1,0)</f>
        <v>0</v>
      </c>
      <c r="AD81" s="0" t="str">
        <f aca="false">IF(AND(C80=C81,AA80=AA81-1),AB80,"")</f>
        <v/>
      </c>
      <c r="AE81" s="0" t="str">
        <f aca="false">IF(AND(C80=C81,AA80=AA81-1),AC80,"")</f>
        <v/>
      </c>
      <c r="AF81" s="0" t="str">
        <f aca="false">IF(AA81=1,"",IF(AND(AB81=1,AD81&lt;&gt;1),1,0))</f>
        <v/>
      </c>
      <c r="AG81" s="0" t="str">
        <f aca="false">IF(AA81=1,"",IF(AND(AC81=1,AE81&lt;&gt;1),1,0))</f>
        <v/>
      </c>
      <c r="AH81" s="51" t="str">
        <f aca="false">IF(AND(E81&gt;0,AA81&lt;1,NOT(AND(C82=C81,AA82=AA81+1))),INDEX(DATAS,AA81+1),"")</f>
        <v/>
      </c>
      <c r="AI81" s="51" t="str">
        <f aca="false">IF(AND(AC81=1,AA81&lt;1),IF(AND(C82=C81,AA82=AA81+1),IF(AC82=1,"",INDEX(DATAS,AA81+1)),INDEX(DATAS,AA81+1)),"")</f>
        <v/>
      </c>
    </row>
    <row r="82" customFormat="false" ht="15" hidden="false" customHeight="false" outlineLevel="0" collapsed="false">
      <c r="A82" s="51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46" t="s">
        <v>232</v>
      </c>
      <c r="H82" s="0" t="n">
        <v>17</v>
      </c>
      <c r="I82" s="46" t="s">
        <v>138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51" t="n">
        <v>46184</v>
      </c>
      <c r="X82" s="46" t="n">
        <f aca="false">IF(I82="Male",0,1)</f>
        <v>1</v>
      </c>
      <c r="Y82" s="46" t="n">
        <f aca="false">IF(OR(I82="DNB",I82="Dry DNB"),1,0)</f>
        <v>1</v>
      </c>
      <c r="Z82" s="46" t="n">
        <f aca="false">IF(ISNUMBER(W82),A82-W82,"")</f>
        <v>125</v>
      </c>
      <c r="AA82" s="46" t="n">
        <f aca="false">MATCH(A82,DATAS,0)</f>
        <v>1</v>
      </c>
      <c r="AB82" s="46" t="n">
        <f aca="false">IF(AND(E82&gt;0,OR(AND(B82&gt;=1,B82&lt;=6),B82=10)),1,0)</f>
        <v>1</v>
      </c>
      <c r="AC82" s="46" t="n">
        <f aca="false">IF(AND(E82&gt;0,B82=10),1,0)</f>
        <v>0</v>
      </c>
      <c r="AD82" s="0" t="str">
        <f aca="false">IF(AND(C81=C82,AA81=AA82-1),AB81,"")</f>
        <v/>
      </c>
      <c r="AE82" s="0" t="str">
        <f aca="false">IF(AND(C81=C82,AA81=AA82-1),AC81,"")</f>
        <v/>
      </c>
      <c r="AF82" s="0" t="str">
        <f aca="false">IF(AA82=1,"",IF(AND(AB82=1,AD82&lt;&gt;1),1,0))</f>
        <v/>
      </c>
      <c r="AG82" s="0" t="str">
        <f aca="false">IF(AA82=1,"",IF(AND(AC82=1,AE82&lt;&gt;1),1,0))</f>
        <v/>
      </c>
      <c r="AH82" s="51" t="str">
        <f aca="false">IF(AND(E82&gt;0,AA82&lt;1,NOT(AND(C83=C82,AA83=AA82+1))),INDEX(DATAS,AA82+1),"")</f>
        <v/>
      </c>
      <c r="AI82" s="51" t="str">
        <f aca="false">IF(AND(AC82=1,AA82&lt;1),IF(AND(C83=C82,AA83=AA82+1),IF(AC83=1,"",INDEX(DATAS,AA82+1)),INDEX(DATAS,AA82+1)),"")</f>
        <v/>
      </c>
    </row>
    <row r="83" customFormat="false" ht="15" hidden="false" customHeight="false" outlineLevel="0" collapsed="false">
      <c r="A83" s="51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46" t="s">
        <v>165</v>
      </c>
      <c r="G83" s="0" t="n">
        <v>35</v>
      </c>
      <c r="H83" s="0" t="n">
        <v>38</v>
      </c>
      <c r="I83" s="46" t="s">
        <v>152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51" t="n">
        <v>46240</v>
      </c>
      <c r="X83" s="46" t="n">
        <f aca="false">IF(I83="Male",0,1)</f>
        <v>1</v>
      </c>
      <c r="Y83" s="46" t="n">
        <f aca="false">IF(OR(I83="DNB",I83="Dry DNB"),1,0)</f>
        <v>0</v>
      </c>
      <c r="Z83" s="46" t="n">
        <f aca="false">IF(ISNUMBER(W83),A83-W83,"")</f>
        <v>69</v>
      </c>
      <c r="AA83" s="46" t="n">
        <f aca="false">MATCH(A83,DATAS,0)</f>
        <v>1</v>
      </c>
      <c r="AB83" s="46" t="n">
        <f aca="false">IF(AND(E83&gt;0,OR(AND(B83&gt;=1,B83&lt;=6),B83=10)),1,0)</f>
        <v>1</v>
      </c>
      <c r="AC83" s="46" t="n">
        <f aca="false">IF(AND(E83&gt;0,B83=10),1,0)</f>
        <v>0</v>
      </c>
      <c r="AD83" s="0" t="str">
        <f aca="false">IF(AND(C82=C83,AA82=AA83-1),AB82,"")</f>
        <v/>
      </c>
      <c r="AE83" s="0" t="str">
        <f aca="false">IF(AND(C82=C83,AA82=AA83-1),AC82,"")</f>
        <v/>
      </c>
      <c r="AF83" s="0" t="str">
        <f aca="false">IF(AA83=1,"",IF(AND(AB83=1,AD83&lt;&gt;1),1,0))</f>
        <v/>
      </c>
      <c r="AG83" s="0" t="str">
        <f aca="false">IF(AA83=1,"",IF(AND(AC83=1,AE83&lt;&gt;1),1,0))</f>
        <v/>
      </c>
      <c r="AH83" s="51" t="str">
        <f aca="false">IF(AND(E83&gt;0,AA83&lt;1,NOT(AND(C84=C83,AA84=AA83+1))),INDEX(DATAS,AA83+1),"")</f>
        <v/>
      </c>
      <c r="AI83" s="51" t="str">
        <f aca="false">IF(AND(AC83=1,AA83&lt;1),IF(AND(C84=C83,AA84=AA83+1),IF(AC84=1,"",INDEX(DATAS,AA83+1)),INDEX(DATAS,AA83+1)),"")</f>
        <v/>
      </c>
    </row>
    <row r="84" customFormat="false" ht="15" hidden="false" customHeight="false" outlineLevel="0" collapsed="false">
      <c r="A84" s="51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46" t="s">
        <v>233</v>
      </c>
      <c r="I84" s="46" t="s">
        <v>157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51" t="n">
        <v>46038</v>
      </c>
      <c r="X84" s="46" t="n">
        <f aca="false">IF(I84="Male",0,1)</f>
        <v>1</v>
      </c>
      <c r="Y84" s="46" t="n">
        <f aca="false">IF(OR(I84="DNB",I84="Dry DNB"),1,0)</f>
        <v>0</v>
      </c>
      <c r="Z84" s="46" t="n">
        <f aca="false">IF(ISNUMBER(W84),A84-W84,"")</f>
        <v>271</v>
      </c>
      <c r="AA84" s="46" t="n">
        <f aca="false">MATCH(A84,DATAS,0)</f>
        <v>1</v>
      </c>
      <c r="AB84" s="46" t="n">
        <f aca="false">IF(AND(E84&gt;0,OR(AND(B84&gt;=1,B84&lt;=6),B84=10)),1,0)</f>
        <v>0</v>
      </c>
      <c r="AC84" s="46" t="n">
        <f aca="false">IF(AND(E84&gt;0,B84=10),1,0)</f>
        <v>0</v>
      </c>
      <c r="AD84" s="0" t="str">
        <f aca="false">IF(AND(C83=C84,AA83=AA84-1),AB83,"")</f>
        <v/>
      </c>
      <c r="AE84" s="0" t="str">
        <f aca="false">IF(AND(C83=C84,AA83=AA84-1),AC83,"")</f>
        <v/>
      </c>
      <c r="AF84" s="0" t="str">
        <f aca="false">IF(AA84=1,"",IF(AND(AB84=1,AD84&lt;&gt;1),1,0))</f>
        <v/>
      </c>
      <c r="AG84" s="0" t="str">
        <f aca="false">IF(AA84=1,"",IF(AND(AC84=1,AE84&lt;&gt;1),1,0))</f>
        <v/>
      </c>
      <c r="AH84" s="51" t="str">
        <f aca="false">IF(AND(E84&gt;0,AA84&lt;1,NOT(AND(C85=C84,AA85=AA84+1))),INDEX(DATAS,AA84+1),"")</f>
        <v/>
      </c>
      <c r="AI84" s="51" t="str">
        <f aca="false">IF(AND(AC84=1,AA84&lt;1),IF(AND(C85=C84,AA85=AA84+1),IF(AC85=1,"",INDEX(DATAS,AA84+1)),INDEX(DATAS,AA84+1)),"")</f>
        <v/>
      </c>
    </row>
    <row r="85" customFormat="false" ht="15" hidden="false" customHeight="false" outlineLevel="0" collapsed="false">
      <c r="A85" s="51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46" t="s">
        <v>234</v>
      </c>
      <c r="G85" s="0" t="n">
        <v>23.9</v>
      </c>
      <c r="H85" s="0" t="n">
        <v>25</v>
      </c>
      <c r="I85" s="46" t="s">
        <v>138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51" t="n">
        <v>46268</v>
      </c>
      <c r="X85" s="46" t="n">
        <f aca="false">IF(I85="Male",0,1)</f>
        <v>1</v>
      </c>
      <c r="Y85" s="46" t="n">
        <f aca="false">IF(OR(I85="DNB",I85="Dry DNB"),1,0)</f>
        <v>1</v>
      </c>
      <c r="Z85" s="46" t="n">
        <f aca="false">IF(ISNUMBER(W85),A85-W85,"")</f>
        <v>41</v>
      </c>
      <c r="AA85" s="46" t="n">
        <f aca="false">MATCH(A85,DATAS,0)</f>
        <v>1</v>
      </c>
      <c r="AB85" s="46" t="n">
        <f aca="false">IF(AND(E85&gt;0,OR(AND(B85&gt;=1,B85&lt;=6),B85=10)),1,0)</f>
        <v>1</v>
      </c>
      <c r="AC85" s="46" t="n">
        <f aca="false">IF(AND(E85&gt;0,B85=10),1,0)</f>
        <v>0</v>
      </c>
      <c r="AD85" s="0" t="str">
        <f aca="false">IF(AND(C84=C85,AA84=AA85-1),AB84,"")</f>
        <v/>
      </c>
      <c r="AE85" s="0" t="str">
        <f aca="false">IF(AND(C84=C85,AA84=AA85-1),AC84,"")</f>
        <v/>
      </c>
      <c r="AF85" s="0" t="str">
        <f aca="false">IF(AA85=1,"",IF(AND(AB85=1,AD85&lt;&gt;1),1,0))</f>
        <v/>
      </c>
      <c r="AG85" s="0" t="str">
        <f aca="false">IF(AA85=1,"",IF(AND(AC85=1,AE85&lt;&gt;1),1,0))</f>
        <v/>
      </c>
      <c r="AH85" s="51" t="str">
        <f aca="false">IF(AND(E85&gt;0,AA85&lt;1,NOT(AND(C86=C85,AA86=AA85+1))),INDEX(DATAS,AA85+1),"")</f>
        <v/>
      </c>
      <c r="AI85" s="51" t="str">
        <f aca="false">IF(AND(AC85=1,AA85&lt;1),IF(AND(C86=C85,AA86=AA85+1),IF(AC86=1,"",INDEX(DATAS,AA85+1)),INDEX(DATAS,AA85+1)),"")</f>
        <v/>
      </c>
    </row>
    <row r="86" customFormat="false" ht="15" hidden="false" customHeight="false" outlineLevel="0" collapsed="false">
      <c r="A86" s="51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46" t="s">
        <v>234</v>
      </c>
      <c r="I86" s="46" t="s">
        <v>157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51" t="n">
        <v>46037</v>
      </c>
      <c r="X86" s="46" t="n">
        <f aca="false">IF(I86="Male",0,1)</f>
        <v>1</v>
      </c>
      <c r="Y86" s="46" t="n">
        <f aca="false">IF(OR(I86="DNB",I86="Dry DNB"),1,0)</f>
        <v>0</v>
      </c>
      <c r="Z86" s="46" t="n">
        <f aca="false">IF(ISNUMBER(W86),A86-W86,"")</f>
        <v>272</v>
      </c>
      <c r="AA86" s="46" t="n">
        <f aca="false">MATCH(A86,DATAS,0)</f>
        <v>1</v>
      </c>
      <c r="AB86" s="46" t="n">
        <f aca="false">IF(AND(E86&gt;0,OR(AND(B86&gt;=1,B86&lt;=6),B86=10)),1,0)</f>
        <v>0</v>
      </c>
      <c r="AC86" s="46" t="n">
        <f aca="false">IF(AND(E86&gt;0,B86=10),1,0)</f>
        <v>0</v>
      </c>
      <c r="AD86" s="0" t="str">
        <f aca="false">IF(AND(C85=C86,AA85=AA86-1),AB85,"")</f>
        <v/>
      </c>
      <c r="AE86" s="0" t="str">
        <f aca="false">IF(AND(C85=C86,AA85=AA86-1),AC85,"")</f>
        <v/>
      </c>
      <c r="AF86" s="0" t="str">
        <f aca="false">IF(AA86=1,"",IF(AND(AB86=1,AD86&lt;&gt;1),1,0))</f>
        <v/>
      </c>
      <c r="AG86" s="0" t="str">
        <f aca="false">IF(AA86=1,"",IF(AND(AC86=1,AE86&lt;&gt;1),1,0))</f>
        <v/>
      </c>
      <c r="AH86" s="51" t="str">
        <f aca="false">IF(AND(E86&gt;0,AA86&lt;1,NOT(AND(C87=C86,AA87=AA86+1))),INDEX(DATAS,AA86+1),"")</f>
        <v/>
      </c>
      <c r="AI86" s="51" t="str">
        <f aca="false">IF(AND(AC86=1,AA86&lt;1),IF(AND(C87=C86,AA87=AA86+1),IF(AC87=1,"",INDEX(DATAS,AA86+1)),INDEX(DATAS,AA86+1)),"")</f>
        <v/>
      </c>
    </row>
    <row r="87" customFormat="false" ht="15" hidden="false" customHeight="false" outlineLevel="0" collapsed="false">
      <c r="A87" s="51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46" t="s">
        <v>235</v>
      </c>
      <c r="G87" s="0" t="n">
        <v>37.7</v>
      </c>
      <c r="H87" s="0" t="n">
        <v>35</v>
      </c>
      <c r="I87" s="46" t="s">
        <v>181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51" t="n">
        <v>46191</v>
      </c>
      <c r="X87" s="46" t="n">
        <f aca="false">IF(I87="Male",0,1)</f>
        <v>1</v>
      </c>
      <c r="Y87" s="46" t="n">
        <f aca="false">IF(OR(I87="DNB",I87="Dry DNB"),1,0)</f>
        <v>0</v>
      </c>
      <c r="Z87" s="46" t="n">
        <f aca="false">IF(ISNUMBER(W87),A87-W87,"")</f>
        <v>118</v>
      </c>
      <c r="AA87" s="46" t="n">
        <f aca="false">MATCH(A87,DATAS,0)</f>
        <v>1</v>
      </c>
      <c r="AB87" s="46" t="n">
        <f aca="false">IF(AND(E87&gt;0,OR(AND(B87&gt;=1,B87&lt;=6),B87=10)),1,0)</f>
        <v>1</v>
      </c>
      <c r="AC87" s="46" t="n">
        <f aca="false">IF(AND(E87&gt;0,B87=10),1,0)</f>
        <v>0</v>
      </c>
      <c r="AD87" s="0" t="str">
        <f aca="false">IF(AND(C86=C87,AA86=AA87-1),AB86,"")</f>
        <v/>
      </c>
      <c r="AE87" s="0" t="str">
        <f aca="false">IF(AND(C86=C87,AA86=AA87-1),AC86,"")</f>
        <v/>
      </c>
      <c r="AF87" s="0" t="str">
        <f aca="false">IF(AA87=1,"",IF(AND(AB87=1,AD87&lt;&gt;1),1,0))</f>
        <v/>
      </c>
      <c r="AG87" s="0" t="str">
        <f aca="false">IF(AA87=1,"",IF(AND(AC87=1,AE87&lt;&gt;1),1,0))</f>
        <v/>
      </c>
      <c r="AH87" s="51" t="str">
        <f aca="false">IF(AND(E87&gt;0,AA87&lt;1,NOT(AND(C88=C87,AA88=AA87+1))),INDEX(DATAS,AA87+1),"")</f>
        <v/>
      </c>
      <c r="AI87" s="51" t="str">
        <f aca="false">IF(AND(AC87=1,AA87&lt;1),IF(AND(C88=C87,AA88=AA87+1),IF(AC88=1,"",INDEX(DATAS,AA87+1)),INDEX(DATAS,AA87+1)),"")</f>
        <v/>
      </c>
    </row>
    <row r="88" customFormat="false" ht="15" hidden="false" customHeight="false" outlineLevel="0" collapsed="false">
      <c r="A88" s="51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46" t="s">
        <v>236</v>
      </c>
      <c r="H88" s="0" t="n">
        <v>19</v>
      </c>
      <c r="I88" s="46" t="s">
        <v>152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51" t="n">
        <v>46261</v>
      </c>
      <c r="X88" s="46" t="n">
        <f aca="false">IF(I88="Male",0,1)</f>
        <v>1</v>
      </c>
      <c r="Y88" s="46" t="n">
        <f aca="false">IF(OR(I88="DNB",I88="Dry DNB"),1,0)</f>
        <v>0</v>
      </c>
      <c r="Z88" s="46" t="n">
        <f aca="false">IF(ISNUMBER(W88),A88-W88,"")</f>
        <v>48</v>
      </c>
      <c r="AA88" s="46" t="n">
        <f aca="false">MATCH(A88,DATAS,0)</f>
        <v>1</v>
      </c>
      <c r="AB88" s="46" t="n">
        <f aca="false">IF(AND(E88&gt;0,OR(AND(B88&gt;=1,B88&lt;=6),B88=10)),1,0)</f>
        <v>1</v>
      </c>
      <c r="AC88" s="46" t="n">
        <f aca="false">IF(AND(E88&gt;0,B88=10),1,0)</f>
        <v>0</v>
      </c>
      <c r="AD88" s="0" t="str">
        <f aca="false">IF(AND(C87=C88,AA87=AA88-1),AB87,"")</f>
        <v/>
      </c>
      <c r="AE88" s="0" t="str">
        <f aca="false">IF(AND(C87=C88,AA87=AA88-1),AC87,"")</f>
        <v/>
      </c>
      <c r="AF88" s="0" t="str">
        <f aca="false">IF(AA88=1,"",IF(AND(AB88=1,AD88&lt;&gt;1),1,0))</f>
        <v/>
      </c>
      <c r="AG88" s="0" t="str">
        <f aca="false">IF(AA88=1,"",IF(AND(AC88=1,AE88&lt;&gt;1),1,0))</f>
        <v/>
      </c>
      <c r="AH88" s="51" t="str">
        <f aca="false">IF(AND(E88&gt;0,AA88&lt;1,NOT(AND(C89=C88,AA89=AA88+1))),INDEX(DATAS,AA88+1),"")</f>
        <v/>
      </c>
      <c r="AI88" s="51" t="str">
        <f aca="false">IF(AND(AC88=1,AA88&lt;1),IF(AND(C89=C88,AA89=AA88+1),IF(AC89=1,"",INDEX(DATAS,AA88+1)),INDEX(DATAS,AA88+1)),"")</f>
        <v/>
      </c>
    </row>
    <row r="89" customFormat="false" ht="15" hidden="false" customHeight="false" outlineLevel="0" collapsed="false">
      <c r="A89" s="51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46" t="s">
        <v>237</v>
      </c>
      <c r="G89" s="0" t="n">
        <v>17.3</v>
      </c>
      <c r="H89" s="0" t="n">
        <v>13</v>
      </c>
      <c r="I89" s="46" t="s">
        <v>161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X89" s="46" t="n">
        <f aca="false">IF(I89="Male",0,1)</f>
        <v>1</v>
      </c>
      <c r="Y89" s="46" t="n">
        <f aca="false">IF(OR(I89="DNB",I89="Dry DNB"),1,0)</f>
        <v>0</v>
      </c>
      <c r="Z89" s="0" t="str">
        <f aca="false">IF(ISNUMBER(W89),A89-W89,"")</f>
        <v/>
      </c>
      <c r="AA89" s="46" t="n">
        <f aca="false">MATCH(A89,DATAS,0)</f>
        <v>1</v>
      </c>
      <c r="AB89" s="46" t="n">
        <f aca="false">IF(AND(E89&gt;0,OR(AND(B89&gt;=1,B89&lt;=6),B89=10)),1,0)</f>
        <v>1</v>
      </c>
      <c r="AC89" s="46" t="n">
        <f aca="false">IF(AND(E89&gt;0,B89=10),1,0)</f>
        <v>0</v>
      </c>
      <c r="AD89" s="0" t="str">
        <f aca="false">IF(AND(C88=C89,AA88=AA89-1),AB88,"")</f>
        <v/>
      </c>
      <c r="AE89" s="0" t="str">
        <f aca="false">IF(AND(C88=C89,AA88=AA89-1),AC88,"")</f>
        <v/>
      </c>
      <c r="AF89" s="0" t="str">
        <f aca="false">IF(AA89=1,"",IF(AND(AB89=1,AD89&lt;&gt;1),1,0))</f>
        <v/>
      </c>
      <c r="AG89" s="0" t="str">
        <f aca="false">IF(AA89=1,"",IF(AND(AC89=1,AE89&lt;&gt;1),1,0))</f>
        <v/>
      </c>
      <c r="AH89" s="51" t="str">
        <f aca="false">IF(AND(E89&gt;0,AA89&lt;1,NOT(AND(C90=C89,AA90=AA89+1))),INDEX(DATAS,AA89+1),"")</f>
        <v/>
      </c>
      <c r="AI89" s="51" t="str">
        <f aca="false">IF(AND(AC89=1,AA89&lt;1),IF(AND(C90=C89,AA90=AA89+1),IF(AC90=1,"",INDEX(DATAS,AA89+1)),INDEX(DATAS,AA89+1)),"")</f>
        <v/>
      </c>
    </row>
    <row r="90" customFormat="false" ht="15" hidden="false" customHeight="false" outlineLevel="0" collapsed="false">
      <c r="A90" s="51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46" t="s">
        <v>237</v>
      </c>
      <c r="G90" s="0" t="n">
        <v>48.4</v>
      </c>
      <c r="H90" s="0" t="n">
        <v>50</v>
      </c>
      <c r="I90" s="46" t="s">
        <v>152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51" t="n">
        <v>46205</v>
      </c>
      <c r="X90" s="46" t="n">
        <f aca="false">IF(I90="Male",0,1)</f>
        <v>1</v>
      </c>
      <c r="Y90" s="46" t="n">
        <f aca="false">IF(OR(I90="DNB",I90="Dry DNB"),1,0)</f>
        <v>0</v>
      </c>
      <c r="Z90" s="46" t="n">
        <f aca="false">IF(ISNUMBER(W90),A90-W90,"")</f>
        <v>104</v>
      </c>
      <c r="AA90" s="46" t="n">
        <f aca="false">MATCH(A90,DATAS,0)</f>
        <v>1</v>
      </c>
      <c r="AB90" s="46" t="n">
        <f aca="false">IF(AND(E90&gt;0,OR(AND(B90&gt;=1,B90&lt;=6),B90=10)),1,0)</f>
        <v>1</v>
      </c>
      <c r="AC90" s="46" t="n">
        <f aca="false">IF(AND(E90&gt;0,B90=10),1,0)</f>
        <v>0</v>
      </c>
      <c r="AD90" s="0" t="str">
        <f aca="false">IF(AND(C89=C90,AA89=AA90-1),AB89,"")</f>
        <v/>
      </c>
      <c r="AE90" s="0" t="str">
        <f aca="false">IF(AND(C89=C90,AA89=AA90-1),AC89,"")</f>
        <v/>
      </c>
      <c r="AF90" s="0" t="str">
        <f aca="false">IF(AA90=1,"",IF(AND(AB90=1,AD90&lt;&gt;1),1,0))</f>
        <v/>
      </c>
      <c r="AG90" s="0" t="str">
        <f aca="false">IF(AA90=1,"",IF(AND(AC90=1,AE90&lt;&gt;1),1,0))</f>
        <v/>
      </c>
      <c r="AH90" s="51" t="str">
        <f aca="false">IF(AND(E90&gt;0,AA90&lt;1,NOT(AND(C91=C90,AA91=AA90+1))),INDEX(DATAS,AA90+1),"")</f>
        <v/>
      </c>
      <c r="AI90" s="51" t="str">
        <f aca="false">IF(AND(AC90=1,AA90&lt;1),IF(AND(C91=C90,AA91=AA90+1),IF(AC91=1,"",INDEX(DATAS,AA90+1)),INDEX(DATAS,AA90+1)),"")</f>
        <v/>
      </c>
    </row>
    <row r="91" customFormat="false" ht="15" hidden="false" customHeight="false" outlineLevel="0" collapsed="false">
      <c r="A91" s="51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46" t="s">
        <v>238</v>
      </c>
      <c r="I91" s="46" t="s">
        <v>152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51" t="n">
        <v>46212</v>
      </c>
      <c r="X91" s="46" t="n">
        <f aca="false">IF(I91="Male",0,1)</f>
        <v>1</v>
      </c>
      <c r="Y91" s="46" t="n">
        <f aca="false">IF(OR(I91="DNB",I91="Dry DNB"),1,0)</f>
        <v>0</v>
      </c>
      <c r="Z91" s="46" t="n">
        <f aca="false">IF(ISNUMBER(W91),A91-W91,"")</f>
        <v>97</v>
      </c>
      <c r="AA91" s="46" t="n">
        <f aca="false">MATCH(A91,DATAS,0)</f>
        <v>1</v>
      </c>
      <c r="AB91" s="46" t="n">
        <f aca="false">IF(AND(E91&gt;0,OR(AND(B91&gt;=1,B91&lt;=6),B91=10)),1,0)</f>
        <v>0</v>
      </c>
      <c r="AC91" s="46" t="n">
        <f aca="false">IF(AND(E91&gt;0,B91=10),1,0)</f>
        <v>0</v>
      </c>
      <c r="AD91" s="0" t="str">
        <f aca="false">IF(AND(C90=C91,AA90=AA91-1),AB90,"")</f>
        <v/>
      </c>
      <c r="AE91" s="0" t="str">
        <f aca="false">IF(AND(C90=C91,AA90=AA91-1),AC90,"")</f>
        <v/>
      </c>
      <c r="AF91" s="0" t="str">
        <f aca="false">IF(AA91=1,"",IF(AND(AB91=1,AD91&lt;&gt;1),1,0))</f>
        <v/>
      </c>
      <c r="AG91" s="0" t="str">
        <f aca="false">IF(AA91=1,"",IF(AND(AC91=1,AE91&lt;&gt;1),1,0))</f>
        <v/>
      </c>
      <c r="AH91" s="51" t="str">
        <f aca="false">IF(AND(E91&gt;0,AA91&lt;1,NOT(AND(C92=C91,AA92=AA91+1))),INDEX(DATAS,AA91+1),"")</f>
        <v/>
      </c>
      <c r="AI91" s="51" t="str">
        <f aca="false">IF(AND(AC91=1,AA91&lt;1),IF(AND(C92=C91,AA92=AA91+1),IF(AC92=1,"",INDEX(DATAS,AA91+1)),INDEX(DATAS,AA91+1)),"")</f>
        <v/>
      </c>
    </row>
    <row r="92" customFormat="false" ht="15" hidden="false" customHeight="false" outlineLevel="0" collapsed="false">
      <c r="A92" s="51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46" t="s">
        <v>239</v>
      </c>
      <c r="G92" s="0" t="n">
        <v>21.5</v>
      </c>
      <c r="H92" s="0" t="n">
        <v>23</v>
      </c>
      <c r="I92" s="46" t="s">
        <v>181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51" t="n">
        <v>46282</v>
      </c>
      <c r="X92" s="46" t="n">
        <f aca="false">IF(I92="Male",0,1)</f>
        <v>1</v>
      </c>
      <c r="Y92" s="46" t="n">
        <f aca="false">IF(OR(I92="DNB",I92="Dry DNB"),1,0)</f>
        <v>0</v>
      </c>
      <c r="Z92" s="46" t="n">
        <f aca="false">IF(ISNUMBER(W92),A92-W92,"")</f>
        <v>27</v>
      </c>
      <c r="AA92" s="46" t="n">
        <f aca="false">MATCH(A92,DATAS,0)</f>
        <v>1</v>
      </c>
      <c r="AB92" s="46" t="n">
        <f aca="false">IF(AND(E92&gt;0,OR(AND(B92&gt;=1,B92&lt;=6),B92=10)),1,0)</f>
        <v>1</v>
      </c>
      <c r="AC92" s="46" t="n">
        <f aca="false">IF(AND(E92&gt;0,B92=10),1,0)</f>
        <v>0</v>
      </c>
      <c r="AD92" s="0" t="str">
        <f aca="false">IF(AND(C91=C92,AA91=AA92-1),AB91,"")</f>
        <v/>
      </c>
      <c r="AE92" s="0" t="str">
        <f aca="false">IF(AND(C91=C92,AA91=AA92-1),AC91,"")</f>
        <v/>
      </c>
      <c r="AF92" s="0" t="str">
        <f aca="false">IF(AA92=1,"",IF(AND(AB92=1,AD92&lt;&gt;1),1,0))</f>
        <v/>
      </c>
      <c r="AG92" s="0" t="str">
        <f aca="false">IF(AA92=1,"",IF(AND(AC92=1,AE92&lt;&gt;1),1,0))</f>
        <v/>
      </c>
      <c r="AH92" s="51" t="str">
        <f aca="false">IF(AND(E92&gt;0,AA92&lt;1,NOT(AND(C93=C92,AA93=AA92+1))),INDEX(DATAS,AA92+1),"")</f>
        <v/>
      </c>
      <c r="AI92" s="51" t="str">
        <f aca="false">IF(AND(AC92=1,AA92&lt;1),IF(AND(C93=C92,AA93=AA92+1),IF(AC93=1,"",INDEX(DATAS,AA92+1)),INDEX(DATAS,AA92+1)),"")</f>
        <v/>
      </c>
    </row>
    <row r="93" customFormat="false" ht="15" hidden="false" customHeight="false" outlineLevel="0" collapsed="false">
      <c r="A93" s="51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46" t="s">
        <v>240</v>
      </c>
      <c r="G93" s="0" t="n">
        <v>65.3</v>
      </c>
      <c r="H93" s="0" t="n">
        <v>63</v>
      </c>
      <c r="I93" s="46" t="s">
        <v>161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X93" s="46" t="n">
        <f aca="false">IF(I93="Male",0,1)</f>
        <v>1</v>
      </c>
      <c r="Y93" s="46" t="n">
        <f aca="false">IF(OR(I93="DNB",I93="Dry DNB"),1,0)</f>
        <v>0</v>
      </c>
      <c r="Z93" s="0" t="str">
        <f aca="false">IF(ISNUMBER(W93),A93-W93,"")</f>
        <v/>
      </c>
      <c r="AA93" s="46" t="n">
        <f aca="false">MATCH(A93,DATAS,0)</f>
        <v>1</v>
      </c>
      <c r="AB93" s="46" t="n">
        <f aca="false">IF(AND(E93&gt;0,OR(AND(B93&gt;=1,B93&lt;=6),B93=10)),1,0)</f>
        <v>1</v>
      </c>
      <c r="AC93" s="46" t="n">
        <f aca="false">IF(AND(E93&gt;0,B93=10),1,0)</f>
        <v>0</v>
      </c>
      <c r="AD93" s="0" t="str">
        <f aca="false">IF(AND(C92=C93,AA92=AA93-1),AB92,"")</f>
        <v/>
      </c>
      <c r="AE93" s="0" t="str">
        <f aca="false">IF(AND(C92=C93,AA92=AA93-1),AC92,"")</f>
        <v/>
      </c>
      <c r="AF93" s="0" t="str">
        <f aca="false">IF(AA93=1,"",IF(AND(AB93=1,AD93&lt;&gt;1),1,0))</f>
        <v/>
      </c>
      <c r="AG93" s="0" t="str">
        <f aca="false">IF(AA93=1,"",IF(AND(AC93=1,AE93&lt;&gt;1),1,0))</f>
        <v/>
      </c>
      <c r="AH93" s="51" t="str">
        <f aca="false">IF(AND(E93&gt;0,AA93&lt;1,NOT(AND(C94=C93,AA94=AA93+1))),INDEX(DATAS,AA93+1),"")</f>
        <v/>
      </c>
      <c r="AI93" s="51" t="str">
        <f aca="false">IF(AND(AC93=1,AA93&lt;1),IF(AND(C94=C93,AA94=AA93+1),IF(AC94=1,"",INDEX(DATAS,AA93+1)),INDEX(DATAS,AA93+1)),"")</f>
        <v/>
      </c>
    </row>
    <row r="94" customFormat="false" ht="15" hidden="false" customHeight="false" outlineLevel="0" collapsed="false">
      <c r="A94" s="51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46" t="s">
        <v>241</v>
      </c>
      <c r="G94" s="0" t="n">
        <v>24.1</v>
      </c>
      <c r="H94" s="0" t="n">
        <v>20</v>
      </c>
      <c r="I94" s="46" t="s">
        <v>189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51" t="n">
        <v>46278</v>
      </c>
      <c r="X94" s="46" t="n">
        <f aca="false">IF(I94="Male",0,1)</f>
        <v>1</v>
      </c>
      <c r="Y94" s="46" t="n">
        <f aca="false">IF(OR(I94="DNB",I94="Dry DNB"),1,0)</f>
        <v>0</v>
      </c>
      <c r="Z94" s="46" t="n">
        <f aca="false">IF(ISNUMBER(W94),A94-W94,"")</f>
        <v>31</v>
      </c>
      <c r="AA94" s="46" t="n">
        <f aca="false">MATCH(A94,DATAS,0)</f>
        <v>1</v>
      </c>
      <c r="AB94" s="46" t="n">
        <f aca="false">IF(AND(E94&gt;0,OR(AND(B94&gt;=1,B94&lt;=6),B94=10)),1,0)</f>
        <v>1</v>
      </c>
      <c r="AC94" s="46" t="n">
        <f aca="false">IF(AND(E94&gt;0,B94=10),1,0)</f>
        <v>0</v>
      </c>
      <c r="AD94" s="0" t="str">
        <f aca="false">IF(AND(C93=C94,AA93=AA94-1),AB93,"")</f>
        <v/>
      </c>
      <c r="AE94" s="0" t="str">
        <f aca="false">IF(AND(C93=C94,AA93=AA94-1),AC93,"")</f>
        <v/>
      </c>
      <c r="AF94" s="0" t="str">
        <f aca="false">IF(AA94=1,"",IF(AND(AB94=1,AD94&lt;&gt;1),1,0))</f>
        <v/>
      </c>
      <c r="AG94" s="0" t="str">
        <f aca="false">IF(AA94=1,"",IF(AND(AC94=1,AE94&lt;&gt;1),1,0))</f>
        <v/>
      </c>
      <c r="AH94" s="51" t="str">
        <f aca="false">IF(AND(E94&gt;0,AA94&lt;1,NOT(AND(C95=C94,AA95=AA94+1))),INDEX(DATAS,AA94+1),"")</f>
        <v/>
      </c>
      <c r="AI94" s="51" t="str">
        <f aca="false">IF(AND(AC94=1,AA94&lt;1),IF(AND(C95=C94,AA95=AA94+1),IF(AC95=1,"",INDEX(DATAS,AA94+1)),INDEX(DATAS,AA94+1)),"")</f>
        <v/>
      </c>
    </row>
    <row r="95" customFormat="false" ht="15" hidden="false" customHeight="false" outlineLevel="0" collapsed="false">
      <c r="A95" s="51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46" t="s">
        <v>241</v>
      </c>
      <c r="G95" s="0" t="n">
        <v>32.3</v>
      </c>
      <c r="H95" s="0" t="n">
        <v>36</v>
      </c>
      <c r="I95" s="46" t="s">
        <v>152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51" t="n">
        <v>46135</v>
      </c>
      <c r="X95" s="46" t="n">
        <f aca="false">IF(I95="Male",0,1)</f>
        <v>1</v>
      </c>
      <c r="Y95" s="46" t="n">
        <f aca="false">IF(OR(I95="DNB",I95="Dry DNB"),1,0)</f>
        <v>0</v>
      </c>
      <c r="Z95" s="46" t="n">
        <f aca="false">IF(ISNUMBER(W95),A95-W95,"")</f>
        <v>174</v>
      </c>
      <c r="AA95" s="46" t="n">
        <f aca="false">MATCH(A95,DATAS,0)</f>
        <v>1</v>
      </c>
      <c r="AB95" s="46" t="n">
        <f aca="false">IF(AND(E95&gt;0,OR(AND(B95&gt;=1,B95&lt;=6),B95=10)),1,0)</f>
        <v>1</v>
      </c>
      <c r="AC95" s="46" t="n">
        <f aca="false">IF(AND(E95&gt;0,B95=10),1,0)</f>
        <v>0</v>
      </c>
      <c r="AD95" s="0" t="str">
        <f aca="false">IF(AND(C94=C95,AA94=AA95-1),AB94,"")</f>
        <v/>
      </c>
      <c r="AE95" s="0" t="str">
        <f aca="false">IF(AND(C94=C95,AA94=AA95-1),AC94,"")</f>
        <v/>
      </c>
      <c r="AF95" s="0" t="str">
        <f aca="false">IF(AA95=1,"",IF(AND(AB95=1,AD95&lt;&gt;1),1,0))</f>
        <v/>
      </c>
      <c r="AG95" s="0" t="str">
        <f aca="false">IF(AA95=1,"",IF(AND(AC95=1,AE95&lt;&gt;1),1,0))</f>
        <v/>
      </c>
      <c r="AH95" s="51" t="str">
        <f aca="false">IF(AND(E95&gt;0,AA95&lt;1,NOT(AND(C96=C95,AA96=AA95+1))),INDEX(DATAS,AA95+1),"")</f>
        <v/>
      </c>
      <c r="AI95" s="51" t="str">
        <f aca="false">IF(AND(AC95=1,AA95&lt;1),IF(AND(C96=C95,AA96=AA95+1),IF(AC96=1,"",INDEX(DATAS,AA95+1)),INDEX(DATAS,AA95+1)),"")</f>
        <v/>
      </c>
    </row>
    <row r="96" customFormat="false" ht="15" hidden="false" customHeight="false" outlineLevel="0" collapsed="false">
      <c r="A96" s="51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46" t="s">
        <v>242</v>
      </c>
      <c r="G96" s="0" t="n">
        <v>43.2</v>
      </c>
      <c r="H96" s="0" t="n">
        <v>42</v>
      </c>
      <c r="I96" s="46" t="s">
        <v>181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51" t="n">
        <v>46305</v>
      </c>
      <c r="X96" s="46" t="n">
        <f aca="false">IF(I96="Male",0,1)</f>
        <v>1</v>
      </c>
      <c r="Y96" s="46" t="n">
        <f aca="false">IF(OR(I96="DNB",I96="Dry DNB"),1,0)</f>
        <v>0</v>
      </c>
      <c r="Z96" s="46" t="n">
        <f aca="false">IF(ISNUMBER(W96),A96-W96,"")</f>
        <v>4</v>
      </c>
      <c r="AA96" s="46" t="n">
        <f aca="false">MATCH(A96,DATAS,0)</f>
        <v>1</v>
      </c>
      <c r="AB96" s="46" t="n">
        <f aca="false">IF(AND(E96&gt;0,OR(AND(B96&gt;=1,B96&lt;=6),B96=10)),1,0)</f>
        <v>1</v>
      </c>
      <c r="AC96" s="46" t="n">
        <f aca="false">IF(AND(E96&gt;0,B96=10),1,0)</f>
        <v>0</v>
      </c>
      <c r="AD96" s="0" t="str">
        <f aca="false">IF(AND(C95=C96,AA95=AA96-1),AB95,"")</f>
        <v/>
      </c>
      <c r="AE96" s="0" t="str">
        <f aca="false">IF(AND(C95=C96,AA95=AA96-1),AC95,"")</f>
        <v/>
      </c>
      <c r="AF96" s="0" t="str">
        <f aca="false">IF(AA96=1,"",IF(AND(AB96=1,AD96&lt;&gt;1),1,0))</f>
        <v/>
      </c>
      <c r="AG96" s="0" t="str">
        <f aca="false">IF(AA96=1,"",IF(AND(AC96=1,AE96&lt;&gt;1),1,0))</f>
        <v/>
      </c>
      <c r="AH96" s="51" t="str">
        <f aca="false">IF(AND(E96&gt;0,AA96&lt;1,NOT(AND(C97=C96,AA97=AA96+1))),INDEX(DATAS,AA96+1),"")</f>
        <v/>
      </c>
      <c r="AI96" s="51" t="str">
        <f aca="false">IF(AND(AC96=1,AA96&lt;1),IF(AND(C97=C96,AA97=AA96+1),IF(AC97=1,"",INDEX(DATAS,AA96+1)),INDEX(DATAS,AA96+1)),"")</f>
        <v/>
      </c>
    </row>
    <row r="97" customFormat="false" ht="15" hidden="false" customHeight="false" outlineLevel="0" collapsed="false">
      <c r="A97" s="51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46" t="s">
        <v>243</v>
      </c>
      <c r="G97" s="0" t="n">
        <v>39.8</v>
      </c>
      <c r="H97" s="0" t="n">
        <v>38</v>
      </c>
      <c r="I97" s="46" t="s">
        <v>152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51" t="n">
        <v>46226</v>
      </c>
      <c r="X97" s="46" t="n">
        <f aca="false">IF(I97="Male",0,1)</f>
        <v>1</v>
      </c>
      <c r="Y97" s="46" t="n">
        <f aca="false">IF(OR(I97="DNB",I97="Dry DNB"),1,0)</f>
        <v>0</v>
      </c>
      <c r="Z97" s="46" t="n">
        <f aca="false">IF(ISNUMBER(W97),A97-W97,"")</f>
        <v>83</v>
      </c>
      <c r="AA97" s="46" t="n">
        <f aca="false">MATCH(A97,DATAS,0)</f>
        <v>1</v>
      </c>
      <c r="AB97" s="46" t="n">
        <f aca="false">IF(AND(E97&gt;0,OR(AND(B97&gt;=1,B97&lt;=6),B97=10)),1,0)</f>
        <v>1</v>
      </c>
      <c r="AC97" s="46" t="n">
        <f aca="false">IF(AND(E97&gt;0,B97=10),1,0)</f>
        <v>0</v>
      </c>
      <c r="AD97" s="0" t="str">
        <f aca="false">IF(AND(C96=C97,AA96=AA97-1),AB96,"")</f>
        <v/>
      </c>
      <c r="AE97" s="0" t="str">
        <f aca="false">IF(AND(C96=C97,AA96=AA97-1),AC96,"")</f>
        <v/>
      </c>
      <c r="AF97" s="0" t="str">
        <f aca="false">IF(AA97=1,"",IF(AND(AB97=1,AD97&lt;&gt;1),1,0))</f>
        <v/>
      </c>
      <c r="AG97" s="0" t="str">
        <f aca="false">IF(AA97=1,"",IF(AND(AC97=1,AE97&lt;&gt;1),1,0))</f>
        <v/>
      </c>
      <c r="AH97" s="51" t="str">
        <f aca="false">IF(AND(E97&gt;0,AA97&lt;1,NOT(AND(C98=C97,AA98=AA97+1))),INDEX(DATAS,AA97+1),"")</f>
        <v/>
      </c>
      <c r="AI97" s="51" t="str">
        <f aca="false">IF(AND(AC97=1,AA97&lt;1),IF(AND(C98=C97,AA98=AA97+1),IF(AC98=1,"",INDEX(DATAS,AA97+1)),INDEX(DATAS,AA97+1)),"")</f>
        <v/>
      </c>
    </row>
    <row r="98" customFormat="false" ht="15" hidden="false" customHeight="false" outlineLevel="0" collapsed="false">
      <c r="A98" s="51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46" t="s">
        <v>244</v>
      </c>
      <c r="G98" s="0" t="n">
        <v>31.9</v>
      </c>
      <c r="H98" s="0" t="n">
        <v>31</v>
      </c>
      <c r="I98" s="46" t="s">
        <v>189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51" t="n">
        <v>46263</v>
      </c>
      <c r="X98" s="46" t="n">
        <f aca="false">IF(I98="Male",0,1)</f>
        <v>1</v>
      </c>
      <c r="Y98" s="46" t="n">
        <f aca="false">IF(OR(I98="DNB",I98="Dry DNB"),1,0)</f>
        <v>0</v>
      </c>
      <c r="Z98" s="46" t="n">
        <f aca="false">IF(ISNUMBER(W98),A98-W98,"")</f>
        <v>46</v>
      </c>
      <c r="AA98" s="46" t="n">
        <f aca="false">MATCH(A98,DATAS,0)</f>
        <v>1</v>
      </c>
      <c r="AB98" s="46" t="n">
        <f aca="false">IF(AND(E98&gt;0,OR(AND(B98&gt;=1,B98&lt;=6),B98=10)),1,0)</f>
        <v>1</v>
      </c>
      <c r="AC98" s="46" t="n">
        <f aca="false">IF(AND(E98&gt;0,B98=10),1,0)</f>
        <v>0</v>
      </c>
      <c r="AD98" s="0" t="str">
        <f aca="false">IF(AND(C97=C98,AA97=AA98-1),AB97,"")</f>
        <v/>
      </c>
      <c r="AE98" s="0" t="str">
        <f aca="false">IF(AND(C97=C98,AA97=AA98-1),AC97,"")</f>
        <v/>
      </c>
      <c r="AF98" s="0" t="str">
        <f aca="false">IF(AA98=1,"",IF(AND(AB98=1,AD98&lt;&gt;1),1,0))</f>
        <v/>
      </c>
      <c r="AG98" s="0" t="str">
        <f aca="false">IF(AA98=1,"",IF(AND(AC98=1,AE98&lt;&gt;1),1,0))</f>
        <v/>
      </c>
      <c r="AH98" s="51" t="str">
        <f aca="false">IF(AND(E98&gt;0,AA98&lt;1,NOT(AND(C99=C98,AA99=AA98+1))),INDEX(DATAS,AA98+1),"")</f>
        <v/>
      </c>
      <c r="AI98" s="51" t="str">
        <f aca="false">IF(AND(AC98=1,AA98&lt;1),IF(AND(C99=C98,AA99=AA98+1),IF(AC99=1,"",INDEX(DATAS,AA98+1)),INDEX(DATAS,AA98+1)),"")</f>
        <v/>
      </c>
    </row>
    <row r="99" customFormat="false" ht="15" hidden="false" customHeight="false" outlineLevel="0" collapsed="false">
      <c r="A99" s="51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46" t="s">
        <v>245</v>
      </c>
      <c r="G99" s="0" t="n">
        <v>54.4</v>
      </c>
      <c r="H99" s="0" t="n">
        <v>48</v>
      </c>
      <c r="I99" s="46" t="s">
        <v>181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51" t="n">
        <v>46282</v>
      </c>
      <c r="X99" s="46" t="n">
        <f aca="false">IF(I99="Male",0,1)</f>
        <v>1</v>
      </c>
      <c r="Y99" s="46" t="n">
        <f aca="false">IF(OR(I99="DNB",I99="Dry DNB"),1,0)</f>
        <v>0</v>
      </c>
      <c r="Z99" s="46" t="n">
        <f aca="false">IF(ISNUMBER(W99),A99-W99,"")</f>
        <v>27</v>
      </c>
      <c r="AA99" s="46" t="n">
        <f aca="false">MATCH(A99,DATAS,0)</f>
        <v>1</v>
      </c>
      <c r="AB99" s="46" t="n">
        <f aca="false">IF(AND(E99&gt;0,OR(AND(B99&gt;=1,B99&lt;=6),B99=10)),1,0)</f>
        <v>1</v>
      </c>
      <c r="AC99" s="46" t="n">
        <f aca="false">IF(AND(E99&gt;0,B99=10),1,0)</f>
        <v>0</v>
      </c>
      <c r="AD99" s="0" t="str">
        <f aca="false">IF(AND(C98=C99,AA98=AA99-1),AB98,"")</f>
        <v/>
      </c>
      <c r="AE99" s="0" t="str">
        <f aca="false">IF(AND(C98=C99,AA98=AA99-1),AC98,"")</f>
        <v/>
      </c>
      <c r="AF99" s="0" t="str">
        <f aca="false">IF(AA99=1,"",IF(AND(AB99=1,AD99&lt;&gt;1),1,0))</f>
        <v/>
      </c>
      <c r="AG99" s="0" t="str">
        <f aca="false">IF(AA99=1,"",IF(AND(AC99=1,AE99&lt;&gt;1),1,0))</f>
        <v/>
      </c>
      <c r="AH99" s="51" t="str">
        <f aca="false">IF(AND(E99&gt;0,AA99&lt;1,NOT(AND(C100=C99,AA100=AA99+1))),INDEX(DATAS,AA99+1),"")</f>
        <v/>
      </c>
      <c r="AI99" s="51" t="str">
        <f aca="false">IF(AND(AC99=1,AA99&lt;1),IF(AND(C100=C99,AA100=AA99+1),IF(AC100=1,"",INDEX(DATAS,AA99+1)),INDEX(DATAS,AA99+1)),"")</f>
        <v/>
      </c>
    </row>
    <row r="100" customFormat="false" ht="15" hidden="false" customHeight="false" outlineLevel="0" collapsed="false">
      <c r="A100" s="51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46" t="s">
        <v>244</v>
      </c>
      <c r="G100" s="0" t="n">
        <v>44.6</v>
      </c>
      <c r="H100" s="0" t="n">
        <v>39</v>
      </c>
      <c r="I100" s="46" t="s">
        <v>161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X100" s="46" t="n">
        <f aca="false">IF(I100="Male",0,1)</f>
        <v>1</v>
      </c>
      <c r="Y100" s="46" t="n">
        <f aca="false">IF(OR(I100="DNB",I100="Dry DNB"),1,0)</f>
        <v>0</v>
      </c>
      <c r="Z100" s="0" t="str">
        <f aca="false">IF(ISNUMBER(W100),A100-W100,"")</f>
        <v/>
      </c>
      <c r="AA100" s="46" t="n">
        <f aca="false">MATCH(A100,DATAS,0)</f>
        <v>1</v>
      </c>
      <c r="AB100" s="46" t="n">
        <f aca="false">IF(AND(E100&gt;0,OR(AND(B100&gt;=1,B100&lt;=6),B100=10)),1,0)</f>
        <v>1</v>
      </c>
      <c r="AC100" s="46" t="n">
        <f aca="false">IF(AND(E100&gt;0,B100=10),1,0)</f>
        <v>0</v>
      </c>
      <c r="AD100" s="0" t="str">
        <f aca="false">IF(AND(C99=C100,AA99=AA100-1),AB99,"")</f>
        <v/>
      </c>
      <c r="AE100" s="0" t="str">
        <f aca="false">IF(AND(C99=C100,AA99=AA100-1),AC99,"")</f>
        <v/>
      </c>
      <c r="AF100" s="0" t="str">
        <f aca="false">IF(AA100=1,"",IF(AND(AB100=1,AD100&lt;&gt;1),1,0))</f>
        <v/>
      </c>
      <c r="AG100" s="0" t="str">
        <f aca="false">IF(AA100=1,"",IF(AND(AC100=1,AE100&lt;&gt;1),1,0))</f>
        <v/>
      </c>
      <c r="AH100" s="51" t="str">
        <f aca="false">IF(AND(E100&gt;0,AA100&lt;1,NOT(AND(C101=C100,AA101=AA100+1))),INDEX(DATAS,AA100+1),"")</f>
        <v/>
      </c>
      <c r="AI100" s="51" t="str">
        <f aca="false">IF(AND(AC100=1,AA100&lt;1),IF(AND(C101=C100,AA101=AA100+1),IF(AC101=1,"",INDEX(DATAS,AA100+1)),INDEX(DATAS,AA100+1)),"")</f>
        <v/>
      </c>
    </row>
    <row r="101" customFormat="false" ht="15" hidden="false" customHeight="false" outlineLevel="0" collapsed="false">
      <c r="A101" s="51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46" t="s">
        <v>246</v>
      </c>
      <c r="G101" s="0" t="n">
        <v>63</v>
      </c>
      <c r="H101" s="0" t="n">
        <v>63</v>
      </c>
      <c r="I101" s="46" t="s">
        <v>161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X101" s="46" t="n">
        <f aca="false">IF(I101="Male",0,1)</f>
        <v>1</v>
      </c>
      <c r="Y101" s="46" t="n">
        <f aca="false">IF(OR(I101="DNB",I101="Dry DNB"),1,0)</f>
        <v>0</v>
      </c>
      <c r="Z101" s="0" t="str">
        <f aca="false">IF(ISNUMBER(W101),A101-W101,"")</f>
        <v/>
      </c>
      <c r="AA101" s="46" t="n">
        <f aca="false">MATCH(A101,DATAS,0)</f>
        <v>1</v>
      </c>
      <c r="AB101" s="46" t="n">
        <f aca="false">IF(AND(E101&gt;0,OR(AND(B101&gt;=1,B101&lt;=6),B101=10)),1,0)</f>
        <v>1</v>
      </c>
      <c r="AC101" s="46" t="n">
        <f aca="false">IF(AND(E101&gt;0,B101=10),1,0)</f>
        <v>0</v>
      </c>
      <c r="AD101" s="0" t="str">
        <f aca="false">IF(AND(C100=C101,AA100=AA101-1),AB100,"")</f>
        <v/>
      </c>
      <c r="AE101" s="0" t="str">
        <f aca="false">IF(AND(C100=C101,AA100=AA101-1),AC100,"")</f>
        <v/>
      </c>
      <c r="AF101" s="0" t="str">
        <f aca="false">IF(AA101=1,"",IF(AND(AB101=1,AD101&lt;&gt;1),1,0))</f>
        <v/>
      </c>
      <c r="AG101" s="0" t="str">
        <f aca="false">IF(AA101=1,"",IF(AND(AC101=1,AE101&lt;&gt;1),1,0))</f>
        <v/>
      </c>
      <c r="AH101" s="51" t="str">
        <f aca="false">IF(AND(E101&gt;0,AA101&lt;1,NOT(AND(C102=C101,AA102=AA101+1))),INDEX(DATAS,AA101+1),"")</f>
        <v/>
      </c>
      <c r="AI101" s="51" t="str">
        <f aca="false">IF(AND(AC101=1,AA101&lt;1),IF(AND(C102=C101,AA102=AA101+1),IF(AC102=1,"",INDEX(DATAS,AA101+1)),INDEX(DATAS,AA101+1)),"")</f>
        <v/>
      </c>
    </row>
    <row r="102" customFormat="false" ht="15" hidden="false" customHeight="false" outlineLevel="0" collapsed="false">
      <c r="A102" s="51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46" t="s">
        <v>247</v>
      </c>
      <c r="I102" s="46" t="s">
        <v>157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51" t="n">
        <v>46086</v>
      </c>
      <c r="X102" s="46" t="n">
        <f aca="false">IF(I102="Male",0,1)</f>
        <v>1</v>
      </c>
      <c r="Y102" s="46" t="n">
        <f aca="false">IF(OR(I102="DNB",I102="Dry DNB"),1,0)</f>
        <v>0</v>
      </c>
      <c r="Z102" s="46" t="n">
        <f aca="false">IF(ISNUMBER(W102),A102-W102,"")</f>
        <v>223</v>
      </c>
      <c r="AA102" s="46" t="n">
        <f aca="false">MATCH(A102,DATAS,0)</f>
        <v>1</v>
      </c>
      <c r="AB102" s="46" t="n">
        <f aca="false">IF(AND(E102&gt;0,OR(AND(B102&gt;=1,B102&lt;=6),B102=10)),1,0)</f>
        <v>0</v>
      </c>
      <c r="AC102" s="46" t="n">
        <f aca="false">IF(AND(E102&gt;0,B102=10),1,0)</f>
        <v>0</v>
      </c>
      <c r="AD102" s="0" t="str">
        <f aca="false">IF(AND(C101=C102,AA101=AA102-1),AB101,"")</f>
        <v/>
      </c>
      <c r="AE102" s="0" t="str">
        <f aca="false">IF(AND(C101=C102,AA101=AA102-1),AC101,"")</f>
        <v/>
      </c>
      <c r="AF102" s="0" t="str">
        <f aca="false">IF(AA102=1,"",IF(AND(AB102=1,AD102&lt;&gt;1),1,0))</f>
        <v/>
      </c>
      <c r="AG102" s="0" t="str">
        <f aca="false">IF(AA102=1,"",IF(AND(AC102=1,AE102&lt;&gt;1),1,0))</f>
        <v/>
      </c>
      <c r="AH102" s="51" t="str">
        <f aca="false">IF(AND(E102&gt;0,AA102&lt;1,NOT(AND(C103=C102,AA103=AA102+1))),INDEX(DATAS,AA102+1),"")</f>
        <v/>
      </c>
      <c r="AI102" s="51" t="str">
        <f aca="false">IF(AND(AC102=1,AA102&lt;1),IF(AND(C103=C102,AA103=AA102+1),IF(AC103=1,"",INDEX(DATAS,AA102+1)),INDEX(DATAS,AA102+1)),"")</f>
        <v/>
      </c>
    </row>
    <row r="103" customFormat="false" ht="15" hidden="false" customHeight="false" outlineLevel="0" collapsed="false">
      <c r="A103" s="51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46" t="s">
        <v>247</v>
      </c>
      <c r="G103" s="0" t="n">
        <v>57.1</v>
      </c>
      <c r="H103" s="0" t="n">
        <v>53</v>
      </c>
      <c r="I103" s="46" t="s">
        <v>189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X103" s="46" t="n">
        <f aca="false">IF(I103="Male",0,1)</f>
        <v>1</v>
      </c>
      <c r="Y103" s="46" t="n">
        <f aca="false">IF(OR(I103="DNB",I103="Dry DNB"),1,0)</f>
        <v>0</v>
      </c>
      <c r="Z103" s="0" t="str">
        <f aca="false">IF(ISNUMBER(W103),A103-W103,"")</f>
        <v/>
      </c>
      <c r="AA103" s="46" t="n">
        <f aca="false">MATCH(A103,DATAS,0)</f>
        <v>1</v>
      </c>
      <c r="AB103" s="46" t="n">
        <f aca="false">IF(AND(E103&gt;0,OR(AND(B103&gt;=1,B103&lt;=6),B103=10)),1,0)</f>
        <v>1</v>
      </c>
      <c r="AC103" s="46" t="n">
        <f aca="false">IF(AND(E103&gt;0,B103=10),1,0)</f>
        <v>0</v>
      </c>
      <c r="AD103" s="0" t="str">
        <f aca="false">IF(AND(C102=C103,AA102=AA103-1),AB102,"")</f>
        <v/>
      </c>
      <c r="AE103" s="0" t="str">
        <f aca="false">IF(AND(C102=C103,AA102=AA103-1),AC102,"")</f>
        <v/>
      </c>
      <c r="AF103" s="0" t="str">
        <f aca="false">IF(AA103=1,"",IF(AND(AB103=1,AD103&lt;&gt;1),1,0))</f>
        <v/>
      </c>
      <c r="AG103" s="0" t="str">
        <f aca="false">IF(AA103=1,"",IF(AND(AC103=1,AE103&lt;&gt;1),1,0))</f>
        <v/>
      </c>
      <c r="AH103" s="51" t="str">
        <f aca="false">IF(AND(E103&gt;0,AA103&lt;1,NOT(AND(C104=C103,AA104=AA103+1))),INDEX(DATAS,AA103+1),"")</f>
        <v/>
      </c>
      <c r="AI103" s="51" t="str">
        <f aca="false">IF(AND(AC103=1,AA103&lt;1),IF(AND(C104=C103,AA104=AA103+1),IF(AC104=1,"",INDEX(DATAS,AA103+1)),INDEX(DATAS,AA103+1)),"")</f>
        <v/>
      </c>
    </row>
    <row r="104" customFormat="false" ht="15" hidden="false" customHeight="false" outlineLevel="0" collapsed="false">
      <c r="A104" s="51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46" t="s">
        <v>248</v>
      </c>
      <c r="G104" s="0" t="n">
        <v>41.7</v>
      </c>
      <c r="H104" s="0" t="n">
        <v>42</v>
      </c>
      <c r="I104" s="46" t="s">
        <v>161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X104" s="46" t="n">
        <f aca="false">IF(I104="Male",0,1)</f>
        <v>1</v>
      </c>
      <c r="Y104" s="46" t="n">
        <f aca="false">IF(OR(I104="DNB",I104="Dry DNB"),1,0)</f>
        <v>0</v>
      </c>
      <c r="Z104" s="0" t="str">
        <f aca="false">IF(ISNUMBER(W104),A104-W104,"")</f>
        <v/>
      </c>
      <c r="AA104" s="46" t="n">
        <f aca="false">MATCH(A104,DATAS,0)</f>
        <v>1</v>
      </c>
      <c r="AB104" s="46" t="n">
        <f aca="false">IF(AND(E104&gt;0,OR(AND(B104&gt;=1,B104&lt;=6),B104=10)),1,0)</f>
        <v>1</v>
      </c>
      <c r="AC104" s="46" t="n">
        <f aca="false">IF(AND(E104&gt;0,B104=10),1,0)</f>
        <v>0</v>
      </c>
      <c r="AD104" s="0" t="str">
        <f aca="false">IF(AND(C103=C104,AA103=AA104-1),AB103,"")</f>
        <v/>
      </c>
      <c r="AE104" s="0" t="str">
        <f aca="false">IF(AND(C103=C104,AA103=AA104-1),AC103,"")</f>
        <v/>
      </c>
      <c r="AF104" s="0" t="str">
        <f aca="false">IF(AA104=1,"",IF(AND(AB104=1,AD104&lt;&gt;1),1,0))</f>
        <v/>
      </c>
      <c r="AG104" s="0" t="str">
        <f aca="false">IF(AA104=1,"",IF(AND(AC104=1,AE104&lt;&gt;1),1,0))</f>
        <v/>
      </c>
      <c r="AH104" s="51" t="str">
        <f aca="false">IF(AND(E104&gt;0,AA104&lt;1,NOT(AND(C105=C104,AA105=AA104+1))),INDEX(DATAS,AA104+1),"")</f>
        <v/>
      </c>
      <c r="AI104" s="51" t="str">
        <f aca="false">IF(AND(AC104=1,AA104&lt;1),IF(AND(C105=C104,AA105=AA104+1),IF(AC105=1,"",INDEX(DATAS,AA104+1)),INDEX(DATAS,AA104+1)),"")</f>
        <v/>
      </c>
    </row>
    <row r="105" customFormat="false" ht="15" hidden="false" customHeight="false" outlineLevel="0" collapsed="false">
      <c r="A105" s="51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46" t="s">
        <v>249</v>
      </c>
      <c r="I105" s="46" t="s">
        <v>152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51" t="n">
        <v>46240</v>
      </c>
      <c r="X105" s="46" t="n">
        <f aca="false">IF(I105="Male",0,1)</f>
        <v>1</v>
      </c>
      <c r="Y105" s="46" t="n">
        <f aca="false">IF(OR(I105="DNB",I105="Dry DNB"),1,0)</f>
        <v>0</v>
      </c>
      <c r="Z105" s="46" t="n">
        <f aca="false">IF(ISNUMBER(W105),A105-W105,"")</f>
        <v>69</v>
      </c>
      <c r="AA105" s="46" t="n">
        <f aca="false">MATCH(A105,DATAS,0)</f>
        <v>1</v>
      </c>
      <c r="AB105" s="46" t="n">
        <f aca="false">IF(AND(E105&gt;0,OR(AND(B105&gt;=1,B105&lt;=6),B105=10)),1,0)</f>
        <v>1</v>
      </c>
      <c r="AC105" s="46" t="n">
        <f aca="false">IF(AND(E105&gt;0,B105=10),1,0)</f>
        <v>0</v>
      </c>
      <c r="AD105" s="0" t="str">
        <f aca="false">IF(AND(C104=C105,AA104=AA105-1),AB104,"")</f>
        <v/>
      </c>
      <c r="AE105" s="0" t="str">
        <f aca="false">IF(AND(C104=C105,AA104=AA105-1),AC104,"")</f>
        <v/>
      </c>
      <c r="AF105" s="0" t="str">
        <f aca="false">IF(AA105=1,"",IF(AND(AB105=1,AD105&lt;&gt;1),1,0))</f>
        <v/>
      </c>
      <c r="AG105" s="0" t="str">
        <f aca="false">IF(AA105=1,"",IF(AND(AC105=1,AE105&lt;&gt;1),1,0))</f>
        <v/>
      </c>
      <c r="AH105" s="51" t="str">
        <f aca="false">IF(AND(E105&gt;0,AA105&lt;1,NOT(AND(C106=C105,AA106=AA105+1))),INDEX(DATAS,AA105+1),"")</f>
        <v/>
      </c>
      <c r="AI105" s="51" t="str">
        <f aca="false">IF(AND(AC105=1,AA105&lt;1),IF(AND(C106=C105,AA106=AA105+1),IF(AC106=1,"",INDEX(DATAS,AA105+1)),INDEX(DATAS,AA105+1)),"")</f>
        <v/>
      </c>
    </row>
    <row r="106" customFormat="false" ht="15" hidden="false" customHeight="false" outlineLevel="0" collapsed="false">
      <c r="A106" s="51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46" t="s">
        <v>250</v>
      </c>
      <c r="I106" s="46" t="s">
        <v>157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51" t="n">
        <v>46086</v>
      </c>
      <c r="X106" s="46" t="n">
        <f aca="false">IF(I106="Male",0,1)</f>
        <v>1</v>
      </c>
      <c r="Y106" s="46" t="n">
        <f aca="false">IF(OR(I106="DNB",I106="Dry DNB"),1,0)</f>
        <v>0</v>
      </c>
      <c r="Z106" s="46" t="n">
        <f aca="false">IF(ISNUMBER(W106),A106-W106,"")</f>
        <v>223</v>
      </c>
      <c r="AA106" s="46" t="n">
        <f aca="false">MATCH(A106,DATAS,0)</f>
        <v>1</v>
      </c>
      <c r="AB106" s="46" t="n">
        <f aca="false">IF(AND(E106&gt;0,OR(AND(B106&gt;=1,B106&lt;=6),B106=10)),1,0)</f>
        <v>0</v>
      </c>
      <c r="AC106" s="46" t="n">
        <f aca="false">IF(AND(E106&gt;0,B106=10),1,0)</f>
        <v>0</v>
      </c>
      <c r="AD106" s="0" t="str">
        <f aca="false">IF(AND(C105=C106,AA105=AA106-1),AB105,"")</f>
        <v/>
      </c>
      <c r="AE106" s="0" t="str">
        <f aca="false">IF(AND(C105=C106,AA105=AA106-1),AC105,"")</f>
        <v/>
      </c>
      <c r="AF106" s="0" t="str">
        <f aca="false">IF(AA106=1,"",IF(AND(AB106=1,AD106&lt;&gt;1),1,0))</f>
        <v/>
      </c>
      <c r="AG106" s="0" t="str">
        <f aca="false">IF(AA106=1,"",IF(AND(AC106=1,AE106&lt;&gt;1),1,0))</f>
        <v/>
      </c>
      <c r="AH106" s="51" t="str">
        <f aca="false">IF(AND(E106&gt;0,AA106&lt;1,NOT(AND(C107=C106,AA107=AA106+1))),INDEX(DATAS,AA106+1),"")</f>
        <v/>
      </c>
      <c r="AI106" s="51" t="str">
        <f aca="false">IF(AND(AC106=1,AA106&lt;1),IF(AND(C107=C106,AA107=AA106+1),IF(AC107=1,"",INDEX(DATAS,AA106+1)),INDEX(DATAS,AA106+1)),"")</f>
        <v/>
      </c>
    </row>
    <row r="107" customFormat="false" ht="15" hidden="false" customHeight="false" outlineLevel="0" collapsed="false">
      <c r="A107" s="51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46" t="s">
        <v>250</v>
      </c>
      <c r="G107" s="0" t="n">
        <v>23.6</v>
      </c>
      <c r="H107" s="0" t="n">
        <v>24</v>
      </c>
      <c r="I107" s="46" t="s">
        <v>189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51" t="n">
        <v>46268</v>
      </c>
      <c r="X107" s="46" t="n">
        <f aca="false">IF(I107="Male",0,1)</f>
        <v>1</v>
      </c>
      <c r="Y107" s="46" t="n">
        <f aca="false">IF(OR(I107="DNB",I107="Dry DNB"),1,0)</f>
        <v>0</v>
      </c>
      <c r="Z107" s="46" t="n">
        <f aca="false">IF(ISNUMBER(W107),A107-W107,"")</f>
        <v>41</v>
      </c>
      <c r="AA107" s="46" t="n">
        <f aca="false">MATCH(A107,DATAS,0)</f>
        <v>1</v>
      </c>
      <c r="AB107" s="46" t="n">
        <f aca="false">IF(AND(E107&gt;0,OR(AND(B107&gt;=1,B107&lt;=6),B107=10)),1,0)</f>
        <v>1</v>
      </c>
      <c r="AC107" s="46" t="n">
        <f aca="false">IF(AND(E107&gt;0,B107=10),1,0)</f>
        <v>0</v>
      </c>
      <c r="AD107" s="0" t="str">
        <f aca="false">IF(AND(C106=C107,AA106=AA107-1),AB106,"")</f>
        <v/>
      </c>
      <c r="AE107" s="0" t="str">
        <f aca="false">IF(AND(C106=C107,AA106=AA107-1),AC106,"")</f>
        <v/>
      </c>
      <c r="AF107" s="0" t="str">
        <f aca="false">IF(AA107=1,"",IF(AND(AB107=1,AD107&lt;&gt;1),1,0))</f>
        <v/>
      </c>
      <c r="AG107" s="0" t="str">
        <f aca="false">IF(AA107=1,"",IF(AND(AC107=1,AE107&lt;&gt;1),1,0))</f>
        <v/>
      </c>
      <c r="AH107" s="51" t="str">
        <f aca="false">IF(AND(E107&gt;0,AA107&lt;1,NOT(AND(C108=C107,AA108=AA107+1))),INDEX(DATAS,AA107+1),"")</f>
        <v/>
      </c>
      <c r="AI107" s="51" t="str">
        <f aca="false">IF(AND(AC107=1,AA107&lt;1),IF(AND(C108=C107,AA108=AA107+1),IF(AC108=1,"",INDEX(DATAS,AA107+1)),INDEX(DATAS,AA107+1)),"")</f>
        <v/>
      </c>
    </row>
    <row r="108" customFormat="false" ht="15" hidden="false" customHeight="false" outlineLevel="0" collapsed="false">
      <c r="A108" s="51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46" t="s">
        <v>251</v>
      </c>
      <c r="G108" s="0" t="n">
        <v>51.3</v>
      </c>
      <c r="H108" s="0" t="n">
        <v>50</v>
      </c>
      <c r="I108" s="46" t="s">
        <v>161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X108" s="46" t="n">
        <f aca="false">IF(I108="Male",0,1)</f>
        <v>1</v>
      </c>
      <c r="Y108" s="46" t="n">
        <f aca="false">IF(OR(I108="DNB",I108="Dry DNB"),1,0)</f>
        <v>0</v>
      </c>
      <c r="Z108" s="0" t="str">
        <f aca="false">IF(ISNUMBER(W108),A108-W108,"")</f>
        <v/>
      </c>
      <c r="AA108" s="46" t="n">
        <f aca="false">MATCH(A108,DATAS,0)</f>
        <v>1</v>
      </c>
      <c r="AB108" s="46" t="n">
        <f aca="false">IF(AND(E108&gt;0,OR(AND(B108&gt;=1,B108&lt;=6),B108=10)),1,0)</f>
        <v>1</v>
      </c>
      <c r="AC108" s="46" t="n">
        <f aca="false">IF(AND(E108&gt;0,B108=10),1,0)</f>
        <v>0</v>
      </c>
      <c r="AD108" s="0" t="str">
        <f aca="false">IF(AND(C107=C108,AA107=AA108-1),AB107,"")</f>
        <v/>
      </c>
      <c r="AE108" s="0" t="str">
        <f aca="false">IF(AND(C107=C108,AA107=AA108-1),AC107,"")</f>
        <v/>
      </c>
      <c r="AF108" s="0" t="str">
        <f aca="false">IF(AA108=1,"",IF(AND(AB108=1,AD108&lt;&gt;1),1,0))</f>
        <v/>
      </c>
      <c r="AG108" s="0" t="str">
        <f aca="false">IF(AA108=1,"",IF(AND(AC108=1,AE108&lt;&gt;1),1,0))</f>
        <v/>
      </c>
      <c r="AH108" s="51" t="str">
        <f aca="false">IF(AND(E108&gt;0,AA108&lt;1,NOT(AND(C109=C108,AA109=AA108+1))),INDEX(DATAS,AA108+1),"")</f>
        <v/>
      </c>
      <c r="AI108" s="51" t="str">
        <f aca="false">IF(AND(AC108=1,AA108&lt;1),IF(AND(C109=C108,AA109=AA108+1),IF(AC109=1,"",INDEX(DATAS,AA108+1)),INDEX(DATAS,AA108+1)),"")</f>
        <v/>
      </c>
    </row>
    <row r="109" customFormat="false" ht="15" hidden="false" customHeight="false" outlineLevel="0" collapsed="false">
      <c r="A109" s="51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46" t="s">
        <v>252</v>
      </c>
      <c r="G109" s="0" t="n">
        <v>37.5</v>
      </c>
      <c r="H109" s="0" t="n">
        <v>37</v>
      </c>
      <c r="I109" s="46" t="s">
        <v>138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51" t="n">
        <v>46184</v>
      </c>
      <c r="X109" s="46" t="n">
        <f aca="false">IF(I109="Male",0,1)</f>
        <v>1</v>
      </c>
      <c r="Y109" s="46" t="n">
        <f aca="false">IF(OR(I109="DNB",I109="Dry DNB"),1,0)</f>
        <v>1</v>
      </c>
      <c r="Z109" s="46" t="n">
        <f aca="false">IF(ISNUMBER(W109),A109-W109,"")</f>
        <v>125</v>
      </c>
      <c r="AA109" s="46" t="n">
        <f aca="false">MATCH(A109,DATAS,0)</f>
        <v>1</v>
      </c>
      <c r="AB109" s="46" t="n">
        <f aca="false">IF(AND(E109&gt;0,OR(AND(B109&gt;=1,B109&lt;=6),B109=10)),1,0)</f>
        <v>1</v>
      </c>
      <c r="AC109" s="46" t="n">
        <f aca="false">IF(AND(E109&gt;0,B109=10),1,0)</f>
        <v>0</v>
      </c>
      <c r="AD109" s="0" t="str">
        <f aca="false">IF(AND(C108=C109,AA108=AA109-1),AB108,"")</f>
        <v/>
      </c>
      <c r="AE109" s="0" t="str">
        <f aca="false">IF(AND(C108=C109,AA108=AA109-1),AC108,"")</f>
        <v/>
      </c>
      <c r="AF109" s="0" t="str">
        <f aca="false">IF(AA109=1,"",IF(AND(AB109=1,AD109&lt;&gt;1),1,0))</f>
        <v/>
      </c>
      <c r="AG109" s="0" t="str">
        <f aca="false">IF(AA109=1,"",IF(AND(AC109=1,AE109&lt;&gt;1),1,0))</f>
        <v/>
      </c>
      <c r="AH109" s="51" t="str">
        <f aca="false">IF(AND(E109&gt;0,AA109&lt;1,NOT(AND(C110=C109,AA110=AA109+1))),INDEX(DATAS,AA109+1),"")</f>
        <v/>
      </c>
      <c r="AI109" s="51" t="str">
        <f aca="false">IF(AND(AC109=1,AA109&lt;1),IF(AND(C110=C109,AA110=AA109+1),IF(AC110=1,"",INDEX(DATAS,AA109+1)),INDEX(DATAS,AA109+1)),"")</f>
        <v/>
      </c>
    </row>
    <row r="110" customFormat="false" ht="15" hidden="false" customHeight="false" outlineLevel="0" collapsed="false">
      <c r="A110" s="51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46" t="s">
        <v>253</v>
      </c>
      <c r="G110" s="0" t="n">
        <v>49.2</v>
      </c>
      <c r="H110" s="0" t="n">
        <v>46</v>
      </c>
      <c r="I110" s="46" t="s">
        <v>161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X110" s="46" t="n">
        <f aca="false">IF(I110="Male",0,1)</f>
        <v>1</v>
      </c>
      <c r="Y110" s="46" t="n">
        <f aca="false">IF(OR(I110="DNB",I110="Dry DNB"),1,0)</f>
        <v>0</v>
      </c>
      <c r="Z110" s="0" t="str">
        <f aca="false">IF(ISNUMBER(W110),A110-W110,"")</f>
        <v/>
      </c>
      <c r="AA110" s="46" t="n">
        <f aca="false">MATCH(A110,DATAS,0)</f>
        <v>1</v>
      </c>
      <c r="AB110" s="46" t="n">
        <f aca="false">IF(AND(E110&gt;0,OR(AND(B110&gt;=1,B110&lt;=6),B110=10)),1,0)</f>
        <v>1</v>
      </c>
      <c r="AC110" s="46" t="n">
        <f aca="false">IF(AND(E110&gt;0,B110=10),1,0)</f>
        <v>0</v>
      </c>
      <c r="AD110" s="0" t="str">
        <f aca="false">IF(AND(C109=C110,AA109=AA110-1),AB109,"")</f>
        <v/>
      </c>
      <c r="AE110" s="0" t="str">
        <f aca="false">IF(AND(C109=C110,AA109=AA110-1),AC109,"")</f>
        <v/>
      </c>
      <c r="AF110" s="0" t="str">
        <f aca="false">IF(AA110=1,"",IF(AND(AB110=1,AD110&lt;&gt;1),1,0))</f>
        <v/>
      </c>
      <c r="AG110" s="0" t="str">
        <f aca="false">IF(AA110=1,"",IF(AND(AC110=1,AE110&lt;&gt;1),1,0))</f>
        <v/>
      </c>
      <c r="AH110" s="51" t="str">
        <f aca="false">IF(AND(E110&gt;0,AA110&lt;1,NOT(AND(C111=C110,AA111=AA110+1))),INDEX(DATAS,AA110+1),"")</f>
        <v/>
      </c>
      <c r="AI110" s="51" t="str">
        <f aca="false">IF(AND(AC110=1,AA110&lt;1),IF(AND(C111=C110,AA111=AA110+1),IF(AC111=1,"",INDEX(DATAS,AA110+1)),INDEX(DATAS,AA110+1)),"")</f>
        <v/>
      </c>
    </row>
    <row r="111" customFormat="false" ht="15" hidden="false" customHeight="false" outlineLevel="0" collapsed="false">
      <c r="A111" s="51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46" t="s">
        <v>254</v>
      </c>
      <c r="G111" s="0" t="n">
        <v>21.1</v>
      </c>
      <c r="H111" s="0" t="n">
        <v>20</v>
      </c>
      <c r="I111" s="46" t="s">
        <v>181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51" t="n">
        <v>46282</v>
      </c>
      <c r="X111" s="46" t="n">
        <f aca="false">IF(I111="Male",0,1)</f>
        <v>1</v>
      </c>
      <c r="Y111" s="46" t="n">
        <f aca="false">IF(OR(I111="DNB",I111="Dry DNB"),1,0)</f>
        <v>0</v>
      </c>
      <c r="Z111" s="46" t="n">
        <f aca="false">IF(ISNUMBER(W111),A111-W111,"")</f>
        <v>27</v>
      </c>
      <c r="AA111" s="46" t="n">
        <f aca="false">MATCH(A111,DATAS,0)</f>
        <v>1</v>
      </c>
      <c r="AB111" s="46" t="n">
        <f aca="false">IF(AND(E111&gt;0,OR(AND(B111&gt;=1,B111&lt;=6),B111=10)),1,0)</f>
        <v>1</v>
      </c>
      <c r="AC111" s="46" t="n">
        <f aca="false">IF(AND(E111&gt;0,B111=10),1,0)</f>
        <v>0</v>
      </c>
      <c r="AD111" s="0" t="str">
        <f aca="false">IF(AND(C110=C111,AA110=AA111-1),AB110,"")</f>
        <v/>
      </c>
      <c r="AE111" s="0" t="str">
        <f aca="false">IF(AND(C110=C111,AA110=AA111-1),AC110,"")</f>
        <v/>
      </c>
      <c r="AF111" s="0" t="str">
        <f aca="false">IF(AA111=1,"",IF(AND(AB111=1,AD111&lt;&gt;1),1,0))</f>
        <v/>
      </c>
      <c r="AG111" s="0" t="str">
        <f aca="false">IF(AA111=1,"",IF(AND(AC111=1,AE111&lt;&gt;1),1,0))</f>
        <v/>
      </c>
      <c r="AH111" s="51" t="str">
        <f aca="false">IF(AND(E111&gt;0,AA111&lt;1,NOT(AND(C112=C111,AA112=AA111+1))),INDEX(DATAS,AA111+1),"")</f>
        <v/>
      </c>
      <c r="AI111" s="51" t="str">
        <f aca="false">IF(AND(AC111=1,AA111&lt;1),IF(AND(C112=C111,AA112=AA111+1),IF(AC112=1,"",INDEX(DATAS,AA111+1)),INDEX(DATAS,AA111+1)),"")</f>
        <v/>
      </c>
    </row>
    <row r="112" customFormat="false" ht="15" hidden="false" customHeight="false" outlineLevel="0" collapsed="false">
      <c r="A112" s="51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46" t="s">
        <v>255</v>
      </c>
      <c r="G112" s="0" t="n">
        <v>45</v>
      </c>
      <c r="H112" s="0" t="n">
        <v>27</v>
      </c>
      <c r="I112" s="46" t="s">
        <v>189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51" t="n">
        <v>46268</v>
      </c>
      <c r="X112" s="46" t="n">
        <f aca="false">IF(I112="Male",0,1)</f>
        <v>1</v>
      </c>
      <c r="Y112" s="46" t="n">
        <f aca="false">IF(OR(I112="DNB",I112="Dry DNB"),1,0)</f>
        <v>0</v>
      </c>
      <c r="Z112" s="46" t="n">
        <f aca="false">IF(ISNUMBER(W112),A112-W112,"")</f>
        <v>41</v>
      </c>
      <c r="AA112" s="46" t="n">
        <f aca="false">MATCH(A112,DATAS,0)</f>
        <v>1</v>
      </c>
      <c r="AB112" s="46" t="n">
        <f aca="false">IF(AND(E112&gt;0,OR(AND(B112&gt;=1,B112&lt;=6),B112=10)),1,0)</f>
        <v>1</v>
      </c>
      <c r="AC112" s="46" t="n">
        <f aca="false">IF(AND(E112&gt;0,B112=10),1,0)</f>
        <v>0</v>
      </c>
      <c r="AD112" s="0" t="str">
        <f aca="false">IF(AND(C111=C112,AA111=AA112-1),AB111,"")</f>
        <v/>
      </c>
      <c r="AE112" s="0" t="str">
        <f aca="false">IF(AND(C111=C112,AA111=AA112-1),AC111,"")</f>
        <v/>
      </c>
      <c r="AF112" s="0" t="str">
        <f aca="false">IF(AA112=1,"",IF(AND(AB112=1,AD112&lt;&gt;1),1,0))</f>
        <v/>
      </c>
      <c r="AG112" s="0" t="str">
        <f aca="false">IF(AA112=1,"",IF(AND(AC112=1,AE112&lt;&gt;1),1,0))</f>
        <v/>
      </c>
      <c r="AH112" s="51" t="str">
        <f aca="false">IF(AND(E112&gt;0,AA112&lt;1,NOT(AND(C113=C112,AA113=AA112+1))),INDEX(DATAS,AA112+1),"")</f>
        <v/>
      </c>
      <c r="AI112" s="51" t="str">
        <f aca="false">IF(AND(AC112=1,AA112&lt;1),IF(AND(C113=C112,AA113=AA112+1),IF(AC113=1,"",INDEX(DATAS,AA112+1)),INDEX(DATAS,AA112+1)),"")</f>
        <v/>
      </c>
    </row>
    <row r="113" customFormat="false" ht="15" hidden="false" customHeight="false" outlineLevel="0" collapsed="false">
      <c r="A113" s="51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46" t="s">
        <v>255</v>
      </c>
      <c r="G113" s="0" t="n">
        <v>48.8</v>
      </c>
      <c r="H113" s="0" t="n">
        <v>48</v>
      </c>
      <c r="I113" s="46" t="s">
        <v>181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X113" s="46" t="n">
        <f aca="false">IF(I113="Male",0,1)</f>
        <v>1</v>
      </c>
      <c r="Y113" s="46" t="n">
        <f aca="false">IF(OR(I113="DNB",I113="Dry DNB"),1,0)</f>
        <v>0</v>
      </c>
      <c r="Z113" s="0" t="str">
        <f aca="false">IF(ISNUMBER(W113),A113-W113,"")</f>
        <v/>
      </c>
      <c r="AA113" s="46" t="n">
        <f aca="false">MATCH(A113,DATAS,0)</f>
        <v>1</v>
      </c>
      <c r="AB113" s="46" t="n">
        <f aca="false">IF(AND(E113&gt;0,OR(AND(B113&gt;=1,B113&lt;=6),B113=10)),1,0)</f>
        <v>1</v>
      </c>
      <c r="AC113" s="46" t="n">
        <f aca="false">IF(AND(E113&gt;0,B113=10),1,0)</f>
        <v>0</v>
      </c>
      <c r="AD113" s="0" t="str">
        <f aca="false">IF(AND(C112=C113,AA112=AA113-1),AB112,"")</f>
        <v/>
      </c>
      <c r="AE113" s="0" t="str">
        <f aca="false">IF(AND(C112=C113,AA112=AA113-1),AC112,"")</f>
        <v/>
      </c>
      <c r="AF113" s="0" t="str">
        <f aca="false">IF(AA113=1,"",IF(AND(AB113=1,AD113&lt;&gt;1),1,0))</f>
        <v/>
      </c>
      <c r="AG113" s="0" t="str">
        <f aca="false">IF(AA113=1,"",IF(AND(AC113=1,AE113&lt;&gt;1),1,0))</f>
        <v/>
      </c>
      <c r="AH113" s="51" t="str">
        <f aca="false">IF(AND(E113&gt;0,AA113&lt;1,NOT(AND(C114=C113,AA114=AA113+1))),INDEX(DATAS,AA113+1),"")</f>
        <v/>
      </c>
      <c r="AI113" s="51" t="str">
        <f aca="false">IF(AND(AC113=1,AA113&lt;1),IF(AND(C114=C113,AA114=AA113+1),IF(AC114=1,"",INDEX(DATAS,AA113+1)),INDEX(DATAS,AA113+1)),"")</f>
        <v/>
      </c>
    </row>
    <row r="114" customFormat="false" ht="15" hidden="false" customHeight="false" outlineLevel="0" collapsed="false">
      <c r="A114" s="51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46" t="s">
        <v>256</v>
      </c>
      <c r="G114" s="0" t="n">
        <v>18.1</v>
      </c>
      <c r="H114" s="0" t="n">
        <v>17</v>
      </c>
      <c r="I114" s="46" t="s">
        <v>152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51" t="n">
        <v>46237</v>
      </c>
      <c r="X114" s="46" t="n">
        <f aca="false">IF(I114="Male",0,1)</f>
        <v>1</v>
      </c>
      <c r="Y114" s="46" t="n">
        <f aca="false">IF(OR(I114="DNB",I114="Dry DNB"),1,0)</f>
        <v>0</v>
      </c>
      <c r="Z114" s="46" t="n">
        <f aca="false">IF(ISNUMBER(W114),A114-W114,"")</f>
        <v>72</v>
      </c>
      <c r="AA114" s="46" t="n">
        <f aca="false">MATCH(A114,DATAS,0)</f>
        <v>1</v>
      </c>
      <c r="AB114" s="46" t="n">
        <f aca="false">IF(AND(E114&gt;0,OR(AND(B114&gt;=1,B114&lt;=6),B114=10)),1,0)</f>
        <v>1</v>
      </c>
      <c r="AC114" s="46" t="n">
        <f aca="false">IF(AND(E114&gt;0,B114=10),1,0)</f>
        <v>0</v>
      </c>
      <c r="AD114" s="0" t="str">
        <f aca="false">IF(AND(C113=C114,AA113=AA114-1),AB113,"")</f>
        <v/>
      </c>
      <c r="AE114" s="0" t="str">
        <f aca="false">IF(AND(C113=C114,AA113=AA114-1),AC113,"")</f>
        <v/>
      </c>
      <c r="AF114" s="0" t="str">
        <f aca="false">IF(AA114=1,"",IF(AND(AB114=1,AD114&lt;&gt;1),1,0))</f>
        <v/>
      </c>
      <c r="AG114" s="0" t="str">
        <f aca="false">IF(AA114=1,"",IF(AND(AC114=1,AE114&lt;&gt;1),1,0))</f>
        <v/>
      </c>
      <c r="AH114" s="51" t="str">
        <f aca="false">IF(AND(E114&gt;0,AA114&lt;1,NOT(AND(C115=C114,AA115=AA114+1))),INDEX(DATAS,AA114+1),"")</f>
        <v/>
      </c>
      <c r="AI114" s="51" t="str">
        <f aca="false">IF(AND(AC114=1,AA114&lt;1),IF(AND(C115=C114,AA115=AA114+1),IF(AC115=1,"",INDEX(DATAS,AA114+1)),INDEX(DATAS,AA114+1)),"")</f>
        <v/>
      </c>
    </row>
    <row r="115" customFormat="false" ht="15" hidden="false" customHeight="false" outlineLevel="0" collapsed="false">
      <c r="A115" s="51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46" t="s">
        <v>257</v>
      </c>
      <c r="I115" s="46" t="s">
        <v>157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51" t="n">
        <v>46226</v>
      </c>
      <c r="X115" s="46" t="n">
        <f aca="false">IF(I115="Male",0,1)</f>
        <v>1</v>
      </c>
      <c r="Y115" s="46" t="n">
        <f aca="false">IF(OR(I115="DNB",I115="Dry DNB"),1,0)</f>
        <v>0</v>
      </c>
      <c r="Z115" s="46" t="n">
        <f aca="false">IF(ISNUMBER(W115),A115-W115,"")</f>
        <v>83</v>
      </c>
      <c r="AA115" s="46" t="n">
        <f aca="false">MATCH(A115,DATAS,0)</f>
        <v>1</v>
      </c>
      <c r="AB115" s="46" t="n">
        <f aca="false">IF(AND(E115&gt;0,OR(AND(B115&gt;=1,B115&lt;=6),B115=10)),1,0)</f>
        <v>0</v>
      </c>
      <c r="AC115" s="46" t="n">
        <f aca="false">IF(AND(E115&gt;0,B115=10),1,0)</f>
        <v>0</v>
      </c>
      <c r="AD115" s="0" t="str">
        <f aca="false">IF(AND(C114=C115,AA114=AA115-1),AB114,"")</f>
        <v/>
      </c>
      <c r="AE115" s="0" t="str">
        <f aca="false">IF(AND(C114=C115,AA114=AA115-1),AC114,"")</f>
        <v/>
      </c>
      <c r="AF115" s="0" t="str">
        <f aca="false">IF(AA115=1,"",IF(AND(AB115=1,AD115&lt;&gt;1),1,0))</f>
        <v/>
      </c>
      <c r="AG115" s="0" t="str">
        <f aca="false">IF(AA115=1,"",IF(AND(AC115=1,AE115&lt;&gt;1),1,0))</f>
        <v/>
      </c>
      <c r="AH115" s="51" t="str">
        <f aca="false">IF(AND(E115&gt;0,AA115&lt;1,NOT(AND(C116=C115,AA116=AA115+1))),INDEX(DATAS,AA115+1),"")</f>
        <v/>
      </c>
      <c r="AI115" s="51" t="str">
        <f aca="false">IF(AND(AC115=1,AA115&lt;1),IF(AND(C116=C115,AA116=AA115+1),IF(AC116=1,"",INDEX(DATAS,AA115+1)),INDEX(DATAS,AA115+1)),"")</f>
        <v/>
      </c>
    </row>
    <row r="116" customFormat="false" ht="15" hidden="false" customHeight="false" outlineLevel="0" collapsed="false">
      <c r="A116" s="51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46" t="s">
        <v>258</v>
      </c>
      <c r="G116" s="0" t="n">
        <v>28.3</v>
      </c>
      <c r="H116" s="0" t="n">
        <v>26</v>
      </c>
      <c r="I116" s="46" t="s">
        <v>181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51" t="n">
        <v>46282</v>
      </c>
      <c r="X116" s="46" t="n">
        <f aca="false">IF(I116="Male",0,1)</f>
        <v>1</v>
      </c>
      <c r="Y116" s="46" t="n">
        <f aca="false">IF(OR(I116="DNB",I116="Dry DNB"),1,0)</f>
        <v>0</v>
      </c>
      <c r="Z116" s="46" t="n">
        <f aca="false">IF(ISNUMBER(W116),A116-W116,"")</f>
        <v>27</v>
      </c>
      <c r="AA116" s="46" t="n">
        <f aca="false">MATCH(A116,DATAS,0)</f>
        <v>1</v>
      </c>
      <c r="AB116" s="46" t="n">
        <f aca="false">IF(AND(E116&gt;0,OR(AND(B116&gt;=1,B116&lt;=6),B116=10)),1,0)</f>
        <v>1</v>
      </c>
      <c r="AC116" s="46" t="n">
        <f aca="false">IF(AND(E116&gt;0,B116=10),1,0)</f>
        <v>0</v>
      </c>
      <c r="AD116" s="0" t="str">
        <f aca="false">IF(AND(C115=C116,AA115=AA116-1),AB115,"")</f>
        <v/>
      </c>
      <c r="AE116" s="0" t="str">
        <f aca="false">IF(AND(C115=C116,AA115=AA116-1),AC115,"")</f>
        <v/>
      </c>
      <c r="AF116" s="0" t="str">
        <f aca="false">IF(AA116=1,"",IF(AND(AB116=1,AD116&lt;&gt;1),1,0))</f>
        <v/>
      </c>
      <c r="AG116" s="0" t="str">
        <f aca="false">IF(AA116=1,"",IF(AND(AC116=1,AE116&lt;&gt;1),1,0))</f>
        <v/>
      </c>
      <c r="AH116" s="51" t="str">
        <f aca="false">IF(AND(E116&gt;0,AA116&lt;1,NOT(AND(C117=C116,AA117=AA116+1))),INDEX(DATAS,AA116+1),"")</f>
        <v/>
      </c>
      <c r="AI116" s="51" t="str">
        <f aca="false">IF(AND(AC116=1,AA116&lt;1),IF(AND(C117=C116,AA117=AA116+1),IF(AC117=1,"",INDEX(DATAS,AA116+1)),INDEX(DATAS,AA116+1)),"")</f>
        <v/>
      </c>
    </row>
    <row r="117" customFormat="false" ht="15" hidden="false" customHeight="false" outlineLevel="0" collapsed="false">
      <c r="A117" s="51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46" t="s">
        <v>259</v>
      </c>
      <c r="G117" s="0" t="n">
        <v>32.4</v>
      </c>
      <c r="H117" s="0" t="n">
        <v>29</v>
      </c>
      <c r="I117" s="46" t="s">
        <v>181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51" t="n">
        <v>46254</v>
      </c>
      <c r="X117" s="46" t="n">
        <f aca="false">IF(I117="Male",0,1)</f>
        <v>1</v>
      </c>
      <c r="Y117" s="46" t="n">
        <f aca="false">IF(OR(I117="DNB",I117="Dry DNB"),1,0)</f>
        <v>0</v>
      </c>
      <c r="Z117" s="46" t="n">
        <f aca="false">IF(ISNUMBER(W117),A117-W117,"")</f>
        <v>55</v>
      </c>
      <c r="AA117" s="46" t="n">
        <f aca="false">MATCH(A117,DATAS,0)</f>
        <v>1</v>
      </c>
      <c r="AB117" s="46" t="n">
        <f aca="false">IF(AND(E117&gt;0,OR(AND(B117&gt;=1,B117&lt;=6),B117=10)),1,0)</f>
        <v>1</v>
      </c>
      <c r="AC117" s="46" t="n">
        <f aca="false">IF(AND(E117&gt;0,B117=10),1,0)</f>
        <v>0</v>
      </c>
      <c r="AD117" s="0" t="str">
        <f aca="false">IF(AND(C116=C117,AA116=AA117-1),AB116,"")</f>
        <v/>
      </c>
      <c r="AE117" s="0" t="str">
        <f aca="false">IF(AND(C116=C117,AA116=AA117-1),AC116,"")</f>
        <v/>
      </c>
      <c r="AF117" s="0" t="str">
        <f aca="false">IF(AA117=1,"",IF(AND(AB117=1,AD117&lt;&gt;1),1,0))</f>
        <v/>
      </c>
      <c r="AG117" s="0" t="str">
        <f aca="false">IF(AA117=1,"",IF(AND(AC117=1,AE117&lt;&gt;1),1,0))</f>
        <v/>
      </c>
      <c r="AH117" s="51" t="str">
        <f aca="false">IF(AND(E117&gt;0,AA117&lt;1,NOT(AND(C118=C117,AA118=AA117+1))),INDEX(DATAS,AA117+1),"")</f>
        <v/>
      </c>
      <c r="AI117" s="51" t="str">
        <f aca="false">IF(AND(AC117=1,AA117&lt;1),IF(AND(C118=C117,AA118=AA117+1),IF(AC118=1,"",INDEX(DATAS,AA117+1)),INDEX(DATAS,AA117+1)),"")</f>
        <v/>
      </c>
    </row>
    <row r="118" customFormat="false" ht="15" hidden="false" customHeight="false" outlineLevel="0" collapsed="false">
      <c r="A118" s="51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46" t="s">
        <v>260</v>
      </c>
      <c r="H118" s="0" t="n">
        <v>12</v>
      </c>
      <c r="I118" s="46" t="s">
        <v>181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51" t="n">
        <v>46282</v>
      </c>
      <c r="X118" s="46" t="n">
        <f aca="false">IF(I118="Male",0,1)</f>
        <v>1</v>
      </c>
      <c r="Y118" s="46" t="n">
        <f aca="false">IF(OR(I118="DNB",I118="Dry DNB"),1,0)</f>
        <v>0</v>
      </c>
      <c r="Z118" s="46" t="n">
        <f aca="false">IF(ISNUMBER(W118),A118-W118,"")</f>
        <v>27</v>
      </c>
      <c r="AA118" s="46" t="n">
        <f aca="false">MATCH(A118,DATAS,0)</f>
        <v>1</v>
      </c>
      <c r="AB118" s="46" t="n">
        <f aca="false">IF(AND(E118&gt;0,OR(AND(B118&gt;=1,B118&lt;=6),B118=10)),1,0)</f>
        <v>1</v>
      </c>
      <c r="AC118" s="46" t="n">
        <f aca="false">IF(AND(E118&gt;0,B118=10),1,0)</f>
        <v>1</v>
      </c>
      <c r="AD118" s="0" t="str">
        <f aca="false">IF(AND(C117=C118,AA117=AA118-1),AB117,"")</f>
        <v/>
      </c>
      <c r="AE118" s="0" t="str">
        <f aca="false">IF(AND(C117=C118,AA117=AA118-1),AC117,"")</f>
        <v/>
      </c>
      <c r="AF118" s="0" t="str">
        <f aca="false">IF(AA118=1,"",IF(AND(AB118=1,AD118&lt;&gt;1),1,0))</f>
        <v/>
      </c>
      <c r="AG118" s="0" t="str">
        <f aca="false">IF(AA118=1,"",IF(AND(AC118=1,AE118&lt;&gt;1),1,0))</f>
        <v/>
      </c>
      <c r="AH118" s="51" t="str">
        <f aca="false">IF(AND(E118&gt;0,AA118&lt;1,NOT(AND(C119=C118,AA119=AA118+1))),INDEX(DATAS,AA118+1),"")</f>
        <v/>
      </c>
      <c r="AI118" s="51" t="str">
        <f aca="false">IF(AND(AC118=1,AA118&lt;1),IF(AND(C119=C118,AA119=AA118+1),IF(AC119=1,"",INDEX(DATAS,AA118+1)),INDEX(DATAS,AA118+1)),"")</f>
        <v/>
      </c>
    </row>
    <row r="119" customFormat="false" ht="15" hidden="false" customHeight="false" outlineLevel="0" collapsed="false">
      <c r="A119" s="51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46" t="s">
        <v>261</v>
      </c>
      <c r="I119" s="46" t="s">
        <v>157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51" t="n">
        <v>46233</v>
      </c>
      <c r="X119" s="46" t="n">
        <f aca="false">IF(I119="Male",0,1)</f>
        <v>1</v>
      </c>
      <c r="Y119" s="46" t="n">
        <f aca="false">IF(OR(I119="DNB",I119="Dry DNB"),1,0)</f>
        <v>0</v>
      </c>
      <c r="Z119" s="46" t="n">
        <f aca="false">IF(ISNUMBER(W119),A119-W119,"")</f>
        <v>76</v>
      </c>
      <c r="AA119" s="46" t="n">
        <f aca="false">MATCH(A119,DATAS,0)</f>
        <v>1</v>
      </c>
      <c r="AB119" s="46" t="n">
        <f aca="false">IF(AND(E119&gt;0,OR(AND(B119&gt;=1,B119&lt;=6),B119=10)),1,0)</f>
        <v>0</v>
      </c>
      <c r="AC119" s="46" t="n">
        <f aca="false">IF(AND(E119&gt;0,B119=10),1,0)</f>
        <v>0</v>
      </c>
      <c r="AD119" s="0" t="str">
        <f aca="false">IF(AND(C118=C119,AA118=AA119-1),AB118,"")</f>
        <v/>
      </c>
      <c r="AE119" s="0" t="str">
        <f aca="false">IF(AND(C118=C119,AA118=AA119-1),AC118,"")</f>
        <v/>
      </c>
      <c r="AF119" s="0" t="str">
        <f aca="false">IF(AA119=1,"",IF(AND(AB119=1,AD119&lt;&gt;1),1,0))</f>
        <v/>
      </c>
      <c r="AG119" s="0" t="str">
        <f aca="false">IF(AA119=1,"",IF(AND(AC119=1,AE119&lt;&gt;1),1,0))</f>
        <v/>
      </c>
      <c r="AH119" s="51" t="str">
        <f aca="false">IF(AND(E119&gt;0,AA119&lt;1,NOT(AND(C120=C119,AA120=AA119+1))),INDEX(DATAS,AA119+1),"")</f>
        <v/>
      </c>
      <c r="AI119" s="51" t="str">
        <f aca="false">IF(AND(AC119=1,AA119&lt;1),IF(AND(C120=C119,AA120=AA119+1),IF(AC120=1,"",INDEX(DATAS,AA119+1)),INDEX(DATAS,AA119+1)),"")</f>
        <v/>
      </c>
    </row>
    <row r="120" customFormat="false" ht="15" hidden="false" customHeight="false" outlineLevel="0" collapsed="false">
      <c r="A120" s="51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46" t="s">
        <v>262</v>
      </c>
      <c r="I120" s="46" t="s">
        <v>157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51" t="n">
        <v>46051</v>
      </c>
      <c r="X120" s="46" t="n">
        <f aca="false">IF(I120="Male",0,1)</f>
        <v>1</v>
      </c>
      <c r="Y120" s="46" t="n">
        <f aca="false">IF(OR(I120="DNB",I120="Dry DNB"),1,0)</f>
        <v>0</v>
      </c>
      <c r="Z120" s="46" t="n">
        <f aca="false">IF(ISNUMBER(W120),A120-W120,"")</f>
        <v>258</v>
      </c>
      <c r="AA120" s="46" t="n">
        <f aca="false">MATCH(A120,DATAS,0)</f>
        <v>1</v>
      </c>
      <c r="AB120" s="46" t="n">
        <f aca="false">IF(AND(E120&gt;0,OR(AND(B120&gt;=1,B120&lt;=6),B120=10)),1,0)</f>
        <v>0</v>
      </c>
      <c r="AC120" s="46" t="n">
        <f aca="false">IF(AND(E120&gt;0,B120=10),1,0)</f>
        <v>0</v>
      </c>
      <c r="AD120" s="0" t="str">
        <f aca="false">IF(AND(C119=C120,AA119=AA120-1),AB119,"")</f>
        <v/>
      </c>
      <c r="AE120" s="0" t="str">
        <f aca="false">IF(AND(C119=C120,AA119=AA120-1),AC119,"")</f>
        <v/>
      </c>
      <c r="AF120" s="0" t="str">
        <f aca="false">IF(AA120=1,"",IF(AND(AB120=1,AD120&lt;&gt;1),1,0))</f>
        <v/>
      </c>
      <c r="AG120" s="0" t="str">
        <f aca="false">IF(AA120=1,"",IF(AND(AC120=1,AE120&lt;&gt;1),1,0))</f>
        <v/>
      </c>
      <c r="AH120" s="51" t="str">
        <f aca="false">IF(AND(E120&gt;0,AA120&lt;1,NOT(AND(C121=C120,AA121=AA120+1))),INDEX(DATAS,AA120+1),"")</f>
        <v/>
      </c>
      <c r="AI120" s="51" t="str">
        <f aca="false">IF(AND(AC120=1,AA120&lt;1),IF(AND(C121=C120,AA121=AA120+1),IF(AC121=1,"",INDEX(DATAS,AA120+1)),INDEX(DATAS,AA120+1)),"")</f>
        <v/>
      </c>
    </row>
    <row r="121" customFormat="false" ht="15" hidden="false" customHeight="false" outlineLevel="0" collapsed="false">
      <c r="A121" s="51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46" t="s">
        <v>262</v>
      </c>
      <c r="G121" s="0" t="n">
        <v>51.9</v>
      </c>
      <c r="H121" s="0" t="n">
        <v>48</v>
      </c>
      <c r="I121" s="46" t="s">
        <v>181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51" t="n">
        <v>46296</v>
      </c>
      <c r="X121" s="46" t="n">
        <f aca="false">IF(I121="Male",0,1)</f>
        <v>1</v>
      </c>
      <c r="Y121" s="46" t="n">
        <f aca="false">IF(OR(I121="DNB",I121="Dry DNB"),1,0)</f>
        <v>0</v>
      </c>
      <c r="Z121" s="46" t="n">
        <f aca="false">IF(ISNUMBER(W121),A121-W121,"")</f>
        <v>13</v>
      </c>
      <c r="AA121" s="46" t="n">
        <f aca="false">MATCH(A121,DATAS,0)</f>
        <v>1</v>
      </c>
      <c r="AB121" s="46" t="n">
        <f aca="false">IF(AND(E121&gt;0,OR(AND(B121&gt;=1,B121&lt;=6),B121=10)),1,0)</f>
        <v>1</v>
      </c>
      <c r="AC121" s="46" t="n">
        <f aca="false">IF(AND(E121&gt;0,B121=10),1,0)</f>
        <v>0</v>
      </c>
      <c r="AD121" s="0" t="str">
        <f aca="false">IF(AND(C120=C121,AA120=AA121-1),AB120,"")</f>
        <v/>
      </c>
      <c r="AE121" s="0" t="str">
        <f aca="false">IF(AND(C120=C121,AA120=AA121-1),AC120,"")</f>
        <v/>
      </c>
      <c r="AF121" s="0" t="str">
        <f aca="false">IF(AA121=1,"",IF(AND(AB121=1,AD121&lt;&gt;1),1,0))</f>
        <v/>
      </c>
      <c r="AG121" s="0" t="str">
        <f aca="false">IF(AA121=1,"",IF(AND(AC121=1,AE121&lt;&gt;1),1,0))</f>
        <v/>
      </c>
      <c r="AH121" s="51" t="str">
        <f aca="false">IF(AND(E121&gt;0,AA121&lt;1,NOT(AND(C122=C121,AA122=AA121+1))),INDEX(DATAS,AA121+1),"")</f>
        <v/>
      </c>
      <c r="AI121" s="51" t="str">
        <f aca="false">IF(AND(AC121=1,AA121&lt;1),IF(AND(C122=C121,AA122=AA121+1),IF(AC122=1,"",INDEX(DATAS,AA121+1)),INDEX(DATAS,AA121+1)),"")</f>
        <v/>
      </c>
    </row>
    <row r="122" customFormat="false" ht="15" hidden="false" customHeight="false" outlineLevel="0" collapsed="false">
      <c r="A122" s="51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46" t="s">
        <v>263</v>
      </c>
      <c r="G122" s="0" t="n">
        <v>55.5</v>
      </c>
      <c r="H122" s="0" t="n">
        <v>55</v>
      </c>
      <c r="I122" s="46" t="s">
        <v>181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51" t="n">
        <v>46289</v>
      </c>
      <c r="X122" s="46" t="n">
        <f aca="false">IF(I122="Male",0,1)</f>
        <v>1</v>
      </c>
      <c r="Y122" s="46" t="n">
        <f aca="false">IF(OR(I122="DNB",I122="Dry DNB"),1,0)</f>
        <v>0</v>
      </c>
      <c r="Z122" s="46" t="n">
        <f aca="false">IF(ISNUMBER(W122),A122-W122,"")</f>
        <v>20</v>
      </c>
      <c r="AA122" s="46" t="n">
        <f aca="false">MATCH(A122,DATAS,0)</f>
        <v>1</v>
      </c>
      <c r="AB122" s="46" t="n">
        <f aca="false">IF(AND(E122&gt;0,OR(AND(B122&gt;=1,B122&lt;=6),B122=10)),1,0)</f>
        <v>1</v>
      </c>
      <c r="AC122" s="46" t="n">
        <f aca="false">IF(AND(E122&gt;0,B122=10),1,0)</f>
        <v>0</v>
      </c>
      <c r="AD122" s="0" t="str">
        <f aca="false">IF(AND(C121=C122,AA121=AA122-1),AB121,"")</f>
        <v/>
      </c>
      <c r="AE122" s="0" t="str">
        <f aca="false">IF(AND(C121=C122,AA121=AA122-1),AC121,"")</f>
        <v/>
      </c>
      <c r="AF122" s="0" t="str">
        <f aca="false">IF(AA122=1,"",IF(AND(AB122=1,AD122&lt;&gt;1),1,0))</f>
        <v/>
      </c>
      <c r="AG122" s="0" t="str">
        <f aca="false">IF(AA122=1,"",IF(AND(AC122=1,AE122&lt;&gt;1),1,0))</f>
        <v/>
      </c>
      <c r="AH122" s="51" t="str">
        <f aca="false">IF(AND(E122&gt;0,AA122&lt;1,NOT(AND(C123=C122,AA123=AA122+1))),INDEX(DATAS,AA122+1),"")</f>
        <v/>
      </c>
      <c r="AI122" s="51" t="str">
        <f aca="false">IF(AND(AC122=1,AA122&lt;1),IF(AND(C123=C122,AA123=AA122+1),IF(AC123=1,"",INDEX(DATAS,AA122+1)),INDEX(DATAS,AA122+1)),"")</f>
        <v/>
      </c>
    </row>
    <row r="123" customFormat="false" ht="15" hidden="false" customHeight="false" outlineLevel="0" collapsed="false">
      <c r="A123" s="51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46" t="s">
        <v>263</v>
      </c>
      <c r="I123" s="46" t="s">
        <v>157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51" t="n">
        <v>46149</v>
      </c>
      <c r="X123" s="46" t="n">
        <f aca="false">IF(I123="Male",0,1)</f>
        <v>1</v>
      </c>
      <c r="Y123" s="46" t="n">
        <f aca="false">IF(OR(I123="DNB",I123="Dry DNB"),1,0)</f>
        <v>0</v>
      </c>
      <c r="Z123" s="46" t="n">
        <f aca="false">IF(ISNUMBER(W123),A123-W123,"")</f>
        <v>160</v>
      </c>
      <c r="AA123" s="46" t="n">
        <f aca="false">MATCH(A123,DATAS,0)</f>
        <v>1</v>
      </c>
      <c r="AB123" s="46" t="n">
        <f aca="false">IF(AND(E123&gt;0,OR(AND(B123&gt;=1,B123&lt;=6),B123=10)),1,0)</f>
        <v>0</v>
      </c>
      <c r="AC123" s="46" t="n">
        <f aca="false">IF(AND(E123&gt;0,B123=10),1,0)</f>
        <v>0</v>
      </c>
      <c r="AD123" s="0" t="str">
        <f aca="false">IF(AND(C122=C123,AA122=AA123-1),AB122,"")</f>
        <v/>
      </c>
      <c r="AE123" s="0" t="str">
        <f aca="false">IF(AND(C122=C123,AA122=AA123-1),AC122,"")</f>
        <v/>
      </c>
      <c r="AF123" s="0" t="str">
        <f aca="false">IF(AA123=1,"",IF(AND(AB123=1,AD123&lt;&gt;1),1,0))</f>
        <v/>
      </c>
      <c r="AG123" s="0" t="str">
        <f aca="false">IF(AA123=1,"",IF(AND(AC123=1,AE123&lt;&gt;1),1,0))</f>
        <v/>
      </c>
      <c r="AH123" s="51" t="str">
        <f aca="false">IF(AND(E123&gt;0,AA123&lt;1,NOT(AND(C124=C123,AA124=AA123+1))),INDEX(DATAS,AA123+1),"")</f>
        <v/>
      </c>
      <c r="AI123" s="51" t="str">
        <f aca="false">IF(AND(AC123=1,AA123&lt;1),IF(AND(C124=C123,AA124=AA123+1),IF(AC124=1,"",INDEX(DATAS,AA123+1)),INDEX(DATAS,AA123+1)),"")</f>
        <v/>
      </c>
    </row>
    <row r="124" customFormat="false" ht="15" hidden="false" customHeight="false" outlineLevel="0" collapsed="false">
      <c r="A124" s="51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46" t="s">
        <v>264</v>
      </c>
      <c r="G124" s="0" t="n">
        <v>22</v>
      </c>
      <c r="H124" s="0" t="n">
        <v>24</v>
      </c>
      <c r="I124" s="46" t="s">
        <v>152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51" t="n">
        <v>46226</v>
      </c>
      <c r="X124" s="46" t="n">
        <f aca="false">IF(I124="Male",0,1)</f>
        <v>1</v>
      </c>
      <c r="Y124" s="46" t="n">
        <f aca="false">IF(OR(I124="DNB",I124="Dry DNB"),1,0)</f>
        <v>0</v>
      </c>
      <c r="Z124" s="46" t="n">
        <f aca="false">IF(ISNUMBER(W124),A124-W124,"")</f>
        <v>83</v>
      </c>
      <c r="AA124" s="46" t="n">
        <f aca="false">MATCH(A124,DATAS,0)</f>
        <v>1</v>
      </c>
      <c r="AB124" s="46" t="n">
        <f aca="false">IF(AND(E124&gt;0,OR(AND(B124&gt;=1,B124&lt;=6),B124=10)),1,0)</f>
        <v>1</v>
      </c>
      <c r="AC124" s="46" t="n">
        <f aca="false">IF(AND(E124&gt;0,B124=10),1,0)</f>
        <v>0</v>
      </c>
      <c r="AD124" s="0" t="str">
        <f aca="false">IF(AND(C123=C124,AA123=AA124-1),AB123,"")</f>
        <v/>
      </c>
      <c r="AE124" s="0" t="str">
        <f aca="false">IF(AND(C123=C124,AA123=AA124-1),AC123,"")</f>
        <v/>
      </c>
      <c r="AF124" s="0" t="str">
        <f aca="false">IF(AA124=1,"",IF(AND(AB124=1,AD124&lt;&gt;1),1,0))</f>
        <v/>
      </c>
      <c r="AG124" s="0" t="str">
        <f aca="false">IF(AA124=1,"",IF(AND(AC124=1,AE124&lt;&gt;1),1,0))</f>
        <v/>
      </c>
      <c r="AH124" s="51" t="str">
        <f aca="false">IF(AND(E124&gt;0,AA124&lt;1,NOT(AND(C125=C124,AA125=AA124+1))),INDEX(DATAS,AA124+1),"")</f>
        <v/>
      </c>
      <c r="AI124" s="51" t="str">
        <f aca="false">IF(AND(AC124=1,AA124&lt;1),IF(AND(C125=C124,AA125=AA124+1),IF(AC125=1,"",INDEX(DATAS,AA124+1)),INDEX(DATAS,AA124+1)),"")</f>
        <v/>
      </c>
    </row>
    <row r="125" customFormat="false" ht="15" hidden="false" customHeight="false" outlineLevel="0" collapsed="false">
      <c r="A125" s="51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46" t="s">
        <v>265</v>
      </c>
      <c r="G125" s="0" t="n">
        <v>30.1</v>
      </c>
      <c r="H125" s="0" t="n">
        <v>28</v>
      </c>
      <c r="I125" s="46" t="s">
        <v>181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51" t="n">
        <v>46282</v>
      </c>
      <c r="X125" s="46" t="n">
        <f aca="false">IF(I125="Male",0,1)</f>
        <v>1</v>
      </c>
      <c r="Y125" s="46" t="n">
        <f aca="false">IF(OR(I125="DNB",I125="Dry DNB"),1,0)</f>
        <v>0</v>
      </c>
      <c r="Z125" s="46" t="n">
        <f aca="false">IF(ISNUMBER(W125),A125-W125,"")</f>
        <v>27</v>
      </c>
      <c r="AA125" s="46" t="n">
        <f aca="false">MATCH(A125,DATAS,0)</f>
        <v>1</v>
      </c>
      <c r="AB125" s="46" t="n">
        <f aca="false">IF(AND(E125&gt;0,OR(AND(B125&gt;=1,B125&lt;=6),B125=10)),1,0)</f>
        <v>1</v>
      </c>
      <c r="AC125" s="46" t="n">
        <f aca="false">IF(AND(E125&gt;0,B125=10),1,0)</f>
        <v>0</v>
      </c>
      <c r="AD125" s="0" t="str">
        <f aca="false">IF(AND(C124=C125,AA124=AA125-1),AB124,"")</f>
        <v/>
      </c>
      <c r="AE125" s="0" t="str">
        <f aca="false">IF(AND(C124=C125,AA124=AA125-1),AC124,"")</f>
        <v/>
      </c>
      <c r="AF125" s="0" t="str">
        <f aca="false">IF(AA125=1,"",IF(AND(AB125=1,AD125&lt;&gt;1),1,0))</f>
        <v/>
      </c>
      <c r="AG125" s="0" t="str">
        <f aca="false">IF(AA125=1,"",IF(AND(AC125=1,AE125&lt;&gt;1),1,0))</f>
        <v/>
      </c>
      <c r="AH125" s="51" t="str">
        <f aca="false">IF(AND(E125&gt;0,AA125&lt;1,NOT(AND(C126=C125,AA126=AA125+1))),INDEX(DATAS,AA125+1),"")</f>
        <v/>
      </c>
      <c r="AI125" s="51" t="str">
        <f aca="false">IF(AND(AC125=1,AA125&lt;1),IF(AND(C126=C125,AA126=AA125+1),IF(AC126=1,"",INDEX(DATAS,AA125+1)),INDEX(DATAS,AA125+1)),"")</f>
        <v/>
      </c>
    </row>
    <row r="126" customFormat="false" ht="15" hidden="false" customHeight="false" outlineLevel="0" collapsed="false">
      <c r="A126" s="51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46" t="s">
        <v>266</v>
      </c>
      <c r="G126" s="0" t="n">
        <v>34.9</v>
      </c>
      <c r="H126" s="0" t="n">
        <v>24</v>
      </c>
      <c r="I126" s="46" t="s">
        <v>161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X126" s="46" t="n">
        <f aca="false">IF(I126="Male",0,1)</f>
        <v>1</v>
      </c>
      <c r="Y126" s="46" t="n">
        <f aca="false">IF(OR(I126="DNB",I126="Dry DNB"),1,0)</f>
        <v>0</v>
      </c>
      <c r="Z126" s="0" t="str">
        <f aca="false">IF(ISNUMBER(W126),A126-W126,"")</f>
        <v/>
      </c>
      <c r="AA126" s="46" t="n">
        <f aca="false">MATCH(A126,DATAS,0)</f>
        <v>1</v>
      </c>
      <c r="AB126" s="46" t="n">
        <f aca="false">IF(AND(E126&gt;0,OR(AND(B126&gt;=1,B126&lt;=6),B126=10)),1,0)</f>
        <v>1</v>
      </c>
      <c r="AC126" s="46" t="n">
        <f aca="false">IF(AND(E126&gt;0,B126=10),1,0)</f>
        <v>0</v>
      </c>
      <c r="AD126" s="0" t="str">
        <f aca="false">IF(AND(C125=C126,AA125=AA126-1),AB125,"")</f>
        <v/>
      </c>
      <c r="AE126" s="0" t="str">
        <f aca="false">IF(AND(C125=C126,AA125=AA126-1),AC125,"")</f>
        <v/>
      </c>
      <c r="AF126" s="0" t="str">
        <f aca="false">IF(AA126=1,"",IF(AND(AB126=1,AD126&lt;&gt;1),1,0))</f>
        <v/>
      </c>
      <c r="AG126" s="0" t="str">
        <f aca="false">IF(AA126=1,"",IF(AND(AC126=1,AE126&lt;&gt;1),1,0))</f>
        <v/>
      </c>
      <c r="AH126" s="51" t="str">
        <f aca="false">IF(AND(E126&gt;0,AA126&lt;1,NOT(AND(C127=C126,AA127=AA126+1))),INDEX(DATAS,AA126+1),"")</f>
        <v/>
      </c>
      <c r="AI126" s="51" t="str">
        <f aca="false">IF(AND(AC126=1,AA126&lt;1),IF(AND(C127=C126,AA127=AA126+1),IF(AC127=1,"",INDEX(DATAS,AA126+1)),INDEX(DATAS,AA126+1)),"")</f>
        <v/>
      </c>
    </row>
    <row r="127" customFormat="false" ht="15" hidden="false" customHeight="false" outlineLevel="0" collapsed="false">
      <c r="A127" s="51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46" t="s">
        <v>267</v>
      </c>
      <c r="G127" s="0" t="n">
        <v>44.4</v>
      </c>
      <c r="H127" s="0" t="n">
        <v>41</v>
      </c>
      <c r="I127" s="46" t="s">
        <v>152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51" t="n">
        <v>46135</v>
      </c>
      <c r="X127" s="46" t="n">
        <f aca="false">IF(I127="Male",0,1)</f>
        <v>1</v>
      </c>
      <c r="Y127" s="46" t="n">
        <f aca="false">IF(OR(I127="DNB",I127="Dry DNB"),1,0)</f>
        <v>0</v>
      </c>
      <c r="Z127" s="46" t="n">
        <f aca="false">IF(ISNUMBER(W127),A127-W127,"")</f>
        <v>174</v>
      </c>
      <c r="AA127" s="46" t="n">
        <f aca="false">MATCH(A127,DATAS,0)</f>
        <v>1</v>
      </c>
      <c r="AB127" s="46" t="n">
        <f aca="false">IF(AND(E127&gt;0,OR(AND(B127&gt;=1,B127&lt;=6),B127=10)),1,0)</f>
        <v>1</v>
      </c>
      <c r="AC127" s="46" t="n">
        <f aca="false">IF(AND(E127&gt;0,B127=10),1,0)</f>
        <v>0</v>
      </c>
      <c r="AD127" s="0" t="str">
        <f aca="false">IF(AND(C126=C127,AA126=AA127-1),AB126,"")</f>
        <v/>
      </c>
      <c r="AE127" s="0" t="str">
        <f aca="false">IF(AND(C126=C127,AA126=AA127-1),AC126,"")</f>
        <v/>
      </c>
      <c r="AF127" s="0" t="str">
        <f aca="false">IF(AA127=1,"",IF(AND(AB127=1,AD127&lt;&gt;1),1,0))</f>
        <v/>
      </c>
      <c r="AG127" s="0" t="str">
        <f aca="false">IF(AA127=1,"",IF(AND(AC127=1,AE127&lt;&gt;1),1,0))</f>
        <v/>
      </c>
      <c r="AH127" s="51" t="str">
        <f aca="false">IF(AND(E127&gt;0,AA127&lt;1,NOT(AND(C128=C127,AA128=AA127+1))),INDEX(DATAS,AA127+1),"")</f>
        <v/>
      </c>
      <c r="AI127" s="51" t="str">
        <f aca="false">IF(AND(AC127=1,AA127&lt;1),IF(AND(C128=C127,AA128=AA127+1),IF(AC128=1,"",INDEX(DATAS,AA127+1)),INDEX(DATAS,AA127+1)),"")</f>
        <v/>
      </c>
    </row>
    <row r="128" customFormat="false" ht="15" hidden="false" customHeight="false" outlineLevel="0" collapsed="false">
      <c r="A128" s="51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46" t="s">
        <v>268</v>
      </c>
      <c r="I128" s="46" t="s">
        <v>157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51" t="n">
        <v>46051</v>
      </c>
      <c r="X128" s="46" t="n">
        <f aca="false">IF(I128="Male",0,1)</f>
        <v>1</v>
      </c>
      <c r="Y128" s="46" t="n">
        <f aca="false">IF(OR(I128="DNB",I128="Dry DNB"),1,0)</f>
        <v>0</v>
      </c>
      <c r="Z128" s="46" t="n">
        <f aca="false">IF(ISNUMBER(W128),A128-W128,"")</f>
        <v>258</v>
      </c>
      <c r="AA128" s="46" t="n">
        <f aca="false">MATCH(A128,DATAS,0)</f>
        <v>1</v>
      </c>
      <c r="AB128" s="46" t="n">
        <f aca="false">IF(AND(E128&gt;0,OR(AND(B128&gt;=1,B128&lt;=6),B128=10)),1,0)</f>
        <v>0</v>
      </c>
      <c r="AC128" s="46" t="n">
        <f aca="false">IF(AND(E128&gt;0,B128=10),1,0)</f>
        <v>0</v>
      </c>
      <c r="AD128" s="0" t="str">
        <f aca="false">IF(AND(C127=C128,AA127=AA128-1),AB127,"")</f>
        <v/>
      </c>
      <c r="AE128" s="0" t="str">
        <f aca="false">IF(AND(C127=C128,AA127=AA128-1),AC127,"")</f>
        <v/>
      </c>
      <c r="AF128" s="0" t="str">
        <f aca="false">IF(AA128=1,"",IF(AND(AB128=1,AD128&lt;&gt;1),1,0))</f>
        <v/>
      </c>
      <c r="AG128" s="0" t="str">
        <f aca="false">IF(AA128=1,"",IF(AND(AC128=1,AE128&lt;&gt;1),1,0))</f>
        <v/>
      </c>
      <c r="AH128" s="51" t="str">
        <f aca="false">IF(AND(E128&gt;0,AA128&lt;1,NOT(AND(C129=C128,AA129=AA128+1))),INDEX(DATAS,AA128+1),"")</f>
        <v/>
      </c>
      <c r="AI128" s="51" t="str">
        <f aca="false">IF(AND(AC128=1,AA128&lt;1),IF(AND(C129=C128,AA129=AA128+1),IF(AC129=1,"",INDEX(DATAS,AA128+1)),INDEX(DATAS,AA128+1)),"")</f>
        <v/>
      </c>
    </row>
    <row r="129" customFormat="false" ht="15" hidden="false" customHeight="false" outlineLevel="0" collapsed="false">
      <c r="A129" s="51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46" t="s">
        <v>269</v>
      </c>
      <c r="G129" s="0" t="n">
        <v>37.2</v>
      </c>
      <c r="H129" s="0" t="n">
        <v>37</v>
      </c>
      <c r="I129" s="46" t="s">
        <v>181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51" t="n">
        <v>46303</v>
      </c>
      <c r="X129" s="46" t="n">
        <f aca="false">IF(I129="Male",0,1)</f>
        <v>1</v>
      </c>
      <c r="Y129" s="46" t="n">
        <f aca="false">IF(OR(I129="DNB",I129="Dry DNB"),1,0)</f>
        <v>0</v>
      </c>
      <c r="Z129" s="46" t="n">
        <f aca="false">IF(ISNUMBER(W129),A129-W129,"")</f>
        <v>6</v>
      </c>
      <c r="AA129" s="46" t="n">
        <f aca="false">MATCH(A129,DATAS,0)</f>
        <v>1</v>
      </c>
      <c r="AB129" s="46" t="n">
        <f aca="false">IF(AND(E129&gt;0,OR(AND(B129&gt;=1,B129&lt;=6),B129=10)),1,0)</f>
        <v>1</v>
      </c>
      <c r="AC129" s="46" t="n">
        <f aca="false">IF(AND(E129&gt;0,B129=10),1,0)</f>
        <v>0</v>
      </c>
      <c r="AD129" s="0" t="str">
        <f aca="false">IF(AND(C128=C129,AA128=AA129-1),AB128,"")</f>
        <v/>
      </c>
      <c r="AE129" s="0" t="str">
        <f aca="false">IF(AND(C128=C129,AA128=AA129-1),AC128,"")</f>
        <v/>
      </c>
      <c r="AF129" s="0" t="str">
        <f aca="false">IF(AA129=1,"",IF(AND(AB129=1,AD129&lt;&gt;1),1,0))</f>
        <v/>
      </c>
      <c r="AG129" s="0" t="str">
        <f aca="false">IF(AA129=1,"",IF(AND(AC129=1,AE129&lt;&gt;1),1,0))</f>
        <v/>
      </c>
      <c r="AH129" s="51" t="str">
        <f aca="false">IF(AND(E129&gt;0,AA129&lt;1,NOT(AND(C130=C129,AA130=AA129+1))),INDEX(DATAS,AA129+1),"")</f>
        <v/>
      </c>
      <c r="AI129" s="51" t="str">
        <f aca="false">IF(AND(AC129=1,AA129&lt;1),IF(AND(C130=C129,AA130=AA129+1),IF(AC130=1,"",INDEX(DATAS,AA129+1)),INDEX(DATAS,AA129+1)),"")</f>
        <v/>
      </c>
    </row>
    <row r="130" customFormat="false" ht="15" hidden="false" customHeight="false" outlineLevel="0" collapsed="false">
      <c r="A130" s="51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46" t="s">
        <v>270</v>
      </c>
      <c r="I130" s="46" t="s">
        <v>157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51" t="n">
        <v>46051</v>
      </c>
      <c r="X130" s="46" t="n">
        <f aca="false">IF(I130="Male",0,1)</f>
        <v>1</v>
      </c>
      <c r="Y130" s="46" t="n">
        <f aca="false">IF(OR(I130="DNB",I130="Dry DNB"),1,0)</f>
        <v>0</v>
      </c>
      <c r="Z130" s="46" t="n">
        <f aca="false">IF(ISNUMBER(W130),A130-W130,"")</f>
        <v>258</v>
      </c>
      <c r="AA130" s="46" t="n">
        <f aca="false">MATCH(A130,DATAS,0)</f>
        <v>1</v>
      </c>
      <c r="AB130" s="46" t="n">
        <f aca="false">IF(AND(E130&gt;0,OR(AND(B130&gt;=1,B130&lt;=6),B130=10)),1,0)</f>
        <v>0</v>
      </c>
      <c r="AC130" s="46" t="n">
        <f aca="false">IF(AND(E130&gt;0,B130=10),1,0)</f>
        <v>0</v>
      </c>
      <c r="AD130" s="0" t="str">
        <f aca="false">IF(AND(C129=C130,AA129=AA130-1),AB129,"")</f>
        <v/>
      </c>
      <c r="AE130" s="0" t="str">
        <f aca="false">IF(AND(C129=C130,AA129=AA130-1),AC129,"")</f>
        <v/>
      </c>
      <c r="AF130" s="0" t="str">
        <f aca="false">IF(AA130=1,"",IF(AND(AB130=1,AD130&lt;&gt;1),1,0))</f>
        <v/>
      </c>
      <c r="AG130" s="0" t="str">
        <f aca="false">IF(AA130=1,"",IF(AND(AC130=1,AE130&lt;&gt;1),1,0))</f>
        <v/>
      </c>
      <c r="AH130" s="51" t="str">
        <f aca="false">IF(AND(E130&gt;0,AA130&lt;1,NOT(AND(C131=C130,AA131=AA130+1))),INDEX(DATAS,AA130+1),"")</f>
        <v/>
      </c>
      <c r="AI130" s="51" t="str">
        <f aca="false">IF(AND(AC130=1,AA130&lt;1),IF(AND(C131=C130,AA131=AA130+1),IF(AC131=1,"",INDEX(DATAS,AA130+1)),INDEX(DATAS,AA130+1)),"")</f>
        <v/>
      </c>
    </row>
    <row r="131" customFormat="false" ht="15" hidden="false" customHeight="false" outlineLevel="0" collapsed="false">
      <c r="A131" s="51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46" t="s">
        <v>271</v>
      </c>
      <c r="H131" s="0" t="n">
        <v>10</v>
      </c>
      <c r="I131" s="46" t="s">
        <v>161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X131" s="46" t="n">
        <f aca="false">IF(I131="Male",0,1)</f>
        <v>1</v>
      </c>
      <c r="Y131" s="46" t="n">
        <f aca="false">IF(OR(I131="DNB",I131="Dry DNB"),1,0)</f>
        <v>0</v>
      </c>
      <c r="Z131" s="0" t="str">
        <f aca="false">IF(ISNUMBER(W131),A131-W131,"")</f>
        <v/>
      </c>
      <c r="AA131" s="46" t="n">
        <f aca="false">MATCH(A131,DATAS,0)</f>
        <v>1</v>
      </c>
      <c r="AB131" s="46" t="n">
        <f aca="false">IF(AND(E131&gt;0,OR(AND(B131&gt;=1,B131&lt;=6),B131=10)),1,0)</f>
        <v>1</v>
      </c>
      <c r="AC131" s="46" t="n">
        <f aca="false">IF(AND(E131&gt;0,B131=10),1,0)</f>
        <v>0</v>
      </c>
      <c r="AD131" s="0" t="str">
        <f aca="false">IF(AND(C130=C131,AA130=AA131-1),AB130,"")</f>
        <v/>
      </c>
      <c r="AE131" s="0" t="str">
        <f aca="false">IF(AND(C130=C131,AA130=AA131-1),AC130,"")</f>
        <v/>
      </c>
      <c r="AF131" s="0" t="str">
        <f aca="false">IF(AA131=1,"",IF(AND(AB131=1,AD131&lt;&gt;1),1,0))</f>
        <v/>
      </c>
      <c r="AG131" s="0" t="str">
        <f aca="false">IF(AA131=1,"",IF(AND(AC131=1,AE131&lt;&gt;1),1,0))</f>
        <v/>
      </c>
      <c r="AH131" s="51" t="str">
        <f aca="false">IF(AND(E131&gt;0,AA131&lt;1,NOT(AND(C132=C131,AA132=AA131+1))),INDEX(DATAS,AA131+1),"")</f>
        <v/>
      </c>
      <c r="AI131" s="51" t="str">
        <f aca="false">IF(AND(AC131=1,AA131&lt;1),IF(AND(C132=C131,AA132=AA131+1),IF(AC132=1,"",INDEX(DATAS,AA131+1)),INDEX(DATAS,AA131+1)),"")</f>
        <v/>
      </c>
    </row>
    <row r="132" customFormat="false" ht="15" hidden="false" customHeight="false" outlineLevel="0" collapsed="false">
      <c r="A132" s="51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46" t="s">
        <v>272</v>
      </c>
      <c r="G132" s="0" t="n">
        <v>74.4</v>
      </c>
      <c r="H132" s="0" t="n">
        <v>71</v>
      </c>
      <c r="I132" s="46" t="s">
        <v>161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X132" s="46" t="n">
        <f aca="false">IF(I132="Male",0,1)</f>
        <v>1</v>
      </c>
      <c r="Y132" s="46" t="n">
        <f aca="false">IF(OR(I132="DNB",I132="Dry DNB"),1,0)</f>
        <v>0</v>
      </c>
      <c r="Z132" s="0" t="str">
        <f aca="false">IF(ISNUMBER(W132),A132-W132,"")</f>
        <v/>
      </c>
      <c r="AA132" s="46" t="n">
        <f aca="false">MATCH(A132,DATAS,0)</f>
        <v>1</v>
      </c>
      <c r="AB132" s="46" t="n">
        <f aca="false">IF(AND(E132&gt;0,OR(AND(B132&gt;=1,B132&lt;=6),B132=10)),1,0)</f>
        <v>1</v>
      </c>
      <c r="AC132" s="46" t="n">
        <f aca="false">IF(AND(E132&gt;0,B132=10),1,0)</f>
        <v>0</v>
      </c>
      <c r="AD132" s="0" t="str">
        <f aca="false">IF(AND(C131=C132,AA131=AA132-1),AB131,"")</f>
        <v/>
      </c>
      <c r="AE132" s="0" t="str">
        <f aca="false">IF(AND(C131=C132,AA131=AA132-1),AC131,"")</f>
        <v/>
      </c>
      <c r="AF132" s="0" t="str">
        <f aca="false">IF(AA132=1,"",IF(AND(AB132=1,AD132&lt;&gt;1),1,0))</f>
        <v/>
      </c>
      <c r="AG132" s="0" t="str">
        <f aca="false">IF(AA132=1,"",IF(AND(AC132=1,AE132&lt;&gt;1),1,0))</f>
        <v/>
      </c>
      <c r="AH132" s="51" t="str">
        <f aca="false">IF(AND(E132&gt;0,AA132&lt;1,NOT(AND(C133=C132,AA133=AA132+1))),INDEX(DATAS,AA132+1),"")</f>
        <v/>
      </c>
      <c r="AI132" s="51" t="str">
        <f aca="false">IF(AND(AC132=1,AA132&lt;1),IF(AND(C133=C132,AA133=AA132+1),IF(AC133=1,"",INDEX(DATAS,AA132+1)),INDEX(DATAS,AA132+1)),"")</f>
        <v/>
      </c>
    </row>
    <row r="133" customFormat="false" ht="15" hidden="false" customHeight="false" outlineLevel="0" collapsed="false">
      <c r="A133" s="51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46" t="s">
        <v>273</v>
      </c>
      <c r="G133" s="0" t="n">
        <v>73.3</v>
      </c>
      <c r="H133" s="0" t="n">
        <v>77</v>
      </c>
      <c r="I133" s="46" t="s">
        <v>189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51" t="n">
        <v>46275</v>
      </c>
      <c r="X133" s="46" t="n">
        <f aca="false">IF(I133="Male",0,1)</f>
        <v>1</v>
      </c>
      <c r="Y133" s="46" t="n">
        <f aca="false">IF(OR(I133="DNB",I133="Dry DNB"),1,0)</f>
        <v>0</v>
      </c>
      <c r="Z133" s="46" t="n">
        <f aca="false">IF(ISNUMBER(W133),A133-W133,"")</f>
        <v>34</v>
      </c>
      <c r="AA133" s="46" t="n">
        <f aca="false">MATCH(A133,DATAS,0)</f>
        <v>1</v>
      </c>
      <c r="AB133" s="46" t="n">
        <f aca="false">IF(AND(E133&gt;0,OR(AND(B133&gt;=1,B133&lt;=6),B133=10)),1,0)</f>
        <v>1</v>
      </c>
      <c r="AC133" s="46" t="n">
        <f aca="false">IF(AND(E133&gt;0,B133=10),1,0)</f>
        <v>0</v>
      </c>
      <c r="AD133" s="0" t="str">
        <f aca="false">IF(AND(C132=C133,AA132=AA133-1),AB132,"")</f>
        <v/>
      </c>
      <c r="AE133" s="0" t="str">
        <f aca="false">IF(AND(C132=C133,AA132=AA133-1),AC132,"")</f>
        <v/>
      </c>
      <c r="AF133" s="0" t="str">
        <f aca="false">IF(AA133=1,"",IF(AND(AB133=1,AD133&lt;&gt;1),1,0))</f>
        <v/>
      </c>
      <c r="AG133" s="0" t="str">
        <f aca="false">IF(AA133=1,"",IF(AND(AC133=1,AE133&lt;&gt;1),1,0))</f>
        <v/>
      </c>
      <c r="AH133" s="51" t="str">
        <f aca="false">IF(AND(E133&gt;0,AA133&lt;1,NOT(AND(C134=C133,AA134=AA133+1))),INDEX(DATAS,AA133+1),"")</f>
        <v/>
      </c>
      <c r="AI133" s="51" t="str">
        <f aca="false">IF(AND(AC133=1,AA133&lt;1),IF(AND(C134=C133,AA134=AA133+1),IF(AC134=1,"",INDEX(DATAS,AA133+1)),INDEX(DATAS,AA133+1)),"")</f>
        <v/>
      </c>
    </row>
    <row r="134" customFormat="false" ht="15" hidden="false" customHeight="false" outlineLevel="0" collapsed="false">
      <c r="A134" s="51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46" t="s">
        <v>274</v>
      </c>
      <c r="G134" s="0" t="n">
        <v>44.4</v>
      </c>
      <c r="H134" s="0" t="n">
        <v>45</v>
      </c>
      <c r="I134" s="46" t="s">
        <v>152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51" t="n">
        <v>46100</v>
      </c>
      <c r="X134" s="46" t="n">
        <f aca="false">IF(I134="Male",0,1)</f>
        <v>1</v>
      </c>
      <c r="Y134" s="46" t="n">
        <f aca="false">IF(OR(I134="DNB",I134="Dry DNB"),1,0)</f>
        <v>0</v>
      </c>
      <c r="Z134" s="46" t="n">
        <f aca="false">IF(ISNUMBER(W134),A134-W134,"")</f>
        <v>209</v>
      </c>
      <c r="AA134" s="46" t="n">
        <f aca="false">MATCH(A134,DATAS,0)</f>
        <v>1</v>
      </c>
      <c r="AB134" s="46" t="n">
        <f aca="false">IF(AND(E134&gt;0,OR(AND(B134&gt;=1,B134&lt;=6),B134=10)),1,0)</f>
        <v>1</v>
      </c>
      <c r="AC134" s="46" t="n">
        <f aca="false">IF(AND(E134&gt;0,B134=10),1,0)</f>
        <v>0</v>
      </c>
      <c r="AD134" s="0" t="str">
        <f aca="false">IF(AND(C133=C134,AA133=AA134-1),AB133,"")</f>
        <v/>
      </c>
      <c r="AE134" s="0" t="str">
        <f aca="false">IF(AND(C133=C134,AA133=AA134-1),AC133,"")</f>
        <v/>
      </c>
      <c r="AF134" s="0" t="str">
        <f aca="false">IF(AA134=1,"",IF(AND(AB134=1,AD134&lt;&gt;1),1,0))</f>
        <v/>
      </c>
      <c r="AG134" s="0" t="str">
        <f aca="false">IF(AA134=1,"",IF(AND(AC134=1,AE134&lt;&gt;1),1,0))</f>
        <v/>
      </c>
      <c r="AH134" s="51" t="str">
        <f aca="false">IF(AND(E134&gt;0,AA134&lt;1,NOT(AND(C135=C134,AA135=AA134+1))),INDEX(DATAS,AA134+1),"")</f>
        <v/>
      </c>
      <c r="AI134" s="51" t="str">
        <f aca="false">IF(AND(AC134=1,AA134&lt;1),IF(AND(C135=C134,AA135=AA134+1),IF(AC135=1,"",INDEX(DATAS,AA134+1)),INDEX(DATAS,AA134+1)),"")</f>
        <v/>
      </c>
    </row>
    <row r="135" customFormat="false" ht="15" hidden="false" customHeight="false" outlineLevel="0" collapsed="false">
      <c r="A135" s="51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46" t="s">
        <v>275</v>
      </c>
      <c r="G135" s="0" t="n">
        <v>53</v>
      </c>
      <c r="H135" s="0" t="n">
        <v>45</v>
      </c>
      <c r="I135" s="46" t="s">
        <v>161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X135" s="46" t="n">
        <f aca="false">IF(I135="Male",0,1)</f>
        <v>1</v>
      </c>
      <c r="Y135" s="46" t="n">
        <f aca="false">IF(OR(I135="DNB",I135="Dry DNB"),1,0)</f>
        <v>0</v>
      </c>
      <c r="Z135" s="0" t="str">
        <f aca="false">IF(ISNUMBER(W135),A135-W135,"")</f>
        <v/>
      </c>
      <c r="AA135" s="46" t="n">
        <f aca="false">MATCH(A135,DATAS,0)</f>
        <v>1</v>
      </c>
      <c r="AB135" s="46" t="n">
        <f aca="false">IF(AND(E135&gt;0,OR(AND(B135&gt;=1,B135&lt;=6),B135=10)),1,0)</f>
        <v>1</v>
      </c>
      <c r="AC135" s="46" t="n">
        <f aca="false">IF(AND(E135&gt;0,B135=10),1,0)</f>
        <v>0</v>
      </c>
      <c r="AD135" s="0" t="str">
        <f aca="false">IF(AND(C134=C135,AA134=AA135-1),AB134,"")</f>
        <v/>
      </c>
      <c r="AE135" s="0" t="str">
        <f aca="false">IF(AND(C134=C135,AA134=AA135-1),AC134,"")</f>
        <v/>
      </c>
      <c r="AF135" s="0" t="str">
        <f aca="false">IF(AA135=1,"",IF(AND(AB135=1,AD135&lt;&gt;1),1,0))</f>
        <v/>
      </c>
      <c r="AG135" s="0" t="str">
        <f aca="false">IF(AA135=1,"",IF(AND(AC135=1,AE135&lt;&gt;1),1,0))</f>
        <v/>
      </c>
      <c r="AH135" s="51" t="str">
        <f aca="false">IF(AND(E135&gt;0,AA135&lt;1,NOT(AND(C136=C135,AA136=AA135+1))),INDEX(DATAS,AA135+1),"")</f>
        <v/>
      </c>
      <c r="AI135" s="51" t="str">
        <f aca="false">IF(AND(AC135=1,AA135&lt;1),IF(AND(C136=C135,AA136=AA135+1),IF(AC136=1,"",INDEX(DATAS,AA135+1)),INDEX(DATAS,AA135+1)),"")</f>
        <v/>
      </c>
    </row>
    <row r="136" customFormat="false" ht="15" hidden="false" customHeight="false" outlineLevel="0" collapsed="false">
      <c r="A136" s="51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46" t="s">
        <v>276</v>
      </c>
      <c r="I136" s="46" t="s">
        <v>157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51" t="n">
        <v>46034</v>
      </c>
      <c r="X136" s="46" t="n">
        <f aca="false">IF(I136="Male",0,1)</f>
        <v>1</v>
      </c>
      <c r="Y136" s="46" t="n">
        <f aca="false">IF(OR(I136="DNB",I136="Dry DNB"),1,0)</f>
        <v>0</v>
      </c>
      <c r="Z136" s="46" t="n">
        <f aca="false">IF(ISNUMBER(W136),A136-W136,"")</f>
        <v>275</v>
      </c>
      <c r="AA136" s="46" t="n">
        <f aca="false">MATCH(A136,DATAS,0)</f>
        <v>1</v>
      </c>
      <c r="AB136" s="46" t="n">
        <f aca="false">IF(AND(E136&gt;0,OR(AND(B136&gt;=1,B136&lt;=6),B136=10)),1,0)</f>
        <v>0</v>
      </c>
      <c r="AC136" s="46" t="n">
        <f aca="false">IF(AND(E136&gt;0,B136=10),1,0)</f>
        <v>0</v>
      </c>
      <c r="AD136" s="0" t="str">
        <f aca="false">IF(AND(C135=C136,AA135=AA136-1),AB135,"")</f>
        <v/>
      </c>
      <c r="AE136" s="0" t="str">
        <f aca="false">IF(AND(C135=C136,AA135=AA136-1),AC135,"")</f>
        <v/>
      </c>
      <c r="AF136" s="0" t="str">
        <f aca="false">IF(AA136=1,"",IF(AND(AB136=1,AD136&lt;&gt;1),1,0))</f>
        <v/>
      </c>
      <c r="AG136" s="0" t="str">
        <f aca="false">IF(AA136=1,"",IF(AND(AC136=1,AE136&lt;&gt;1),1,0))</f>
        <v/>
      </c>
      <c r="AH136" s="51" t="str">
        <f aca="false">IF(AND(E136&gt;0,AA136&lt;1,NOT(AND(C137=C136,AA137=AA136+1))),INDEX(DATAS,AA136+1),"")</f>
        <v/>
      </c>
      <c r="AI136" s="51" t="str">
        <f aca="false">IF(AND(AC136=1,AA136&lt;1),IF(AND(C137=C136,AA137=AA136+1),IF(AC137=1,"",INDEX(DATAS,AA136+1)),INDEX(DATAS,AA136+1)),"")</f>
        <v/>
      </c>
    </row>
    <row r="137" customFormat="false" ht="15" hidden="false" customHeight="false" outlineLevel="0" collapsed="false">
      <c r="A137" s="51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46" t="s">
        <v>277</v>
      </c>
      <c r="G137" s="0" t="n">
        <v>64</v>
      </c>
      <c r="H137" s="0" t="n">
        <v>62</v>
      </c>
      <c r="I137" s="46" t="s">
        <v>181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51" t="n">
        <v>46310</v>
      </c>
      <c r="X137" s="46" t="n">
        <f aca="false">IF(I137="Male",0,1)</f>
        <v>1</v>
      </c>
      <c r="Y137" s="46" t="n">
        <f aca="false">IF(OR(I137="DNB",I137="Dry DNB"),1,0)</f>
        <v>0</v>
      </c>
      <c r="Z137" s="46" t="n">
        <f aca="false">IF(ISNUMBER(W137),A137-W137,"")</f>
        <v>-1</v>
      </c>
      <c r="AA137" s="46" t="n">
        <f aca="false">MATCH(A137,DATAS,0)</f>
        <v>1</v>
      </c>
      <c r="AB137" s="46" t="n">
        <f aca="false">IF(AND(E137&gt;0,OR(AND(B137&gt;=1,B137&lt;=6),B137=10)),1,0)</f>
        <v>1</v>
      </c>
      <c r="AC137" s="46" t="n">
        <f aca="false">IF(AND(E137&gt;0,B137=10),1,0)</f>
        <v>0</v>
      </c>
      <c r="AD137" s="0" t="str">
        <f aca="false">IF(AND(C136=C137,AA136=AA137-1),AB136,"")</f>
        <v/>
      </c>
      <c r="AE137" s="0" t="str">
        <f aca="false">IF(AND(C136=C137,AA136=AA137-1),AC136,"")</f>
        <v/>
      </c>
      <c r="AF137" s="0" t="str">
        <f aca="false">IF(AA137=1,"",IF(AND(AB137=1,AD137&lt;&gt;1),1,0))</f>
        <v/>
      </c>
      <c r="AG137" s="0" t="str">
        <f aca="false">IF(AA137=1,"",IF(AND(AC137=1,AE137&lt;&gt;1),1,0))</f>
        <v/>
      </c>
      <c r="AH137" s="51" t="str">
        <f aca="false">IF(AND(E137&gt;0,AA137&lt;1,NOT(AND(C138=C137,AA138=AA137+1))),INDEX(DATAS,AA137+1),"")</f>
        <v/>
      </c>
      <c r="AI137" s="51" t="str">
        <f aca="false">IF(AND(AC137=1,AA137&lt;1),IF(AND(C138=C137,AA138=AA137+1),IF(AC138=1,"",INDEX(DATAS,AA137+1)),INDEX(DATAS,AA137+1)),"")</f>
        <v/>
      </c>
    </row>
    <row r="138" customFormat="false" ht="15" hidden="false" customHeight="false" outlineLevel="0" collapsed="false">
      <c r="A138" s="51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46" t="s">
        <v>278</v>
      </c>
      <c r="G138" s="0" t="n">
        <v>32.8</v>
      </c>
      <c r="H138" s="0" t="n">
        <v>33</v>
      </c>
      <c r="I138" s="46" t="s">
        <v>152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51" t="n">
        <v>46163</v>
      </c>
      <c r="X138" s="46" t="n">
        <f aca="false">IF(I138="Male",0,1)</f>
        <v>1</v>
      </c>
      <c r="Y138" s="46" t="n">
        <f aca="false">IF(OR(I138="DNB",I138="Dry DNB"),1,0)</f>
        <v>0</v>
      </c>
      <c r="Z138" s="46" t="n">
        <f aca="false">IF(ISNUMBER(W138),A138-W138,"")</f>
        <v>146</v>
      </c>
      <c r="AA138" s="46" t="n">
        <f aca="false">MATCH(A138,DATAS,0)</f>
        <v>1</v>
      </c>
      <c r="AB138" s="46" t="n">
        <f aca="false">IF(AND(E138&gt;0,OR(AND(B138&gt;=1,B138&lt;=6),B138=10)),1,0)</f>
        <v>1</v>
      </c>
      <c r="AC138" s="46" t="n">
        <f aca="false">IF(AND(E138&gt;0,B138=10),1,0)</f>
        <v>0</v>
      </c>
      <c r="AD138" s="0" t="str">
        <f aca="false">IF(AND(C137=C138,AA137=AA138-1),AB137,"")</f>
        <v/>
      </c>
      <c r="AE138" s="0" t="str">
        <f aca="false">IF(AND(C137=C138,AA137=AA138-1),AC137,"")</f>
        <v/>
      </c>
      <c r="AF138" s="0" t="str">
        <f aca="false">IF(AA138=1,"",IF(AND(AB138=1,AD138&lt;&gt;1),1,0))</f>
        <v/>
      </c>
      <c r="AG138" s="0" t="str">
        <f aca="false">IF(AA138=1,"",IF(AND(AC138=1,AE138&lt;&gt;1),1,0))</f>
        <v/>
      </c>
      <c r="AH138" s="51" t="str">
        <f aca="false">IF(AND(E138&gt;0,AA138&lt;1,NOT(AND(C139=C138,AA139=AA138+1))),INDEX(DATAS,AA138+1),"")</f>
        <v/>
      </c>
      <c r="AI138" s="51" t="str">
        <f aca="false">IF(AND(AC138=1,AA138&lt;1),IF(AND(C139=C138,AA139=AA138+1),IF(AC139=1,"",INDEX(DATAS,AA138+1)),INDEX(DATAS,AA138+1)),"")</f>
        <v/>
      </c>
    </row>
    <row r="139" customFormat="false" ht="15" hidden="false" customHeight="false" outlineLevel="0" collapsed="false">
      <c r="A139" s="51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46" t="s">
        <v>279</v>
      </c>
      <c r="G139" s="0" t="n">
        <v>38.3</v>
      </c>
      <c r="H139" s="0" t="n">
        <v>36</v>
      </c>
      <c r="I139" s="46" t="s">
        <v>152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51" t="n">
        <v>46254</v>
      </c>
      <c r="X139" s="46" t="n">
        <f aca="false">IF(I139="Male",0,1)</f>
        <v>1</v>
      </c>
      <c r="Y139" s="46" t="n">
        <f aca="false">IF(OR(I139="DNB",I139="Dry DNB"),1,0)</f>
        <v>0</v>
      </c>
      <c r="Z139" s="46" t="n">
        <f aca="false">IF(ISNUMBER(W139),A139-W139,"")</f>
        <v>55</v>
      </c>
      <c r="AA139" s="46" t="n">
        <f aca="false">MATCH(A139,DATAS,0)</f>
        <v>1</v>
      </c>
      <c r="AB139" s="46" t="n">
        <f aca="false">IF(AND(E139&gt;0,OR(AND(B139&gt;=1,B139&lt;=6),B139=10)),1,0)</f>
        <v>1</v>
      </c>
      <c r="AC139" s="46" t="n">
        <f aca="false">IF(AND(E139&gt;0,B139=10),1,0)</f>
        <v>0</v>
      </c>
      <c r="AD139" s="0" t="str">
        <f aca="false">IF(AND(C138=C139,AA138=AA139-1),AB138,"")</f>
        <v/>
      </c>
      <c r="AE139" s="0" t="str">
        <f aca="false">IF(AND(C138=C139,AA138=AA139-1),AC138,"")</f>
        <v/>
      </c>
      <c r="AF139" s="0" t="str">
        <f aca="false">IF(AA139=1,"",IF(AND(AB139=1,AD139&lt;&gt;1),1,0))</f>
        <v/>
      </c>
      <c r="AG139" s="0" t="str">
        <f aca="false">IF(AA139=1,"",IF(AND(AC139=1,AE139&lt;&gt;1),1,0))</f>
        <v/>
      </c>
      <c r="AH139" s="51" t="str">
        <f aca="false">IF(AND(E139&gt;0,AA139&lt;1,NOT(AND(C140=C139,AA140=AA139+1))),INDEX(DATAS,AA139+1),"")</f>
        <v/>
      </c>
      <c r="AI139" s="51" t="str">
        <f aca="false">IF(AND(AC139=1,AA139&lt;1),IF(AND(C140=C139,AA140=AA139+1),IF(AC140=1,"",INDEX(DATAS,AA139+1)),INDEX(DATAS,AA139+1)),"")</f>
        <v/>
      </c>
    </row>
    <row r="140" customFormat="false" ht="15" hidden="false" customHeight="false" outlineLevel="0" collapsed="false">
      <c r="A140" s="51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46" t="s">
        <v>279</v>
      </c>
      <c r="G140" s="0" t="n">
        <v>61.3</v>
      </c>
      <c r="H140" s="0" t="n">
        <v>57</v>
      </c>
      <c r="I140" s="46" t="s">
        <v>161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X140" s="46" t="n">
        <f aca="false">IF(I140="Male",0,1)</f>
        <v>1</v>
      </c>
      <c r="Y140" s="46" t="n">
        <f aca="false">IF(OR(I140="DNB",I140="Dry DNB"),1,0)</f>
        <v>0</v>
      </c>
      <c r="Z140" s="0" t="str">
        <f aca="false">IF(ISNUMBER(W140),A140-W140,"")</f>
        <v/>
      </c>
      <c r="AA140" s="46" t="n">
        <f aca="false">MATCH(A140,DATAS,0)</f>
        <v>1</v>
      </c>
      <c r="AB140" s="46" t="n">
        <f aca="false">IF(AND(E140&gt;0,OR(AND(B140&gt;=1,B140&lt;=6),B140=10)),1,0)</f>
        <v>1</v>
      </c>
      <c r="AC140" s="46" t="n">
        <f aca="false">IF(AND(E140&gt;0,B140=10),1,0)</f>
        <v>0</v>
      </c>
      <c r="AD140" s="0" t="str">
        <f aca="false">IF(AND(C139=C140,AA139=AA140-1),AB139,"")</f>
        <v/>
      </c>
      <c r="AE140" s="0" t="str">
        <f aca="false">IF(AND(C139=C140,AA139=AA140-1),AC139,"")</f>
        <v/>
      </c>
      <c r="AF140" s="0" t="str">
        <f aca="false">IF(AA140=1,"",IF(AND(AB140=1,AD140&lt;&gt;1),1,0))</f>
        <v/>
      </c>
      <c r="AG140" s="0" t="str">
        <f aca="false">IF(AA140=1,"",IF(AND(AC140=1,AE140&lt;&gt;1),1,0))</f>
        <v/>
      </c>
      <c r="AH140" s="51" t="str">
        <f aca="false">IF(AND(E140&gt;0,AA140&lt;1,NOT(AND(C141=C140,AA141=AA140+1))),INDEX(DATAS,AA140+1),"")</f>
        <v/>
      </c>
      <c r="AI140" s="51" t="str">
        <f aca="false">IF(AND(AC140=1,AA140&lt;1),IF(AND(C141=C140,AA141=AA140+1),IF(AC141=1,"",INDEX(DATAS,AA140+1)),INDEX(DATAS,AA140+1)),"")</f>
        <v/>
      </c>
    </row>
    <row r="141" customFormat="false" ht="15" hidden="false" customHeight="false" outlineLevel="0" collapsed="false">
      <c r="A141" s="51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46" t="s">
        <v>280</v>
      </c>
      <c r="G141" s="0" t="n">
        <v>28.3</v>
      </c>
      <c r="H141" s="0" t="n">
        <v>28</v>
      </c>
      <c r="I141" s="46" t="s">
        <v>181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51" t="n">
        <v>46289</v>
      </c>
      <c r="X141" s="46" t="n">
        <f aca="false">IF(I141="Male",0,1)</f>
        <v>1</v>
      </c>
      <c r="Y141" s="46" t="n">
        <f aca="false">IF(OR(I141="DNB",I141="Dry DNB"),1,0)</f>
        <v>0</v>
      </c>
      <c r="Z141" s="46" t="n">
        <f aca="false">IF(ISNUMBER(W141),A141-W141,"")</f>
        <v>20</v>
      </c>
      <c r="AA141" s="46" t="n">
        <f aca="false">MATCH(A141,DATAS,0)</f>
        <v>1</v>
      </c>
      <c r="AB141" s="46" t="n">
        <f aca="false">IF(AND(E141&gt;0,OR(AND(B141&gt;=1,B141&lt;=6),B141=10)),1,0)</f>
        <v>1</v>
      </c>
      <c r="AC141" s="46" t="n">
        <f aca="false">IF(AND(E141&gt;0,B141=10),1,0)</f>
        <v>0</v>
      </c>
      <c r="AD141" s="0" t="str">
        <f aca="false">IF(AND(C140=C141,AA140=AA141-1),AB140,"")</f>
        <v/>
      </c>
      <c r="AE141" s="0" t="str">
        <f aca="false">IF(AND(C140=C141,AA140=AA141-1),AC140,"")</f>
        <v/>
      </c>
      <c r="AF141" s="0" t="str">
        <f aca="false">IF(AA141=1,"",IF(AND(AB141=1,AD141&lt;&gt;1),1,0))</f>
        <v/>
      </c>
      <c r="AG141" s="0" t="str">
        <f aca="false">IF(AA141=1,"",IF(AND(AC141=1,AE141&lt;&gt;1),1,0))</f>
        <v/>
      </c>
      <c r="AH141" s="51" t="str">
        <f aca="false">IF(AND(E141&gt;0,AA141&lt;1,NOT(AND(C142=C141,AA142=AA141+1))),INDEX(DATAS,AA141+1),"")</f>
        <v/>
      </c>
      <c r="AI141" s="51" t="str">
        <f aca="false">IF(AND(AC141=1,AA141&lt;1),IF(AND(C142=C141,AA142=AA141+1),IF(AC142=1,"",INDEX(DATAS,AA141+1)),INDEX(DATAS,AA141+1)),"")</f>
        <v/>
      </c>
    </row>
    <row r="142" customFormat="false" ht="15" hidden="false" customHeight="false" outlineLevel="0" collapsed="false">
      <c r="A142" s="51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46" t="s">
        <v>281</v>
      </c>
      <c r="G142" s="0" t="n">
        <v>33</v>
      </c>
      <c r="H142" s="0" t="n">
        <v>31</v>
      </c>
      <c r="I142" s="46" t="s">
        <v>152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51" t="n">
        <v>46233</v>
      </c>
      <c r="X142" s="46" t="n">
        <f aca="false">IF(I142="Male",0,1)</f>
        <v>1</v>
      </c>
      <c r="Y142" s="46" t="n">
        <f aca="false">IF(OR(I142="DNB",I142="Dry DNB"),1,0)</f>
        <v>0</v>
      </c>
      <c r="Z142" s="46" t="n">
        <f aca="false">IF(ISNUMBER(W142),A142-W142,"")</f>
        <v>76</v>
      </c>
      <c r="AA142" s="46" t="n">
        <f aca="false">MATCH(A142,DATAS,0)</f>
        <v>1</v>
      </c>
      <c r="AB142" s="46" t="n">
        <f aca="false">IF(AND(E142&gt;0,OR(AND(B142&gt;=1,B142&lt;=6),B142=10)),1,0)</f>
        <v>1</v>
      </c>
      <c r="AC142" s="46" t="n">
        <f aca="false">IF(AND(E142&gt;0,B142=10),1,0)</f>
        <v>0</v>
      </c>
      <c r="AD142" s="0" t="str">
        <f aca="false">IF(AND(C141=C142,AA141=AA142-1),AB141,"")</f>
        <v/>
      </c>
      <c r="AE142" s="0" t="str">
        <f aca="false">IF(AND(C141=C142,AA141=AA142-1),AC141,"")</f>
        <v/>
      </c>
      <c r="AF142" s="0" t="str">
        <f aca="false">IF(AA142=1,"",IF(AND(AB142=1,AD142&lt;&gt;1),1,0))</f>
        <v/>
      </c>
      <c r="AG142" s="0" t="str">
        <f aca="false">IF(AA142=1,"",IF(AND(AC142=1,AE142&lt;&gt;1),1,0))</f>
        <v/>
      </c>
      <c r="AH142" s="51" t="str">
        <f aca="false">IF(AND(E142&gt;0,AA142&lt;1,NOT(AND(C143=C142,AA143=AA142+1))),INDEX(DATAS,AA142+1),"")</f>
        <v/>
      </c>
      <c r="AI142" s="51" t="str">
        <f aca="false">IF(AND(AC142=1,AA142&lt;1),IF(AND(C143=C142,AA143=AA142+1),IF(AC143=1,"",INDEX(DATAS,AA142+1)),INDEX(DATAS,AA142+1)),"")</f>
        <v/>
      </c>
    </row>
    <row r="143" customFormat="false" ht="15" hidden="false" customHeight="false" outlineLevel="0" collapsed="false">
      <c r="A143" s="51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46" t="s">
        <v>282</v>
      </c>
      <c r="I143" s="46" t="s">
        <v>157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51" t="n">
        <v>46079</v>
      </c>
      <c r="X143" s="46" t="n">
        <f aca="false">IF(I143="Male",0,1)</f>
        <v>1</v>
      </c>
      <c r="Y143" s="46" t="n">
        <f aca="false">IF(OR(I143="DNB",I143="Dry DNB"),1,0)</f>
        <v>0</v>
      </c>
      <c r="Z143" s="46" t="n">
        <f aca="false">IF(ISNUMBER(W143),A143-W143,"")</f>
        <v>230</v>
      </c>
      <c r="AA143" s="46" t="n">
        <f aca="false">MATCH(A143,DATAS,0)</f>
        <v>1</v>
      </c>
      <c r="AB143" s="46" t="n">
        <f aca="false">IF(AND(E143&gt;0,OR(AND(B143&gt;=1,B143&lt;=6),B143=10)),1,0)</f>
        <v>0</v>
      </c>
      <c r="AC143" s="46" t="n">
        <f aca="false">IF(AND(E143&gt;0,B143=10),1,0)</f>
        <v>0</v>
      </c>
      <c r="AD143" s="0" t="str">
        <f aca="false">IF(AND(C142=C143,AA142=AA143-1),AB142,"")</f>
        <v/>
      </c>
      <c r="AE143" s="0" t="str">
        <f aca="false">IF(AND(C142=C143,AA142=AA143-1),AC142,"")</f>
        <v/>
      </c>
      <c r="AF143" s="0" t="str">
        <f aca="false">IF(AA143=1,"",IF(AND(AB143=1,AD143&lt;&gt;1),1,0))</f>
        <v/>
      </c>
      <c r="AG143" s="0" t="str">
        <f aca="false">IF(AA143=1,"",IF(AND(AC143=1,AE143&lt;&gt;1),1,0))</f>
        <v/>
      </c>
      <c r="AH143" s="51" t="str">
        <f aca="false">IF(AND(E143&gt;0,AA143&lt;1,NOT(AND(C144=C143,AA144=AA143+1))),INDEX(DATAS,AA143+1),"")</f>
        <v/>
      </c>
      <c r="AI143" s="51" t="str">
        <f aca="false">IF(AND(AC143=1,AA143&lt;1),IF(AND(C144=C143,AA144=AA143+1),IF(AC144=1,"",INDEX(DATAS,AA143+1)),INDEX(DATAS,AA143+1)),"")</f>
        <v/>
      </c>
    </row>
    <row r="144" customFormat="false" ht="15" hidden="false" customHeight="false" outlineLevel="0" collapsed="false">
      <c r="A144" s="51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46" t="s">
        <v>283</v>
      </c>
      <c r="G144" s="0" t="n">
        <v>16.7</v>
      </c>
      <c r="H144" s="0" t="n">
        <v>16</v>
      </c>
      <c r="I144" s="46" t="s">
        <v>138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51" t="n">
        <v>46024</v>
      </c>
      <c r="X144" s="46" t="n">
        <f aca="false">IF(I144="Male",0,1)</f>
        <v>1</v>
      </c>
      <c r="Y144" s="46" t="n">
        <f aca="false">IF(OR(I144="DNB",I144="Dry DNB"),1,0)</f>
        <v>1</v>
      </c>
      <c r="Z144" s="46" t="n">
        <f aca="false">IF(ISNUMBER(W144),A144-W144,"")</f>
        <v>285</v>
      </c>
      <c r="AA144" s="46" t="n">
        <f aca="false">MATCH(A144,DATAS,0)</f>
        <v>1</v>
      </c>
      <c r="AB144" s="46" t="n">
        <f aca="false">IF(AND(E144&gt;0,OR(AND(B144&gt;=1,B144&lt;=6),B144=10)),1,0)</f>
        <v>1</v>
      </c>
      <c r="AC144" s="46" t="n">
        <f aca="false">IF(AND(E144&gt;0,B144=10),1,0)</f>
        <v>0</v>
      </c>
      <c r="AD144" s="0" t="str">
        <f aca="false">IF(AND(C143=C144,AA143=AA144-1),AB143,"")</f>
        <v/>
      </c>
      <c r="AE144" s="0" t="str">
        <f aca="false">IF(AND(C143=C144,AA143=AA144-1),AC143,"")</f>
        <v/>
      </c>
      <c r="AF144" s="0" t="str">
        <f aca="false">IF(AA144=1,"",IF(AND(AB144=1,AD144&lt;&gt;1),1,0))</f>
        <v/>
      </c>
      <c r="AG144" s="0" t="str">
        <f aca="false">IF(AA144=1,"",IF(AND(AC144=1,AE144&lt;&gt;1),1,0))</f>
        <v/>
      </c>
      <c r="AH144" s="51" t="str">
        <f aca="false">IF(AND(E144&gt;0,AA144&lt;1,NOT(AND(C145=C144,AA145=AA144+1))),INDEX(DATAS,AA144+1),"")</f>
        <v/>
      </c>
      <c r="AI144" s="51" t="str">
        <f aca="false">IF(AND(AC144=1,AA144&lt;1),IF(AND(C145=C144,AA145=AA144+1),IF(AC145=1,"",INDEX(DATAS,AA144+1)),INDEX(DATAS,AA144+1)),"")</f>
        <v/>
      </c>
    </row>
    <row r="145" customFormat="false" ht="15" hidden="false" customHeight="false" outlineLevel="0" collapsed="false">
      <c r="A145" s="51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46" t="s">
        <v>284</v>
      </c>
      <c r="G145" s="0" t="n">
        <v>44.5</v>
      </c>
      <c r="H145" s="0" t="n">
        <v>41</v>
      </c>
      <c r="I145" s="46" t="s">
        <v>152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51" t="n">
        <v>46219</v>
      </c>
      <c r="X145" s="46" t="n">
        <f aca="false">IF(I145="Male",0,1)</f>
        <v>1</v>
      </c>
      <c r="Y145" s="46" t="n">
        <f aca="false">IF(OR(I145="DNB",I145="Dry DNB"),1,0)</f>
        <v>0</v>
      </c>
      <c r="Z145" s="46" t="n">
        <f aca="false">IF(ISNUMBER(W145),A145-W145,"")</f>
        <v>90</v>
      </c>
      <c r="AA145" s="46" t="n">
        <f aca="false">MATCH(A145,DATAS,0)</f>
        <v>1</v>
      </c>
      <c r="AB145" s="46" t="n">
        <f aca="false">IF(AND(E145&gt;0,OR(AND(B145&gt;=1,B145&lt;=6),B145=10)),1,0)</f>
        <v>1</v>
      </c>
      <c r="AC145" s="46" t="n">
        <f aca="false">IF(AND(E145&gt;0,B145=10),1,0)</f>
        <v>0</v>
      </c>
      <c r="AD145" s="0" t="str">
        <f aca="false">IF(AND(C144=C145,AA144=AA145-1),AB144,"")</f>
        <v/>
      </c>
      <c r="AE145" s="0" t="str">
        <f aca="false">IF(AND(C144=C145,AA144=AA145-1),AC144,"")</f>
        <v/>
      </c>
      <c r="AF145" s="0" t="str">
        <f aca="false">IF(AA145=1,"",IF(AND(AB145=1,AD145&lt;&gt;1),1,0))</f>
        <v/>
      </c>
      <c r="AG145" s="0" t="str">
        <f aca="false">IF(AA145=1,"",IF(AND(AC145=1,AE145&lt;&gt;1),1,0))</f>
        <v/>
      </c>
      <c r="AH145" s="51" t="str">
        <f aca="false">IF(AND(E145&gt;0,AA145&lt;1,NOT(AND(C146=C145,AA146=AA145+1))),INDEX(DATAS,AA145+1),"")</f>
        <v/>
      </c>
      <c r="AI145" s="51" t="str">
        <f aca="false">IF(AND(AC145=1,AA145&lt;1),IF(AND(C146=C145,AA146=AA145+1),IF(AC146=1,"",INDEX(DATAS,AA145+1)),INDEX(DATAS,AA145+1)),"")</f>
        <v/>
      </c>
    </row>
    <row r="146" customFormat="false" ht="15" hidden="false" customHeight="false" outlineLevel="0" collapsed="false">
      <c r="A146" s="51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46" t="s">
        <v>285</v>
      </c>
      <c r="G146" s="0" t="n">
        <v>48.2</v>
      </c>
      <c r="H146" s="0" t="n">
        <v>49</v>
      </c>
      <c r="I146" s="46" t="s">
        <v>181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51" t="n">
        <v>46289</v>
      </c>
      <c r="X146" s="46" t="n">
        <f aca="false">IF(I146="Male",0,1)</f>
        <v>1</v>
      </c>
      <c r="Y146" s="46" t="n">
        <f aca="false">IF(OR(I146="DNB",I146="Dry DNB"),1,0)</f>
        <v>0</v>
      </c>
      <c r="Z146" s="46" t="n">
        <f aca="false">IF(ISNUMBER(W146),A146-W146,"")</f>
        <v>20</v>
      </c>
      <c r="AA146" s="46" t="n">
        <f aca="false">MATCH(A146,DATAS,0)</f>
        <v>1</v>
      </c>
      <c r="AB146" s="46" t="n">
        <f aca="false">IF(AND(E146&gt;0,OR(AND(B146&gt;=1,B146&lt;=6),B146=10)),1,0)</f>
        <v>1</v>
      </c>
      <c r="AC146" s="46" t="n">
        <f aca="false">IF(AND(E146&gt;0,B146=10),1,0)</f>
        <v>0</v>
      </c>
      <c r="AD146" s="0" t="str">
        <f aca="false">IF(AND(C145=C146,AA145=AA146-1),AB145,"")</f>
        <v/>
      </c>
      <c r="AE146" s="0" t="str">
        <f aca="false">IF(AND(C145=C146,AA145=AA146-1),AC145,"")</f>
        <v/>
      </c>
      <c r="AF146" s="0" t="str">
        <f aca="false">IF(AA146=1,"",IF(AND(AB146=1,AD146&lt;&gt;1),1,0))</f>
        <v/>
      </c>
      <c r="AG146" s="0" t="str">
        <f aca="false">IF(AA146=1,"",IF(AND(AC146=1,AE146&lt;&gt;1),1,0))</f>
        <v/>
      </c>
      <c r="AH146" s="51" t="str">
        <f aca="false">IF(AND(E146&gt;0,AA146&lt;1,NOT(AND(C147=C146,AA147=AA146+1))),INDEX(DATAS,AA146+1),"")</f>
        <v/>
      </c>
      <c r="AI146" s="51" t="str">
        <f aca="false">IF(AND(AC146=1,AA146&lt;1),IF(AND(C147=C146,AA147=AA146+1),IF(AC147=1,"",INDEX(DATAS,AA146+1)),INDEX(DATAS,AA146+1)),"")</f>
        <v/>
      </c>
    </row>
    <row r="147" customFormat="false" ht="15" hidden="false" customHeight="false" outlineLevel="0" collapsed="false">
      <c r="A147" s="51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46" t="s">
        <v>286</v>
      </c>
      <c r="G147" s="0" t="n">
        <v>34.6</v>
      </c>
      <c r="H147" s="0" t="n">
        <v>24</v>
      </c>
      <c r="I147" s="46" t="s">
        <v>161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X147" s="46" t="n">
        <f aca="false">IF(I147="Male",0,1)</f>
        <v>1</v>
      </c>
      <c r="Y147" s="46" t="n">
        <f aca="false">IF(OR(I147="DNB",I147="Dry DNB"),1,0)</f>
        <v>0</v>
      </c>
      <c r="Z147" s="0" t="str">
        <f aca="false">IF(ISNUMBER(W147),A147-W147,"")</f>
        <v/>
      </c>
      <c r="AA147" s="46" t="n">
        <f aca="false">MATCH(A147,DATAS,0)</f>
        <v>1</v>
      </c>
      <c r="AB147" s="46" t="n">
        <f aca="false">IF(AND(E147&gt;0,OR(AND(B147&gt;=1,B147&lt;=6),B147=10)),1,0)</f>
        <v>1</v>
      </c>
      <c r="AC147" s="46" t="n">
        <f aca="false">IF(AND(E147&gt;0,B147=10),1,0)</f>
        <v>0</v>
      </c>
      <c r="AD147" s="0" t="str">
        <f aca="false">IF(AND(C146=C147,AA146=AA147-1),AB146,"")</f>
        <v/>
      </c>
      <c r="AE147" s="0" t="str">
        <f aca="false">IF(AND(C146=C147,AA146=AA147-1),AC146,"")</f>
        <v/>
      </c>
      <c r="AF147" s="0" t="str">
        <f aca="false">IF(AA147=1,"",IF(AND(AB147=1,AD147&lt;&gt;1),1,0))</f>
        <v/>
      </c>
      <c r="AG147" s="0" t="str">
        <f aca="false">IF(AA147=1,"",IF(AND(AC147=1,AE147&lt;&gt;1),1,0))</f>
        <v/>
      </c>
      <c r="AH147" s="51" t="str">
        <f aca="false">IF(AND(E147&gt;0,AA147&lt;1,NOT(AND(C148=C147,AA148=AA147+1))),INDEX(DATAS,AA147+1),"")</f>
        <v/>
      </c>
      <c r="AI147" s="51" t="str">
        <f aca="false">IF(AND(AC147=1,AA147&lt;1),IF(AND(C148=C147,AA148=AA147+1),IF(AC148=1,"",INDEX(DATAS,AA147+1)),INDEX(DATAS,AA147+1)),"")</f>
        <v/>
      </c>
    </row>
    <row r="148" customFormat="false" ht="15" hidden="false" customHeight="false" outlineLevel="0" collapsed="false">
      <c r="A148" s="51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46" t="s">
        <v>287</v>
      </c>
      <c r="H148" s="0" t="n">
        <v>14</v>
      </c>
      <c r="I148" s="46" t="s">
        <v>189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51" t="n">
        <v>46268</v>
      </c>
      <c r="X148" s="46" t="n">
        <f aca="false">IF(I148="Male",0,1)</f>
        <v>1</v>
      </c>
      <c r="Y148" s="46" t="n">
        <f aca="false">IF(OR(I148="DNB",I148="Dry DNB"),1,0)</f>
        <v>0</v>
      </c>
      <c r="Z148" s="46" t="n">
        <f aca="false">IF(ISNUMBER(W148),A148-W148,"")</f>
        <v>41</v>
      </c>
      <c r="AA148" s="46" t="n">
        <f aca="false">MATCH(A148,DATAS,0)</f>
        <v>1</v>
      </c>
      <c r="AB148" s="46" t="n">
        <f aca="false">IF(AND(E148&gt;0,OR(AND(B148&gt;=1,B148&lt;=6),B148=10)),1,0)</f>
        <v>1</v>
      </c>
      <c r="AC148" s="46" t="n">
        <f aca="false">IF(AND(E148&gt;0,B148=10),1,0)</f>
        <v>0</v>
      </c>
      <c r="AD148" s="0" t="str">
        <f aca="false">IF(AND(C147=C148,AA147=AA148-1),AB147,"")</f>
        <v/>
      </c>
      <c r="AE148" s="0" t="str">
        <f aca="false">IF(AND(C147=C148,AA147=AA148-1),AC147,"")</f>
        <v/>
      </c>
      <c r="AF148" s="0" t="str">
        <f aca="false">IF(AA148=1,"",IF(AND(AB148=1,AD148&lt;&gt;1),1,0))</f>
        <v/>
      </c>
      <c r="AG148" s="0" t="str">
        <f aca="false">IF(AA148=1,"",IF(AND(AC148=1,AE148&lt;&gt;1),1,0))</f>
        <v/>
      </c>
      <c r="AH148" s="51" t="str">
        <f aca="false">IF(AND(E148&gt;0,AA148&lt;1,NOT(AND(C149=C148,AA149=AA148+1))),INDEX(DATAS,AA148+1),"")</f>
        <v/>
      </c>
      <c r="AI148" s="51" t="str">
        <f aca="false">IF(AND(AC148=1,AA148&lt;1),IF(AND(C149=C148,AA149=AA148+1),IF(AC149=1,"",INDEX(DATAS,AA148+1)),INDEX(DATAS,AA148+1)),"")</f>
        <v/>
      </c>
    </row>
    <row r="149" customFormat="false" ht="15" hidden="false" customHeight="false" outlineLevel="0" collapsed="false">
      <c r="A149" s="51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46" t="s">
        <v>288</v>
      </c>
      <c r="G149" s="0" t="n">
        <v>64.5</v>
      </c>
      <c r="H149" s="0" t="n">
        <v>65</v>
      </c>
      <c r="I149" s="46" t="s">
        <v>181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51" t="n">
        <v>46296</v>
      </c>
      <c r="X149" s="46" t="n">
        <f aca="false">IF(I149="Male",0,1)</f>
        <v>1</v>
      </c>
      <c r="Y149" s="46" t="n">
        <f aca="false">IF(OR(I149="DNB",I149="Dry DNB"),1,0)</f>
        <v>0</v>
      </c>
      <c r="Z149" s="46" t="n">
        <f aca="false">IF(ISNUMBER(W149),A149-W149,"")</f>
        <v>13</v>
      </c>
      <c r="AA149" s="46" t="n">
        <f aca="false">MATCH(A149,DATAS,0)</f>
        <v>1</v>
      </c>
      <c r="AB149" s="46" t="n">
        <f aca="false">IF(AND(E149&gt;0,OR(AND(B149&gt;=1,B149&lt;=6),B149=10)),1,0)</f>
        <v>1</v>
      </c>
      <c r="AC149" s="46" t="n">
        <f aca="false">IF(AND(E149&gt;0,B149=10),1,0)</f>
        <v>0</v>
      </c>
      <c r="AD149" s="0" t="str">
        <f aca="false">IF(AND(C148=C149,AA148=AA149-1),AB148,"")</f>
        <v/>
      </c>
      <c r="AE149" s="0" t="str">
        <f aca="false">IF(AND(C148=C149,AA148=AA149-1),AC148,"")</f>
        <v/>
      </c>
      <c r="AF149" s="0" t="str">
        <f aca="false">IF(AA149=1,"",IF(AND(AB149=1,AD149&lt;&gt;1),1,0))</f>
        <v/>
      </c>
      <c r="AG149" s="0" t="str">
        <f aca="false">IF(AA149=1,"",IF(AND(AC149=1,AE149&lt;&gt;1),1,0))</f>
        <v/>
      </c>
      <c r="AH149" s="51" t="str">
        <f aca="false">IF(AND(E149&gt;0,AA149&lt;1,NOT(AND(C150=C149,AA150=AA149+1))),INDEX(DATAS,AA149+1),"")</f>
        <v/>
      </c>
      <c r="AI149" s="51" t="str">
        <f aca="false">IF(AND(AC149=1,AA149&lt;1),IF(AND(C150=C149,AA150=AA149+1),IF(AC150=1,"",INDEX(DATAS,AA149+1)),INDEX(DATAS,AA149+1)),"")</f>
        <v/>
      </c>
    </row>
    <row r="150" customFormat="false" ht="15" hidden="false" customHeight="false" outlineLevel="0" collapsed="false">
      <c r="A150" s="51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46" t="s">
        <v>289</v>
      </c>
      <c r="G150" s="0" t="n">
        <v>59.3</v>
      </c>
      <c r="H150" s="0" t="n">
        <v>58</v>
      </c>
      <c r="I150" s="46" t="s">
        <v>161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X150" s="46" t="n">
        <f aca="false">IF(I150="Male",0,1)</f>
        <v>1</v>
      </c>
      <c r="Y150" s="46" t="n">
        <f aca="false">IF(OR(I150="DNB",I150="Dry DNB"),1,0)</f>
        <v>0</v>
      </c>
      <c r="Z150" s="0" t="str">
        <f aca="false">IF(ISNUMBER(W150),A150-W150,"")</f>
        <v/>
      </c>
      <c r="AA150" s="46" t="n">
        <f aca="false">MATCH(A150,DATAS,0)</f>
        <v>1</v>
      </c>
      <c r="AB150" s="46" t="n">
        <f aca="false">IF(AND(E150&gt;0,OR(AND(B150&gt;=1,B150&lt;=6),B150=10)),1,0)</f>
        <v>1</v>
      </c>
      <c r="AC150" s="46" t="n">
        <f aca="false">IF(AND(E150&gt;0,B150=10),1,0)</f>
        <v>0</v>
      </c>
      <c r="AD150" s="0" t="str">
        <f aca="false">IF(AND(C149=C150,AA149=AA150-1),AB149,"")</f>
        <v/>
      </c>
      <c r="AE150" s="0" t="str">
        <f aca="false">IF(AND(C149=C150,AA149=AA150-1),AC149,"")</f>
        <v/>
      </c>
      <c r="AF150" s="0" t="str">
        <f aca="false">IF(AA150=1,"",IF(AND(AB150=1,AD150&lt;&gt;1),1,0))</f>
        <v/>
      </c>
      <c r="AG150" s="0" t="str">
        <f aca="false">IF(AA150=1,"",IF(AND(AC150=1,AE150&lt;&gt;1),1,0))</f>
        <v/>
      </c>
      <c r="AH150" s="51" t="str">
        <f aca="false">IF(AND(E150&gt;0,AA150&lt;1,NOT(AND(C151=C150,AA151=AA150+1))),INDEX(DATAS,AA150+1),"")</f>
        <v/>
      </c>
      <c r="AI150" s="51" t="str">
        <f aca="false">IF(AND(AC150=1,AA150&lt;1),IF(AND(C151=C150,AA151=AA150+1),IF(AC151=1,"",INDEX(DATAS,AA150+1)),INDEX(DATAS,AA150+1)),"")</f>
        <v/>
      </c>
    </row>
    <row r="151" customFormat="false" ht="15" hidden="false" customHeight="false" outlineLevel="0" collapsed="false">
      <c r="A151" s="51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46" t="s">
        <v>290</v>
      </c>
      <c r="G151" s="0" t="n">
        <v>30.2</v>
      </c>
      <c r="H151" s="0" t="n">
        <v>27</v>
      </c>
      <c r="I151" s="46" t="s">
        <v>152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51" t="n">
        <v>46163</v>
      </c>
      <c r="X151" s="46" t="n">
        <f aca="false">IF(I151="Male",0,1)</f>
        <v>1</v>
      </c>
      <c r="Y151" s="46" t="n">
        <f aca="false">IF(OR(I151="DNB",I151="Dry DNB"),1,0)</f>
        <v>0</v>
      </c>
      <c r="Z151" s="46" t="n">
        <f aca="false">IF(ISNUMBER(W151),A151-W151,"")</f>
        <v>146</v>
      </c>
      <c r="AA151" s="46" t="n">
        <f aca="false">MATCH(A151,DATAS,0)</f>
        <v>1</v>
      </c>
      <c r="AB151" s="46" t="n">
        <f aca="false">IF(AND(E151&gt;0,OR(AND(B151&gt;=1,B151&lt;=6),B151=10)),1,0)</f>
        <v>1</v>
      </c>
      <c r="AC151" s="46" t="n">
        <f aca="false">IF(AND(E151&gt;0,B151=10),1,0)</f>
        <v>0</v>
      </c>
      <c r="AD151" s="0" t="str">
        <f aca="false">IF(AND(C150=C151,AA150=AA151-1),AB150,"")</f>
        <v/>
      </c>
      <c r="AE151" s="0" t="str">
        <f aca="false">IF(AND(C150=C151,AA150=AA151-1),AC150,"")</f>
        <v/>
      </c>
      <c r="AF151" s="0" t="str">
        <f aca="false">IF(AA151=1,"",IF(AND(AB151=1,AD151&lt;&gt;1),1,0))</f>
        <v/>
      </c>
      <c r="AG151" s="0" t="str">
        <f aca="false">IF(AA151=1,"",IF(AND(AC151=1,AE151&lt;&gt;1),1,0))</f>
        <v/>
      </c>
      <c r="AH151" s="51" t="str">
        <f aca="false">IF(AND(E151&gt;0,AA151&lt;1,NOT(AND(C152=C151,AA152=AA151+1))),INDEX(DATAS,AA151+1),"")</f>
        <v/>
      </c>
      <c r="AI151" s="51" t="str">
        <f aca="false">IF(AND(AC151=1,AA151&lt;1),IF(AND(C152=C151,AA152=AA151+1),IF(AC152=1,"",INDEX(DATAS,AA151+1)),INDEX(DATAS,AA151+1)),"")</f>
        <v/>
      </c>
    </row>
    <row r="152" customFormat="false" ht="15" hidden="false" customHeight="false" outlineLevel="0" collapsed="false">
      <c r="A152" s="51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46" t="s">
        <v>291</v>
      </c>
      <c r="G152" s="0" t="n">
        <v>62</v>
      </c>
      <c r="H152" s="0" t="n">
        <v>64</v>
      </c>
      <c r="I152" s="46" t="s">
        <v>189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51" t="n">
        <v>46275</v>
      </c>
      <c r="X152" s="46" t="n">
        <f aca="false">IF(I152="Male",0,1)</f>
        <v>1</v>
      </c>
      <c r="Y152" s="46" t="n">
        <f aca="false">IF(OR(I152="DNB",I152="Dry DNB"),1,0)</f>
        <v>0</v>
      </c>
      <c r="Z152" s="46" t="n">
        <f aca="false">IF(ISNUMBER(W152),A152-W152,"")</f>
        <v>34</v>
      </c>
      <c r="AA152" s="46" t="n">
        <f aca="false">MATCH(A152,DATAS,0)</f>
        <v>1</v>
      </c>
      <c r="AB152" s="46" t="n">
        <f aca="false">IF(AND(E152&gt;0,OR(AND(B152&gt;=1,B152&lt;=6),B152=10)),1,0)</f>
        <v>1</v>
      </c>
      <c r="AC152" s="46" t="n">
        <f aca="false">IF(AND(E152&gt;0,B152=10),1,0)</f>
        <v>0</v>
      </c>
      <c r="AD152" s="0" t="str">
        <f aca="false">IF(AND(C151=C152,AA151=AA152-1),AB151,"")</f>
        <v/>
      </c>
      <c r="AE152" s="0" t="str">
        <f aca="false">IF(AND(C151=C152,AA151=AA152-1),AC151,"")</f>
        <v/>
      </c>
      <c r="AF152" s="0" t="str">
        <f aca="false">IF(AA152=1,"",IF(AND(AB152=1,AD152&lt;&gt;1),1,0))</f>
        <v/>
      </c>
      <c r="AG152" s="0" t="str">
        <f aca="false">IF(AA152=1,"",IF(AND(AC152=1,AE152&lt;&gt;1),1,0))</f>
        <v/>
      </c>
      <c r="AH152" s="51" t="str">
        <f aca="false">IF(AND(E152&gt;0,AA152&lt;1,NOT(AND(C153=C152,AA153=AA152+1))),INDEX(DATAS,AA152+1),"")</f>
        <v/>
      </c>
      <c r="AI152" s="51" t="str">
        <f aca="false">IF(AND(AC152=1,AA152&lt;1),IF(AND(C153=C152,AA153=AA152+1),IF(AC153=1,"",INDEX(DATAS,AA152+1)),INDEX(DATAS,AA152+1)),"")</f>
        <v/>
      </c>
    </row>
    <row r="153" customFormat="false" ht="15" hidden="false" customHeight="false" outlineLevel="0" collapsed="false">
      <c r="A153" s="51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46" t="s">
        <v>292</v>
      </c>
      <c r="G153" s="0" t="n">
        <v>20.9</v>
      </c>
      <c r="H153" s="0" t="n">
        <v>25</v>
      </c>
      <c r="I153" s="46" t="s">
        <v>138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51" t="n">
        <v>46263</v>
      </c>
      <c r="X153" s="46" t="n">
        <f aca="false">IF(I153="Male",0,1)</f>
        <v>1</v>
      </c>
      <c r="Y153" s="46" t="n">
        <f aca="false">IF(OR(I153="DNB",I153="Dry DNB"),1,0)</f>
        <v>1</v>
      </c>
      <c r="Z153" s="46" t="n">
        <f aca="false">IF(ISNUMBER(W153),A153-W153,"")</f>
        <v>46</v>
      </c>
      <c r="AA153" s="46" t="n">
        <f aca="false">MATCH(A153,DATAS,0)</f>
        <v>1</v>
      </c>
      <c r="AB153" s="46" t="n">
        <f aca="false">IF(AND(E153&gt;0,OR(AND(B153&gt;=1,B153&lt;=6),B153=10)),1,0)</f>
        <v>1</v>
      </c>
      <c r="AC153" s="46" t="n">
        <f aca="false">IF(AND(E153&gt;0,B153=10),1,0)</f>
        <v>0</v>
      </c>
      <c r="AD153" s="0" t="str">
        <f aca="false">IF(AND(C152=C153,AA152=AA153-1),AB152,"")</f>
        <v/>
      </c>
      <c r="AE153" s="0" t="str">
        <f aca="false">IF(AND(C152=C153,AA152=AA153-1),AC152,"")</f>
        <v/>
      </c>
      <c r="AF153" s="0" t="str">
        <f aca="false">IF(AA153=1,"",IF(AND(AB153=1,AD153&lt;&gt;1),1,0))</f>
        <v/>
      </c>
      <c r="AG153" s="0" t="str">
        <f aca="false">IF(AA153=1,"",IF(AND(AC153=1,AE153&lt;&gt;1),1,0))</f>
        <v/>
      </c>
      <c r="AH153" s="51" t="str">
        <f aca="false">IF(AND(E153&gt;0,AA153&lt;1,NOT(AND(C154=C153,AA154=AA153+1))),INDEX(DATAS,AA153+1),"")</f>
        <v/>
      </c>
      <c r="AI153" s="51" t="str">
        <f aca="false">IF(AND(AC153=1,AA153&lt;1),IF(AND(C154=C153,AA154=AA153+1),IF(AC154=1,"",INDEX(DATAS,AA153+1)),INDEX(DATAS,AA153+1)),"")</f>
        <v/>
      </c>
    </row>
    <row r="154" customFormat="false" ht="15" hidden="false" customHeight="false" outlineLevel="0" collapsed="false">
      <c r="A154" s="51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46" t="s">
        <v>293</v>
      </c>
      <c r="G154" s="0" t="n">
        <v>17.8</v>
      </c>
      <c r="H154" s="0" t="n">
        <v>16</v>
      </c>
      <c r="I154" s="46" t="s">
        <v>152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51" t="n">
        <v>46194</v>
      </c>
      <c r="X154" s="46" t="n">
        <f aca="false">IF(I154="Male",0,1)</f>
        <v>1</v>
      </c>
      <c r="Y154" s="46" t="n">
        <f aca="false">IF(OR(I154="DNB",I154="Dry DNB"),1,0)</f>
        <v>0</v>
      </c>
      <c r="Z154" s="46" t="n">
        <f aca="false">IF(ISNUMBER(W154),A154-W154,"")</f>
        <v>115</v>
      </c>
      <c r="AA154" s="46" t="n">
        <f aca="false">MATCH(A154,DATAS,0)</f>
        <v>1</v>
      </c>
      <c r="AB154" s="46" t="n">
        <f aca="false">IF(AND(E154&gt;0,OR(AND(B154&gt;=1,B154&lt;=6),B154=10)),1,0)</f>
        <v>1</v>
      </c>
      <c r="AC154" s="46" t="n">
        <f aca="false">IF(AND(E154&gt;0,B154=10),1,0)</f>
        <v>0</v>
      </c>
      <c r="AD154" s="0" t="str">
        <f aca="false">IF(AND(C153=C154,AA153=AA154-1),AB153,"")</f>
        <v/>
      </c>
      <c r="AE154" s="0" t="str">
        <f aca="false">IF(AND(C153=C154,AA153=AA154-1),AC153,"")</f>
        <v/>
      </c>
      <c r="AF154" s="0" t="str">
        <f aca="false">IF(AA154=1,"",IF(AND(AB154=1,AD154&lt;&gt;1),1,0))</f>
        <v/>
      </c>
      <c r="AG154" s="0" t="str">
        <f aca="false">IF(AA154=1,"",IF(AND(AC154=1,AE154&lt;&gt;1),1,0))</f>
        <v/>
      </c>
      <c r="AH154" s="51" t="str">
        <f aca="false">IF(AND(E154&gt;0,AA154&lt;1,NOT(AND(C155=C154,AA155=AA154+1))),INDEX(DATAS,AA154+1),"")</f>
        <v/>
      </c>
      <c r="AI154" s="51" t="str">
        <f aca="false">IF(AND(AC154=1,AA154&lt;1),IF(AND(C155=C154,AA155=AA154+1),IF(AC155=1,"",INDEX(DATAS,AA154+1)),INDEX(DATAS,AA154+1)),"")</f>
        <v/>
      </c>
    </row>
    <row r="155" customFormat="false" ht="15" hidden="false" customHeight="false" outlineLevel="0" collapsed="false">
      <c r="A155" s="51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46" t="s">
        <v>294</v>
      </c>
      <c r="G155" s="0" t="n">
        <v>46.3</v>
      </c>
      <c r="H155" s="0" t="n">
        <v>46</v>
      </c>
      <c r="I155" s="46" t="s">
        <v>181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51" t="n">
        <v>46282</v>
      </c>
      <c r="X155" s="46" t="n">
        <f aca="false">IF(I155="Male",0,1)</f>
        <v>1</v>
      </c>
      <c r="Y155" s="46" t="n">
        <f aca="false">IF(OR(I155="DNB",I155="Dry DNB"),1,0)</f>
        <v>0</v>
      </c>
      <c r="Z155" s="46" t="n">
        <f aca="false">IF(ISNUMBER(W155),A155-W155,"")</f>
        <v>27</v>
      </c>
      <c r="AA155" s="46" t="n">
        <f aca="false">MATCH(A155,DATAS,0)</f>
        <v>1</v>
      </c>
      <c r="AB155" s="46" t="n">
        <f aca="false">IF(AND(E155&gt;0,OR(AND(B155&gt;=1,B155&lt;=6),B155=10)),1,0)</f>
        <v>1</v>
      </c>
      <c r="AC155" s="46" t="n">
        <f aca="false">IF(AND(E155&gt;0,B155=10),1,0)</f>
        <v>0</v>
      </c>
      <c r="AD155" s="0" t="str">
        <f aca="false">IF(AND(C154=C155,AA154=AA155-1),AB154,"")</f>
        <v/>
      </c>
      <c r="AE155" s="0" t="str">
        <f aca="false">IF(AND(C154=C155,AA154=AA155-1),AC154,"")</f>
        <v/>
      </c>
      <c r="AF155" s="0" t="str">
        <f aca="false">IF(AA155=1,"",IF(AND(AB155=1,AD155&lt;&gt;1),1,0))</f>
        <v/>
      </c>
      <c r="AG155" s="0" t="str">
        <f aca="false">IF(AA155=1,"",IF(AND(AC155=1,AE155&lt;&gt;1),1,0))</f>
        <v/>
      </c>
      <c r="AH155" s="51" t="str">
        <f aca="false">IF(AND(E155&gt;0,AA155&lt;1,NOT(AND(C156=C155,AA156=AA155+1))),INDEX(DATAS,AA155+1),"")</f>
        <v/>
      </c>
      <c r="AI155" s="51" t="str">
        <f aca="false">IF(AND(AC155=1,AA155&lt;1),IF(AND(C156=C155,AA156=AA155+1),IF(AC156=1,"",INDEX(DATAS,AA155+1)),INDEX(DATAS,AA155+1)),"")</f>
        <v/>
      </c>
    </row>
    <row r="156" customFormat="false" ht="15" hidden="false" customHeight="false" outlineLevel="0" collapsed="false">
      <c r="A156" s="51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46" t="s">
        <v>295</v>
      </c>
      <c r="I156" s="46" t="s">
        <v>157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51" t="n">
        <v>46164</v>
      </c>
      <c r="X156" s="46" t="n">
        <f aca="false">IF(I156="Male",0,1)</f>
        <v>1</v>
      </c>
      <c r="Y156" s="46" t="n">
        <f aca="false">IF(OR(I156="DNB",I156="Dry DNB"),1,0)</f>
        <v>0</v>
      </c>
      <c r="Z156" s="46" t="n">
        <f aca="false">IF(ISNUMBER(W156),A156-W156,"")</f>
        <v>145</v>
      </c>
      <c r="AA156" s="46" t="n">
        <f aca="false">MATCH(A156,DATAS,0)</f>
        <v>1</v>
      </c>
      <c r="AB156" s="46" t="n">
        <f aca="false">IF(AND(E156&gt;0,OR(AND(B156&gt;=1,B156&lt;=6),B156=10)),1,0)</f>
        <v>0</v>
      </c>
      <c r="AC156" s="46" t="n">
        <f aca="false">IF(AND(E156&gt;0,B156=10),1,0)</f>
        <v>0</v>
      </c>
      <c r="AD156" s="0" t="str">
        <f aca="false">IF(AND(C155=C156,AA155=AA156-1),AB155,"")</f>
        <v/>
      </c>
      <c r="AE156" s="0" t="str">
        <f aca="false">IF(AND(C155=C156,AA155=AA156-1),AC155,"")</f>
        <v/>
      </c>
      <c r="AF156" s="0" t="str">
        <f aca="false">IF(AA156=1,"",IF(AND(AB156=1,AD156&lt;&gt;1),1,0))</f>
        <v/>
      </c>
      <c r="AG156" s="0" t="str">
        <f aca="false">IF(AA156=1,"",IF(AND(AC156=1,AE156&lt;&gt;1),1,0))</f>
        <v/>
      </c>
      <c r="AH156" s="51" t="str">
        <f aca="false">IF(AND(E156&gt;0,AA156&lt;1,NOT(AND(C157=C156,AA157=AA156+1))),INDEX(DATAS,AA156+1),"")</f>
        <v/>
      </c>
      <c r="AI156" s="51" t="str">
        <f aca="false">IF(AND(AC156=1,AA156&lt;1),IF(AND(C157=C156,AA157=AA156+1),IF(AC157=1,"",INDEX(DATAS,AA156+1)),INDEX(DATAS,AA156+1)),"")</f>
        <v/>
      </c>
    </row>
    <row r="157" customFormat="false" ht="15" hidden="false" customHeight="false" outlineLevel="0" collapsed="false">
      <c r="A157" s="51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46" t="s">
        <v>296</v>
      </c>
      <c r="G157" s="0" t="n">
        <v>26.6</v>
      </c>
      <c r="H157" s="0" t="n">
        <v>26</v>
      </c>
      <c r="I157" s="46" t="s">
        <v>181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51" t="n">
        <v>46296</v>
      </c>
      <c r="X157" s="46" t="n">
        <f aca="false">IF(I157="Male",0,1)</f>
        <v>1</v>
      </c>
      <c r="Y157" s="46" t="n">
        <f aca="false">IF(OR(I157="DNB",I157="Dry DNB"),1,0)</f>
        <v>0</v>
      </c>
      <c r="Z157" s="46" t="n">
        <f aca="false">IF(ISNUMBER(W157),A157-W157,"")</f>
        <v>13</v>
      </c>
      <c r="AA157" s="46" t="n">
        <f aca="false">MATCH(A157,DATAS,0)</f>
        <v>1</v>
      </c>
      <c r="AB157" s="46" t="n">
        <f aca="false">IF(AND(E157&gt;0,OR(AND(B157&gt;=1,B157&lt;=6),B157=10)),1,0)</f>
        <v>1</v>
      </c>
      <c r="AC157" s="46" t="n">
        <f aca="false">IF(AND(E157&gt;0,B157=10),1,0)</f>
        <v>0</v>
      </c>
      <c r="AD157" s="0" t="str">
        <f aca="false">IF(AND(C156=C157,AA156=AA157-1),AB156,"")</f>
        <v/>
      </c>
      <c r="AE157" s="0" t="str">
        <f aca="false">IF(AND(C156=C157,AA156=AA157-1),AC156,"")</f>
        <v/>
      </c>
      <c r="AF157" s="0" t="str">
        <f aca="false">IF(AA157=1,"",IF(AND(AB157=1,AD157&lt;&gt;1),1,0))</f>
        <v/>
      </c>
      <c r="AG157" s="0" t="str">
        <f aca="false">IF(AA157=1,"",IF(AND(AC157=1,AE157&lt;&gt;1),1,0))</f>
        <v/>
      </c>
      <c r="AH157" s="51" t="str">
        <f aca="false">IF(AND(E157&gt;0,AA157&lt;1,NOT(AND(C158=C157,AA158=AA157+1))),INDEX(DATAS,AA157+1),"")</f>
        <v/>
      </c>
      <c r="AI157" s="51" t="str">
        <f aca="false">IF(AND(AC157=1,AA157&lt;1),IF(AND(C158=C157,AA158=AA157+1),IF(AC158=1,"",INDEX(DATAS,AA157+1)),INDEX(DATAS,AA157+1)),"")</f>
        <v/>
      </c>
    </row>
    <row r="158" customFormat="false" ht="15" hidden="false" customHeight="false" outlineLevel="0" collapsed="false">
      <c r="A158" s="51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46" t="s">
        <v>297</v>
      </c>
      <c r="G158" s="0" t="n">
        <v>53.7</v>
      </c>
      <c r="H158" s="0" t="n">
        <v>51</v>
      </c>
      <c r="I158" s="46" t="s">
        <v>189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51" t="n">
        <v>46275</v>
      </c>
      <c r="X158" s="46" t="n">
        <f aca="false">IF(I158="Male",0,1)</f>
        <v>1</v>
      </c>
      <c r="Y158" s="46" t="n">
        <f aca="false">IF(OR(I158="DNB",I158="Dry DNB"),1,0)</f>
        <v>0</v>
      </c>
      <c r="Z158" s="46" t="n">
        <f aca="false">IF(ISNUMBER(W158),A158-W158,"")</f>
        <v>34</v>
      </c>
      <c r="AA158" s="46" t="n">
        <f aca="false">MATCH(A158,DATAS,0)</f>
        <v>1</v>
      </c>
      <c r="AB158" s="46" t="n">
        <f aca="false">IF(AND(E158&gt;0,OR(AND(B158&gt;=1,B158&lt;=6),B158=10)),1,0)</f>
        <v>1</v>
      </c>
      <c r="AC158" s="46" t="n">
        <f aca="false">IF(AND(E158&gt;0,B158=10),1,0)</f>
        <v>0</v>
      </c>
      <c r="AD158" s="0" t="str">
        <f aca="false">IF(AND(C157=C158,AA157=AA158-1),AB157,"")</f>
        <v/>
      </c>
      <c r="AE158" s="0" t="str">
        <f aca="false">IF(AND(C157=C158,AA157=AA158-1),AC157,"")</f>
        <v/>
      </c>
      <c r="AF158" s="0" t="str">
        <f aca="false">IF(AA158=1,"",IF(AND(AB158=1,AD158&lt;&gt;1),1,0))</f>
        <v/>
      </c>
      <c r="AG158" s="0" t="str">
        <f aca="false">IF(AA158=1,"",IF(AND(AC158=1,AE158&lt;&gt;1),1,0))</f>
        <v/>
      </c>
      <c r="AH158" s="51" t="str">
        <f aca="false">IF(AND(E158&gt;0,AA158&lt;1,NOT(AND(C159=C158,AA159=AA158+1))),INDEX(DATAS,AA158+1),"")</f>
        <v/>
      </c>
      <c r="AI158" s="51" t="str">
        <f aca="false">IF(AND(AC158=1,AA158&lt;1),IF(AND(C159=C158,AA159=AA158+1),IF(AC159=1,"",INDEX(DATAS,AA158+1)),INDEX(DATAS,AA158+1)),"")</f>
        <v/>
      </c>
    </row>
    <row r="159" customFormat="false" ht="15" hidden="false" customHeight="false" outlineLevel="0" collapsed="false">
      <c r="A159" s="51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46" t="s">
        <v>298</v>
      </c>
      <c r="I159" s="46" t="s">
        <v>181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51" t="n">
        <v>46307</v>
      </c>
      <c r="X159" s="46" t="n">
        <f aca="false">IF(I159="Male",0,1)</f>
        <v>1</v>
      </c>
      <c r="Y159" s="46" t="n">
        <f aca="false">IF(OR(I159="DNB",I159="Dry DNB"),1,0)</f>
        <v>0</v>
      </c>
      <c r="Z159" s="46" t="n">
        <f aca="false">IF(ISNUMBER(W159),A159-W159,"")</f>
        <v>2</v>
      </c>
      <c r="AA159" s="46" t="n">
        <f aca="false">MATCH(A159,DATAS,0)</f>
        <v>1</v>
      </c>
      <c r="AB159" s="46" t="n">
        <f aca="false">IF(AND(E159&gt;0,OR(AND(B159&gt;=1,B159&lt;=6),B159=10)),1,0)</f>
        <v>1</v>
      </c>
      <c r="AC159" s="46" t="n">
        <f aca="false">IF(AND(E159&gt;0,B159=10),1,0)</f>
        <v>0</v>
      </c>
      <c r="AD159" s="0" t="str">
        <f aca="false">IF(AND(C158=C159,AA158=AA159-1),AB158,"")</f>
        <v/>
      </c>
      <c r="AE159" s="0" t="str">
        <f aca="false">IF(AND(C158=C159,AA158=AA159-1),AC158,"")</f>
        <v/>
      </c>
      <c r="AF159" s="0" t="str">
        <f aca="false">IF(AA159=1,"",IF(AND(AB159=1,AD159&lt;&gt;1),1,0))</f>
        <v/>
      </c>
      <c r="AG159" s="0" t="str">
        <f aca="false">IF(AA159=1,"",IF(AND(AC159=1,AE159&lt;&gt;1),1,0))</f>
        <v/>
      </c>
      <c r="AH159" s="51" t="str">
        <f aca="false">IF(AND(E159&gt;0,AA159&lt;1,NOT(AND(C160=C159,AA160=AA159+1))),INDEX(DATAS,AA159+1),"")</f>
        <v/>
      </c>
      <c r="AI159" s="51" t="str">
        <f aca="false">IF(AND(AC159=1,AA159&lt;1),IF(AND(C160=C159,AA160=AA159+1),IF(AC160=1,"",INDEX(DATAS,AA159+1)),INDEX(DATAS,AA159+1)),"")</f>
        <v/>
      </c>
    </row>
    <row r="160" customFormat="false" ht="15" hidden="false" customHeight="false" outlineLevel="0" collapsed="false">
      <c r="A160" s="51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46" t="s">
        <v>299</v>
      </c>
      <c r="G160" s="0" t="n">
        <v>56</v>
      </c>
      <c r="H160" s="0" t="n">
        <v>57</v>
      </c>
      <c r="I160" s="46" t="s">
        <v>181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51" t="n">
        <v>46296</v>
      </c>
      <c r="X160" s="46" t="n">
        <f aca="false">IF(I160="Male",0,1)</f>
        <v>1</v>
      </c>
      <c r="Y160" s="46" t="n">
        <f aca="false">IF(OR(I160="DNB",I160="Dry DNB"),1,0)</f>
        <v>0</v>
      </c>
      <c r="Z160" s="46" t="n">
        <f aca="false">IF(ISNUMBER(W160),A160-W160,"")</f>
        <v>13</v>
      </c>
      <c r="AA160" s="46" t="n">
        <f aca="false">MATCH(A160,DATAS,0)</f>
        <v>1</v>
      </c>
      <c r="AB160" s="46" t="n">
        <f aca="false">IF(AND(E160&gt;0,OR(AND(B160&gt;=1,B160&lt;=6),B160=10)),1,0)</f>
        <v>1</v>
      </c>
      <c r="AC160" s="46" t="n">
        <f aca="false">IF(AND(E160&gt;0,B160=10),1,0)</f>
        <v>0</v>
      </c>
      <c r="AD160" s="0" t="str">
        <f aca="false">IF(AND(C159=C160,AA159=AA160-1),AB159,"")</f>
        <v/>
      </c>
      <c r="AE160" s="0" t="str">
        <f aca="false">IF(AND(C159=C160,AA159=AA160-1),AC159,"")</f>
        <v/>
      </c>
      <c r="AF160" s="0" t="str">
        <f aca="false">IF(AA160=1,"",IF(AND(AB160=1,AD160&lt;&gt;1),1,0))</f>
        <v/>
      </c>
      <c r="AG160" s="0" t="str">
        <f aca="false">IF(AA160=1,"",IF(AND(AC160=1,AE160&lt;&gt;1),1,0))</f>
        <v/>
      </c>
      <c r="AH160" s="51" t="str">
        <f aca="false">IF(AND(E160&gt;0,AA160&lt;1,NOT(AND(C161=C160,AA161=AA160+1))),INDEX(DATAS,AA160+1),"")</f>
        <v/>
      </c>
      <c r="AI160" s="51" t="str">
        <f aca="false">IF(AND(AC160=1,AA160&lt;1),IF(AND(C161=C160,AA161=AA160+1),IF(AC161=1,"",INDEX(DATAS,AA160+1)),INDEX(DATAS,AA160+1)),"")</f>
        <v/>
      </c>
    </row>
    <row r="161" customFormat="false" ht="15" hidden="false" customHeight="false" outlineLevel="0" collapsed="false">
      <c r="A161" s="51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46" t="s">
        <v>300</v>
      </c>
      <c r="G161" s="0" t="n">
        <v>28.9</v>
      </c>
      <c r="H161" s="0" t="n">
        <v>33</v>
      </c>
      <c r="I161" s="46" t="s">
        <v>189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51" t="n">
        <v>46275</v>
      </c>
      <c r="X161" s="46" t="n">
        <f aca="false">IF(I161="Male",0,1)</f>
        <v>1</v>
      </c>
      <c r="Y161" s="46" t="n">
        <f aca="false">IF(OR(I161="DNB",I161="Dry DNB"),1,0)</f>
        <v>0</v>
      </c>
      <c r="Z161" s="46" t="n">
        <f aca="false">IF(ISNUMBER(W161),A161-W161,"")</f>
        <v>34</v>
      </c>
      <c r="AA161" s="46" t="n">
        <f aca="false">MATCH(A161,DATAS,0)</f>
        <v>1</v>
      </c>
      <c r="AB161" s="46" t="n">
        <f aca="false">IF(AND(E161&gt;0,OR(AND(B161&gt;=1,B161&lt;=6),B161=10)),1,0)</f>
        <v>1</v>
      </c>
      <c r="AC161" s="46" t="n">
        <f aca="false">IF(AND(E161&gt;0,B161=10),1,0)</f>
        <v>0</v>
      </c>
      <c r="AD161" s="0" t="str">
        <f aca="false">IF(AND(C160=C161,AA160=AA161-1),AB160,"")</f>
        <v/>
      </c>
      <c r="AE161" s="0" t="str">
        <f aca="false">IF(AND(C160=C161,AA160=AA161-1),AC160,"")</f>
        <v/>
      </c>
      <c r="AF161" s="0" t="str">
        <f aca="false">IF(AA161=1,"",IF(AND(AB161=1,AD161&lt;&gt;1),1,0))</f>
        <v/>
      </c>
      <c r="AG161" s="0" t="str">
        <f aca="false">IF(AA161=1,"",IF(AND(AC161=1,AE161&lt;&gt;1),1,0))</f>
        <v/>
      </c>
      <c r="AH161" s="51" t="str">
        <f aca="false">IF(AND(E161&gt;0,AA161&lt;1,NOT(AND(C162=C161,AA162=AA161+1))),INDEX(DATAS,AA161+1),"")</f>
        <v/>
      </c>
      <c r="AI161" s="51" t="str">
        <f aca="false">IF(AND(AC161=1,AA161&lt;1),IF(AND(C162=C161,AA162=AA161+1),IF(AC162=1,"",INDEX(DATAS,AA161+1)),INDEX(DATAS,AA161+1)),"")</f>
        <v/>
      </c>
    </row>
    <row r="162" customFormat="false" ht="15" hidden="false" customHeight="false" outlineLevel="0" collapsed="false">
      <c r="A162" s="51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46" t="s">
        <v>301</v>
      </c>
      <c r="H162" s="0" t="n">
        <v>15</v>
      </c>
      <c r="I162" s="46" t="s">
        <v>138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51" t="n">
        <v>46240</v>
      </c>
      <c r="X162" s="46" t="n">
        <f aca="false">IF(I162="Male",0,1)</f>
        <v>1</v>
      </c>
      <c r="Y162" s="46" t="n">
        <f aca="false">IF(OR(I162="DNB",I162="Dry DNB"),1,0)</f>
        <v>1</v>
      </c>
      <c r="Z162" s="46" t="n">
        <f aca="false">IF(ISNUMBER(W162),A162-W162,"")</f>
        <v>69</v>
      </c>
      <c r="AA162" s="46" t="n">
        <f aca="false">MATCH(A162,DATAS,0)</f>
        <v>1</v>
      </c>
      <c r="AB162" s="46" t="n">
        <f aca="false">IF(AND(E162&gt;0,OR(AND(B162&gt;=1,B162&lt;=6),B162=10)),1,0)</f>
        <v>1</v>
      </c>
      <c r="AC162" s="46" t="n">
        <f aca="false">IF(AND(E162&gt;0,B162=10),1,0)</f>
        <v>1</v>
      </c>
      <c r="AD162" s="0" t="str">
        <f aca="false">IF(AND(C161=C162,AA161=AA162-1),AB161,"")</f>
        <v/>
      </c>
      <c r="AE162" s="0" t="str">
        <f aca="false">IF(AND(C161=C162,AA161=AA162-1),AC161,"")</f>
        <v/>
      </c>
      <c r="AF162" s="0" t="str">
        <f aca="false">IF(AA162=1,"",IF(AND(AB162=1,AD162&lt;&gt;1),1,0))</f>
        <v/>
      </c>
      <c r="AG162" s="0" t="str">
        <f aca="false">IF(AA162=1,"",IF(AND(AC162=1,AE162&lt;&gt;1),1,0))</f>
        <v/>
      </c>
      <c r="AH162" s="51" t="str">
        <f aca="false">IF(AND(E162&gt;0,AA162&lt;1,NOT(AND(C163=C162,AA163=AA162+1))),INDEX(DATAS,AA162+1),"")</f>
        <v/>
      </c>
      <c r="AI162" s="51" t="str">
        <f aca="false">IF(AND(AC162=1,AA162&lt;1),IF(AND(C163=C162,AA163=AA162+1),IF(AC163=1,"",INDEX(DATAS,AA162+1)),INDEX(DATAS,AA162+1)),"")</f>
        <v/>
      </c>
    </row>
    <row r="163" customFormat="false" ht="15" hidden="false" customHeight="false" outlineLevel="0" collapsed="false">
      <c r="A163" s="51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46" t="s">
        <v>302</v>
      </c>
      <c r="G163" s="0" t="n">
        <v>60.5</v>
      </c>
      <c r="H163" s="0" t="n">
        <v>57</v>
      </c>
      <c r="I163" s="46" t="s">
        <v>181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51" t="n">
        <v>46289</v>
      </c>
      <c r="X163" s="46" t="n">
        <f aca="false">IF(I163="Male",0,1)</f>
        <v>1</v>
      </c>
      <c r="Y163" s="46" t="n">
        <f aca="false">IF(OR(I163="DNB",I163="Dry DNB"),1,0)</f>
        <v>0</v>
      </c>
      <c r="Z163" s="46" t="n">
        <f aca="false">IF(ISNUMBER(W163),A163-W163,"")</f>
        <v>20</v>
      </c>
      <c r="AA163" s="46" t="n">
        <f aca="false">MATCH(A163,DATAS,0)</f>
        <v>1</v>
      </c>
      <c r="AB163" s="46" t="n">
        <f aca="false">IF(AND(E163&gt;0,OR(AND(B163&gt;=1,B163&lt;=6),B163=10)),1,0)</f>
        <v>1</v>
      </c>
      <c r="AC163" s="46" t="n">
        <f aca="false">IF(AND(E163&gt;0,B163=10),1,0)</f>
        <v>0</v>
      </c>
      <c r="AD163" s="0" t="str">
        <f aca="false">IF(AND(C162=C163,AA162=AA163-1),AB162,"")</f>
        <v/>
      </c>
      <c r="AE163" s="0" t="str">
        <f aca="false">IF(AND(C162=C163,AA162=AA163-1),AC162,"")</f>
        <v/>
      </c>
      <c r="AF163" s="0" t="str">
        <f aca="false">IF(AA163=1,"",IF(AND(AB163=1,AD163&lt;&gt;1),1,0))</f>
        <v/>
      </c>
      <c r="AG163" s="0" t="str">
        <f aca="false">IF(AA163=1,"",IF(AND(AC163=1,AE163&lt;&gt;1),1,0))</f>
        <v/>
      </c>
      <c r="AH163" s="51" t="str">
        <f aca="false">IF(AND(E163&gt;0,AA163&lt;1,NOT(AND(C164=C163,AA164=AA163+1))),INDEX(DATAS,AA163+1),"")</f>
        <v/>
      </c>
      <c r="AI163" s="51" t="str">
        <f aca="false">IF(AND(AC163=1,AA163&lt;1),IF(AND(C164=C163,AA164=AA163+1),IF(AC164=1,"",INDEX(DATAS,AA163+1)),INDEX(DATAS,AA163+1)),"")</f>
        <v/>
      </c>
    </row>
    <row r="164" customFormat="false" ht="15" hidden="false" customHeight="false" outlineLevel="0" collapsed="false">
      <c r="A164" s="51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46" t="s">
        <v>302</v>
      </c>
      <c r="G164" s="0" t="n">
        <v>18.2</v>
      </c>
      <c r="H164" s="0" t="n">
        <v>21</v>
      </c>
      <c r="I164" s="46" t="s">
        <v>181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51" t="n">
        <v>46301</v>
      </c>
      <c r="X164" s="46" t="n">
        <f aca="false">IF(I164="Male",0,1)</f>
        <v>1</v>
      </c>
      <c r="Y164" s="46" t="n">
        <f aca="false">IF(OR(I164="DNB",I164="Dry DNB"),1,0)</f>
        <v>0</v>
      </c>
      <c r="Z164" s="46" t="n">
        <f aca="false">IF(ISNUMBER(W164),A164-W164,"")</f>
        <v>8</v>
      </c>
      <c r="AA164" s="46" t="n">
        <f aca="false">MATCH(A164,DATAS,0)</f>
        <v>1</v>
      </c>
      <c r="AB164" s="46" t="n">
        <f aca="false">IF(AND(E164&gt;0,OR(AND(B164&gt;=1,B164&lt;=6),B164=10)),1,0)</f>
        <v>1</v>
      </c>
      <c r="AC164" s="46" t="n">
        <f aca="false">IF(AND(E164&gt;0,B164=10),1,0)</f>
        <v>0</v>
      </c>
      <c r="AD164" s="0" t="str">
        <f aca="false">IF(AND(C163=C164,AA163=AA164-1),AB163,"")</f>
        <v/>
      </c>
      <c r="AE164" s="0" t="str">
        <f aca="false">IF(AND(C163=C164,AA163=AA164-1),AC163,"")</f>
        <v/>
      </c>
      <c r="AF164" s="0" t="str">
        <f aca="false">IF(AA164=1,"",IF(AND(AB164=1,AD164&lt;&gt;1),1,0))</f>
        <v/>
      </c>
      <c r="AG164" s="0" t="str">
        <f aca="false">IF(AA164=1,"",IF(AND(AC164=1,AE164&lt;&gt;1),1,0))</f>
        <v/>
      </c>
      <c r="AH164" s="51" t="str">
        <f aca="false">IF(AND(E164&gt;0,AA164&lt;1,NOT(AND(C165=C164,AA165=AA164+1))),INDEX(DATAS,AA164+1),"")</f>
        <v/>
      </c>
      <c r="AI164" s="51" t="str">
        <f aca="false">IF(AND(AC164=1,AA164&lt;1),IF(AND(C165=C164,AA165=AA164+1),IF(AC165=1,"",INDEX(DATAS,AA164+1)),INDEX(DATAS,AA164+1)),"")</f>
        <v/>
      </c>
    </row>
    <row r="165" customFormat="false" ht="15" hidden="false" customHeight="false" outlineLevel="0" collapsed="false">
      <c r="A165" s="51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46" t="s">
        <v>302</v>
      </c>
      <c r="G165" s="0" t="n">
        <v>46.6</v>
      </c>
      <c r="H165" s="0" t="n">
        <v>43</v>
      </c>
      <c r="I165" s="46" t="s">
        <v>161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X165" s="46" t="n">
        <f aca="false">IF(I165="Male",0,1)</f>
        <v>1</v>
      </c>
      <c r="Y165" s="46" t="n">
        <f aca="false">IF(OR(I165="DNB",I165="Dry DNB"),1,0)</f>
        <v>0</v>
      </c>
      <c r="Z165" s="0" t="str">
        <f aca="false">IF(ISNUMBER(W165),A165-W165,"")</f>
        <v/>
      </c>
      <c r="AA165" s="46" t="n">
        <f aca="false">MATCH(A165,DATAS,0)</f>
        <v>1</v>
      </c>
      <c r="AB165" s="46" t="n">
        <f aca="false">IF(AND(E165&gt;0,OR(AND(B165&gt;=1,B165&lt;=6),B165=10)),1,0)</f>
        <v>1</v>
      </c>
      <c r="AC165" s="46" t="n">
        <f aca="false">IF(AND(E165&gt;0,B165=10),1,0)</f>
        <v>0</v>
      </c>
      <c r="AD165" s="0" t="str">
        <f aca="false">IF(AND(C164=C165,AA164=AA165-1),AB164,"")</f>
        <v/>
      </c>
      <c r="AE165" s="0" t="str">
        <f aca="false">IF(AND(C164=C165,AA164=AA165-1),AC164,"")</f>
        <v/>
      </c>
      <c r="AF165" s="0" t="str">
        <f aca="false">IF(AA165=1,"",IF(AND(AB165=1,AD165&lt;&gt;1),1,0))</f>
        <v/>
      </c>
      <c r="AG165" s="0" t="str">
        <f aca="false">IF(AA165=1,"",IF(AND(AC165=1,AE165&lt;&gt;1),1,0))</f>
        <v/>
      </c>
      <c r="AH165" s="51" t="str">
        <f aca="false">IF(AND(E165&gt;0,AA165&lt;1,NOT(AND(C166=C165,AA166=AA165+1))),INDEX(DATAS,AA165+1),"")</f>
        <v/>
      </c>
      <c r="AI165" s="51" t="str">
        <f aca="false">IF(AND(AC165=1,AA165&lt;1),IF(AND(C166=C165,AA166=AA165+1),IF(AC166=1,"",INDEX(DATAS,AA165+1)),INDEX(DATAS,AA165+1)),"")</f>
        <v/>
      </c>
    </row>
    <row r="166" customFormat="false" ht="15" hidden="false" customHeight="false" outlineLevel="0" collapsed="false">
      <c r="A166" s="51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46" t="s">
        <v>303</v>
      </c>
      <c r="G166" s="0" t="n">
        <v>60.5</v>
      </c>
      <c r="H166" s="0" t="n">
        <v>62</v>
      </c>
      <c r="I166" s="46" t="s">
        <v>189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51" t="n">
        <v>46275</v>
      </c>
      <c r="X166" s="46" t="n">
        <f aca="false">IF(I166="Male",0,1)</f>
        <v>1</v>
      </c>
      <c r="Y166" s="46" t="n">
        <f aca="false">IF(OR(I166="DNB",I166="Dry DNB"),1,0)</f>
        <v>0</v>
      </c>
      <c r="Z166" s="46" t="n">
        <f aca="false">IF(ISNUMBER(W166),A166-W166,"")</f>
        <v>34</v>
      </c>
      <c r="AA166" s="46" t="n">
        <f aca="false">MATCH(A166,DATAS,0)</f>
        <v>1</v>
      </c>
      <c r="AB166" s="46" t="n">
        <f aca="false">IF(AND(E166&gt;0,OR(AND(B166&gt;=1,B166&lt;=6),B166=10)),1,0)</f>
        <v>1</v>
      </c>
      <c r="AC166" s="46" t="n">
        <f aca="false">IF(AND(E166&gt;0,B166=10),1,0)</f>
        <v>0</v>
      </c>
      <c r="AD166" s="0" t="str">
        <f aca="false">IF(AND(C165=C166,AA165=AA166-1),AB165,"")</f>
        <v/>
      </c>
      <c r="AE166" s="0" t="str">
        <f aca="false">IF(AND(C165=C166,AA165=AA166-1),AC165,"")</f>
        <v/>
      </c>
      <c r="AF166" s="0" t="str">
        <f aca="false">IF(AA166=1,"",IF(AND(AB166=1,AD166&lt;&gt;1),1,0))</f>
        <v/>
      </c>
      <c r="AG166" s="0" t="str">
        <f aca="false">IF(AA166=1,"",IF(AND(AC166=1,AE166&lt;&gt;1),1,0))</f>
        <v/>
      </c>
      <c r="AH166" s="51" t="str">
        <f aca="false">IF(AND(E166&gt;0,AA166&lt;1,NOT(AND(C167=C166,AA167=AA166+1))),INDEX(DATAS,AA166+1),"")</f>
        <v/>
      </c>
      <c r="AI166" s="51" t="str">
        <f aca="false">IF(AND(AC166=1,AA166&lt;1),IF(AND(C167=C166,AA167=AA166+1),IF(AC167=1,"",INDEX(DATAS,AA166+1)),INDEX(DATAS,AA166+1)),"")</f>
        <v/>
      </c>
    </row>
    <row r="167" customFormat="false" ht="15" hidden="false" customHeight="false" outlineLevel="0" collapsed="false">
      <c r="A167" s="51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46" t="s">
        <v>304</v>
      </c>
      <c r="G167" s="0" t="n">
        <v>46.5</v>
      </c>
      <c r="H167" s="0" t="n">
        <v>46</v>
      </c>
      <c r="I167" s="46" t="s">
        <v>152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51" t="n">
        <v>46093</v>
      </c>
      <c r="X167" s="46" t="n">
        <f aca="false">IF(I167="Male",0,1)</f>
        <v>1</v>
      </c>
      <c r="Y167" s="46" t="n">
        <f aca="false">IF(OR(I167="DNB",I167="Dry DNB"),1,0)</f>
        <v>0</v>
      </c>
      <c r="Z167" s="46" t="n">
        <f aca="false">IF(ISNUMBER(W167),A167-W167,"")</f>
        <v>216</v>
      </c>
      <c r="AA167" s="46" t="n">
        <f aca="false">MATCH(A167,DATAS,0)</f>
        <v>1</v>
      </c>
      <c r="AB167" s="46" t="n">
        <f aca="false">IF(AND(E167&gt;0,OR(AND(B167&gt;=1,B167&lt;=6),B167=10)),1,0)</f>
        <v>1</v>
      </c>
      <c r="AC167" s="46" t="n">
        <f aca="false">IF(AND(E167&gt;0,B167=10),1,0)</f>
        <v>0</v>
      </c>
      <c r="AD167" s="0" t="str">
        <f aca="false">IF(AND(C166=C167,AA166=AA167-1),AB166,"")</f>
        <v/>
      </c>
      <c r="AE167" s="0" t="str">
        <f aca="false">IF(AND(C166=C167,AA166=AA167-1),AC166,"")</f>
        <v/>
      </c>
      <c r="AF167" s="0" t="str">
        <f aca="false">IF(AA167=1,"",IF(AND(AB167=1,AD167&lt;&gt;1),1,0))</f>
        <v/>
      </c>
      <c r="AG167" s="0" t="str">
        <f aca="false">IF(AA167=1,"",IF(AND(AC167=1,AE167&lt;&gt;1),1,0))</f>
        <v/>
      </c>
      <c r="AH167" s="51" t="str">
        <f aca="false">IF(AND(E167&gt;0,AA167&lt;1,NOT(AND(C168=C167,AA168=AA167+1))),INDEX(DATAS,AA167+1),"")</f>
        <v/>
      </c>
      <c r="AI167" s="51" t="str">
        <f aca="false">IF(AND(AC167=1,AA167&lt;1),IF(AND(C168=C167,AA168=AA167+1),IF(AC168=1,"",INDEX(DATAS,AA167+1)),INDEX(DATAS,AA167+1)),"")</f>
        <v/>
      </c>
    </row>
    <row r="168" customFormat="false" ht="15" hidden="false" customHeight="false" outlineLevel="0" collapsed="false">
      <c r="A168" s="51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46" t="s">
        <v>305</v>
      </c>
      <c r="G168" s="0" t="n">
        <v>53.4</v>
      </c>
      <c r="H168" s="0" t="n">
        <v>51</v>
      </c>
      <c r="I168" s="46" t="s">
        <v>181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51" t="n">
        <v>46310</v>
      </c>
      <c r="X168" s="46" t="n">
        <f aca="false">IF(I168="Male",0,1)</f>
        <v>1</v>
      </c>
      <c r="Y168" s="46" t="n">
        <f aca="false">IF(OR(I168="DNB",I168="Dry DNB"),1,0)</f>
        <v>0</v>
      </c>
      <c r="Z168" s="46" t="n">
        <f aca="false">IF(ISNUMBER(W168),A168-W168,"")</f>
        <v>-1</v>
      </c>
      <c r="AA168" s="46" t="n">
        <f aca="false">MATCH(A168,DATAS,0)</f>
        <v>1</v>
      </c>
      <c r="AB168" s="46" t="n">
        <f aca="false">IF(AND(E168&gt;0,OR(AND(B168&gt;=1,B168&lt;=6),B168=10)),1,0)</f>
        <v>1</v>
      </c>
      <c r="AC168" s="46" t="n">
        <f aca="false">IF(AND(E168&gt;0,B168=10),1,0)</f>
        <v>0</v>
      </c>
      <c r="AD168" s="0" t="str">
        <f aca="false">IF(AND(C167=C168,AA167=AA168-1),AB167,"")</f>
        <v/>
      </c>
      <c r="AE168" s="0" t="str">
        <f aca="false">IF(AND(C167=C168,AA167=AA168-1),AC167,"")</f>
        <v/>
      </c>
      <c r="AF168" s="0" t="str">
        <f aca="false">IF(AA168=1,"",IF(AND(AB168=1,AD168&lt;&gt;1),1,0))</f>
        <v/>
      </c>
      <c r="AG168" s="0" t="str">
        <f aca="false">IF(AA168=1,"",IF(AND(AC168=1,AE168&lt;&gt;1),1,0))</f>
        <v/>
      </c>
      <c r="AH168" s="51" t="str">
        <f aca="false">IF(AND(E168&gt;0,AA168&lt;1,NOT(AND(C169=C168,AA169=AA168+1))),INDEX(DATAS,AA168+1),"")</f>
        <v/>
      </c>
      <c r="AI168" s="51" t="str">
        <f aca="false">IF(AND(AC168=1,AA168&lt;1),IF(AND(C169=C168,AA169=AA168+1),IF(AC169=1,"",INDEX(DATAS,AA168+1)),INDEX(DATAS,AA168+1)),"")</f>
        <v/>
      </c>
    </row>
    <row r="169" customFormat="false" ht="15" hidden="false" customHeight="false" outlineLevel="0" collapsed="false">
      <c r="A169" s="51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46" t="s">
        <v>306</v>
      </c>
      <c r="I169" s="46" t="s">
        <v>157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51" t="n">
        <v>46100</v>
      </c>
      <c r="X169" s="46" t="n">
        <f aca="false">IF(I169="Male",0,1)</f>
        <v>1</v>
      </c>
      <c r="Y169" s="46" t="n">
        <f aca="false">IF(OR(I169="DNB",I169="Dry DNB"),1,0)</f>
        <v>0</v>
      </c>
      <c r="Z169" s="46" t="n">
        <f aca="false">IF(ISNUMBER(W169),A169-W169,"")</f>
        <v>209</v>
      </c>
      <c r="AA169" s="46" t="n">
        <f aca="false">MATCH(A169,DATAS,0)</f>
        <v>1</v>
      </c>
      <c r="AB169" s="46" t="n">
        <f aca="false">IF(AND(E169&gt;0,OR(AND(B169&gt;=1,B169&lt;=6),B169=10)),1,0)</f>
        <v>0</v>
      </c>
      <c r="AC169" s="46" t="n">
        <f aca="false">IF(AND(E169&gt;0,B169=10),1,0)</f>
        <v>0</v>
      </c>
      <c r="AD169" s="0" t="str">
        <f aca="false">IF(AND(C168=C169,AA168=AA169-1),AB168,"")</f>
        <v/>
      </c>
      <c r="AE169" s="0" t="str">
        <f aca="false">IF(AND(C168=C169,AA168=AA169-1),AC168,"")</f>
        <v/>
      </c>
      <c r="AF169" s="0" t="str">
        <f aca="false">IF(AA169=1,"",IF(AND(AB169=1,AD169&lt;&gt;1),1,0))</f>
        <v/>
      </c>
      <c r="AG169" s="0" t="str">
        <f aca="false">IF(AA169=1,"",IF(AND(AC169=1,AE169&lt;&gt;1),1,0))</f>
        <v/>
      </c>
      <c r="AH169" s="51" t="str">
        <f aca="false">IF(AND(E169&gt;0,AA169&lt;1,NOT(AND(C170=C169,AA170=AA169+1))),INDEX(DATAS,AA169+1),"")</f>
        <v/>
      </c>
      <c r="AI169" s="51" t="str">
        <f aca="false">IF(AND(AC169=1,AA169&lt;1),IF(AND(C170=C169,AA170=AA169+1),IF(AC170=1,"",INDEX(DATAS,AA169+1)),INDEX(DATAS,AA169+1)),"")</f>
        <v/>
      </c>
    </row>
    <row r="170" customFormat="false" ht="15" hidden="false" customHeight="false" outlineLevel="0" collapsed="false">
      <c r="A170" s="51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46" t="s">
        <v>307</v>
      </c>
      <c r="G170" s="0" t="n">
        <v>38.4</v>
      </c>
      <c r="H170" s="0" t="n">
        <v>37</v>
      </c>
      <c r="I170" s="46" t="s">
        <v>152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51" t="n">
        <v>46226</v>
      </c>
      <c r="X170" s="46" t="n">
        <f aca="false">IF(I170="Male",0,1)</f>
        <v>1</v>
      </c>
      <c r="Y170" s="46" t="n">
        <f aca="false">IF(OR(I170="DNB",I170="Dry DNB"),1,0)</f>
        <v>0</v>
      </c>
      <c r="Z170" s="46" t="n">
        <f aca="false">IF(ISNUMBER(W170),A170-W170,"")</f>
        <v>83</v>
      </c>
      <c r="AA170" s="46" t="n">
        <f aca="false">MATCH(A170,DATAS,0)</f>
        <v>1</v>
      </c>
      <c r="AB170" s="46" t="n">
        <f aca="false">IF(AND(E170&gt;0,OR(AND(B170&gt;=1,B170&lt;=6),B170=10)),1,0)</f>
        <v>1</v>
      </c>
      <c r="AC170" s="46" t="n">
        <f aca="false">IF(AND(E170&gt;0,B170=10),1,0)</f>
        <v>0</v>
      </c>
      <c r="AD170" s="0" t="str">
        <f aca="false">IF(AND(C169=C170,AA169=AA170-1),AB169,"")</f>
        <v/>
      </c>
      <c r="AE170" s="0" t="str">
        <f aca="false">IF(AND(C169=C170,AA169=AA170-1),AC169,"")</f>
        <v/>
      </c>
      <c r="AF170" s="0" t="str">
        <f aca="false">IF(AA170=1,"",IF(AND(AB170=1,AD170&lt;&gt;1),1,0))</f>
        <v/>
      </c>
      <c r="AG170" s="0" t="str">
        <f aca="false">IF(AA170=1,"",IF(AND(AC170=1,AE170&lt;&gt;1),1,0))</f>
        <v/>
      </c>
      <c r="AH170" s="51" t="str">
        <f aca="false">IF(AND(E170&gt;0,AA170&lt;1,NOT(AND(C171=C170,AA171=AA170+1))),INDEX(DATAS,AA170+1),"")</f>
        <v/>
      </c>
      <c r="AI170" s="51" t="str">
        <f aca="false">IF(AND(AC170=1,AA170&lt;1),IF(AND(C171=C170,AA171=AA170+1),IF(AC171=1,"",INDEX(DATAS,AA170+1)),INDEX(DATAS,AA170+1)),"")</f>
        <v/>
      </c>
    </row>
    <row r="171" customFormat="false" ht="15" hidden="false" customHeight="false" outlineLevel="0" collapsed="false">
      <c r="A171" s="51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46" t="s">
        <v>308</v>
      </c>
      <c r="G171" s="0" t="n">
        <v>7</v>
      </c>
      <c r="H171" s="0" t="n">
        <v>10</v>
      </c>
      <c r="I171" s="46" t="s">
        <v>157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51" t="n">
        <v>46135</v>
      </c>
      <c r="X171" s="46" t="n">
        <f aca="false">IF(I171="Male",0,1)</f>
        <v>1</v>
      </c>
      <c r="Y171" s="46" t="n">
        <f aca="false">IF(OR(I171="DNB",I171="Dry DNB"),1,0)</f>
        <v>0</v>
      </c>
      <c r="Z171" s="46" t="n">
        <f aca="false">IF(ISNUMBER(W171),A171-W171,"")</f>
        <v>174</v>
      </c>
      <c r="AA171" s="46" t="n">
        <f aca="false">MATCH(A171,DATAS,0)</f>
        <v>1</v>
      </c>
      <c r="AB171" s="46" t="n">
        <f aca="false">IF(AND(E171&gt;0,OR(AND(B171&gt;=1,B171&lt;=6),B171=10)),1,0)</f>
        <v>0</v>
      </c>
      <c r="AC171" s="46" t="n">
        <f aca="false">IF(AND(E171&gt;0,B171=10),1,0)</f>
        <v>0</v>
      </c>
      <c r="AD171" s="0" t="str">
        <f aca="false">IF(AND(C170=C171,AA170=AA171-1),AB170,"")</f>
        <v/>
      </c>
      <c r="AE171" s="0" t="str">
        <f aca="false">IF(AND(C170=C171,AA170=AA171-1),AC170,"")</f>
        <v/>
      </c>
      <c r="AF171" s="0" t="str">
        <f aca="false">IF(AA171=1,"",IF(AND(AB171=1,AD171&lt;&gt;1),1,0))</f>
        <v/>
      </c>
      <c r="AG171" s="0" t="str">
        <f aca="false">IF(AA171=1,"",IF(AND(AC171=1,AE171&lt;&gt;1),1,0))</f>
        <v/>
      </c>
      <c r="AH171" s="51" t="str">
        <f aca="false">IF(AND(E171&gt;0,AA171&lt;1,NOT(AND(C172=C171,AA172=AA171+1))),INDEX(DATAS,AA171+1),"")</f>
        <v/>
      </c>
      <c r="AI171" s="51" t="str">
        <f aca="false">IF(AND(AC171=1,AA171&lt;1),IF(AND(C172=C171,AA172=AA171+1),IF(AC172=1,"",INDEX(DATAS,AA171+1)),INDEX(DATAS,AA171+1)),"")</f>
        <v/>
      </c>
    </row>
    <row r="172" customFormat="false" ht="15" hidden="false" customHeight="false" outlineLevel="0" collapsed="false">
      <c r="A172" s="51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46" t="s">
        <v>309</v>
      </c>
      <c r="G172" s="0" t="n">
        <v>31.6</v>
      </c>
      <c r="H172" s="0" t="n">
        <v>29</v>
      </c>
      <c r="I172" s="46" t="s">
        <v>181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51" t="n">
        <v>46289</v>
      </c>
      <c r="X172" s="46" t="n">
        <f aca="false">IF(I172="Male",0,1)</f>
        <v>1</v>
      </c>
      <c r="Y172" s="46" t="n">
        <f aca="false">IF(OR(I172="DNB",I172="Dry DNB"),1,0)</f>
        <v>0</v>
      </c>
      <c r="Z172" s="46" t="n">
        <f aca="false">IF(ISNUMBER(W172),A172-W172,"")</f>
        <v>20</v>
      </c>
      <c r="AA172" s="46" t="n">
        <f aca="false">MATCH(A172,DATAS,0)</f>
        <v>1</v>
      </c>
      <c r="AB172" s="46" t="n">
        <f aca="false">IF(AND(E172&gt;0,OR(AND(B172&gt;=1,B172&lt;=6),B172=10)),1,0)</f>
        <v>1</v>
      </c>
      <c r="AC172" s="46" t="n">
        <f aca="false">IF(AND(E172&gt;0,B172=10),1,0)</f>
        <v>0</v>
      </c>
      <c r="AD172" s="0" t="str">
        <f aca="false">IF(AND(C171=C172,AA171=AA172-1),AB171,"")</f>
        <v/>
      </c>
      <c r="AE172" s="0" t="str">
        <f aca="false">IF(AND(C171=C172,AA171=AA172-1),AC171,"")</f>
        <v/>
      </c>
      <c r="AF172" s="0" t="str">
        <f aca="false">IF(AA172=1,"",IF(AND(AB172=1,AD172&lt;&gt;1),1,0))</f>
        <v/>
      </c>
      <c r="AG172" s="0" t="str">
        <f aca="false">IF(AA172=1,"",IF(AND(AC172=1,AE172&lt;&gt;1),1,0))</f>
        <v/>
      </c>
      <c r="AH172" s="51" t="str">
        <f aca="false">IF(AND(E172&gt;0,AA172&lt;1,NOT(AND(C173=C172,AA173=AA172+1))),INDEX(DATAS,AA172+1),"")</f>
        <v/>
      </c>
      <c r="AI172" s="51" t="str">
        <f aca="false">IF(AND(AC172=1,AA172&lt;1),IF(AND(C173=C172,AA173=AA172+1),IF(AC173=1,"",INDEX(DATAS,AA172+1)),INDEX(DATAS,AA172+1)),"")</f>
        <v/>
      </c>
    </row>
    <row r="173" customFormat="false" ht="15" hidden="false" customHeight="false" outlineLevel="0" collapsed="false">
      <c r="A173" s="51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46" t="s">
        <v>310</v>
      </c>
      <c r="G173" s="0" t="n">
        <v>51.4</v>
      </c>
      <c r="H173" s="0" t="n">
        <v>50</v>
      </c>
      <c r="I173" s="46" t="s">
        <v>181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51" t="n">
        <v>46205</v>
      </c>
      <c r="X173" s="46" t="n">
        <f aca="false">IF(I173="Male",0,1)</f>
        <v>1</v>
      </c>
      <c r="Y173" s="46" t="n">
        <f aca="false">IF(OR(I173="DNB",I173="Dry DNB"),1,0)</f>
        <v>0</v>
      </c>
      <c r="Z173" s="46" t="n">
        <f aca="false">IF(ISNUMBER(W173),A173-W173,"")</f>
        <v>104</v>
      </c>
      <c r="AA173" s="46" t="n">
        <f aca="false">MATCH(A173,DATAS,0)</f>
        <v>1</v>
      </c>
      <c r="AB173" s="46" t="n">
        <f aca="false">IF(AND(E173&gt;0,OR(AND(B173&gt;=1,B173&lt;=6),B173=10)),1,0)</f>
        <v>1</v>
      </c>
      <c r="AC173" s="46" t="n">
        <f aca="false">IF(AND(E173&gt;0,B173=10),1,0)</f>
        <v>0</v>
      </c>
      <c r="AD173" s="0" t="str">
        <f aca="false">IF(AND(C172=C173,AA172=AA173-1),AB172,"")</f>
        <v/>
      </c>
      <c r="AE173" s="0" t="str">
        <f aca="false">IF(AND(C172=C173,AA172=AA173-1),AC172,"")</f>
        <v/>
      </c>
      <c r="AF173" s="0" t="str">
        <f aca="false">IF(AA173=1,"",IF(AND(AB173=1,AD173&lt;&gt;1),1,0))</f>
        <v/>
      </c>
      <c r="AG173" s="0" t="str">
        <f aca="false">IF(AA173=1,"",IF(AND(AC173=1,AE173&lt;&gt;1),1,0))</f>
        <v/>
      </c>
      <c r="AH173" s="51" t="str">
        <f aca="false">IF(AND(E173&gt;0,AA173&lt;1,NOT(AND(C174=C173,AA174=AA173+1))),INDEX(DATAS,AA173+1),"")</f>
        <v/>
      </c>
      <c r="AI173" s="51" t="str">
        <f aca="false">IF(AND(AC173=1,AA173&lt;1),IF(AND(C174=C173,AA174=AA173+1),IF(AC174=1,"",INDEX(DATAS,AA173+1)),INDEX(DATAS,AA173+1)),"")</f>
        <v/>
      </c>
    </row>
    <row r="174" customFormat="false" ht="15" hidden="false" customHeight="false" outlineLevel="0" collapsed="false">
      <c r="A174" s="51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46" t="s">
        <v>310</v>
      </c>
      <c r="G174" s="0" t="n">
        <v>56.4</v>
      </c>
      <c r="H174" s="0" t="n">
        <v>55</v>
      </c>
      <c r="I174" s="46" t="s">
        <v>181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51" t="n">
        <v>46310</v>
      </c>
      <c r="X174" s="46" t="n">
        <f aca="false">IF(I174="Male",0,1)</f>
        <v>1</v>
      </c>
      <c r="Y174" s="46" t="n">
        <f aca="false">IF(OR(I174="DNB",I174="Dry DNB"),1,0)</f>
        <v>0</v>
      </c>
      <c r="Z174" s="46" t="n">
        <f aca="false">IF(ISNUMBER(W174),A174-W174,"")</f>
        <v>-1</v>
      </c>
      <c r="AA174" s="46" t="n">
        <f aca="false">MATCH(A174,DATAS,0)</f>
        <v>1</v>
      </c>
      <c r="AB174" s="46" t="n">
        <f aca="false">IF(AND(E174&gt;0,OR(AND(B174&gt;=1,B174&lt;=6),B174=10)),1,0)</f>
        <v>1</v>
      </c>
      <c r="AC174" s="46" t="n">
        <f aca="false">IF(AND(E174&gt;0,B174=10),1,0)</f>
        <v>0</v>
      </c>
      <c r="AD174" s="0" t="str">
        <f aca="false">IF(AND(C173=C174,AA173=AA174-1),AB173,"")</f>
        <v/>
      </c>
      <c r="AE174" s="0" t="str">
        <f aca="false">IF(AND(C173=C174,AA173=AA174-1),AC173,"")</f>
        <v/>
      </c>
      <c r="AF174" s="0" t="str">
        <f aca="false">IF(AA174=1,"",IF(AND(AB174=1,AD174&lt;&gt;1),1,0))</f>
        <v/>
      </c>
      <c r="AG174" s="0" t="str">
        <f aca="false">IF(AA174=1,"",IF(AND(AC174=1,AE174&lt;&gt;1),1,0))</f>
        <v/>
      </c>
      <c r="AH174" s="51" t="str">
        <f aca="false">IF(AND(E174&gt;0,AA174&lt;1,NOT(AND(C175=C174,AA175=AA174+1))),INDEX(DATAS,AA174+1),"")</f>
        <v/>
      </c>
      <c r="AI174" s="51" t="str">
        <f aca="false">IF(AND(AC174=1,AA174&lt;1),IF(AND(C175=C174,AA175=AA174+1),IF(AC175=1,"",INDEX(DATAS,AA174+1)),INDEX(DATAS,AA174+1)),"")</f>
        <v/>
      </c>
    </row>
    <row r="175" customFormat="false" ht="15" hidden="false" customHeight="false" outlineLevel="0" collapsed="false">
      <c r="A175" s="51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46" t="s">
        <v>310</v>
      </c>
      <c r="G175" s="0" t="n">
        <v>44.6</v>
      </c>
      <c r="H175" s="0" t="n">
        <v>39</v>
      </c>
      <c r="I175" s="46" t="s">
        <v>152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51" t="n">
        <v>46226</v>
      </c>
      <c r="X175" s="46" t="n">
        <f aca="false">IF(I175="Male",0,1)</f>
        <v>1</v>
      </c>
      <c r="Y175" s="46" t="n">
        <f aca="false">IF(OR(I175="DNB",I175="Dry DNB"),1,0)</f>
        <v>0</v>
      </c>
      <c r="Z175" s="46" t="n">
        <f aca="false">IF(ISNUMBER(W175),A175-W175,"")</f>
        <v>83</v>
      </c>
      <c r="AA175" s="46" t="n">
        <f aca="false">MATCH(A175,DATAS,0)</f>
        <v>1</v>
      </c>
      <c r="AB175" s="46" t="n">
        <f aca="false">IF(AND(E175&gt;0,OR(AND(B175&gt;=1,B175&lt;=6),B175=10)),1,0)</f>
        <v>1</v>
      </c>
      <c r="AC175" s="46" t="n">
        <f aca="false">IF(AND(E175&gt;0,B175=10),1,0)</f>
        <v>0</v>
      </c>
      <c r="AD175" s="0" t="str">
        <f aca="false">IF(AND(C174=C175,AA174=AA175-1),AB174,"")</f>
        <v/>
      </c>
      <c r="AE175" s="0" t="str">
        <f aca="false">IF(AND(C174=C175,AA174=AA175-1),AC174,"")</f>
        <v/>
      </c>
      <c r="AF175" s="0" t="str">
        <f aca="false">IF(AA175=1,"",IF(AND(AB175=1,AD175&lt;&gt;1),1,0))</f>
        <v/>
      </c>
      <c r="AG175" s="0" t="str">
        <f aca="false">IF(AA175=1,"",IF(AND(AC175=1,AE175&lt;&gt;1),1,0))</f>
        <v/>
      </c>
      <c r="AH175" s="51" t="str">
        <f aca="false">IF(AND(E175&gt;0,AA175&lt;1,NOT(AND(C176=C175,AA176=AA175+1))),INDEX(DATAS,AA175+1),"")</f>
        <v/>
      </c>
      <c r="AI175" s="51" t="str">
        <f aca="false">IF(AND(AC175=1,AA175&lt;1),IF(AND(C176=C175,AA176=AA175+1),IF(AC176=1,"",INDEX(DATAS,AA175+1)),INDEX(DATAS,AA175+1)),"")</f>
        <v/>
      </c>
    </row>
    <row r="176" customFormat="false" ht="15" hidden="false" customHeight="false" outlineLevel="0" collapsed="false">
      <c r="A176" s="51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46" t="s">
        <v>310</v>
      </c>
      <c r="G176" s="0" t="n">
        <v>29.5</v>
      </c>
      <c r="H176" s="0" t="n">
        <v>28</v>
      </c>
      <c r="I176" s="46" t="s">
        <v>138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51" t="n">
        <v>46065</v>
      </c>
      <c r="X176" s="46" t="n">
        <f aca="false">IF(I176="Male",0,1)</f>
        <v>1</v>
      </c>
      <c r="Y176" s="46" t="n">
        <f aca="false">IF(OR(I176="DNB",I176="Dry DNB"),1,0)</f>
        <v>1</v>
      </c>
      <c r="Z176" s="46" t="n">
        <f aca="false">IF(ISNUMBER(W176),A176-W176,"")</f>
        <v>244</v>
      </c>
      <c r="AA176" s="46" t="n">
        <f aca="false">MATCH(A176,DATAS,0)</f>
        <v>1</v>
      </c>
      <c r="AB176" s="46" t="n">
        <f aca="false">IF(AND(E176&gt;0,OR(AND(B176&gt;=1,B176&lt;=6),B176=10)),1,0)</f>
        <v>1</v>
      </c>
      <c r="AC176" s="46" t="n">
        <f aca="false">IF(AND(E176&gt;0,B176=10),1,0)</f>
        <v>0</v>
      </c>
      <c r="AD176" s="0" t="str">
        <f aca="false">IF(AND(C175=C176,AA175=AA176-1),AB175,"")</f>
        <v/>
      </c>
      <c r="AE176" s="0" t="str">
        <f aca="false">IF(AND(C175=C176,AA175=AA176-1),AC175,"")</f>
        <v/>
      </c>
      <c r="AF176" s="0" t="str">
        <f aca="false">IF(AA176=1,"",IF(AND(AB176=1,AD176&lt;&gt;1),1,0))</f>
        <v/>
      </c>
      <c r="AG176" s="0" t="str">
        <f aca="false">IF(AA176=1,"",IF(AND(AC176=1,AE176&lt;&gt;1),1,0))</f>
        <v/>
      </c>
      <c r="AH176" s="51" t="str">
        <f aca="false">IF(AND(E176&gt;0,AA176&lt;1,NOT(AND(C177=C176,AA177=AA176+1))),INDEX(DATAS,AA176+1),"")</f>
        <v/>
      </c>
      <c r="AI176" s="51" t="str">
        <f aca="false">IF(AND(AC176=1,AA176&lt;1),IF(AND(C177=C176,AA177=AA176+1),IF(AC177=1,"",INDEX(DATAS,AA176+1)),INDEX(DATAS,AA176+1)),"")</f>
        <v/>
      </c>
    </row>
    <row r="177" customFormat="false" ht="15" hidden="false" customHeight="false" outlineLevel="0" collapsed="false">
      <c r="A177" s="51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46" t="s">
        <v>311</v>
      </c>
      <c r="G177" s="0" t="n">
        <v>41.1</v>
      </c>
      <c r="H177" s="0" t="n">
        <v>46</v>
      </c>
      <c r="I177" s="46" t="s">
        <v>161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X177" s="46" t="n">
        <f aca="false">IF(I177="Male",0,1)</f>
        <v>1</v>
      </c>
      <c r="Y177" s="46" t="n">
        <f aca="false">IF(OR(I177="DNB",I177="Dry DNB"),1,0)</f>
        <v>0</v>
      </c>
      <c r="Z177" s="0" t="str">
        <f aca="false">IF(ISNUMBER(W177),A177-W177,"")</f>
        <v/>
      </c>
      <c r="AA177" s="46" t="n">
        <f aca="false">MATCH(A177,DATAS,0)</f>
        <v>1</v>
      </c>
      <c r="AB177" s="46" t="n">
        <f aca="false">IF(AND(E177&gt;0,OR(AND(B177&gt;=1,B177&lt;=6),B177=10)),1,0)</f>
        <v>1</v>
      </c>
      <c r="AC177" s="46" t="n">
        <f aca="false">IF(AND(E177&gt;0,B177=10),1,0)</f>
        <v>0</v>
      </c>
      <c r="AD177" s="0" t="str">
        <f aca="false">IF(AND(C176=C177,AA176=AA177-1),AB176,"")</f>
        <v/>
      </c>
      <c r="AE177" s="0" t="str">
        <f aca="false">IF(AND(C176=C177,AA176=AA177-1),AC176,"")</f>
        <v/>
      </c>
      <c r="AF177" s="0" t="str">
        <f aca="false">IF(AA177=1,"",IF(AND(AB177=1,AD177&lt;&gt;1),1,0))</f>
        <v/>
      </c>
      <c r="AG177" s="0" t="str">
        <f aca="false">IF(AA177=1,"",IF(AND(AC177=1,AE177&lt;&gt;1),1,0))</f>
        <v/>
      </c>
      <c r="AH177" s="51" t="str">
        <f aca="false">IF(AND(E177&gt;0,AA177&lt;1,NOT(AND(C178=C177,AA178=AA177+1))),INDEX(DATAS,AA177+1),"")</f>
        <v/>
      </c>
      <c r="AI177" s="51" t="str">
        <f aca="false">IF(AND(AC177=1,AA177&lt;1),IF(AND(C178=C177,AA178=AA177+1),IF(AC178=1,"",INDEX(DATAS,AA177+1)),INDEX(DATAS,AA177+1)),"")</f>
        <v/>
      </c>
    </row>
    <row r="178" customFormat="false" ht="15" hidden="false" customHeight="false" outlineLevel="0" collapsed="false">
      <c r="A178" s="51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46" t="s">
        <v>312</v>
      </c>
      <c r="G178" s="0" t="n">
        <v>33.1</v>
      </c>
      <c r="H178" s="0" t="n">
        <v>32</v>
      </c>
      <c r="I178" s="46" t="s">
        <v>181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51" t="n">
        <v>46289</v>
      </c>
      <c r="X178" s="46" t="n">
        <f aca="false">IF(I178="Male",0,1)</f>
        <v>1</v>
      </c>
      <c r="Y178" s="46" t="n">
        <f aca="false">IF(OR(I178="DNB",I178="Dry DNB"),1,0)</f>
        <v>0</v>
      </c>
      <c r="Z178" s="46" t="n">
        <f aca="false">IF(ISNUMBER(W178),A178-W178,"")</f>
        <v>20</v>
      </c>
      <c r="AA178" s="46" t="n">
        <f aca="false">MATCH(A178,DATAS,0)</f>
        <v>1</v>
      </c>
      <c r="AB178" s="46" t="n">
        <f aca="false">IF(AND(E178&gt;0,OR(AND(B178&gt;=1,B178&lt;=6),B178=10)),1,0)</f>
        <v>1</v>
      </c>
      <c r="AC178" s="46" t="n">
        <f aca="false">IF(AND(E178&gt;0,B178=10),1,0)</f>
        <v>0</v>
      </c>
      <c r="AD178" s="0" t="str">
        <f aca="false">IF(AND(C177=C178,AA177=AA178-1),AB177,"")</f>
        <v/>
      </c>
      <c r="AE178" s="0" t="str">
        <f aca="false">IF(AND(C177=C178,AA177=AA178-1),AC177,"")</f>
        <v/>
      </c>
      <c r="AF178" s="0" t="str">
        <f aca="false">IF(AA178=1,"",IF(AND(AB178=1,AD178&lt;&gt;1),1,0))</f>
        <v/>
      </c>
      <c r="AG178" s="0" t="str">
        <f aca="false">IF(AA178=1,"",IF(AND(AC178=1,AE178&lt;&gt;1),1,0))</f>
        <v/>
      </c>
      <c r="AH178" s="51" t="str">
        <f aca="false">IF(AND(E178&gt;0,AA178&lt;1,NOT(AND(C179=C178,AA179=AA178+1))),INDEX(DATAS,AA178+1),"")</f>
        <v/>
      </c>
      <c r="AI178" s="51" t="str">
        <f aca="false">IF(AND(AC178=1,AA178&lt;1),IF(AND(C179=C178,AA179=AA178+1),IF(AC179=1,"",INDEX(DATAS,AA178+1)),INDEX(DATAS,AA178+1)),"")</f>
        <v/>
      </c>
    </row>
    <row r="179" customFormat="false" ht="15" hidden="false" customHeight="false" outlineLevel="0" collapsed="false">
      <c r="A179" s="51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46" t="s">
        <v>313</v>
      </c>
      <c r="G179" s="0" t="n">
        <v>43.7</v>
      </c>
      <c r="H179" s="0" t="n">
        <v>37</v>
      </c>
      <c r="I179" s="46" t="s">
        <v>161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X179" s="46" t="n">
        <f aca="false">IF(I179="Male",0,1)</f>
        <v>1</v>
      </c>
      <c r="Y179" s="46" t="n">
        <f aca="false">IF(OR(I179="DNB",I179="Dry DNB"),1,0)</f>
        <v>0</v>
      </c>
      <c r="Z179" s="0" t="str">
        <f aca="false">IF(ISNUMBER(W179),A179-W179,"")</f>
        <v/>
      </c>
      <c r="AA179" s="46" t="n">
        <f aca="false">MATCH(A179,DATAS,0)</f>
        <v>1</v>
      </c>
      <c r="AB179" s="46" t="n">
        <f aca="false">IF(AND(E179&gt;0,OR(AND(B179&gt;=1,B179&lt;=6),B179=10)),1,0)</f>
        <v>1</v>
      </c>
      <c r="AC179" s="46" t="n">
        <f aca="false">IF(AND(E179&gt;0,B179=10),1,0)</f>
        <v>0</v>
      </c>
      <c r="AD179" s="0" t="str">
        <f aca="false">IF(AND(C178=C179,AA178=AA179-1),AB178,"")</f>
        <v/>
      </c>
      <c r="AE179" s="0" t="str">
        <f aca="false">IF(AND(C178=C179,AA178=AA179-1),AC178,"")</f>
        <v/>
      </c>
      <c r="AF179" s="0" t="str">
        <f aca="false">IF(AA179=1,"",IF(AND(AB179=1,AD179&lt;&gt;1),1,0))</f>
        <v/>
      </c>
      <c r="AG179" s="0" t="str">
        <f aca="false">IF(AA179=1,"",IF(AND(AC179=1,AE179&lt;&gt;1),1,0))</f>
        <v/>
      </c>
      <c r="AH179" s="51" t="str">
        <f aca="false">IF(AND(E179&gt;0,AA179&lt;1,NOT(AND(C180=C179,AA180=AA179+1))),INDEX(DATAS,AA179+1),"")</f>
        <v/>
      </c>
      <c r="AI179" s="51" t="str">
        <f aca="false">IF(AND(AC179=1,AA179&lt;1),IF(AND(C180=C179,AA180=AA179+1),IF(AC180=1,"",INDEX(DATAS,AA179+1)),INDEX(DATAS,AA179+1)),"")</f>
        <v/>
      </c>
    </row>
    <row r="180" customFormat="false" ht="15" hidden="false" customHeight="false" outlineLevel="0" collapsed="false">
      <c r="A180" s="51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46" t="s">
        <v>314</v>
      </c>
      <c r="G180" s="0" t="n">
        <v>51.4</v>
      </c>
      <c r="H180" s="0" t="n">
        <v>42</v>
      </c>
      <c r="I180" s="46" t="s">
        <v>152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51" t="n">
        <v>46177</v>
      </c>
      <c r="X180" s="46" t="n">
        <f aca="false">IF(I180="Male",0,1)</f>
        <v>1</v>
      </c>
      <c r="Y180" s="46" t="n">
        <f aca="false">IF(OR(I180="DNB",I180="Dry DNB"),1,0)</f>
        <v>0</v>
      </c>
      <c r="Z180" s="46" t="n">
        <f aca="false">IF(ISNUMBER(W180),A180-W180,"")</f>
        <v>132</v>
      </c>
      <c r="AA180" s="46" t="n">
        <f aca="false">MATCH(A180,DATAS,0)</f>
        <v>1</v>
      </c>
      <c r="AB180" s="46" t="n">
        <f aca="false">IF(AND(E180&gt;0,OR(AND(B180&gt;=1,B180&lt;=6),B180=10)),1,0)</f>
        <v>1</v>
      </c>
      <c r="AC180" s="46" t="n">
        <f aca="false">IF(AND(E180&gt;0,B180=10),1,0)</f>
        <v>0</v>
      </c>
      <c r="AD180" s="0" t="str">
        <f aca="false">IF(AND(C179=C180,AA179=AA180-1),AB179,"")</f>
        <v/>
      </c>
      <c r="AE180" s="0" t="str">
        <f aca="false">IF(AND(C179=C180,AA179=AA180-1),AC179,"")</f>
        <v/>
      </c>
      <c r="AF180" s="0" t="str">
        <f aca="false">IF(AA180=1,"",IF(AND(AB180=1,AD180&lt;&gt;1),1,0))</f>
        <v/>
      </c>
      <c r="AG180" s="0" t="str">
        <f aca="false">IF(AA180=1,"",IF(AND(AC180=1,AE180&lt;&gt;1),1,0))</f>
        <v/>
      </c>
      <c r="AH180" s="51" t="str">
        <f aca="false">IF(AND(E180&gt;0,AA180&lt;1,NOT(AND(C181=C180,AA181=AA180+1))),INDEX(DATAS,AA180+1),"")</f>
        <v/>
      </c>
      <c r="AI180" s="51" t="str">
        <f aca="false">IF(AND(AC180=1,AA180&lt;1),IF(AND(C181=C180,AA181=AA180+1),IF(AC181=1,"",INDEX(DATAS,AA180+1)),INDEX(DATAS,AA180+1)),"")</f>
        <v/>
      </c>
    </row>
    <row r="181" customFormat="false" ht="15" hidden="false" customHeight="false" outlineLevel="0" collapsed="false">
      <c r="A181" s="51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46" t="s">
        <v>315</v>
      </c>
      <c r="G181" s="0" t="n">
        <v>47.3</v>
      </c>
      <c r="H181" s="0" t="n">
        <v>53</v>
      </c>
      <c r="I181" s="46" t="s">
        <v>152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51" t="n">
        <v>46163</v>
      </c>
      <c r="X181" s="46" t="n">
        <f aca="false">IF(I181="Male",0,1)</f>
        <v>1</v>
      </c>
      <c r="Y181" s="46" t="n">
        <f aca="false">IF(OR(I181="DNB",I181="Dry DNB"),1,0)</f>
        <v>0</v>
      </c>
      <c r="Z181" s="46" t="n">
        <f aca="false">IF(ISNUMBER(W181),A181-W181,"")</f>
        <v>146</v>
      </c>
      <c r="AA181" s="46" t="n">
        <f aca="false">MATCH(A181,DATAS,0)</f>
        <v>1</v>
      </c>
      <c r="AB181" s="46" t="n">
        <f aca="false">IF(AND(E181&gt;0,OR(AND(B181&gt;=1,B181&lt;=6),B181=10)),1,0)</f>
        <v>1</v>
      </c>
      <c r="AC181" s="46" t="n">
        <f aca="false">IF(AND(E181&gt;0,B181=10),1,0)</f>
        <v>0</v>
      </c>
      <c r="AD181" s="0" t="str">
        <f aca="false">IF(AND(C180=C181,AA180=AA181-1),AB180,"")</f>
        <v/>
      </c>
      <c r="AE181" s="0" t="str">
        <f aca="false">IF(AND(C180=C181,AA180=AA181-1),AC180,"")</f>
        <v/>
      </c>
      <c r="AF181" s="0" t="str">
        <f aca="false">IF(AA181=1,"",IF(AND(AB181=1,AD181&lt;&gt;1),1,0))</f>
        <v/>
      </c>
      <c r="AG181" s="0" t="str">
        <f aca="false">IF(AA181=1,"",IF(AND(AC181=1,AE181&lt;&gt;1),1,0))</f>
        <v/>
      </c>
      <c r="AH181" s="51" t="str">
        <f aca="false">IF(AND(E181&gt;0,AA181&lt;1,NOT(AND(C182=C181,AA182=AA181+1))),INDEX(DATAS,AA181+1),"")</f>
        <v/>
      </c>
      <c r="AI181" s="51" t="str">
        <f aca="false">IF(AND(AC181=1,AA181&lt;1),IF(AND(C182=C181,AA182=AA181+1),IF(AC182=1,"",INDEX(DATAS,AA181+1)),INDEX(DATAS,AA181+1)),"")</f>
        <v/>
      </c>
    </row>
    <row r="182" customFormat="false" ht="15" hidden="false" customHeight="false" outlineLevel="0" collapsed="false">
      <c r="A182" s="51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46" t="s">
        <v>316</v>
      </c>
      <c r="I182" s="46" t="s">
        <v>157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51" t="n">
        <v>46065</v>
      </c>
      <c r="X182" s="46" t="n">
        <f aca="false">IF(I182="Male",0,1)</f>
        <v>1</v>
      </c>
      <c r="Y182" s="46" t="n">
        <f aca="false">IF(OR(I182="DNB",I182="Dry DNB"),1,0)</f>
        <v>0</v>
      </c>
      <c r="Z182" s="46" t="n">
        <f aca="false">IF(ISNUMBER(W182),A182-W182,"")</f>
        <v>244</v>
      </c>
      <c r="AA182" s="46" t="n">
        <f aca="false">MATCH(A182,DATAS,0)</f>
        <v>1</v>
      </c>
      <c r="AB182" s="46" t="n">
        <f aca="false">IF(AND(E182&gt;0,OR(AND(B182&gt;=1,B182&lt;=6),B182=10)),1,0)</f>
        <v>0</v>
      </c>
      <c r="AC182" s="46" t="n">
        <f aca="false">IF(AND(E182&gt;0,B182=10),1,0)</f>
        <v>0</v>
      </c>
      <c r="AD182" s="0" t="str">
        <f aca="false">IF(AND(C181=C182,AA181=AA182-1),AB181,"")</f>
        <v/>
      </c>
      <c r="AE182" s="0" t="str">
        <f aca="false">IF(AND(C181=C182,AA181=AA182-1),AC181,"")</f>
        <v/>
      </c>
      <c r="AF182" s="0" t="str">
        <f aca="false">IF(AA182=1,"",IF(AND(AB182=1,AD182&lt;&gt;1),1,0))</f>
        <v/>
      </c>
      <c r="AG182" s="0" t="str">
        <f aca="false">IF(AA182=1,"",IF(AND(AC182=1,AE182&lt;&gt;1),1,0))</f>
        <v/>
      </c>
      <c r="AH182" s="51" t="str">
        <f aca="false">IF(AND(E182&gt;0,AA182&lt;1,NOT(AND(C183=C182,AA183=AA182+1))),INDEX(DATAS,AA182+1),"")</f>
        <v/>
      </c>
      <c r="AI182" s="51" t="str">
        <f aca="false">IF(AND(AC182=1,AA182&lt;1),IF(AND(C183=C182,AA183=AA182+1),IF(AC183=1,"",INDEX(DATAS,AA182+1)),INDEX(DATAS,AA182+1)),"")</f>
        <v/>
      </c>
    </row>
    <row r="183" customFormat="false" ht="15" hidden="false" customHeight="false" outlineLevel="0" collapsed="false">
      <c r="A183" s="51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46" t="s">
        <v>317</v>
      </c>
      <c r="G183" s="0" t="n">
        <v>79.2</v>
      </c>
      <c r="H183" s="0" t="n">
        <v>78</v>
      </c>
      <c r="I183" s="46" t="s">
        <v>161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X183" s="46" t="n">
        <f aca="false">IF(I183="Male",0,1)</f>
        <v>1</v>
      </c>
      <c r="Y183" s="46" t="n">
        <f aca="false">IF(OR(I183="DNB",I183="Dry DNB"),1,0)</f>
        <v>0</v>
      </c>
      <c r="Z183" s="0" t="str">
        <f aca="false">IF(ISNUMBER(W183),A183-W183,"")</f>
        <v/>
      </c>
      <c r="AA183" s="46" t="n">
        <f aca="false">MATCH(A183,DATAS,0)</f>
        <v>1</v>
      </c>
      <c r="AB183" s="46" t="n">
        <f aca="false">IF(AND(E183&gt;0,OR(AND(B183&gt;=1,B183&lt;=6),B183=10)),1,0)</f>
        <v>1</v>
      </c>
      <c r="AC183" s="46" t="n">
        <f aca="false">IF(AND(E183&gt;0,B183=10),1,0)</f>
        <v>0</v>
      </c>
      <c r="AD183" s="0" t="str">
        <f aca="false">IF(AND(C182=C183,AA182=AA183-1),AB182,"")</f>
        <v/>
      </c>
      <c r="AE183" s="0" t="str">
        <f aca="false">IF(AND(C182=C183,AA182=AA183-1),AC182,"")</f>
        <v/>
      </c>
      <c r="AF183" s="0" t="str">
        <f aca="false">IF(AA183=1,"",IF(AND(AB183=1,AD183&lt;&gt;1),1,0))</f>
        <v/>
      </c>
      <c r="AG183" s="0" t="str">
        <f aca="false">IF(AA183=1,"",IF(AND(AC183=1,AE183&lt;&gt;1),1,0))</f>
        <v/>
      </c>
      <c r="AH183" s="51" t="str">
        <f aca="false">IF(AND(E183&gt;0,AA183&lt;1,NOT(AND(C184=C183,AA184=AA183+1))),INDEX(DATAS,AA183+1),"")</f>
        <v/>
      </c>
      <c r="AI183" s="51" t="str">
        <f aca="false">IF(AND(AC183=1,AA183&lt;1),IF(AND(C184=C183,AA184=AA183+1),IF(AC184=1,"",INDEX(DATAS,AA183+1)),INDEX(DATAS,AA183+1)),"")</f>
        <v/>
      </c>
    </row>
    <row r="184" customFormat="false" ht="15" hidden="false" customHeight="false" outlineLevel="0" collapsed="false">
      <c r="A184" s="51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46" t="s">
        <v>317</v>
      </c>
      <c r="G184" s="0" t="n">
        <v>64.4</v>
      </c>
      <c r="H184" s="0" t="n">
        <v>65</v>
      </c>
      <c r="I184" s="46" t="s">
        <v>161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X184" s="46" t="n">
        <f aca="false">IF(I184="Male",0,1)</f>
        <v>1</v>
      </c>
      <c r="Y184" s="46" t="n">
        <f aca="false">IF(OR(I184="DNB",I184="Dry DNB"),1,0)</f>
        <v>0</v>
      </c>
      <c r="Z184" s="0" t="str">
        <f aca="false">IF(ISNUMBER(W184),A184-W184,"")</f>
        <v/>
      </c>
      <c r="AA184" s="46" t="n">
        <f aca="false">MATCH(A184,DATAS,0)</f>
        <v>1</v>
      </c>
      <c r="AB184" s="46" t="n">
        <f aca="false">IF(AND(E184&gt;0,OR(AND(B184&gt;=1,B184&lt;=6),B184=10)),1,0)</f>
        <v>1</v>
      </c>
      <c r="AC184" s="46" t="n">
        <f aca="false">IF(AND(E184&gt;0,B184=10),1,0)</f>
        <v>0</v>
      </c>
      <c r="AD184" s="0" t="str">
        <f aca="false">IF(AND(C183=C184,AA183=AA184-1),AB183,"")</f>
        <v/>
      </c>
      <c r="AE184" s="0" t="str">
        <f aca="false">IF(AND(C183=C184,AA183=AA184-1),AC183,"")</f>
        <v/>
      </c>
      <c r="AF184" s="0" t="str">
        <f aca="false">IF(AA184=1,"",IF(AND(AB184=1,AD184&lt;&gt;1),1,0))</f>
        <v/>
      </c>
      <c r="AG184" s="0" t="str">
        <f aca="false">IF(AA184=1,"",IF(AND(AC184=1,AE184&lt;&gt;1),1,0))</f>
        <v/>
      </c>
      <c r="AH184" s="51" t="str">
        <f aca="false">IF(AND(E184&gt;0,AA184&lt;1,NOT(AND(C185=C184,AA185=AA184+1))),INDEX(DATAS,AA184+1),"")</f>
        <v/>
      </c>
      <c r="AI184" s="51" t="str">
        <f aca="false">IF(AND(AC184=1,AA184&lt;1),IF(AND(C185=C184,AA185=AA184+1),IF(AC185=1,"",INDEX(DATAS,AA184+1)),INDEX(DATAS,AA184+1)),"")</f>
        <v/>
      </c>
    </row>
    <row r="185" customFormat="false" ht="15" hidden="false" customHeight="false" outlineLevel="0" collapsed="false">
      <c r="A185" s="51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46" t="s">
        <v>318</v>
      </c>
      <c r="I185" s="46" t="s">
        <v>157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51" t="n">
        <v>46065</v>
      </c>
      <c r="X185" s="46" t="n">
        <f aca="false">IF(I185="Male",0,1)</f>
        <v>1</v>
      </c>
      <c r="Y185" s="46" t="n">
        <f aca="false">IF(OR(I185="DNB",I185="Dry DNB"),1,0)</f>
        <v>0</v>
      </c>
      <c r="Z185" s="46" t="n">
        <f aca="false">IF(ISNUMBER(W185),A185-W185,"")</f>
        <v>244</v>
      </c>
      <c r="AA185" s="46" t="n">
        <f aca="false">MATCH(A185,DATAS,0)</f>
        <v>1</v>
      </c>
      <c r="AB185" s="46" t="n">
        <f aca="false">IF(AND(E185&gt;0,OR(AND(B185&gt;=1,B185&lt;=6),B185=10)),1,0)</f>
        <v>0</v>
      </c>
      <c r="AC185" s="46" t="n">
        <f aca="false">IF(AND(E185&gt;0,B185=10),1,0)</f>
        <v>0</v>
      </c>
      <c r="AD185" s="0" t="str">
        <f aca="false">IF(AND(C184=C185,AA184=AA185-1),AB184,"")</f>
        <v/>
      </c>
      <c r="AE185" s="0" t="str">
        <f aca="false">IF(AND(C184=C185,AA184=AA185-1),AC184,"")</f>
        <v/>
      </c>
      <c r="AF185" s="0" t="str">
        <f aca="false">IF(AA185=1,"",IF(AND(AB185=1,AD185&lt;&gt;1),1,0))</f>
        <v/>
      </c>
      <c r="AG185" s="0" t="str">
        <f aca="false">IF(AA185=1,"",IF(AND(AC185=1,AE185&lt;&gt;1),1,0))</f>
        <v/>
      </c>
      <c r="AH185" s="51" t="str">
        <f aca="false">IF(AND(E185&gt;0,AA185&lt;1,NOT(AND(C186=C185,AA186=AA185+1))),INDEX(DATAS,AA185+1),"")</f>
        <v/>
      </c>
      <c r="AI185" s="51" t="str">
        <f aca="false">IF(AND(AC185=1,AA185&lt;1),IF(AND(C186=C185,AA186=AA185+1),IF(AC186=1,"",INDEX(DATAS,AA185+1)),INDEX(DATAS,AA185+1)),"")</f>
        <v/>
      </c>
    </row>
    <row r="186" customFormat="false" ht="15" hidden="false" customHeight="false" outlineLevel="0" collapsed="false">
      <c r="A186" s="51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46" t="s">
        <v>319</v>
      </c>
      <c r="I186" s="46" t="s">
        <v>157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51" t="n">
        <v>46114</v>
      </c>
      <c r="X186" s="46" t="n">
        <f aca="false">IF(I186="Male",0,1)</f>
        <v>1</v>
      </c>
      <c r="Y186" s="46" t="n">
        <f aca="false">IF(OR(I186="DNB",I186="Dry DNB"),1,0)</f>
        <v>0</v>
      </c>
      <c r="Z186" s="46" t="n">
        <f aca="false">IF(ISNUMBER(W186),A186-W186,"")</f>
        <v>195</v>
      </c>
      <c r="AA186" s="46" t="n">
        <f aca="false">MATCH(A186,DATAS,0)</f>
        <v>1</v>
      </c>
      <c r="AB186" s="46" t="n">
        <f aca="false">IF(AND(E186&gt;0,OR(AND(B186&gt;=1,B186&lt;=6),B186=10)),1,0)</f>
        <v>0</v>
      </c>
      <c r="AC186" s="46" t="n">
        <f aca="false">IF(AND(E186&gt;0,B186=10),1,0)</f>
        <v>0</v>
      </c>
      <c r="AD186" s="0" t="str">
        <f aca="false">IF(AND(C185=C186,AA185=AA186-1),AB185,"")</f>
        <v/>
      </c>
      <c r="AE186" s="0" t="str">
        <f aca="false">IF(AND(C185=C186,AA185=AA186-1),AC185,"")</f>
        <v/>
      </c>
      <c r="AF186" s="0" t="str">
        <f aca="false">IF(AA186=1,"",IF(AND(AB186=1,AD186&lt;&gt;1),1,0))</f>
        <v/>
      </c>
      <c r="AG186" s="0" t="str">
        <f aca="false">IF(AA186=1,"",IF(AND(AC186=1,AE186&lt;&gt;1),1,0))</f>
        <v/>
      </c>
      <c r="AH186" s="51" t="str">
        <f aca="false">IF(AND(E186&gt;0,AA186&lt;1,NOT(AND(C187=C186,AA187=AA186+1))),INDEX(DATAS,AA186+1),"")</f>
        <v/>
      </c>
      <c r="AI186" s="51" t="str">
        <f aca="false">IF(AND(AC186=1,AA186&lt;1),IF(AND(C187=C186,AA187=AA186+1),IF(AC187=1,"",INDEX(DATAS,AA186+1)),INDEX(DATAS,AA186+1)),"")</f>
        <v/>
      </c>
    </row>
    <row r="187" customFormat="false" ht="15" hidden="false" customHeight="false" outlineLevel="0" collapsed="false">
      <c r="A187" s="51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46" t="s">
        <v>320</v>
      </c>
      <c r="G187" s="0" t="n">
        <v>30.7</v>
      </c>
      <c r="H187" s="0" t="n">
        <v>30</v>
      </c>
      <c r="I187" s="46" t="s">
        <v>138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X187" s="46" t="n">
        <f aca="false">IF(I187="Male",0,1)</f>
        <v>1</v>
      </c>
      <c r="Y187" s="46" t="n">
        <f aca="false">IF(OR(I187="DNB",I187="Dry DNB"),1,0)</f>
        <v>1</v>
      </c>
      <c r="Z187" s="0" t="str">
        <f aca="false">IF(ISNUMBER(W187),A187-W187,"")</f>
        <v/>
      </c>
      <c r="AA187" s="46" t="n">
        <f aca="false">MATCH(A187,DATAS,0)</f>
        <v>1</v>
      </c>
      <c r="AB187" s="46" t="n">
        <f aca="false">IF(AND(E187&gt;0,OR(AND(B187&gt;=1,B187&lt;=6),B187=10)),1,0)</f>
        <v>1</v>
      </c>
      <c r="AC187" s="46" t="n">
        <f aca="false">IF(AND(E187&gt;0,B187=10),1,0)</f>
        <v>0</v>
      </c>
      <c r="AD187" s="0" t="str">
        <f aca="false">IF(AND(C186=C187,AA186=AA187-1),AB186,"")</f>
        <v/>
      </c>
      <c r="AE187" s="0" t="str">
        <f aca="false">IF(AND(C186=C187,AA186=AA187-1),AC186,"")</f>
        <v/>
      </c>
      <c r="AF187" s="0" t="str">
        <f aca="false">IF(AA187=1,"",IF(AND(AB187=1,AD187&lt;&gt;1),1,0))</f>
        <v/>
      </c>
      <c r="AG187" s="0" t="str">
        <f aca="false">IF(AA187=1,"",IF(AND(AC187=1,AE187&lt;&gt;1),1,0))</f>
        <v/>
      </c>
      <c r="AH187" s="51" t="str">
        <f aca="false">IF(AND(E187&gt;0,AA187&lt;1,NOT(AND(C188=C187,AA188=AA187+1))),INDEX(DATAS,AA187+1),"")</f>
        <v/>
      </c>
      <c r="AI187" s="51" t="str">
        <f aca="false">IF(AND(AC187=1,AA187&lt;1),IF(AND(C188=C187,AA188=AA187+1),IF(AC188=1,"",INDEX(DATAS,AA187+1)),INDEX(DATAS,AA187+1)),"")</f>
        <v/>
      </c>
    </row>
    <row r="188" customFormat="false" ht="15" hidden="false" customHeight="false" outlineLevel="0" collapsed="false">
      <c r="A188" s="51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46" t="s">
        <v>321</v>
      </c>
      <c r="I188" s="46" t="s">
        <v>157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51" t="n">
        <v>46121</v>
      </c>
      <c r="X188" s="46" t="n">
        <f aca="false">IF(I188="Male",0,1)</f>
        <v>1</v>
      </c>
      <c r="Y188" s="46" t="n">
        <f aca="false">IF(OR(I188="DNB",I188="Dry DNB"),1,0)</f>
        <v>0</v>
      </c>
      <c r="Z188" s="46" t="n">
        <f aca="false">IF(ISNUMBER(W188),A188-W188,"")</f>
        <v>188</v>
      </c>
      <c r="AA188" s="46" t="n">
        <f aca="false">MATCH(A188,DATAS,0)</f>
        <v>1</v>
      </c>
      <c r="AB188" s="46" t="n">
        <f aca="false">IF(AND(E188&gt;0,OR(AND(B188&gt;=1,B188&lt;=6),B188=10)),1,0)</f>
        <v>0</v>
      </c>
      <c r="AC188" s="46" t="n">
        <f aca="false">IF(AND(E188&gt;0,B188=10),1,0)</f>
        <v>0</v>
      </c>
      <c r="AD188" s="0" t="str">
        <f aca="false">IF(AND(C187=C188,AA187=AA188-1),AB187,"")</f>
        <v/>
      </c>
      <c r="AE188" s="0" t="str">
        <f aca="false">IF(AND(C187=C188,AA187=AA188-1),AC187,"")</f>
        <v/>
      </c>
      <c r="AF188" s="0" t="str">
        <f aca="false">IF(AA188=1,"",IF(AND(AB188=1,AD188&lt;&gt;1),1,0))</f>
        <v/>
      </c>
      <c r="AG188" s="0" t="str">
        <f aca="false">IF(AA188=1,"",IF(AND(AC188=1,AE188&lt;&gt;1),1,0))</f>
        <v/>
      </c>
      <c r="AH188" s="51" t="str">
        <f aca="false">IF(AND(E188&gt;0,AA188&lt;1,NOT(AND(C189=C188,AA189=AA188+1))),INDEX(DATAS,AA188+1),"")</f>
        <v/>
      </c>
      <c r="AI188" s="51" t="str">
        <f aca="false">IF(AND(AC188=1,AA188&lt;1),IF(AND(C189=C188,AA189=AA188+1),IF(AC189=1,"",INDEX(DATAS,AA188+1)),INDEX(DATAS,AA188+1)),"")</f>
        <v/>
      </c>
    </row>
    <row r="189" customFormat="false" ht="15" hidden="false" customHeight="false" outlineLevel="0" collapsed="false">
      <c r="A189" s="51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46" t="s">
        <v>322</v>
      </c>
      <c r="G189" s="0" t="n">
        <v>24.5</v>
      </c>
      <c r="H189" s="0" t="n">
        <v>25</v>
      </c>
      <c r="I189" s="46" t="s">
        <v>152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51" t="n">
        <v>46240</v>
      </c>
      <c r="X189" s="46" t="n">
        <f aca="false">IF(I189="Male",0,1)</f>
        <v>1</v>
      </c>
      <c r="Y189" s="46" t="n">
        <f aca="false">IF(OR(I189="DNB",I189="Dry DNB"),1,0)</f>
        <v>0</v>
      </c>
      <c r="Z189" s="46" t="n">
        <f aca="false">IF(ISNUMBER(W189),A189-W189,"")</f>
        <v>69</v>
      </c>
      <c r="AA189" s="46" t="n">
        <f aca="false">MATCH(A189,DATAS,0)</f>
        <v>1</v>
      </c>
      <c r="AB189" s="46" t="n">
        <f aca="false">IF(AND(E189&gt;0,OR(AND(B189&gt;=1,B189&lt;=6),B189=10)),1,0)</f>
        <v>1</v>
      </c>
      <c r="AC189" s="46" t="n">
        <f aca="false">IF(AND(E189&gt;0,B189=10),1,0)</f>
        <v>0</v>
      </c>
      <c r="AD189" s="0" t="str">
        <f aca="false">IF(AND(C188=C189,AA188=AA189-1),AB188,"")</f>
        <v/>
      </c>
      <c r="AE189" s="0" t="str">
        <f aca="false">IF(AND(C188=C189,AA188=AA189-1),AC188,"")</f>
        <v/>
      </c>
      <c r="AF189" s="0" t="str">
        <f aca="false">IF(AA189=1,"",IF(AND(AB189=1,AD189&lt;&gt;1),1,0))</f>
        <v/>
      </c>
      <c r="AG189" s="0" t="str">
        <f aca="false">IF(AA189=1,"",IF(AND(AC189=1,AE189&lt;&gt;1),1,0))</f>
        <v/>
      </c>
      <c r="AH189" s="51" t="str">
        <f aca="false">IF(AND(E189&gt;0,AA189&lt;1,NOT(AND(C190=C189,AA190=AA189+1))),INDEX(DATAS,AA189+1),"")</f>
        <v/>
      </c>
      <c r="AI189" s="51" t="str">
        <f aca="false">IF(AND(AC189=1,AA189&lt;1),IF(AND(C190=C189,AA190=AA189+1),IF(AC190=1,"",INDEX(DATAS,AA189+1)),INDEX(DATAS,AA189+1)),"")</f>
        <v/>
      </c>
    </row>
    <row r="190" customFormat="false" ht="15" hidden="false" customHeight="false" outlineLevel="0" collapsed="false">
      <c r="A190" s="51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46" t="s">
        <v>323</v>
      </c>
      <c r="G190" s="0" t="n">
        <v>27.6</v>
      </c>
      <c r="H190" s="0" t="n">
        <v>28</v>
      </c>
      <c r="I190" s="46" t="s">
        <v>152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51" t="n">
        <v>46100</v>
      </c>
      <c r="X190" s="46" t="n">
        <f aca="false">IF(I190="Male",0,1)</f>
        <v>1</v>
      </c>
      <c r="Y190" s="46" t="n">
        <f aca="false">IF(OR(I190="DNB",I190="Dry DNB"),1,0)</f>
        <v>0</v>
      </c>
      <c r="Z190" s="46" t="n">
        <f aca="false">IF(ISNUMBER(W190),A190-W190,"")</f>
        <v>209</v>
      </c>
      <c r="AA190" s="46" t="n">
        <f aca="false">MATCH(A190,DATAS,0)</f>
        <v>1</v>
      </c>
      <c r="AB190" s="46" t="n">
        <f aca="false">IF(AND(E190&gt;0,OR(AND(B190&gt;=1,B190&lt;=6),B190=10)),1,0)</f>
        <v>1</v>
      </c>
      <c r="AC190" s="46" t="n">
        <f aca="false">IF(AND(E190&gt;0,B190=10),1,0)</f>
        <v>0</v>
      </c>
      <c r="AD190" s="0" t="str">
        <f aca="false">IF(AND(C189=C190,AA189=AA190-1),AB189,"")</f>
        <v/>
      </c>
      <c r="AE190" s="0" t="str">
        <f aca="false">IF(AND(C189=C190,AA189=AA190-1),AC189,"")</f>
        <v/>
      </c>
      <c r="AF190" s="0" t="str">
        <f aca="false">IF(AA190=1,"",IF(AND(AB190=1,AD190&lt;&gt;1),1,0))</f>
        <v/>
      </c>
      <c r="AG190" s="0" t="str">
        <f aca="false">IF(AA190=1,"",IF(AND(AC190=1,AE190&lt;&gt;1),1,0))</f>
        <v/>
      </c>
      <c r="AH190" s="51" t="str">
        <f aca="false">IF(AND(E190&gt;0,AA190&lt;1,NOT(AND(C191=C190,AA191=AA190+1))),INDEX(DATAS,AA190+1),"")</f>
        <v/>
      </c>
      <c r="AI190" s="51" t="str">
        <f aca="false">IF(AND(AC190=1,AA190&lt;1),IF(AND(C191=C190,AA191=AA190+1),IF(AC191=1,"",INDEX(DATAS,AA190+1)),INDEX(DATAS,AA190+1)),"")</f>
        <v/>
      </c>
    </row>
    <row r="191" customFormat="false" ht="15" hidden="false" customHeight="false" outlineLevel="0" collapsed="false">
      <c r="A191" s="51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46" t="s">
        <v>324</v>
      </c>
      <c r="G191" s="0" t="n">
        <v>24.6</v>
      </c>
      <c r="H191" s="0" t="n">
        <v>27</v>
      </c>
      <c r="I191" s="46" t="s">
        <v>152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51" t="n">
        <v>46114</v>
      </c>
      <c r="X191" s="46" t="n">
        <f aca="false">IF(I191="Male",0,1)</f>
        <v>1</v>
      </c>
      <c r="Y191" s="46" t="n">
        <f aca="false">IF(OR(I191="DNB",I191="Dry DNB"),1,0)</f>
        <v>0</v>
      </c>
      <c r="Z191" s="46" t="n">
        <f aca="false">IF(ISNUMBER(W191),A191-W191,"")</f>
        <v>195</v>
      </c>
      <c r="AA191" s="46" t="n">
        <f aca="false">MATCH(A191,DATAS,0)</f>
        <v>1</v>
      </c>
      <c r="AB191" s="46" t="n">
        <f aca="false">IF(AND(E191&gt;0,OR(AND(B191&gt;=1,B191&lt;=6),B191=10)),1,0)</f>
        <v>1</v>
      </c>
      <c r="AC191" s="46" t="n">
        <f aca="false">IF(AND(E191&gt;0,B191=10),1,0)</f>
        <v>0</v>
      </c>
      <c r="AD191" s="0" t="str">
        <f aca="false">IF(AND(C190=C191,AA190=AA191-1),AB190,"")</f>
        <v/>
      </c>
      <c r="AE191" s="0" t="str">
        <f aca="false">IF(AND(C190=C191,AA190=AA191-1),AC190,"")</f>
        <v/>
      </c>
      <c r="AF191" s="0" t="str">
        <f aca="false">IF(AA191=1,"",IF(AND(AB191=1,AD191&lt;&gt;1),1,0))</f>
        <v/>
      </c>
      <c r="AG191" s="0" t="str">
        <f aca="false">IF(AA191=1,"",IF(AND(AC191=1,AE191&lt;&gt;1),1,0))</f>
        <v/>
      </c>
      <c r="AH191" s="51" t="str">
        <f aca="false">IF(AND(E191&gt;0,AA191&lt;1,NOT(AND(C192=C191,AA192=AA191+1))),INDEX(DATAS,AA191+1),"")</f>
        <v/>
      </c>
      <c r="AI191" s="51" t="str">
        <f aca="false">IF(AND(AC191=1,AA191&lt;1),IF(AND(C192=C191,AA192=AA191+1),IF(AC192=1,"",INDEX(DATAS,AA191+1)),INDEX(DATAS,AA191+1)),"")</f>
        <v/>
      </c>
    </row>
    <row r="192" customFormat="false" ht="15" hidden="false" customHeight="false" outlineLevel="0" collapsed="false">
      <c r="A192" s="51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46" t="s">
        <v>324</v>
      </c>
      <c r="G192" s="0" t="n">
        <v>38.4</v>
      </c>
      <c r="H192" s="0" t="n">
        <v>40</v>
      </c>
      <c r="I192" s="46" t="s">
        <v>152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51" t="n">
        <v>46275</v>
      </c>
      <c r="X192" s="46" t="n">
        <f aca="false">IF(I192="Male",0,1)</f>
        <v>1</v>
      </c>
      <c r="Y192" s="46" t="n">
        <f aca="false">IF(OR(I192="DNB",I192="Dry DNB"),1,0)</f>
        <v>0</v>
      </c>
      <c r="Z192" s="46" t="n">
        <f aca="false">IF(ISNUMBER(W192),A192-W192,"")</f>
        <v>34</v>
      </c>
      <c r="AA192" s="46" t="n">
        <f aca="false">MATCH(A192,DATAS,0)</f>
        <v>1</v>
      </c>
      <c r="AB192" s="46" t="n">
        <f aca="false">IF(AND(E192&gt;0,OR(AND(B192&gt;=1,B192&lt;=6),B192=10)),1,0)</f>
        <v>1</v>
      </c>
      <c r="AC192" s="46" t="n">
        <f aca="false">IF(AND(E192&gt;0,B192=10),1,0)</f>
        <v>0</v>
      </c>
      <c r="AD192" s="0" t="str">
        <f aca="false">IF(AND(C191=C192,AA191=AA192-1),AB191,"")</f>
        <v/>
      </c>
      <c r="AE192" s="0" t="str">
        <f aca="false">IF(AND(C191=C192,AA191=AA192-1),AC191,"")</f>
        <v/>
      </c>
      <c r="AF192" s="0" t="str">
        <f aca="false">IF(AA192=1,"",IF(AND(AB192=1,AD192&lt;&gt;1),1,0))</f>
        <v/>
      </c>
      <c r="AG192" s="0" t="str">
        <f aca="false">IF(AA192=1,"",IF(AND(AC192=1,AE192&lt;&gt;1),1,0))</f>
        <v/>
      </c>
      <c r="AH192" s="51" t="str">
        <f aca="false">IF(AND(E192&gt;0,AA192&lt;1,NOT(AND(C193=C192,AA193=AA192+1))),INDEX(DATAS,AA192+1),"")</f>
        <v/>
      </c>
      <c r="AI192" s="51" t="str">
        <f aca="false">IF(AND(AC192=1,AA192&lt;1),IF(AND(C193=C192,AA193=AA192+1),IF(AC193=1,"",INDEX(DATAS,AA192+1)),INDEX(DATAS,AA192+1)),"")</f>
        <v/>
      </c>
    </row>
    <row r="193" customFormat="false" ht="15" hidden="false" customHeight="false" outlineLevel="0" collapsed="false">
      <c r="A193" s="51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46" t="s">
        <v>325</v>
      </c>
      <c r="G193" s="0" t="n">
        <v>36.1</v>
      </c>
      <c r="H193" s="0" t="n">
        <v>35</v>
      </c>
      <c r="I193" s="46" t="s">
        <v>138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X193" s="46" t="n">
        <f aca="false">IF(I193="Male",0,1)</f>
        <v>1</v>
      </c>
      <c r="Y193" s="46" t="n">
        <f aca="false">IF(OR(I193="DNB",I193="Dry DNB"),1,0)</f>
        <v>1</v>
      </c>
      <c r="Z193" s="0" t="str">
        <f aca="false">IF(ISNUMBER(W193),A193-W193,"")</f>
        <v/>
      </c>
      <c r="AA193" s="46" t="n">
        <f aca="false">MATCH(A193,DATAS,0)</f>
        <v>1</v>
      </c>
      <c r="AB193" s="46" t="n">
        <f aca="false">IF(AND(E193&gt;0,OR(AND(B193&gt;=1,B193&lt;=6),B193=10)),1,0)</f>
        <v>1</v>
      </c>
      <c r="AC193" s="46" t="n">
        <f aca="false">IF(AND(E193&gt;0,B193=10),1,0)</f>
        <v>0</v>
      </c>
      <c r="AD193" s="0" t="str">
        <f aca="false">IF(AND(C192=C193,AA192=AA193-1),AB192,"")</f>
        <v/>
      </c>
      <c r="AE193" s="0" t="str">
        <f aca="false">IF(AND(C192=C193,AA192=AA193-1),AC192,"")</f>
        <v/>
      </c>
      <c r="AF193" s="0" t="str">
        <f aca="false">IF(AA193=1,"",IF(AND(AB193=1,AD193&lt;&gt;1),1,0))</f>
        <v/>
      </c>
      <c r="AG193" s="0" t="str">
        <f aca="false">IF(AA193=1,"",IF(AND(AC193=1,AE193&lt;&gt;1),1,0))</f>
        <v/>
      </c>
      <c r="AH193" s="51" t="str">
        <f aca="false">IF(AND(E193&gt;0,AA193&lt;1,NOT(AND(C194=C193,AA194=AA193+1))),INDEX(DATAS,AA193+1),"")</f>
        <v/>
      </c>
      <c r="AI193" s="51" t="str">
        <f aca="false">IF(AND(AC193=1,AA193&lt;1),IF(AND(C194=C193,AA194=AA193+1),IF(AC194=1,"",INDEX(DATAS,AA193+1)),INDEX(DATAS,AA193+1)),"")</f>
        <v/>
      </c>
    </row>
    <row r="194" customFormat="false" ht="15" hidden="false" customHeight="false" outlineLevel="0" collapsed="false">
      <c r="A194" s="51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46" t="s">
        <v>326</v>
      </c>
      <c r="G194" s="0" t="n">
        <v>22</v>
      </c>
      <c r="H194" s="0" t="n">
        <v>21</v>
      </c>
      <c r="I194" s="46" t="s">
        <v>189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51" t="n">
        <v>46278</v>
      </c>
      <c r="X194" s="46" t="n">
        <f aca="false">IF(I194="Male",0,1)</f>
        <v>1</v>
      </c>
      <c r="Y194" s="46" t="n">
        <f aca="false">IF(OR(I194="DNB",I194="Dry DNB"),1,0)</f>
        <v>0</v>
      </c>
      <c r="Z194" s="46" t="n">
        <f aca="false">IF(ISNUMBER(W194),A194-W194,"")</f>
        <v>31</v>
      </c>
      <c r="AA194" s="46" t="n">
        <f aca="false">MATCH(A194,DATAS,0)</f>
        <v>1</v>
      </c>
      <c r="AB194" s="46" t="n">
        <f aca="false">IF(AND(E194&gt;0,OR(AND(B194&gt;=1,B194&lt;=6),B194=10)),1,0)</f>
        <v>1</v>
      </c>
      <c r="AC194" s="46" t="n">
        <f aca="false">IF(AND(E194&gt;0,B194=10),1,0)</f>
        <v>0</v>
      </c>
      <c r="AD194" s="0" t="str">
        <f aca="false">IF(AND(C193=C194,AA193=AA194-1),AB193,"")</f>
        <v/>
      </c>
      <c r="AE194" s="0" t="str">
        <f aca="false">IF(AND(C193=C194,AA193=AA194-1),AC193,"")</f>
        <v/>
      </c>
      <c r="AF194" s="0" t="str">
        <f aca="false">IF(AA194=1,"",IF(AND(AB194=1,AD194&lt;&gt;1),1,0))</f>
        <v/>
      </c>
      <c r="AG194" s="0" t="str">
        <f aca="false">IF(AA194=1,"",IF(AND(AC194=1,AE194&lt;&gt;1),1,0))</f>
        <v/>
      </c>
      <c r="AH194" s="51" t="str">
        <f aca="false">IF(AND(E194&gt;0,AA194&lt;1,NOT(AND(C195=C194,AA195=AA194+1))),INDEX(DATAS,AA194+1),"")</f>
        <v/>
      </c>
      <c r="AI194" s="51" t="str">
        <f aca="false">IF(AND(AC194=1,AA194&lt;1),IF(AND(C195=C194,AA195=AA194+1),IF(AC195=1,"",INDEX(DATAS,AA194+1)),INDEX(DATAS,AA194+1)),"")</f>
        <v/>
      </c>
    </row>
    <row r="195" customFormat="false" ht="15" hidden="false" customHeight="false" outlineLevel="0" collapsed="false">
      <c r="A195" s="51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46" t="s">
        <v>327</v>
      </c>
      <c r="G195" s="0" t="n">
        <v>48.8</v>
      </c>
      <c r="H195" s="0" t="n">
        <v>49</v>
      </c>
      <c r="I195" s="46" t="s">
        <v>152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51" t="n">
        <v>46198</v>
      </c>
      <c r="X195" s="46" t="n">
        <f aca="false">IF(I195="Male",0,1)</f>
        <v>1</v>
      </c>
      <c r="Y195" s="46" t="n">
        <f aca="false">IF(OR(I195="DNB",I195="Dry DNB"),1,0)</f>
        <v>0</v>
      </c>
      <c r="Z195" s="46" t="n">
        <f aca="false">IF(ISNUMBER(W195),A195-W195,"")</f>
        <v>111</v>
      </c>
      <c r="AA195" s="46" t="n">
        <f aca="false">MATCH(A195,DATAS,0)</f>
        <v>1</v>
      </c>
      <c r="AB195" s="46" t="n">
        <f aca="false">IF(AND(E195&gt;0,OR(AND(B195&gt;=1,B195&lt;=6),B195=10)),1,0)</f>
        <v>1</v>
      </c>
      <c r="AC195" s="46" t="n">
        <f aca="false">IF(AND(E195&gt;0,B195=10),1,0)</f>
        <v>0</v>
      </c>
      <c r="AD195" s="0" t="str">
        <f aca="false">IF(AND(C194=C195,AA194=AA195-1),AB194,"")</f>
        <v/>
      </c>
      <c r="AE195" s="0" t="str">
        <f aca="false">IF(AND(C194=C195,AA194=AA195-1),AC194,"")</f>
        <v/>
      </c>
      <c r="AF195" s="0" t="str">
        <f aca="false">IF(AA195=1,"",IF(AND(AB195=1,AD195&lt;&gt;1),1,0))</f>
        <v/>
      </c>
      <c r="AG195" s="0" t="str">
        <f aca="false">IF(AA195=1,"",IF(AND(AC195=1,AE195&lt;&gt;1),1,0))</f>
        <v/>
      </c>
      <c r="AH195" s="51" t="str">
        <f aca="false">IF(AND(E195&gt;0,AA195&lt;1,NOT(AND(C196=C195,AA196=AA195+1))),INDEX(DATAS,AA195+1),"")</f>
        <v/>
      </c>
      <c r="AI195" s="51" t="str">
        <f aca="false">IF(AND(AC195=1,AA195&lt;1),IF(AND(C196=C195,AA196=AA195+1),IF(AC196=1,"",INDEX(DATAS,AA195+1)),INDEX(DATAS,AA195+1)),"")</f>
        <v/>
      </c>
    </row>
    <row r="196" customFormat="false" ht="15" hidden="false" customHeight="false" outlineLevel="0" collapsed="false">
      <c r="A196" s="51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46" t="s">
        <v>328</v>
      </c>
      <c r="I196" s="46" t="s">
        <v>157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51" t="n">
        <v>46058</v>
      </c>
      <c r="X196" s="46" t="n">
        <f aca="false">IF(I196="Male",0,1)</f>
        <v>1</v>
      </c>
      <c r="Y196" s="46" t="n">
        <f aca="false">IF(OR(I196="DNB",I196="Dry DNB"),1,0)</f>
        <v>0</v>
      </c>
      <c r="Z196" s="46" t="n">
        <f aca="false">IF(ISNUMBER(W196),A196-W196,"")</f>
        <v>251</v>
      </c>
      <c r="AA196" s="46" t="n">
        <f aca="false">MATCH(A196,DATAS,0)</f>
        <v>1</v>
      </c>
      <c r="AB196" s="46" t="n">
        <f aca="false">IF(AND(E196&gt;0,OR(AND(B196&gt;=1,B196&lt;=6),B196=10)),1,0)</f>
        <v>1</v>
      </c>
      <c r="AC196" s="46" t="n">
        <f aca="false">IF(AND(E196&gt;0,B196=10),1,0)</f>
        <v>0</v>
      </c>
      <c r="AD196" s="0" t="str">
        <f aca="false">IF(AND(C195=C196,AA195=AA196-1),AB195,"")</f>
        <v/>
      </c>
      <c r="AE196" s="0" t="str">
        <f aca="false">IF(AND(C195=C196,AA195=AA196-1),AC195,"")</f>
        <v/>
      </c>
      <c r="AF196" s="0" t="str">
        <f aca="false">IF(AA196=1,"",IF(AND(AB196=1,AD196&lt;&gt;1),1,0))</f>
        <v/>
      </c>
      <c r="AG196" s="0" t="str">
        <f aca="false">IF(AA196=1,"",IF(AND(AC196=1,AE196&lt;&gt;1),1,0))</f>
        <v/>
      </c>
      <c r="AH196" s="51" t="str">
        <f aca="false">IF(AND(E196&gt;0,AA196&lt;1,NOT(AND(C197=C196,AA197=AA196+1))),INDEX(DATAS,AA196+1),"")</f>
        <v/>
      </c>
      <c r="AI196" s="51" t="str">
        <f aca="false">IF(AND(AC196=1,AA196&lt;1),IF(AND(C197=C196,AA197=AA196+1),IF(AC197=1,"",INDEX(DATAS,AA196+1)),INDEX(DATAS,AA196+1)),"")</f>
        <v/>
      </c>
    </row>
    <row r="197" customFormat="false" ht="15" hidden="false" customHeight="false" outlineLevel="0" collapsed="false">
      <c r="A197" s="51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46" t="s">
        <v>328</v>
      </c>
      <c r="I197" s="46" t="s">
        <v>157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51" t="n">
        <v>46079</v>
      </c>
      <c r="X197" s="46" t="n">
        <f aca="false">IF(I197="Male",0,1)</f>
        <v>1</v>
      </c>
      <c r="Y197" s="46" t="n">
        <f aca="false">IF(OR(I197="DNB",I197="Dry DNB"),1,0)</f>
        <v>0</v>
      </c>
      <c r="Z197" s="46" t="n">
        <f aca="false">IF(ISNUMBER(W197),A197-W197,"")</f>
        <v>230</v>
      </c>
      <c r="AA197" s="46" t="n">
        <f aca="false">MATCH(A197,DATAS,0)</f>
        <v>1</v>
      </c>
      <c r="AB197" s="46" t="n">
        <f aca="false">IF(AND(E197&gt;0,OR(AND(B197&gt;=1,B197&lt;=6),B197=10)),1,0)</f>
        <v>0</v>
      </c>
      <c r="AC197" s="46" t="n">
        <f aca="false">IF(AND(E197&gt;0,B197=10),1,0)</f>
        <v>0</v>
      </c>
      <c r="AD197" s="0" t="str">
        <f aca="false">IF(AND(C196=C197,AA196=AA197-1),AB196,"")</f>
        <v/>
      </c>
      <c r="AE197" s="0" t="str">
        <f aca="false">IF(AND(C196=C197,AA196=AA197-1),AC196,"")</f>
        <v/>
      </c>
      <c r="AF197" s="0" t="str">
        <f aca="false">IF(AA197=1,"",IF(AND(AB197=1,AD197&lt;&gt;1),1,0))</f>
        <v/>
      </c>
      <c r="AG197" s="0" t="str">
        <f aca="false">IF(AA197=1,"",IF(AND(AC197=1,AE197&lt;&gt;1),1,0))</f>
        <v/>
      </c>
      <c r="AH197" s="51" t="str">
        <f aca="false">IF(AND(E197&gt;0,AA197&lt;1,NOT(AND(C198=C197,AA198=AA197+1))),INDEX(DATAS,AA197+1),"")</f>
        <v/>
      </c>
      <c r="AI197" s="51" t="str">
        <f aca="false">IF(AND(AC197=1,AA197&lt;1),IF(AND(C198=C197,AA198=AA197+1),IF(AC198=1,"",INDEX(DATAS,AA197+1)),INDEX(DATAS,AA197+1)),"")</f>
        <v/>
      </c>
    </row>
    <row r="198" customFormat="false" ht="15" hidden="false" customHeight="false" outlineLevel="0" collapsed="false">
      <c r="A198" s="51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46" t="s">
        <v>328</v>
      </c>
      <c r="G198" s="0" t="n">
        <v>28.1</v>
      </c>
      <c r="H198" s="0" t="n">
        <v>36</v>
      </c>
      <c r="I198" s="46" t="s">
        <v>189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X198" s="46" t="n">
        <f aca="false">IF(I198="Male",0,1)</f>
        <v>1</v>
      </c>
      <c r="Y198" s="46" t="n">
        <f aca="false">IF(OR(I198="DNB",I198="Dry DNB"),1,0)</f>
        <v>0</v>
      </c>
      <c r="Z198" s="0" t="str">
        <f aca="false">IF(ISNUMBER(W198),A198-W198,"")</f>
        <v/>
      </c>
      <c r="AA198" s="46" t="n">
        <f aca="false">MATCH(A198,DATAS,0)</f>
        <v>1</v>
      </c>
      <c r="AB198" s="46" t="n">
        <f aca="false">IF(AND(E198&gt;0,OR(AND(B198&gt;=1,B198&lt;=6),B198=10)),1,0)</f>
        <v>1</v>
      </c>
      <c r="AC198" s="46" t="n">
        <f aca="false">IF(AND(E198&gt;0,B198=10),1,0)</f>
        <v>1</v>
      </c>
      <c r="AD198" s="0" t="str">
        <f aca="false">IF(AND(C197=C198,AA197=AA198-1),AB197,"")</f>
        <v/>
      </c>
      <c r="AE198" s="0" t="str">
        <f aca="false">IF(AND(C197=C198,AA197=AA198-1),AC197,"")</f>
        <v/>
      </c>
      <c r="AF198" s="0" t="str">
        <f aca="false">IF(AA198=1,"",IF(AND(AB198=1,AD198&lt;&gt;1),1,0))</f>
        <v/>
      </c>
      <c r="AG198" s="0" t="str">
        <f aca="false">IF(AA198=1,"",IF(AND(AC198=1,AE198&lt;&gt;1),1,0))</f>
        <v/>
      </c>
      <c r="AH198" s="51" t="str">
        <f aca="false">IF(AND(E198&gt;0,AA198&lt;1,NOT(AND(C199=C198,AA199=AA198+1))),INDEX(DATAS,AA198+1),"")</f>
        <v/>
      </c>
      <c r="AI198" s="51" t="str">
        <f aca="false">IF(AND(AC198=1,AA198&lt;1),IF(AND(C199=C198,AA199=AA198+1),IF(AC199=1,"",INDEX(DATAS,AA198+1)),INDEX(DATAS,AA198+1)),"")</f>
        <v/>
      </c>
    </row>
    <row r="199" customFormat="false" ht="15" hidden="false" customHeight="false" outlineLevel="0" collapsed="false">
      <c r="A199" s="51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46" t="s">
        <v>329</v>
      </c>
      <c r="G199" s="0" t="n">
        <v>25</v>
      </c>
      <c r="H199" s="0" t="n">
        <v>23</v>
      </c>
      <c r="I199" s="46" t="s">
        <v>152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51" t="n">
        <v>46221</v>
      </c>
      <c r="X199" s="46" t="n">
        <f aca="false">IF(I199="Male",0,1)</f>
        <v>1</v>
      </c>
      <c r="Y199" s="46" t="n">
        <f aca="false">IF(OR(I199="DNB",I199="Dry DNB"),1,0)</f>
        <v>0</v>
      </c>
      <c r="Z199" s="46" t="n">
        <f aca="false">IF(ISNUMBER(W199),A199-W199,"")</f>
        <v>88</v>
      </c>
      <c r="AA199" s="46" t="n">
        <f aca="false">MATCH(A199,DATAS,0)</f>
        <v>1</v>
      </c>
      <c r="AB199" s="46" t="n">
        <f aca="false">IF(AND(E199&gt;0,OR(AND(B199&gt;=1,B199&lt;=6),B199=10)),1,0)</f>
        <v>1</v>
      </c>
      <c r="AC199" s="46" t="n">
        <f aca="false">IF(AND(E199&gt;0,B199=10),1,0)</f>
        <v>0</v>
      </c>
      <c r="AD199" s="0" t="str">
        <f aca="false">IF(AND(C198=C199,AA198=AA199-1),AB198,"")</f>
        <v/>
      </c>
      <c r="AE199" s="0" t="str">
        <f aca="false">IF(AND(C198=C199,AA198=AA199-1),AC198,"")</f>
        <v/>
      </c>
      <c r="AF199" s="0" t="str">
        <f aca="false">IF(AA199=1,"",IF(AND(AB199=1,AD199&lt;&gt;1),1,0))</f>
        <v/>
      </c>
      <c r="AG199" s="0" t="str">
        <f aca="false">IF(AA199=1,"",IF(AND(AC199=1,AE199&lt;&gt;1),1,0))</f>
        <v/>
      </c>
      <c r="AH199" s="51" t="str">
        <f aca="false">IF(AND(E199&gt;0,AA199&lt;1,NOT(AND(C200=C199,AA200=AA199+1))),INDEX(DATAS,AA199+1),"")</f>
        <v/>
      </c>
      <c r="AI199" s="51" t="str">
        <f aca="false">IF(AND(AC199=1,AA199&lt;1),IF(AND(C200=C199,AA200=AA199+1),IF(AC200=1,"",INDEX(DATAS,AA199+1)),INDEX(DATAS,AA199+1)),"")</f>
        <v/>
      </c>
    </row>
    <row r="200" customFormat="false" ht="15" hidden="false" customHeight="false" outlineLevel="0" collapsed="false">
      <c r="A200" s="51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46" t="s">
        <v>330</v>
      </c>
      <c r="G200" s="0" t="n">
        <v>36.6</v>
      </c>
      <c r="H200" s="0" t="n">
        <v>38</v>
      </c>
      <c r="I200" s="46" t="s">
        <v>152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51" t="n">
        <v>46087</v>
      </c>
      <c r="X200" s="46" t="n">
        <f aca="false">IF(I200="Male",0,1)</f>
        <v>1</v>
      </c>
      <c r="Y200" s="46" t="n">
        <f aca="false">IF(OR(I200="DNB",I200="Dry DNB"),1,0)</f>
        <v>0</v>
      </c>
      <c r="Z200" s="46" t="n">
        <f aca="false">IF(ISNUMBER(W200),A200-W200,"")</f>
        <v>222</v>
      </c>
      <c r="AA200" s="46" t="n">
        <f aca="false">MATCH(A200,DATAS,0)</f>
        <v>1</v>
      </c>
      <c r="AB200" s="46" t="n">
        <f aca="false">IF(AND(E200&gt;0,OR(AND(B200&gt;=1,B200&lt;=6),B200=10)),1,0)</f>
        <v>1</v>
      </c>
      <c r="AC200" s="46" t="n">
        <f aca="false">IF(AND(E200&gt;0,B200=10),1,0)</f>
        <v>0</v>
      </c>
      <c r="AD200" s="0" t="str">
        <f aca="false">IF(AND(C199=C200,AA199=AA200-1),AB199,"")</f>
        <v/>
      </c>
      <c r="AE200" s="0" t="str">
        <f aca="false">IF(AND(C199=C200,AA199=AA200-1),AC199,"")</f>
        <v/>
      </c>
      <c r="AF200" s="0" t="str">
        <f aca="false">IF(AA200=1,"",IF(AND(AB200=1,AD200&lt;&gt;1),1,0))</f>
        <v/>
      </c>
      <c r="AG200" s="0" t="str">
        <f aca="false">IF(AA200=1,"",IF(AND(AC200=1,AE200&lt;&gt;1),1,0))</f>
        <v/>
      </c>
      <c r="AH200" s="51" t="str">
        <f aca="false">IF(AND(E200&gt;0,AA200&lt;1,NOT(AND(C201=C200,AA201=AA200+1))),INDEX(DATAS,AA200+1),"")</f>
        <v/>
      </c>
      <c r="AI200" s="51" t="str">
        <f aca="false">IF(AND(AC200=1,AA200&lt;1),IF(AND(C201=C200,AA201=AA200+1),IF(AC201=1,"",INDEX(DATAS,AA200+1)),INDEX(DATAS,AA200+1)),"")</f>
        <v/>
      </c>
    </row>
    <row r="201" customFormat="false" ht="15" hidden="false" customHeight="false" outlineLevel="0" collapsed="false">
      <c r="A201" s="51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46" t="s">
        <v>330</v>
      </c>
      <c r="G201" s="0" t="n">
        <v>38.7</v>
      </c>
      <c r="H201" s="0" t="n">
        <v>42</v>
      </c>
      <c r="I201" s="46" t="s">
        <v>181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51" t="n">
        <v>46289</v>
      </c>
      <c r="X201" s="46" t="n">
        <f aca="false">IF(I201="Male",0,1)</f>
        <v>1</v>
      </c>
      <c r="Y201" s="46" t="n">
        <f aca="false">IF(OR(I201="DNB",I201="Dry DNB"),1,0)</f>
        <v>0</v>
      </c>
      <c r="Z201" s="46" t="n">
        <f aca="false">IF(ISNUMBER(W201),A201-W201,"")</f>
        <v>20</v>
      </c>
      <c r="AA201" s="46" t="n">
        <f aca="false">MATCH(A201,DATAS,0)</f>
        <v>1</v>
      </c>
      <c r="AB201" s="46" t="n">
        <f aca="false">IF(AND(E201&gt;0,OR(AND(B201&gt;=1,B201&lt;=6),B201=10)),1,0)</f>
        <v>1</v>
      </c>
      <c r="AC201" s="46" t="n">
        <f aca="false">IF(AND(E201&gt;0,B201=10),1,0)</f>
        <v>0</v>
      </c>
      <c r="AD201" s="0" t="str">
        <f aca="false">IF(AND(C200=C201,AA200=AA201-1),AB200,"")</f>
        <v/>
      </c>
      <c r="AE201" s="0" t="str">
        <f aca="false">IF(AND(C200=C201,AA200=AA201-1),AC200,"")</f>
        <v/>
      </c>
      <c r="AF201" s="0" t="str">
        <f aca="false">IF(AA201=1,"",IF(AND(AB201=1,AD201&lt;&gt;1),1,0))</f>
        <v/>
      </c>
      <c r="AG201" s="0" t="str">
        <f aca="false">IF(AA201=1,"",IF(AND(AC201=1,AE201&lt;&gt;1),1,0))</f>
        <v/>
      </c>
      <c r="AH201" s="51" t="str">
        <f aca="false">IF(AND(E201&gt;0,AA201&lt;1,NOT(AND(C202=C201,AA202=AA201+1))),INDEX(DATAS,AA201+1),"")</f>
        <v/>
      </c>
      <c r="AI201" s="51" t="str">
        <f aca="false">IF(AND(AC201=1,AA201&lt;1),IF(AND(C202=C201,AA202=AA201+1),IF(AC202=1,"",INDEX(DATAS,AA201+1)),INDEX(DATAS,AA201+1)),"")</f>
        <v/>
      </c>
    </row>
    <row r="202" customFormat="false" ht="15" hidden="false" customHeight="false" outlineLevel="0" collapsed="false">
      <c r="A202" s="51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46" t="s">
        <v>331</v>
      </c>
      <c r="G202" s="0" t="n">
        <v>18.3</v>
      </c>
      <c r="H202" s="0" t="n">
        <v>19</v>
      </c>
      <c r="I202" s="46" t="s">
        <v>152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51" t="n">
        <v>46048</v>
      </c>
      <c r="X202" s="46" t="n">
        <f aca="false">IF(I202="Male",0,1)</f>
        <v>1</v>
      </c>
      <c r="Y202" s="46" t="n">
        <f aca="false">IF(OR(I202="DNB",I202="Dry DNB"),1,0)</f>
        <v>0</v>
      </c>
      <c r="Z202" s="46" t="n">
        <f aca="false">IF(ISNUMBER(W202),A202-W202,"")</f>
        <v>261</v>
      </c>
      <c r="AA202" s="46" t="n">
        <f aca="false">MATCH(A202,DATAS,0)</f>
        <v>1</v>
      </c>
      <c r="AB202" s="46" t="n">
        <f aca="false">IF(AND(E202&gt;0,OR(AND(B202&gt;=1,B202&lt;=6),B202=10)),1,0)</f>
        <v>1</v>
      </c>
      <c r="AC202" s="46" t="n">
        <f aca="false">IF(AND(E202&gt;0,B202=10),1,0)</f>
        <v>0</v>
      </c>
      <c r="AD202" s="0" t="str">
        <f aca="false">IF(AND(C201=C202,AA201=AA202-1),AB201,"")</f>
        <v/>
      </c>
      <c r="AE202" s="0" t="str">
        <f aca="false">IF(AND(C201=C202,AA201=AA202-1),AC201,"")</f>
        <v/>
      </c>
      <c r="AF202" s="0" t="str">
        <f aca="false">IF(AA202=1,"",IF(AND(AB202=1,AD202&lt;&gt;1),1,0))</f>
        <v/>
      </c>
      <c r="AG202" s="0" t="str">
        <f aca="false">IF(AA202=1,"",IF(AND(AC202=1,AE202&lt;&gt;1),1,0))</f>
        <v/>
      </c>
      <c r="AH202" s="51" t="str">
        <f aca="false">IF(AND(E202&gt;0,AA202&lt;1,NOT(AND(C203=C202,AA203=AA202+1))),INDEX(DATAS,AA202+1),"")</f>
        <v/>
      </c>
      <c r="AI202" s="51" t="str">
        <f aca="false">IF(AND(AC202=1,AA202&lt;1),IF(AND(C203=C202,AA203=AA202+1),IF(AC203=1,"",INDEX(DATAS,AA202+1)),INDEX(DATAS,AA202+1)),"")</f>
        <v/>
      </c>
    </row>
    <row r="203" customFormat="false" ht="15" hidden="false" customHeight="false" outlineLevel="0" collapsed="false">
      <c r="A203" s="51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46" t="s">
        <v>332</v>
      </c>
      <c r="G203" s="0" t="n">
        <v>60.6</v>
      </c>
      <c r="H203" s="0" t="n">
        <v>58</v>
      </c>
      <c r="I203" s="46" t="s">
        <v>181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51" t="n">
        <v>46310</v>
      </c>
      <c r="X203" s="46" t="n">
        <f aca="false">IF(I203="Male",0,1)</f>
        <v>1</v>
      </c>
      <c r="Y203" s="46" t="n">
        <f aca="false">IF(OR(I203="DNB",I203="Dry DNB"),1,0)</f>
        <v>0</v>
      </c>
      <c r="Z203" s="46" t="n">
        <f aca="false">IF(ISNUMBER(W203),A203-W203,"")</f>
        <v>-1</v>
      </c>
      <c r="AA203" s="46" t="n">
        <f aca="false">MATCH(A203,DATAS,0)</f>
        <v>1</v>
      </c>
      <c r="AB203" s="46" t="n">
        <f aca="false">IF(AND(E203&gt;0,OR(AND(B203&gt;=1,B203&lt;=6),B203=10)),1,0)</f>
        <v>1</v>
      </c>
      <c r="AC203" s="46" t="n">
        <f aca="false">IF(AND(E203&gt;0,B203=10),1,0)</f>
        <v>0</v>
      </c>
      <c r="AD203" s="0" t="str">
        <f aca="false">IF(AND(C202=C203,AA202=AA203-1),AB202,"")</f>
        <v/>
      </c>
      <c r="AE203" s="0" t="str">
        <f aca="false">IF(AND(C202=C203,AA202=AA203-1),AC202,"")</f>
        <v/>
      </c>
      <c r="AF203" s="0" t="str">
        <f aca="false">IF(AA203=1,"",IF(AND(AB203=1,AD203&lt;&gt;1),1,0))</f>
        <v/>
      </c>
      <c r="AG203" s="0" t="str">
        <f aca="false">IF(AA203=1,"",IF(AND(AC203=1,AE203&lt;&gt;1),1,0))</f>
        <v/>
      </c>
      <c r="AH203" s="51" t="str">
        <f aca="false">IF(AND(E203&gt;0,AA203&lt;1,NOT(AND(C204=C203,AA204=AA203+1))),INDEX(DATAS,AA203+1),"")</f>
        <v/>
      </c>
      <c r="AI203" s="51" t="str">
        <f aca="false">IF(AND(AC203=1,AA203&lt;1),IF(AND(C204=C203,AA204=AA203+1),IF(AC204=1,"",INDEX(DATAS,AA203+1)),INDEX(DATAS,AA203+1)),"")</f>
        <v/>
      </c>
    </row>
    <row r="204" customFormat="false" ht="15" hidden="false" customHeight="false" outlineLevel="0" collapsed="false">
      <c r="A204" s="51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46" t="s">
        <v>333</v>
      </c>
      <c r="G204" s="0" t="n">
        <v>46.4</v>
      </c>
      <c r="H204" s="0" t="n">
        <v>46</v>
      </c>
      <c r="I204" s="46" t="s">
        <v>152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51" t="n">
        <v>46135</v>
      </c>
      <c r="X204" s="46" t="n">
        <f aca="false">IF(I204="Male",0,1)</f>
        <v>1</v>
      </c>
      <c r="Y204" s="46" t="n">
        <f aca="false">IF(OR(I204="DNB",I204="Dry DNB"),1,0)</f>
        <v>0</v>
      </c>
      <c r="Z204" s="46" t="n">
        <f aca="false">IF(ISNUMBER(W204),A204-W204,"")</f>
        <v>174</v>
      </c>
      <c r="AA204" s="46" t="n">
        <f aca="false">MATCH(A204,DATAS,0)</f>
        <v>1</v>
      </c>
      <c r="AB204" s="46" t="n">
        <f aca="false">IF(AND(E204&gt;0,OR(AND(B204&gt;=1,B204&lt;=6),B204=10)),1,0)</f>
        <v>1</v>
      </c>
      <c r="AC204" s="46" t="n">
        <f aca="false">IF(AND(E204&gt;0,B204=10),1,0)</f>
        <v>0</v>
      </c>
      <c r="AD204" s="0" t="str">
        <f aca="false">IF(AND(C203=C204,AA203=AA204-1),AB203,"")</f>
        <v/>
      </c>
      <c r="AE204" s="0" t="str">
        <f aca="false">IF(AND(C203=C204,AA203=AA204-1),AC203,"")</f>
        <v/>
      </c>
      <c r="AF204" s="0" t="str">
        <f aca="false">IF(AA204=1,"",IF(AND(AB204=1,AD204&lt;&gt;1),1,0))</f>
        <v/>
      </c>
      <c r="AG204" s="0" t="str">
        <f aca="false">IF(AA204=1,"",IF(AND(AC204=1,AE204&lt;&gt;1),1,0))</f>
        <v/>
      </c>
      <c r="AH204" s="51" t="str">
        <f aca="false">IF(AND(E204&gt;0,AA204&lt;1,NOT(AND(C205=C204,AA205=AA204+1))),INDEX(DATAS,AA204+1),"")</f>
        <v/>
      </c>
      <c r="AI204" s="51" t="str">
        <f aca="false">IF(AND(AC204=1,AA204&lt;1),IF(AND(C205=C204,AA205=AA204+1),IF(AC205=1,"",INDEX(DATAS,AA204+1)),INDEX(DATAS,AA204+1)),"")</f>
        <v/>
      </c>
    </row>
    <row r="205" customFormat="false" ht="15" hidden="false" customHeight="false" outlineLevel="0" collapsed="false">
      <c r="A205" s="51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46" t="s">
        <v>334</v>
      </c>
      <c r="G205" s="0" t="n">
        <v>55.1</v>
      </c>
      <c r="H205" s="0" t="n">
        <v>52</v>
      </c>
      <c r="I205" s="46" t="s">
        <v>181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51" t="n">
        <v>46296</v>
      </c>
      <c r="X205" s="46" t="n">
        <f aca="false">IF(I205="Male",0,1)</f>
        <v>1</v>
      </c>
      <c r="Y205" s="46" t="n">
        <f aca="false">IF(OR(I205="DNB",I205="Dry DNB"),1,0)</f>
        <v>0</v>
      </c>
      <c r="Z205" s="46" t="n">
        <f aca="false">IF(ISNUMBER(W205),A205-W205,"")</f>
        <v>13</v>
      </c>
      <c r="AA205" s="46" t="n">
        <f aca="false">MATCH(A205,DATAS,0)</f>
        <v>1</v>
      </c>
      <c r="AB205" s="46" t="n">
        <f aca="false">IF(AND(E205&gt;0,OR(AND(B205&gt;=1,B205&lt;=6),B205=10)),1,0)</f>
        <v>1</v>
      </c>
      <c r="AC205" s="46" t="n">
        <f aca="false">IF(AND(E205&gt;0,B205=10),1,0)</f>
        <v>0</v>
      </c>
      <c r="AD205" s="0" t="str">
        <f aca="false">IF(AND(C204=C205,AA204=AA205-1),AB204,"")</f>
        <v/>
      </c>
      <c r="AE205" s="0" t="str">
        <f aca="false">IF(AND(C204=C205,AA204=AA205-1),AC204,"")</f>
        <v/>
      </c>
      <c r="AF205" s="0" t="str">
        <f aca="false">IF(AA205=1,"",IF(AND(AB205=1,AD205&lt;&gt;1),1,0))</f>
        <v/>
      </c>
      <c r="AG205" s="0" t="str">
        <f aca="false">IF(AA205=1,"",IF(AND(AC205=1,AE205&lt;&gt;1),1,0))</f>
        <v/>
      </c>
      <c r="AH205" s="51" t="str">
        <f aca="false">IF(AND(E205&gt;0,AA205&lt;1,NOT(AND(C206=C205,AA206=AA205+1))),INDEX(DATAS,AA205+1),"")</f>
        <v/>
      </c>
      <c r="AI205" s="51" t="str">
        <f aca="false">IF(AND(AC205=1,AA205&lt;1),IF(AND(C206=C205,AA206=AA205+1),IF(AC206=1,"",INDEX(DATAS,AA205+1)),INDEX(DATAS,AA205+1)),"")</f>
        <v/>
      </c>
    </row>
    <row r="206" customFormat="false" ht="15" hidden="false" customHeight="false" outlineLevel="0" collapsed="false">
      <c r="A206" s="51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46" t="s">
        <v>334</v>
      </c>
      <c r="G206" s="0" t="n">
        <v>23.6</v>
      </c>
      <c r="H206" s="0" t="n">
        <v>23</v>
      </c>
      <c r="I206" s="46" t="s">
        <v>138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51" t="n">
        <v>46198</v>
      </c>
      <c r="X206" s="46" t="n">
        <f aca="false">IF(I206="Male",0,1)</f>
        <v>1</v>
      </c>
      <c r="Y206" s="46" t="n">
        <f aca="false">IF(OR(I206="DNB",I206="Dry DNB"),1,0)</f>
        <v>1</v>
      </c>
      <c r="Z206" s="46" t="n">
        <f aca="false">IF(ISNUMBER(W206),A206-W206,"")</f>
        <v>111</v>
      </c>
      <c r="AA206" s="46" t="n">
        <f aca="false">MATCH(A206,DATAS,0)</f>
        <v>1</v>
      </c>
      <c r="AB206" s="46" t="n">
        <f aca="false">IF(AND(E206&gt;0,OR(AND(B206&gt;=1,B206&lt;=6),B206=10)),1,0)</f>
        <v>1</v>
      </c>
      <c r="AC206" s="46" t="n">
        <f aca="false">IF(AND(E206&gt;0,B206=10),1,0)</f>
        <v>0</v>
      </c>
      <c r="AD206" s="0" t="str">
        <f aca="false">IF(AND(C205=C206,AA205=AA206-1),AB205,"")</f>
        <v/>
      </c>
      <c r="AE206" s="0" t="str">
        <f aca="false">IF(AND(C205=C206,AA205=AA206-1),AC205,"")</f>
        <v/>
      </c>
      <c r="AF206" s="0" t="str">
        <f aca="false">IF(AA206=1,"",IF(AND(AB206=1,AD206&lt;&gt;1),1,0))</f>
        <v/>
      </c>
      <c r="AG206" s="0" t="str">
        <f aca="false">IF(AA206=1,"",IF(AND(AC206=1,AE206&lt;&gt;1),1,0))</f>
        <v/>
      </c>
      <c r="AH206" s="51" t="str">
        <f aca="false">IF(AND(E206&gt;0,AA206&lt;1,NOT(AND(C207=C206,AA207=AA206+1))),INDEX(DATAS,AA206+1),"")</f>
        <v/>
      </c>
      <c r="AI206" s="51" t="str">
        <f aca="false">IF(AND(AC206=1,AA206&lt;1),IF(AND(C207=C206,AA207=AA206+1),IF(AC207=1,"",INDEX(DATAS,AA206+1)),INDEX(DATAS,AA206+1)),"")</f>
        <v/>
      </c>
    </row>
    <row r="207" customFormat="false" ht="15" hidden="false" customHeight="false" outlineLevel="0" collapsed="false">
      <c r="A207" s="51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46" t="s">
        <v>335</v>
      </c>
      <c r="G207" s="0" t="n">
        <v>26.2</v>
      </c>
      <c r="H207" s="0" t="n">
        <v>26</v>
      </c>
      <c r="I207" s="46" t="s">
        <v>138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51" t="n">
        <v>46125</v>
      </c>
      <c r="X207" s="46" t="n">
        <f aca="false">IF(I207="Male",0,1)</f>
        <v>1</v>
      </c>
      <c r="Y207" s="46" t="n">
        <f aca="false">IF(OR(I207="DNB",I207="Dry DNB"),1,0)</f>
        <v>1</v>
      </c>
      <c r="Z207" s="46" t="n">
        <f aca="false">IF(ISNUMBER(W207),A207-W207,"")</f>
        <v>184</v>
      </c>
      <c r="AA207" s="46" t="n">
        <f aca="false">MATCH(A207,DATAS,0)</f>
        <v>1</v>
      </c>
      <c r="AB207" s="46" t="n">
        <f aca="false">IF(AND(E207&gt;0,OR(AND(B207&gt;=1,B207&lt;=6),B207=10)),1,0)</f>
        <v>1</v>
      </c>
      <c r="AC207" s="46" t="n">
        <f aca="false">IF(AND(E207&gt;0,B207=10),1,0)</f>
        <v>0</v>
      </c>
      <c r="AD207" s="0" t="str">
        <f aca="false">IF(AND(C206=C207,AA206=AA207-1),AB206,"")</f>
        <v/>
      </c>
      <c r="AE207" s="0" t="str">
        <f aca="false">IF(AND(C206=C207,AA206=AA207-1),AC206,"")</f>
        <v/>
      </c>
      <c r="AF207" s="0" t="str">
        <f aca="false">IF(AA207=1,"",IF(AND(AB207=1,AD207&lt;&gt;1),1,0))</f>
        <v/>
      </c>
      <c r="AG207" s="0" t="str">
        <f aca="false">IF(AA207=1,"",IF(AND(AC207=1,AE207&lt;&gt;1),1,0))</f>
        <v/>
      </c>
      <c r="AH207" s="51" t="str">
        <f aca="false">IF(AND(E207&gt;0,AA207&lt;1,NOT(AND(C208=C207,AA208=AA207+1))),INDEX(DATAS,AA207+1),"")</f>
        <v/>
      </c>
      <c r="AI207" s="51" t="str">
        <f aca="false">IF(AND(AC207=1,AA207&lt;1),IF(AND(C208=C207,AA208=AA207+1),IF(AC208=1,"",INDEX(DATAS,AA207+1)),INDEX(DATAS,AA207+1)),"")</f>
        <v/>
      </c>
    </row>
    <row r="208" customFormat="false" ht="15" hidden="false" customHeight="false" outlineLevel="0" collapsed="false">
      <c r="A208" s="51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46" t="s">
        <v>336</v>
      </c>
      <c r="G208" s="0" t="n">
        <v>45.3</v>
      </c>
      <c r="H208" s="0" t="n">
        <v>42</v>
      </c>
      <c r="I208" s="46" t="s">
        <v>152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51" t="n">
        <v>46212</v>
      </c>
      <c r="X208" s="46" t="n">
        <f aca="false">IF(I208="Male",0,1)</f>
        <v>1</v>
      </c>
      <c r="Y208" s="46" t="n">
        <f aca="false">IF(OR(I208="DNB",I208="Dry DNB"),1,0)</f>
        <v>0</v>
      </c>
      <c r="Z208" s="46" t="n">
        <f aca="false">IF(ISNUMBER(W208),A208-W208,"")</f>
        <v>97</v>
      </c>
      <c r="AA208" s="46" t="n">
        <f aca="false">MATCH(A208,DATAS,0)</f>
        <v>1</v>
      </c>
      <c r="AB208" s="46" t="n">
        <f aca="false">IF(AND(E208&gt;0,OR(AND(B208&gt;=1,B208&lt;=6),B208=10)),1,0)</f>
        <v>1</v>
      </c>
      <c r="AC208" s="46" t="n">
        <f aca="false">IF(AND(E208&gt;0,B208=10),1,0)</f>
        <v>0</v>
      </c>
      <c r="AD208" s="0" t="str">
        <f aca="false">IF(AND(C207=C208,AA207=AA208-1),AB207,"")</f>
        <v/>
      </c>
      <c r="AE208" s="0" t="str">
        <f aca="false">IF(AND(C207=C208,AA207=AA208-1),AC207,"")</f>
        <v/>
      </c>
      <c r="AF208" s="0" t="str">
        <f aca="false">IF(AA208=1,"",IF(AND(AB208=1,AD208&lt;&gt;1),1,0))</f>
        <v/>
      </c>
      <c r="AG208" s="0" t="str">
        <f aca="false">IF(AA208=1,"",IF(AND(AC208=1,AE208&lt;&gt;1),1,0))</f>
        <v/>
      </c>
      <c r="AH208" s="51" t="str">
        <f aca="false">IF(AND(E208&gt;0,AA208&lt;1,NOT(AND(C209=C208,AA209=AA208+1))),INDEX(DATAS,AA208+1),"")</f>
        <v/>
      </c>
      <c r="AI208" s="51" t="str">
        <f aca="false">IF(AND(AC208=1,AA208&lt;1),IF(AND(C209=C208,AA209=AA208+1),IF(AC209=1,"",INDEX(DATAS,AA208+1)),INDEX(DATAS,AA208+1)),"")</f>
        <v/>
      </c>
    </row>
    <row r="209" customFormat="false" ht="15" hidden="false" customHeight="false" outlineLevel="0" collapsed="false">
      <c r="A209" s="51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46" t="s">
        <v>337</v>
      </c>
      <c r="G209" s="0" t="n">
        <v>29</v>
      </c>
      <c r="H209" s="0" t="n">
        <v>28</v>
      </c>
      <c r="I209" s="46" t="s">
        <v>152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51" t="n">
        <v>46107</v>
      </c>
      <c r="X209" s="46" t="n">
        <f aca="false">IF(I209="Male",0,1)</f>
        <v>1</v>
      </c>
      <c r="Y209" s="46" t="n">
        <f aca="false">IF(OR(I209="DNB",I209="Dry DNB"),1,0)</f>
        <v>0</v>
      </c>
      <c r="Z209" s="46" t="n">
        <f aca="false">IF(ISNUMBER(W209),A209-W209,"")</f>
        <v>202</v>
      </c>
      <c r="AA209" s="46" t="n">
        <f aca="false">MATCH(A209,DATAS,0)</f>
        <v>1</v>
      </c>
      <c r="AB209" s="46" t="n">
        <f aca="false">IF(AND(E209&gt;0,OR(AND(B209&gt;=1,B209&lt;=6),B209=10)),1,0)</f>
        <v>1</v>
      </c>
      <c r="AC209" s="46" t="n">
        <f aca="false">IF(AND(E209&gt;0,B209=10),1,0)</f>
        <v>0</v>
      </c>
      <c r="AD209" s="0" t="str">
        <f aca="false">IF(AND(C208=C209,AA208=AA209-1),AB208,"")</f>
        <v/>
      </c>
      <c r="AE209" s="0" t="str">
        <f aca="false">IF(AND(C208=C209,AA208=AA209-1),AC208,"")</f>
        <v/>
      </c>
      <c r="AF209" s="0" t="str">
        <f aca="false">IF(AA209=1,"",IF(AND(AB209=1,AD209&lt;&gt;1),1,0))</f>
        <v/>
      </c>
      <c r="AG209" s="0" t="str">
        <f aca="false">IF(AA209=1,"",IF(AND(AC209=1,AE209&lt;&gt;1),1,0))</f>
        <v/>
      </c>
      <c r="AH209" s="51" t="str">
        <f aca="false">IF(AND(E209&gt;0,AA209&lt;1,NOT(AND(C210=C209,AA210=AA209+1))),INDEX(DATAS,AA209+1),"")</f>
        <v/>
      </c>
      <c r="AI209" s="51" t="str">
        <f aca="false">IF(AND(AC209=1,AA209&lt;1),IF(AND(C210=C209,AA210=AA209+1),IF(AC210=1,"",INDEX(DATAS,AA209+1)),INDEX(DATAS,AA209+1)),"")</f>
        <v/>
      </c>
    </row>
    <row r="210" customFormat="false" ht="15" hidden="false" customHeight="false" outlineLevel="0" collapsed="false">
      <c r="A210" s="51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46" t="s">
        <v>338</v>
      </c>
      <c r="G210" s="0" t="n">
        <v>42.1</v>
      </c>
      <c r="H210" s="0" t="n">
        <v>43</v>
      </c>
      <c r="I210" s="46" t="s">
        <v>189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51" t="n">
        <v>46264</v>
      </c>
      <c r="X210" s="46" t="n">
        <f aca="false">IF(I210="Male",0,1)</f>
        <v>1</v>
      </c>
      <c r="Y210" s="46" t="n">
        <f aca="false">IF(OR(I210="DNB",I210="Dry DNB"),1,0)</f>
        <v>0</v>
      </c>
      <c r="Z210" s="46" t="n">
        <f aca="false">IF(ISNUMBER(W210),A210-W210,"")</f>
        <v>45</v>
      </c>
      <c r="AA210" s="46" t="n">
        <f aca="false">MATCH(A210,DATAS,0)</f>
        <v>1</v>
      </c>
      <c r="AB210" s="46" t="n">
        <f aca="false">IF(AND(E210&gt;0,OR(AND(B210&gt;=1,B210&lt;=6),B210=10)),1,0)</f>
        <v>1</v>
      </c>
      <c r="AC210" s="46" t="n">
        <f aca="false">IF(AND(E210&gt;0,B210=10),1,0)</f>
        <v>0</v>
      </c>
      <c r="AD210" s="0" t="str">
        <f aca="false">IF(AND(C209=C210,AA209=AA210-1),AB209,"")</f>
        <v/>
      </c>
      <c r="AE210" s="0" t="str">
        <f aca="false">IF(AND(C209=C210,AA209=AA210-1),AC209,"")</f>
        <v/>
      </c>
      <c r="AF210" s="0" t="str">
        <f aca="false">IF(AA210=1,"",IF(AND(AB210=1,AD210&lt;&gt;1),1,0))</f>
        <v/>
      </c>
      <c r="AG210" s="0" t="str">
        <f aca="false">IF(AA210=1,"",IF(AND(AC210=1,AE210&lt;&gt;1),1,0))</f>
        <v/>
      </c>
      <c r="AH210" s="51" t="str">
        <f aca="false">IF(AND(E210&gt;0,AA210&lt;1,NOT(AND(C211=C210,AA211=AA210+1))),INDEX(DATAS,AA210+1),"")</f>
        <v/>
      </c>
      <c r="AI210" s="51" t="str">
        <f aca="false">IF(AND(AC210=1,AA210&lt;1),IF(AND(C211=C210,AA211=AA210+1),IF(AC211=1,"",INDEX(DATAS,AA210+1)),INDEX(DATAS,AA210+1)),"")</f>
        <v/>
      </c>
    </row>
    <row r="211" customFormat="false" ht="15" hidden="false" customHeight="false" outlineLevel="0" collapsed="false">
      <c r="A211" s="51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46" t="s">
        <v>338</v>
      </c>
      <c r="G211" s="0" t="n">
        <v>39.3</v>
      </c>
      <c r="H211" s="0" t="n">
        <v>36</v>
      </c>
      <c r="I211" s="46" t="s">
        <v>152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51" t="n">
        <v>46177</v>
      </c>
      <c r="X211" s="46" t="n">
        <f aca="false">IF(I211="Male",0,1)</f>
        <v>1</v>
      </c>
      <c r="Y211" s="46" t="n">
        <f aca="false">IF(OR(I211="DNB",I211="Dry DNB"),1,0)</f>
        <v>0</v>
      </c>
      <c r="Z211" s="46" t="n">
        <f aca="false">IF(ISNUMBER(W211),A211-W211,"")</f>
        <v>132</v>
      </c>
      <c r="AA211" s="46" t="n">
        <f aca="false">MATCH(A211,DATAS,0)</f>
        <v>1</v>
      </c>
      <c r="AB211" s="46" t="n">
        <f aca="false">IF(AND(E211&gt;0,OR(AND(B211&gt;=1,B211&lt;=6),B211=10)),1,0)</f>
        <v>1</v>
      </c>
      <c r="AC211" s="46" t="n">
        <f aca="false">IF(AND(E211&gt;0,B211=10),1,0)</f>
        <v>0</v>
      </c>
      <c r="AD211" s="0" t="str">
        <f aca="false">IF(AND(C210=C211,AA210=AA211-1),AB210,"")</f>
        <v/>
      </c>
      <c r="AE211" s="0" t="str">
        <f aca="false">IF(AND(C210=C211,AA210=AA211-1),AC210,"")</f>
        <v/>
      </c>
      <c r="AF211" s="0" t="str">
        <f aca="false">IF(AA211=1,"",IF(AND(AB211=1,AD211&lt;&gt;1),1,0))</f>
        <v/>
      </c>
      <c r="AG211" s="0" t="str">
        <f aca="false">IF(AA211=1,"",IF(AND(AC211=1,AE211&lt;&gt;1),1,0))</f>
        <v/>
      </c>
      <c r="AH211" s="51" t="str">
        <f aca="false">IF(AND(E211&gt;0,AA211&lt;1,NOT(AND(C212=C211,AA212=AA211+1))),INDEX(DATAS,AA211+1),"")</f>
        <v/>
      </c>
      <c r="AI211" s="51" t="str">
        <f aca="false">IF(AND(AC211=1,AA211&lt;1),IF(AND(C212=C211,AA212=AA211+1),IF(AC212=1,"",INDEX(DATAS,AA211+1)),INDEX(DATAS,AA211+1)),"")</f>
        <v/>
      </c>
    </row>
    <row r="212" customFormat="false" ht="15" hidden="false" customHeight="false" outlineLevel="0" collapsed="false">
      <c r="A212" s="51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46" t="s">
        <v>339</v>
      </c>
      <c r="G212" s="0" t="n">
        <v>61.4</v>
      </c>
      <c r="H212" s="0" t="n">
        <v>60</v>
      </c>
      <c r="I212" s="46" t="s">
        <v>181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51" t="n">
        <v>46303</v>
      </c>
      <c r="X212" s="46" t="n">
        <f aca="false">IF(I212="Male",0,1)</f>
        <v>1</v>
      </c>
      <c r="Y212" s="46" t="n">
        <f aca="false">IF(OR(I212="DNB",I212="Dry DNB"),1,0)</f>
        <v>0</v>
      </c>
      <c r="Z212" s="46" t="n">
        <f aca="false">IF(ISNUMBER(W212),A212-W212,"")</f>
        <v>6</v>
      </c>
      <c r="AA212" s="46" t="n">
        <f aca="false">MATCH(A212,DATAS,0)</f>
        <v>1</v>
      </c>
      <c r="AB212" s="46" t="n">
        <f aca="false">IF(AND(E212&gt;0,OR(AND(B212&gt;=1,B212&lt;=6),B212=10)),1,0)</f>
        <v>1</v>
      </c>
      <c r="AC212" s="46" t="n">
        <f aca="false">IF(AND(E212&gt;0,B212=10),1,0)</f>
        <v>0</v>
      </c>
      <c r="AD212" s="0" t="str">
        <f aca="false">IF(AND(C211=C212,AA211=AA212-1),AB211,"")</f>
        <v/>
      </c>
      <c r="AE212" s="0" t="str">
        <f aca="false">IF(AND(C211=C212,AA211=AA212-1),AC211,"")</f>
        <v/>
      </c>
      <c r="AF212" s="0" t="str">
        <f aca="false">IF(AA212=1,"",IF(AND(AB212=1,AD212&lt;&gt;1),1,0))</f>
        <v/>
      </c>
      <c r="AG212" s="0" t="str">
        <f aca="false">IF(AA212=1,"",IF(AND(AC212=1,AE212&lt;&gt;1),1,0))</f>
        <v/>
      </c>
      <c r="AH212" s="51" t="str">
        <f aca="false">IF(AND(E212&gt;0,AA212&lt;1,NOT(AND(C213=C212,AA213=AA212+1))),INDEX(DATAS,AA212+1),"")</f>
        <v/>
      </c>
      <c r="AI212" s="51" t="str">
        <f aca="false">IF(AND(AC212=1,AA212&lt;1),IF(AND(C213=C212,AA213=AA212+1),IF(AC213=1,"",INDEX(DATAS,AA212+1)),INDEX(DATAS,AA212+1)),"")</f>
        <v/>
      </c>
    </row>
    <row r="213" customFormat="false" ht="15" hidden="false" customHeight="false" outlineLevel="0" collapsed="false">
      <c r="A213" s="51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46" t="s">
        <v>339</v>
      </c>
      <c r="G213" s="0" t="n">
        <v>57.1</v>
      </c>
      <c r="H213" s="0" t="n">
        <v>58</v>
      </c>
      <c r="I213" s="46" t="s">
        <v>189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X213" s="46" t="n">
        <f aca="false">IF(I213="Male",0,1)</f>
        <v>1</v>
      </c>
      <c r="Y213" s="46" t="n">
        <f aca="false">IF(OR(I213="DNB",I213="Dry DNB"),1,0)</f>
        <v>0</v>
      </c>
      <c r="Z213" s="0" t="str">
        <f aca="false">IF(ISNUMBER(W213),A213-W213,"")</f>
        <v/>
      </c>
      <c r="AA213" s="46" t="n">
        <f aca="false">MATCH(A213,DATAS,0)</f>
        <v>1</v>
      </c>
      <c r="AB213" s="46" t="n">
        <f aca="false">IF(AND(E213&gt;0,OR(AND(B213&gt;=1,B213&lt;=6),B213=10)),1,0)</f>
        <v>1</v>
      </c>
      <c r="AC213" s="46" t="n">
        <f aca="false">IF(AND(E213&gt;0,B213=10),1,0)</f>
        <v>0</v>
      </c>
      <c r="AD213" s="0" t="str">
        <f aca="false">IF(AND(C212=C213,AA212=AA213-1),AB212,"")</f>
        <v/>
      </c>
      <c r="AE213" s="0" t="str">
        <f aca="false">IF(AND(C212=C213,AA212=AA213-1),AC212,"")</f>
        <v/>
      </c>
      <c r="AF213" s="0" t="str">
        <f aca="false">IF(AA213=1,"",IF(AND(AB213=1,AD213&lt;&gt;1),1,0))</f>
        <v/>
      </c>
      <c r="AG213" s="0" t="str">
        <f aca="false">IF(AA213=1,"",IF(AND(AC213=1,AE213&lt;&gt;1),1,0))</f>
        <v/>
      </c>
      <c r="AH213" s="51" t="str">
        <f aca="false">IF(AND(E213&gt;0,AA213&lt;1,NOT(AND(C214=C213,AA214=AA213+1))),INDEX(DATAS,AA213+1),"")</f>
        <v/>
      </c>
      <c r="AI213" s="51" t="str">
        <f aca="false">IF(AND(AC213=1,AA213&lt;1),IF(AND(C214=C213,AA214=AA213+1),IF(AC214=1,"",INDEX(DATAS,AA213+1)),INDEX(DATAS,AA213+1)),"")</f>
        <v/>
      </c>
    </row>
    <row r="214" customFormat="false" ht="15" hidden="false" customHeight="false" outlineLevel="0" collapsed="false">
      <c r="A214" s="51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46" t="s">
        <v>339</v>
      </c>
      <c r="G214" s="0" t="n">
        <v>45.7</v>
      </c>
      <c r="H214" s="0" t="n">
        <v>45</v>
      </c>
      <c r="I214" s="46" t="s">
        <v>181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51" t="n">
        <v>46264</v>
      </c>
      <c r="X214" s="46" t="n">
        <f aca="false">IF(I214="Male",0,1)</f>
        <v>1</v>
      </c>
      <c r="Y214" s="46" t="n">
        <f aca="false">IF(OR(I214="DNB",I214="Dry DNB"),1,0)</f>
        <v>0</v>
      </c>
      <c r="Z214" s="46" t="n">
        <f aca="false">IF(ISNUMBER(W214),A214-W214,"")</f>
        <v>45</v>
      </c>
      <c r="AA214" s="46" t="n">
        <f aca="false">MATCH(A214,DATAS,0)</f>
        <v>1</v>
      </c>
      <c r="AB214" s="46" t="n">
        <f aca="false">IF(AND(E214&gt;0,OR(AND(B214&gt;=1,B214&lt;=6),B214=10)),1,0)</f>
        <v>1</v>
      </c>
      <c r="AC214" s="46" t="n">
        <f aca="false">IF(AND(E214&gt;0,B214=10),1,0)</f>
        <v>0</v>
      </c>
      <c r="AD214" s="0" t="str">
        <f aca="false">IF(AND(C213=C214,AA213=AA214-1),AB213,"")</f>
        <v/>
      </c>
      <c r="AE214" s="0" t="str">
        <f aca="false">IF(AND(C213=C214,AA213=AA214-1),AC213,"")</f>
        <v/>
      </c>
      <c r="AF214" s="0" t="str">
        <f aca="false">IF(AA214=1,"",IF(AND(AB214=1,AD214&lt;&gt;1),1,0))</f>
        <v/>
      </c>
      <c r="AG214" s="0" t="str">
        <f aca="false">IF(AA214=1,"",IF(AND(AC214=1,AE214&lt;&gt;1),1,0))</f>
        <v/>
      </c>
      <c r="AH214" s="51" t="str">
        <f aca="false">IF(AND(E214&gt;0,AA214&lt;1,NOT(AND(C215=C214,AA215=AA214+1))),INDEX(DATAS,AA214+1),"")</f>
        <v/>
      </c>
      <c r="AI214" s="51" t="str">
        <f aca="false">IF(AND(AC214=1,AA214&lt;1),IF(AND(C215=C214,AA215=AA214+1),IF(AC215=1,"",INDEX(DATAS,AA214+1)),INDEX(DATAS,AA214+1)),"")</f>
        <v/>
      </c>
    </row>
    <row r="215" customFormat="false" ht="15" hidden="false" customHeight="false" outlineLevel="0" collapsed="false">
      <c r="A215" s="51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46" t="s">
        <v>340</v>
      </c>
      <c r="G215" s="0" t="n">
        <v>44.5</v>
      </c>
      <c r="H215" s="0" t="n">
        <v>44</v>
      </c>
      <c r="I215" s="46" t="s">
        <v>152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51" t="n">
        <v>46212</v>
      </c>
      <c r="X215" s="46" t="n">
        <f aca="false">IF(I215="Male",0,1)</f>
        <v>1</v>
      </c>
      <c r="Y215" s="46" t="n">
        <f aca="false">IF(OR(I215="DNB",I215="Dry DNB"),1,0)</f>
        <v>0</v>
      </c>
      <c r="Z215" s="46" t="n">
        <f aca="false">IF(ISNUMBER(W215),A215-W215,"")</f>
        <v>97</v>
      </c>
      <c r="AA215" s="46" t="n">
        <f aca="false">MATCH(A215,DATAS,0)</f>
        <v>1</v>
      </c>
      <c r="AB215" s="46" t="n">
        <f aca="false">IF(AND(E215&gt;0,OR(AND(B215&gt;=1,B215&lt;=6),B215=10)),1,0)</f>
        <v>1</v>
      </c>
      <c r="AC215" s="46" t="n">
        <f aca="false">IF(AND(E215&gt;0,B215=10),1,0)</f>
        <v>0</v>
      </c>
      <c r="AD215" s="0" t="str">
        <f aca="false">IF(AND(C214=C215,AA214=AA215-1),AB214,"")</f>
        <v/>
      </c>
      <c r="AE215" s="0" t="str">
        <f aca="false">IF(AND(C214=C215,AA214=AA215-1),AC214,"")</f>
        <v/>
      </c>
      <c r="AF215" s="0" t="str">
        <f aca="false">IF(AA215=1,"",IF(AND(AB215=1,AD215&lt;&gt;1),1,0))</f>
        <v/>
      </c>
      <c r="AG215" s="0" t="str">
        <f aca="false">IF(AA215=1,"",IF(AND(AC215=1,AE215&lt;&gt;1),1,0))</f>
        <v/>
      </c>
      <c r="AH215" s="51" t="str">
        <f aca="false">IF(AND(E215&gt;0,AA215&lt;1,NOT(AND(C216=C215,AA216=AA215+1))),INDEX(DATAS,AA215+1),"")</f>
        <v/>
      </c>
      <c r="AI215" s="51" t="str">
        <f aca="false">IF(AND(AC215=1,AA215&lt;1),IF(AND(C216=C215,AA216=AA215+1),IF(AC216=1,"",INDEX(DATAS,AA215+1)),INDEX(DATAS,AA215+1)),"")</f>
        <v/>
      </c>
    </row>
    <row r="216" customFormat="false" ht="15" hidden="false" customHeight="false" outlineLevel="0" collapsed="false">
      <c r="A216" s="51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46" t="s">
        <v>341</v>
      </c>
      <c r="G216" s="0" t="n">
        <v>49.3</v>
      </c>
      <c r="H216" s="0" t="n">
        <v>54</v>
      </c>
      <c r="I216" s="46" t="s">
        <v>152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51" t="n">
        <v>46226</v>
      </c>
      <c r="X216" s="46" t="n">
        <f aca="false">IF(I216="Male",0,1)</f>
        <v>1</v>
      </c>
      <c r="Y216" s="46" t="n">
        <f aca="false">IF(OR(I216="DNB",I216="Dry DNB"),1,0)</f>
        <v>0</v>
      </c>
      <c r="Z216" s="46" t="n">
        <f aca="false">IF(ISNUMBER(W216),A216-W216,"")</f>
        <v>83</v>
      </c>
      <c r="AA216" s="46" t="n">
        <f aca="false">MATCH(A216,DATAS,0)</f>
        <v>1</v>
      </c>
      <c r="AB216" s="46" t="n">
        <f aca="false">IF(AND(E216&gt;0,OR(AND(B216&gt;=1,B216&lt;=6),B216=10)),1,0)</f>
        <v>1</v>
      </c>
      <c r="AC216" s="46" t="n">
        <f aca="false">IF(AND(E216&gt;0,B216=10),1,0)</f>
        <v>0</v>
      </c>
      <c r="AD216" s="0" t="str">
        <f aca="false">IF(AND(C215=C216,AA215=AA216-1),AB215,"")</f>
        <v/>
      </c>
      <c r="AE216" s="0" t="str">
        <f aca="false">IF(AND(C215=C216,AA215=AA216-1),AC215,"")</f>
        <v/>
      </c>
      <c r="AF216" s="0" t="str">
        <f aca="false">IF(AA216=1,"",IF(AND(AB216=1,AD216&lt;&gt;1),1,0))</f>
        <v/>
      </c>
      <c r="AG216" s="0" t="str">
        <f aca="false">IF(AA216=1,"",IF(AND(AC216=1,AE216&lt;&gt;1),1,0))</f>
        <v/>
      </c>
      <c r="AH216" s="51" t="str">
        <f aca="false">IF(AND(E216&gt;0,AA216&lt;1,NOT(AND(C217=C216,AA217=AA216+1))),INDEX(DATAS,AA216+1),"")</f>
        <v/>
      </c>
      <c r="AI216" s="51" t="str">
        <f aca="false">IF(AND(AC216=1,AA216&lt;1),IF(AND(C217=C216,AA217=AA216+1),IF(AC217=1,"",INDEX(DATAS,AA216+1)),INDEX(DATAS,AA216+1)),"")</f>
        <v/>
      </c>
    </row>
    <row r="217" customFormat="false" ht="15" hidden="false" customHeight="false" outlineLevel="0" collapsed="false">
      <c r="A217" s="51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46" t="s">
        <v>342</v>
      </c>
      <c r="G217" s="0" t="n">
        <v>45</v>
      </c>
      <c r="H217" s="0" t="n">
        <v>46</v>
      </c>
      <c r="I217" s="46" t="s">
        <v>181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51" t="n">
        <v>46285</v>
      </c>
      <c r="X217" s="46" t="n">
        <f aca="false">IF(I217="Male",0,1)</f>
        <v>1</v>
      </c>
      <c r="Y217" s="46" t="n">
        <f aca="false">IF(OR(I217="DNB",I217="Dry DNB"),1,0)</f>
        <v>0</v>
      </c>
      <c r="Z217" s="46" t="n">
        <f aca="false">IF(ISNUMBER(W217),A217-W217,"")</f>
        <v>24</v>
      </c>
      <c r="AA217" s="46" t="n">
        <f aca="false">MATCH(A217,DATAS,0)</f>
        <v>1</v>
      </c>
      <c r="AB217" s="46" t="n">
        <f aca="false">IF(AND(E217&gt;0,OR(AND(B217&gt;=1,B217&lt;=6),B217=10)),1,0)</f>
        <v>1</v>
      </c>
      <c r="AC217" s="46" t="n">
        <f aca="false">IF(AND(E217&gt;0,B217=10),1,0)</f>
        <v>0</v>
      </c>
      <c r="AD217" s="0" t="str">
        <f aca="false">IF(AND(C216=C217,AA216=AA217-1),AB216,"")</f>
        <v/>
      </c>
      <c r="AE217" s="0" t="str">
        <f aca="false">IF(AND(C216=C217,AA216=AA217-1),AC216,"")</f>
        <v/>
      </c>
      <c r="AF217" s="0" t="str">
        <f aca="false">IF(AA217=1,"",IF(AND(AB217=1,AD217&lt;&gt;1),1,0))</f>
        <v/>
      </c>
      <c r="AG217" s="0" t="str">
        <f aca="false">IF(AA217=1,"",IF(AND(AC217=1,AE217&lt;&gt;1),1,0))</f>
        <v/>
      </c>
      <c r="AH217" s="51" t="str">
        <f aca="false">IF(AND(E217&gt;0,AA217&lt;1,NOT(AND(C218=C217,AA218=AA217+1))),INDEX(DATAS,AA217+1),"")</f>
        <v/>
      </c>
      <c r="AI217" s="51" t="str">
        <f aca="false">IF(AND(AC217=1,AA217&lt;1),IF(AND(C218=C217,AA218=AA217+1),IF(AC218=1,"",INDEX(DATAS,AA217+1)),INDEX(DATAS,AA217+1)),"")</f>
        <v/>
      </c>
    </row>
    <row r="218" customFormat="false" ht="15" hidden="false" customHeight="false" outlineLevel="0" collapsed="false">
      <c r="A218" s="51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46" t="s">
        <v>342</v>
      </c>
      <c r="G218" s="0" t="n">
        <v>45.5</v>
      </c>
      <c r="H218" s="0" t="n">
        <v>44</v>
      </c>
      <c r="I218" s="46" t="s">
        <v>181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51" t="n">
        <v>46289</v>
      </c>
      <c r="X218" s="46" t="n">
        <f aca="false">IF(I218="Male",0,1)</f>
        <v>1</v>
      </c>
      <c r="Y218" s="46" t="n">
        <f aca="false">IF(OR(I218="DNB",I218="Dry DNB"),1,0)</f>
        <v>0</v>
      </c>
      <c r="Z218" s="46" t="n">
        <f aca="false">IF(ISNUMBER(W218),A218-W218,"")</f>
        <v>20</v>
      </c>
      <c r="AA218" s="46" t="n">
        <f aca="false">MATCH(A218,DATAS,0)</f>
        <v>1</v>
      </c>
      <c r="AB218" s="46" t="n">
        <f aca="false">IF(AND(E218&gt;0,OR(AND(B218&gt;=1,B218&lt;=6),B218=10)),1,0)</f>
        <v>1</v>
      </c>
      <c r="AC218" s="46" t="n">
        <f aca="false">IF(AND(E218&gt;0,B218=10),1,0)</f>
        <v>0</v>
      </c>
      <c r="AD218" s="0" t="str">
        <f aca="false">IF(AND(C217=C218,AA217=AA218-1),AB217,"")</f>
        <v/>
      </c>
      <c r="AE218" s="0" t="str">
        <f aca="false">IF(AND(C217=C218,AA217=AA218-1),AC217,"")</f>
        <v/>
      </c>
      <c r="AF218" s="0" t="str">
        <f aca="false">IF(AA218=1,"",IF(AND(AB218=1,AD218&lt;&gt;1),1,0))</f>
        <v/>
      </c>
      <c r="AG218" s="0" t="str">
        <f aca="false">IF(AA218=1,"",IF(AND(AC218=1,AE218&lt;&gt;1),1,0))</f>
        <v/>
      </c>
      <c r="AH218" s="51" t="str">
        <f aca="false">IF(AND(E218&gt;0,AA218&lt;1,NOT(AND(C219=C218,AA219=AA218+1))),INDEX(DATAS,AA218+1),"")</f>
        <v/>
      </c>
      <c r="AI218" s="51" t="str">
        <f aca="false">IF(AND(AC218=1,AA218&lt;1),IF(AND(C219=C218,AA219=AA218+1),IF(AC219=1,"",INDEX(DATAS,AA218+1)),INDEX(DATAS,AA218+1)),"")</f>
        <v/>
      </c>
    </row>
    <row r="219" customFormat="false" ht="15" hidden="false" customHeight="false" outlineLevel="0" collapsed="false">
      <c r="A219" s="51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46" t="s">
        <v>343</v>
      </c>
      <c r="G219" s="0" t="n">
        <v>34</v>
      </c>
      <c r="H219" s="0" t="n">
        <v>32</v>
      </c>
      <c r="I219" s="46" t="s">
        <v>152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51" t="n">
        <v>46212</v>
      </c>
      <c r="X219" s="46" t="n">
        <f aca="false">IF(I219="Male",0,1)</f>
        <v>1</v>
      </c>
      <c r="Y219" s="46" t="n">
        <f aca="false">IF(OR(I219="DNB",I219="Dry DNB"),1,0)</f>
        <v>0</v>
      </c>
      <c r="Z219" s="46" t="n">
        <f aca="false">IF(ISNUMBER(W219),A219-W219,"")</f>
        <v>97</v>
      </c>
      <c r="AA219" s="46" t="n">
        <f aca="false">MATCH(A219,DATAS,0)</f>
        <v>1</v>
      </c>
      <c r="AB219" s="46" t="n">
        <f aca="false">IF(AND(E219&gt;0,OR(AND(B219&gt;=1,B219&lt;=6),B219=10)),1,0)</f>
        <v>1</v>
      </c>
      <c r="AC219" s="46" t="n">
        <f aca="false">IF(AND(E219&gt;0,B219=10),1,0)</f>
        <v>0</v>
      </c>
      <c r="AD219" s="0" t="str">
        <f aca="false">IF(AND(C218=C219,AA218=AA219-1),AB218,"")</f>
        <v/>
      </c>
      <c r="AE219" s="0" t="str">
        <f aca="false">IF(AND(C218=C219,AA218=AA219-1),AC218,"")</f>
        <v/>
      </c>
      <c r="AF219" s="0" t="str">
        <f aca="false">IF(AA219=1,"",IF(AND(AB219=1,AD219&lt;&gt;1),1,0))</f>
        <v/>
      </c>
      <c r="AG219" s="0" t="str">
        <f aca="false">IF(AA219=1,"",IF(AND(AC219=1,AE219&lt;&gt;1),1,0))</f>
        <v/>
      </c>
      <c r="AH219" s="51" t="str">
        <f aca="false">IF(AND(E219&gt;0,AA219&lt;1,NOT(AND(C220=C219,AA220=AA219+1))),INDEX(DATAS,AA219+1),"")</f>
        <v/>
      </c>
      <c r="AI219" s="51" t="str">
        <f aca="false">IF(AND(AC219=1,AA219&lt;1),IF(AND(C220=C219,AA220=AA219+1),IF(AC220=1,"",INDEX(DATAS,AA219+1)),INDEX(DATAS,AA219+1)),"")</f>
        <v/>
      </c>
    </row>
    <row r="220" customFormat="false" ht="15" hidden="false" customHeight="false" outlineLevel="0" collapsed="false">
      <c r="A220" s="51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46" t="s">
        <v>344</v>
      </c>
      <c r="G220" s="0" t="n">
        <v>23.6</v>
      </c>
      <c r="H220" s="0" t="n">
        <v>20</v>
      </c>
      <c r="I220" s="46" t="s">
        <v>152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51" t="n">
        <v>46219</v>
      </c>
      <c r="X220" s="46" t="n">
        <f aca="false">IF(I220="Male",0,1)</f>
        <v>1</v>
      </c>
      <c r="Y220" s="46" t="n">
        <f aca="false">IF(OR(I220="DNB",I220="Dry DNB"),1,0)</f>
        <v>0</v>
      </c>
      <c r="Z220" s="46" t="n">
        <f aca="false">IF(ISNUMBER(W220),A220-W220,"")</f>
        <v>90</v>
      </c>
      <c r="AA220" s="46" t="n">
        <f aca="false">MATCH(A220,DATAS,0)</f>
        <v>1</v>
      </c>
      <c r="AB220" s="46" t="n">
        <f aca="false">IF(AND(E220&gt;0,OR(AND(B220&gt;=1,B220&lt;=6),B220=10)),1,0)</f>
        <v>1</v>
      </c>
      <c r="AC220" s="46" t="n">
        <f aca="false">IF(AND(E220&gt;0,B220=10),1,0)</f>
        <v>0</v>
      </c>
      <c r="AD220" s="0" t="str">
        <f aca="false">IF(AND(C219=C220,AA219=AA220-1),AB219,"")</f>
        <v/>
      </c>
      <c r="AE220" s="0" t="str">
        <f aca="false">IF(AND(C219=C220,AA219=AA220-1),AC219,"")</f>
        <v/>
      </c>
      <c r="AF220" s="0" t="str">
        <f aca="false">IF(AA220=1,"",IF(AND(AB220=1,AD220&lt;&gt;1),1,0))</f>
        <v/>
      </c>
      <c r="AG220" s="0" t="str">
        <f aca="false">IF(AA220=1,"",IF(AND(AC220=1,AE220&lt;&gt;1),1,0))</f>
        <v/>
      </c>
      <c r="AH220" s="51" t="str">
        <f aca="false">IF(AND(E220&gt;0,AA220&lt;1,NOT(AND(C221=C220,AA221=AA220+1))),INDEX(DATAS,AA220+1),"")</f>
        <v/>
      </c>
      <c r="AI220" s="51" t="str">
        <f aca="false">IF(AND(AC220=1,AA220&lt;1),IF(AND(C221=C220,AA221=AA220+1),IF(AC221=1,"",INDEX(DATAS,AA220+1)),INDEX(DATAS,AA220+1)),"")</f>
        <v/>
      </c>
    </row>
    <row r="221" customFormat="false" ht="15" hidden="false" customHeight="false" outlineLevel="0" collapsed="false">
      <c r="A221" s="51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46" t="s">
        <v>344</v>
      </c>
      <c r="G221" s="0" t="n">
        <v>35.5</v>
      </c>
      <c r="H221" s="0" t="n">
        <v>31</v>
      </c>
      <c r="I221" s="46" t="s">
        <v>189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51" t="n">
        <v>46268</v>
      </c>
      <c r="X221" s="46" t="n">
        <f aca="false">IF(I221="Male",0,1)</f>
        <v>1</v>
      </c>
      <c r="Y221" s="46" t="n">
        <f aca="false">IF(OR(I221="DNB",I221="Dry DNB"),1,0)</f>
        <v>0</v>
      </c>
      <c r="Z221" s="46" t="n">
        <f aca="false">IF(ISNUMBER(W221),A221-W221,"")</f>
        <v>41</v>
      </c>
      <c r="AA221" s="46" t="n">
        <f aca="false">MATCH(A221,DATAS,0)</f>
        <v>1</v>
      </c>
      <c r="AB221" s="46" t="n">
        <f aca="false">IF(AND(E221&gt;0,OR(AND(B221&gt;=1,B221&lt;=6),B221=10)),1,0)</f>
        <v>1</v>
      </c>
      <c r="AC221" s="46" t="n">
        <f aca="false">IF(AND(E221&gt;0,B221=10),1,0)</f>
        <v>0</v>
      </c>
      <c r="AD221" s="0" t="str">
        <f aca="false">IF(AND(C220=C221,AA220=AA221-1),AB220,"")</f>
        <v/>
      </c>
      <c r="AE221" s="0" t="str">
        <f aca="false">IF(AND(C220=C221,AA220=AA221-1),AC220,"")</f>
        <v/>
      </c>
      <c r="AF221" s="0" t="str">
        <f aca="false">IF(AA221=1,"",IF(AND(AB221=1,AD221&lt;&gt;1),1,0))</f>
        <v/>
      </c>
      <c r="AG221" s="0" t="str">
        <f aca="false">IF(AA221=1,"",IF(AND(AC221=1,AE221&lt;&gt;1),1,0))</f>
        <v/>
      </c>
      <c r="AH221" s="51" t="str">
        <f aca="false">IF(AND(E221&gt;0,AA221&lt;1,NOT(AND(C222=C221,AA222=AA221+1))),INDEX(DATAS,AA221+1),"")</f>
        <v/>
      </c>
      <c r="AI221" s="51" t="str">
        <f aca="false">IF(AND(AC221=1,AA221&lt;1),IF(AND(C222=C221,AA222=AA221+1),IF(AC222=1,"",INDEX(DATAS,AA221+1)),INDEX(DATAS,AA221+1)),"")</f>
        <v/>
      </c>
    </row>
    <row r="222" customFormat="false" ht="15" hidden="false" customHeight="false" outlineLevel="0" collapsed="false">
      <c r="A222" s="51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46" t="s">
        <v>345</v>
      </c>
      <c r="G222" s="0" t="n">
        <v>27.3</v>
      </c>
      <c r="H222" s="0" t="n">
        <v>28</v>
      </c>
      <c r="I222" s="46" t="s">
        <v>181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51" t="n">
        <v>46233</v>
      </c>
      <c r="X222" s="46" t="n">
        <f aca="false">IF(I222="Male",0,1)</f>
        <v>1</v>
      </c>
      <c r="Y222" s="46" t="n">
        <f aca="false">IF(OR(I222="DNB",I222="Dry DNB"),1,0)</f>
        <v>0</v>
      </c>
      <c r="Z222" s="46" t="n">
        <f aca="false">IF(ISNUMBER(W222),A222-W222,"")</f>
        <v>76</v>
      </c>
      <c r="AA222" s="46" t="n">
        <f aca="false">MATCH(A222,DATAS,0)</f>
        <v>1</v>
      </c>
      <c r="AB222" s="46" t="n">
        <f aca="false">IF(AND(E222&gt;0,OR(AND(B222&gt;=1,B222&lt;=6),B222=10)),1,0)</f>
        <v>1</v>
      </c>
      <c r="AC222" s="46" t="n">
        <f aca="false">IF(AND(E222&gt;0,B222=10),1,0)</f>
        <v>0</v>
      </c>
      <c r="AD222" s="0" t="str">
        <f aca="false">IF(AND(C221=C222,AA221=AA222-1),AB221,"")</f>
        <v/>
      </c>
      <c r="AE222" s="0" t="str">
        <f aca="false">IF(AND(C221=C222,AA221=AA222-1),AC221,"")</f>
        <v/>
      </c>
      <c r="AF222" s="0" t="str">
        <f aca="false">IF(AA222=1,"",IF(AND(AB222=1,AD222&lt;&gt;1),1,0))</f>
        <v/>
      </c>
      <c r="AG222" s="0" t="str">
        <f aca="false">IF(AA222=1,"",IF(AND(AC222=1,AE222&lt;&gt;1),1,0))</f>
        <v/>
      </c>
      <c r="AH222" s="51" t="str">
        <f aca="false">IF(AND(E222&gt;0,AA222&lt;1,NOT(AND(C223=C222,AA223=AA222+1))),INDEX(DATAS,AA222+1),"")</f>
        <v/>
      </c>
      <c r="AI222" s="51" t="str">
        <f aca="false">IF(AND(AC222=1,AA222&lt;1),IF(AND(C223=C222,AA223=AA222+1),IF(AC223=1,"",INDEX(DATAS,AA222+1)),INDEX(DATAS,AA222+1)),"")</f>
        <v/>
      </c>
    </row>
    <row r="223" customFormat="false" ht="15" hidden="false" customHeight="false" outlineLevel="0" collapsed="false">
      <c r="A223" s="51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46" t="s">
        <v>346</v>
      </c>
      <c r="I223" s="46" t="s">
        <v>157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51" t="n">
        <v>46044</v>
      </c>
      <c r="X223" s="46" t="n">
        <f aca="false">IF(I223="Male",0,1)</f>
        <v>1</v>
      </c>
      <c r="Y223" s="46" t="n">
        <f aca="false">IF(OR(I223="DNB",I223="Dry DNB"),1,0)</f>
        <v>0</v>
      </c>
      <c r="Z223" s="46" t="n">
        <f aca="false">IF(ISNUMBER(W223),A223-W223,"")</f>
        <v>265</v>
      </c>
      <c r="AA223" s="46" t="n">
        <f aca="false">MATCH(A223,DATAS,0)</f>
        <v>1</v>
      </c>
      <c r="AB223" s="46" t="n">
        <f aca="false">IF(AND(E223&gt;0,OR(AND(B223&gt;=1,B223&lt;=6),B223=10)),1,0)</f>
        <v>0</v>
      </c>
      <c r="AC223" s="46" t="n">
        <f aca="false">IF(AND(E223&gt;0,B223=10),1,0)</f>
        <v>0</v>
      </c>
      <c r="AD223" s="0" t="str">
        <f aca="false">IF(AND(C222=C223,AA222=AA223-1),AB222,"")</f>
        <v/>
      </c>
      <c r="AE223" s="0" t="str">
        <f aca="false">IF(AND(C222=C223,AA222=AA223-1),AC222,"")</f>
        <v/>
      </c>
      <c r="AF223" s="0" t="str">
        <f aca="false">IF(AA223=1,"",IF(AND(AB223=1,AD223&lt;&gt;1),1,0))</f>
        <v/>
      </c>
      <c r="AG223" s="0" t="str">
        <f aca="false">IF(AA223=1,"",IF(AND(AC223=1,AE223&lt;&gt;1),1,0))</f>
        <v/>
      </c>
      <c r="AH223" s="51" t="str">
        <f aca="false">IF(AND(E223&gt;0,AA223&lt;1,NOT(AND(C224=C223,AA224=AA223+1))),INDEX(DATAS,AA223+1),"")</f>
        <v/>
      </c>
      <c r="AI223" s="51" t="str">
        <f aca="false">IF(AND(AC223=1,AA223&lt;1),IF(AND(C224=C223,AA224=AA223+1),IF(AC224=1,"",INDEX(DATAS,AA223+1)),INDEX(DATAS,AA223+1)),"")</f>
        <v/>
      </c>
    </row>
    <row r="224" customFormat="false" ht="15" hidden="false" customHeight="false" outlineLevel="0" collapsed="false">
      <c r="A224" s="51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46" t="s">
        <v>347</v>
      </c>
      <c r="G224" s="0" t="n">
        <v>32.2</v>
      </c>
      <c r="H224" s="0" t="n">
        <v>31</v>
      </c>
      <c r="I224" s="46" t="s">
        <v>152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51" t="n">
        <v>46194</v>
      </c>
      <c r="X224" s="46" t="n">
        <f aca="false">IF(I224="Male",0,1)</f>
        <v>1</v>
      </c>
      <c r="Y224" s="46" t="n">
        <f aca="false">IF(OR(I224="DNB",I224="Dry DNB"),1,0)</f>
        <v>0</v>
      </c>
      <c r="Z224" s="46" t="n">
        <f aca="false">IF(ISNUMBER(W224),A224-W224,"")</f>
        <v>115</v>
      </c>
      <c r="AA224" s="46" t="n">
        <f aca="false">MATCH(A224,DATAS,0)</f>
        <v>1</v>
      </c>
      <c r="AB224" s="46" t="n">
        <f aca="false">IF(AND(E224&gt;0,OR(AND(B224&gt;=1,B224&lt;=6),B224=10)),1,0)</f>
        <v>1</v>
      </c>
      <c r="AC224" s="46" t="n">
        <f aca="false">IF(AND(E224&gt;0,B224=10),1,0)</f>
        <v>0</v>
      </c>
      <c r="AD224" s="0" t="str">
        <f aca="false">IF(AND(C223=C224,AA223=AA224-1),AB223,"")</f>
        <v/>
      </c>
      <c r="AE224" s="0" t="str">
        <f aca="false">IF(AND(C223=C224,AA223=AA224-1),AC223,"")</f>
        <v/>
      </c>
      <c r="AF224" s="0" t="str">
        <f aca="false">IF(AA224=1,"",IF(AND(AB224=1,AD224&lt;&gt;1),1,0))</f>
        <v/>
      </c>
      <c r="AG224" s="0" t="str">
        <f aca="false">IF(AA224=1,"",IF(AND(AC224=1,AE224&lt;&gt;1),1,0))</f>
        <v/>
      </c>
      <c r="AH224" s="51" t="str">
        <f aca="false">IF(AND(E224&gt;0,AA224&lt;1,NOT(AND(C225=C224,AA225=AA224+1))),INDEX(DATAS,AA224+1),"")</f>
        <v/>
      </c>
      <c r="AI224" s="51" t="str">
        <f aca="false">IF(AND(AC224=1,AA224&lt;1),IF(AND(C225=C224,AA225=AA224+1),IF(AC225=1,"",INDEX(DATAS,AA224+1)),INDEX(DATAS,AA224+1)),"")</f>
        <v/>
      </c>
    </row>
    <row r="225" customFormat="false" ht="15" hidden="false" customHeight="false" outlineLevel="0" collapsed="false">
      <c r="A225" s="51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46" t="s">
        <v>347</v>
      </c>
      <c r="G225" s="0" t="n">
        <v>46.3</v>
      </c>
      <c r="H225" s="0" t="n">
        <v>49</v>
      </c>
      <c r="I225" s="46" t="s">
        <v>152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51" t="n">
        <v>46212</v>
      </c>
      <c r="X225" s="46" t="n">
        <f aca="false">IF(I225="Male",0,1)</f>
        <v>1</v>
      </c>
      <c r="Y225" s="46" t="n">
        <f aca="false">IF(OR(I225="DNB",I225="Dry DNB"),1,0)</f>
        <v>0</v>
      </c>
      <c r="Z225" s="46" t="n">
        <f aca="false">IF(ISNUMBER(W225),A225-W225,"")</f>
        <v>97</v>
      </c>
      <c r="AA225" s="46" t="n">
        <f aca="false">MATCH(A225,DATAS,0)</f>
        <v>1</v>
      </c>
      <c r="AB225" s="46" t="n">
        <f aca="false">IF(AND(E225&gt;0,OR(AND(B225&gt;=1,B225&lt;=6),B225=10)),1,0)</f>
        <v>1</v>
      </c>
      <c r="AC225" s="46" t="n">
        <f aca="false">IF(AND(E225&gt;0,B225=10),1,0)</f>
        <v>0</v>
      </c>
      <c r="AD225" s="0" t="str">
        <f aca="false">IF(AND(C224=C225,AA224=AA225-1),AB224,"")</f>
        <v/>
      </c>
      <c r="AE225" s="0" t="str">
        <f aca="false">IF(AND(C224=C225,AA224=AA225-1),AC224,"")</f>
        <v/>
      </c>
      <c r="AF225" s="0" t="str">
        <f aca="false">IF(AA225=1,"",IF(AND(AB225=1,AD225&lt;&gt;1),1,0))</f>
        <v/>
      </c>
      <c r="AG225" s="0" t="str">
        <f aca="false">IF(AA225=1,"",IF(AND(AC225=1,AE225&lt;&gt;1),1,0))</f>
        <v/>
      </c>
      <c r="AH225" s="51" t="str">
        <f aca="false">IF(AND(E225&gt;0,AA225&lt;1,NOT(AND(C226=C225,AA226=AA225+1))),INDEX(DATAS,AA225+1),"")</f>
        <v/>
      </c>
      <c r="AI225" s="51" t="str">
        <f aca="false">IF(AND(AC225=1,AA225&lt;1),IF(AND(C226=C225,AA226=AA225+1),IF(AC226=1,"",INDEX(DATAS,AA225+1)),INDEX(DATAS,AA225+1)),"")</f>
        <v/>
      </c>
    </row>
    <row r="226" customFormat="false" ht="15" hidden="false" customHeight="false" outlineLevel="0" collapsed="false">
      <c r="A226" s="51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46" t="s">
        <v>348</v>
      </c>
      <c r="G226" s="0" t="n">
        <v>57.5</v>
      </c>
      <c r="H226" s="0" t="n">
        <v>59</v>
      </c>
      <c r="I226" s="46" t="s">
        <v>181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51" t="n">
        <v>46305</v>
      </c>
      <c r="X226" s="46" t="n">
        <f aca="false">IF(I226="Male",0,1)</f>
        <v>1</v>
      </c>
      <c r="Y226" s="46" t="n">
        <f aca="false">IF(OR(I226="DNB",I226="Dry DNB"),1,0)</f>
        <v>0</v>
      </c>
      <c r="Z226" s="46" t="n">
        <f aca="false">IF(ISNUMBER(W226),A226-W226,"")</f>
        <v>4</v>
      </c>
      <c r="AA226" s="46" t="n">
        <f aca="false">MATCH(A226,DATAS,0)</f>
        <v>1</v>
      </c>
      <c r="AB226" s="46" t="n">
        <f aca="false">IF(AND(E226&gt;0,OR(AND(B226&gt;=1,B226&lt;=6),B226=10)),1,0)</f>
        <v>1</v>
      </c>
      <c r="AC226" s="46" t="n">
        <f aca="false">IF(AND(E226&gt;0,B226=10),1,0)</f>
        <v>0</v>
      </c>
      <c r="AD226" s="0" t="str">
        <f aca="false">IF(AND(C225=C226,AA225=AA226-1),AB225,"")</f>
        <v/>
      </c>
      <c r="AE226" s="0" t="str">
        <f aca="false">IF(AND(C225=C226,AA225=AA226-1),AC225,"")</f>
        <v/>
      </c>
      <c r="AF226" s="0" t="str">
        <f aca="false">IF(AA226=1,"",IF(AND(AB226=1,AD226&lt;&gt;1),1,0))</f>
        <v/>
      </c>
      <c r="AG226" s="0" t="str">
        <f aca="false">IF(AA226=1,"",IF(AND(AC226=1,AE226&lt;&gt;1),1,0))</f>
        <v/>
      </c>
      <c r="AH226" s="51" t="str">
        <f aca="false">IF(AND(E226&gt;0,AA226&lt;1,NOT(AND(C227=C226,AA227=AA226+1))),INDEX(DATAS,AA226+1),"")</f>
        <v/>
      </c>
      <c r="AI226" s="51" t="str">
        <f aca="false">IF(AND(AC226=1,AA226&lt;1),IF(AND(C227=C226,AA227=AA226+1),IF(AC227=1,"",INDEX(DATAS,AA226+1)),INDEX(DATAS,AA226+1)),"")</f>
        <v/>
      </c>
    </row>
    <row r="227" customFormat="false" ht="15" hidden="false" customHeight="false" outlineLevel="0" collapsed="false">
      <c r="A227" s="51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46" t="s">
        <v>348</v>
      </c>
      <c r="G227" s="0" t="n">
        <v>5.3</v>
      </c>
      <c r="H227" s="0" t="n">
        <v>15</v>
      </c>
      <c r="I227" s="46" t="s">
        <v>157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51" t="n">
        <v>46163</v>
      </c>
      <c r="X227" s="46" t="n">
        <f aca="false">IF(I227="Male",0,1)</f>
        <v>1</v>
      </c>
      <c r="Y227" s="46" t="n">
        <f aca="false">IF(OR(I227="DNB",I227="Dry DNB"),1,0)</f>
        <v>0</v>
      </c>
      <c r="Z227" s="46" t="n">
        <f aca="false">IF(ISNUMBER(W227),A227-W227,"")</f>
        <v>146</v>
      </c>
      <c r="AA227" s="46" t="n">
        <f aca="false">MATCH(A227,DATAS,0)</f>
        <v>1</v>
      </c>
      <c r="AB227" s="46" t="n">
        <f aca="false">IF(AND(E227&gt;0,OR(AND(B227&gt;=1,B227&lt;=6),B227=10)),1,0)</f>
        <v>0</v>
      </c>
      <c r="AC227" s="46" t="n">
        <f aca="false">IF(AND(E227&gt;0,B227=10),1,0)</f>
        <v>0</v>
      </c>
      <c r="AD227" s="0" t="str">
        <f aca="false">IF(AND(C226=C227,AA226=AA227-1),AB226,"")</f>
        <v/>
      </c>
      <c r="AE227" s="0" t="str">
        <f aca="false">IF(AND(C226=C227,AA226=AA227-1),AC226,"")</f>
        <v/>
      </c>
      <c r="AF227" s="0" t="str">
        <f aca="false">IF(AA227=1,"",IF(AND(AB227=1,AD227&lt;&gt;1),1,0))</f>
        <v/>
      </c>
      <c r="AG227" s="0" t="str">
        <f aca="false">IF(AA227=1,"",IF(AND(AC227=1,AE227&lt;&gt;1),1,0))</f>
        <v/>
      </c>
      <c r="AH227" s="51" t="str">
        <f aca="false">IF(AND(E227&gt;0,AA227&lt;1,NOT(AND(C228=C227,AA228=AA227+1))),INDEX(DATAS,AA227+1),"")</f>
        <v/>
      </c>
      <c r="AI227" s="51" t="str">
        <f aca="false">IF(AND(AC227=1,AA227&lt;1),IF(AND(C228=C227,AA228=AA227+1),IF(AC228=1,"",INDEX(DATAS,AA227+1)),INDEX(DATAS,AA227+1)),"")</f>
        <v/>
      </c>
    </row>
    <row r="228" customFormat="false" ht="15" hidden="false" customHeight="false" outlineLevel="0" collapsed="false">
      <c r="A228" s="51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46" t="s">
        <v>349</v>
      </c>
      <c r="H228" s="0" t="n">
        <v>18</v>
      </c>
      <c r="I228" s="46" t="s">
        <v>152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51" t="n">
        <v>46219</v>
      </c>
      <c r="X228" s="46" t="n">
        <f aca="false">IF(I228="Male",0,1)</f>
        <v>1</v>
      </c>
      <c r="Y228" s="46" t="n">
        <f aca="false">IF(OR(I228="DNB",I228="Dry DNB"),1,0)</f>
        <v>0</v>
      </c>
      <c r="Z228" s="46" t="n">
        <f aca="false">IF(ISNUMBER(W228),A228-W228,"")</f>
        <v>90</v>
      </c>
      <c r="AA228" s="46" t="n">
        <f aca="false">MATCH(A228,DATAS,0)</f>
        <v>1</v>
      </c>
      <c r="AB228" s="46" t="n">
        <f aca="false">IF(AND(E228&gt;0,OR(AND(B228&gt;=1,B228&lt;=6),B228=10)),1,0)</f>
        <v>1</v>
      </c>
      <c r="AC228" s="46" t="n">
        <f aca="false">IF(AND(E228&gt;0,B228=10),1,0)</f>
        <v>0</v>
      </c>
      <c r="AD228" s="0" t="str">
        <f aca="false">IF(AND(C227=C228,AA227=AA228-1),AB227,"")</f>
        <v/>
      </c>
      <c r="AE228" s="0" t="str">
        <f aca="false">IF(AND(C227=C228,AA227=AA228-1),AC227,"")</f>
        <v/>
      </c>
      <c r="AF228" s="0" t="str">
        <f aca="false">IF(AA228=1,"",IF(AND(AB228=1,AD228&lt;&gt;1),1,0))</f>
        <v/>
      </c>
      <c r="AG228" s="0" t="str">
        <f aca="false">IF(AA228=1,"",IF(AND(AC228=1,AE228&lt;&gt;1),1,0))</f>
        <v/>
      </c>
      <c r="AH228" s="51" t="str">
        <f aca="false">IF(AND(E228&gt;0,AA228&lt;1,NOT(AND(C229=C228,AA229=AA228+1))),INDEX(DATAS,AA228+1),"")</f>
        <v/>
      </c>
      <c r="AI228" s="51" t="str">
        <f aca="false">IF(AND(AC228=1,AA228&lt;1),IF(AND(C229=C228,AA229=AA228+1),IF(AC229=1,"",INDEX(DATAS,AA228+1)),INDEX(DATAS,AA228+1)),"")</f>
        <v/>
      </c>
    </row>
    <row r="229" customFormat="false" ht="15" hidden="false" customHeight="false" outlineLevel="0" collapsed="false">
      <c r="A229" s="51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46" t="s">
        <v>350</v>
      </c>
      <c r="G229" s="0" t="n">
        <v>45.8</v>
      </c>
      <c r="H229" s="0" t="n">
        <v>60</v>
      </c>
      <c r="I229" s="46" t="s">
        <v>181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51" t="n">
        <v>46310</v>
      </c>
      <c r="X229" s="46" t="n">
        <f aca="false">IF(I229="Male",0,1)</f>
        <v>1</v>
      </c>
      <c r="Y229" s="46" t="n">
        <f aca="false">IF(OR(I229="DNB",I229="Dry DNB"),1,0)</f>
        <v>0</v>
      </c>
      <c r="Z229" s="46" t="n">
        <f aca="false">IF(ISNUMBER(W229),A229-W229,"")</f>
        <v>-1</v>
      </c>
      <c r="AA229" s="46" t="n">
        <f aca="false">MATCH(A229,DATAS,0)</f>
        <v>1</v>
      </c>
      <c r="AB229" s="46" t="n">
        <f aca="false">IF(AND(E229&gt;0,OR(AND(B229&gt;=1,B229&lt;=6),B229=10)),1,0)</f>
        <v>1</v>
      </c>
      <c r="AC229" s="46" t="n">
        <f aca="false">IF(AND(E229&gt;0,B229=10),1,0)</f>
        <v>0</v>
      </c>
      <c r="AD229" s="0" t="str">
        <f aca="false">IF(AND(C228=C229,AA228=AA229-1),AB228,"")</f>
        <v/>
      </c>
      <c r="AE229" s="0" t="str">
        <f aca="false">IF(AND(C228=C229,AA228=AA229-1),AC228,"")</f>
        <v/>
      </c>
      <c r="AF229" s="0" t="str">
        <f aca="false">IF(AA229=1,"",IF(AND(AB229=1,AD229&lt;&gt;1),1,0))</f>
        <v/>
      </c>
      <c r="AG229" s="0" t="str">
        <f aca="false">IF(AA229=1,"",IF(AND(AC229=1,AE229&lt;&gt;1),1,0))</f>
        <v/>
      </c>
      <c r="AH229" s="51" t="str">
        <f aca="false">IF(AND(E229&gt;0,AA229&lt;1,NOT(AND(C230=C229,AA230=AA229+1))),INDEX(DATAS,AA229+1),"")</f>
        <v/>
      </c>
      <c r="AI229" s="51" t="str">
        <f aca="false">IF(AND(AC229=1,AA229&lt;1),IF(AND(C230=C229,AA230=AA229+1),IF(AC230=1,"",INDEX(DATAS,AA229+1)),INDEX(DATAS,AA229+1)),"")</f>
        <v/>
      </c>
    </row>
    <row r="230" customFormat="false" ht="15" hidden="false" customHeight="false" outlineLevel="0" collapsed="false">
      <c r="A230" s="51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46" t="s">
        <v>351</v>
      </c>
      <c r="G230" s="0" t="n">
        <v>41.2</v>
      </c>
      <c r="H230" s="0" t="n">
        <v>38</v>
      </c>
      <c r="I230" s="46" t="s">
        <v>181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51" t="n">
        <v>46293</v>
      </c>
      <c r="X230" s="46" t="n">
        <f aca="false">IF(I230="Male",0,1)</f>
        <v>1</v>
      </c>
      <c r="Y230" s="46" t="n">
        <f aca="false">IF(OR(I230="DNB",I230="Dry DNB"),1,0)</f>
        <v>0</v>
      </c>
      <c r="Z230" s="46" t="n">
        <f aca="false">IF(ISNUMBER(W230),A230-W230,"")</f>
        <v>16</v>
      </c>
      <c r="AA230" s="46" t="n">
        <f aca="false">MATCH(A230,DATAS,0)</f>
        <v>1</v>
      </c>
      <c r="AB230" s="46" t="n">
        <f aca="false">IF(AND(E230&gt;0,OR(AND(B230&gt;=1,B230&lt;=6),B230=10)),1,0)</f>
        <v>1</v>
      </c>
      <c r="AC230" s="46" t="n">
        <f aca="false">IF(AND(E230&gt;0,B230=10),1,0)</f>
        <v>0</v>
      </c>
      <c r="AD230" s="0" t="str">
        <f aca="false">IF(AND(C229=C230,AA229=AA230-1),AB229,"")</f>
        <v/>
      </c>
      <c r="AE230" s="0" t="str">
        <f aca="false">IF(AND(C229=C230,AA229=AA230-1),AC229,"")</f>
        <v/>
      </c>
      <c r="AF230" s="0" t="str">
        <f aca="false">IF(AA230=1,"",IF(AND(AB230=1,AD230&lt;&gt;1),1,0))</f>
        <v/>
      </c>
      <c r="AG230" s="0" t="str">
        <f aca="false">IF(AA230=1,"",IF(AND(AC230=1,AE230&lt;&gt;1),1,0))</f>
        <v/>
      </c>
      <c r="AH230" s="51" t="str">
        <f aca="false">IF(AND(E230&gt;0,AA230&lt;1,NOT(AND(C231=C230,AA231=AA230+1))),INDEX(DATAS,AA230+1),"")</f>
        <v/>
      </c>
      <c r="AI230" s="51" t="str">
        <f aca="false">IF(AND(AC230=1,AA230&lt;1),IF(AND(C231=C230,AA231=AA230+1),IF(AC231=1,"",INDEX(DATAS,AA230+1)),INDEX(DATAS,AA230+1)),"")</f>
        <v/>
      </c>
    </row>
    <row r="231" customFormat="false" ht="15" hidden="false" customHeight="false" outlineLevel="0" collapsed="false">
      <c r="A231" s="51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46" t="s">
        <v>351</v>
      </c>
      <c r="G231" s="0" t="n">
        <v>28.7</v>
      </c>
      <c r="H231" s="0" t="n">
        <v>30</v>
      </c>
      <c r="I231" s="46" t="s">
        <v>152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51" t="n">
        <v>46093</v>
      </c>
      <c r="X231" s="46" t="n">
        <f aca="false">IF(I231="Male",0,1)</f>
        <v>1</v>
      </c>
      <c r="Y231" s="46" t="n">
        <f aca="false">IF(OR(I231="DNB",I231="Dry DNB"),1,0)</f>
        <v>0</v>
      </c>
      <c r="Z231" s="46" t="n">
        <f aca="false">IF(ISNUMBER(W231),A231-W231,"")</f>
        <v>216</v>
      </c>
      <c r="AA231" s="46" t="n">
        <f aca="false">MATCH(A231,DATAS,0)</f>
        <v>1</v>
      </c>
      <c r="AB231" s="46" t="n">
        <f aca="false">IF(AND(E231&gt;0,OR(AND(B231&gt;=1,B231&lt;=6),B231=10)),1,0)</f>
        <v>1</v>
      </c>
      <c r="AC231" s="46" t="n">
        <f aca="false">IF(AND(E231&gt;0,B231=10),1,0)</f>
        <v>1</v>
      </c>
      <c r="AD231" s="0" t="str">
        <f aca="false">IF(AND(C230=C231,AA230=AA231-1),AB230,"")</f>
        <v/>
      </c>
      <c r="AE231" s="0" t="str">
        <f aca="false">IF(AND(C230=C231,AA230=AA231-1),AC230,"")</f>
        <v/>
      </c>
      <c r="AF231" s="0" t="str">
        <f aca="false">IF(AA231=1,"",IF(AND(AB231=1,AD231&lt;&gt;1),1,0))</f>
        <v/>
      </c>
      <c r="AG231" s="0" t="str">
        <f aca="false">IF(AA231=1,"",IF(AND(AC231=1,AE231&lt;&gt;1),1,0))</f>
        <v/>
      </c>
      <c r="AH231" s="51" t="str">
        <f aca="false">IF(AND(E231&gt;0,AA231&lt;1,NOT(AND(C232=C231,AA232=AA231+1))),INDEX(DATAS,AA231+1),"")</f>
        <v/>
      </c>
      <c r="AI231" s="51" t="str">
        <f aca="false">IF(AND(AC231=1,AA231&lt;1),IF(AND(C232=C231,AA232=AA231+1),IF(AC232=1,"",INDEX(DATAS,AA231+1)),INDEX(DATAS,AA231+1)),"")</f>
        <v/>
      </c>
    </row>
    <row r="232" customFormat="false" ht="15" hidden="false" customHeight="false" outlineLevel="0" collapsed="false">
      <c r="A232" s="51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46" t="s">
        <v>352</v>
      </c>
      <c r="I232" s="46" t="s">
        <v>353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51" t="n">
        <v>46093</v>
      </c>
      <c r="X232" s="46" t="n">
        <f aca="false">IF(I232="Male",0,1)</f>
        <v>1</v>
      </c>
      <c r="Y232" s="46" t="n">
        <f aca="false">IF(OR(I232="DNB",I232="Dry DNB"),1,0)</f>
        <v>1</v>
      </c>
      <c r="Z232" s="46" t="n">
        <f aca="false">IF(ISNUMBER(W232),A232-W232,"")</f>
        <v>216</v>
      </c>
      <c r="AA232" s="46" t="n">
        <f aca="false">MATCH(A232,DATAS,0)</f>
        <v>1</v>
      </c>
      <c r="AB232" s="46" t="n">
        <f aca="false">IF(AND(E232&gt;0,OR(AND(B232&gt;=1,B232&lt;=6),B232=10)),1,0)</f>
        <v>0</v>
      </c>
      <c r="AC232" s="46" t="n">
        <f aca="false">IF(AND(E232&gt;0,B232=10),1,0)</f>
        <v>0</v>
      </c>
      <c r="AD232" s="0" t="str">
        <f aca="false">IF(AND(C231=C232,AA231=AA232-1),AB231,"")</f>
        <v/>
      </c>
      <c r="AE232" s="0" t="str">
        <f aca="false">IF(AND(C231=C232,AA231=AA232-1),AC231,"")</f>
        <v/>
      </c>
      <c r="AF232" s="0" t="str">
        <f aca="false">IF(AA232=1,"",IF(AND(AB232=1,AD232&lt;&gt;1),1,0))</f>
        <v/>
      </c>
      <c r="AG232" s="0" t="str">
        <f aca="false">IF(AA232=1,"",IF(AND(AC232=1,AE232&lt;&gt;1),1,0))</f>
        <v/>
      </c>
      <c r="AH232" s="51" t="str">
        <f aca="false">IF(AND(E232&gt;0,AA232&lt;1,NOT(AND(C233=C232,AA233=AA232+1))),INDEX(DATAS,AA232+1),"")</f>
        <v/>
      </c>
      <c r="AI232" s="51" t="str">
        <f aca="false">IF(AND(AC232=1,AA232&lt;1),IF(AND(C233=C232,AA233=AA232+1),IF(AC233=1,"",INDEX(DATAS,AA232+1)),INDEX(DATAS,AA232+1)),"")</f>
        <v/>
      </c>
    </row>
    <row r="233" customFormat="false" ht="15" hidden="false" customHeight="false" outlineLevel="0" collapsed="false">
      <c r="A233" s="51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46" t="s">
        <v>354</v>
      </c>
      <c r="G233" s="0" t="n">
        <v>56.1</v>
      </c>
      <c r="H233" s="0" t="n">
        <v>54</v>
      </c>
      <c r="I233" s="46" t="s">
        <v>189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51" t="n">
        <v>46254</v>
      </c>
      <c r="X233" s="46" t="n">
        <f aca="false">IF(I233="Male",0,1)</f>
        <v>1</v>
      </c>
      <c r="Y233" s="46" t="n">
        <f aca="false">IF(OR(I233="DNB",I233="Dry DNB"),1,0)</f>
        <v>0</v>
      </c>
      <c r="Z233" s="46" t="n">
        <f aca="false">IF(ISNUMBER(W233),A233-W233,"")</f>
        <v>55</v>
      </c>
      <c r="AA233" s="46" t="n">
        <f aca="false">MATCH(A233,DATAS,0)</f>
        <v>1</v>
      </c>
      <c r="AB233" s="46" t="n">
        <f aca="false">IF(AND(E233&gt;0,OR(AND(B233&gt;=1,B233&lt;=6),B233=10)),1,0)</f>
        <v>1</v>
      </c>
      <c r="AC233" s="46" t="n">
        <f aca="false">IF(AND(E233&gt;0,B233=10),1,0)</f>
        <v>0</v>
      </c>
      <c r="AD233" s="0" t="str">
        <f aca="false">IF(AND(C232=C233,AA232=AA233-1),AB232,"")</f>
        <v/>
      </c>
      <c r="AE233" s="0" t="str">
        <f aca="false">IF(AND(C232=C233,AA232=AA233-1),AC232,"")</f>
        <v/>
      </c>
      <c r="AF233" s="0" t="str">
        <f aca="false">IF(AA233=1,"",IF(AND(AB233=1,AD233&lt;&gt;1),1,0))</f>
        <v/>
      </c>
      <c r="AG233" s="0" t="str">
        <f aca="false">IF(AA233=1,"",IF(AND(AC233=1,AE233&lt;&gt;1),1,0))</f>
        <v/>
      </c>
      <c r="AH233" s="51" t="str">
        <f aca="false">IF(AND(E233&gt;0,AA233&lt;1,NOT(AND(C234=C233,AA234=AA233+1))),INDEX(DATAS,AA233+1),"")</f>
        <v/>
      </c>
      <c r="AI233" s="51" t="str">
        <f aca="false">IF(AND(AC233=1,AA233&lt;1),IF(AND(C234=C233,AA234=AA233+1),IF(AC234=1,"",INDEX(DATAS,AA233+1)),INDEX(DATAS,AA233+1)),"")</f>
        <v/>
      </c>
    </row>
    <row r="234" customFormat="false" ht="15" hidden="false" customHeight="false" outlineLevel="0" collapsed="false">
      <c r="A234" s="51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46" t="s">
        <v>355</v>
      </c>
      <c r="G234" s="0" t="n">
        <v>43.3</v>
      </c>
      <c r="H234" s="0" t="n">
        <v>43</v>
      </c>
      <c r="I234" s="46" t="s">
        <v>181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51" t="n">
        <v>46282</v>
      </c>
      <c r="X234" s="46" t="n">
        <f aca="false">IF(I234="Male",0,1)</f>
        <v>1</v>
      </c>
      <c r="Y234" s="46" t="n">
        <f aca="false">IF(OR(I234="DNB",I234="Dry DNB"),1,0)</f>
        <v>0</v>
      </c>
      <c r="Z234" s="46" t="n">
        <f aca="false">IF(ISNUMBER(W234),A234-W234,"")</f>
        <v>27</v>
      </c>
      <c r="AA234" s="46" t="n">
        <f aca="false">MATCH(A234,DATAS,0)</f>
        <v>1</v>
      </c>
      <c r="AB234" s="46" t="n">
        <f aca="false">IF(AND(E234&gt;0,OR(AND(B234&gt;=1,B234&lt;=6),B234=10)),1,0)</f>
        <v>1</v>
      </c>
      <c r="AC234" s="46" t="n">
        <f aca="false">IF(AND(E234&gt;0,B234=10),1,0)</f>
        <v>0</v>
      </c>
      <c r="AD234" s="0" t="str">
        <f aca="false">IF(AND(C233=C234,AA233=AA234-1),AB233,"")</f>
        <v/>
      </c>
      <c r="AE234" s="0" t="str">
        <f aca="false">IF(AND(C233=C234,AA233=AA234-1),AC233,"")</f>
        <v/>
      </c>
      <c r="AF234" s="0" t="str">
        <f aca="false">IF(AA234=1,"",IF(AND(AB234=1,AD234&lt;&gt;1),1,0))</f>
        <v/>
      </c>
      <c r="AG234" s="0" t="str">
        <f aca="false">IF(AA234=1,"",IF(AND(AC234=1,AE234&lt;&gt;1),1,0))</f>
        <v/>
      </c>
      <c r="AH234" s="51" t="str">
        <f aca="false">IF(AND(E234&gt;0,AA234&lt;1,NOT(AND(C235=C234,AA235=AA234+1))),INDEX(DATAS,AA234+1),"")</f>
        <v/>
      </c>
      <c r="AI234" s="51" t="str">
        <f aca="false">IF(AND(AC234=1,AA234&lt;1),IF(AND(C235=C234,AA235=AA234+1),IF(AC235=1,"",INDEX(DATAS,AA234+1)),INDEX(DATAS,AA234+1)),"")</f>
        <v/>
      </c>
    </row>
    <row r="235" customFormat="false" ht="15" hidden="false" customHeight="false" outlineLevel="0" collapsed="false">
      <c r="A235" s="51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46" t="s">
        <v>356</v>
      </c>
      <c r="G235" s="0" t="n">
        <v>21.4</v>
      </c>
      <c r="H235" s="0" t="n">
        <v>33</v>
      </c>
      <c r="I235" s="46" t="s">
        <v>181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51" t="n">
        <v>46285</v>
      </c>
      <c r="X235" s="46" t="n">
        <f aca="false">IF(I235="Male",0,1)</f>
        <v>1</v>
      </c>
      <c r="Y235" s="46" t="n">
        <f aca="false">IF(OR(I235="DNB",I235="Dry DNB"),1,0)</f>
        <v>0</v>
      </c>
      <c r="Z235" s="46" t="n">
        <f aca="false">IF(ISNUMBER(W235),A235-W235,"")</f>
        <v>24</v>
      </c>
      <c r="AA235" s="46" t="n">
        <f aca="false">MATCH(A235,DATAS,0)</f>
        <v>1</v>
      </c>
      <c r="AB235" s="46" t="n">
        <f aca="false">IF(AND(E235&gt;0,OR(AND(B235&gt;=1,B235&lt;=6),B235=10)),1,0)</f>
        <v>1</v>
      </c>
      <c r="AC235" s="46" t="n">
        <f aca="false">IF(AND(E235&gt;0,B235=10),1,0)</f>
        <v>1</v>
      </c>
      <c r="AD235" s="0" t="str">
        <f aca="false">IF(AND(C234=C235,AA234=AA235-1),AB234,"")</f>
        <v/>
      </c>
      <c r="AE235" s="0" t="str">
        <f aca="false">IF(AND(C234=C235,AA234=AA235-1),AC234,"")</f>
        <v/>
      </c>
      <c r="AF235" s="0" t="str">
        <f aca="false">IF(AA235=1,"",IF(AND(AB235=1,AD235&lt;&gt;1),1,0))</f>
        <v/>
      </c>
      <c r="AG235" s="0" t="str">
        <f aca="false">IF(AA235=1,"",IF(AND(AC235=1,AE235&lt;&gt;1),1,0))</f>
        <v/>
      </c>
      <c r="AH235" s="51" t="str">
        <f aca="false">IF(AND(E235&gt;0,AA235&lt;1,NOT(AND(C236=C235,AA236=AA235+1))),INDEX(DATAS,AA235+1),"")</f>
        <v/>
      </c>
      <c r="AI235" s="51" t="str">
        <f aca="false">IF(AND(AC235=1,AA235&lt;1),IF(AND(C236=C235,AA236=AA235+1),IF(AC236=1,"",INDEX(DATAS,AA235+1)),INDEX(DATAS,AA235+1)),"")</f>
        <v/>
      </c>
    </row>
    <row r="236" customFormat="false" ht="15" hidden="false" customHeight="false" outlineLevel="0" collapsed="false">
      <c r="A236" s="51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46" t="s">
        <v>356</v>
      </c>
      <c r="G236" s="0" t="n">
        <v>62.2</v>
      </c>
      <c r="H236" s="0" t="n">
        <v>61</v>
      </c>
      <c r="I236" s="46" t="s">
        <v>161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X236" s="46" t="n">
        <f aca="false">IF(I236="Male",0,1)</f>
        <v>1</v>
      </c>
      <c r="Y236" s="46" t="n">
        <f aca="false">IF(OR(I236="DNB",I236="Dry DNB"),1,0)</f>
        <v>0</v>
      </c>
      <c r="Z236" s="0" t="str">
        <f aca="false">IF(ISNUMBER(W236),A236-W236,"")</f>
        <v/>
      </c>
      <c r="AA236" s="46" t="n">
        <f aca="false">MATCH(A236,DATAS,0)</f>
        <v>1</v>
      </c>
      <c r="AB236" s="46" t="n">
        <f aca="false">IF(AND(E236&gt;0,OR(AND(B236&gt;=1,B236&lt;=6),B236=10)),1,0)</f>
        <v>1</v>
      </c>
      <c r="AC236" s="46" t="n">
        <f aca="false">IF(AND(E236&gt;0,B236=10),1,0)</f>
        <v>0</v>
      </c>
      <c r="AD236" s="0" t="str">
        <f aca="false">IF(AND(C235=C236,AA235=AA236-1),AB235,"")</f>
        <v/>
      </c>
      <c r="AE236" s="0" t="str">
        <f aca="false">IF(AND(C235=C236,AA235=AA236-1),AC235,"")</f>
        <v/>
      </c>
      <c r="AF236" s="0" t="str">
        <f aca="false">IF(AA236=1,"",IF(AND(AB236=1,AD236&lt;&gt;1),1,0))</f>
        <v/>
      </c>
      <c r="AG236" s="0" t="str">
        <f aca="false">IF(AA236=1,"",IF(AND(AC236=1,AE236&lt;&gt;1),1,0))</f>
        <v/>
      </c>
      <c r="AH236" s="51" t="str">
        <f aca="false">IF(AND(E236&gt;0,AA236&lt;1,NOT(AND(C237=C236,AA237=AA236+1))),INDEX(DATAS,AA236+1),"")</f>
        <v/>
      </c>
      <c r="AI236" s="51" t="str">
        <f aca="false">IF(AND(AC236=1,AA236&lt;1),IF(AND(C237=C236,AA237=AA236+1),IF(AC237=1,"",INDEX(DATAS,AA236+1)),INDEX(DATAS,AA236+1)),"")</f>
        <v/>
      </c>
    </row>
    <row r="237" customFormat="false" ht="15" hidden="false" customHeight="false" outlineLevel="0" collapsed="false">
      <c r="A237" s="51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46" t="s">
        <v>356</v>
      </c>
      <c r="G237" s="0" t="n">
        <v>30.5</v>
      </c>
      <c r="H237" s="0" t="n">
        <v>27</v>
      </c>
      <c r="I237" s="46" t="s">
        <v>181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51" t="n">
        <v>46250</v>
      </c>
      <c r="X237" s="46" t="n">
        <f aca="false">IF(I237="Male",0,1)</f>
        <v>1</v>
      </c>
      <c r="Y237" s="46" t="n">
        <f aca="false">IF(OR(I237="DNB",I237="Dry DNB"),1,0)</f>
        <v>0</v>
      </c>
      <c r="Z237" s="46" t="n">
        <f aca="false">IF(ISNUMBER(W237),A237-W237,"")</f>
        <v>59</v>
      </c>
      <c r="AA237" s="46" t="n">
        <f aca="false">MATCH(A237,DATAS,0)</f>
        <v>1</v>
      </c>
      <c r="AB237" s="46" t="n">
        <f aca="false">IF(AND(E237&gt;0,OR(AND(B237&gt;=1,B237&lt;=6),B237=10)),1,0)</f>
        <v>1</v>
      </c>
      <c r="AC237" s="46" t="n">
        <f aca="false">IF(AND(E237&gt;0,B237=10),1,0)</f>
        <v>0</v>
      </c>
      <c r="AD237" s="0" t="str">
        <f aca="false">IF(AND(C236=C237,AA236=AA237-1),AB236,"")</f>
        <v/>
      </c>
      <c r="AE237" s="0" t="str">
        <f aca="false">IF(AND(C236=C237,AA236=AA237-1),AC236,"")</f>
        <v/>
      </c>
      <c r="AF237" s="0" t="str">
        <f aca="false">IF(AA237=1,"",IF(AND(AB237=1,AD237&lt;&gt;1),1,0))</f>
        <v/>
      </c>
      <c r="AG237" s="0" t="str">
        <f aca="false">IF(AA237=1,"",IF(AND(AC237=1,AE237&lt;&gt;1),1,0))</f>
        <v/>
      </c>
      <c r="AH237" s="51" t="str">
        <f aca="false">IF(AND(E237&gt;0,AA237&lt;1,NOT(AND(C238=C237,AA238=AA237+1))),INDEX(DATAS,AA237+1),"")</f>
        <v/>
      </c>
      <c r="AI237" s="51" t="str">
        <f aca="false">IF(AND(AC237=1,AA237&lt;1),IF(AND(C238=C237,AA238=AA237+1),IF(AC238=1,"",INDEX(DATAS,AA237+1)),INDEX(DATAS,AA237+1)),"")</f>
        <v/>
      </c>
    </row>
    <row r="238" customFormat="false" ht="15" hidden="false" customHeight="false" outlineLevel="0" collapsed="false">
      <c r="A238" s="51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46" t="s">
        <v>357</v>
      </c>
      <c r="I238" s="46" t="s">
        <v>157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51" t="n">
        <v>46044</v>
      </c>
      <c r="X238" s="46" t="n">
        <f aca="false">IF(I238="Male",0,1)</f>
        <v>1</v>
      </c>
      <c r="Y238" s="46" t="n">
        <f aca="false">IF(OR(I238="DNB",I238="Dry DNB"),1,0)</f>
        <v>0</v>
      </c>
      <c r="Z238" s="46" t="n">
        <f aca="false">IF(ISNUMBER(W238),A238-W238,"")</f>
        <v>265</v>
      </c>
      <c r="AA238" s="46" t="n">
        <f aca="false">MATCH(A238,DATAS,0)</f>
        <v>1</v>
      </c>
      <c r="AB238" s="46" t="n">
        <f aca="false">IF(AND(E238&gt;0,OR(AND(B238&gt;=1,B238&lt;=6),B238=10)),1,0)</f>
        <v>0</v>
      </c>
      <c r="AC238" s="46" t="n">
        <f aca="false">IF(AND(E238&gt;0,B238=10),1,0)</f>
        <v>0</v>
      </c>
      <c r="AD238" s="0" t="str">
        <f aca="false">IF(AND(C237=C238,AA237=AA238-1),AB237,"")</f>
        <v/>
      </c>
      <c r="AE238" s="0" t="str">
        <f aca="false">IF(AND(C237=C238,AA237=AA238-1),AC237,"")</f>
        <v/>
      </c>
      <c r="AF238" s="0" t="str">
        <f aca="false">IF(AA238=1,"",IF(AND(AB238=1,AD238&lt;&gt;1),1,0))</f>
        <v/>
      </c>
      <c r="AG238" s="0" t="str">
        <f aca="false">IF(AA238=1,"",IF(AND(AC238=1,AE238&lt;&gt;1),1,0))</f>
        <v/>
      </c>
      <c r="AH238" s="51" t="str">
        <f aca="false">IF(AND(E238&gt;0,AA238&lt;1,NOT(AND(C239=C238,AA239=AA238+1))),INDEX(DATAS,AA238+1),"")</f>
        <v/>
      </c>
      <c r="AI238" s="51" t="str">
        <f aca="false">IF(AND(AC238=1,AA238&lt;1),IF(AND(C239=C238,AA239=AA238+1),IF(AC239=1,"",INDEX(DATAS,AA238+1)),INDEX(DATAS,AA238+1)),"")</f>
        <v/>
      </c>
    </row>
    <row r="239" customFormat="false" ht="15" hidden="false" customHeight="false" outlineLevel="0" collapsed="false">
      <c r="A239" s="51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46" t="s">
        <v>358</v>
      </c>
      <c r="G239" s="0" t="n">
        <v>31.7</v>
      </c>
      <c r="H239" s="0" t="n">
        <v>30</v>
      </c>
      <c r="I239" s="46" t="s">
        <v>189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51" t="n">
        <v>46268</v>
      </c>
      <c r="X239" s="46" t="n">
        <f aca="false">IF(I239="Male",0,1)</f>
        <v>1</v>
      </c>
      <c r="Y239" s="46" t="n">
        <f aca="false">IF(OR(I239="DNB",I239="Dry DNB"),1,0)</f>
        <v>0</v>
      </c>
      <c r="Z239" s="46" t="n">
        <f aca="false">IF(ISNUMBER(W239),A239-W239,"")</f>
        <v>41</v>
      </c>
      <c r="AA239" s="46" t="n">
        <f aca="false">MATCH(A239,DATAS,0)</f>
        <v>1</v>
      </c>
      <c r="AB239" s="46" t="n">
        <f aca="false">IF(AND(E239&gt;0,OR(AND(B239&gt;=1,B239&lt;=6),B239=10)),1,0)</f>
        <v>1</v>
      </c>
      <c r="AC239" s="46" t="n">
        <f aca="false">IF(AND(E239&gt;0,B239=10),1,0)</f>
        <v>0</v>
      </c>
      <c r="AD239" s="0" t="str">
        <f aca="false">IF(AND(C238=C239,AA238=AA239-1),AB238,"")</f>
        <v/>
      </c>
      <c r="AE239" s="0" t="str">
        <f aca="false">IF(AND(C238=C239,AA238=AA239-1),AC238,"")</f>
        <v/>
      </c>
      <c r="AF239" s="0" t="str">
        <f aca="false">IF(AA239=1,"",IF(AND(AB239=1,AD239&lt;&gt;1),1,0))</f>
        <v/>
      </c>
      <c r="AG239" s="0" t="str">
        <f aca="false">IF(AA239=1,"",IF(AND(AC239=1,AE239&lt;&gt;1),1,0))</f>
        <v/>
      </c>
      <c r="AH239" s="51" t="str">
        <f aca="false">IF(AND(E239&gt;0,AA239&lt;1,NOT(AND(C240=C239,AA240=AA239+1))),INDEX(DATAS,AA239+1),"")</f>
        <v/>
      </c>
      <c r="AI239" s="51" t="str">
        <f aca="false">IF(AND(AC239=1,AA239&lt;1),IF(AND(C240=C239,AA240=AA239+1),IF(AC240=1,"",INDEX(DATAS,AA239+1)),INDEX(DATAS,AA239+1)),"")</f>
        <v/>
      </c>
    </row>
    <row r="240" customFormat="false" ht="15" hidden="false" customHeight="false" outlineLevel="0" collapsed="false">
      <c r="A240" s="51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46" t="s">
        <v>358</v>
      </c>
      <c r="G240" s="0" t="n">
        <v>71.2</v>
      </c>
      <c r="H240" s="0" t="n">
        <v>67</v>
      </c>
      <c r="I240" s="46" t="s">
        <v>181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51" t="n">
        <v>46300</v>
      </c>
      <c r="X240" s="46" t="n">
        <f aca="false">IF(I240="Male",0,1)</f>
        <v>1</v>
      </c>
      <c r="Y240" s="46" t="n">
        <f aca="false">IF(OR(I240="DNB",I240="Dry DNB"),1,0)</f>
        <v>0</v>
      </c>
      <c r="Z240" s="46" t="n">
        <f aca="false">IF(ISNUMBER(W240),A240-W240,"")</f>
        <v>9</v>
      </c>
      <c r="AA240" s="46" t="n">
        <f aca="false">MATCH(A240,DATAS,0)</f>
        <v>1</v>
      </c>
      <c r="AB240" s="46" t="n">
        <f aca="false">IF(AND(E240&gt;0,OR(AND(B240&gt;=1,B240&lt;=6),B240=10)),1,0)</f>
        <v>1</v>
      </c>
      <c r="AC240" s="46" t="n">
        <f aca="false">IF(AND(E240&gt;0,B240=10),1,0)</f>
        <v>0</v>
      </c>
      <c r="AD240" s="0" t="str">
        <f aca="false">IF(AND(C239=C240,AA239=AA240-1),AB239,"")</f>
        <v/>
      </c>
      <c r="AE240" s="0" t="str">
        <f aca="false">IF(AND(C239=C240,AA239=AA240-1),AC239,"")</f>
        <v/>
      </c>
      <c r="AF240" s="0" t="str">
        <f aca="false">IF(AA240=1,"",IF(AND(AB240=1,AD240&lt;&gt;1),1,0))</f>
        <v/>
      </c>
      <c r="AG240" s="0" t="str">
        <f aca="false">IF(AA240=1,"",IF(AND(AC240=1,AE240&lt;&gt;1),1,0))</f>
        <v/>
      </c>
      <c r="AH240" s="51" t="str">
        <f aca="false">IF(AND(E240&gt;0,AA240&lt;1,NOT(AND(C241=C240,AA241=AA240+1))),INDEX(DATAS,AA240+1),"")</f>
        <v/>
      </c>
      <c r="AI240" s="51" t="str">
        <f aca="false">IF(AND(AC240=1,AA240&lt;1),IF(AND(C241=C240,AA241=AA240+1),IF(AC241=1,"",INDEX(DATAS,AA240+1)),INDEX(DATAS,AA240+1)),"")</f>
        <v/>
      </c>
    </row>
    <row r="241" customFormat="false" ht="15" hidden="false" customHeight="false" outlineLevel="0" collapsed="false">
      <c r="A241" s="51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46" t="s">
        <v>359</v>
      </c>
      <c r="H241" s="0" t="n">
        <v>16</v>
      </c>
      <c r="I241" s="46" t="s">
        <v>152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51" t="n">
        <v>46177</v>
      </c>
      <c r="X241" s="46" t="n">
        <f aca="false">IF(I241="Male",0,1)</f>
        <v>1</v>
      </c>
      <c r="Y241" s="46" t="n">
        <f aca="false">IF(OR(I241="DNB",I241="Dry DNB"),1,0)</f>
        <v>0</v>
      </c>
      <c r="Z241" s="46" t="n">
        <f aca="false">IF(ISNUMBER(W241),A241-W241,"")</f>
        <v>132</v>
      </c>
      <c r="AA241" s="46" t="n">
        <f aca="false">MATCH(A241,DATAS,0)</f>
        <v>1</v>
      </c>
      <c r="AB241" s="46" t="n">
        <f aca="false">IF(AND(E241&gt;0,OR(AND(B241&gt;=1,B241&lt;=6),B241=10)),1,0)</f>
        <v>1</v>
      </c>
      <c r="AC241" s="46" t="n">
        <f aca="false">IF(AND(E241&gt;0,B241=10),1,0)</f>
        <v>0</v>
      </c>
      <c r="AD241" s="0" t="str">
        <f aca="false">IF(AND(C240=C241,AA240=AA241-1),AB240,"")</f>
        <v/>
      </c>
      <c r="AE241" s="0" t="str">
        <f aca="false">IF(AND(C240=C241,AA240=AA241-1),AC240,"")</f>
        <v/>
      </c>
      <c r="AF241" s="0" t="str">
        <f aca="false">IF(AA241=1,"",IF(AND(AB241=1,AD241&lt;&gt;1),1,0))</f>
        <v/>
      </c>
      <c r="AG241" s="0" t="str">
        <f aca="false">IF(AA241=1,"",IF(AND(AC241=1,AE241&lt;&gt;1),1,0))</f>
        <v/>
      </c>
      <c r="AH241" s="51" t="str">
        <f aca="false">IF(AND(E241&gt;0,AA241&lt;1,NOT(AND(C242=C241,AA242=AA241+1))),INDEX(DATAS,AA241+1),"")</f>
        <v/>
      </c>
      <c r="AI241" s="51" t="str">
        <f aca="false">IF(AND(AC241=1,AA241&lt;1),IF(AND(C242=C241,AA242=AA241+1),IF(AC242=1,"",INDEX(DATAS,AA241+1)),INDEX(DATAS,AA241+1)),"")</f>
        <v/>
      </c>
    </row>
    <row r="242" customFormat="false" ht="15" hidden="false" customHeight="false" outlineLevel="0" collapsed="false">
      <c r="A242" s="51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46" t="s">
        <v>360</v>
      </c>
      <c r="G242" s="0" t="n">
        <v>27.7</v>
      </c>
      <c r="H242" s="0" t="n">
        <v>28</v>
      </c>
      <c r="I242" s="46" t="s">
        <v>152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51" t="n">
        <v>46163</v>
      </c>
      <c r="X242" s="46" t="n">
        <f aca="false">IF(I242="Male",0,1)</f>
        <v>1</v>
      </c>
      <c r="Y242" s="46" t="n">
        <f aca="false">IF(OR(I242="DNB",I242="Dry DNB"),1,0)</f>
        <v>0</v>
      </c>
      <c r="Z242" s="46" t="n">
        <f aca="false">IF(ISNUMBER(W242),A242-W242,"")</f>
        <v>146</v>
      </c>
      <c r="AA242" s="46" t="n">
        <f aca="false">MATCH(A242,DATAS,0)</f>
        <v>1</v>
      </c>
      <c r="AB242" s="46" t="n">
        <f aca="false">IF(AND(E242&gt;0,OR(AND(B242&gt;=1,B242&lt;=6),B242=10)),1,0)</f>
        <v>1</v>
      </c>
      <c r="AC242" s="46" t="n">
        <f aca="false">IF(AND(E242&gt;0,B242=10),1,0)</f>
        <v>0</v>
      </c>
      <c r="AD242" s="0" t="str">
        <f aca="false">IF(AND(C241=C242,AA241=AA242-1),AB241,"")</f>
        <v/>
      </c>
      <c r="AE242" s="0" t="str">
        <f aca="false">IF(AND(C241=C242,AA241=AA242-1),AC241,"")</f>
        <v/>
      </c>
      <c r="AF242" s="0" t="str">
        <f aca="false">IF(AA242=1,"",IF(AND(AB242=1,AD242&lt;&gt;1),1,0))</f>
        <v/>
      </c>
      <c r="AG242" s="0" t="str">
        <f aca="false">IF(AA242=1,"",IF(AND(AC242=1,AE242&lt;&gt;1),1,0))</f>
        <v/>
      </c>
      <c r="AH242" s="51" t="str">
        <f aca="false">IF(AND(E242&gt;0,AA242&lt;1,NOT(AND(C243=C242,AA243=AA242+1))),INDEX(DATAS,AA242+1),"")</f>
        <v/>
      </c>
      <c r="AI242" s="51" t="str">
        <f aca="false">IF(AND(AC242=1,AA242&lt;1),IF(AND(C243=C242,AA243=AA242+1),IF(AC243=1,"",INDEX(DATAS,AA242+1)),INDEX(DATAS,AA242+1)),"")</f>
        <v/>
      </c>
    </row>
    <row r="243" customFormat="false" ht="15" hidden="false" customHeight="false" outlineLevel="0" collapsed="false">
      <c r="A243" s="51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46" t="s">
        <v>361</v>
      </c>
      <c r="I243" s="46" t="s">
        <v>157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51" t="n">
        <v>46072</v>
      </c>
      <c r="X243" s="46" t="n">
        <f aca="false">IF(I243="Male",0,1)</f>
        <v>1</v>
      </c>
      <c r="Y243" s="46" t="n">
        <f aca="false">IF(OR(I243="DNB",I243="Dry DNB"),1,0)</f>
        <v>0</v>
      </c>
      <c r="Z243" s="46" t="n">
        <f aca="false">IF(ISNUMBER(W243),A243-W243,"")</f>
        <v>237</v>
      </c>
      <c r="AA243" s="46" t="n">
        <f aca="false">MATCH(A243,DATAS,0)</f>
        <v>1</v>
      </c>
      <c r="AB243" s="46" t="n">
        <f aca="false">IF(AND(E243&gt;0,OR(AND(B243&gt;=1,B243&lt;=6),B243=10)),1,0)</f>
        <v>0</v>
      </c>
      <c r="AC243" s="46" t="n">
        <f aca="false">IF(AND(E243&gt;0,B243=10),1,0)</f>
        <v>0</v>
      </c>
      <c r="AD243" s="0" t="str">
        <f aca="false">IF(AND(C242=C243,AA242=AA243-1),AB242,"")</f>
        <v/>
      </c>
      <c r="AE243" s="0" t="str">
        <f aca="false">IF(AND(C242=C243,AA242=AA243-1),AC242,"")</f>
        <v/>
      </c>
      <c r="AF243" s="0" t="str">
        <f aca="false">IF(AA243=1,"",IF(AND(AB243=1,AD243&lt;&gt;1),1,0))</f>
        <v/>
      </c>
      <c r="AG243" s="0" t="str">
        <f aca="false">IF(AA243=1,"",IF(AND(AC243=1,AE243&lt;&gt;1),1,0))</f>
        <v/>
      </c>
      <c r="AH243" s="51" t="str">
        <f aca="false">IF(AND(E243&gt;0,AA243&lt;1,NOT(AND(C244=C243,AA244=AA243+1))),INDEX(DATAS,AA243+1),"")</f>
        <v/>
      </c>
      <c r="AI243" s="51" t="str">
        <f aca="false">IF(AND(AC243=1,AA243&lt;1),IF(AND(C244=C243,AA244=AA243+1),IF(AC244=1,"",INDEX(DATAS,AA243+1)),INDEX(DATAS,AA243+1)),"")</f>
        <v/>
      </c>
    </row>
    <row r="244" customFormat="false" ht="15" hidden="false" customHeight="false" outlineLevel="0" collapsed="false">
      <c r="A244" s="51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46" t="s">
        <v>361</v>
      </c>
      <c r="G244" s="0" t="n">
        <v>62.2</v>
      </c>
      <c r="H244" s="0" t="n">
        <v>61</v>
      </c>
      <c r="I244" s="46" t="s">
        <v>189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51" t="n">
        <v>46192</v>
      </c>
      <c r="X244" s="46" t="n">
        <f aca="false">IF(I244="Male",0,1)</f>
        <v>1</v>
      </c>
      <c r="Y244" s="46" t="n">
        <f aca="false">IF(OR(I244="DNB",I244="Dry DNB"),1,0)</f>
        <v>0</v>
      </c>
      <c r="Z244" s="46" t="n">
        <f aca="false">IF(ISNUMBER(W244),A244-W244,"")</f>
        <v>117</v>
      </c>
      <c r="AA244" s="46" t="n">
        <f aca="false">MATCH(A244,DATAS,0)</f>
        <v>1</v>
      </c>
      <c r="AB244" s="46" t="n">
        <f aca="false">IF(AND(E244&gt;0,OR(AND(B244&gt;=1,B244&lt;=6),B244=10)),1,0)</f>
        <v>1</v>
      </c>
      <c r="AC244" s="46" t="n">
        <f aca="false">IF(AND(E244&gt;0,B244=10),1,0)</f>
        <v>0</v>
      </c>
      <c r="AD244" s="0" t="str">
        <f aca="false">IF(AND(C243=C244,AA243=AA244-1),AB243,"")</f>
        <v/>
      </c>
      <c r="AE244" s="0" t="str">
        <f aca="false">IF(AND(C243=C244,AA243=AA244-1),AC243,"")</f>
        <v/>
      </c>
      <c r="AF244" s="0" t="str">
        <f aca="false">IF(AA244=1,"",IF(AND(AB244=1,AD244&lt;&gt;1),1,0))</f>
        <v/>
      </c>
      <c r="AG244" s="0" t="str">
        <f aca="false">IF(AA244=1,"",IF(AND(AC244=1,AE244&lt;&gt;1),1,0))</f>
        <v/>
      </c>
      <c r="AH244" s="51" t="str">
        <f aca="false">IF(AND(E244&gt;0,AA244&lt;1,NOT(AND(C245=C244,AA245=AA244+1))),INDEX(DATAS,AA244+1),"")</f>
        <v/>
      </c>
      <c r="AI244" s="51" t="str">
        <f aca="false">IF(AND(AC244=1,AA244&lt;1),IF(AND(C245=C244,AA245=AA244+1),IF(AC245=1,"",INDEX(DATAS,AA244+1)),INDEX(DATAS,AA244+1)),"")</f>
        <v/>
      </c>
    </row>
    <row r="245" customFormat="false" ht="15" hidden="false" customHeight="false" outlineLevel="0" collapsed="false">
      <c r="A245" s="51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46" t="s">
        <v>362</v>
      </c>
      <c r="I245" s="46" t="s">
        <v>157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51" t="n">
        <v>46086</v>
      </c>
      <c r="X245" s="46" t="n">
        <f aca="false">IF(I245="Male",0,1)</f>
        <v>1</v>
      </c>
      <c r="Y245" s="46" t="n">
        <f aca="false">IF(OR(I245="DNB",I245="Dry DNB"),1,0)</f>
        <v>0</v>
      </c>
      <c r="Z245" s="46" t="n">
        <f aca="false">IF(ISNUMBER(W245),A245-W245,"")</f>
        <v>223</v>
      </c>
      <c r="AA245" s="46" t="n">
        <f aca="false">MATCH(A245,DATAS,0)</f>
        <v>1</v>
      </c>
      <c r="AB245" s="46" t="n">
        <f aca="false">IF(AND(E245&gt;0,OR(AND(B245&gt;=1,B245&lt;=6),B245=10)),1,0)</f>
        <v>0</v>
      </c>
      <c r="AC245" s="46" t="n">
        <f aca="false">IF(AND(E245&gt;0,B245=10),1,0)</f>
        <v>0</v>
      </c>
      <c r="AD245" s="0" t="str">
        <f aca="false">IF(AND(C244=C245,AA244=AA245-1),AB244,"")</f>
        <v/>
      </c>
      <c r="AE245" s="0" t="str">
        <f aca="false">IF(AND(C244=C245,AA244=AA245-1),AC244,"")</f>
        <v/>
      </c>
      <c r="AF245" s="0" t="str">
        <f aca="false">IF(AA245=1,"",IF(AND(AB245=1,AD245&lt;&gt;1),1,0))</f>
        <v/>
      </c>
      <c r="AG245" s="0" t="str">
        <f aca="false">IF(AA245=1,"",IF(AND(AC245=1,AE245&lt;&gt;1),1,0))</f>
        <v/>
      </c>
      <c r="AH245" s="51" t="str">
        <f aca="false">IF(AND(E245&gt;0,AA245&lt;1,NOT(AND(C246=C245,AA246=AA245+1))),INDEX(DATAS,AA245+1),"")</f>
        <v/>
      </c>
      <c r="AI245" s="51" t="str">
        <f aca="false">IF(AND(AC245=1,AA245&lt;1),IF(AND(C246=C245,AA246=AA245+1),IF(AC246=1,"",INDEX(DATAS,AA245+1)),INDEX(DATAS,AA245+1)),"")</f>
        <v/>
      </c>
    </row>
    <row r="246" customFormat="false" ht="15" hidden="false" customHeight="false" outlineLevel="0" collapsed="false">
      <c r="A246" s="51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46" t="s">
        <v>362</v>
      </c>
      <c r="G246" s="0" t="n">
        <v>63.3</v>
      </c>
      <c r="H246" s="0" t="n">
        <v>61</v>
      </c>
      <c r="I246" s="46" t="s">
        <v>152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51" t="n">
        <v>46226</v>
      </c>
      <c r="X246" s="46" t="n">
        <f aca="false">IF(I246="Male",0,1)</f>
        <v>1</v>
      </c>
      <c r="Y246" s="46" t="n">
        <f aca="false">IF(OR(I246="DNB",I246="Dry DNB"),1,0)</f>
        <v>0</v>
      </c>
      <c r="Z246" s="46" t="n">
        <f aca="false">IF(ISNUMBER(W246),A246-W246,"")</f>
        <v>83</v>
      </c>
      <c r="AA246" s="46" t="n">
        <f aca="false">MATCH(A246,DATAS,0)</f>
        <v>1</v>
      </c>
      <c r="AB246" s="46" t="n">
        <f aca="false">IF(AND(E246&gt;0,OR(AND(B246&gt;=1,B246&lt;=6),B246=10)),1,0)</f>
        <v>1</v>
      </c>
      <c r="AC246" s="46" t="n">
        <f aca="false">IF(AND(E246&gt;0,B246=10),1,0)</f>
        <v>0</v>
      </c>
      <c r="AD246" s="0" t="str">
        <f aca="false">IF(AND(C245=C246,AA245=AA246-1),AB245,"")</f>
        <v/>
      </c>
      <c r="AE246" s="0" t="str">
        <f aca="false">IF(AND(C245=C246,AA245=AA246-1),AC245,"")</f>
        <v/>
      </c>
      <c r="AF246" s="0" t="str">
        <f aca="false">IF(AA246=1,"",IF(AND(AB246=1,AD246&lt;&gt;1),1,0))</f>
        <v/>
      </c>
      <c r="AG246" s="0" t="str">
        <f aca="false">IF(AA246=1,"",IF(AND(AC246=1,AE246&lt;&gt;1),1,0))</f>
        <v/>
      </c>
      <c r="AH246" s="51" t="str">
        <f aca="false">IF(AND(E246&gt;0,AA246&lt;1,NOT(AND(C247=C246,AA247=AA246+1))),INDEX(DATAS,AA246+1),"")</f>
        <v/>
      </c>
      <c r="AI246" s="51" t="str">
        <f aca="false">IF(AND(AC246=1,AA246&lt;1),IF(AND(C247=C246,AA247=AA246+1),IF(AC247=1,"",INDEX(DATAS,AA246+1)),INDEX(DATAS,AA246+1)),"")</f>
        <v/>
      </c>
    </row>
    <row r="247" customFormat="false" ht="15" hidden="false" customHeight="false" outlineLevel="0" collapsed="false">
      <c r="A247" s="51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46" t="s">
        <v>363</v>
      </c>
      <c r="G247" s="0" t="n">
        <v>35.6</v>
      </c>
      <c r="H247" s="0" t="n">
        <v>42</v>
      </c>
      <c r="I247" s="46" t="s">
        <v>181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51" t="n">
        <v>46296</v>
      </c>
      <c r="X247" s="46" t="n">
        <f aca="false">IF(I247="Male",0,1)</f>
        <v>1</v>
      </c>
      <c r="Y247" s="46" t="n">
        <f aca="false">IF(OR(I247="DNB",I247="Dry DNB"),1,0)</f>
        <v>0</v>
      </c>
      <c r="Z247" s="46" t="n">
        <f aca="false">IF(ISNUMBER(W247),A247-W247,"")</f>
        <v>13</v>
      </c>
      <c r="AA247" s="46" t="n">
        <f aca="false">MATCH(A247,DATAS,0)</f>
        <v>1</v>
      </c>
      <c r="AB247" s="46" t="n">
        <f aca="false">IF(AND(E247&gt;0,OR(AND(B247&gt;=1,B247&lt;=6),B247=10)),1,0)</f>
        <v>1</v>
      </c>
      <c r="AC247" s="46" t="n">
        <f aca="false">IF(AND(E247&gt;0,B247=10),1,0)</f>
        <v>0</v>
      </c>
      <c r="AD247" s="0" t="str">
        <f aca="false">IF(AND(C246=C247,AA246=AA247-1),AB246,"")</f>
        <v/>
      </c>
      <c r="AE247" s="0" t="str">
        <f aca="false">IF(AND(C246=C247,AA246=AA247-1),AC246,"")</f>
        <v/>
      </c>
      <c r="AF247" s="0" t="str">
        <f aca="false">IF(AA247=1,"",IF(AND(AB247=1,AD247&lt;&gt;1),1,0))</f>
        <v/>
      </c>
      <c r="AG247" s="0" t="str">
        <f aca="false">IF(AA247=1,"",IF(AND(AC247=1,AE247&lt;&gt;1),1,0))</f>
        <v/>
      </c>
      <c r="AH247" s="51" t="str">
        <f aca="false">IF(AND(E247&gt;0,AA247&lt;1,NOT(AND(C248=C247,AA248=AA247+1))),INDEX(DATAS,AA247+1),"")</f>
        <v/>
      </c>
      <c r="AI247" s="51" t="str">
        <f aca="false">IF(AND(AC247=1,AA247&lt;1),IF(AND(C248=C247,AA248=AA247+1),IF(AC248=1,"",INDEX(DATAS,AA247+1)),INDEX(DATAS,AA247+1)),"")</f>
        <v/>
      </c>
    </row>
    <row r="248" customFormat="false" ht="15" hidden="false" customHeight="false" outlineLevel="0" collapsed="false">
      <c r="A248" s="51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46" t="s">
        <v>364</v>
      </c>
      <c r="G248" s="0" t="n">
        <v>21.1</v>
      </c>
      <c r="H248" s="0" t="n">
        <v>24</v>
      </c>
      <c r="I248" s="46" t="s">
        <v>181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51" t="n">
        <v>46300</v>
      </c>
      <c r="X248" s="46" t="n">
        <f aca="false">IF(I248="Male",0,1)</f>
        <v>1</v>
      </c>
      <c r="Y248" s="46" t="n">
        <f aca="false">IF(OR(I248="DNB",I248="Dry DNB"),1,0)</f>
        <v>0</v>
      </c>
      <c r="Z248" s="46" t="n">
        <f aca="false">IF(ISNUMBER(W248),A248-W248,"")</f>
        <v>9</v>
      </c>
      <c r="AA248" s="46" t="n">
        <f aca="false">MATCH(A248,DATAS,0)</f>
        <v>1</v>
      </c>
      <c r="AB248" s="46" t="n">
        <f aca="false">IF(AND(E248&gt;0,OR(AND(B248&gt;=1,B248&lt;=6),B248=10)),1,0)</f>
        <v>1</v>
      </c>
      <c r="AC248" s="46" t="n">
        <f aca="false">IF(AND(E248&gt;0,B248=10),1,0)</f>
        <v>0</v>
      </c>
      <c r="AD248" s="0" t="str">
        <f aca="false">IF(AND(C247=C248,AA247=AA248-1),AB247,"")</f>
        <v/>
      </c>
      <c r="AE248" s="0" t="str">
        <f aca="false">IF(AND(C247=C248,AA247=AA248-1),AC247,"")</f>
        <v/>
      </c>
      <c r="AF248" s="0" t="str">
        <f aca="false">IF(AA248=1,"",IF(AND(AB248=1,AD248&lt;&gt;1),1,0))</f>
        <v/>
      </c>
      <c r="AG248" s="0" t="str">
        <f aca="false">IF(AA248=1,"",IF(AND(AC248=1,AE248&lt;&gt;1),1,0))</f>
        <v/>
      </c>
      <c r="AH248" s="51" t="str">
        <f aca="false">IF(AND(E248&gt;0,AA248&lt;1,NOT(AND(C249=C248,AA249=AA248+1))),INDEX(DATAS,AA248+1),"")</f>
        <v/>
      </c>
      <c r="AI248" s="51" t="str">
        <f aca="false">IF(AND(AC248=1,AA248&lt;1),IF(AND(C249=C248,AA249=AA248+1),IF(AC249=1,"",INDEX(DATAS,AA248+1)),INDEX(DATAS,AA248+1)),"")</f>
        <v/>
      </c>
    </row>
    <row r="249" customFormat="false" ht="15" hidden="false" customHeight="false" outlineLevel="0" collapsed="false">
      <c r="A249" s="51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46" t="s">
        <v>364</v>
      </c>
      <c r="I249" s="46" t="s">
        <v>157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51" t="n">
        <v>46074</v>
      </c>
      <c r="X249" s="46" t="n">
        <f aca="false">IF(I249="Male",0,1)</f>
        <v>1</v>
      </c>
      <c r="Y249" s="46" t="n">
        <f aca="false">IF(OR(I249="DNB",I249="Dry DNB"),1,0)</f>
        <v>0</v>
      </c>
      <c r="Z249" s="46" t="n">
        <f aca="false">IF(ISNUMBER(W249),A249-W249,"")</f>
        <v>235</v>
      </c>
      <c r="AA249" s="46" t="n">
        <f aca="false">MATCH(A249,DATAS,0)</f>
        <v>1</v>
      </c>
      <c r="AB249" s="46" t="n">
        <f aca="false">IF(AND(E249&gt;0,OR(AND(B249&gt;=1,B249&lt;=6),B249=10)),1,0)</f>
        <v>0</v>
      </c>
      <c r="AC249" s="46" t="n">
        <f aca="false">IF(AND(E249&gt;0,B249=10),1,0)</f>
        <v>0</v>
      </c>
      <c r="AD249" s="0" t="str">
        <f aca="false">IF(AND(C248=C249,AA248=AA249-1),AB248,"")</f>
        <v/>
      </c>
      <c r="AE249" s="0" t="str">
        <f aca="false">IF(AND(C248=C249,AA248=AA249-1),AC248,"")</f>
        <v/>
      </c>
      <c r="AF249" s="0" t="str">
        <f aca="false">IF(AA249=1,"",IF(AND(AB249=1,AD249&lt;&gt;1),1,0))</f>
        <v/>
      </c>
      <c r="AG249" s="0" t="str">
        <f aca="false">IF(AA249=1,"",IF(AND(AC249=1,AE249&lt;&gt;1),1,0))</f>
        <v/>
      </c>
      <c r="AH249" s="51" t="str">
        <f aca="false">IF(AND(E249&gt;0,AA249&lt;1,NOT(AND(C250=C249,AA250=AA249+1))),INDEX(DATAS,AA249+1),"")</f>
        <v/>
      </c>
      <c r="AI249" s="51" t="str">
        <f aca="false">IF(AND(AC249=1,AA249&lt;1),IF(AND(C250=C249,AA250=AA249+1),IF(AC250=1,"",INDEX(DATAS,AA249+1)),INDEX(DATAS,AA249+1)),"")</f>
        <v/>
      </c>
    </row>
    <row r="250" customFormat="false" ht="15" hidden="false" customHeight="false" outlineLevel="0" collapsed="false">
      <c r="A250" s="51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46" t="s">
        <v>365</v>
      </c>
      <c r="G250" s="0" t="n">
        <v>43.8</v>
      </c>
      <c r="H250" s="0" t="n">
        <v>42</v>
      </c>
      <c r="I250" s="46" t="s">
        <v>161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X250" s="46" t="n">
        <f aca="false">IF(I250="Male",0,1)</f>
        <v>1</v>
      </c>
      <c r="Y250" s="46" t="n">
        <f aca="false">IF(OR(I250="DNB",I250="Dry DNB"),1,0)</f>
        <v>0</v>
      </c>
      <c r="Z250" s="0" t="str">
        <f aca="false">IF(ISNUMBER(W250),A250-W250,"")</f>
        <v/>
      </c>
      <c r="AA250" s="46" t="n">
        <f aca="false">MATCH(A250,DATAS,0)</f>
        <v>1</v>
      </c>
      <c r="AB250" s="46" t="n">
        <f aca="false">IF(AND(E250&gt;0,OR(AND(B250&gt;=1,B250&lt;=6),B250=10)),1,0)</f>
        <v>1</v>
      </c>
      <c r="AC250" s="46" t="n">
        <f aca="false">IF(AND(E250&gt;0,B250=10),1,0)</f>
        <v>0</v>
      </c>
      <c r="AD250" s="0" t="str">
        <f aca="false">IF(AND(C249=C250,AA249=AA250-1),AB249,"")</f>
        <v/>
      </c>
      <c r="AE250" s="0" t="str">
        <f aca="false">IF(AND(C249=C250,AA249=AA250-1),AC249,"")</f>
        <v/>
      </c>
      <c r="AF250" s="0" t="str">
        <f aca="false">IF(AA250=1,"",IF(AND(AB250=1,AD250&lt;&gt;1),1,0))</f>
        <v/>
      </c>
      <c r="AG250" s="0" t="str">
        <f aca="false">IF(AA250=1,"",IF(AND(AC250=1,AE250&lt;&gt;1),1,0))</f>
        <v/>
      </c>
      <c r="AH250" s="51" t="str">
        <f aca="false">IF(AND(E250&gt;0,AA250&lt;1,NOT(AND(C251=C250,AA251=AA250+1))),INDEX(DATAS,AA250+1),"")</f>
        <v/>
      </c>
      <c r="AI250" s="51" t="str">
        <f aca="false">IF(AND(AC250=1,AA250&lt;1),IF(AND(C251=C250,AA251=AA250+1),IF(AC251=1,"",INDEX(DATAS,AA250+1)),INDEX(DATAS,AA250+1)),"")</f>
        <v/>
      </c>
    </row>
    <row r="251" customFormat="false" ht="15" hidden="false" customHeight="false" outlineLevel="0" collapsed="false">
      <c r="A251" s="51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46" t="s">
        <v>365</v>
      </c>
      <c r="G251" s="0" t="n">
        <v>48.4</v>
      </c>
      <c r="H251" s="0" t="n">
        <v>46</v>
      </c>
      <c r="I251" s="46" t="s">
        <v>152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51" t="n">
        <v>46128</v>
      </c>
      <c r="X251" s="46" t="n">
        <f aca="false">IF(I251="Male",0,1)</f>
        <v>1</v>
      </c>
      <c r="Y251" s="46" t="n">
        <f aca="false">IF(OR(I251="DNB",I251="Dry DNB"),1,0)</f>
        <v>0</v>
      </c>
      <c r="Z251" s="46" t="n">
        <f aca="false">IF(ISNUMBER(W251),A251-W251,"")</f>
        <v>181</v>
      </c>
      <c r="AA251" s="46" t="n">
        <f aca="false">MATCH(A251,DATAS,0)</f>
        <v>1</v>
      </c>
      <c r="AB251" s="46" t="n">
        <f aca="false">IF(AND(E251&gt;0,OR(AND(B251&gt;=1,B251&lt;=6),B251=10)),1,0)</f>
        <v>1</v>
      </c>
      <c r="AC251" s="46" t="n">
        <f aca="false">IF(AND(E251&gt;0,B251=10),1,0)</f>
        <v>0</v>
      </c>
      <c r="AD251" s="0" t="str">
        <f aca="false">IF(AND(C250=C251,AA250=AA251-1),AB250,"")</f>
        <v/>
      </c>
      <c r="AE251" s="0" t="str">
        <f aca="false">IF(AND(C250=C251,AA250=AA251-1),AC250,"")</f>
        <v/>
      </c>
      <c r="AF251" s="0" t="str">
        <f aca="false">IF(AA251=1,"",IF(AND(AB251=1,AD251&lt;&gt;1),1,0))</f>
        <v/>
      </c>
      <c r="AG251" s="0" t="str">
        <f aca="false">IF(AA251=1,"",IF(AND(AC251=1,AE251&lt;&gt;1),1,0))</f>
        <v/>
      </c>
      <c r="AH251" s="51" t="str">
        <f aca="false">IF(AND(E251&gt;0,AA251&lt;1,NOT(AND(C252=C251,AA252=AA251+1))),INDEX(DATAS,AA251+1),"")</f>
        <v/>
      </c>
      <c r="AI251" s="51" t="str">
        <f aca="false">IF(AND(AC251=1,AA251&lt;1),IF(AND(C252=C251,AA252=AA251+1),IF(AC252=1,"",INDEX(DATAS,AA251+1)),INDEX(DATAS,AA251+1)),"")</f>
        <v/>
      </c>
    </row>
    <row r="252" customFormat="false" ht="15" hidden="false" customHeight="false" outlineLevel="0" collapsed="false">
      <c r="A252" s="51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46" t="s">
        <v>366</v>
      </c>
      <c r="G252" s="0" t="n">
        <v>20.4</v>
      </c>
      <c r="H252" s="0" t="n">
        <v>20</v>
      </c>
      <c r="I252" s="46" t="s">
        <v>152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51" t="n">
        <v>46233</v>
      </c>
      <c r="X252" s="46" t="n">
        <f aca="false">IF(I252="Male",0,1)</f>
        <v>1</v>
      </c>
      <c r="Y252" s="46" t="n">
        <f aca="false">IF(OR(I252="DNB",I252="Dry DNB"),1,0)</f>
        <v>0</v>
      </c>
      <c r="Z252" s="46" t="n">
        <f aca="false">IF(ISNUMBER(W252),A252-W252,"")</f>
        <v>76</v>
      </c>
      <c r="AA252" s="46" t="n">
        <f aca="false">MATCH(A252,DATAS,0)</f>
        <v>1</v>
      </c>
      <c r="AB252" s="46" t="n">
        <f aca="false">IF(AND(E252&gt;0,OR(AND(B252&gt;=1,B252&lt;=6),B252=10)),1,0)</f>
        <v>1</v>
      </c>
      <c r="AC252" s="46" t="n">
        <f aca="false">IF(AND(E252&gt;0,B252=10),1,0)</f>
        <v>0</v>
      </c>
      <c r="AD252" s="0" t="str">
        <f aca="false">IF(AND(C251=C252,AA251=AA252-1),AB251,"")</f>
        <v/>
      </c>
      <c r="AE252" s="0" t="str">
        <f aca="false">IF(AND(C251=C252,AA251=AA252-1),AC251,"")</f>
        <v/>
      </c>
      <c r="AF252" s="0" t="str">
        <f aca="false">IF(AA252=1,"",IF(AND(AB252=1,AD252&lt;&gt;1),1,0))</f>
        <v/>
      </c>
      <c r="AG252" s="0" t="str">
        <f aca="false">IF(AA252=1,"",IF(AND(AC252=1,AE252&lt;&gt;1),1,0))</f>
        <v/>
      </c>
      <c r="AH252" s="51" t="str">
        <f aca="false">IF(AND(E252&gt;0,AA252&lt;1,NOT(AND(C253=C252,AA253=AA252+1))),INDEX(DATAS,AA252+1),"")</f>
        <v/>
      </c>
      <c r="AI252" s="51" t="str">
        <f aca="false">IF(AND(AC252=1,AA252&lt;1),IF(AND(C253=C252,AA253=AA252+1),IF(AC253=1,"",INDEX(DATAS,AA252+1)),INDEX(DATAS,AA252+1)),"")</f>
        <v/>
      </c>
    </row>
    <row r="253" customFormat="false" ht="15" hidden="false" customHeight="false" outlineLevel="0" collapsed="false">
      <c r="A253" s="51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46" t="s">
        <v>367</v>
      </c>
      <c r="H253" s="0" t="n">
        <v>22</v>
      </c>
      <c r="I253" s="46" t="s">
        <v>152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51" t="n">
        <v>46163</v>
      </c>
      <c r="X253" s="46" t="n">
        <f aca="false">IF(I253="Male",0,1)</f>
        <v>1</v>
      </c>
      <c r="Y253" s="46" t="n">
        <f aca="false">IF(OR(I253="DNB",I253="Dry DNB"),1,0)</f>
        <v>0</v>
      </c>
      <c r="Z253" s="46" t="n">
        <f aca="false">IF(ISNUMBER(W253),A253-W253,"")</f>
        <v>146</v>
      </c>
      <c r="AA253" s="46" t="n">
        <f aca="false">MATCH(A253,DATAS,0)</f>
        <v>1</v>
      </c>
      <c r="AB253" s="46" t="n">
        <f aca="false">IF(AND(E253&gt;0,OR(AND(B253&gt;=1,B253&lt;=6),B253=10)),1,0)</f>
        <v>1</v>
      </c>
      <c r="AC253" s="46" t="n">
        <f aca="false">IF(AND(E253&gt;0,B253=10),1,0)</f>
        <v>0</v>
      </c>
      <c r="AD253" s="0" t="str">
        <f aca="false">IF(AND(C252=C253,AA252=AA253-1),AB252,"")</f>
        <v/>
      </c>
      <c r="AE253" s="0" t="str">
        <f aca="false">IF(AND(C252=C253,AA252=AA253-1),AC252,"")</f>
        <v/>
      </c>
      <c r="AF253" s="0" t="str">
        <f aca="false">IF(AA253=1,"",IF(AND(AB253=1,AD253&lt;&gt;1),1,0))</f>
        <v/>
      </c>
      <c r="AG253" s="0" t="str">
        <f aca="false">IF(AA253=1,"",IF(AND(AC253=1,AE253&lt;&gt;1),1,0))</f>
        <v/>
      </c>
      <c r="AH253" s="51" t="str">
        <f aca="false">IF(AND(E253&gt;0,AA253&lt;1,NOT(AND(C254=C253,AA254=AA253+1))),INDEX(DATAS,AA253+1),"")</f>
        <v/>
      </c>
      <c r="AI253" s="51" t="str">
        <f aca="false">IF(AND(AC253=1,AA253&lt;1),IF(AND(C254=C253,AA254=AA253+1),IF(AC254=1,"",INDEX(DATAS,AA253+1)),INDEX(DATAS,AA253+1)),"")</f>
        <v/>
      </c>
    </row>
    <row r="254" customFormat="false" ht="15" hidden="false" customHeight="false" outlineLevel="0" collapsed="false">
      <c r="A254" s="51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46" t="s">
        <v>368</v>
      </c>
      <c r="G254" s="0" t="n">
        <v>9.3</v>
      </c>
      <c r="H254" s="0" t="n">
        <v>8</v>
      </c>
      <c r="I254" s="46" t="s">
        <v>152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51" t="n">
        <v>46233</v>
      </c>
      <c r="X254" s="46" t="n">
        <f aca="false">IF(I254="Male",0,1)</f>
        <v>1</v>
      </c>
      <c r="Y254" s="46" t="n">
        <f aca="false">IF(OR(I254="DNB",I254="Dry DNB"),1,0)</f>
        <v>0</v>
      </c>
      <c r="Z254" s="46" t="n">
        <f aca="false">IF(ISNUMBER(W254),A254-W254,"")</f>
        <v>76</v>
      </c>
      <c r="AA254" s="46" t="n">
        <f aca="false">MATCH(A254,DATAS,0)</f>
        <v>1</v>
      </c>
      <c r="AB254" s="46" t="n">
        <f aca="false">IF(AND(E254&gt;0,OR(AND(B254&gt;=1,B254&lt;=6),B254=10)),1,0)</f>
        <v>0</v>
      </c>
      <c r="AC254" s="46" t="n">
        <f aca="false">IF(AND(E254&gt;0,B254=10),1,0)</f>
        <v>0</v>
      </c>
      <c r="AD254" s="0" t="str">
        <f aca="false">IF(AND(C253=C254,AA253=AA254-1),AB253,"")</f>
        <v/>
      </c>
      <c r="AE254" s="0" t="str">
        <f aca="false">IF(AND(C253=C254,AA253=AA254-1),AC253,"")</f>
        <v/>
      </c>
      <c r="AF254" s="0" t="str">
        <f aca="false">IF(AA254=1,"",IF(AND(AB254=1,AD254&lt;&gt;1),1,0))</f>
        <v/>
      </c>
      <c r="AG254" s="0" t="str">
        <f aca="false">IF(AA254=1,"",IF(AND(AC254=1,AE254&lt;&gt;1),1,0))</f>
        <v/>
      </c>
      <c r="AH254" s="51" t="str">
        <f aca="false">IF(AND(E254&gt;0,AA254&lt;1,NOT(AND(C255=C254,AA255=AA254+1))),INDEX(DATAS,AA254+1),"")</f>
        <v/>
      </c>
      <c r="AI254" s="51" t="str">
        <f aca="false">IF(AND(AC254=1,AA254&lt;1),IF(AND(C255=C254,AA255=AA254+1),IF(AC255=1,"",INDEX(DATAS,AA254+1)),INDEX(DATAS,AA254+1)),"")</f>
        <v/>
      </c>
    </row>
    <row r="255" customFormat="false" ht="15" hidden="false" customHeight="false" outlineLevel="0" collapsed="false">
      <c r="A255" s="51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46" t="s">
        <v>369</v>
      </c>
      <c r="G255" s="0" t="n">
        <v>44.8</v>
      </c>
      <c r="H255" s="0" t="n">
        <v>44</v>
      </c>
      <c r="I255" s="46" t="s">
        <v>189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51" t="n">
        <v>46254</v>
      </c>
      <c r="X255" s="46" t="n">
        <f aca="false">IF(I255="Male",0,1)</f>
        <v>1</v>
      </c>
      <c r="Y255" s="46" t="n">
        <f aca="false">IF(OR(I255="DNB",I255="Dry DNB"),1,0)</f>
        <v>0</v>
      </c>
      <c r="Z255" s="46" t="n">
        <f aca="false">IF(ISNUMBER(W255),A255-W255,"")</f>
        <v>55</v>
      </c>
      <c r="AA255" s="46" t="n">
        <f aca="false">MATCH(A255,DATAS,0)</f>
        <v>1</v>
      </c>
      <c r="AB255" s="46" t="n">
        <f aca="false">IF(AND(E255&gt;0,OR(AND(B255&gt;=1,B255&lt;=6),B255=10)),1,0)</f>
        <v>1</v>
      </c>
      <c r="AC255" s="46" t="n">
        <f aca="false">IF(AND(E255&gt;0,B255=10),1,0)</f>
        <v>0</v>
      </c>
      <c r="AD255" s="0" t="str">
        <f aca="false">IF(AND(C254=C255,AA254=AA255-1),AB254,"")</f>
        <v/>
      </c>
      <c r="AE255" s="0" t="str">
        <f aca="false">IF(AND(C254=C255,AA254=AA255-1),AC254,"")</f>
        <v/>
      </c>
      <c r="AF255" s="0" t="str">
        <f aca="false">IF(AA255=1,"",IF(AND(AB255=1,AD255&lt;&gt;1),1,0))</f>
        <v/>
      </c>
      <c r="AG255" s="0" t="str">
        <f aca="false">IF(AA255=1,"",IF(AND(AC255=1,AE255&lt;&gt;1),1,0))</f>
        <v/>
      </c>
      <c r="AH255" s="51" t="str">
        <f aca="false">IF(AND(E255&gt;0,AA255&lt;1,NOT(AND(C256=C255,AA256=AA255+1))),INDEX(DATAS,AA255+1),"")</f>
        <v/>
      </c>
      <c r="AI255" s="51" t="str">
        <f aca="false">IF(AND(AC255=1,AA255&lt;1),IF(AND(C256=C255,AA256=AA255+1),IF(AC256=1,"",INDEX(DATAS,AA255+1)),INDEX(DATAS,AA255+1)),"")</f>
        <v/>
      </c>
    </row>
    <row r="256" customFormat="false" ht="15" hidden="false" customHeight="false" outlineLevel="0" collapsed="false">
      <c r="A256" s="51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46" t="s">
        <v>370</v>
      </c>
      <c r="G256" s="0" t="n">
        <v>28.1</v>
      </c>
      <c r="H256" s="0" t="n">
        <v>26</v>
      </c>
      <c r="I256" s="46" t="s">
        <v>152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51" t="n">
        <v>46240</v>
      </c>
      <c r="X256" s="46" t="n">
        <f aca="false">IF(I256="Male",0,1)</f>
        <v>1</v>
      </c>
      <c r="Y256" s="46" t="n">
        <f aca="false">IF(OR(I256="DNB",I256="Dry DNB"),1,0)</f>
        <v>0</v>
      </c>
      <c r="Z256" s="46" t="n">
        <f aca="false">IF(ISNUMBER(W256),A256-W256,"")</f>
        <v>69</v>
      </c>
      <c r="AA256" s="46" t="n">
        <f aca="false">MATCH(A256,DATAS,0)</f>
        <v>1</v>
      </c>
      <c r="AB256" s="46" t="n">
        <f aca="false">IF(AND(E256&gt;0,OR(AND(B256&gt;=1,B256&lt;=6),B256=10)),1,0)</f>
        <v>1</v>
      </c>
      <c r="AC256" s="46" t="n">
        <f aca="false">IF(AND(E256&gt;0,B256=10),1,0)</f>
        <v>0</v>
      </c>
      <c r="AD256" s="0" t="str">
        <f aca="false">IF(AND(C255=C256,AA255=AA256-1),AB255,"")</f>
        <v/>
      </c>
      <c r="AE256" s="0" t="str">
        <f aca="false">IF(AND(C255=C256,AA255=AA256-1),AC255,"")</f>
        <v/>
      </c>
      <c r="AF256" s="0" t="str">
        <f aca="false">IF(AA256=1,"",IF(AND(AB256=1,AD256&lt;&gt;1),1,0))</f>
        <v/>
      </c>
      <c r="AG256" s="0" t="str">
        <f aca="false">IF(AA256=1,"",IF(AND(AC256=1,AE256&lt;&gt;1),1,0))</f>
        <v/>
      </c>
      <c r="AH256" s="51" t="str">
        <f aca="false">IF(AND(E256&gt;0,AA256&lt;1,NOT(AND(C257=C256,AA257=AA256+1))),INDEX(DATAS,AA256+1),"")</f>
        <v/>
      </c>
      <c r="AI256" s="51" t="str">
        <f aca="false">IF(AND(AC256=1,AA256&lt;1),IF(AND(C257=C256,AA257=AA256+1),IF(AC257=1,"",INDEX(DATAS,AA256+1)),INDEX(DATAS,AA256+1)),"")</f>
        <v/>
      </c>
    </row>
    <row r="257" customFormat="false" ht="15" hidden="false" customHeight="false" outlineLevel="0" collapsed="false">
      <c r="A257" s="51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46" t="s">
        <v>371</v>
      </c>
      <c r="G257" s="0" t="n">
        <v>31.6</v>
      </c>
      <c r="H257" s="0" t="n">
        <v>37</v>
      </c>
      <c r="I257" s="46" t="s">
        <v>152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51" t="n">
        <v>46233</v>
      </c>
      <c r="X257" s="46" t="n">
        <f aca="false">IF(I257="Male",0,1)</f>
        <v>1</v>
      </c>
      <c r="Y257" s="46" t="n">
        <f aca="false">IF(OR(I257="DNB",I257="Dry DNB"),1,0)</f>
        <v>0</v>
      </c>
      <c r="Z257" s="46" t="n">
        <f aca="false">IF(ISNUMBER(W257),A257-W257,"")</f>
        <v>76</v>
      </c>
      <c r="AA257" s="46" t="n">
        <f aca="false">MATCH(A257,DATAS,0)</f>
        <v>1</v>
      </c>
      <c r="AB257" s="46" t="n">
        <f aca="false">IF(AND(E257&gt;0,OR(AND(B257&gt;=1,B257&lt;=6),B257=10)),1,0)</f>
        <v>1</v>
      </c>
      <c r="AC257" s="46" t="n">
        <f aca="false">IF(AND(E257&gt;0,B257=10),1,0)</f>
        <v>0</v>
      </c>
      <c r="AD257" s="0" t="str">
        <f aca="false">IF(AND(C256=C257,AA256=AA257-1),AB256,"")</f>
        <v/>
      </c>
      <c r="AE257" s="0" t="str">
        <f aca="false">IF(AND(C256=C257,AA256=AA257-1),AC256,"")</f>
        <v/>
      </c>
      <c r="AF257" s="0" t="str">
        <f aca="false">IF(AA257=1,"",IF(AND(AB257=1,AD257&lt;&gt;1),1,0))</f>
        <v/>
      </c>
      <c r="AG257" s="0" t="str">
        <f aca="false">IF(AA257=1,"",IF(AND(AC257=1,AE257&lt;&gt;1),1,0))</f>
        <v/>
      </c>
      <c r="AH257" s="51" t="str">
        <f aca="false">IF(AND(E257&gt;0,AA257&lt;1,NOT(AND(C258=C257,AA258=AA257+1))),INDEX(DATAS,AA257+1),"")</f>
        <v/>
      </c>
      <c r="AI257" s="51" t="str">
        <f aca="false">IF(AND(AC257=1,AA257&lt;1),IF(AND(C258=C257,AA258=AA257+1),IF(AC258=1,"",INDEX(DATAS,AA257+1)),INDEX(DATAS,AA257+1)),"")</f>
        <v/>
      </c>
    </row>
    <row r="258" customFormat="false" ht="15" hidden="false" customHeight="false" outlineLevel="0" collapsed="false">
      <c r="A258" s="51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46" t="s">
        <v>372</v>
      </c>
      <c r="G258" s="0" t="n">
        <v>5.2</v>
      </c>
      <c r="H258" s="0" t="n">
        <v>16</v>
      </c>
      <c r="I258" s="46" t="s">
        <v>157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51" t="n">
        <v>46086</v>
      </c>
      <c r="X258" s="46" t="n">
        <f aca="false">IF(I258="Male",0,1)</f>
        <v>1</v>
      </c>
      <c r="Y258" s="46" t="n">
        <f aca="false">IF(OR(I258="DNB",I258="Dry DNB"),1,0)</f>
        <v>0</v>
      </c>
      <c r="Z258" s="46" t="n">
        <f aca="false">IF(ISNUMBER(W258),A258-W258,"")</f>
        <v>223</v>
      </c>
      <c r="AA258" s="46" t="n">
        <f aca="false">MATCH(A258,DATAS,0)</f>
        <v>1</v>
      </c>
      <c r="AB258" s="46" t="n">
        <f aca="false">IF(AND(E258&gt;0,OR(AND(B258&gt;=1,B258&lt;=6),B258=10)),1,0)</f>
        <v>0</v>
      </c>
      <c r="AC258" s="46" t="n">
        <f aca="false">IF(AND(E258&gt;0,B258=10),1,0)</f>
        <v>0</v>
      </c>
      <c r="AD258" s="0" t="str">
        <f aca="false">IF(AND(C257=C258,AA257=AA258-1),AB257,"")</f>
        <v/>
      </c>
      <c r="AE258" s="0" t="str">
        <f aca="false">IF(AND(C257=C258,AA257=AA258-1),AC257,"")</f>
        <v/>
      </c>
      <c r="AF258" s="0" t="str">
        <f aca="false">IF(AA258=1,"",IF(AND(AB258=1,AD258&lt;&gt;1),1,0))</f>
        <v/>
      </c>
      <c r="AG258" s="0" t="str">
        <f aca="false">IF(AA258=1,"",IF(AND(AC258=1,AE258&lt;&gt;1),1,0))</f>
        <v/>
      </c>
      <c r="AH258" s="51" t="str">
        <f aca="false">IF(AND(E258&gt;0,AA258&lt;1,NOT(AND(C259=C258,AA259=AA258+1))),INDEX(DATAS,AA258+1),"")</f>
        <v/>
      </c>
      <c r="AI258" s="51" t="str">
        <f aca="false">IF(AND(AC258=1,AA258&lt;1),IF(AND(C259=C258,AA259=AA258+1),IF(AC259=1,"",INDEX(DATAS,AA258+1)),INDEX(DATAS,AA258+1)),"")</f>
        <v/>
      </c>
    </row>
    <row r="259" customFormat="false" ht="15" hidden="false" customHeight="false" outlineLevel="0" collapsed="false">
      <c r="A259" s="51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46" t="s">
        <v>373</v>
      </c>
      <c r="G259" s="0" t="n">
        <v>53</v>
      </c>
      <c r="H259" s="0" t="n">
        <v>54</v>
      </c>
      <c r="I259" s="46" t="s">
        <v>181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51" t="n">
        <v>46289</v>
      </c>
      <c r="X259" s="46" t="n">
        <f aca="false">IF(I259="Male",0,1)</f>
        <v>1</v>
      </c>
      <c r="Y259" s="46" t="n">
        <f aca="false">IF(OR(I259="DNB",I259="Dry DNB"),1,0)</f>
        <v>0</v>
      </c>
      <c r="Z259" s="46" t="n">
        <f aca="false">IF(ISNUMBER(W259),A259-W259,"")</f>
        <v>20</v>
      </c>
      <c r="AA259" s="46" t="n">
        <f aca="false">MATCH(A259,DATAS,0)</f>
        <v>1</v>
      </c>
      <c r="AB259" s="46" t="n">
        <f aca="false">IF(AND(E259&gt;0,OR(AND(B259&gt;=1,B259&lt;=6),B259=10)),1,0)</f>
        <v>1</v>
      </c>
      <c r="AC259" s="46" t="n">
        <f aca="false">IF(AND(E259&gt;0,B259=10),1,0)</f>
        <v>0</v>
      </c>
      <c r="AD259" s="0" t="str">
        <f aca="false">IF(AND(C258=C259,AA258=AA259-1),AB258,"")</f>
        <v/>
      </c>
      <c r="AE259" s="0" t="str">
        <f aca="false">IF(AND(C258=C259,AA258=AA259-1),AC258,"")</f>
        <v/>
      </c>
      <c r="AF259" s="0" t="str">
        <f aca="false">IF(AA259=1,"",IF(AND(AB259=1,AD259&lt;&gt;1),1,0))</f>
        <v/>
      </c>
      <c r="AG259" s="0" t="str">
        <f aca="false">IF(AA259=1,"",IF(AND(AC259=1,AE259&lt;&gt;1),1,0))</f>
        <v/>
      </c>
      <c r="AH259" s="51" t="str">
        <f aca="false">IF(AND(E259&gt;0,AA259&lt;1,NOT(AND(C260=C259,AA260=AA259+1))),INDEX(DATAS,AA259+1),"")</f>
        <v/>
      </c>
      <c r="AI259" s="51" t="str">
        <f aca="false">IF(AND(AC259=1,AA259&lt;1),IF(AND(C260=C259,AA260=AA259+1),IF(AC260=1,"",INDEX(DATAS,AA259+1)),INDEX(DATAS,AA259+1)),"")</f>
        <v/>
      </c>
    </row>
    <row r="260" customFormat="false" ht="15" hidden="false" customHeight="false" outlineLevel="0" collapsed="false">
      <c r="A260" s="51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46" t="s">
        <v>374</v>
      </c>
      <c r="G260" s="0" t="n">
        <v>30.1</v>
      </c>
      <c r="H260" s="0" t="n">
        <v>30</v>
      </c>
      <c r="I260" s="46" t="s">
        <v>152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51" t="n">
        <v>46268</v>
      </c>
      <c r="X260" s="46" t="n">
        <f aca="false">IF(I260="Male",0,1)</f>
        <v>1</v>
      </c>
      <c r="Y260" s="46" t="n">
        <f aca="false">IF(OR(I260="DNB",I260="Dry DNB"),1,0)</f>
        <v>0</v>
      </c>
      <c r="Z260" s="46" t="n">
        <f aca="false">IF(ISNUMBER(W260),A260-W260,"")</f>
        <v>41</v>
      </c>
      <c r="AA260" s="46" t="n">
        <f aca="false">MATCH(A260,DATAS,0)</f>
        <v>1</v>
      </c>
      <c r="AB260" s="46" t="n">
        <f aca="false">IF(AND(E260&gt;0,OR(AND(B260&gt;=1,B260&lt;=6),B260=10)),1,0)</f>
        <v>1</v>
      </c>
      <c r="AC260" s="46" t="n">
        <f aca="false">IF(AND(E260&gt;0,B260=10),1,0)</f>
        <v>0</v>
      </c>
      <c r="AD260" s="0" t="str">
        <f aca="false">IF(AND(C259=C260,AA259=AA260-1),AB259,"")</f>
        <v/>
      </c>
      <c r="AE260" s="0" t="str">
        <f aca="false">IF(AND(C259=C260,AA259=AA260-1),AC259,"")</f>
        <v/>
      </c>
      <c r="AF260" s="0" t="str">
        <f aca="false">IF(AA260=1,"",IF(AND(AB260=1,AD260&lt;&gt;1),1,0))</f>
        <v/>
      </c>
      <c r="AG260" s="0" t="str">
        <f aca="false">IF(AA260=1,"",IF(AND(AC260=1,AE260&lt;&gt;1),1,0))</f>
        <v/>
      </c>
      <c r="AH260" s="51" t="str">
        <f aca="false">IF(AND(E260&gt;0,AA260&lt;1,NOT(AND(C261=C260,AA261=AA260+1))),INDEX(DATAS,AA260+1),"")</f>
        <v/>
      </c>
      <c r="AI260" s="51" t="str">
        <f aca="false">IF(AND(AC260=1,AA260&lt;1),IF(AND(C261=C260,AA261=AA260+1),IF(AC261=1,"",INDEX(DATAS,AA260+1)),INDEX(DATAS,AA260+1)),"")</f>
        <v/>
      </c>
    </row>
    <row r="261" customFormat="false" ht="15" hidden="false" customHeight="false" outlineLevel="0" collapsed="false">
      <c r="A261" s="51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46" t="s">
        <v>374</v>
      </c>
      <c r="G261" s="0" t="n">
        <v>46.6</v>
      </c>
      <c r="H261" s="0" t="n">
        <v>41</v>
      </c>
      <c r="I261" s="46" t="s">
        <v>189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51" t="n">
        <v>46254</v>
      </c>
      <c r="X261" s="46" t="n">
        <f aca="false">IF(I261="Male",0,1)</f>
        <v>1</v>
      </c>
      <c r="Y261" s="46" t="n">
        <f aca="false">IF(OR(I261="DNB",I261="Dry DNB"),1,0)</f>
        <v>0</v>
      </c>
      <c r="Z261" s="46" t="n">
        <f aca="false">IF(ISNUMBER(W261),A261-W261,"")</f>
        <v>55</v>
      </c>
      <c r="AA261" s="46" t="n">
        <f aca="false">MATCH(A261,DATAS,0)</f>
        <v>1</v>
      </c>
      <c r="AB261" s="46" t="n">
        <f aca="false">IF(AND(E261&gt;0,OR(AND(B261&gt;=1,B261&lt;=6),B261=10)),1,0)</f>
        <v>1</v>
      </c>
      <c r="AC261" s="46" t="n">
        <f aca="false">IF(AND(E261&gt;0,B261=10),1,0)</f>
        <v>0</v>
      </c>
      <c r="AD261" s="0" t="str">
        <f aca="false">IF(AND(C260=C261,AA260=AA261-1),AB260,"")</f>
        <v/>
      </c>
      <c r="AE261" s="0" t="str">
        <f aca="false">IF(AND(C260=C261,AA260=AA261-1),AC260,"")</f>
        <v/>
      </c>
      <c r="AF261" s="0" t="str">
        <f aca="false">IF(AA261=1,"",IF(AND(AB261=1,AD261&lt;&gt;1),1,0))</f>
        <v/>
      </c>
      <c r="AG261" s="0" t="str">
        <f aca="false">IF(AA261=1,"",IF(AND(AC261=1,AE261&lt;&gt;1),1,0))</f>
        <v/>
      </c>
      <c r="AH261" s="51" t="str">
        <f aca="false">IF(AND(E261&gt;0,AA261&lt;1,NOT(AND(C262=C261,AA262=AA261+1))),INDEX(DATAS,AA261+1),"")</f>
        <v/>
      </c>
      <c r="AI261" s="51" t="str">
        <f aca="false">IF(AND(AC261=1,AA261&lt;1),IF(AND(C262=C261,AA262=AA261+1),IF(AC262=1,"",INDEX(DATAS,AA261+1)),INDEX(DATAS,AA261+1)),"")</f>
        <v/>
      </c>
    </row>
    <row r="262" customFormat="false" ht="15" hidden="false" customHeight="false" outlineLevel="0" collapsed="false">
      <c r="A262" s="51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46" t="s">
        <v>375</v>
      </c>
      <c r="G262" s="0" t="n">
        <v>57.5</v>
      </c>
      <c r="H262" s="0" t="n">
        <v>54</v>
      </c>
      <c r="I262" s="46" t="s">
        <v>152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51" t="n">
        <v>46170</v>
      </c>
      <c r="X262" s="46" t="n">
        <f aca="false">IF(I262="Male",0,1)</f>
        <v>1</v>
      </c>
      <c r="Y262" s="46" t="n">
        <f aca="false">IF(OR(I262="DNB",I262="Dry DNB"),1,0)</f>
        <v>0</v>
      </c>
      <c r="Z262" s="46" t="n">
        <f aca="false">IF(ISNUMBER(W262),A262-W262,"")</f>
        <v>139</v>
      </c>
      <c r="AA262" s="46" t="n">
        <f aca="false">MATCH(A262,DATAS,0)</f>
        <v>1</v>
      </c>
      <c r="AB262" s="46" t="n">
        <f aca="false">IF(AND(E262&gt;0,OR(AND(B262&gt;=1,B262&lt;=6),B262=10)),1,0)</f>
        <v>1</v>
      </c>
      <c r="AC262" s="46" t="n">
        <f aca="false">IF(AND(E262&gt;0,B262=10),1,0)</f>
        <v>0</v>
      </c>
      <c r="AD262" s="0" t="str">
        <f aca="false">IF(AND(C261=C262,AA261=AA262-1),AB261,"")</f>
        <v/>
      </c>
      <c r="AE262" s="0" t="str">
        <f aca="false">IF(AND(C261=C262,AA261=AA262-1),AC261,"")</f>
        <v/>
      </c>
      <c r="AF262" s="0" t="str">
        <f aca="false">IF(AA262=1,"",IF(AND(AB262=1,AD262&lt;&gt;1),1,0))</f>
        <v/>
      </c>
      <c r="AG262" s="0" t="str">
        <f aca="false">IF(AA262=1,"",IF(AND(AC262=1,AE262&lt;&gt;1),1,0))</f>
        <v/>
      </c>
      <c r="AH262" s="51" t="str">
        <f aca="false">IF(AND(E262&gt;0,AA262&lt;1,NOT(AND(C263=C262,AA263=AA262+1))),INDEX(DATAS,AA262+1),"")</f>
        <v/>
      </c>
      <c r="AI262" s="51" t="str">
        <f aca="false">IF(AND(AC262=1,AA262&lt;1),IF(AND(C263=C262,AA263=AA262+1),IF(AC263=1,"",INDEX(DATAS,AA262+1)),INDEX(DATAS,AA262+1)),"")</f>
        <v/>
      </c>
    </row>
    <row r="263" customFormat="false" ht="15" hidden="false" customHeight="false" outlineLevel="0" collapsed="false">
      <c r="A263" s="51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46" t="s">
        <v>376</v>
      </c>
      <c r="G263" s="0" t="n">
        <v>25.2</v>
      </c>
      <c r="H263" s="0" t="n">
        <v>23</v>
      </c>
      <c r="I263" s="46" t="s">
        <v>138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51" t="n">
        <v>46234</v>
      </c>
      <c r="X263" s="46" t="n">
        <f aca="false">IF(I263="Male",0,1)</f>
        <v>1</v>
      </c>
      <c r="Y263" s="46" t="n">
        <f aca="false">IF(OR(I263="DNB",I263="Dry DNB"),1,0)</f>
        <v>1</v>
      </c>
      <c r="Z263" s="46" t="n">
        <f aca="false">IF(ISNUMBER(W263),A263-W263,"")</f>
        <v>75</v>
      </c>
      <c r="AA263" s="46" t="n">
        <f aca="false">MATCH(A263,DATAS,0)</f>
        <v>1</v>
      </c>
      <c r="AB263" s="46" t="n">
        <f aca="false">IF(AND(E263&gt;0,OR(AND(B263&gt;=1,B263&lt;=6),B263=10)),1,0)</f>
        <v>1</v>
      </c>
      <c r="AC263" s="46" t="n">
        <f aca="false">IF(AND(E263&gt;0,B263=10),1,0)</f>
        <v>0</v>
      </c>
      <c r="AD263" s="0" t="str">
        <f aca="false">IF(AND(C262=C263,AA262=AA263-1),AB262,"")</f>
        <v/>
      </c>
      <c r="AE263" s="0" t="str">
        <f aca="false">IF(AND(C262=C263,AA262=AA263-1),AC262,"")</f>
        <v/>
      </c>
      <c r="AF263" s="0" t="str">
        <f aca="false">IF(AA263=1,"",IF(AND(AB263=1,AD263&lt;&gt;1),1,0))</f>
        <v/>
      </c>
      <c r="AG263" s="0" t="str">
        <f aca="false">IF(AA263=1,"",IF(AND(AC263=1,AE263&lt;&gt;1),1,0))</f>
        <v/>
      </c>
      <c r="AH263" s="51" t="str">
        <f aca="false">IF(AND(E263&gt;0,AA263&lt;1,NOT(AND(C264=C263,AA264=AA263+1))),INDEX(DATAS,AA263+1),"")</f>
        <v/>
      </c>
      <c r="AI263" s="51" t="str">
        <f aca="false">IF(AND(AC263=1,AA263&lt;1),IF(AND(C264=C263,AA264=AA263+1),IF(AC264=1,"",INDEX(DATAS,AA263+1)),INDEX(DATAS,AA263+1)),"")</f>
        <v/>
      </c>
    </row>
    <row r="264" customFormat="false" ht="15" hidden="false" customHeight="false" outlineLevel="0" collapsed="false">
      <c r="A264" s="51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46" t="s">
        <v>377</v>
      </c>
      <c r="G264" s="0" t="n">
        <v>47.6</v>
      </c>
      <c r="H264" s="0" t="n">
        <v>46</v>
      </c>
      <c r="I264" s="46" t="s">
        <v>189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51" t="n">
        <v>46268</v>
      </c>
      <c r="X264" s="46" t="n">
        <f aca="false">IF(I264="Male",0,1)</f>
        <v>1</v>
      </c>
      <c r="Y264" s="46" t="n">
        <f aca="false">IF(OR(I264="DNB",I264="Dry DNB"),1,0)</f>
        <v>0</v>
      </c>
      <c r="Z264" s="46" t="n">
        <f aca="false">IF(ISNUMBER(W264),A264-W264,"")</f>
        <v>41</v>
      </c>
      <c r="AA264" s="46" t="n">
        <f aca="false">MATCH(A264,DATAS,0)</f>
        <v>1</v>
      </c>
      <c r="AB264" s="46" t="n">
        <f aca="false">IF(AND(E264&gt;0,OR(AND(B264&gt;=1,B264&lt;=6),B264=10)),1,0)</f>
        <v>1</v>
      </c>
      <c r="AC264" s="46" t="n">
        <f aca="false">IF(AND(E264&gt;0,B264=10),1,0)</f>
        <v>0</v>
      </c>
      <c r="AD264" s="0" t="str">
        <f aca="false">IF(AND(C263=C264,AA263=AA264-1),AB263,"")</f>
        <v/>
      </c>
      <c r="AE264" s="0" t="str">
        <f aca="false">IF(AND(C263=C264,AA263=AA264-1),AC263,"")</f>
        <v/>
      </c>
      <c r="AF264" s="0" t="str">
        <f aca="false">IF(AA264=1,"",IF(AND(AB264=1,AD264&lt;&gt;1),1,0))</f>
        <v/>
      </c>
      <c r="AG264" s="0" t="str">
        <f aca="false">IF(AA264=1,"",IF(AND(AC264=1,AE264&lt;&gt;1),1,0))</f>
        <v/>
      </c>
      <c r="AH264" s="51" t="str">
        <f aca="false">IF(AND(E264&gt;0,AA264&lt;1,NOT(AND(C265=C264,AA265=AA264+1))),INDEX(DATAS,AA264+1),"")</f>
        <v/>
      </c>
      <c r="AI264" s="51" t="str">
        <f aca="false">IF(AND(AC264=1,AA264&lt;1),IF(AND(C265=C264,AA265=AA264+1),IF(AC265=1,"",INDEX(DATAS,AA264+1)),INDEX(DATAS,AA264+1)),"")</f>
        <v/>
      </c>
    </row>
    <row r="265" customFormat="false" ht="15" hidden="false" customHeight="false" outlineLevel="0" collapsed="false">
      <c r="A265" s="51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46" t="s">
        <v>378</v>
      </c>
      <c r="G265" s="0" t="n">
        <v>35.5</v>
      </c>
      <c r="H265" s="0" t="n">
        <v>40</v>
      </c>
      <c r="I265" s="46" t="s">
        <v>152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51" t="n">
        <v>46226</v>
      </c>
      <c r="X265" s="46" t="n">
        <f aca="false">IF(I265="Male",0,1)</f>
        <v>1</v>
      </c>
      <c r="Y265" s="46" t="n">
        <f aca="false">IF(OR(I265="DNB",I265="Dry DNB"),1,0)</f>
        <v>0</v>
      </c>
      <c r="Z265" s="46" t="n">
        <f aca="false">IF(ISNUMBER(W265),A265-W265,"")</f>
        <v>83</v>
      </c>
      <c r="AA265" s="46" t="n">
        <f aca="false">MATCH(A265,DATAS,0)</f>
        <v>1</v>
      </c>
      <c r="AB265" s="46" t="n">
        <f aca="false">IF(AND(E265&gt;0,OR(AND(B265&gt;=1,B265&lt;=6),B265=10)),1,0)</f>
        <v>1</v>
      </c>
      <c r="AC265" s="46" t="n">
        <f aca="false">IF(AND(E265&gt;0,B265=10),1,0)</f>
        <v>0</v>
      </c>
      <c r="AD265" s="0" t="str">
        <f aca="false">IF(AND(C264=C265,AA264=AA265-1),AB264,"")</f>
        <v/>
      </c>
      <c r="AE265" s="0" t="str">
        <f aca="false">IF(AND(C264=C265,AA264=AA265-1),AC264,"")</f>
        <v/>
      </c>
      <c r="AF265" s="0" t="str">
        <f aca="false">IF(AA265=1,"",IF(AND(AB265=1,AD265&lt;&gt;1),1,0))</f>
        <v/>
      </c>
      <c r="AG265" s="0" t="str">
        <f aca="false">IF(AA265=1,"",IF(AND(AC265=1,AE265&lt;&gt;1),1,0))</f>
        <v/>
      </c>
      <c r="AH265" s="51" t="str">
        <f aca="false">IF(AND(E265&gt;0,AA265&lt;1,NOT(AND(C266=C265,AA266=AA265+1))),INDEX(DATAS,AA265+1),"")</f>
        <v/>
      </c>
      <c r="AI265" s="51" t="str">
        <f aca="false">IF(AND(AC265=1,AA265&lt;1),IF(AND(C266=C265,AA266=AA265+1),IF(AC266=1,"",INDEX(DATAS,AA265+1)),INDEX(DATAS,AA265+1)),"")</f>
        <v/>
      </c>
    </row>
    <row r="266" customFormat="false" ht="15" hidden="false" customHeight="false" outlineLevel="0" collapsed="false">
      <c r="A266" s="51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46" t="s">
        <v>379</v>
      </c>
      <c r="G266" s="0" t="n">
        <v>60.7</v>
      </c>
      <c r="H266" s="0" t="n">
        <v>60</v>
      </c>
      <c r="I266" s="46" t="s">
        <v>181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51" t="n">
        <v>46296</v>
      </c>
      <c r="X266" s="46" t="n">
        <f aca="false">IF(I266="Male",0,1)</f>
        <v>1</v>
      </c>
      <c r="Y266" s="46" t="n">
        <f aca="false">IF(OR(I266="DNB",I266="Dry DNB"),1,0)</f>
        <v>0</v>
      </c>
      <c r="Z266" s="46" t="n">
        <f aca="false">IF(ISNUMBER(W266),A266-W266,"")</f>
        <v>13</v>
      </c>
      <c r="AA266" s="46" t="n">
        <f aca="false">MATCH(A266,DATAS,0)</f>
        <v>1</v>
      </c>
      <c r="AB266" s="46" t="n">
        <f aca="false">IF(AND(E266&gt;0,OR(AND(B266&gt;=1,B266&lt;=6),B266=10)),1,0)</f>
        <v>1</v>
      </c>
      <c r="AC266" s="46" t="n">
        <f aca="false">IF(AND(E266&gt;0,B266=10),1,0)</f>
        <v>0</v>
      </c>
      <c r="AD266" s="0" t="str">
        <f aca="false">IF(AND(C265=C266,AA265=AA266-1),AB265,"")</f>
        <v/>
      </c>
      <c r="AE266" s="0" t="str">
        <f aca="false">IF(AND(C265=C266,AA265=AA266-1),AC265,"")</f>
        <v/>
      </c>
      <c r="AF266" s="0" t="str">
        <f aca="false">IF(AA266=1,"",IF(AND(AB266=1,AD266&lt;&gt;1),1,0))</f>
        <v/>
      </c>
      <c r="AG266" s="0" t="str">
        <f aca="false">IF(AA266=1,"",IF(AND(AC266=1,AE266&lt;&gt;1),1,0))</f>
        <v/>
      </c>
      <c r="AH266" s="51" t="str">
        <f aca="false">IF(AND(E266&gt;0,AA266&lt;1,NOT(AND(C267=C266,AA267=AA266+1))),INDEX(DATAS,AA266+1),"")</f>
        <v/>
      </c>
      <c r="AI266" s="51" t="str">
        <f aca="false">IF(AND(AC266=1,AA266&lt;1),IF(AND(C267=C266,AA267=AA266+1),IF(AC267=1,"",INDEX(DATAS,AA266+1)),INDEX(DATAS,AA266+1)),"")</f>
        <v/>
      </c>
    </row>
    <row r="267" customFormat="false" ht="15" hidden="false" customHeight="false" outlineLevel="0" collapsed="false">
      <c r="A267" s="51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46" t="s">
        <v>380</v>
      </c>
      <c r="G267" s="0" t="n">
        <v>36.9</v>
      </c>
      <c r="H267" s="0" t="n">
        <v>36</v>
      </c>
      <c r="I267" s="46" t="s">
        <v>152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51" t="n">
        <v>46244</v>
      </c>
      <c r="X267" s="46" t="n">
        <f aca="false">IF(I267="Male",0,1)</f>
        <v>1</v>
      </c>
      <c r="Y267" s="46" t="n">
        <f aca="false">IF(OR(I267="DNB",I267="Dry DNB"),1,0)</f>
        <v>0</v>
      </c>
      <c r="Z267" s="46" t="n">
        <f aca="false">IF(ISNUMBER(W267),A267-W267,"")</f>
        <v>65</v>
      </c>
      <c r="AA267" s="46" t="n">
        <f aca="false">MATCH(A267,DATAS,0)</f>
        <v>1</v>
      </c>
      <c r="AB267" s="46" t="n">
        <f aca="false">IF(AND(E267&gt;0,OR(AND(B267&gt;=1,B267&lt;=6),B267=10)),1,0)</f>
        <v>1</v>
      </c>
      <c r="AC267" s="46" t="n">
        <f aca="false">IF(AND(E267&gt;0,B267=10),1,0)</f>
        <v>0</v>
      </c>
      <c r="AD267" s="0" t="str">
        <f aca="false">IF(AND(C266=C267,AA266=AA267-1),AB266,"")</f>
        <v/>
      </c>
      <c r="AE267" s="0" t="str">
        <f aca="false">IF(AND(C266=C267,AA266=AA267-1),AC266,"")</f>
        <v/>
      </c>
      <c r="AF267" s="0" t="str">
        <f aca="false">IF(AA267=1,"",IF(AND(AB267=1,AD267&lt;&gt;1),1,0))</f>
        <v/>
      </c>
      <c r="AG267" s="0" t="str">
        <f aca="false">IF(AA267=1,"",IF(AND(AC267=1,AE267&lt;&gt;1),1,0))</f>
        <v/>
      </c>
      <c r="AH267" s="51" t="str">
        <f aca="false">IF(AND(E267&gt;0,AA267&lt;1,NOT(AND(C268=C267,AA268=AA267+1))),INDEX(DATAS,AA267+1),"")</f>
        <v/>
      </c>
      <c r="AI267" s="51" t="str">
        <f aca="false">IF(AND(AC267=1,AA267&lt;1),IF(AND(C268=C267,AA268=AA267+1),IF(AC268=1,"",INDEX(DATAS,AA267+1)),INDEX(DATAS,AA267+1)),"")</f>
        <v/>
      </c>
    </row>
    <row r="268" customFormat="false" ht="15" hidden="false" customHeight="false" outlineLevel="0" collapsed="false">
      <c r="A268" s="51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46" t="s">
        <v>381</v>
      </c>
      <c r="G268" s="0" t="n">
        <v>61.4</v>
      </c>
      <c r="H268" s="0" t="n">
        <v>62</v>
      </c>
      <c r="I268" s="46" t="s">
        <v>152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51" t="n">
        <v>46240</v>
      </c>
      <c r="X268" s="46" t="n">
        <f aca="false">IF(I268="Male",0,1)</f>
        <v>1</v>
      </c>
      <c r="Y268" s="46" t="n">
        <f aca="false">IF(OR(I268="DNB",I268="Dry DNB"),1,0)</f>
        <v>0</v>
      </c>
      <c r="Z268" s="46" t="n">
        <f aca="false">IF(ISNUMBER(W268),A268-W268,"")</f>
        <v>69</v>
      </c>
      <c r="AA268" s="46" t="n">
        <f aca="false">MATCH(A268,DATAS,0)</f>
        <v>1</v>
      </c>
      <c r="AB268" s="46" t="n">
        <f aca="false">IF(AND(E268&gt;0,OR(AND(B268&gt;=1,B268&lt;=6),B268=10)),1,0)</f>
        <v>1</v>
      </c>
      <c r="AC268" s="46" t="n">
        <f aca="false">IF(AND(E268&gt;0,B268=10),1,0)</f>
        <v>0</v>
      </c>
      <c r="AD268" s="0" t="str">
        <f aca="false">IF(AND(C267=C268,AA267=AA268-1),AB267,"")</f>
        <v/>
      </c>
      <c r="AE268" s="0" t="str">
        <f aca="false">IF(AND(C267=C268,AA267=AA268-1),AC267,"")</f>
        <v/>
      </c>
      <c r="AF268" s="0" t="str">
        <f aca="false">IF(AA268=1,"",IF(AND(AB268=1,AD268&lt;&gt;1),1,0))</f>
        <v/>
      </c>
      <c r="AG268" s="0" t="str">
        <f aca="false">IF(AA268=1,"",IF(AND(AC268=1,AE268&lt;&gt;1),1,0))</f>
        <v/>
      </c>
      <c r="AH268" s="51" t="str">
        <f aca="false">IF(AND(E268&gt;0,AA268&lt;1,NOT(AND(C269=C268,AA269=AA268+1))),INDEX(DATAS,AA268+1),"")</f>
        <v/>
      </c>
      <c r="AI268" s="51" t="str">
        <f aca="false">IF(AND(AC268=1,AA268&lt;1),IF(AND(C269=C268,AA269=AA268+1),IF(AC269=1,"",INDEX(DATAS,AA268+1)),INDEX(DATAS,AA268+1)),"")</f>
        <v/>
      </c>
    </row>
    <row r="269" customFormat="false" ht="15" hidden="false" customHeight="false" outlineLevel="0" collapsed="false">
      <c r="A269" s="51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46" t="s">
        <v>382</v>
      </c>
      <c r="G269" s="0" t="n">
        <v>28</v>
      </c>
      <c r="H269" s="0" t="n">
        <v>26</v>
      </c>
      <c r="I269" s="46" t="s">
        <v>138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51" t="n">
        <v>46037</v>
      </c>
      <c r="X269" s="46" t="n">
        <f aca="false">IF(I269="Male",0,1)</f>
        <v>1</v>
      </c>
      <c r="Y269" s="46" t="n">
        <f aca="false">IF(OR(I269="DNB",I269="Dry DNB"),1,0)</f>
        <v>1</v>
      </c>
      <c r="Z269" s="46" t="n">
        <f aca="false">IF(ISNUMBER(W269),A269-W269,"")</f>
        <v>272</v>
      </c>
      <c r="AA269" s="46" t="n">
        <f aca="false">MATCH(A269,DATAS,0)</f>
        <v>1</v>
      </c>
      <c r="AB269" s="46" t="n">
        <f aca="false">IF(AND(E269&gt;0,OR(AND(B269&gt;=1,B269&lt;=6),B269=10)),1,0)</f>
        <v>1</v>
      </c>
      <c r="AC269" s="46" t="n">
        <f aca="false">IF(AND(E269&gt;0,B269=10),1,0)</f>
        <v>0</v>
      </c>
      <c r="AD269" s="0" t="str">
        <f aca="false">IF(AND(C268=C269,AA268=AA269-1),AB268,"")</f>
        <v/>
      </c>
      <c r="AE269" s="0" t="str">
        <f aca="false">IF(AND(C268=C269,AA268=AA269-1),AC268,"")</f>
        <v/>
      </c>
      <c r="AF269" s="0" t="str">
        <f aca="false">IF(AA269=1,"",IF(AND(AB269=1,AD269&lt;&gt;1),1,0))</f>
        <v/>
      </c>
      <c r="AG269" s="0" t="str">
        <f aca="false">IF(AA269=1,"",IF(AND(AC269=1,AE269&lt;&gt;1),1,0))</f>
        <v/>
      </c>
      <c r="AH269" s="51" t="str">
        <f aca="false">IF(AND(E269&gt;0,AA269&lt;1,NOT(AND(C270=C269,AA270=AA269+1))),INDEX(DATAS,AA269+1),"")</f>
        <v/>
      </c>
      <c r="AI269" s="51" t="str">
        <f aca="false">IF(AND(AC269=1,AA269&lt;1),IF(AND(C270=C269,AA270=AA269+1),IF(AC270=1,"",INDEX(DATAS,AA269+1)),INDEX(DATAS,AA269+1)),"")</f>
        <v/>
      </c>
    </row>
    <row r="270" customFormat="false" ht="15" hidden="false" customHeight="false" outlineLevel="0" collapsed="false">
      <c r="A270" s="51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46" t="s">
        <v>383</v>
      </c>
      <c r="G270" s="0" t="n">
        <v>32.1</v>
      </c>
      <c r="H270" s="0" t="n">
        <v>41</v>
      </c>
      <c r="I270" s="46" t="s">
        <v>189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51" t="n">
        <v>46268</v>
      </c>
      <c r="X270" s="46" t="n">
        <f aca="false">IF(I270="Male",0,1)</f>
        <v>1</v>
      </c>
      <c r="Y270" s="46" t="n">
        <f aca="false">IF(OR(I270="DNB",I270="Dry DNB"),1,0)</f>
        <v>0</v>
      </c>
      <c r="Z270" s="46" t="n">
        <f aca="false">IF(ISNUMBER(W270),A270-W270,"")</f>
        <v>41</v>
      </c>
      <c r="AA270" s="46" t="n">
        <f aca="false">MATCH(A270,DATAS,0)</f>
        <v>1</v>
      </c>
      <c r="AB270" s="46" t="n">
        <f aca="false">IF(AND(E270&gt;0,OR(AND(B270&gt;=1,B270&lt;=6),B270=10)),1,0)</f>
        <v>1</v>
      </c>
      <c r="AC270" s="46" t="n">
        <f aca="false">IF(AND(E270&gt;0,B270=10),1,0)</f>
        <v>0</v>
      </c>
      <c r="AD270" s="0" t="str">
        <f aca="false">IF(AND(C269=C270,AA269=AA270-1),AB269,"")</f>
        <v/>
      </c>
      <c r="AE270" s="0" t="str">
        <f aca="false">IF(AND(C269=C270,AA269=AA270-1),AC269,"")</f>
        <v/>
      </c>
      <c r="AF270" s="0" t="str">
        <f aca="false">IF(AA270=1,"",IF(AND(AB270=1,AD270&lt;&gt;1),1,0))</f>
        <v/>
      </c>
      <c r="AG270" s="0" t="str">
        <f aca="false">IF(AA270=1,"",IF(AND(AC270=1,AE270&lt;&gt;1),1,0))</f>
        <v/>
      </c>
      <c r="AH270" s="51" t="str">
        <f aca="false">IF(AND(E270&gt;0,AA270&lt;1,NOT(AND(C271=C270,AA271=AA270+1))),INDEX(DATAS,AA270+1),"")</f>
        <v/>
      </c>
      <c r="AI270" s="51" t="str">
        <f aca="false">IF(AND(AC270=1,AA270&lt;1),IF(AND(C271=C270,AA271=AA270+1),IF(AC271=1,"",INDEX(DATAS,AA270+1)),INDEX(DATAS,AA270+1)),"")</f>
        <v/>
      </c>
    </row>
    <row r="271" customFormat="false" ht="15" hidden="false" customHeight="false" outlineLevel="0" collapsed="false">
      <c r="A271" s="51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46" t="s">
        <v>384</v>
      </c>
      <c r="G271" s="0" t="n">
        <v>43</v>
      </c>
      <c r="H271" s="0" t="n">
        <v>42</v>
      </c>
      <c r="I271" s="46" t="s">
        <v>181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51" t="n">
        <v>46282</v>
      </c>
      <c r="X271" s="46" t="n">
        <f aca="false">IF(I271="Male",0,1)</f>
        <v>1</v>
      </c>
      <c r="Y271" s="46" t="n">
        <f aca="false">IF(OR(I271="DNB",I271="Dry DNB"),1,0)</f>
        <v>0</v>
      </c>
      <c r="Z271" s="46" t="n">
        <f aca="false">IF(ISNUMBER(W271),A271-W271,"")</f>
        <v>27</v>
      </c>
      <c r="AA271" s="46" t="n">
        <f aca="false">MATCH(A271,DATAS,0)</f>
        <v>1</v>
      </c>
      <c r="AB271" s="46" t="n">
        <f aca="false">IF(AND(E271&gt;0,OR(AND(B271&gt;=1,B271&lt;=6),B271=10)),1,0)</f>
        <v>1</v>
      </c>
      <c r="AC271" s="46" t="n">
        <f aca="false">IF(AND(E271&gt;0,B271=10),1,0)</f>
        <v>0</v>
      </c>
      <c r="AD271" s="0" t="str">
        <f aca="false">IF(AND(C270=C271,AA270=AA271-1),AB270,"")</f>
        <v/>
      </c>
      <c r="AE271" s="0" t="str">
        <f aca="false">IF(AND(C270=C271,AA270=AA271-1),AC270,"")</f>
        <v/>
      </c>
      <c r="AF271" s="0" t="str">
        <f aca="false">IF(AA271=1,"",IF(AND(AB271=1,AD271&lt;&gt;1),1,0))</f>
        <v/>
      </c>
      <c r="AG271" s="0" t="str">
        <f aca="false">IF(AA271=1,"",IF(AND(AC271=1,AE271&lt;&gt;1),1,0))</f>
        <v/>
      </c>
      <c r="AH271" s="51" t="str">
        <f aca="false">IF(AND(E271&gt;0,AA271&lt;1,NOT(AND(C272=C271,AA272=AA271+1))),INDEX(DATAS,AA271+1),"")</f>
        <v/>
      </c>
      <c r="AI271" s="51" t="str">
        <f aca="false">IF(AND(AC271=1,AA271&lt;1),IF(AND(C272=C271,AA272=AA271+1),IF(AC272=1,"",INDEX(DATAS,AA271+1)),INDEX(DATAS,AA271+1)),"")</f>
        <v/>
      </c>
    </row>
    <row r="272" customFormat="false" ht="15" hidden="false" customHeight="false" outlineLevel="0" collapsed="false">
      <c r="A272" s="51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46" t="s">
        <v>385</v>
      </c>
      <c r="G272" s="0" t="n">
        <v>38.8</v>
      </c>
      <c r="H272" s="0" t="n">
        <v>46</v>
      </c>
      <c r="I272" s="46" t="s">
        <v>181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51" t="n">
        <v>46296</v>
      </c>
      <c r="X272" s="46" t="n">
        <f aca="false">IF(I272="Male",0,1)</f>
        <v>1</v>
      </c>
      <c r="Y272" s="46" t="n">
        <f aca="false">IF(OR(I272="DNB",I272="Dry DNB"),1,0)</f>
        <v>0</v>
      </c>
      <c r="Z272" s="46" t="n">
        <f aca="false">IF(ISNUMBER(W272),A272-W272,"")</f>
        <v>13</v>
      </c>
      <c r="AA272" s="46" t="n">
        <f aca="false">MATCH(A272,DATAS,0)</f>
        <v>1</v>
      </c>
      <c r="AB272" s="46" t="n">
        <f aca="false">IF(AND(E272&gt;0,OR(AND(B272&gt;=1,B272&lt;=6),B272=10)),1,0)</f>
        <v>1</v>
      </c>
      <c r="AC272" s="46" t="n">
        <f aca="false">IF(AND(E272&gt;0,B272=10),1,0)</f>
        <v>0</v>
      </c>
      <c r="AD272" s="0" t="str">
        <f aca="false">IF(AND(C271=C272,AA271=AA272-1),AB271,"")</f>
        <v/>
      </c>
      <c r="AE272" s="0" t="str">
        <f aca="false">IF(AND(C271=C272,AA271=AA272-1),AC271,"")</f>
        <v/>
      </c>
      <c r="AF272" s="0" t="str">
        <f aca="false">IF(AA272=1,"",IF(AND(AB272=1,AD272&lt;&gt;1),1,0))</f>
        <v/>
      </c>
      <c r="AG272" s="0" t="str">
        <f aca="false">IF(AA272=1,"",IF(AND(AC272=1,AE272&lt;&gt;1),1,0))</f>
        <v/>
      </c>
      <c r="AH272" s="51" t="str">
        <f aca="false">IF(AND(E272&gt;0,AA272&lt;1,NOT(AND(C273=C272,AA273=AA272+1))),INDEX(DATAS,AA272+1),"")</f>
        <v/>
      </c>
      <c r="AI272" s="51" t="str">
        <f aca="false">IF(AND(AC272=1,AA272&lt;1),IF(AND(C273=C272,AA273=AA272+1),IF(AC273=1,"",INDEX(DATAS,AA272+1)),INDEX(DATAS,AA272+1)),"")</f>
        <v/>
      </c>
    </row>
    <row r="273" customFormat="false" ht="15" hidden="false" customHeight="false" outlineLevel="0" collapsed="false">
      <c r="A273" s="51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46" t="s">
        <v>385</v>
      </c>
      <c r="G273" s="0" t="n">
        <v>50.9</v>
      </c>
      <c r="H273" s="0" t="n">
        <v>46</v>
      </c>
      <c r="I273" s="46" t="s">
        <v>181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51" t="n">
        <v>46282</v>
      </c>
      <c r="X273" s="46" t="n">
        <f aca="false">IF(I273="Male",0,1)</f>
        <v>1</v>
      </c>
      <c r="Y273" s="46" t="n">
        <f aca="false">IF(OR(I273="DNB",I273="Dry DNB"),1,0)</f>
        <v>0</v>
      </c>
      <c r="Z273" s="46" t="n">
        <f aca="false">IF(ISNUMBER(W273),A273-W273,"")</f>
        <v>27</v>
      </c>
      <c r="AA273" s="46" t="n">
        <f aca="false">MATCH(A273,DATAS,0)</f>
        <v>1</v>
      </c>
      <c r="AB273" s="46" t="n">
        <f aca="false">IF(AND(E273&gt;0,OR(AND(B273&gt;=1,B273&lt;=6),B273=10)),1,0)</f>
        <v>1</v>
      </c>
      <c r="AC273" s="46" t="n">
        <f aca="false">IF(AND(E273&gt;0,B273=10),1,0)</f>
        <v>0</v>
      </c>
      <c r="AD273" s="0" t="str">
        <f aca="false">IF(AND(C272=C273,AA272=AA273-1),AB272,"")</f>
        <v/>
      </c>
      <c r="AE273" s="0" t="str">
        <f aca="false">IF(AND(C272=C273,AA272=AA273-1),AC272,"")</f>
        <v/>
      </c>
      <c r="AF273" s="0" t="str">
        <f aca="false">IF(AA273=1,"",IF(AND(AB273=1,AD273&lt;&gt;1),1,0))</f>
        <v/>
      </c>
      <c r="AG273" s="0" t="str">
        <f aca="false">IF(AA273=1,"",IF(AND(AC273=1,AE273&lt;&gt;1),1,0))</f>
        <v/>
      </c>
      <c r="AH273" s="51" t="str">
        <f aca="false">IF(AND(E273&gt;0,AA273&lt;1,NOT(AND(C274=C273,AA274=AA273+1))),INDEX(DATAS,AA273+1),"")</f>
        <v/>
      </c>
      <c r="AI273" s="51" t="str">
        <f aca="false">IF(AND(AC273=1,AA273&lt;1),IF(AND(C274=C273,AA274=AA273+1),IF(AC274=1,"",INDEX(DATAS,AA273+1)),INDEX(DATAS,AA273+1)),"")</f>
        <v/>
      </c>
    </row>
    <row r="274" customFormat="false" ht="15" hidden="false" customHeight="false" outlineLevel="0" collapsed="false">
      <c r="A274" s="51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46" t="s">
        <v>385</v>
      </c>
      <c r="H274" s="0" t="n">
        <v>14</v>
      </c>
      <c r="I274" s="46" t="s">
        <v>189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51" t="n">
        <v>46205</v>
      </c>
      <c r="X274" s="46" t="n">
        <f aca="false">IF(I274="Male",0,1)</f>
        <v>1</v>
      </c>
      <c r="Y274" s="46" t="n">
        <f aca="false">IF(OR(I274="DNB",I274="Dry DNB"),1,0)</f>
        <v>0</v>
      </c>
      <c r="Z274" s="46" t="n">
        <f aca="false">IF(ISNUMBER(W274),A274-W274,"")</f>
        <v>104</v>
      </c>
      <c r="AA274" s="46" t="n">
        <f aca="false">MATCH(A274,DATAS,0)</f>
        <v>1</v>
      </c>
      <c r="AB274" s="46" t="n">
        <f aca="false">IF(AND(E274&gt;0,OR(AND(B274&gt;=1,B274&lt;=6),B274=10)),1,0)</f>
        <v>1</v>
      </c>
      <c r="AC274" s="46" t="n">
        <f aca="false">IF(AND(E274&gt;0,B274=10),1,0)</f>
        <v>1</v>
      </c>
      <c r="AD274" s="0" t="str">
        <f aca="false">IF(AND(C273=C274,AA273=AA274-1),AB273,"")</f>
        <v/>
      </c>
      <c r="AE274" s="0" t="str">
        <f aca="false">IF(AND(C273=C274,AA273=AA274-1),AC273,"")</f>
        <v/>
      </c>
      <c r="AF274" s="0" t="str">
        <f aca="false">IF(AA274=1,"",IF(AND(AB274=1,AD274&lt;&gt;1),1,0))</f>
        <v/>
      </c>
      <c r="AG274" s="0" t="str">
        <f aca="false">IF(AA274=1,"",IF(AND(AC274=1,AE274&lt;&gt;1),1,0))</f>
        <v/>
      </c>
      <c r="AH274" s="51" t="str">
        <f aca="false">IF(AND(E274&gt;0,AA274&lt;1,NOT(AND(C275=C274,AA275=AA274+1))),INDEX(DATAS,AA274+1),"")</f>
        <v/>
      </c>
      <c r="AI274" s="51" t="str">
        <f aca="false">IF(AND(AC274=1,AA274&lt;1),IF(AND(C275=C274,AA275=AA274+1),IF(AC275=1,"",INDEX(DATAS,AA274+1)),INDEX(DATAS,AA274+1)),"")</f>
        <v/>
      </c>
    </row>
    <row r="275" customFormat="false" ht="15" hidden="false" customHeight="false" outlineLevel="0" collapsed="false">
      <c r="A275" s="51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46" t="s">
        <v>386</v>
      </c>
      <c r="G275" s="0" t="n">
        <v>26.3</v>
      </c>
      <c r="H275" s="0" t="n">
        <v>22</v>
      </c>
      <c r="I275" s="46" t="s">
        <v>152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51" t="n">
        <v>46226</v>
      </c>
      <c r="X275" s="46" t="n">
        <f aca="false">IF(I275="Male",0,1)</f>
        <v>1</v>
      </c>
      <c r="Y275" s="46" t="n">
        <f aca="false">IF(OR(I275="DNB",I275="Dry DNB"),1,0)</f>
        <v>0</v>
      </c>
      <c r="Z275" s="46" t="n">
        <f aca="false">IF(ISNUMBER(W275),A275-W275,"")</f>
        <v>83</v>
      </c>
      <c r="AA275" s="46" t="n">
        <f aca="false">MATCH(A275,DATAS,0)</f>
        <v>1</v>
      </c>
      <c r="AB275" s="46" t="n">
        <f aca="false">IF(AND(E275&gt;0,OR(AND(B275&gt;=1,B275&lt;=6),B275=10)),1,0)</f>
        <v>1</v>
      </c>
      <c r="AC275" s="46" t="n">
        <f aca="false">IF(AND(E275&gt;0,B275=10),1,0)</f>
        <v>0</v>
      </c>
      <c r="AD275" s="0" t="str">
        <f aca="false">IF(AND(C274=C275,AA274=AA275-1),AB274,"")</f>
        <v/>
      </c>
      <c r="AE275" s="0" t="str">
        <f aca="false">IF(AND(C274=C275,AA274=AA275-1),AC274,"")</f>
        <v/>
      </c>
      <c r="AF275" s="0" t="str">
        <f aca="false">IF(AA275=1,"",IF(AND(AB275=1,AD275&lt;&gt;1),1,0))</f>
        <v/>
      </c>
      <c r="AG275" s="0" t="str">
        <f aca="false">IF(AA275=1,"",IF(AND(AC275=1,AE275&lt;&gt;1),1,0))</f>
        <v/>
      </c>
      <c r="AH275" s="51" t="str">
        <f aca="false">IF(AND(E275&gt;0,AA275&lt;1,NOT(AND(C276=C275,AA276=AA275+1))),INDEX(DATAS,AA275+1),"")</f>
        <v/>
      </c>
      <c r="AI275" s="51" t="str">
        <f aca="false">IF(AND(AC275=1,AA275&lt;1),IF(AND(C276=C275,AA276=AA275+1),IF(AC276=1,"",INDEX(DATAS,AA275+1)),INDEX(DATAS,AA275+1)),"")</f>
        <v/>
      </c>
    </row>
    <row r="276" customFormat="false" ht="15" hidden="false" customHeight="false" outlineLevel="0" collapsed="false">
      <c r="A276" s="51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46" t="s">
        <v>387</v>
      </c>
      <c r="G276" s="0" t="n">
        <v>26.5</v>
      </c>
      <c r="H276" s="0" t="n">
        <v>25</v>
      </c>
      <c r="I276" s="46" t="s">
        <v>181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51" t="n">
        <v>46282</v>
      </c>
      <c r="X276" s="46" t="n">
        <f aca="false">IF(I276="Male",0,1)</f>
        <v>1</v>
      </c>
      <c r="Y276" s="46" t="n">
        <f aca="false">IF(OR(I276="DNB",I276="Dry DNB"),1,0)</f>
        <v>0</v>
      </c>
      <c r="Z276" s="46" t="n">
        <f aca="false">IF(ISNUMBER(W276),A276-W276,"")</f>
        <v>27</v>
      </c>
      <c r="AA276" s="46" t="n">
        <f aca="false">MATCH(A276,DATAS,0)</f>
        <v>1</v>
      </c>
      <c r="AB276" s="46" t="n">
        <f aca="false">IF(AND(E276&gt;0,OR(AND(B276&gt;=1,B276&lt;=6),B276=10)),1,0)</f>
        <v>1</v>
      </c>
      <c r="AC276" s="46" t="n">
        <f aca="false">IF(AND(E276&gt;0,B276=10),1,0)</f>
        <v>1</v>
      </c>
      <c r="AD276" s="0" t="str">
        <f aca="false">IF(AND(C275=C276,AA275=AA276-1),AB275,"")</f>
        <v/>
      </c>
      <c r="AE276" s="0" t="str">
        <f aca="false">IF(AND(C275=C276,AA275=AA276-1),AC275,"")</f>
        <v/>
      </c>
      <c r="AF276" s="0" t="str">
        <f aca="false">IF(AA276=1,"",IF(AND(AB276=1,AD276&lt;&gt;1),1,0))</f>
        <v/>
      </c>
      <c r="AG276" s="0" t="str">
        <f aca="false">IF(AA276=1,"",IF(AND(AC276=1,AE276&lt;&gt;1),1,0))</f>
        <v/>
      </c>
      <c r="AH276" s="51" t="str">
        <f aca="false">IF(AND(E276&gt;0,AA276&lt;1,NOT(AND(C277=C276,AA277=AA276+1))),INDEX(DATAS,AA276+1),"")</f>
        <v/>
      </c>
      <c r="AI276" s="51" t="str">
        <f aca="false">IF(AND(AC276=1,AA276&lt;1),IF(AND(C277=C276,AA277=AA276+1),IF(AC277=1,"",INDEX(DATAS,AA276+1)),INDEX(DATAS,AA276+1)),"")</f>
        <v/>
      </c>
    </row>
    <row r="277" customFormat="false" ht="15" hidden="false" customHeight="false" outlineLevel="0" collapsed="false">
      <c r="A277" s="51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46" t="s">
        <v>387</v>
      </c>
      <c r="G277" s="0" t="n">
        <v>19.8</v>
      </c>
      <c r="H277" s="0" t="n">
        <v>23</v>
      </c>
      <c r="I277" s="46" t="s">
        <v>189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51" t="n">
        <v>46261</v>
      </c>
      <c r="X277" s="46" t="n">
        <f aca="false">IF(I277="Male",0,1)</f>
        <v>1</v>
      </c>
      <c r="Y277" s="46" t="n">
        <f aca="false">IF(OR(I277="DNB",I277="Dry DNB"),1,0)</f>
        <v>0</v>
      </c>
      <c r="Z277" s="46" t="n">
        <f aca="false">IF(ISNUMBER(W277),A277-W277,"")</f>
        <v>48</v>
      </c>
      <c r="AA277" s="46" t="n">
        <f aca="false">MATCH(A277,DATAS,0)</f>
        <v>1</v>
      </c>
      <c r="AB277" s="46" t="n">
        <f aca="false">IF(AND(E277&gt;0,OR(AND(B277&gt;=1,B277&lt;=6),B277=10)),1,0)</f>
        <v>1</v>
      </c>
      <c r="AC277" s="46" t="n">
        <f aca="false">IF(AND(E277&gt;0,B277=10),1,0)</f>
        <v>0</v>
      </c>
      <c r="AD277" s="0" t="str">
        <f aca="false">IF(AND(C276=C277,AA276=AA277-1),AB276,"")</f>
        <v/>
      </c>
      <c r="AE277" s="0" t="str">
        <f aca="false">IF(AND(C276=C277,AA276=AA277-1),AC276,"")</f>
        <v/>
      </c>
      <c r="AF277" s="0" t="str">
        <f aca="false">IF(AA277=1,"",IF(AND(AB277=1,AD277&lt;&gt;1),1,0))</f>
        <v/>
      </c>
      <c r="AG277" s="0" t="str">
        <f aca="false">IF(AA277=1,"",IF(AND(AC277=1,AE277&lt;&gt;1),1,0))</f>
        <v/>
      </c>
      <c r="AH277" s="51" t="str">
        <f aca="false">IF(AND(E277&gt;0,AA277&lt;1,NOT(AND(C278=C277,AA278=AA277+1))),INDEX(DATAS,AA277+1),"")</f>
        <v/>
      </c>
      <c r="AI277" s="51" t="str">
        <f aca="false">IF(AND(AC277=1,AA277&lt;1),IF(AND(C278=C277,AA278=AA277+1),IF(AC278=1,"",INDEX(DATAS,AA277+1)),INDEX(DATAS,AA277+1)),"")</f>
        <v/>
      </c>
    </row>
    <row r="278" customFormat="false" ht="15" hidden="false" customHeight="false" outlineLevel="0" collapsed="false">
      <c r="A278" s="51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46" t="s">
        <v>159</v>
      </c>
      <c r="G278" s="0" t="n">
        <v>30.8</v>
      </c>
      <c r="H278" s="0" t="n">
        <v>31</v>
      </c>
      <c r="I278" s="46" t="s">
        <v>152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51" t="n">
        <v>46100</v>
      </c>
      <c r="X278" s="46" t="n">
        <f aca="false">IF(I278="Male",0,1)</f>
        <v>1</v>
      </c>
      <c r="Y278" s="46" t="n">
        <f aca="false">IF(OR(I278="DNB",I278="Dry DNB"),1,0)</f>
        <v>0</v>
      </c>
      <c r="Z278" s="46" t="n">
        <f aca="false">IF(ISNUMBER(W278),A278-W278,"")</f>
        <v>209</v>
      </c>
      <c r="AA278" s="46" t="n">
        <f aca="false">MATCH(A278,DATAS,0)</f>
        <v>1</v>
      </c>
      <c r="AB278" s="46" t="n">
        <f aca="false">IF(AND(E278&gt;0,OR(AND(B278&gt;=1,B278&lt;=6),B278=10)),1,0)</f>
        <v>1</v>
      </c>
      <c r="AC278" s="46" t="n">
        <f aca="false">IF(AND(E278&gt;0,B278=10),1,0)</f>
        <v>0</v>
      </c>
      <c r="AD278" s="0" t="str">
        <f aca="false">IF(AND(C277=C278,AA277=AA278-1),AB277,"")</f>
        <v/>
      </c>
      <c r="AE278" s="0" t="str">
        <f aca="false">IF(AND(C277=C278,AA277=AA278-1),AC277,"")</f>
        <v/>
      </c>
      <c r="AF278" s="0" t="str">
        <f aca="false">IF(AA278=1,"",IF(AND(AB278=1,AD278&lt;&gt;1),1,0))</f>
        <v/>
      </c>
      <c r="AG278" s="0" t="str">
        <f aca="false">IF(AA278=1,"",IF(AND(AC278=1,AE278&lt;&gt;1),1,0))</f>
        <v/>
      </c>
      <c r="AH278" s="51" t="str">
        <f aca="false">IF(AND(E278&gt;0,AA278&lt;1,NOT(AND(C279=C278,AA279=AA278+1))),INDEX(DATAS,AA278+1),"")</f>
        <v/>
      </c>
      <c r="AI278" s="51" t="str">
        <f aca="false">IF(AND(AC278=1,AA278&lt;1),IF(AND(C279=C278,AA279=AA278+1),IF(AC279=1,"",INDEX(DATAS,AA278+1)),INDEX(DATAS,AA278+1)),"")</f>
        <v/>
      </c>
    </row>
    <row r="279" customFormat="false" ht="15" hidden="false" customHeight="false" outlineLevel="0" collapsed="false">
      <c r="A279" s="51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46" t="s">
        <v>388</v>
      </c>
      <c r="G279" s="0" t="n">
        <v>31.3</v>
      </c>
      <c r="H279" s="0" t="n">
        <v>30</v>
      </c>
      <c r="I279" s="46" t="s">
        <v>152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51" t="n">
        <v>46149</v>
      </c>
      <c r="X279" s="46" t="n">
        <f aca="false">IF(I279="Male",0,1)</f>
        <v>1</v>
      </c>
      <c r="Y279" s="46" t="n">
        <f aca="false">IF(OR(I279="DNB",I279="Dry DNB"),1,0)</f>
        <v>0</v>
      </c>
      <c r="Z279" s="46" t="n">
        <f aca="false">IF(ISNUMBER(W279),A279-W279,"")</f>
        <v>160</v>
      </c>
      <c r="AA279" s="46" t="n">
        <f aca="false">MATCH(A279,DATAS,0)</f>
        <v>1</v>
      </c>
      <c r="AB279" s="46" t="n">
        <f aca="false">IF(AND(E279&gt;0,OR(AND(B279&gt;=1,B279&lt;=6),B279=10)),1,0)</f>
        <v>1</v>
      </c>
      <c r="AC279" s="46" t="n">
        <f aca="false">IF(AND(E279&gt;0,B279=10),1,0)</f>
        <v>0</v>
      </c>
      <c r="AD279" s="0" t="str">
        <f aca="false">IF(AND(C278=C279,AA278=AA279-1),AB278,"")</f>
        <v/>
      </c>
      <c r="AE279" s="0" t="str">
        <f aca="false">IF(AND(C278=C279,AA278=AA279-1),AC278,"")</f>
        <v/>
      </c>
      <c r="AF279" s="0" t="str">
        <f aca="false">IF(AA279=1,"",IF(AND(AB279=1,AD279&lt;&gt;1),1,0))</f>
        <v/>
      </c>
      <c r="AG279" s="0" t="str">
        <f aca="false">IF(AA279=1,"",IF(AND(AC279=1,AE279&lt;&gt;1),1,0))</f>
        <v/>
      </c>
      <c r="AH279" s="51" t="str">
        <f aca="false">IF(AND(E279&gt;0,AA279&lt;1,NOT(AND(C280=C279,AA280=AA279+1))),INDEX(DATAS,AA279+1),"")</f>
        <v/>
      </c>
      <c r="AI279" s="51" t="str">
        <f aca="false">IF(AND(AC279=1,AA279&lt;1),IF(AND(C280=C279,AA280=AA279+1),IF(AC280=1,"",INDEX(DATAS,AA279+1)),INDEX(DATAS,AA279+1)),"")</f>
        <v/>
      </c>
    </row>
    <row r="280" customFormat="false" ht="15" hidden="false" customHeight="false" outlineLevel="0" collapsed="false">
      <c r="A280" s="51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46" t="s">
        <v>388</v>
      </c>
      <c r="I280" s="46" t="s">
        <v>161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X280" s="46" t="n">
        <f aca="false">IF(I280="Male",0,1)</f>
        <v>1</v>
      </c>
      <c r="Y280" s="46" t="n">
        <f aca="false">IF(OR(I280="DNB",I280="Dry DNB"),1,0)</f>
        <v>0</v>
      </c>
      <c r="Z280" s="0" t="str">
        <f aca="false">IF(ISNUMBER(W280),A280-W280,"")</f>
        <v/>
      </c>
      <c r="AA280" s="46" t="n">
        <f aca="false">MATCH(A280,DATAS,0)</f>
        <v>1</v>
      </c>
      <c r="AB280" s="46" t="n">
        <f aca="false">IF(AND(E280&gt;0,OR(AND(B280&gt;=1,B280&lt;=6),B280=10)),1,0)</f>
        <v>1</v>
      </c>
      <c r="AC280" s="46" t="n">
        <f aca="false">IF(AND(E280&gt;0,B280=10),1,0)</f>
        <v>0</v>
      </c>
      <c r="AD280" s="0" t="str">
        <f aca="false">IF(AND(C279=C280,AA279=AA280-1),AB279,"")</f>
        <v/>
      </c>
      <c r="AE280" s="0" t="str">
        <f aca="false">IF(AND(C279=C280,AA279=AA280-1),AC279,"")</f>
        <v/>
      </c>
      <c r="AF280" s="0" t="str">
        <f aca="false">IF(AA280=1,"",IF(AND(AB280=1,AD280&lt;&gt;1),1,0))</f>
        <v/>
      </c>
      <c r="AG280" s="0" t="str">
        <f aca="false">IF(AA280=1,"",IF(AND(AC280=1,AE280&lt;&gt;1),1,0))</f>
        <v/>
      </c>
      <c r="AH280" s="51" t="str">
        <f aca="false">IF(AND(E280&gt;0,AA280&lt;1,NOT(AND(C281=C280,AA281=AA280+1))),INDEX(DATAS,AA280+1),"")</f>
        <v/>
      </c>
      <c r="AI280" s="51" t="str">
        <f aca="false">IF(AND(AC280=1,AA280&lt;1),IF(AND(C281=C280,AA281=AA280+1),IF(AC281=1,"",INDEX(DATAS,AA280+1)),INDEX(DATAS,AA280+1)),"")</f>
        <v/>
      </c>
    </row>
    <row r="281" customFormat="false" ht="15" hidden="false" customHeight="false" outlineLevel="0" collapsed="false">
      <c r="A281" s="51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46" t="s">
        <v>389</v>
      </c>
      <c r="G281" s="0" t="n">
        <v>24.2</v>
      </c>
      <c r="H281" s="0" t="n">
        <v>18</v>
      </c>
      <c r="I281" s="46" t="s">
        <v>152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51" t="n">
        <v>46212</v>
      </c>
      <c r="X281" s="46" t="n">
        <f aca="false">IF(I281="Male",0,1)</f>
        <v>1</v>
      </c>
      <c r="Y281" s="46" t="n">
        <f aca="false">IF(OR(I281="DNB",I281="Dry DNB"),1,0)</f>
        <v>0</v>
      </c>
      <c r="Z281" s="46" t="n">
        <f aca="false">IF(ISNUMBER(W281),A281-W281,"")</f>
        <v>97</v>
      </c>
      <c r="AA281" s="46" t="n">
        <f aca="false">MATCH(A281,DATAS,0)</f>
        <v>1</v>
      </c>
      <c r="AB281" s="46" t="n">
        <f aca="false">IF(AND(E281&gt;0,OR(AND(B281&gt;=1,B281&lt;=6),B281=10)),1,0)</f>
        <v>1</v>
      </c>
      <c r="AC281" s="46" t="n">
        <f aca="false">IF(AND(E281&gt;0,B281=10),1,0)</f>
        <v>0</v>
      </c>
      <c r="AD281" s="0" t="str">
        <f aca="false">IF(AND(C280=C281,AA280=AA281-1),AB280,"")</f>
        <v/>
      </c>
      <c r="AE281" s="0" t="str">
        <f aca="false">IF(AND(C280=C281,AA280=AA281-1),AC280,"")</f>
        <v/>
      </c>
      <c r="AF281" s="0" t="str">
        <f aca="false">IF(AA281=1,"",IF(AND(AB281=1,AD281&lt;&gt;1),1,0))</f>
        <v/>
      </c>
      <c r="AG281" s="0" t="str">
        <f aca="false">IF(AA281=1,"",IF(AND(AC281=1,AE281&lt;&gt;1),1,0))</f>
        <v/>
      </c>
      <c r="AH281" s="51" t="str">
        <f aca="false">IF(AND(E281&gt;0,AA281&lt;1,NOT(AND(C282=C281,AA282=AA281+1))),INDEX(DATAS,AA281+1),"")</f>
        <v/>
      </c>
      <c r="AI281" s="51" t="str">
        <f aca="false">IF(AND(AC281=1,AA281&lt;1),IF(AND(C282=C281,AA282=AA281+1),IF(AC282=1,"",INDEX(DATAS,AA281+1)),INDEX(DATAS,AA281+1)),"")</f>
        <v/>
      </c>
    </row>
    <row r="282" customFormat="false" ht="15" hidden="false" customHeight="false" outlineLevel="0" collapsed="false">
      <c r="A282" s="51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46" t="s">
        <v>390</v>
      </c>
      <c r="G282" s="0" t="n">
        <v>46.4</v>
      </c>
      <c r="H282" s="0" t="n">
        <v>38</v>
      </c>
      <c r="I282" s="46" t="s">
        <v>161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X282" s="46" t="n">
        <f aca="false">IF(I282="Male",0,1)</f>
        <v>1</v>
      </c>
      <c r="Y282" s="46" t="n">
        <f aca="false">IF(OR(I282="DNB",I282="Dry DNB"),1,0)</f>
        <v>0</v>
      </c>
      <c r="Z282" s="0" t="str">
        <f aca="false">IF(ISNUMBER(W282),A282-W282,"")</f>
        <v/>
      </c>
      <c r="AA282" s="46" t="n">
        <f aca="false">MATCH(A282,DATAS,0)</f>
        <v>1</v>
      </c>
      <c r="AB282" s="46" t="n">
        <f aca="false">IF(AND(E282&gt;0,OR(AND(B282&gt;=1,B282&lt;=6),B282=10)),1,0)</f>
        <v>1</v>
      </c>
      <c r="AC282" s="46" t="n">
        <f aca="false">IF(AND(E282&gt;0,B282=10),1,0)</f>
        <v>0</v>
      </c>
      <c r="AD282" s="0" t="str">
        <f aca="false">IF(AND(C281=C282,AA281=AA282-1),AB281,"")</f>
        <v/>
      </c>
      <c r="AE282" s="0" t="str">
        <f aca="false">IF(AND(C281=C282,AA281=AA282-1),AC281,"")</f>
        <v/>
      </c>
      <c r="AF282" s="0" t="str">
        <f aca="false">IF(AA282=1,"",IF(AND(AB282=1,AD282&lt;&gt;1),1,0))</f>
        <v/>
      </c>
      <c r="AG282" s="0" t="str">
        <f aca="false">IF(AA282=1,"",IF(AND(AC282=1,AE282&lt;&gt;1),1,0))</f>
        <v/>
      </c>
      <c r="AH282" s="51" t="str">
        <f aca="false">IF(AND(E282&gt;0,AA282&lt;1,NOT(AND(C283=C282,AA283=AA282+1))),INDEX(DATAS,AA282+1),"")</f>
        <v/>
      </c>
      <c r="AI282" s="51" t="str">
        <f aca="false">IF(AND(AC282=1,AA282&lt;1),IF(AND(C283=C282,AA283=AA282+1),IF(AC283=1,"",INDEX(DATAS,AA282+1)),INDEX(DATAS,AA282+1)),"")</f>
        <v/>
      </c>
    </row>
    <row r="283" customFormat="false" ht="15" hidden="false" customHeight="false" outlineLevel="0" collapsed="false">
      <c r="A283" s="51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46" t="s">
        <v>390</v>
      </c>
      <c r="G283" s="0" t="n">
        <v>38.8</v>
      </c>
      <c r="H283" s="0" t="n">
        <v>38</v>
      </c>
      <c r="I283" s="46" t="s">
        <v>189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51" t="n">
        <v>46276</v>
      </c>
      <c r="X283" s="46" t="n">
        <f aca="false">IF(I283="Male",0,1)</f>
        <v>1</v>
      </c>
      <c r="Y283" s="46" t="n">
        <f aca="false">IF(OR(I283="DNB",I283="Dry DNB"),1,0)</f>
        <v>0</v>
      </c>
      <c r="Z283" s="46" t="n">
        <f aca="false">IF(ISNUMBER(W283),A283-W283,"")</f>
        <v>33</v>
      </c>
      <c r="AA283" s="46" t="n">
        <f aca="false">MATCH(A283,DATAS,0)</f>
        <v>1</v>
      </c>
      <c r="AB283" s="46" t="n">
        <f aca="false">IF(AND(E283&gt;0,OR(AND(B283&gt;=1,B283&lt;=6),B283=10)),1,0)</f>
        <v>1</v>
      </c>
      <c r="AC283" s="46" t="n">
        <f aca="false">IF(AND(E283&gt;0,B283=10),1,0)</f>
        <v>0</v>
      </c>
      <c r="AD283" s="0" t="str">
        <f aca="false">IF(AND(C282=C283,AA282=AA283-1),AB282,"")</f>
        <v/>
      </c>
      <c r="AE283" s="0" t="str">
        <f aca="false">IF(AND(C282=C283,AA282=AA283-1),AC282,"")</f>
        <v/>
      </c>
      <c r="AF283" s="0" t="str">
        <f aca="false">IF(AA283=1,"",IF(AND(AB283=1,AD283&lt;&gt;1),1,0))</f>
        <v/>
      </c>
      <c r="AG283" s="0" t="str">
        <f aca="false">IF(AA283=1,"",IF(AND(AC283=1,AE283&lt;&gt;1),1,0))</f>
        <v/>
      </c>
      <c r="AH283" s="51" t="str">
        <f aca="false">IF(AND(E283&gt;0,AA283&lt;1,NOT(AND(C284=C283,AA284=AA283+1))),INDEX(DATAS,AA283+1),"")</f>
        <v/>
      </c>
      <c r="AI283" s="51" t="str">
        <f aca="false">IF(AND(AC283=1,AA283&lt;1),IF(AND(C284=C283,AA284=AA283+1),IF(AC284=1,"",INDEX(DATAS,AA283+1)),INDEX(DATAS,AA283+1)),"")</f>
        <v/>
      </c>
    </row>
    <row r="284" customFormat="false" ht="15" hidden="false" customHeight="false" outlineLevel="0" collapsed="false">
      <c r="A284" s="51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46" t="s">
        <v>391</v>
      </c>
      <c r="G284" s="0" t="n">
        <v>30.8</v>
      </c>
      <c r="H284" s="0" t="n">
        <v>26</v>
      </c>
      <c r="I284" s="46" t="s">
        <v>152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51" t="n">
        <v>46128</v>
      </c>
      <c r="X284" s="46" t="n">
        <f aca="false">IF(I284="Male",0,1)</f>
        <v>1</v>
      </c>
      <c r="Y284" s="46" t="n">
        <f aca="false">IF(OR(I284="DNB",I284="Dry DNB"),1,0)</f>
        <v>0</v>
      </c>
      <c r="Z284" s="46" t="n">
        <f aca="false">IF(ISNUMBER(W284),A284-W284,"")</f>
        <v>181</v>
      </c>
      <c r="AA284" s="46" t="n">
        <f aca="false">MATCH(A284,DATAS,0)</f>
        <v>1</v>
      </c>
      <c r="AB284" s="46" t="n">
        <f aca="false">IF(AND(E284&gt;0,OR(AND(B284&gt;=1,B284&lt;=6),B284=10)),1,0)</f>
        <v>1</v>
      </c>
      <c r="AC284" s="46" t="n">
        <f aca="false">IF(AND(E284&gt;0,B284=10),1,0)</f>
        <v>0</v>
      </c>
      <c r="AD284" s="0" t="str">
        <f aca="false">IF(AND(C283=C284,AA283=AA284-1),AB283,"")</f>
        <v/>
      </c>
      <c r="AE284" s="0" t="str">
        <f aca="false">IF(AND(C283=C284,AA283=AA284-1),AC283,"")</f>
        <v/>
      </c>
      <c r="AF284" s="0" t="str">
        <f aca="false">IF(AA284=1,"",IF(AND(AB284=1,AD284&lt;&gt;1),1,0))</f>
        <v/>
      </c>
      <c r="AG284" s="0" t="str">
        <f aca="false">IF(AA284=1,"",IF(AND(AC284=1,AE284&lt;&gt;1),1,0))</f>
        <v/>
      </c>
      <c r="AH284" s="51" t="str">
        <f aca="false">IF(AND(E284&gt;0,AA284&lt;1,NOT(AND(C285=C284,AA285=AA284+1))),INDEX(DATAS,AA284+1),"")</f>
        <v/>
      </c>
      <c r="AI284" s="51" t="str">
        <f aca="false">IF(AND(AC284=1,AA284&lt;1),IF(AND(C285=C284,AA285=AA284+1),IF(AC285=1,"",INDEX(DATAS,AA284+1)),INDEX(DATAS,AA284+1)),"")</f>
        <v/>
      </c>
    </row>
    <row r="285" customFormat="false" ht="15" hidden="false" customHeight="false" outlineLevel="0" collapsed="false">
      <c r="A285" s="51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46" t="s">
        <v>392</v>
      </c>
      <c r="G285" s="0" t="n">
        <v>29</v>
      </c>
      <c r="H285" s="0" t="n">
        <v>29</v>
      </c>
      <c r="I285" s="46" t="s">
        <v>152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51" t="n">
        <v>46142</v>
      </c>
      <c r="X285" s="46" t="n">
        <f aca="false">IF(I285="Male",0,1)</f>
        <v>1</v>
      </c>
      <c r="Y285" s="46" t="n">
        <f aca="false">IF(OR(I285="DNB",I285="Dry DNB"),1,0)</f>
        <v>0</v>
      </c>
      <c r="Z285" s="46" t="n">
        <f aca="false">IF(ISNUMBER(W285),A285-W285,"")</f>
        <v>167</v>
      </c>
      <c r="AA285" s="46" t="n">
        <f aca="false">MATCH(A285,DATAS,0)</f>
        <v>1</v>
      </c>
      <c r="AB285" s="46" t="n">
        <f aca="false">IF(AND(E285&gt;0,OR(AND(B285&gt;=1,B285&lt;=6),B285=10)),1,0)</f>
        <v>1</v>
      </c>
      <c r="AC285" s="46" t="n">
        <f aca="false">IF(AND(E285&gt;0,B285=10),1,0)</f>
        <v>0</v>
      </c>
      <c r="AD285" s="0" t="str">
        <f aca="false">IF(AND(C284=C285,AA284=AA285-1),AB284,"")</f>
        <v/>
      </c>
      <c r="AE285" s="0" t="str">
        <f aca="false">IF(AND(C284=C285,AA284=AA285-1),AC284,"")</f>
        <v/>
      </c>
      <c r="AF285" s="0" t="str">
        <f aca="false">IF(AA285=1,"",IF(AND(AB285=1,AD285&lt;&gt;1),1,0))</f>
        <v/>
      </c>
      <c r="AG285" s="0" t="str">
        <f aca="false">IF(AA285=1,"",IF(AND(AC285=1,AE285&lt;&gt;1),1,0))</f>
        <v/>
      </c>
      <c r="AH285" s="51" t="str">
        <f aca="false">IF(AND(E285&gt;0,AA285&lt;1,NOT(AND(C286=C285,AA286=AA285+1))),INDEX(DATAS,AA285+1),"")</f>
        <v/>
      </c>
      <c r="AI285" s="51" t="str">
        <f aca="false">IF(AND(AC285=1,AA285&lt;1),IF(AND(C286=C285,AA286=AA285+1),IF(AC286=1,"",INDEX(DATAS,AA285+1)),INDEX(DATAS,AA285+1)),"")</f>
        <v/>
      </c>
    </row>
    <row r="286" customFormat="false" ht="15" hidden="false" customHeight="false" outlineLevel="0" collapsed="false">
      <c r="A286" s="51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46" t="s">
        <v>393</v>
      </c>
      <c r="H286" s="0" t="n">
        <v>18</v>
      </c>
      <c r="I286" s="46" t="s">
        <v>138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51" t="n">
        <v>46233</v>
      </c>
      <c r="X286" s="46" t="n">
        <f aca="false">IF(I286="Male",0,1)</f>
        <v>1</v>
      </c>
      <c r="Y286" s="46" t="n">
        <f aca="false">IF(OR(I286="DNB",I286="Dry DNB"),1,0)</f>
        <v>1</v>
      </c>
      <c r="Z286" s="46" t="n">
        <f aca="false">IF(ISNUMBER(W286),A286-W286,"")</f>
        <v>76</v>
      </c>
      <c r="AA286" s="46" t="n">
        <f aca="false">MATCH(A286,DATAS,0)</f>
        <v>1</v>
      </c>
      <c r="AB286" s="46" t="n">
        <f aca="false">IF(AND(E286&gt;0,OR(AND(B286&gt;=1,B286&lt;=6),B286=10)),1,0)</f>
        <v>1</v>
      </c>
      <c r="AC286" s="46" t="n">
        <f aca="false">IF(AND(E286&gt;0,B286=10),1,0)</f>
        <v>1</v>
      </c>
      <c r="AD286" s="0" t="str">
        <f aca="false">IF(AND(C285=C286,AA285=AA286-1),AB285,"")</f>
        <v/>
      </c>
      <c r="AE286" s="0" t="str">
        <f aca="false">IF(AND(C285=C286,AA285=AA286-1),AC285,"")</f>
        <v/>
      </c>
      <c r="AF286" s="0" t="str">
        <f aca="false">IF(AA286=1,"",IF(AND(AB286=1,AD286&lt;&gt;1),1,0))</f>
        <v/>
      </c>
      <c r="AG286" s="0" t="str">
        <f aca="false">IF(AA286=1,"",IF(AND(AC286=1,AE286&lt;&gt;1),1,0))</f>
        <v/>
      </c>
      <c r="AH286" s="51" t="str">
        <f aca="false">IF(AND(E286&gt;0,AA286&lt;1,NOT(AND(C287=C286,AA287=AA286+1))),INDEX(DATAS,AA286+1),"")</f>
        <v/>
      </c>
      <c r="AI286" s="51" t="str">
        <f aca="false">IF(AND(AC286=1,AA286&lt;1),IF(AND(C287=C286,AA287=AA286+1),IF(AC287=1,"",INDEX(DATAS,AA286+1)),INDEX(DATAS,AA286+1)),"")</f>
        <v/>
      </c>
    </row>
    <row r="287" customFormat="false" ht="15" hidden="false" customHeight="false" outlineLevel="0" collapsed="false">
      <c r="A287" s="51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46" t="s">
        <v>394</v>
      </c>
      <c r="G287" s="0" t="n">
        <v>31.5</v>
      </c>
      <c r="H287" s="0" t="n">
        <v>26</v>
      </c>
      <c r="I287" s="46" t="s">
        <v>152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51" t="n">
        <v>46212</v>
      </c>
      <c r="X287" s="46" t="n">
        <f aca="false">IF(I287="Male",0,1)</f>
        <v>1</v>
      </c>
      <c r="Y287" s="46" t="n">
        <f aca="false">IF(OR(I287="DNB",I287="Dry DNB"),1,0)</f>
        <v>0</v>
      </c>
      <c r="Z287" s="46" t="n">
        <f aca="false">IF(ISNUMBER(W287),A287-W287,"")</f>
        <v>97</v>
      </c>
      <c r="AA287" s="46" t="n">
        <f aca="false">MATCH(A287,DATAS,0)</f>
        <v>1</v>
      </c>
      <c r="AB287" s="46" t="n">
        <f aca="false">IF(AND(E287&gt;0,OR(AND(B287&gt;=1,B287&lt;=6),B287=10)),1,0)</f>
        <v>1</v>
      </c>
      <c r="AC287" s="46" t="n">
        <f aca="false">IF(AND(E287&gt;0,B287=10),1,0)</f>
        <v>0</v>
      </c>
      <c r="AD287" s="0" t="str">
        <f aca="false">IF(AND(C286=C287,AA286=AA287-1),AB286,"")</f>
        <v/>
      </c>
      <c r="AE287" s="0" t="str">
        <f aca="false">IF(AND(C286=C287,AA286=AA287-1),AC286,"")</f>
        <v/>
      </c>
      <c r="AF287" s="0" t="str">
        <f aca="false">IF(AA287=1,"",IF(AND(AB287=1,AD287&lt;&gt;1),1,0))</f>
        <v/>
      </c>
      <c r="AG287" s="0" t="str">
        <f aca="false">IF(AA287=1,"",IF(AND(AC287=1,AE287&lt;&gt;1),1,0))</f>
        <v/>
      </c>
      <c r="AH287" s="51" t="str">
        <f aca="false">IF(AND(E287&gt;0,AA287&lt;1,NOT(AND(C288=C287,AA288=AA287+1))),INDEX(DATAS,AA287+1),"")</f>
        <v/>
      </c>
      <c r="AI287" s="51" t="str">
        <f aca="false">IF(AND(AC287=1,AA287&lt;1),IF(AND(C288=C287,AA288=AA287+1),IF(AC288=1,"",INDEX(DATAS,AA287+1)),INDEX(DATAS,AA287+1)),"")</f>
        <v/>
      </c>
    </row>
    <row r="288" customFormat="false" ht="15" hidden="false" customHeight="false" outlineLevel="0" collapsed="false">
      <c r="A288" s="51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46" t="s">
        <v>394</v>
      </c>
      <c r="G288" s="0" t="n">
        <v>53.3</v>
      </c>
      <c r="H288" s="0" t="n">
        <v>52</v>
      </c>
      <c r="I288" s="46" t="s">
        <v>152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51" t="n">
        <v>46233</v>
      </c>
      <c r="X288" s="46" t="n">
        <f aca="false">IF(I288="Male",0,1)</f>
        <v>1</v>
      </c>
      <c r="Y288" s="46" t="n">
        <f aca="false">IF(OR(I288="DNB",I288="Dry DNB"),1,0)</f>
        <v>0</v>
      </c>
      <c r="Z288" s="46" t="n">
        <f aca="false">IF(ISNUMBER(W288),A288-W288,"")</f>
        <v>76</v>
      </c>
      <c r="AA288" s="46" t="n">
        <f aca="false">MATCH(A288,DATAS,0)</f>
        <v>1</v>
      </c>
      <c r="AB288" s="46" t="n">
        <f aca="false">IF(AND(E288&gt;0,OR(AND(B288&gt;=1,B288&lt;=6),B288=10)),1,0)</f>
        <v>1</v>
      </c>
      <c r="AC288" s="46" t="n">
        <f aca="false">IF(AND(E288&gt;0,B288=10),1,0)</f>
        <v>0</v>
      </c>
      <c r="AD288" s="0" t="str">
        <f aca="false">IF(AND(C287=C288,AA287=AA288-1),AB287,"")</f>
        <v/>
      </c>
      <c r="AE288" s="0" t="str">
        <f aca="false">IF(AND(C287=C288,AA287=AA288-1),AC287,"")</f>
        <v/>
      </c>
      <c r="AF288" s="0" t="str">
        <f aca="false">IF(AA288=1,"",IF(AND(AB288=1,AD288&lt;&gt;1),1,0))</f>
        <v/>
      </c>
      <c r="AG288" s="0" t="str">
        <f aca="false">IF(AA288=1,"",IF(AND(AC288=1,AE288&lt;&gt;1),1,0))</f>
        <v/>
      </c>
      <c r="AH288" s="51" t="str">
        <f aca="false">IF(AND(E288&gt;0,AA288&lt;1,NOT(AND(C289=C288,AA289=AA288+1))),INDEX(DATAS,AA288+1),"")</f>
        <v/>
      </c>
      <c r="AI288" s="51" t="str">
        <f aca="false">IF(AND(AC288=1,AA288&lt;1),IF(AND(C289=C288,AA289=AA288+1),IF(AC289=1,"",INDEX(DATAS,AA288+1)),INDEX(DATAS,AA288+1)),"")</f>
        <v/>
      </c>
    </row>
    <row r="289" customFormat="false" ht="15" hidden="false" customHeight="false" outlineLevel="0" collapsed="false">
      <c r="A289" s="51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46" t="s">
        <v>395</v>
      </c>
      <c r="G289" s="0" t="n">
        <v>31.1</v>
      </c>
      <c r="H289" s="0" t="n">
        <v>30</v>
      </c>
      <c r="I289" s="46" t="s">
        <v>152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51" t="n">
        <v>46128</v>
      </c>
      <c r="X289" s="46" t="n">
        <f aca="false">IF(I289="Male",0,1)</f>
        <v>1</v>
      </c>
      <c r="Y289" s="46" t="n">
        <f aca="false">IF(OR(I289="DNB",I289="Dry DNB"),1,0)</f>
        <v>0</v>
      </c>
      <c r="Z289" s="46" t="n">
        <f aca="false">IF(ISNUMBER(W289),A289-W289,"")</f>
        <v>181</v>
      </c>
      <c r="AA289" s="46" t="n">
        <f aca="false">MATCH(A289,DATAS,0)</f>
        <v>1</v>
      </c>
      <c r="AB289" s="46" t="n">
        <f aca="false">IF(AND(E289&gt;0,OR(AND(B289&gt;=1,B289&lt;=6),B289=10)),1,0)</f>
        <v>1</v>
      </c>
      <c r="AC289" s="46" t="n">
        <f aca="false">IF(AND(E289&gt;0,B289=10),1,0)</f>
        <v>0</v>
      </c>
      <c r="AD289" s="0" t="str">
        <f aca="false">IF(AND(C288=C289,AA288=AA289-1),AB288,"")</f>
        <v/>
      </c>
      <c r="AE289" s="0" t="str">
        <f aca="false">IF(AND(C288=C289,AA288=AA289-1),AC288,"")</f>
        <v/>
      </c>
      <c r="AF289" s="0" t="str">
        <f aca="false">IF(AA289=1,"",IF(AND(AB289=1,AD289&lt;&gt;1),1,0))</f>
        <v/>
      </c>
      <c r="AG289" s="0" t="str">
        <f aca="false">IF(AA289=1,"",IF(AND(AC289=1,AE289&lt;&gt;1),1,0))</f>
        <v/>
      </c>
      <c r="AH289" s="51" t="str">
        <f aca="false">IF(AND(E289&gt;0,AA289&lt;1,NOT(AND(C290=C289,AA290=AA289+1))),INDEX(DATAS,AA289+1),"")</f>
        <v/>
      </c>
      <c r="AI289" s="51" t="str">
        <f aca="false">IF(AND(AC289=1,AA289&lt;1),IF(AND(C290=C289,AA290=AA289+1),IF(AC290=1,"",INDEX(DATAS,AA289+1)),INDEX(DATAS,AA289+1)),"")</f>
        <v/>
      </c>
    </row>
    <row r="290" customFormat="false" ht="15" hidden="false" customHeight="false" outlineLevel="0" collapsed="false">
      <c r="A290" s="51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46" t="s">
        <v>395</v>
      </c>
      <c r="G290" s="0" t="n">
        <v>60.3</v>
      </c>
      <c r="H290" s="0" t="n">
        <v>58</v>
      </c>
      <c r="I290" s="46" t="s">
        <v>181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51" t="n">
        <v>46303</v>
      </c>
      <c r="X290" s="46" t="n">
        <f aca="false">IF(I290="Male",0,1)</f>
        <v>1</v>
      </c>
      <c r="Y290" s="46" t="n">
        <f aca="false">IF(OR(I290="DNB",I290="Dry DNB"),1,0)</f>
        <v>0</v>
      </c>
      <c r="Z290" s="46" t="n">
        <f aca="false">IF(ISNUMBER(W290),A290-W290,"")</f>
        <v>6</v>
      </c>
      <c r="AA290" s="46" t="n">
        <f aca="false">MATCH(A290,DATAS,0)</f>
        <v>1</v>
      </c>
      <c r="AB290" s="46" t="n">
        <f aca="false">IF(AND(E290&gt;0,OR(AND(B290&gt;=1,B290&lt;=6),B290=10)),1,0)</f>
        <v>1</v>
      </c>
      <c r="AC290" s="46" t="n">
        <f aca="false">IF(AND(E290&gt;0,B290=10),1,0)</f>
        <v>0</v>
      </c>
      <c r="AD290" s="0" t="str">
        <f aca="false">IF(AND(C289=C290,AA289=AA290-1),AB289,"")</f>
        <v/>
      </c>
      <c r="AE290" s="0" t="str">
        <f aca="false">IF(AND(C289=C290,AA289=AA290-1),AC289,"")</f>
        <v/>
      </c>
      <c r="AF290" s="0" t="str">
        <f aca="false">IF(AA290=1,"",IF(AND(AB290=1,AD290&lt;&gt;1),1,0))</f>
        <v/>
      </c>
      <c r="AG290" s="0" t="str">
        <f aca="false">IF(AA290=1,"",IF(AND(AC290=1,AE290&lt;&gt;1),1,0))</f>
        <v/>
      </c>
      <c r="AH290" s="51" t="str">
        <f aca="false">IF(AND(E290&gt;0,AA290&lt;1,NOT(AND(C291=C290,AA291=AA290+1))),INDEX(DATAS,AA290+1),"")</f>
        <v/>
      </c>
      <c r="AI290" s="51" t="str">
        <f aca="false">IF(AND(AC290=1,AA290&lt;1),IF(AND(C291=C290,AA291=AA290+1),IF(AC291=1,"",INDEX(DATAS,AA290+1)),INDEX(DATAS,AA290+1)),"")</f>
        <v/>
      </c>
    </row>
    <row r="291" customFormat="false" ht="15" hidden="false" customHeight="false" outlineLevel="0" collapsed="false">
      <c r="A291" s="51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46" t="s">
        <v>396</v>
      </c>
      <c r="G291" s="0" t="n">
        <v>50.3</v>
      </c>
      <c r="H291" s="0" t="n">
        <v>52</v>
      </c>
      <c r="I291" s="46" t="s">
        <v>152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51" t="n">
        <v>46254</v>
      </c>
      <c r="X291" s="46" t="n">
        <f aca="false">IF(I291="Male",0,1)</f>
        <v>1</v>
      </c>
      <c r="Y291" s="46" t="n">
        <f aca="false">IF(OR(I291="DNB",I291="Dry DNB"),1,0)</f>
        <v>0</v>
      </c>
      <c r="Z291" s="46" t="n">
        <f aca="false">IF(ISNUMBER(W291),A291-W291,"")</f>
        <v>55</v>
      </c>
      <c r="AA291" s="46" t="n">
        <f aca="false">MATCH(A291,DATAS,0)</f>
        <v>1</v>
      </c>
      <c r="AB291" s="46" t="n">
        <f aca="false">IF(AND(E291&gt;0,OR(AND(B291&gt;=1,B291&lt;=6),B291=10)),1,0)</f>
        <v>1</v>
      </c>
      <c r="AC291" s="46" t="n">
        <f aca="false">IF(AND(E291&gt;0,B291=10),1,0)</f>
        <v>0</v>
      </c>
      <c r="AD291" s="0" t="str">
        <f aca="false">IF(AND(C290=C291,AA290=AA291-1),AB290,"")</f>
        <v/>
      </c>
      <c r="AE291" s="0" t="str">
        <f aca="false">IF(AND(C290=C291,AA290=AA291-1),AC290,"")</f>
        <v/>
      </c>
      <c r="AF291" s="0" t="str">
        <f aca="false">IF(AA291=1,"",IF(AND(AB291=1,AD291&lt;&gt;1),1,0))</f>
        <v/>
      </c>
      <c r="AG291" s="0" t="str">
        <f aca="false">IF(AA291=1,"",IF(AND(AC291=1,AE291&lt;&gt;1),1,0))</f>
        <v/>
      </c>
      <c r="AH291" s="51" t="str">
        <f aca="false">IF(AND(E291&gt;0,AA291&lt;1,NOT(AND(C292=C291,AA292=AA291+1))),INDEX(DATAS,AA291+1),"")</f>
        <v/>
      </c>
      <c r="AI291" s="51" t="str">
        <f aca="false">IF(AND(AC291=1,AA291&lt;1),IF(AND(C292=C291,AA292=AA291+1),IF(AC292=1,"",INDEX(DATAS,AA291+1)),INDEX(DATAS,AA291+1)),"")</f>
        <v/>
      </c>
    </row>
    <row r="292" customFormat="false" ht="15" hidden="false" customHeight="false" outlineLevel="0" collapsed="false">
      <c r="A292" s="51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46" t="s">
        <v>397</v>
      </c>
      <c r="I292" s="46" t="s">
        <v>157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51" t="n">
        <v>46051</v>
      </c>
      <c r="X292" s="46" t="n">
        <f aca="false">IF(I292="Male",0,1)</f>
        <v>1</v>
      </c>
      <c r="Y292" s="46" t="n">
        <f aca="false">IF(OR(I292="DNB",I292="Dry DNB"),1,0)</f>
        <v>0</v>
      </c>
      <c r="Z292" s="46" t="n">
        <f aca="false">IF(ISNUMBER(W292),A292-W292,"")</f>
        <v>258</v>
      </c>
      <c r="AA292" s="46" t="n">
        <f aca="false">MATCH(A292,DATAS,0)</f>
        <v>1</v>
      </c>
      <c r="AB292" s="46" t="n">
        <f aca="false">IF(AND(E292&gt;0,OR(AND(B292&gt;=1,B292&lt;=6),B292=10)),1,0)</f>
        <v>0</v>
      </c>
      <c r="AC292" s="46" t="n">
        <f aca="false">IF(AND(E292&gt;0,B292=10),1,0)</f>
        <v>0</v>
      </c>
      <c r="AD292" s="0" t="str">
        <f aca="false">IF(AND(C291=C292,AA291=AA292-1),AB291,"")</f>
        <v/>
      </c>
      <c r="AE292" s="0" t="str">
        <f aca="false">IF(AND(C291=C292,AA291=AA292-1),AC291,"")</f>
        <v/>
      </c>
      <c r="AF292" s="0" t="str">
        <f aca="false">IF(AA292=1,"",IF(AND(AB292=1,AD292&lt;&gt;1),1,0))</f>
        <v/>
      </c>
      <c r="AG292" s="0" t="str">
        <f aca="false">IF(AA292=1,"",IF(AND(AC292=1,AE292&lt;&gt;1),1,0))</f>
        <v/>
      </c>
      <c r="AH292" s="51" t="str">
        <f aca="false">IF(AND(E292&gt;0,AA292&lt;1,NOT(AND(C293=C292,AA293=AA292+1))),INDEX(DATAS,AA292+1),"")</f>
        <v/>
      </c>
      <c r="AI292" s="51" t="str">
        <f aca="false">IF(AND(AC292=1,AA292&lt;1),IF(AND(C293=C292,AA293=AA292+1),IF(AC293=1,"",INDEX(DATAS,AA292+1)),INDEX(DATAS,AA292+1)),"")</f>
        <v/>
      </c>
    </row>
    <row r="293" customFormat="false" ht="15" hidden="false" customHeight="false" outlineLevel="0" collapsed="false">
      <c r="A293" s="51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46" t="s">
        <v>398</v>
      </c>
      <c r="G293" s="0" t="n">
        <v>42.2</v>
      </c>
      <c r="H293" s="0" t="n">
        <v>42</v>
      </c>
      <c r="I293" s="46" t="s">
        <v>152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51" t="n">
        <v>46191</v>
      </c>
      <c r="X293" s="46" t="n">
        <f aca="false">IF(I293="Male",0,1)</f>
        <v>1</v>
      </c>
      <c r="Y293" s="46" t="n">
        <f aca="false">IF(OR(I293="DNB",I293="Dry DNB"),1,0)</f>
        <v>0</v>
      </c>
      <c r="Z293" s="46" t="n">
        <f aca="false">IF(ISNUMBER(W293),A293-W293,"")</f>
        <v>118</v>
      </c>
      <c r="AA293" s="46" t="n">
        <f aca="false">MATCH(A293,DATAS,0)</f>
        <v>1</v>
      </c>
      <c r="AB293" s="46" t="n">
        <f aca="false">IF(AND(E293&gt;0,OR(AND(B293&gt;=1,B293&lt;=6),B293=10)),1,0)</f>
        <v>1</v>
      </c>
      <c r="AC293" s="46" t="n">
        <f aca="false">IF(AND(E293&gt;0,B293=10),1,0)</f>
        <v>0</v>
      </c>
      <c r="AD293" s="0" t="str">
        <f aca="false">IF(AND(C292=C293,AA292=AA293-1),AB292,"")</f>
        <v/>
      </c>
      <c r="AE293" s="0" t="str">
        <f aca="false">IF(AND(C292=C293,AA292=AA293-1),AC292,"")</f>
        <v/>
      </c>
      <c r="AF293" s="0" t="str">
        <f aca="false">IF(AA293=1,"",IF(AND(AB293=1,AD293&lt;&gt;1),1,0))</f>
        <v/>
      </c>
      <c r="AG293" s="0" t="str">
        <f aca="false">IF(AA293=1,"",IF(AND(AC293=1,AE293&lt;&gt;1),1,0))</f>
        <v/>
      </c>
      <c r="AH293" s="51" t="str">
        <f aca="false">IF(AND(E293&gt;0,AA293&lt;1,NOT(AND(C294=C293,AA294=AA293+1))),INDEX(DATAS,AA293+1),"")</f>
        <v/>
      </c>
      <c r="AI293" s="51" t="str">
        <f aca="false">IF(AND(AC293=1,AA293&lt;1),IF(AND(C294=C293,AA294=AA293+1),IF(AC294=1,"",INDEX(DATAS,AA293+1)),INDEX(DATAS,AA293+1)),"")</f>
        <v/>
      </c>
    </row>
    <row r="294" customFormat="false" ht="15" hidden="false" customHeight="false" outlineLevel="0" collapsed="false">
      <c r="A294" s="51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46" t="s">
        <v>399</v>
      </c>
      <c r="G294" s="0" t="n">
        <v>28.3</v>
      </c>
      <c r="H294" s="0" t="n">
        <v>27</v>
      </c>
      <c r="I294" s="46" t="s">
        <v>152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51" t="n">
        <v>46188</v>
      </c>
      <c r="X294" s="46" t="n">
        <f aca="false">IF(I294="Male",0,1)</f>
        <v>1</v>
      </c>
      <c r="Y294" s="46" t="n">
        <f aca="false">IF(OR(I294="DNB",I294="Dry DNB"),1,0)</f>
        <v>0</v>
      </c>
      <c r="Z294" s="46" t="n">
        <f aca="false">IF(ISNUMBER(W294),A294-W294,"")</f>
        <v>121</v>
      </c>
      <c r="AA294" s="46" t="n">
        <f aca="false">MATCH(A294,DATAS,0)</f>
        <v>1</v>
      </c>
      <c r="AB294" s="46" t="n">
        <f aca="false">IF(AND(E294&gt;0,OR(AND(B294&gt;=1,B294&lt;=6),B294=10)),1,0)</f>
        <v>1</v>
      </c>
      <c r="AC294" s="46" t="n">
        <f aca="false">IF(AND(E294&gt;0,B294=10),1,0)</f>
        <v>0</v>
      </c>
      <c r="AD294" s="0" t="str">
        <f aca="false">IF(AND(C293=C294,AA293=AA294-1),AB293,"")</f>
        <v/>
      </c>
      <c r="AE294" s="0" t="str">
        <f aca="false">IF(AND(C293=C294,AA293=AA294-1),AC293,"")</f>
        <v/>
      </c>
      <c r="AF294" s="0" t="str">
        <f aca="false">IF(AA294=1,"",IF(AND(AB294=1,AD294&lt;&gt;1),1,0))</f>
        <v/>
      </c>
      <c r="AG294" s="0" t="str">
        <f aca="false">IF(AA294=1,"",IF(AND(AC294=1,AE294&lt;&gt;1),1,0))</f>
        <v/>
      </c>
      <c r="AH294" s="51" t="str">
        <f aca="false">IF(AND(E294&gt;0,AA294&lt;1,NOT(AND(C295=C294,AA295=AA294+1))),INDEX(DATAS,AA294+1),"")</f>
        <v/>
      </c>
      <c r="AI294" s="51" t="str">
        <f aca="false">IF(AND(AC294=1,AA294&lt;1),IF(AND(C295=C294,AA295=AA294+1),IF(AC295=1,"",INDEX(DATAS,AA294+1)),INDEX(DATAS,AA294+1)),"")</f>
        <v/>
      </c>
    </row>
    <row r="295" customFormat="false" ht="15" hidden="false" customHeight="false" outlineLevel="0" collapsed="false">
      <c r="A295" s="51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46" t="s">
        <v>400</v>
      </c>
      <c r="G295" s="0" t="n">
        <v>53.7</v>
      </c>
      <c r="H295" s="0" t="n">
        <v>52</v>
      </c>
      <c r="I295" s="46" t="s">
        <v>152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51" t="n">
        <v>46135</v>
      </c>
      <c r="X295" s="46" t="n">
        <f aca="false">IF(I295="Male",0,1)</f>
        <v>1</v>
      </c>
      <c r="Y295" s="46" t="n">
        <f aca="false">IF(OR(I295="DNB",I295="Dry DNB"),1,0)</f>
        <v>0</v>
      </c>
      <c r="Z295" s="46" t="n">
        <f aca="false">IF(ISNUMBER(W295),A295-W295,"")</f>
        <v>174</v>
      </c>
      <c r="AA295" s="46" t="n">
        <f aca="false">MATCH(A295,DATAS,0)</f>
        <v>1</v>
      </c>
      <c r="AB295" s="46" t="n">
        <f aca="false">IF(AND(E295&gt;0,OR(AND(B295&gt;=1,B295&lt;=6),B295=10)),1,0)</f>
        <v>1</v>
      </c>
      <c r="AC295" s="46" t="n">
        <f aca="false">IF(AND(E295&gt;0,B295=10),1,0)</f>
        <v>0</v>
      </c>
      <c r="AD295" s="0" t="str">
        <f aca="false">IF(AND(C294=C295,AA294=AA295-1),AB294,"")</f>
        <v/>
      </c>
      <c r="AE295" s="0" t="str">
        <f aca="false">IF(AND(C294=C295,AA294=AA295-1),AC294,"")</f>
        <v/>
      </c>
      <c r="AF295" s="0" t="str">
        <f aca="false">IF(AA295=1,"",IF(AND(AB295=1,AD295&lt;&gt;1),1,0))</f>
        <v/>
      </c>
      <c r="AG295" s="0" t="str">
        <f aca="false">IF(AA295=1,"",IF(AND(AC295=1,AE295&lt;&gt;1),1,0))</f>
        <v/>
      </c>
      <c r="AH295" s="51" t="str">
        <f aca="false">IF(AND(E295&gt;0,AA295&lt;1,NOT(AND(C296=C295,AA296=AA295+1))),INDEX(DATAS,AA295+1),"")</f>
        <v/>
      </c>
      <c r="AI295" s="51" t="str">
        <f aca="false">IF(AND(AC295=1,AA295&lt;1),IF(AND(C296=C295,AA296=AA295+1),IF(AC296=1,"",INDEX(DATAS,AA295+1)),INDEX(DATAS,AA295+1)),"")</f>
        <v/>
      </c>
    </row>
    <row r="296" customFormat="false" ht="15" hidden="false" customHeight="false" outlineLevel="0" collapsed="false">
      <c r="A296" s="51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46" t="s">
        <v>400</v>
      </c>
      <c r="G296" s="0" t="n">
        <v>59.6</v>
      </c>
      <c r="H296" s="0" t="n">
        <v>60</v>
      </c>
      <c r="I296" s="46" t="s">
        <v>181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51" t="n">
        <v>46296</v>
      </c>
      <c r="X296" s="46" t="n">
        <f aca="false">IF(I296="Male",0,1)</f>
        <v>1</v>
      </c>
      <c r="Y296" s="46" t="n">
        <f aca="false">IF(OR(I296="DNB",I296="Dry DNB"),1,0)</f>
        <v>0</v>
      </c>
      <c r="Z296" s="46" t="n">
        <f aca="false">IF(ISNUMBER(W296),A296-W296,"")</f>
        <v>13</v>
      </c>
      <c r="AA296" s="46" t="n">
        <f aca="false">MATCH(A296,DATAS,0)</f>
        <v>1</v>
      </c>
      <c r="AB296" s="46" t="n">
        <f aca="false">IF(AND(E296&gt;0,OR(AND(B296&gt;=1,B296&lt;=6),B296=10)),1,0)</f>
        <v>1</v>
      </c>
      <c r="AC296" s="46" t="n">
        <f aca="false">IF(AND(E296&gt;0,B296=10),1,0)</f>
        <v>0</v>
      </c>
      <c r="AD296" s="0" t="str">
        <f aca="false">IF(AND(C295=C296,AA295=AA296-1),AB295,"")</f>
        <v/>
      </c>
      <c r="AE296" s="0" t="str">
        <f aca="false">IF(AND(C295=C296,AA295=AA296-1),AC295,"")</f>
        <v/>
      </c>
      <c r="AF296" s="0" t="str">
        <f aca="false">IF(AA296=1,"",IF(AND(AB296=1,AD296&lt;&gt;1),1,0))</f>
        <v/>
      </c>
      <c r="AG296" s="0" t="str">
        <f aca="false">IF(AA296=1,"",IF(AND(AC296=1,AE296&lt;&gt;1),1,0))</f>
        <v/>
      </c>
      <c r="AH296" s="51" t="str">
        <f aca="false">IF(AND(E296&gt;0,AA296&lt;1,NOT(AND(C297=C296,AA297=AA296+1))),INDEX(DATAS,AA296+1),"")</f>
        <v/>
      </c>
      <c r="AI296" s="51" t="str">
        <f aca="false">IF(AND(AC296=1,AA296&lt;1),IF(AND(C297=C296,AA297=AA296+1),IF(AC297=1,"",INDEX(DATAS,AA296+1)),INDEX(DATAS,AA296+1)),"")</f>
        <v/>
      </c>
    </row>
    <row r="297" customFormat="false" ht="15" hidden="false" customHeight="false" outlineLevel="0" collapsed="false">
      <c r="A297" s="51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46" t="s">
        <v>401</v>
      </c>
      <c r="G297" s="0" t="n">
        <v>38.2</v>
      </c>
      <c r="H297" s="0" t="n">
        <v>32</v>
      </c>
      <c r="I297" s="46" t="s">
        <v>152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51" t="n">
        <v>46156</v>
      </c>
      <c r="X297" s="46" t="n">
        <f aca="false">IF(I297="Male",0,1)</f>
        <v>1</v>
      </c>
      <c r="Y297" s="46" t="n">
        <f aca="false">IF(OR(I297="DNB",I297="Dry DNB"),1,0)</f>
        <v>0</v>
      </c>
      <c r="Z297" s="46" t="n">
        <f aca="false">IF(ISNUMBER(W297),A297-W297,"")</f>
        <v>153</v>
      </c>
      <c r="AA297" s="46" t="n">
        <f aca="false">MATCH(A297,DATAS,0)</f>
        <v>1</v>
      </c>
      <c r="AB297" s="46" t="n">
        <f aca="false">IF(AND(E297&gt;0,OR(AND(B297&gt;=1,B297&lt;=6),B297=10)),1,0)</f>
        <v>1</v>
      </c>
      <c r="AC297" s="46" t="n">
        <f aca="false">IF(AND(E297&gt;0,B297=10),1,0)</f>
        <v>0</v>
      </c>
      <c r="AD297" s="0" t="str">
        <f aca="false">IF(AND(C296=C297,AA296=AA297-1),AB296,"")</f>
        <v/>
      </c>
      <c r="AE297" s="0" t="str">
        <f aca="false">IF(AND(C296=C297,AA296=AA297-1),AC296,"")</f>
        <v/>
      </c>
      <c r="AF297" s="0" t="str">
        <f aca="false">IF(AA297=1,"",IF(AND(AB297=1,AD297&lt;&gt;1),1,0))</f>
        <v/>
      </c>
      <c r="AG297" s="0" t="str">
        <f aca="false">IF(AA297=1,"",IF(AND(AC297=1,AE297&lt;&gt;1),1,0))</f>
        <v/>
      </c>
      <c r="AH297" s="51" t="str">
        <f aca="false">IF(AND(E297&gt;0,AA297&lt;1,NOT(AND(C298=C297,AA298=AA297+1))),INDEX(DATAS,AA297+1),"")</f>
        <v/>
      </c>
      <c r="AI297" s="51" t="str">
        <f aca="false">IF(AND(AC297=1,AA297&lt;1),IF(AND(C298=C297,AA298=AA297+1),IF(AC298=1,"",INDEX(DATAS,AA297+1)),INDEX(DATAS,AA297+1)),"")</f>
        <v/>
      </c>
    </row>
    <row r="298" customFormat="false" ht="15" hidden="false" customHeight="false" outlineLevel="0" collapsed="false">
      <c r="A298" s="51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46" t="s">
        <v>401</v>
      </c>
      <c r="G298" s="0" t="n">
        <v>34.7</v>
      </c>
      <c r="H298" s="0" t="n">
        <v>35</v>
      </c>
      <c r="I298" s="46" t="s">
        <v>152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51" t="n">
        <v>46128</v>
      </c>
      <c r="X298" s="46" t="n">
        <f aca="false">IF(I298="Male",0,1)</f>
        <v>1</v>
      </c>
      <c r="Y298" s="46" t="n">
        <f aca="false">IF(OR(I298="DNB",I298="Dry DNB"),1,0)</f>
        <v>0</v>
      </c>
      <c r="Z298" s="46" t="n">
        <f aca="false">IF(ISNUMBER(W298),A298-W298,"")</f>
        <v>181</v>
      </c>
      <c r="AA298" s="46" t="n">
        <f aca="false">MATCH(A298,DATAS,0)</f>
        <v>1</v>
      </c>
      <c r="AB298" s="46" t="n">
        <f aca="false">IF(AND(E298&gt;0,OR(AND(B298&gt;=1,B298&lt;=6),B298=10)),1,0)</f>
        <v>1</v>
      </c>
      <c r="AC298" s="46" t="n">
        <f aca="false">IF(AND(E298&gt;0,B298=10),1,0)</f>
        <v>0</v>
      </c>
      <c r="AD298" s="0" t="str">
        <f aca="false">IF(AND(C297=C298,AA297=AA298-1),AB297,"")</f>
        <v/>
      </c>
      <c r="AE298" s="0" t="str">
        <f aca="false">IF(AND(C297=C298,AA297=AA298-1),AC297,"")</f>
        <v/>
      </c>
      <c r="AF298" s="0" t="str">
        <f aca="false">IF(AA298=1,"",IF(AND(AB298=1,AD298&lt;&gt;1),1,0))</f>
        <v/>
      </c>
      <c r="AG298" s="0" t="str">
        <f aca="false">IF(AA298=1,"",IF(AND(AC298=1,AE298&lt;&gt;1),1,0))</f>
        <v/>
      </c>
      <c r="AH298" s="51" t="str">
        <f aca="false">IF(AND(E298&gt;0,AA298&lt;1,NOT(AND(C299=C298,AA299=AA298+1))),INDEX(DATAS,AA298+1),"")</f>
        <v/>
      </c>
      <c r="AI298" s="51" t="str">
        <f aca="false">IF(AND(AC298=1,AA298&lt;1),IF(AND(C299=C298,AA299=AA298+1),IF(AC299=1,"",INDEX(DATAS,AA298+1)),INDEX(DATAS,AA298+1)),"")</f>
        <v/>
      </c>
    </row>
    <row r="299" customFormat="false" ht="15" hidden="false" customHeight="false" outlineLevel="0" collapsed="false">
      <c r="A299" s="51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46" t="s">
        <v>401</v>
      </c>
      <c r="G299" s="0" t="n">
        <v>58.4</v>
      </c>
      <c r="H299" s="0" t="n">
        <v>55</v>
      </c>
      <c r="I299" s="46" t="s">
        <v>181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51" t="n">
        <v>46233</v>
      </c>
      <c r="X299" s="46" t="n">
        <f aca="false">IF(I299="Male",0,1)</f>
        <v>1</v>
      </c>
      <c r="Y299" s="46" t="n">
        <f aca="false">IF(OR(I299="DNB",I299="Dry DNB"),1,0)</f>
        <v>0</v>
      </c>
      <c r="Z299" s="46" t="n">
        <f aca="false">IF(ISNUMBER(W299),A299-W299,"")</f>
        <v>76</v>
      </c>
      <c r="AA299" s="46" t="n">
        <f aca="false">MATCH(A299,DATAS,0)</f>
        <v>1</v>
      </c>
      <c r="AB299" s="46" t="n">
        <f aca="false">IF(AND(E299&gt;0,OR(AND(B299&gt;=1,B299&lt;=6),B299=10)),1,0)</f>
        <v>1</v>
      </c>
      <c r="AC299" s="46" t="n">
        <f aca="false">IF(AND(E299&gt;0,B299=10),1,0)</f>
        <v>0</v>
      </c>
      <c r="AD299" s="0" t="str">
        <f aca="false">IF(AND(C298=C299,AA298=AA299-1),AB298,"")</f>
        <v/>
      </c>
      <c r="AE299" s="0" t="str">
        <f aca="false">IF(AND(C298=C299,AA298=AA299-1),AC298,"")</f>
        <v/>
      </c>
      <c r="AF299" s="0" t="str">
        <f aca="false">IF(AA299=1,"",IF(AND(AB299=1,AD299&lt;&gt;1),1,0))</f>
        <v/>
      </c>
      <c r="AG299" s="0" t="str">
        <f aca="false">IF(AA299=1,"",IF(AND(AC299=1,AE299&lt;&gt;1),1,0))</f>
        <v/>
      </c>
      <c r="AH299" s="51" t="str">
        <f aca="false">IF(AND(E299&gt;0,AA299&lt;1,NOT(AND(C300=C299,AA300=AA299+1))),INDEX(DATAS,AA299+1),"")</f>
        <v/>
      </c>
      <c r="AI299" s="51" t="str">
        <f aca="false">IF(AND(AC299=1,AA299&lt;1),IF(AND(C300=C299,AA300=AA299+1),IF(AC300=1,"",INDEX(DATAS,AA299+1)),INDEX(DATAS,AA299+1)),"")</f>
        <v/>
      </c>
    </row>
    <row r="300" customFormat="false" ht="15" hidden="false" customHeight="false" outlineLevel="0" collapsed="false">
      <c r="A300" s="51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46" t="s">
        <v>402</v>
      </c>
      <c r="G300" s="0" t="n">
        <v>40.9</v>
      </c>
      <c r="H300" s="0" t="n">
        <v>44</v>
      </c>
      <c r="I300" s="46" t="s">
        <v>152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51" t="n">
        <v>46128</v>
      </c>
      <c r="X300" s="46" t="n">
        <f aca="false">IF(I300="Male",0,1)</f>
        <v>1</v>
      </c>
      <c r="Y300" s="46" t="n">
        <f aca="false">IF(OR(I300="DNB",I300="Dry DNB"),1,0)</f>
        <v>0</v>
      </c>
      <c r="Z300" s="46" t="n">
        <f aca="false">IF(ISNUMBER(W300),A300-W300,"")</f>
        <v>181</v>
      </c>
      <c r="AA300" s="46" t="n">
        <f aca="false">MATCH(A300,DATAS,0)</f>
        <v>1</v>
      </c>
      <c r="AB300" s="46" t="n">
        <f aca="false">IF(AND(E300&gt;0,OR(AND(B300&gt;=1,B300&lt;=6),B300=10)),1,0)</f>
        <v>1</v>
      </c>
      <c r="AC300" s="46" t="n">
        <f aca="false">IF(AND(E300&gt;0,B300=10),1,0)</f>
        <v>0</v>
      </c>
      <c r="AD300" s="0" t="str">
        <f aca="false">IF(AND(C299=C300,AA299=AA300-1),AB299,"")</f>
        <v/>
      </c>
      <c r="AE300" s="0" t="str">
        <f aca="false">IF(AND(C299=C300,AA299=AA300-1),AC299,"")</f>
        <v/>
      </c>
      <c r="AF300" s="0" t="str">
        <f aca="false">IF(AA300=1,"",IF(AND(AB300=1,AD300&lt;&gt;1),1,0))</f>
        <v/>
      </c>
      <c r="AG300" s="0" t="str">
        <f aca="false">IF(AA300=1,"",IF(AND(AC300=1,AE300&lt;&gt;1),1,0))</f>
        <v/>
      </c>
      <c r="AH300" s="51" t="str">
        <f aca="false">IF(AND(E300&gt;0,AA300&lt;1,NOT(AND(C301=C300,AA301=AA300+1))),INDEX(DATAS,AA300+1),"")</f>
        <v/>
      </c>
      <c r="AI300" s="51" t="str">
        <f aca="false">IF(AND(AC300=1,AA300&lt;1),IF(AND(C301=C300,AA301=AA300+1),IF(AC301=1,"",INDEX(DATAS,AA300+1)),INDEX(DATAS,AA300+1)),"")</f>
        <v/>
      </c>
    </row>
    <row r="301" customFormat="false" ht="15" hidden="false" customHeight="false" outlineLevel="0" collapsed="false">
      <c r="A301" s="51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46" t="s">
        <v>403</v>
      </c>
      <c r="G301" s="0" t="n">
        <v>55.4</v>
      </c>
      <c r="H301" s="0" t="n">
        <v>56</v>
      </c>
      <c r="I301" s="46" t="s">
        <v>152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51" t="n">
        <v>46247</v>
      </c>
      <c r="X301" s="46" t="n">
        <f aca="false">IF(I301="Male",0,1)</f>
        <v>1</v>
      </c>
      <c r="Y301" s="46" t="n">
        <f aca="false">IF(OR(I301="DNB",I301="Dry DNB"),1,0)</f>
        <v>0</v>
      </c>
      <c r="Z301" s="46" t="n">
        <f aca="false">IF(ISNUMBER(W301),A301-W301,"")</f>
        <v>62</v>
      </c>
      <c r="AA301" s="46" t="n">
        <f aca="false">MATCH(A301,DATAS,0)</f>
        <v>1</v>
      </c>
      <c r="AB301" s="46" t="n">
        <f aca="false">IF(AND(E301&gt;0,OR(AND(B301&gt;=1,B301&lt;=6),B301=10)),1,0)</f>
        <v>1</v>
      </c>
      <c r="AC301" s="46" t="n">
        <f aca="false">IF(AND(E301&gt;0,B301=10),1,0)</f>
        <v>0</v>
      </c>
      <c r="AD301" s="0" t="str">
        <f aca="false">IF(AND(C300=C301,AA300=AA301-1),AB300,"")</f>
        <v/>
      </c>
      <c r="AE301" s="0" t="str">
        <f aca="false">IF(AND(C300=C301,AA300=AA301-1),AC300,"")</f>
        <v/>
      </c>
      <c r="AF301" s="0" t="str">
        <f aca="false">IF(AA301=1,"",IF(AND(AB301=1,AD301&lt;&gt;1),1,0))</f>
        <v/>
      </c>
      <c r="AG301" s="0" t="str">
        <f aca="false">IF(AA301=1,"",IF(AND(AC301=1,AE301&lt;&gt;1),1,0))</f>
        <v/>
      </c>
      <c r="AH301" s="51" t="str">
        <f aca="false">IF(AND(E301&gt;0,AA301&lt;1,NOT(AND(C302=C301,AA302=AA301+1))),INDEX(DATAS,AA301+1),"")</f>
        <v/>
      </c>
      <c r="AI301" s="51" t="str">
        <f aca="false">IF(AND(AC301=1,AA301&lt;1),IF(AND(C302=C301,AA302=AA301+1),IF(AC302=1,"",INDEX(DATAS,AA301+1)),INDEX(DATAS,AA301+1)),"")</f>
        <v/>
      </c>
    </row>
    <row r="302" customFormat="false" ht="15" hidden="false" customHeight="false" outlineLevel="0" collapsed="false">
      <c r="A302" s="51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46" t="s">
        <v>403</v>
      </c>
      <c r="G302" s="0" t="n">
        <v>50.8</v>
      </c>
      <c r="H302" s="0" t="n">
        <v>48</v>
      </c>
      <c r="I302" s="46" t="s">
        <v>152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51" t="n">
        <v>46177</v>
      </c>
      <c r="X302" s="46" t="n">
        <f aca="false">IF(I302="Male",0,1)</f>
        <v>1</v>
      </c>
      <c r="Y302" s="46" t="n">
        <f aca="false">IF(OR(I302="DNB",I302="Dry DNB"),1,0)</f>
        <v>0</v>
      </c>
      <c r="Z302" s="46" t="n">
        <f aca="false">IF(ISNUMBER(W302),A302-W302,"")</f>
        <v>132</v>
      </c>
      <c r="AA302" s="46" t="n">
        <f aca="false">MATCH(A302,DATAS,0)</f>
        <v>1</v>
      </c>
      <c r="AB302" s="46" t="n">
        <f aca="false">IF(AND(E302&gt;0,OR(AND(B302&gt;=1,B302&lt;=6),B302=10)),1,0)</f>
        <v>1</v>
      </c>
      <c r="AC302" s="46" t="n">
        <f aca="false">IF(AND(E302&gt;0,B302=10),1,0)</f>
        <v>0</v>
      </c>
      <c r="AD302" s="0" t="str">
        <f aca="false">IF(AND(C301=C302,AA301=AA302-1),AB301,"")</f>
        <v/>
      </c>
      <c r="AE302" s="0" t="str">
        <f aca="false">IF(AND(C301=C302,AA301=AA302-1),AC301,"")</f>
        <v/>
      </c>
      <c r="AF302" s="0" t="str">
        <f aca="false">IF(AA302=1,"",IF(AND(AB302=1,AD302&lt;&gt;1),1,0))</f>
        <v/>
      </c>
      <c r="AG302" s="0" t="str">
        <f aca="false">IF(AA302=1,"",IF(AND(AC302=1,AE302&lt;&gt;1),1,0))</f>
        <v/>
      </c>
      <c r="AH302" s="51" t="str">
        <f aca="false">IF(AND(E302&gt;0,AA302&lt;1,NOT(AND(C303=C302,AA303=AA302+1))),INDEX(DATAS,AA302+1),"")</f>
        <v/>
      </c>
      <c r="AI302" s="51" t="str">
        <f aca="false">IF(AND(AC302=1,AA302&lt;1),IF(AND(C303=C302,AA303=AA302+1),IF(AC303=1,"",INDEX(DATAS,AA302+1)),INDEX(DATAS,AA302+1)),"")</f>
        <v/>
      </c>
    </row>
    <row r="303" customFormat="false" ht="15" hidden="false" customHeight="false" outlineLevel="0" collapsed="false">
      <c r="A303" s="51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46" t="s">
        <v>403</v>
      </c>
      <c r="G303" s="0" t="n">
        <v>43.8</v>
      </c>
      <c r="H303" s="0" t="n">
        <v>38</v>
      </c>
      <c r="I303" s="46" t="s">
        <v>152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51" t="n">
        <v>46275</v>
      </c>
      <c r="X303" s="46" t="n">
        <f aca="false">IF(I303="Male",0,1)</f>
        <v>1</v>
      </c>
      <c r="Y303" s="46" t="n">
        <f aca="false">IF(OR(I303="DNB",I303="Dry DNB"),1,0)</f>
        <v>0</v>
      </c>
      <c r="Z303" s="46" t="n">
        <f aca="false">IF(ISNUMBER(W303),A303-W303,"")</f>
        <v>34</v>
      </c>
      <c r="AA303" s="46" t="n">
        <f aca="false">MATCH(A303,DATAS,0)</f>
        <v>1</v>
      </c>
      <c r="AB303" s="46" t="n">
        <f aca="false">IF(AND(E303&gt;0,OR(AND(B303&gt;=1,B303&lt;=6),B303=10)),1,0)</f>
        <v>1</v>
      </c>
      <c r="AC303" s="46" t="n">
        <f aca="false">IF(AND(E303&gt;0,B303=10),1,0)</f>
        <v>0</v>
      </c>
      <c r="AD303" s="0" t="str">
        <f aca="false">IF(AND(C302=C303,AA302=AA303-1),AB302,"")</f>
        <v/>
      </c>
      <c r="AE303" s="0" t="str">
        <f aca="false">IF(AND(C302=C303,AA302=AA303-1),AC302,"")</f>
        <v/>
      </c>
      <c r="AF303" s="0" t="str">
        <f aca="false">IF(AA303=1,"",IF(AND(AB303=1,AD303&lt;&gt;1),1,0))</f>
        <v/>
      </c>
      <c r="AG303" s="0" t="str">
        <f aca="false">IF(AA303=1,"",IF(AND(AC303=1,AE303&lt;&gt;1),1,0))</f>
        <v/>
      </c>
      <c r="AH303" s="51" t="str">
        <f aca="false">IF(AND(E303&gt;0,AA303&lt;1,NOT(AND(C304=C303,AA304=AA303+1))),INDEX(DATAS,AA303+1),"")</f>
        <v/>
      </c>
      <c r="AI303" s="51" t="str">
        <f aca="false">IF(AND(AC303=1,AA303&lt;1),IF(AND(C304=C303,AA304=AA303+1),IF(AC304=1,"",INDEX(DATAS,AA303+1)),INDEX(DATAS,AA303+1)),"")</f>
        <v/>
      </c>
    </row>
    <row r="304" customFormat="false" ht="15" hidden="false" customHeight="false" outlineLevel="0" collapsed="false">
      <c r="A304" s="51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46" t="s">
        <v>404</v>
      </c>
      <c r="G304" s="0" t="n">
        <v>39.6</v>
      </c>
      <c r="H304" s="0" t="n">
        <v>35</v>
      </c>
      <c r="I304" s="46" t="s">
        <v>152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51" t="n">
        <v>46135</v>
      </c>
      <c r="X304" s="46" t="n">
        <f aca="false">IF(I304="Male",0,1)</f>
        <v>1</v>
      </c>
      <c r="Y304" s="46" t="n">
        <f aca="false">IF(OR(I304="DNB",I304="Dry DNB"),1,0)</f>
        <v>0</v>
      </c>
      <c r="Z304" s="46" t="n">
        <f aca="false">IF(ISNUMBER(W304),A304-W304,"")</f>
        <v>174</v>
      </c>
      <c r="AA304" s="46" t="n">
        <f aca="false">MATCH(A304,DATAS,0)</f>
        <v>1</v>
      </c>
      <c r="AB304" s="46" t="n">
        <f aca="false">IF(AND(E304&gt;0,OR(AND(B304&gt;=1,B304&lt;=6),B304=10)),1,0)</f>
        <v>1</v>
      </c>
      <c r="AC304" s="46" t="n">
        <f aca="false">IF(AND(E304&gt;0,B304=10),1,0)</f>
        <v>0</v>
      </c>
      <c r="AD304" s="0" t="str">
        <f aca="false">IF(AND(C303=C304,AA303=AA304-1),AB303,"")</f>
        <v/>
      </c>
      <c r="AE304" s="0" t="str">
        <f aca="false">IF(AND(C303=C304,AA303=AA304-1),AC303,"")</f>
        <v/>
      </c>
      <c r="AF304" s="0" t="str">
        <f aca="false">IF(AA304=1,"",IF(AND(AB304=1,AD304&lt;&gt;1),1,0))</f>
        <v/>
      </c>
      <c r="AG304" s="0" t="str">
        <f aca="false">IF(AA304=1,"",IF(AND(AC304=1,AE304&lt;&gt;1),1,0))</f>
        <v/>
      </c>
      <c r="AH304" s="51" t="str">
        <f aca="false">IF(AND(E304&gt;0,AA304&lt;1,NOT(AND(C305=C304,AA305=AA304+1))),INDEX(DATAS,AA304+1),"")</f>
        <v/>
      </c>
      <c r="AI304" s="51" t="str">
        <f aca="false">IF(AND(AC304=1,AA304&lt;1),IF(AND(C305=C304,AA305=AA304+1),IF(AC305=1,"",INDEX(DATAS,AA304+1)),INDEX(DATAS,AA304+1)),"")</f>
        <v/>
      </c>
    </row>
    <row r="305" customFormat="false" ht="15" hidden="false" customHeight="false" outlineLevel="0" collapsed="false">
      <c r="A305" s="51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46" t="s">
        <v>404</v>
      </c>
      <c r="G305" s="0" t="n">
        <v>52</v>
      </c>
      <c r="H305" s="0" t="n">
        <v>53</v>
      </c>
      <c r="I305" s="46" t="s">
        <v>152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51" t="n">
        <v>46275</v>
      </c>
      <c r="X305" s="46" t="n">
        <f aca="false">IF(I305="Male",0,1)</f>
        <v>1</v>
      </c>
      <c r="Y305" s="46" t="n">
        <f aca="false">IF(OR(I305="DNB",I305="Dry DNB"),1,0)</f>
        <v>0</v>
      </c>
      <c r="Z305" s="46" t="n">
        <f aca="false">IF(ISNUMBER(W305),A305-W305,"")</f>
        <v>34</v>
      </c>
      <c r="AA305" s="46" t="n">
        <f aca="false">MATCH(A305,DATAS,0)</f>
        <v>1</v>
      </c>
      <c r="AB305" s="46" t="n">
        <f aca="false">IF(AND(E305&gt;0,OR(AND(B305&gt;=1,B305&lt;=6),B305=10)),1,0)</f>
        <v>1</v>
      </c>
      <c r="AC305" s="46" t="n">
        <f aca="false">IF(AND(E305&gt;0,B305=10),1,0)</f>
        <v>0</v>
      </c>
      <c r="AD305" s="0" t="str">
        <f aca="false">IF(AND(C304=C305,AA304=AA305-1),AB304,"")</f>
        <v/>
      </c>
      <c r="AE305" s="0" t="str">
        <f aca="false">IF(AND(C304=C305,AA304=AA305-1),AC304,"")</f>
        <v/>
      </c>
      <c r="AF305" s="0" t="str">
        <f aca="false">IF(AA305=1,"",IF(AND(AB305=1,AD305&lt;&gt;1),1,0))</f>
        <v/>
      </c>
      <c r="AG305" s="0" t="str">
        <f aca="false">IF(AA305=1,"",IF(AND(AC305=1,AE305&lt;&gt;1),1,0))</f>
        <v/>
      </c>
      <c r="AH305" s="51" t="str">
        <f aca="false">IF(AND(E305&gt;0,AA305&lt;1,NOT(AND(C306=C305,AA306=AA305+1))),INDEX(DATAS,AA305+1),"")</f>
        <v/>
      </c>
      <c r="AI305" s="51" t="str">
        <f aca="false">IF(AND(AC305=1,AA305&lt;1),IF(AND(C306=C305,AA306=AA305+1),IF(AC306=1,"",INDEX(DATAS,AA305+1)),INDEX(DATAS,AA305+1)),"")</f>
        <v/>
      </c>
    </row>
    <row r="306" customFormat="false" ht="15" hidden="false" customHeight="false" outlineLevel="0" collapsed="false">
      <c r="A306" s="51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46" t="s">
        <v>404</v>
      </c>
      <c r="G306" s="0" t="n">
        <v>46.6</v>
      </c>
      <c r="H306" s="0" t="n">
        <v>56</v>
      </c>
      <c r="I306" s="46" t="s">
        <v>152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51" t="n">
        <v>46165</v>
      </c>
      <c r="X306" s="46" t="n">
        <f aca="false">IF(I306="Male",0,1)</f>
        <v>1</v>
      </c>
      <c r="Y306" s="46" t="n">
        <f aca="false">IF(OR(I306="DNB",I306="Dry DNB"),1,0)</f>
        <v>0</v>
      </c>
      <c r="Z306" s="46" t="n">
        <f aca="false">IF(ISNUMBER(W306),A306-W306,"")</f>
        <v>144</v>
      </c>
      <c r="AA306" s="46" t="n">
        <f aca="false">MATCH(A306,DATAS,0)</f>
        <v>1</v>
      </c>
      <c r="AB306" s="46" t="n">
        <f aca="false">IF(AND(E306&gt;0,OR(AND(B306&gt;=1,B306&lt;=6),B306=10)),1,0)</f>
        <v>1</v>
      </c>
      <c r="AC306" s="46" t="n">
        <f aca="false">IF(AND(E306&gt;0,B306=10),1,0)</f>
        <v>0</v>
      </c>
      <c r="AD306" s="0" t="str">
        <f aca="false">IF(AND(C305=C306,AA305=AA306-1),AB305,"")</f>
        <v/>
      </c>
      <c r="AE306" s="0" t="str">
        <f aca="false">IF(AND(C305=C306,AA305=AA306-1),AC305,"")</f>
        <v/>
      </c>
      <c r="AF306" s="0" t="str">
        <f aca="false">IF(AA306=1,"",IF(AND(AB306=1,AD306&lt;&gt;1),1,0))</f>
        <v/>
      </c>
      <c r="AG306" s="0" t="str">
        <f aca="false">IF(AA306=1,"",IF(AND(AC306=1,AE306&lt;&gt;1),1,0))</f>
        <v/>
      </c>
      <c r="AH306" s="51" t="str">
        <f aca="false">IF(AND(E306&gt;0,AA306&lt;1,NOT(AND(C307=C306,AA307=AA306+1))),INDEX(DATAS,AA306+1),"")</f>
        <v/>
      </c>
      <c r="AI306" s="51" t="str">
        <f aca="false">IF(AND(AC306=1,AA306&lt;1),IF(AND(C307=C306,AA307=AA306+1),IF(AC307=1,"",INDEX(DATAS,AA306+1)),INDEX(DATAS,AA306+1)),"")</f>
        <v/>
      </c>
    </row>
    <row r="307" customFormat="false" ht="15" hidden="false" customHeight="false" outlineLevel="0" collapsed="false">
      <c r="A307" s="51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46" t="s">
        <v>405</v>
      </c>
      <c r="G307" s="0" t="n">
        <v>80.7</v>
      </c>
      <c r="H307" s="0" t="n">
        <v>77</v>
      </c>
      <c r="I307" s="46" t="s">
        <v>161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X307" s="46" t="n">
        <f aca="false">IF(I307="Male",0,1)</f>
        <v>1</v>
      </c>
      <c r="Y307" s="46" t="n">
        <f aca="false">IF(OR(I307="DNB",I307="Dry DNB"),1,0)</f>
        <v>0</v>
      </c>
      <c r="Z307" s="0" t="str">
        <f aca="false">IF(ISNUMBER(W307),A307-W307,"")</f>
        <v/>
      </c>
      <c r="AA307" s="46" t="n">
        <f aca="false">MATCH(A307,DATAS,0)</f>
        <v>1</v>
      </c>
      <c r="AB307" s="46" t="n">
        <f aca="false">IF(AND(E307&gt;0,OR(AND(B307&gt;=1,B307&lt;=6),B307=10)),1,0)</f>
        <v>1</v>
      </c>
      <c r="AC307" s="46" t="n">
        <f aca="false">IF(AND(E307&gt;0,B307=10),1,0)</f>
        <v>0</v>
      </c>
      <c r="AD307" s="0" t="str">
        <f aca="false">IF(AND(C306=C307,AA306=AA307-1),AB306,"")</f>
        <v/>
      </c>
      <c r="AE307" s="0" t="str">
        <f aca="false">IF(AND(C306=C307,AA306=AA307-1),AC306,"")</f>
        <v/>
      </c>
      <c r="AF307" s="0" t="str">
        <f aca="false">IF(AA307=1,"",IF(AND(AB307=1,AD307&lt;&gt;1),1,0))</f>
        <v/>
      </c>
      <c r="AG307" s="0" t="str">
        <f aca="false">IF(AA307=1,"",IF(AND(AC307=1,AE307&lt;&gt;1),1,0))</f>
        <v/>
      </c>
      <c r="AH307" s="51" t="str">
        <f aca="false">IF(AND(E307&gt;0,AA307&lt;1,NOT(AND(C308=C307,AA308=AA307+1))),INDEX(DATAS,AA307+1),"")</f>
        <v/>
      </c>
      <c r="AI307" s="51" t="str">
        <f aca="false">IF(AND(AC307=1,AA307&lt;1),IF(AND(C308=C307,AA308=AA307+1),IF(AC308=1,"",INDEX(DATAS,AA307+1)),INDEX(DATAS,AA307+1)),"")</f>
        <v/>
      </c>
    </row>
    <row r="308" customFormat="false" ht="15" hidden="false" customHeight="false" outlineLevel="0" collapsed="false">
      <c r="A308" s="51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46" t="s">
        <v>406</v>
      </c>
      <c r="G308" s="0" t="n">
        <v>33.6</v>
      </c>
      <c r="H308" s="0" t="n">
        <v>36</v>
      </c>
      <c r="I308" s="46" t="s">
        <v>189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51" t="n">
        <v>46177</v>
      </c>
      <c r="X308" s="46" t="n">
        <f aca="false">IF(I308="Male",0,1)</f>
        <v>1</v>
      </c>
      <c r="Y308" s="46" t="n">
        <f aca="false">IF(OR(I308="DNB",I308="Dry DNB"),1,0)</f>
        <v>0</v>
      </c>
      <c r="Z308" s="46" t="n">
        <f aca="false">IF(ISNUMBER(W308),A308-W308,"")</f>
        <v>132</v>
      </c>
      <c r="AA308" s="46" t="n">
        <f aca="false">MATCH(A308,DATAS,0)</f>
        <v>1</v>
      </c>
      <c r="AB308" s="46" t="n">
        <f aca="false">IF(AND(E308&gt;0,OR(AND(B308&gt;=1,B308&lt;=6),B308=10)),1,0)</f>
        <v>1</v>
      </c>
      <c r="AC308" s="46" t="n">
        <f aca="false">IF(AND(E308&gt;0,B308=10),1,0)</f>
        <v>0</v>
      </c>
      <c r="AD308" s="0" t="str">
        <f aca="false">IF(AND(C307=C308,AA307=AA308-1),AB307,"")</f>
        <v/>
      </c>
      <c r="AE308" s="0" t="str">
        <f aca="false">IF(AND(C307=C308,AA307=AA308-1),AC307,"")</f>
        <v/>
      </c>
      <c r="AF308" s="0" t="str">
        <f aca="false">IF(AA308=1,"",IF(AND(AB308=1,AD308&lt;&gt;1),1,0))</f>
        <v/>
      </c>
      <c r="AG308" s="0" t="str">
        <f aca="false">IF(AA308=1,"",IF(AND(AC308=1,AE308&lt;&gt;1),1,0))</f>
        <v/>
      </c>
      <c r="AH308" s="51" t="str">
        <f aca="false">IF(AND(E308&gt;0,AA308&lt;1,NOT(AND(C309=C308,AA309=AA308+1))),INDEX(DATAS,AA308+1),"")</f>
        <v/>
      </c>
      <c r="AI308" s="51" t="str">
        <f aca="false">IF(AND(AC308=1,AA308&lt;1),IF(AND(C309=C308,AA309=AA308+1),IF(AC309=1,"",INDEX(DATAS,AA308+1)),INDEX(DATAS,AA308+1)),"")</f>
        <v/>
      </c>
    </row>
    <row r="309" customFormat="false" ht="15" hidden="false" customHeight="false" outlineLevel="0" collapsed="false">
      <c r="A309" s="51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46" t="s">
        <v>407</v>
      </c>
      <c r="G309" s="0" t="n">
        <v>36.9</v>
      </c>
      <c r="H309" s="0" t="n">
        <v>35</v>
      </c>
      <c r="I309" s="46" t="s">
        <v>152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51" t="n">
        <v>46275</v>
      </c>
      <c r="X309" s="46" t="n">
        <f aca="false">IF(I309="Male",0,1)</f>
        <v>1</v>
      </c>
      <c r="Y309" s="46" t="n">
        <f aca="false">IF(OR(I309="DNB",I309="Dry DNB"),1,0)</f>
        <v>0</v>
      </c>
      <c r="Z309" s="46" t="n">
        <f aca="false">IF(ISNUMBER(W309),A309-W309,"")</f>
        <v>34</v>
      </c>
      <c r="AA309" s="46" t="n">
        <f aca="false">MATCH(A309,DATAS,0)</f>
        <v>1</v>
      </c>
      <c r="AB309" s="46" t="n">
        <f aca="false">IF(AND(E309&gt;0,OR(AND(B309&gt;=1,B309&lt;=6),B309=10)),1,0)</f>
        <v>1</v>
      </c>
      <c r="AC309" s="46" t="n">
        <f aca="false">IF(AND(E309&gt;0,B309=10),1,0)</f>
        <v>0</v>
      </c>
      <c r="AD309" s="0" t="str">
        <f aca="false">IF(AND(C308=C309,AA308=AA309-1),AB308,"")</f>
        <v/>
      </c>
      <c r="AE309" s="0" t="str">
        <f aca="false">IF(AND(C308=C309,AA308=AA309-1),AC308,"")</f>
        <v/>
      </c>
      <c r="AF309" s="0" t="str">
        <f aca="false">IF(AA309=1,"",IF(AND(AB309=1,AD309&lt;&gt;1),1,0))</f>
        <v/>
      </c>
      <c r="AG309" s="0" t="str">
        <f aca="false">IF(AA309=1,"",IF(AND(AC309=1,AE309&lt;&gt;1),1,0))</f>
        <v/>
      </c>
      <c r="AH309" s="51" t="str">
        <f aca="false">IF(AND(E309&gt;0,AA309&lt;1,NOT(AND(C310=C309,AA310=AA309+1))),INDEX(DATAS,AA309+1),"")</f>
        <v/>
      </c>
      <c r="AI309" s="51" t="str">
        <f aca="false">IF(AND(AC309=1,AA309&lt;1),IF(AND(C310=C309,AA310=AA309+1),IF(AC310=1,"",INDEX(DATAS,AA309+1)),INDEX(DATAS,AA309+1)),"")</f>
        <v/>
      </c>
    </row>
    <row r="310" customFormat="false" ht="15" hidden="false" customHeight="false" outlineLevel="0" collapsed="false">
      <c r="A310" s="51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46" t="s">
        <v>407</v>
      </c>
      <c r="G310" s="0" t="n">
        <v>37.5</v>
      </c>
      <c r="H310" s="0" t="n">
        <v>38</v>
      </c>
      <c r="I310" s="46" t="s">
        <v>152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51" t="n">
        <v>46128</v>
      </c>
      <c r="X310" s="46" t="n">
        <f aca="false">IF(I310="Male",0,1)</f>
        <v>1</v>
      </c>
      <c r="Y310" s="46" t="n">
        <f aca="false">IF(OR(I310="DNB",I310="Dry DNB"),1,0)</f>
        <v>0</v>
      </c>
      <c r="Z310" s="46" t="n">
        <f aca="false">IF(ISNUMBER(W310),A310-W310,"")</f>
        <v>181</v>
      </c>
      <c r="AA310" s="46" t="n">
        <f aca="false">MATCH(A310,DATAS,0)</f>
        <v>1</v>
      </c>
      <c r="AB310" s="46" t="n">
        <f aca="false">IF(AND(E310&gt;0,OR(AND(B310&gt;=1,B310&lt;=6),B310=10)),1,0)</f>
        <v>1</v>
      </c>
      <c r="AC310" s="46" t="n">
        <f aca="false">IF(AND(E310&gt;0,B310=10),1,0)</f>
        <v>0</v>
      </c>
      <c r="AD310" s="0" t="str">
        <f aca="false">IF(AND(C309=C310,AA309=AA310-1),AB309,"")</f>
        <v/>
      </c>
      <c r="AE310" s="0" t="str">
        <f aca="false">IF(AND(C309=C310,AA309=AA310-1),AC309,"")</f>
        <v/>
      </c>
      <c r="AF310" s="0" t="str">
        <f aca="false">IF(AA310=1,"",IF(AND(AB310=1,AD310&lt;&gt;1),1,0))</f>
        <v/>
      </c>
      <c r="AG310" s="0" t="str">
        <f aca="false">IF(AA310=1,"",IF(AND(AC310=1,AE310&lt;&gt;1),1,0))</f>
        <v/>
      </c>
      <c r="AH310" s="51" t="str">
        <f aca="false">IF(AND(E310&gt;0,AA310&lt;1,NOT(AND(C311=C310,AA311=AA310+1))),INDEX(DATAS,AA310+1),"")</f>
        <v/>
      </c>
      <c r="AI310" s="51" t="str">
        <f aca="false">IF(AND(AC310=1,AA310&lt;1),IF(AND(C311=C310,AA311=AA310+1),IF(AC311=1,"",INDEX(DATAS,AA310+1)),INDEX(DATAS,AA310+1)),"")</f>
        <v/>
      </c>
    </row>
    <row r="311" customFormat="false" ht="15" hidden="false" customHeight="false" outlineLevel="0" collapsed="false">
      <c r="A311" s="51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46" t="s">
        <v>408</v>
      </c>
      <c r="G311" s="0" t="n">
        <v>28</v>
      </c>
      <c r="H311" s="0" t="n">
        <v>27</v>
      </c>
      <c r="I311" s="46" t="s">
        <v>152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51" t="n">
        <v>46125</v>
      </c>
      <c r="X311" s="46" t="n">
        <f aca="false">IF(I311="Male",0,1)</f>
        <v>1</v>
      </c>
      <c r="Y311" s="46" t="n">
        <f aca="false">IF(OR(I311="DNB",I311="Dry DNB"),1,0)</f>
        <v>0</v>
      </c>
      <c r="Z311" s="46" t="n">
        <f aca="false">IF(ISNUMBER(W311),A311-W311,"")</f>
        <v>184</v>
      </c>
      <c r="AA311" s="46" t="n">
        <f aca="false">MATCH(A311,DATAS,0)</f>
        <v>1</v>
      </c>
      <c r="AB311" s="46" t="n">
        <f aca="false">IF(AND(E311&gt;0,OR(AND(B311&gt;=1,B311&lt;=6),B311=10)),1,0)</f>
        <v>1</v>
      </c>
      <c r="AC311" s="46" t="n">
        <f aca="false">IF(AND(E311&gt;0,B311=10),1,0)</f>
        <v>0</v>
      </c>
      <c r="AD311" s="0" t="str">
        <f aca="false">IF(AND(C310=C311,AA310=AA311-1),AB310,"")</f>
        <v/>
      </c>
      <c r="AE311" s="0" t="str">
        <f aca="false">IF(AND(C310=C311,AA310=AA311-1),AC310,"")</f>
        <v/>
      </c>
      <c r="AF311" s="0" t="str">
        <f aca="false">IF(AA311=1,"",IF(AND(AB311=1,AD311&lt;&gt;1),1,0))</f>
        <v/>
      </c>
      <c r="AG311" s="0" t="str">
        <f aca="false">IF(AA311=1,"",IF(AND(AC311=1,AE311&lt;&gt;1),1,0))</f>
        <v/>
      </c>
      <c r="AH311" s="51" t="str">
        <f aca="false">IF(AND(E311&gt;0,AA311&lt;1,NOT(AND(C312=C311,AA312=AA311+1))),INDEX(DATAS,AA311+1),"")</f>
        <v/>
      </c>
      <c r="AI311" s="51" t="str">
        <f aca="false">IF(AND(AC311=1,AA311&lt;1),IF(AND(C312=C311,AA312=AA311+1),IF(AC312=1,"",INDEX(DATAS,AA311+1)),INDEX(DATAS,AA311+1)),"")</f>
        <v/>
      </c>
    </row>
    <row r="312" customFormat="false" ht="15" hidden="false" customHeight="false" outlineLevel="0" collapsed="false">
      <c r="A312" s="51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46" t="s">
        <v>408</v>
      </c>
      <c r="I312" s="46" t="s">
        <v>152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51" t="n">
        <v>46156</v>
      </c>
      <c r="X312" s="46" t="n">
        <f aca="false">IF(I312="Male",0,1)</f>
        <v>1</v>
      </c>
      <c r="Y312" s="46" t="n">
        <f aca="false">IF(OR(I312="DNB",I312="Dry DNB"),1,0)</f>
        <v>0</v>
      </c>
      <c r="Z312" s="46" t="n">
        <f aca="false">IF(ISNUMBER(W312),A312-W312,"")</f>
        <v>153</v>
      </c>
      <c r="AA312" s="46" t="n">
        <f aca="false">MATCH(A312,DATAS,0)</f>
        <v>1</v>
      </c>
      <c r="AB312" s="46" t="n">
        <f aca="false">IF(AND(E312&gt;0,OR(AND(B312&gt;=1,B312&lt;=6),B312=10)),1,0)</f>
        <v>0</v>
      </c>
      <c r="AC312" s="46" t="n">
        <f aca="false">IF(AND(E312&gt;0,B312=10),1,0)</f>
        <v>0</v>
      </c>
      <c r="AD312" s="0" t="str">
        <f aca="false">IF(AND(C311=C312,AA311=AA312-1),AB311,"")</f>
        <v/>
      </c>
      <c r="AE312" s="0" t="str">
        <f aca="false">IF(AND(C311=C312,AA311=AA312-1),AC311,"")</f>
        <v/>
      </c>
      <c r="AF312" s="0" t="str">
        <f aca="false">IF(AA312=1,"",IF(AND(AB312=1,AD312&lt;&gt;1),1,0))</f>
        <v/>
      </c>
      <c r="AG312" s="0" t="str">
        <f aca="false">IF(AA312=1,"",IF(AND(AC312=1,AE312&lt;&gt;1),1,0))</f>
        <v/>
      </c>
      <c r="AH312" s="51" t="str">
        <f aca="false">IF(AND(E312&gt;0,AA312&lt;1,NOT(AND(C313=C312,AA313=AA312+1))),INDEX(DATAS,AA312+1),"")</f>
        <v/>
      </c>
      <c r="AI312" s="51" t="str">
        <f aca="false">IF(AND(AC312=1,AA312&lt;1),IF(AND(C313=C312,AA313=AA312+1),IF(AC313=1,"",INDEX(DATAS,AA312+1)),INDEX(DATAS,AA312+1)),"")</f>
        <v/>
      </c>
    </row>
    <row r="313" customFormat="false" ht="15" hidden="false" customHeight="false" outlineLevel="0" collapsed="false">
      <c r="A313" s="51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46" t="s">
        <v>409</v>
      </c>
      <c r="G313" s="0" t="n">
        <v>50.8</v>
      </c>
      <c r="H313" s="0" t="n">
        <v>58</v>
      </c>
      <c r="I313" s="46" t="s">
        <v>152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51" t="n">
        <v>46254</v>
      </c>
      <c r="X313" s="46" t="n">
        <f aca="false">IF(I313="Male",0,1)</f>
        <v>1</v>
      </c>
      <c r="Y313" s="46" t="n">
        <f aca="false">IF(OR(I313="DNB",I313="Dry DNB"),1,0)</f>
        <v>0</v>
      </c>
      <c r="Z313" s="46" t="n">
        <f aca="false">IF(ISNUMBER(W313),A313-W313,"")</f>
        <v>55</v>
      </c>
      <c r="AA313" s="46" t="n">
        <f aca="false">MATCH(A313,DATAS,0)</f>
        <v>1</v>
      </c>
      <c r="AB313" s="46" t="n">
        <f aca="false">IF(AND(E313&gt;0,OR(AND(B313&gt;=1,B313&lt;=6),B313=10)),1,0)</f>
        <v>1</v>
      </c>
      <c r="AC313" s="46" t="n">
        <f aca="false">IF(AND(E313&gt;0,B313=10),1,0)</f>
        <v>0</v>
      </c>
      <c r="AD313" s="0" t="str">
        <f aca="false">IF(AND(C312=C313,AA312=AA313-1),AB312,"")</f>
        <v/>
      </c>
      <c r="AE313" s="0" t="str">
        <f aca="false">IF(AND(C312=C313,AA312=AA313-1),AC312,"")</f>
        <v/>
      </c>
      <c r="AF313" s="0" t="str">
        <f aca="false">IF(AA313=1,"",IF(AND(AB313=1,AD313&lt;&gt;1),1,0))</f>
        <v/>
      </c>
      <c r="AG313" s="0" t="str">
        <f aca="false">IF(AA313=1,"",IF(AND(AC313=1,AE313&lt;&gt;1),1,0))</f>
        <v/>
      </c>
      <c r="AH313" s="51" t="str">
        <f aca="false">IF(AND(E313&gt;0,AA313&lt;1,NOT(AND(C314=C313,AA314=AA313+1))),INDEX(DATAS,AA313+1),"")</f>
        <v/>
      </c>
      <c r="AI313" s="51" t="str">
        <f aca="false">IF(AND(AC313=1,AA313&lt;1),IF(AND(C314=C313,AA314=AA313+1),IF(AC314=1,"",INDEX(DATAS,AA313+1)),INDEX(DATAS,AA313+1)),"")</f>
        <v/>
      </c>
    </row>
    <row r="314" customFormat="false" ht="15" hidden="false" customHeight="false" outlineLevel="0" collapsed="false">
      <c r="A314" s="51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46" t="s">
        <v>409</v>
      </c>
      <c r="G314" s="0" t="n">
        <v>55</v>
      </c>
      <c r="H314" s="0" t="n">
        <v>61</v>
      </c>
      <c r="I314" s="46" t="s">
        <v>181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51" t="n">
        <v>46310</v>
      </c>
      <c r="X314" s="46" t="n">
        <f aca="false">IF(I314="Male",0,1)</f>
        <v>1</v>
      </c>
      <c r="Y314" s="46" t="n">
        <f aca="false">IF(OR(I314="DNB",I314="Dry DNB"),1,0)</f>
        <v>0</v>
      </c>
      <c r="Z314" s="46" t="n">
        <f aca="false">IF(ISNUMBER(W314),A314-W314,"")</f>
        <v>-1</v>
      </c>
      <c r="AA314" s="46" t="n">
        <f aca="false">MATCH(A314,DATAS,0)</f>
        <v>1</v>
      </c>
      <c r="AB314" s="46" t="n">
        <f aca="false">IF(AND(E314&gt;0,OR(AND(B314&gt;=1,B314&lt;=6),B314=10)),1,0)</f>
        <v>1</v>
      </c>
      <c r="AC314" s="46" t="n">
        <f aca="false">IF(AND(E314&gt;0,B314=10),1,0)</f>
        <v>0</v>
      </c>
      <c r="AD314" s="0" t="str">
        <f aca="false">IF(AND(C313=C314,AA313=AA314-1),AB313,"")</f>
        <v/>
      </c>
      <c r="AE314" s="0" t="str">
        <f aca="false">IF(AND(C313=C314,AA313=AA314-1),AC313,"")</f>
        <v/>
      </c>
      <c r="AF314" s="0" t="str">
        <f aca="false">IF(AA314=1,"",IF(AND(AB314=1,AD314&lt;&gt;1),1,0))</f>
        <v/>
      </c>
      <c r="AG314" s="0" t="str">
        <f aca="false">IF(AA314=1,"",IF(AND(AC314=1,AE314&lt;&gt;1),1,0))</f>
        <v/>
      </c>
      <c r="AH314" s="51" t="str">
        <f aca="false">IF(AND(E314&gt;0,AA314&lt;1,NOT(AND(C315=C314,AA315=AA314+1))),INDEX(DATAS,AA314+1),"")</f>
        <v/>
      </c>
      <c r="AI314" s="51" t="str">
        <f aca="false">IF(AND(AC314=1,AA314&lt;1),IF(AND(C315=C314,AA315=AA314+1),IF(AC315=1,"",INDEX(DATAS,AA314+1)),INDEX(DATAS,AA314+1)),"")</f>
        <v/>
      </c>
    </row>
    <row r="315" customFormat="false" ht="15" hidden="false" customHeight="false" outlineLevel="0" collapsed="false">
      <c r="A315" s="51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46" t="s">
        <v>410</v>
      </c>
      <c r="G315" s="0" t="n">
        <v>32.3</v>
      </c>
      <c r="H315" s="0" t="n">
        <v>34</v>
      </c>
      <c r="I315" s="46" t="s">
        <v>138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X315" s="46" t="n">
        <f aca="false">IF(I315="Male",0,1)</f>
        <v>1</v>
      </c>
      <c r="Y315" s="46" t="n">
        <f aca="false">IF(OR(I315="DNB",I315="Dry DNB"),1,0)</f>
        <v>1</v>
      </c>
      <c r="Z315" s="0" t="str">
        <f aca="false">IF(ISNUMBER(W315),A315-W315,"")</f>
        <v/>
      </c>
      <c r="AA315" s="46" t="n">
        <f aca="false">MATCH(A315,DATAS,0)</f>
        <v>1</v>
      </c>
      <c r="AB315" s="46" t="n">
        <f aca="false">IF(AND(E315&gt;0,OR(AND(B315&gt;=1,B315&lt;=6),B315=10)),1,0)</f>
        <v>1</v>
      </c>
      <c r="AC315" s="46" t="n">
        <f aca="false">IF(AND(E315&gt;0,B315=10),1,0)</f>
        <v>0</v>
      </c>
      <c r="AD315" s="0" t="str">
        <f aca="false">IF(AND(C314=C315,AA314=AA315-1),AB314,"")</f>
        <v/>
      </c>
      <c r="AE315" s="0" t="str">
        <f aca="false">IF(AND(C314=C315,AA314=AA315-1),AC314,"")</f>
        <v/>
      </c>
      <c r="AF315" s="0" t="str">
        <f aca="false">IF(AA315=1,"",IF(AND(AB315=1,AD315&lt;&gt;1),1,0))</f>
        <v/>
      </c>
      <c r="AG315" s="0" t="str">
        <f aca="false">IF(AA315=1,"",IF(AND(AC315=1,AE315&lt;&gt;1),1,0))</f>
        <v/>
      </c>
      <c r="AH315" s="51" t="str">
        <f aca="false">IF(AND(E315&gt;0,AA315&lt;1,NOT(AND(C316=C315,AA316=AA315+1))),INDEX(DATAS,AA315+1),"")</f>
        <v/>
      </c>
      <c r="AI315" s="51" t="str">
        <f aca="false">IF(AND(AC315=1,AA315&lt;1),IF(AND(C316=C315,AA316=AA315+1),IF(AC316=1,"",INDEX(DATAS,AA315+1)),INDEX(DATAS,AA315+1)),"")</f>
        <v/>
      </c>
    </row>
    <row r="316" customFormat="false" ht="15" hidden="false" customHeight="false" outlineLevel="0" collapsed="false">
      <c r="A316" s="51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46" t="s">
        <v>410</v>
      </c>
      <c r="G316" s="0" t="n">
        <v>54.6</v>
      </c>
      <c r="H316" s="0" t="n">
        <v>55</v>
      </c>
      <c r="I316" s="46" t="s">
        <v>152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51" t="n">
        <v>46198</v>
      </c>
      <c r="X316" s="46" t="n">
        <f aca="false">IF(I316="Male",0,1)</f>
        <v>1</v>
      </c>
      <c r="Y316" s="46" t="n">
        <f aca="false">IF(OR(I316="DNB",I316="Dry DNB"),1,0)</f>
        <v>0</v>
      </c>
      <c r="Z316" s="46" t="n">
        <f aca="false">IF(ISNUMBER(W316),A316-W316,"")</f>
        <v>111</v>
      </c>
      <c r="AA316" s="46" t="n">
        <f aca="false">MATCH(A316,DATAS,0)</f>
        <v>1</v>
      </c>
      <c r="AB316" s="46" t="n">
        <f aca="false">IF(AND(E316&gt;0,OR(AND(B316&gt;=1,B316&lt;=6),B316=10)),1,0)</f>
        <v>1</v>
      </c>
      <c r="AC316" s="46" t="n">
        <f aca="false">IF(AND(E316&gt;0,B316=10),1,0)</f>
        <v>0</v>
      </c>
      <c r="AD316" s="0" t="str">
        <f aca="false">IF(AND(C315=C316,AA315=AA316-1),AB315,"")</f>
        <v/>
      </c>
      <c r="AE316" s="0" t="str">
        <f aca="false">IF(AND(C315=C316,AA315=AA316-1),AC315,"")</f>
        <v/>
      </c>
      <c r="AF316" s="0" t="str">
        <f aca="false">IF(AA316=1,"",IF(AND(AB316=1,AD316&lt;&gt;1),1,0))</f>
        <v/>
      </c>
      <c r="AG316" s="0" t="str">
        <f aca="false">IF(AA316=1,"",IF(AND(AC316=1,AE316&lt;&gt;1),1,0))</f>
        <v/>
      </c>
      <c r="AH316" s="51" t="str">
        <f aca="false">IF(AND(E316&gt;0,AA316&lt;1,NOT(AND(C317=C316,AA317=AA316+1))),INDEX(DATAS,AA316+1),"")</f>
        <v/>
      </c>
      <c r="AI316" s="51" t="str">
        <f aca="false">IF(AND(AC316=1,AA316&lt;1),IF(AND(C317=C316,AA317=AA316+1),IF(AC317=1,"",INDEX(DATAS,AA316+1)),INDEX(DATAS,AA316+1)),"")</f>
        <v/>
      </c>
    </row>
    <row r="317" customFormat="false" ht="15" hidden="false" customHeight="false" outlineLevel="0" collapsed="false">
      <c r="A317" s="51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46" t="s">
        <v>411</v>
      </c>
      <c r="G317" s="0" t="n">
        <v>47.3</v>
      </c>
      <c r="H317" s="0" t="n">
        <v>45</v>
      </c>
      <c r="I317" s="46" t="s">
        <v>152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51" t="n">
        <v>46142</v>
      </c>
      <c r="X317" s="46" t="n">
        <f aca="false">IF(I317="Male",0,1)</f>
        <v>1</v>
      </c>
      <c r="Y317" s="46" t="n">
        <f aca="false">IF(OR(I317="DNB",I317="Dry DNB"),1,0)</f>
        <v>0</v>
      </c>
      <c r="Z317" s="46" t="n">
        <f aca="false">IF(ISNUMBER(W317),A317-W317,"")</f>
        <v>167</v>
      </c>
      <c r="AA317" s="46" t="n">
        <f aca="false">MATCH(A317,DATAS,0)</f>
        <v>1</v>
      </c>
      <c r="AB317" s="46" t="n">
        <f aca="false">IF(AND(E317&gt;0,OR(AND(B317&gt;=1,B317&lt;=6),B317=10)),1,0)</f>
        <v>1</v>
      </c>
      <c r="AC317" s="46" t="n">
        <f aca="false">IF(AND(E317&gt;0,B317=10),1,0)</f>
        <v>0</v>
      </c>
      <c r="AD317" s="0" t="str">
        <f aca="false">IF(AND(C316=C317,AA316=AA317-1),AB316,"")</f>
        <v/>
      </c>
      <c r="AE317" s="0" t="str">
        <f aca="false">IF(AND(C316=C317,AA316=AA317-1),AC316,"")</f>
        <v/>
      </c>
      <c r="AF317" s="0" t="str">
        <f aca="false">IF(AA317=1,"",IF(AND(AB317=1,AD317&lt;&gt;1),1,0))</f>
        <v/>
      </c>
      <c r="AG317" s="0" t="str">
        <f aca="false">IF(AA317=1,"",IF(AND(AC317=1,AE317&lt;&gt;1),1,0))</f>
        <v/>
      </c>
      <c r="AH317" s="51" t="str">
        <f aca="false">IF(AND(E317&gt;0,AA317&lt;1,NOT(AND(C318=C317,AA318=AA317+1))),INDEX(DATAS,AA317+1),"")</f>
        <v/>
      </c>
      <c r="AI317" s="51" t="str">
        <f aca="false">IF(AND(AC317=1,AA317&lt;1),IF(AND(C318=C317,AA318=AA317+1),IF(AC318=1,"",INDEX(DATAS,AA317+1)),INDEX(DATAS,AA317+1)),"")</f>
        <v/>
      </c>
    </row>
    <row r="318" customFormat="false" ht="15" hidden="false" customHeight="false" outlineLevel="0" collapsed="false">
      <c r="A318" s="51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46" t="s">
        <v>412</v>
      </c>
      <c r="G318" s="0" t="n">
        <v>22.1</v>
      </c>
      <c r="H318" s="0" t="n">
        <v>20</v>
      </c>
      <c r="I318" s="46" t="s">
        <v>138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51" t="n">
        <v>46219</v>
      </c>
      <c r="X318" s="46" t="n">
        <f aca="false">IF(I318="Male",0,1)</f>
        <v>1</v>
      </c>
      <c r="Y318" s="46" t="n">
        <f aca="false">IF(OR(I318="DNB",I318="Dry DNB"),1,0)</f>
        <v>1</v>
      </c>
      <c r="Z318" s="46" t="n">
        <f aca="false">IF(ISNUMBER(W318),A318-W318,"")</f>
        <v>90</v>
      </c>
      <c r="AA318" s="46" t="n">
        <f aca="false">MATCH(A318,DATAS,0)</f>
        <v>1</v>
      </c>
      <c r="AB318" s="46" t="n">
        <f aca="false">IF(AND(E318&gt;0,OR(AND(B318&gt;=1,B318&lt;=6),B318=10)),1,0)</f>
        <v>1</v>
      </c>
      <c r="AC318" s="46" t="n">
        <f aca="false">IF(AND(E318&gt;0,B318=10),1,0)</f>
        <v>0</v>
      </c>
      <c r="AD318" s="0" t="str">
        <f aca="false">IF(AND(C317=C318,AA317=AA318-1),AB317,"")</f>
        <v/>
      </c>
      <c r="AE318" s="0" t="str">
        <f aca="false">IF(AND(C317=C318,AA317=AA318-1),AC317,"")</f>
        <v/>
      </c>
      <c r="AF318" s="0" t="str">
        <f aca="false">IF(AA318=1,"",IF(AND(AB318=1,AD318&lt;&gt;1),1,0))</f>
        <v/>
      </c>
      <c r="AG318" s="0" t="str">
        <f aca="false">IF(AA318=1,"",IF(AND(AC318=1,AE318&lt;&gt;1),1,0))</f>
        <v/>
      </c>
      <c r="AH318" s="51" t="str">
        <f aca="false">IF(AND(E318&gt;0,AA318&lt;1,NOT(AND(C319=C318,AA319=AA318+1))),INDEX(DATAS,AA318+1),"")</f>
        <v/>
      </c>
      <c r="AI318" s="51" t="str">
        <f aca="false">IF(AND(AC318=1,AA318&lt;1),IF(AND(C319=C318,AA319=AA318+1),IF(AC319=1,"",INDEX(DATAS,AA318+1)),INDEX(DATAS,AA318+1)),"")</f>
        <v/>
      </c>
    </row>
    <row r="319" customFormat="false" ht="15" hidden="false" customHeight="false" outlineLevel="0" collapsed="false">
      <c r="A319" s="51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46" t="s">
        <v>412</v>
      </c>
      <c r="I319" s="46" t="s">
        <v>157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51" t="n">
        <v>46094</v>
      </c>
      <c r="X319" s="46" t="n">
        <f aca="false">IF(I319="Male",0,1)</f>
        <v>1</v>
      </c>
      <c r="Y319" s="46" t="n">
        <f aca="false">IF(OR(I319="DNB",I319="Dry DNB"),1,0)</f>
        <v>0</v>
      </c>
      <c r="Z319" s="46" t="n">
        <f aca="false">IF(ISNUMBER(W319),A319-W319,"")</f>
        <v>215</v>
      </c>
      <c r="AA319" s="46" t="n">
        <f aca="false">MATCH(A319,DATAS,0)</f>
        <v>1</v>
      </c>
      <c r="AB319" s="46" t="n">
        <f aca="false">IF(AND(E319&gt;0,OR(AND(B319&gt;=1,B319&lt;=6),B319=10)),1,0)</f>
        <v>0</v>
      </c>
      <c r="AC319" s="46" t="n">
        <f aca="false">IF(AND(E319&gt;0,B319=10),1,0)</f>
        <v>0</v>
      </c>
      <c r="AD319" s="0" t="str">
        <f aca="false">IF(AND(C318=C319,AA318=AA319-1),AB318,"")</f>
        <v/>
      </c>
      <c r="AE319" s="0" t="str">
        <f aca="false">IF(AND(C318=C319,AA318=AA319-1),AC318,"")</f>
        <v/>
      </c>
      <c r="AF319" s="0" t="str">
        <f aca="false">IF(AA319=1,"",IF(AND(AB319=1,AD319&lt;&gt;1),1,0))</f>
        <v/>
      </c>
      <c r="AG319" s="0" t="str">
        <f aca="false">IF(AA319=1,"",IF(AND(AC319=1,AE319&lt;&gt;1),1,0))</f>
        <v/>
      </c>
      <c r="AH319" s="51" t="str">
        <f aca="false">IF(AND(E319&gt;0,AA319&lt;1,NOT(AND(C320=C319,AA320=AA319+1))),INDEX(DATAS,AA319+1),"")</f>
        <v/>
      </c>
      <c r="AI319" s="51" t="str">
        <f aca="false">IF(AND(AC319=1,AA319&lt;1),IF(AND(C320=C319,AA320=AA319+1),IF(AC320=1,"",INDEX(DATAS,AA319+1)),INDEX(DATAS,AA319+1)),"")</f>
        <v/>
      </c>
    </row>
    <row r="320" customFormat="false" ht="15" hidden="false" customHeight="false" outlineLevel="0" collapsed="false">
      <c r="A320" s="51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46" t="s">
        <v>413</v>
      </c>
      <c r="G320" s="0" t="n">
        <v>45.7</v>
      </c>
      <c r="H320" s="0" t="n">
        <v>44</v>
      </c>
      <c r="I320" s="46" t="s">
        <v>152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51" t="n">
        <v>46178</v>
      </c>
      <c r="X320" s="46" t="n">
        <f aca="false">IF(I320="Male",0,1)</f>
        <v>1</v>
      </c>
      <c r="Y320" s="46" t="n">
        <f aca="false">IF(OR(I320="DNB",I320="Dry DNB"),1,0)</f>
        <v>0</v>
      </c>
      <c r="Z320" s="46" t="n">
        <f aca="false">IF(ISNUMBER(W320),A320-W320,"")</f>
        <v>131</v>
      </c>
      <c r="AA320" s="46" t="n">
        <f aca="false">MATCH(A320,DATAS,0)</f>
        <v>1</v>
      </c>
      <c r="AB320" s="46" t="n">
        <f aca="false">IF(AND(E320&gt;0,OR(AND(B320&gt;=1,B320&lt;=6),B320=10)),1,0)</f>
        <v>1</v>
      </c>
      <c r="AC320" s="46" t="n">
        <f aca="false">IF(AND(E320&gt;0,B320=10),1,0)</f>
        <v>0</v>
      </c>
      <c r="AD320" s="0" t="str">
        <f aca="false">IF(AND(C319=C320,AA319=AA320-1),AB319,"")</f>
        <v/>
      </c>
      <c r="AE320" s="0" t="str">
        <f aca="false">IF(AND(C319=C320,AA319=AA320-1),AC319,"")</f>
        <v/>
      </c>
      <c r="AF320" s="0" t="str">
        <f aca="false">IF(AA320=1,"",IF(AND(AB320=1,AD320&lt;&gt;1),1,0))</f>
        <v/>
      </c>
      <c r="AG320" s="0" t="str">
        <f aca="false">IF(AA320=1,"",IF(AND(AC320=1,AE320&lt;&gt;1),1,0))</f>
        <v/>
      </c>
      <c r="AH320" s="51" t="str">
        <f aca="false">IF(AND(E320&gt;0,AA320&lt;1,NOT(AND(C321=C320,AA321=AA320+1))),INDEX(DATAS,AA320+1),"")</f>
        <v/>
      </c>
      <c r="AI320" s="51" t="str">
        <f aca="false">IF(AND(AC320=1,AA320&lt;1),IF(AND(C321=C320,AA321=AA320+1),IF(AC321=1,"",INDEX(DATAS,AA320+1)),INDEX(DATAS,AA320+1)),"")</f>
        <v/>
      </c>
    </row>
    <row r="321" customFormat="false" ht="15" hidden="false" customHeight="false" outlineLevel="0" collapsed="false">
      <c r="A321" s="51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46" t="s">
        <v>413</v>
      </c>
      <c r="G321" s="0" t="n">
        <v>54.5</v>
      </c>
      <c r="H321" s="0" t="n">
        <v>55</v>
      </c>
      <c r="I321" s="46" t="s">
        <v>152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51" t="n">
        <v>46184</v>
      </c>
      <c r="X321" s="46" t="n">
        <f aca="false">IF(I321="Male",0,1)</f>
        <v>1</v>
      </c>
      <c r="Y321" s="46" t="n">
        <f aca="false">IF(OR(I321="DNB",I321="Dry DNB"),1,0)</f>
        <v>0</v>
      </c>
      <c r="Z321" s="46" t="n">
        <f aca="false">IF(ISNUMBER(W321),A321-W321,"")</f>
        <v>125</v>
      </c>
      <c r="AA321" s="46" t="n">
        <f aca="false">MATCH(A321,DATAS,0)</f>
        <v>1</v>
      </c>
      <c r="AB321" s="46" t="n">
        <f aca="false">IF(AND(E321&gt;0,OR(AND(B321&gt;=1,B321&lt;=6),B321=10)),1,0)</f>
        <v>1</v>
      </c>
      <c r="AC321" s="46" t="n">
        <f aca="false">IF(AND(E321&gt;0,B321=10),1,0)</f>
        <v>0</v>
      </c>
      <c r="AD321" s="0" t="str">
        <f aca="false">IF(AND(C320=C321,AA320=AA321-1),AB320,"")</f>
        <v/>
      </c>
      <c r="AE321" s="0" t="str">
        <f aca="false">IF(AND(C320=C321,AA320=AA321-1),AC320,"")</f>
        <v/>
      </c>
      <c r="AF321" s="0" t="str">
        <f aca="false">IF(AA321=1,"",IF(AND(AB321=1,AD321&lt;&gt;1),1,0))</f>
        <v/>
      </c>
      <c r="AG321" s="0" t="str">
        <f aca="false">IF(AA321=1,"",IF(AND(AC321=1,AE321&lt;&gt;1),1,0))</f>
        <v/>
      </c>
      <c r="AH321" s="51" t="str">
        <f aca="false">IF(AND(E321&gt;0,AA321&lt;1,NOT(AND(C322=C321,AA322=AA321+1))),INDEX(DATAS,AA321+1),"")</f>
        <v/>
      </c>
      <c r="AI321" s="51" t="str">
        <f aca="false">IF(AND(AC321=1,AA321&lt;1),IF(AND(C322=C321,AA322=AA321+1),IF(AC322=1,"",INDEX(DATAS,AA321+1)),INDEX(DATAS,AA321+1)),"")</f>
        <v/>
      </c>
    </row>
    <row r="322" customFormat="false" ht="15" hidden="false" customHeight="false" outlineLevel="0" collapsed="false">
      <c r="A322" s="51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46" t="s">
        <v>413</v>
      </c>
      <c r="G322" s="0" t="n">
        <v>9.8</v>
      </c>
      <c r="H322" s="0" t="n">
        <v>7</v>
      </c>
      <c r="I322" s="46" t="s">
        <v>152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51" t="n">
        <v>46170</v>
      </c>
      <c r="X322" s="46" t="n">
        <f aca="false">IF(I322="Male",0,1)</f>
        <v>1</v>
      </c>
      <c r="Y322" s="46" t="n">
        <f aca="false">IF(OR(I322="DNB",I322="Dry DNB"),1,0)</f>
        <v>0</v>
      </c>
      <c r="Z322" s="46" t="n">
        <f aca="false">IF(ISNUMBER(W322),A322-W322,"")</f>
        <v>139</v>
      </c>
      <c r="AA322" s="46" t="n">
        <f aca="false">MATCH(A322,DATAS,0)</f>
        <v>1</v>
      </c>
      <c r="AB322" s="46" t="n">
        <f aca="false">IF(AND(E322&gt;0,OR(AND(B322&gt;=1,B322&lt;=6),B322=10)),1,0)</f>
        <v>1</v>
      </c>
      <c r="AC322" s="46" t="n">
        <f aca="false">IF(AND(E322&gt;0,B322=10),1,0)</f>
        <v>1</v>
      </c>
      <c r="AD322" s="0" t="str">
        <f aca="false">IF(AND(C321=C322,AA321=AA322-1),AB321,"")</f>
        <v/>
      </c>
      <c r="AE322" s="0" t="str">
        <f aca="false">IF(AND(C321=C322,AA321=AA322-1),AC321,"")</f>
        <v/>
      </c>
      <c r="AF322" s="0" t="str">
        <f aca="false">IF(AA322=1,"",IF(AND(AB322=1,AD322&lt;&gt;1),1,0))</f>
        <v/>
      </c>
      <c r="AG322" s="0" t="str">
        <f aca="false">IF(AA322=1,"",IF(AND(AC322=1,AE322&lt;&gt;1),1,0))</f>
        <v/>
      </c>
      <c r="AH322" s="51" t="str">
        <f aca="false">IF(AND(E322&gt;0,AA322&lt;1,NOT(AND(C323=C322,AA323=AA322+1))),INDEX(DATAS,AA322+1),"")</f>
        <v/>
      </c>
      <c r="AI322" s="51" t="str">
        <f aca="false">IF(AND(AC322=1,AA322&lt;1),IF(AND(C323=C322,AA323=AA322+1),IF(AC323=1,"",INDEX(DATAS,AA322+1)),INDEX(DATAS,AA322+1)),"")</f>
        <v/>
      </c>
    </row>
    <row r="323" customFormat="false" ht="15" hidden="false" customHeight="false" outlineLevel="0" collapsed="false">
      <c r="A323" s="51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46" t="s">
        <v>414</v>
      </c>
      <c r="G323" s="0" t="n">
        <v>31.7</v>
      </c>
      <c r="H323" s="0" t="n">
        <v>34</v>
      </c>
      <c r="I323" s="46" t="s">
        <v>152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51" t="n">
        <v>46100</v>
      </c>
      <c r="X323" s="46" t="n">
        <f aca="false">IF(I323="Male",0,1)</f>
        <v>1</v>
      </c>
      <c r="Y323" s="46" t="n">
        <f aca="false">IF(OR(I323="DNB",I323="Dry DNB"),1,0)</f>
        <v>0</v>
      </c>
      <c r="Z323" s="46" t="n">
        <f aca="false">IF(ISNUMBER(W323),A323-W323,"")</f>
        <v>209</v>
      </c>
      <c r="AA323" s="46" t="n">
        <f aca="false">MATCH(A323,DATAS,0)</f>
        <v>1</v>
      </c>
      <c r="AB323" s="46" t="n">
        <f aca="false">IF(AND(E323&gt;0,OR(AND(B323&gt;=1,B323&lt;=6),B323=10)),1,0)</f>
        <v>1</v>
      </c>
      <c r="AC323" s="46" t="n">
        <f aca="false">IF(AND(E323&gt;0,B323=10),1,0)</f>
        <v>0</v>
      </c>
      <c r="AD323" s="0" t="str">
        <f aca="false">IF(AND(C322=C323,AA322=AA323-1),AB322,"")</f>
        <v/>
      </c>
      <c r="AE323" s="0" t="str">
        <f aca="false">IF(AND(C322=C323,AA322=AA323-1),AC322,"")</f>
        <v/>
      </c>
      <c r="AF323" s="0" t="str">
        <f aca="false">IF(AA323=1,"",IF(AND(AB323=1,AD323&lt;&gt;1),1,0))</f>
        <v/>
      </c>
      <c r="AG323" s="0" t="str">
        <f aca="false">IF(AA323=1,"",IF(AND(AC323=1,AE323&lt;&gt;1),1,0))</f>
        <v/>
      </c>
      <c r="AH323" s="51" t="str">
        <f aca="false">IF(AND(E323&gt;0,AA323&lt;1,NOT(AND(C324=C323,AA324=AA323+1))),INDEX(DATAS,AA323+1),"")</f>
        <v/>
      </c>
      <c r="AI323" s="51" t="str">
        <f aca="false">IF(AND(AC323=1,AA323&lt;1),IF(AND(C324=C323,AA324=AA323+1),IF(AC324=1,"",INDEX(DATAS,AA323+1)),INDEX(DATAS,AA323+1)),"")</f>
        <v/>
      </c>
    </row>
    <row r="324" customFormat="false" ht="15" hidden="false" customHeight="false" outlineLevel="0" collapsed="false">
      <c r="A324" s="51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46" t="s">
        <v>415</v>
      </c>
      <c r="G324" s="0" t="n">
        <v>58.2</v>
      </c>
      <c r="H324" s="0" t="n">
        <v>59</v>
      </c>
      <c r="I324" s="46" t="s">
        <v>152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51" t="n">
        <v>46192</v>
      </c>
      <c r="X324" s="46" t="n">
        <f aca="false">IF(I324="Male",0,1)</f>
        <v>1</v>
      </c>
      <c r="Y324" s="46" t="n">
        <f aca="false">IF(OR(I324="DNB",I324="Dry DNB"),1,0)</f>
        <v>0</v>
      </c>
      <c r="Z324" s="46" t="n">
        <f aca="false">IF(ISNUMBER(W324),A324-W324,"")</f>
        <v>117</v>
      </c>
      <c r="AA324" s="46" t="n">
        <f aca="false">MATCH(A324,DATAS,0)</f>
        <v>1</v>
      </c>
      <c r="AB324" s="46" t="n">
        <f aca="false">IF(AND(E324&gt;0,OR(AND(B324&gt;=1,B324&lt;=6),B324=10)),1,0)</f>
        <v>1</v>
      </c>
      <c r="AC324" s="46" t="n">
        <f aca="false">IF(AND(E324&gt;0,B324=10),1,0)</f>
        <v>0</v>
      </c>
      <c r="AD324" s="0" t="str">
        <f aca="false">IF(AND(C323=C324,AA323=AA324-1),AB323,"")</f>
        <v/>
      </c>
      <c r="AE324" s="0" t="str">
        <f aca="false">IF(AND(C323=C324,AA323=AA324-1),AC323,"")</f>
        <v/>
      </c>
      <c r="AF324" s="0" t="str">
        <f aca="false">IF(AA324=1,"",IF(AND(AB324=1,AD324&lt;&gt;1),1,0))</f>
        <v/>
      </c>
      <c r="AG324" s="0" t="str">
        <f aca="false">IF(AA324=1,"",IF(AND(AC324=1,AE324&lt;&gt;1),1,0))</f>
        <v/>
      </c>
      <c r="AH324" s="51" t="str">
        <f aca="false">IF(AND(E324&gt;0,AA324&lt;1,NOT(AND(C325=C324,AA325=AA324+1))),INDEX(DATAS,AA324+1),"")</f>
        <v/>
      </c>
      <c r="AI324" s="51" t="str">
        <f aca="false">IF(AND(AC324=1,AA324&lt;1),IF(AND(C325=C324,AA325=AA324+1),IF(AC325=1,"",INDEX(DATAS,AA324+1)),INDEX(DATAS,AA324+1)),"")</f>
        <v/>
      </c>
    </row>
    <row r="325" customFormat="false" ht="15" hidden="false" customHeight="false" outlineLevel="0" collapsed="false">
      <c r="A325" s="51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46" t="s">
        <v>416</v>
      </c>
      <c r="G325" s="0" t="n">
        <v>50.4</v>
      </c>
      <c r="H325" s="0" t="n">
        <v>47</v>
      </c>
      <c r="I325" s="46" t="s">
        <v>152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51" t="n">
        <v>46163</v>
      </c>
      <c r="X325" s="46" t="n">
        <f aca="false">IF(I325="Male",0,1)</f>
        <v>1</v>
      </c>
      <c r="Y325" s="46" t="n">
        <f aca="false">IF(OR(I325="DNB",I325="Dry DNB"),1,0)</f>
        <v>0</v>
      </c>
      <c r="Z325" s="46" t="n">
        <f aca="false">IF(ISNUMBER(W325),A325-W325,"")</f>
        <v>146</v>
      </c>
      <c r="AA325" s="46" t="n">
        <f aca="false">MATCH(A325,DATAS,0)</f>
        <v>1</v>
      </c>
      <c r="AB325" s="46" t="n">
        <f aca="false">IF(AND(E325&gt;0,OR(AND(B325&gt;=1,B325&lt;=6),B325=10)),1,0)</f>
        <v>1</v>
      </c>
      <c r="AC325" s="46" t="n">
        <f aca="false">IF(AND(E325&gt;0,B325=10),1,0)</f>
        <v>0</v>
      </c>
      <c r="AD325" s="0" t="str">
        <f aca="false">IF(AND(C324=C325,AA324=AA325-1),AB324,"")</f>
        <v/>
      </c>
      <c r="AE325" s="0" t="str">
        <f aca="false">IF(AND(C324=C325,AA324=AA325-1),AC324,"")</f>
        <v/>
      </c>
      <c r="AF325" s="0" t="str">
        <f aca="false">IF(AA325=1,"",IF(AND(AB325=1,AD325&lt;&gt;1),1,0))</f>
        <v/>
      </c>
      <c r="AG325" s="0" t="str">
        <f aca="false">IF(AA325=1,"",IF(AND(AC325=1,AE325&lt;&gt;1),1,0))</f>
        <v/>
      </c>
      <c r="AH325" s="51" t="str">
        <f aca="false">IF(AND(E325&gt;0,AA325&lt;1,NOT(AND(C326=C325,AA326=AA325+1))),INDEX(DATAS,AA325+1),"")</f>
        <v/>
      </c>
      <c r="AI325" s="51" t="str">
        <f aca="false">IF(AND(AC325=1,AA325&lt;1),IF(AND(C326=C325,AA326=AA325+1),IF(AC326=1,"",INDEX(DATAS,AA325+1)),INDEX(DATAS,AA325+1)),"")</f>
        <v/>
      </c>
    </row>
    <row r="326" customFormat="false" ht="15" hidden="false" customHeight="false" outlineLevel="0" collapsed="false">
      <c r="A326" s="51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46" t="s">
        <v>416</v>
      </c>
      <c r="G326" s="0" t="n">
        <v>68.4</v>
      </c>
      <c r="H326" s="0" t="n">
        <v>65</v>
      </c>
      <c r="I326" s="46" t="s">
        <v>152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51" t="n">
        <v>46219</v>
      </c>
      <c r="X326" s="46" t="n">
        <f aca="false">IF(I326="Male",0,1)</f>
        <v>1</v>
      </c>
      <c r="Y326" s="46" t="n">
        <f aca="false">IF(OR(I326="DNB",I326="Dry DNB"),1,0)</f>
        <v>0</v>
      </c>
      <c r="Z326" s="46" t="n">
        <f aca="false">IF(ISNUMBER(W326),A326-W326,"")</f>
        <v>90</v>
      </c>
      <c r="AA326" s="46" t="n">
        <f aca="false">MATCH(A326,DATAS,0)</f>
        <v>1</v>
      </c>
      <c r="AB326" s="46" t="n">
        <f aca="false">IF(AND(E326&gt;0,OR(AND(B326&gt;=1,B326&lt;=6),B326=10)),1,0)</f>
        <v>1</v>
      </c>
      <c r="AC326" s="46" t="n">
        <f aca="false">IF(AND(E326&gt;0,B326=10),1,0)</f>
        <v>0</v>
      </c>
      <c r="AD326" s="0" t="str">
        <f aca="false">IF(AND(C325=C326,AA325=AA326-1),AB325,"")</f>
        <v/>
      </c>
      <c r="AE326" s="0" t="str">
        <f aca="false">IF(AND(C325=C326,AA325=AA326-1),AC325,"")</f>
        <v/>
      </c>
      <c r="AF326" s="0" t="str">
        <f aca="false">IF(AA326=1,"",IF(AND(AB326=1,AD326&lt;&gt;1),1,0))</f>
        <v/>
      </c>
      <c r="AG326" s="0" t="str">
        <f aca="false">IF(AA326=1,"",IF(AND(AC326=1,AE326&lt;&gt;1),1,0))</f>
        <v/>
      </c>
      <c r="AH326" s="51" t="str">
        <f aca="false">IF(AND(E326&gt;0,AA326&lt;1,NOT(AND(C327=C326,AA327=AA326+1))),INDEX(DATAS,AA326+1),"")</f>
        <v/>
      </c>
      <c r="AI326" s="51" t="str">
        <f aca="false">IF(AND(AC326=1,AA326&lt;1),IF(AND(C327=C326,AA327=AA326+1),IF(AC327=1,"",INDEX(DATAS,AA326+1)),INDEX(DATAS,AA326+1)),"")</f>
        <v/>
      </c>
    </row>
    <row r="327" customFormat="false" ht="15" hidden="false" customHeight="false" outlineLevel="0" collapsed="false">
      <c r="A327" s="51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46" t="s">
        <v>417</v>
      </c>
      <c r="G327" s="0" t="n">
        <v>43.2</v>
      </c>
      <c r="H327" s="0" t="n">
        <v>46</v>
      </c>
      <c r="I327" s="46" t="s">
        <v>189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51" t="n">
        <v>46247</v>
      </c>
      <c r="X327" s="46" t="n">
        <f aca="false">IF(I327="Male",0,1)</f>
        <v>1</v>
      </c>
      <c r="Y327" s="46" t="n">
        <f aca="false">IF(OR(I327="DNB",I327="Dry DNB"),1,0)</f>
        <v>0</v>
      </c>
      <c r="Z327" s="46" t="n">
        <f aca="false">IF(ISNUMBER(W327),A327-W327,"")</f>
        <v>62</v>
      </c>
      <c r="AA327" s="46" t="n">
        <f aca="false">MATCH(A327,DATAS,0)</f>
        <v>1</v>
      </c>
      <c r="AB327" s="46" t="n">
        <f aca="false">IF(AND(E327&gt;0,OR(AND(B327&gt;=1,B327&lt;=6),B327=10)),1,0)</f>
        <v>1</v>
      </c>
      <c r="AC327" s="46" t="n">
        <f aca="false">IF(AND(E327&gt;0,B327=10),1,0)</f>
        <v>0</v>
      </c>
      <c r="AD327" s="0" t="str">
        <f aca="false">IF(AND(C326=C327,AA326=AA327-1),AB326,"")</f>
        <v/>
      </c>
      <c r="AE327" s="0" t="str">
        <f aca="false">IF(AND(C326=C327,AA326=AA327-1),AC326,"")</f>
        <v/>
      </c>
      <c r="AF327" s="0" t="str">
        <f aca="false">IF(AA327=1,"",IF(AND(AB327=1,AD327&lt;&gt;1),1,0))</f>
        <v/>
      </c>
      <c r="AG327" s="0" t="str">
        <f aca="false">IF(AA327=1,"",IF(AND(AC327=1,AE327&lt;&gt;1),1,0))</f>
        <v/>
      </c>
      <c r="AH327" s="51" t="str">
        <f aca="false">IF(AND(E327&gt;0,AA327&lt;1,NOT(AND(C328=C327,AA328=AA327+1))),INDEX(DATAS,AA327+1),"")</f>
        <v/>
      </c>
      <c r="AI327" s="51" t="str">
        <f aca="false">IF(AND(AC327=1,AA327&lt;1),IF(AND(C328=C327,AA328=AA327+1),IF(AC328=1,"",INDEX(DATAS,AA327+1)),INDEX(DATAS,AA327+1)),"")</f>
        <v/>
      </c>
    </row>
    <row r="328" customFormat="false" ht="15" hidden="false" customHeight="false" outlineLevel="0" collapsed="false">
      <c r="A328" s="51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46" t="s">
        <v>418</v>
      </c>
      <c r="G328" s="0" t="n">
        <v>34.6</v>
      </c>
      <c r="H328" s="0" t="n">
        <v>34</v>
      </c>
      <c r="I328" s="46" t="s">
        <v>152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51" t="n">
        <v>46135</v>
      </c>
      <c r="X328" s="46" t="n">
        <f aca="false">IF(I328="Male",0,1)</f>
        <v>1</v>
      </c>
      <c r="Y328" s="46" t="n">
        <f aca="false">IF(OR(I328="DNB",I328="Dry DNB"),1,0)</f>
        <v>0</v>
      </c>
      <c r="Z328" s="46" t="n">
        <f aca="false">IF(ISNUMBER(W328),A328-W328,"")</f>
        <v>174</v>
      </c>
      <c r="AA328" s="46" t="n">
        <f aca="false">MATCH(A328,DATAS,0)</f>
        <v>1</v>
      </c>
      <c r="AB328" s="46" t="n">
        <f aca="false">IF(AND(E328&gt;0,OR(AND(B328&gt;=1,B328&lt;=6),B328=10)),1,0)</f>
        <v>1</v>
      </c>
      <c r="AC328" s="46" t="n">
        <f aca="false">IF(AND(E328&gt;0,B328=10),1,0)</f>
        <v>0</v>
      </c>
      <c r="AD328" s="0" t="str">
        <f aca="false">IF(AND(C327=C328,AA327=AA328-1),AB327,"")</f>
        <v/>
      </c>
      <c r="AE328" s="0" t="str">
        <f aca="false">IF(AND(C327=C328,AA327=AA328-1),AC327,"")</f>
        <v/>
      </c>
      <c r="AF328" s="0" t="str">
        <f aca="false">IF(AA328=1,"",IF(AND(AB328=1,AD328&lt;&gt;1),1,0))</f>
        <v/>
      </c>
      <c r="AG328" s="0" t="str">
        <f aca="false">IF(AA328=1,"",IF(AND(AC328=1,AE328&lt;&gt;1),1,0))</f>
        <v/>
      </c>
      <c r="AH328" s="51" t="str">
        <f aca="false">IF(AND(E328&gt;0,AA328&lt;1,NOT(AND(C329=C328,AA329=AA328+1))),INDEX(DATAS,AA328+1),"")</f>
        <v/>
      </c>
      <c r="AI328" s="51" t="str">
        <f aca="false">IF(AND(AC328=1,AA328&lt;1),IF(AND(C329=C328,AA329=AA328+1),IF(AC329=1,"",INDEX(DATAS,AA328+1)),INDEX(DATAS,AA328+1)),"")</f>
        <v/>
      </c>
    </row>
    <row r="329" customFormat="false" ht="15" hidden="false" customHeight="false" outlineLevel="0" collapsed="false">
      <c r="A329" s="51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46" t="s">
        <v>419</v>
      </c>
      <c r="G329" s="0" t="n">
        <v>72.3</v>
      </c>
      <c r="H329" s="0" t="n">
        <v>69</v>
      </c>
      <c r="I329" s="46" t="s">
        <v>161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X329" s="46" t="n">
        <f aca="false">IF(I329="Male",0,1)</f>
        <v>1</v>
      </c>
      <c r="Y329" s="46" t="n">
        <f aca="false">IF(OR(I329="DNB",I329="Dry DNB"),1,0)</f>
        <v>0</v>
      </c>
      <c r="Z329" s="0" t="str">
        <f aca="false">IF(ISNUMBER(W329),A329-W329,"")</f>
        <v/>
      </c>
      <c r="AA329" s="46" t="n">
        <f aca="false">MATCH(A329,DATAS,0)</f>
        <v>1</v>
      </c>
      <c r="AB329" s="46" t="n">
        <f aca="false">IF(AND(E329&gt;0,OR(AND(B329&gt;=1,B329&lt;=6),B329=10)),1,0)</f>
        <v>1</v>
      </c>
      <c r="AC329" s="46" t="n">
        <f aca="false">IF(AND(E329&gt;0,B329=10),1,0)</f>
        <v>0</v>
      </c>
      <c r="AD329" s="0" t="str">
        <f aca="false">IF(AND(C328=C329,AA328=AA329-1),AB328,"")</f>
        <v/>
      </c>
      <c r="AE329" s="0" t="str">
        <f aca="false">IF(AND(C328=C329,AA328=AA329-1),AC328,"")</f>
        <v/>
      </c>
      <c r="AF329" s="0" t="str">
        <f aca="false">IF(AA329=1,"",IF(AND(AB329=1,AD329&lt;&gt;1),1,0))</f>
        <v/>
      </c>
      <c r="AG329" s="0" t="str">
        <f aca="false">IF(AA329=1,"",IF(AND(AC329=1,AE329&lt;&gt;1),1,0))</f>
        <v/>
      </c>
      <c r="AH329" s="51" t="str">
        <f aca="false">IF(AND(E329&gt;0,AA329&lt;1,NOT(AND(C330=C329,AA330=AA329+1))),INDEX(DATAS,AA329+1),"")</f>
        <v/>
      </c>
      <c r="AI329" s="51" t="str">
        <f aca="false">IF(AND(AC329=1,AA329&lt;1),IF(AND(C330=C329,AA330=AA329+1),IF(AC330=1,"",INDEX(DATAS,AA329+1)),INDEX(DATAS,AA329+1)),"")</f>
        <v/>
      </c>
    </row>
    <row r="330" customFormat="false" ht="15" hidden="false" customHeight="false" outlineLevel="0" collapsed="false">
      <c r="A330" s="51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46" t="s">
        <v>419</v>
      </c>
      <c r="G330" s="0" t="n">
        <v>38.9</v>
      </c>
      <c r="H330" s="0" t="n">
        <v>38</v>
      </c>
      <c r="I330" s="46" t="s">
        <v>152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51" t="n">
        <v>46128</v>
      </c>
      <c r="X330" s="46" t="n">
        <f aca="false">IF(I330="Male",0,1)</f>
        <v>1</v>
      </c>
      <c r="Y330" s="46" t="n">
        <f aca="false">IF(OR(I330="DNB",I330="Dry DNB"),1,0)</f>
        <v>0</v>
      </c>
      <c r="Z330" s="46" t="n">
        <f aca="false">IF(ISNUMBER(W330),A330-W330,"")</f>
        <v>181</v>
      </c>
      <c r="AA330" s="46" t="n">
        <f aca="false">MATCH(A330,DATAS,0)</f>
        <v>1</v>
      </c>
      <c r="AB330" s="46" t="n">
        <f aca="false">IF(AND(E330&gt;0,OR(AND(B330&gt;=1,B330&lt;=6),B330=10)),1,0)</f>
        <v>1</v>
      </c>
      <c r="AC330" s="46" t="n">
        <f aca="false">IF(AND(E330&gt;0,B330=10),1,0)</f>
        <v>0</v>
      </c>
      <c r="AD330" s="0" t="str">
        <f aca="false">IF(AND(C329=C330,AA329=AA330-1),AB329,"")</f>
        <v/>
      </c>
      <c r="AE330" s="0" t="str">
        <f aca="false">IF(AND(C329=C330,AA329=AA330-1),AC329,"")</f>
        <v/>
      </c>
      <c r="AF330" s="0" t="str">
        <f aca="false">IF(AA330=1,"",IF(AND(AB330=1,AD330&lt;&gt;1),1,0))</f>
        <v/>
      </c>
      <c r="AG330" s="0" t="str">
        <f aca="false">IF(AA330=1,"",IF(AND(AC330=1,AE330&lt;&gt;1),1,0))</f>
        <v/>
      </c>
      <c r="AH330" s="51" t="str">
        <f aca="false">IF(AND(E330&gt;0,AA330&lt;1,NOT(AND(C331=C330,AA331=AA330+1))),INDEX(DATAS,AA330+1),"")</f>
        <v/>
      </c>
      <c r="AI330" s="51" t="str">
        <f aca="false">IF(AND(AC330=1,AA330&lt;1),IF(AND(C331=C330,AA331=AA330+1),IF(AC331=1,"",INDEX(DATAS,AA330+1)),INDEX(DATAS,AA330+1)),"")</f>
        <v/>
      </c>
    </row>
    <row r="331" customFormat="false" ht="15" hidden="false" customHeight="false" outlineLevel="0" collapsed="false">
      <c r="A331" s="51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46" t="s">
        <v>420</v>
      </c>
      <c r="G331" s="0" t="n">
        <v>60.6</v>
      </c>
      <c r="H331" s="0" t="n">
        <v>59</v>
      </c>
      <c r="I331" s="46" t="s">
        <v>152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51" t="n">
        <v>46212</v>
      </c>
      <c r="X331" s="46" t="n">
        <f aca="false">IF(I331="Male",0,1)</f>
        <v>1</v>
      </c>
      <c r="Y331" s="46" t="n">
        <f aca="false">IF(OR(I331="DNB",I331="Dry DNB"),1,0)</f>
        <v>0</v>
      </c>
      <c r="Z331" s="46" t="n">
        <f aca="false">IF(ISNUMBER(W331),A331-W331,"")</f>
        <v>97</v>
      </c>
      <c r="AA331" s="46" t="n">
        <f aca="false">MATCH(A331,DATAS,0)</f>
        <v>1</v>
      </c>
      <c r="AB331" s="46" t="n">
        <f aca="false">IF(AND(E331&gt;0,OR(AND(B331&gt;=1,B331&lt;=6),B331=10)),1,0)</f>
        <v>1</v>
      </c>
      <c r="AC331" s="46" t="n">
        <f aca="false">IF(AND(E331&gt;0,B331=10),1,0)</f>
        <v>0</v>
      </c>
      <c r="AD331" s="0" t="str">
        <f aca="false">IF(AND(C330=C331,AA330=AA331-1),AB330,"")</f>
        <v/>
      </c>
      <c r="AE331" s="0" t="str">
        <f aca="false">IF(AND(C330=C331,AA330=AA331-1),AC330,"")</f>
        <v/>
      </c>
      <c r="AF331" s="0" t="str">
        <f aca="false">IF(AA331=1,"",IF(AND(AB331=1,AD331&lt;&gt;1),1,0))</f>
        <v/>
      </c>
      <c r="AG331" s="0" t="str">
        <f aca="false">IF(AA331=1,"",IF(AND(AC331=1,AE331&lt;&gt;1),1,0))</f>
        <v/>
      </c>
      <c r="AH331" s="51" t="str">
        <f aca="false">IF(AND(E331&gt;0,AA331&lt;1,NOT(AND(C332=C331,AA332=AA331+1))),INDEX(DATAS,AA331+1),"")</f>
        <v/>
      </c>
      <c r="AI331" s="51" t="str">
        <f aca="false">IF(AND(AC331=1,AA331&lt;1),IF(AND(C332=C331,AA332=AA331+1),IF(AC332=1,"",INDEX(DATAS,AA331+1)),INDEX(DATAS,AA331+1)),"")</f>
        <v/>
      </c>
    </row>
    <row r="332" customFormat="false" ht="15" hidden="false" customHeight="false" outlineLevel="0" collapsed="false">
      <c r="A332" s="51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46" t="s">
        <v>420</v>
      </c>
      <c r="G332" s="0" t="n">
        <v>5.2</v>
      </c>
      <c r="H332" s="0" t="n">
        <v>12</v>
      </c>
      <c r="I332" s="46" t="s">
        <v>157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51" t="n">
        <v>46100</v>
      </c>
      <c r="X332" s="46" t="n">
        <f aca="false">IF(I332="Male",0,1)</f>
        <v>1</v>
      </c>
      <c r="Y332" s="46" t="n">
        <f aca="false">IF(OR(I332="DNB",I332="Dry DNB"),1,0)</f>
        <v>0</v>
      </c>
      <c r="Z332" s="46" t="n">
        <f aca="false">IF(ISNUMBER(W332),A332-W332,"")</f>
        <v>209</v>
      </c>
      <c r="AA332" s="46" t="n">
        <f aca="false">MATCH(A332,DATAS,0)</f>
        <v>1</v>
      </c>
      <c r="AB332" s="46" t="n">
        <f aca="false">IF(AND(E332&gt;0,OR(AND(B332&gt;=1,B332&lt;=6),B332=10)),1,0)</f>
        <v>0</v>
      </c>
      <c r="AC332" s="46" t="n">
        <f aca="false">IF(AND(E332&gt;0,B332=10),1,0)</f>
        <v>0</v>
      </c>
      <c r="AD332" s="0" t="str">
        <f aca="false">IF(AND(C331=C332,AA331=AA332-1),AB331,"")</f>
        <v/>
      </c>
      <c r="AE332" s="0" t="str">
        <f aca="false">IF(AND(C331=C332,AA331=AA332-1),AC331,"")</f>
        <v/>
      </c>
      <c r="AF332" s="0" t="str">
        <f aca="false">IF(AA332=1,"",IF(AND(AB332=1,AD332&lt;&gt;1),1,0))</f>
        <v/>
      </c>
      <c r="AG332" s="0" t="str">
        <f aca="false">IF(AA332=1,"",IF(AND(AC332=1,AE332&lt;&gt;1),1,0))</f>
        <v/>
      </c>
      <c r="AH332" s="51" t="str">
        <f aca="false">IF(AND(E332&gt;0,AA332&lt;1,NOT(AND(C333=C332,AA333=AA332+1))),INDEX(DATAS,AA332+1),"")</f>
        <v/>
      </c>
      <c r="AI332" s="51" t="str">
        <f aca="false">IF(AND(AC332=1,AA332&lt;1),IF(AND(C333=C332,AA333=AA332+1),IF(AC333=1,"",INDEX(DATAS,AA332+1)),INDEX(DATAS,AA332+1)),"")</f>
        <v/>
      </c>
    </row>
    <row r="333" customFormat="false" ht="15" hidden="false" customHeight="false" outlineLevel="0" collapsed="false">
      <c r="A333" s="51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46" t="s">
        <v>421</v>
      </c>
      <c r="H333" s="0" t="n">
        <v>5</v>
      </c>
      <c r="I333" s="46" t="s">
        <v>152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51" t="n">
        <v>46121</v>
      </c>
      <c r="X333" s="46" t="n">
        <f aca="false">IF(I333="Male",0,1)</f>
        <v>1</v>
      </c>
      <c r="Y333" s="46" t="n">
        <f aca="false">IF(OR(I333="DNB",I333="Dry DNB"),1,0)</f>
        <v>0</v>
      </c>
      <c r="Z333" s="46" t="n">
        <f aca="false">IF(ISNUMBER(W333),A333-W333,"")</f>
        <v>188</v>
      </c>
      <c r="AA333" s="46" t="n">
        <f aca="false">MATCH(A333,DATAS,0)</f>
        <v>1</v>
      </c>
      <c r="AB333" s="46" t="n">
        <f aca="false">IF(AND(E333&gt;0,OR(AND(B333&gt;=1,B333&lt;=6),B333=10)),1,0)</f>
        <v>1</v>
      </c>
      <c r="AC333" s="46" t="n">
        <f aca="false">IF(AND(E333&gt;0,B333=10),1,0)</f>
        <v>0</v>
      </c>
      <c r="AD333" s="0" t="str">
        <f aca="false">IF(AND(C332=C333,AA332=AA333-1),AB332,"")</f>
        <v/>
      </c>
      <c r="AE333" s="0" t="str">
        <f aca="false">IF(AND(C332=C333,AA332=AA333-1),AC332,"")</f>
        <v/>
      </c>
      <c r="AF333" s="0" t="str">
        <f aca="false">IF(AA333=1,"",IF(AND(AB333=1,AD333&lt;&gt;1),1,0))</f>
        <v/>
      </c>
      <c r="AG333" s="0" t="str">
        <f aca="false">IF(AA333=1,"",IF(AND(AC333=1,AE333&lt;&gt;1),1,0))</f>
        <v/>
      </c>
      <c r="AH333" s="51" t="str">
        <f aca="false">IF(AND(E333&gt;0,AA333&lt;1,NOT(AND(C334=C333,AA334=AA333+1))),INDEX(DATAS,AA333+1),"")</f>
        <v/>
      </c>
      <c r="AI333" s="51" t="str">
        <f aca="false">IF(AND(AC333=1,AA333&lt;1),IF(AND(C334=C333,AA334=AA333+1),IF(AC334=1,"",INDEX(DATAS,AA333+1)),INDEX(DATAS,AA333+1)),"")</f>
        <v/>
      </c>
    </row>
    <row r="334" customFormat="false" ht="15" hidden="false" customHeight="false" outlineLevel="0" collapsed="false">
      <c r="A334" s="51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46" t="s">
        <v>421</v>
      </c>
      <c r="G334" s="0" t="n">
        <v>37.3</v>
      </c>
      <c r="H334" s="0" t="n">
        <v>41</v>
      </c>
      <c r="I334" s="46" t="s">
        <v>181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51" t="n">
        <v>46293</v>
      </c>
      <c r="X334" s="46" t="n">
        <f aca="false">IF(I334="Male",0,1)</f>
        <v>1</v>
      </c>
      <c r="Y334" s="46" t="n">
        <f aca="false">IF(OR(I334="DNB",I334="Dry DNB"),1,0)</f>
        <v>0</v>
      </c>
      <c r="Z334" s="46" t="n">
        <f aca="false">IF(ISNUMBER(W334),A334-W334,"")</f>
        <v>16</v>
      </c>
      <c r="AA334" s="46" t="n">
        <f aca="false">MATCH(A334,DATAS,0)</f>
        <v>1</v>
      </c>
      <c r="AB334" s="46" t="n">
        <f aca="false">IF(AND(E334&gt;0,OR(AND(B334&gt;=1,B334&lt;=6),B334=10)),1,0)</f>
        <v>1</v>
      </c>
      <c r="AC334" s="46" t="n">
        <f aca="false">IF(AND(E334&gt;0,B334=10),1,0)</f>
        <v>0</v>
      </c>
      <c r="AD334" s="0" t="str">
        <f aca="false">IF(AND(C333=C334,AA333=AA334-1),AB333,"")</f>
        <v/>
      </c>
      <c r="AE334" s="0" t="str">
        <f aca="false">IF(AND(C333=C334,AA333=AA334-1),AC333,"")</f>
        <v/>
      </c>
      <c r="AF334" s="0" t="str">
        <f aca="false">IF(AA334=1,"",IF(AND(AB334=1,AD334&lt;&gt;1),1,0))</f>
        <v/>
      </c>
      <c r="AG334" s="0" t="str">
        <f aca="false">IF(AA334=1,"",IF(AND(AC334=1,AE334&lt;&gt;1),1,0))</f>
        <v/>
      </c>
      <c r="AH334" s="51" t="str">
        <f aca="false">IF(AND(E334&gt;0,AA334&lt;1,NOT(AND(C335=C334,AA335=AA334+1))),INDEX(DATAS,AA334+1),"")</f>
        <v/>
      </c>
      <c r="AI334" s="51" t="str">
        <f aca="false">IF(AND(AC334=1,AA334&lt;1),IF(AND(C335=C334,AA335=AA334+1),IF(AC335=1,"",INDEX(DATAS,AA334+1)),INDEX(DATAS,AA334+1)),"")</f>
        <v/>
      </c>
    </row>
    <row r="335" customFormat="false" ht="15" hidden="false" customHeight="false" outlineLevel="0" collapsed="false">
      <c r="A335" s="51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46" t="s">
        <v>421</v>
      </c>
      <c r="G335" s="0" t="n">
        <v>36.3</v>
      </c>
      <c r="H335" s="0" t="n">
        <v>25</v>
      </c>
      <c r="I335" s="46" t="s">
        <v>161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X335" s="46" t="n">
        <f aca="false">IF(I335="Male",0,1)</f>
        <v>1</v>
      </c>
      <c r="Y335" s="46" t="n">
        <f aca="false">IF(OR(I335="DNB",I335="Dry DNB"),1,0)</f>
        <v>0</v>
      </c>
      <c r="Z335" s="0" t="str">
        <f aca="false">IF(ISNUMBER(W335),A335-W335,"")</f>
        <v/>
      </c>
      <c r="AA335" s="46" t="n">
        <f aca="false">MATCH(A335,DATAS,0)</f>
        <v>1</v>
      </c>
      <c r="AB335" s="46" t="n">
        <f aca="false">IF(AND(E335&gt;0,OR(AND(B335&gt;=1,B335&lt;=6),B335=10)),1,0)</f>
        <v>1</v>
      </c>
      <c r="AC335" s="46" t="n">
        <f aca="false">IF(AND(E335&gt;0,B335=10),1,0)</f>
        <v>0</v>
      </c>
      <c r="AD335" s="0" t="str">
        <f aca="false">IF(AND(C334=C335,AA334=AA335-1),AB334,"")</f>
        <v/>
      </c>
      <c r="AE335" s="0" t="str">
        <f aca="false">IF(AND(C334=C335,AA334=AA335-1),AC334,"")</f>
        <v/>
      </c>
      <c r="AF335" s="0" t="str">
        <f aca="false">IF(AA335=1,"",IF(AND(AB335=1,AD335&lt;&gt;1),1,0))</f>
        <v/>
      </c>
      <c r="AG335" s="0" t="str">
        <f aca="false">IF(AA335=1,"",IF(AND(AC335=1,AE335&lt;&gt;1),1,0))</f>
        <v/>
      </c>
      <c r="AH335" s="51" t="str">
        <f aca="false">IF(AND(E335&gt;0,AA335&lt;1,NOT(AND(C336=C335,AA336=AA335+1))),INDEX(DATAS,AA335+1),"")</f>
        <v/>
      </c>
      <c r="AI335" s="51" t="str">
        <f aca="false">IF(AND(AC335=1,AA335&lt;1),IF(AND(C336=C335,AA336=AA335+1),IF(AC336=1,"",INDEX(DATAS,AA335+1)),INDEX(DATAS,AA335+1)),"")</f>
        <v/>
      </c>
    </row>
    <row r="336" customFormat="false" ht="15" hidden="false" customHeight="false" outlineLevel="0" collapsed="false">
      <c r="A336" s="51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46" t="s">
        <v>422</v>
      </c>
      <c r="I336" s="46" t="s">
        <v>157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51" t="n">
        <v>46212</v>
      </c>
      <c r="X336" s="46" t="n">
        <f aca="false">IF(I336="Male",0,1)</f>
        <v>1</v>
      </c>
      <c r="Y336" s="46" t="n">
        <f aca="false">IF(OR(I336="DNB",I336="Dry DNB"),1,0)</f>
        <v>0</v>
      </c>
      <c r="Z336" s="46" t="n">
        <f aca="false">IF(ISNUMBER(W336),A336-W336,"")</f>
        <v>97</v>
      </c>
      <c r="AA336" s="46" t="n">
        <f aca="false">MATCH(A336,DATAS,0)</f>
        <v>1</v>
      </c>
      <c r="AB336" s="46" t="n">
        <f aca="false">IF(AND(E336&gt;0,OR(AND(B336&gt;=1,B336&lt;=6),B336=10)),1,0)</f>
        <v>0</v>
      </c>
      <c r="AC336" s="46" t="n">
        <f aca="false">IF(AND(E336&gt;0,B336=10),1,0)</f>
        <v>0</v>
      </c>
      <c r="AD336" s="0" t="str">
        <f aca="false">IF(AND(C335=C336,AA335=AA336-1),AB335,"")</f>
        <v/>
      </c>
      <c r="AE336" s="0" t="str">
        <f aca="false">IF(AND(C335=C336,AA335=AA336-1),AC335,"")</f>
        <v/>
      </c>
      <c r="AF336" s="0" t="str">
        <f aca="false">IF(AA336=1,"",IF(AND(AB336=1,AD336&lt;&gt;1),1,0))</f>
        <v/>
      </c>
      <c r="AG336" s="0" t="str">
        <f aca="false">IF(AA336=1,"",IF(AND(AC336=1,AE336&lt;&gt;1),1,0))</f>
        <v/>
      </c>
      <c r="AH336" s="51" t="str">
        <f aca="false">IF(AND(E336&gt;0,AA336&lt;1,NOT(AND(C337=C336,AA337=AA336+1))),INDEX(DATAS,AA336+1),"")</f>
        <v/>
      </c>
      <c r="AI336" s="51" t="str">
        <f aca="false">IF(AND(AC336=1,AA336&lt;1),IF(AND(C337=C336,AA337=AA336+1),IF(AC337=1,"",INDEX(DATAS,AA336+1)),INDEX(DATAS,AA336+1)),"")</f>
        <v/>
      </c>
    </row>
    <row r="337" customFormat="false" ht="15" hidden="false" customHeight="false" outlineLevel="0" collapsed="false">
      <c r="A337" s="51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46" t="s">
        <v>423</v>
      </c>
      <c r="G337" s="0" t="n">
        <v>53</v>
      </c>
      <c r="H337" s="0" t="n">
        <v>51</v>
      </c>
      <c r="I337" s="46" t="s">
        <v>152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X337" s="46" t="n">
        <f aca="false">IF(I337="Male",0,1)</f>
        <v>1</v>
      </c>
      <c r="Y337" s="46" t="n">
        <f aca="false">IF(OR(I337="DNB",I337="Dry DNB"),1,0)</f>
        <v>0</v>
      </c>
      <c r="Z337" s="0" t="str">
        <f aca="false">IF(ISNUMBER(W337),A337-W337,"")</f>
        <v/>
      </c>
      <c r="AA337" s="46" t="n">
        <f aca="false">MATCH(A337,DATAS,0)</f>
        <v>1</v>
      </c>
      <c r="AB337" s="46" t="n">
        <f aca="false">IF(AND(E337&gt;0,OR(AND(B337&gt;=1,B337&lt;=6),B337=10)),1,0)</f>
        <v>1</v>
      </c>
      <c r="AC337" s="46" t="n">
        <f aca="false">IF(AND(E337&gt;0,B337=10),1,0)</f>
        <v>0</v>
      </c>
      <c r="AD337" s="0" t="str">
        <f aca="false">IF(AND(C336=C337,AA336=AA337-1),AB336,"")</f>
        <v/>
      </c>
      <c r="AE337" s="0" t="str">
        <f aca="false">IF(AND(C336=C337,AA336=AA337-1),AC336,"")</f>
        <v/>
      </c>
      <c r="AF337" s="0" t="str">
        <f aca="false">IF(AA337=1,"",IF(AND(AB337=1,AD337&lt;&gt;1),1,0))</f>
        <v/>
      </c>
      <c r="AG337" s="0" t="str">
        <f aca="false">IF(AA337=1,"",IF(AND(AC337=1,AE337&lt;&gt;1),1,0))</f>
        <v/>
      </c>
      <c r="AH337" s="51" t="str">
        <f aca="false">IF(AND(E337&gt;0,AA337&lt;1,NOT(AND(C338=C337,AA338=AA337+1))),INDEX(DATAS,AA337+1),"")</f>
        <v/>
      </c>
      <c r="AI337" s="51" t="str">
        <f aca="false">IF(AND(AC337=1,AA337&lt;1),IF(AND(C338=C337,AA338=AA337+1),IF(AC338=1,"",INDEX(DATAS,AA337+1)),INDEX(DATAS,AA337+1)),"")</f>
        <v/>
      </c>
    </row>
    <row r="338" customFormat="false" ht="15" hidden="false" customHeight="false" outlineLevel="0" collapsed="false">
      <c r="A338" s="51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46" t="s">
        <v>424</v>
      </c>
      <c r="G338" s="0" t="n">
        <v>17.6</v>
      </c>
      <c r="H338" s="0" t="n">
        <v>15</v>
      </c>
      <c r="I338" s="46" t="s">
        <v>152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51" t="n">
        <v>46136</v>
      </c>
      <c r="X338" s="46" t="n">
        <f aca="false">IF(I338="Male",0,1)</f>
        <v>1</v>
      </c>
      <c r="Y338" s="46" t="n">
        <f aca="false">IF(OR(I338="DNB",I338="Dry DNB"),1,0)</f>
        <v>0</v>
      </c>
      <c r="Z338" s="46" t="n">
        <f aca="false">IF(ISNUMBER(W338),A338-W338,"")</f>
        <v>173</v>
      </c>
      <c r="AA338" s="46" t="n">
        <f aca="false">MATCH(A338,DATAS,0)</f>
        <v>1</v>
      </c>
      <c r="AB338" s="46" t="n">
        <f aca="false">IF(AND(E338&gt;0,OR(AND(B338&gt;=1,B338&lt;=6),B338=10)),1,0)</f>
        <v>1</v>
      </c>
      <c r="AC338" s="46" t="n">
        <f aca="false">IF(AND(E338&gt;0,B338=10),1,0)</f>
        <v>1</v>
      </c>
      <c r="AD338" s="0" t="str">
        <f aca="false">IF(AND(C337=C338,AA337=AA338-1),AB337,"")</f>
        <v/>
      </c>
      <c r="AE338" s="0" t="str">
        <f aca="false">IF(AND(C337=C338,AA337=AA338-1),AC337,"")</f>
        <v/>
      </c>
      <c r="AF338" s="0" t="str">
        <f aca="false">IF(AA338=1,"",IF(AND(AB338=1,AD338&lt;&gt;1),1,0))</f>
        <v/>
      </c>
      <c r="AG338" s="0" t="str">
        <f aca="false">IF(AA338=1,"",IF(AND(AC338=1,AE338&lt;&gt;1),1,0))</f>
        <v/>
      </c>
      <c r="AH338" s="51" t="str">
        <f aca="false">IF(AND(E338&gt;0,AA338&lt;1,NOT(AND(C339=C338,AA339=AA338+1))),INDEX(DATAS,AA338+1),"")</f>
        <v/>
      </c>
      <c r="AI338" s="51" t="str">
        <f aca="false">IF(AND(AC338=1,AA338&lt;1),IF(AND(C339=C338,AA339=AA338+1),IF(AC339=1,"",INDEX(DATAS,AA338+1)),INDEX(DATAS,AA338+1)),"")</f>
        <v/>
      </c>
    </row>
    <row r="339" customFormat="false" ht="15" hidden="false" customHeight="false" outlineLevel="0" collapsed="false">
      <c r="A339" s="51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46" t="s">
        <v>425</v>
      </c>
      <c r="G339" s="0" t="n">
        <v>42.1</v>
      </c>
      <c r="H339" s="0" t="n">
        <v>37</v>
      </c>
      <c r="I339" s="46" t="s">
        <v>152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51" t="n">
        <v>46240</v>
      </c>
      <c r="X339" s="46" t="n">
        <f aca="false">IF(I339="Male",0,1)</f>
        <v>1</v>
      </c>
      <c r="Y339" s="46" t="n">
        <f aca="false">IF(OR(I339="DNB",I339="Dry DNB"),1,0)</f>
        <v>0</v>
      </c>
      <c r="Z339" s="46" t="n">
        <f aca="false">IF(ISNUMBER(W339),A339-W339,"")</f>
        <v>69</v>
      </c>
      <c r="AA339" s="46" t="n">
        <f aca="false">MATCH(A339,DATAS,0)</f>
        <v>1</v>
      </c>
      <c r="AB339" s="46" t="n">
        <f aca="false">IF(AND(E339&gt;0,OR(AND(B339&gt;=1,B339&lt;=6),B339=10)),1,0)</f>
        <v>1</v>
      </c>
      <c r="AC339" s="46" t="n">
        <f aca="false">IF(AND(E339&gt;0,B339=10),1,0)</f>
        <v>0</v>
      </c>
      <c r="AD339" s="0" t="str">
        <f aca="false">IF(AND(C338=C339,AA338=AA339-1),AB338,"")</f>
        <v/>
      </c>
      <c r="AE339" s="0" t="str">
        <f aca="false">IF(AND(C338=C339,AA338=AA339-1),AC338,"")</f>
        <v/>
      </c>
      <c r="AF339" s="0" t="str">
        <f aca="false">IF(AA339=1,"",IF(AND(AB339=1,AD339&lt;&gt;1),1,0))</f>
        <v/>
      </c>
      <c r="AG339" s="0" t="str">
        <f aca="false">IF(AA339=1,"",IF(AND(AC339=1,AE339&lt;&gt;1),1,0))</f>
        <v/>
      </c>
      <c r="AH339" s="51" t="str">
        <f aca="false">IF(AND(E339&gt;0,AA339&lt;1,NOT(AND(C340=C339,AA340=AA339+1))),INDEX(DATAS,AA339+1),"")</f>
        <v/>
      </c>
      <c r="AI339" s="51" t="str">
        <f aca="false">IF(AND(AC339=1,AA339&lt;1),IF(AND(C340=C339,AA340=AA339+1),IF(AC340=1,"",INDEX(DATAS,AA339+1)),INDEX(DATAS,AA339+1)),"")</f>
        <v/>
      </c>
    </row>
    <row r="340" customFormat="false" ht="15" hidden="false" customHeight="false" outlineLevel="0" collapsed="false">
      <c r="A340" s="51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46" t="s">
        <v>426</v>
      </c>
      <c r="I340" s="46" t="s">
        <v>152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51" t="n">
        <v>46226</v>
      </c>
      <c r="X340" s="46" t="n">
        <f aca="false">IF(I340="Male",0,1)</f>
        <v>1</v>
      </c>
      <c r="Y340" s="46" t="n">
        <f aca="false">IF(OR(I340="DNB",I340="Dry DNB"),1,0)</f>
        <v>0</v>
      </c>
      <c r="Z340" s="46" t="n">
        <f aca="false">IF(ISNUMBER(W340),A340-W340,"")</f>
        <v>83</v>
      </c>
      <c r="AA340" s="46" t="n">
        <f aca="false">MATCH(A340,DATAS,0)</f>
        <v>1</v>
      </c>
      <c r="AB340" s="46" t="n">
        <f aca="false">IF(AND(E340&gt;0,OR(AND(B340&gt;=1,B340&lt;=6),B340=10)),1,0)</f>
        <v>1</v>
      </c>
      <c r="AC340" s="46" t="n">
        <f aca="false">IF(AND(E340&gt;0,B340=10),1,0)</f>
        <v>0</v>
      </c>
      <c r="AD340" s="0" t="str">
        <f aca="false">IF(AND(C339=C340,AA339=AA340-1),AB339,"")</f>
        <v/>
      </c>
      <c r="AE340" s="0" t="str">
        <f aca="false">IF(AND(C339=C340,AA339=AA340-1),AC339,"")</f>
        <v/>
      </c>
      <c r="AF340" s="0" t="str">
        <f aca="false">IF(AA340=1,"",IF(AND(AB340=1,AD340&lt;&gt;1),1,0))</f>
        <v/>
      </c>
      <c r="AG340" s="0" t="str">
        <f aca="false">IF(AA340=1,"",IF(AND(AC340=1,AE340&lt;&gt;1),1,0))</f>
        <v/>
      </c>
      <c r="AH340" s="51" t="str">
        <f aca="false">IF(AND(E340&gt;0,AA340&lt;1,NOT(AND(C341=C340,AA341=AA340+1))),INDEX(DATAS,AA340+1),"")</f>
        <v/>
      </c>
      <c r="AI340" s="51" t="str">
        <f aca="false">IF(AND(AC340=1,AA340&lt;1),IF(AND(C341=C340,AA341=AA340+1),IF(AC341=1,"",INDEX(DATAS,AA340+1)),INDEX(DATAS,AA340+1)),"")</f>
        <v/>
      </c>
    </row>
    <row r="341" customFormat="false" ht="15" hidden="false" customHeight="false" outlineLevel="0" collapsed="false">
      <c r="A341" s="51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46" t="s">
        <v>427</v>
      </c>
      <c r="G341" s="0" t="n">
        <v>31.1</v>
      </c>
      <c r="H341" s="0" t="n">
        <v>32</v>
      </c>
      <c r="I341" s="46" t="s">
        <v>152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51" t="n">
        <v>46128</v>
      </c>
      <c r="X341" s="46" t="n">
        <f aca="false">IF(I341="Male",0,1)</f>
        <v>1</v>
      </c>
      <c r="Y341" s="46" t="n">
        <f aca="false">IF(OR(I341="DNB",I341="Dry DNB"),1,0)</f>
        <v>0</v>
      </c>
      <c r="Z341" s="46" t="n">
        <f aca="false">IF(ISNUMBER(W341),A341-W341,"")</f>
        <v>181</v>
      </c>
      <c r="AA341" s="46" t="n">
        <f aca="false">MATCH(A341,DATAS,0)</f>
        <v>1</v>
      </c>
      <c r="AB341" s="46" t="n">
        <f aca="false">IF(AND(E341&gt;0,OR(AND(B341&gt;=1,B341&lt;=6),B341=10)),1,0)</f>
        <v>1</v>
      </c>
      <c r="AC341" s="46" t="n">
        <f aca="false">IF(AND(E341&gt;0,B341=10),1,0)</f>
        <v>0</v>
      </c>
      <c r="AD341" s="0" t="str">
        <f aca="false">IF(AND(C340=C341,AA340=AA341-1),AB340,"")</f>
        <v/>
      </c>
      <c r="AE341" s="0" t="str">
        <f aca="false">IF(AND(C340=C341,AA340=AA341-1),AC340,"")</f>
        <v/>
      </c>
      <c r="AF341" s="0" t="str">
        <f aca="false">IF(AA341=1,"",IF(AND(AB341=1,AD341&lt;&gt;1),1,0))</f>
        <v/>
      </c>
      <c r="AG341" s="0" t="str">
        <f aca="false">IF(AA341=1,"",IF(AND(AC341=1,AE341&lt;&gt;1),1,0))</f>
        <v/>
      </c>
      <c r="AH341" s="51" t="str">
        <f aca="false">IF(AND(E341&gt;0,AA341&lt;1,NOT(AND(C342=C341,AA342=AA341+1))),INDEX(DATAS,AA341+1),"")</f>
        <v/>
      </c>
      <c r="AI341" s="51" t="str">
        <f aca="false">IF(AND(AC341=1,AA341&lt;1),IF(AND(C342=C341,AA342=AA341+1),IF(AC342=1,"",INDEX(DATAS,AA341+1)),INDEX(DATAS,AA341+1)),"")</f>
        <v/>
      </c>
    </row>
    <row r="342" customFormat="false" ht="15" hidden="false" customHeight="false" outlineLevel="0" collapsed="false">
      <c r="A342" s="51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46" t="s">
        <v>428</v>
      </c>
      <c r="G342" s="0" t="n">
        <v>75.9</v>
      </c>
      <c r="H342" s="0" t="n">
        <v>77</v>
      </c>
      <c r="I342" s="46" t="s">
        <v>161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X342" s="46" t="n">
        <f aca="false">IF(I342="Male",0,1)</f>
        <v>1</v>
      </c>
      <c r="Y342" s="46" t="n">
        <f aca="false">IF(OR(I342="DNB",I342="Dry DNB"),1,0)</f>
        <v>0</v>
      </c>
      <c r="Z342" s="0" t="str">
        <f aca="false">IF(ISNUMBER(W342),A342-W342,"")</f>
        <v/>
      </c>
      <c r="AA342" s="46" t="n">
        <f aca="false">MATCH(A342,DATAS,0)</f>
        <v>1</v>
      </c>
      <c r="AB342" s="46" t="n">
        <f aca="false">IF(AND(E342&gt;0,OR(AND(B342&gt;=1,B342&lt;=6),B342=10)),1,0)</f>
        <v>1</v>
      </c>
      <c r="AC342" s="46" t="n">
        <f aca="false">IF(AND(E342&gt;0,B342=10),1,0)</f>
        <v>0</v>
      </c>
      <c r="AD342" s="0" t="str">
        <f aca="false">IF(AND(C341=C342,AA341=AA342-1),AB341,"")</f>
        <v/>
      </c>
      <c r="AE342" s="0" t="str">
        <f aca="false">IF(AND(C341=C342,AA341=AA342-1),AC341,"")</f>
        <v/>
      </c>
      <c r="AF342" s="0" t="str">
        <f aca="false">IF(AA342=1,"",IF(AND(AB342=1,AD342&lt;&gt;1),1,0))</f>
        <v/>
      </c>
      <c r="AG342" s="0" t="str">
        <f aca="false">IF(AA342=1,"",IF(AND(AC342=1,AE342&lt;&gt;1),1,0))</f>
        <v/>
      </c>
      <c r="AH342" s="51" t="str">
        <f aca="false">IF(AND(E342&gt;0,AA342&lt;1,NOT(AND(C343=C342,AA343=AA342+1))),INDEX(DATAS,AA342+1),"")</f>
        <v/>
      </c>
      <c r="AI342" s="51" t="str">
        <f aca="false">IF(AND(AC342=1,AA342&lt;1),IF(AND(C343=C342,AA343=AA342+1),IF(AC343=1,"",INDEX(DATAS,AA342+1)),INDEX(DATAS,AA342+1)),"")</f>
        <v/>
      </c>
    </row>
    <row r="343" customFormat="false" ht="15" hidden="false" customHeight="false" outlineLevel="0" collapsed="false">
      <c r="A343" s="51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46" t="s">
        <v>428</v>
      </c>
      <c r="I343" s="46" t="s">
        <v>157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51" t="n">
        <v>46065</v>
      </c>
      <c r="X343" s="46" t="n">
        <f aca="false">IF(I343="Male",0,1)</f>
        <v>1</v>
      </c>
      <c r="Y343" s="46" t="n">
        <f aca="false">IF(OR(I343="DNB",I343="Dry DNB"),1,0)</f>
        <v>0</v>
      </c>
      <c r="Z343" s="46" t="n">
        <f aca="false">IF(ISNUMBER(W343),A343-W343,"")</f>
        <v>244</v>
      </c>
      <c r="AA343" s="46" t="n">
        <f aca="false">MATCH(A343,DATAS,0)</f>
        <v>1</v>
      </c>
      <c r="AB343" s="46" t="n">
        <f aca="false">IF(AND(E343&gt;0,OR(AND(B343&gt;=1,B343&lt;=6),B343=10)),1,0)</f>
        <v>0</v>
      </c>
      <c r="AC343" s="46" t="n">
        <f aca="false">IF(AND(E343&gt;0,B343=10),1,0)</f>
        <v>0</v>
      </c>
      <c r="AD343" s="0" t="str">
        <f aca="false">IF(AND(C342=C343,AA342=AA343-1),AB342,"")</f>
        <v/>
      </c>
      <c r="AE343" s="0" t="str">
        <f aca="false">IF(AND(C342=C343,AA342=AA343-1),AC342,"")</f>
        <v/>
      </c>
      <c r="AF343" s="0" t="str">
        <f aca="false">IF(AA343=1,"",IF(AND(AB343=1,AD343&lt;&gt;1),1,0))</f>
        <v/>
      </c>
      <c r="AG343" s="0" t="str">
        <f aca="false">IF(AA343=1,"",IF(AND(AC343=1,AE343&lt;&gt;1),1,0))</f>
        <v/>
      </c>
      <c r="AH343" s="51" t="str">
        <f aca="false">IF(AND(E343&gt;0,AA343&lt;1,NOT(AND(C344=C343,AA344=AA343+1))),INDEX(DATAS,AA343+1),"")</f>
        <v/>
      </c>
      <c r="AI343" s="51" t="str">
        <f aca="false">IF(AND(AC343=1,AA343&lt;1),IF(AND(C344=C343,AA344=AA343+1),IF(AC344=1,"",INDEX(DATAS,AA343+1)),INDEX(DATAS,AA343+1)),"")</f>
        <v/>
      </c>
    </row>
    <row r="344" customFormat="false" ht="15" hidden="false" customHeight="false" outlineLevel="0" collapsed="false">
      <c r="A344" s="51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46" t="s">
        <v>429</v>
      </c>
      <c r="G344" s="0" t="n">
        <v>69.4</v>
      </c>
      <c r="H344" s="0" t="n">
        <v>67</v>
      </c>
      <c r="I344" s="46" t="s">
        <v>152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51" t="n">
        <v>46275</v>
      </c>
      <c r="X344" s="46" t="n">
        <f aca="false">IF(I344="Male",0,1)</f>
        <v>1</v>
      </c>
      <c r="Y344" s="46" t="n">
        <f aca="false">IF(OR(I344="DNB",I344="Dry DNB"),1,0)</f>
        <v>0</v>
      </c>
      <c r="Z344" s="46" t="n">
        <f aca="false">IF(ISNUMBER(W344),A344-W344,"")</f>
        <v>34</v>
      </c>
      <c r="AA344" s="46" t="n">
        <f aca="false">MATCH(A344,DATAS,0)</f>
        <v>1</v>
      </c>
      <c r="AB344" s="46" t="n">
        <f aca="false">IF(AND(E344&gt;0,OR(AND(B344&gt;=1,B344&lt;=6),B344=10)),1,0)</f>
        <v>1</v>
      </c>
      <c r="AC344" s="46" t="n">
        <f aca="false">IF(AND(E344&gt;0,B344=10),1,0)</f>
        <v>0</v>
      </c>
      <c r="AD344" s="0" t="str">
        <f aca="false">IF(AND(C343=C344,AA343=AA344-1),AB343,"")</f>
        <v/>
      </c>
      <c r="AE344" s="0" t="str">
        <f aca="false">IF(AND(C343=C344,AA343=AA344-1),AC343,"")</f>
        <v/>
      </c>
      <c r="AF344" s="0" t="str">
        <f aca="false">IF(AA344=1,"",IF(AND(AB344=1,AD344&lt;&gt;1),1,0))</f>
        <v/>
      </c>
      <c r="AG344" s="0" t="str">
        <f aca="false">IF(AA344=1,"",IF(AND(AC344=1,AE344&lt;&gt;1),1,0))</f>
        <v/>
      </c>
      <c r="AH344" s="51" t="str">
        <f aca="false">IF(AND(E344&gt;0,AA344&lt;1,NOT(AND(C345=C344,AA345=AA344+1))),INDEX(DATAS,AA344+1),"")</f>
        <v/>
      </c>
      <c r="AI344" s="51" t="str">
        <f aca="false">IF(AND(AC344=1,AA344&lt;1),IF(AND(C345=C344,AA345=AA344+1),IF(AC345=1,"",INDEX(DATAS,AA344+1)),INDEX(DATAS,AA344+1)),"")</f>
        <v/>
      </c>
    </row>
    <row r="345" customFormat="false" ht="15" hidden="false" customHeight="false" outlineLevel="0" collapsed="false">
      <c r="A345" s="51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46" t="s">
        <v>430</v>
      </c>
      <c r="G345" s="0" t="n">
        <v>29.9</v>
      </c>
      <c r="H345" s="0" t="n">
        <v>32</v>
      </c>
      <c r="I345" s="46" t="s">
        <v>189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51" t="n">
        <v>46272</v>
      </c>
      <c r="X345" s="46" t="n">
        <f aca="false">IF(I345="Male",0,1)</f>
        <v>1</v>
      </c>
      <c r="Y345" s="46" t="n">
        <f aca="false">IF(OR(I345="DNB",I345="Dry DNB"),1,0)</f>
        <v>0</v>
      </c>
      <c r="Z345" s="46" t="n">
        <f aca="false">IF(ISNUMBER(W345),A345-W345,"")</f>
        <v>37</v>
      </c>
      <c r="AA345" s="46" t="n">
        <f aca="false">MATCH(A345,DATAS,0)</f>
        <v>1</v>
      </c>
      <c r="AB345" s="46" t="n">
        <f aca="false">IF(AND(E345&gt;0,OR(AND(B345&gt;=1,B345&lt;=6),B345=10)),1,0)</f>
        <v>1</v>
      </c>
      <c r="AC345" s="46" t="n">
        <f aca="false">IF(AND(E345&gt;0,B345=10),1,0)</f>
        <v>0</v>
      </c>
      <c r="AD345" s="0" t="str">
        <f aca="false">IF(AND(C344=C345,AA344=AA345-1),AB344,"")</f>
        <v/>
      </c>
      <c r="AE345" s="0" t="str">
        <f aca="false">IF(AND(C344=C345,AA344=AA345-1),AC344,"")</f>
        <v/>
      </c>
      <c r="AF345" s="0" t="str">
        <f aca="false">IF(AA345=1,"",IF(AND(AB345=1,AD345&lt;&gt;1),1,0))</f>
        <v/>
      </c>
      <c r="AG345" s="0" t="str">
        <f aca="false">IF(AA345=1,"",IF(AND(AC345=1,AE345&lt;&gt;1),1,0))</f>
        <v/>
      </c>
      <c r="AH345" s="51" t="str">
        <f aca="false">IF(AND(E345&gt;0,AA345&lt;1,NOT(AND(C346=C345,AA346=AA345+1))),INDEX(DATAS,AA345+1),"")</f>
        <v/>
      </c>
      <c r="AI345" s="51" t="str">
        <f aca="false">IF(AND(AC345=1,AA345&lt;1),IF(AND(C346=C345,AA346=AA345+1),IF(AC346=1,"",INDEX(DATAS,AA345+1)),INDEX(DATAS,AA345+1)),"")</f>
        <v/>
      </c>
    </row>
    <row r="346" customFormat="false" ht="15" hidden="false" customHeight="false" outlineLevel="0" collapsed="false">
      <c r="A346" s="51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46" t="s">
        <v>431</v>
      </c>
      <c r="G346" s="0" t="n">
        <v>52.2</v>
      </c>
      <c r="H346" s="0" t="n">
        <v>54</v>
      </c>
      <c r="I346" s="46" t="s">
        <v>152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51" t="n">
        <v>46226</v>
      </c>
      <c r="X346" s="46" t="n">
        <f aca="false">IF(I346="Male",0,1)</f>
        <v>1</v>
      </c>
      <c r="Y346" s="46" t="n">
        <f aca="false">IF(OR(I346="DNB",I346="Dry DNB"),1,0)</f>
        <v>0</v>
      </c>
      <c r="Z346" s="46" t="n">
        <f aca="false">IF(ISNUMBER(W346),A346-W346,"")</f>
        <v>83</v>
      </c>
      <c r="AA346" s="46" t="n">
        <f aca="false">MATCH(A346,DATAS,0)</f>
        <v>1</v>
      </c>
      <c r="AB346" s="46" t="n">
        <f aca="false">IF(AND(E346&gt;0,OR(AND(B346&gt;=1,B346&lt;=6),B346=10)),1,0)</f>
        <v>1</v>
      </c>
      <c r="AC346" s="46" t="n">
        <f aca="false">IF(AND(E346&gt;0,B346=10),1,0)</f>
        <v>0</v>
      </c>
      <c r="AD346" s="0" t="str">
        <f aca="false">IF(AND(C345=C346,AA345=AA346-1),AB345,"")</f>
        <v/>
      </c>
      <c r="AE346" s="0" t="str">
        <f aca="false">IF(AND(C345=C346,AA345=AA346-1),AC345,"")</f>
        <v/>
      </c>
      <c r="AF346" s="0" t="str">
        <f aca="false">IF(AA346=1,"",IF(AND(AB346=1,AD346&lt;&gt;1),1,0))</f>
        <v/>
      </c>
      <c r="AG346" s="0" t="str">
        <f aca="false">IF(AA346=1,"",IF(AND(AC346=1,AE346&lt;&gt;1),1,0))</f>
        <v/>
      </c>
      <c r="AH346" s="51" t="str">
        <f aca="false">IF(AND(E346&gt;0,AA346&lt;1,NOT(AND(C347=C346,AA347=AA346+1))),INDEX(DATAS,AA346+1),"")</f>
        <v/>
      </c>
      <c r="AI346" s="51" t="str">
        <f aca="false">IF(AND(AC346=1,AA346&lt;1),IF(AND(C347=C346,AA347=AA346+1),IF(AC347=1,"",INDEX(DATAS,AA346+1)),INDEX(DATAS,AA346+1)),"")</f>
        <v/>
      </c>
    </row>
    <row r="347" customFormat="false" ht="15" hidden="false" customHeight="false" outlineLevel="0" collapsed="false">
      <c r="A347" s="51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46" t="s">
        <v>432</v>
      </c>
      <c r="G347" s="0" t="n">
        <v>26.5</v>
      </c>
      <c r="H347" s="0" t="n">
        <v>32</v>
      </c>
      <c r="I347" s="46" t="s">
        <v>189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51" t="n">
        <v>46268</v>
      </c>
      <c r="X347" s="46" t="n">
        <f aca="false">IF(I347="Male",0,1)</f>
        <v>1</v>
      </c>
      <c r="Y347" s="46" t="n">
        <f aca="false">IF(OR(I347="DNB",I347="Dry DNB"),1,0)</f>
        <v>0</v>
      </c>
      <c r="Z347" s="46" t="n">
        <f aca="false">IF(ISNUMBER(W347),A347-W347,"")</f>
        <v>41</v>
      </c>
      <c r="AA347" s="46" t="n">
        <f aca="false">MATCH(A347,DATAS,0)</f>
        <v>1</v>
      </c>
      <c r="AB347" s="46" t="n">
        <f aca="false">IF(AND(E347&gt;0,OR(AND(B347&gt;=1,B347&lt;=6),B347=10)),1,0)</f>
        <v>1</v>
      </c>
      <c r="AC347" s="46" t="n">
        <f aca="false">IF(AND(E347&gt;0,B347=10),1,0)</f>
        <v>0</v>
      </c>
      <c r="AD347" s="0" t="str">
        <f aca="false">IF(AND(C346=C347,AA346=AA347-1),AB346,"")</f>
        <v/>
      </c>
      <c r="AE347" s="0" t="str">
        <f aca="false">IF(AND(C346=C347,AA346=AA347-1),AC346,"")</f>
        <v/>
      </c>
      <c r="AF347" s="0" t="str">
        <f aca="false">IF(AA347=1,"",IF(AND(AB347=1,AD347&lt;&gt;1),1,0))</f>
        <v/>
      </c>
      <c r="AG347" s="0" t="str">
        <f aca="false">IF(AA347=1,"",IF(AND(AC347=1,AE347&lt;&gt;1),1,0))</f>
        <v/>
      </c>
      <c r="AH347" s="51" t="str">
        <f aca="false">IF(AND(E347&gt;0,AA347&lt;1,NOT(AND(C348=C347,AA348=AA347+1))),INDEX(DATAS,AA347+1),"")</f>
        <v/>
      </c>
      <c r="AI347" s="51" t="str">
        <f aca="false">IF(AND(AC347=1,AA347&lt;1),IF(AND(C348=C347,AA348=AA347+1),IF(AC348=1,"",INDEX(DATAS,AA347+1)),INDEX(DATAS,AA347+1)),"")</f>
        <v/>
      </c>
    </row>
    <row r="348" customFormat="false" ht="15" hidden="false" customHeight="false" outlineLevel="0" collapsed="false">
      <c r="A348" s="51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46" t="s">
        <v>433</v>
      </c>
      <c r="G348" s="0" t="n">
        <v>63.2</v>
      </c>
      <c r="H348" s="0" t="n">
        <v>63</v>
      </c>
      <c r="I348" s="46" t="s">
        <v>181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51" t="n">
        <v>46285</v>
      </c>
      <c r="X348" s="46" t="n">
        <f aca="false">IF(I348="Male",0,1)</f>
        <v>1</v>
      </c>
      <c r="Y348" s="46" t="n">
        <f aca="false">IF(OR(I348="DNB",I348="Dry DNB"),1,0)</f>
        <v>0</v>
      </c>
      <c r="Z348" s="46" t="n">
        <f aca="false">IF(ISNUMBER(W348),A348-W348,"")</f>
        <v>24</v>
      </c>
      <c r="AA348" s="46" t="n">
        <f aca="false">MATCH(A348,DATAS,0)</f>
        <v>1</v>
      </c>
      <c r="AB348" s="46" t="n">
        <f aca="false">IF(AND(E348&gt;0,OR(AND(B348&gt;=1,B348&lt;=6),B348=10)),1,0)</f>
        <v>1</v>
      </c>
      <c r="AC348" s="46" t="n">
        <f aca="false">IF(AND(E348&gt;0,B348=10),1,0)</f>
        <v>0</v>
      </c>
      <c r="AD348" s="0" t="str">
        <f aca="false">IF(AND(C347=C348,AA347=AA348-1),AB347,"")</f>
        <v/>
      </c>
      <c r="AE348" s="0" t="str">
        <f aca="false">IF(AND(C347=C348,AA347=AA348-1),AC347,"")</f>
        <v/>
      </c>
      <c r="AF348" s="0" t="str">
        <f aca="false">IF(AA348=1,"",IF(AND(AB348=1,AD348&lt;&gt;1),1,0))</f>
        <v/>
      </c>
      <c r="AG348" s="0" t="str">
        <f aca="false">IF(AA348=1,"",IF(AND(AC348=1,AE348&lt;&gt;1),1,0))</f>
        <v/>
      </c>
      <c r="AH348" s="51" t="str">
        <f aca="false">IF(AND(E348&gt;0,AA348&lt;1,NOT(AND(C349=C348,AA349=AA348+1))),INDEX(DATAS,AA348+1),"")</f>
        <v/>
      </c>
      <c r="AI348" s="51" t="str">
        <f aca="false">IF(AND(AC348=1,AA348&lt;1),IF(AND(C349=C348,AA349=AA348+1),IF(AC349=1,"",INDEX(DATAS,AA348+1)),INDEX(DATAS,AA348+1)),"")</f>
        <v/>
      </c>
    </row>
    <row r="349" customFormat="false" ht="15" hidden="false" customHeight="false" outlineLevel="0" collapsed="false">
      <c r="A349" s="51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46" t="s">
        <v>433</v>
      </c>
      <c r="G349" s="0" t="n">
        <v>53.2</v>
      </c>
      <c r="H349" s="0" t="n">
        <v>51</v>
      </c>
      <c r="I349" s="46" t="s">
        <v>152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51" t="n">
        <v>46275</v>
      </c>
      <c r="X349" s="46" t="n">
        <f aca="false">IF(I349="Male",0,1)</f>
        <v>1</v>
      </c>
      <c r="Y349" s="46" t="n">
        <f aca="false">IF(OR(I349="DNB",I349="Dry DNB"),1,0)</f>
        <v>0</v>
      </c>
      <c r="Z349" s="46" t="n">
        <f aca="false">IF(ISNUMBER(W349),A349-W349,"")</f>
        <v>34</v>
      </c>
      <c r="AA349" s="46" t="n">
        <f aca="false">MATCH(A349,DATAS,0)</f>
        <v>1</v>
      </c>
      <c r="AB349" s="46" t="n">
        <f aca="false">IF(AND(E349&gt;0,OR(AND(B349&gt;=1,B349&lt;=6),B349=10)),1,0)</f>
        <v>1</v>
      </c>
      <c r="AC349" s="46" t="n">
        <f aca="false">IF(AND(E349&gt;0,B349=10),1,0)</f>
        <v>0</v>
      </c>
      <c r="AD349" s="0" t="str">
        <f aca="false">IF(AND(C348=C349,AA348=AA349-1),AB348,"")</f>
        <v/>
      </c>
      <c r="AE349" s="0" t="str">
        <f aca="false">IF(AND(C348=C349,AA348=AA349-1),AC348,"")</f>
        <v/>
      </c>
      <c r="AF349" s="0" t="str">
        <f aca="false">IF(AA349=1,"",IF(AND(AB349=1,AD349&lt;&gt;1),1,0))</f>
        <v/>
      </c>
      <c r="AG349" s="0" t="str">
        <f aca="false">IF(AA349=1,"",IF(AND(AC349=1,AE349&lt;&gt;1),1,0))</f>
        <v/>
      </c>
      <c r="AH349" s="51" t="str">
        <f aca="false">IF(AND(E349&gt;0,AA349&lt;1,NOT(AND(C350=C349,AA350=AA349+1))),INDEX(DATAS,AA349+1),"")</f>
        <v/>
      </c>
      <c r="AI349" s="51" t="str">
        <f aca="false">IF(AND(AC349=1,AA349&lt;1),IF(AND(C350=C349,AA350=AA349+1),IF(AC350=1,"",INDEX(DATAS,AA349+1)),INDEX(DATAS,AA349+1)),"")</f>
        <v/>
      </c>
    </row>
    <row r="350" customFormat="false" ht="15" hidden="false" customHeight="false" outlineLevel="0" collapsed="false">
      <c r="A350" s="51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46" t="s">
        <v>433</v>
      </c>
      <c r="G350" s="0" t="n">
        <v>63.1</v>
      </c>
      <c r="H350" s="0" t="n">
        <v>62</v>
      </c>
      <c r="I350" s="46" t="s">
        <v>152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X350" s="46" t="n">
        <f aca="false">IF(I350="Male",0,1)</f>
        <v>1</v>
      </c>
      <c r="Y350" s="46" t="n">
        <f aca="false">IF(OR(I350="DNB",I350="Dry DNB"),1,0)</f>
        <v>0</v>
      </c>
      <c r="Z350" s="0" t="str">
        <f aca="false">IF(ISNUMBER(W350),A350-W350,"")</f>
        <v/>
      </c>
      <c r="AA350" s="46" t="n">
        <f aca="false">MATCH(A350,DATAS,0)</f>
        <v>1</v>
      </c>
      <c r="AB350" s="46" t="n">
        <f aca="false">IF(AND(E350&gt;0,OR(AND(B350&gt;=1,B350&lt;=6),B350=10)),1,0)</f>
        <v>1</v>
      </c>
      <c r="AC350" s="46" t="n">
        <f aca="false">IF(AND(E350&gt;0,B350=10),1,0)</f>
        <v>0</v>
      </c>
      <c r="AD350" s="0" t="str">
        <f aca="false">IF(AND(C349=C350,AA349=AA350-1),AB349,"")</f>
        <v/>
      </c>
      <c r="AE350" s="0" t="str">
        <f aca="false">IF(AND(C349=C350,AA349=AA350-1),AC349,"")</f>
        <v/>
      </c>
      <c r="AF350" s="0" t="str">
        <f aca="false">IF(AA350=1,"",IF(AND(AB350=1,AD350&lt;&gt;1),1,0))</f>
        <v/>
      </c>
      <c r="AG350" s="0" t="str">
        <f aca="false">IF(AA350=1,"",IF(AND(AC350=1,AE350&lt;&gt;1),1,0))</f>
        <v/>
      </c>
      <c r="AH350" s="51" t="str">
        <f aca="false">IF(AND(E350&gt;0,AA350&lt;1,NOT(AND(C351=C350,AA351=AA350+1))),INDEX(DATAS,AA350+1),"")</f>
        <v/>
      </c>
      <c r="AI350" s="51" t="str">
        <f aca="false">IF(AND(AC350=1,AA350&lt;1),IF(AND(C351=C350,AA351=AA350+1),IF(AC351=1,"",INDEX(DATAS,AA350+1)),INDEX(DATAS,AA350+1)),"")</f>
        <v/>
      </c>
    </row>
    <row r="351" customFormat="false" ht="15" hidden="false" customHeight="false" outlineLevel="0" collapsed="false">
      <c r="A351" s="51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46" t="s">
        <v>433</v>
      </c>
      <c r="G351" s="0" t="n">
        <v>18.2</v>
      </c>
      <c r="H351" s="0" t="n">
        <v>21</v>
      </c>
      <c r="I351" s="46" t="s">
        <v>152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51" t="n">
        <v>46128</v>
      </c>
      <c r="X351" s="46" t="n">
        <f aca="false">IF(I351="Male",0,1)</f>
        <v>1</v>
      </c>
      <c r="Y351" s="46" t="n">
        <f aca="false">IF(OR(I351="DNB",I351="Dry DNB"),1,0)</f>
        <v>0</v>
      </c>
      <c r="Z351" s="46" t="n">
        <f aca="false">IF(ISNUMBER(W351),A351-W351,"")</f>
        <v>181</v>
      </c>
      <c r="AA351" s="46" t="n">
        <f aca="false">MATCH(A351,DATAS,0)</f>
        <v>1</v>
      </c>
      <c r="AB351" s="46" t="n">
        <f aca="false">IF(AND(E351&gt;0,OR(AND(B351&gt;=1,B351&lt;=6),B351=10)),1,0)</f>
        <v>1</v>
      </c>
      <c r="AC351" s="46" t="n">
        <f aca="false">IF(AND(E351&gt;0,B351=10),1,0)</f>
        <v>0</v>
      </c>
      <c r="AD351" s="0" t="str">
        <f aca="false">IF(AND(C350=C351,AA350=AA351-1),AB350,"")</f>
        <v/>
      </c>
      <c r="AE351" s="0" t="str">
        <f aca="false">IF(AND(C350=C351,AA350=AA351-1),AC350,"")</f>
        <v/>
      </c>
      <c r="AF351" s="0" t="str">
        <f aca="false">IF(AA351=1,"",IF(AND(AB351=1,AD351&lt;&gt;1),1,0))</f>
        <v/>
      </c>
      <c r="AG351" s="0" t="str">
        <f aca="false">IF(AA351=1,"",IF(AND(AC351=1,AE351&lt;&gt;1),1,0))</f>
        <v/>
      </c>
      <c r="AH351" s="51" t="str">
        <f aca="false">IF(AND(E351&gt;0,AA351&lt;1,NOT(AND(C352=C351,AA352=AA351+1))),INDEX(DATAS,AA351+1),"")</f>
        <v/>
      </c>
      <c r="AI351" s="51" t="str">
        <f aca="false">IF(AND(AC351=1,AA351&lt;1),IF(AND(C352=C351,AA352=AA351+1),IF(AC352=1,"",INDEX(DATAS,AA351+1)),INDEX(DATAS,AA351+1)),"")</f>
        <v/>
      </c>
    </row>
    <row r="352" customFormat="false" ht="15" hidden="false" customHeight="false" outlineLevel="0" collapsed="false">
      <c r="A352" s="51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46" t="s">
        <v>434</v>
      </c>
      <c r="G352" s="0" t="n">
        <v>59.3</v>
      </c>
      <c r="H352" s="0" t="n">
        <v>54</v>
      </c>
      <c r="I352" s="46" t="s">
        <v>152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51" t="n">
        <v>46184</v>
      </c>
      <c r="X352" s="46" t="n">
        <f aca="false">IF(I352="Male",0,1)</f>
        <v>1</v>
      </c>
      <c r="Y352" s="46" t="n">
        <f aca="false">IF(OR(I352="DNB",I352="Dry DNB"),1,0)</f>
        <v>0</v>
      </c>
      <c r="Z352" s="46" t="n">
        <f aca="false">IF(ISNUMBER(W352),A352-W352,"")</f>
        <v>125</v>
      </c>
      <c r="AA352" s="46" t="n">
        <f aca="false">MATCH(A352,DATAS,0)</f>
        <v>1</v>
      </c>
      <c r="AB352" s="46" t="n">
        <f aca="false">IF(AND(E352&gt;0,OR(AND(B352&gt;=1,B352&lt;=6),B352=10)),1,0)</f>
        <v>1</v>
      </c>
      <c r="AC352" s="46" t="n">
        <f aca="false">IF(AND(E352&gt;0,B352=10),1,0)</f>
        <v>0</v>
      </c>
      <c r="AD352" s="0" t="str">
        <f aca="false">IF(AND(C351=C352,AA351=AA352-1),AB351,"")</f>
        <v/>
      </c>
      <c r="AE352" s="0" t="str">
        <f aca="false">IF(AND(C351=C352,AA351=AA352-1),AC351,"")</f>
        <v/>
      </c>
      <c r="AF352" s="0" t="str">
        <f aca="false">IF(AA352=1,"",IF(AND(AB352=1,AD352&lt;&gt;1),1,0))</f>
        <v/>
      </c>
      <c r="AG352" s="0" t="str">
        <f aca="false">IF(AA352=1,"",IF(AND(AC352=1,AE352&lt;&gt;1),1,0))</f>
        <v/>
      </c>
      <c r="AH352" s="51" t="str">
        <f aca="false">IF(AND(E352&gt;0,AA352&lt;1,NOT(AND(C353=C352,AA353=AA352+1))),INDEX(DATAS,AA352+1),"")</f>
        <v/>
      </c>
      <c r="AI352" s="51" t="str">
        <f aca="false">IF(AND(AC352=1,AA352&lt;1),IF(AND(C353=C352,AA353=AA352+1),IF(AC353=1,"",INDEX(DATAS,AA352+1)),INDEX(DATAS,AA352+1)),"")</f>
        <v/>
      </c>
    </row>
    <row r="353" customFormat="false" ht="15" hidden="false" customHeight="false" outlineLevel="0" collapsed="false">
      <c r="A353" s="51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46" t="s">
        <v>435</v>
      </c>
      <c r="G353" s="0" t="n">
        <v>67.8</v>
      </c>
      <c r="H353" s="0" t="n">
        <v>67</v>
      </c>
      <c r="I353" s="46" t="s">
        <v>161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X353" s="46" t="n">
        <f aca="false">IF(I353="Male",0,1)</f>
        <v>1</v>
      </c>
      <c r="Y353" s="46" t="n">
        <f aca="false">IF(OR(I353="DNB",I353="Dry DNB"),1,0)</f>
        <v>0</v>
      </c>
      <c r="Z353" s="0" t="str">
        <f aca="false">IF(ISNUMBER(W353),A353-W353,"")</f>
        <v/>
      </c>
      <c r="AA353" s="46" t="n">
        <f aca="false">MATCH(A353,DATAS,0)</f>
        <v>1</v>
      </c>
      <c r="AB353" s="46" t="n">
        <f aca="false">IF(AND(E353&gt;0,OR(AND(B353&gt;=1,B353&lt;=6),B353=10)),1,0)</f>
        <v>1</v>
      </c>
      <c r="AC353" s="46" t="n">
        <f aca="false">IF(AND(E353&gt;0,B353=10),1,0)</f>
        <v>0</v>
      </c>
      <c r="AD353" s="0" t="str">
        <f aca="false">IF(AND(C352=C353,AA352=AA353-1),AB352,"")</f>
        <v/>
      </c>
      <c r="AE353" s="0" t="str">
        <f aca="false">IF(AND(C352=C353,AA352=AA353-1),AC352,"")</f>
        <v/>
      </c>
      <c r="AF353" s="0" t="str">
        <f aca="false">IF(AA353=1,"",IF(AND(AB353=1,AD353&lt;&gt;1),1,0))</f>
        <v/>
      </c>
      <c r="AG353" s="0" t="str">
        <f aca="false">IF(AA353=1,"",IF(AND(AC353=1,AE353&lt;&gt;1),1,0))</f>
        <v/>
      </c>
      <c r="AH353" s="51" t="str">
        <f aca="false">IF(AND(E353&gt;0,AA353&lt;1,NOT(AND(C354=C353,AA354=AA353+1))),INDEX(DATAS,AA353+1),"")</f>
        <v/>
      </c>
      <c r="AI353" s="51" t="str">
        <f aca="false">IF(AND(AC353=1,AA353&lt;1),IF(AND(C354=C353,AA354=AA353+1),IF(AC354=1,"",INDEX(DATAS,AA353+1)),INDEX(DATAS,AA353+1)),"")</f>
        <v/>
      </c>
    </row>
    <row r="354" customFormat="false" ht="15" hidden="false" customHeight="false" outlineLevel="0" collapsed="false">
      <c r="A354" s="51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46" t="s">
        <v>436</v>
      </c>
      <c r="I354" s="46" t="s">
        <v>157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51" t="n">
        <v>46149</v>
      </c>
      <c r="X354" s="46" t="n">
        <f aca="false">IF(I354="Male",0,1)</f>
        <v>1</v>
      </c>
      <c r="Y354" s="46" t="n">
        <f aca="false">IF(OR(I354="DNB",I354="Dry DNB"),1,0)</f>
        <v>0</v>
      </c>
      <c r="Z354" s="46" t="n">
        <f aca="false">IF(ISNUMBER(W354),A354-W354,"")</f>
        <v>160</v>
      </c>
      <c r="AA354" s="46" t="n">
        <f aca="false">MATCH(A354,DATAS,0)</f>
        <v>1</v>
      </c>
      <c r="AB354" s="46" t="n">
        <f aca="false">IF(AND(E354&gt;0,OR(AND(B354&gt;=1,B354&lt;=6),B354=10)),1,0)</f>
        <v>0</v>
      </c>
      <c r="AC354" s="46" t="n">
        <f aca="false">IF(AND(E354&gt;0,B354=10),1,0)</f>
        <v>0</v>
      </c>
      <c r="AD354" s="0" t="str">
        <f aca="false">IF(AND(C353=C354,AA353=AA354-1),AB353,"")</f>
        <v/>
      </c>
      <c r="AE354" s="0" t="str">
        <f aca="false">IF(AND(C353=C354,AA353=AA354-1),AC353,"")</f>
        <v/>
      </c>
      <c r="AF354" s="0" t="str">
        <f aca="false">IF(AA354=1,"",IF(AND(AB354=1,AD354&lt;&gt;1),1,0))</f>
        <v/>
      </c>
      <c r="AG354" s="0" t="str">
        <f aca="false">IF(AA354=1,"",IF(AND(AC354=1,AE354&lt;&gt;1),1,0))</f>
        <v/>
      </c>
      <c r="AH354" s="51" t="str">
        <f aca="false">IF(AND(E354&gt;0,AA354&lt;1,NOT(AND(C355=C354,AA355=AA354+1))),INDEX(DATAS,AA354+1),"")</f>
        <v/>
      </c>
      <c r="AI354" s="51" t="str">
        <f aca="false">IF(AND(AC354=1,AA354&lt;1),IF(AND(C355=C354,AA355=AA354+1),IF(AC355=1,"",INDEX(DATAS,AA354+1)),INDEX(DATAS,AA354+1)),"")</f>
        <v/>
      </c>
    </row>
    <row r="355" customFormat="false" ht="15" hidden="false" customHeight="false" outlineLevel="0" collapsed="false">
      <c r="A355" s="51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46" t="s">
        <v>437</v>
      </c>
      <c r="G355" s="0" t="n">
        <v>32.3</v>
      </c>
      <c r="H355" s="0" t="n">
        <v>31</v>
      </c>
      <c r="I355" s="46" t="s">
        <v>152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51" t="n">
        <v>46100</v>
      </c>
      <c r="X355" s="46" t="n">
        <f aca="false">IF(I355="Male",0,1)</f>
        <v>1</v>
      </c>
      <c r="Y355" s="46" t="n">
        <f aca="false">IF(OR(I355="DNB",I355="Dry DNB"),1,0)</f>
        <v>0</v>
      </c>
      <c r="Z355" s="46" t="n">
        <f aca="false">IF(ISNUMBER(W355),A355-W355,"")</f>
        <v>209</v>
      </c>
      <c r="AA355" s="46" t="n">
        <f aca="false">MATCH(A355,DATAS,0)</f>
        <v>1</v>
      </c>
      <c r="AB355" s="46" t="n">
        <f aca="false">IF(AND(E355&gt;0,OR(AND(B355&gt;=1,B355&lt;=6),B355=10)),1,0)</f>
        <v>1</v>
      </c>
      <c r="AC355" s="46" t="n">
        <f aca="false">IF(AND(E355&gt;0,B355=10),1,0)</f>
        <v>0</v>
      </c>
      <c r="AD355" s="0" t="str">
        <f aca="false">IF(AND(C354=C355,AA354=AA355-1),AB354,"")</f>
        <v/>
      </c>
      <c r="AE355" s="0" t="str">
        <f aca="false">IF(AND(C354=C355,AA354=AA355-1),AC354,"")</f>
        <v/>
      </c>
      <c r="AF355" s="0" t="str">
        <f aca="false">IF(AA355=1,"",IF(AND(AB355=1,AD355&lt;&gt;1),1,0))</f>
        <v/>
      </c>
      <c r="AG355" s="0" t="str">
        <f aca="false">IF(AA355=1,"",IF(AND(AC355=1,AE355&lt;&gt;1),1,0))</f>
        <v/>
      </c>
      <c r="AH355" s="51" t="str">
        <f aca="false">IF(AND(E355&gt;0,AA355&lt;1,NOT(AND(C356=C355,AA356=AA355+1))),INDEX(DATAS,AA355+1),"")</f>
        <v/>
      </c>
      <c r="AI355" s="51" t="str">
        <f aca="false">IF(AND(AC355=1,AA355&lt;1),IF(AND(C356=C355,AA356=AA355+1),IF(AC356=1,"",INDEX(DATAS,AA355+1)),INDEX(DATAS,AA355+1)),"")</f>
        <v/>
      </c>
    </row>
    <row r="356" customFormat="false" ht="15" hidden="false" customHeight="false" outlineLevel="0" collapsed="false">
      <c r="A356" s="51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46" t="s">
        <v>437</v>
      </c>
      <c r="G356" s="0" t="n">
        <v>55.9</v>
      </c>
      <c r="H356" s="0" t="n">
        <v>60</v>
      </c>
      <c r="I356" s="46" t="s">
        <v>152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51" t="n">
        <v>46212</v>
      </c>
      <c r="X356" s="46" t="n">
        <f aca="false">IF(I356="Male",0,1)</f>
        <v>1</v>
      </c>
      <c r="Y356" s="46" t="n">
        <f aca="false">IF(OR(I356="DNB",I356="Dry DNB"),1,0)</f>
        <v>0</v>
      </c>
      <c r="Z356" s="46" t="n">
        <f aca="false">IF(ISNUMBER(W356),A356-W356,"")</f>
        <v>97</v>
      </c>
      <c r="AA356" s="46" t="n">
        <f aca="false">MATCH(A356,DATAS,0)</f>
        <v>1</v>
      </c>
      <c r="AB356" s="46" t="n">
        <f aca="false">IF(AND(E356&gt;0,OR(AND(B356&gt;=1,B356&lt;=6),B356=10)),1,0)</f>
        <v>1</v>
      </c>
      <c r="AC356" s="46" t="n">
        <f aca="false">IF(AND(E356&gt;0,B356=10),1,0)</f>
        <v>0</v>
      </c>
      <c r="AD356" s="0" t="str">
        <f aca="false">IF(AND(C355=C356,AA355=AA356-1),AB355,"")</f>
        <v/>
      </c>
      <c r="AE356" s="0" t="str">
        <f aca="false">IF(AND(C355=C356,AA355=AA356-1),AC355,"")</f>
        <v/>
      </c>
      <c r="AF356" s="0" t="str">
        <f aca="false">IF(AA356=1,"",IF(AND(AB356=1,AD356&lt;&gt;1),1,0))</f>
        <v/>
      </c>
      <c r="AG356" s="0" t="str">
        <f aca="false">IF(AA356=1,"",IF(AND(AC356=1,AE356&lt;&gt;1),1,0))</f>
        <v/>
      </c>
      <c r="AH356" s="51" t="str">
        <f aca="false">IF(AND(E356&gt;0,AA356&lt;1,NOT(AND(C357=C356,AA357=AA356+1))),INDEX(DATAS,AA356+1),"")</f>
        <v/>
      </c>
      <c r="AI356" s="51" t="str">
        <f aca="false">IF(AND(AC356=1,AA356&lt;1),IF(AND(C357=C356,AA357=AA356+1),IF(AC357=1,"",INDEX(DATAS,AA356+1)),INDEX(DATAS,AA356+1)),"")</f>
        <v/>
      </c>
    </row>
    <row r="357" customFormat="false" ht="15" hidden="false" customHeight="false" outlineLevel="0" collapsed="false">
      <c r="A357" s="51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46" t="s">
        <v>438</v>
      </c>
      <c r="G357" s="0" t="n">
        <v>43.4</v>
      </c>
      <c r="H357" s="0" t="n">
        <v>43</v>
      </c>
      <c r="I357" s="46" t="s">
        <v>152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51" t="n">
        <v>46170</v>
      </c>
      <c r="X357" s="46" t="n">
        <f aca="false">IF(I357="Male",0,1)</f>
        <v>1</v>
      </c>
      <c r="Y357" s="46" t="n">
        <f aca="false">IF(OR(I357="DNB",I357="Dry DNB"),1,0)</f>
        <v>0</v>
      </c>
      <c r="Z357" s="46" t="n">
        <f aca="false">IF(ISNUMBER(W357),A357-W357,"")</f>
        <v>139</v>
      </c>
      <c r="AA357" s="46" t="n">
        <f aca="false">MATCH(A357,DATAS,0)</f>
        <v>1</v>
      </c>
      <c r="AB357" s="46" t="n">
        <f aca="false">IF(AND(E357&gt;0,OR(AND(B357&gt;=1,B357&lt;=6),B357=10)),1,0)</f>
        <v>1</v>
      </c>
      <c r="AC357" s="46" t="n">
        <f aca="false">IF(AND(E357&gt;0,B357=10),1,0)</f>
        <v>0</v>
      </c>
      <c r="AD357" s="0" t="str">
        <f aca="false">IF(AND(C356=C357,AA356=AA357-1),AB356,"")</f>
        <v/>
      </c>
      <c r="AE357" s="0" t="str">
        <f aca="false">IF(AND(C356=C357,AA356=AA357-1),AC356,"")</f>
        <v/>
      </c>
      <c r="AF357" s="0" t="str">
        <f aca="false">IF(AA357=1,"",IF(AND(AB357=1,AD357&lt;&gt;1),1,0))</f>
        <v/>
      </c>
      <c r="AG357" s="0" t="str">
        <f aca="false">IF(AA357=1,"",IF(AND(AC357=1,AE357&lt;&gt;1),1,0))</f>
        <v/>
      </c>
      <c r="AH357" s="51" t="str">
        <f aca="false">IF(AND(E357&gt;0,AA357&lt;1,NOT(AND(C358=C357,AA358=AA357+1))),INDEX(DATAS,AA357+1),"")</f>
        <v/>
      </c>
      <c r="AI357" s="51" t="str">
        <f aca="false">IF(AND(AC357=1,AA357&lt;1),IF(AND(C358=C357,AA358=AA357+1),IF(AC358=1,"",INDEX(DATAS,AA357+1)),INDEX(DATAS,AA357+1)),"")</f>
        <v/>
      </c>
    </row>
    <row r="358" customFormat="false" ht="15" hidden="false" customHeight="false" outlineLevel="0" collapsed="false">
      <c r="A358" s="51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46" t="s">
        <v>438</v>
      </c>
      <c r="G358" s="0" t="n">
        <v>70.9</v>
      </c>
      <c r="H358" s="0" t="n">
        <v>69</v>
      </c>
      <c r="I358" s="46" t="s">
        <v>152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51" t="n">
        <v>46275</v>
      </c>
      <c r="X358" s="46" t="n">
        <f aca="false">IF(I358="Male",0,1)</f>
        <v>1</v>
      </c>
      <c r="Y358" s="46" t="n">
        <f aca="false">IF(OR(I358="DNB",I358="Dry DNB"),1,0)</f>
        <v>0</v>
      </c>
      <c r="Z358" s="46" t="n">
        <f aca="false">IF(ISNUMBER(W358),A358-W358,"")</f>
        <v>34</v>
      </c>
      <c r="AA358" s="46" t="n">
        <f aca="false">MATCH(A358,DATAS,0)</f>
        <v>1</v>
      </c>
      <c r="AB358" s="46" t="n">
        <f aca="false">IF(AND(E358&gt;0,OR(AND(B358&gt;=1,B358&lt;=6),B358=10)),1,0)</f>
        <v>1</v>
      </c>
      <c r="AC358" s="46" t="n">
        <f aca="false">IF(AND(E358&gt;0,B358=10),1,0)</f>
        <v>0</v>
      </c>
      <c r="AD358" s="0" t="str">
        <f aca="false">IF(AND(C357=C358,AA357=AA358-1),AB357,"")</f>
        <v/>
      </c>
      <c r="AE358" s="0" t="str">
        <f aca="false">IF(AND(C357=C358,AA357=AA358-1),AC357,"")</f>
        <v/>
      </c>
      <c r="AF358" s="0" t="str">
        <f aca="false">IF(AA358=1,"",IF(AND(AB358=1,AD358&lt;&gt;1),1,0))</f>
        <v/>
      </c>
      <c r="AG358" s="0" t="str">
        <f aca="false">IF(AA358=1,"",IF(AND(AC358=1,AE358&lt;&gt;1),1,0))</f>
        <v/>
      </c>
      <c r="AH358" s="51" t="str">
        <f aca="false">IF(AND(E358&gt;0,AA358&lt;1,NOT(AND(C359=C358,AA359=AA358+1))),INDEX(DATAS,AA358+1),"")</f>
        <v/>
      </c>
      <c r="AI358" s="51" t="str">
        <f aca="false">IF(AND(AC358=1,AA358&lt;1),IF(AND(C359=C358,AA359=AA358+1),IF(AC359=1,"",INDEX(DATAS,AA358+1)),INDEX(DATAS,AA358+1)),"")</f>
        <v/>
      </c>
    </row>
    <row r="359" customFormat="false" ht="15" hidden="false" customHeight="false" outlineLevel="0" collapsed="false">
      <c r="A359" s="51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46" t="s">
        <v>438</v>
      </c>
      <c r="G359" s="0" t="n">
        <v>58.6</v>
      </c>
      <c r="H359" s="0" t="n">
        <v>61</v>
      </c>
      <c r="I359" s="46" t="s">
        <v>189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51" t="n">
        <v>46268</v>
      </c>
      <c r="X359" s="46" t="n">
        <f aca="false">IF(I359="Male",0,1)</f>
        <v>1</v>
      </c>
      <c r="Y359" s="46" t="n">
        <f aca="false">IF(OR(I359="DNB",I359="Dry DNB"),1,0)</f>
        <v>0</v>
      </c>
      <c r="Z359" s="46" t="n">
        <f aca="false">IF(ISNUMBER(W359),A359-W359,"")</f>
        <v>41</v>
      </c>
      <c r="AA359" s="46" t="n">
        <f aca="false">MATCH(A359,DATAS,0)</f>
        <v>1</v>
      </c>
      <c r="AB359" s="46" t="n">
        <f aca="false">IF(AND(E359&gt;0,OR(AND(B359&gt;=1,B359&lt;=6),B359=10)),1,0)</f>
        <v>1</v>
      </c>
      <c r="AC359" s="46" t="n">
        <f aca="false">IF(AND(E359&gt;0,B359=10),1,0)</f>
        <v>0</v>
      </c>
      <c r="AD359" s="0" t="str">
        <f aca="false">IF(AND(C358=C359,AA358=AA359-1),AB358,"")</f>
        <v/>
      </c>
      <c r="AE359" s="0" t="str">
        <f aca="false">IF(AND(C358=C359,AA358=AA359-1),AC358,"")</f>
        <v/>
      </c>
      <c r="AF359" s="0" t="str">
        <f aca="false">IF(AA359=1,"",IF(AND(AB359=1,AD359&lt;&gt;1),1,0))</f>
        <v/>
      </c>
      <c r="AG359" s="0" t="str">
        <f aca="false">IF(AA359=1,"",IF(AND(AC359=1,AE359&lt;&gt;1),1,0))</f>
        <v/>
      </c>
      <c r="AH359" s="51" t="str">
        <f aca="false">IF(AND(E359&gt;0,AA359&lt;1,NOT(AND(C360=C359,AA360=AA359+1))),INDEX(DATAS,AA359+1),"")</f>
        <v/>
      </c>
      <c r="AI359" s="51" t="str">
        <f aca="false">IF(AND(AC359=1,AA359&lt;1),IF(AND(C360=C359,AA360=AA359+1),IF(AC360=1,"",INDEX(DATAS,AA359+1)),INDEX(DATAS,AA359+1)),"")</f>
        <v/>
      </c>
    </row>
    <row r="360" customFormat="false" ht="15" hidden="false" customHeight="false" outlineLevel="0" collapsed="false">
      <c r="A360" s="51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46" t="s">
        <v>438</v>
      </c>
      <c r="G360" s="0" t="n">
        <v>44.2</v>
      </c>
      <c r="H360" s="0" t="n">
        <v>40</v>
      </c>
      <c r="I360" s="46" t="s">
        <v>152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51" t="n">
        <v>46107</v>
      </c>
      <c r="X360" s="46" t="n">
        <f aca="false">IF(I360="Male",0,1)</f>
        <v>1</v>
      </c>
      <c r="Y360" s="46" t="n">
        <f aca="false">IF(OR(I360="DNB",I360="Dry DNB"),1,0)</f>
        <v>0</v>
      </c>
      <c r="Z360" s="46" t="n">
        <f aca="false">IF(ISNUMBER(W360),A360-W360,"")</f>
        <v>202</v>
      </c>
      <c r="AA360" s="46" t="n">
        <f aca="false">MATCH(A360,DATAS,0)</f>
        <v>1</v>
      </c>
      <c r="AB360" s="46" t="n">
        <f aca="false">IF(AND(E360&gt;0,OR(AND(B360&gt;=1,B360&lt;=6),B360=10)),1,0)</f>
        <v>1</v>
      </c>
      <c r="AC360" s="46" t="n">
        <f aca="false">IF(AND(E360&gt;0,B360=10),1,0)</f>
        <v>0</v>
      </c>
      <c r="AD360" s="0" t="str">
        <f aca="false">IF(AND(C359=C360,AA359=AA360-1),AB359,"")</f>
        <v/>
      </c>
      <c r="AE360" s="0" t="str">
        <f aca="false">IF(AND(C359=C360,AA359=AA360-1),AC359,"")</f>
        <v/>
      </c>
      <c r="AF360" s="0" t="str">
        <f aca="false">IF(AA360=1,"",IF(AND(AB360=1,AD360&lt;&gt;1),1,0))</f>
        <v/>
      </c>
      <c r="AG360" s="0" t="str">
        <f aca="false">IF(AA360=1,"",IF(AND(AC360=1,AE360&lt;&gt;1),1,0))</f>
        <v/>
      </c>
      <c r="AH360" s="51" t="str">
        <f aca="false">IF(AND(E360&gt;0,AA360&lt;1,NOT(AND(C361=C360,AA361=AA360+1))),INDEX(DATAS,AA360+1),"")</f>
        <v/>
      </c>
      <c r="AI360" s="51" t="str">
        <f aca="false">IF(AND(AC360=1,AA360&lt;1),IF(AND(C361=C360,AA361=AA360+1),IF(AC361=1,"",INDEX(DATAS,AA360+1)),INDEX(DATAS,AA360+1)),"")</f>
        <v/>
      </c>
    </row>
    <row r="361" customFormat="false" ht="15" hidden="false" customHeight="false" outlineLevel="0" collapsed="false">
      <c r="A361" s="51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46" t="s">
        <v>439</v>
      </c>
      <c r="G361" s="0" t="n">
        <v>24.6</v>
      </c>
      <c r="H361" s="0" t="n">
        <v>22</v>
      </c>
      <c r="I361" s="46" t="s">
        <v>152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51" t="n">
        <v>46241</v>
      </c>
      <c r="X361" s="46" t="n">
        <f aca="false">IF(I361="Male",0,1)</f>
        <v>1</v>
      </c>
      <c r="Y361" s="46" t="n">
        <f aca="false">IF(OR(I361="DNB",I361="Dry DNB"),1,0)</f>
        <v>0</v>
      </c>
      <c r="Z361" s="46" t="n">
        <f aca="false">IF(ISNUMBER(W361),A361-W361,"")</f>
        <v>68</v>
      </c>
      <c r="AA361" s="46" t="n">
        <f aca="false">MATCH(A361,DATAS,0)</f>
        <v>1</v>
      </c>
      <c r="AB361" s="46" t="n">
        <f aca="false">IF(AND(E361&gt;0,OR(AND(B361&gt;=1,B361&lt;=6),B361=10)),1,0)</f>
        <v>1</v>
      </c>
      <c r="AC361" s="46" t="n">
        <f aca="false">IF(AND(E361&gt;0,B361=10),1,0)</f>
        <v>0</v>
      </c>
      <c r="AD361" s="0" t="str">
        <f aca="false">IF(AND(C360=C361,AA360=AA361-1),AB360,"")</f>
        <v/>
      </c>
      <c r="AE361" s="0" t="str">
        <f aca="false">IF(AND(C360=C361,AA360=AA361-1),AC360,"")</f>
        <v/>
      </c>
      <c r="AF361" s="0" t="str">
        <f aca="false">IF(AA361=1,"",IF(AND(AB361=1,AD361&lt;&gt;1),1,0))</f>
        <v/>
      </c>
      <c r="AG361" s="0" t="str">
        <f aca="false">IF(AA361=1,"",IF(AND(AC361=1,AE361&lt;&gt;1),1,0))</f>
        <v/>
      </c>
      <c r="AH361" s="51" t="str">
        <f aca="false">IF(AND(E361&gt;0,AA361&lt;1,NOT(AND(C362=C361,AA362=AA361+1))),INDEX(DATAS,AA361+1),"")</f>
        <v/>
      </c>
      <c r="AI361" s="51" t="str">
        <f aca="false">IF(AND(AC361=1,AA361&lt;1),IF(AND(C362=C361,AA362=AA361+1),IF(AC362=1,"",INDEX(DATAS,AA361+1)),INDEX(DATAS,AA361+1)),"")</f>
        <v/>
      </c>
    </row>
    <row r="362" customFormat="false" ht="15" hidden="false" customHeight="false" outlineLevel="0" collapsed="false">
      <c r="A362" s="51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46" t="s">
        <v>440</v>
      </c>
      <c r="G362" s="0" t="n">
        <v>33.2</v>
      </c>
      <c r="H362" s="0" t="n">
        <v>31</v>
      </c>
      <c r="I362" s="46" t="s">
        <v>152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51" t="n">
        <v>46240</v>
      </c>
      <c r="X362" s="46" t="n">
        <f aca="false">IF(I362="Male",0,1)</f>
        <v>1</v>
      </c>
      <c r="Y362" s="46" t="n">
        <f aca="false">IF(OR(I362="DNB",I362="Dry DNB"),1,0)</f>
        <v>0</v>
      </c>
      <c r="Z362" s="46" t="n">
        <f aca="false">IF(ISNUMBER(W362),A362-W362,"")</f>
        <v>69</v>
      </c>
      <c r="AA362" s="46" t="n">
        <f aca="false">MATCH(A362,DATAS,0)</f>
        <v>1</v>
      </c>
      <c r="AB362" s="46" t="n">
        <f aca="false">IF(AND(E362&gt;0,OR(AND(B362&gt;=1,B362&lt;=6),B362=10)),1,0)</f>
        <v>1</v>
      </c>
      <c r="AC362" s="46" t="n">
        <f aca="false">IF(AND(E362&gt;0,B362=10),1,0)</f>
        <v>0</v>
      </c>
      <c r="AD362" s="0" t="str">
        <f aca="false">IF(AND(C361=C362,AA361=AA362-1),AB361,"")</f>
        <v/>
      </c>
      <c r="AE362" s="0" t="str">
        <f aca="false">IF(AND(C361=C362,AA361=AA362-1),AC361,"")</f>
        <v/>
      </c>
      <c r="AF362" s="0" t="str">
        <f aca="false">IF(AA362=1,"",IF(AND(AB362=1,AD362&lt;&gt;1),1,0))</f>
        <v/>
      </c>
      <c r="AG362" s="0" t="str">
        <f aca="false">IF(AA362=1,"",IF(AND(AC362=1,AE362&lt;&gt;1),1,0))</f>
        <v/>
      </c>
      <c r="AH362" s="51" t="str">
        <f aca="false">IF(AND(E362&gt;0,AA362&lt;1,NOT(AND(C363=C362,AA363=AA362+1))),INDEX(DATAS,AA362+1),"")</f>
        <v/>
      </c>
      <c r="AI362" s="51" t="str">
        <f aca="false">IF(AND(AC362=1,AA362&lt;1),IF(AND(C363=C362,AA363=AA362+1),IF(AC363=1,"",INDEX(DATAS,AA362+1)),INDEX(DATAS,AA362+1)),"")</f>
        <v/>
      </c>
    </row>
    <row r="363" customFormat="false" ht="15" hidden="false" customHeight="false" outlineLevel="0" collapsed="false">
      <c r="A363" s="51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46" t="s">
        <v>441</v>
      </c>
      <c r="G363" s="0" t="n">
        <v>32</v>
      </c>
      <c r="H363" s="0" t="n">
        <v>29</v>
      </c>
      <c r="I363" s="46" t="s">
        <v>152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X363" s="46" t="n">
        <f aca="false">IF(I363="Male",0,1)</f>
        <v>1</v>
      </c>
      <c r="Y363" s="46" t="n">
        <f aca="false">IF(OR(I363="DNB",I363="Dry DNB"),1,0)</f>
        <v>0</v>
      </c>
      <c r="Z363" s="0" t="str">
        <f aca="false">IF(ISNUMBER(W363),A363-W363,"")</f>
        <v/>
      </c>
      <c r="AA363" s="46" t="n">
        <f aca="false">MATCH(A363,DATAS,0)</f>
        <v>1</v>
      </c>
      <c r="AB363" s="46" t="n">
        <f aca="false">IF(AND(E363&gt;0,OR(AND(B363&gt;=1,B363&lt;=6),B363=10)),1,0)</f>
        <v>1</v>
      </c>
      <c r="AC363" s="46" t="n">
        <f aca="false">IF(AND(E363&gt;0,B363=10),1,0)</f>
        <v>0</v>
      </c>
      <c r="AD363" s="0" t="str">
        <f aca="false">IF(AND(C362=C363,AA362=AA363-1),AB362,"")</f>
        <v/>
      </c>
      <c r="AE363" s="0" t="str">
        <f aca="false">IF(AND(C362=C363,AA362=AA363-1),AC362,"")</f>
        <v/>
      </c>
      <c r="AF363" s="0" t="str">
        <f aca="false">IF(AA363=1,"",IF(AND(AB363=1,AD363&lt;&gt;1),1,0))</f>
        <v/>
      </c>
      <c r="AG363" s="0" t="str">
        <f aca="false">IF(AA363=1,"",IF(AND(AC363=1,AE363&lt;&gt;1),1,0))</f>
        <v/>
      </c>
      <c r="AH363" s="51" t="str">
        <f aca="false">IF(AND(E363&gt;0,AA363&lt;1,NOT(AND(C364=C363,AA364=AA363+1))),INDEX(DATAS,AA363+1),"")</f>
        <v/>
      </c>
      <c r="AI363" s="51" t="str">
        <f aca="false">IF(AND(AC363=1,AA363&lt;1),IF(AND(C364=C363,AA364=AA363+1),IF(AC364=1,"",INDEX(DATAS,AA363+1)),INDEX(DATAS,AA363+1)),"")</f>
        <v/>
      </c>
    </row>
    <row r="364" customFormat="false" ht="15" hidden="false" customHeight="false" outlineLevel="0" collapsed="false">
      <c r="A364" s="51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46" t="s">
        <v>442</v>
      </c>
      <c r="G364" s="0" t="n">
        <v>33.7</v>
      </c>
      <c r="H364" s="0" t="n">
        <v>31</v>
      </c>
      <c r="I364" s="46" t="s">
        <v>181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51" t="n">
        <v>46289</v>
      </c>
      <c r="X364" s="46" t="n">
        <f aca="false">IF(I364="Male",0,1)</f>
        <v>1</v>
      </c>
      <c r="Y364" s="46" t="n">
        <f aca="false">IF(OR(I364="DNB",I364="Dry DNB"),1,0)</f>
        <v>0</v>
      </c>
      <c r="Z364" s="46" t="n">
        <f aca="false">IF(ISNUMBER(W364),A364-W364,"")</f>
        <v>20</v>
      </c>
      <c r="AA364" s="46" t="n">
        <f aca="false">MATCH(A364,DATAS,0)</f>
        <v>1</v>
      </c>
      <c r="AB364" s="46" t="n">
        <f aca="false">IF(AND(E364&gt;0,OR(AND(B364&gt;=1,B364&lt;=6),B364=10)),1,0)</f>
        <v>1</v>
      </c>
      <c r="AC364" s="46" t="n">
        <f aca="false">IF(AND(E364&gt;0,B364=10),1,0)</f>
        <v>0</v>
      </c>
      <c r="AD364" s="0" t="str">
        <f aca="false">IF(AND(C363=C364,AA363=AA364-1),AB363,"")</f>
        <v/>
      </c>
      <c r="AE364" s="0" t="str">
        <f aca="false">IF(AND(C363=C364,AA363=AA364-1),AC363,"")</f>
        <v/>
      </c>
      <c r="AF364" s="0" t="str">
        <f aca="false">IF(AA364=1,"",IF(AND(AB364=1,AD364&lt;&gt;1),1,0))</f>
        <v/>
      </c>
      <c r="AG364" s="0" t="str">
        <f aca="false">IF(AA364=1,"",IF(AND(AC364=1,AE364&lt;&gt;1),1,0))</f>
        <v/>
      </c>
      <c r="AH364" s="51" t="str">
        <f aca="false">IF(AND(E364&gt;0,AA364&lt;1,NOT(AND(C365=C364,AA365=AA364+1))),INDEX(DATAS,AA364+1),"")</f>
        <v/>
      </c>
      <c r="AI364" s="51" t="str">
        <f aca="false">IF(AND(AC364=1,AA364&lt;1),IF(AND(C365=C364,AA365=AA364+1),IF(AC365=1,"",INDEX(DATAS,AA364+1)),INDEX(DATAS,AA364+1)),"")</f>
        <v/>
      </c>
    </row>
    <row r="365" customFormat="false" ht="15" hidden="false" customHeight="false" outlineLevel="0" collapsed="false">
      <c r="A365" s="51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46" t="s">
        <v>443</v>
      </c>
      <c r="G365" s="0" t="n">
        <v>48.1</v>
      </c>
      <c r="H365" s="0" t="n">
        <v>55</v>
      </c>
      <c r="I365" s="46" t="s">
        <v>181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51" t="n">
        <v>46310</v>
      </c>
      <c r="X365" s="46" t="n">
        <f aca="false">IF(I365="Male",0,1)</f>
        <v>1</v>
      </c>
      <c r="Y365" s="46" t="n">
        <f aca="false">IF(OR(I365="DNB",I365="Dry DNB"),1,0)</f>
        <v>0</v>
      </c>
      <c r="Z365" s="46" t="n">
        <f aca="false">IF(ISNUMBER(W365),A365-W365,"")</f>
        <v>-1</v>
      </c>
      <c r="AA365" s="46" t="n">
        <f aca="false">MATCH(A365,DATAS,0)</f>
        <v>1</v>
      </c>
      <c r="AB365" s="46" t="n">
        <f aca="false">IF(AND(E365&gt;0,OR(AND(B365&gt;=1,B365&lt;=6),B365=10)),1,0)</f>
        <v>1</v>
      </c>
      <c r="AC365" s="46" t="n">
        <f aca="false">IF(AND(E365&gt;0,B365=10),1,0)</f>
        <v>0</v>
      </c>
      <c r="AD365" s="0" t="str">
        <f aca="false">IF(AND(C364=C365,AA364=AA365-1),AB364,"")</f>
        <v/>
      </c>
      <c r="AE365" s="0" t="str">
        <f aca="false">IF(AND(C364=C365,AA364=AA365-1),AC364,"")</f>
        <v/>
      </c>
      <c r="AF365" s="0" t="str">
        <f aca="false">IF(AA365=1,"",IF(AND(AB365=1,AD365&lt;&gt;1),1,0))</f>
        <v/>
      </c>
      <c r="AG365" s="0" t="str">
        <f aca="false">IF(AA365=1,"",IF(AND(AC365=1,AE365&lt;&gt;1),1,0))</f>
        <v/>
      </c>
      <c r="AH365" s="51" t="str">
        <f aca="false">IF(AND(E365&gt;0,AA365&lt;1,NOT(AND(C366=C365,AA366=AA365+1))),INDEX(DATAS,AA365+1),"")</f>
        <v/>
      </c>
      <c r="AI365" s="51" t="str">
        <f aca="false">IF(AND(AC365=1,AA365&lt;1),IF(AND(C366=C365,AA366=AA365+1),IF(AC366=1,"",INDEX(DATAS,AA365+1)),INDEX(DATAS,AA365+1)),"")</f>
        <v/>
      </c>
    </row>
    <row r="366" customFormat="false" ht="15" hidden="false" customHeight="false" outlineLevel="0" collapsed="false">
      <c r="A366" s="51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46" t="s">
        <v>443</v>
      </c>
      <c r="G366" s="0" t="n">
        <v>33.1</v>
      </c>
      <c r="H366" s="0" t="n">
        <v>33</v>
      </c>
      <c r="I366" s="46" t="s">
        <v>152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51" t="n">
        <v>46160</v>
      </c>
      <c r="X366" s="46" t="n">
        <f aca="false">IF(I366="Male",0,1)</f>
        <v>1</v>
      </c>
      <c r="Y366" s="46" t="n">
        <f aca="false">IF(OR(I366="DNB",I366="Dry DNB"),1,0)</f>
        <v>0</v>
      </c>
      <c r="Z366" s="46" t="n">
        <f aca="false">IF(ISNUMBER(W366),A366-W366,"")</f>
        <v>149</v>
      </c>
      <c r="AA366" s="46" t="n">
        <f aca="false">MATCH(A366,DATAS,0)</f>
        <v>1</v>
      </c>
      <c r="AB366" s="46" t="n">
        <f aca="false">IF(AND(E366&gt;0,OR(AND(B366&gt;=1,B366&lt;=6),B366=10)),1,0)</f>
        <v>1</v>
      </c>
      <c r="AC366" s="46" t="n">
        <f aca="false">IF(AND(E366&gt;0,B366=10),1,0)</f>
        <v>0</v>
      </c>
      <c r="AD366" s="0" t="str">
        <f aca="false">IF(AND(C365=C366,AA365=AA366-1),AB365,"")</f>
        <v/>
      </c>
      <c r="AE366" s="0" t="str">
        <f aca="false">IF(AND(C365=C366,AA365=AA366-1),AC365,"")</f>
        <v/>
      </c>
      <c r="AF366" s="0" t="str">
        <f aca="false">IF(AA366=1,"",IF(AND(AB366=1,AD366&lt;&gt;1),1,0))</f>
        <v/>
      </c>
      <c r="AG366" s="0" t="str">
        <f aca="false">IF(AA366=1,"",IF(AND(AC366=1,AE366&lt;&gt;1),1,0))</f>
        <v/>
      </c>
      <c r="AH366" s="51" t="str">
        <f aca="false">IF(AND(E366&gt;0,AA366&lt;1,NOT(AND(C367=C366,AA367=AA366+1))),INDEX(DATAS,AA366+1),"")</f>
        <v/>
      </c>
      <c r="AI366" s="51" t="str">
        <f aca="false">IF(AND(AC366=1,AA366&lt;1),IF(AND(C367=C366,AA367=AA366+1),IF(AC367=1,"",INDEX(DATAS,AA366+1)),INDEX(DATAS,AA366+1)),"")</f>
        <v/>
      </c>
    </row>
    <row r="367" customFormat="false" ht="15" hidden="false" customHeight="false" outlineLevel="0" collapsed="false">
      <c r="A367" s="51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46" t="s">
        <v>443</v>
      </c>
      <c r="G367" s="0" t="n">
        <v>53.9</v>
      </c>
      <c r="H367" s="0" t="n">
        <v>49</v>
      </c>
      <c r="I367" s="46" t="s">
        <v>181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51" t="n">
        <v>46310</v>
      </c>
      <c r="X367" s="46" t="n">
        <f aca="false">IF(I367="Male",0,1)</f>
        <v>1</v>
      </c>
      <c r="Y367" s="46" t="n">
        <f aca="false">IF(OR(I367="DNB",I367="Dry DNB"),1,0)</f>
        <v>0</v>
      </c>
      <c r="Z367" s="46" t="n">
        <f aca="false">IF(ISNUMBER(W367),A367-W367,"")</f>
        <v>-1</v>
      </c>
      <c r="AA367" s="46" t="n">
        <f aca="false">MATCH(A367,DATAS,0)</f>
        <v>1</v>
      </c>
      <c r="AB367" s="46" t="n">
        <f aca="false">IF(AND(E367&gt;0,OR(AND(B367&gt;=1,B367&lt;=6),B367=10)),1,0)</f>
        <v>1</v>
      </c>
      <c r="AC367" s="46" t="n">
        <f aca="false">IF(AND(E367&gt;0,B367=10),1,0)</f>
        <v>0</v>
      </c>
      <c r="AD367" s="0" t="str">
        <f aca="false">IF(AND(C366=C367,AA366=AA367-1),AB366,"")</f>
        <v/>
      </c>
      <c r="AE367" s="0" t="str">
        <f aca="false">IF(AND(C366=C367,AA366=AA367-1),AC366,"")</f>
        <v/>
      </c>
      <c r="AF367" s="0" t="str">
        <f aca="false">IF(AA367=1,"",IF(AND(AB367=1,AD367&lt;&gt;1),1,0))</f>
        <v/>
      </c>
      <c r="AG367" s="0" t="str">
        <f aca="false">IF(AA367=1,"",IF(AND(AC367=1,AE367&lt;&gt;1),1,0))</f>
        <v/>
      </c>
      <c r="AH367" s="51" t="str">
        <f aca="false">IF(AND(E367&gt;0,AA367&lt;1,NOT(AND(C368=C367,AA368=AA367+1))),INDEX(DATAS,AA367+1),"")</f>
        <v/>
      </c>
      <c r="AI367" s="51" t="str">
        <f aca="false">IF(AND(AC367=1,AA367&lt;1),IF(AND(C368=C367,AA368=AA367+1),IF(AC368=1,"",INDEX(DATAS,AA367+1)),INDEX(DATAS,AA367+1)),"")</f>
        <v/>
      </c>
    </row>
    <row r="368" customFormat="false" ht="15" hidden="false" customHeight="false" outlineLevel="0" collapsed="false">
      <c r="A368" s="51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46" t="s">
        <v>444</v>
      </c>
      <c r="I368" s="46" t="s">
        <v>157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51" t="n">
        <v>46055</v>
      </c>
      <c r="X368" s="46" t="n">
        <f aca="false">IF(I368="Male",0,1)</f>
        <v>1</v>
      </c>
      <c r="Y368" s="46" t="n">
        <f aca="false">IF(OR(I368="DNB",I368="Dry DNB"),1,0)</f>
        <v>0</v>
      </c>
      <c r="Z368" s="46" t="n">
        <f aca="false">IF(ISNUMBER(W368),A368-W368,"")</f>
        <v>254</v>
      </c>
      <c r="AA368" s="46" t="n">
        <f aca="false">MATCH(A368,DATAS,0)</f>
        <v>1</v>
      </c>
      <c r="AB368" s="46" t="n">
        <f aca="false">IF(AND(E368&gt;0,OR(AND(B368&gt;=1,B368&lt;=6),B368=10)),1,0)</f>
        <v>0</v>
      </c>
      <c r="AC368" s="46" t="n">
        <f aca="false">IF(AND(E368&gt;0,B368=10),1,0)</f>
        <v>0</v>
      </c>
      <c r="AD368" s="0" t="str">
        <f aca="false">IF(AND(C367=C368,AA367=AA368-1),AB367,"")</f>
        <v/>
      </c>
      <c r="AE368" s="0" t="str">
        <f aca="false">IF(AND(C367=C368,AA367=AA368-1),AC367,"")</f>
        <v/>
      </c>
      <c r="AF368" s="0" t="str">
        <f aca="false">IF(AA368=1,"",IF(AND(AB368=1,AD368&lt;&gt;1),1,0))</f>
        <v/>
      </c>
      <c r="AG368" s="0" t="str">
        <f aca="false">IF(AA368=1,"",IF(AND(AC368=1,AE368&lt;&gt;1),1,0))</f>
        <v/>
      </c>
      <c r="AH368" s="51" t="str">
        <f aca="false">IF(AND(E368&gt;0,AA368&lt;1,NOT(AND(C369=C368,AA369=AA368+1))),INDEX(DATAS,AA368+1),"")</f>
        <v/>
      </c>
      <c r="AI368" s="51" t="str">
        <f aca="false">IF(AND(AC368=1,AA368&lt;1),IF(AND(C369=C368,AA369=AA368+1),IF(AC369=1,"",INDEX(DATAS,AA368+1)),INDEX(DATAS,AA368+1)),"")</f>
        <v/>
      </c>
    </row>
    <row r="369" customFormat="false" ht="15" hidden="false" customHeight="false" outlineLevel="0" collapsed="false">
      <c r="A369" s="51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46" t="s">
        <v>445</v>
      </c>
      <c r="I369" s="46" t="s">
        <v>157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51" t="n">
        <v>46079</v>
      </c>
      <c r="X369" s="46" t="n">
        <f aca="false">IF(I369="Male",0,1)</f>
        <v>1</v>
      </c>
      <c r="Y369" s="46" t="n">
        <f aca="false">IF(OR(I369="DNB",I369="Dry DNB"),1,0)</f>
        <v>0</v>
      </c>
      <c r="Z369" s="46" t="n">
        <f aca="false">IF(ISNUMBER(W369),A369-W369,"")</f>
        <v>230</v>
      </c>
      <c r="AA369" s="46" t="n">
        <f aca="false">MATCH(A369,DATAS,0)</f>
        <v>1</v>
      </c>
      <c r="AB369" s="46" t="n">
        <f aca="false">IF(AND(E369&gt;0,OR(AND(B369&gt;=1,B369&lt;=6),B369=10)),1,0)</f>
        <v>0</v>
      </c>
      <c r="AC369" s="46" t="n">
        <f aca="false">IF(AND(E369&gt;0,B369=10),1,0)</f>
        <v>0</v>
      </c>
      <c r="AD369" s="0" t="str">
        <f aca="false">IF(AND(C368=C369,AA368=AA369-1),AB368,"")</f>
        <v/>
      </c>
      <c r="AE369" s="0" t="str">
        <f aca="false">IF(AND(C368=C369,AA368=AA369-1),AC368,"")</f>
        <v/>
      </c>
      <c r="AF369" s="0" t="str">
        <f aca="false">IF(AA369=1,"",IF(AND(AB369=1,AD369&lt;&gt;1),1,0))</f>
        <v/>
      </c>
      <c r="AG369" s="0" t="str">
        <f aca="false">IF(AA369=1,"",IF(AND(AC369=1,AE369&lt;&gt;1),1,0))</f>
        <v/>
      </c>
      <c r="AH369" s="51" t="str">
        <f aca="false">IF(AND(E369&gt;0,AA369&lt;1,NOT(AND(C370=C369,AA370=AA369+1))),INDEX(DATAS,AA369+1),"")</f>
        <v/>
      </c>
      <c r="AI369" s="51" t="str">
        <f aca="false">IF(AND(AC369=1,AA369&lt;1),IF(AND(C370=C369,AA370=AA369+1),IF(AC370=1,"",INDEX(DATAS,AA369+1)),INDEX(DATAS,AA369+1)),"")</f>
        <v/>
      </c>
    </row>
    <row r="370" customFormat="false" ht="15" hidden="false" customHeight="false" outlineLevel="0" collapsed="false">
      <c r="A370" s="51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46" t="s">
        <v>446</v>
      </c>
      <c r="G370" s="0" t="n">
        <v>37.6</v>
      </c>
      <c r="H370" s="0" t="n">
        <v>36</v>
      </c>
      <c r="I370" s="46" t="s">
        <v>152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51" t="n">
        <v>46275</v>
      </c>
      <c r="X370" s="46" t="n">
        <f aca="false">IF(I370="Male",0,1)</f>
        <v>1</v>
      </c>
      <c r="Y370" s="46" t="n">
        <f aca="false">IF(OR(I370="DNB",I370="Dry DNB"),1,0)</f>
        <v>0</v>
      </c>
      <c r="Z370" s="46" t="n">
        <f aca="false">IF(ISNUMBER(W370),A370-W370,"")</f>
        <v>34</v>
      </c>
      <c r="AA370" s="46" t="n">
        <f aca="false">MATCH(A370,DATAS,0)</f>
        <v>1</v>
      </c>
      <c r="AB370" s="46" t="n">
        <f aca="false">IF(AND(E370&gt;0,OR(AND(B370&gt;=1,B370&lt;=6),B370=10)),1,0)</f>
        <v>1</v>
      </c>
      <c r="AC370" s="46" t="n">
        <f aca="false">IF(AND(E370&gt;0,B370=10),1,0)</f>
        <v>0</v>
      </c>
      <c r="AD370" s="0" t="str">
        <f aca="false">IF(AND(C369=C370,AA369=AA370-1),AB369,"")</f>
        <v/>
      </c>
      <c r="AE370" s="0" t="str">
        <f aca="false">IF(AND(C369=C370,AA369=AA370-1),AC369,"")</f>
        <v/>
      </c>
      <c r="AF370" s="0" t="str">
        <f aca="false">IF(AA370=1,"",IF(AND(AB370=1,AD370&lt;&gt;1),1,0))</f>
        <v/>
      </c>
      <c r="AG370" s="0" t="str">
        <f aca="false">IF(AA370=1,"",IF(AND(AC370=1,AE370&lt;&gt;1),1,0))</f>
        <v/>
      </c>
      <c r="AH370" s="51" t="str">
        <f aca="false">IF(AND(E370&gt;0,AA370&lt;1,NOT(AND(C371=C370,AA371=AA370+1))),INDEX(DATAS,AA370+1),"")</f>
        <v/>
      </c>
      <c r="AI370" s="51" t="str">
        <f aca="false">IF(AND(AC370=1,AA370&lt;1),IF(AND(C371=C370,AA371=AA370+1),IF(AC371=1,"",INDEX(DATAS,AA370+1)),INDEX(DATAS,AA370+1)),"")</f>
        <v/>
      </c>
    </row>
    <row r="371" customFormat="false" ht="15" hidden="false" customHeight="false" outlineLevel="0" collapsed="false">
      <c r="A371" s="51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46" t="s">
        <v>446</v>
      </c>
      <c r="G371" s="0" t="n">
        <v>25</v>
      </c>
      <c r="H371" s="0" t="n">
        <v>24</v>
      </c>
      <c r="I371" s="46" t="s">
        <v>152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51" t="n">
        <v>46205</v>
      </c>
      <c r="X371" s="46" t="n">
        <f aca="false">IF(I371="Male",0,1)</f>
        <v>1</v>
      </c>
      <c r="Y371" s="46" t="n">
        <f aca="false">IF(OR(I371="DNB",I371="Dry DNB"),1,0)</f>
        <v>0</v>
      </c>
      <c r="Z371" s="46" t="n">
        <f aca="false">IF(ISNUMBER(W371),A371-W371,"")</f>
        <v>104</v>
      </c>
      <c r="AA371" s="46" t="n">
        <f aca="false">MATCH(A371,DATAS,0)</f>
        <v>1</v>
      </c>
      <c r="AB371" s="46" t="n">
        <f aca="false">IF(AND(E371&gt;0,OR(AND(B371&gt;=1,B371&lt;=6),B371=10)),1,0)</f>
        <v>1</v>
      </c>
      <c r="AC371" s="46" t="n">
        <f aca="false">IF(AND(E371&gt;0,B371=10),1,0)</f>
        <v>0</v>
      </c>
      <c r="AD371" s="0" t="str">
        <f aca="false">IF(AND(C370=C371,AA370=AA371-1),AB370,"")</f>
        <v/>
      </c>
      <c r="AE371" s="0" t="str">
        <f aca="false">IF(AND(C370=C371,AA370=AA371-1),AC370,"")</f>
        <v/>
      </c>
      <c r="AF371" s="0" t="str">
        <f aca="false">IF(AA371=1,"",IF(AND(AB371=1,AD371&lt;&gt;1),1,0))</f>
        <v/>
      </c>
      <c r="AG371" s="0" t="str">
        <f aca="false">IF(AA371=1,"",IF(AND(AC371=1,AE371&lt;&gt;1),1,0))</f>
        <v/>
      </c>
      <c r="AH371" s="51" t="str">
        <f aca="false">IF(AND(E371&gt;0,AA371&lt;1,NOT(AND(C372=C371,AA372=AA371+1))),INDEX(DATAS,AA371+1),"")</f>
        <v/>
      </c>
      <c r="AI371" s="51" t="str">
        <f aca="false">IF(AND(AC371=1,AA371&lt;1),IF(AND(C372=C371,AA372=AA371+1),IF(AC372=1,"",INDEX(DATAS,AA371+1)),INDEX(DATAS,AA371+1)),"")</f>
        <v/>
      </c>
    </row>
    <row r="372" customFormat="false" ht="15" hidden="false" customHeight="false" outlineLevel="0" collapsed="false">
      <c r="A372" s="51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46" t="s">
        <v>447</v>
      </c>
      <c r="G372" s="0" t="n">
        <v>39.4</v>
      </c>
      <c r="H372" s="0" t="n">
        <v>38</v>
      </c>
      <c r="I372" s="46" t="s">
        <v>152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51" t="n">
        <v>46121</v>
      </c>
      <c r="X372" s="46" t="n">
        <f aca="false">IF(I372="Male",0,1)</f>
        <v>1</v>
      </c>
      <c r="Y372" s="46" t="n">
        <f aca="false">IF(OR(I372="DNB",I372="Dry DNB"),1,0)</f>
        <v>0</v>
      </c>
      <c r="Z372" s="46" t="n">
        <f aca="false">IF(ISNUMBER(W372),A372-W372,"")</f>
        <v>188</v>
      </c>
      <c r="AA372" s="46" t="n">
        <f aca="false">MATCH(A372,DATAS,0)</f>
        <v>1</v>
      </c>
      <c r="AB372" s="46" t="n">
        <f aca="false">IF(AND(E372&gt;0,OR(AND(B372&gt;=1,B372&lt;=6),B372=10)),1,0)</f>
        <v>1</v>
      </c>
      <c r="AC372" s="46" t="n">
        <f aca="false">IF(AND(E372&gt;0,B372=10),1,0)</f>
        <v>0</v>
      </c>
      <c r="AD372" s="0" t="str">
        <f aca="false">IF(AND(C371=C372,AA371=AA372-1),AB371,"")</f>
        <v/>
      </c>
      <c r="AE372" s="0" t="str">
        <f aca="false">IF(AND(C371=C372,AA371=AA372-1),AC371,"")</f>
        <v/>
      </c>
      <c r="AF372" s="0" t="str">
        <f aca="false">IF(AA372=1,"",IF(AND(AB372=1,AD372&lt;&gt;1),1,0))</f>
        <v/>
      </c>
      <c r="AG372" s="0" t="str">
        <f aca="false">IF(AA372=1,"",IF(AND(AC372=1,AE372&lt;&gt;1),1,0))</f>
        <v/>
      </c>
      <c r="AH372" s="51" t="str">
        <f aca="false">IF(AND(E372&gt;0,AA372&lt;1,NOT(AND(C373=C372,AA373=AA372+1))),INDEX(DATAS,AA372+1),"")</f>
        <v/>
      </c>
      <c r="AI372" s="51" t="str">
        <f aca="false">IF(AND(AC372=1,AA372&lt;1),IF(AND(C373=C372,AA373=AA372+1),IF(AC373=1,"",INDEX(DATAS,AA372+1)),INDEX(DATAS,AA372+1)),"")</f>
        <v/>
      </c>
    </row>
    <row r="373" customFormat="false" ht="15" hidden="false" customHeight="false" outlineLevel="0" collapsed="false">
      <c r="A373" s="51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46" t="s">
        <v>447</v>
      </c>
      <c r="G373" s="0" t="n">
        <v>35.3</v>
      </c>
      <c r="H373" s="0" t="n">
        <v>34</v>
      </c>
      <c r="I373" s="46" t="s">
        <v>152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51" t="n">
        <v>46153</v>
      </c>
      <c r="X373" s="46" t="n">
        <f aca="false">IF(I373="Male",0,1)</f>
        <v>1</v>
      </c>
      <c r="Y373" s="46" t="n">
        <f aca="false">IF(OR(I373="DNB",I373="Dry DNB"),1,0)</f>
        <v>0</v>
      </c>
      <c r="Z373" s="46" t="n">
        <f aca="false">IF(ISNUMBER(W373),A373-W373,"")</f>
        <v>156</v>
      </c>
      <c r="AA373" s="46" t="n">
        <f aca="false">MATCH(A373,DATAS,0)</f>
        <v>1</v>
      </c>
      <c r="AB373" s="46" t="n">
        <f aca="false">IF(AND(E373&gt;0,OR(AND(B373&gt;=1,B373&lt;=6),B373=10)),1,0)</f>
        <v>1</v>
      </c>
      <c r="AC373" s="46" t="n">
        <f aca="false">IF(AND(E373&gt;0,B373=10),1,0)</f>
        <v>0</v>
      </c>
      <c r="AD373" s="0" t="str">
        <f aca="false">IF(AND(C372=C373,AA372=AA373-1),AB372,"")</f>
        <v/>
      </c>
      <c r="AE373" s="0" t="str">
        <f aca="false">IF(AND(C372=C373,AA372=AA373-1),AC372,"")</f>
        <v/>
      </c>
      <c r="AF373" s="0" t="str">
        <f aca="false">IF(AA373=1,"",IF(AND(AB373=1,AD373&lt;&gt;1),1,0))</f>
        <v/>
      </c>
      <c r="AG373" s="0" t="str">
        <f aca="false">IF(AA373=1,"",IF(AND(AC373=1,AE373&lt;&gt;1),1,0))</f>
        <v/>
      </c>
      <c r="AH373" s="51" t="str">
        <f aca="false">IF(AND(E373&gt;0,AA373&lt;1,NOT(AND(C374=C373,AA374=AA373+1))),INDEX(DATAS,AA373+1),"")</f>
        <v/>
      </c>
      <c r="AI373" s="51" t="str">
        <f aca="false">IF(AND(AC373=1,AA373&lt;1),IF(AND(C374=C373,AA374=AA373+1),IF(AC374=1,"",INDEX(DATAS,AA373+1)),INDEX(DATAS,AA373+1)),"")</f>
        <v/>
      </c>
    </row>
    <row r="374" customFormat="false" ht="15" hidden="false" customHeight="false" outlineLevel="0" collapsed="false">
      <c r="A374" s="51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46" t="s">
        <v>448</v>
      </c>
      <c r="G374" s="0" t="n">
        <v>48.5</v>
      </c>
      <c r="H374" s="0" t="n">
        <v>59</v>
      </c>
      <c r="I374" s="46" t="s">
        <v>152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51" t="n">
        <v>46268</v>
      </c>
      <c r="X374" s="46" t="n">
        <f aca="false">IF(I374="Male",0,1)</f>
        <v>1</v>
      </c>
      <c r="Y374" s="46" t="n">
        <f aca="false">IF(OR(I374="DNB",I374="Dry DNB"),1,0)</f>
        <v>0</v>
      </c>
      <c r="Z374" s="46" t="n">
        <f aca="false">IF(ISNUMBER(W374),A374-W374,"")</f>
        <v>41</v>
      </c>
      <c r="AA374" s="46" t="n">
        <f aca="false">MATCH(A374,DATAS,0)</f>
        <v>1</v>
      </c>
      <c r="AB374" s="46" t="n">
        <f aca="false">IF(AND(E374&gt;0,OR(AND(B374&gt;=1,B374&lt;=6),B374=10)),1,0)</f>
        <v>1</v>
      </c>
      <c r="AC374" s="46" t="n">
        <f aca="false">IF(AND(E374&gt;0,B374=10),1,0)</f>
        <v>0</v>
      </c>
      <c r="AD374" s="0" t="str">
        <f aca="false">IF(AND(C373=C374,AA373=AA374-1),AB373,"")</f>
        <v/>
      </c>
      <c r="AE374" s="0" t="str">
        <f aca="false">IF(AND(C373=C374,AA373=AA374-1),AC373,"")</f>
        <v/>
      </c>
      <c r="AF374" s="0" t="str">
        <f aca="false">IF(AA374=1,"",IF(AND(AB374=1,AD374&lt;&gt;1),1,0))</f>
        <v/>
      </c>
      <c r="AG374" s="0" t="str">
        <f aca="false">IF(AA374=1,"",IF(AND(AC374=1,AE374&lt;&gt;1),1,0))</f>
        <v/>
      </c>
      <c r="AH374" s="51" t="str">
        <f aca="false">IF(AND(E374&gt;0,AA374&lt;1,NOT(AND(C375=C374,AA375=AA374+1))),INDEX(DATAS,AA374+1),"")</f>
        <v/>
      </c>
      <c r="AI374" s="51" t="str">
        <f aca="false">IF(AND(AC374=1,AA374&lt;1),IF(AND(C375=C374,AA375=AA374+1),IF(AC375=1,"",INDEX(DATAS,AA374+1)),INDEX(DATAS,AA374+1)),"")</f>
        <v/>
      </c>
    </row>
    <row r="375" customFormat="false" ht="15" hidden="false" customHeight="false" outlineLevel="0" collapsed="false">
      <c r="A375" s="51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46" t="s">
        <v>448</v>
      </c>
      <c r="G375" s="0" t="n">
        <v>46</v>
      </c>
      <c r="H375" s="0" t="n">
        <v>63</v>
      </c>
      <c r="I375" s="46" t="s">
        <v>181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51" t="n">
        <v>46310</v>
      </c>
      <c r="X375" s="46" t="n">
        <f aca="false">IF(I375="Male",0,1)</f>
        <v>1</v>
      </c>
      <c r="Y375" s="46" t="n">
        <f aca="false">IF(OR(I375="DNB",I375="Dry DNB"),1,0)</f>
        <v>0</v>
      </c>
      <c r="Z375" s="46" t="n">
        <f aca="false">IF(ISNUMBER(W375),A375-W375,"")</f>
        <v>-1</v>
      </c>
      <c r="AA375" s="46" t="n">
        <f aca="false">MATCH(A375,DATAS,0)</f>
        <v>1</v>
      </c>
      <c r="AB375" s="46" t="n">
        <f aca="false">IF(AND(E375&gt;0,OR(AND(B375&gt;=1,B375&lt;=6),B375=10)),1,0)</f>
        <v>1</v>
      </c>
      <c r="AC375" s="46" t="n">
        <f aca="false">IF(AND(E375&gt;0,B375=10),1,0)</f>
        <v>0</v>
      </c>
      <c r="AD375" s="0" t="str">
        <f aca="false">IF(AND(C374=C375,AA374=AA375-1),AB374,"")</f>
        <v/>
      </c>
      <c r="AE375" s="0" t="str">
        <f aca="false">IF(AND(C374=C375,AA374=AA375-1),AC374,"")</f>
        <v/>
      </c>
      <c r="AF375" s="0" t="str">
        <f aca="false">IF(AA375=1,"",IF(AND(AB375=1,AD375&lt;&gt;1),1,0))</f>
        <v/>
      </c>
      <c r="AG375" s="0" t="str">
        <f aca="false">IF(AA375=1,"",IF(AND(AC375=1,AE375&lt;&gt;1),1,0))</f>
        <v/>
      </c>
      <c r="AH375" s="51" t="str">
        <f aca="false">IF(AND(E375&gt;0,AA375&lt;1,NOT(AND(C376=C375,AA376=AA375+1))),INDEX(DATAS,AA375+1),"")</f>
        <v/>
      </c>
      <c r="AI375" s="51" t="str">
        <f aca="false">IF(AND(AC375=1,AA375&lt;1),IF(AND(C376=C375,AA376=AA375+1),IF(AC376=1,"",INDEX(DATAS,AA375+1)),INDEX(DATAS,AA375+1)),"")</f>
        <v/>
      </c>
    </row>
    <row r="376" customFormat="false" ht="15" hidden="false" customHeight="false" outlineLevel="0" collapsed="false">
      <c r="A376" s="51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46" t="s">
        <v>448</v>
      </c>
      <c r="I376" s="46" t="s">
        <v>353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51" t="n">
        <v>46156</v>
      </c>
      <c r="X376" s="46" t="n">
        <f aca="false">IF(I376="Male",0,1)</f>
        <v>1</v>
      </c>
      <c r="Y376" s="46" t="n">
        <f aca="false">IF(OR(I376="DNB",I376="Dry DNB"),1,0)</f>
        <v>1</v>
      </c>
      <c r="Z376" s="46" t="n">
        <f aca="false">IF(ISNUMBER(W376),A376-W376,"")</f>
        <v>153</v>
      </c>
      <c r="AA376" s="46" t="n">
        <f aca="false">MATCH(A376,DATAS,0)</f>
        <v>1</v>
      </c>
      <c r="AB376" s="46" t="n">
        <f aca="false">IF(AND(E376&gt;0,OR(AND(B376&gt;=1,B376&lt;=6),B376=10)),1,0)</f>
        <v>0</v>
      </c>
      <c r="AC376" s="46" t="n">
        <f aca="false">IF(AND(E376&gt;0,B376=10),1,0)</f>
        <v>0</v>
      </c>
      <c r="AD376" s="0" t="str">
        <f aca="false">IF(AND(C375=C376,AA375=AA376-1),AB375,"")</f>
        <v/>
      </c>
      <c r="AE376" s="0" t="str">
        <f aca="false">IF(AND(C375=C376,AA375=AA376-1),AC375,"")</f>
        <v/>
      </c>
      <c r="AF376" s="0" t="str">
        <f aca="false">IF(AA376=1,"",IF(AND(AB376=1,AD376&lt;&gt;1),1,0))</f>
        <v/>
      </c>
      <c r="AG376" s="0" t="str">
        <f aca="false">IF(AA376=1,"",IF(AND(AC376=1,AE376&lt;&gt;1),1,0))</f>
        <v/>
      </c>
      <c r="AH376" s="51" t="str">
        <f aca="false">IF(AND(E376&gt;0,AA376&lt;1,NOT(AND(C377=C376,AA377=AA376+1))),INDEX(DATAS,AA376+1),"")</f>
        <v/>
      </c>
      <c r="AI376" s="51" t="str">
        <f aca="false">IF(AND(AC376=1,AA376&lt;1),IF(AND(C377=C376,AA377=AA376+1),IF(AC377=1,"",INDEX(DATAS,AA376+1)),INDEX(DATAS,AA376+1)),"")</f>
        <v/>
      </c>
    </row>
    <row r="377" customFormat="false" ht="15" hidden="false" customHeight="false" outlineLevel="0" collapsed="false">
      <c r="A377" s="51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46" t="s">
        <v>449</v>
      </c>
      <c r="G377" s="0" t="n">
        <v>39.7</v>
      </c>
      <c r="H377" s="0" t="n">
        <v>41</v>
      </c>
      <c r="I377" s="46" t="s">
        <v>152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51" t="n">
        <v>46198</v>
      </c>
      <c r="X377" s="46" t="n">
        <f aca="false">IF(I377="Male",0,1)</f>
        <v>1</v>
      </c>
      <c r="Y377" s="46" t="n">
        <f aca="false">IF(OR(I377="DNB",I377="Dry DNB"),1,0)</f>
        <v>0</v>
      </c>
      <c r="Z377" s="46" t="n">
        <f aca="false">IF(ISNUMBER(W377),A377-W377,"")</f>
        <v>111</v>
      </c>
      <c r="AA377" s="46" t="n">
        <f aca="false">MATCH(A377,DATAS,0)</f>
        <v>1</v>
      </c>
      <c r="AB377" s="46" t="n">
        <f aca="false">IF(AND(E377&gt;0,OR(AND(B377&gt;=1,B377&lt;=6),B377=10)),1,0)</f>
        <v>1</v>
      </c>
      <c r="AC377" s="46" t="n">
        <f aca="false">IF(AND(E377&gt;0,B377=10),1,0)</f>
        <v>0</v>
      </c>
      <c r="AD377" s="0" t="str">
        <f aca="false">IF(AND(C376=C377,AA376=AA377-1),AB376,"")</f>
        <v/>
      </c>
      <c r="AE377" s="0" t="str">
        <f aca="false">IF(AND(C376=C377,AA376=AA377-1),AC376,"")</f>
        <v/>
      </c>
      <c r="AF377" s="0" t="str">
        <f aca="false">IF(AA377=1,"",IF(AND(AB377=1,AD377&lt;&gt;1),1,0))</f>
        <v/>
      </c>
      <c r="AG377" s="0" t="str">
        <f aca="false">IF(AA377=1,"",IF(AND(AC377=1,AE377&lt;&gt;1),1,0))</f>
        <v/>
      </c>
      <c r="AH377" s="51" t="str">
        <f aca="false">IF(AND(E377&gt;0,AA377&lt;1,NOT(AND(C378=C377,AA378=AA377+1))),INDEX(DATAS,AA377+1),"")</f>
        <v/>
      </c>
      <c r="AI377" s="51" t="str">
        <f aca="false">IF(AND(AC377=1,AA377&lt;1),IF(AND(C378=C377,AA378=AA377+1),IF(AC378=1,"",INDEX(DATAS,AA377+1)),INDEX(DATAS,AA377+1)),"")</f>
        <v/>
      </c>
    </row>
    <row r="378" customFormat="false" ht="15" hidden="false" customHeight="false" outlineLevel="0" collapsed="false">
      <c r="A378" s="51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46" t="s">
        <v>450</v>
      </c>
      <c r="G378" s="0" t="n">
        <v>68.7</v>
      </c>
      <c r="H378" s="0" t="n">
        <v>66</v>
      </c>
      <c r="I378" s="46" t="s">
        <v>181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51" t="n">
        <v>46282</v>
      </c>
      <c r="X378" s="46" t="n">
        <f aca="false">IF(I378="Male",0,1)</f>
        <v>1</v>
      </c>
      <c r="Y378" s="46" t="n">
        <f aca="false">IF(OR(I378="DNB",I378="Dry DNB"),1,0)</f>
        <v>0</v>
      </c>
      <c r="Z378" s="46" t="n">
        <f aca="false">IF(ISNUMBER(W378),A378-W378,"")</f>
        <v>27</v>
      </c>
      <c r="AA378" s="46" t="n">
        <f aca="false">MATCH(A378,DATAS,0)</f>
        <v>1</v>
      </c>
      <c r="AB378" s="46" t="n">
        <f aca="false">IF(AND(E378&gt;0,OR(AND(B378&gt;=1,B378&lt;=6),B378=10)),1,0)</f>
        <v>1</v>
      </c>
      <c r="AC378" s="46" t="n">
        <f aca="false">IF(AND(E378&gt;0,B378=10),1,0)</f>
        <v>0</v>
      </c>
      <c r="AD378" s="0" t="str">
        <f aca="false">IF(AND(C377=C378,AA377=AA378-1),AB377,"")</f>
        <v/>
      </c>
      <c r="AE378" s="0" t="str">
        <f aca="false">IF(AND(C377=C378,AA377=AA378-1),AC377,"")</f>
        <v/>
      </c>
      <c r="AF378" s="0" t="str">
        <f aca="false">IF(AA378=1,"",IF(AND(AB378=1,AD378&lt;&gt;1),1,0))</f>
        <v/>
      </c>
      <c r="AG378" s="0" t="str">
        <f aca="false">IF(AA378=1,"",IF(AND(AC378=1,AE378&lt;&gt;1),1,0))</f>
        <v/>
      </c>
      <c r="AH378" s="51" t="str">
        <f aca="false">IF(AND(E378&gt;0,AA378&lt;1,NOT(AND(C379=C378,AA379=AA378+1))),INDEX(DATAS,AA378+1),"")</f>
        <v/>
      </c>
      <c r="AI378" s="51" t="str">
        <f aca="false">IF(AND(AC378=1,AA378&lt;1),IF(AND(C379=C378,AA379=AA378+1),IF(AC379=1,"",INDEX(DATAS,AA378+1)),INDEX(DATAS,AA378+1)),"")</f>
        <v/>
      </c>
    </row>
    <row r="379" customFormat="false" ht="15" hidden="false" customHeight="false" outlineLevel="0" collapsed="false">
      <c r="A379" s="51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46" t="s">
        <v>451</v>
      </c>
      <c r="I379" s="46" t="s">
        <v>157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51" t="n">
        <v>46037</v>
      </c>
      <c r="X379" s="46" t="n">
        <f aca="false">IF(I379="Male",0,1)</f>
        <v>1</v>
      </c>
      <c r="Y379" s="46" t="n">
        <f aca="false">IF(OR(I379="DNB",I379="Dry DNB"),1,0)</f>
        <v>0</v>
      </c>
      <c r="Z379" s="46" t="n">
        <f aca="false">IF(ISNUMBER(W379),A379-W379,"")</f>
        <v>272</v>
      </c>
      <c r="AA379" s="46" t="n">
        <f aca="false">MATCH(A379,DATAS,0)</f>
        <v>1</v>
      </c>
      <c r="AB379" s="46" t="n">
        <f aca="false">IF(AND(E379&gt;0,OR(AND(B379&gt;=1,B379&lt;=6),B379=10)),1,0)</f>
        <v>0</v>
      </c>
      <c r="AC379" s="46" t="n">
        <f aca="false">IF(AND(E379&gt;0,B379=10),1,0)</f>
        <v>0</v>
      </c>
      <c r="AD379" s="0" t="str">
        <f aca="false">IF(AND(C378=C379,AA378=AA379-1),AB378,"")</f>
        <v/>
      </c>
      <c r="AE379" s="0" t="str">
        <f aca="false">IF(AND(C378=C379,AA378=AA379-1),AC378,"")</f>
        <v/>
      </c>
      <c r="AF379" s="0" t="str">
        <f aca="false">IF(AA379=1,"",IF(AND(AB379=1,AD379&lt;&gt;1),1,0))</f>
        <v/>
      </c>
      <c r="AG379" s="0" t="str">
        <f aca="false">IF(AA379=1,"",IF(AND(AC379=1,AE379&lt;&gt;1),1,0))</f>
        <v/>
      </c>
      <c r="AH379" s="51" t="str">
        <f aca="false">IF(AND(E379&gt;0,AA379&lt;1,NOT(AND(C380=C379,AA380=AA379+1))),INDEX(DATAS,AA379+1),"")</f>
        <v/>
      </c>
      <c r="AI379" s="51" t="str">
        <f aca="false">IF(AND(AC379=1,AA379&lt;1),IF(AND(C380=C379,AA380=AA379+1),IF(AC380=1,"",INDEX(DATAS,AA379+1)),INDEX(DATAS,AA379+1)),"")</f>
        <v/>
      </c>
    </row>
    <row r="380" customFormat="false" ht="15" hidden="false" customHeight="false" outlineLevel="0" collapsed="false">
      <c r="A380" s="51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46" t="s">
        <v>452</v>
      </c>
      <c r="G380" s="0" t="n">
        <v>45.9</v>
      </c>
      <c r="H380" s="0" t="n">
        <v>45</v>
      </c>
      <c r="I380" s="46" t="s">
        <v>152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51" t="n">
        <v>46205</v>
      </c>
      <c r="X380" s="46" t="n">
        <f aca="false">IF(I380="Male",0,1)</f>
        <v>1</v>
      </c>
      <c r="Y380" s="46" t="n">
        <f aca="false">IF(OR(I380="DNB",I380="Dry DNB"),1,0)</f>
        <v>0</v>
      </c>
      <c r="Z380" s="46" t="n">
        <f aca="false">IF(ISNUMBER(W380),A380-W380,"")</f>
        <v>104</v>
      </c>
      <c r="AA380" s="46" t="n">
        <f aca="false">MATCH(A380,DATAS,0)</f>
        <v>1</v>
      </c>
      <c r="AB380" s="46" t="n">
        <f aca="false">IF(AND(E380&gt;0,OR(AND(B380&gt;=1,B380&lt;=6),B380=10)),1,0)</f>
        <v>1</v>
      </c>
      <c r="AC380" s="46" t="n">
        <f aca="false">IF(AND(E380&gt;0,B380=10),1,0)</f>
        <v>0</v>
      </c>
      <c r="AD380" s="0" t="str">
        <f aca="false">IF(AND(C379=C380,AA379=AA380-1),AB379,"")</f>
        <v/>
      </c>
      <c r="AE380" s="0" t="str">
        <f aca="false">IF(AND(C379=C380,AA379=AA380-1),AC379,"")</f>
        <v/>
      </c>
      <c r="AF380" s="0" t="str">
        <f aca="false">IF(AA380=1,"",IF(AND(AB380=1,AD380&lt;&gt;1),1,0))</f>
        <v/>
      </c>
      <c r="AG380" s="0" t="str">
        <f aca="false">IF(AA380=1,"",IF(AND(AC380=1,AE380&lt;&gt;1),1,0))</f>
        <v/>
      </c>
      <c r="AH380" s="51" t="str">
        <f aca="false">IF(AND(E380&gt;0,AA380&lt;1,NOT(AND(C381=C380,AA381=AA380+1))),INDEX(DATAS,AA380+1),"")</f>
        <v/>
      </c>
      <c r="AI380" s="51" t="str">
        <f aca="false">IF(AND(AC380=1,AA380&lt;1),IF(AND(C381=C380,AA381=AA380+1),IF(AC381=1,"",INDEX(DATAS,AA380+1)),INDEX(DATAS,AA380+1)),"")</f>
        <v/>
      </c>
    </row>
    <row r="381" customFormat="false" ht="15" hidden="false" customHeight="false" outlineLevel="0" collapsed="false">
      <c r="A381" s="51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46" t="s">
        <v>453</v>
      </c>
      <c r="G381" s="0" t="n">
        <v>59.5</v>
      </c>
      <c r="H381" s="0" t="n">
        <v>47</v>
      </c>
      <c r="I381" s="46" t="s">
        <v>181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51" t="n">
        <v>46303</v>
      </c>
      <c r="X381" s="46" t="n">
        <f aca="false">IF(I381="Male",0,1)</f>
        <v>1</v>
      </c>
      <c r="Y381" s="46" t="n">
        <f aca="false">IF(OR(I381="DNB",I381="Dry DNB"),1,0)</f>
        <v>0</v>
      </c>
      <c r="Z381" s="46" t="n">
        <f aca="false">IF(ISNUMBER(W381),A381-W381,"")</f>
        <v>6</v>
      </c>
      <c r="AA381" s="46" t="n">
        <f aca="false">MATCH(A381,DATAS,0)</f>
        <v>1</v>
      </c>
      <c r="AB381" s="46" t="n">
        <f aca="false">IF(AND(E381&gt;0,OR(AND(B381&gt;=1,B381&lt;=6),B381=10)),1,0)</f>
        <v>1</v>
      </c>
      <c r="AC381" s="46" t="n">
        <f aca="false">IF(AND(E381&gt;0,B381=10),1,0)</f>
        <v>0</v>
      </c>
      <c r="AD381" s="0" t="str">
        <f aca="false">IF(AND(C380=C381,AA380=AA381-1),AB380,"")</f>
        <v/>
      </c>
      <c r="AE381" s="0" t="str">
        <f aca="false">IF(AND(C380=C381,AA380=AA381-1),AC380,"")</f>
        <v/>
      </c>
      <c r="AF381" s="0" t="str">
        <f aca="false">IF(AA381=1,"",IF(AND(AB381=1,AD381&lt;&gt;1),1,0))</f>
        <v/>
      </c>
      <c r="AG381" s="0" t="str">
        <f aca="false">IF(AA381=1,"",IF(AND(AC381=1,AE381&lt;&gt;1),1,0))</f>
        <v/>
      </c>
      <c r="AH381" s="51" t="str">
        <f aca="false">IF(AND(E381&gt;0,AA381&lt;1,NOT(AND(C382=C381,AA382=AA381+1))),INDEX(DATAS,AA381+1),"")</f>
        <v/>
      </c>
      <c r="AI381" s="51" t="str">
        <f aca="false">IF(AND(AC381=1,AA381&lt;1),IF(AND(C382=C381,AA382=AA381+1),IF(AC382=1,"",INDEX(DATAS,AA381+1)),INDEX(DATAS,AA381+1)),"")</f>
        <v/>
      </c>
    </row>
    <row r="382" customFormat="false" ht="15" hidden="false" customHeight="false" outlineLevel="0" collapsed="false">
      <c r="A382" s="51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46" t="s">
        <v>454</v>
      </c>
      <c r="G382" s="0" t="n">
        <v>46.7</v>
      </c>
      <c r="H382" s="0" t="n">
        <v>44</v>
      </c>
      <c r="I382" s="46" t="s">
        <v>161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X382" s="46" t="n">
        <f aca="false">IF(I382="Male",0,1)</f>
        <v>1</v>
      </c>
      <c r="Y382" s="46" t="n">
        <f aca="false">IF(OR(I382="DNB",I382="Dry DNB"),1,0)</f>
        <v>0</v>
      </c>
      <c r="Z382" s="0" t="str">
        <f aca="false">IF(ISNUMBER(W382),A382-W382,"")</f>
        <v/>
      </c>
      <c r="AA382" s="46" t="n">
        <f aca="false">MATCH(A382,DATAS,0)</f>
        <v>1</v>
      </c>
      <c r="AB382" s="46" t="n">
        <f aca="false">IF(AND(E382&gt;0,OR(AND(B382&gt;=1,B382&lt;=6),B382=10)),1,0)</f>
        <v>1</v>
      </c>
      <c r="AC382" s="46" t="n">
        <f aca="false">IF(AND(E382&gt;0,B382=10),1,0)</f>
        <v>0</v>
      </c>
      <c r="AD382" s="0" t="str">
        <f aca="false">IF(AND(C381=C382,AA381=AA382-1),AB381,"")</f>
        <v/>
      </c>
      <c r="AE382" s="0" t="str">
        <f aca="false">IF(AND(C381=C382,AA381=AA382-1),AC381,"")</f>
        <v/>
      </c>
      <c r="AF382" s="0" t="str">
        <f aca="false">IF(AA382=1,"",IF(AND(AB382=1,AD382&lt;&gt;1),1,0))</f>
        <v/>
      </c>
      <c r="AG382" s="0" t="str">
        <f aca="false">IF(AA382=1,"",IF(AND(AC382=1,AE382&lt;&gt;1),1,0))</f>
        <v/>
      </c>
      <c r="AH382" s="51" t="str">
        <f aca="false">IF(AND(E382&gt;0,AA382&lt;1,NOT(AND(C383=C382,AA383=AA382+1))),INDEX(DATAS,AA382+1),"")</f>
        <v/>
      </c>
      <c r="AI382" s="51" t="str">
        <f aca="false">IF(AND(AC382=1,AA382&lt;1),IF(AND(C383=C382,AA383=AA382+1),IF(AC383=1,"",INDEX(DATAS,AA382+1)),INDEX(DATAS,AA382+1)),"")</f>
        <v/>
      </c>
    </row>
    <row r="383" customFormat="false" ht="15" hidden="false" customHeight="false" outlineLevel="0" collapsed="false">
      <c r="A383" s="51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46" t="s">
        <v>455</v>
      </c>
      <c r="H383" s="0" t="n">
        <v>26</v>
      </c>
      <c r="I383" s="46" t="s">
        <v>152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51" t="n">
        <v>46170</v>
      </c>
      <c r="X383" s="46" t="n">
        <f aca="false">IF(I383="Male",0,1)</f>
        <v>1</v>
      </c>
      <c r="Y383" s="46" t="n">
        <f aca="false">IF(OR(I383="DNB",I383="Dry DNB"),1,0)</f>
        <v>0</v>
      </c>
      <c r="Z383" s="46" t="n">
        <f aca="false">IF(ISNUMBER(W383),A383-W383,"")</f>
        <v>139</v>
      </c>
      <c r="AA383" s="46" t="n">
        <f aca="false">MATCH(A383,DATAS,0)</f>
        <v>1</v>
      </c>
      <c r="AB383" s="46" t="n">
        <f aca="false">IF(AND(E383&gt;0,OR(AND(B383&gt;=1,B383&lt;=6),B383=10)),1,0)</f>
        <v>1</v>
      </c>
      <c r="AC383" s="46" t="n">
        <f aca="false">IF(AND(E383&gt;0,B383=10),1,0)</f>
        <v>1</v>
      </c>
      <c r="AD383" s="0" t="str">
        <f aca="false">IF(AND(C382=C383,AA382=AA383-1),AB382,"")</f>
        <v/>
      </c>
      <c r="AE383" s="0" t="str">
        <f aca="false">IF(AND(C382=C383,AA382=AA383-1),AC382,"")</f>
        <v/>
      </c>
      <c r="AF383" s="0" t="str">
        <f aca="false">IF(AA383=1,"",IF(AND(AB383=1,AD383&lt;&gt;1),1,0))</f>
        <v/>
      </c>
      <c r="AG383" s="0" t="str">
        <f aca="false">IF(AA383=1,"",IF(AND(AC383=1,AE383&lt;&gt;1),1,0))</f>
        <v/>
      </c>
      <c r="AH383" s="51" t="str">
        <f aca="false">IF(AND(E383&gt;0,AA383&lt;1,NOT(AND(C384=C383,AA384=AA383+1))),INDEX(DATAS,AA383+1),"")</f>
        <v/>
      </c>
      <c r="AI383" s="51" t="str">
        <f aca="false">IF(AND(AC383=1,AA383&lt;1),IF(AND(C384=C383,AA384=AA383+1),IF(AC384=1,"",INDEX(DATAS,AA383+1)),INDEX(DATAS,AA383+1)),"")</f>
        <v/>
      </c>
    </row>
    <row r="384" customFormat="false" ht="15" hidden="false" customHeight="false" outlineLevel="0" collapsed="false">
      <c r="A384" s="51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46" t="s">
        <v>455</v>
      </c>
      <c r="G384" s="0" t="n">
        <v>28.6</v>
      </c>
      <c r="H384" s="0" t="n">
        <v>28</v>
      </c>
      <c r="I384" s="46" t="s">
        <v>138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51" t="n">
        <v>46037</v>
      </c>
      <c r="X384" s="46" t="n">
        <f aca="false">IF(I384="Male",0,1)</f>
        <v>1</v>
      </c>
      <c r="Y384" s="46" t="n">
        <f aca="false">IF(OR(I384="DNB",I384="Dry DNB"),1,0)</f>
        <v>1</v>
      </c>
      <c r="Z384" s="46" t="n">
        <f aca="false">IF(ISNUMBER(W384),A384-W384,"")</f>
        <v>272</v>
      </c>
      <c r="AA384" s="46" t="n">
        <f aca="false">MATCH(A384,DATAS,0)</f>
        <v>1</v>
      </c>
      <c r="AB384" s="46" t="n">
        <f aca="false">IF(AND(E384&gt;0,OR(AND(B384&gt;=1,B384&lt;=6),B384=10)),1,0)</f>
        <v>1</v>
      </c>
      <c r="AC384" s="46" t="n">
        <f aca="false">IF(AND(E384&gt;0,B384=10),1,0)</f>
        <v>0</v>
      </c>
      <c r="AD384" s="0" t="str">
        <f aca="false">IF(AND(C383=C384,AA383=AA384-1),AB383,"")</f>
        <v/>
      </c>
      <c r="AE384" s="0" t="str">
        <f aca="false">IF(AND(C383=C384,AA383=AA384-1),AC383,"")</f>
        <v/>
      </c>
      <c r="AF384" s="0" t="str">
        <f aca="false">IF(AA384=1,"",IF(AND(AB384=1,AD384&lt;&gt;1),1,0))</f>
        <v/>
      </c>
      <c r="AG384" s="0" t="str">
        <f aca="false">IF(AA384=1,"",IF(AND(AC384=1,AE384&lt;&gt;1),1,0))</f>
        <v/>
      </c>
      <c r="AH384" s="51" t="str">
        <f aca="false">IF(AND(E384&gt;0,AA384&lt;1,NOT(AND(C385=C384,AA385=AA384+1))),INDEX(DATAS,AA384+1),"")</f>
        <v/>
      </c>
      <c r="AI384" s="51" t="str">
        <f aca="false">IF(AND(AC384=1,AA384&lt;1),IF(AND(C385=C384,AA385=AA384+1),IF(AC385=1,"",INDEX(DATAS,AA384+1)),INDEX(DATAS,AA384+1)),"")</f>
        <v/>
      </c>
    </row>
    <row r="385" customFormat="false" ht="15" hidden="false" customHeight="false" outlineLevel="0" collapsed="false">
      <c r="A385" s="51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46" t="s">
        <v>456</v>
      </c>
      <c r="G385" s="0" t="n">
        <v>39.8</v>
      </c>
      <c r="H385" s="0" t="n">
        <v>37</v>
      </c>
      <c r="I385" s="46" t="s">
        <v>138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51" t="n">
        <v>46178</v>
      </c>
      <c r="X385" s="46" t="n">
        <f aca="false">IF(I385="Male",0,1)</f>
        <v>1</v>
      </c>
      <c r="Y385" s="46" t="n">
        <f aca="false">IF(OR(I385="DNB",I385="Dry DNB"),1,0)</f>
        <v>1</v>
      </c>
      <c r="Z385" s="46" t="n">
        <f aca="false">IF(ISNUMBER(W385),A385-W385,"")</f>
        <v>131</v>
      </c>
      <c r="AA385" s="46" t="n">
        <f aca="false">MATCH(A385,DATAS,0)</f>
        <v>1</v>
      </c>
      <c r="AB385" s="46" t="n">
        <f aca="false">IF(AND(E385&gt;0,OR(AND(B385&gt;=1,B385&lt;=6),B385=10)),1,0)</f>
        <v>1</v>
      </c>
      <c r="AC385" s="46" t="n">
        <f aca="false">IF(AND(E385&gt;0,B385=10),1,0)</f>
        <v>0</v>
      </c>
      <c r="AD385" s="0" t="str">
        <f aca="false">IF(AND(C384=C385,AA384=AA385-1),AB384,"")</f>
        <v/>
      </c>
      <c r="AE385" s="0" t="str">
        <f aca="false">IF(AND(C384=C385,AA384=AA385-1),AC384,"")</f>
        <v/>
      </c>
      <c r="AF385" s="0" t="str">
        <f aca="false">IF(AA385=1,"",IF(AND(AB385=1,AD385&lt;&gt;1),1,0))</f>
        <v/>
      </c>
      <c r="AG385" s="0" t="str">
        <f aca="false">IF(AA385=1,"",IF(AND(AC385=1,AE385&lt;&gt;1),1,0))</f>
        <v/>
      </c>
      <c r="AH385" s="51" t="str">
        <f aca="false">IF(AND(E385&gt;0,AA385&lt;1,NOT(AND(C386=C385,AA386=AA385+1))),INDEX(DATAS,AA385+1),"")</f>
        <v/>
      </c>
      <c r="AI385" s="51" t="str">
        <f aca="false">IF(AND(AC385=1,AA385&lt;1),IF(AND(C386=C385,AA386=AA385+1),IF(AC386=1,"",INDEX(DATAS,AA385+1)),INDEX(DATAS,AA385+1)),"")</f>
        <v/>
      </c>
    </row>
    <row r="386" customFormat="false" ht="15" hidden="false" customHeight="false" outlineLevel="0" collapsed="false">
      <c r="A386" s="51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46" t="s">
        <v>457</v>
      </c>
      <c r="G386" s="0" t="n">
        <v>51.7</v>
      </c>
      <c r="H386" s="0" t="n">
        <v>48</v>
      </c>
      <c r="I386" s="46" t="s">
        <v>152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51" t="n">
        <v>46240</v>
      </c>
      <c r="X386" s="46" t="n">
        <f aca="false">IF(I386="Male",0,1)</f>
        <v>1</v>
      </c>
      <c r="Y386" s="46" t="n">
        <f aca="false">IF(OR(I386="DNB",I386="Dry DNB"),1,0)</f>
        <v>0</v>
      </c>
      <c r="Z386" s="46" t="n">
        <f aca="false">IF(ISNUMBER(W386),A386-W386,"")</f>
        <v>69</v>
      </c>
      <c r="AA386" s="46" t="n">
        <f aca="false">MATCH(A386,DATAS,0)</f>
        <v>1</v>
      </c>
      <c r="AB386" s="46" t="n">
        <f aca="false">IF(AND(E386&gt;0,OR(AND(B386&gt;=1,B386&lt;=6),B386=10)),1,0)</f>
        <v>1</v>
      </c>
      <c r="AC386" s="46" t="n">
        <f aca="false">IF(AND(E386&gt;0,B386=10),1,0)</f>
        <v>0</v>
      </c>
      <c r="AD386" s="0" t="str">
        <f aca="false">IF(AND(C385=C386,AA385=AA386-1),AB385,"")</f>
        <v/>
      </c>
      <c r="AE386" s="0" t="str">
        <f aca="false">IF(AND(C385=C386,AA385=AA386-1),AC385,"")</f>
        <v/>
      </c>
      <c r="AF386" s="0" t="str">
        <f aca="false">IF(AA386=1,"",IF(AND(AB386=1,AD386&lt;&gt;1),1,0))</f>
        <v/>
      </c>
      <c r="AG386" s="0" t="str">
        <f aca="false">IF(AA386=1,"",IF(AND(AC386=1,AE386&lt;&gt;1),1,0))</f>
        <v/>
      </c>
      <c r="AH386" s="51" t="str">
        <f aca="false">IF(AND(E386&gt;0,AA386&lt;1,NOT(AND(C387=C386,AA387=AA386+1))),INDEX(DATAS,AA386+1),"")</f>
        <v/>
      </c>
      <c r="AI386" s="51" t="str">
        <f aca="false">IF(AND(AC386=1,AA386&lt;1),IF(AND(C387=C386,AA387=AA386+1),IF(AC387=1,"",INDEX(DATAS,AA386+1)),INDEX(DATAS,AA386+1)),"")</f>
        <v/>
      </c>
    </row>
    <row r="387" customFormat="false" ht="15" hidden="false" customHeight="false" outlineLevel="0" collapsed="false">
      <c r="A387" s="51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46" t="s">
        <v>458</v>
      </c>
      <c r="G387" s="0" t="n">
        <v>19.7</v>
      </c>
      <c r="H387" s="0" t="n">
        <v>22</v>
      </c>
      <c r="I387" s="46" t="s">
        <v>189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51" t="n">
        <v>46276</v>
      </c>
      <c r="X387" s="46" t="n">
        <f aca="false">IF(I387="Male",0,1)</f>
        <v>1</v>
      </c>
      <c r="Y387" s="46" t="n">
        <f aca="false">IF(OR(I387="DNB",I387="Dry DNB"),1,0)</f>
        <v>0</v>
      </c>
      <c r="Z387" s="46" t="n">
        <f aca="false">IF(ISNUMBER(W387),A387-W387,"")</f>
        <v>33</v>
      </c>
      <c r="AA387" s="46" t="n">
        <f aca="false">MATCH(A387,DATAS,0)</f>
        <v>1</v>
      </c>
      <c r="AB387" s="46" t="n">
        <f aca="false">IF(AND(E387&gt;0,OR(AND(B387&gt;=1,B387&lt;=6),B387=10)),1,0)</f>
        <v>1</v>
      </c>
      <c r="AC387" s="46" t="n">
        <f aca="false">IF(AND(E387&gt;0,B387=10),1,0)</f>
        <v>0</v>
      </c>
      <c r="AD387" s="0" t="str">
        <f aca="false">IF(AND(C386=C387,AA386=AA387-1),AB386,"")</f>
        <v/>
      </c>
      <c r="AE387" s="0" t="str">
        <f aca="false">IF(AND(C386=C387,AA386=AA387-1),AC386,"")</f>
        <v/>
      </c>
      <c r="AF387" s="0" t="str">
        <f aca="false">IF(AA387=1,"",IF(AND(AB387=1,AD387&lt;&gt;1),1,0))</f>
        <v/>
      </c>
      <c r="AG387" s="0" t="str">
        <f aca="false">IF(AA387=1,"",IF(AND(AC387=1,AE387&lt;&gt;1),1,0))</f>
        <v/>
      </c>
      <c r="AH387" s="51" t="str">
        <f aca="false">IF(AND(E387&gt;0,AA387&lt;1,NOT(AND(C388=C387,AA388=AA387+1))),INDEX(DATAS,AA387+1),"")</f>
        <v/>
      </c>
      <c r="AI387" s="51" t="str">
        <f aca="false">IF(AND(AC387=1,AA387&lt;1),IF(AND(C388=C387,AA388=AA387+1),IF(AC388=1,"",INDEX(DATAS,AA387+1)),INDEX(DATAS,AA387+1)),"")</f>
        <v/>
      </c>
    </row>
    <row r="388" customFormat="false" ht="15" hidden="false" customHeight="false" outlineLevel="0" collapsed="false">
      <c r="A388" s="51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46" t="s">
        <v>458</v>
      </c>
      <c r="G388" s="0" t="n">
        <v>33.8</v>
      </c>
      <c r="H388" s="0" t="n">
        <v>22</v>
      </c>
      <c r="I388" s="46" t="s">
        <v>161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X388" s="46" t="n">
        <f aca="false">IF(I388="Male",0,1)</f>
        <v>1</v>
      </c>
      <c r="Y388" s="46" t="n">
        <f aca="false">IF(OR(I388="DNB",I388="Dry DNB"),1,0)</f>
        <v>0</v>
      </c>
      <c r="Z388" s="0" t="str">
        <f aca="false">IF(ISNUMBER(W388),A388-W388,"")</f>
        <v/>
      </c>
      <c r="AA388" s="46" t="n">
        <f aca="false">MATCH(A388,DATAS,0)</f>
        <v>1</v>
      </c>
      <c r="AB388" s="46" t="n">
        <f aca="false">IF(AND(E388&gt;0,OR(AND(B388&gt;=1,B388&lt;=6),B388=10)),1,0)</f>
        <v>1</v>
      </c>
      <c r="AC388" s="46" t="n">
        <f aca="false">IF(AND(E388&gt;0,B388=10),1,0)</f>
        <v>1</v>
      </c>
      <c r="AD388" s="0" t="str">
        <f aca="false">IF(AND(C387=C388,AA387=AA388-1),AB387,"")</f>
        <v/>
      </c>
      <c r="AE388" s="0" t="str">
        <f aca="false">IF(AND(C387=C388,AA387=AA388-1),AC387,"")</f>
        <v/>
      </c>
      <c r="AF388" s="0" t="str">
        <f aca="false">IF(AA388=1,"",IF(AND(AB388=1,AD388&lt;&gt;1),1,0))</f>
        <v/>
      </c>
      <c r="AG388" s="0" t="str">
        <f aca="false">IF(AA388=1,"",IF(AND(AC388=1,AE388&lt;&gt;1),1,0))</f>
        <v/>
      </c>
      <c r="AH388" s="51" t="str">
        <f aca="false">IF(AND(E388&gt;0,AA388&lt;1,NOT(AND(C389=C388,AA389=AA388+1))),INDEX(DATAS,AA388+1),"")</f>
        <v/>
      </c>
      <c r="AI388" s="51" t="str">
        <f aca="false">IF(AND(AC388=1,AA388&lt;1),IF(AND(C389=C388,AA389=AA388+1),IF(AC389=1,"",INDEX(DATAS,AA388+1)),INDEX(DATAS,AA388+1)),"")</f>
        <v/>
      </c>
    </row>
    <row r="389" customFormat="false" ht="15" hidden="false" customHeight="false" outlineLevel="0" collapsed="false">
      <c r="A389" s="51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46" t="s">
        <v>459</v>
      </c>
      <c r="G389" s="0" t="n">
        <v>59.1</v>
      </c>
      <c r="H389" s="0" t="n">
        <v>59</v>
      </c>
      <c r="I389" s="46" t="s">
        <v>189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51" t="n">
        <v>46275</v>
      </c>
      <c r="X389" s="46" t="n">
        <f aca="false">IF(I389="Male",0,1)</f>
        <v>1</v>
      </c>
      <c r="Y389" s="46" t="n">
        <f aca="false">IF(OR(I389="DNB",I389="Dry DNB"),1,0)</f>
        <v>0</v>
      </c>
      <c r="Z389" s="46" t="n">
        <f aca="false">IF(ISNUMBER(W389),A389-W389,"")</f>
        <v>34</v>
      </c>
      <c r="AA389" s="46" t="n">
        <f aca="false">MATCH(A389,DATAS,0)</f>
        <v>1</v>
      </c>
      <c r="AB389" s="46" t="n">
        <f aca="false">IF(AND(E389&gt;0,OR(AND(B389&gt;=1,B389&lt;=6),B389=10)),1,0)</f>
        <v>1</v>
      </c>
      <c r="AC389" s="46" t="n">
        <f aca="false">IF(AND(E389&gt;0,B389=10),1,0)</f>
        <v>0</v>
      </c>
      <c r="AD389" s="0" t="str">
        <f aca="false">IF(AND(C388=C389,AA388=AA389-1),AB388,"")</f>
        <v/>
      </c>
      <c r="AE389" s="0" t="str">
        <f aca="false">IF(AND(C388=C389,AA388=AA389-1),AC388,"")</f>
        <v/>
      </c>
      <c r="AF389" s="0" t="str">
        <f aca="false">IF(AA389=1,"",IF(AND(AB389=1,AD389&lt;&gt;1),1,0))</f>
        <v/>
      </c>
      <c r="AG389" s="0" t="str">
        <f aca="false">IF(AA389=1,"",IF(AND(AC389=1,AE389&lt;&gt;1),1,0))</f>
        <v/>
      </c>
      <c r="AH389" s="51" t="str">
        <f aca="false">IF(AND(E389&gt;0,AA389&lt;1,NOT(AND(C390=C389,AA390=AA389+1))),INDEX(DATAS,AA389+1),"")</f>
        <v/>
      </c>
      <c r="AI389" s="51" t="str">
        <f aca="false">IF(AND(AC389=1,AA389&lt;1),IF(AND(C390=C389,AA390=AA389+1),IF(AC390=1,"",INDEX(DATAS,AA389+1)),INDEX(DATAS,AA389+1)),"")</f>
        <v/>
      </c>
    </row>
    <row r="390" customFormat="false" ht="15" hidden="false" customHeight="false" outlineLevel="0" collapsed="false">
      <c r="A390" s="51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46" t="s">
        <v>460</v>
      </c>
      <c r="I390" s="46" t="s">
        <v>157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51" t="n">
        <v>46051</v>
      </c>
      <c r="X390" s="46" t="n">
        <f aca="false">IF(I390="Male",0,1)</f>
        <v>1</v>
      </c>
      <c r="Y390" s="46" t="n">
        <f aca="false">IF(OR(I390="DNB",I390="Dry DNB"),1,0)</f>
        <v>0</v>
      </c>
      <c r="Z390" s="46" t="n">
        <f aca="false">IF(ISNUMBER(W390),A390-W390,"")</f>
        <v>258</v>
      </c>
      <c r="AA390" s="46" t="n">
        <f aca="false">MATCH(A390,DATAS,0)</f>
        <v>1</v>
      </c>
      <c r="AB390" s="46" t="n">
        <f aca="false">IF(AND(E390&gt;0,OR(AND(B390&gt;=1,B390&lt;=6),B390=10)),1,0)</f>
        <v>0</v>
      </c>
      <c r="AC390" s="46" t="n">
        <f aca="false">IF(AND(E390&gt;0,B390=10),1,0)</f>
        <v>0</v>
      </c>
      <c r="AD390" s="0" t="str">
        <f aca="false">IF(AND(C389=C390,AA389=AA390-1),AB389,"")</f>
        <v/>
      </c>
      <c r="AE390" s="0" t="str">
        <f aca="false">IF(AND(C389=C390,AA389=AA390-1),AC389,"")</f>
        <v/>
      </c>
      <c r="AF390" s="0" t="str">
        <f aca="false">IF(AA390=1,"",IF(AND(AB390=1,AD390&lt;&gt;1),1,0))</f>
        <v/>
      </c>
      <c r="AG390" s="0" t="str">
        <f aca="false">IF(AA390=1,"",IF(AND(AC390=1,AE390&lt;&gt;1),1,0))</f>
        <v/>
      </c>
      <c r="AH390" s="51" t="str">
        <f aca="false">IF(AND(E390&gt;0,AA390&lt;1,NOT(AND(C391=C390,AA391=AA390+1))),INDEX(DATAS,AA390+1),"")</f>
        <v/>
      </c>
      <c r="AI390" s="51" t="str">
        <f aca="false">IF(AND(AC390=1,AA390&lt;1),IF(AND(C391=C390,AA391=AA390+1),IF(AC391=1,"",INDEX(DATAS,AA390+1)),INDEX(DATAS,AA390+1)),"")</f>
        <v/>
      </c>
    </row>
    <row r="391" customFormat="false" ht="15" hidden="false" customHeight="false" outlineLevel="0" collapsed="false">
      <c r="A391" s="51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46" t="s">
        <v>460</v>
      </c>
      <c r="G391" s="0" t="n">
        <v>62.2</v>
      </c>
      <c r="H391" s="0" t="n">
        <v>58</v>
      </c>
      <c r="I391" s="46" t="s">
        <v>161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X391" s="46" t="n">
        <f aca="false">IF(I391="Male",0,1)</f>
        <v>1</v>
      </c>
      <c r="Y391" s="46" t="n">
        <f aca="false">IF(OR(I391="DNB",I391="Dry DNB"),1,0)</f>
        <v>0</v>
      </c>
      <c r="Z391" s="0" t="str">
        <f aca="false">IF(ISNUMBER(W391),A391-W391,"")</f>
        <v/>
      </c>
      <c r="AA391" s="46" t="n">
        <f aca="false">MATCH(A391,DATAS,0)</f>
        <v>1</v>
      </c>
      <c r="AB391" s="46" t="n">
        <f aca="false">IF(AND(E391&gt;0,OR(AND(B391&gt;=1,B391&lt;=6),B391=10)),1,0)</f>
        <v>1</v>
      </c>
      <c r="AC391" s="46" t="n">
        <f aca="false">IF(AND(E391&gt;0,B391=10),1,0)</f>
        <v>0</v>
      </c>
      <c r="AD391" s="0" t="str">
        <f aca="false">IF(AND(C390=C391,AA390=AA391-1),AB390,"")</f>
        <v/>
      </c>
      <c r="AE391" s="0" t="str">
        <f aca="false">IF(AND(C390=C391,AA390=AA391-1),AC390,"")</f>
        <v/>
      </c>
      <c r="AF391" s="0" t="str">
        <f aca="false">IF(AA391=1,"",IF(AND(AB391=1,AD391&lt;&gt;1),1,0))</f>
        <v/>
      </c>
      <c r="AG391" s="0" t="str">
        <f aca="false">IF(AA391=1,"",IF(AND(AC391=1,AE391&lt;&gt;1),1,0))</f>
        <v/>
      </c>
      <c r="AH391" s="51" t="str">
        <f aca="false">IF(AND(E391&gt;0,AA391&lt;1,NOT(AND(C392=C391,AA392=AA391+1))),INDEX(DATAS,AA391+1),"")</f>
        <v/>
      </c>
      <c r="AI391" s="51" t="str">
        <f aca="false">IF(AND(AC391=1,AA391&lt;1),IF(AND(C392=C391,AA392=AA391+1),IF(AC392=1,"",INDEX(DATAS,AA391+1)),INDEX(DATAS,AA391+1)),"")</f>
        <v/>
      </c>
    </row>
    <row r="392" customFormat="false" ht="15" hidden="false" customHeight="false" outlineLevel="0" collapsed="false">
      <c r="A392" s="51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46" t="s">
        <v>460</v>
      </c>
      <c r="G392" s="0" t="n">
        <v>64.1</v>
      </c>
      <c r="H392" s="0" t="n">
        <v>64</v>
      </c>
      <c r="I392" s="46" t="s">
        <v>152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51" t="n">
        <v>46275</v>
      </c>
      <c r="X392" s="46" t="n">
        <f aca="false">IF(I392="Male",0,1)</f>
        <v>1</v>
      </c>
      <c r="Y392" s="46" t="n">
        <f aca="false">IF(OR(I392="DNB",I392="Dry DNB"),1,0)</f>
        <v>0</v>
      </c>
      <c r="Z392" s="46" t="n">
        <f aca="false">IF(ISNUMBER(W392),A392-W392,"")</f>
        <v>34</v>
      </c>
      <c r="AA392" s="46" t="n">
        <f aca="false">MATCH(A392,DATAS,0)</f>
        <v>1</v>
      </c>
      <c r="AB392" s="46" t="n">
        <f aca="false">IF(AND(E392&gt;0,OR(AND(B392&gt;=1,B392&lt;=6),B392=10)),1,0)</f>
        <v>1</v>
      </c>
      <c r="AC392" s="46" t="n">
        <f aca="false">IF(AND(E392&gt;0,B392=10),1,0)</f>
        <v>0</v>
      </c>
      <c r="AD392" s="0" t="str">
        <f aca="false">IF(AND(C391=C392,AA391=AA392-1),AB391,"")</f>
        <v/>
      </c>
      <c r="AE392" s="0" t="str">
        <f aca="false">IF(AND(C391=C392,AA391=AA392-1),AC391,"")</f>
        <v/>
      </c>
      <c r="AF392" s="0" t="str">
        <f aca="false">IF(AA392=1,"",IF(AND(AB392=1,AD392&lt;&gt;1),1,0))</f>
        <v/>
      </c>
      <c r="AG392" s="0" t="str">
        <f aca="false">IF(AA392=1,"",IF(AND(AC392=1,AE392&lt;&gt;1),1,0))</f>
        <v/>
      </c>
      <c r="AH392" s="51" t="str">
        <f aca="false">IF(AND(E392&gt;0,AA392&lt;1,NOT(AND(C393=C392,AA393=AA392+1))),INDEX(DATAS,AA392+1),"")</f>
        <v/>
      </c>
      <c r="AI392" s="51" t="str">
        <f aca="false">IF(AND(AC392=1,AA392&lt;1),IF(AND(C393=C392,AA393=AA392+1),IF(AC393=1,"",INDEX(DATAS,AA392+1)),INDEX(DATAS,AA392+1)),"")</f>
        <v/>
      </c>
    </row>
    <row r="393" customFormat="false" ht="15" hidden="false" customHeight="false" outlineLevel="0" collapsed="false">
      <c r="A393" s="51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46" t="s">
        <v>461</v>
      </c>
      <c r="G393" s="0" t="n">
        <v>58.5</v>
      </c>
      <c r="H393" s="0" t="n">
        <v>58</v>
      </c>
      <c r="I393" s="46" t="s">
        <v>161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X393" s="46" t="n">
        <f aca="false">IF(I393="Male",0,1)</f>
        <v>1</v>
      </c>
      <c r="Y393" s="46" t="n">
        <f aca="false">IF(OR(I393="DNB",I393="Dry DNB"),1,0)</f>
        <v>0</v>
      </c>
      <c r="Z393" s="0" t="str">
        <f aca="false">IF(ISNUMBER(W393),A393-W393,"")</f>
        <v/>
      </c>
      <c r="AA393" s="46" t="n">
        <f aca="false">MATCH(A393,DATAS,0)</f>
        <v>1</v>
      </c>
      <c r="AB393" s="46" t="n">
        <f aca="false">IF(AND(E393&gt;0,OR(AND(B393&gt;=1,B393&lt;=6),B393=10)),1,0)</f>
        <v>1</v>
      </c>
      <c r="AC393" s="46" t="n">
        <f aca="false">IF(AND(E393&gt;0,B393=10),1,0)</f>
        <v>0</v>
      </c>
      <c r="AD393" s="0" t="str">
        <f aca="false">IF(AND(C392=C393,AA392=AA393-1),AB392,"")</f>
        <v/>
      </c>
      <c r="AE393" s="0" t="str">
        <f aca="false">IF(AND(C392=C393,AA392=AA393-1),AC392,"")</f>
        <v/>
      </c>
      <c r="AF393" s="0" t="str">
        <f aca="false">IF(AA393=1,"",IF(AND(AB393=1,AD393&lt;&gt;1),1,0))</f>
        <v/>
      </c>
      <c r="AG393" s="0" t="str">
        <f aca="false">IF(AA393=1,"",IF(AND(AC393=1,AE393&lt;&gt;1),1,0))</f>
        <v/>
      </c>
      <c r="AH393" s="51" t="str">
        <f aca="false">IF(AND(E393&gt;0,AA393&lt;1,NOT(AND(C394=C393,AA394=AA393+1))),INDEX(DATAS,AA393+1),"")</f>
        <v/>
      </c>
      <c r="AI393" s="51" t="str">
        <f aca="false">IF(AND(AC393=1,AA393&lt;1),IF(AND(C394=C393,AA394=AA393+1),IF(AC394=1,"",INDEX(DATAS,AA393+1)),INDEX(DATAS,AA393+1)),"")</f>
        <v/>
      </c>
    </row>
    <row r="394" customFormat="false" ht="15" hidden="false" customHeight="false" outlineLevel="0" collapsed="false">
      <c r="A394" s="51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46" t="s">
        <v>462</v>
      </c>
      <c r="G394" s="0" t="n">
        <v>57.7</v>
      </c>
      <c r="H394" s="0" t="n">
        <v>57</v>
      </c>
      <c r="I394" s="46" t="s">
        <v>181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51" t="n">
        <v>46296</v>
      </c>
      <c r="X394" s="46" t="n">
        <f aca="false">IF(I394="Male",0,1)</f>
        <v>1</v>
      </c>
      <c r="Y394" s="46" t="n">
        <f aca="false">IF(OR(I394="DNB",I394="Dry DNB"),1,0)</f>
        <v>0</v>
      </c>
      <c r="Z394" s="46" t="n">
        <f aca="false">IF(ISNUMBER(W394),A394-W394,"")</f>
        <v>13</v>
      </c>
      <c r="AA394" s="46" t="n">
        <f aca="false">MATCH(A394,DATAS,0)</f>
        <v>1</v>
      </c>
      <c r="AB394" s="46" t="n">
        <f aca="false">IF(AND(E394&gt;0,OR(AND(B394&gt;=1,B394&lt;=6),B394=10)),1,0)</f>
        <v>1</v>
      </c>
      <c r="AC394" s="46" t="n">
        <f aca="false">IF(AND(E394&gt;0,B394=10),1,0)</f>
        <v>0</v>
      </c>
      <c r="AD394" s="0" t="str">
        <f aca="false">IF(AND(C393=C394,AA393=AA394-1),AB393,"")</f>
        <v/>
      </c>
      <c r="AE394" s="0" t="str">
        <f aca="false">IF(AND(C393=C394,AA393=AA394-1),AC393,"")</f>
        <v/>
      </c>
      <c r="AF394" s="0" t="str">
        <f aca="false">IF(AA394=1,"",IF(AND(AB394=1,AD394&lt;&gt;1),1,0))</f>
        <v/>
      </c>
      <c r="AG394" s="0" t="str">
        <f aca="false">IF(AA394=1,"",IF(AND(AC394=1,AE394&lt;&gt;1),1,0))</f>
        <v/>
      </c>
      <c r="AH394" s="51" t="str">
        <f aca="false">IF(AND(E394&gt;0,AA394&lt;1,NOT(AND(C395=C394,AA395=AA394+1))),INDEX(DATAS,AA394+1),"")</f>
        <v/>
      </c>
      <c r="AI394" s="51" t="str">
        <f aca="false">IF(AND(AC394=1,AA394&lt;1),IF(AND(C395=C394,AA395=AA394+1),IF(AC395=1,"",INDEX(DATAS,AA394+1)),INDEX(DATAS,AA394+1)),"")</f>
        <v/>
      </c>
    </row>
    <row r="395" customFormat="false" ht="15" hidden="false" customHeight="false" outlineLevel="0" collapsed="false">
      <c r="A395" s="51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46" t="s">
        <v>463</v>
      </c>
      <c r="G395" s="0" t="n">
        <v>41.6</v>
      </c>
      <c r="H395" s="0" t="n">
        <v>41</v>
      </c>
      <c r="I395" s="46" t="s">
        <v>181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51" t="n">
        <v>46307</v>
      </c>
      <c r="X395" s="46" t="n">
        <f aca="false">IF(I395="Male",0,1)</f>
        <v>1</v>
      </c>
      <c r="Y395" s="46" t="n">
        <f aca="false">IF(OR(I395="DNB",I395="Dry DNB"),1,0)</f>
        <v>0</v>
      </c>
      <c r="Z395" s="46" t="n">
        <f aca="false">IF(ISNUMBER(W395),A395-W395,"")</f>
        <v>2</v>
      </c>
      <c r="AA395" s="46" t="n">
        <f aca="false">MATCH(A395,DATAS,0)</f>
        <v>1</v>
      </c>
      <c r="AB395" s="46" t="n">
        <f aca="false">IF(AND(E395&gt;0,OR(AND(B395&gt;=1,B395&lt;=6),B395=10)),1,0)</f>
        <v>1</v>
      </c>
      <c r="AC395" s="46" t="n">
        <f aca="false">IF(AND(E395&gt;0,B395=10),1,0)</f>
        <v>0</v>
      </c>
      <c r="AD395" s="0" t="str">
        <f aca="false">IF(AND(C394=C395,AA394=AA395-1),AB394,"")</f>
        <v/>
      </c>
      <c r="AE395" s="0" t="str">
        <f aca="false">IF(AND(C394=C395,AA394=AA395-1),AC394,"")</f>
        <v/>
      </c>
      <c r="AF395" s="0" t="str">
        <f aca="false">IF(AA395=1,"",IF(AND(AB395=1,AD395&lt;&gt;1),1,0))</f>
        <v/>
      </c>
      <c r="AG395" s="0" t="str">
        <f aca="false">IF(AA395=1,"",IF(AND(AC395=1,AE395&lt;&gt;1),1,0))</f>
        <v/>
      </c>
      <c r="AH395" s="51" t="str">
        <f aca="false">IF(AND(E395&gt;0,AA395&lt;1,NOT(AND(C396=C395,AA396=AA395+1))),INDEX(DATAS,AA395+1),"")</f>
        <v/>
      </c>
      <c r="AI395" s="51" t="str">
        <f aca="false">IF(AND(AC395=1,AA395&lt;1),IF(AND(C396=C395,AA396=AA395+1),IF(AC396=1,"",INDEX(DATAS,AA395+1)),INDEX(DATAS,AA395+1)),"")</f>
        <v/>
      </c>
    </row>
    <row r="396" customFormat="false" ht="15" hidden="false" customHeight="false" outlineLevel="0" collapsed="false">
      <c r="A396" s="51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46" t="s">
        <v>464</v>
      </c>
      <c r="G396" s="0" t="n">
        <v>7.6</v>
      </c>
      <c r="H396" s="0" t="n">
        <v>13</v>
      </c>
      <c r="I396" s="46" t="s">
        <v>152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51" t="n">
        <v>46275</v>
      </c>
      <c r="X396" s="46" t="n">
        <f aca="false">IF(I396="Male",0,1)</f>
        <v>1</v>
      </c>
      <c r="Y396" s="46" t="n">
        <f aca="false">IF(OR(I396="DNB",I396="Dry DNB"),1,0)</f>
        <v>0</v>
      </c>
      <c r="Z396" s="46" t="n">
        <f aca="false">IF(ISNUMBER(W396),A396-W396,"")</f>
        <v>34</v>
      </c>
      <c r="AA396" s="46" t="n">
        <f aca="false">MATCH(A396,DATAS,0)</f>
        <v>1</v>
      </c>
      <c r="AB396" s="46" t="n">
        <f aca="false">IF(AND(E396&gt;0,OR(AND(B396&gt;=1,B396&lt;=6),B396=10)),1,0)</f>
        <v>1</v>
      </c>
      <c r="AC396" s="46" t="n">
        <f aca="false">IF(AND(E396&gt;0,B396=10),1,0)</f>
        <v>0</v>
      </c>
      <c r="AD396" s="0" t="str">
        <f aca="false">IF(AND(C395=C396,AA395=AA396-1),AB395,"")</f>
        <v/>
      </c>
      <c r="AE396" s="0" t="str">
        <f aca="false">IF(AND(C395=C396,AA395=AA396-1),AC395,"")</f>
        <v/>
      </c>
      <c r="AF396" s="0" t="str">
        <f aca="false">IF(AA396=1,"",IF(AND(AB396=1,AD396&lt;&gt;1),1,0))</f>
        <v/>
      </c>
      <c r="AG396" s="0" t="str">
        <f aca="false">IF(AA396=1,"",IF(AND(AC396=1,AE396&lt;&gt;1),1,0))</f>
        <v/>
      </c>
      <c r="AH396" s="51" t="str">
        <f aca="false">IF(AND(E396&gt;0,AA396&lt;1,NOT(AND(C397=C396,AA397=AA396+1))),INDEX(DATAS,AA396+1),"")</f>
        <v/>
      </c>
      <c r="AI396" s="51" t="str">
        <f aca="false">IF(AND(AC396=1,AA396&lt;1),IF(AND(C397=C396,AA397=AA396+1),IF(AC397=1,"",INDEX(DATAS,AA396+1)),INDEX(DATAS,AA396+1)),"")</f>
        <v/>
      </c>
    </row>
    <row r="397" customFormat="false" ht="15" hidden="false" customHeight="false" outlineLevel="0" collapsed="false">
      <c r="A397" s="51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46" t="s">
        <v>465</v>
      </c>
      <c r="G397" s="0" t="n">
        <v>59.6</v>
      </c>
      <c r="H397" s="0" t="n">
        <v>58</v>
      </c>
      <c r="I397" s="46" t="s">
        <v>181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51" t="n">
        <v>46293</v>
      </c>
      <c r="X397" s="46" t="n">
        <f aca="false">IF(I397="Male",0,1)</f>
        <v>1</v>
      </c>
      <c r="Y397" s="46" t="n">
        <f aca="false">IF(OR(I397="DNB",I397="Dry DNB"),1,0)</f>
        <v>0</v>
      </c>
      <c r="Z397" s="46" t="n">
        <f aca="false">IF(ISNUMBER(W397),A397-W397,"")</f>
        <v>16</v>
      </c>
      <c r="AA397" s="46" t="n">
        <f aca="false">MATCH(A397,DATAS,0)</f>
        <v>1</v>
      </c>
      <c r="AB397" s="46" t="n">
        <f aca="false">IF(AND(E397&gt;0,OR(AND(B397&gt;=1,B397&lt;=6),B397=10)),1,0)</f>
        <v>1</v>
      </c>
      <c r="AC397" s="46" t="n">
        <f aca="false">IF(AND(E397&gt;0,B397=10),1,0)</f>
        <v>0</v>
      </c>
      <c r="AD397" s="0" t="str">
        <f aca="false">IF(AND(C396=C397,AA396=AA397-1),AB396,"")</f>
        <v/>
      </c>
      <c r="AE397" s="0" t="str">
        <f aca="false">IF(AND(C396=C397,AA396=AA397-1),AC396,"")</f>
        <v/>
      </c>
      <c r="AF397" s="0" t="str">
        <f aca="false">IF(AA397=1,"",IF(AND(AB397=1,AD397&lt;&gt;1),1,0))</f>
        <v/>
      </c>
      <c r="AG397" s="0" t="str">
        <f aca="false">IF(AA397=1,"",IF(AND(AC397=1,AE397&lt;&gt;1),1,0))</f>
        <v/>
      </c>
      <c r="AH397" s="51" t="str">
        <f aca="false">IF(AND(E397&gt;0,AA397&lt;1,NOT(AND(C398=C397,AA398=AA397+1))),INDEX(DATAS,AA397+1),"")</f>
        <v/>
      </c>
      <c r="AI397" s="51" t="str">
        <f aca="false">IF(AND(AC397=1,AA397&lt;1),IF(AND(C398=C397,AA398=AA397+1),IF(AC398=1,"",INDEX(DATAS,AA397+1)),INDEX(DATAS,AA397+1)),"")</f>
        <v/>
      </c>
    </row>
    <row r="398" customFormat="false" ht="15" hidden="false" customHeight="false" outlineLevel="0" collapsed="false">
      <c r="A398" s="51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46" t="s">
        <v>466</v>
      </c>
      <c r="G398" s="0" t="n">
        <v>59.9</v>
      </c>
      <c r="H398" s="0" t="n">
        <v>64</v>
      </c>
      <c r="I398" s="46" t="s">
        <v>181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51" t="n">
        <v>46307</v>
      </c>
      <c r="X398" s="46" t="n">
        <f aca="false">IF(I398="Male",0,1)</f>
        <v>1</v>
      </c>
      <c r="Y398" s="46" t="n">
        <f aca="false">IF(OR(I398="DNB",I398="Dry DNB"),1,0)</f>
        <v>0</v>
      </c>
      <c r="Z398" s="46" t="n">
        <f aca="false">IF(ISNUMBER(W398),A398-W398,"")</f>
        <v>2</v>
      </c>
      <c r="AA398" s="46" t="n">
        <f aca="false">MATCH(A398,DATAS,0)</f>
        <v>1</v>
      </c>
      <c r="AB398" s="46" t="n">
        <f aca="false">IF(AND(E398&gt;0,OR(AND(B398&gt;=1,B398&lt;=6),B398=10)),1,0)</f>
        <v>1</v>
      </c>
      <c r="AC398" s="46" t="n">
        <f aca="false">IF(AND(E398&gt;0,B398=10),1,0)</f>
        <v>0</v>
      </c>
      <c r="AD398" s="0" t="str">
        <f aca="false">IF(AND(C397=C398,AA397=AA398-1),AB397,"")</f>
        <v/>
      </c>
      <c r="AE398" s="0" t="str">
        <f aca="false">IF(AND(C397=C398,AA397=AA398-1),AC397,"")</f>
        <v/>
      </c>
      <c r="AF398" s="0" t="str">
        <f aca="false">IF(AA398=1,"",IF(AND(AB398=1,AD398&lt;&gt;1),1,0))</f>
        <v/>
      </c>
      <c r="AG398" s="0" t="str">
        <f aca="false">IF(AA398=1,"",IF(AND(AC398=1,AE398&lt;&gt;1),1,0))</f>
        <v/>
      </c>
      <c r="AH398" s="51" t="str">
        <f aca="false">IF(AND(E398&gt;0,AA398&lt;1,NOT(AND(C399=C398,AA399=AA398+1))),INDEX(DATAS,AA398+1),"")</f>
        <v/>
      </c>
      <c r="AI398" s="51" t="str">
        <f aca="false">IF(AND(AC398=1,AA398&lt;1),IF(AND(C399=C398,AA399=AA398+1),IF(AC399=1,"",INDEX(DATAS,AA398+1)),INDEX(DATAS,AA398+1)),"")</f>
        <v/>
      </c>
    </row>
    <row r="399" customFormat="false" ht="15" hidden="false" customHeight="false" outlineLevel="0" collapsed="false">
      <c r="A399" s="51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46" t="s">
        <v>467</v>
      </c>
      <c r="G399" s="0" t="n">
        <v>29</v>
      </c>
      <c r="H399" s="0" t="n">
        <v>25</v>
      </c>
      <c r="I399" s="46" t="s">
        <v>189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51" t="n">
        <v>46300</v>
      </c>
      <c r="X399" s="46" t="n">
        <f aca="false">IF(I399="Male",0,1)</f>
        <v>1</v>
      </c>
      <c r="Y399" s="46" t="n">
        <f aca="false">IF(OR(I399="DNB",I399="Dry DNB"),1,0)</f>
        <v>0</v>
      </c>
      <c r="Z399" s="46" t="n">
        <f aca="false">IF(ISNUMBER(W399),A399-W399,"")</f>
        <v>9</v>
      </c>
      <c r="AA399" s="46" t="n">
        <f aca="false">MATCH(A399,DATAS,0)</f>
        <v>1</v>
      </c>
      <c r="AB399" s="46" t="n">
        <f aca="false">IF(AND(E399&gt;0,OR(AND(B399&gt;=1,B399&lt;=6),B399=10)),1,0)</f>
        <v>1</v>
      </c>
      <c r="AC399" s="46" t="n">
        <f aca="false">IF(AND(E399&gt;0,B399=10),1,0)</f>
        <v>0</v>
      </c>
      <c r="AD399" s="0" t="str">
        <f aca="false">IF(AND(C398=C399,AA398=AA399-1),AB398,"")</f>
        <v/>
      </c>
      <c r="AE399" s="0" t="str">
        <f aca="false">IF(AND(C398=C399,AA398=AA399-1),AC398,"")</f>
        <v/>
      </c>
      <c r="AF399" s="0" t="str">
        <f aca="false">IF(AA399=1,"",IF(AND(AB399=1,AD399&lt;&gt;1),1,0))</f>
        <v/>
      </c>
      <c r="AG399" s="0" t="str">
        <f aca="false">IF(AA399=1,"",IF(AND(AC399=1,AE399&lt;&gt;1),1,0))</f>
        <v/>
      </c>
      <c r="AH399" s="51" t="str">
        <f aca="false">IF(AND(E399&gt;0,AA399&lt;1,NOT(AND(C400=C399,AA400=AA399+1))),INDEX(DATAS,AA399+1),"")</f>
        <v/>
      </c>
      <c r="AI399" s="51" t="str">
        <f aca="false">IF(AND(AC399=1,AA399&lt;1),IF(AND(C400=C399,AA400=AA399+1),IF(AC400=1,"",INDEX(DATAS,AA399+1)),INDEX(DATAS,AA399+1)),"")</f>
        <v/>
      </c>
    </row>
    <row r="400" customFormat="false" ht="15" hidden="false" customHeight="false" outlineLevel="0" collapsed="false">
      <c r="A400" s="51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46" t="s">
        <v>467</v>
      </c>
      <c r="G400" s="0" t="n">
        <v>45</v>
      </c>
      <c r="H400" s="0" t="n">
        <v>47</v>
      </c>
      <c r="I400" s="46" t="s">
        <v>181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51" t="n">
        <v>46296</v>
      </c>
      <c r="X400" s="46" t="n">
        <f aca="false">IF(I400="Male",0,1)</f>
        <v>1</v>
      </c>
      <c r="Y400" s="46" t="n">
        <f aca="false">IF(OR(I400="DNB",I400="Dry DNB"),1,0)</f>
        <v>0</v>
      </c>
      <c r="Z400" s="46" t="n">
        <f aca="false">IF(ISNUMBER(W400),A400-W400,"")</f>
        <v>13</v>
      </c>
      <c r="AA400" s="46" t="n">
        <f aca="false">MATCH(A400,DATAS,0)</f>
        <v>1</v>
      </c>
      <c r="AB400" s="46" t="n">
        <f aca="false">IF(AND(E400&gt;0,OR(AND(B400&gt;=1,B400&lt;=6),B400=10)),1,0)</f>
        <v>1</v>
      </c>
      <c r="AC400" s="46" t="n">
        <f aca="false">IF(AND(E400&gt;0,B400=10),1,0)</f>
        <v>0</v>
      </c>
      <c r="AD400" s="0" t="str">
        <f aca="false">IF(AND(C399=C400,AA399=AA400-1),AB399,"")</f>
        <v/>
      </c>
      <c r="AE400" s="0" t="str">
        <f aca="false">IF(AND(C399=C400,AA399=AA400-1),AC399,"")</f>
        <v/>
      </c>
      <c r="AF400" s="0" t="str">
        <f aca="false">IF(AA400=1,"",IF(AND(AB400=1,AD400&lt;&gt;1),1,0))</f>
        <v/>
      </c>
      <c r="AG400" s="0" t="str">
        <f aca="false">IF(AA400=1,"",IF(AND(AC400=1,AE400&lt;&gt;1),1,0))</f>
        <v/>
      </c>
      <c r="AH400" s="51" t="str">
        <f aca="false">IF(AND(E400&gt;0,AA400&lt;1,NOT(AND(C401=C400,AA401=AA400+1))),INDEX(DATAS,AA400+1),"")</f>
        <v/>
      </c>
      <c r="AI400" s="51" t="str">
        <f aca="false">IF(AND(AC400=1,AA400&lt;1),IF(AND(C401=C400,AA401=AA400+1),IF(AC401=1,"",INDEX(DATAS,AA400+1)),INDEX(DATAS,AA400+1)),"")</f>
        <v/>
      </c>
    </row>
    <row r="401" customFormat="false" ht="15" hidden="false" customHeight="false" outlineLevel="0" collapsed="false">
      <c r="A401" s="51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46" t="s">
        <v>467</v>
      </c>
      <c r="I401" s="46" t="s">
        <v>157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51" t="n">
        <v>46135</v>
      </c>
      <c r="X401" s="46" t="n">
        <f aca="false">IF(I401="Male",0,1)</f>
        <v>1</v>
      </c>
      <c r="Y401" s="46" t="n">
        <f aca="false">IF(OR(I401="DNB",I401="Dry DNB"),1,0)</f>
        <v>0</v>
      </c>
      <c r="Z401" s="46" t="n">
        <f aca="false">IF(ISNUMBER(W401),A401-W401,"")</f>
        <v>174</v>
      </c>
      <c r="AA401" s="46" t="n">
        <f aca="false">MATCH(A401,DATAS,0)</f>
        <v>1</v>
      </c>
      <c r="AB401" s="46" t="n">
        <f aca="false">IF(AND(E401&gt;0,OR(AND(B401&gt;=1,B401&lt;=6),B401=10)),1,0)</f>
        <v>0</v>
      </c>
      <c r="AC401" s="46" t="n">
        <f aca="false">IF(AND(E401&gt;0,B401=10),1,0)</f>
        <v>0</v>
      </c>
      <c r="AD401" s="0" t="str">
        <f aca="false">IF(AND(C400=C401,AA400=AA401-1),AB400,"")</f>
        <v/>
      </c>
      <c r="AE401" s="0" t="str">
        <f aca="false">IF(AND(C400=C401,AA400=AA401-1),AC400,"")</f>
        <v/>
      </c>
      <c r="AF401" s="0" t="str">
        <f aca="false">IF(AA401=1,"",IF(AND(AB401=1,AD401&lt;&gt;1),1,0))</f>
        <v/>
      </c>
      <c r="AG401" s="0" t="str">
        <f aca="false">IF(AA401=1,"",IF(AND(AC401=1,AE401&lt;&gt;1),1,0))</f>
        <v/>
      </c>
      <c r="AH401" s="51" t="str">
        <f aca="false">IF(AND(E401&gt;0,AA401&lt;1,NOT(AND(C402=C401,AA402=AA401+1))),INDEX(DATAS,AA401+1),"")</f>
        <v/>
      </c>
      <c r="AI401" s="51" t="str">
        <f aca="false">IF(AND(AC401=1,AA401&lt;1),IF(AND(C402=C401,AA402=AA401+1),IF(AC402=1,"",INDEX(DATAS,AA401+1)),INDEX(DATAS,AA401+1)),"")</f>
        <v/>
      </c>
    </row>
    <row r="402" customFormat="false" ht="15" hidden="false" customHeight="false" outlineLevel="0" collapsed="false">
      <c r="A402" s="51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46" t="s">
        <v>467</v>
      </c>
      <c r="I402" s="46" t="s">
        <v>157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51" t="n">
        <v>46177</v>
      </c>
      <c r="X402" s="46" t="n">
        <f aca="false">IF(I402="Male",0,1)</f>
        <v>1</v>
      </c>
      <c r="Y402" s="46" t="n">
        <f aca="false">IF(OR(I402="DNB",I402="Dry DNB"),1,0)</f>
        <v>0</v>
      </c>
      <c r="Z402" s="46" t="n">
        <f aca="false">IF(ISNUMBER(W402),A402-W402,"")</f>
        <v>132</v>
      </c>
      <c r="AA402" s="46" t="n">
        <f aca="false">MATCH(A402,DATAS,0)</f>
        <v>1</v>
      </c>
      <c r="AB402" s="46" t="n">
        <f aca="false">IF(AND(E402&gt;0,OR(AND(B402&gt;=1,B402&lt;=6),B402=10)),1,0)</f>
        <v>0</v>
      </c>
      <c r="AC402" s="46" t="n">
        <f aca="false">IF(AND(E402&gt;0,B402=10),1,0)</f>
        <v>0</v>
      </c>
      <c r="AD402" s="0" t="str">
        <f aca="false">IF(AND(C401=C402,AA401=AA402-1),AB401,"")</f>
        <v/>
      </c>
      <c r="AE402" s="0" t="str">
        <f aca="false">IF(AND(C401=C402,AA401=AA402-1),AC401,"")</f>
        <v/>
      </c>
      <c r="AF402" s="0" t="str">
        <f aca="false">IF(AA402=1,"",IF(AND(AB402=1,AD402&lt;&gt;1),1,0))</f>
        <v/>
      </c>
      <c r="AG402" s="0" t="str">
        <f aca="false">IF(AA402=1,"",IF(AND(AC402=1,AE402&lt;&gt;1),1,0))</f>
        <v/>
      </c>
      <c r="AH402" s="51" t="str">
        <f aca="false">IF(AND(E402&gt;0,AA402&lt;1,NOT(AND(C403=C402,AA403=AA402+1))),INDEX(DATAS,AA402+1),"")</f>
        <v/>
      </c>
      <c r="AI402" s="51" t="str">
        <f aca="false">IF(AND(AC402=1,AA402&lt;1),IF(AND(C403=C402,AA403=AA402+1),IF(AC403=1,"",INDEX(DATAS,AA402+1)),INDEX(DATAS,AA402+1)),"")</f>
        <v/>
      </c>
    </row>
    <row r="403" customFormat="false" ht="15" hidden="false" customHeight="false" outlineLevel="0" collapsed="false">
      <c r="A403" s="51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46" t="s">
        <v>468</v>
      </c>
      <c r="G403" s="0" t="n">
        <v>26.9</v>
      </c>
      <c r="H403" s="0" t="n">
        <v>36</v>
      </c>
      <c r="I403" s="46" t="s">
        <v>189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51" t="n">
        <v>46275</v>
      </c>
      <c r="X403" s="46" t="n">
        <f aca="false">IF(I403="Male",0,1)</f>
        <v>1</v>
      </c>
      <c r="Y403" s="46" t="n">
        <f aca="false">IF(OR(I403="DNB",I403="Dry DNB"),1,0)</f>
        <v>0</v>
      </c>
      <c r="Z403" s="46" t="n">
        <f aca="false">IF(ISNUMBER(W403),A403-W403,"")</f>
        <v>34</v>
      </c>
      <c r="AA403" s="46" t="n">
        <f aca="false">MATCH(A403,DATAS,0)</f>
        <v>1</v>
      </c>
      <c r="AB403" s="46" t="n">
        <f aca="false">IF(AND(E403&gt;0,OR(AND(B403&gt;=1,B403&lt;=6),B403=10)),1,0)</f>
        <v>1</v>
      </c>
      <c r="AC403" s="46" t="n">
        <f aca="false">IF(AND(E403&gt;0,B403=10),1,0)</f>
        <v>0</v>
      </c>
      <c r="AD403" s="0" t="str">
        <f aca="false">IF(AND(C402=C403,AA402=AA403-1),AB402,"")</f>
        <v/>
      </c>
      <c r="AE403" s="0" t="str">
        <f aca="false">IF(AND(C402=C403,AA402=AA403-1),AC402,"")</f>
        <v/>
      </c>
      <c r="AF403" s="0" t="str">
        <f aca="false">IF(AA403=1,"",IF(AND(AB403=1,AD403&lt;&gt;1),1,0))</f>
        <v/>
      </c>
      <c r="AG403" s="0" t="str">
        <f aca="false">IF(AA403=1,"",IF(AND(AC403=1,AE403&lt;&gt;1),1,0))</f>
        <v/>
      </c>
      <c r="AH403" s="51" t="str">
        <f aca="false">IF(AND(E403&gt;0,AA403&lt;1,NOT(AND(C404=C403,AA404=AA403+1))),INDEX(DATAS,AA403+1),"")</f>
        <v/>
      </c>
      <c r="AI403" s="51" t="str">
        <f aca="false">IF(AND(AC403=1,AA403&lt;1),IF(AND(C404=C403,AA404=AA403+1),IF(AC404=1,"",INDEX(DATAS,AA403+1)),INDEX(DATAS,AA403+1)),"")</f>
        <v/>
      </c>
    </row>
    <row r="404" customFormat="false" ht="15" hidden="false" customHeight="false" outlineLevel="0" collapsed="false">
      <c r="A404" s="51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46" t="s">
        <v>469</v>
      </c>
      <c r="G404" s="0" t="n">
        <v>49</v>
      </c>
      <c r="H404" s="0" t="n">
        <v>42</v>
      </c>
      <c r="I404" s="46" t="s">
        <v>161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X404" s="46" t="n">
        <f aca="false">IF(I404="Male",0,1)</f>
        <v>1</v>
      </c>
      <c r="Y404" s="46" t="n">
        <f aca="false">IF(OR(I404="DNB",I404="Dry DNB"),1,0)</f>
        <v>0</v>
      </c>
      <c r="Z404" s="0" t="str">
        <f aca="false">IF(ISNUMBER(W404),A404-W404,"")</f>
        <v/>
      </c>
      <c r="AA404" s="46" t="n">
        <f aca="false">MATCH(A404,DATAS,0)</f>
        <v>1</v>
      </c>
      <c r="AB404" s="46" t="n">
        <f aca="false">IF(AND(E404&gt;0,OR(AND(B404&gt;=1,B404&lt;=6),B404=10)),1,0)</f>
        <v>1</v>
      </c>
      <c r="AC404" s="46" t="n">
        <f aca="false">IF(AND(E404&gt;0,B404=10),1,0)</f>
        <v>0</v>
      </c>
      <c r="AD404" s="0" t="str">
        <f aca="false">IF(AND(C403=C404,AA403=AA404-1),AB403,"")</f>
        <v/>
      </c>
      <c r="AE404" s="0" t="str">
        <f aca="false">IF(AND(C403=C404,AA403=AA404-1),AC403,"")</f>
        <v/>
      </c>
      <c r="AF404" s="0" t="str">
        <f aca="false">IF(AA404=1,"",IF(AND(AB404=1,AD404&lt;&gt;1),1,0))</f>
        <v/>
      </c>
      <c r="AG404" s="0" t="str">
        <f aca="false">IF(AA404=1,"",IF(AND(AC404=1,AE404&lt;&gt;1),1,0))</f>
        <v/>
      </c>
      <c r="AH404" s="51" t="str">
        <f aca="false">IF(AND(E404&gt;0,AA404&lt;1,NOT(AND(C405=C404,AA405=AA404+1))),INDEX(DATAS,AA404+1),"")</f>
        <v/>
      </c>
      <c r="AI404" s="51" t="str">
        <f aca="false">IF(AND(AC404=1,AA404&lt;1),IF(AND(C405=C404,AA405=AA404+1),IF(AC405=1,"",INDEX(DATAS,AA404+1)),INDEX(DATAS,AA404+1)),"")</f>
        <v/>
      </c>
    </row>
    <row r="405" customFormat="false" ht="15" hidden="false" customHeight="false" outlineLevel="0" collapsed="false">
      <c r="A405" s="51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46" t="s">
        <v>470</v>
      </c>
      <c r="G405" s="0" t="n">
        <v>37.6</v>
      </c>
      <c r="H405" s="0" t="n">
        <v>32</v>
      </c>
      <c r="I405" s="46" t="s">
        <v>152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51" t="n">
        <v>46229</v>
      </c>
      <c r="X405" s="46" t="n">
        <f aca="false">IF(I405="Male",0,1)</f>
        <v>1</v>
      </c>
      <c r="Y405" s="46" t="n">
        <f aca="false">IF(OR(I405="DNB",I405="Dry DNB"),1,0)</f>
        <v>0</v>
      </c>
      <c r="Z405" s="46" t="n">
        <f aca="false">IF(ISNUMBER(W405),A405-W405,"")</f>
        <v>80</v>
      </c>
      <c r="AA405" s="46" t="n">
        <f aca="false">MATCH(A405,DATAS,0)</f>
        <v>1</v>
      </c>
      <c r="AB405" s="46" t="n">
        <f aca="false">IF(AND(E405&gt;0,OR(AND(B405&gt;=1,B405&lt;=6),B405=10)),1,0)</f>
        <v>1</v>
      </c>
      <c r="AC405" s="46" t="n">
        <f aca="false">IF(AND(E405&gt;0,B405=10),1,0)</f>
        <v>0</v>
      </c>
      <c r="AD405" s="0" t="str">
        <f aca="false">IF(AND(C404=C405,AA404=AA405-1),AB404,"")</f>
        <v/>
      </c>
      <c r="AE405" s="0" t="str">
        <f aca="false">IF(AND(C404=C405,AA404=AA405-1),AC404,"")</f>
        <v/>
      </c>
      <c r="AF405" s="0" t="str">
        <f aca="false">IF(AA405=1,"",IF(AND(AB405=1,AD405&lt;&gt;1),1,0))</f>
        <v/>
      </c>
      <c r="AG405" s="0" t="str">
        <f aca="false">IF(AA405=1,"",IF(AND(AC405=1,AE405&lt;&gt;1),1,0))</f>
        <v/>
      </c>
      <c r="AH405" s="51" t="str">
        <f aca="false">IF(AND(E405&gt;0,AA405&lt;1,NOT(AND(C406=C405,AA406=AA405+1))),INDEX(DATAS,AA405+1),"")</f>
        <v/>
      </c>
      <c r="AI405" s="51" t="str">
        <f aca="false">IF(AND(AC405=1,AA405&lt;1),IF(AND(C406=C405,AA406=AA405+1),IF(AC406=1,"",INDEX(DATAS,AA405+1)),INDEX(DATAS,AA405+1)),"")</f>
        <v/>
      </c>
    </row>
    <row r="406" customFormat="false" ht="15" hidden="false" customHeight="false" outlineLevel="0" collapsed="false">
      <c r="A406" s="51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46" t="s">
        <v>471</v>
      </c>
      <c r="G406" s="0" t="n">
        <v>50.6</v>
      </c>
      <c r="H406" s="0" t="n">
        <v>45</v>
      </c>
      <c r="I406" s="46" t="s">
        <v>152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51" t="n">
        <v>46255</v>
      </c>
      <c r="X406" s="46" t="n">
        <f aca="false">IF(I406="Male",0,1)</f>
        <v>1</v>
      </c>
      <c r="Y406" s="46" t="n">
        <f aca="false">IF(OR(I406="DNB",I406="Dry DNB"),1,0)</f>
        <v>0</v>
      </c>
      <c r="Z406" s="46" t="n">
        <f aca="false">IF(ISNUMBER(W406),A406-W406,"")</f>
        <v>54</v>
      </c>
      <c r="AA406" s="46" t="n">
        <f aca="false">MATCH(A406,DATAS,0)</f>
        <v>1</v>
      </c>
      <c r="AB406" s="46" t="n">
        <f aca="false">IF(AND(E406&gt;0,OR(AND(B406&gt;=1,B406&lt;=6),B406=10)),1,0)</f>
        <v>1</v>
      </c>
      <c r="AC406" s="46" t="n">
        <f aca="false">IF(AND(E406&gt;0,B406=10),1,0)</f>
        <v>0</v>
      </c>
      <c r="AD406" s="0" t="str">
        <f aca="false">IF(AND(C405=C406,AA405=AA406-1),AB405,"")</f>
        <v/>
      </c>
      <c r="AE406" s="0" t="str">
        <f aca="false">IF(AND(C405=C406,AA405=AA406-1),AC405,"")</f>
        <v/>
      </c>
      <c r="AF406" s="0" t="str">
        <f aca="false">IF(AA406=1,"",IF(AND(AB406=1,AD406&lt;&gt;1),1,0))</f>
        <v/>
      </c>
      <c r="AG406" s="0" t="str">
        <f aca="false">IF(AA406=1,"",IF(AND(AC406=1,AE406&lt;&gt;1),1,0))</f>
        <v/>
      </c>
      <c r="AH406" s="51" t="str">
        <f aca="false">IF(AND(E406&gt;0,AA406&lt;1,NOT(AND(C407=C406,AA407=AA406+1))),INDEX(DATAS,AA406+1),"")</f>
        <v/>
      </c>
      <c r="AI406" s="51" t="str">
        <f aca="false">IF(AND(AC406=1,AA406&lt;1),IF(AND(C407=C406,AA407=AA406+1),IF(AC407=1,"",INDEX(DATAS,AA406+1)),INDEX(DATAS,AA406+1)),"")</f>
        <v/>
      </c>
    </row>
    <row r="407" customFormat="false" ht="15" hidden="false" customHeight="false" outlineLevel="0" collapsed="false">
      <c r="A407" s="51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46" t="s">
        <v>472</v>
      </c>
      <c r="G407" s="0" t="n">
        <v>50.8</v>
      </c>
      <c r="H407" s="0" t="n">
        <v>53</v>
      </c>
      <c r="I407" s="46" t="s">
        <v>152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51" t="n">
        <v>46275</v>
      </c>
      <c r="X407" s="46" t="n">
        <f aca="false">IF(I407="Male",0,1)</f>
        <v>1</v>
      </c>
      <c r="Y407" s="46" t="n">
        <f aca="false">IF(OR(I407="DNB",I407="Dry DNB"),1,0)</f>
        <v>0</v>
      </c>
      <c r="Z407" s="46" t="n">
        <f aca="false">IF(ISNUMBER(W407),A407-W407,"")</f>
        <v>34</v>
      </c>
      <c r="AA407" s="46" t="n">
        <f aca="false">MATCH(A407,DATAS,0)</f>
        <v>1</v>
      </c>
      <c r="AB407" s="46" t="n">
        <f aca="false">IF(AND(E407&gt;0,OR(AND(B407&gt;=1,B407&lt;=6),B407=10)),1,0)</f>
        <v>1</v>
      </c>
      <c r="AC407" s="46" t="n">
        <f aca="false">IF(AND(E407&gt;0,B407=10),1,0)</f>
        <v>0</v>
      </c>
      <c r="AD407" s="0" t="str">
        <f aca="false">IF(AND(C406=C407,AA406=AA407-1),AB406,"")</f>
        <v/>
      </c>
      <c r="AE407" s="0" t="str">
        <f aca="false">IF(AND(C406=C407,AA406=AA407-1),AC406,"")</f>
        <v/>
      </c>
      <c r="AF407" s="0" t="str">
        <f aca="false">IF(AA407=1,"",IF(AND(AB407=1,AD407&lt;&gt;1),1,0))</f>
        <v/>
      </c>
      <c r="AG407" s="0" t="str">
        <f aca="false">IF(AA407=1,"",IF(AND(AC407=1,AE407&lt;&gt;1),1,0))</f>
        <v/>
      </c>
      <c r="AH407" s="51" t="str">
        <f aca="false">IF(AND(E407&gt;0,AA407&lt;1,NOT(AND(C408=C407,AA408=AA407+1))),INDEX(DATAS,AA407+1),"")</f>
        <v/>
      </c>
      <c r="AI407" s="51" t="str">
        <f aca="false">IF(AND(AC407=1,AA407&lt;1),IF(AND(C408=C407,AA408=AA407+1),IF(AC408=1,"",INDEX(DATAS,AA407+1)),INDEX(DATAS,AA407+1)),"")</f>
        <v/>
      </c>
    </row>
    <row r="408" customFormat="false" ht="15" hidden="false" customHeight="false" outlineLevel="0" collapsed="false">
      <c r="A408" s="51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46" t="s">
        <v>473</v>
      </c>
      <c r="G408" s="0" t="n">
        <v>21.4</v>
      </c>
      <c r="H408" s="0" t="n">
        <v>26</v>
      </c>
      <c r="I408" s="46" t="s">
        <v>181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51" t="n">
        <v>46282</v>
      </c>
      <c r="X408" s="46" t="n">
        <f aca="false">IF(I408="Male",0,1)</f>
        <v>1</v>
      </c>
      <c r="Y408" s="46" t="n">
        <f aca="false">IF(OR(I408="DNB",I408="Dry DNB"),1,0)</f>
        <v>0</v>
      </c>
      <c r="Z408" s="46" t="n">
        <f aca="false">IF(ISNUMBER(W408),A408-W408,"")</f>
        <v>27</v>
      </c>
      <c r="AA408" s="46" t="n">
        <f aca="false">MATCH(A408,DATAS,0)</f>
        <v>1</v>
      </c>
      <c r="AB408" s="46" t="n">
        <f aca="false">IF(AND(E408&gt;0,OR(AND(B408&gt;=1,B408&lt;=6),B408=10)),1,0)</f>
        <v>1</v>
      </c>
      <c r="AC408" s="46" t="n">
        <f aca="false">IF(AND(E408&gt;0,B408=10),1,0)</f>
        <v>0</v>
      </c>
      <c r="AD408" s="0" t="str">
        <f aca="false">IF(AND(C407=C408,AA407=AA408-1),AB407,"")</f>
        <v/>
      </c>
      <c r="AE408" s="0" t="str">
        <f aca="false">IF(AND(C407=C408,AA407=AA408-1),AC407,"")</f>
        <v/>
      </c>
      <c r="AF408" s="0" t="str">
        <f aca="false">IF(AA408=1,"",IF(AND(AB408=1,AD408&lt;&gt;1),1,0))</f>
        <v/>
      </c>
      <c r="AG408" s="0" t="str">
        <f aca="false">IF(AA408=1,"",IF(AND(AC408=1,AE408&lt;&gt;1),1,0))</f>
        <v/>
      </c>
      <c r="AH408" s="51" t="str">
        <f aca="false">IF(AND(E408&gt;0,AA408&lt;1,NOT(AND(C409=C408,AA409=AA408+1))),INDEX(DATAS,AA408+1),"")</f>
        <v/>
      </c>
      <c r="AI408" s="51" t="str">
        <f aca="false">IF(AND(AC408=1,AA408&lt;1),IF(AND(C409=C408,AA409=AA408+1),IF(AC409=1,"",INDEX(DATAS,AA408+1)),INDEX(DATAS,AA408+1)),"")</f>
        <v/>
      </c>
    </row>
    <row r="409" customFormat="false" ht="15" hidden="false" customHeight="false" outlineLevel="0" collapsed="false">
      <c r="A409" s="51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46" t="s">
        <v>474</v>
      </c>
      <c r="G409" s="0" t="n">
        <v>62.7</v>
      </c>
      <c r="H409" s="0" t="n">
        <v>62</v>
      </c>
      <c r="I409" s="46" t="s">
        <v>152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51" t="n">
        <v>46240</v>
      </c>
      <c r="X409" s="46" t="n">
        <f aca="false">IF(I409="Male",0,1)</f>
        <v>1</v>
      </c>
      <c r="Y409" s="46" t="n">
        <f aca="false">IF(OR(I409="DNB",I409="Dry DNB"),1,0)</f>
        <v>0</v>
      </c>
      <c r="Z409" s="46" t="n">
        <f aca="false">IF(ISNUMBER(W409),A409-W409,"")</f>
        <v>69</v>
      </c>
      <c r="AA409" s="46" t="n">
        <f aca="false">MATCH(A409,DATAS,0)</f>
        <v>1</v>
      </c>
      <c r="AB409" s="46" t="n">
        <f aca="false">IF(AND(E409&gt;0,OR(AND(B409&gt;=1,B409&lt;=6),B409=10)),1,0)</f>
        <v>1</v>
      </c>
      <c r="AC409" s="46" t="n">
        <f aca="false">IF(AND(E409&gt;0,B409=10),1,0)</f>
        <v>0</v>
      </c>
      <c r="AD409" s="0" t="str">
        <f aca="false">IF(AND(C408=C409,AA408=AA409-1),AB408,"")</f>
        <v/>
      </c>
      <c r="AE409" s="0" t="str">
        <f aca="false">IF(AND(C408=C409,AA408=AA409-1),AC408,"")</f>
        <v/>
      </c>
      <c r="AF409" s="0" t="str">
        <f aca="false">IF(AA409=1,"",IF(AND(AB409=1,AD409&lt;&gt;1),1,0))</f>
        <v/>
      </c>
      <c r="AG409" s="0" t="str">
        <f aca="false">IF(AA409=1,"",IF(AND(AC409=1,AE409&lt;&gt;1),1,0))</f>
        <v/>
      </c>
      <c r="AH409" s="51" t="str">
        <f aca="false">IF(AND(E409&gt;0,AA409&lt;1,NOT(AND(C410=C409,AA410=AA409+1))),INDEX(DATAS,AA409+1),"")</f>
        <v/>
      </c>
      <c r="AI409" s="51" t="str">
        <f aca="false">IF(AND(AC409=1,AA409&lt;1),IF(AND(C410=C409,AA410=AA409+1),IF(AC410=1,"",INDEX(DATAS,AA409+1)),INDEX(DATAS,AA409+1)),"")</f>
        <v/>
      </c>
    </row>
    <row r="410" customFormat="false" ht="15" hidden="false" customHeight="false" outlineLevel="0" collapsed="false">
      <c r="A410" s="51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46" t="s">
        <v>475</v>
      </c>
      <c r="I410" s="46" t="s">
        <v>138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51" t="n">
        <v>46086</v>
      </c>
      <c r="X410" s="46" t="n">
        <f aca="false">IF(I410="Male",0,1)</f>
        <v>1</v>
      </c>
      <c r="Y410" s="46" t="n">
        <f aca="false">IF(OR(I410="DNB",I410="Dry DNB"),1,0)</f>
        <v>1</v>
      </c>
      <c r="Z410" s="46" t="n">
        <f aca="false">IF(ISNUMBER(W410),A410-W410,"")</f>
        <v>223</v>
      </c>
      <c r="AA410" s="46" t="n">
        <f aca="false">MATCH(A410,DATAS,0)</f>
        <v>1</v>
      </c>
      <c r="AB410" s="46" t="n">
        <f aca="false">IF(AND(E410&gt;0,OR(AND(B410&gt;=1,B410&lt;=6),B410=10)),1,0)</f>
        <v>1</v>
      </c>
      <c r="AC410" s="46" t="n">
        <f aca="false">IF(AND(E410&gt;0,B410=10),1,0)</f>
        <v>0</v>
      </c>
      <c r="AD410" s="0" t="str">
        <f aca="false">IF(AND(C409=C410,AA409=AA410-1),AB409,"")</f>
        <v/>
      </c>
      <c r="AE410" s="0" t="str">
        <f aca="false">IF(AND(C409=C410,AA409=AA410-1),AC409,"")</f>
        <v/>
      </c>
      <c r="AF410" s="0" t="str">
        <f aca="false">IF(AA410=1,"",IF(AND(AB410=1,AD410&lt;&gt;1),1,0))</f>
        <v/>
      </c>
      <c r="AG410" s="0" t="str">
        <f aca="false">IF(AA410=1,"",IF(AND(AC410=1,AE410&lt;&gt;1),1,0))</f>
        <v/>
      </c>
      <c r="AH410" s="51" t="str">
        <f aca="false">IF(AND(E410&gt;0,AA410&lt;1,NOT(AND(C411=C410,AA411=AA410+1))),INDEX(DATAS,AA410+1),"")</f>
        <v/>
      </c>
      <c r="AI410" s="51" t="str">
        <f aca="false">IF(AND(AC410=1,AA410&lt;1),IF(AND(C411=C410,AA411=AA410+1),IF(AC411=1,"",INDEX(DATAS,AA410+1)),INDEX(DATAS,AA410+1)),"")</f>
        <v/>
      </c>
    </row>
    <row r="411" customFormat="false" ht="15" hidden="false" customHeight="false" outlineLevel="0" collapsed="false">
      <c r="A411" s="51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46" t="s">
        <v>476</v>
      </c>
      <c r="G411" s="0" t="n">
        <v>48.9</v>
      </c>
      <c r="H411" s="0" t="n">
        <v>60</v>
      </c>
      <c r="I411" s="46" t="s">
        <v>189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X411" s="46" t="n">
        <f aca="false">IF(I411="Male",0,1)</f>
        <v>1</v>
      </c>
      <c r="Y411" s="46" t="n">
        <f aca="false">IF(OR(I411="DNB",I411="Dry DNB"),1,0)</f>
        <v>0</v>
      </c>
      <c r="Z411" s="0" t="str">
        <f aca="false">IF(ISNUMBER(W411),A411-W411,"")</f>
        <v/>
      </c>
      <c r="AA411" s="46" t="n">
        <f aca="false">MATCH(A411,DATAS,0)</f>
        <v>1</v>
      </c>
      <c r="AB411" s="46" t="n">
        <f aca="false">IF(AND(E411&gt;0,OR(AND(B411&gt;=1,B411&lt;=6),B411=10)),1,0)</f>
        <v>1</v>
      </c>
      <c r="AC411" s="46" t="n">
        <f aca="false">IF(AND(E411&gt;0,B411=10),1,0)</f>
        <v>0</v>
      </c>
      <c r="AD411" s="0" t="str">
        <f aca="false">IF(AND(C410=C411,AA410=AA411-1),AB410,"")</f>
        <v/>
      </c>
      <c r="AE411" s="0" t="str">
        <f aca="false">IF(AND(C410=C411,AA410=AA411-1),AC410,"")</f>
        <v/>
      </c>
      <c r="AF411" s="0" t="str">
        <f aca="false">IF(AA411=1,"",IF(AND(AB411=1,AD411&lt;&gt;1),1,0))</f>
        <v/>
      </c>
      <c r="AG411" s="0" t="str">
        <f aca="false">IF(AA411=1,"",IF(AND(AC411=1,AE411&lt;&gt;1),1,0))</f>
        <v/>
      </c>
      <c r="AH411" s="51" t="str">
        <f aca="false">IF(AND(E411&gt;0,AA411&lt;1,NOT(AND(C412=C411,AA412=AA411+1))),INDEX(DATAS,AA411+1),"")</f>
        <v/>
      </c>
      <c r="AI411" s="51" t="str">
        <f aca="false">IF(AND(AC411=1,AA411&lt;1),IF(AND(C412=C411,AA412=AA411+1),IF(AC412=1,"",INDEX(DATAS,AA411+1)),INDEX(DATAS,AA411+1)),"")</f>
        <v/>
      </c>
    </row>
    <row r="412" customFormat="false" ht="15" hidden="false" customHeight="false" outlineLevel="0" collapsed="false">
      <c r="A412" s="51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46" t="s">
        <v>476</v>
      </c>
      <c r="G412" s="0" t="n">
        <v>50</v>
      </c>
      <c r="H412" s="0" t="n">
        <v>49</v>
      </c>
      <c r="I412" s="46" t="s">
        <v>189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51" t="n">
        <v>46275</v>
      </c>
      <c r="X412" s="46" t="n">
        <f aca="false">IF(I412="Male",0,1)</f>
        <v>1</v>
      </c>
      <c r="Y412" s="46" t="n">
        <f aca="false">IF(OR(I412="DNB",I412="Dry DNB"),1,0)</f>
        <v>0</v>
      </c>
      <c r="Z412" s="46" t="n">
        <f aca="false">IF(ISNUMBER(W412),A412-W412,"")</f>
        <v>34</v>
      </c>
      <c r="AA412" s="46" t="n">
        <f aca="false">MATCH(A412,DATAS,0)</f>
        <v>1</v>
      </c>
      <c r="AB412" s="46" t="n">
        <f aca="false">IF(AND(E412&gt;0,OR(AND(B412&gt;=1,B412&lt;=6),B412=10)),1,0)</f>
        <v>1</v>
      </c>
      <c r="AC412" s="46" t="n">
        <f aca="false">IF(AND(E412&gt;0,B412=10),1,0)</f>
        <v>0</v>
      </c>
      <c r="AD412" s="0" t="str">
        <f aca="false">IF(AND(C411=C412,AA411=AA412-1),AB411,"")</f>
        <v/>
      </c>
      <c r="AE412" s="0" t="str">
        <f aca="false">IF(AND(C411=C412,AA411=AA412-1),AC411,"")</f>
        <v/>
      </c>
      <c r="AF412" s="0" t="str">
        <f aca="false">IF(AA412=1,"",IF(AND(AB412=1,AD412&lt;&gt;1),1,0))</f>
        <v/>
      </c>
      <c r="AG412" s="0" t="str">
        <f aca="false">IF(AA412=1,"",IF(AND(AC412=1,AE412&lt;&gt;1),1,0))</f>
        <v/>
      </c>
      <c r="AH412" s="51" t="str">
        <f aca="false">IF(AND(E412&gt;0,AA412&lt;1,NOT(AND(C413=C412,AA413=AA412+1))),INDEX(DATAS,AA412+1),"")</f>
        <v/>
      </c>
      <c r="AI412" s="51" t="str">
        <f aca="false">IF(AND(AC412=1,AA412&lt;1),IF(AND(C413=C412,AA413=AA412+1),IF(AC413=1,"",INDEX(DATAS,AA412+1)),INDEX(DATAS,AA412+1)),"")</f>
        <v/>
      </c>
    </row>
    <row r="413" customFormat="false" ht="15" hidden="false" customHeight="false" outlineLevel="0" collapsed="false">
      <c r="A413" s="51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46" t="s">
        <v>476</v>
      </c>
      <c r="G413" s="0" t="n">
        <v>62.9</v>
      </c>
      <c r="H413" s="0" t="n">
        <v>65</v>
      </c>
      <c r="I413" s="46" t="s">
        <v>161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X413" s="46" t="n">
        <f aca="false">IF(I413="Male",0,1)</f>
        <v>1</v>
      </c>
      <c r="Y413" s="46" t="n">
        <f aca="false">IF(OR(I413="DNB",I413="Dry DNB"),1,0)</f>
        <v>0</v>
      </c>
      <c r="Z413" s="0" t="str">
        <f aca="false">IF(ISNUMBER(W413),A413-W413,"")</f>
        <v/>
      </c>
      <c r="AA413" s="46" t="n">
        <f aca="false">MATCH(A413,DATAS,0)</f>
        <v>1</v>
      </c>
      <c r="AB413" s="46" t="n">
        <f aca="false">IF(AND(E413&gt;0,OR(AND(B413&gt;=1,B413&lt;=6),B413=10)),1,0)</f>
        <v>1</v>
      </c>
      <c r="AC413" s="46" t="n">
        <f aca="false">IF(AND(E413&gt;0,B413=10),1,0)</f>
        <v>0</v>
      </c>
      <c r="AD413" s="0" t="str">
        <f aca="false">IF(AND(C412=C413,AA412=AA413-1),AB412,"")</f>
        <v/>
      </c>
      <c r="AE413" s="0" t="str">
        <f aca="false">IF(AND(C412=C413,AA412=AA413-1),AC412,"")</f>
        <v/>
      </c>
      <c r="AF413" s="0" t="str">
        <f aca="false">IF(AA413=1,"",IF(AND(AB413=1,AD413&lt;&gt;1),1,0))</f>
        <v/>
      </c>
      <c r="AG413" s="0" t="str">
        <f aca="false">IF(AA413=1,"",IF(AND(AC413=1,AE413&lt;&gt;1),1,0))</f>
        <v/>
      </c>
      <c r="AH413" s="51" t="str">
        <f aca="false">IF(AND(E413&gt;0,AA413&lt;1,NOT(AND(C414=C413,AA414=AA413+1))),INDEX(DATAS,AA413+1),"")</f>
        <v/>
      </c>
      <c r="AI413" s="51" t="str">
        <f aca="false">IF(AND(AC413=1,AA413&lt;1),IF(AND(C414=C413,AA414=AA413+1),IF(AC414=1,"",INDEX(DATAS,AA413+1)),INDEX(DATAS,AA413+1)),"")</f>
        <v/>
      </c>
    </row>
    <row r="414" customFormat="false" ht="15" hidden="false" customHeight="false" outlineLevel="0" collapsed="false">
      <c r="A414" s="51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46" t="s">
        <v>476</v>
      </c>
      <c r="G414" s="0" t="n">
        <v>5.1</v>
      </c>
      <c r="H414" s="0" t="n">
        <v>10</v>
      </c>
      <c r="I414" s="46" t="s">
        <v>152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51" t="n">
        <v>46157</v>
      </c>
      <c r="X414" s="46" t="n">
        <f aca="false">IF(I414="Male",0,1)</f>
        <v>1</v>
      </c>
      <c r="Y414" s="46" t="n">
        <f aca="false">IF(OR(I414="DNB",I414="Dry DNB"),1,0)</f>
        <v>0</v>
      </c>
      <c r="Z414" s="46" t="n">
        <f aca="false">IF(ISNUMBER(W414),A414-W414,"")</f>
        <v>152</v>
      </c>
      <c r="AA414" s="46" t="n">
        <f aca="false">MATCH(A414,DATAS,0)</f>
        <v>1</v>
      </c>
      <c r="AB414" s="46" t="n">
        <f aca="false">IF(AND(E414&gt;0,OR(AND(B414&gt;=1,B414&lt;=6),B414=10)),1,0)</f>
        <v>1</v>
      </c>
      <c r="AC414" s="46" t="n">
        <f aca="false">IF(AND(E414&gt;0,B414=10),1,0)</f>
        <v>0</v>
      </c>
      <c r="AD414" s="0" t="str">
        <f aca="false">IF(AND(C413=C414,AA413=AA414-1),AB413,"")</f>
        <v/>
      </c>
      <c r="AE414" s="0" t="str">
        <f aca="false">IF(AND(C413=C414,AA413=AA414-1),AC413,"")</f>
        <v/>
      </c>
      <c r="AF414" s="0" t="str">
        <f aca="false">IF(AA414=1,"",IF(AND(AB414=1,AD414&lt;&gt;1),1,0))</f>
        <v/>
      </c>
      <c r="AG414" s="0" t="str">
        <f aca="false">IF(AA414=1,"",IF(AND(AC414=1,AE414&lt;&gt;1),1,0))</f>
        <v/>
      </c>
      <c r="AH414" s="51" t="str">
        <f aca="false">IF(AND(E414&gt;0,AA414&lt;1,NOT(AND(C415=C414,AA415=AA414+1))),INDEX(DATAS,AA414+1),"")</f>
        <v/>
      </c>
      <c r="AI414" s="51" t="str">
        <f aca="false">IF(AND(AC414=1,AA414&lt;1),IF(AND(C415=C414,AA415=AA414+1),IF(AC415=1,"",INDEX(DATAS,AA414+1)),INDEX(DATAS,AA414+1)),"")</f>
        <v/>
      </c>
    </row>
    <row r="415" customFormat="false" ht="15" hidden="false" customHeight="false" outlineLevel="0" collapsed="false">
      <c r="A415" s="51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46" t="s">
        <v>477</v>
      </c>
      <c r="G415" s="0" t="n">
        <v>55.6</v>
      </c>
      <c r="H415" s="0" t="n">
        <v>51</v>
      </c>
      <c r="I415" s="46" t="s">
        <v>152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X415" s="46" t="n">
        <f aca="false">IF(I415="Male",0,1)</f>
        <v>1</v>
      </c>
      <c r="Y415" s="46" t="n">
        <f aca="false">IF(OR(I415="DNB",I415="Dry DNB"),1,0)</f>
        <v>0</v>
      </c>
      <c r="Z415" s="0" t="str">
        <f aca="false">IF(ISNUMBER(W415),A415-W415,"")</f>
        <v/>
      </c>
      <c r="AA415" s="46" t="n">
        <f aca="false">MATCH(A415,DATAS,0)</f>
        <v>1</v>
      </c>
      <c r="AB415" s="46" t="n">
        <f aca="false">IF(AND(E415&gt;0,OR(AND(B415&gt;=1,B415&lt;=6),B415=10)),1,0)</f>
        <v>1</v>
      </c>
      <c r="AC415" s="46" t="n">
        <f aca="false">IF(AND(E415&gt;0,B415=10),1,0)</f>
        <v>0</v>
      </c>
      <c r="AD415" s="0" t="str">
        <f aca="false">IF(AND(C414=C415,AA414=AA415-1),AB414,"")</f>
        <v/>
      </c>
      <c r="AE415" s="0" t="str">
        <f aca="false">IF(AND(C414=C415,AA414=AA415-1),AC414,"")</f>
        <v/>
      </c>
      <c r="AF415" s="0" t="str">
        <f aca="false">IF(AA415=1,"",IF(AND(AB415=1,AD415&lt;&gt;1),1,0))</f>
        <v/>
      </c>
      <c r="AG415" s="0" t="str">
        <f aca="false">IF(AA415=1,"",IF(AND(AC415=1,AE415&lt;&gt;1),1,0))</f>
        <v/>
      </c>
      <c r="AH415" s="51" t="str">
        <f aca="false">IF(AND(E415&gt;0,AA415&lt;1,NOT(AND(C416=C415,AA416=AA415+1))),INDEX(DATAS,AA415+1),"")</f>
        <v/>
      </c>
      <c r="AI415" s="51" t="str">
        <f aca="false">IF(AND(AC415=1,AA415&lt;1),IF(AND(C416=C415,AA416=AA415+1),IF(AC416=1,"",INDEX(DATAS,AA415+1)),INDEX(DATAS,AA415+1)),"")</f>
        <v/>
      </c>
    </row>
    <row r="416" customFormat="false" ht="15" hidden="false" customHeight="false" outlineLevel="0" collapsed="false">
      <c r="A416" s="51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46" t="s">
        <v>477</v>
      </c>
      <c r="G416" s="0" t="n">
        <v>55.1</v>
      </c>
      <c r="H416" s="0" t="n">
        <v>52</v>
      </c>
      <c r="I416" s="46" t="s">
        <v>181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51" t="n">
        <v>46296</v>
      </c>
      <c r="X416" s="46" t="n">
        <f aca="false">IF(I416="Male",0,1)</f>
        <v>1</v>
      </c>
      <c r="Y416" s="46" t="n">
        <f aca="false">IF(OR(I416="DNB",I416="Dry DNB"),1,0)</f>
        <v>0</v>
      </c>
      <c r="Z416" s="46" t="n">
        <f aca="false">IF(ISNUMBER(W416),A416-W416,"")</f>
        <v>13</v>
      </c>
      <c r="AA416" s="46" t="n">
        <f aca="false">MATCH(A416,DATAS,0)</f>
        <v>1</v>
      </c>
      <c r="AB416" s="46" t="n">
        <f aca="false">IF(AND(E416&gt;0,OR(AND(B416&gt;=1,B416&lt;=6),B416=10)),1,0)</f>
        <v>1</v>
      </c>
      <c r="AC416" s="46" t="n">
        <f aca="false">IF(AND(E416&gt;0,B416=10),1,0)</f>
        <v>0</v>
      </c>
      <c r="AD416" s="0" t="str">
        <f aca="false">IF(AND(C415=C416,AA415=AA416-1),AB415,"")</f>
        <v/>
      </c>
      <c r="AE416" s="0" t="str">
        <f aca="false">IF(AND(C415=C416,AA415=AA416-1),AC415,"")</f>
        <v/>
      </c>
      <c r="AF416" s="0" t="str">
        <f aca="false">IF(AA416=1,"",IF(AND(AB416=1,AD416&lt;&gt;1),1,0))</f>
        <v/>
      </c>
      <c r="AG416" s="0" t="str">
        <f aca="false">IF(AA416=1,"",IF(AND(AC416=1,AE416&lt;&gt;1),1,0))</f>
        <v/>
      </c>
      <c r="AH416" s="51" t="str">
        <f aca="false">IF(AND(E416&gt;0,AA416&lt;1,NOT(AND(C417=C416,AA417=AA416+1))),INDEX(DATAS,AA416+1),"")</f>
        <v/>
      </c>
      <c r="AI416" s="51" t="str">
        <f aca="false">IF(AND(AC416=1,AA416&lt;1),IF(AND(C417=C416,AA417=AA416+1),IF(AC417=1,"",INDEX(DATAS,AA416+1)),INDEX(DATAS,AA416+1)),"")</f>
        <v/>
      </c>
    </row>
    <row r="417" customFormat="false" ht="15" hidden="false" customHeight="false" outlineLevel="0" collapsed="false">
      <c r="A417" s="51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46" t="s">
        <v>478</v>
      </c>
      <c r="G417" s="0" t="n">
        <v>45.5</v>
      </c>
      <c r="H417" s="0" t="n">
        <v>45</v>
      </c>
      <c r="I417" s="46" t="s">
        <v>189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51" t="n">
        <v>46275</v>
      </c>
      <c r="X417" s="46" t="n">
        <f aca="false">IF(I417="Male",0,1)</f>
        <v>1</v>
      </c>
      <c r="Y417" s="46" t="n">
        <f aca="false">IF(OR(I417="DNB",I417="Dry DNB"),1,0)</f>
        <v>0</v>
      </c>
      <c r="Z417" s="46" t="n">
        <f aca="false">IF(ISNUMBER(W417),A417-W417,"")</f>
        <v>34</v>
      </c>
      <c r="AA417" s="46" t="n">
        <f aca="false">MATCH(A417,DATAS,0)</f>
        <v>1</v>
      </c>
      <c r="AB417" s="46" t="n">
        <f aca="false">IF(AND(E417&gt;0,OR(AND(B417&gt;=1,B417&lt;=6),B417=10)),1,0)</f>
        <v>1</v>
      </c>
      <c r="AC417" s="46" t="n">
        <f aca="false">IF(AND(E417&gt;0,B417=10),1,0)</f>
        <v>0</v>
      </c>
      <c r="AD417" s="0" t="str">
        <f aca="false">IF(AND(C416=C417,AA416=AA417-1),AB416,"")</f>
        <v/>
      </c>
      <c r="AE417" s="0" t="str">
        <f aca="false">IF(AND(C416=C417,AA416=AA417-1),AC416,"")</f>
        <v/>
      </c>
      <c r="AF417" s="0" t="str">
        <f aca="false">IF(AA417=1,"",IF(AND(AB417=1,AD417&lt;&gt;1),1,0))</f>
        <v/>
      </c>
      <c r="AG417" s="0" t="str">
        <f aca="false">IF(AA417=1,"",IF(AND(AC417=1,AE417&lt;&gt;1),1,0))</f>
        <v/>
      </c>
      <c r="AH417" s="51" t="str">
        <f aca="false">IF(AND(E417&gt;0,AA417&lt;1,NOT(AND(C418=C417,AA418=AA417+1))),INDEX(DATAS,AA417+1),"")</f>
        <v/>
      </c>
      <c r="AI417" s="51" t="str">
        <f aca="false">IF(AND(AC417=1,AA417&lt;1),IF(AND(C418=C417,AA418=AA417+1),IF(AC418=1,"",INDEX(DATAS,AA417+1)),INDEX(DATAS,AA417+1)),"")</f>
        <v/>
      </c>
    </row>
    <row r="418" customFormat="false" ht="15" hidden="false" customHeight="false" outlineLevel="0" collapsed="false">
      <c r="A418" s="51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46" t="s">
        <v>479</v>
      </c>
      <c r="G418" s="0" t="n">
        <v>68.8</v>
      </c>
      <c r="H418" s="0" t="n">
        <v>65</v>
      </c>
      <c r="I418" s="46" t="s">
        <v>152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51" t="n">
        <v>46275</v>
      </c>
      <c r="X418" s="46" t="n">
        <f aca="false">IF(I418="Male",0,1)</f>
        <v>1</v>
      </c>
      <c r="Y418" s="46" t="n">
        <f aca="false">IF(OR(I418="DNB",I418="Dry DNB"),1,0)</f>
        <v>0</v>
      </c>
      <c r="Z418" s="46" t="n">
        <f aca="false">IF(ISNUMBER(W418),A418-W418,"")</f>
        <v>34</v>
      </c>
      <c r="AA418" s="46" t="n">
        <f aca="false">MATCH(A418,DATAS,0)</f>
        <v>1</v>
      </c>
      <c r="AB418" s="46" t="n">
        <f aca="false">IF(AND(E418&gt;0,OR(AND(B418&gt;=1,B418&lt;=6),B418=10)),1,0)</f>
        <v>1</v>
      </c>
      <c r="AC418" s="46" t="n">
        <f aca="false">IF(AND(E418&gt;0,B418=10),1,0)</f>
        <v>0</v>
      </c>
      <c r="AD418" s="0" t="str">
        <f aca="false">IF(AND(C417=C418,AA417=AA418-1),AB417,"")</f>
        <v/>
      </c>
      <c r="AE418" s="0" t="str">
        <f aca="false">IF(AND(C417=C418,AA417=AA418-1),AC417,"")</f>
        <v/>
      </c>
      <c r="AF418" s="0" t="str">
        <f aca="false">IF(AA418=1,"",IF(AND(AB418=1,AD418&lt;&gt;1),1,0))</f>
        <v/>
      </c>
      <c r="AG418" s="0" t="str">
        <f aca="false">IF(AA418=1,"",IF(AND(AC418=1,AE418&lt;&gt;1),1,0))</f>
        <v/>
      </c>
      <c r="AH418" s="51" t="str">
        <f aca="false">IF(AND(E418&gt;0,AA418&lt;1,NOT(AND(C419=C418,AA419=AA418+1))),INDEX(DATAS,AA418+1),"")</f>
        <v/>
      </c>
      <c r="AI418" s="51" t="str">
        <f aca="false">IF(AND(AC418=1,AA418&lt;1),IF(AND(C419=C418,AA419=AA418+1),IF(AC419=1,"",INDEX(DATAS,AA418+1)),INDEX(DATAS,AA418+1)),"")</f>
        <v/>
      </c>
    </row>
    <row r="419" customFormat="false" ht="15" hidden="false" customHeight="false" outlineLevel="0" collapsed="false">
      <c r="A419" s="51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46" t="s">
        <v>479</v>
      </c>
      <c r="G419" s="0" t="n">
        <v>74</v>
      </c>
      <c r="H419" s="0" t="n">
        <v>73</v>
      </c>
      <c r="I419" s="46" t="s">
        <v>152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X419" s="46" t="n">
        <f aca="false">IF(I419="Male",0,1)</f>
        <v>1</v>
      </c>
      <c r="Y419" s="46" t="n">
        <f aca="false">IF(OR(I419="DNB",I419="Dry DNB"),1,0)</f>
        <v>0</v>
      </c>
      <c r="Z419" s="0" t="str">
        <f aca="false">IF(ISNUMBER(W419),A419-W419,"")</f>
        <v/>
      </c>
      <c r="AA419" s="46" t="n">
        <f aca="false">MATCH(A419,DATAS,0)</f>
        <v>1</v>
      </c>
      <c r="AB419" s="46" t="n">
        <f aca="false">IF(AND(E419&gt;0,OR(AND(B419&gt;=1,B419&lt;=6),B419=10)),1,0)</f>
        <v>1</v>
      </c>
      <c r="AC419" s="46" t="n">
        <f aca="false">IF(AND(E419&gt;0,B419=10),1,0)</f>
        <v>0</v>
      </c>
      <c r="AD419" s="0" t="str">
        <f aca="false">IF(AND(C418=C419,AA418=AA419-1),AB418,"")</f>
        <v/>
      </c>
      <c r="AE419" s="0" t="str">
        <f aca="false">IF(AND(C418=C419,AA418=AA419-1),AC418,"")</f>
        <v/>
      </c>
      <c r="AF419" s="0" t="str">
        <f aca="false">IF(AA419=1,"",IF(AND(AB419=1,AD419&lt;&gt;1),1,0))</f>
        <v/>
      </c>
      <c r="AG419" s="0" t="str">
        <f aca="false">IF(AA419=1,"",IF(AND(AC419=1,AE419&lt;&gt;1),1,0))</f>
        <v/>
      </c>
      <c r="AH419" s="51" t="str">
        <f aca="false">IF(AND(E419&gt;0,AA419&lt;1,NOT(AND(C420=C419,AA420=AA419+1))),INDEX(DATAS,AA419+1),"")</f>
        <v/>
      </c>
      <c r="AI419" s="51" t="str">
        <f aca="false">IF(AND(AC419=1,AA419&lt;1),IF(AND(C420=C419,AA420=AA419+1),IF(AC420=1,"",INDEX(DATAS,AA419+1)),INDEX(DATAS,AA419+1)),"")</f>
        <v/>
      </c>
    </row>
    <row r="420" customFormat="false" ht="15" hidden="false" customHeight="false" outlineLevel="0" collapsed="false">
      <c r="A420" s="51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46" t="s">
        <v>479</v>
      </c>
      <c r="G420" s="0" t="n">
        <v>40.1</v>
      </c>
      <c r="H420" s="0" t="n">
        <v>39</v>
      </c>
      <c r="I420" s="46" t="s">
        <v>152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51" t="n">
        <v>46163</v>
      </c>
      <c r="X420" s="46" t="n">
        <f aca="false">IF(I420="Male",0,1)</f>
        <v>1</v>
      </c>
      <c r="Y420" s="46" t="n">
        <f aca="false">IF(OR(I420="DNB",I420="Dry DNB"),1,0)</f>
        <v>0</v>
      </c>
      <c r="Z420" s="46" t="n">
        <f aca="false">IF(ISNUMBER(W420),A420-W420,"")</f>
        <v>146</v>
      </c>
      <c r="AA420" s="46" t="n">
        <f aca="false">MATCH(A420,DATAS,0)</f>
        <v>1</v>
      </c>
      <c r="AB420" s="46" t="n">
        <f aca="false">IF(AND(E420&gt;0,OR(AND(B420&gt;=1,B420&lt;=6),B420=10)),1,0)</f>
        <v>1</v>
      </c>
      <c r="AC420" s="46" t="n">
        <f aca="false">IF(AND(E420&gt;0,B420=10),1,0)</f>
        <v>0</v>
      </c>
      <c r="AD420" s="0" t="str">
        <f aca="false">IF(AND(C419=C420,AA419=AA420-1),AB419,"")</f>
        <v/>
      </c>
      <c r="AE420" s="0" t="str">
        <f aca="false">IF(AND(C419=C420,AA419=AA420-1),AC419,"")</f>
        <v/>
      </c>
      <c r="AF420" s="0" t="str">
        <f aca="false">IF(AA420=1,"",IF(AND(AB420=1,AD420&lt;&gt;1),1,0))</f>
        <v/>
      </c>
      <c r="AG420" s="0" t="str">
        <f aca="false">IF(AA420=1,"",IF(AND(AC420=1,AE420&lt;&gt;1),1,0))</f>
        <v/>
      </c>
      <c r="AH420" s="51" t="str">
        <f aca="false">IF(AND(E420&gt;0,AA420&lt;1,NOT(AND(C421=C420,AA421=AA420+1))),INDEX(DATAS,AA420+1),"")</f>
        <v/>
      </c>
      <c r="AI420" s="51" t="str">
        <f aca="false">IF(AND(AC420=1,AA420&lt;1),IF(AND(C421=C420,AA421=AA420+1),IF(AC421=1,"",INDEX(DATAS,AA420+1)),INDEX(DATAS,AA420+1)),"")</f>
        <v/>
      </c>
    </row>
    <row r="421" customFormat="false" ht="15" hidden="false" customHeight="false" outlineLevel="0" collapsed="false">
      <c r="A421" s="51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46" t="s">
        <v>480</v>
      </c>
      <c r="G421" s="0" t="n">
        <v>41.4</v>
      </c>
      <c r="H421" s="0" t="n">
        <v>31</v>
      </c>
      <c r="I421" s="46" t="s">
        <v>161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X421" s="46" t="n">
        <f aca="false">IF(I421="Male",0,1)</f>
        <v>1</v>
      </c>
      <c r="Y421" s="46" t="n">
        <f aca="false">IF(OR(I421="DNB",I421="Dry DNB"),1,0)</f>
        <v>0</v>
      </c>
      <c r="Z421" s="0" t="str">
        <f aca="false">IF(ISNUMBER(W421),A421-W421,"")</f>
        <v/>
      </c>
      <c r="AA421" s="46" t="n">
        <f aca="false">MATCH(A421,DATAS,0)</f>
        <v>1</v>
      </c>
      <c r="AB421" s="46" t="n">
        <f aca="false">IF(AND(E421&gt;0,OR(AND(B421&gt;=1,B421&lt;=6),B421=10)),1,0)</f>
        <v>1</v>
      </c>
      <c r="AC421" s="46" t="n">
        <f aca="false">IF(AND(E421&gt;0,B421=10),1,0)</f>
        <v>1</v>
      </c>
      <c r="AD421" s="0" t="str">
        <f aca="false">IF(AND(C420=C421,AA420=AA421-1),AB420,"")</f>
        <v/>
      </c>
      <c r="AE421" s="0" t="str">
        <f aca="false">IF(AND(C420=C421,AA420=AA421-1),AC420,"")</f>
        <v/>
      </c>
      <c r="AF421" s="0" t="str">
        <f aca="false">IF(AA421=1,"",IF(AND(AB421=1,AD421&lt;&gt;1),1,0))</f>
        <v/>
      </c>
      <c r="AG421" s="0" t="str">
        <f aca="false">IF(AA421=1,"",IF(AND(AC421=1,AE421&lt;&gt;1),1,0))</f>
        <v/>
      </c>
      <c r="AH421" s="51" t="str">
        <f aca="false">IF(AND(E421&gt;0,AA421&lt;1,NOT(AND(C422=C421,AA422=AA421+1))),INDEX(DATAS,AA421+1),"")</f>
        <v/>
      </c>
      <c r="AI421" s="51" t="str">
        <f aca="false">IF(AND(AC421=1,AA421&lt;1),IF(AND(C422=C421,AA422=AA421+1),IF(AC422=1,"",INDEX(DATAS,AA421+1)),INDEX(DATAS,AA421+1)),"")</f>
        <v/>
      </c>
    </row>
    <row r="422" customFormat="false" ht="15" hidden="false" customHeight="false" outlineLevel="0" collapsed="false">
      <c r="A422" s="51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46" t="s">
        <v>481</v>
      </c>
      <c r="G422" s="0" t="n">
        <v>38</v>
      </c>
      <c r="H422" s="0" t="n">
        <v>46</v>
      </c>
      <c r="I422" s="46" t="s">
        <v>181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51" t="n">
        <v>46310</v>
      </c>
      <c r="X422" s="46" t="n">
        <f aca="false">IF(I422="Male",0,1)</f>
        <v>1</v>
      </c>
      <c r="Y422" s="46" t="n">
        <f aca="false">IF(OR(I422="DNB",I422="Dry DNB"),1,0)</f>
        <v>0</v>
      </c>
      <c r="Z422" s="46" t="n">
        <f aca="false">IF(ISNUMBER(W422),A422-W422,"")</f>
        <v>-1</v>
      </c>
      <c r="AA422" s="46" t="n">
        <f aca="false">MATCH(A422,DATAS,0)</f>
        <v>1</v>
      </c>
      <c r="AB422" s="46" t="n">
        <f aca="false">IF(AND(E422&gt;0,OR(AND(B422&gt;=1,B422&lt;=6),B422=10)),1,0)</f>
        <v>1</v>
      </c>
      <c r="AC422" s="46" t="n">
        <f aca="false">IF(AND(E422&gt;0,B422=10),1,0)</f>
        <v>0</v>
      </c>
      <c r="AD422" s="0" t="str">
        <f aca="false">IF(AND(C421=C422,AA421=AA422-1),AB421,"")</f>
        <v/>
      </c>
      <c r="AE422" s="0" t="str">
        <f aca="false">IF(AND(C421=C422,AA421=AA422-1),AC421,"")</f>
        <v/>
      </c>
      <c r="AF422" s="0" t="str">
        <f aca="false">IF(AA422=1,"",IF(AND(AB422=1,AD422&lt;&gt;1),1,0))</f>
        <v/>
      </c>
      <c r="AG422" s="0" t="str">
        <f aca="false">IF(AA422=1,"",IF(AND(AC422=1,AE422&lt;&gt;1),1,0))</f>
        <v/>
      </c>
      <c r="AH422" s="51" t="str">
        <f aca="false">IF(AND(E422&gt;0,AA422&lt;1,NOT(AND(C423=C422,AA423=AA422+1))),INDEX(DATAS,AA422+1),"")</f>
        <v/>
      </c>
      <c r="AI422" s="51" t="str">
        <f aca="false">IF(AND(AC422=1,AA422&lt;1),IF(AND(C423=C422,AA423=AA422+1),IF(AC423=1,"",INDEX(DATAS,AA422+1)),INDEX(DATAS,AA422+1)),"")</f>
        <v/>
      </c>
    </row>
    <row r="423" customFormat="false" ht="15" hidden="false" customHeight="false" outlineLevel="0" collapsed="false">
      <c r="A423" s="51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46" t="s">
        <v>481</v>
      </c>
      <c r="G423" s="0" t="n">
        <v>62.7</v>
      </c>
      <c r="H423" s="0" t="n">
        <v>55</v>
      </c>
      <c r="I423" s="46" t="s">
        <v>161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X423" s="46" t="n">
        <f aca="false">IF(I423="Male",0,1)</f>
        <v>1</v>
      </c>
      <c r="Y423" s="46" t="n">
        <f aca="false">IF(OR(I423="DNB",I423="Dry DNB"),1,0)</f>
        <v>0</v>
      </c>
      <c r="Z423" s="0" t="str">
        <f aca="false">IF(ISNUMBER(W423),A423-W423,"")</f>
        <v/>
      </c>
      <c r="AA423" s="46" t="n">
        <f aca="false">MATCH(A423,DATAS,0)</f>
        <v>1</v>
      </c>
      <c r="AB423" s="46" t="n">
        <f aca="false">IF(AND(E423&gt;0,OR(AND(B423&gt;=1,B423&lt;=6),B423=10)),1,0)</f>
        <v>1</v>
      </c>
      <c r="AC423" s="46" t="n">
        <f aca="false">IF(AND(E423&gt;0,B423=10),1,0)</f>
        <v>0</v>
      </c>
      <c r="AD423" s="0" t="str">
        <f aca="false">IF(AND(C422=C423,AA422=AA423-1),AB422,"")</f>
        <v/>
      </c>
      <c r="AE423" s="0" t="str">
        <f aca="false">IF(AND(C422=C423,AA422=AA423-1),AC422,"")</f>
        <v/>
      </c>
      <c r="AF423" s="0" t="str">
        <f aca="false">IF(AA423=1,"",IF(AND(AB423=1,AD423&lt;&gt;1),1,0))</f>
        <v/>
      </c>
      <c r="AG423" s="0" t="str">
        <f aca="false">IF(AA423=1,"",IF(AND(AC423=1,AE423&lt;&gt;1),1,0))</f>
        <v/>
      </c>
      <c r="AH423" s="51" t="str">
        <f aca="false">IF(AND(E423&gt;0,AA423&lt;1,NOT(AND(C424=C423,AA424=AA423+1))),INDEX(DATAS,AA423+1),"")</f>
        <v/>
      </c>
      <c r="AI423" s="51" t="str">
        <f aca="false">IF(AND(AC423=1,AA423&lt;1),IF(AND(C424=C423,AA424=AA423+1),IF(AC424=1,"",INDEX(DATAS,AA423+1)),INDEX(DATAS,AA423+1)),"")</f>
        <v/>
      </c>
    </row>
    <row r="424" customFormat="false" ht="15" hidden="false" customHeight="false" outlineLevel="0" collapsed="false">
      <c r="A424" s="51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46" t="s">
        <v>481</v>
      </c>
      <c r="G424" s="0" t="n">
        <v>46.6</v>
      </c>
      <c r="H424" s="0" t="n">
        <v>47</v>
      </c>
      <c r="I424" s="46" t="s">
        <v>189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51" t="n">
        <v>46275</v>
      </c>
      <c r="X424" s="46" t="n">
        <f aca="false">IF(I424="Male",0,1)</f>
        <v>1</v>
      </c>
      <c r="Y424" s="46" t="n">
        <f aca="false">IF(OR(I424="DNB",I424="Dry DNB"),1,0)</f>
        <v>0</v>
      </c>
      <c r="Z424" s="46" t="n">
        <f aca="false">IF(ISNUMBER(W424),A424-W424,"")</f>
        <v>34</v>
      </c>
      <c r="AA424" s="46" t="n">
        <f aca="false">MATCH(A424,DATAS,0)</f>
        <v>1</v>
      </c>
      <c r="AB424" s="46" t="n">
        <f aca="false">IF(AND(E424&gt;0,OR(AND(B424&gt;=1,B424&lt;=6),B424=10)),1,0)</f>
        <v>1</v>
      </c>
      <c r="AC424" s="46" t="n">
        <f aca="false">IF(AND(E424&gt;0,B424=10),1,0)</f>
        <v>0</v>
      </c>
      <c r="AD424" s="0" t="str">
        <f aca="false">IF(AND(C423=C424,AA423=AA424-1),AB423,"")</f>
        <v/>
      </c>
      <c r="AE424" s="0" t="str">
        <f aca="false">IF(AND(C423=C424,AA423=AA424-1),AC423,"")</f>
        <v/>
      </c>
      <c r="AF424" s="0" t="str">
        <f aca="false">IF(AA424=1,"",IF(AND(AB424=1,AD424&lt;&gt;1),1,0))</f>
        <v/>
      </c>
      <c r="AG424" s="0" t="str">
        <f aca="false">IF(AA424=1,"",IF(AND(AC424=1,AE424&lt;&gt;1),1,0))</f>
        <v/>
      </c>
      <c r="AH424" s="51" t="str">
        <f aca="false">IF(AND(E424&gt;0,AA424&lt;1,NOT(AND(C425=C424,AA425=AA424+1))),INDEX(DATAS,AA424+1),"")</f>
        <v/>
      </c>
      <c r="AI424" s="51" t="str">
        <f aca="false">IF(AND(AC424=1,AA424&lt;1),IF(AND(C425=C424,AA425=AA424+1),IF(AC425=1,"",INDEX(DATAS,AA424+1)),INDEX(DATAS,AA424+1)),"")</f>
        <v/>
      </c>
    </row>
    <row r="425" customFormat="false" ht="15" hidden="false" customHeight="false" outlineLevel="0" collapsed="false">
      <c r="A425" s="51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46" t="s">
        <v>482</v>
      </c>
      <c r="G425" s="0" t="n">
        <v>35.2</v>
      </c>
      <c r="H425" s="0" t="n">
        <v>30</v>
      </c>
      <c r="I425" s="46" t="s">
        <v>181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51" t="n">
        <v>46282</v>
      </c>
      <c r="X425" s="46" t="n">
        <f aca="false">IF(I425="Male",0,1)</f>
        <v>1</v>
      </c>
      <c r="Y425" s="46" t="n">
        <f aca="false">IF(OR(I425="DNB",I425="Dry DNB"),1,0)</f>
        <v>0</v>
      </c>
      <c r="Z425" s="46" t="n">
        <f aca="false">IF(ISNUMBER(W425),A425-W425,"")</f>
        <v>27</v>
      </c>
      <c r="AA425" s="46" t="n">
        <f aca="false">MATCH(A425,DATAS,0)</f>
        <v>1</v>
      </c>
      <c r="AB425" s="46" t="n">
        <f aca="false">IF(AND(E425&gt;0,OR(AND(B425&gt;=1,B425&lt;=6),B425=10)),1,0)</f>
        <v>1</v>
      </c>
      <c r="AC425" s="46" t="n">
        <f aca="false">IF(AND(E425&gt;0,B425=10),1,0)</f>
        <v>0</v>
      </c>
      <c r="AD425" s="0" t="str">
        <f aca="false">IF(AND(C424=C425,AA424=AA425-1),AB424,"")</f>
        <v/>
      </c>
      <c r="AE425" s="0" t="str">
        <f aca="false">IF(AND(C424=C425,AA424=AA425-1),AC424,"")</f>
        <v/>
      </c>
      <c r="AF425" s="0" t="str">
        <f aca="false">IF(AA425=1,"",IF(AND(AB425=1,AD425&lt;&gt;1),1,0))</f>
        <v/>
      </c>
      <c r="AG425" s="0" t="str">
        <f aca="false">IF(AA425=1,"",IF(AND(AC425=1,AE425&lt;&gt;1),1,0))</f>
        <v/>
      </c>
      <c r="AH425" s="51" t="str">
        <f aca="false">IF(AND(E425&gt;0,AA425&lt;1,NOT(AND(C426=C425,AA426=AA425+1))),INDEX(DATAS,AA425+1),"")</f>
        <v/>
      </c>
      <c r="AI425" s="51" t="str">
        <f aca="false">IF(AND(AC425=1,AA425&lt;1),IF(AND(C426=C425,AA426=AA425+1),IF(AC426=1,"",INDEX(DATAS,AA425+1)),INDEX(DATAS,AA425+1)),"")</f>
        <v/>
      </c>
    </row>
    <row r="426" customFormat="false" ht="15" hidden="false" customHeight="false" outlineLevel="0" collapsed="false">
      <c r="A426" s="51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46" t="s">
        <v>482</v>
      </c>
      <c r="I426" s="46" t="s">
        <v>157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51" t="n">
        <v>46037</v>
      </c>
      <c r="X426" s="46" t="n">
        <f aca="false">IF(I426="Male",0,1)</f>
        <v>1</v>
      </c>
      <c r="Y426" s="46" t="n">
        <f aca="false">IF(OR(I426="DNB",I426="Dry DNB"),1,0)</f>
        <v>0</v>
      </c>
      <c r="Z426" s="46" t="n">
        <f aca="false">IF(ISNUMBER(W426),A426-W426,"")</f>
        <v>272</v>
      </c>
      <c r="AA426" s="46" t="n">
        <f aca="false">MATCH(A426,DATAS,0)</f>
        <v>1</v>
      </c>
      <c r="AB426" s="46" t="n">
        <f aca="false">IF(AND(E426&gt;0,OR(AND(B426&gt;=1,B426&lt;=6),B426=10)),1,0)</f>
        <v>0</v>
      </c>
      <c r="AC426" s="46" t="n">
        <f aca="false">IF(AND(E426&gt;0,B426=10),1,0)</f>
        <v>0</v>
      </c>
      <c r="AD426" s="0" t="str">
        <f aca="false">IF(AND(C425=C426,AA425=AA426-1),AB425,"")</f>
        <v/>
      </c>
      <c r="AE426" s="0" t="str">
        <f aca="false">IF(AND(C425=C426,AA425=AA426-1),AC425,"")</f>
        <v/>
      </c>
      <c r="AF426" s="0" t="str">
        <f aca="false">IF(AA426=1,"",IF(AND(AB426=1,AD426&lt;&gt;1),1,0))</f>
        <v/>
      </c>
      <c r="AG426" s="0" t="str">
        <f aca="false">IF(AA426=1,"",IF(AND(AC426=1,AE426&lt;&gt;1),1,0))</f>
        <v/>
      </c>
      <c r="AH426" s="51" t="str">
        <f aca="false">IF(AND(E426&gt;0,AA426&lt;1,NOT(AND(C427=C426,AA427=AA426+1))),INDEX(DATAS,AA426+1),"")</f>
        <v/>
      </c>
      <c r="AI426" s="51" t="str">
        <f aca="false">IF(AND(AC426=1,AA426&lt;1),IF(AND(C427=C426,AA427=AA426+1),IF(AC427=1,"",INDEX(DATAS,AA426+1)),INDEX(DATAS,AA426+1)),"")</f>
        <v/>
      </c>
    </row>
    <row r="427" customFormat="false" ht="15" hidden="false" customHeight="false" outlineLevel="0" collapsed="false">
      <c r="A427" s="51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46" t="s">
        <v>482</v>
      </c>
      <c r="G427" s="0" t="n">
        <v>37.2</v>
      </c>
      <c r="H427" s="0" t="n">
        <v>38</v>
      </c>
      <c r="I427" s="46" t="s">
        <v>189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X427" s="46" t="n">
        <f aca="false">IF(I427="Male",0,1)</f>
        <v>1</v>
      </c>
      <c r="Y427" s="46" t="n">
        <f aca="false">IF(OR(I427="DNB",I427="Dry DNB"),1,0)</f>
        <v>0</v>
      </c>
      <c r="Z427" s="0" t="str">
        <f aca="false">IF(ISNUMBER(W427),A427-W427,"")</f>
        <v/>
      </c>
      <c r="AA427" s="46" t="n">
        <f aca="false">MATCH(A427,DATAS,0)</f>
        <v>1</v>
      </c>
      <c r="AB427" s="46" t="n">
        <f aca="false">IF(AND(E427&gt;0,OR(AND(B427&gt;=1,B427&lt;=6),B427=10)),1,0)</f>
        <v>1</v>
      </c>
      <c r="AC427" s="46" t="n">
        <f aca="false">IF(AND(E427&gt;0,B427=10),1,0)</f>
        <v>0</v>
      </c>
      <c r="AD427" s="0" t="str">
        <f aca="false">IF(AND(C426=C427,AA426=AA427-1),AB426,"")</f>
        <v/>
      </c>
      <c r="AE427" s="0" t="str">
        <f aca="false">IF(AND(C426=C427,AA426=AA427-1),AC426,"")</f>
        <v/>
      </c>
      <c r="AF427" s="0" t="str">
        <f aca="false">IF(AA427=1,"",IF(AND(AB427=1,AD427&lt;&gt;1),1,0))</f>
        <v/>
      </c>
      <c r="AG427" s="0" t="str">
        <f aca="false">IF(AA427=1,"",IF(AND(AC427=1,AE427&lt;&gt;1),1,0))</f>
        <v/>
      </c>
      <c r="AH427" s="51" t="str">
        <f aca="false">IF(AND(E427&gt;0,AA427&lt;1,NOT(AND(C428=C427,AA428=AA427+1))),INDEX(DATAS,AA427+1),"")</f>
        <v/>
      </c>
      <c r="AI427" s="51" t="str">
        <f aca="false">IF(AND(AC427=1,AA427&lt;1),IF(AND(C428=C427,AA428=AA427+1),IF(AC428=1,"",INDEX(DATAS,AA427+1)),INDEX(DATAS,AA427+1)),"")</f>
        <v/>
      </c>
    </row>
    <row r="428" customFormat="false" ht="15" hidden="false" customHeight="false" outlineLevel="0" collapsed="false">
      <c r="A428" s="51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46" t="s">
        <v>483</v>
      </c>
      <c r="I428" s="46" t="s">
        <v>157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51" t="n">
        <v>46226</v>
      </c>
      <c r="X428" s="46" t="n">
        <f aca="false">IF(I428="Male",0,1)</f>
        <v>1</v>
      </c>
      <c r="Y428" s="46" t="n">
        <f aca="false">IF(OR(I428="DNB",I428="Dry DNB"),1,0)</f>
        <v>0</v>
      </c>
      <c r="Z428" s="46" t="n">
        <f aca="false">IF(ISNUMBER(W428),A428-W428,"")</f>
        <v>83</v>
      </c>
      <c r="AA428" s="46" t="n">
        <f aca="false">MATCH(A428,DATAS,0)</f>
        <v>1</v>
      </c>
      <c r="AB428" s="46" t="n">
        <f aca="false">IF(AND(E428&gt;0,OR(AND(B428&gt;=1,B428&lt;=6),B428=10)),1,0)</f>
        <v>0</v>
      </c>
      <c r="AC428" s="46" t="n">
        <f aca="false">IF(AND(E428&gt;0,B428=10),1,0)</f>
        <v>0</v>
      </c>
      <c r="AD428" s="0" t="str">
        <f aca="false">IF(AND(C427=C428,AA427=AA428-1),AB427,"")</f>
        <v/>
      </c>
      <c r="AE428" s="0" t="str">
        <f aca="false">IF(AND(C427=C428,AA427=AA428-1),AC427,"")</f>
        <v/>
      </c>
      <c r="AF428" s="0" t="str">
        <f aca="false">IF(AA428=1,"",IF(AND(AB428=1,AD428&lt;&gt;1),1,0))</f>
        <v/>
      </c>
      <c r="AG428" s="0" t="str">
        <f aca="false">IF(AA428=1,"",IF(AND(AC428=1,AE428&lt;&gt;1),1,0))</f>
        <v/>
      </c>
      <c r="AH428" s="51" t="str">
        <f aca="false">IF(AND(E428&gt;0,AA428&lt;1,NOT(AND(C429=C428,AA429=AA428+1))),INDEX(DATAS,AA428+1),"")</f>
        <v/>
      </c>
      <c r="AI428" s="51" t="str">
        <f aca="false">IF(AND(AC428=1,AA428&lt;1),IF(AND(C429=C428,AA429=AA428+1),IF(AC429=1,"",INDEX(DATAS,AA428+1)),INDEX(DATAS,AA428+1)),"")</f>
        <v/>
      </c>
    </row>
    <row r="429" customFormat="false" ht="15" hidden="false" customHeight="false" outlineLevel="0" collapsed="false">
      <c r="A429" s="51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46" t="s">
        <v>483</v>
      </c>
      <c r="G429" s="0" t="n">
        <v>58.1</v>
      </c>
      <c r="H429" s="0" t="n">
        <v>58</v>
      </c>
      <c r="I429" s="46" t="s">
        <v>152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51" t="n">
        <v>46212</v>
      </c>
      <c r="X429" s="46" t="n">
        <f aca="false">IF(I429="Male",0,1)</f>
        <v>1</v>
      </c>
      <c r="Y429" s="46" t="n">
        <f aca="false">IF(OR(I429="DNB",I429="Dry DNB"),1,0)</f>
        <v>0</v>
      </c>
      <c r="Z429" s="46" t="n">
        <f aca="false">IF(ISNUMBER(W429),A429-W429,"")</f>
        <v>97</v>
      </c>
      <c r="AA429" s="46" t="n">
        <f aca="false">MATCH(A429,DATAS,0)</f>
        <v>1</v>
      </c>
      <c r="AB429" s="46" t="n">
        <f aca="false">IF(AND(E429&gt;0,OR(AND(B429&gt;=1,B429&lt;=6),B429=10)),1,0)</f>
        <v>1</v>
      </c>
      <c r="AC429" s="46" t="n">
        <f aca="false">IF(AND(E429&gt;0,B429=10),1,0)</f>
        <v>0</v>
      </c>
      <c r="AD429" s="0" t="str">
        <f aca="false">IF(AND(C428=C429,AA428=AA429-1),AB428,"")</f>
        <v/>
      </c>
      <c r="AE429" s="0" t="str">
        <f aca="false">IF(AND(C428=C429,AA428=AA429-1),AC428,"")</f>
        <v/>
      </c>
      <c r="AF429" s="0" t="str">
        <f aca="false">IF(AA429=1,"",IF(AND(AB429=1,AD429&lt;&gt;1),1,0))</f>
        <v/>
      </c>
      <c r="AG429" s="0" t="str">
        <f aca="false">IF(AA429=1,"",IF(AND(AC429=1,AE429&lt;&gt;1),1,0))</f>
        <v/>
      </c>
      <c r="AH429" s="51" t="str">
        <f aca="false">IF(AND(E429&gt;0,AA429&lt;1,NOT(AND(C430=C429,AA430=AA429+1))),INDEX(DATAS,AA429+1),"")</f>
        <v/>
      </c>
      <c r="AI429" s="51" t="str">
        <f aca="false">IF(AND(AC429=1,AA429&lt;1),IF(AND(C430=C429,AA430=AA429+1),IF(AC430=1,"",INDEX(DATAS,AA429+1)),INDEX(DATAS,AA429+1)),"")</f>
        <v/>
      </c>
    </row>
    <row r="430" customFormat="false" ht="15" hidden="false" customHeight="false" outlineLevel="0" collapsed="false">
      <c r="A430" s="51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46" t="s">
        <v>483</v>
      </c>
      <c r="G430" s="0" t="n">
        <v>71</v>
      </c>
      <c r="H430" s="0" t="n">
        <v>73</v>
      </c>
      <c r="I430" s="46" t="s">
        <v>181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51" t="n">
        <v>46289</v>
      </c>
      <c r="X430" s="46" t="n">
        <f aca="false">IF(I430="Male",0,1)</f>
        <v>1</v>
      </c>
      <c r="Y430" s="46" t="n">
        <f aca="false">IF(OR(I430="DNB",I430="Dry DNB"),1,0)</f>
        <v>0</v>
      </c>
      <c r="Z430" s="46" t="n">
        <f aca="false">IF(ISNUMBER(W430),A430-W430,"")</f>
        <v>20</v>
      </c>
      <c r="AA430" s="46" t="n">
        <f aca="false">MATCH(A430,DATAS,0)</f>
        <v>1</v>
      </c>
      <c r="AB430" s="46" t="n">
        <f aca="false">IF(AND(E430&gt;0,OR(AND(B430&gt;=1,B430&lt;=6),B430=10)),1,0)</f>
        <v>1</v>
      </c>
      <c r="AC430" s="46" t="n">
        <f aca="false">IF(AND(E430&gt;0,B430=10),1,0)</f>
        <v>0</v>
      </c>
      <c r="AD430" s="0" t="str">
        <f aca="false">IF(AND(C429=C430,AA429=AA430-1),AB429,"")</f>
        <v/>
      </c>
      <c r="AE430" s="0" t="str">
        <f aca="false">IF(AND(C429=C430,AA429=AA430-1),AC429,"")</f>
        <v/>
      </c>
      <c r="AF430" s="0" t="str">
        <f aca="false">IF(AA430=1,"",IF(AND(AB430=1,AD430&lt;&gt;1),1,0))</f>
        <v/>
      </c>
      <c r="AG430" s="0" t="str">
        <f aca="false">IF(AA430=1,"",IF(AND(AC430=1,AE430&lt;&gt;1),1,0))</f>
        <v/>
      </c>
      <c r="AH430" s="51" t="str">
        <f aca="false">IF(AND(E430&gt;0,AA430&lt;1,NOT(AND(C431=C430,AA431=AA430+1))),INDEX(DATAS,AA430+1),"")</f>
        <v/>
      </c>
      <c r="AI430" s="51" t="str">
        <f aca="false">IF(AND(AC430=1,AA430&lt;1),IF(AND(C431=C430,AA431=AA430+1),IF(AC431=1,"",INDEX(DATAS,AA430+1)),INDEX(DATAS,AA430+1)),"")</f>
        <v/>
      </c>
    </row>
    <row r="431" customFormat="false" ht="15" hidden="false" customHeight="false" outlineLevel="0" collapsed="false">
      <c r="A431" s="51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46" t="s">
        <v>483</v>
      </c>
      <c r="G431" s="0" t="n">
        <v>26.2</v>
      </c>
      <c r="H431" s="0" t="n">
        <v>21</v>
      </c>
      <c r="I431" s="46" t="s">
        <v>152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51" t="n">
        <v>46261</v>
      </c>
      <c r="X431" s="46" t="n">
        <f aca="false">IF(I431="Male",0,1)</f>
        <v>1</v>
      </c>
      <c r="Y431" s="46" t="n">
        <f aca="false">IF(OR(I431="DNB",I431="Dry DNB"),1,0)</f>
        <v>0</v>
      </c>
      <c r="Z431" s="46" t="n">
        <f aca="false">IF(ISNUMBER(W431),A431-W431,"")</f>
        <v>48</v>
      </c>
      <c r="AA431" s="46" t="n">
        <f aca="false">MATCH(A431,DATAS,0)</f>
        <v>1</v>
      </c>
      <c r="AB431" s="46" t="n">
        <f aca="false">IF(AND(E431&gt;0,OR(AND(B431&gt;=1,B431&lt;=6),B431=10)),1,0)</f>
        <v>1</v>
      </c>
      <c r="AC431" s="46" t="n">
        <f aca="false">IF(AND(E431&gt;0,B431=10),1,0)</f>
        <v>0</v>
      </c>
      <c r="AD431" s="0" t="str">
        <f aca="false">IF(AND(C430=C431,AA430=AA431-1),AB430,"")</f>
        <v/>
      </c>
      <c r="AE431" s="0" t="str">
        <f aca="false">IF(AND(C430=C431,AA430=AA431-1),AC430,"")</f>
        <v/>
      </c>
      <c r="AF431" s="0" t="str">
        <f aca="false">IF(AA431=1,"",IF(AND(AB431=1,AD431&lt;&gt;1),1,0))</f>
        <v/>
      </c>
      <c r="AG431" s="0" t="str">
        <f aca="false">IF(AA431=1,"",IF(AND(AC431=1,AE431&lt;&gt;1),1,0))</f>
        <v/>
      </c>
      <c r="AH431" s="51" t="str">
        <f aca="false">IF(AND(E431&gt;0,AA431&lt;1,NOT(AND(C432=C431,AA432=AA431+1))),INDEX(DATAS,AA431+1),"")</f>
        <v/>
      </c>
      <c r="AI431" s="51" t="str">
        <f aca="false">IF(AND(AC431=1,AA431&lt;1),IF(AND(C432=C431,AA432=AA431+1),IF(AC432=1,"",INDEX(DATAS,AA431+1)),INDEX(DATAS,AA431+1)),"")</f>
        <v/>
      </c>
    </row>
    <row r="432" customFormat="false" ht="15" hidden="false" customHeight="false" outlineLevel="0" collapsed="false">
      <c r="A432" s="51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46" t="s">
        <v>484</v>
      </c>
      <c r="G432" s="0" t="n">
        <v>35.9</v>
      </c>
      <c r="H432" s="0" t="n">
        <v>35</v>
      </c>
      <c r="I432" s="46" t="s">
        <v>161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X432" s="46" t="n">
        <f aca="false">IF(I432="Male",0,1)</f>
        <v>1</v>
      </c>
      <c r="Y432" s="46" t="n">
        <f aca="false">IF(OR(I432="DNB",I432="Dry DNB"),1,0)</f>
        <v>0</v>
      </c>
      <c r="Z432" s="0" t="str">
        <f aca="false">IF(ISNUMBER(W432),A432-W432,"")</f>
        <v/>
      </c>
      <c r="AA432" s="46" t="n">
        <f aca="false">MATCH(A432,DATAS,0)</f>
        <v>1</v>
      </c>
      <c r="AB432" s="46" t="n">
        <f aca="false">IF(AND(E432&gt;0,OR(AND(B432&gt;=1,B432&lt;=6),B432=10)),1,0)</f>
        <v>1</v>
      </c>
      <c r="AC432" s="46" t="n">
        <f aca="false">IF(AND(E432&gt;0,B432=10),1,0)</f>
        <v>0</v>
      </c>
      <c r="AD432" s="0" t="str">
        <f aca="false">IF(AND(C431=C432,AA431=AA432-1),AB431,"")</f>
        <v/>
      </c>
      <c r="AE432" s="0" t="str">
        <f aca="false">IF(AND(C431=C432,AA431=AA432-1),AC431,"")</f>
        <v/>
      </c>
      <c r="AF432" s="0" t="str">
        <f aca="false">IF(AA432=1,"",IF(AND(AB432=1,AD432&lt;&gt;1),1,0))</f>
        <v/>
      </c>
      <c r="AG432" s="0" t="str">
        <f aca="false">IF(AA432=1,"",IF(AND(AC432=1,AE432&lt;&gt;1),1,0))</f>
        <v/>
      </c>
      <c r="AH432" s="51" t="str">
        <f aca="false">IF(AND(E432&gt;0,AA432&lt;1,NOT(AND(C433=C432,AA433=AA432+1))),INDEX(DATAS,AA432+1),"")</f>
        <v/>
      </c>
      <c r="AI432" s="51" t="str">
        <f aca="false">IF(AND(AC432=1,AA432&lt;1),IF(AND(C433=C432,AA433=AA432+1),IF(AC433=1,"",INDEX(DATAS,AA432+1)),INDEX(DATAS,AA432+1)),"")</f>
        <v/>
      </c>
    </row>
    <row r="433" customFormat="false" ht="15" hidden="false" customHeight="false" outlineLevel="0" collapsed="false">
      <c r="A433" s="51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46" t="s">
        <v>485</v>
      </c>
      <c r="I433" s="46" t="s">
        <v>157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51" t="n">
        <v>46141</v>
      </c>
      <c r="X433" s="46" t="n">
        <f aca="false">IF(I433="Male",0,1)</f>
        <v>1</v>
      </c>
      <c r="Y433" s="46" t="n">
        <f aca="false">IF(OR(I433="DNB",I433="Dry DNB"),1,0)</f>
        <v>0</v>
      </c>
      <c r="Z433" s="46" t="n">
        <f aca="false">IF(ISNUMBER(W433),A433-W433,"")</f>
        <v>168</v>
      </c>
      <c r="AA433" s="46" t="n">
        <f aca="false">MATCH(A433,DATAS,0)</f>
        <v>1</v>
      </c>
      <c r="AB433" s="46" t="n">
        <f aca="false">IF(AND(E433&gt;0,OR(AND(B433&gt;=1,B433&lt;=6),B433=10)),1,0)</f>
        <v>0</v>
      </c>
      <c r="AC433" s="46" t="n">
        <f aca="false">IF(AND(E433&gt;0,B433=10),1,0)</f>
        <v>0</v>
      </c>
      <c r="AD433" s="0" t="str">
        <f aca="false">IF(AND(C432=C433,AA432=AA433-1),AB432,"")</f>
        <v/>
      </c>
      <c r="AE433" s="0" t="str">
        <f aca="false">IF(AND(C432=C433,AA432=AA433-1),AC432,"")</f>
        <v/>
      </c>
      <c r="AF433" s="0" t="str">
        <f aca="false">IF(AA433=1,"",IF(AND(AB433=1,AD433&lt;&gt;1),1,0))</f>
        <v/>
      </c>
      <c r="AG433" s="0" t="str">
        <f aca="false">IF(AA433=1,"",IF(AND(AC433=1,AE433&lt;&gt;1),1,0))</f>
        <v/>
      </c>
      <c r="AH433" s="51" t="str">
        <f aca="false">IF(AND(E433&gt;0,AA433&lt;1,NOT(AND(C434=C433,AA434=AA433+1))),INDEX(DATAS,AA433+1),"")</f>
        <v/>
      </c>
      <c r="AI433" s="51" t="str">
        <f aca="false">IF(AND(AC433=1,AA433&lt;1),IF(AND(C434=C433,AA434=AA433+1),IF(AC434=1,"",INDEX(DATAS,AA433+1)),INDEX(DATAS,AA433+1)),"")</f>
        <v/>
      </c>
    </row>
    <row r="434" customFormat="false" ht="15" hidden="false" customHeight="false" outlineLevel="0" collapsed="false">
      <c r="A434" s="51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46" t="s">
        <v>485</v>
      </c>
      <c r="G434" s="0" t="n">
        <v>22.7</v>
      </c>
      <c r="H434" s="0" t="n">
        <v>22</v>
      </c>
      <c r="I434" s="46" t="s">
        <v>152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51" t="n">
        <v>46177</v>
      </c>
      <c r="X434" s="46" t="n">
        <f aca="false">IF(I434="Male",0,1)</f>
        <v>1</v>
      </c>
      <c r="Y434" s="46" t="n">
        <f aca="false">IF(OR(I434="DNB",I434="Dry DNB"),1,0)</f>
        <v>0</v>
      </c>
      <c r="Z434" s="46" t="n">
        <f aca="false">IF(ISNUMBER(W434),A434-W434,"")</f>
        <v>132</v>
      </c>
      <c r="AA434" s="46" t="n">
        <f aca="false">MATCH(A434,DATAS,0)</f>
        <v>1</v>
      </c>
      <c r="AB434" s="46" t="n">
        <f aca="false">IF(AND(E434&gt;0,OR(AND(B434&gt;=1,B434&lt;=6),B434=10)),1,0)</f>
        <v>1</v>
      </c>
      <c r="AC434" s="46" t="n">
        <f aca="false">IF(AND(E434&gt;0,B434=10),1,0)</f>
        <v>0</v>
      </c>
      <c r="AD434" s="0" t="str">
        <f aca="false">IF(AND(C433=C434,AA433=AA434-1),AB433,"")</f>
        <v/>
      </c>
      <c r="AE434" s="0" t="str">
        <f aca="false">IF(AND(C433=C434,AA433=AA434-1),AC433,"")</f>
        <v/>
      </c>
      <c r="AF434" s="0" t="str">
        <f aca="false">IF(AA434=1,"",IF(AND(AB434=1,AD434&lt;&gt;1),1,0))</f>
        <v/>
      </c>
      <c r="AG434" s="0" t="str">
        <f aca="false">IF(AA434=1,"",IF(AND(AC434=1,AE434&lt;&gt;1),1,0))</f>
        <v/>
      </c>
      <c r="AH434" s="51" t="str">
        <f aca="false">IF(AND(E434&gt;0,AA434&lt;1,NOT(AND(C435=C434,AA435=AA434+1))),INDEX(DATAS,AA434+1),"")</f>
        <v/>
      </c>
      <c r="AI434" s="51" t="str">
        <f aca="false">IF(AND(AC434=1,AA434&lt;1),IF(AND(C435=C434,AA435=AA434+1),IF(AC435=1,"",INDEX(DATAS,AA434+1)),INDEX(DATAS,AA434+1)),"")</f>
        <v/>
      </c>
    </row>
    <row r="435" customFormat="false" ht="15" hidden="false" customHeight="false" outlineLevel="0" collapsed="false">
      <c r="A435" s="51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46" t="s">
        <v>485</v>
      </c>
      <c r="G435" s="0" t="n">
        <v>55.2</v>
      </c>
      <c r="H435" s="0" t="n">
        <v>44</v>
      </c>
      <c r="I435" s="46" t="s">
        <v>152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51" t="n">
        <v>46275</v>
      </c>
      <c r="X435" s="46" t="n">
        <f aca="false">IF(I435="Male",0,1)</f>
        <v>1</v>
      </c>
      <c r="Y435" s="46" t="n">
        <f aca="false">IF(OR(I435="DNB",I435="Dry DNB"),1,0)</f>
        <v>0</v>
      </c>
      <c r="Z435" s="46" t="n">
        <f aca="false">IF(ISNUMBER(W435),A435-W435,"")</f>
        <v>34</v>
      </c>
      <c r="AA435" s="46" t="n">
        <f aca="false">MATCH(A435,DATAS,0)</f>
        <v>1</v>
      </c>
      <c r="AB435" s="46" t="n">
        <f aca="false">IF(AND(E435&gt;0,OR(AND(B435&gt;=1,B435&lt;=6),B435=10)),1,0)</f>
        <v>1</v>
      </c>
      <c r="AC435" s="46" t="n">
        <f aca="false">IF(AND(E435&gt;0,B435=10),1,0)</f>
        <v>0</v>
      </c>
      <c r="AD435" s="0" t="str">
        <f aca="false">IF(AND(C434=C435,AA434=AA435-1),AB434,"")</f>
        <v/>
      </c>
      <c r="AE435" s="0" t="str">
        <f aca="false">IF(AND(C434=C435,AA434=AA435-1),AC434,"")</f>
        <v/>
      </c>
      <c r="AF435" s="0" t="str">
        <f aca="false">IF(AA435=1,"",IF(AND(AB435=1,AD435&lt;&gt;1),1,0))</f>
        <v/>
      </c>
      <c r="AG435" s="0" t="str">
        <f aca="false">IF(AA435=1,"",IF(AND(AC435=1,AE435&lt;&gt;1),1,0))</f>
        <v/>
      </c>
      <c r="AH435" s="51" t="str">
        <f aca="false">IF(AND(E435&gt;0,AA435&lt;1,NOT(AND(C436=C435,AA436=AA435+1))),INDEX(DATAS,AA435+1),"")</f>
        <v/>
      </c>
      <c r="AI435" s="51" t="str">
        <f aca="false">IF(AND(AC435=1,AA435&lt;1),IF(AND(C436=C435,AA436=AA435+1),IF(AC436=1,"",INDEX(DATAS,AA435+1)),INDEX(DATAS,AA435+1)),"")</f>
        <v/>
      </c>
    </row>
    <row r="436" customFormat="false" ht="15" hidden="false" customHeight="false" outlineLevel="0" collapsed="false">
      <c r="A436" s="51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46" t="s">
        <v>485</v>
      </c>
      <c r="G436" s="0" t="n">
        <v>37.8</v>
      </c>
      <c r="H436" s="0" t="n">
        <v>38</v>
      </c>
      <c r="I436" s="46" t="s">
        <v>161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X436" s="46" t="n">
        <f aca="false">IF(I436="Male",0,1)</f>
        <v>1</v>
      </c>
      <c r="Y436" s="46" t="n">
        <f aca="false">IF(OR(I436="DNB",I436="Dry DNB"),1,0)</f>
        <v>0</v>
      </c>
      <c r="Z436" s="0" t="str">
        <f aca="false">IF(ISNUMBER(W436),A436-W436,"")</f>
        <v/>
      </c>
      <c r="AA436" s="46" t="n">
        <f aca="false">MATCH(A436,DATAS,0)</f>
        <v>1</v>
      </c>
      <c r="AB436" s="46" t="n">
        <f aca="false">IF(AND(E436&gt;0,OR(AND(B436&gt;=1,B436&lt;=6),B436=10)),1,0)</f>
        <v>1</v>
      </c>
      <c r="AC436" s="46" t="n">
        <f aca="false">IF(AND(E436&gt;0,B436=10),1,0)</f>
        <v>0</v>
      </c>
      <c r="AD436" s="0" t="str">
        <f aca="false">IF(AND(C435=C436,AA435=AA436-1),AB435,"")</f>
        <v/>
      </c>
      <c r="AE436" s="0" t="str">
        <f aca="false">IF(AND(C435=C436,AA435=AA436-1),AC435,"")</f>
        <v/>
      </c>
      <c r="AF436" s="0" t="str">
        <f aca="false">IF(AA436=1,"",IF(AND(AB436=1,AD436&lt;&gt;1),1,0))</f>
        <v/>
      </c>
      <c r="AG436" s="0" t="str">
        <f aca="false">IF(AA436=1,"",IF(AND(AC436=1,AE436&lt;&gt;1),1,0))</f>
        <v/>
      </c>
      <c r="AH436" s="51" t="str">
        <f aca="false">IF(AND(E436&gt;0,AA436&lt;1,NOT(AND(C437=C436,AA437=AA436+1))),INDEX(DATAS,AA436+1),"")</f>
        <v/>
      </c>
      <c r="AI436" s="51" t="str">
        <f aca="false">IF(AND(AC436=1,AA436&lt;1),IF(AND(C437=C436,AA437=AA436+1),IF(AC437=1,"",INDEX(DATAS,AA436+1)),INDEX(DATAS,AA436+1)),"")</f>
        <v/>
      </c>
    </row>
    <row r="437" customFormat="false" ht="15" hidden="false" customHeight="false" outlineLevel="0" collapsed="false">
      <c r="A437" s="51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46" t="s">
        <v>486</v>
      </c>
      <c r="G437" s="0" t="n">
        <v>24.5</v>
      </c>
      <c r="H437" s="0" t="n">
        <v>22</v>
      </c>
      <c r="I437" s="46" t="s">
        <v>152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51" t="n">
        <v>46234</v>
      </c>
      <c r="X437" s="46" t="n">
        <f aca="false">IF(I437="Male",0,1)</f>
        <v>1</v>
      </c>
      <c r="Y437" s="46" t="n">
        <f aca="false">IF(OR(I437="DNB",I437="Dry DNB"),1,0)</f>
        <v>0</v>
      </c>
      <c r="Z437" s="46" t="n">
        <f aca="false">IF(ISNUMBER(W437),A437-W437,"")</f>
        <v>75</v>
      </c>
      <c r="AA437" s="46" t="n">
        <f aca="false">MATCH(A437,DATAS,0)</f>
        <v>1</v>
      </c>
      <c r="AB437" s="46" t="n">
        <f aca="false">IF(AND(E437&gt;0,OR(AND(B437&gt;=1,B437&lt;=6),B437=10)),1,0)</f>
        <v>1</v>
      </c>
      <c r="AC437" s="46" t="n">
        <f aca="false">IF(AND(E437&gt;0,B437=10),1,0)</f>
        <v>0</v>
      </c>
      <c r="AD437" s="0" t="str">
        <f aca="false">IF(AND(C436=C437,AA436=AA437-1),AB436,"")</f>
        <v/>
      </c>
      <c r="AE437" s="0" t="str">
        <f aca="false">IF(AND(C436=C437,AA436=AA437-1),AC436,"")</f>
        <v/>
      </c>
      <c r="AF437" s="0" t="str">
        <f aca="false">IF(AA437=1,"",IF(AND(AB437=1,AD437&lt;&gt;1),1,0))</f>
        <v/>
      </c>
      <c r="AG437" s="0" t="str">
        <f aca="false">IF(AA437=1,"",IF(AND(AC437=1,AE437&lt;&gt;1),1,0))</f>
        <v/>
      </c>
      <c r="AH437" s="51" t="str">
        <f aca="false">IF(AND(E437&gt;0,AA437&lt;1,NOT(AND(C438=C437,AA438=AA437+1))),INDEX(DATAS,AA437+1),"")</f>
        <v/>
      </c>
      <c r="AI437" s="51" t="str">
        <f aca="false">IF(AND(AC437=1,AA437&lt;1),IF(AND(C438=C437,AA438=AA437+1),IF(AC438=1,"",INDEX(DATAS,AA437+1)),INDEX(DATAS,AA437+1)),"")</f>
        <v/>
      </c>
    </row>
    <row r="438" customFormat="false" ht="15" hidden="false" customHeight="false" outlineLevel="0" collapsed="false">
      <c r="A438" s="51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46" t="s">
        <v>486</v>
      </c>
      <c r="G438" s="0" t="n">
        <v>24.1</v>
      </c>
      <c r="H438" s="0" t="n">
        <v>24</v>
      </c>
      <c r="I438" s="46" t="s">
        <v>189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51" t="n">
        <v>46261</v>
      </c>
      <c r="X438" s="46" t="n">
        <f aca="false">IF(I438="Male",0,1)</f>
        <v>1</v>
      </c>
      <c r="Y438" s="46" t="n">
        <f aca="false">IF(OR(I438="DNB",I438="Dry DNB"),1,0)</f>
        <v>0</v>
      </c>
      <c r="Z438" s="46" t="n">
        <f aca="false">IF(ISNUMBER(W438),A438-W438,"")</f>
        <v>48</v>
      </c>
      <c r="AA438" s="46" t="n">
        <f aca="false">MATCH(A438,DATAS,0)</f>
        <v>1</v>
      </c>
      <c r="AB438" s="46" t="n">
        <f aca="false">IF(AND(E438&gt;0,OR(AND(B438&gt;=1,B438&lt;=6),B438=10)),1,0)</f>
        <v>1</v>
      </c>
      <c r="AC438" s="46" t="n">
        <f aca="false">IF(AND(E438&gt;0,B438=10),1,0)</f>
        <v>1</v>
      </c>
      <c r="AD438" s="0" t="str">
        <f aca="false">IF(AND(C437=C438,AA437=AA438-1),AB437,"")</f>
        <v/>
      </c>
      <c r="AE438" s="0" t="str">
        <f aca="false">IF(AND(C437=C438,AA437=AA438-1),AC437,"")</f>
        <v/>
      </c>
      <c r="AF438" s="0" t="str">
        <f aca="false">IF(AA438=1,"",IF(AND(AB438=1,AD438&lt;&gt;1),1,0))</f>
        <v/>
      </c>
      <c r="AG438" s="0" t="str">
        <f aca="false">IF(AA438=1,"",IF(AND(AC438=1,AE438&lt;&gt;1),1,0))</f>
        <v/>
      </c>
      <c r="AH438" s="51" t="str">
        <f aca="false">IF(AND(E438&gt;0,AA438&lt;1,NOT(AND(C439=C438,AA439=AA438+1))),INDEX(DATAS,AA438+1),"")</f>
        <v/>
      </c>
      <c r="AI438" s="51" t="str">
        <f aca="false">IF(AND(AC438=1,AA438&lt;1),IF(AND(C439=C438,AA439=AA438+1),IF(AC439=1,"",INDEX(DATAS,AA438+1)),INDEX(DATAS,AA438+1)),"")</f>
        <v/>
      </c>
    </row>
    <row r="439" customFormat="false" ht="15" hidden="false" customHeight="false" outlineLevel="0" collapsed="false">
      <c r="A439" s="51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46" t="s">
        <v>487</v>
      </c>
      <c r="I439" s="46" t="s">
        <v>157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51" t="n">
        <v>46065</v>
      </c>
      <c r="X439" s="46" t="n">
        <f aca="false">IF(I439="Male",0,1)</f>
        <v>1</v>
      </c>
      <c r="Y439" s="46" t="n">
        <f aca="false">IF(OR(I439="DNB",I439="Dry DNB"),1,0)</f>
        <v>0</v>
      </c>
      <c r="Z439" s="46" t="n">
        <f aca="false">IF(ISNUMBER(W439),A439-W439,"")</f>
        <v>244</v>
      </c>
      <c r="AA439" s="46" t="n">
        <f aca="false">MATCH(A439,DATAS,0)</f>
        <v>1</v>
      </c>
      <c r="AB439" s="46" t="n">
        <f aca="false">IF(AND(E439&gt;0,OR(AND(B439&gt;=1,B439&lt;=6),B439=10)),1,0)</f>
        <v>0</v>
      </c>
      <c r="AC439" s="46" t="n">
        <f aca="false">IF(AND(E439&gt;0,B439=10),1,0)</f>
        <v>0</v>
      </c>
      <c r="AD439" s="0" t="str">
        <f aca="false">IF(AND(C438=C439,AA438=AA439-1),AB438,"")</f>
        <v/>
      </c>
      <c r="AE439" s="0" t="str">
        <f aca="false">IF(AND(C438=C439,AA438=AA439-1),AC438,"")</f>
        <v/>
      </c>
      <c r="AF439" s="0" t="str">
        <f aca="false">IF(AA439=1,"",IF(AND(AB439=1,AD439&lt;&gt;1),1,0))</f>
        <v/>
      </c>
      <c r="AG439" s="0" t="str">
        <f aca="false">IF(AA439=1,"",IF(AND(AC439=1,AE439&lt;&gt;1),1,0))</f>
        <v/>
      </c>
      <c r="AH439" s="51" t="str">
        <f aca="false">IF(AND(E439&gt;0,AA439&lt;1,NOT(AND(C440=C439,AA440=AA439+1))),INDEX(DATAS,AA439+1),"")</f>
        <v/>
      </c>
      <c r="AI439" s="51" t="str">
        <f aca="false">IF(AND(AC439=1,AA439&lt;1),IF(AND(C440=C439,AA440=AA439+1),IF(AC440=1,"",INDEX(DATAS,AA439+1)),INDEX(DATAS,AA439+1)),"")</f>
        <v/>
      </c>
    </row>
    <row r="440" customFormat="false" ht="15" hidden="false" customHeight="false" outlineLevel="0" collapsed="false">
      <c r="A440" s="51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46" t="s">
        <v>487</v>
      </c>
      <c r="I440" s="46" t="s">
        <v>157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51" t="n">
        <v>46181</v>
      </c>
      <c r="X440" s="46" t="n">
        <f aca="false">IF(I440="Male",0,1)</f>
        <v>1</v>
      </c>
      <c r="Y440" s="46" t="n">
        <f aca="false">IF(OR(I440="DNB",I440="Dry DNB"),1,0)</f>
        <v>0</v>
      </c>
      <c r="Z440" s="46" t="n">
        <f aca="false">IF(ISNUMBER(W440),A440-W440,"")</f>
        <v>128</v>
      </c>
      <c r="AA440" s="46" t="n">
        <f aca="false">MATCH(A440,DATAS,0)</f>
        <v>1</v>
      </c>
      <c r="AB440" s="46" t="n">
        <f aca="false">IF(AND(E440&gt;0,OR(AND(B440&gt;=1,B440&lt;=6),B440=10)),1,0)</f>
        <v>0</v>
      </c>
      <c r="AC440" s="46" t="n">
        <f aca="false">IF(AND(E440&gt;0,B440=10),1,0)</f>
        <v>0</v>
      </c>
      <c r="AD440" s="0" t="str">
        <f aca="false">IF(AND(C439=C440,AA439=AA440-1),AB439,"")</f>
        <v/>
      </c>
      <c r="AE440" s="0" t="str">
        <f aca="false">IF(AND(C439=C440,AA439=AA440-1),AC439,"")</f>
        <v/>
      </c>
      <c r="AF440" s="0" t="str">
        <f aca="false">IF(AA440=1,"",IF(AND(AB440=1,AD440&lt;&gt;1),1,0))</f>
        <v/>
      </c>
      <c r="AG440" s="0" t="str">
        <f aca="false">IF(AA440=1,"",IF(AND(AC440=1,AE440&lt;&gt;1),1,0))</f>
        <v/>
      </c>
      <c r="AH440" s="51" t="str">
        <f aca="false">IF(AND(E440&gt;0,AA440&lt;1,NOT(AND(C441=C440,AA441=AA440+1))),INDEX(DATAS,AA440+1),"")</f>
        <v/>
      </c>
      <c r="AI440" s="51" t="str">
        <f aca="false">IF(AND(AC440=1,AA440&lt;1),IF(AND(C441=C440,AA441=AA440+1),IF(AC441=1,"",INDEX(DATAS,AA440+1)),INDEX(DATAS,AA440+1)),"")</f>
        <v/>
      </c>
    </row>
    <row r="441" customFormat="false" ht="15" hidden="false" customHeight="false" outlineLevel="0" collapsed="false">
      <c r="A441" s="51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46" t="s">
        <v>488</v>
      </c>
      <c r="G441" s="0" t="n">
        <v>56.2</v>
      </c>
      <c r="H441" s="0" t="n">
        <v>52</v>
      </c>
      <c r="I441" s="46" t="s">
        <v>152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51" t="n">
        <v>46170</v>
      </c>
      <c r="X441" s="46" t="n">
        <f aca="false">IF(I441="Male",0,1)</f>
        <v>1</v>
      </c>
      <c r="Y441" s="46" t="n">
        <f aca="false">IF(OR(I441="DNB",I441="Dry DNB"),1,0)</f>
        <v>0</v>
      </c>
      <c r="Z441" s="46" t="n">
        <f aca="false">IF(ISNUMBER(W441),A441-W441,"")</f>
        <v>139</v>
      </c>
      <c r="AA441" s="46" t="n">
        <f aca="false">MATCH(A441,DATAS,0)</f>
        <v>1</v>
      </c>
      <c r="AB441" s="46" t="n">
        <f aca="false">IF(AND(E441&gt;0,OR(AND(B441&gt;=1,B441&lt;=6),B441=10)),1,0)</f>
        <v>1</v>
      </c>
      <c r="AC441" s="46" t="n">
        <f aca="false">IF(AND(E441&gt;0,B441=10),1,0)</f>
        <v>0</v>
      </c>
      <c r="AD441" s="0" t="str">
        <f aca="false">IF(AND(C440=C441,AA440=AA441-1),AB440,"")</f>
        <v/>
      </c>
      <c r="AE441" s="0" t="str">
        <f aca="false">IF(AND(C440=C441,AA440=AA441-1),AC440,"")</f>
        <v/>
      </c>
      <c r="AF441" s="0" t="str">
        <f aca="false">IF(AA441=1,"",IF(AND(AB441=1,AD441&lt;&gt;1),1,0))</f>
        <v/>
      </c>
      <c r="AG441" s="0" t="str">
        <f aca="false">IF(AA441=1,"",IF(AND(AC441=1,AE441&lt;&gt;1),1,0))</f>
        <v/>
      </c>
      <c r="AH441" s="51" t="str">
        <f aca="false">IF(AND(E441&gt;0,AA441&lt;1,NOT(AND(C442=C441,AA442=AA441+1))),INDEX(DATAS,AA441+1),"")</f>
        <v/>
      </c>
      <c r="AI441" s="51" t="str">
        <f aca="false">IF(AND(AC441=1,AA441&lt;1),IF(AND(C442=C441,AA442=AA441+1),IF(AC442=1,"",INDEX(DATAS,AA441+1)),INDEX(DATAS,AA441+1)),"")</f>
        <v/>
      </c>
    </row>
    <row r="442" customFormat="false" ht="15" hidden="false" customHeight="false" outlineLevel="0" collapsed="false">
      <c r="A442" s="51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46" t="s">
        <v>489</v>
      </c>
      <c r="G442" s="0" t="n">
        <v>48</v>
      </c>
      <c r="H442" s="0" t="n">
        <v>49</v>
      </c>
      <c r="I442" s="46" t="s">
        <v>189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51" t="n">
        <v>46275</v>
      </c>
      <c r="X442" s="46" t="n">
        <f aca="false">IF(I442="Male",0,1)</f>
        <v>1</v>
      </c>
      <c r="Y442" s="46" t="n">
        <f aca="false">IF(OR(I442="DNB",I442="Dry DNB"),1,0)</f>
        <v>0</v>
      </c>
      <c r="Z442" s="46" t="n">
        <f aca="false">IF(ISNUMBER(W442),A442-W442,"")</f>
        <v>34</v>
      </c>
      <c r="AA442" s="46" t="n">
        <f aca="false">MATCH(A442,DATAS,0)</f>
        <v>1</v>
      </c>
      <c r="AB442" s="46" t="n">
        <f aca="false">IF(AND(E442&gt;0,OR(AND(B442&gt;=1,B442&lt;=6),B442=10)),1,0)</f>
        <v>1</v>
      </c>
      <c r="AC442" s="46" t="n">
        <f aca="false">IF(AND(E442&gt;0,B442=10),1,0)</f>
        <v>0</v>
      </c>
      <c r="AD442" s="0" t="str">
        <f aca="false">IF(AND(C441=C442,AA441=AA442-1),AB441,"")</f>
        <v/>
      </c>
      <c r="AE442" s="0" t="str">
        <f aca="false">IF(AND(C441=C442,AA441=AA442-1),AC441,"")</f>
        <v/>
      </c>
      <c r="AF442" s="0" t="str">
        <f aca="false">IF(AA442=1,"",IF(AND(AB442=1,AD442&lt;&gt;1),1,0))</f>
        <v/>
      </c>
      <c r="AG442" s="0" t="str">
        <f aca="false">IF(AA442=1,"",IF(AND(AC442=1,AE442&lt;&gt;1),1,0))</f>
        <v/>
      </c>
      <c r="AH442" s="51" t="str">
        <f aca="false">IF(AND(E442&gt;0,AA442&lt;1,NOT(AND(C443=C442,AA443=AA442+1))),INDEX(DATAS,AA442+1),"")</f>
        <v/>
      </c>
      <c r="AI442" s="51" t="str">
        <f aca="false">IF(AND(AC442=1,AA442&lt;1),IF(AND(C443=C442,AA443=AA442+1),IF(AC443=1,"",INDEX(DATAS,AA442+1)),INDEX(DATAS,AA442+1)),"")</f>
        <v/>
      </c>
    </row>
    <row r="443" customFormat="false" ht="15" hidden="false" customHeight="false" outlineLevel="0" collapsed="false">
      <c r="A443" s="51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46" t="s">
        <v>489</v>
      </c>
      <c r="G443" s="0" t="n">
        <v>30.5</v>
      </c>
      <c r="H443" s="0" t="n">
        <v>24</v>
      </c>
      <c r="I443" s="46" t="s">
        <v>161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X443" s="46" t="n">
        <f aca="false">IF(I443="Male",0,1)</f>
        <v>1</v>
      </c>
      <c r="Y443" s="46" t="n">
        <f aca="false">IF(OR(I443="DNB",I443="Dry DNB"),1,0)</f>
        <v>0</v>
      </c>
      <c r="Z443" s="0" t="str">
        <f aca="false">IF(ISNUMBER(W443),A443-W443,"")</f>
        <v/>
      </c>
      <c r="AA443" s="46" t="n">
        <f aca="false">MATCH(A443,DATAS,0)</f>
        <v>1</v>
      </c>
      <c r="AB443" s="46" t="n">
        <f aca="false">IF(AND(E443&gt;0,OR(AND(B443&gt;=1,B443&lt;=6),B443=10)),1,0)</f>
        <v>1</v>
      </c>
      <c r="AC443" s="46" t="n">
        <f aca="false">IF(AND(E443&gt;0,B443=10),1,0)</f>
        <v>0</v>
      </c>
      <c r="AD443" s="0" t="str">
        <f aca="false">IF(AND(C442=C443,AA442=AA443-1),AB442,"")</f>
        <v/>
      </c>
      <c r="AE443" s="0" t="str">
        <f aca="false">IF(AND(C442=C443,AA442=AA443-1),AC442,"")</f>
        <v/>
      </c>
      <c r="AF443" s="0" t="str">
        <f aca="false">IF(AA443=1,"",IF(AND(AB443=1,AD443&lt;&gt;1),1,0))</f>
        <v/>
      </c>
      <c r="AG443" s="0" t="str">
        <f aca="false">IF(AA443=1,"",IF(AND(AC443=1,AE443&lt;&gt;1),1,0))</f>
        <v/>
      </c>
      <c r="AH443" s="51" t="str">
        <f aca="false">IF(AND(E443&gt;0,AA443&lt;1,NOT(AND(C444=C443,AA444=AA443+1))),INDEX(DATAS,AA443+1),"")</f>
        <v/>
      </c>
      <c r="AI443" s="51" t="str">
        <f aca="false">IF(AND(AC443=1,AA443&lt;1),IF(AND(C444=C443,AA444=AA443+1),IF(AC444=1,"",INDEX(DATAS,AA443+1)),INDEX(DATAS,AA443+1)),"")</f>
        <v/>
      </c>
    </row>
    <row r="444" customFormat="false" ht="15" hidden="false" customHeight="false" outlineLevel="0" collapsed="false">
      <c r="A444" s="51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46" t="s">
        <v>489</v>
      </c>
      <c r="I444" s="46" t="s">
        <v>490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51" t="n">
        <v>46284</v>
      </c>
      <c r="X444" s="46" t="n">
        <f aca="false">IF(I444="Male",0,1)</f>
        <v>1</v>
      </c>
      <c r="Y444" s="46" t="n">
        <f aca="false">IF(OR(I444="DNB",I444="Dry DNB"),1,0)</f>
        <v>0</v>
      </c>
      <c r="Z444" s="46" t="n">
        <f aca="false">IF(ISNUMBER(W444),A444-W444,"")</f>
        <v>25</v>
      </c>
      <c r="AA444" s="46" t="n">
        <f aca="false">MATCH(A444,DATAS,0)</f>
        <v>1</v>
      </c>
      <c r="AB444" s="46" t="n">
        <f aca="false">IF(AND(E444&gt;0,OR(AND(B444&gt;=1,B444&lt;=6),B444=10)),1,0)</f>
        <v>0</v>
      </c>
      <c r="AC444" s="46" t="n">
        <f aca="false">IF(AND(E444&gt;0,B444=10),1,0)</f>
        <v>0</v>
      </c>
      <c r="AD444" s="0" t="str">
        <f aca="false">IF(AND(C443=C444,AA443=AA444-1),AB443,"")</f>
        <v/>
      </c>
      <c r="AE444" s="0" t="str">
        <f aca="false">IF(AND(C443=C444,AA443=AA444-1),AC443,"")</f>
        <v/>
      </c>
      <c r="AF444" s="0" t="str">
        <f aca="false">IF(AA444=1,"",IF(AND(AB444=1,AD444&lt;&gt;1),1,0))</f>
        <v/>
      </c>
      <c r="AG444" s="0" t="str">
        <f aca="false">IF(AA444=1,"",IF(AND(AC444=1,AE444&lt;&gt;1),1,0))</f>
        <v/>
      </c>
      <c r="AH444" s="51" t="str">
        <f aca="false">IF(AND(E444&gt;0,AA444&lt;1,NOT(AND(C445=C444,AA445=AA444+1))),INDEX(DATAS,AA444+1),"")</f>
        <v/>
      </c>
      <c r="AI444" s="51" t="str">
        <f aca="false">IF(AND(AC444=1,AA444&lt;1),IF(AND(C445=C444,AA445=AA444+1),IF(AC445=1,"",INDEX(DATAS,AA444+1)),INDEX(DATAS,AA444+1)),"")</f>
        <v/>
      </c>
    </row>
    <row r="445" customFormat="false" ht="15" hidden="false" customHeight="false" outlineLevel="0" collapsed="false">
      <c r="A445" s="51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46" t="s">
        <v>491</v>
      </c>
      <c r="G445" s="0" t="n">
        <v>27.8</v>
      </c>
      <c r="H445" s="0" t="n">
        <v>24</v>
      </c>
      <c r="I445" s="46" t="s">
        <v>152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51" t="n">
        <v>46139</v>
      </c>
      <c r="X445" s="46" t="n">
        <f aca="false">IF(I445="Male",0,1)</f>
        <v>1</v>
      </c>
      <c r="Y445" s="46" t="n">
        <f aca="false">IF(OR(I445="DNB",I445="Dry DNB"),1,0)</f>
        <v>0</v>
      </c>
      <c r="Z445" s="46" t="n">
        <f aca="false">IF(ISNUMBER(W445),A445-W445,"")</f>
        <v>170</v>
      </c>
      <c r="AA445" s="46" t="n">
        <f aca="false">MATCH(A445,DATAS,0)</f>
        <v>1</v>
      </c>
      <c r="AB445" s="46" t="n">
        <f aca="false">IF(AND(E445&gt;0,OR(AND(B445&gt;=1,B445&lt;=6),B445=10)),1,0)</f>
        <v>1</v>
      </c>
      <c r="AC445" s="46" t="n">
        <f aca="false">IF(AND(E445&gt;0,B445=10),1,0)</f>
        <v>0</v>
      </c>
      <c r="AD445" s="0" t="str">
        <f aca="false">IF(AND(C444=C445,AA444=AA445-1),AB444,"")</f>
        <v/>
      </c>
      <c r="AE445" s="0" t="str">
        <f aca="false">IF(AND(C444=C445,AA444=AA445-1),AC444,"")</f>
        <v/>
      </c>
      <c r="AF445" s="0" t="str">
        <f aca="false">IF(AA445=1,"",IF(AND(AB445=1,AD445&lt;&gt;1),1,0))</f>
        <v/>
      </c>
      <c r="AG445" s="0" t="str">
        <f aca="false">IF(AA445=1,"",IF(AND(AC445=1,AE445&lt;&gt;1),1,0))</f>
        <v/>
      </c>
      <c r="AH445" s="51" t="str">
        <f aca="false">IF(AND(E445&gt;0,AA445&lt;1,NOT(AND(C446=C445,AA446=AA445+1))),INDEX(DATAS,AA445+1),"")</f>
        <v/>
      </c>
      <c r="AI445" s="51" t="str">
        <f aca="false">IF(AND(AC445=1,AA445&lt;1),IF(AND(C446=C445,AA446=AA445+1),IF(AC446=1,"",INDEX(DATAS,AA445+1)),INDEX(DATAS,AA445+1)),"")</f>
        <v/>
      </c>
    </row>
    <row r="446" customFormat="false" ht="15" hidden="false" customHeight="false" outlineLevel="0" collapsed="false">
      <c r="A446" s="51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46" t="s">
        <v>492</v>
      </c>
      <c r="G446" s="0" t="n">
        <v>32</v>
      </c>
      <c r="H446" s="0" t="n">
        <v>41</v>
      </c>
      <c r="I446" s="46" t="s">
        <v>152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51" t="n">
        <v>46275</v>
      </c>
      <c r="X446" s="46" t="n">
        <f aca="false">IF(I446="Male",0,1)</f>
        <v>1</v>
      </c>
      <c r="Y446" s="46" t="n">
        <f aca="false">IF(OR(I446="DNB",I446="Dry DNB"),1,0)</f>
        <v>0</v>
      </c>
      <c r="Z446" s="46" t="n">
        <f aca="false">IF(ISNUMBER(W446),A446-W446,"")</f>
        <v>34</v>
      </c>
      <c r="AA446" s="46" t="n">
        <f aca="false">MATCH(A446,DATAS,0)</f>
        <v>1</v>
      </c>
      <c r="AB446" s="46" t="n">
        <f aca="false">IF(AND(E446&gt;0,OR(AND(B446&gt;=1,B446&lt;=6),B446=10)),1,0)</f>
        <v>1</v>
      </c>
      <c r="AC446" s="46" t="n">
        <f aca="false">IF(AND(E446&gt;0,B446=10),1,0)</f>
        <v>1</v>
      </c>
      <c r="AD446" s="0" t="str">
        <f aca="false">IF(AND(C445=C446,AA445=AA446-1),AB445,"")</f>
        <v/>
      </c>
      <c r="AE446" s="0" t="str">
        <f aca="false">IF(AND(C445=C446,AA445=AA446-1),AC445,"")</f>
        <v/>
      </c>
      <c r="AF446" s="0" t="str">
        <f aca="false">IF(AA446=1,"",IF(AND(AB446=1,AD446&lt;&gt;1),1,0))</f>
        <v/>
      </c>
      <c r="AG446" s="0" t="str">
        <f aca="false">IF(AA446=1,"",IF(AND(AC446=1,AE446&lt;&gt;1),1,0))</f>
        <v/>
      </c>
      <c r="AH446" s="51" t="str">
        <f aca="false">IF(AND(E446&gt;0,AA446&lt;1,NOT(AND(C447=C446,AA447=AA446+1))),INDEX(DATAS,AA446+1),"")</f>
        <v/>
      </c>
      <c r="AI446" s="51" t="str">
        <f aca="false">IF(AND(AC446=1,AA446&lt;1),IF(AND(C447=C446,AA447=AA446+1),IF(AC447=1,"",INDEX(DATAS,AA446+1)),INDEX(DATAS,AA446+1)),"")</f>
        <v/>
      </c>
    </row>
    <row r="447" customFormat="false" ht="15" hidden="false" customHeight="false" outlineLevel="0" collapsed="false">
      <c r="A447" s="51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46" t="s">
        <v>493</v>
      </c>
      <c r="G447" s="0" t="n">
        <v>74.1</v>
      </c>
      <c r="H447" s="0" t="n">
        <v>72</v>
      </c>
      <c r="I447" s="46" t="s">
        <v>152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51" t="n">
        <v>46219</v>
      </c>
      <c r="X447" s="46" t="n">
        <f aca="false">IF(I447="Male",0,1)</f>
        <v>1</v>
      </c>
      <c r="Y447" s="46" t="n">
        <f aca="false">IF(OR(I447="DNB",I447="Dry DNB"),1,0)</f>
        <v>0</v>
      </c>
      <c r="Z447" s="46" t="n">
        <f aca="false">IF(ISNUMBER(W447),A447-W447,"")</f>
        <v>90</v>
      </c>
      <c r="AA447" s="46" t="n">
        <f aca="false">MATCH(A447,DATAS,0)</f>
        <v>1</v>
      </c>
      <c r="AB447" s="46" t="n">
        <f aca="false">IF(AND(E447&gt;0,OR(AND(B447&gt;=1,B447&lt;=6),B447=10)),1,0)</f>
        <v>1</v>
      </c>
      <c r="AC447" s="46" t="n">
        <f aca="false">IF(AND(E447&gt;0,B447=10),1,0)</f>
        <v>0</v>
      </c>
      <c r="AD447" s="0" t="str">
        <f aca="false">IF(AND(C446=C447,AA446=AA447-1),AB446,"")</f>
        <v/>
      </c>
      <c r="AE447" s="0" t="str">
        <f aca="false">IF(AND(C446=C447,AA446=AA447-1),AC446,"")</f>
        <v/>
      </c>
      <c r="AF447" s="0" t="str">
        <f aca="false">IF(AA447=1,"",IF(AND(AB447=1,AD447&lt;&gt;1),1,0))</f>
        <v/>
      </c>
      <c r="AG447" s="0" t="str">
        <f aca="false">IF(AA447=1,"",IF(AND(AC447=1,AE447&lt;&gt;1),1,0))</f>
        <v/>
      </c>
      <c r="AH447" s="51" t="str">
        <f aca="false">IF(AND(E447&gt;0,AA447&lt;1,NOT(AND(C448=C447,AA448=AA447+1))),INDEX(DATAS,AA447+1),"")</f>
        <v/>
      </c>
      <c r="AI447" s="51" t="str">
        <f aca="false">IF(AND(AC447=1,AA447&lt;1),IF(AND(C448=C447,AA448=AA447+1),IF(AC448=1,"",INDEX(DATAS,AA447+1)),INDEX(DATAS,AA447+1)),"")</f>
        <v/>
      </c>
    </row>
    <row r="448" customFormat="false" ht="15" hidden="false" customHeight="false" outlineLevel="0" collapsed="false">
      <c r="A448" s="51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46" t="s">
        <v>494</v>
      </c>
      <c r="G448" s="0" t="n">
        <v>13.7</v>
      </c>
      <c r="H448" s="0" t="n">
        <v>14</v>
      </c>
      <c r="I448" s="46" t="s">
        <v>152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51" t="n">
        <v>46100</v>
      </c>
      <c r="X448" s="46" t="n">
        <f aca="false">IF(I448="Male",0,1)</f>
        <v>1</v>
      </c>
      <c r="Y448" s="46" t="n">
        <f aca="false">IF(OR(I448="DNB",I448="Dry DNB"),1,0)</f>
        <v>0</v>
      </c>
      <c r="Z448" s="46" t="n">
        <f aca="false">IF(ISNUMBER(W448),A448-W448,"")</f>
        <v>209</v>
      </c>
      <c r="AA448" s="46" t="n">
        <f aca="false">MATCH(A448,DATAS,0)</f>
        <v>1</v>
      </c>
      <c r="AB448" s="46" t="n">
        <f aca="false">IF(AND(E448&gt;0,OR(AND(B448&gt;=1,B448&lt;=6),B448=10)),1,0)</f>
        <v>1</v>
      </c>
      <c r="AC448" s="46" t="n">
        <f aca="false">IF(AND(E448&gt;0,B448=10),1,0)</f>
        <v>0</v>
      </c>
      <c r="AD448" s="0" t="str">
        <f aca="false">IF(AND(C447=C448,AA447=AA448-1),AB447,"")</f>
        <v/>
      </c>
      <c r="AE448" s="0" t="str">
        <f aca="false">IF(AND(C447=C448,AA447=AA448-1),AC447,"")</f>
        <v/>
      </c>
      <c r="AF448" s="0" t="str">
        <f aca="false">IF(AA448=1,"",IF(AND(AB448=1,AD448&lt;&gt;1),1,0))</f>
        <v/>
      </c>
      <c r="AG448" s="0" t="str">
        <f aca="false">IF(AA448=1,"",IF(AND(AC448=1,AE448&lt;&gt;1),1,0))</f>
        <v/>
      </c>
      <c r="AH448" s="51" t="str">
        <f aca="false">IF(AND(E448&gt;0,AA448&lt;1,NOT(AND(C449=C448,AA449=AA448+1))),INDEX(DATAS,AA448+1),"")</f>
        <v/>
      </c>
      <c r="AI448" s="51" t="str">
        <f aca="false">IF(AND(AC448=1,AA448&lt;1),IF(AND(C449=C448,AA449=AA448+1),IF(AC449=1,"",INDEX(DATAS,AA448+1)),INDEX(DATAS,AA448+1)),"")</f>
        <v/>
      </c>
    </row>
    <row r="449" customFormat="false" ht="15" hidden="false" customHeight="false" outlineLevel="0" collapsed="false">
      <c r="A449" s="51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46" t="s">
        <v>494</v>
      </c>
      <c r="G449" s="0" t="n">
        <v>67.4</v>
      </c>
      <c r="H449" s="0" t="n">
        <v>63</v>
      </c>
      <c r="I449" s="46" t="s">
        <v>161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X449" s="46" t="n">
        <f aca="false">IF(I449="Male",0,1)</f>
        <v>1</v>
      </c>
      <c r="Y449" s="46" t="n">
        <f aca="false">IF(OR(I449="DNB",I449="Dry DNB"),1,0)</f>
        <v>0</v>
      </c>
      <c r="Z449" s="0" t="str">
        <f aca="false">IF(ISNUMBER(W449),A449-W449,"")</f>
        <v/>
      </c>
      <c r="AA449" s="46" t="n">
        <f aca="false">MATCH(A449,DATAS,0)</f>
        <v>1</v>
      </c>
      <c r="AB449" s="46" t="n">
        <f aca="false">IF(AND(E449&gt;0,OR(AND(B449&gt;=1,B449&lt;=6),B449=10)),1,0)</f>
        <v>1</v>
      </c>
      <c r="AC449" s="46" t="n">
        <f aca="false">IF(AND(E449&gt;0,B449=10),1,0)</f>
        <v>0</v>
      </c>
      <c r="AD449" s="0" t="str">
        <f aca="false">IF(AND(C448=C449,AA448=AA449-1),AB448,"")</f>
        <v/>
      </c>
      <c r="AE449" s="0" t="str">
        <f aca="false">IF(AND(C448=C449,AA448=AA449-1),AC448,"")</f>
        <v/>
      </c>
      <c r="AF449" s="0" t="str">
        <f aca="false">IF(AA449=1,"",IF(AND(AB449=1,AD449&lt;&gt;1),1,0))</f>
        <v/>
      </c>
      <c r="AG449" s="0" t="str">
        <f aca="false">IF(AA449=1,"",IF(AND(AC449=1,AE449&lt;&gt;1),1,0))</f>
        <v/>
      </c>
      <c r="AH449" s="51" t="str">
        <f aca="false">IF(AND(E449&gt;0,AA449&lt;1,NOT(AND(C450=C449,AA450=AA449+1))),INDEX(DATAS,AA449+1),"")</f>
        <v/>
      </c>
      <c r="AI449" s="51" t="str">
        <f aca="false">IF(AND(AC449=1,AA449&lt;1),IF(AND(C450=C449,AA450=AA449+1),IF(AC450=1,"",INDEX(DATAS,AA449+1)),INDEX(DATAS,AA449+1)),"")</f>
        <v/>
      </c>
    </row>
    <row r="450" customFormat="false" ht="15" hidden="false" customHeight="false" outlineLevel="0" collapsed="false">
      <c r="A450" s="51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46" t="s">
        <v>494</v>
      </c>
      <c r="G450" s="0" t="n">
        <v>27.5</v>
      </c>
      <c r="H450" s="0" t="n">
        <v>28</v>
      </c>
      <c r="I450" s="46" t="s">
        <v>161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X450" s="46" t="n">
        <f aca="false">IF(I450="Male",0,1)</f>
        <v>1</v>
      </c>
      <c r="Y450" s="46" t="n">
        <f aca="false">IF(OR(I450="DNB",I450="Dry DNB"),1,0)</f>
        <v>0</v>
      </c>
      <c r="Z450" s="0" t="str">
        <f aca="false">IF(ISNUMBER(W450),A450-W450,"")</f>
        <v/>
      </c>
      <c r="AA450" s="46" t="n">
        <f aca="false">MATCH(A450,DATAS,0)</f>
        <v>1</v>
      </c>
      <c r="AB450" s="46" t="n">
        <f aca="false">IF(AND(E450&gt;0,OR(AND(B450&gt;=1,B450&lt;=6),B450=10)),1,0)</f>
        <v>1</v>
      </c>
      <c r="AC450" s="46" t="n">
        <f aca="false">IF(AND(E450&gt;0,B450=10),1,0)</f>
        <v>0</v>
      </c>
      <c r="AD450" s="0" t="str">
        <f aca="false">IF(AND(C449=C450,AA449=AA450-1),AB449,"")</f>
        <v/>
      </c>
      <c r="AE450" s="0" t="str">
        <f aca="false">IF(AND(C449=C450,AA449=AA450-1),AC449,"")</f>
        <v/>
      </c>
      <c r="AF450" s="0" t="str">
        <f aca="false">IF(AA450=1,"",IF(AND(AB450=1,AD450&lt;&gt;1),1,0))</f>
        <v/>
      </c>
      <c r="AG450" s="0" t="str">
        <f aca="false">IF(AA450=1,"",IF(AND(AC450=1,AE450&lt;&gt;1),1,0))</f>
        <v/>
      </c>
      <c r="AH450" s="51" t="str">
        <f aca="false">IF(AND(E450&gt;0,AA450&lt;1,NOT(AND(C451=C450,AA451=AA450+1))),INDEX(DATAS,AA450+1),"")</f>
        <v/>
      </c>
      <c r="AI450" s="51" t="str">
        <f aca="false">IF(AND(AC450=1,AA450&lt;1),IF(AND(C451=C450,AA451=AA450+1),IF(AC451=1,"",INDEX(DATAS,AA450+1)),INDEX(DATAS,AA450+1)),"")</f>
        <v/>
      </c>
    </row>
    <row r="451" customFormat="false" ht="15" hidden="false" customHeight="false" outlineLevel="0" collapsed="false">
      <c r="A451" s="51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46" t="s">
        <v>494</v>
      </c>
      <c r="G451" s="0" t="n">
        <v>54.4</v>
      </c>
      <c r="H451" s="0" t="n">
        <v>57</v>
      </c>
      <c r="I451" s="46" t="s">
        <v>161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X451" s="46" t="n">
        <f aca="false">IF(I451="Male",0,1)</f>
        <v>1</v>
      </c>
      <c r="Y451" s="46" t="n">
        <f aca="false">IF(OR(I451="DNB",I451="Dry DNB"),1,0)</f>
        <v>0</v>
      </c>
      <c r="Z451" s="0" t="str">
        <f aca="false">IF(ISNUMBER(W451),A451-W451,"")</f>
        <v/>
      </c>
      <c r="AA451" s="46" t="n">
        <f aca="false">MATCH(A451,DATAS,0)</f>
        <v>1</v>
      </c>
      <c r="AB451" s="46" t="n">
        <f aca="false">IF(AND(E451&gt;0,OR(AND(B451&gt;=1,B451&lt;=6),B451=10)),1,0)</f>
        <v>1</v>
      </c>
      <c r="AC451" s="46" t="n">
        <f aca="false">IF(AND(E451&gt;0,B451=10),1,0)</f>
        <v>0</v>
      </c>
      <c r="AD451" s="0" t="str">
        <f aca="false">IF(AND(C450=C451,AA450=AA451-1),AB450,"")</f>
        <v/>
      </c>
      <c r="AE451" s="0" t="str">
        <f aca="false">IF(AND(C450=C451,AA450=AA451-1),AC450,"")</f>
        <v/>
      </c>
      <c r="AF451" s="0" t="str">
        <f aca="false">IF(AA451=1,"",IF(AND(AB451=1,AD451&lt;&gt;1),1,0))</f>
        <v/>
      </c>
      <c r="AG451" s="0" t="str">
        <f aca="false">IF(AA451=1,"",IF(AND(AC451=1,AE451&lt;&gt;1),1,0))</f>
        <v/>
      </c>
      <c r="AH451" s="51" t="str">
        <f aca="false">IF(AND(E451&gt;0,AA451&lt;1,NOT(AND(C452=C451,AA452=AA451+1))),INDEX(DATAS,AA451+1),"")</f>
        <v/>
      </c>
      <c r="AI451" s="51" t="str">
        <f aca="false">IF(AND(AC451=1,AA451&lt;1),IF(AND(C452=C451,AA452=AA451+1),IF(AC452=1,"",INDEX(DATAS,AA451+1)),INDEX(DATAS,AA451+1)),"")</f>
        <v/>
      </c>
    </row>
    <row r="452" customFormat="false" ht="15" hidden="false" customHeight="false" outlineLevel="0" collapsed="false">
      <c r="A452" s="51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46" t="s">
        <v>494</v>
      </c>
      <c r="I452" s="46" t="s">
        <v>157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51" t="n">
        <v>46058</v>
      </c>
      <c r="X452" s="46" t="n">
        <f aca="false">IF(I452="Male",0,1)</f>
        <v>1</v>
      </c>
      <c r="Y452" s="46" t="n">
        <f aca="false">IF(OR(I452="DNB",I452="Dry DNB"),1,0)</f>
        <v>0</v>
      </c>
      <c r="Z452" s="46" t="n">
        <f aca="false">IF(ISNUMBER(W452),A452-W452,"")</f>
        <v>251</v>
      </c>
      <c r="AA452" s="46" t="n">
        <f aca="false">MATCH(A452,DATAS,0)</f>
        <v>1</v>
      </c>
      <c r="AB452" s="46" t="n">
        <f aca="false">IF(AND(E452&gt;0,OR(AND(B452&gt;=1,B452&lt;=6),B452=10)),1,0)</f>
        <v>0</v>
      </c>
      <c r="AC452" s="46" t="n">
        <f aca="false">IF(AND(E452&gt;0,B452=10),1,0)</f>
        <v>0</v>
      </c>
      <c r="AD452" s="0" t="str">
        <f aca="false">IF(AND(C451=C452,AA451=AA452-1),AB451,"")</f>
        <v/>
      </c>
      <c r="AE452" s="0" t="str">
        <f aca="false">IF(AND(C451=C452,AA451=AA452-1),AC451,"")</f>
        <v/>
      </c>
      <c r="AF452" s="0" t="str">
        <f aca="false">IF(AA452=1,"",IF(AND(AB452=1,AD452&lt;&gt;1),1,0))</f>
        <v/>
      </c>
      <c r="AG452" s="0" t="str">
        <f aca="false">IF(AA452=1,"",IF(AND(AC452=1,AE452&lt;&gt;1),1,0))</f>
        <v/>
      </c>
      <c r="AH452" s="51" t="str">
        <f aca="false">IF(AND(E452&gt;0,AA452&lt;1,NOT(AND(C453=C452,AA453=AA452+1))),INDEX(DATAS,AA452+1),"")</f>
        <v/>
      </c>
      <c r="AI452" s="51" t="str">
        <f aca="false">IF(AND(AC452=1,AA452&lt;1),IF(AND(C453=C452,AA453=AA452+1),IF(AC453=1,"",INDEX(DATAS,AA452+1)),INDEX(DATAS,AA452+1)),"")</f>
        <v/>
      </c>
    </row>
    <row r="453" customFormat="false" ht="15" hidden="false" customHeight="false" outlineLevel="0" collapsed="false">
      <c r="A453" s="51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46" t="s">
        <v>495</v>
      </c>
      <c r="G453" s="0" t="n">
        <v>53.9</v>
      </c>
      <c r="H453" s="0" t="n">
        <v>55</v>
      </c>
      <c r="I453" s="46" t="s">
        <v>152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51" t="n">
        <v>46114</v>
      </c>
      <c r="X453" s="46" t="n">
        <f aca="false">IF(I453="Male",0,1)</f>
        <v>1</v>
      </c>
      <c r="Y453" s="46" t="n">
        <f aca="false">IF(OR(I453="DNB",I453="Dry DNB"),1,0)</f>
        <v>0</v>
      </c>
      <c r="Z453" s="46" t="n">
        <f aca="false">IF(ISNUMBER(W453),A453-W453,"")</f>
        <v>195</v>
      </c>
      <c r="AA453" s="46" t="n">
        <f aca="false">MATCH(A453,DATAS,0)</f>
        <v>1</v>
      </c>
      <c r="AB453" s="46" t="n">
        <f aca="false">IF(AND(E453&gt;0,OR(AND(B453&gt;=1,B453&lt;=6),B453=10)),1,0)</f>
        <v>1</v>
      </c>
      <c r="AC453" s="46" t="n">
        <f aca="false">IF(AND(E453&gt;0,B453=10),1,0)</f>
        <v>0</v>
      </c>
      <c r="AD453" s="0" t="str">
        <f aca="false">IF(AND(C452=C453,AA452=AA453-1),AB452,"")</f>
        <v/>
      </c>
      <c r="AE453" s="0" t="str">
        <f aca="false">IF(AND(C452=C453,AA452=AA453-1),AC452,"")</f>
        <v/>
      </c>
      <c r="AF453" s="0" t="str">
        <f aca="false">IF(AA453=1,"",IF(AND(AB453=1,AD453&lt;&gt;1),1,0))</f>
        <v/>
      </c>
      <c r="AG453" s="0" t="str">
        <f aca="false">IF(AA453=1,"",IF(AND(AC453=1,AE453&lt;&gt;1),1,0))</f>
        <v/>
      </c>
      <c r="AH453" s="51" t="str">
        <f aca="false">IF(AND(E453&gt;0,AA453&lt;1,NOT(AND(C454=C453,AA454=AA453+1))),INDEX(DATAS,AA453+1),"")</f>
        <v/>
      </c>
      <c r="AI453" s="51" t="str">
        <f aca="false">IF(AND(AC453=1,AA453&lt;1),IF(AND(C454=C453,AA454=AA453+1),IF(AC454=1,"",INDEX(DATAS,AA453+1)),INDEX(DATAS,AA453+1)),"")</f>
        <v/>
      </c>
    </row>
    <row r="454" customFormat="false" ht="15" hidden="false" customHeight="false" outlineLevel="0" collapsed="false">
      <c r="A454" s="51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46" t="s">
        <v>495</v>
      </c>
      <c r="G454" s="0" t="n">
        <v>41.1</v>
      </c>
      <c r="H454" s="0" t="n">
        <v>44</v>
      </c>
      <c r="I454" s="46" t="s">
        <v>189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51" t="n">
        <v>46233</v>
      </c>
      <c r="X454" s="46" t="n">
        <f aca="false">IF(I454="Male",0,1)</f>
        <v>1</v>
      </c>
      <c r="Y454" s="46" t="n">
        <f aca="false">IF(OR(I454="DNB",I454="Dry DNB"),1,0)</f>
        <v>0</v>
      </c>
      <c r="Z454" s="46" t="n">
        <f aca="false">IF(ISNUMBER(W454),A454-W454,"")</f>
        <v>76</v>
      </c>
      <c r="AA454" s="46" t="n">
        <f aca="false">MATCH(A454,DATAS,0)</f>
        <v>1</v>
      </c>
      <c r="AB454" s="46" t="n">
        <f aca="false">IF(AND(E454&gt;0,OR(AND(B454&gt;=1,B454&lt;=6),B454=10)),1,0)</f>
        <v>1</v>
      </c>
      <c r="AC454" s="46" t="n">
        <f aca="false">IF(AND(E454&gt;0,B454=10),1,0)</f>
        <v>0</v>
      </c>
      <c r="AD454" s="0" t="str">
        <f aca="false">IF(AND(C453=C454,AA453=AA454-1),AB453,"")</f>
        <v/>
      </c>
      <c r="AE454" s="0" t="str">
        <f aca="false">IF(AND(C453=C454,AA453=AA454-1),AC453,"")</f>
        <v/>
      </c>
      <c r="AF454" s="0" t="str">
        <f aca="false">IF(AA454=1,"",IF(AND(AB454=1,AD454&lt;&gt;1),1,0))</f>
        <v/>
      </c>
      <c r="AG454" s="0" t="str">
        <f aca="false">IF(AA454=1,"",IF(AND(AC454=1,AE454&lt;&gt;1),1,0))</f>
        <v/>
      </c>
      <c r="AH454" s="51" t="str">
        <f aca="false">IF(AND(E454&gt;0,AA454&lt;1,NOT(AND(C455=C454,AA455=AA454+1))),INDEX(DATAS,AA454+1),"")</f>
        <v/>
      </c>
      <c r="AI454" s="51" t="str">
        <f aca="false">IF(AND(AC454=1,AA454&lt;1),IF(AND(C455=C454,AA455=AA454+1),IF(AC455=1,"",INDEX(DATAS,AA454+1)),INDEX(DATAS,AA454+1)),"")</f>
        <v/>
      </c>
    </row>
    <row r="455" customFormat="false" ht="15" hidden="false" customHeight="false" outlineLevel="0" collapsed="false">
      <c r="A455" s="51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46" t="s">
        <v>496</v>
      </c>
      <c r="G455" s="0" t="n">
        <v>26.6</v>
      </c>
      <c r="H455" s="0" t="n">
        <v>27</v>
      </c>
      <c r="I455" s="46" t="s">
        <v>181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51" t="n">
        <v>46289</v>
      </c>
      <c r="X455" s="46" t="n">
        <f aca="false">IF(I455="Male",0,1)</f>
        <v>1</v>
      </c>
      <c r="Y455" s="46" t="n">
        <f aca="false">IF(OR(I455="DNB",I455="Dry DNB"),1,0)</f>
        <v>0</v>
      </c>
      <c r="Z455" s="46" t="n">
        <f aca="false">IF(ISNUMBER(W455),A455-W455,"")</f>
        <v>20</v>
      </c>
      <c r="AA455" s="46" t="n">
        <f aca="false">MATCH(A455,DATAS,0)</f>
        <v>1</v>
      </c>
      <c r="AB455" s="46" t="n">
        <f aca="false">IF(AND(E455&gt;0,OR(AND(B455&gt;=1,B455&lt;=6),B455=10)),1,0)</f>
        <v>1</v>
      </c>
      <c r="AC455" s="46" t="n">
        <f aca="false">IF(AND(E455&gt;0,B455=10),1,0)</f>
        <v>0</v>
      </c>
      <c r="AD455" s="0" t="str">
        <f aca="false">IF(AND(C454=C455,AA454=AA455-1),AB454,"")</f>
        <v/>
      </c>
      <c r="AE455" s="0" t="str">
        <f aca="false">IF(AND(C454=C455,AA454=AA455-1),AC454,"")</f>
        <v/>
      </c>
      <c r="AF455" s="0" t="str">
        <f aca="false">IF(AA455=1,"",IF(AND(AB455=1,AD455&lt;&gt;1),1,0))</f>
        <v/>
      </c>
      <c r="AG455" s="0" t="str">
        <f aca="false">IF(AA455=1,"",IF(AND(AC455=1,AE455&lt;&gt;1),1,0))</f>
        <v/>
      </c>
      <c r="AH455" s="51" t="str">
        <f aca="false">IF(AND(E455&gt;0,AA455&lt;1,NOT(AND(C456=C455,AA456=AA455+1))),INDEX(DATAS,AA455+1),"")</f>
        <v/>
      </c>
      <c r="AI455" s="51" t="str">
        <f aca="false">IF(AND(AC455=1,AA455&lt;1),IF(AND(C456=C455,AA456=AA455+1),IF(AC456=1,"",INDEX(DATAS,AA455+1)),INDEX(DATAS,AA455+1)),"")</f>
        <v/>
      </c>
    </row>
    <row r="456" customFormat="false" ht="15" hidden="false" customHeight="false" outlineLevel="0" collapsed="false">
      <c r="A456" s="51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46" t="s">
        <v>497</v>
      </c>
      <c r="G456" s="0" t="n">
        <v>41.8</v>
      </c>
      <c r="H456" s="0" t="n">
        <v>40</v>
      </c>
      <c r="I456" s="46" t="s">
        <v>189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51" t="n">
        <v>46212</v>
      </c>
      <c r="X456" s="46" t="n">
        <f aca="false">IF(I456="Male",0,1)</f>
        <v>1</v>
      </c>
      <c r="Y456" s="46" t="n">
        <f aca="false">IF(OR(I456="DNB",I456="Dry DNB"),1,0)</f>
        <v>0</v>
      </c>
      <c r="Z456" s="46" t="n">
        <f aca="false">IF(ISNUMBER(W456),A456-W456,"")</f>
        <v>97</v>
      </c>
      <c r="AA456" s="46" t="n">
        <f aca="false">MATCH(A456,DATAS,0)</f>
        <v>1</v>
      </c>
      <c r="AB456" s="46" t="n">
        <f aca="false">IF(AND(E456&gt;0,OR(AND(B456&gt;=1,B456&lt;=6),B456=10)),1,0)</f>
        <v>1</v>
      </c>
      <c r="AC456" s="46" t="n">
        <f aca="false">IF(AND(E456&gt;0,B456=10),1,0)</f>
        <v>0</v>
      </c>
      <c r="AD456" s="0" t="str">
        <f aca="false">IF(AND(C455=C456,AA455=AA456-1),AB455,"")</f>
        <v/>
      </c>
      <c r="AE456" s="0" t="str">
        <f aca="false">IF(AND(C455=C456,AA455=AA456-1),AC455,"")</f>
        <v/>
      </c>
      <c r="AF456" s="0" t="str">
        <f aca="false">IF(AA456=1,"",IF(AND(AB456=1,AD456&lt;&gt;1),1,0))</f>
        <v/>
      </c>
      <c r="AG456" s="0" t="str">
        <f aca="false">IF(AA456=1,"",IF(AND(AC456=1,AE456&lt;&gt;1),1,0))</f>
        <v/>
      </c>
      <c r="AH456" s="51" t="str">
        <f aca="false">IF(AND(E456&gt;0,AA456&lt;1,NOT(AND(C457=C456,AA457=AA456+1))),INDEX(DATAS,AA456+1),"")</f>
        <v/>
      </c>
      <c r="AI456" s="51" t="str">
        <f aca="false">IF(AND(AC456=1,AA456&lt;1),IF(AND(C457=C456,AA457=AA456+1),IF(AC457=1,"",INDEX(DATAS,AA456+1)),INDEX(DATAS,AA456+1)),"")</f>
        <v/>
      </c>
    </row>
    <row r="457" customFormat="false" ht="15" hidden="false" customHeight="false" outlineLevel="0" collapsed="false">
      <c r="A457" s="51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46" t="s">
        <v>498</v>
      </c>
      <c r="G457" s="0" t="n">
        <v>36.4</v>
      </c>
      <c r="H457" s="0" t="n">
        <v>39</v>
      </c>
      <c r="I457" s="46" t="s">
        <v>181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51" t="n">
        <v>46293</v>
      </c>
      <c r="X457" s="46" t="n">
        <f aca="false">IF(I457="Male",0,1)</f>
        <v>1</v>
      </c>
      <c r="Y457" s="46" t="n">
        <f aca="false">IF(OR(I457="DNB",I457="Dry DNB"),1,0)</f>
        <v>0</v>
      </c>
      <c r="Z457" s="46" t="n">
        <f aca="false">IF(ISNUMBER(W457),A457-W457,"")</f>
        <v>16</v>
      </c>
      <c r="AA457" s="46" t="n">
        <f aca="false">MATCH(A457,DATAS,0)</f>
        <v>1</v>
      </c>
      <c r="AB457" s="46" t="n">
        <f aca="false">IF(AND(E457&gt;0,OR(AND(B457&gt;=1,B457&lt;=6),B457=10)),1,0)</f>
        <v>1</v>
      </c>
      <c r="AC457" s="46" t="n">
        <f aca="false">IF(AND(E457&gt;0,B457=10),1,0)</f>
        <v>0</v>
      </c>
      <c r="AD457" s="0" t="str">
        <f aca="false">IF(AND(C456=C457,AA456=AA457-1),AB456,"")</f>
        <v/>
      </c>
      <c r="AE457" s="0" t="str">
        <f aca="false">IF(AND(C456=C457,AA456=AA457-1),AC456,"")</f>
        <v/>
      </c>
      <c r="AF457" s="0" t="str">
        <f aca="false">IF(AA457=1,"",IF(AND(AB457=1,AD457&lt;&gt;1),1,0))</f>
        <v/>
      </c>
      <c r="AG457" s="0" t="str">
        <f aca="false">IF(AA457=1,"",IF(AND(AC457=1,AE457&lt;&gt;1),1,0))</f>
        <v/>
      </c>
      <c r="AH457" s="51" t="str">
        <f aca="false">IF(AND(E457&gt;0,AA457&lt;1,NOT(AND(C458=C457,AA458=AA457+1))),INDEX(DATAS,AA457+1),"")</f>
        <v/>
      </c>
      <c r="AI457" s="51" t="str">
        <f aca="false">IF(AND(AC457=1,AA457&lt;1),IF(AND(C458=C457,AA458=AA457+1),IF(AC458=1,"",INDEX(DATAS,AA457+1)),INDEX(DATAS,AA457+1)),"")</f>
        <v/>
      </c>
    </row>
    <row r="458" customFormat="false" ht="15" hidden="false" customHeight="false" outlineLevel="0" collapsed="false">
      <c r="A458" s="51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46" t="s">
        <v>499</v>
      </c>
      <c r="G458" s="0" t="n">
        <v>44.1</v>
      </c>
      <c r="H458" s="0" t="n">
        <v>41</v>
      </c>
      <c r="I458" s="46" t="s">
        <v>161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X458" s="46" t="n">
        <f aca="false">IF(I458="Male",0,1)</f>
        <v>1</v>
      </c>
      <c r="Y458" s="46" t="n">
        <f aca="false">IF(OR(I458="DNB",I458="Dry DNB"),1,0)</f>
        <v>0</v>
      </c>
      <c r="Z458" s="0" t="str">
        <f aca="false">IF(ISNUMBER(W458),A458-W458,"")</f>
        <v/>
      </c>
      <c r="AA458" s="46" t="n">
        <f aca="false">MATCH(A458,DATAS,0)</f>
        <v>1</v>
      </c>
      <c r="AB458" s="46" t="n">
        <f aca="false">IF(AND(E458&gt;0,OR(AND(B458&gt;=1,B458&lt;=6),B458=10)),1,0)</f>
        <v>1</v>
      </c>
      <c r="AC458" s="46" t="n">
        <f aca="false">IF(AND(E458&gt;0,B458=10),1,0)</f>
        <v>0</v>
      </c>
      <c r="AD458" s="0" t="str">
        <f aca="false">IF(AND(C457=C458,AA457=AA458-1),AB457,"")</f>
        <v/>
      </c>
      <c r="AE458" s="0" t="str">
        <f aca="false">IF(AND(C457=C458,AA457=AA458-1),AC457,"")</f>
        <v/>
      </c>
      <c r="AF458" s="0" t="str">
        <f aca="false">IF(AA458=1,"",IF(AND(AB458=1,AD458&lt;&gt;1),1,0))</f>
        <v/>
      </c>
      <c r="AG458" s="0" t="str">
        <f aca="false">IF(AA458=1,"",IF(AND(AC458=1,AE458&lt;&gt;1),1,0))</f>
        <v/>
      </c>
      <c r="AH458" s="51" t="str">
        <f aca="false">IF(AND(E458&gt;0,AA458&lt;1,NOT(AND(C459=C458,AA459=AA458+1))),INDEX(DATAS,AA458+1),"")</f>
        <v/>
      </c>
      <c r="AI458" s="51" t="str">
        <f aca="false">IF(AND(AC458=1,AA458&lt;1),IF(AND(C459=C458,AA459=AA458+1),IF(AC459=1,"",INDEX(DATAS,AA458+1)),INDEX(DATAS,AA458+1)),"")</f>
        <v/>
      </c>
    </row>
    <row r="459" customFormat="false" ht="15" hidden="false" customHeight="false" outlineLevel="0" collapsed="false">
      <c r="A459" s="51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46" t="s">
        <v>500</v>
      </c>
      <c r="G459" s="0" t="n">
        <v>27.5</v>
      </c>
      <c r="H459" s="0" t="n">
        <v>23</v>
      </c>
      <c r="I459" s="46" t="s">
        <v>152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51" t="n">
        <v>46152</v>
      </c>
      <c r="X459" s="46" t="n">
        <f aca="false">IF(I459="Male",0,1)</f>
        <v>1</v>
      </c>
      <c r="Y459" s="46" t="n">
        <f aca="false">IF(OR(I459="DNB",I459="Dry DNB"),1,0)</f>
        <v>0</v>
      </c>
      <c r="Z459" s="46" t="n">
        <f aca="false">IF(ISNUMBER(W459),A459-W459,"")</f>
        <v>157</v>
      </c>
      <c r="AA459" s="46" t="n">
        <f aca="false">MATCH(A459,DATAS,0)</f>
        <v>1</v>
      </c>
      <c r="AB459" s="46" t="n">
        <f aca="false">IF(AND(E459&gt;0,OR(AND(B459&gt;=1,B459&lt;=6),B459=10)),1,0)</f>
        <v>1</v>
      </c>
      <c r="AC459" s="46" t="n">
        <f aca="false">IF(AND(E459&gt;0,B459=10),1,0)</f>
        <v>0</v>
      </c>
      <c r="AD459" s="0" t="str">
        <f aca="false">IF(AND(C458=C459,AA458=AA459-1),AB458,"")</f>
        <v/>
      </c>
      <c r="AE459" s="0" t="str">
        <f aca="false">IF(AND(C458=C459,AA458=AA459-1),AC458,"")</f>
        <v/>
      </c>
      <c r="AF459" s="0" t="str">
        <f aca="false">IF(AA459=1,"",IF(AND(AB459=1,AD459&lt;&gt;1),1,0))</f>
        <v/>
      </c>
      <c r="AG459" s="0" t="str">
        <f aca="false">IF(AA459=1,"",IF(AND(AC459=1,AE459&lt;&gt;1),1,0))</f>
        <v/>
      </c>
      <c r="AH459" s="51" t="str">
        <f aca="false">IF(AND(E459&gt;0,AA459&lt;1,NOT(AND(C460=C459,AA460=AA459+1))),INDEX(DATAS,AA459+1),"")</f>
        <v/>
      </c>
      <c r="AI459" s="51" t="str">
        <f aca="false">IF(AND(AC459=1,AA459&lt;1),IF(AND(C460=C459,AA460=AA459+1),IF(AC460=1,"",INDEX(DATAS,AA459+1)),INDEX(DATAS,AA459+1)),"")</f>
        <v/>
      </c>
    </row>
    <row r="460" customFormat="false" ht="15" hidden="false" customHeight="false" outlineLevel="0" collapsed="false">
      <c r="A460" s="51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46" t="s">
        <v>501</v>
      </c>
      <c r="G460" s="0" t="n">
        <v>45.9</v>
      </c>
      <c r="H460" s="0" t="n">
        <v>42</v>
      </c>
      <c r="I460" s="46" t="s">
        <v>181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51" t="n">
        <v>46303</v>
      </c>
      <c r="X460" s="46" t="n">
        <f aca="false">IF(I460="Male",0,1)</f>
        <v>1</v>
      </c>
      <c r="Y460" s="46" t="n">
        <f aca="false">IF(OR(I460="DNB",I460="Dry DNB"),1,0)</f>
        <v>0</v>
      </c>
      <c r="Z460" s="46" t="n">
        <f aca="false">IF(ISNUMBER(W460),A460-W460,"")</f>
        <v>6</v>
      </c>
      <c r="AA460" s="46" t="n">
        <f aca="false">MATCH(A460,DATAS,0)</f>
        <v>1</v>
      </c>
      <c r="AB460" s="46" t="n">
        <f aca="false">IF(AND(E460&gt;0,OR(AND(B460&gt;=1,B460&lt;=6),B460=10)),1,0)</f>
        <v>1</v>
      </c>
      <c r="AC460" s="46" t="n">
        <f aca="false">IF(AND(E460&gt;0,B460=10),1,0)</f>
        <v>0</v>
      </c>
      <c r="AD460" s="0" t="str">
        <f aca="false">IF(AND(C459=C460,AA459=AA460-1),AB459,"")</f>
        <v/>
      </c>
      <c r="AE460" s="0" t="str">
        <f aca="false">IF(AND(C459=C460,AA459=AA460-1),AC459,"")</f>
        <v/>
      </c>
      <c r="AF460" s="0" t="str">
        <f aca="false">IF(AA460=1,"",IF(AND(AB460=1,AD460&lt;&gt;1),1,0))</f>
        <v/>
      </c>
      <c r="AG460" s="0" t="str">
        <f aca="false">IF(AA460=1,"",IF(AND(AC460=1,AE460&lt;&gt;1),1,0))</f>
        <v/>
      </c>
      <c r="AH460" s="51" t="str">
        <f aca="false">IF(AND(E460&gt;0,AA460&lt;1,NOT(AND(C461=C460,AA461=AA460+1))),INDEX(DATAS,AA460+1),"")</f>
        <v/>
      </c>
      <c r="AI460" s="51" t="str">
        <f aca="false">IF(AND(AC460=1,AA460&lt;1),IF(AND(C461=C460,AA461=AA460+1),IF(AC461=1,"",INDEX(DATAS,AA460+1)),INDEX(DATAS,AA460+1)),"")</f>
        <v/>
      </c>
    </row>
    <row r="461" customFormat="false" ht="15" hidden="false" customHeight="false" outlineLevel="0" collapsed="false">
      <c r="A461" s="51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46" t="s">
        <v>502</v>
      </c>
      <c r="H461" s="0" t="n">
        <v>15</v>
      </c>
      <c r="I461" s="46" t="s">
        <v>161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X461" s="46" t="n">
        <f aca="false">IF(I461="Male",0,1)</f>
        <v>1</v>
      </c>
      <c r="Y461" s="46" t="n">
        <f aca="false">IF(OR(I461="DNB",I461="Dry DNB"),1,0)</f>
        <v>0</v>
      </c>
      <c r="Z461" s="0" t="str">
        <f aca="false">IF(ISNUMBER(W461),A461-W461,"")</f>
        <v/>
      </c>
      <c r="AA461" s="46" t="n">
        <f aca="false">MATCH(A461,DATAS,0)</f>
        <v>1</v>
      </c>
      <c r="AB461" s="46" t="n">
        <f aca="false">IF(AND(E461&gt;0,OR(AND(B461&gt;=1,B461&lt;=6),B461=10)),1,0)</f>
        <v>1</v>
      </c>
      <c r="AC461" s="46" t="n">
        <f aca="false">IF(AND(E461&gt;0,B461=10),1,0)</f>
        <v>1</v>
      </c>
      <c r="AD461" s="0" t="str">
        <f aca="false">IF(AND(C460=C461,AA460=AA461-1),AB460,"")</f>
        <v/>
      </c>
      <c r="AE461" s="0" t="str">
        <f aca="false">IF(AND(C460=C461,AA460=AA461-1),AC460,"")</f>
        <v/>
      </c>
      <c r="AF461" s="0" t="str">
        <f aca="false">IF(AA461=1,"",IF(AND(AB461=1,AD461&lt;&gt;1),1,0))</f>
        <v/>
      </c>
      <c r="AG461" s="0" t="str">
        <f aca="false">IF(AA461=1,"",IF(AND(AC461=1,AE461&lt;&gt;1),1,0))</f>
        <v/>
      </c>
      <c r="AH461" s="51" t="str">
        <f aca="false">IF(AND(E461&gt;0,AA461&lt;1,NOT(AND(C462=C461,AA462=AA461+1))),INDEX(DATAS,AA461+1),"")</f>
        <v/>
      </c>
      <c r="AI461" s="51" t="str">
        <f aca="false">IF(AND(AC461=1,AA461&lt;1),IF(AND(C462=C461,AA462=AA461+1),IF(AC462=1,"",INDEX(DATAS,AA461+1)),INDEX(DATAS,AA461+1)),"")</f>
        <v/>
      </c>
    </row>
    <row r="462" customFormat="false" ht="15" hidden="false" customHeight="false" outlineLevel="0" collapsed="false">
      <c r="A462" s="51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46" t="s">
        <v>502</v>
      </c>
      <c r="I462" s="46" t="s">
        <v>157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51" t="n">
        <v>46058</v>
      </c>
      <c r="X462" s="46" t="n">
        <f aca="false">IF(I462="Male",0,1)</f>
        <v>1</v>
      </c>
      <c r="Y462" s="46" t="n">
        <f aca="false">IF(OR(I462="DNB",I462="Dry DNB"),1,0)</f>
        <v>0</v>
      </c>
      <c r="Z462" s="46" t="n">
        <f aca="false">IF(ISNUMBER(W462),A462-W462,"")</f>
        <v>251</v>
      </c>
      <c r="AA462" s="46" t="n">
        <f aca="false">MATCH(A462,DATAS,0)</f>
        <v>1</v>
      </c>
      <c r="AB462" s="46" t="n">
        <f aca="false">IF(AND(E462&gt;0,OR(AND(B462&gt;=1,B462&lt;=6),B462=10)),1,0)</f>
        <v>0</v>
      </c>
      <c r="AC462" s="46" t="n">
        <f aca="false">IF(AND(E462&gt;0,B462=10),1,0)</f>
        <v>0</v>
      </c>
      <c r="AD462" s="0" t="str">
        <f aca="false">IF(AND(C461=C462,AA461=AA462-1),AB461,"")</f>
        <v/>
      </c>
      <c r="AE462" s="0" t="str">
        <f aca="false">IF(AND(C461=C462,AA461=AA462-1),AC461,"")</f>
        <v/>
      </c>
      <c r="AF462" s="0" t="str">
        <f aca="false">IF(AA462=1,"",IF(AND(AB462=1,AD462&lt;&gt;1),1,0))</f>
        <v/>
      </c>
      <c r="AG462" s="0" t="str">
        <f aca="false">IF(AA462=1,"",IF(AND(AC462=1,AE462&lt;&gt;1),1,0))</f>
        <v/>
      </c>
      <c r="AH462" s="51" t="str">
        <f aca="false">IF(AND(E462&gt;0,AA462&lt;1,NOT(AND(C463=C462,AA463=AA462+1))),INDEX(DATAS,AA462+1),"")</f>
        <v/>
      </c>
      <c r="AI462" s="51" t="str">
        <f aca="false">IF(AND(AC462=1,AA462&lt;1),IF(AND(C463=C462,AA463=AA462+1),IF(AC463=1,"",INDEX(DATAS,AA462+1)),INDEX(DATAS,AA462+1)),"")</f>
        <v/>
      </c>
    </row>
    <row r="463" customFormat="false" ht="15" hidden="false" customHeight="false" outlineLevel="0" collapsed="false">
      <c r="A463" s="51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46" t="s">
        <v>502</v>
      </c>
      <c r="G463" s="0" t="n">
        <v>71.5</v>
      </c>
      <c r="H463" s="0" t="n">
        <v>71</v>
      </c>
      <c r="I463" s="46" t="s">
        <v>161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X463" s="46" t="n">
        <f aca="false">IF(I463="Male",0,1)</f>
        <v>1</v>
      </c>
      <c r="Y463" s="46" t="n">
        <f aca="false">IF(OR(I463="DNB",I463="Dry DNB"),1,0)</f>
        <v>0</v>
      </c>
      <c r="Z463" s="0" t="str">
        <f aca="false">IF(ISNUMBER(W463),A463-W463,"")</f>
        <v/>
      </c>
      <c r="AA463" s="46" t="n">
        <f aca="false">MATCH(A463,DATAS,0)</f>
        <v>1</v>
      </c>
      <c r="AB463" s="46" t="n">
        <f aca="false">IF(AND(E463&gt;0,OR(AND(B463&gt;=1,B463&lt;=6),B463=10)),1,0)</f>
        <v>1</v>
      </c>
      <c r="AC463" s="46" t="n">
        <f aca="false">IF(AND(E463&gt;0,B463=10),1,0)</f>
        <v>0</v>
      </c>
      <c r="AD463" s="0" t="str">
        <f aca="false">IF(AND(C462=C463,AA462=AA463-1),AB462,"")</f>
        <v/>
      </c>
      <c r="AE463" s="0" t="str">
        <f aca="false">IF(AND(C462=C463,AA462=AA463-1),AC462,"")</f>
        <v/>
      </c>
      <c r="AF463" s="0" t="str">
        <f aca="false">IF(AA463=1,"",IF(AND(AB463=1,AD463&lt;&gt;1),1,0))</f>
        <v/>
      </c>
      <c r="AG463" s="0" t="str">
        <f aca="false">IF(AA463=1,"",IF(AND(AC463=1,AE463&lt;&gt;1),1,0))</f>
        <v/>
      </c>
      <c r="AH463" s="51" t="str">
        <f aca="false">IF(AND(E463&gt;0,AA463&lt;1,NOT(AND(C464=C463,AA464=AA463+1))),INDEX(DATAS,AA463+1),"")</f>
        <v/>
      </c>
      <c r="AI463" s="51" t="str">
        <f aca="false">IF(AND(AC463=1,AA463&lt;1),IF(AND(C464=C463,AA464=AA463+1),IF(AC464=1,"",INDEX(DATAS,AA463+1)),INDEX(DATAS,AA463+1)),"")</f>
        <v/>
      </c>
    </row>
    <row r="464" customFormat="false" ht="15" hidden="false" customHeight="false" outlineLevel="0" collapsed="false">
      <c r="A464" s="51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46" t="s">
        <v>502</v>
      </c>
      <c r="G464" s="0" t="n">
        <v>20.1</v>
      </c>
      <c r="H464" s="0" t="n">
        <v>18</v>
      </c>
      <c r="I464" s="46" t="s">
        <v>152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51" t="n">
        <v>46261</v>
      </c>
      <c r="X464" s="46" t="n">
        <f aca="false">IF(I464="Male",0,1)</f>
        <v>1</v>
      </c>
      <c r="Y464" s="46" t="n">
        <f aca="false">IF(OR(I464="DNB",I464="Dry DNB"),1,0)</f>
        <v>0</v>
      </c>
      <c r="Z464" s="46" t="n">
        <f aca="false">IF(ISNUMBER(W464),A464-W464,"")</f>
        <v>48</v>
      </c>
      <c r="AA464" s="46" t="n">
        <f aca="false">MATCH(A464,DATAS,0)</f>
        <v>1</v>
      </c>
      <c r="AB464" s="46" t="n">
        <f aca="false">IF(AND(E464&gt;0,OR(AND(B464&gt;=1,B464&lt;=6),B464=10)),1,0)</f>
        <v>1</v>
      </c>
      <c r="AC464" s="46" t="n">
        <f aca="false">IF(AND(E464&gt;0,B464=10),1,0)</f>
        <v>0</v>
      </c>
      <c r="AD464" s="0" t="str">
        <f aca="false">IF(AND(C463=C464,AA463=AA464-1),AB463,"")</f>
        <v/>
      </c>
      <c r="AE464" s="0" t="str">
        <f aca="false">IF(AND(C463=C464,AA463=AA464-1),AC463,"")</f>
        <v/>
      </c>
      <c r="AF464" s="0" t="str">
        <f aca="false">IF(AA464=1,"",IF(AND(AB464=1,AD464&lt;&gt;1),1,0))</f>
        <v/>
      </c>
      <c r="AG464" s="0" t="str">
        <f aca="false">IF(AA464=1,"",IF(AND(AC464=1,AE464&lt;&gt;1),1,0))</f>
        <v/>
      </c>
      <c r="AH464" s="51" t="str">
        <f aca="false">IF(AND(E464&gt;0,AA464&lt;1,NOT(AND(C465=C464,AA465=AA464+1))),INDEX(DATAS,AA464+1),"")</f>
        <v/>
      </c>
      <c r="AI464" s="51" t="str">
        <f aca="false">IF(AND(AC464=1,AA464&lt;1),IF(AND(C465=C464,AA465=AA464+1),IF(AC465=1,"",INDEX(DATAS,AA464+1)),INDEX(DATAS,AA464+1)),"")</f>
        <v/>
      </c>
    </row>
    <row r="465" customFormat="false" ht="15" hidden="false" customHeight="false" outlineLevel="0" collapsed="false">
      <c r="A465" s="51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46" t="s">
        <v>503</v>
      </c>
      <c r="I465" s="46" t="s">
        <v>157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51" t="n">
        <v>46051</v>
      </c>
      <c r="X465" s="46" t="n">
        <f aca="false">IF(I465="Male",0,1)</f>
        <v>1</v>
      </c>
      <c r="Y465" s="46" t="n">
        <f aca="false">IF(OR(I465="DNB",I465="Dry DNB"),1,0)</f>
        <v>0</v>
      </c>
      <c r="Z465" s="46" t="n">
        <f aca="false">IF(ISNUMBER(W465),A465-W465,"")</f>
        <v>258</v>
      </c>
      <c r="AA465" s="46" t="n">
        <f aca="false">MATCH(A465,DATAS,0)</f>
        <v>1</v>
      </c>
      <c r="AB465" s="46" t="n">
        <f aca="false">IF(AND(E465&gt;0,OR(AND(B465&gt;=1,B465&lt;=6),B465=10)),1,0)</f>
        <v>0</v>
      </c>
      <c r="AC465" s="46" t="n">
        <f aca="false">IF(AND(E465&gt;0,B465=10),1,0)</f>
        <v>0</v>
      </c>
      <c r="AD465" s="0" t="str">
        <f aca="false">IF(AND(C464=C465,AA464=AA465-1),AB464,"")</f>
        <v/>
      </c>
      <c r="AE465" s="0" t="str">
        <f aca="false">IF(AND(C464=C465,AA464=AA465-1),AC464,"")</f>
        <v/>
      </c>
      <c r="AF465" s="0" t="str">
        <f aca="false">IF(AA465=1,"",IF(AND(AB465=1,AD465&lt;&gt;1),1,0))</f>
        <v/>
      </c>
      <c r="AG465" s="0" t="str">
        <f aca="false">IF(AA465=1,"",IF(AND(AC465=1,AE465&lt;&gt;1),1,0))</f>
        <v/>
      </c>
      <c r="AH465" s="51" t="str">
        <f aca="false">IF(AND(E465&gt;0,AA465&lt;1,NOT(AND(C466=C465,AA466=AA465+1))),INDEX(DATAS,AA465+1),"")</f>
        <v/>
      </c>
      <c r="AI465" s="51" t="str">
        <f aca="false">IF(AND(AC465=1,AA465&lt;1),IF(AND(C466=C465,AA466=AA465+1),IF(AC466=1,"",INDEX(DATAS,AA465+1)),INDEX(DATAS,AA465+1)),"")</f>
        <v/>
      </c>
    </row>
    <row r="466" customFormat="false" ht="15" hidden="false" customHeight="false" outlineLevel="0" collapsed="false">
      <c r="A466" s="51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46" t="s">
        <v>503</v>
      </c>
      <c r="G466" s="0" t="n">
        <v>64.7</v>
      </c>
      <c r="H466" s="0" t="n">
        <v>62</v>
      </c>
      <c r="I466" s="46" t="s">
        <v>181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51" t="n">
        <v>46296</v>
      </c>
      <c r="X466" s="46" t="n">
        <f aca="false">IF(I466="Male",0,1)</f>
        <v>1</v>
      </c>
      <c r="Y466" s="46" t="n">
        <f aca="false">IF(OR(I466="DNB",I466="Dry DNB"),1,0)</f>
        <v>0</v>
      </c>
      <c r="Z466" s="46" t="n">
        <f aca="false">IF(ISNUMBER(W466),A466-W466,"")</f>
        <v>13</v>
      </c>
      <c r="AA466" s="46" t="n">
        <f aca="false">MATCH(A466,DATAS,0)</f>
        <v>1</v>
      </c>
      <c r="AB466" s="46" t="n">
        <f aca="false">IF(AND(E466&gt;0,OR(AND(B466&gt;=1,B466&lt;=6),B466=10)),1,0)</f>
        <v>1</v>
      </c>
      <c r="AC466" s="46" t="n">
        <f aca="false">IF(AND(E466&gt;0,B466=10),1,0)</f>
        <v>0</v>
      </c>
      <c r="AD466" s="0" t="str">
        <f aca="false">IF(AND(C465=C466,AA465=AA466-1),AB465,"")</f>
        <v/>
      </c>
      <c r="AE466" s="0" t="str">
        <f aca="false">IF(AND(C465=C466,AA465=AA466-1),AC465,"")</f>
        <v/>
      </c>
      <c r="AF466" s="0" t="str">
        <f aca="false">IF(AA466=1,"",IF(AND(AB466=1,AD466&lt;&gt;1),1,0))</f>
        <v/>
      </c>
      <c r="AG466" s="0" t="str">
        <f aca="false">IF(AA466=1,"",IF(AND(AC466=1,AE466&lt;&gt;1),1,0))</f>
        <v/>
      </c>
      <c r="AH466" s="51" t="str">
        <f aca="false">IF(AND(E466&gt;0,AA466&lt;1,NOT(AND(C467=C466,AA467=AA466+1))),INDEX(DATAS,AA466+1),"")</f>
        <v/>
      </c>
      <c r="AI466" s="51" t="str">
        <f aca="false">IF(AND(AC466=1,AA466&lt;1),IF(AND(C467=C466,AA467=AA466+1),IF(AC467=1,"",INDEX(DATAS,AA466+1)),INDEX(DATAS,AA466+1)),"")</f>
        <v/>
      </c>
    </row>
    <row r="467" customFormat="false" ht="15" hidden="false" customHeight="false" outlineLevel="0" collapsed="false">
      <c r="A467" s="51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46" t="s">
        <v>503</v>
      </c>
      <c r="H467" s="0" t="n">
        <v>8</v>
      </c>
      <c r="I467" s="46" t="s">
        <v>152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51" t="n">
        <v>46254</v>
      </c>
      <c r="X467" s="46" t="n">
        <f aca="false">IF(I467="Male",0,1)</f>
        <v>1</v>
      </c>
      <c r="Y467" s="46" t="n">
        <f aca="false">IF(OR(I467="DNB",I467="Dry DNB"),1,0)</f>
        <v>0</v>
      </c>
      <c r="Z467" s="46" t="n">
        <f aca="false">IF(ISNUMBER(W467),A467-W467,"")</f>
        <v>55</v>
      </c>
      <c r="AA467" s="46" t="n">
        <f aca="false">MATCH(A467,DATAS,0)</f>
        <v>1</v>
      </c>
      <c r="AB467" s="46" t="n">
        <f aca="false">IF(AND(E467&gt;0,OR(AND(B467&gt;=1,B467&lt;=6),B467=10)),1,0)</f>
        <v>1</v>
      </c>
      <c r="AC467" s="46" t="n">
        <f aca="false">IF(AND(E467&gt;0,B467=10),1,0)</f>
        <v>1</v>
      </c>
      <c r="AD467" s="0" t="str">
        <f aca="false">IF(AND(C466=C467,AA466=AA467-1),AB466,"")</f>
        <v/>
      </c>
      <c r="AE467" s="0" t="str">
        <f aca="false">IF(AND(C466=C467,AA466=AA467-1),AC466,"")</f>
        <v/>
      </c>
      <c r="AF467" s="0" t="str">
        <f aca="false">IF(AA467=1,"",IF(AND(AB467=1,AD467&lt;&gt;1),1,0))</f>
        <v/>
      </c>
      <c r="AG467" s="0" t="str">
        <f aca="false">IF(AA467=1,"",IF(AND(AC467=1,AE467&lt;&gt;1),1,0))</f>
        <v/>
      </c>
      <c r="AH467" s="51" t="str">
        <f aca="false">IF(AND(E467&gt;0,AA467&lt;1,NOT(AND(C468=C467,AA468=AA467+1))),INDEX(DATAS,AA467+1),"")</f>
        <v/>
      </c>
      <c r="AI467" s="51" t="str">
        <f aca="false">IF(AND(AC467=1,AA467&lt;1),IF(AND(C468=C467,AA468=AA467+1),IF(AC468=1,"",INDEX(DATAS,AA467+1)),INDEX(DATAS,AA467+1)),"")</f>
        <v/>
      </c>
    </row>
    <row r="468" customFormat="false" ht="15" hidden="false" customHeight="false" outlineLevel="0" collapsed="false">
      <c r="A468" s="51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46" t="s">
        <v>503</v>
      </c>
      <c r="H468" s="0" t="n">
        <v>17</v>
      </c>
      <c r="I468" s="46" t="s">
        <v>181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51" t="n">
        <v>46307</v>
      </c>
      <c r="X468" s="46" t="n">
        <f aca="false">IF(I468="Male",0,1)</f>
        <v>1</v>
      </c>
      <c r="Y468" s="46" t="n">
        <f aca="false">IF(OR(I468="DNB",I468="Dry DNB"),1,0)</f>
        <v>0</v>
      </c>
      <c r="Z468" s="46" t="n">
        <f aca="false">IF(ISNUMBER(W468),A468-W468,"")</f>
        <v>2</v>
      </c>
      <c r="AA468" s="46" t="n">
        <f aca="false">MATCH(A468,DATAS,0)</f>
        <v>1</v>
      </c>
      <c r="AB468" s="46" t="n">
        <f aca="false">IF(AND(E468&gt;0,OR(AND(B468&gt;=1,B468&lt;=6),B468=10)),1,0)</f>
        <v>1</v>
      </c>
      <c r="AC468" s="46" t="n">
        <f aca="false">IF(AND(E468&gt;0,B468=10),1,0)</f>
        <v>0</v>
      </c>
      <c r="AD468" s="0" t="str">
        <f aca="false">IF(AND(C467=C468,AA467=AA468-1),AB467,"")</f>
        <v/>
      </c>
      <c r="AE468" s="0" t="str">
        <f aca="false">IF(AND(C467=C468,AA467=AA468-1),AC467,"")</f>
        <v/>
      </c>
      <c r="AF468" s="0" t="str">
        <f aca="false">IF(AA468=1,"",IF(AND(AB468=1,AD468&lt;&gt;1),1,0))</f>
        <v/>
      </c>
      <c r="AG468" s="0" t="str">
        <f aca="false">IF(AA468=1,"",IF(AND(AC468=1,AE468&lt;&gt;1),1,0))</f>
        <v/>
      </c>
      <c r="AH468" s="51" t="str">
        <f aca="false">IF(AND(E468&gt;0,AA468&lt;1,NOT(AND(C469=C468,AA469=AA468+1))),INDEX(DATAS,AA468+1),"")</f>
        <v/>
      </c>
      <c r="AI468" s="51" t="str">
        <f aca="false">IF(AND(AC468=1,AA468&lt;1),IF(AND(C469=C468,AA469=AA468+1),IF(AC469=1,"",INDEX(DATAS,AA468+1)),INDEX(DATAS,AA468+1)),"")</f>
        <v/>
      </c>
    </row>
    <row r="469" customFormat="false" ht="15" hidden="false" customHeight="false" outlineLevel="0" collapsed="false">
      <c r="A469" s="51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46" t="s">
        <v>504</v>
      </c>
      <c r="G469" s="0" t="n">
        <v>50.6</v>
      </c>
      <c r="H469" s="0" t="n">
        <v>54</v>
      </c>
      <c r="I469" s="46" t="s">
        <v>181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51" t="n">
        <v>46282</v>
      </c>
      <c r="X469" s="46" t="n">
        <f aca="false">IF(I469="Male",0,1)</f>
        <v>1</v>
      </c>
      <c r="Y469" s="46" t="n">
        <f aca="false">IF(OR(I469="DNB",I469="Dry DNB"),1,0)</f>
        <v>0</v>
      </c>
      <c r="Z469" s="46" t="n">
        <f aca="false">IF(ISNUMBER(W469),A469-W469,"")</f>
        <v>27</v>
      </c>
      <c r="AA469" s="46" t="n">
        <f aca="false">MATCH(A469,DATAS,0)</f>
        <v>1</v>
      </c>
      <c r="AB469" s="46" t="n">
        <f aca="false">IF(AND(E469&gt;0,OR(AND(B469&gt;=1,B469&lt;=6),B469=10)),1,0)</f>
        <v>1</v>
      </c>
      <c r="AC469" s="46" t="n">
        <f aca="false">IF(AND(E469&gt;0,B469=10),1,0)</f>
        <v>0</v>
      </c>
      <c r="AD469" s="0" t="str">
        <f aca="false">IF(AND(C468=C469,AA468=AA469-1),AB468,"")</f>
        <v/>
      </c>
      <c r="AE469" s="0" t="str">
        <f aca="false">IF(AND(C468=C469,AA468=AA469-1),AC468,"")</f>
        <v/>
      </c>
      <c r="AF469" s="0" t="str">
        <f aca="false">IF(AA469=1,"",IF(AND(AB469=1,AD469&lt;&gt;1),1,0))</f>
        <v/>
      </c>
      <c r="AG469" s="0" t="str">
        <f aca="false">IF(AA469=1,"",IF(AND(AC469=1,AE469&lt;&gt;1),1,0))</f>
        <v/>
      </c>
      <c r="AH469" s="51" t="str">
        <f aca="false">IF(AND(E469&gt;0,AA469&lt;1,NOT(AND(C470=C469,AA470=AA469+1))),INDEX(DATAS,AA469+1),"")</f>
        <v/>
      </c>
      <c r="AI469" s="51" t="str">
        <f aca="false">IF(AND(AC469=1,AA469&lt;1),IF(AND(C470=C469,AA470=AA469+1),IF(AC470=1,"",INDEX(DATAS,AA469+1)),INDEX(DATAS,AA469+1)),"")</f>
        <v/>
      </c>
    </row>
    <row r="470" customFormat="false" ht="15" hidden="false" customHeight="false" outlineLevel="0" collapsed="false">
      <c r="A470" s="51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46" t="s">
        <v>505</v>
      </c>
      <c r="G470" s="0" t="n">
        <v>35.6</v>
      </c>
      <c r="H470" s="0" t="n">
        <v>47</v>
      </c>
      <c r="I470" s="46" t="s">
        <v>181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51" t="n">
        <v>46303</v>
      </c>
      <c r="X470" s="46" t="n">
        <f aca="false">IF(I470="Male",0,1)</f>
        <v>1</v>
      </c>
      <c r="Y470" s="46" t="n">
        <f aca="false">IF(OR(I470="DNB",I470="Dry DNB"),1,0)</f>
        <v>0</v>
      </c>
      <c r="Z470" s="46" t="n">
        <f aca="false">IF(ISNUMBER(W470),A470-W470,"")</f>
        <v>6</v>
      </c>
      <c r="AA470" s="46" t="n">
        <f aca="false">MATCH(A470,DATAS,0)</f>
        <v>1</v>
      </c>
      <c r="AB470" s="46" t="n">
        <f aca="false">IF(AND(E470&gt;0,OR(AND(B470&gt;=1,B470&lt;=6),B470=10)),1,0)</f>
        <v>1</v>
      </c>
      <c r="AC470" s="46" t="n">
        <f aca="false">IF(AND(E470&gt;0,B470=10),1,0)</f>
        <v>0</v>
      </c>
      <c r="AD470" s="0" t="str">
        <f aca="false">IF(AND(C469=C470,AA469=AA470-1),AB469,"")</f>
        <v/>
      </c>
      <c r="AE470" s="0" t="str">
        <f aca="false">IF(AND(C469=C470,AA469=AA470-1),AC469,"")</f>
        <v/>
      </c>
      <c r="AF470" s="0" t="str">
        <f aca="false">IF(AA470=1,"",IF(AND(AB470=1,AD470&lt;&gt;1),1,0))</f>
        <v/>
      </c>
      <c r="AG470" s="0" t="str">
        <f aca="false">IF(AA470=1,"",IF(AND(AC470=1,AE470&lt;&gt;1),1,0))</f>
        <v/>
      </c>
      <c r="AH470" s="51" t="str">
        <f aca="false">IF(AND(E470&gt;0,AA470&lt;1,NOT(AND(C471=C470,AA471=AA470+1))),INDEX(DATAS,AA470+1),"")</f>
        <v/>
      </c>
      <c r="AI470" s="51" t="str">
        <f aca="false">IF(AND(AC470=1,AA470&lt;1),IF(AND(C471=C470,AA471=AA470+1),IF(AC471=1,"",INDEX(DATAS,AA470+1)),INDEX(DATAS,AA470+1)),"")</f>
        <v/>
      </c>
    </row>
    <row r="471" customFormat="false" ht="15" hidden="false" customHeight="false" outlineLevel="0" collapsed="false">
      <c r="A471" s="51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46" t="s">
        <v>505</v>
      </c>
      <c r="I471" s="46" t="s">
        <v>157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51" t="n">
        <v>46163</v>
      </c>
      <c r="X471" s="46" t="n">
        <f aca="false">IF(I471="Male",0,1)</f>
        <v>1</v>
      </c>
      <c r="Y471" s="46" t="n">
        <f aca="false">IF(OR(I471="DNB",I471="Dry DNB"),1,0)</f>
        <v>0</v>
      </c>
      <c r="Z471" s="46" t="n">
        <f aca="false">IF(ISNUMBER(W471),A471-W471,"")</f>
        <v>146</v>
      </c>
      <c r="AA471" s="46" t="n">
        <f aca="false">MATCH(A471,DATAS,0)</f>
        <v>1</v>
      </c>
      <c r="AB471" s="46" t="n">
        <f aca="false">IF(AND(E471&gt;0,OR(AND(B471&gt;=1,B471&lt;=6),B471=10)),1,0)</f>
        <v>0</v>
      </c>
      <c r="AC471" s="46" t="n">
        <f aca="false">IF(AND(E471&gt;0,B471=10),1,0)</f>
        <v>0</v>
      </c>
      <c r="AD471" s="0" t="str">
        <f aca="false">IF(AND(C470=C471,AA470=AA471-1),AB470,"")</f>
        <v/>
      </c>
      <c r="AE471" s="0" t="str">
        <f aca="false">IF(AND(C470=C471,AA470=AA471-1),AC470,"")</f>
        <v/>
      </c>
      <c r="AF471" s="0" t="str">
        <f aca="false">IF(AA471=1,"",IF(AND(AB471=1,AD471&lt;&gt;1),1,0))</f>
        <v/>
      </c>
      <c r="AG471" s="0" t="str">
        <f aca="false">IF(AA471=1,"",IF(AND(AC471=1,AE471&lt;&gt;1),1,0))</f>
        <v/>
      </c>
      <c r="AH471" s="51" t="str">
        <f aca="false">IF(AND(E471&gt;0,AA471&lt;1,NOT(AND(C472=C471,AA472=AA471+1))),INDEX(DATAS,AA471+1),"")</f>
        <v/>
      </c>
      <c r="AI471" s="51" t="str">
        <f aca="false">IF(AND(AC471=1,AA471&lt;1),IF(AND(C472=C471,AA472=AA471+1),IF(AC472=1,"",INDEX(DATAS,AA471+1)),INDEX(DATAS,AA471+1)),"")</f>
        <v/>
      </c>
    </row>
    <row r="472" customFormat="false" ht="15" hidden="false" customHeight="false" outlineLevel="0" collapsed="false">
      <c r="A472" s="51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46" t="s">
        <v>505</v>
      </c>
      <c r="I472" s="46" t="s">
        <v>157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51" t="n">
        <v>46080</v>
      </c>
      <c r="X472" s="46" t="n">
        <f aca="false">IF(I472="Male",0,1)</f>
        <v>1</v>
      </c>
      <c r="Y472" s="46" t="n">
        <f aca="false">IF(OR(I472="DNB",I472="Dry DNB"),1,0)</f>
        <v>0</v>
      </c>
      <c r="Z472" s="46" t="n">
        <f aca="false">IF(ISNUMBER(W472),A472-W472,"")</f>
        <v>229</v>
      </c>
      <c r="AA472" s="46" t="n">
        <f aca="false">MATCH(A472,DATAS,0)</f>
        <v>1</v>
      </c>
      <c r="AB472" s="46" t="n">
        <f aca="false">IF(AND(E472&gt;0,OR(AND(B472&gt;=1,B472&lt;=6),B472=10)),1,0)</f>
        <v>0</v>
      </c>
      <c r="AC472" s="46" t="n">
        <f aca="false">IF(AND(E472&gt;0,B472=10),1,0)</f>
        <v>0</v>
      </c>
      <c r="AD472" s="0" t="str">
        <f aca="false">IF(AND(C471=C472,AA471=AA472-1),AB471,"")</f>
        <v/>
      </c>
      <c r="AE472" s="0" t="str">
        <f aca="false">IF(AND(C471=C472,AA471=AA472-1),AC471,"")</f>
        <v/>
      </c>
      <c r="AF472" s="0" t="str">
        <f aca="false">IF(AA472=1,"",IF(AND(AB472=1,AD472&lt;&gt;1),1,0))</f>
        <v/>
      </c>
      <c r="AG472" s="0" t="str">
        <f aca="false">IF(AA472=1,"",IF(AND(AC472=1,AE472&lt;&gt;1),1,0))</f>
        <v/>
      </c>
      <c r="AH472" s="51" t="str">
        <f aca="false">IF(AND(E472&gt;0,AA472&lt;1,NOT(AND(C473=C472,AA473=AA472+1))),INDEX(DATAS,AA472+1),"")</f>
        <v/>
      </c>
      <c r="AI472" s="51" t="str">
        <f aca="false">IF(AND(AC472=1,AA472&lt;1),IF(AND(C473=C472,AA473=AA472+1),IF(AC473=1,"",INDEX(DATAS,AA472+1)),INDEX(DATAS,AA472+1)),"")</f>
        <v/>
      </c>
    </row>
    <row r="473" customFormat="false" ht="15" hidden="false" customHeight="false" outlineLevel="0" collapsed="false">
      <c r="A473" s="51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46" t="s">
        <v>506</v>
      </c>
      <c r="G473" s="0" t="n">
        <v>60.9</v>
      </c>
      <c r="H473" s="0" t="n">
        <v>56</v>
      </c>
      <c r="I473" s="46" t="s">
        <v>161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X473" s="46" t="n">
        <f aca="false">IF(I473="Male",0,1)</f>
        <v>1</v>
      </c>
      <c r="Y473" s="46" t="n">
        <f aca="false">IF(OR(I473="DNB",I473="Dry DNB"),1,0)</f>
        <v>0</v>
      </c>
      <c r="Z473" s="0" t="str">
        <f aca="false">IF(ISNUMBER(W473),A473-W473,"")</f>
        <v/>
      </c>
      <c r="AA473" s="46" t="n">
        <f aca="false">MATCH(A473,DATAS,0)</f>
        <v>1</v>
      </c>
      <c r="AB473" s="46" t="n">
        <f aca="false">IF(AND(E473&gt;0,OR(AND(B473&gt;=1,B473&lt;=6),B473=10)),1,0)</f>
        <v>1</v>
      </c>
      <c r="AC473" s="46" t="n">
        <f aca="false">IF(AND(E473&gt;0,B473=10),1,0)</f>
        <v>0</v>
      </c>
      <c r="AD473" s="0" t="str">
        <f aca="false">IF(AND(C472=C473,AA472=AA473-1),AB472,"")</f>
        <v/>
      </c>
      <c r="AE473" s="0" t="str">
        <f aca="false">IF(AND(C472=C473,AA472=AA473-1),AC472,"")</f>
        <v/>
      </c>
      <c r="AF473" s="0" t="str">
        <f aca="false">IF(AA473=1,"",IF(AND(AB473=1,AD473&lt;&gt;1),1,0))</f>
        <v/>
      </c>
      <c r="AG473" s="0" t="str">
        <f aca="false">IF(AA473=1,"",IF(AND(AC473=1,AE473&lt;&gt;1),1,0))</f>
        <v/>
      </c>
      <c r="AH473" s="51" t="str">
        <f aca="false">IF(AND(E473&gt;0,AA473&lt;1,NOT(AND(C474=C473,AA474=AA473+1))),INDEX(DATAS,AA473+1),"")</f>
        <v/>
      </c>
      <c r="AI473" s="51" t="str">
        <f aca="false">IF(AND(AC473=1,AA473&lt;1),IF(AND(C474=C473,AA474=AA473+1),IF(AC474=1,"",INDEX(DATAS,AA473+1)),INDEX(DATAS,AA473+1)),"")</f>
        <v/>
      </c>
    </row>
    <row r="474" customFormat="false" ht="15" hidden="false" customHeight="false" outlineLevel="0" collapsed="false">
      <c r="A474" s="51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46" t="s">
        <v>506</v>
      </c>
      <c r="G474" s="0" t="n">
        <v>63.6</v>
      </c>
      <c r="H474" s="0" t="n">
        <v>66</v>
      </c>
      <c r="I474" s="46" t="s">
        <v>138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X474" s="46" t="n">
        <f aca="false">IF(I474="Male",0,1)</f>
        <v>1</v>
      </c>
      <c r="Y474" s="46" t="n">
        <f aca="false">IF(OR(I474="DNB",I474="Dry DNB"),1,0)</f>
        <v>1</v>
      </c>
      <c r="Z474" s="0" t="str">
        <f aca="false">IF(ISNUMBER(W474),A474-W474,"")</f>
        <v/>
      </c>
      <c r="AA474" s="46" t="n">
        <f aca="false">MATCH(A474,DATAS,0)</f>
        <v>1</v>
      </c>
      <c r="AB474" s="46" t="n">
        <f aca="false">IF(AND(E474&gt;0,OR(AND(B474&gt;=1,B474&lt;=6),B474=10)),1,0)</f>
        <v>1</v>
      </c>
      <c r="AC474" s="46" t="n">
        <f aca="false">IF(AND(E474&gt;0,B474=10),1,0)</f>
        <v>0</v>
      </c>
      <c r="AD474" s="0" t="str">
        <f aca="false">IF(AND(C473=C474,AA473=AA474-1),AB473,"")</f>
        <v/>
      </c>
      <c r="AE474" s="0" t="str">
        <f aca="false">IF(AND(C473=C474,AA473=AA474-1),AC473,"")</f>
        <v/>
      </c>
      <c r="AF474" s="0" t="str">
        <f aca="false">IF(AA474=1,"",IF(AND(AB474=1,AD474&lt;&gt;1),1,0))</f>
        <v/>
      </c>
      <c r="AG474" s="0" t="str">
        <f aca="false">IF(AA474=1,"",IF(AND(AC474=1,AE474&lt;&gt;1),1,0))</f>
        <v/>
      </c>
      <c r="AH474" s="51" t="str">
        <f aca="false">IF(AND(E474&gt;0,AA474&lt;1,NOT(AND(C475=C474,AA475=AA474+1))),INDEX(DATAS,AA474+1),"")</f>
        <v/>
      </c>
      <c r="AI474" s="51" t="str">
        <f aca="false">IF(AND(AC474=1,AA474&lt;1),IF(AND(C475=C474,AA475=AA474+1),IF(AC475=1,"",INDEX(DATAS,AA474+1)),INDEX(DATAS,AA474+1)),"")</f>
        <v/>
      </c>
    </row>
    <row r="475" customFormat="false" ht="15" hidden="false" customHeight="false" outlineLevel="0" collapsed="false">
      <c r="A475" s="51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46" t="s">
        <v>507</v>
      </c>
      <c r="I475" s="46" t="s">
        <v>157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51" t="n">
        <v>46051</v>
      </c>
      <c r="X475" s="46" t="n">
        <f aca="false">IF(I475="Male",0,1)</f>
        <v>1</v>
      </c>
      <c r="Y475" s="46" t="n">
        <f aca="false">IF(OR(I475="DNB",I475="Dry DNB"),1,0)</f>
        <v>0</v>
      </c>
      <c r="Z475" s="46" t="n">
        <f aca="false">IF(ISNUMBER(W475),A475-W475,"")</f>
        <v>258</v>
      </c>
      <c r="AA475" s="46" t="n">
        <f aca="false">MATCH(A475,DATAS,0)</f>
        <v>1</v>
      </c>
      <c r="AB475" s="46" t="n">
        <f aca="false">IF(AND(E475&gt;0,OR(AND(B475&gt;=1,B475&lt;=6),B475=10)),1,0)</f>
        <v>0</v>
      </c>
      <c r="AC475" s="46" t="n">
        <f aca="false">IF(AND(E475&gt;0,B475=10),1,0)</f>
        <v>0</v>
      </c>
      <c r="AD475" s="0" t="str">
        <f aca="false">IF(AND(C474=C475,AA474=AA475-1),AB474,"")</f>
        <v/>
      </c>
      <c r="AE475" s="0" t="str">
        <f aca="false">IF(AND(C474=C475,AA474=AA475-1),AC474,"")</f>
        <v/>
      </c>
      <c r="AF475" s="0" t="str">
        <f aca="false">IF(AA475=1,"",IF(AND(AB475=1,AD475&lt;&gt;1),1,0))</f>
        <v/>
      </c>
      <c r="AG475" s="0" t="str">
        <f aca="false">IF(AA475=1,"",IF(AND(AC475=1,AE475&lt;&gt;1),1,0))</f>
        <v/>
      </c>
      <c r="AH475" s="51" t="str">
        <f aca="false">IF(AND(E475&gt;0,AA475&lt;1,NOT(AND(C476=C475,AA476=AA475+1))),INDEX(DATAS,AA475+1),"")</f>
        <v/>
      </c>
      <c r="AI475" s="51" t="str">
        <f aca="false">IF(AND(AC475=1,AA475&lt;1),IF(AND(C476=C475,AA476=AA475+1),IF(AC476=1,"",INDEX(DATAS,AA475+1)),INDEX(DATAS,AA475+1)),"")</f>
        <v/>
      </c>
    </row>
    <row r="476" customFormat="false" ht="15" hidden="false" customHeight="false" outlineLevel="0" collapsed="false">
      <c r="A476" s="51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46" t="s">
        <v>507</v>
      </c>
      <c r="I476" s="46" t="s">
        <v>157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51" t="n">
        <v>46044</v>
      </c>
      <c r="X476" s="46" t="n">
        <f aca="false">IF(I476="Male",0,1)</f>
        <v>1</v>
      </c>
      <c r="Y476" s="46" t="n">
        <f aca="false">IF(OR(I476="DNB",I476="Dry DNB"),1,0)</f>
        <v>0</v>
      </c>
      <c r="Z476" s="46" t="n">
        <f aca="false">IF(ISNUMBER(W476),A476-W476,"")</f>
        <v>265</v>
      </c>
      <c r="AA476" s="46" t="n">
        <f aca="false">MATCH(A476,DATAS,0)</f>
        <v>1</v>
      </c>
      <c r="AB476" s="46" t="n">
        <f aca="false">IF(AND(E476&gt;0,OR(AND(B476&gt;=1,B476&lt;=6),B476=10)),1,0)</f>
        <v>1</v>
      </c>
      <c r="AC476" s="46" t="n">
        <f aca="false">IF(AND(E476&gt;0,B476=10),1,0)</f>
        <v>0</v>
      </c>
      <c r="AD476" s="0" t="str">
        <f aca="false">IF(AND(C475=C476,AA475=AA476-1),AB475,"")</f>
        <v/>
      </c>
      <c r="AE476" s="0" t="str">
        <f aca="false">IF(AND(C475=C476,AA475=AA476-1),AC475,"")</f>
        <v/>
      </c>
      <c r="AF476" s="0" t="str">
        <f aca="false">IF(AA476=1,"",IF(AND(AB476=1,AD476&lt;&gt;1),1,0))</f>
        <v/>
      </c>
      <c r="AG476" s="0" t="str">
        <f aca="false">IF(AA476=1,"",IF(AND(AC476=1,AE476&lt;&gt;1),1,0))</f>
        <v/>
      </c>
      <c r="AH476" s="51" t="str">
        <f aca="false">IF(AND(E476&gt;0,AA476&lt;1,NOT(AND(C477=C476,AA477=AA476+1))),INDEX(DATAS,AA476+1),"")</f>
        <v/>
      </c>
      <c r="AI476" s="51" t="str">
        <f aca="false">IF(AND(AC476=1,AA476&lt;1),IF(AND(C477=C476,AA477=AA476+1),IF(AC477=1,"",INDEX(DATAS,AA476+1)),INDEX(DATAS,AA476+1)),"")</f>
        <v/>
      </c>
    </row>
    <row r="477" customFormat="false" ht="15" hidden="false" customHeight="false" outlineLevel="0" collapsed="false">
      <c r="A477" s="51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46" t="s">
        <v>507</v>
      </c>
      <c r="G477" s="0" t="n">
        <v>66.7</v>
      </c>
      <c r="H477" s="0" t="n">
        <v>65</v>
      </c>
      <c r="I477" s="46" t="s">
        <v>161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X477" s="46" t="n">
        <f aca="false">IF(I477="Male",0,1)</f>
        <v>1</v>
      </c>
      <c r="Y477" s="46" t="n">
        <f aca="false">IF(OR(I477="DNB",I477="Dry DNB"),1,0)</f>
        <v>0</v>
      </c>
      <c r="Z477" s="0" t="str">
        <f aca="false">IF(ISNUMBER(W477),A477-W477,"")</f>
        <v/>
      </c>
      <c r="AA477" s="46" t="n">
        <f aca="false">MATCH(A477,DATAS,0)</f>
        <v>1</v>
      </c>
      <c r="AB477" s="46" t="n">
        <f aca="false">IF(AND(E477&gt;0,OR(AND(B477&gt;=1,B477&lt;=6),B477=10)),1,0)</f>
        <v>1</v>
      </c>
      <c r="AC477" s="46" t="n">
        <f aca="false">IF(AND(E477&gt;0,B477=10),1,0)</f>
        <v>0</v>
      </c>
      <c r="AD477" s="0" t="str">
        <f aca="false">IF(AND(C476=C477,AA476=AA477-1),AB476,"")</f>
        <v/>
      </c>
      <c r="AE477" s="0" t="str">
        <f aca="false">IF(AND(C476=C477,AA476=AA477-1),AC476,"")</f>
        <v/>
      </c>
      <c r="AF477" s="0" t="str">
        <f aca="false">IF(AA477=1,"",IF(AND(AB477=1,AD477&lt;&gt;1),1,0))</f>
        <v/>
      </c>
      <c r="AG477" s="0" t="str">
        <f aca="false">IF(AA477=1,"",IF(AND(AC477=1,AE477&lt;&gt;1),1,0))</f>
        <v/>
      </c>
      <c r="AH477" s="51" t="str">
        <f aca="false">IF(AND(E477&gt;0,AA477&lt;1,NOT(AND(C478=C477,AA478=AA477+1))),INDEX(DATAS,AA477+1),"")</f>
        <v/>
      </c>
      <c r="AI477" s="51" t="str">
        <f aca="false">IF(AND(AC477=1,AA477&lt;1),IF(AND(C478=C477,AA478=AA477+1),IF(AC478=1,"",INDEX(DATAS,AA477+1)),INDEX(DATAS,AA477+1)),"")</f>
        <v/>
      </c>
    </row>
    <row r="478" customFormat="false" ht="15" hidden="false" customHeight="false" outlineLevel="0" collapsed="false">
      <c r="A478" s="51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46" t="s">
        <v>508</v>
      </c>
      <c r="G478" s="0" t="n">
        <v>61</v>
      </c>
      <c r="H478" s="0" t="n">
        <v>70</v>
      </c>
      <c r="I478" s="46" t="s">
        <v>152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51" t="n">
        <v>46278</v>
      </c>
      <c r="X478" s="46" t="n">
        <f aca="false">IF(I478="Male",0,1)</f>
        <v>1</v>
      </c>
      <c r="Y478" s="46" t="n">
        <f aca="false">IF(OR(I478="DNB",I478="Dry DNB"),1,0)</f>
        <v>0</v>
      </c>
      <c r="Z478" s="46" t="n">
        <f aca="false">IF(ISNUMBER(W478),A478-W478,"")</f>
        <v>31</v>
      </c>
      <c r="AA478" s="46" t="n">
        <f aca="false">MATCH(A478,DATAS,0)</f>
        <v>1</v>
      </c>
      <c r="AB478" s="46" t="n">
        <f aca="false">IF(AND(E478&gt;0,OR(AND(B478&gt;=1,B478&lt;=6),B478=10)),1,0)</f>
        <v>1</v>
      </c>
      <c r="AC478" s="46" t="n">
        <f aca="false">IF(AND(E478&gt;0,B478=10),1,0)</f>
        <v>0</v>
      </c>
      <c r="AD478" s="0" t="str">
        <f aca="false">IF(AND(C477=C478,AA477=AA478-1),AB477,"")</f>
        <v/>
      </c>
      <c r="AE478" s="0" t="str">
        <f aca="false">IF(AND(C477=C478,AA477=AA478-1),AC477,"")</f>
        <v/>
      </c>
      <c r="AF478" s="0" t="str">
        <f aca="false">IF(AA478=1,"",IF(AND(AB478=1,AD478&lt;&gt;1),1,0))</f>
        <v/>
      </c>
      <c r="AG478" s="0" t="str">
        <f aca="false">IF(AA478=1,"",IF(AND(AC478=1,AE478&lt;&gt;1),1,0))</f>
        <v/>
      </c>
      <c r="AH478" s="51" t="str">
        <f aca="false">IF(AND(E478&gt;0,AA478&lt;1,NOT(AND(C479=C478,AA479=AA478+1))),INDEX(DATAS,AA478+1),"")</f>
        <v/>
      </c>
      <c r="AI478" s="51" t="str">
        <f aca="false">IF(AND(AC478=1,AA478&lt;1),IF(AND(C479=C478,AA479=AA478+1),IF(AC479=1,"",INDEX(DATAS,AA478+1)),INDEX(DATAS,AA478+1)),"")</f>
        <v/>
      </c>
    </row>
    <row r="479" customFormat="false" ht="15" hidden="false" customHeight="false" outlineLevel="0" collapsed="false">
      <c r="A479" s="51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46" t="s">
        <v>508</v>
      </c>
      <c r="G479" s="0" t="n">
        <v>48</v>
      </c>
      <c r="H479" s="0" t="n">
        <v>43</v>
      </c>
      <c r="I479" s="46" t="s">
        <v>161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X479" s="46" t="n">
        <f aca="false">IF(I479="Male",0,1)</f>
        <v>1</v>
      </c>
      <c r="Y479" s="46" t="n">
        <f aca="false">IF(OR(I479="DNB",I479="Dry DNB"),1,0)</f>
        <v>0</v>
      </c>
      <c r="Z479" s="0" t="str">
        <f aca="false">IF(ISNUMBER(W479),A479-W479,"")</f>
        <v/>
      </c>
      <c r="AA479" s="46" t="n">
        <f aca="false">MATCH(A479,DATAS,0)</f>
        <v>1</v>
      </c>
      <c r="AB479" s="46" t="n">
        <f aca="false">IF(AND(E479&gt;0,OR(AND(B479&gt;=1,B479&lt;=6),B479=10)),1,0)</f>
        <v>1</v>
      </c>
      <c r="AC479" s="46" t="n">
        <f aca="false">IF(AND(E479&gt;0,B479=10),1,0)</f>
        <v>0</v>
      </c>
      <c r="AD479" s="0" t="str">
        <f aca="false">IF(AND(C478=C479,AA478=AA479-1),AB478,"")</f>
        <v/>
      </c>
      <c r="AE479" s="0" t="str">
        <f aca="false">IF(AND(C478=C479,AA478=AA479-1),AC478,"")</f>
        <v/>
      </c>
      <c r="AF479" s="0" t="str">
        <f aca="false">IF(AA479=1,"",IF(AND(AB479=1,AD479&lt;&gt;1),1,0))</f>
        <v/>
      </c>
      <c r="AG479" s="0" t="str">
        <f aca="false">IF(AA479=1,"",IF(AND(AC479=1,AE479&lt;&gt;1),1,0))</f>
        <v/>
      </c>
      <c r="AH479" s="51" t="str">
        <f aca="false">IF(AND(E479&gt;0,AA479&lt;1,NOT(AND(C480=C479,AA480=AA479+1))),INDEX(DATAS,AA479+1),"")</f>
        <v/>
      </c>
      <c r="AI479" s="51" t="str">
        <f aca="false">IF(AND(AC479=1,AA479&lt;1),IF(AND(C480=C479,AA480=AA479+1),IF(AC480=1,"",INDEX(DATAS,AA479+1)),INDEX(DATAS,AA479+1)),"")</f>
        <v/>
      </c>
    </row>
    <row r="480" customFormat="false" ht="15" hidden="false" customHeight="false" outlineLevel="0" collapsed="false">
      <c r="A480" s="51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46" t="s">
        <v>508</v>
      </c>
      <c r="G480" s="0" t="n">
        <v>55.3</v>
      </c>
      <c r="H480" s="0" t="n">
        <v>56</v>
      </c>
      <c r="I480" s="46" t="s">
        <v>152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51" t="n">
        <v>46142</v>
      </c>
      <c r="X480" s="46" t="n">
        <f aca="false">IF(I480="Male",0,1)</f>
        <v>1</v>
      </c>
      <c r="Y480" s="46" t="n">
        <f aca="false">IF(OR(I480="DNB",I480="Dry DNB"),1,0)</f>
        <v>0</v>
      </c>
      <c r="Z480" s="46" t="n">
        <f aca="false">IF(ISNUMBER(W480),A480-W480,"")</f>
        <v>167</v>
      </c>
      <c r="AA480" s="46" t="n">
        <f aca="false">MATCH(A480,DATAS,0)</f>
        <v>1</v>
      </c>
      <c r="AB480" s="46" t="n">
        <f aca="false">IF(AND(E480&gt;0,OR(AND(B480&gt;=1,B480&lt;=6),B480=10)),1,0)</f>
        <v>1</v>
      </c>
      <c r="AC480" s="46" t="n">
        <f aca="false">IF(AND(E480&gt;0,B480=10),1,0)</f>
        <v>0</v>
      </c>
      <c r="AD480" s="0" t="str">
        <f aca="false">IF(AND(C479=C480,AA479=AA480-1),AB479,"")</f>
        <v/>
      </c>
      <c r="AE480" s="0" t="str">
        <f aca="false">IF(AND(C479=C480,AA479=AA480-1),AC479,"")</f>
        <v/>
      </c>
      <c r="AF480" s="0" t="str">
        <f aca="false">IF(AA480=1,"",IF(AND(AB480=1,AD480&lt;&gt;1),1,0))</f>
        <v/>
      </c>
      <c r="AG480" s="0" t="str">
        <f aca="false">IF(AA480=1,"",IF(AND(AC480=1,AE480&lt;&gt;1),1,0))</f>
        <v/>
      </c>
      <c r="AH480" s="51" t="str">
        <f aca="false">IF(AND(E480&gt;0,AA480&lt;1,NOT(AND(C481=C480,AA481=AA480+1))),INDEX(DATAS,AA480+1),"")</f>
        <v/>
      </c>
      <c r="AI480" s="51" t="str">
        <f aca="false">IF(AND(AC480=1,AA480&lt;1),IF(AND(C481=C480,AA481=AA480+1),IF(AC481=1,"",INDEX(DATAS,AA480+1)),INDEX(DATAS,AA480+1)),"")</f>
        <v/>
      </c>
    </row>
    <row r="481" customFormat="false" ht="15" hidden="false" customHeight="false" outlineLevel="0" collapsed="false">
      <c r="A481" s="51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46" t="s">
        <v>509</v>
      </c>
      <c r="G481" s="0" t="n">
        <v>16.5</v>
      </c>
      <c r="H481" s="0" t="n">
        <v>16</v>
      </c>
      <c r="I481" s="46" t="s">
        <v>152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51" t="n">
        <v>46093</v>
      </c>
      <c r="X481" s="46" t="n">
        <f aca="false">IF(I481="Male",0,1)</f>
        <v>1</v>
      </c>
      <c r="Y481" s="46" t="n">
        <f aca="false">IF(OR(I481="DNB",I481="Dry DNB"),1,0)</f>
        <v>0</v>
      </c>
      <c r="Z481" s="46" t="n">
        <f aca="false">IF(ISNUMBER(W481),A481-W481,"")</f>
        <v>216</v>
      </c>
      <c r="AA481" s="46" t="n">
        <f aca="false">MATCH(A481,DATAS,0)</f>
        <v>1</v>
      </c>
      <c r="AB481" s="46" t="n">
        <f aca="false">IF(AND(E481&gt;0,OR(AND(B481&gt;=1,B481&lt;=6),B481=10)),1,0)</f>
        <v>1</v>
      </c>
      <c r="AC481" s="46" t="n">
        <f aca="false">IF(AND(E481&gt;0,B481=10),1,0)</f>
        <v>0</v>
      </c>
      <c r="AD481" s="0" t="str">
        <f aca="false">IF(AND(C480=C481,AA480=AA481-1),AB480,"")</f>
        <v/>
      </c>
      <c r="AE481" s="0" t="str">
        <f aca="false">IF(AND(C480=C481,AA480=AA481-1),AC480,"")</f>
        <v/>
      </c>
      <c r="AF481" s="0" t="str">
        <f aca="false">IF(AA481=1,"",IF(AND(AB481=1,AD481&lt;&gt;1),1,0))</f>
        <v/>
      </c>
      <c r="AG481" s="0" t="str">
        <f aca="false">IF(AA481=1,"",IF(AND(AC481=1,AE481&lt;&gt;1),1,0))</f>
        <v/>
      </c>
      <c r="AH481" s="51" t="str">
        <f aca="false">IF(AND(E481&gt;0,AA481&lt;1,NOT(AND(C482=C481,AA482=AA481+1))),INDEX(DATAS,AA481+1),"")</f>
        <v/>
      </c>
      <c r="AI481" s="51" t="str">
        <f aca="false">IF(AND(AC481=1,AA481&lt;1),IF(AND(C482=C481,AA482=AA481+1),IF(AC482=1,"",INDEX(DATAS,AA481+1)),INDEX(DATAS,AA481+1)),"")</f>
        <v/>
      </c>
    </row>
    <row r="482" customFormat="false" ht="15" hidden="false" customHeight="false" outlineLevel="0" collapsed="false">
      <c r="A482" s="51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46" t="s">
        <v>509</v>
      </c>
      <c r="G482" s="0" t="n">
        <v>39.3</v>
      </c>
      <c r="H482" s="0" t="n">
        <v>35</v>
      </c>
      <c r="I482" s="46" t="s">
        <v>181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51" t="n">
        <v>46282</v>
      </c>
      <c r="X482" s="46" t="n">
        <f aca="false">IF(I482="Male",0,1)</f>
        <v>1</v>
      </c>
      <c r="Y482" s="46" t="n">
        <f aca="false">IF(OR(I482="DNB",I482="Dry DNB"),1,0)</f>
        <v>0</v>
      </c>
      <c r="Z482" s="46" t="n">
        <f aca="false">IF(ISNUMBER(W482),A482-W482,"")</f>
        <v>27</v>
      </c>
      <c r="AA482" s="46" t="n">
        <f aca="false">MATCH(A482,DATAS,0)</f>
        <v>1</v>
      </c>
      <c r="AB482" s="46" t="n">
        <f aca="false">IF(AND(E482&gt;0,OR(AND(B482&gt;=1,B482&lt;=6),B482=10)),1,0)</f>
        <v>1</v>
      </c>
      <c r="AC482" s="46" t="n">
        <f aca="false">IF(AND(E482&gt;0,B482=10),1,0)</f>
        <v>0</v>
      </c>
      <c r="AD482" s="0" t="str">
        <f aca="false">IF(AND(C481=C482,AA481=AA482-1),AB481,"")</f>
        <v/>
      </c>
      <c r="AE482" s="0" t="str">
        <f aca="false">IF(AND(C481=C482,AA481=AA482-1),AC481,"")</f>
        <v/>
      </c>
      <c r="AF482" s="0" t="str">
        <f aca="false">IF(AA482=1,"",IF(AND(AB482=1,AD482&lt;&gt;1),1,0))</f>
        <v/>
      </c>
      <c r="AG482" s="0" t="str">
        <f aca="false">IF(AA482=1,"",IF(AND(AC482=1,AE482&lt;&gt;1),1,0))</f>
        <v/>
      </c>
      <c r="AH482" s="51" t="str">
        <f aca="false">IF(AND(E482&gt;0,AA482&lt;1,NOT(AND(C483=C482,AA483=AA482+1))),INDEX(DATAS,AA482+1),"")</f>
        <v/>
      </c>
      <c r="AI482" s="51" t="str">
        <f aca="false">IF(AND(AC482=1,AA482&lt;1),IF(AND(C483=C482,AA483=AA482+1),IF(AC483=1,"",INDEX(DATAS,AA482+1)),INDEX(DATAS,AA482+1)),"")</f>
        <v/>
      </c>
    </row>
    <row r="483" customFormat="false" ht="15" hidden="false" customHeight="false" outlineLevel="0" collapsed="false">
      <c r="A483" s="51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46" t="s">
        <v>510</v>
      </c>
      <c r="G483" s="0" t="n">
        <v>64.3</v>
      </c>
      <c r="H483" s="0" t="n">
        <v>59</v>
      </c>
      <c r="I483" s="46" t="s">
        <v>181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51" t="n">
        <v>46285</v>
      </c>
      <c r="X483" s="46" t="n">
        <f aca="false">IF(I483="Male",0,1)</f>
        <v>1</v>
      </c>
      <c r="Y483" s="46" t="n">
        <f aca="false">IF(OR(I483="DNB",I483="Dry DNB"),1,0)</f>
        <v>0</v>
      </c>
      <c r="Z483" s="46" t="n">
        <f aca="false">IF(ISNUMBER(W483),A483-W483,"")</f>
        <v>24</v>
      </c>
      <c r="AA483" s="46" t="n">
        <f aca="false">MATCH(A483,DATAS,0)</f>
        <v>1</v>
      </c>
      <c r="AB483" s="46" t="n">
        <f aca="false">IF(AND(E483&gt;0,OR(AND(B483&gt;=1,B483&lt;=6),B483=10)),1,0)</f>
        <v>1</v>
      </c>
      <c r="AC483" s="46" t="n">
        <f aca="false">IF(AND(E483&gt;0,B483=10),1,0)</f>
        <v>0</v>
      </c>
      <c r="AD483" s="0" t="str">
        <f aca="false">IF(AND(C482=C483,AA482=AA483-1),AB482,"")</f>
        <v/>
      </c>
      <c r="AE483" s="0" t="str">
        <f aca="false">IF(AND(C482=C483,AA482=AA483-1),AC482,"")</f>
        <v/>
      </c>
      <c r="AF483" s="0" t="str">
        <f aca="false">IF(AA483=1,"",IF(AND(AB483=1,AD483&lt;&gt;1),1,0))</f>
        <v/>
      </c>
      <c r="AG483" s="0" t="str">
        <f aca="false">IF(AA483=1,"",IF(AND(AC483=1,AE483&lt;&gt;1),1,0))</f>
        <v/>
      </c>
      <c r="AH483" s="51" t="str">
        <f aca="false">IF(AND(E483&gt;0,AA483&lt;1,NOT(AND(C484=C483,AA484=AA483+1))),INDEX(DATAS,AA483+1),"")</f>
        <v/>
      </c>
      <c r="AI483" s="51" t="str">
        <f aca="false">IF(AND(AC483=1,AA483&lt;1),IF(AND(C484=C483,AA484=AA483+1),IF(AC484=1,"",INDEX(DATAS,AA483+1)),INDEX(DATAS,AA483+1)),"")</f>
        <v/>
      </c>
    </row>
    <row r="484" customFormat="false" ht="15" hidden="false" customHeight="false" outlineLevel="0" collapsed="false">
      <c r="A484" s="51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46" t="s">
        <v>511</v>
      </c>
      <c r="G484" s="0" t="n">
        <v>67.5</v>
      </c>
      <c r="H484" s="0" t="n">
        <v>61</v>
      </c>
      <c r="I484" s="46" t="s">
        <v>181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51" t="n">
        <v>46310</v>
      </c>
      <c r="X484" s="46" t="n">
        <f aca="false">IF(I484="Male",0,1)</f>
        <v>1</v>
      </c>
      <c r="Y484" s="46" t="n">
        <f aca="false">IF(OR(I484="DNB",I484="Dry DNB"),1,0)</f>
        <v>0</v>
      </c>
      <c r="Z484" s="46" t="n">
        <f aca="false">IF(ISNUMBER(W484),A484-W484,"")</f>
        <v>-1</v>
      </c>
      <c r="AA484" s="46" t="n">
        <f aca="false">MATCH(A484,DATAS,0)</f>
        <v>1</v>
      </c>
      <c r="AB484" s="46" t="n">
        <f aca="false">IF(AND(E484&gt;0,OR(AND(B484&gt;=1,B484&lt;=6),B484=10)),1,0)</f>
        <v>1</v>
      </c>
      <c r="AC484" s="46" t="n">
        <f aca="false">IF(AND(E484&gt;0,B484=10),1,0)</f>
        <v>0</v>
      </c>
      <c r="AD484" s="0" t="str">
        <f aca="false">IF(AND(C483=C484,AA483=AA484-1),AB483,"")</f>
        <v/>
      </c>
      <c r="AE484" s="0" t="str">
        <f aca="false">IF(AND(C483=C484,AA483=AA484-1),AC483,"")</f>
        <v/>
      </c>
      <c r="AF484" s="0" t="str">
        <f aca="false">IF(AA484=1,"",IF(AND(AB484=1,AD484&lt;&gt;1),1,0))</f>
        <v/>
      </c>
      <c r="AG484" s="0" t="str">
        <f aca="false">IF(AA484=1,"",IF(AND(AC484=1,AE484&lt;&gt;1),1,0))</f>
        <v/>
      </c>
      <c r="AH484" s="51" t="str">
        <f aca="false">IF(AND(E484&gt;0,AA484&lt;1,NOT(AND(C485=C484,AA485=AA484+1))),INDEX(DATAS,AA484+1),"")</f>
        <v/>
      </c>
      <c r="AI484" s="51" t="str">
        <f aca="false">IF(AND(AC484=1,AA484&lt;1),IF(AND(C485=C484,AA485=AA484+1),IF(AC485=1,"",INDEX(DATAS,AA484+1)),INDEX(DATAS,AA484+1)),"")</f>
        <v/>
      </c>
    </row>
    <row r="485" customFormat="false" ht="15" hidden="false" customHeight="false" outlineLevel="0" collapsed="false">
      <c r="A485" s="51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46" t="s">
        <v>512</v>
      </c>
      <c r="G485" s="0" t="n">
        <v>38.9</v>
      </c>
      <c r="H485" s="0" t="n">
        <v>41</v>
      </c>
      <c r="I485" s="46" t="s">
        <v>152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51" t="n">
        <v>46205</v>
      </c>
      <c r="X485" s="46" t="n">
        <f aca="false">IF(I485="Male",0,1)</f>
        <v>1</v>
      </c>
      <c r="Y485" s="46" t="n">
        <f aca="false">IF(OR(I485="DNB",I485="Dry DNB"),1,0)</f>
        <v>0</v>
      </c>
      <c r="Z485" s="46" t="n">
        <f aca="false">IF(ISNUMBER(W485),A485-W485,"")</f>
        <v>104</v>
      </c>
      <c r="AA485" s="46" t="n">
        <f aca="false">MATCH(A485,DATAS,0)</f>
        <v>1</v>
      </c>
      <c r="AB485" s="46" t="n">
        <f aca="false">IF(AND(E485&gt;0,OR(AND(B485&gt;=1,B485&lt;=6),B485=10)),1,0)</f>
        <v>1</v>
      </c>
      <c r="AC485" s="46" t="n">
        <f aca="false">IF(AND(E485&gt;0,B485=10),1,0)</f>
        <v>0</v>
      </c>
      <c r="AD485" s="0" t="str">
        <f aca="false">IF(AND(C484=C485,AA484=AA485-1),AB484,"")</f>
        <v/>
      </c>
      <c r="AE485" s="0" t="str">
        <f aca="false">IF(AND(C484=C485,AA484=AA485-1),AC484,"")</f>
        <v/>
      </c>
      <c r="AF485" s="0" t="str">
        <f aca="false">IF(AA485=1,"",IF(AND(AB485=1,AD485&lt;&gt;1),1,0))</f>
        <v/>
      </c>
      <c r="AG485" s="0" t="str">
        <f aca="false">IF(AA485=1,"",IF(AND(AC485=1,AE485&lt;&gt;1),1,0))</f>
        <v/>
      </c>
      <c r="AH485" s="51" t="str">
        <f aca="false">IF(AND(E485&gt;0,AA485&lt;1,NOT(AND(C486=C485,AA486=AA485+1))),INDEX(DATAS,AA485+1),"")</f>
        <v/>
      </c>
      <c r="AI485" s="51" t="str">
        <f aca="false">IF(AND(AC485=1,AA485&lt;1),IF(AND(C486=C485,AA486=AA485+1),IF(AC486=1,"",INDEX(DATAS,AA485+1)),INDEX(DATAS,AA485+1)),"")</f>
        <v/>
      </c>
    </row>
    <row r="486" customFormat="false" ht="15" hidden="false" customHeight="false" outlineLevel="0" collapsed="false">
      <c r="A486" s="51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46" t="s">
        <v>512</v>
      </c>
      <c r="G486" s="0" t="n">
        <v>64</v>
      </c>
      <c r="H486" s="0" t="n">
        <v>61</v>
      </c>
      <c r="I486" s="46" t="s">
        <v>181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51" t="n">
        <v>46303</v>
      </c>
      <c r="X486" s="46" t="n">
        <f aca="false">IF(I486="Male",0,1)</f>
        <v>1</v>
      </c>
      <c r="Y486" s="46" t="n">
        <f aca="false">IF(OR(I486="DNB",I486="Dry DNB"),1,0)</f>
        <v>0</v>
      </c>
      <c r="Z486" s="46" t="n">
        <f aca="false">IF(ISNUMBER(W486),A486-W486,"")</f>
        <v>6</v>
      </c>
      <c r="AA486" s="46" t="n">
        <f aca="false">MATCH(A486,DATAS,0)</f>
        <v>1</v>
      </c>
      <c r="AB486" s="46" t="n">
        <f aca="false">IF(AND(E486&gt;0,OR(AND(B486&gt;=1,B486&lt;=6),B486=10)),1,0)</f>
        <v>1</v>
      </c>
      <c r="AC486" s="46" t="n">
        <f aca="false">IF(AND(E486&gt;0,B486=10),1,0)</f>
        <v>0</v>
      </c>
      <c r="AD486" s="0" t="str">
        <f aca="false">IF(AND(C485=C486,AA485=AA486-1),AB485,"")</f>
        <v/>
      </c>
      <c r="AE486" s="0" t="str">
        <f aca="false">IF(AND(C485=C486,AA485=AA486-1),AC485,"")</f>
        <v/>
      </c>
      <c r="AF486" s="0" t="str">
        <f aca="false">IF(AA486=1,"",IF(AND(AB486=1,AD486&lt;&gt;1),1,0))</f>
        <v/>
      </c>
      <c r="AG486" s="0" t="str">
        <f aca="false">IF(AA486=1,"",IF(AND(AC486=1,AE486&lt;&gt;1),1,0))</f>
        <v/>
      </c>
      <c r="AH486" s="51" t="str">
        <f aca="false">IF(AND(E486&gt;0,AA486&lt;1,NOT(AND(C487=C486,AA487=AA486+1))),INDEX(DATAS,AA486+1),"")</f>
        <v/>
      </c>
      <c r="AI486" s="51" t="str">
        <f aca="false">IF(AND(AC486=1,AA486&lt;1),IF(AND(C487=C486,AA487=AA486+1),IF(AC487=1,"",INDEX(DATAS,AA486+1)),INDEX(DATAS,AA486+1)),"")</f>
        <v/>
      </c>
    </row>
    <row r="487" customFormat="false" ht="15" hidden="false" customHeight="false" outlineLevel="0" collapsed="false">
      <c r="A487" s="51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46" t="s">
        <v>512</v>
      </c>
      <c r="G487" s="0" t="n">
        <v>69.1</v>
      </c>
      <c r="H487" s="0" t="n">
        <v>62</v>
      </c>
      <c r="I487" s="46" t="s">
        <v>181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51" t="n">
        <v>46296</v>
      </c>
      <c r="X487" s="46" t="n">
        <f aca="false">IF(I487="Male",0,1)</f>
        <v>1</v>
      </c>
      <c r="Y487" s="46" t="n">
        <f aca="false">IF(OR(I487="DNB",I487="Dry DNB"),1,0)</f>
        <v>0</v>
      </c>
      <c r="Z487" s="46" t="n">
        <f aca="false">IF(ISNUMBER(W487),A487-W487,"")</f>
        <v>13</v>
      </c>
      <c r="AA487" s="46" t="n">
        <f aca="false">MATCH(A487,DATAS,0)</f>
        <v>1</v>
      </c>
      <c r="AB487" s="46" t="n">
        <f aca="false">IF(AND(E487&gt;0,OR(AND(B487&gt;=1,B487&lt;=6),B487=10)),1,0)</f>
        <v>1</v>
      </c>
      <c r="AC487" s="46" t="n">
        <f aca="false">IF(AND(E487&gt;0,B487=10),1,0)</f>
        <v>0</v>
      </c>
      <c r="AD487" s="0" t="str">
        <f aca="false">IF(AND(C486=C487,AA486=AA487-1),AB486,"")</f>
        <v/>
      </c>
      <c r="AE487" s="0" t="str">
        <f aca="false">IF(AND(C486=C487,AA486=AA487-1),AC486,"")</f>
        <v/>
      </c>
      <c r="AF487" s="0" t="str">
        <f aca="false">IF(AA487=1,"",IF(AND(AB487=1,AD487&lt;&gt;1),1,0))</f>
        <v/>
      </c>
      <c r="AG487" s="0" t="str">
        <f aca="false">IF(AA487=1,"",IF(AND(AC487=1,AE487&lt;&gt;1),1,0))</f>
        <v/>
      </c>
      <c r="AH487" s="51" t="str">
        <f aca="false">IF(AND(E487&gt;0,AA487&lt;1,NOT(AND(C488=C487,AA488=AA487+1))),INDEX(DATAS,AA487+1),"")</f>
        <v/>
      </c>
      <c r="AI487" s="51" t="str">
        <f aca="false">IF(AND(AC487=1,AA487&lt;1),IF(AND(C488=C487,AA488=AA487+1),IF(AC488=1,"",INDEX(DATAS,AA487+1)),INDEX(DATAS,AA487+1)),"")</f>
        <v/>
      </c>
    </row>
    <row r="488" customFormat="false" ht="15" hidden="false" customHeight="false" outlineLevel="0" collapsed="false">
      <c r="A488" s="51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46" t="s">
        <v>513</v>
      </c>
      <c r="G488" s="0" t="n">
        <v>40.9</v>
      </c>
      <c r="H488" s="0" t="n">
        <v>39</v>
      </c>
      <c r="I488" s="46" t="s">
        <v>152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51" t="n">
        <v>46121</v>
      </c>
      <c r="X488" s="46" t="n">
        <f aca="false">IF(I488="Male",0,1)</f>
        <v>1</v>
      </c>
      <c r="Y488" s="46" t="n">
        <f aca="false">IF(OR(I488="DNB",I488="Dry DNB"),1,0)</f>
        <v>0</v>
      </c>
      <c r="Z488" s="46" t="n">
        <f aca="false">IF(ISNUMBER(W488),A488-W488,"")</f>
        <v>188</v>
      </c>
      <c r="AA488" s="46" t="n">
        <f aca="false">MATCH(A488,DATAS,0)</f>
        <v>1</v>
      </c>
      <c r="AB488" s="46" t="n">
        <f aca="false">IF(AND(E488&gt;0,OR(AND(B488&gt;=1,B488&lt;=6),B488=10)),1,0)</f>
        <v>1</v>
      </c>
      <c r="AC488" s="46" t="n">
        <f aca="false">IF(AND(E488&gt;0,B488=10),1,0)</f>
        <v>0</v>
      </c>
      <c r="AD488" s="0" t="str">
        <f aca="false">IF(AND(C487=C488,AA487=AA488-1),AB487,"")</f>
        <v/>
      </c>
      <c r="AE488" s="0" t="str">
        <f aca="false">IF(AND(C487=C488,AA487=AA488-1),AC487,"")</f>
        <v/>
      </c>
      <c r="AF488" s="0" t="str">
        <f aca="false">IF(AA488=1,"",IF(AND(AB488=1,AD488&lt;&gt;1),1,0))</f>
        <v/>
      </c>
      <c r="AG488" s="0" t="str">
        <f aca="false">IF(AA488=1,"",IF(AND(AC488=1,AE488&lt;&gt;1),1,0))</f>
        <v/>
      </c>
      <c r="AH488" s="51" t="str">
        <f aca="false">IF(AND(E488&gt;0,AA488&lt;1,NOT(AND(C489=C488,AA489=AA488+1))),INDEX(DATAS,AA488+1),"")</f>
        <v/>
      </c>
      <c r="AI488" s="51" t="str">
        <f aca="false">IF(AND(AC488=1,AA488&lt;1),IF(AND(C489=C488,AA489=AA488+1),IF(AC489=1,"",INDEX(DATAS,AA488+1)),INDEX(DATAS,AA488+1)),"")</f>
        <v/>
      </c>
    </row>
    <row r="489" customFormat="false" ht="15" hidden="false" customHeight="false" outlineLevel="0" collapsed="false">
      <c r="A489" s="51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46" t="s">
        <v>514</v>
      </c>
      <c r="G489" s="0" t="n">
        <v>59.8</v>
      </c>
      <c r="H489" s="0" t="n">
        <v>64</v>
      </c>
      <c r="I489" s="46" t="s">
        <v>152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51" t="n">
        <v>46184</v>
      </c>
      <c r="X489" s="46" t="n">
        <f aca="false">IF(I489="Male",0,1)</f>
        <v>1</v>
      </c>
      <c r="Y489" s="46" t="n">
        <f aca="false">IF(OR(I489="DNB",I489="Dry DNB"),1,0)</f>
        <v>0</v>
      </c>
      <c r="Z489" s="46" t="n">
        <f aca="false">IF(ISNUMBER(W489),A489-W489,"")</f>
        <v>125</v>
      </c>
      <c r="AA489" s="46" t="n">
        <f aca="false">MATCH(A489,DATAS,0)</f>
        <v>1</v>
      </c>
      <c r="AB489" s="46" t="n">
        <f aca="false">IF(AND(E489&gt;0,OR(AND(B489&gt;=1,B489&lt;=6),B489=10)),1,0)</f>
        <v>1</v>
      </c>
      <c r="AC489" s="46" t="n">
        <f aca="false">IF(AND(E489&gt;0,B489=10),1,0)</f>
        <v>0</v>
      </c>
      <c r="AD489" s="0" t="str">
        <f aca="false">IF(AND(C488=C489,AA488=AA489-1),AB488,"")</f>
        <v/>
      </c>
      <c r="AE489" s="0" t="str">
        <f aca="false">IF(AND(C488=C489,AA488=AA489-1),AC488,"")</f>
        <v/>
      </c>
      <c r="AF489" s="0" t="str">
        <f aca="false">IF(AA489=1,"",IF(AND(AB489=1,AD489&lt;&gt;1),1,0))</f>
        <v/>
      </c>
      <c r="AG489" s="0" t="str">
        <f aca="false">IF(AA489=1,"",IF(AND(AC489=1,AE489&lt;&gt;1),1,0))</f>
        <v/>
      </c>
      <c r="AH489" s="51" t="str">
        <f aca="false">IF(AND(E489&gt;0,AA489&lt;1,NOT(AND(C490=C489,AA490=AA489+1))),INDEX(DATAS,AA489+1),"")</f>
        <v/>
      </c>
      <c r="AI489" s="51" t="str">
        <f aca="false">IF(AND(AC489=1,AA489&lt;1),IF(AND(C490=C489,AA490=AA489+1),IF(AC490=1,"",INDEX(DATAS,AA489+1)),INDEX(DATAS,AA489+1)),"")</f>
        <v/>
      </c>
    </row>
    <row r="490" customFormat="false" ht="15" hidden="false" customHeight="false" outlineLevel="0" collapsed="false">
      <c r="A490" s="51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46" t="s">
        <v>514</v>
      </c>
      <c r="G490" s="0" t="n">
        <v>25.8</v>
      </c>
      <c r="H490" s="0" t="n">
        <v>27</v>
      </c>
      <c r="I490" s="46" t="s">
        <v>152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51" t="n">
        <v>46184</v>
      </c>
      <c r="X490" s="46" t="n">
        <f aca="false">IF(I490="Male",0,1)</f>
        <v>1</v>
      </c>
      <c r="Y490" s="46" t="n">
        <f aca="false">IF(OR(I490="DNB",I490="Dry DNB"),1,0)</f>
        <v>0</v>
      </c>
      <c r="Z490" s="46" t="n">
        <f aca="false">IF(ISNUMBER(W490),A490-W490,"")</f>
        <v>125</v>
      </c>
      <c r="AA490" s="46" t="n">
        <f aca="false">MATCH(A490,DATAS,0)</f>
        <v>1</v>
      </c>
      <c r="AB490" s="46" t="n">
        <f aca="false">IF(AND(E490&gt;0,OR(AND(B490&gt;=1,B490&lt;=6),B490=10)),1,0)</f>
        <v>1</v>
      </c>
      <c r="AC490" s="46" t="n">
        <f aca="false">IF(AND(E490&gt;0,B490=10),1,0)</f>
        <v>0</v>
      </c>
      <c r="AD490" s="0" t="str">
        <f aca="false">IF(AND(C489=C490,AA489=AA490-1),AB489,"")</f>
        <v/>
      </c>
      <c r="AE490" s="0" t="str">
        <f aca="false">IF(AND(C489=C490,AA489=AA490-1),AC489,"")</f>
        <v/>
      </c>
      <c r="AF490" s="0" t="str">
        <f aca="false">IF(AA490=1,"",IF(AND(AB490=1,AD490&lt;&gt;1),1,0))</f>
        <v/>
      </c>
      <c r="AG490" s="0" t="str">
        <f aca="false">IF(AA490=1,"",IF(AND(AC490=1,AE490&lt;&gt;1),1,0))</f>
        <v/>
      </c>
      <c r="AH490" s="51" t="str">
        <f aca="false">IF(AND(E490&gt;0,AA490&lt;1,NOT(AND(C491=C490,AA491=AA490+1))),INDEX(DATAS,AA490+1),"")</f>
        <v/>
      </c>
      <c r="AI490" s="51" t="str">
        <f aca="false">IF(AND(AC490=1,AA490&lt;1),IF(AND(C491=C490,AA491=AA490+1),IF(AC491=1,"",INDEX(DATAS,AA490+1)),INDEX(DATAS,AA490+1)),"")</f>
        <v/>
      </c>
    </row>
    <row r="491" customFormat="false" ht="15" hidden="false" customHeight="false" outlineLevel="0" collapsed="false">
      <c r="A491" s="51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46" t="s">
        <v>515</v>
      </c>
      <c r="H491" s="0" t="n">
        <v>20</v>
      </c>
      <c r="I491" s="46" t="s">
        <v>161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X491" s="46" t="n">
        <f aca="false">IF(I491="Male",0,1)</f>
        <v>1</v>
      </c>
      <c r="Y491" s="46" t="n">
        <f aca="false">IF(OR(I491="DNB",I491="Dry DNB"),1,0)</f>
        <v>0</v>
      </c>
      <c r="Z491" s="0" t="str">
        <f aca="false">IF(ISNUMBER(W491),A491-W491,"")</f>
        <v/>
      </c>
      <c r="AA491" s="46" t="n">
        <f aca="false">MATCH(A491,DATAS,0)</f>
        <v>1</v>
      </c>
      <c r="AB491" s="46" t="n">
        <f aca="false">IF(AND(E491&gt;0,OR(AND(B491&gt;=1,B491&lt;=6),B491=10)),1,0)</f>
        <v>1</v>
      </c>
      <c r="AC491" s="46" t="n">
        <f aca="false">IF(AND(E491&gt;0,B491=10),1,0)</f>
        <v>1</v>
      </c>
      <c r="AD491" s="0" t="str">
        <f aca="false">IF(AND(C490=C491,AA490=AA491-1),AB490,"")</f>
        <v/>
      </c>
      <c r="AE491" s="0" t="str">
        <f aca="false">IF(AND(C490=C491,AA490=AA491-1),AC490,"")</f>
        <v/>
      </c>
      <c r="AF491" s="0" t="str">
        <f aca="false">IF(AA491=1,"",IF(AND(AB491=1,AD491&lt;&gt;1),1,0))</f>
        <v/>
      </c>
      <c r="AG491" s="0" t="str">
        <f aca="false">IF(AA491=1,"",IF(AND(AC491=1,AE491&lt;&gt;1),1,0))</f>
        <v/>
      </c>
      <c r="AH491" s="51" t="str">
        <f aca="false">IF(AND(E491&gt;0,AA491&lt;1,NOT(AND(C492=C491,AA492=AA491+1))),INDEX(DATAS,AA491+1),"")</f>
        <v/>
      </c>
      <c r="AI491" s="51" t="str">
        <f aca="false">IF(AND(AC491=1,AA491&lt;1),IF(AND(C492=C491,AA492=AA491+1),IF(AC492=1,"",INDEX(DATAS,AA491+1)),INDEX(DATAS,AA491+1)),"")</f>
        <v/>
      </c>
    </row>
    <row r="492" customFormat="false" ht="15" hidden="false" customHeight="false" outlineLevel="0" collapsed="false">
      <c r="A492" s="51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46" t="s">
        <v>516</v>
      </c>
      <c r="I492" s="46" t="s">
        <v>157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51" t="n">
        <v>46044</v>
      </c>
      <c r="X492" s="46" t="n">
        <f aca="false">IF(I492="Male",0,1)</f>
        <v>1</v>
      </c>
      <c r="Y492" s="46" t="n">
        <f aca="false">IF(OR(I492="DNB",I492="Dry DNB"),1,0)</f>
        <v>0</v>
      </c>
      <c r="Z492" s="46" t="n">
        <f aca="false">IF(ISNUMBER(W492),A492-W492,"")</f>
        <v>265</v>
      </c>
      <c r="AA492" s="46" t="n">
        <f aca="false">MATCH(A492,DATAS,0)</f>
        <v>1</v>
      </c>
      <c r="AB492" s="46" t="n">
        <f aca="false">IF(AND(E492&gt;0,OR(AND(B492&gt;=1,B492&lt;=6),B492=10)),1,0)</f>
        <v>0</v>
      </c>
      <c r="AC492" s="46" t="n">
        <f aca="false">IF(AND(E492&gt;0,B492=10),1,0)</f>
        <v>0</v>
      </c>
      <c r="AD492" s="0" t="str">
        <f aca="false">IF(AND(C491=C492,AA491=AA492-1),AB491,"")</f>
        <v/>
      </c>
      <c r="AE492" s="0" t="str">
        <f aca="false">IF(AND(C491=C492,AA491=AA492-1),AC491,"")</f>
        <v/>
      </c>
      <c r="AF492" s="0" t="str">
        <f aca="false">IF(AA492=1,"",IF(AND(AB492=1,AD492&lt;&gt;1),1,0))</f>
        <v/>
      </c>
      <c r="AG492" s="0" t="str">
        <f aca="false">IF(AA492=1,"",IF(AND(AC492=1,AE492&lt;&gt;1),1,0))</f>
        <v/>
      </c>
      <c r="AH492" s="51" t="str">
        <f aca="false">IF(AND(E492&gt;0,AA492&lt;1,NOT(AND(C493=C492,AA493=AA492+1))),INDEX(DATAS,AA492+1),"")</f>
        <v/>
      </c>
      <c r="AI492" s="51" t="str">
        <f aca="false">IF(AND(AC492=1,AA492&lt;1),IF(AND(C493=C492,AA493=AA492+1),IF(AC493=1,"",INDEX(DATAS,AA492+1)),INDEX(DATAS,AA492+1)),"")</f>
        <v/>
      </c>
    </row>
    <row r="493" customFormat="false" ht="15" hidden="false" customHeight="false" outlineLevel="0" collapsed="false">
      <c r="A493" s="51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46" t="s">
        <v>517</v>
      </c>
      <c r="G493" s="0" t="n">
        <v>46.1</v>
      </c>
      <c r="H493" s="0" t="n">
        <v>40</v>
      </c>
      <c r="I493" s="46" t="s">
        <v>152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X493" s="46" t="n">
        <f aca="false">IF(I493="Male",0,1)</f>
        <v>1</v>
      </c>
      <c r="Y493" s="46" t="n">
        <f aca="false">IF(OR(I493="DNB",I493="Dry DNB"),1,0)</f>
        <v>0</v>
      </c>
      <c r="Z493" s="0" t="str">
        <f aca="false">IF(ISNUMBER(W493),A493-W493,"")</f>
        <v/>
      </c>
      <c r="AA493" s="46" t="n">
        <f aca="false">MATCH(A493,DATAS,0)</f>
        <v>1</v>
      </c>
      <c r="AB493" s="46" t="n">
        <f aca="false">IF(AND(E493&gt;0,OR(AND(B493&gt;=1,B493&lt;=6),B493=10)),1,0)</f>
        <v>1</v>
      </c>
      <c r="AC493" s="46" t="n">
        <f aca="false">IF(AND(E493&gt;0,B493=10),1,0)</f>
        <v>0</v>
      </c>
      <c r="AD493" s="0" t="str">
        <f aca="false">IF(AND(C492=C493,AA492=AA493-1),AB492,"")</f>
        <v/>
      </c>
      <c r="AE493" s="0" t="str">
        <f aca="false">IF(AND(C492=C493,AA492=AA493-1),AC492,"")</f>
        <v/>
      </c>
      <c r="AF493" s="0" t="str">
        <f aca="false">IF(AA493=1,"",IF(AND(AB493=1,AD493&lt;&gt;1),1,0))</f>
        <v/>
      </c>
      <c r="AG493" s="0" t="str">
        <f aca="false">IF(AA493=1,"",IF(AND(AC493=1,AE493&lt;&gt;1),1,0))</f>
        <v/>
      </c>
      <c r="AH493" s="51" t="str">
        <f aca="false">IF(AND(E493&gt;0,AA493&lt;1,NOT(AND(C494=C493,AA494=AA493+1))),INDEX(DATAS,AA493+1),"")</f>
        <v/>
      </c>
      <c r="AI493" s="51" t="str">
        <f aca="false">IF(AND(AC493=1,AA493&lt;1),IF(AND(C494=C493,AA494=AA493+1),IF(AC494=1,"",INDEX(DATAS,AA493+1)),INDEX(DATAS,AA493+1)),"")</f>
        <v/>
      </c>
    </row>
    <row r="494" customFormat="false" ht="15" hidden="false" customHeight="false" outlineLevel="0" collapsed="false">
      <c r="A494" s="51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46" t="s">
        <v>517</v>
      </c>
      <c r="I494" s="46" t="s">
        <v>157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51" t="n">
        <v>46079</v>
      </c>
      <c r="X494" s="46" t="n">
        <f aca="false">IF(I494="Male",0,1)</f>
        <v>1</v>
      </c>
      <c r="Y494" s="46" t="n">
        <f aca="false">IF(OR(I494="DNB",I494="Dry DNB"),1,0)</f>
        <v>0</v>
      </c>
      <c r="Z494" s="46" t="n">
        <f aca="false">IF(ISNUMBER(W494),A494-W494,"")</f>
        <v>230</v>
      </c>
      <c r="AA494" s="46" t="n">
        <f aca="false">MATCH(A494,DATAS,0)</f>
        <v>1</v>
      </c>
      <c r="AB494" s="46" t="n">
        <f aca="false">IF(AND(E494&gt;0,OR(AND(B494&gt;=1,B494&lt;=6),B494=10)),1,0)</f>
        <v>0</v>
      </c>
      <c r="AC494" s="46" t="n">
        <f aca="false">IF(AND(E494&gt;0,B494=10),1,0)</f>
        <v>0</v>
      </c>
      <c r="AD494" s="0" t="str">
        <f aca="false">IF(AND(C493=C494,AA493=AA494-1),AB493,"")</f>
        <v/>
      </c>
      <c r="AE494" s="0" t="str">
        <f aca="false">IF(AND(C493=C494,AA493=AA494-1),AC493,"")</f>
        <v/>
      </c>
      <c r="AF494" s="0" t="str">
        <f aca="false">IF(AA494=1,"",IF(AND(AB494=1,AD494&lt;&gt;1),1,0))</f>
        <v/>
      </c>
      <c r="AG494" s="0" t="str">
        <f aca="false">IF(AA494=1,"",IF(AND(AC494=1,AE494&lt;&gt;1),1,0))</f>
        <v/>
      </c>
      <c r="AH494" s="51" t="str">
        <f aca="false">IF(AND(E494&gt;0,AA494&lt;1,NOT(AND(C495=C494,AA495=AA494+1))),INDEX(DATAS,AA494+1),"")</f>
        <v/>
      </c>
      <c r="AI494" s="51" t="str">
        <f aca="false">IF(AND(AC494=1,AA494&lt;1),IF(AND(C495=C494,AA495=AA494+1),IF(AC495=1,"",INDEX(DATAS,AA494+1)),INDEX(DATAS,AA494+1)),"")</f>
        <v/>
      </c>
    </row>
    <row r="495" customFormat="false" ht="15" hidden="false" customHeight="false" outlineLevel="0" collapsed="false">
      <c r="A495" s="51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46" t="s">
        <v>518</v>
      </c>
      <c r="I495" s="46" t="s">
        <v>157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51" t="n">
        <v>46093</v>
      </c>
      <c r="X495" s="46" t="n">
        <f aca="false">IF(I495="Male",0,1)</f>
        <v>1</v>
      </c>
      <c r="Y495" s="46" t="n">
        <f aca="false">IF(OR(I495="DNB",I495="Dry DNB"),1,0)</f>
        <v>0</v>
      </c>
      <c r="Z495" s="46" t="n">
        <f aca="false">IF(ISNUMBER(W495),A495-W495,"")</f>
        <v>216</v>
      </c>
      <c r="AA495" s="46" t="n">
        <f aca="false">MATCH(A495,DATAS,0)</f>
        <v>1</v>
      </c>
      <c r="AB495" s="46" t="n">
        <f aca="false">IF(AND(E495&gt;0,OR(AND(B495&gt;=1,B495&lt;=6),B495=10)),1,0)</f>
        <v>0</v>
      </c>
      <c r="AC495" s="46" t="n">
        <f aca="false">IF(AND(E495&gt;0,B495=10),1,0)</f>
        <v>0</v>
      </c>
      <c r="AD495" s="0" t="str">
        <f aca="false">IF(AND(C494=C495,AA494=AA495-1),AB494,"")</f>
        <v/>
      </c>
      <c r="AE495" s="0" t="str">
        <f aca="false">IF(AND(C494=C495,AA494=AA495-1),AC494,"")</f>
        <v/>
      </c>
      <c r="AF495" s="0" t="str">
        <f aca="false">IF(AA495=1,"",IF(AND(AB495=1,AD495&lt;&gt;1),1,0))</f>
        <v/>
      </c>
      <c r="AG495" s="0" t="str">
        <f aca="false">IF(AA495=1,"",IF(AND(AC495=1,AE495&lt;&gt;1),1,0))</f>
        <v/>
      </c>
      <c r="AH495" s="51" t="str">
        <f aca="false">IF(AND(E495&gt;0,AA495&lt;1,NOT(AND(C496=C495,AA496=AA495+1))),INDEX(DATAS,AA495+1),"")</f>
        <v/>
      </c>
      <c r="AI495" s="51" t="str">
        <f aca="false">IF(AND(AC495=1,AA495&lt;1),IF(AND(C496=C495,AA496=AA495+1),IF(AC496=1,"",INDEX(DATAS,AA495+1)),INDEX(DATAS,AA495+1)),"")</f>
        <v/>
      </c>
    </row>
    <row r="496" customFormat="false" ht="15" hidden="false" customHeight="false" outlineLevel="0" collapsed="false">
      <c r="A496" s="51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46" t="s">
        <v>518</v>
      </c>
      <c r="G496" s="0" t="n">
        <v>58.3</v>
      </c>
      <c r="H496" s="0" t="n">
        <v>54</v>
      </c>
      <c r="I496" s="46" t="s">
        <v>161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X496" s="46" t="n">
        <f aca="false">IF(I496="Male",0,1)</f>
        <v>1</v>
      </c>
      <c r="Y496" s="46" t="n">
        <f aca="false">IF(OR(I496="DNB",I496="Dry DNB"),1,0)</f>
        <v>0</v>
      </c>
      <c r="Z496" s="0" t="str">
        <f aca="false">IF(ISNUMBER(W496),A496-W496,"")</f>
        <v/>
      </c>
      <c r="AA496" s="46" t="n">
        <f aca="false">MATCH(A496,DATAS,0)</f>
        <v>1</v>
      </c>
      <c r="AB496" s="46" t="n">
        <f aca="false">IF(AND(E496&gt;0,OR(AND(B496&gt;=1,B496&lt;=6),B496=10)),1,0)</f>
        <v>1</v>
      </c>
      <c r="AC496" s="46" t="n">
        <f aca="false">IF(AND(E496&gt;0,B496=10),1,0)</f>
        <v>0</v>
      </c>
      <c r="AD496" s="0" t="str">
        <f aca="false">IF(AND(C495=C496,AA495=AA496-1),AB495,"")</f>
        <v/>
      </c>
      <c r="AE496" s="0" t="str">
        <f aca="false">IF(AND(C495=C496,AA495=AA496-1),AC495,"")</f>
        <v/>
      </c>
      <c r="AF496" s="0" t="str">
        <f aca="false">IF(AA496=1,"",IF(AND(AB496=1,AD496&lt;&gt;1),1,0))</f>
        <v/>
      </c>
      <c r="AG496" s="0" t="str">
        <f aca="false">IF(AA496=1,"",IF(AND(AC496=1,AE496&lt;&gt;1),1,0))</f>
        <v/>
      </c>
      <c r="AH496" s="51" t="str">
        <f aca="false">IF(AND(E496&gt;0,AA496&lt;1,NOT(AND(C497=C496,AA497=AA496+1))),INDEX(DATAS,AA496+1),"")</f>
        <v/>
      </c>
      <c r="AI496" s="51" t="str">
        <f aca="false">IF(AND(AC496=1,AA496&lt;1),IF(AND(C497=C496,AA497=AA496+1),IF(AC497=1,"",INDEX(DATAS,AA496+1)),INDEX(DATAS,AA496+1)),"")</f>
        <v/>
      </c>
    </row>
    <row r="497" customFormat="false" ht="15" hidden="false" customHeight="false" outlineLevel="0" collapsed="false">
      <c r="A497" s="51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46" t="s">
        <v>518</v>
      </c>
      <c r="G497" s="0" t="n">
        <v>26.3</v>
      </c>
      <c r="H497" s="0" t="n">
        <v>23</v>
      </c>
      <c r="I497" s="46" t="s">
        <v>161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X497" s="46" t="n">
        <f aca="false">IF(I497="Male",0,1)</f>
        <v>1</v>
      </c>
      <c r="Y497" s="46" t="n">
        <f aca="false">IF(OR(I497="DNB",I497="Dry DNB"),1,0)</f>
        <v>0</v>
      </c>
      <c r="Z497" s="0" t="str">
        <f aca="false">IF(ISNUMBER(W497),A497-W497,"")</f>
        <v/>
      </c>
      <c r="AA497" s="46" t="n">
        <f aca="false">MATCH(A497,DATAS,0)</f>
        <v>1</v>
      </c>
      <c r="AB497" s="46" t="n">
        <f aca="false">IF(AND(E497&gt;0,OR(AND(B497&gt;=1,B497&lt;=6),B497=10)),1,0)</f>
        <v>1</v>
      </c>
      <c r="AC497" s="46" t="n">
        <f aca="false">IF(AND(E497&gt;0,B497=10),1,0)</f>
        <v>0</v>
      </c>
      <c r="AD497" s="0" t="str">
        <f aca="false">IF(AND(C496=C497,AA496=AA497-1),AB496,"")</f>
        <v/>
      </c>
      <c r="AE497" s="0" t="str">
        <f aca="false">IF(AND(C496=C497,AA496=AA497-1),AC496,"")</f>
        <v/>
      </c>
      <c r="AF497" s="0" t="str">
        <f aca="false">IF(AA497=1,"",IF(AND(AB497=1,AD497&lt;&gt;1),1,0))</f>
        <v/>
      </c>
      <c r="AG497" s="0" t="str">
        <f aca="false">IF(AA497=1,"",IF(AND(AC497=1,AE497&lt;&gt;1),1,0))</f>
        <v/>
      </c>
      <c r="AH497" s="51" t="str">
        <f aca="false">IF(AND(E497&gt;0,AA497&lt;1,NOT(AND(C498=C497,AA498=AA497+1))),INDEX(DATAS,AA497+1),"")</f>
        <v/>
      </c>
      <c r="AI497" s="51" t="str">
        <f aca="false">IF(AND(AC497=1,AA497&lt;1),IF(AND(C498=C497,AA498=AA497+1),IF(AC498=1,"",INDEX(DATAS,AA497+1)),INDEX(DATAS,AA497+1)),"")</f>
        <v/>
      </c>
    </row>
    <row r="498" customFormat="false" ht="15" hidden="false" customHeight="false" outlineLevel="0" collapsed="false">
      <c r="A498" s="51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46" t="s">
        <v>519</v>
      </c>
      <c r="G498" s="0" t="n">
        <v>72.4</v>
      </c>
      <c r="H498" s="0" t="n">
        <v>68</v>
      </c>
      <c r="I498" s="46" t="s">
        <v>181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51" t="n">
        <v>46310</v>
      </c>
      <c r="X498" s="46" t="n">
        <f aca="false">IF(I498="Male",0,1)</f>
        <v>1</v>
      </c>
      <c r="Y498" s="46" t="n">
        <f aca="false">IF(OR(I498="DNB",I498="Dry DNB"),1,0)</f>
        <v>0</v>
      </c>
      <c r="Z498" s="46" t="n">
        <f aca="false">IF(ISNUMBER(W498),A498-W498,"")</f>
        <v>-1</v>
      </c>
      <c r="AA498" s="46" t="n">
        <f aca="false">MATCH(A498,DATAS,0)</f>
        <v>1</v>
      </c>
      <c r="AB498" s="46" t="n">
        <f aca="false">IF(AND(E498&gt;0,OR(AND(B498&gt;=1,B498&lt;=6),B498=10)),1,0)</f>
        <v>1</v>
      </c>
      <c r="AC498" s="46" t="n">
        <f aca="false">IF(AND(E498&gt;0,B498=10),1,0)</f>
        <v>0</v>
      </c>
      <c r="AD498" s="0" t="str">
        <f aca="false">IF(AND(C497=C498,AA497=AA498-1),AB497,"")</f>
        <v/>
      </c>
      <c r="AE498" s="0" t="str">
        <f aca="false">IF(AND(C497=C498,AA497=AA498-1),AC497,"")</f>
        <v/>
      </c>
      <c r="AF498" s="0" t="str">
        <f aca="false">IF(AA498=1,"",IF(AND(AB498=1,AD498&lt;&gt;1),1,0))</f>
        <v/>
      </c>
      <c r="AG498" s="0" t="str">
        <f aca="false">IF(AA498=1,"",IF(AND(AC498=1,AE498&lt;&gt;1),1,0))</f>
        <v/>
      </c>
      <c r="AH498" s="51" t="str">
        <f aca="false">IF(AND(E498&gt;0,AA498&lt;1,NOT(AND(C499=C498,AA499=AA498+1))),INDEX(DATAS,AA498+1),"")</f>
        <v/>
      </c>
      <c r="AI498" s="51" t="str">
        <f aca="false">IF(AND(AC498=1,AA498&lt;1),IF(AND(C499=C498,AA499=AA498+1),IF(AC499=1,"",INDEX(DATAS,AA498+1)),INDEX(DATAS,AA498+1)),"")</f>
        <v/>
      </c>
    </row>
    <row r="499" customFormat="false" ht="15" hidden="false" customHeight="false" outlineLevel="0" collapsed="false">
      <c r="A499" s="51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46" t="s">
        <v>520</v>
      </c>
      <c r="G499" s="0" t="n">
        <v>33.1</v>
      </c>
      <c r="H499" s="0" t="n">
        <v>28</v>
      </c>
      <c r="I499" s="46" t="s">
        <v>161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X499" s="46" t="n">
        <f aca="false">IF(I499="Male",0,1)</f>
        <v>1</v>
      </c>
      <c r="Y499" s="46" t="n">
        <f aca="false">IF(OR(I499="DNB",I499="Dry DNB"),1,0)</f>
        <v>0</v>
      </c>
      <c r="Z499" s="0" t="str">
        <f aca="false">IF(ISNUMBER(W499),A499-W499,"")</f>
        <v/>
      </c>
      <c r="AA499" s="46" t="n">
        <f aca="false">MATCH(A499,DATAS,0)</f>
        <v>1</v>
      </c>
      <c r="AB499" s="46" t="n">
        <f aca="false">IF(AND(E499&gt;0,OR(AND(B499&gt;=1,B499&lt;=6),B499=10)),1,0)</f>
        <v>1</v>
      </c>
      <c r="AC499" s="46" t="n">
        <f aca="false">IF(AND(E499&gt;0,B499=10),1,0)</f>
        <v>0</v>
      </c>
      <c r="AD499" s="0" t="str">
        <f aca="false">IF(AND(C498=C499,AA498=AA499-1),AB498,"")</f>
        <v/>
      </c>
      <c r="AE499" s="0" t="str">
        <f aca="false">IF(AND(C498=C499,AA498=AA499-1),AC498,"")</f>
        <v/>
      </c>
      <c r="AF499" s="0" t="str">
        <f aca="false">IF(AA499=1,"",IF(AND(AB499=1,AD499&lt;&gt;1),1,0))</f>
        <v/>
      </c>
      <c r="AG499" s="0" t="str">
        <f aca="false">IF(AA499=1,"",IF(AND(AC499=1,AE499&lt;&gt;1),1,0))</f>
        <v/>
      </c>
      <c r="AH499" s="51" t="str">
        <f aca="false">IF(AND(E499&gt;0,AA499&lt;1,NOT(AND(C500=C499,AA500=AA499+1))),INDEX(DATAS,AA499+1),"")</f>
        <v/>
      </c>
      <c r="AI499" s="51" t="str">
        <f aca="false">IF(AND(AC499=1,AA499&lt;1),IF(AND(C500=C499,AA500=AA499+1),IF(AC500=1,"",INDEX(DATAS,AA499+1)),INDEX(DATAS,AA499+1)),"")</f>
        <v/>
      </c>
    </row>
    <row r="500" customFormat="false" ht="15" hidden="false" customHeight="false" outlineLevel="0" collapsed="false">
      <c r="A500" s="51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46" t="s">
        <v>521</v>
      </c>
      <c r="G500" s="0" t="n">
        <v>26.3</v>
      </c>
      <c r="H500" s="0" t="n">
        <v>23</v>
      </c>
      <c r="I500" s="46" t="s">
        <v>152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51" t="n">
        <v>46107</v>
      </c>
      <c r="X500" s="46" t="n">
        <f aca="false">IF(I500="Male",0,1)</f>
        <v>1</v>
      </c>
      <c r="Y500" s="46" t="n">
        <f aca="false">IF(OR(I500="DNB",I500="Dry DNB"),1,0)</f>
        <v>0</v>
      </c>
      <c r="Z500" s="46" t="n">
        <f aca="false">IF(ISNUMBER(W500),A500-W500,"")</f>
        <v>202</v>
      </c>
      <c r="AA500" s="46" t="n">
        <f aca="false">MATCH(A500,DATAS,0)</f>
        <v>1</v>
      </c>
      <c r="AB500" s="46" t="n">
        <f aca="false">IF(AND(E500&gt;0,OR(AND(B500&gt;=1,B500&lt;=6),B500=10)),1,0)</f>
        <v>1</v>
      </c>
      <c r="AC500" s="46" t="n">
        <f aca="false">IF(AND(E500&gt;0,B500=10),1,0)</f>
        <v>0</v>
      </c>
      <c r="AD500" s="0" t="str">
        <f aca="false">IF(AND(C499=C500,AA499=AA500-1),AB499,"")</f>
        <v/>
      </c>
      <c r="AE500" s="0" t="str">
        <f aca="false">IF(AND(C499=C500,AA499=AA500-1),AC499,"")</f>
        <v/>
      </c>
      <c r="AF500" s="0" t="str">
        <f aca="false">IF(AA500=1,"",IF(AND(AB500=1,AD500&lt;&gt;1),1,0))</f>
        <v/>
      </c>
      <c r="AG500" s="0" t="str">
        <f aca="false">IF(AA500=1,"",IF(AND(AC500=1,AE500&lt;&gt;1),1,0))</f>
        <v/>
      </c>
      <c r="AH500" s="51" t="str">
        <f aca="false">IF(AND(E500&gt;0,AA500&lt;1,NOT(AND(C501=C500,AA501=AA500+1))),INDEX(DATAS,AA500+1),"")</f>
        <v/>
      </c>
      <c r="AI500" s="51" t="str">
        <f aca="false">IF(AND(AC500=1,AA500&lt;1),IF(AND(C501=C500,AA501=AA500+1),IF(AC501=1,"",INDEX(DATAS,AA500+1)),INDEX(DATAS,AA500+1)),"")</f>
        <v/>
      </c>
    </row>
    <row r="501" customFormat="false" ht="15" hidden="false" customHeight="false" outlineLevel="0" collapsed="false">
      <c r="A501" s="51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46" t="s">
        <v>522</v>
      </c>
      <c r="G501" s="0" t="n">
        <v>38</v>
      </c>
      <c r="H501" s="0" t="n">
        <v>38</v>
      </c>
      <c r="I501" s="46" t="s">
        <v>189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X501" s="46" t="n">
        <f aca="false">IF(I501="Male",0,1)</f>
        <v>1</v>
      </c>
      <c r="Y501" s="46" t="n">
        <f aca="false">IF(OR(I501="DNB",I501="Dry DNB"),1,0)</f>
        <v>0</v>
      </c>
      <c r="Z501" s="0" t="str">
        <f aca="false">IF(ISNUMBER(W501),A501-W501,"")</f>
        <v/>
      </c>
      <c r="AA501" s="46" t="n">
        <f aca="false">MATCH(A501,DATAS,0)</f>
        <v>1</v>
      </c>
      <c r="AB501" s="46" t="n">
        <f aca="false">IF(AND(E501&gt;0,OR(AND(B501&gt;=1,B501&lt;=6),B501=10)),1,0)</f>
        <v>1</v>
      </c>
      <c r="AC501" s="46" t="n">
        <f aca="false">IF(AND(E501&gt;0,B501=10),1,0)</f>
        <v>0</v>
      </c>
      <c r="AD501" s="0" t="str">
        <f aca="false">IF(AND(C500=C501,AA500=AA501-1),AB500,"")</f>
        <v/>
      </c>
      <c r="AE501" s="0" t="str">
        <f aca="false">IF(AND(C500=C501,AA500=AA501-1),AC500,"")</f>
        <v/>
      </c>
      <c r="AF501" s="0" t="str">
        <f aca="false">IF(AA501=1,"",IF(AND(AB501=1,AD501&lt;&gt;1),1,0))</f>
        <v/>
      </c>
      <c r="AG501" s="0" t="str">
        <f aca="false">IF(AA501=1,"",IF(AND(AC501=1,AE501&lt;&gt;1),1,0))</f>
        <v/>
      </c>
      <c r="AH501" s="51" t="str">
        <f aca="false">IF(AND(E501&gt;0,AA501&lt;1,NOT(AND(C502=C501,AA502=AA501+1))),INDEX(DATAS,AA501+1),"")</f>
        <v/>
      </c>
      <c r="AI501" s="51" t="str">
        <f aca="false">IF(AND(AC501=1,AA501&lt;1),IF(AND(C502=C501,AA502=AA501+1),IF(AC502=1,"",INDEX(DATAS,AA501+1)),INDEX(DATAS,AA501+1)),"")</f>
        <v/>
      </c>
    </row>
    <row r="502" customFormat="false" ht="15" hidden="false" customHeight="false" outlineLevel="0" collapsed="false">
      <c r="A502" s="51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46" t="s">
        <v>522</v>
      </c>
      <c r="G502" s="0" t="n">
        <v>69.2</v>
      </c>
      <c r="H502" s="0" t="n">
        <v>64</v>
      </c>
      <c r="I502" s="46" t="s">
        <v>181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51" t="n">
        <v>46282</v>
      </c>
      <c r="X502" s="46" t="n">
        <f aca="false">IF(I502="Male",0,1)</f>
        <v>1</v>
      </c>
      <c r="Y502" s="46" t="n">
        <f aca="false">IF(OR(I502="DNB",I502="Dry DNB"),1,0)</f>
        <v>0</v>
      </c>
      <c r="Z502" s="46" t="n">
        <f aca="false">IF(ISNUMBER(W502),A502-W502,"")</f>
        <v>27</v>
      </c>
      <c r="AA502" s="46" t="n">
        <f aca="false">MATCH(A502,DATAS,0)</f>
        <v>1</v>
      </c>
      <c r="AB502" s="46" t="n">
        <f aca="false">IF(AND(E502&gt;0,OR(AND(B502&gt;=1,B502&lt;=6),B502=10)),1,0)</f>
        <v>1</v>
      </c>
      <c r="AC502" s="46" t="n">
        <f aca="false">IF(AND(E502&gt;0,B502=10),1,0)</f>
        <v>0</v>
      </c>
      <c r="AD502" s="0" t="str">
        <f aca="false">IF(AND(C501=C502,AA501=AA502-1),AB501,"")</f>
        <v/>
      </c>
      <c r="AE502" s="0" t="str">
        <f aca="false">IF(AND(C501=C502,AA501=AA502-1),AC501,"")</f>
        <v/>
      </c>
      <c r="AF502" s="0" t="str">
        <f aca="false">IF(AA502=1,"",IF(AND(AB502=1,AD502&lt;&gt;1),1,0))</f>
        <v/>
      </c>
      <c r="AG502" s="0" t="str">
        <f aca="false">IF(AA502=1,"",IF(AND(AC502=1,AE502&lt;&gt;1),1,0))</f>
        <v/>
      </c>
      <c r="AH502" s="51" t="str">
        <f aca="false">IF(AND(E502&gt;0,AA502&lt;1,NOT(AND(C503=C502,AA503=AA502+1))),INDEX(DATAS,AA502+1),"")</f>
        <v/>
      </c>
      <c r="AI502" s="51" t="str">
        <f aca="false">IF(AND(AC502=1,AA502&lt;1),IF(AND(C503=C502,AA503=AA502+1),IF(AC503=1,"",INDEX(DATAS,AA502+1)),INDEX(DATAS,AA502+1)),"")</f>
        <v/>
      </c>
    </row>
    <row r="503" customFormat="false" ht="15" hidden="false" customHeight="false" outlineLevel="0" collapsed="false">
      <c r="A503" s="51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46" t="s">
        <v>522</v>
      </c>
      <c r="G503" s="0" t="n">
        <v>54.5</v>
      </c>
      <c r="H503" s="0" t="n">
        <v>55</v>
      </c>
      <c r="I503" s="46" t="s">
        <v>152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51" t="n">
        <v>46268</v>
      </c>
      <c r="X503" s="46" t="n">
        <f aca="false">IF(I503="Male",0,1)</f>
        <v>1</v>
      </c>
      <c r="Y503" s="46" t="n">
        <f aca="false">IF(OR(I503="DNB",I503="Dry DNB"),1,0)</f>
        <v>0</v>
      </c>
      <c r="Z503" s="46" t="n">
        <f aca="false">IF(ISNUMBER(W503),A503-W503,"")</f>
        <v>41</v>
      </c>
      <c r="AA503" s="46" t="n">
        <f aca="false">MATCH(A503,DATAS,0)</f>
        <v>1</v>
      </c>
      <c r="AB503" s="46" t="n">
        <f aca="false">IF(AND(E503&gt;0,OR(AND(B503&gt;=1,B503&lt;=6),B503=10)),1,0)</f>
        <v>1</v>
      </c>
      <c r="AC503" s="46" t="n">
        <f aca="false">IF(AND(E503&gt;0,B503=10),1,0)</f>
        <v>0</v>
      </c>
      <c r="AD503" s="0" t="str">
        <f aca="false">IF(AND(C502=C503,AA502=AA503-1),AB502,"")</f>
        <v/>
      </c>
      <c r="AE503" s="0" t="str">
        <f aca="false">IF(AND(C502=C503,AA502=AA503-1),AC502,"")</f>
        <v/>
      </c>
      <c r="AF503" s="0" t="str">
        <f aca="false">IF(AA503=1,"",IF(AND(AB503=1,AD503&lt;&gt;1),1,0))</f>
        <v/>
      </c>
      <c r="AG503" s="0" t="str">
        <f aca="false">IF(AA503=1,"",IF(AND(AC503=1,AE503&lt;&gt;1),1,0))</f>
        <v/>
      </c>
      <c r="AH503" s="51" t="str">
        <f aca="false">IF(AND(E503&gt;0,AA503&lt;1,NOT(AND(C504=C503,AA504=AA503+1))),INDEX(DATAS,AA503+1),"")</f>
        <v/>
      </c>
      <c r="AI503" s="51" t="str">
        <f aca="false">IF(AND(AC503=1,AA503&lt;1),IF(AND(C504=C503,AA504=AA503+1),IF(AC504=1,"",INDEX(DATAS,AA503+1)),INDEX(DATAS,AA503+1)),"")</f>
        <v/>
      </c>
    </row>
    <row r="504" customFormat="false" ht="15" hidden="false" customHeight="false" outlineLevel="0" collapsed="false">
      <c r="A504" s="51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46" t="s">
        <v>522</v>
      </c>
      <c r="G504" s="0" t="n">
        <v>76.7</v>
      </c>
      <c r="H504" s="0" t="n">
        <v>77</v>
      </c>
      <c r="I504" s="46" t="s">
        <v>181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51" t="n">
        <v>46288</v>
      </c>
      <c r="X504" s="46" t="n">
        <f aca="false">IF(I504="Male",0,1)</f>
        <v>1</v>
      </c>
      <c r="Y504" s="46" t="n">
        <f aca="false">IF(OR(I504="DNB",I504="Dry DNB"),1,0)</f>
        <v>0</v>
      </c>
      <c r="Z504" s="46" t="n">
        <f aca="false">IF(ISNUMBER(W504),A504-W504,"")</f>
        <v>21</v>
      </c>
      <c r="AA504" s="46" t="n">
        <f aca="false">MATCH(A504,DATAS,0)</f>
        <v>1</v>
      </c>
      <c r="AB504" s="46" t="n">
        <f aca="false">IF(AND(E504&gt;0,OR(AND(B504&gt;=1,B504&lt;=6),B504=10)),1,0)</f>
        <v>1</v>
      </c>
      <c r="AC504" s="46" t="n">
        <f aca="false">IF(AND(E504&gt;0,B504=10),1,0)</f>
        <v>0</v>
      </c>
      <c r="AD504" s="0" t="str">
        <f aca="false">IF(AND(C503=C504,AA503=AA504-1),AB503,"")</f>
        <v/>
      </c>
      <c r="AE504" s="0" t="str">
        <f aca="false">IF(AND(C503=C504,AA503=AA504-1),AC503,"")</f>
        <v/>
      </c>
      <c r="AF504" s="0" t="str">
        <f aca="false">IF(AA504=1,"",IF(AND(AB504=1,AD504&lt;&gt;1),1,0))</f>
        <v/>
      </c>
      <c r="AG504" s="0" t="str">
        <f aca="false">IF(AA504=1,"",IF(AND(AC504=1,AE504&lt;&gt;1),1,0))</f>
        <v/>
      </c>
      <c r="AH504" s="51" t="str">
        <f aca="false">IF(AND(E504&gt;0,AA504&lt;1,NOT(AND(C505=C504,AA505=AA504+1))),INDEX(DATAS,AA504+1),"")</f>
        <v/>
      </c>
      <c r="AI504" s="51" t="str">
        <f aca="false">IF(AND(AC504=1,AA504&lt;1),IF(AND(C505=C504,AA505=AA504+1),IF(AC505=1,"",INDEX(DATAS,AA504+1)),INDEX(DATAS,AA504+1)),"")</f>
        <v/>
      </c>
    </row>
    <row r="505" customFormat="false" ht="15" hidden="false" customHeight="false" outlineLevel="0" collapsed="false">
      <c r="A505" s="51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46" t="s">
        <v>523</v>
      </c>
      <c r="G505" s="0" t="n">
        <v>20.3</v>
      </c>
      <c r="H505" s="0" t="n">
        <v>17</v>
      </c>
      <c r="I505" s="46" t="s">
        <v>152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51" t="n">
        <v>46089</v>
      </c>
      <c r="X505" s="46" t="n">
        <f aca="false">IF(I505="Male",0,1)</f>
        <v>1</v>
      </c>
      <c r="Y505" s="46" t="n">
        <f aca="false">IF(OR(I505="DNB",I505="Dry DNB"),1,0)</f>
        <v>0</v>
      </c>
      <c r="Z505" s="46" t="n">
        <f aca="false">IF(ISNUMBER(W505),A505-W505,"")</f>
        <v>220</v>
      </c>
      <c r="AA505" s="46" t="n">
        <f aca="false">MATCH(A505,DATAS,0)</f>
        <v>1</v>
      </c>
      <c r="AB505" s="46" t="n">
        <f aca="false">IF(AND(E505&gt;0,OR(AND(B505&gt;=1,B505&lt;=6),B505=10)),1,0)</f>
        <v>1</v>
      </c>
      <c r="AC505" s="46" t="n">
        <f aca="false">IF(AND(E505&gt;0,B505=10),1,0)</f>
        <v>0</v>
      </c>
      <c r="AD505" s="0" t="str">
        <f aca="false">IF(AND(C504=C505,AA504=AA505-1),AB504,"")</f>
        <v/>
      </c>
      <c r="AE505" s="0" t="str">
        <f aca="false">IF(AND(C504=C505,AA504=AA505-1),AC504,"")</f>
        <v/>
      </c>
      <c r="AF505" s="0" t="str">
        <f aca="false">IF(AA505=1,"",IF(AND(AB505=1,AD505&lt;&gt;1),1,0))</f>
        <v/>
      </c>
      <c r="AG505" s="0" t="str">
        <f aca="false">IF(AA505=1,"",IF(AND(AC505=1,AE505&lt;&gt;1),1,0))</f>
        <v/>
      </c>
      <c r="AH505" s="51" t="str">
        <f aca="false">IF(AND(E505&gt;0,AA505&lt;1,NOT(AND(C506=C505,AA506=AA505+1))),INDEX(DATAS,AA505+1),"")</f>
        <v/>
      </c>
      <c r="AI505" s="51" t="str">
        <f aca="false">IF(AND(AC505=1,AA505&lt;1),IF(AND(C506=C505,AA506=AA505+1),IF(AC506=1,"",INDEX(DATAS,AA505+1)),INDEX(DATAS,AA505+1)),"")</f>
        <v/>
      </c>
    </row>
    <row r="506" customFormat="false" ht="15" hidden="false" customHeight="false" outlineLevel="0" collapsed="false">
      <c r="A506" s="51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46" t="s">
        <v>523</v>
      </c>
      <c r="G506" s="0" t="n">
        <v>54.5</v>
      </c>
      <c r="H506" s="0" t="n">
        <v>54</v>
      </c>
      <c r="I506" s="46" t="s">
        <v>189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51" t="n">
        <v>46275</v>
      </c>
      <c r="X506" s="46" t="n">
        <f aca="false">IF(I506="Male",0,1)</f>
        <v>1</v>
      </c>
      <c r="Y506" s="46" t="n">
        <f aca="false">IF(OR(I506="DNB",I506="Dry DNB"),1,0)</f>
        <v>0</v>
      </c>
      <c r="Z506" s="46" t="n">
        <f aca="false">IF(ISNUMBER(W506),A506-W506,"")</f>
        <v>34</v>
      </c>
      <c r="AA506" s="46" t="n">
        <f aca="false">MATCH(A506,DATAS,0)</f>
        <v>1</v>
      </c>
      <c r="AB506" s="46" t="n">
        <f aca="false">IF(AND(E506&gt;0,OR(AND(B506&gt;=1,B506&lt;=6),B506=10)),1,0)</f>
        <v>1</v>
      </c>
      <c r="AC506" s="46" t="n">
        <f aca="false">IF(AND(E506&gt;0,B506=10),1,0)</f>
        <v>0</v>
      </c>
      <c r="AD506" s="0" t="str">
        <f aca="false">IF(AND(C505=C506,AA505=AA506-1),AB505,"")</f>
        <v/>
      </c>
      <c r="AE506" s="0" t="str">
        <f aca="false">IF(AND(C505=C506,AA505=AA506-1),AC505,"")</f>
        <v/>
      </c>
      <c r="AF506" s="0" t="str">
        <f aca="false">IF(AA506=1,"",IF(AND(AB506=1,AD506&lt;&gt;1),1,0))</f>
        <v/>
      </c>
      <c r="AG506" s="0" t="str">
        <f aca="false">IF(AA506=1,"",IF(AND(AC506=1,AE506&lt;&gt;1),1,0))</f>
        <v/>
      </c>
      <c r="AH506" s="51" t="str">
        <f aca="false">IF(AND(E506&gt;0,AA506&lt;1,NOT(AND(C507=C506,AA507=AA506+1))),INDEX(DATAS,AA506+1),"")</f>
        <v/>
      </c>
      <c r="AI506" s="51" t="str">
        <f aca="false">IF(AND(AC506=1,AA506&lt;1),IF(AND(C507=C506,AA507=AA506+1),IF(AC507=1,"",INDEX(DATAS,AA506+1)),INDEX(DATAS,AA506+1)),"")</f>
        <v/>
      </c>
    </row>
    <row r="507" customFormat="false" ht="15" hidden="false" customHeight="false" outlineLevel="0" collapsed="false">
      <c r="A507" s="51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46" t="s">
        <v>524</v>
      </c>
      <c r="I507" s="46" t="s">
        <v>157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51" t="n">
        <v>46058</v>
      </c>
      <c r="X507" s="46" t="n">
        <f aca="false">IF(I507="Male",0,1)</f>
        <v>1</v>
      </c>
      <c r="Y507" s="46" t="n">
        <f aca="false">IF(OR(I507="DNB",I507="Dry DNB"),1,0)</f>
        <v>0</v>
      </c>
      <c r="Z507" s="46" t="n">
        <f aca="false">IF(ISNUMBER(W507),A507-W507,"")</f>
        <v>251</v>
      </c>
      <c r="AA507" s="46" t="n">
        <f aca="false">MATCH(A507,DATAS,0)</f>
        <v>1</v>
      </c>
      <c r="AB507" s="46" t="n">
        <f aca="false">IF(AND(E507&gt;0,OR(AND(B507&gt;=1,B507&lt;=6),B507=10)),1,0)</f>
        <v>0</v>
      </c>
      <c r="AC507" s="46" t="n">
        <f aca="false">IF(AND(E507&gt;0,B507=10),1,0)</f>
        <v>0</v>
      </c>
      <c r="AD507" s="0" t="str">
        <f aca="false">IF(AND(C506=C507,AA506=AA507-1),AB506,"")</f>
        <v/>
      </c>
      <c r="AE507" s="0" t="str">
        <f aca="false">IF(AND(C506=C507,AA506=AA507-1),AC506,"")</f>
        <v/>
      </c>
      <c r="AF507" s="0" t="str">
        <f aca="false">IF(AA507=1,"",IF(AND(AB507=1,AD507&lt;&gt;1),1,0))</f>
        <v/>
      </c>
      <c r="AG507" s="0" t="str">
        <f aca="false">IF(AA507=1,"",IF(AND(AC507=1,AE507&lt;&gt;1),1,0))</f>
        <v/>
      </c>
      <c r="AH507" s="51" t="str">
        <f aca="false">IF(AND(E507&gt;0,AA507&lt;1,NOT(AND(C508=C507,AA508=AA507+1))),INDEX(DATAS,AA507+1),"")</f>
        <v/>
      </c>
      <c r="AI507" s="51" t="str">
        <f aca="false">IF(AND(AC507=1,AA507&lt;1),IF(AND(C508=C507,AA508=AA507+1),IF(AC508=1,"",INDEX(DATAS,AA507+1)),INDEX(DATAS,AA507+1)),"")</f>
        <v/>
      </c>
    </row>
    <row r="508" customFormat="false" ht="15" hidden="false" customHeight="false" outlineLevel="0" collapsed="false">
      <c r="A508" s="51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46" t="s">
        <v>525</v>
      </c>
      <c r="G508" s="0" t="n">
        <v>47.7</v>
      </c>
      <c r="H508" s="0" t="n">
        <v>39</v>
      </c>
      <c r="I508" s="46" t="s">
        <v>152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51" t="n">
        <v>46157</v>
      </c>
      <c r="X508" s="46" t="n">
        <f aca="false">IF(I508="Male",0,1)</f>
        <v>1</v>
      </c>
      <c r="Y508" s="46" t="n">
        <f aca="false">IF(OR(I508="DNB",I508="Dry DNB"),1,0)</f>
        <v>0</v>
      </c>
      <c r="Z508" s="46" t="n">
        <f aca="false">IF(ISNUMBER(W508),A508-W508,"")</f>
        <v>152</v>
      </c>
      <c r="AA508" s="46" t="n">
        <f aca="false">MATCH(A508,DATAS,0)</f>
        <v>1</v>
      </c>
      <c r="AB508" s="46" t="n">
        <f aca="false">IF(AND(E508&gt;0,OR(AND(B508&gt;=1,B508&lt;=6),B508=10)),1,0)</f>
        <v>1</v>
      </c>
      <c r="AC508" s="46" t="n">
        <f aca="false">IF(AND(E508&gt;0,B508=10),1,0)</f>
        <v>0</v>
      </c>
      <c r="AD508" s="0" t="str">
        <f aca="false">IF(AND(C507=C508,AA507=AA508-1),AB507,"")</f>
        <v/>
      </c>
      <c r="AE508" s="0" t="str">
        <f aca="false">IF(AND(C507=C508,AA507=AA508-1),AC507,"")</f>
        <v/>
      </c>
      <c r="AF508" s="0" t="str">
        <f aca="false">IF(AA508=1,"",IF(AND(AB508=1,AD508&lt;&gt;1),1,0))</f>
        <v/>
      </c>
      <c r="AG508" s="0" t="str">
        <f aca="false">IF(AA508=1,"",IF(AND(AC508=1,AE508&lt;&gt;1),1,0))</f>
        <v/>
      </c>
      <c r="AH508" s="51" t="str">
        <f aca="false">IF(AND(E508&gt;0,AA508&lt;1,NOT(AND(C509=C508,AA509=AA508+1))),INDEX(DATAS,AA508+1),"")</f>
        <v/>
      </c>
      <c r="AI508" s="51" t="str">
        <f aca="false">IF(AND(AC508=1,AA508&lt;1),IF(AND(C509=C508,AA509=AA508+1),IF(AC509=1,"",INDEX(DATAS,AA508+1)),INDEX(DATAS,AA508+1)),"")</f>
        <v/>
      </c>
    </row>
    <row r="509" customFormat="false" ht="15" hidden="false" customHeight="false" outlineLevel="0" collapsed="false">
      <c r="A509" s="51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46" t="s">
        <v>526</v>
      </c>
      <c r="G509" s="0" t="n">
        <v>51.1</v>
      </c>
      <c r="H509" s="0" t="n">
        <v>52</v>
      </c>
      <c r="I509" s="46" t="s">
        <v>152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51" t="n">
        <v>46198</v>
      </c>
      <c r="X509" s="46" t="n">
        <f aca="false">IF(I509="Male",0,1)</f>
        <v>1</v>
      </c>
      <c r="Y509" s="46" t="n">
        <f aca="false">IF(OR(I509="DNB",I509="Dry DNB"),1,0)</f>
        <v>0</v>
      </c>
      <c r="Z509" s="46" t="n">
        <f aca="false">IF(ISNUMBER(W509),A509-W509,"")</f>
        <v>111</v>
      </c>
      <c r="AA509" s="46" t="n">
        <f aca="false">MATCH(A509,DATAS,0)</f>
        <v>1</v>
      </c>
      <c r="AB509" s="46" t="n">
        <f aca="false">IF(AND(E509&gt;0,OR(AND(B509&gt;=1,B509&lt;=6),B509=10)),1,0)</f>
        <v>1</v>
      </c>
      <c r="AC509" s="46" t="n">
        <f aca="false">IF(AND(E509&gt;0,B509=10),1,0)</f>
        <v>0</v>
      </c>
      <c r="AD509" s="0" t="str">
        <f aca="false">IF(AND(C508=C509,AA508=AA509-1),AB508,"")</f>
        <v/>
      </c>
      <c r="AE509" s="0" t="str">
        <f aca="false">IF(AND(C508=C509,AA508=AA509-1),AC508,"")</f>
        <v/>
      </c>
      <c r="AF509" s="0" t="str">
        <f aca="false">IF(AA509=1,"",IF(AND(AB509=1,AD509&lt;&gt;1),1,0))</f>
        <v/>
      </c>
      <c r="AG509" s="0" t="str">
        <f aca="false">IF(AA509=1,"",IF(AND(AC509=1,AE509&lt;&gt;1),1,0))</f>
        <v/>
      </c>
      <c r="AH509" s="51" t="str">
        <f aca="false">IF(AND(E509&gt;0,AA509&lt;1,NOT(AND(C510=C509,AA510=AA509+1))),INDEX(DATAS,AA509+1),"")</f>
        <v/>
      </c>
      <c r="AI509" s="51" t="str">
        <f aca="false">IF(AND(AC509=1,AA509&lt;1),IF(AND(C510=C509,AA510=AA509+1),IF(AC510=1,"",INDEX(DATAS,AA509+1)),INDEX(DATAS,AA509+1)),"")</f>
        <v/>
      </c>
    </row>
    <row r="510" customFormat="false" ht="15" hidden="false" customHeight="false" outlineLevel="0" collapsed="false">
      <c r="A510" s="51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46" t="s">
        <v>527</v>
      </c>
      <c r="G510" s="0" t="n">
        <v>33</v>
      </c>
      <c r="H510" s="0" t="n">
        <v>42</v>
      </c>
      <c r="I510" s="46" t="s">
        <v>152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51" t="n">
        <v>46123</v>
      </c>
      <c r="X510" s="46" t="n">
        <f aca="false">IF(I510="Male",0,1)</f>
        <v>1</v>
      </c>
      <c r="Y510" s="46" t="n">
        <f aca="false">IF(OR(I510="DNB",I510="Dry DNB"),1,0)</f>
        <v>0</v>
      </c>
      <c r="Z510" s="46" t="n">
        <f aca="false">IF(ISNUMBER(W510),A510-W510,"")</f>
        <v>186</v>
      </c>
      <c r="AA510" s="46" t="n">
        <f aca="false">MATCH(A510,DATAS,0)</f>
        <v>1</v>
      </c>
      <c r="AB510" s="46" t="n">
        <f aca="false">IF(AND(E510&gt;0,OR(AND(B510&gt;=1,B510&lt;=6),B510=10)),1,0)</f>
        <v>1</v>
      </c>
      <c r="AC510" s="46" t="n">
        <f aca="false">IF(AND(E510&gt;0,B510=10),1,0)</f>
        <v>0</v>
      </c>
      <c r="AD510" s="0" t="str">
        <f aca="false">IF(AND(C509=C510,AA509=AA510-1),AB509,"")</f>
        <v/>
      </c>
      <c r="AE510" s="0" t="str">
        <f aca="false">IF(AND(C509=C510,AA509=AA510-1),AC509,"")</f>
        <v/>
      </c>
      <c r="AF510" s="0" t="str">
        <f aca="false">IF(AA510=1,"",IF(AND(AB510=1,AD510&lt;&gt;1),1,0))</f>
        <v/>
      </c>
      <c r="AG510" s="0" t="str">
        <f aca="false">IF(AA510=1,"",IF(AND(AC510=1,AE510&lt;&gt;1),1,0))</f>
        <v/>
      </c>
      <c r="AH510" s="51" t="str">
        <f aca="false">IF(AND(E510&gt;0,AA510&lt;1,NOT(AND(C511=C510,AA511=AA510+1))),INDEX(DATAS,AA510+1),"")</f>
        <v/>
      </c>
      <c r="AI510" s="51" t="str">
        <f aca="false">IF(AND(AC510=1,AA510&lt;1),IF(AND(C511=C510,AA511=AA510+1),IF(AC511=1,"",INDEX(DATAS,AA510+1)),INDEX(DATAS,AA510+1)),"")</f>
        <v/>
      </c>
    </row>
    <row r="511" customFormat="false" ht="15" hidden="false" customHeight="false" outlineLevel="0" collapsed="false">
      <c r="A511" s="51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46" t="s">
        <v>527</v>
      </c>
      <c r="G511" s="0" t="n">
        <v>68.6</v>
      </c>
      <c r="H511" s="0" t="n">
        <v>68</v>
      </c>
      <c r="I511" s="46" t="s">
        <v>161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X511" s="46" t="n">
        <f aca="false">IF(I511="Male",0,1)</f>
        <v>1</v>
      </c>
      <c r="Y511" s="46" t="n">
        <f aca="false">IF(OR(I511="DNB",I511="Dry DNB"),1,0)</f>
        <v>0</v>
      </c>
      <c r="Z511" s="0" t="str">
        <f aca="false">IF(ISNUMBER(W511),A511-W511,"")</f>
        <v/>
      </c>
      <c r="AA511" s="46" t="n">
        <f aca="false">MATCH(A511,DATAS,0)</f>
        <v>1</v>
      </c>
      <c r="AB511" s="46" t="n">
        <f aca="false">IF(AND(E511&gt;0,OR(AND(B511&gt;=1,B511&lt;=6),B511=10)),1,0)</f>
        <v>1</v>
      </c>
      <c r="AC511" s="46" t="n">
        <f aca="false">IF(AND(E511&gt;0,B511=10),1,0)</f>
        <v>0</v>
      </c>
      <c r="AD511" s="0" t="str">
        <f aca="false">IF(AND(C510=C511,AA510=AA511-1),AB510,"")</f>
        <v/>
      </c>
      <c r="AE511" s="0" t="str">
        <f aca="false">IF(AND(C510=C511,AA510=AA511-1),AC510,"")</f>
        <v/>
      </c>
      <c r="AF511" s="0" t="str">
        <f aca="false">IF(AA511=1,"",IF(AND(AB511=1,AD511&lt;&gt;1),1,0))</f>
        <v/>
      </c>
      <c r="AG511" s="0" t="str">
        <f aca="false">IF(AA511=1,"",IF(AND(AC511=1,AE511&lt;&gt;1),1,0))</f>
        <v/>
      </c>
      <c r="AH511" s="51" t="str">
        <f aca="false">IF(AND(E511&gt;0,AA511&lt;1,NOT(AND(C512=C511,AA512=AA511+1))),INDEX(DATAS,AA511+1),"")</f>
        <v/>
      </c>
      <c r="AI511" s="51" t="str">
        <f aca="false">IF(AND(AC511=1,AA511&lt;1),IF(AND(C512=C511,AA512=AA511+1),IF(AC512=1,"",INDEX(DATAS,AA511+1)),INDEX(DATAS,AA511+1)),"")</f>
        <v/>
      </c>
    </row>
    <row r="512" customFormat="false" ht="15" hidden="false" customHeight="false" outlineLevel="0" collapsed="false">
      <c r="A512" s="51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46" t="s">
        <v>527</v>
      </c>
      <c r="G512" s="0" t="n">
        <v>50.7</v>
      </c>
      <c r="H512" s="0" t="n">
        <v>50</v>
      </c>
      <c r="I512" s="46" t="s">
        <v>152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51" t="n">
        <v>46254</v>
      </c>
      <c r="X512" s="46" t="n">
        <f aca="false">IF(I512="Male",0,1)</f>
        <v>1</v>
      </c>
      <c r="Y512" s="46" t="n">
        <f aca="false">IF(OR(I512="DNB",I512="Dry DNB"),1,0)</f>
        <v>0</v>
      </c>
      <c r="Z512" s="46" t="n">
        <f aca="false">IF(ISNUMBER(W512),A512-W512,"")</f>
        <v>55</v>
      </c>
      <c r="AA512" s="46" t="n">
        <f aca="false">MATCH(A512,DATAS,0)</f>
        <v>1</v>
      </c>
      <c r="AB512" s="46" t="n">
        <f aca="false">IF(AND(E512&gt;0,OR(AND(B512&gt;=1,B512&lt;=6),B512=10)),1,0)</f>
        <v>1</v>
      </c>
      <c r="AC512" s="46" t="n">
        <f aca="false">IF(AND(E512&gt;0,B512=10),1,0)</f>
        <v>0</v>
      </c>
      <c r="AD512" s="0" t="str">
        <f aca="false">IF(AND(C511=C512,AA511=AA512-1),AB511,"")</f>
        <v/>
      </c>
      <c r="AE512" s="0" t="str">
        <f aca="false">IF(AND(C511=C512,AA511=AA512-1),AC511,"")</f>
        <v/>
      </c>
      <c r="AF512" s="0" t="str">
        <f aca="false">IF(AA512=1,"",IF(AND(AB512=1,AD512&lt;&gt;1),1,0))</f>
        <v/>
      </c>
      <c r="AG512" s="0" t="str">
        <f aca="false">IF(AA512=1,"",IF(AND(AC512=1,AE512&lt;&gt;1),1,0))</f>
        <v/>
      </c>
      <c r="AH512" s="51" t="str">
        <f aca="false">IF(AND(E512&gt;0,AA512&lt;1,NOT(AND(C513=C512,AA513=AA512+1))),INDEX(DATAS,AA512+1),"")</f>
        <v/>
      </c>
      <c r="AI512" s="51" t="str">
        <f aca="false">IF(AND(AC512=1,AA512&lt;1),IF(AND(C513=C512,AA513=AA512+1),IF(AC513=1,"",INDEX(DATAS,AA512+1)),INDEX(DATAS,AA512+1)),"")</f>
        <v/>
      </c>
    </row>
    <row r="513" customFormat="false" ht="15" hidden="false" customHeight="false" outlineLevel="0" collapsed="false">
      <c r="A513" s="51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46" t="s">
        <v>527</v>
      </c>
      <c r="G513" s="0" t="n">
        <v>65.4</v>
      </c>
      <c r="H513" s="0" t="n">
        <v>58</v>
      </c>
      <c r="I513" s="46" t="s">
        <v>161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X513" s="46" t="n">
        <f aca="false">IF(I513="Male",0,1)</f>
        <v>1</v>
      </c>
      <c r="Y513" s="46" t="n">
        <f aca="false">IF(OR(I513="DNB",I513="Dry DNB"),1,0)</f>
        <v>0</v>
      </c>
      <c r="Z513" s="0" t="str">
        <f aca="false">IF(ISNUMBER(W513),A513-W513,"")</f>
        <v/>
      </c>
      <c r="AA513" s="46" t="n">
        <f aca="false">MATCH(A513,DATAS,0)</f>
        <v>1</v>
      </c>
      <c r="AB513" s="46" t="n">
        <f aca="false">IF(AND(E513&gt;0,OR(AND(B513&gt;=1,B513&lt;=6),B513=10)),1,0)</f>
        <v>1</v>
      </c>
      <c r="AC513" s="46" t="n">
        <f aca="false">IF(AND(E513&gt;0,B513=10),1,0)</f>
        <v>0</v>
      </c>
      <c r="AD513" s="0" t="str">
        <f aca="false">IF(AND(C512=C513,AA512=AA513-1),AB512,"")</f>
        <v/>
      </c>
      <c r="AE513" s="0" t="str">
        <f aca="false">IF(AND(C512=C513,AA512=AA513-1),AC512,"")</f>
        <v/>
      </c>
      <c r="AF513" s="0" t="str">
        <f aca="false">IF(AA513=1,"",IF(AND(AB513=1,AD513&lt;&gt;1),1,0))</f>
        <v/>
      </c>
      <c r="AG513" s="0" t="str">
        <f aca="false">IF(AA513=1,"",IF(AND(AC513=1,AE513&lt;&gt;1),1,0))</f>
        <v/>
      </c>
      <c r="AH513" s="51" t="str">
        <f aca="false">IF(AND(E513&gt;0,AA513&lt;1,NOT(AND(C514=C513,AA514=AA513+1))),INDEX(DATAS,AA513+1),"")</f>
        <v/>
      </c>
      <c r="AI513" s="51" t="str">
        <f aca="false">IF(AND(AC513=1,AA513&lt;1),IF(AND(C514=C513,AA514=AA513+1),IF(AC514=1,"",INDEX(DATAS,AA513+1)),INDEX(DATAS,AA513+1)),"")</f>
        <v/>
      </c>
    </row>
    <row r="514" customFormat="false" ht="15" hidden="false" customHeight="false" outlineLevel="0" collapsed="false">
      <c r="A514" s="51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46" t="s">
        <v>527</v>
      </c>
      <c r="G514" s="0" t="n">
        <v>37.5</v>
      </c>
      <c r="H514" s="0" t="n">
        <v>31</v>
      </c>
      <c r="I514" s="46" t="s">
        <v>152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X514" s="46" t="n">
        <f aca="false">IF(I514="Male",0,1)</f>
        <v>1</v>
      </c>
      <c r="Y514" s="46" t="n">
        <f aca="false">IF(OR(I514="DNB",I514="Dry DNB"),1,0)</f>
        <v>0</v>
      </c>
      <c r="Z514" s="0" t="str">
        <f aca="false">IF(ISNUMBER(W514),A514-W514,"")</f>
        <v/>
      </c>
      <c r="AA514" s="46" t="n">
        <f aca="false">MATCH(A514,DATAS,0)</f>
        <v>1</v>
      </c>
      <c r="AB514" s="46" t="n">
        <f aca="false">IF(AND(E514&gt;0,OR(AND(B514&gt;=1,B514&lt;=6),B514=10)),1,0)</f>
        <v>1</v>
      </c>
      <c r="AC514" s="46" t="n">
        <f aca="false">IF(AND(E514&gt;0,B514=10),1,0)</f>
        <v>0</v>
      </c>
      <c r="AD514" s="0" t="str">
        <f aca="false">IF(AND(C513=C514,AA513=AA514-1),AB513,"")</f>
        <v/>
      </c>
      <c r="AE514" s="0" t="str">
        <f aca="false">IF(AND(C513=C514,AA513=AA514-1),AC513,"")</f>
        <v/>
      </c>
      <c r="AF514" s="0" t="str">
        <f aca="false">IF(AA514=1,"",IF(AND(AB514=1,AD514&lt;&gt;1),1,0))</f>
        <v/>
      </c>
      <c r="AG514" s="0" t="str">
        <f aca="false">IF(AA514=1,"",IF(AND(AC514=1,AE514&lt;&gt;1),1,0))</f>
        <v/>
      </c>
      <c r="AH514" s="51" t="str">
        <f aca="false">IF(AND(E514&gt;0,AA514&lt;1,NOT(AND(C515=C514,AA515=AA514+1))),INDEX(DATAS,AA514+1),"")</f>
        <v/>
      </c>
      <c r="AI514" s="51" t="str">
        <f aca="false">IF(AND(AC514=1,AA514&lt;1),IF(AND(C515=C514,AA515=AA514+1),IF(AC515=1,"",INDEX(DATAS,AA514+1)),INDEX(DATAS,AA514+1)),"")</f>
        <v/>
      </c>
    </row>
    <row r="515" customFormat="false" ht="15" hidden="false" customHeight="false" outlineLevel="0" collapsed="false">
      <c r="A515" s="51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46" t="s">
        <v>528</v>
      </c>
      <c r="G515" s="0" t="n">
        <v>44.9</v>
      </c>
      <c r="H515" s="0" t="n">
        <v>45</v>
      </c>
      <c r="I515" s="46" t="s">
        <v>181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51" t="n">
        <v>46289</v>
      </c>
      <c r="X515" s="46" t="n">
        <f aca="false">IF(I515="Male",0,1)</f>
        <v>1</v>
      </c>
      <c r="Y515" s="46" t="n">
        <f aca="false">IF(OR(I515="DNB",I515="Dry DNB"),1,0)</f>
        <v>0</v>
      </c>
      <c r="Z515" s="46" t="n">
        <f aca="false">IF(ISNUMBER(W515),A515-W515,"")</f>
        <v>20</v>
      </c>
      <c r="AA515" s="46" t="n">
        <f aca="false">MATCH(A515,DATAS,0)</f>
        <v>1</v>
      </c>
      <c r="AB515" s="46" t="n">
        <f aca="false">IF(AND(E515&gt;0,OR(AND(B515&gt;=1,B515&lt;=6),B515=10)),1,0)</f>
        <v>1</v>
      </c>
      <c r="AC515" s="46" t="n">
        <f aca="false">IF(AND(E515&gt;0,B515=10),1,0)</f>
        <v>0</v>
      </c>
      <c r="AD515" s="0" t="str">
        <f aca="false">IF(AND(C514=C515,AA514=AA515-1),AB514,"")</f>
        <v/>
      </c>
      <c r="AE515" s="0" t="str">
        <f aca="false">IF(AND(C514=C515,AA514=AA515-1),AC514,"")</f>
        <v/>
      </c>
      <c r="AF515" s="0" t="str">
        <f aca="false">IF(AA515=1,"",IF(AND(AB515=1,AD515&lt;&gt;1),1,0))</f>
        <v/>
      </c>
      <c r="AG515" s="0" t="str">
        <f aca="false">IF(AA515=1,"",IF(AND(AC515=1,AE515&lt;&gt;1),1,0))</f>
        <v/>
      </c>
      <c r="AH515" s="51" t="str">
        <f aca="false">IF(AND(E515&gt;0,AA515&lt;1,NOT(AND(C516=C515,AA516=AA515+1))),INDEX(DATAS,AA515+1),"")</f>
        <v/>
      </c>
      <c r="AI515" s="51" t="str">
        <f aca="false">IF(AND(AC515=1,AA515&lt;1),IF(AND(C516=C515,AA516=AA515+1),IF(AC516=1,"",INDEX(DATAS,AA515+1)),INDEX(DATAS,AA515+1)),"")</f>
        <v/>
      </c>
    </row>
    <row r="516" customFormat="false" ht="15" hidden="false" customHeight="false" outlineLevel="0" collapsed="false">
      <c r="A516" s="51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46" t="s">
        <v>529</v>
      </c>
      <c r="H516" s="0" t="n">
        <v>23</v>
      </c>
      <c r="I516" s="46" t="s">
        <v>152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51" t="n">
        <v>46114</v>
      </c>
      <c r="X516" s="46" t="n">
        <f aca="false">IF(I516="Male",0,1)</f>
        <v>1</v>
      </c>
      <c r="Y516" s="46" t="n">
        <f aca="false">IF(OR(I516="DNB",I516="Dry DNB"),1,0)</f>
        <v>0</v>
      </c>
      <c r="Z516" s="46" t="n">
        <f aca="false">IF(ISNUMBER(W516),A516-W516,"")</f>
        <v>195</v>
      </c>
      <c r="AA516" s="46" t="n">
        <f aca="false">MATCH(A516,DATAS,0)</f>
        <v>1</v>
      </c>
      <c r="AB516" s="46" t="n">
        <f aca="false">IF(AND(E516&gt;0,OR(AND(B516&gt;=1,B516&lt;=6),B516=10)),1,0)</f>
        <v>1</v>
      </c>
      <c r="AC516" s="46" t="n">
        <f aca="false">IF(AND(E516&gt;0,B516=10),1,0)</f>
        <v>0</v>
      </c>
      <c r="AD516" s="0" t="str">
        <f aca="false">IF(AND(C515=C516,AA515=AA516-1),AB515,"")</f>
        <v/>
      </c>
      <c r="AE516" s="0" t="str">
        <f aca="false">IF(AND(C515=C516,AA515=AA516-1),AC515,"")</f>
        <v/>
      </c>
      <c r="AF516" s="0" t="str">
        <f aca="false">IF(AA516=1,"",IF(AND(AB516=1,AD516&lt;&gt;1),1,0))</f>
        <v/>
      </c>
      <c r="AG516" s="0" t="str">
        <f aca="false">IF(AA516=1,"",IF(AND(AC516=1,AE516&lt;&gt;1),1,0))</f>
        <v/>
      </c>
      <c r="AH516" s="51" t="str">
        <f aca="false">IF(AND(E516&gt;0,AA516&lt;1,NOT(AND(C517=C516,AA517=AA516+1))),INDEX(DATAS,AA516+1),"")</f>
        <v/>
      </c>
      <c r="AI516" s="51" t="str">
        <f aca="false">IF(AND(AC516=1,AA516&lt;1),IF(AND(C517=C516,AA517=AA516+1),IF(AC517=1,"",INDEX(DATAS,AA516+1)),INDEX(DATAS,AA516+1)),"")</f>
        <v/>
      </c>
    </row>
    <row r="517" customFormat="false" ht="15" hidden="false" customHeight="false" outlineLevel="0" collapsed="false">
      <c r="A517" s="51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46" t="s">
        <v>529</v>
      </c>
      <c r="G517" s="0" t="n">
        <v>44.7</v>
      </c>
      <c r="H517" s="0" t="n">
        <v>41</v>
      </c>
      <c r="I517" s="46" t="s">
        <v>152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51" t="n">
        <v>46135</v>
      </c>
      <c r="X517" s="46" t="n">
        <f aca="false">IF(I517="Male",0,1)</f>
        <v>1</v>
      </c>
      <c r="Y517" s="46" t="n">
        <f aca="false">IF(OR(I517="DNB",I517="Dry DNB"),1,0)</f>
        <v>0</v>
      </c>
      <c r="Z517" s="46" t="n">
        <f aca="false">IF(ISNUMBER(W517),A517-W517,"")</f>
        <v>174</v>
      </c>
      <c r="AA517" s="46" t="n">
        <f aca="false">MATCH(A517,DATAS,0)</f>
        <v>1</v>
      </c>
      <c r="AB517" s="46" t="n">
        <f aca="false">IF(AND(E517&gt;0,OR(AND(B517&gt;=1,B517&lt;=6),B517=10)),1,0)</f>
        <v>1</v>
      </c>
      <c r="AC517" s="46" t="n">
        <f aca="false">IF(AND(E517&gt;0,B517=10),1,0)</f>
        <v>0</v>
      </c>
      <c r="AD517" s="0" t="str">
        <f aca="false">IF(AND(C516=C517,AA516=AA517-1),AB516,"")</f>
        <v/>
      </c>
      <c r="AE517" s="0" t="str">
        <f aca="false">IF(AND(C516=C517,AA516=AA517-1),AC516,"")</f>
        <v/>
      </c>
      <c r="AF517" s="0" t="str">
        <f aca="false">IF(AA517=1,"",IF(AND(AB517=1,AD517&lt;&gt;1),1,0))</f>
        <v/>
      </c>
      <c r="AG517" s="0" t="str">
        <f aca="false">IF(AA517=1,"",IF(AND(AC517=1,AE517&lt;&gt;1),1,0))</f>
        <v/>
      </c>
      <c r="AH517" s="51" t="str">
        <f aca="false">IF(AND(E517&gt;0,AA517&lt;1,NOT(AND(C518=C517,AA518=AA517+1))),INDEX(DATAS,AA517+1),"")</f>
        <v/>
      </c>
      <c r="AI517" s="51" t="str">
        <f aca="false">IF(AND(AC517=1,AA517&lt;1),IF(AND(C518=C517,AA518=AA517+1),IF(AC518=1,"",INDEX(DATAS,AA517+1)),INDEX(DATAS,AA517+1)),"")</f>
        <v/>
      </c>
    </row>
    <row r="518" customFormat="false" ht="15" hidden="false" customHeight="false" outlineLevel="0" collapsed="false">
      <c r="A518" s="51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46" t="s">
        <v>530</v>
      </c>
      <c r="G518" s="0" t="n">
        <v>16.7</v>
      </c>
      <c r="H518" s="0" t="n">
        <v>44</v>
      </c>
      <c r="I518" s="46" t="s">
        <v>157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51" t="n">
        <v>46086</v>
      </c>
      <c r="X518" s="46" t="n">
        <f aca="false">IF(I518="Male",0,1)</f>
        <v>1</v>
      </c>
      <c r="Y518" s="46" t="n">
        <f aca="false">IF(OR(I518="DNB",I518="Dry DNB"),1,0)</f>
        <v>0</v>
      </c>
      <c r="Z518" s="46" t="n">
        <f aca="false">IF(ISNUMBER(W518),A518-W518,"")</f>
        <v>223</v>
      </c>
      <c r="AA518" s="46" t="n">
        <f aca="false">MATCH(A518,DATAS,0)</f>
        <v>1</v>
      </c>
      <c r="AB518" s="46" t="n">
        <f aca="false">IF(AND(E518&gt;0,OR(AND(B518&gt;=1,B518&lt;=6),B518=10)),1,0)</f>
        <v>0</v>
      </c>
      <c r="AC518" s="46" t="n">
        <f aca="false">IF(AND(E518&gt;0,B518=10),1,0)</f>
        <v>0</v>
      </c>
      <c r="AD518" s="0" t="str">
        <f aca="false">IF(AND(C517=C518,AA517=AA518-1),AB517,"")</f>
        <v/>
      </c>
      <c r="AE518" s="0" t="str">
        <f aca="false">IF(AND(C517=C518,AA517=AA518-1),AC517,"")</f>
        <v/>
      </c>
      <c r="AF518" s="0" t="str">
        <f aca="false">IF(AA518=1,"",IF(AND(AB518=1,AD518&lt;&gt;1),1,0))</f>
        <v/>
      </c>
      <c r="AG518" s="0" t="str">
        <f aca="false">IF(AA518=1,"",IF(AND(AC518=1,AE518&lt;&gt;1),1,0))</f>
        <v/>
      </c>
      <c r="AH518" s="51" t="str">
        <f aca="false">IF(AND(E518&gt;0,AA518&lt;1,NOT(AND(C519=C518,AA519=AA518+1))),INDEX(DATAS,AA518+1),"")</f>
        <v/>
      </c>
      <c r="AI518" s="51" t="str">
        <f aca="false">IF(AND(AC518=1,AA518&lt;1),IF(AND(C519=C518,AA519=AA518+1),IF(AC519=1,"",INDEX(DATAS,AA518+1)),INDEX(DATAS,AA518+1)),"")</f>
        <v/>
      </c>
    </row>
    <row r="519" customFormat="false" ht="15" hidden="false" customHeight="false" outlineLevel="0" collapsed="false">
      <c r="A519" s="51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46" t="s">
        <v>530</v>
      </c>
      <c r="G519" s="0" t="n">
        <v>37.7</v>
      </c>
      <c r="H519" s="0" t="n">
        <v>35</v>
      </c>
      <c r="I519" s="46" t="s">
        <v>152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51" t="n">
        <v>46184</v>
      </c>
      <c r="X519" s="46" t="n">
        <f aca="false">IF(I519="Male",0,1)</f>
        <v>1</v>
      </c>
      <c r="Y519" s="46" t="n">
        <f aca="false">IF(OR(I519="DNB",I519="Dry DNB"),1,0)</f>
        <v>0</v>
      </c>
      <c r="Z519" s="46" t="n">
        <f aca="false">IF(ISNUMBER(W519),A519-W519,"")</f>
        <v>125</v>
      </c>
      <c r="AA519" s="46" t="n">
        <f aca="false">MATCH(A519,DATAS,0)</f>
        <v>1</v>
      </c>
      <c r="AB519" s="46" t="n">
        <f aca="false">IF(AND(E519&gt;0,OR(AND(B519&gt;=1,B519&lt;=6),B519=10)),1,0)</f>
        <v>1</v>
      </c>
      <c r="AC519" s="46" t="n">
        <f aca="false">IF(AND(E519&gt;0,B519=10),1,0)</f>
        <v>0</v>
      </c>
      <c r="AD519" s="0" t="str">
        <f aca="false">IF(AND(C518=C519,AA518=AA519-1),AB518,"")</f>
        <v/>
      </c>
      <c r="AE519" s="0" t="str">
        <f aca="false">IF(AND(C518=C519,AA518=AA519-1),AC518,"")</f>
        <v/>
      </c>
      <c r="AF519" s="0" t="str">
        <f aca="false">IF(AA519=1,"",IF(AND(AB519=1,AD519&lt;&gt;1),1,0))</f>
        <v/>
      </c>
      <c r="AG519" s="0" t="str">
        <f aca="false">IF(AA519=1,"",IF(AND(AC519=1,AE519&lt;&gt;1),1,0))</f>
        <v/>
      </c>
      <c r="AH519" s="51" t="str">
        <f aca="false">IF(AND(E519&gt;0,AA519&lt;1,NOT(AND(C520=C519,AA520=AA519+1))),INDEX(DATAS,AA519+1),"")</f>
        <v/>
      </c>
      <c r="AI519" s="51" t="str">
        <f aca="false">IF(AND(AC519=1,AA519&lt;1),IF(AND(C520=C519,AA520=AA519+1),IF(AC520=1,"",INDEX(DATAS,AA519+1)),INDEX(DATAS,AA519+1)),"")</f>
        <v/>
      </c>
    </row>
    <row r="520" customFormat="false" ht="15" hidden="false" customHeight="false" outlineLevel="0" collapsed="false">
      <c r="A520" s="51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46" t="s">
        <v>531</v>
      </c>
      <c r="G520" s="0" t="n">
        <v>32.9</v>
      </c>
      <c r="H520" s="0" t="n">
        <v>31</v>
      </c>
      <c r="I520" s="46" t="s">
        <v>152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51" t="n">
        <v>46198</v>
      </c>
      <c r="X520" s="46" t="n">
        <f aca="false">IF(I520="Male",0,1)</f>
        <v>1</v>
      </c>
      <c r="Y520" s="46" t="n">
        <f aca="false">IF(OR(I520="DNB",I520="Dry DNB"),1,0)</f>
        <v>0</v>
      </c>
      <c r="Z520" s="46" t="n">
        <f aca="false">IF(ISNUMBER(W520),A520-W520,"")</f>
        <v>111</v>
      </c>
      <c r="AA520" s="46" t="n">
        <f aca="false">MATCH(A520,DATAS,0)</f>
        <v>1</v>
      </c>
      <c r="AB520" s="46" t="n">
        <f aca="false">IF(AND(E520&gt;0,OR(AND(B520&gt;=1,B520&lt;=6),B520=10)),1,0)</f>
        <v>1</v>
      </c>
      <c r="AC520" s="46" t="n">
        <f aca="false">IF(AND(E520&gt;0,B520=10),1,0)</f>
        <v>0</v>
      </c>
      <c r="AD520" s="0" t="str">
        <f aca="false">IF(AND(C519=C520,AA519=AA520-1),AB519,"")</f>
        <v/>
      </c>
      <c r="AE520" s="0" t="str">
        <f aca="false">IF(AND(C519=C520,AA519=AA520-1),AC519,"")</f>
        <v/>
      </c>
      <c r="AF520" s="0" t="str">
        <f aca="false">IF(AA520=1,"",IF(AND(AB520=1,AD520&lt;&gt;1),1,0))</f>
        <v/>
      </c>
      <c r="AG520" s="0" t="str">
        <f aca="false">IF(AA520=1,"",IF(AND(AC520=1,AE520&lt;&gt;1),1,0))</f>
        <v/>
      </c>
      <c r="AH520" s="51" t="str">
        <f aca="false">IF(AND(E520&gt;0,AA520&lt;1,NOT(AND(C521=C520,AA521=AA520+1))),INDEX(DATAS,AA520+1),"")</f>
        <v/>
      </c>
      <c r="AI520" s="51" t="str">
        <f aca="false">IF(AND(AC520=1,AA520&lt;1),IF(AND(C521=C520,AA521=AA520+1),IF(AC521=1,"",INDEX(DATAS,AA520+1)),INDEX(DATAS,AA520+1)),"")</f>
        <v/>
      </c>
    </row>
    <row r="521" customFormat="false" ht="15" hidden="false" customHeight="false" outlineLevel="0" collapsed="false">
      <c r="A521" s="51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46" t="s">
        <v>531</v>
      </c>
      <c r="G521" s="0" t="n">
        <v>58.4</v>
      </c>
      <c r="H521" s="0" t="n">
        <v>51</v>
      </c>
      <c r="I521" s="46" t="s">
        <v>161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X521" s="46" t="n">
        <f aca="false">IF(I521="Male",0,1)</f>
        <v>1</v>
      </c>
      <c r="Y521" s="46" t="n">
        <f aca="false">IF(OR(I521="DNB",I521="Dry DNB"),1,0)</f>
        <v>0</v>
      </c>
      <c r="Z521" s="0" t="str">
        <f aca="false">IF(ISNUMBER(W521),A521-W521,"")</f>
        <v/>
      </c>
      <c r="AA521" s="46" t="n">
        <f aca="false">MATCH(A521,DATAS,0)</f>
        <v>1</v>
      </c>
      <c r="AB521" s="46" t="n">
        <f aca="false">IF(AND(E521&gt;0,OR(AND(B521&gt;=1,B521&lt;=6),B521=10)),1,0)</f>
        <v>1</v>
      </c>
      <c r="AC521" s="46" t="n">
        <f aca="false">IF(AND(E521&gt;0,B521=10),1,0)</f>
        <v>0</v>
      </c>
      <c r="AD521" s="0" t="str">
        <f aca="false">IF(AND(C520=C521,AA520=AA521-1),AB520,"")</f>
        <v/>
      </c>
      <c r="AE521" s="0" t="str">
        <f aca="false">IF(AND(C520=C521,AA520=AA521-1),AC520,"")</f>
        <v/>
      </c>
      <c r="AF521" s="0" t="str">
        <f aca="false">IF(AA521=1,"",IF(AND(AB521=1,AD521&lt;&gt;1),1,0))</f>
        <v/>
      </c>
      <c r="AG521" s="0" t="str">
        <f aca="false">IF(AA521=1,"",IF(AND(AC521=1,AE521&lt;&gt;1),1,0))</f>
        <v/>
      </c>
      <c r="AH521" s="51" t="str">
        <f aca="false">IF(AND(E521&gt;0,AA521&lt;1,NOT(AND(C522=C521,AA522=AA521+1))),INDEX(DATAS,AA521+1),"")</f>
        <v/>
      </c>
      <c r="AI521" s="51" t="str">
        <f aca="false">IF(AND(AC521=1,AA521&lt;1),IF(AND(C522=C521,AA522=AA521+1),IF(AC522=1,"",INDEX(DATAS,AA521+1)),INDEX(DATAS,AA521+1)),"")</f>
        <v/>
      </c>
    </row>
    <row r="522" customFormat="false" ht="15" hidden="false" customHeight="false" outlineLevel="0" collapsed="false">
      <c r="A522" s="51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46" t="s">
        <v>532</v>
      </c>
      <c r="G522" s="0" t="n">
        <v>43.3</v>
      </c>
      <c r="H522" s="0" t="n">
        <v>37</v>
      </c>
      <c r="I522" s="46" t="s">
        <v>152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51" t="n">
        <v>46128</v>
      </c>
      <c r="X522" s="46" t="n">
        <f aca="false">IF(I522="Male",0,1)</f>
        <v>1</v>
      </c>
      <c r="Y522" s="46" t="n">
        <f aca="false">IF(OR(I522="DNB",I522="Dry DNB"),1,0)</f>
        <v>0</v>
      </c>
      <c r="Z522" s="46" t="n">
        <f aca="false">IF(ISNUMBER(W522),A522-W522,"")</f>
        <v>181</v>
      </c>
      <c r="AA522" s="46" t="n">
        <f aca="false">MATCH(A522,DATAS,0)</f>
        <v>1</v>
      </c>
      <c r="AB522" s="46" t="n">
        <f aca="false">IF(AND(E522&gt;0,OR(AND(B522&gt;=1,B522&lt;=6),B522=10)),1,0)</f>
        <v>1</v>
      </c>
      <c r="AC522" s="46" t="n">
        <f aca="false">IF(AND(E522&gt;0,B522=10),1,0)</f>
        <v>0</v>
      </c>
      <c r="AD522" s="0" t="str">
        <f aca="false">IF(AND(C521=C522,AA521=AA522-1),AB521,"")</f>
        <v/>
      </c>
      <c r="AE522" s="0" t="str">
        <f aca="false">IF(AND(C521=C522,AA521=AA522-1),AC521,"")</f>
        <v/>
      </c>
      <c r="AF522" s="0" t="str">
        <f aca="false">IF(AA522=1,"",IF(AND(AB522=1,AD522&lt;&gt;1),1,0))</f>
        <v/>
      </c>
      <c r="AG522" s="0" t="str">
        <f aca="false">IF(AA522=1,"",IF(AND(AC522=1,AE522&lt;&gt;1),1,0))</f>
        <v/>
      </c>
      <c r="AH522" s="51" t="str">
        <f aca="false">IF(AND(E522&gt;0,AA522&lt;1,NOT(AND(C523=C522,AA523=AA522+1))),INDEX(DATAS,AA522+1),"")</f>
        <v/>
      </c>
      <c r="AI522" s="51" t="str">
        <f aca="false">IF(AND(AC522=1,AA522&lt;1),IF(AND(C523=C522,AA523=AA522+1),IF(AC523=1,"",INDEX(DATAS,AA522+1)),INDEX(DATAS,AA522+1)),"")</f>
        <v/>
      </c>
    </row>
    <row r="523" customFormat="false" ht="15" hidden="false" customHeight="false" outlineLevel="0" collapsed="false">
      <c r="A523" s="51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46" t="s">
        <v>532</v>
      </c>
      <c r="G523" s="0" t="n">
        <v>58.8</v>
      </c>
      <c r="H523" s="0" t="n">
        <v>58</v>
      </c>
      <c r="I523" s="46" t="s">
        <v>181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51" t="n">
        <v>46296</v>
      </c>
      <c r="X523" s="46" t="n">
        <f aca="false">IF(I523="Male",0,1)</f>
        <v>1</v>
      </c>
      <c r="Y523" s="46" t="n">
        <f aca="false">IF(OR(I523="DNB",I523="Dry DNB"),1,0)</f>
        <v>0</v>
      </c>
      <c r="Z523" s="46" t="n">
        <f aca="false">IF(ISNUMBER(W523),A523-W523,"")</f>
        <v>13</v>
      </c>
      <c r="AA523" s="46" t="n">
        <f aca="false">MATCH(A523,DATAS,0)</f>
        <v>1</v>
      </c>
      <c r="AB523" s="46" t="n">
        <f aca="false">IF(AND(E523&gt;0,OR(AND(B523&gt;=1,B523&lt;=6),B523=10)),1,0)</f>
        <v>1</v>
      </c>
      <c r="AC523" s="46" t="n">
        <f aca="false">IF(AND(E523&gt;0,B523=10),1,0)</f>
        <v>0</v>
      </c>
      <c r="AD523" s="0" t="str">
        <f aca="false">IF(AND(C522=C523,AA522=AA523-1),AB522,"")</f>
        <v/>
      </c>
      <c r="AE523" s="0" t="str">
        <f aca="false">IF(AND(C522=C523,AA522=AA523-1),AC522,"")</f>
        <v/>
      </c>
      <c r="AF523" s="0" t="str">
        <f aca="false">IF(AA523=1,"",IF(AND(AB523=1,AD523&lt;&gt;1),1,0))</f>
        <v/>
      </c>
      <c r="AG523" s="0" t="str">
        <f aca="false">IF(AA523=1,"",IF(AND(AC523=1,AE523&lt;&gt;1),1,0))</f>
        <v/>
      </c>
      <c r="AH523" s="51" t="str">
        <f aca="false">IF(AND(E523&gt;0,AA523&lt;1,NOT(AND(C524=C523,AA524=AA523+1))),INDEX(DATAS,AA523+1),"")</f>
        <v/>
      </c>
      <c r="AI523" s="51" t="str">
        <f aca="false">IF(AND(AC523=1,AA523&lt;1),IF(AND(C524=C523,AA524=AA523+1),IF(AC524=1,"",INDEX(DATAS,AA523+1)),INDEX(DATAS,AA523+1)),"")</f>
        <v/>
      </c>
    </row>
    <row r="524" customFormat="false" ht="15" hidden="false" customHeight="false" outlineLevel="0" collapsed="false">
      <c r="A524" s="51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46" t="s">
        <v>533</v>
      </c>
      <c r="G524" s="0" t="n">
        <v>38.7</v>
      </c>
      <c r="H524" s="0" t="n">
        <v>35</v>
      </c>
      <c r="I524" s="46" t="s">
        <v>152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51" t="n">
        <v>46091</v>
      </c>
      <c r="X524" s="46" t="n">
        <f aca="false">IF(I524="Male",0,1)</f>
        <v>1</v>
      </c>
      <c r="Y524" s="46" t="n">
        <f aca="false">IF(OR(I524="DNB",I524="Dry DNB"),1,0)</f>
        <v>0</v>
      </c>
      <c r="Z524" s="46" t="n">
        <f aca="false">IF(ISNUMBER(W524),A524-W524,"")</f>
        <v>218</v>
      </c>
      <c r="AA524" s="46" t="n">
        <f aca="false">MATCH(A524,DATAS,0)</f>
        <v>1</v>
      </c>
      <c r="AB524" s="46" t="n">
        <f aca="false">IF(AND(E524&gt;0,OR(AND(B524&gt;=1,B524&lt;=6),B524=10)),1,0)</f>
        <v>1</v>
      </c>
      <c r="AC524" s="46" t="n">
        <f aca="false">IF(AND(E524&gt;0,B524=10),1,0)</f>
        <v>0</v>
      </c>
      <c r="AD524" s="0" t="str">
        <f aca="false">IF(AND(C523=C524,AA523=AA524-1),AB523,"")</f>
        <v/>
      </c>
      <c r="AE524" s="0" t="str">
        <f aca="false">IF(AND(C523=C524,AA523=AA524-1),AC523,"")</f>
        <v/>
      </c>
      <c r="AF524" s="0" t="str">
        <f aca="false">IF(AA524=1,"",IF(AND(AB524=1,AD524&lt;&gt;1),1,0))</f>
        <v/>
      </c>
      <c r="AG524" s="0" t="str">
        <f aca="false">IF(AA524=1,"",IF(AND(AC524=1,AE524&lt;&gt;1),1,0))</f>
        <v/>
      </c>
      <c r="AH524" s="51" t="str">
        <f aca="false">IF(AND(E524&gt;0,AA524&lt;1,NOT(AND(C525=C524,AA525=AA524+1))),INDEX(DATAS,AA524+1),"")</f>
        <v/>
      </c>
      <c r="AI524" s="51" t="str">
        <f aca="false">IF(AND(AC524=1,AA524&lt;1),IF(AND(C525=C524,AA525=AA524+1),IF(AC525=1,"",INDEX(DATAS,AA524+1)),INDEX(DATAS,AA524+1)),"")</f>
        <v/>
      </c>
    </row>
    <row r="525" customFormat="false" ht="15" hidden="false" customHeight="false" outlineLevel="0" collapsed="false">
      <c r="A525" s="51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46" t="s">
        <v>533</v>
      </c>
      <c r="G525" s="0" t="n">
        <v>35.3</v>
      </c>
      <c r="H525" s="0" t="n">
        <v>31</v>
      </c>
      <c r="I525" s="46" t="s">
        <v>152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51" t="n">
        <v>46272</v>
      </c>
      <c r="X525" s="46" t="n">
        <f aca="false">IF(I525="Male",0,1)</f>
        <v>1</v>
      </c>
      <c r="Y525" s="46" t="n">
        <f aca="false">IF(OR(I525="DNB",I525="Dry DNB"),1,0)</f>
        <v>0</v>
      </c>
      <c r="Z525" s="46" t="n">
        <f aca="false">IF(ISNUMBER(W525),A525-W525,"")</f>
        <v>37</v>
      </c>
      <c r="AA525" s="46" t="n">
        <f aca="false">MATCH(A525,DATAS,0)</f>
        <v>1</v>
      </c>
      <c r="AB525" s="46" t="n">
        <f aca="false">IF(AND(E525&gt;0,OR(AND(B525&gt;=1,B525&lt;=6),B525=10)),1,0)</f>
        <v>1</v>
      </c>
      <c r="AC525" s="46" t="n">
        <f aca="false">IF(AND(E525&gt;0,B525=10),1,0)</f>
        <v>0</v>
      </c>
      <c r="AD525" s="0" t="str">
        <f aca="false">IF(AND(C524=C525,AA524=AA525-1),AB524,"")</f>
        <v/>
      </c>
      <c r="AE525" s="0" t="str">
        <f aca="false">IF(AND(C524=C525,AA524=AA525-1),AC524,"")</f>
        <v/>
      </c>
      <c r="AF525" s="0" t="str">
        <f aca="false">IF(AA525=1,"",IF(AND(AB525=1,AD525&lt;&gt;1),1,0))</f>
        <v/>
      </c>
      <c r="AG525" s="0" t="str">
        <f aca="false">IF(AA525=1,"",IF(AND(AC525=1,AE525&lt;&gt;1),1,0))</f>
        <v/>
      </c>
      <c r="AH525" s="51" t="str">
        <f aca="false">IF(AND(E525&gt;0,AA525&lt;1,NOT(AND(C526=C525,AA526=AA525+1))),INDEX(DATAS,AA525+1),"")</f>
        <v/>
      </c>
      <c r="AI525" s="51" t="str">
        <f aca="false">IF(AND(AC525=1,AA525&lt;1),IF(AND(C526=C525,AA526=AA525+1),IF(AC526=1,"",INDEX(DATAS,AA525+1)),INDEX(DATAS,AA525+1)),"")</f>
        <v/>
      </c>
    </row>
    <row r="526" customFormat="false" ht="15" hidden="false" customHeight="false" outlineLevel="0" collapsed="false">
      <c r="A526" s="51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46" t="s">
        <v>534</v>
      </c>
      <c r="G526" s="0" t="n">
        <v>56.4</v>
      </c>
      <c r="H526" s="0" t="n">
        <v>53</v>
      </c>
      <c r="I526" s="46" t="s">
        <v>152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51" t="n">
        <v>46247</v>
      </c>
      <c r="X526" s="46" t="n">
        <f aca="false">IF(I526="Male",0,1)</f>
        <v>1</v>
      </c>
      <c r="Y526" s="46" t="n">
        <f aca="false">IF(OR(I526="DNB",I526="Dry DNB"),1,0)</f>
        <v>0</v>
      </c>
      <c r="Z526" s="46" t="n">
        <f aca="false">IF(ISNUMBER(W526),A526-W526,"")</f>
        <v>62</v>
      </c>
      <c r="AA526" s="46" t="n">
        <f aca="false">MATCH(A526,DATAS,0)</f>
        <v>1</v>
      </c>
      <c r="AB526" s="46" t="n">
        <f aca="false">IF(AND(E526&gt;0,OR(AND(B526&gt;=1,B526&lt;=6),B526=10)),1,0)</f>
        <v>1</v>
      </c>
      <c r="AC526" s="46" t="n">
        <f aca="false">IF(AND(E526&gt;0,B526=10),1,0)</f>
        <v>0</v>
      </c>
      <c r="AD526" s="0" t="str">
        <f aca="false">IF(AND(C525=C526,AA525=AA526-1),AB525,"")</f>
        <v/>
      </c>
      <c r="AE526" s="0" t="str">
        <f aca="false">IF(AND(C525=C526,AA525=AA526-1),AC525,"")</f>
        <v/>
      </c>
      <c r="AF526" s="0" t="str">
        <f aca="false">IF(AA526=1,"",IF(AND(AB526=1,AD526&lt;&gt;1),1,0))</f>
        <v/>
      </c>
      <c r="AG526" s="0" t="str">
        <f aca="false">IF(AA526=1,"",IF(AND(AC526=1,AE526&lt;&gt;1),1,0))</f>
        <v/>
      </c>
      <c r="AH526" s="51" t="str">
        <f aca="false">IF(AND(E526&gt;0,AA526&lt;1,NOT(AND(C527=C526,AA527=AA526+1))),INDEX(DATAS,AA526+1),"")</f>
        <v/>
      </c>
      <c r="AI526" s="51" t="str">
        <f aca="false">IF(AND(AC526=1,AA526&lt;1),IF(AND(C527=C526,AA527=AA526+1),IF(AC527=1,"",INDEX(DATAS,AA526+1)),INDEX(DATAS,AA526+1)),"")</f>
        <v/>
      </c>
    </row>
    <row r="527" customFormat="false" ht="15" hidden="false" customHeight="false" outlineLevel="0" collapsed="false">
      <c r="A527" s="51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46" t="s">
        <v>534</v>
      </c>
      <c r="G527" s="0" t="n">
        <v>45</v>
      </c>
      <c r="H527" s="0" t="n">
        <v>41</v>
      </c>
      <c r="I527" s="46" t="s">
        <v>152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51" t="n">
        <v>46121</v>
      </c>
      <c r="X527" s="46" t="n">
        <f aca="false">IF(I527="Male",0,1)</f>
        <v>1</v>
      </c>
      <c r="Y527" s="46" t="n">
        <f aca="false">IF(OR(I527="DNB",I527="Dry DNB"),1,0)</f>
        <v>0</v>
      </c>
      <c r="Z527" s="46" t="n">
        <f aca="false">IF(ISNUMBER(W527),A527-W527,"")</f>
        <v>188</v>
      </c>
      <c r="AA527" s="46" t="n">
        <f aca="false">MATCH(A527,DATAS,0)</f>
        <v>1</v>
      </c>
      <c r="AB527" s="46" t="n">
        <f aca="false">IF(AND(E527&gt;0,OR(AND(B527&gt;=1,B527&lt;=6),B527=10)),1,0)</f>
        <v>1</v>
      </c>
      <c r="AC527" s="46" t="n">
        <f aca="false">IF(AND(E527&gt;0,B527=10),1,0)</f>
        <v>0</v>
      </c>
      <c r="AD527" s="0" t="str">
        <f aca="false">IF(AND(C526=C527,AA526=AA527-1),AB526,"")</f>
        <v/>
      </c>
      <c r="AE527" s="0" t="str">
        <f aca="false">IF(AND(C526=C527,AA526=AA527-1),AC526,"")</f>
        <v/>
      </c>
      <c r="AF527" s="0" t="str">
        <f aca="false">IF(AA527=1,"",IF(AND(AB527=1,AD527&lt;&gt;1),1,0))</f>
        <v/>
      </c>
      <c r="AG527" s="0" t="str">
        <f aca="false">IF(AA527=1,"",IF(AND(AC527=1,AE527&lt;&gt;1),1,0))</f>
        <v/>
      </c>
      <c r="AH527" s="51" t="str">
        <f aca="false">IF(AND(E527&gt;0,AA527&lt;1,NOT(AND(C528=C527,AA528=AA527+1))),INDEX(DATAS,AA527+1),"")</f>
        <v/>
      </c>
      <c r="AI527" s="51" t="str">
        <f aca="false">IF(AND(AC527=1,AA527&lt;1),IF(AND(C528=C527,AA528=AA527+1),IF(AC528=1,"",INDEX(DATAS,AA527+1)),INDEX(DATAS,AA527+1)),"")</f>
        <v/>
      </c>
    </row>
    <row r="528" customFormat="false" ht="15" hidden="false" customHeight="false" outlineLevel="0" collapsed="false">
      <c r="A528" s="51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46" t="s">
        <v>535</v>
      </c>
      <c r="G528" s="0" t="n">
        <v>57.3</v>
      </c>
      <c r="H528" s="0" t="n">
        <v>56</v>
      </c>
      <c r="I528" s="46" t="s">
        <v>152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51" t="n">
        <v>46261</v>
      </c>
      <c r="X528" s="46" t="n">
        <f aca="false">IF(I528="Male",0,1)</f>
        <v>1</v>
      </c>
      <c r="Y528" s="46" t="n">
        <f aca="false">IF(OR(I528="DNB",I528="Dry DNB"),1,0)</f>
        <v>0</v>
      </c>
      <c r="Z528" s="46" t="n">
        <f aca="false">IF(ISNUMBER(W528),A528-W528,"")</f>
        <v>48</v>
      </c>
      <c r="AA528" s="46" t="n">
        <f aca="false">MATCH(A528,DATAS,0)</f>
        <v>1</v>
      </c>
      <c r="AB528" s="46" t="n">
        <f aca="false">IF(AND(E528&gt;0,OR(AND(B528&gt;=1,B528&lt;=6),B528=10)),1,0)</f>
        <v>1</v>
      </c>
      <c r="AC528" s="46" t="n">
        <f aca="false">IF(AND(E528&gt;0,B528=10),1,0)</f>
        <v>0</v>
      </c>
      <c r="AD528" s="0" t="str">
        <f aca="false">IF(AND(C527=C528,AA527=AA528-1),AB527,"")</f>
        <v/>
      </c>
      <c r="AE528" s="0" t="str">
        <f aca="false">IF(AND(C527=C528,AA527=AA528-1),AC527,"")</f>
        <v/>
      </c>
      <c r="AF528" s="0" t="str">
        <f aca="false">IF(AA528=1,"",IF(AND(AB528=1,AD528&lt;&gt;1),1,0))</f>
        <v/>
      </c>
      <c r="AG528" s="0" t="str">
        <f aca="false">IF(AA528=1,"",IF(AND(AC528=1,AE528&lt;&gt;1),1,0))</f>
        <v/>
      </c>
      <c r="AH528" s="51" t="str">
        <f aca="false">IF(AND(E528&gt;0,AA528&lt;1,NOT(AND(C529=C528,AA529=AA528+1))),INDEX(DATAS,AA528+1),"")</f>
        <v/>
      </c>
      <c r="AI528" s="51" t="str">
        <f aca="false">IF(AND(AC528=1,AA528&lt;1),IF(AND(C529=C528,AA529=AA528+1),IF(AC529=1,"",INDEX(DATAS,AA528+1)),INDEX(DATAS,AA528+1)),"")</f>
        <v/>
      </c>
    </row>
    <row r="529" customFormat="false" ht="15" hidden="false" customHeight="false" outlineLevel="0" collapsed="false">
      <c r="A529" s="51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46" t="s">
        <v>536</v>
      </c>
      <c r="I529" s="46" t="s">
        <v>157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51" t="n">
        <v>46051</v>
      </c>
      <c r="X529" s="46" t="n">
        <f aca="false">IF(I529="Male",0,1)</f>
        <v>1</v>
      </c>
      <c r="Y529" s="46" t="n">
        <f aca="false">IF(OR(I529="DNB",I529="Dry DNB"),1,0)</f>
        <v>0</v>
      </c>
      <c r="Z529" s="46" t="n">
        <f aca="false">IF(ISNUMBER(W529),A529-W529,"")</f>
        <v>258</v>
      </c>
      <c r="AA529" s="46" t="n">
        <f aca="false">MATCH(A529,DATAS,0)</f>
        <v>1</v>
      </c>
      <c r="AB529" s="46" t="n">
        <f aca="false">IF(AND(E529&gt;0,OR(AND(B529&gt;=1,B529&lt;=6),B529=10)),1,0)</f>
        <v>0</v>
      </c>
      <c r="AC529" s="46" t="n">
        <f aca="false">IF(AND(E529&gt;0,B529=10),1,0)</f>
        <v>0</v>
      </c>
      <c r="AD529" s="0" t="str">
        <f aca="false">IF(AND(C528=C529,AA528=AA529-1),AB528,"")</f>
        <v/>
      </c>
      <c r="AE529" s="0" t="str">
        <f aca="false">IF(AND(C528=C529,AA528=AA529-1),AC528,"")</f>
        <v/>
      </c>
      <c r="AF529" s="0" t="str">
        <f aca="false">IF(AA529=1,"",IF(AND(AB529=1,AD529&lt;&gt;1),1,0))</f>
        <v/>
      </c>
      <c r="AG529" s="0" t="str">
        <f aca="false">IF(AA529=1,"",IF(AND(AC529=1,AE529&lt;&gt;1),1,0))</f>
        <v/>
      </c>
      <c r="AH529" s="51" t="str">
        <f aca="false">IF(AND(E529&gt;0,AA529&lt;1,NOT(AND(C530=C529,AA530=AA529+1))),INDEX(DATAS,AA529+1),"")</f>
        <v/>
      </c>
      <c r="AI529" s="51" t="str">
        <f aca="false">IF(AND(AC529=1,AA529&lt;1),IF(AND(C530=C529,AA530=AA529+1),IF(AC530=1,"",INDEX(DATAS,AA529+1)),INDEX(DATAS,AA529+1)),"")</f>
        <v/>
      </c>
    </row>
    <row r="530" customFormat="false" ht="15" hidden="false" customHeight="false" outlineLevel="0" collapsed="false">
      <c r="A530" s="51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46" t="s">
        <v>536</v>
      </c>
      <c r="G530" s="0" t="n">
        <v>68.4</v>
      </c>
      <c r="H530" s="0" t="n">
        <v>71</v>
      </c>
      <c r="I530" s="46" t="s">
        <v>161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X530" s="46" t="n">
        <f aca="false">IF(I530="Male",0,1)</f>
        <v>1</v>
      </c>
      <c r="Y530" s="46" t="n">
        <f aca="false">IF(OR(I530="DNB",I530="Dry DNB"),1,0)</f>
        <v>0</v>
      </c>
      <c r="Z530" s="0" t="str">
        <f aca="false">IF(ISNUMBER(W530),A530-W530,"")</f>
        <v/>
      </c>
      <c r="AA530" s="46" t="n">
        <f aca="false">MATCH(A530,DATAS,0)</f>
        <v>1</v>
      </c>
      <c r="AB530" s="46" t="n">
        <f aca="false">IF(AND(E530&gt;0,OR(AND(B530&gt;=1,B530&lt;=6),B530=10)),1,0)</f>
        <v>1</v>
      </c>
      <c r="AC530" s="46" t="n">
        <f aca="false">IF(AND(E530&gt;0,B530=10),1,0)</f>
        <v>0</v>
      </c>
      <c r="AD530" s="0" t="str">
        <f aca="false">IF(AND(C529=C530,AA529=AA530-1),AB529,"")</f>
        <v/>
      </c>
      <c r="AE530" s="0" t="str">
        <f aca="false">IF(AND(C529=C530,AA529=AA530-1),AC529,"")</f>
        <v/>
      </c>
      <c r="AF530" s="0" t="str">
        <f aca="false">IF(AA530=1,"",IF(AND(AB530=1,AD530&lt;&gt;1),1,0))</f>
        <v/>
      </c>
      <c r="AG530" s="0" t="str">
        <f aca="false">IF(AA530=1,"",IF(AND(AC530=1,AE530&lt;&gt;1),1,0))</f>
        <v/>
      </c>
      <c r="AH530" s="51" t="str">
        <f aca="false">IF(AND(E530&gt;0,AA530&lt;1,NOT(AND(C531=C530,AA531=AA530+1))),INDEX(DATAS,AA530+1),"")</f>
        <v/>
      </c>
      <c r="AI530" s="51" t="str">
        <f aca="false">IF(AND(AC530=1,AA530&lt;1),IF(AND(C531=C530,AA531=AA530+1),IF(AC531=1,"",INDEX(DATAS,AA530+1)),INDEX(DATAS,AA530+1)),"")</f>
        <v/>
      </c>
    </row>
    <row r="531" customFormat="false" ht="15" hidden="false" customHeight="false" outlineLevel="0" collapsed="false">
      <c r="A531" s="51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46" t="s">
        <v>536</v>
      </c>
      <c r="I531" s="46" t="s">
        <v>157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51" t="n">
        <v>46051</v>
      </c>
      <c r="X531" s="46" t="n">
        <f aca="false">IF(I531="Male",0,1)</f>
        <v>1</v>
      </c>
      <c r="Y531" s="46" t="n">
        <f aca="false">IF(OR(I531="DNB",I531="Dry DNB"),1,0)</f>
        <v>0</v>
      </c>
      <c r="Z531" s="46" t="n">
        <f aca="false">IF(ISNUMBER(W531),A531-W531,"")</f>
        <v>258</v>
      </c>
      <c r="AA531" s="46" t="n">
        <f aca="false">MATCH(A531,DATAS,0)</f>
        <v>1</v>
      </c>
      <c r="AB531" s="46" t="n">
        <f aca="false">IF(AND(E531&gt;0,OR(AND(B531&gt;=1,B531&lt;=6),B531=10)),1,0)</f>
        <v>0</v>
      </c>
      <c r="AC531" s="46" t="n">
        <f aca="false">IF(AND(E531&gt;0,B531=10),1,0)</f>
        <v>0</v>
      </c>
      <c r="AD531" s="0" t="str">
        <f aca="false">IF(AND(C530=C531,AA530=AA531-1),AB530,"")</f>
        <v/>
      </c>
      <c r="AE531" s="0" t="str">
        <f aca="false">IF(AND(C530=C531,AA530=AA531-1),AC530,"")</f>
        <v/>
      </c>
      <c r="AF531" s="0" t="str">
        <f aca="false">IF(AA531=1,"",IF(AND(AB531=1,AD531&lt;&gt;1),1,0))</f>
        <v/>
      </c>
      <c r="AG531" s="0" t="str">
        <f aca="false">IF(AA531=1,"",IF(AND(AC531=1,AE531&lt;&gt;1),1,0))</f>
        <v/>
      </c>
      <c r="AH531" s="51" t="str">
        <f aca="false">IF(AND(E531&gt;0,AA531&lt;1,NOT(AND(C532=C531,AA532=AA531+1))),INDEX(DATAS,AA531+1),"")</f>
        <v/>
      </c>
      <c r="AI531" s="51" t="str">
        <f aca="false">IF(AND(AC531=1,AA531&lt;1),IF(AND(C532=C531,AA532=AA531+1),IF(AC532=1,"",INDEX(DATAS,AA531+1)),INDEX(DATAS,AA531+1)),"")</f>
        <v/>
      </c>
    </row>
    <row r="532" customFormat="false" ht="15" hidden="false" customHeight="false" outlineLevel="0" collapsed="false">
      <c r="A532" s="51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46" t="s">
        <v>536</v>
      </c>
      <c r="G532" s="0" t="n">
        <v>54.2</v>
      </c>
      <c r="H532" s="0" t="n">
        <v>51</v>
      </c>
      <c r="I532" s="46" t="s">
        <v>152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51" t="n">
        <v>46219</v>
      </c>
      <c r="X532" s="46" t="n">
        <f aca="false">IF(I532="Male",0,1)</f>
        <v>1</v>
      </c>
      <c r="Y532" s="46" t="n">
        <f aca="false">IF(OR(I532="DNB",I532="Dry DNB"),1,0)</f>
        <v>0</v>
      </c>
      <c r="Z532" s="46" t="n">
        <f aca="false">IF(ISNUMBER(W532),A532-W532,"")</f>
        <v>90</v>
      </c>
      <c r="AA532" s="46" t="n">
        <f aca="false">MATCH(A532,DATAS,0)</f>
        <v>1</v>
      </c>
      <c r="AB532" s="46" t="n">
        <f aca="false">IF(AND(E532&gt;0,OR(AND(B532&gt;=1,B532&lt;=6),B532=10)),1,0)</f>
        <v>1</v>
      </c>
      <c r="AC532" s="46" t="n">
        <f aca="false">IF(AND(E532&gt;0,B532=10),1,0)</f>
        <v>0</v>
      </c>
      <c r="AD532" s="0" t="str">
        <f aca="false">IF(AND(C531=C532,AA531=AA532-1),AB531,"")</f>
        <v/>
      </c>
      <c r="AE532" s="0" t="str">
        <f aca="false">IF(AND(C531=C532,AA531=AA532-1),AC531,"")</f>
        <v/>
      </c>
      <c r="AF532" s="0" t="str">
        <f aca="false">IF(AA532=1,"",IF(AND(AB532=1,AD532&lt;&gt;1),1,0))</f>
        <v/>
      </c>
      <c r="AG532" s="0" t="str">
        <f aca="false">IF(AA532=1,"",IF(AND(AC532=1,AE532&lt;&gt;1),1,0))</f>
        <v/>
      </c>
      <c r="AH532" s="51" t="str">
        <f aca="false">IF(AND(E532&gt;0,AA532&lt;1,NOT(AND(C533=C532,AA533=AA532+1))),INDEX(DATAS,AA532+1),"")</f>
        <v/>
      </c>
      <c r="AI532" s="51" t="str">
        <f aca="false">IF(AND(AC532=1,AA532&lt;1),IF(AND(C533=C532,AA533=AA532+1),IF(AC533=1,"",INDEX(DATAS,AA532+1)),INDEX(DATAS,AA532+1)),"")</f>
        <v/>
      </c>
    </row>
    <row r="533" customFormat="false" ht="15" hidden="false" customHeight="false" outlineLevel="0" collapsed="false">
      <c r="A533" s="51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46" t="s">
        <v>536</v>
      </c>
      <c r="H533" s="0" t="n">
        <v>21</v>
      </c>
      <c r="I533" s="46" t="s">
        <v>152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51" t="n">
        <v>46110</v>
      </c>
      <c r="X533" s="46" t="n">
        <f aca="false">IF(I533="Male",0,1)</f>
        <v>1</v>
      </c>
      <c r="Y533" s="46" t="n">
        <f aca="false">IF(OR(I533="DNB",I533="Dry DNB"),1,0)</f>
        <v>0</v>
      </c>
      <c r="Z533" s="46" t="n">
        <f aca="false">IF(ISNUMBER(W533),A533-W533,"")</f>
        <v>199</v>
      </c>
      <c r="AA533" s="46" t="n">
        <f aca="false">MATCH(A533,DATAS,0)</f>
        <v>1</v>
      </c>
      <c r="AB533" s="46" t="n">
        <f aca="false">IF(AND(E533&gt;0,OR(AND(B533&gt;=1,B533&lt;=6),B533=10)),1,0)</f>
        <v>1</v>
      </c>
      <c r="AC533" s="46" t="n">
        <f aca="false">IF(AND(E533&gt;0,B533=10),1,0)</f>
        <v>0</v>
      </c>
      <c r="AD533" s="0" t="str">
        <f aca="false">IF(AND(C532=C533,AA532=AA533-1),AB532,"")</f>
        <v/>
      </c>
      <c r="AE533" s="0" t="str">
        <f aca="false">IF(AND(C532=C533,AA532=AA533-1),AC532,"")</f>
        <v/>
      </c>
      <c r="AF533" s="0" t="str">
        <f aca="false">IF(AA533=1,"",IF(AND(AB533=1,AD533&lt;&gt;1),1,0))</f>
        <v/>
      </c>
      <c r="AG533" s="0" t="str">
        <f aca="false">IF(AA533=1,"",IF(AND(AC533=1,AE533&lt;&gt;1),1,0))</f>
        <v/>
      </c>
      <c r="AH533" s="51" t="str">
        <f aca="false">IF(AND(E533&gt;0,AA533&lt;1,NOT(AND(C534=C533,AA534=AA533+1))),INDEX(DATAS,AA533+1),"")</f>
        <v/>
      </c>
      <c r="AI533" s="51" t="str">
        <f aca="false">IF(AND(AC533=1,AA533&lt;1),IF(AND(C534=C533,AA534=AA533+1),IF(AC534=1,"",INDEX(DATAS,AA533+1)),INDEX(DATAS,AA533+1)),"")</f>
        <v/>
      </c>
    </row>
    <row r="534" customFormat="false" ht="15" hidden="false" customHeight="false" outlineLevel="0" collapsed="false">
      <c r="A534" s="51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46" t="s">
        <v>537</v>
      </c>
      <c r="G534" s="0" t="n">
        <v>55.4</v>
      </c>
      <c r="H534" s="0" t="n">
        <v>55</v>
      </c>
      <c r="I534" s="46" t="s">
        <v>152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51" t="n">
        <v>46268</v>
      </c>
      <c r="X534" s="46" t="n">
        <f aca="false">IF(I534="Male",0,1)</f>
        <v>1</v>
      </c>
      <c r="Y534" s="46" t="n">
        <f aca="false">IF(OR(I534="DNB",I534="Dry DNB"),1,0)</f>
        <v>0</v>
      </c>
      <c r="Z534" s="46" t="n">
        <f aca="false">IF(ISNUMBER(W534),A534-W534,"")</f>
        <v>41</v>
      </c>
      <c r="AA534" s="46" t="n">
        <f aca="false">MATCH(A534,DATAS,0)</f>
        <v>1</v>
      </c>
      <c r="AB534" s="46" t="n">
        <f aca="false">IF(AND(E534&gt;0,OR(AND(B534&gt;=1,B534&lt;=6),B534=10)),1,0)</f>
        <v>1</v>
      </c>
      <c r="AC534" s="46" t="n">
        <f aca="false">IF(AND(E534&gt;0,B534=10),1,0)</f>
        <v>0</v>
      </c>
      <c r="AD534" s="0" t="str">
        <f aca="false">IF(AND(C533=C534,AA533=AA534-1),AB533,"")</f>
        <v/>
      </c>
      <c r="AE534" s="0" t="str">
        <f aca="false">IF(AND(C533=C534,AA533=AA534-1),AC533,"")</f>
        <v/>
      </c>
      <c r="AF534" s="0" t="str">
        <f aca="false">IF(AA534=1,"",IF(AND(AB534=1,AD534&lt;&gt;1),1,0))</f>
        <v/>
      </c>
      <c r="AG534" s="0" t="str">
        <f aca="false">IF(AA534=1,"",IF(AND(AC534=1,AE534&lt;&gt;1),1,0))</f>
        <v/>
      </c>
      <c r="AH534" s="51" t="str">
        <f aca="false">IF(AND(E534&gt;0,AA534&lt;1,NOT(AND(C535=C534,AA535=AA534+1))),INDEX(DATAS,AA534+1),"")</f>
        <v/>
      </c>
      <c r="AI534" s="51" t="str">
        <f aca="false">IF(AND(AC534=1,AA534&lt;1),IF(AND(C535=C534,AA535=AA534+1),IF(AC535=1,"",INDEX(DATAS,AA534+1)),INDEX(DATAS,AA534+1)),"")</f>
        <v/>
      </c>
    </row>
    <row r="535" customFormat="false" ht="15" hidden="false" customHeight="false" outlineLevel="0" collapsed="false">
      <c r="A535" s="51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46" t="s">
        <v>537</v>
      </c>
      <c r="G535" s="0" t="n">
        <v>42.4</v>
      </c>
      <c r="H535" s="0" t="n">
        <v>38</v>
      </c>
      <c r="I535" s="46" t="s">
        <v>181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51" t="n">
        <v>46282</v>
      </c>
      <c r="X535" s="46" t="n">
        <f aca="false">IF(I535="Male",0,1)</f>
        <v>1</v>
      </c>
      <c r="Y535" s="46" t="n">
        <f aca="false">IF(OR(I535="DNB",I535="Dry DNB"),1,0)</f>
        <v>0</v>
      </c>
      <c r="Z535" s="46" t="n">
        <f aca="false">IF(ISNUMBER(W535),A535-W535,"")</f>
        <v>27</v>
      </c>
      <c r="AA535" s="46" t="n">
        <f aca="false">MATCH(A535,DATAS,0)</f>
        <v>1</v>
      </c>
      <c r="AB535" s="46" t="n">
        <f aca="false">IF(AND(E535&gt;0,OR(AND(B535&gt;=1,B535&lt;=6),B535=10)),1,0)</f>
        <v>1</v>
      </c>
      <c r="AC535" s="46" t="n">
        <f aca="false">IF(AND(E535&gt;0,B535=10),1,0)</f>
        <v>0</v>
      </c>
      <c r="AD535" s="0" t="str">
        <f aca="false">IF(AND(C534=C535,AA534=AA535-1),AB534,"")</f>
        <v/>
      </c>
      <c r="AE535" s="0" t="str">
        <f aca="false">IF(AND(C534=C535,AA534=AA535-1),AC534,"")</f>
        <v/>
      </c>
      <c r="AF535" s="0" t="str">
        <f aca="false">IF(AA535=1,"",IF(AND(AB535=1,AD535&lt;&gt;1),1,0))</f>
        <v/>
      </c>
      <c r="AG535" s="0" t="str">
        <f aca="false">IF(AA535=1,"",IF(AND(AC535=1,AE535&lt;&gt;1),1,0))</f>
        <v/>
      </c>
      <c r="AH535" s="51" t="str">
        <f aca="false">IF(AND(E535&gt;0,AA535&lt;1,NOT(AND(C536=C535,AA536=AA535+1))),INDEX(DATAS,AA535+1),"")</f>
        <v/>
      </c>
      <c r="AI535" s="51" t="str">
        <f aca="false">IF(AND(AC535=1,AA535&lt;1),IF(AND(C536=C535,AA536=AA535+1),IF(AC536=1,"",INDEX(DATAS,AA535+1)),INDEX(DATAS,AA535+1)),"")</f>
        <v/>
      </c>
    </row>
    <row r="536" customFormat="false" ht="15" hidden="false" customHeight="false" outlineLevel="0" collapsed="false">
      <c r="A536" s="51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46" t="s">
        <v>538</v>
      </c>
      <c r="G536" s="0" t="n">
        <v>19.7</v>
      </c>
      <c r="H536" s="0" t="n">
        <v>26</v>
      </c>
      <c r="I536" s="46" t="s">
        <v>152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51" t="n">
        <v>46100</v>
      </c>
      <c r="X536" s="46" t="n">
        <f aca="false">IF(I536="Male",0,1)</f>
        <v>1</v>
      </c>
      <c r="Y536" s="46" t="n">
        <f aca="false">IF(OR(I536="DNB",I536="Dry DNB"),1,0)</f>
        <v>0</v>
      </c>
      <c r="Z536" s="46" t="n">
        <f aca="false">IF(ISNUMBER(W536),A536-W536,"")</f>
        <v>209</v>
      </c>
      <c r="AA536" s="46" t="n">
        <f aca="false">MATCH(A536,DATAS,0)</f>
        <v>1</v>
      </c>
      <c r="AB536" s="46" t="n">
        <f aca="false">IF(AND(E536&gt;0,OR(AND(B536&gt;=1,B536&lt;=6),B536=10)),1,0)</f>
        <v>1</v>
      </c>
      <c r="AC536" s="46" t="n">
        <f aca="false">IF(AND(E536&gt;0,B536=10),1,0)</f>
        <v>0</v>
      </c>
      <c r="AD536" s="0" t="str">
        <f aca="false">IF(AND(C535=C536,AA535=AA536-1),AB535,"")</f>
        <v/>
      </c>
      <c r="AE536" s="0" t="str">
        <f aca="false">IF(AND(C535=C536,AA535=AA536-1),AC535,"")</f>
        <v/>
      </c>
      <c r="AF536" s="0" t="str">
        <f aca="false">IF(AA536=1,"",IF(AND(AB536=1,AD536&lt;&gt;1),1,0))</f>
        <v/>
      </c>
      <c r="AG536" s="0" t="str">
        <f aca="false">IF(AA536=1,"",IF(AND(AC536=1,AE536&lt;&gt;1),1,0))</f>
        <v/>
      </c>
      <c r="AH536" s="51" t="str">
        <f aca="false">IF(AND(E536&gt;0,AA536&lt;1,NOT(AND(C537=C536,AA537=AA536+1))),INDEX(DATAS,AA536+1),"")</f>
        <v/>
      </c>
      <c r="AI536" s="51" t="str">
        <f aca="false">IF(AND(AC536=1,AA536&lt;1),IF(AND(C537=C536,AA537=AA536+1),IF(AC537=1,"",INDEX(DATAS,AA536+1)),INDEX(DATAS,AA536+1)),"")</f>
        <v/>
      </c>
    </row>
    <row r="537" customFormat="false" ht="15" hidden="false" customHeight="false" outlineLevel="0" collapsed="false">
      <c r="A537" s="51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46" t="s">
        <v>538</v>
      </c>
      <c r="G537" s="0" t="n">
        <v>41.5</v>
      </c>
      <c r="H537" s="0" t="n">
        <v>31</v>
      </c>
      <c r="I537" s="46" t="s">
        <v>161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X537" s="46" t="n">
        <f aca="false">IF(I537="Male",0,1)</f>
        <v>1</v>
      </c>
      <c r="Y537" s="46" t="n">
        <f aca="false">IF(OR(I537="DNB",I537="Dry DNB"),1,0)</f>
        <v>0</v>
      </c>
      <c r="Z537" s="0" t="str">
        <f aca="false">IF(ISNUMBER(W537),A537-W537,"")</f>
        <v/>
      </c>
      <c r="AA537" s="46" t="n">
        <f aca="false">MATCH(A537,DATAS,0)</f>
        <v>1</v>
      </c>
      <c r="AB537" s="46" t="n">
        <f aca="false">IF(AND(E537&gt;0,OR(AND(B537&gt;=1,B537&lt;=6),B537=10)),1,0)</f>
        <v>1</v>
      </c>
      <c r="AC537" s="46" t="n">
        <f aca="false">IF(AND(E537&gt;0,B537=10),1,0)</f>
        <v>0</v>
      </c>
      <c r="AD537" s="0" t="str">
        <f aca="false">IF(AND(C536=C537,AA536=AA537-1),AB536,"")</f>
        <v/>
      </c>
      <c r="AE537" s="0" t="str">
        <f aca="false">IF(AND(C536=C537,AA536=AA537-1),AC536,"")</f>
        <v/>
      </c>
      <c r="AF537" s="0" t="str">
        <f aca="false">IF(AA537=1,"",IF(AND(AB537=1,AD537&lt;&gt;1),1,0))</f>
        <v/>
      </c>
      <c r="AG537" s="0" t="str">
        <f aca="false">IF(AA537=1,"",IF(AND(AC537=1,AE537&lt;&gt;1),1,0))</f>
        <v/>
      </c>
      <c r="AH537" s="51" t="str">
        <f aca="false">IF(AND(E537&gt;0,AA537&lt;1,NOT(AND(C538=C537,AA538=AA537+1))),INDEX(DATAS,AA537+1),"")</f>
        <v/>
      </c>
      <c r="AI537" s="51" t="str">
        <f aca="false">IF(AND(AC537=1,AA537&lt;1),IF(AND(C538=C537,AA538=AA537+1),IF(AC538=1,"",INDEX(DATAS,AA537+1)),INDEX(DATAS,AA537+1)),"")</f>
        <v/>
      </c>
    </row>
    <row r="538" customFormat="false" ht="15" hidden="false" customHeight="false" outlineLevel="0" collapsed="false">
      <c r="A538" s="51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46" t="s">
        <v>539</v>
      </c>
      <c r="G538" s="0" t="n">
        <v>35.9</v>
      </c>
      <c r="H538" s="0" t="n">
        <v>26</v>
      </c>
      <c r="I538" s="46" t="s">
        <v>161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X538" s="46" t="n">
        <f aca="false">IF(I538="Male",0,1)</f>
        <v>1</v>
      </c>
      <c r="Y538" s="46" t="n">
        <f aca="false">IF(OR(I538="DNB",I538="Dry DNB"),1,0)</f>
        <v>0</v>
      </c>
      <c r="Z538" s="0" t="str">
        <f aca="false">IF(ISNUMBER(W538),A538-W538,"")</f>
        <v/>
      </c>
      <c r="AA538" s="46" t="n">
        <f aca="false">MATCH(A538,DATAS,0)</f>
        <v>1</v>
      </c>
      <c r="AB538" s="46" t="n">
        <f aca="false">IF(AND(E538&gt;0,OR(AND(B538&gt;=1,B538&lt;=6),B538=10)),1,0)</f>
        <v>1</v>
      </c>
      <c r="AC538" s="46" t="n">
        <f aca="false">IF(AND(E538&gt;0,B538=10),1,0)</f>
        <v>0</v>
      </c>
      <c r="AD538" s="0" t="str">
        <f aca="false">IF(AND(C537=C538,AA537=AA538-1),AB537,"")</f>
        <v/>
      </c>
      <c r="AE538" s="0" t="str">
        <f aca="false">IF(AND(C537=C538,AA537=AA538-1),AC537,"")</f>
        <v/>
      </c>
      <c r="AF538" s="0" t="str">
        <f aca="false">IF(AA538=1,"",IF(AND(AB538=1,AD538&lt;&gt;1),1,0))</f>
        <v/>
      </c>
      <c r="AG538" s="0" t="str">
        <f aca="false">IF(AA538=1,"",IF(AND(AC538=1,AE538&lt;&gt;1),1,0))</f>
        <v/>
      </c>
      <c r="AH538" s="51" t="str">
        <f aca="false">IF(AND(E538&gt;0,AA538&lt;1,NOT(AND(C539=C538,AA539=AA538+1))),INDEX(DATAS,AA538+1),"")</f>
        <v/>
      </c>
      <c r="AI538" s="51" t="str">
        <f aca="false">IF(AND(AC538=1,AA538&lt;1),IF(AND(C539=C538,AA539=AA538+1),IF(AC539=1,"",INDEX(DATAS,AA538+1)),INDEX(DATAS,AA538+1)),"")</f>
        <v/>
      </c>
    </row>
    <row r="539" customFormat="false" ht="15" hidden="false" customHeight="false" outlineLevel="0" collapsed="false">
      <c r="A539" s="51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46" t="s">
        <v>539</v>
      </c>
      <c r="I539" s="46" t="s">
        <v>161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X539" s="46" t="n">
        <f aca="false">IF(I539="Male",0,1)</f>
        <v>1</v>
      </c>
      <c r="Y539" s="46" t="n">
        <f aca="false">IF(OR(I539="DNB",I539="Dry DNB"),1,0)</f>
        <v>0</v>
      </c>
      <c r="Z539" s="0" t="str">
        <f aca="false">IF(ISNUMBER(W539),A539-W539,"")</f>
        <v/>
      </c>
      <c r="AA539" s="46" t="n">
        <f aca="false">MATCH(A539,DATAS,0)</f>
        <v>1</v>
      </c>
      <c r="AB539" s="46" t="n">
        <f aca="false">IF(AND(E539&gt;0,OR(AND(B539&gt;=1,B539&lt;=6),B539=10)),1,0)</f>
        <v>1</v>
      </c>
      <c r="AC539" s="46" t="n">
        <f aca="false">IF(AND(E539&gt;0,B539=10),1,0)</f>
        <v>0</v>
      </c>
      <c r="AD539" s="0" t="str">
        <f aca="false">IF(AND(C538=C539,AA538=AA539-1),AB538,"")</f>
        <v/>
      </c>
      <c r="AE539" s="0" t="str">
        <f aca="false">IF(AND(C538=C539,AA538=AA539-1),AC538,"")</f>
        <v/>
      </c>
      <c r="AF539" s="0" t="str">
        <f aca="false">IF(AA539=1,"",IF(AND(AB539=1,AD539&lt;&gt;1),1,0))</f>
        <v/>
      </c>
      <c r="AG539" s="0" t="str">
        <f aca="false">IF(AA539=1,"",IF(AND(AC539=1,AE539&lt;&gt;1),1,0))</f>
        <v/>
      </c>
      <c r="AH539" s="51" t="str">
        <f aca="false">IF(AND(E539&gt;0,AA539&lt;1,NOT(AND(C540=C539,AA540=AA539+1))),INDEX(DATAS,AA539+1),"")</f>
        <v/>
      </c>
      <c r="AI539" s="51" t="str">
        <f aca="false">IF(AND(AC539=1,AA539&lt;1),IF(AND(C540=C539,AA540=AA539+1),IF(AC540=1,"",INDEX(DATAS,AA539+1)),INDEX(DATAS,AA539+1)),"")</f>
        <v/>
      </c>
    </row>
    <row r="540" customFormat="false" ht="15" hidden="false" customHeight="false" outlineLevel="0" collapsed="false">
      <c r="A540" s="51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46" t="s">
        <v>540</v>
      </c>
      <c r="H540" s="0" t="n">
        <v>16</v>
      </c>
      <c r="I540" s="46" t="s">
        <v>138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51" t="n">
        <v>45960</v>
      </c>
      <c r="X540" s="46" t="n">
        <f aca="false">IF(I540="Male",0,1)</f>
        <v>1</v>
      </c>
      <c r="Y540" s="46" t="n">
        <f aca="false">IF(OR(I540="DNB",I540="Dry DNB"),1,0)</f>
        <v>1</v>
      </c>
      <c r="Z540" s="46" t="n">
        <f aca="false">IF(ISNUMBER(W540),A540-W540,"")</f>
        <v>349</v>
      </c>
      <c r="AA540" s="46" t="n">
        <f aca="false">MATCH(A540,DATAS,0)</f>
        <v>1</v>
      </c>
      <c r="AB540" s="46" t="n">
        <f aca="false">IF(AND(E540&gt;0,OR(AND(B540&gt;=1,B540&lt;=6),B540=10)),1,0)</f>
        <v>1</v>
      </c>
      <c r="AC540" s="46" t="n">
        <f aca="false">IF(AND(E540&gt;0,B540=10),1,0)</f>
        <v>0</v>
      </c>
      <c r="AD540" s="0" t="str">
        <f aca="false">IF(AND(C539=C540,AA539=AA540-1),AB539,"")</f>
        <v/>
      </c>
      <c r="AE540" s="0" t="str">
        <f aca="false">IF(AND(C539=C540,AA539=AA540-1),AC539,"")</f>
        <v/>
      </c>
      <c r="AF540" s="0" t="str">
        <f aca="false">IF(AA540=1,"",IF(AND(AB540=1,AD540&lt;&gt;1),1,0))</f>
        <v/>
      </c>
      <c r="AG540" s="0" t="str">
        <f aca="false">IF(AA540=1,"",IF(AND(AC540=1,AE540&lt;&gt;1),1,0))</f>
        <v/>
      </c>
      <c r="AH540" s="51" t="str">
        <f aca="false">IF(AND(E540&gt;0,AA540&lt;1,NOT(AND(C541=C540,AA541=AA540+1))),INDEX(DATAS,AA540+1),"")</f>
        <v/>
      </c>
      <c r="AI540" s="51" t="str">
        <f aca="false">IF(AND(AC540=1,AA540&lt;1),IF(AND(C541=C540,AA541=AA540+1),IF(AC541=1,"",INDEX(DATAS,AA540+1)),INDEX(DATAS,AA540+1)),"")</f>
        <v/>
      </c>
    </row>
    <row r="541" customFormat="false" ht="15" hidden="false" customHeight="false" outlineLevel="0" collapsed="false">
      <c r="A541" s="51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46" t="s">
        <v>540</v>
      </c>
      <c r="G541" s="0" t="n">
        <v>25.2</v>
      </c>
      <c r="H541" s="0" t="n">
        <v>25</v>
      </c>
      <c r="I541" s="46" t="s">
        <v>138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51" t="n">
        <v>46198</v>
      </c>
      <c r="X541" s="46" t="n">
        <f aca="false">IF(I541="Male",0,1)</f>
        <v>1</v>
      </c>
      <c r="Y541" s="46" t="n">
        <f aca="false">IF(OR(I541="DNB",I541="Dry DNB"),1,0)</f>
        <v>1</v>
      </c>
      <c r="Z541" s="46" t="n">
        <f aca="false">IF(ISNUMBER(W541),A541-W541,"")</f>
        <v>111</v>
      </c>
      <c r="AA541" s="46" t="n">
        <f aca="false">MATCH(A541,DATAS,0)</f>
        <v>1</v>
      </c>
      <c r="AB541" s="46" t="n">
        <f aca="false">IF(AND(E541&gt;0,OR(AND(B541&gt;=1,B541&lt;=6),B541=10)),1,0)</f>
        <v>1</v>
      </c>
      <c r="AC541" s="46" t="n">
        <f aca="false">IF(AND(E541&gt;0,B541=10),1,0)</f>
        <v>0</v>
      </c>
      <c r="AD541" s="0" t="str">
        <f aca="false">IF(AND(C540=C541,AA540=AA541-1),AB540,"")</f>
        <v/>
      </c>
      <c r="AE541" s="0" t="str">
        <f aca="false">IF(AND(C540=C541,AA540=AA541-1),AC540,"")</f>
        <v/>
      </c>
      <c r="AF541" s="0" t="str">
        <f aca="false">IF(AA541=1,"",IF(AND(AB541=1,AD541&lt;&gt;1),1,0))</f>
        <v/>
      </c>
      <c r="AG541" s="0" t="str">
        <f aca="false">IF(AA541=1,"",IF(AND(AC541=1,AE541&lt;&gt;1),1,0))</f>
        <v/>
      </c>
      <c r="AH541" s="51" t="str">
        <f aca="false">IF(AND(E541&gt;0,AA541&lt;1,NOT(AND(C542=C541,AA542=AA541+1))),INDEX(DATAS,AA541+1),"")</f>
        <v/>
      </c>
      <c r="AI541" s="51" t="str">
        <f aca="false">IF(AND(AC541=1,AA541&lt;1),IF(AND(C542=C541,AA542=AA541+1),IF(AC542=1,"",INDEX(DATAS,AA541+1)),INDEX(DATAS,AA541+1)),"")</f>
        <v/>
      </c>
    </row>
    <row r="542" customFormat="false" ht="15" hidden="false" customHeight="false" outlineLevel="0" collapsed="false">
      <c r="A542" s="51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46" t="s">
        <v>540</v>
      </c>
      <c r="G542" s="0" t="n">
        <v>20.6</v>
      </c>
      <c r="H542" s="0" t="n">
        <v>17</v>
      </c>
      <c r="I542" s="46" t="s">
        <v>152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51" t="n">
        <v>46191</v>
      </c>
      <c r="X542" s="46" t="n">
        <f aca="false">IF(I542="Male",0,1)</f>
        <v>1</v>
      </c>
      <c r="Y542" s="46" t="n">
        <f aca="false">IF(OR(I542="DNB",I542="Dry DNB"),1,0)</f>
        <v>0</v>
      </c>
      <c r="Z542" s="46" t="n">
        <f aca="false">IF(ISNUMBER(W542),A542-W542,"")</f>
        <v>118</v>
      </c>
      <c r="AA542" s="46" t="n">
        <f aca="false">MATCH(A542,DATAS,0)</f>
        <v>1</v>
      </c>
      <c r="AB542" s="46" t="n">
        <f aca="false">IF(AND(E542&gt;0,OR(AND(B542&gt;=1,B542&lt;=6),B542=10)),1,0)</f>
        <v>1</v>
      </c>
      <c r="AC542" s="46" t="n">
        <f aca="false">IF(AND(E542&gt;0,B542=10),1,0)</f>
        <v>0</v>
      </c>
      <c r="AD542" s="0" t="str">
        <f aca="false">IF(AND(C541=C542,AA541=AA542-1),AB541,"")</f>
        <v/>
      </c>
      <c r="AE542" s="0" t="str">
        <f aca="false">IF(AND(C541=C542,AA541=AA542-1),AC541,"")</f>
        <v/>
      </c>
      <c r="AF542" s="0" t="str">
        <f aca="false">IF(AA542=1,"",IF(AND(AB542=1,AD542&lt;&gt;1),1,0))</f>
        <v/>
      </c>
      <c r="AG542" s="0" t="str">
        <f aca="false">IF(AA542=1,"",IF(AND(AC542=1,AE542&lt;&gt;1),1,0))</f>
        <v/>
      </c>
      <c r="AH542" s="51" t="str">
        <f aca="false">IF(AND(E542&gt;0,AA542&lt;1,NOT(AND(C543=C542,AA543=AA542+1))),INDEX(DATAS,AA542+1),"")</f>
        <v/>
      </c>
      <c r="AI542" s="51" t="str">
        <f aca="false">IF(AND(AC542=1,AA542&lt;1),IF(AND(C543=C542,AA543=AA542+1),IF(AC543=1,"",INDEX(DATAS,AA542+1)),INDEX(DATAS,AA542+1)),"")</f>
        <v/>
      </c>
    </row>
    <row r="543" customFormat="false" ht="15" hidden="false" customHeight="false" outlineLevel="0" collapsed="false">
      <c r="A543" s="51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46" t="s">
        <v>541</v>
      </c>
      <c r="G543" s="0" t="n">
        <v>65.8</v>
      </c>
      <c r="H543" s="0" t="n">
        <v>61</v>
      </c>
      <c r="I543" s="46" t="s">
        <v>161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X543" s="46" t="n">
        <f aca="false">IF(I543="Male",0,1)</f>
        <v>1</v>
      </c>
      <c r="Y543" s="46" t="n">
        <f aca="false">IF(OR(I543="DNB",I543="Dry DNB"),1,0)</f>
        <v>0</v>
      </c>
      <c r="Z543" s="0" t="str">
        <f aca="false">IF(ISNUMBER(W543),A543-W543,"")</f>
        <v/>
      </c>
      <c r="AA543" s="46" t="n">
        <f aca="false">MATCH(A543,DATAS,0)</f>
        <v>1</v>
      </c>
      <c r="AB543" s="46" t="n">
        <f aca="false">IF(AND(E543&gt;0,OR(AND(B543&gt;=1,B543&lt;=6),B543=10)),1,0)</f>
        <v>1</v>
      </c>
      <c r="AC543" s="46" t="n">
        <f aca="false">IF(AND(E543&gt;0,B543=10),1,0)</f>
        <v>0</v>
      </c>
      <c r="AD543" s="0" t="str">
        <f aca="false">IF(AND(C542=C543,AA542=AA543-1),AB542,"")</f>
        <v/>
      </c>
      <c r="AE543" s="0" t="str">
        <f aca="false">IF(AND(C542=C543,AA542=AA543-1),AC542,"")</f>
        <v/>
      </c>
      <c r="AF543" s="0" t="str">
        <f aca="false">IF(AA543=1,"",IF(AND(AB543=1,AD543&lt;&gt;1),1,0))</f>
        <v/>
      </c>
      <c r="AG543" s="0" t="str">
        <f aca="false">IF(AA543=1,"",IF(AND(AC543=1,AE543&lt;&gt;1),1,0))</f>
        <v/>
      </c>
      <c r="AH543" s="51" t="str">
        <f aca="false">IF(AND(E543&gt;0,AA543&lt;1,NOT(AND(C544=C543,AA544=AA543+1))),INDEX(DATAS,AA543+1),"")</f>
        <v/>
      </c>
      <c r="AI543" s="51" t="str">
        <f aca="false">IF(AND(AC543=1,AA543&lt;1),IF(AND(C544=C543,AA544=AA543+1),IF(AC544=1,"",INDEX(DATAS,AA543+1)),INDEX(DATAS,AA543+1)),"")</f>
        <v/>
      </c>
    </row>
    <row r="544" customFormat="false" ht="15" hidden="false" customHeight="false" outlineLevel="0" collapsed="false">
      <c r="A544" s="51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46" t="s">
        <v>541</v>
      </c>
      <c r="H544" s="0" t="n">
        <v>23</v>
      </c>
      <c r="I544" s="46" t="s">
        <v>152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51" t="n">
        <v>46114</v>
      </c>
      <c r="X544" s="46" t="n">
        <f aca="false">IF(I544="Male",0,1)</f>
        <v>1</v>
      </c>
      <c r="Y544" s="46" t="n">
        <f aca="false">IF(OR(I544="DNB",I544="Dry DNB"),1,0)</f>
        <v>0</v>
      </c>
      <c r="Z544" s="46" t="n">
        <f aca="false">IF(ISNUMBER(W544),A544-W544,"")</f>
        <v>195</v>
      </c>
      <c r="AA544" s="46" t="n">
        <f aca="false">MATCH(A544,DATAS,0)</f>
        <v>1</v>
      </c>
      <c r="AB544" s="46" t="n">
        <f aca="false">IF(AND(E544&gt;0,OR(AND(B544&gt;=1,B544&lt;=6),B544=10)),1,0)</f>
        <v>1</v>
      </c>
      <c r="AC544" s="46" t="n">
        <f aca="false">IF(AND(E544&gt;0,B544=10),1,0)</f>
        <v>0</v>
      </c>
      <c r="AD544" s="0" t="str">
        <f aca="false">IF(AND(C543=C544,AA543=AA544-1),AB543,"")</f>
        <v/>
      </c>
      <c r="AE544" s="0" t="str">
        <f aca="false">IF(AND(C543=C544,AA543=AA544-1),AC543,"")</f>
        <v/>
      </c>
      <c r="AF544" s="0" t="str">
        <f aca="false">IF(AA544=1,"",IF(AND(AB544=1,AD544&lt;&gt;1),1,0))</f>
        <v/>
      </c>
      <c r="AG544" s="0" t="str">
        <f aca="false">IF(AA544=1,"",IF(AND(AC544=1,AE544&lt;&gt;1),1,0))</f>
        <v/>
      </c>
      <c r="AH544" s="51" t="str">
        <f aca="false">IF(AND(E544&gt;0,AA544&lt;1,NOT(AND(C545=C544,AA545=AA544+1))),INDEX(DATAS,AA544+1),"")</f>
        <v/>
      </c>
      <c r="AI544" s="51" t="str">
        <f aca="false">IF(AND(AC544=1,AA544&lt;1),IF(AND(C545=C544,AA545=AA544+1),IF(AC545=1,"",INDEX(DATAS,AA544+1)),INDEX(DATAS,AA544+1)),"")</f>
        <v/>
      </c>
    </row>
    <row r="545" customFormat="false" ht="15" hidden="false" customHeight="false" outlineLevel="0" collapsed="false">
      <c r="A545" s="51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46" t="s">
        <v>541</v>
      </c>
      <c r="G545" s="0" t="n">
        <v>37.7</v>
      </c>
      <c r="H545" s="0" t="n">
        <v>35</v>
      </c>
      <c r="I545" s="46" t="s">
        <v>152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51" t="n">
        <v>46181</v>
      </c>
      <c r="X545" s="46" t="n">
        <f aca="false">IF(I545="Male",0,1)</f>
        <v>1</v>
      </c>
      <c r="Y545" s="46" t="n">
        <f aca="false">IF(OR(I545="DNB",I545="Dry DNB"),1,0)</f>
        <v>0</v>
      </c>
      <c r="Z545" s="46" t="n">
        <f aca="false">IF(ISNUMBER(W545),A545-W545,"")</f>
        <v>128</v>
      </c>
      <c r="AA545" s="46" t="n">
        <f aca="false">MATCH(A545,DATAS,0)</f>
        <v>1</v>
      </c>
      <c r="AB545" s="46" t="n">
        <f aca="false">IF(AND(E545&gt;0,OR(AND(B545&gt;=1,B545&lt;=6),B545=10)),1,0)</f>
        <v>1</v>
      </c>
      <c r="AC545" s="46" t="n">
        <f aca="false">IF(AND(E545&gt;0,B545=10),1,0)</f>
        <v>0</v>
      </c>
      <c r="AD545" s="0" t="str">
        <f aca="false">IF(AND(C544=C545,AA544=AA545-1),AB544,"")</f>
        <v/>
      </c>
      <c r="AE545" s="0" t="str">
        <f aca="false">IF(AND(C544=C545,AA544=AA545-1),AC544,"")</f>
        <v/>
      </c>
      <c r="AF545" s="0" t="str">
        <f aca="false">IF(AA545=1,"",IF(AND(AB545=1,AD545&lt;&gt;1),1,0))</f>
        <v/>
      </c>
      <c r="AG545" s="0" t="str">
        <f aca="false">IF(AA545=1,"",IF(AND(AC545=1,AE545&lt;&gt;1),1,0))</f>
        <v/>
      </c>
      <c r="AH545" s="51" t="str">
        <f aca="false">IF(AND(E545&gt;0,AA545&lt;1,NOT(AND(C546=C545,AA546=AA545+1))),INDEX(DATAS,AA545+1),"")</f>
        <v/>
      </c>
      <c r="AI545" s="51" t="str">
        <f aca="false">IF(AND(AC545=1,AA545&lt;1),IF(AND(C546=C545,AA546=AA545+1),IF(AC546=1,"",INDEX(DATAS,AA545+1)),INDEX(DATAS,AA545+1)),"")</f>
        <v/>
      </c>
    </row>
    <row r="546" customFormat="false" ht="15" hidden="false" customHeight="false" outlineLevel="0" collapsed="false">
      <c r="A546" s="51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46" t="s">
        <v>542</v>
      </c>
      <c r="I546" s="46" t="s">
        <v>157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51" t="n">
        <v>46072</v>
      </c>
      <c r="X546" s="46" t="n">
        <f aca="false">IF(I546="Male",0,1)</f>
        <v>1</v>
      </c>
      <c r="Y546" s="46" t="n">
        <f aca="false">IF(OR(I546="DNB",I546="Dry DNB"),1,0)</f>
        <v>0</v>
      </c>
      <c r="Z546" s="46" t="n">
        <f aca="false">IF(ISNUMBER(W546),A546-W546,"")</f>
        <v>237</v>
      </c>
      <c r="AA546" s="46" t="n">
        <f aca="false">MATCH(A546,DATAS,0)</f>
        <v>1</v>
      </c>
      <c r="AB546" s="46" t="n">
        <f aca="false">IF(AND(E546&gt;0,OR(AND(B546&gt;=1,B546&lt;=6),B546=10)),1,0)</f>
        <v>0</v>
      </c>
      <c r="AC546" s="46" t="n">
        <f aca="false">IF(AND(E546&gt;0,B546=10),1,0)</f>
        <v>0</v>
      </c>
      <c r="AD546" s="0" t="str">
        <f aca="false">IF(AND(C545=C546,AA545=AA546-1),AB545,"")</f>
        <v/>
      </c>
      <c r="AE546" s="0" t="str">
        <f aca="false">IF(AND(C545=C546,AA545=AA546-1),AC545,"")</f>
        <v/>
      </c>
      <c r="AF546" s="0" t="str">
        <f aca="false">IF(AA546=1,"",IF(AND(AB546=1,AD546&lt;&gt;1),1,0))</f>
        <v/>
      </c>
      <c r="AG546" s="0" t="str">
        <f aca="false">IF(AA546=1,"",IF(AND(AC546=1,AE546&lt;&gt;1),1,0))</f>
        <v/>
      </c>
      <c r="AH546" s="51" t="str">
        <f aca="false">IF(AND(E546&gt;0,AA546&lt;1,NOT(AND(C547=C546,AA547=AA546+1))),INDEX(DATAS,AA546+1),"")</f>
        <v/>
      </c>
      <c r="AI546" s="51" t="str">
        <f aca="false">IF(AND(AC546=1,AA546&lt;1),IF(AND(C547=C546,AA547=AA546+1),IF(AC547=1,"",INDEX(DATAS,AA546+1)),INDEX(DATAS,AA546+1)),"")</f>
        <v/>
      </c>
    </row>
    <row r="547" customFormat="false" ht="15" hidden="false" customHeight="false" outlineLevel="0" collapsed="false">
      <c r="A547" s="51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46" t="s">
        <v>543</v>
      </c>
      <c r="G547" s="0" t="n">
        <v>36.1</v>
      </c>
      <c r="H547" s="0" t="n">
        <v>36</v>
      </c>
      <c r="I547" s="46" t="s">
        <v>161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X547" s="46" t="n">
        <f aca="false">IF(I547="Male",0,1)</f>
        <v>1</v>
      </c>
      <c r="Y547" s="46" t="n">
        <f aca="false">IF(OR(I547="DNB",I547="Dry DNB"),1,0)</f>
        <v>0</v>
      </c>
      <c r="Z547" s="0" t="str">
        <f aca="false">IF(ISNUMBER(W547),A547-W547,"")</f>
        <v/>
      </c>
      <c r="AA547" s="46" t="n">
        <f aca="false">MATCH(A547,DATAS,0)</f>
        <v>1</v>
      </c>
      <c r="AB547" s="46" t="n">
        <f aca="false">IF(AND(E547&gt;0,OR(AND(B547&gt;=1,B547&lt;=6),B547=10)),1,0)</f>
        <v>1</v>
      </c>
      <c r="AC547" s="46" t="n">
        <f aca="false">IF(AND(E547&gt;0,B547=10),1,0)</f>
        <v>0</v>
      </c>
      <c r="AD547" s="0" t="str">
        <f aca="false">IF(AND(C546=C547,AA546=AA547-1),AB546,"")</f>
        <v/>
      </c>
      <c r="AE547" s="0" t="str">
        <f aca="false">IF(AND(C546=C547,AA546=AA547-1),AC546,"")</f>
        <v/>
      </c>
      <c r="AF547" s="0" t="str">
        <f aca="false">IF(AA547=1,"",IF(AND(AB547=1,AD547&lt;&gt;1),1,0))</f>
        <v/>
      </c>
      <c r="AG547" s="0" t="str">
        <f aca="false">IF(AA547=1,"",IF(AND(AC547=1,AE547&lt;&gt;1),1,0))</f>
        <v/>
      </c>
      <c r="AH547" s="51" t="str">
        <f aca="false">IF(AND(E547&gt;0,AA547&lt;1,NOT(AND(C548=C547,AA548=AA547+1))),INDEX(DATAS,AA547+1),"")</f>
        <v/>
      </c>
      <c r="AI547" s="51" t="str">
        <f aca="false">IF(AND(AC547=1,AA547&lt;1),IF(AND(C548=C547,AA548=AA547+1),IF(AC548=1,"",INDEX(DATAS,AA547+1)),INDEX(DATAS,AA547+1)),"")</f>
        <v/>
      </c>
    </row>
    <row r="548" customFormat="false" ht="15" hidden="false" customHeight="false" outlineLevel="0" collapsed="false">
      <c r="A548" s="51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46" t="s">
        <v>544</v>
      </c>
      <c r="G548" s="0" t="n">
        <v>61.8</v>
      </c>
      <c r="H548" s="0" t="n">
        <v>59</v>
      </c>
      <c r="I548" s="46" t="s">
        <v>189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51" t="n">
        <v>46275</v>
      </c>
      <c r="X548" s="46" t="n">
        <f aca="false">IF(I548="Male",0,1)</f>
        <v>1</v>
      </c>
      <c r="Y548" s="46" t="n">
        <f aca="false">IF(OR(I548="DNB",I548="Dry DNB"),1,0)</f>
        <v>0</v>
      </c>
      <c r="Z548" s="46" t="n">
        <f aca="false">IF(ISNUMBER(W548),A548-W548,"")</f>
        <v>34</v>
      </c>
      <c r="AA548" s="46" t="n">
        <f aca="false">MATCH(A548,DATAS,0)</f>
        <v>1</v>
      </c>
      <c r="AB548" s="46" t="n">
        <f aca="false">IF(AND(E548&gt;0,OR(AND(B548&gt;=1,B548&lt;=6),B548=10)),1,0)</f>
        <v>1</v>
      </c>
      <c r="AC548" s="46" t="n">
        <f aca="false">IF(AND(E548&gt;0,B548=10),1,0)</f>
        <v>0</v>
      </c>
      <c r="AD548" s="0" t="str">
        <f aca="false">IF(AND(C547=C548,AA547=AA548-1),AB547,"")</f>
        <v/>
      </c>
      <c r="AE548" s="0" t="str">
        <f aca="false">IF(AND(C547=C548,AA547=AA548-1),AC547,"")</f>
        <v/>
      </c>
      <c r="AF548" s="0" t="str">
        <f aca="false">IF(AA548=1,"",IF(AND(AB548=1,AD548&lt;&gt;1),1,0))</f>
        <v/>
      </c>
      <c r="AG548" s="0" t="str">
        <f aca="false">IF(AA548=1,"",IF(AND(AC548=1,AE548&lt;&gt;1),1,0))</f>
        <v/>
      </c>
      <c r="AH548" s="51" t="str">
        <f aca="false">IF(AND(E548&gt;0,AA548&lt;1,NOT(AND(C549=C548,AA549=AA548+1))),INDEX(DATAS,AA548+1),"")</f>
        <v/>
      </c>
      <c r="AI548" s="51" t="str">
        <f aca="false">IF(AND(AC548=1,AA548&lt;1),IF(AND(C549=C548,AA549=AA548+1),IF(AC549=1,"",INDEX(DATAS,AA548+1)),INDEX(DATAS,AA548+1)),"")</f>
        <v/>
      </c>
    </row>
    <row r="549" customFormat="false" ht="15" hidden="false" customHeight="false" outlineLevel="0" collapsed="false">
      <c r="A549" s="51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46" t="s">
        <v>545</v>
      </c>
      <c r="G549" s="0" t="n">
        <v>38.5</v>
      </c>
      <c r="H549" s="0" t="n">
        <v>43</v>
      </c>
      <c r="I549" s="46" t="s">
        <v>152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51" t="n">
        <v>46254</v>
      </c>
      <c r="X549" s="46" t="n">
        <f aca="false">IF(I549="Male",0,1)</f>
        <v>1</v>
      </c>
      <c r="Y549" s="46" t="n">
        <f aca="false">IF(OR(I549="DNB",I549="Dry DNB"),1,0)</f>
        <v>0</v>
      </c>
      <c r="Z549" s="46" t="n">
        <f aca="false">IF(ISNUMBER(W549),A549-W549,"")</f>
        <v>55</v>
      </c>
      <c r="AA549" s="46" t="n">
        <f aca="false">MATCH(A549,DATAS,0)</f>
        <v>1</v>
      </c>
      <c r="AB549" s="46" t="n">
        <f aca="false">IF(AND(E549&gt;0,OR(AND(B549&gt;=1,B549&lt;=6),B549=10)),1,0)</f>
        <v>1</v>
      </c>
      <c r="AC549" s="46" t="n">
        <f aca="false">IF(AND(E549&gt;0,B549=10),1,0)</f>
        <v>0</v>
      </c>
      <c r="AD549" s="0" t="str">
        <f aca="false">IF(AND(C548=C549,AA548=AA549-1),AB548,"")</f>
        <v/>
      </c>
      <c r="AE549" s="0" t="str">
        <f aca="false">IF(AND(C548=C549,AA548=AA549-1),AC548,"")</f>
        <v/>
      </c>
      <c r="AF549" s="0" t="str">
        <f aca="false">IF(AA549=1,"",IF(AND(AB549=1,AD549&lt;&gt;1),1,0))</f>
        <v/>
      </c>
      <c r="AG549" s="0" t="str">
        <f aca="false">IF(AA549=1,"",IF(AND(AC549=1,AE549&lt;&gt;1),1,0))</f>
        <v/>
      </c>
      <c r="AH549" s="51" t="str">
        <f aca="false">IF(AND(E549&gt;0,AA549&lt;1,NOT(AND(C550=C549,AA550=AA549+1))),INDEX(DATAS,AA549+1),"")</f>
        <v/>
      </c>
      <c r="AI549" s="51" t="str">
        <f aca="false">IF(AND(AC549=1,AA549&lt;1),IF(AND(C550=C549,AA550=AA549+1),IF(AC550=1,"",INDEX(DATAS,AA549+1)),INDEX(DATAS,AA549+1)),"")</f>
        <v/>
      </c>
    </row>
    <row r="550" customFormat="false" ht="15" hidden="false" customHeight="false" outlineLevel="0" collapsed="false">
      <c r="A550" s="51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46" t="s">
        <v>546</v>
      </c>
      <c r="G550" s="0" t="n">
        <v>41</v>
      </c>
      <c r="H550" s="0" t="n">
        <v>38</v>
      </c>
      <c r="I550" s="46" t="s">
        <v>152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51" t="n">
        <v>46191</v>
      </c>
      <c r="X550" s="46" t="n">
        <f aca="false">IF(I550="Male",0,1)</f>
        <v>1</v>
      </c>
      <c r="Y550" s="46" t="n">
        <f aca="false">IF(OR(I550="DNB",I550="Dry DNB"),1,0)</f>
        <v>0</v>
      </c>
      <c r="Z550" s="46" t="n">
        <f aca="false">IF(ISNUMBER(W550),A550-W550,"")</f>
        <v>118</v>
      </c>
      <c r="AA550" s="46" t="n">
        <f aca="false">MATCH(A550,DATAS,0)</f>
        <v>1</v>
      </c>
      <c r="AB550" s="46" t="n">
        <f aca="false">IF(AND(E550&gt;0,OR(AND(B550&gt;=1,B550&lt;=6),B550=10)),1,0)</f>
        <v>1</v>
      </c>
      <c r="AC550" s="46" t="n">
        <f aca="false">IF(AND(E550&gt;0,B550=10),1,0)</f>
        <v>0</v>
      </c>
      <c r="AD550" s="0" t="str">
        <f aca="false">IF(AND(C549=C550,AA549=AA550-1),AB549,"")</f>
        <v/>
      </c>
      <c r="AE550" s="0" t="str">
        <f aca="false">IF(AND(C549=C550,AA549=AA550-1),AC549,"")</f>
        <v/>
      </c>
      <c r="AF550" s="0" t="str">
        <f aca="false">IF(AA550=1,"",IF(AND(AB550=1,AD550&lt;&gt;1),1,0))</f>
        <v/>
      </c>
      <c r="AG550" s="0" t="str">
        <f aca="false">IF(AA550=1,"",IF(AND(AC550=1,AE550&lt;&gt;1),1,0))</f>
        <v/>
      </c>
      <c r="AH550" s="51" t="str">
        <f aca="false">IF(AND(E550&gt;0,AA550&lt;1,NOT(AND(C551=C550,AA551=AA550+1))),INDEX(DATAS,AA550+1),"")</f>
        <v/>
      </c>
      <c r="AI550" s="51" t="str">
        <f aca="false">IF(AND(AC550=1,AA550&lt;1),IF(AND(C551=C550,AA551=AA550+1),IF(AC551=1,"",INDEX(DATAS,AA550+1)),INDEX(DATAS,AA550+1)),"")</f>
        <v/>
      </c>
    </row>
    <row r="551" customFormat="false" ht="15" hidden="false" customHeight="false" outlineLevel="0" collapsed="false">
      <c r="A551" s="51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46" t="s">
        <v>546</v>
      </c>
      <c r="G551" s="0" t="n">
        <v>57</v>
      </c>
      <c r="H551" s="0" t="n">
        <v>52</v>
      </c>
      <c r="I551" s="46" t="s">
        <v>181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51" t="n">
        <v>46303</v>
      </c>
      <c r="X551" s="46" t="n">
        <f aca="false">IF(I551="Male",0,1)</f>
        <v>1</v>
      </c>
      <c r="Y551" s="46" t="n">
        <f aca="false">IF(OR(I551="DNB",I551="Dry DNB"),1,0)</f>
        <v>0</v>
      </c>
      <c r="Z551" s="46" t="n">
        <f aca="false">IF(ISNUMBER(W551),A551-W551,"")</f>
        <v>6</v>
      </c>
      <c r="AA551" s="46" t="n">
        <f aca="false">MATCH(A551,DATAS,0)</f>
        <v>1</v>
      </c>
      <c r="AB551" s="46" t="n">
        <f aca="false">IF(AND(E551&gt;0,OR(AND(B551&gt;=1,B551&lt;=6),B551=10)),1,0)</f>
        <v>1</v>
      </c>
      <c r="AC551" s="46" t="n">
        <f aca="false">IF(AND(E551&gt;0,B551=10),1,0)</f>
        <v>0</v>
      </c>
      <c r="AD551" s="0" t="str">
        <f aca="false">IF(AND(C550=C551,AA550=AA551-1),AB550,"")</f>
        <v/>
      </c>
      <c r="AE551" s="0" t="str">
        <f aca="false">IF(AND(C550=C551,AA550=AA551-1),AC550,"")</f>
        <v/>
      </c>
      <c r="AF551" s="0" t="str">
        <f aca="false">IF(AA551=1,"",IF(AND(AB551=1,AD551&lt;&gt;1),1,0))</f>
        <v/>
      </c>
      <c r="AG551" s="0" t="str">
        <f aca="false">IF(AA551=1,"",IF(AND(AC551=1,AE551&lt;&gt;1),1,0))</f>
        <v/>
      </c>
      <c r="AH551" s="51" t="str">
        <f aca="false">IF(AND(E551&gt;0,AA551&lt;1,NOT(AND(C552=C551,AA552=AA551+1))),INDEX(DATAS,AA551+1),"")</f>
        <v/>
      </c>
      <c r="AI551" s="51" t="str">
        <f aca="false">IF(AND(AC551=1,AA551&lt;1),IF(AND(C552=C551,AA552=AA551+1),IF(AC552=1,"",INDEX(DATAS,AA551+1)),INDEX(DATAS,AA551+1)),"")</f>
        <v/>
      </c>
    </row>
    <row r="552" customFormat="false" ht="15" hidden="false" customHeight="false" outlineLevel="0" collapsed="false">
      <c r="A552" s="51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46" t="s">
        <v>546</v>
      </c>
      <c r="I552" s="46" t="s">
        <v>157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51" t="n">
        <v>46037</v>
      </c>
      <c r="X552" s="46" t="n">
        <f aca="false">IF(I552="Male",0,1)</f>
        <v>1</v>
      </c>
      <c r="Y552" s="46" t="n">
        <f aca="false">IF(OR(I552="DNB",I552="Dry DNB"),1,0)</f>
        <v>0</v>
      </c>
      <c r="Z552" s="46" t="n">
        <f aca="false">IF(ISNUMBER(W552),A552-W552,"")</f>
        <v>272</v>
      </c>
      <c r="AA552" s="46" t="n">
        <f aca="false">MATCH(A552,DATAS,0)</f>
        <v>1</v>
      </c>
      <c r="AB552" s="46" t="n">
        <f aca="false">IF(AND(E552&gt;0,OR(AND(B552&gt;=1,B552&lt;=6),B552=10)),1,0)</f>
        <v>0</v>
      </c>
      <c r="AC552" s="46" t="n">
        <f aca="false">IF(AND(E552&gt;0,B552=10),1,0)</f>
        <v>0</v>
      </c>
      <c r="AD552" s="0" t="str">
        <f aca="false">IF(AND(C551=C552,AA551=AA552-1),AB551,"")</f>
        <v/>
      </c>
      <c r="AE552" s="0" t="str">
        <f aca="false">IF(AND(C551=C552,AA551=AA552-1),AC551,"")</f>
        <v/>
      </c>
      <c r="AF552" s="0" t="str">
        <f aca="false">IF(AA552=1,"",IF(AND(AB552=1,AD552&lt;&gt;1),1,0))</f>
        <v/>
      </c>
      <c r="AG552" s="0" t="str">
        <f aca="false">IF(AA552=1,"",IF(AND(AC552=1,AE552&lt;&gt;1),1,0))</f>
        <v/>
      </c>
      <c r="AH552" s="51" t="str">
        <f aca="false">IF(AND(E552&gt;0,AA552&lt;1,NOT(AND(C553=C552,AA553=AA552+1))),INDEX(DATAS,AA552+1),"")</f>
        <v/>
      </c>
      <c r="AI552" s="51" t="str">
        <f aca="false">IF(AND(AC552=1,AA552&lt;1),IF(AND(C553=C552,AA553=AA552+1),IF(AC553=1,"",INDEX(DATAS,AA552+1)),INDEX(DATAS,AA552+1)),"")</f>
        <v/>
      </c>
    </row>
    <row r="553" customFormat="false" ht="15" hidden="false" customHeight="false" outlineLevel="0" collapsed="false">
      <c r="A553" s="51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46" t="s">
        <v>546</v>
      </c>
      <c r="G553" s="0" t="n">
        <v>54.4</v>
      </c>
      <c r="H553" s="0" t="n">
        <v>55</v>
      </c>
      <c r="I553" s="46" t="s">
        <v>181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51" t="n">
        <v>46289</v>
      </c>
      <c r="X553" s="46" t="n">
        <f aca="false">IF(I553="Male",0,1)</f>
        <v>1</v>
      </c>
      <c r="Y553" s="46" t="n">
        <f aca="false">IF(OR(I553="DNB",I553="Dry DNB"),1,0)</f>
        <v>0</v>
      </c>
      <c r="Z553" s="46" t="n">
        <f aca="false">IF(ISNUMBER(W553),A553-W553,"")</f>
        <v>20</v>
      </c>
      <c r="AA553" s="46" t="n">
        <f aca="false">MATCH(A553,DATAS,0)</f>
        <v>1</v>
      </c>
      <c r="AB553" s="46" t="n">
        <f aca="false">IF(AND(E553&gt;0,OR(AND(B553&gt;=1,B553&lt;=6),B553=10)),1,0)</f>
        <v>1</v>
      </c>
      <c r="AC553" s="46" t="n">
        <f aca="false">IF(AND(E553&gt;0,B553=10),1,0)</f>
        <v>0</v>
      </c>
      <c r="AD553" s="0" t="str">
        <f aca="false">IF(AND(C552=C553,AA552=AA553-1),AB552,"")</f>
        <v/>
      </c>
      <c r="AE553" s="0" t="str">
        <f aca="false">IF(AND(C552=C553,AA552=AA553-1),AC552,"")</f>
        <v/>
      </c>
      <c r="AF553" s="0" t="str">
        <f aca="false">IF(AA553=1,"",IF(AND(AB553=1,AD553&lt;&gt;1),1,0))</f>
        <v/>
      </c>
      <c r="AG553" s="0" t="str">
        <f aca="false">IF(AA553=1,"",IF(AND(AC553=1,AE553&lt;&gt;1),1,0))</f>
        <v/>
      </c>
      <c r="AH553" s="51" t="str">
        <f aca="false">IF(AND(E553&gt;0,AA553&lt;1,NOT(AND(C554=C553,AA554=AA553+1))),INDEX(DATAS,AA553+1),"")</f>
        <v/>
      </c>
      <c r="AI553" s="51" t="str">
        <f aca="false">IF(AND(AC553=1,AA553&lt;1),IF(AND(C554=C553,AA554=AA553+1),IF(AC554=1,"",INDEX(DATAS,AA553+1)),INDEX(DATAS,AA553+1)),"")</f>
        <v/>
      </c>
    </row>
    <row r="554" customFormat="false" ht="15" hidden="false" customHeight="false" outlineLevel="0" collapsed="false">
      <c r="A554" s="51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46" t="s">
        <v>547</v>
      </c>
      <c r="G554" s="0" t="n">
        <v>59.5</v>
      </c>
      <c r="H554" s="0" t="n">
        <v>56</v>
      </c>
      <c r="I554" s="46" t="s">
        <v>181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51" t="n">
        <v>46296</v>
      </c>
      <c r="X554" s="46" t="n">
        <f aca="false">IF(I554="Male",0,1)</f>
        <v>1</v>
      </c>
      <c r="Y554" s="46" t="n">
        <f aca="false">IF(OR(I554="DNB",I554="Dry DNB"),1,0)</f>
        <v>0</v>
      </c>
      <c r="Z554" s="46" t="n">
        <f aca="false">IF(ISNUMBER(W554),A554-W554,"")</f>
        <v>13</v>
      </c>
      <c r="AA554" s="46" t="n">
        <f aca="false">MATCH(A554,DATAS,0)</f>
        <v>1</v>
      </c>
      <c r="AB554" s="46" t="n">
        <f aca="false">IF(AND(E554&gt;0,OR(AND(B554&gt;=1,B554&lt;=6),B554=10)),1,0)</f>
        <v>1</v>
      </c>
      <c r="AC554" s="46" t="n">
        <f aca="false">IF(AND(E554&gt;0,B554=10),1,0)</f>
        <v>0</v>
      </c>
      <c r="AD554" s="0" t="str">
        <f aca="false">IF(AND(C553=C554,AA553=AA554-1),AB553,"")</f>
        <v/>
      </c>
      <c r="AE554" s="0" t="str">
        <f aca="false">IF(AND(C553=C554,AA553=AA554-1),AC553,"")</f>
        <v/>
      </c>
      <c r="AF554" s="0" t="str">
        <f aca="false">IF(AA554=1,"",IF(AND(AB554=1,AD554&lt;&gt;1),1,0))</f>
        <v/>
      </c>
      <c r="AG554" s="0" t="str">
        <f aca="false">IF(AA554=1,"",IF(AND(AC554=1,AE554&lt;&gt;1),1,0))</f>
        <v/>
      </c>
      <c r="AH554" s="51" t="str">
        <f aca="false">IF(AND(E554&gt;0,AA554&lt;1,NOT(AND(C555=C554,AA555=AA554+1))),INDEX(DATAS,AA554+1),"")</f>
        <v/>
      </c>
      <c r="AI554" s="51" t="str">
        <f aca="false">IF(AND(AC554=1,AA554&lt;1),IF(AND(C555=C554,AA555=AA554+1),IF(AC555=1,"",INDEX(DATAS,AA554+1)),INDEX(DATAS,AA554+1)),"")</f>
        <v/>
      </c>
    </row>
    <row r="555" customFormat="false" ht="15" hidden="false" customHeight="false" outlineLevel="0" collapsed="false">
      <c r="A555" s="51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46" t="s">
        <v>547</v>
      </c>
      <c r="G555" s="0" t="n">
        <v>46</v>
      </c>
      <c r="H555" s="0" t="n">
        <v>40</v>
      </c>
      <c r="I555" s="46" t="s">
        <v>152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51" t="n">
        <v>46202</v>
      </c>
      <c r="X555" s="46" t="n">
        <f aca="false">IF(I555="Male",0,1)</f>
        <v>1</v>
      </c>
      <c r="Y555" s="46" t="n">
        <f aca="false">IF(OR(I555="DNB",I555="Dry DNB"),1,0)</f>
        <v>0</v>
      </c>
      <c r="Z555" s="46" t="n">
        <f aca="false">IF(ISNUMBER(W555),A555-W555,"")</f>
        <v>107</v>
      </c>
      <c r="AA555" s="46" t="n">
        <f aca="false">MATCH(A555,DATAS,0)</f>
        <v>1</v>
      </c>
      <c r="AB555" s="46" t="n">
        <f aca="false">IF(AND(E555&gt;0,OR(AND(B555&gt;=1,B555&lt;=6),B555=10)),1,0)</f>
        <v>1</v>
      </c>
      <c r="AC555" s="46" t="n">
        <f aca="false">IF(AND(E555&gt;0,B555=10),1,0)</f>
        <v>0</v>
      </c>
      <c r="AD555" s="0" t="str">
        <f aca="false">IF(AND(C554=C555,AA554=AA555-1),AB554,"")</f>
        <v/>
      </c>
      <c r="AE555" s="0" t="str">
        <f aca="false">IF(AND(C554=C555,AA554=AA555-1),AC554,"")</f>
        <v/>
      </c>
      <c r="AF555" s="0" t="str">
        <f aca="false">IF(AA555=1,"",IF(AND(AB555=1,AD555&lt;&gt;1),1,0))</f>
        <v/>
      </c>
      <c r="AG555" s="0" t="str">
        <f aca="false">IF(AA555=1,"",IF(AND(AC555=1,AE555&lt;&gt;1),1,0))</f>
        <v/>
      </c>
      <c r="AH555" s="51" t="str">
        <f aca="false">IF(AND(E555&gt;0,AA555&lt;1,NOT(AND(C556=C555,AA556=AA555+1))),INDEX(DATAS,AA555+1),"")</f>
        <v/>
      </c>
      <c r="AI555" s="51" t="str">
        <f aca="false">IF(AND(AC555=1,AA555&lt;1),IF(AND(C556=C555,AA556=AA555+1),IF(AC556=1,"",INDEX(DATAS,AA555+1)),INDEX(DATAS,AA555+1)),"")</f>
        <v/>
      </c>
    </row>
    <row r="556" customFormat="false" ht="15" hidden="false" customHeight="false" outlineLevel="0" collapsed="false">
      <c r="A556" s="51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46" t="s">
        <v>548</v>
      </c>
      <c r="G556" s="0" t="n">
        <v>46.6</v>
      </c>
      <c r="H556" s="0" t="n">
        <v>39</v>
      </c>
      <c r="I556" s="46" t="s">
        <v>161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X556" s="46" t="n">
        <f aca="false">IF(I556="Male",0,1)</f>
        <v>1</v>
      </c>
      <c r="Y556" s="46" t="n">
        <f aca="false">IF(OR(I556="DNB",I556="Dry DNB"),1,0)</f>
        <v>0</v>
      </c>
      <c r="Z556" s="0" t="str">
        <f aca="false">IF(ISNUMBER(W556),A556-W556,"")</f>
        <v/>
      </c>
      <c r="AA556" s="46" t="n">
        <f aca="false">MATCH(A556,DATAS,0)</f>
        <v>1</v>
      </c>
      <c r="AB556" s="46" t="n">
        <f aca="false">IF(AND(E556&gt;0,OR(AND(B556&gt;=1,B556&lt;=6),B556=10)),1,0)</f>
        <v>1</v>
      </c>
      <c r="AC556" s="46" t="n">
        <f aca="false">IF(AND(E556&gt;0,B556=10),1,0)</f>
        <v>0</v>
      </c>
      <c r="AD556" s="0" t="str">
        <f aca="false">IF(AND(C555=C556,AA555=AA556-1),AB555,"")</f>
        <v/>
      </c>
      <c r="AE556" s="0" t="str">
        <f aca="false">IF(AND(C555=C556,AA555=AA556-1),AC555,"")</f>
        <v/>
      </c>
      <c r="AF556" s="0" t="str">
        <f aca="false">IF(AA556=1,"",IF(AND(AB556=1,AD556&lt;&gt;1),1,0))</f>
        <v/>
      </c>
      <c r="AG556" s="0" t="str">
        <f aca="false">IF(AA556=1,"",IF(AND(AC556=1,AE556&lt;&gt;1),1,0))</f>
        <v/>
      </c>
      <c r="AH556" s="51" t="str">
        <f aca="false">IF(AND(E556&gt;0,AA556&lt;1,NOT(AND(C557=C556,AA557=AA556+1))),INDEX(DATAS,AA556+1),"")</f>
        <v/>
      </c>
      <c r="AI556" s="51" t="str">
        <f aca="false">IF(AND(AC556=1,AA556&lt;1),IF(AND(C557=C556,AA557=AA556+1),IF(AC557=1,"",INDEX(DATAS,AA556+1)),INDEX(DATAS,AA556+1)),"")</f>
        <v/>
      </c>
    </row>
    <row r="557" customFormat="false" ht="15" hidden="false" customHeight="false" outlineLevel="0" collapsed="false">
      <c r="A557" s="51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46" t="s">
        <v>549</v>
      </c>
      <c r="G557" s="0" t="n">
        <v>63.3</v>
      </c>
      <c r="H557" s="0" t="n">
        <v>64</v>
      </c>
      <c r="I557" s="46" t="s">
        <v>181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51" t="n">
        <v>46289</v>
      </c>
      <c r="X557" s="46" t="n">
        <f aca="false">IF(I557="Male",0,1)</f>
        <v>1</v>
      </c>
      <c r="Y557" s="46" t="n">
        <f aca="false">IF(OR(I557="DNB",I557="Dry DNB"),1,0)</f>
        <v>0</v>
      </c>
      <c r="Z557" s="46" t="n">
        <f aca="false">IF(ISNUMBER(W557),A557-W557,"")</f>
        <v>20</v>
      </c>
      <c r="AA557" s="46" t="n">
        <f aca="false">MATCH(A557,DATAS,0)</f>
        <v>1</v>
      </c>
      <c r="AB557" s="46" t="n">
        <f aca="false">IF(AND(E557&gt;0,OR(AND(B557&gt;=1,B557&lt;=6),B557=10)),1,0)</f>
        <v>1</v>
      </c>
      <c r="AC557" s="46" t="n">
        <f aca="false">IF(AND(E557&gt;0,B557=10),1,0)</f>
        <v>0</v>
      </c>
      <c r="AD557" s="0" t="str">
        <f aca="false">IF(AND(C556=C557,AA556=AA557-1),AB556,"")</f>
        <v/>
      </c>
      <c r="AE557" s="0" t="str">
        <f aca="false">IF(AND(C556=C557,AA556=AA557-1),AC556,"")</f>
        <v/>
      </c>
      <c r="AF557" s="0" t="str">
        <f aca="false">IF(AA557=1,"",IF(AND(AB557=1,AD557&lt;&gt;1),1,0))</f>
        <v/>
      </c>
      <c r="AG557" s="0" t="str">
        <f aca="false">IF(AA557=1,"",IF(AND(AC557=1,AE557&lt;&gt;1),1,0))</f>
        <v/>
      </c>
      <c r="AH557" s="51" t="str">
        <f aca="false">IF(AND(E557&gt;0,AA557&lt;1,NOT(AND(C558=C557,AA558=AA557+1))),INDEX(DATAS,AA557+1),"")</f>
        <v/>
      </c>
      <c r="AI557" s="51" t="str">
        <f aca="false">IF(AND(AC557=1,AA557&lt;1),IF(AND(C558=C557,AA558=AA557+1),IF(AC558=1,"",INDEX(DATAS,AA557+1)),INDEX(DATAS,AA557+1)),"")</f>
        <v/>
      </c>
    </row>
    <row r="558" customFormat="false" ht="15" hidden="false" customHeight="false" outlineLevel="0" collapsed="false">
      <c r="A558" s="51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46" t="s">
        <v>550</v>
      </c>
      <c r="G558" s="0" t="n">
        <v>57.2</v>
      </c>
      <c r="H558" s="0" t="n">
        <v>58</v>
      </c>
      <c r="I558" s="46" t="s">
        <v>152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51" t="n">
        <v>46268</v>
      </c>
      <c r="X558" s="46" t="n">
        <f aca="false">IF(I558="Male",0,1)</f>
        <v>1</v>
      </c>
      <c r="Y558" s="46" t="n">
        <f aca="false">IF(OR(I558="DNB",I558="Dry DNB"),1,0)</f>
        <v>0</v>
      </c>
      <c r="Z558" s="46" t="n">
        <f aca="false">IF(ISNUMBER(W558),A558-W558,"")</f>
        <v>41</v>
      </c>
      <c r="AA558" s="46" t="n">
        <f aca="false">MATCH(A558,DATAS,0)</f>
        <v>1</v>
      </c>
      <c r="AB558" s="46" t="n">
        <f aca="false">IF(AND(E558&gt;0,OR(AND(B558&gt;=1,B558&lt;=6),B558=10)),1,0)</f>
        <v>1</v>
      </c>
      <c r="AC558" s="46" t="n">
        <f aca="false">IF(AND(E558&gt;0,B558=10),1,0)</f>
        <v>0</v>
      </c>
      <c r="AD558" s="0" t="str">
        <f aca="false">IF(AND(C557=C558,AA557=AA558-1),AB557,"")</f>
        <v/>
      </c>
      <c r="AE558" s="0" t="str">
        <f aca="false">IF(AND(C557=C558,AA557=AA558-1),AC557,"")</f>
        <v/>
      </c>
      <c r="AF558" s="0" t="str">
        <f aca="false">IF(AA558=1,"",IF(AND(AB558=1,AD558&lt;&gt;1),1,0))</f>
        <v/>
      </c>
      <c r="AG558" s="0" t="str">
        <f aca="false">IF(AA558=1,"",IF(AND(AC558=1,AE558&lt;&gt;1),1,0))</f>
        <v/>
      </c>
      <c r="AH558" s="51" t="str">
        <f aca="false">IF(AND(E558&gt;0,AA558&lt;1,NOT(AND(C559=C558,AA559=AA558+1))),INDEX(DATAS,AA558+1),"")</f>
        <v/>
      </c>
      <c r="AI558" s="51" t="str">
        <f aca="false">IF(AND(AC558=1,AA558&lt;1),IF(AND(C559=C558,AA559=AA558+1),IF(AC559=1,"",INDEX(DATAS,AA558+1)),INDEX(DATAS,AA558+1)),"")</f>
        <v/>
      </c>
    </row>
    <row r="559" customFormat="false" ht="15" hidden="false" customHeight="false" outlineLevel="0" collapsed="false">
      <c r="A559" s="51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46" t="s">
        <v>551</v>
      </c>
      <c r="G559" s="0" t="n">
        <v>38.2</v>
      </c>
      <c r="H559" s="0" t="n">
        <v>31</v>
      </c>
      <c r="I559" s="46" t="s">
        <v>181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51" t="n">
        <v>46296</v>
      </c>
      <c r="X559" s="46" t="n">
        <f aca="false">IF(I559="Male",0,1)</f>
        <v>1</v>
      </c>
      <c r="Y559" s="46" t="n">
        <f aca="false">IF(OR(I559="DNB",I559="Dry DNB"),1,0)</f>
        <v>0</v>
      </c>
      <c r="Z559" s="46" t="n">
        <f aca="false">IF(ISNUMBER(W559),A559-W559,"")</f>
        <v>13</v>
      </c>
      <c r="AA559" s="46" t="n">
        <f aca="false">MATCH(A559,DATAS,0)</f>
        <v>1</v>
      </c>
      <c r="AB559" s="46" t="n">
        <f aca="false">IF(AND(E559&gt;0,OR(AND(B559&gt;=1,B559&lt;=6),B559=10)),1,0)</f>
        <v>1</v>
      </c>
      <c r="AC559" s="46" t="n">
        <f aca="false">IF(AND(E559&gt;0,B559=10),1,0)</f>
        <v>0</v>
      </c>
      <c r="AD559" s="0" t="str">
        <f aca="false">IF(AND(C558=C559,AA558=AA559-1),AB558,"")</f>
        <v/>
      </c>
      <c r="AE559" s="0" t="str">
        <f aca="false">IF(AND(C558=C559,AA558=AA559-1),AC558,"")</f>
        <v/>
      </c>
      <c r="AF559" s="0" t="str">
        <f aca="false">IF(AA559=1,"",IF(AND(AB559=1,AD559&lt;&gt;1),1,0))</f>
        <v/>
      </c>
      <c r="AG559" s="0" t="str">
        <f aca="false">IF(AA559=1,"",IF(AND(AC559=1,AE559&lt;&gt;1),1,0))</f>
        <v/>
      </c>
      <c r="AH559" s="51" t="str">
        <f aca="false">IF(AND(E559&gt;0,AA559&lt;1,NOT(AND(C560=C559,AA560=AA559+1))),INDEX(DATAS,AA559+1),"")</f>
        <v/>
      </c>
      <c r="AI559" s="51" t="str">
        <f aca="false">IF(AND(AC559=1,AA559&lt;1),IF(AND(C560=C559,AA560=AA559+1),IF(AC560=1,"",INDEX(DATAS,AA559+1)),INDEX(DATAS,AA559+1)),"")</f>
        <v/>
      </c>
    </row>
    <row r="560" customFormat="false" ht="15" hidden="false" customHeight="false" outlineLevel="0" collapsed="false">
      <c r="A560" s="51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46" t="s">
        <v>552</v>
      </c>
      <c r="I560" s="46" t="s">
        <v>152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51" t="n">
        <v>46101</v>
      </c>
      <c r="X560" s="46" t="n">
        <f aca="false">IF(I560="Male",0,1)</f>
        <v>1</v>
      </c>
      <c r="Y560" s="46" t="n">
        <f aca="false">IF(OR(I560="DNB",I560="Dry DNB"),1,0)</f>
        <v>0</v>
      </c>
      <c r="Z560" s="46" t="n">
        <f aca="false">IF(ISNUMBER(W560),A560-W560,"")</f>
        <v>208</v>
      </c>
      <c r="AA560" s="46" t="n">
        <f aca="false">MATCH(A560,DATAS,0)</f>
        <v>1</v>
      </c>
      <c r="AB560" s="46" t="n">
        <f aca="false">IF(AND(E560&gt;0,OR(AND(B560&gt;=1,B560&lt;=6),B560=10)),1,0)</f>
        <v>1</v>
      </c>
      <c r="AC560" s="46" t="n">
        <f aca="false">IF(AND(E560&gt;0,B560=10),1,0)</f>
        <v>0</v>
      </c>
      <c r="AD560" s="0" t="str">
        <f aca="false">IF(AND(C559=C560,AA559=AA560-1),AB559,"")</f>
        <v/>
      </c>
      <c r="AE560" s="0" t="str">
        <f aca="false">IF(AND(C559=C560,AA559=AA560-1),AC559,"")</f>
        <v/>
      </c>
      <c r="AF560" s="0" t="str">
        <f aca="false">IF(AA560=1,"",IF(AND(AB560=1,AD560&lt;&gt;1),1,0))</f>
        <v/>
      </c>
      <c r="AG560" s="0" t="str">
        <f aca="false">IF(AA560=1,"",IF(AND(AC560=1,AE560&lt;&gt;1),1,0))</f>
        <v/>
      </c>
      <c r="AH560" s="51" t="str">
        <f aca="false">IF(AND(E560&gt;0,AA560&lt;1,NOT(AND(C561=C560,AA561=AA560+1))),INDEX(DATAS,AA560+1),"")</f>
        <v/>
      </c>
      <c r="AI560" s="51" t="str">
        <f aca="false">IF(AND(AC560=1,AA560&lt;1),IF(AND(C561=C560,AA561=AA560+1),IF(AC561=1,"",INDEX(DATAS,AA560+1)),INDEX(DATAS,AA560+1)),"")</f>
        <v/>
      </c>
    </row>
    <row r="561" customFormat="false" ht="15" hidden="false" customHeight="false" outlineLevel="0" collapsed="false">
      <c r="A561" s="51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46" t="s">
        <v>552</v>
      </c>
      <c r="H561" s="0" t="n">
        <v>22</v>
      </c>
      <c r="I561" s="46" t="s">
        <v>152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51" t="n">
        <v>46160</v>
      </c>
      <c r="X561" s="46" t="n">
        <f aca="false">IF(I561="Male",0,1)</f>
        <v>1</v>
      </c>
      <c r="Y561" s="46" t="n">
        <f aca="false">IF(OR(I561="DNB",I561="Dry DNB"),1,0)</f>
        <v>0</v>
      </c>
      <c r="Z561" s="46" t="n">
        <f aca="false">IF(ISNUMBER(W561),A561-W561,"")</f>
        <v>149</v>
      </c>
      <c r="AA561" s="46" t="n">
        <f aca="false">MATCH(A561,DATAS,0)</f>
        <v>1</v>
      </c>
      <c r="AB561" s="46" t="n">
        <f aca="false">IF(AND(E561&gt;0,OR(AND(B561&gt;=1,B561&lt;=6),B561=10)),1,0)</f>
        <v>1</v>
      </c>
      <c r="AC561" s="46" t="n">
        <f aca="false">IF(AND(E561&gt;0,B561=10),1,0)</f>
        <v>0</v>
      </c>
      <c r="AD561" s="0" t="str">
        <f aca="false">IF(AND(C560=C561,AA560=AA561-1),AB560,"")</f>
        <v/>
      </c>
      <c r="AE561" s="0" t="str">
        <f aca="false">IF(AND(C560=C561,AA560=AA561-1),AC560,"")</f>
        <v/>
      </c>
      <c r="AF561" s="0" t="str">
        <f aca="false">IF(AA561=1,"",IF(AND(AB561=1,AD561&lt;&gt;1),1,0))</f>
        <v/>
      </c>
      <c r="AG561" s="0" t="str">
        <f aca="false">IF(AA561=1,"",IF(AND(AC561=1,AE561&lt;&gt;1),1,0))</f>
        <v/>
      </c>
      <c r="AH561" s="51" t="str">
        <f aca="false">IF(AND(E561&gt;0,AA561&lt;1,NOT(AND(C562=C561,AA562=AA561+1))),INDEX(DATAS,AA561+1),"")</f>
        <v/>
      </c>
      <c r="AI561" s="51" t="str">
        <f aca="false">IF(AND(AC561=1,AA561&lt;1),IF(AND(C562=C561,AA562=AA561+1),IF(AC562=1,"",INDEX(DATAS,AA561+1)),INDEX(DATAS,AA561+1)),"")</f>
        <v/>
      </c>
    </row>
    <row r="562" customFormat="false" ht="15" hidden="false" customHeight="false" outlineLevel="0" collapsed="false">
      <c r="A562" s="51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46" t="s">
        <v>553</v>
      </c>
      <c r="G562" s="0" t="n">
        <v>35.3</v>
      </c>
      <c r="H562" s="0" t="n">
        <v>22</v>
      </c>
      <c r="I562" s="46" t="s">
        <v>161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X562" s="46" t="n">
        <f aca="false">IF(I562="Male",0,1)</f>
        <v>1</v>
      </c>
      <c r="Y562" s="46" t="n">
        <f aca="false">IF(OR(I562="DNB",I562="Dry DNB"),1,0)</f>
        <v>0</v>
      </c>
      <c r="Z562" s="0" t="str">
        <f aca="false">IF(ISNUMBER(W562),A562-W562,"")</f>
        <v/>
      </c>
      <c r="AA562" s="46" t="n">
        <f aca="false">MATCH(A562,DATAS,0)</f>
        <v>1</v>
      </c>
      <c r="AB562" s="46" t="n">
        <f aca="false">IF(AND(E562&gt;0,OR(AND(B562&gt;=1,B562&lt;=6),B562=10)),1,0)</f>
        <v>1</v>
      </c>
      <c r="AC562" s="46" t="n">
        <f aca="false">IF(AND(E562&gt;0,B562=10),1,0)</f>
        <v>0</v>
      </c>
      <c r="AD562" s="0" t="str">
        <f aca="false">IF(AND(C561=C562,AA561=AA562-1),AB561,"")</f>
        <v/>
      </c>
      <c r="AE562" s="0" t="str">
        <f aca="false">IF(AND(C561=C562,AA561=AA562-1),AC561,"")</f>
        <v/>
      </c>
      <c r="AF562" s="0" t="str">
        <f aca="false">IF(AA562=1,"",IF(AND(AB562=1,AD562&lt;&gt;1),1,0))</f>
        <v/>
      </c>
      <c r="AG562" s="0" t="str">
        <f aca="false">IF(AA562=1,"",IF(AND(AC562=1,AE562&lt;&gt;1),1,0))</f>
        <v/>
      </c>
      <c r="AH562" s="51" t="str">
        <f aca="false">IF(AND(E562&gt;0,AA562&lt;1,NOT(AND(C563=C562,AA563=AA562+1))),INDEX(DATAS,AA562+1),"")</f>
        <v/>
      </c>
      <c r="AI562" s="51" t="str">
        <f aca="false">IF(AND(AC562=1,AA562&lt;1),IF(AND(C563=C562,AA563=AA562+1),IF(AC563=1,"",INDEX(DATAS,AA562+1)),INDEX(DATAS,AA562+1)),"")</f>
        <v/>
      </c>
    </row>
    <row r="563" customFormat="false" ht="15" hidden="false" customHeight="false" outlineLevel="0" collapsed="false">
      <c r="A563" s="51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46" t="s">
        <v>554</v>
      </c>
      <c r="G563" s="0" t="n">
        <v>25.8</v>
      </c>
      <c r="H563" s="0" t="n">
        <v>24</v>
      </c>
      <c r="I563" s="46" t="s">
        <v>152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51" t="n">
        <v>46233</v>
      </c>
      <c r="X563" s="46" t="n">
        <f aca="false">IF(I563="Male",0,1)</f>
        <v>1</v>
      </c>
      <c r="Y563" s="46" t="n">
        <f aca="false">IF(OR(I563="DNB",I563="Dry DNB"),1,0)</f>
        <v>0</v>
      </c>
      <c r="Z563" s="46" t="n">
        <f aca="false">IF(ISNUMBER(W563),A563-W563,"")</f>
        <v>76</v>
      </c>
      <c r="AA563" s="46" t="n">
        <f aca="false">MATCH(A563,DATAS,0)</f>
        <v>1</v>
      </c>
      <c r="AB563" s="46" t="n">
        <f aca="false">IF(AND(E563&gt;0,OR(AND(B563&gt;=1,B563&lt;=6),B563=10)),1,0)</f>
        <v>1</v>
      </c>
      <c r="AC563" s="46" t="n">
        <f aca="false">IF(AND(E563&gt;0,B563=10),1,0)</f>
        <v>0</v>
      </c>
      <c r="AD563" s="0" t="str">
        <f aca="false">IF(AND(C562=C563,AA562=AA563-1),AB562,"")</f>
        <v/>
      </c>
      <c r="AE563" s="0" t="str">
        <f aca="false">IF(AND(C562=C563,AA562=AA563-1),AC562,"")</f>
        <v/>
      </c>
      <c r="AF563" s="0" t="str">
        <f aca="false">IF(AA563=1,"",IF(AND(AB563=1,AD563&lt;&gt;1),1,0))</f>
        <v/>
      </c>
      <c r="AG563" s="0" t="str">
        <f aca="false">IF(AA563=1,"",IF(AND(AC563=1,AE563&lt;&gt;1),1,0))</f>
        <v/>
      </c>
      <c r="AH563" s="51" t="str">
        <f aca="false">IF(AND(E563&gt;0,AA563&lt;1,NOT(AND(C564=C563,AA564=AA563+1))),INDEX(DATAS,AA563+1),"")</f>
        <v/>
      </c>
      <c r="AI563" s="51" t="str">
        <f aca="false">IF(AND(AC563=1,AA563&lt;1),IF(AND(C564=C563,AA564=AA563+1),IF(AC564=1,"",INDEX(DATAS,AA563+1)),INDEX(DATAS,AA563+1)),"")</f>
        <v/>
      </c>
    </row>
    <row r="564" customFormat="false" ht="15" hidden="false" customHeight="false" outlineLevel="0" collapsed="false">
      <c r="A564" s="51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46" t="s">
        <v>555</v>
      </c>
      <c r="G564" s="0" t="n">
        <v>35.3</v>
      </c>
      <c r="H564" s="0" t="n">
        <v>41</v>
      </c>
      <c r="I564" s="46" t="s">
        <v>152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51" t="n">
        <v>46240</v>
      </c>
      <c r="X564" s="46" t="n">
        <f aca="false">IF(I564="Male",0,1)</f>
        <v>1</v>
      </c>
      <c r="Y564" s="46" t="n">
        <f aca="false">IF(OR(I564="DNB",I564="Dry DNB"),1,0)</f>
        <v>0</v>
      </c>
      <c r="Z564" s="46" t="n">
        <f aca="false">IF(ISNUMBER(W564),A564-W564,"")</f>
        <v>69</v>
      </c>
      <c r="AA564" s="46" t="n">
        <f aca="false">MATCH(A564,DATAS,0)</f>
        <v>1</v>
      </c>
      <c r="AB564" s="46" t="n">
        <f aca="false">IF(AND(E564&gt;0,OR(AND(B564&gt;=1,B564&lt;=6),B564=10)),1,0)</f>
        <v>1</v>
      </c>
      <c r="AC564" s="46" t="n">
        <f aca="false">IF(AND(E564&gt;0,B564=10),1,0)</f>
        <v>0</v>
      </c>
      <c r="AD564" s="0" t="str">
        <f aca="false">IF(AND(C563=C564,AA563=AA564-1),AB563,"")</f>
        <v/>
      </c>
      <c r="AE564" s="0" t="str">
        <f aca="false">IF(AND(C563=C564,AA563=AA564-1),AC563,"")</f>
        <v/>
      </c>
      <c r="AF564" s="0" t="str">
        <f aca="false">IF(AA564=1,"",IF(AND(AB564=1,AD564&lt;&gt;1),1,0))</f>
        <v/>
      </c>
      <c r="AG564" s="0" t="str">
        <f aca="false">IF(AA564=1,"",IF(AND(AC564=1,AE564&lt;&gt;1),1,0))</f>
        <v/>
      </c>
      <c r="AH564" s="51" t="str">
        <f aca="false">IF(AND(E564&gt;0,AA564&lt;1,NOT(AND(C565=C564,AA565=AA564+1))),INDEX(DATAS,AA564+1),"")</f>
        <v/>
      </c>
      <c r="AI564" s="51" t="str">
        <f aca="false">IF(AND(AC564=1,AA564&lt;1),IF(AND(C565=C564,AA565=AA564+1),IF(AC565=1,"",INDEX(DATAS,AA564+1)),INDEX(DATAS,AA564+1)),"")</f>
        <v/>
      </c>
    </row>
    <row r="565" customFormat="false" ht="15" hidden="false" customHeight="false" outlineLevel="0" collapsed="false">
      <c r="A565" s="51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46" t="s">
        <v>555</v>
      </c>
      <c r="I565" s="46" t="s">
        <v>157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51" t="n">
        <v>46044</v>
      </c>
      <c r="X565" s="46" t="n">
        <f aca="false">IF(I565="Male",0,1)</f>
        <v>1</v>
      </c>
      <c r="Y565" s="46" t="n">
        <f aca="false">IF(OR(I565="DNB",I565="Dry DNB"),1,0)</f>
        <v>0</v>
      </c>
      <c r="Z565" s="46" t="n">
        <f aca="false">IF(ISNUMBER(W565),A565-W565,"")</f>
        <v>265</v>
      </c>
      <c r="AA565" s="46" t="n">
        <f aca="false">MATCH(A565,DATAS,0)</f>
        <v>1</v>
      </c>
      <c r="AB565" s="46" t="n">
        <f aca="false">IF(AND(E565&gt;0,OR(AND(B565&gt;=1,B565&lt;=6),B565=10)),1,0)</f>
        <v>0</v>
      </c>
      <c r="AC565" s="46" t="n">
        <f aca="false">IF(AND(E565&gt;0,B565=10),1,0)</f>
        <v>0</v>
      </c>
      <c r="AD565" s="0" t="str">
        <f aca="false">IF(AND(C564=C565,AA564=AA565-1),AB564,"")</f>
        <v/>
      </c>
      <c r="AE565" s="0" t="str">
        <f aca="false">IF(AND(C564=C565,AA564=AA565-1),AC564,"")</f>
        <v/>
      </c>
      <c r="AF565" s="0" t="str">
        <f aca="false">IF(AA565=1,"",IF(AND(AB565=1,AD565&lt;&gt;1),1,0))</f>
        <v/>
      </c>
      <c r="AG565" s="0" t="str">
        <f aca="false">IF(AA565=1,"",IF(AND(AC565=1,AE565&lt;&gt;1),1,0))</f>
        <v/>
      </c>
      <c r="AH565" s="51" t="str">
        <f aca="false">IF(AND(E565&gt;0,AA565&lt;1,NOT(AND(C566=C565,AA566=AA565+1))),INDEX(DATAS,AA565+1),"")</f>
        <v/>
      </c>
      <c r="AI565" s="51" t="str">
        <f aca="false">IF(AND(AC565=1,AA565&lt;1),IF(AND(C566=C565,AA566=AA565+1),IF(AC566=1,"",INDEX(DATAS,AA565+1)),INDEX(DATAS,AA565+1)),"")</f>
        <v/>
      </c>
    </row>
    <row r="566" customFormat="false" ht="15" hidden="false" customHeight="false" outlineLevel="0" collapsed="false">
      <c r="A566" s="51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46" t="s">
        <v>555</v>
      </c>
      <c r="I566" s="46" t="s">
        <v>157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51" t="n">
        <v>46037</v>
      </c>
      <c r="X566" s="46" t="n">
        <f aca="false">IF(I566="Male",0,1)</f>
        <v>1</v>
      </c>
      <c r="Y566" s="46" t="n">
        <f aca="false">IF(OR(I566="DNB",I566="Dry DNB"),1,0)</f>
        <v>0</v>
      </c>
      <c r="Z566" s="46" t="n">
        <f aca="false">IF(ISNUMBER(W566),A566-W566,"")</f>
        <v>272</v>
      </c>
      <c r="AA566" s="46" t="n">
        <f aca="false">MATCH(A566,DATAS,0)</f>
        <v>1</v>
      </c>
      <c r="AB566" s="46" t="n">
        <f aca="false">IF(AND(E566&gt;0,OR(AND(B566&gt;=1,B566&lt;=6),B566=10)),1,0)</f>
        <v>0</v>
      </c>
      <c r="AC566" s="46" t="n">
        <f aca="false">IF(AND(E566&gt;0,B566=10),1,0)</f>
        <v>0</v>
      </c>
      <c r="AD566" s="0" t="str">
        <f aca="false">IF(AND(C565=C566,AA565=AA566-1),AB565,"")</f>
        <v/>
      </c>
      <c r="AE566" s="0" t="str">
        <f aca="false">IF(AND(C565=C566,AA565=AA566-1),AC565,"")</f>
        <v/>
      </c>
      <c r="AF566" s="0" t="str">
        <f aca="false">IF(AA566=1,"",IF(AND(AB566=1,AD566&lt;&gt;1),1,0))</f>
        <v/>
      </c>
      <c r="AG566" s="0" t="str">
        <f aca="false">IF(AA566=1,"",IF(AND(AC566=1,AE566&lt;&gt;1),1,0))</f>
        <v/>
      </c>
      <c r="AH566" s="51" t="str">
        <f aca="false">IF(AND(E566&gt;0,AA566&lt;1,NOT(AND(C567=C566,AA567=AA566+1))),INDEX(DATAS,AA566+1),"")</f>
        <v/>
      </c>
      <c r="AI566" s="51" t="str">
        <f aca="false">IF(AND(AC566=1,AA566&lt;1),IF(AND(C567=C566,AA567=AA566+1),IF(AC567=1,"",INDEX(DATAS,AA566+1)),INDEX(DATAS,AA566+1)),"")</f>
        <v/>
      </c>
    </row>
    <row r="567" customFormat="false" ht="15" hidden="false" customHeight="false" outlineLevel="0" collapsed="false">
      <c r="A567" s="51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46" t="s">
        <v>555</v>
      </c>
      <c r="G567" s="0" t="n">
        <v>61.6</v>
      </c>
      <c r="H567" s="0" t="n">
        <v>58</v>
      </c>
      <c r="I567" s="46" t="s">
        <v>181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51" t="n">
        <v>46303</v>
      </c>
      <c r="X567" s="46" t="n">
        <f aca="false">IF(I567="Male",0,1)</f>
        <v>1</v>
      </c>
      <c r="Y567" s="46" t="n">
        <f aca="false">IF(OR(I567="DNB",I567="Dry DNB"),1,0)</f>
        <v>0</v>
      </c>
      <c r="Z567" s="46" t="n">
        <f aca="false">IF(ISNUMBER(W567),A567-W567,"")</f>
        <v>6</v>
      </c>
      <c r="AA567" s="46" t="n">
        <f aca="false">MATCH(A567,DATAS,0)</f>
        <v>1</v>
      </c>
      <c r="AB567" s="46" t="n">
        <f aca="false">IF(AND(E567&gt;0,OR(AND(B567&gt;=1,B567&lt;=6),B567=10)),1,0)</f>
        <v>1</v>
      </c>
      <c r="AC567" s="46" t="n">
        <f aca="false">IF(AND(E567&gt;0,B567=10),1,0)</f>
        <v>0</v>
      </c>
      <c r="AD567" s="0" t="str">
        <f aca="false">IF(AND(C566=C567,AA566=AA567-1),AB566,"")</f>
        <v/>
      </c>
      <c r="AE567" s="0" t="str">
        <f aca="false">IF(AND(C566=C567,AA566=AA567-1),AC566,"")</f>
        <v/>
      </c>
      <c r="AF567" s="0" t="str">
        <f aca="false">IF(AA567=1,"",IF(AND(AB567=1,AD567&lt;&gt;1),1,0))</f>
        <v/>
      </c>
      <c r="AG567" s="0" t="str">
        <f aca="false">IF(AA567=1,"",IF(AND(AC567=1,AE567&lt;&gt;1),1,0))</f>
        <v/>
      </c>
      <c r="AH567" s="51" t="str">
        <f aca="false">IF(AND(E567&gt;0,AA567&lt;1,NOT(AND(C568=C567,AA568=AA567+1))),INDEX(DATAS,AA567+1),"")</f>
        <v/>
      </c>
      <c r="AI567" s="51" t="str">
        <f aca="false">IF(AND(AC567=1,AA567&lt;1),IF(AND(C568=C567,AA568=AA567+1),IF(AC568=1,"",INDEX(DATAS,AA567+1)),INDEX(DATAS,AA567+1)),"")</f>
        <v/>
      </c>
    </row>
    <row r="568" customFormat="false" ht="15" hidden="false" customHeight="false" outlineLevel="0" collapsed="false">
      <c r="A568" s="51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46" t="s">
        <v>555</v>
      </c>
      <c r="G568" s="0" t="n">
        <v>29.2</v>
      </c>
      <c r="H568" s="0" t="n">
        <v>30</v>
      </c>
      <c r="I568" s="46" t="s">
        <v>152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51" t="n">
        <v>46107</v>
      </c>
      <c r="X568" s="46" t="n">
        <f aca="false">IF(I568="Male",0,1)</f>
        <v>1</v>
      </c>
      <c r="Y568" s="46" t="n">
        <f aca="false">IF(OR(I568="DNB",I568="Dry DNB"),1,0)</f>
        <v>0</v>
      </c>
      <c r="Z568" s="46" t="n">
        <f aca="false">IF(ISNUMBER(W568),A568-W568,"")</f>
        <v>202</v>
      </c>
      <c r="AA568" s="46" t="n">
        <f aca="false">MATCH(A568,DATAS,0)</f>
        <v>1</v>
      </c>
      <c r="AB568" s="46" t="n">
        <f aca="false">IF(AND(E568&gt;0,OR(AND(B568&gt;=1,B568&lt;=6),B568=10)),1,0)</f>
        <v>1</v>
      </c>
      <c r="AC568" s="46" t="n">
        <f aca="false">IF(AND(E568&gt;0,B568=10),1,0)</f>
        <v>0</v>
      </c>
      <c r="AD568" s="0" t="str">
        <f aca="false">IF(AND(C567=C568,AA567=AA568-1),AB567,"")</f>
        <v/>
      </c>
      <c r="AE568" s="0" t="str">
        <f aca="false">IF(AND(C567=C568,AA567=AA568-1),AC567,"")</f>
        <v/>
      </c>
      <c r="AF568" s="0" t="str">
        <f aca="false">IF(AA568=1,"",IF(AND(AB568=1,AD568&lt;&gt;1),1,0))</f>
        <v/>
      </c>
      <c r="AG568" s="0" t="str">
        <f aca="false">IF(AA568=1,"",IF(AND(AC568=1,AE568&lt;&gt;1),1,0))</f>
        <v/>
      </c>
      <c r="AH568" s="51" t="str">
        <f aca="false">IF(AND(E568&gt;0,AA568&lt;1,NOT(AND(C569=C568,AA569=AA568+1))),INDEX(DATAS,AA568+1),"")</f>
        <v/>
      </c>
      <c r="AI568" s="51" t="str">
        <f aca="false">IF(AND(AC568=1,AA568&lt;1),IF(AND(C569=C568,AA569=AA568+1),IF(AC569=1,"",INDEX(DATAS,AA568+1)),INDEX(DATAS,AA568+1)),"")</f>
        <v/>
      </c>
    </row>
    <row r="569" customFormat="false" ht="15" hidden="false" customHeight="false" outlineLevel="0" collapsed="false">
      <c r="A569" s="51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46" t="s">
        <v>555</v>
      </c>
      <c r="G569" s="0" t="n">
        <v>53.5</v>
      </c>
      <c r="H569" s="0" t="n">
        <v>51</v>
      </c>
      <c r="I569" s="46" t="s">
        <v>161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X569" s="46" t="n">
        <f aca="false">IF(I569="Male",0,1)</f>
        <v>1</v>
      </c>
      <c r="Y569" s="46" t="n">
        <f aca="false">IF(OR(I569="DNB",I569="Dry DNB"),1,0)</f>
        <v>0</v>
      </c>
      <c r="Z569" s="0" t="str">
        <f aca="false">IF(ISNUMBER(W569),A569-W569,"")</f>
        <v/>
      </c>
      <c r="AA569" s="46" t="n">
        <f aca="false">MATCH(A569,DATAS,0)</f>
        <v>1</v>
      </c>
      <c r="AB569" s="46" t="n">
        <f aca="false">IF(AND(E569&gt;0,OR(AND(B569&gt;=1,B569&lt;=6),B569=10)),1,0)</f>
        <v>1</v>
      </c>
      <c r="AC569" s="46" t="n">
        <f aca="false">IF(AND(E569&gt;0,B569=10),1,0)</f>
        <v>0</v>
      </c>
      <c r="AD569" s="0" t="str">
        <f aca="false">IF(AND(C568=C569,AA568=AA569-1),AB568,"")</f>
        <v/>
      </c>
      <c r="AE569" s="0" t="str">
        <f aca="false">IF(AND(C568=C569,AA568=AA569-1),AC568,"")</f>
        <v/>
      </c>
      <c r="AF569" s="0" t="str">
        <f aca="false">IF(AA569=1,"",IF(AND(AB569=1,AD569&lt;&gt;1),1,0))</f>
        <v/>
      </c>
      <c r="AG569" s="0" t="str">
        <f aca="false">IF(AA569=1,"",IF(AND(AC569=1,AE569&lt;&gt;1),1,0))</f>
        <v/>
      </c>
      <c r="AH569" s="51" t="str">
        <f aca="false">IF(AND(E569&gt;0,AA569&lt;1,NOT(AND(C570=C569,AA570=AA569+1))),INDEX(DATAS,AA569+1),"")</f>
        <v/>
      </c>
      <c r="AI569" s="51" t="str">
        <f aca="false">IF(AND(AC569=1,AA569&lt;1),IF(AND(C570=C569,AA570=AA569+1),IF(AC570=1,"",INDEX(DATAS,AA569+1)),INDEX(DATAS,AA569+1)),"")</f>
        <v/>
      </c>
    </row>
    <row r="570" customFormat="false" ht="15" hidden="false" customHeight="false" outlineLevel="0" collapsed="false">
      <c r="A570" s="51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46" t="s">
        <v>556</v>
      </c>
      <c r="G570" s="0" t="n">
        <v>40.4</v>
      </c>
      <c r="H570" s="0" t="n">
        <v>45</v>
      </c>
      <c r="I570" s="46" t="s">
        <v>152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51" t="n">
        <v>46114</v>
      </c>
      <c r="X570" s="46" t="n">
        <f aca="false">IF(I570="Male",0,1)</f>
        <v>1</v>
      </c>
      <c r="Y570" s="46" t="n">
        <f aca="false">IF(OR(I570="DNB",I570="Dry DNB"),1,0)</f>
        <v>0</v>
      </c>
      <c r="Z570" s="46" t="n">
        <f aca="false">IF(ISNUMBER(W570),A570-W570,"")</f>
        <v>195</v>
      </c>
      <c r="AA570" s="46" t="n">
        <f aca="false">MATCH(A570,DATAS,0)</f>
        <v>1</v>
      </c>
      <c r="AB570" s="46" t="n">
        <f aca="false">IF(AND(E570&gt;0,OR(AND(B570&gt;=1,B570&lt;=6),B570=10)),1,0)</f>
        <v>1</v>
      </c>
      <c r="AC570" s="46" t="n">
        <f aca="false">IF(AND(E570&gt;0,B570=10),1,0)</f>
        <v>0</v>
      </c>
      <c r="AD570" s="0" t="str">
        <f aca="false">IF(AND(C569=C570,AA569=AA570-1),AB569,"")</f>
        <v/>
      </c>
      <c r="AE570" s="0" t="str">
        <f aca="false">IF(AND(C569=C570,AA569=AA570-1),AC569,"")</f>
        <v/>
      </c>
      <c r="AF570" s="0" t="str">
        <f aca="false">IF(AA570=1,"",IF(AND(AB570=1,AD570&lt;&gt;1),1,0))</f>
        <v/>
      </c>
      <c r="AG570" s="0" t="str">
        <f aca="false">IF(AA570=1,"",IF(AND(AC570=1,AE570&lt;&gt;1),1,0))</f>
        <v/>
      </c>
      <c r="AH570" s="51" t="str">
        <f aca="false">IF(AND(E570&gt;0,AA570&lt;1,NOT(AND(C571=C570,AA571=AA570+1))),INDEX(DATAS,AA570+1),"")</f>
        <v/>
      </c>
      <c r="AI570" s="51" t="str">
        <f aca="false">IF(AND(AC570=1,AA570&lt;1),IF(AND(C571=C570,AA571=AA570+1),IF(AC571=1,"",INDEX(DATAS,AA570+1)),INDEX(DATAS,AA570+1)),"")</f>
        <v/>
      </c>
    </row>
    <row r="571" customFormat="false" ht="15" hidden="false" customHeight="false" outlineLevel="0" collapsed="false">
      <c r="A571" s="51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46" t="s">
        <v>557</v>
      </c>
      <c r="G571" s="0" t="n">
        <v>56.2</v>
      </c>
      <c r="H571" s="0" t="n">
        <v>58</v>
      </c>
      <c r="I571" s="46" t="s">
        <v>161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X571" s="46" t="n">
        <f aca="false">IF(I571="Male",0,1)</f>
        <v>1</v>
      </c>
      <c r="Y571" s="46" t="n">
        <f aca="false">IF(OR(I571="DNB",I571="Dry DNB"),1,0)</f>
        <v>0</v>
      </c>
      <c r="Z571" s="0" t="str">
        <f aca="false">IF(ISNUMBER(W571),A571-W571,"")</f>
        <v/>
      </c>
      <c r="AA571" s="46" t="n">
        <f aca="false">MATCH(A571,DATAS,0)</f>
        <v>1</v>
      </c>
      <c r="AB571" s="46" t="n">
        <f aca="false">IF(AND(E571&gt;0,OR(AND(B571&gt;=1,B571&lt;=6),B571=10)),1,0)</f>
        <v>1</v>
      </c>
      <c r="AC571" s="46" t="n">
        <f aca="false">IF(AND(E571&gt;0,B571=10),1,0)</f>
        <v>0</v>
      </c>
      <c r="AD571" s="0" t="str">
        <f aca="false">IF(AND(C570=C571,AA570=AA571-1),AB570,"")</f>
        <v/>
      </c>
      <c r="AE571" s="0" t="str">
        <f aca="false">IF(AND(C570=C571,AA570=AA571-1),AC570,"")</f>
        <v/>
      </c>
      <c r="AF571" s="0" t="str">
        <f aca="false">IF(AA571=1,"",IF(AND(AB571=1,AD571&lt;&gt;1),1,0))</f>
        <v/>
      </c>
      <c r="AG571" s="0" t="str">
        <f aca="false">IF(AA571=1,"",IF(AND(AC571=1,AE571&lt;&gt;1),1,0))</f>
        <v/>
      </c>
      <c r="AH571" s="51" t="str">
        <f aca="false">IF(AND(E571&gt;0,AA571&lt;1,NOT(AND(C572=C571,AA572=AA571+1))),INDEX(DATAS,AA571+1),"")</f>
        <v/>
      </c>
      <c r="AI571" s="51" t="str">
        <f aca="false">IF(AND(AC571=1,AA571&lt;1),IF(AND(C572=C571,AA572=AA571+1),IF(AC572=1,"",INDEX(DATAS,AA571+1)),INDEX(DATAS,AA571+1)),"")</f>
        <v/>
      </c>
    </row>
    <row r="572" customFormat="false" ht="15" hidden="false" customHeight="false" outlineLevel="0" collapsed="false">
      <c r="A572" s="51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46" t="s">
        <v>557</v>
      </c>
      <c r="G572" s="0" t="n">
        <v>77.2</v>
      </c>
      <c r="H572" s="0" t="n">
        <v>74</v>
      </c>
      <c r="I572" s="46" t="s">
        <v>181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51" t="n">
        <v>46289</v>
      </c>
      <c r="X572" s="46" t="n">
        <f aca="false">IF(I572="Male",0,1)</f>
        <v>1</v>
      </c>
      <c r="Y572" s="46" t="n">
        <f aca="false">IF(OR(I572="DNB",I572="Dry DNB"),1,0)</f>
        <v>0</v>
      </c>
      <c r="Z572" s="46" t="n">
        <f aca="false">IF(ISNUMBER(W572),A572-W572,"")</f>
        <v>20</v>
      </c>
      <c r="AA572" s="46" t="n">
        <f aca="false">MATCH(A572,DATAS,0)</f>
        <v>1</v>
      </c>
      <c r="AB572" s="46" t="n">
        <f aca="false">IF(AND(E572&gt;0,OR(AND(B572&gt;=1,B572&lt;=6),B572=10)),1,0)</f>
        <v>1</v>
      </c>
      <c r="AC572" s="46" t="n">
        <f aca="false">IF(AND(E572&gt;0,B572=10),1,0)</f>
        <v>0</v>
      </c>
      <c r="AD572" s="0" t="str">
        <f aca="false">IF(AND(C571=C572,AA571=AA572-1),AB571,"")</f>
        <v/>
      </c>
      <c r="AE572" s="0" t="str">
        <f aca="false">IF(AND(C571=C572,AA571=AA572-1),AC571,"")</f>
        <v/>
      </c>
      <c r="AF572" s="0" t="str">
        <f aca="false">IF(AA572=1,"",IF(AND(AB572=1,AD572&lt;&gt;1),1,0))</f>
        <v/>
      </c>
      <c r="AG572" s="0" t="str">
        <f aca="false">IF(AA572=1,"",IF(AND(AC572=1,AE572&lt;&gt;1),1,0))</f>
        <v/>
      </c>
      <c r="AH572" s="51" t="str">
        <f aca="false">IF(AND(E572&gt;0,AA572&lt;1,NOT(AND(C573=C572,AA573=AA572+1))),INDEX(DATAS,AA572+1),"")</f>
        <v/>
      </c>
      <c r="AI572" s="51" t="str">
        <f aca="false">IF(AND(AC572=1,AA572&lt;1),IF(AND(C573=C572,AA573=AA572+1),IF(AC573=1,"",INDEX(DATAS,AA572+1)),INDEX(DATAS,AA572+1)),"")</f>
        <v/>
      </c>
    </row>
    <row r="573" customFormat="false" ht="15" hidden="false" customHeight="false" outlineLevel="0" collapsed="false">
      <c r="A573" s="51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46" t="s">
        <v>558</v>
      </c>
      <c r="G573" s="0" t="n">
        <v>47.7</v>
      </c>
      <c r="H573" s="0" t="n">
        <v>42</v>
      </c>
      <c r="I573" s="46" t="s">
        <v>161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X573" s="46" t="n">
        <f aca="false">IF(I573="Male",0,1)</f>
        <v>1</v>
      </c>
      <c r="Y573" s="46" t="n">
        <f aca="false">IF(OR(I573="DNB",I573="Dry DNB"),1,0)</f>
        <v>0</v>
      </c>
      <c r="Z573" s="0" t="str">
        <f aca="false">IF(ISNUMBER(W573),A573-W573,"")</f>
        <v/>
      </c>
      <c r="AA573" s="46" t="n">
        <f aca="false">MATCH(A573,DATAS,0)</f>
        <v>1</v>
      </c>
      <c r="AB573" s="46" t="n">
        <f aca="false">IF(AND(E573&gt;0,OR(AND(B573&gt;=1,B573&lt;=6),B573=10)),1,0)</f>
        <v>1</v>
      </c>
      <c r="AC573" s="46" t="n">
        <f aca="false">IF(AND(E573&gt;0,B573=10),1,0)</f>
        <v>0</v>
      </c>
      <c r="AD573" s="0" t="str">
        <f aca="false">IF(AND(C572=C573,AA572=AA573-1),AB572,"")</f>
        <v/>
      </c>
      <c r="AE573" s="0" t="str">
        <f aca="false">IF(AND(C572=C573,AA572=AA573-1),AC572,"")</f>
        <v/>
      </c>
      <c r="AF573" s="0" t="str">
        <f aca="false">IF(AA573=1,"",IF(AND(AB573=1,AD573&lt;&gt;1),1,0))</f>
        <v/>
      </c>
      <c r="AG573" s="0" t="str">
        <f aca="false">IF(AA573=1,"",IF(AND(AC573=1,AE573&lt;&gt;1),1,0))</f>
        <v/>
      </c>
      <c r="AH573" s="51" t="str">
        <f aca="false">IF(AND(E573&gt;0,AA573&lt;1,NOT(AND(C574=C573,AA574=AA573+1))),INDEX(DATAS,AA573+1),"")</f>
        <v/>
      </c>
      <c r="AI573" s="51" t="str">
        <f aca="false">IF(AND(AC573=1,AA573&lt;1),IF(AND(C574=C573,AA574=AA573+1),IF(AC574=1,"",INDEX(DATAS,AA573+1)),INDEX(DATAS,AA573+1)),"")</f>
        <v/>
      </c>
    </row>
    <row r="574" customFormat="false" ht="15" hidden="false" customHeight="false" outlineLevel="0" collapsed="false">
      <c r="A574" s="51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46" t="s">
        <v>558</v>
      </c>
      <c r="G574" s="0" t="n">
        <v>44.3</v>
      </c>
      <c r="H574" s="0" t="n">
        <v>46</v>
      </c>
      <c r="I574" s="46" t="s">
        <v>152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51" t="n">
        <v>46114</v>
      </c>
      <c r="X574" s="46" t="n">
        <f aca="false">IF(I574="Male",0,1)</f>
        <v>1</v>
      </c>
      <c r="Y574" s="46" t="n">
        <f aca="false">IF(OR(I574="DNB",I574="Dry DNB"),1,0)</f>
        <v>0</v>
      </c>
      <c r="Z574" s="46" t="n">
        <f aca="false">IF(ISNUMBER(W574),A574-W574,"")</f>
        <v>195</v>
      </c>
      <c r="AA574" s="46" t="n">
        <f aca="false">MATCH(A574,DATAS,0)</f>
        <v>1</v>
      </c>
      <c r="AB574" s="46" t="n">
        <f aca="false">IF(AND(E574&gt;0,OR(AND(B574&gt;=1,B574&lt;=6),B574=10)),1,0)</f>
        <v>1</v>
      </c>
      <c r="AC574" s="46" t="n">
        <f aca="false">IF(AND(E574&gt;0,B574=10),1,0)</f>
        <v>0</v>
      </c>
      <c r="AD574" s="0" t="str">
        <f aca="false">IF(AND(C573=C574,AA573=AA574-1),AB573,"")</f>
        <v/>
      </c>
      <c r="AE574" s="0" t="str">
        <f aca="false">IF(AND(C573=C574,AA573=AA574-1),AC573,"")</f>
        <v/>
      </c>
      <c r="AF574" s="0" t="str">
        <f aca="false">IF(AA574=1,"",IF(AND(AB574=1,AD574&lt;&gt;1),1,0))</f>
        <v/>
      </c>
      <c r="AG574" s="0" t="str">
        <f aca="false">IF(AA574=1,"",IF(AND(AC574=1,AE574&lt;&gt;1),1,0))</f>
        <v/>
      </c>
      <c r="AH574" s="51" t="str">
        <f aca="false">IF(AND(E574&gt;0,AA574&lt;1,NOT(AND(C575=C574,AA575=AA574+1))),INDEX(DATAS,AA574+1),"")</f>
        <v/>
      </c>
      <c r="AI574" s="51" t="str">
        <f aca="false">IF(AND(AC574=1,AA574&lt;1),IF(AND(C575=C574,AA575=AA574+1),IF(AC575=1,"",INDEX(DATAS,AA574+1)),INDEX(DATAS,AA574+1)),"")</f>
        <v/>
      </c>
    </row>
    <row r="575" customFormat="false" ht="15" hidden="false" customHeight="false" outlineLevel="0" collapsed="false">
      <c r="A575" s="51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46" t="s">
        <v>559</v>
      </c>
      <c r="G575" s="0" t="n">
        <v>29</v>
      </c>
      <c r="H575" s="0" t="n">
        <v>29</v>
      </c>
      <c r="I575" s="46" t="s">
        <v>189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51" t="n">
        <v>46275</v>
      </c>
      <c r="X575" s="46" t="n">
        <f aca="false">IF(I575="Male",0,1)</f>
        <v>1</v>
      </c>
      <c r="Y575" s="46" t="n">
        <f aca="false">IF(OR(I575="DNB",I575="Dry DNB"),1,0)</f>
        <v>0</v>
      </c>
      <c r="Z575" s="46" t="n">
        <f aca="false">IF(ISNUMBER(W575),A575-W575,"")</f>
        <v>34</v>
      </c>
      <c r="AA575" s="46" t="n">
        <f aca="false">MATCH(A575,DATAS,0)</f>
        <v>1</v>
      </c>
      <c r="AB575" s="46" t="n">
        <f aca="false">IF(AND(E575&gt;0,OR(AND(B575&gt;=1,B575&lt;=6),B575=10)),1,0)</f>
        <v>1</v>
      </c>
      <c r="AC575" s="46" t="n">
        <f aca="false">IF(AND(E575&gt;0,B575=10),1,0)</f>
        <v>0</v>
      </c>
      <c r="AD575" s="0" t="str">
        <f aca="false">IF(AND(C574=C575,AA574=AA575-1),AB574,"")</f>
        <v/>
      </c>
      <c r="AE575" s="0" t="str">
        <f aca="false">IF(AND(C574=C575,AA574=AA575-1),AC574,"")</f>
        <v/>
      </c>
      <c r="AF575" s="0" t="str">
        <f aca="false">IF(AA575=1,"",IF(AND(AB575=1,AD575&lt;&gt;1),1,0))</f>
        <v/>
      </c>
      <c r="AG575" s="0" t="str">
        <f aca="false">IF(AA575=1,"",IF(AND(AC575=1,AE575&lt;&gt;1),1,0))</f>
        <v/>
      </c>
      <c r="AH575" s="51" t="str">
        <f aca="false">IF(AND(E575&gt;0,AA575&lt;1,NOT(AND(C576=C575,AA576=AA575+1))),INDEX(DATAS,AA575+1),"")</f>
        <v/>
      </c>
      <c r="AI575" s="51" t="str">
        <f aca="false">IF(AND(AC575=1,AA575&lt;1),IF(AND(C576=C575,AA576=AA575+1),IF(AC576=1,"",INDEX(DATAS,AA575+1)),INDEX(DATAS,AA575+1)),"")</f>
        <v/>
      </c>
    </row>
    <row r="576" customFormat="false" ht="15" hidden="false" customHeight="false" outlineLevel="0" collapsed="false">
      <c r="A576" s="51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46" t="s">
        <v>559</v>
      </c>
      <c r="G576" s="0" t="n">
        <v>48.6</v>
      </c>
      <c r="H576" s="0" t="n">
        <v>52</v>
      </c>
      <c r="I576" s="46" t="s">
        <v>152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51" t="n">
        <v>46255</v>
      </c>
      <c r="X576" s="46" t="n">
        <f aca="false">IF(I576="Male",0,1)</f>
        <v>1</v>
      </c>
      <c r="Y576" s="46" t="n">
        <f aca="false">IF(OR(I576="DNB",I576="Dry DNB"),1,0)</f>
        <v>0</v>
      </c>
      <c r="Z576" s="46" t="n">
        <f aca="false">IF(ISNUMBER(W576),A576-W576,"")</f>
        <v>54</v>
      </c>
      <c r="AA576" s="46" t="n">
        <f aca="false">MATCH(A576,DATAS,0)</f>
        <v>1</v>
      </c>
      <c r="AB576" s="46" t="n">
        <f aca="false">IF(AND(E576&gt;0,OR(AND(B576&gt;=1,B576&lt;=6),B576=10)),1,0)</f>
        <v>1</v>
      </c>
      <c r="AC576" s="46" t="n">
        <f aca="false">IF(AND(E576&gt;0,B576=10),1,0)</f>
        <v>0</v>
      </c>
      <c r="AD576" s="0" t="str">
        <f aca="false">IF(AND(C575=C576,AA575=AA576-1),AB575,"")</f>
        <v/>
      </c>
      <c r="AE576" s="0" t="str">
        <f aca="false">IF(AND(C575=C576,AA575=AA576-1),AC575,"")</f>
        <v/>
      </c>
      <c r="AF576" s="0" t="str">
        <f aca="false">IF(AA576=1,"",IF(AND(AB576=1,AD576&lt;&gt;1),1,0))</f>
        <v/>
      </c>
      <c r="AG576" s="0" t="str">
        <f aca="false">IF(AA576=1,"",IF(AND(AC576=1,AE576&lt;&gt;1),1,0))</f>
        <v/>
      </c>
      <c r="AH576" s="51" t="str">
        <f aca="false">IF(AND(E576&gt;0,AA576&lt;1,NOT(AND(C577=C576,AA577=AA576+1))),INDEX(DATAS,AA576+1),"")</f>
        <v/>
      </c>
      <c r="AI576" s="51" t="str">
        <f aca="false">IF(AND(AC576=1,AA576&lt;1),IF(AND(C577=C576,AA577=AA576+1),IF(AC577=1,"",INDEX(DATAS,AA576+1)),INDEX(DATAS,AA576+1)),"")</f>
        <v/>
      </c>
    </row>
    <row r="577" customFormat="false" ht="15" hidden="false" customHeight="false" outlineLevel="0" collapsed="false">
      <c r="A577" s="51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46" t="s">
        <v>559</v>
      </c>
      <c r="G577" s="0" t="n">
        <v>34.9</v>
      </c>
      <c r="H577" s="0" t="n">
        <v>29</v>
      </c>
      <c r="I577" s="46" t="s">
        <v>152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51" t="n">
        <v>46107</v>
      </c>
      <c r="X577" s="46" t="n">
        <f aca="false">IF(I577="Male",0,1)</f>
        <v>1</v>
      </c>
      <c r="Y577" s="46" t="n">
        <f aca="false">IF(OR(I577="DNB",I577="Dry DNB"),1,0)</f>
        <v>0</v>
      </c>
      <c r="Z577" s="46" t="n">
        <f aca="false">IF(ISNUMBER(W577),A577-W577,"")</f>
        <v>202</v>
      </c>
      <c r="AA577" s="46" t="n">
        <f aca="false">MATCH(A577,DATAS,0)</f>
        <v>1</v>
      </c>
      <c r="AB577" s="46" t="n">
        <f aca="false">IF(AND(E577&gt;0,OR(AND(B577&gt;=1,B577&lt;=6),B577=10)),1,0)</f>
        <v>1</v>
      </c>
      <c r="AC577" s="46" t="n">
        <f aca="false">IF(AND(E577&gt;0,B577=10),1,0)</f>
        <v>0</v>
      </c>
      <c r="AD577" s="0" t="str">
        <f aca="false">IF(AND(C576=C577,AA576=AA577-1),AB576,"")</f>
        <v/>
      </c>
      <c r="AE577" s="0" t="str">
        <f aca="false">IF(AND(C576=C577,AA576=AA577-1),AC576,"")</f>
        <v/>
      </c>
      <c r="AF577" s="0" t="str">
        <f aca="false">IF(AA577=1,"",IF(AND(AB577=1,AD577&lt;&gt;1),1,0))</f>
        <v/>
      </c>
      <c r="AG577" s="0" t="str">
        <f aca="false">IF(AA577=1,"",IF(AND(AC577=1,AE577&lt;&gt;1),1,0))</f>
        <v/>
      </c>
      <c r="AH577" s="51" t="str">
        <f aca="false">IF(AND(E577&gt;0,AA577&lt;1,NOT(AND(C578=C577,AA578=AA577+1))),INDEX(DATAS,AA577+1),"")</f>
        <v/>
      </c>
      <c r="AI577" s="51" t="str">
        <f aca="false">IF(AND(AC577=1,AA577&lt;1),IF(AND(C578=C577,AA578=AA577+1),IF(AC578=1,"",INDEX(DATAS,AA577+1)),INDEX(DATAS,AA577+1)),"")</f>
        <v/>
      </c>
    </row>
    <row r="578" customFormat="false" ht="15" hidden="false" customHeight="false" outlineLevel="0" collapsed="false">
      <c r="A578" s="51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46" t="s">
        <v>559</v>
      </c>
      <c r="G578" s="0" t="n">
        <v>59</v>
      </c>
      <c r="H578" s="0" t="n">
        <v>57</v>
      </c>
      <c r="I578" s="46" t="s">
        <v>161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X578" s="46" t="n">
        <f aca="false">IF(I578="Male",0,1)</f>
        <v>1</v>
      </c>
      <c r="Y578" s="46" t="n">
        <f aca="false">IF(OR(I578="DNB",I578="Dry DNB"),1,0)</f>
        <v>0</v>
      </c>
      <c r="Z578" s="0" t="str">
        <f aca="false">IF(ISNUMBER(W578),A578-W578,"")</f>
        <v/>
      </c>
      <c r="AA578" s="46" t="n">
        <f aca="false">MATCH(A578,DATAS,0)</f>
        <v>1</v>
      </c>
      <c r="AB578" s="46" t="n">
        <f aca="false">IF(AND(E578&gt;0,OR(AND(B578&gt;=1,B578&lt;=6),B578=10)),1,0)</f>
        <v>1</v>
      </c>
      <c r="AC578" s="46" t="n">
        <f aca="false">IF(AND(E578&gt;0,B578=10),1,0)</f>
        <v>0</v>
      </c>
      <c r="AD578" s="0" t="str">
        <f aca="false">IF(AND(C577=C578,AA577=AA578-1),AB577,"")</f>
        <v/>
      </c>
      <c r="AE578" s="0" t="str">
        <f aca="false">IF(AND(C577=C578,AA577=AA578-1),AC577,"")</f>
        <v/>
      </c>
      <c r="AF578" s="0" t="str">
        <f aca="false">IF(AA578=1,"",IF(AND(AB578=1,AD578&lt;&gt;1),1,0))</f>
        <v/>
      </c>
      <c r="AG578" s="0" t="str">
        <f aca="false">IF(AA578=1,"",IF(AND(AC578=1,AE578&lt;&gt;1),1,0))</f>
        <v/>
      </c>
      <c r="AH578" s="51" t="str">
        <f aca="false">IF(AND(E578&gt;0,AA578&lt;1,NOT(AND(C579=C578,AA579=AA578+1))),INDEX(DATAS,AA578+1),"")</f>
        <v/>
      </c>
      <c r="AI578" s="51" t="str">
        <f aca="false">IF(AND(AC578=1,AA578&lt;1),IF(AND(C579=C578,AA579=AA578+1),IF(AC579=1,"",INDEX(DATAS,AA578+1)),INDEX(DATAS,AA578+1)),"")</f>
        <v/>
      </c>
    </row>
    <row r="579" customFormat="false" ht="15" hidden="false" customHeight="false" outlineLevel="0" collapsed="false">
      <c r="A579" s="51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46" t="s">
        <v>560</v>
      </c>
      <c r="G579" s="0" t="n">
        <v>30.8</v>
      </c>
      <c r="H579" s="0" t="n">
        <v>28</v>
      </c>
      <c r="I579" s="46" t="s">
        <v>138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51" t="n">
        <v>46277</v>
      </c>
      <c r="X579" s="46" t="n">
        <f aca="false">IF(I579="Male",0,1)</f>
        <v>1</v>
      </c>
      <c r="Y579" s="46" t="n">
        <f aca="false">IF(OR(I579="DNB",I579="Dry DNB"),1,0)</f>
        <v>1</v>
      </c>
      <c r="Z579" s="46" t="n">
        <f aca="false">IF(ISNUMBER(W579),A579-W579,"")</f>
        <v>32</v>
      </c>
      <c r="AA579" s="46" t="n">
        <f aca="false">MATCH(A579,DATAS,0)</f>
        <v>1</v>
      </c>
      <c r="AB579" s="46" t="n">
        <f aca="false">IF(AND(E579&gt;0,OR(AND(B579&gt;=1,B579&lt;=6),B579=10)),1,0)</f>
        <v>1</v>
      </c>
      <c r="AC579" s="46" t="n">
        <f aca="false">IF(AND(E579&gt;0,B579=10),1,0)</f>
        <v>0</v>
      </c>
      <c r="AD579" s="0" t="str">
        <f aca="false">IF(AND(C578=C579,AA578=AA579-1),AB578,"")</f>
        <v/>
      </c>
      <c r="AE579" s="0" t="str">
        <f aca="false">IF(AND(C578=C579,AA578=AA579-1),AC578,"")</f>
        <v/>
      </c>
      <c r="AF579" s="0" t="str">
        <f aca="false">IF(AA579=1,"",IF(AND(AB579=1,AD579&lt;&gt;1),1,0))</f>
        <v/>
      </c>
      <c r="AG579" s="0" t="str">
        <f aca="false">IF(AA579=1,"",IF(AND(AC579=1,AE579&lt;&gt;1),1,0))</f>
        <v/>
      </c>
      <c r="AH579" s="51" t="str">
        <f aca="false">IF(AND(E579&gt;0,AA579&lt;1,NOT(AND(C580=C579,AA580=AA579+1))),INDEX(DATAS,AA579+1),"")</f>
        <v/>
      </c>
      <c r="AI579" s="51" t="str">
        <f aca="false">IF(AND(AC579=1,AA579&lt;1),IF(AND(C580=C579,AA580=AA579+1),IF(AC580=1,"",INDEX(DATAS,AA579+1)),INDEX(DATAS,AA579+1)),"")</f>
        <v/>
      </c>
    </row>
    <row r="580" customFormat="false" ht="15" hidden="false" customHeight="false" outlineLevel="0" collapsed="false">
      <c r="A580" s="51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46" t="s">
        <v>560</v>
      </c>
      <c r="I580" s="46" t="s">
        <v>157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51" t="n">
        <v>46065</v>
      </c>
      <c r="X580" s="46" t="n">
        <f aca="false">IF(I580="Male",0,1)</f>
        <v>1</v>
      </c>
      <c r="Y580" s="46" t="n">
        <f aca="false">IF(OR(I580="DNB",I580="Dry DNB"),1,0)</f>
        <v>0</v>
      </c>
      <c r="Z580" s="46" t="n">
        <f aca="false">IF(ISNUMBER(W580),A580-W580,"")</f>
        <v>244</v>
      </c>
      <c r="AA580" s="46" t="n">
        <f aca="false">MATCH(A580,DATAS,0)</f>
        <v>1</v>
      </c>
      <c r="AB580" s="46" t="n">
        <f aca="false">IF(AND(E580&gt;0,OR(AND(B580&gt;=1,B580&lt;=6),B580=10)),1,0)</f>
        <v>0</v>
      </c>
      <c r="AC580" s="46" t="n">
        <f aca="false">IF(AND(E580&gt;0,B580=10),1,0)</f>
        <v>0</v>
      </c>
      <c r="AD580" s="0" t="str">
        <f aca="false">IF(AND(C579=C580,AA579=AA580-1),AB579,"")</f>
        <v/>
      </c>
      <c r="AE580" s="0" t="str">
        <f aca="false">IF(AND(C579=C580,AA579=AA580-1),AC579,"")</f>
        <v/>
      </c>
      <c r="AF580" s="0" t="str">
        <f aca="false">IF(AA580=1,"",IF(AND(AB580=1,AD580&lt;&gt;1),1,0))</f>
        <v/>
      </c>
      <c r="AG580" s="0" t="str">
        <f aca="false">IF(AA580=1,"",IF(AND(AC580=1,AE580&lt;&gt;1),1,0))</f>
        <v/>
      </c>
      <c r="AH580" s="51" t="str">
        <f aca="false">IF(AND(E580&gt;0,AA580&lt;1,NOT(AND(C581=C580,AA581=AA580+1))),INDEX(DATAS,AA580+1),"")</f>
        <v/>
      </c>
      <c r="AI580" s="51" t="str">
        <f aca="false">IF(AND(AC580=1,AA580&lt;1),IF(AND(C581=C580,AA581=AA580+1),IF(AC581=1,"",INDEX(DATAS,AA580+1)),INDEX(DATAS,AA580+1)),"")</f>
        <v/>
      </c>
    </row>
    <row r="581" customFormat="false" ht="15" hidden="false" customHeight="false" outlineLevel="0" collapsed="false">
      <c r="A581" s="51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46" t="s">
        <v>560</v>
      </c>
      <c r="G581" s="0" t="n">
        <v>51.4</v>
      </c>
      <c r="H581" s="0" t="n">
        <v>47</v>
      </c>
      <c r="I581" s="46" t="s">
        <v>161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X581" s="46" t="n">
        <f aca="false">IF(I581="Male",0,1)</f>
        <v>1</v>
      </c>
      <c r="Y581" s="46" t="n">
        <f aca="false">IF(OR(I581="DNB",I581="Dry DNB"),1,0)</f>
        <v>0</v>
      </c>
      <c r="Z581" s="0" t="str">
        <f aca="false">IF(ISNUMBER(W581),A581-W581,"")</f>
        <v/>
      </c>
      <c r="AA581" s="46" t="n">
        <f aca="false">MATCH(A581,DATAS,0)</f>
        <v>1</v>
      </c>
      <c r="AB581" s="46" t="n">
        <f aca="false">IF(AND(E581&gt;0,OR(AND(B581&gt;=1,B581&lt;=6),B581=10)),1,0)</f>
        <v>1</v>
      </c>
      <c r="AC581" s="46" t="n">
        <f aca="false">IF(AND(E581&gt;0,B581=10),1,0)</f>
        <v>0</v>
      </c>
      <c r="AD581" s="0" t="str">
        <f aca="false">IF(AND(C580=C581,AA580=AA581-1),AB580,"")</f>
        <v/>
      </c>
      <c r="AE581" s="0" t="str">
        <f aca="false">IF(AND(C580=C581,AA580=AA581-1),AC580,"")</f>
        <v/>
      </c>
      <c r="AF581" s="0" t="str">
        <f aca="false">IF(AA581=1,"",IF(AND(AB581=1,AD581&lt;&gt;1),1,0))</f>
        <v/>
      </c>
      <c r="AG581" s="0" t="str">
        <f aca="false">IF(AA581=1,"",IF(AND(AC581=1,AE581&lt;&gt;1),1,0))</f>
        <v/>
      </c>
      <c r="AH581" s="51" t="str">
        <f aca="false">IF(AND(E581&gt;0,AA581&lt;1,NOT(AND(C582=C581,AA582=AA581+1))),INDEX(DATAS,AA581+1),"")</f>
        <v/>
      </c>
      <c r="AI581" s="51" t="str">
        <f aca="false">IF(AND(AC581=1,AA581&lt;1),IF(AND(C582=C581,AA582=AA581+1),IF(AC582=1,"",INDEX(DATAS,AA581+1)),INDEX(DATAS,AA581+1)),"")</f>
        <v/>
      </c>
    </row>
    <row r="582" customFormat="false" ht="15" hidden="false" customHeight="false" outlineLevel="0" collapsed="false">
      <c r="A582" s="51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46" t="s">
        <v>561</v>
      </c>
      <c r="G582" s="0" t="n">
        <v>56.9</v>
      </c>
      <c r="H582" s="0" t="n">
        <v>56</v>
      </c>
      <c r="I582" s="46" t="s">
        <v>152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51" t="n">
        <v>46144</v>
      </c>
      <c r="X582" s="46" t="n">
        <f aca="false">IF(I582="Male",0,1)</f>
        <v>1</v>
      </c>
      <c r="Y582" s="46" t="n">
        <f aca="false">IF(OR(I582="DNB",I582="Dry DNB"),1,0)</f>
        <v>0</v>
      </c>
      <c r="Z582" s="46" t="n">
        <f aca="false">IF(ISNUMBER(W582),A582-W582,"")</f>
        <v>165</v>
      </c>
      <c r="AA582" s="46" t="n">
        <f aca="false">MATCH(A582,DATAS,0)</f>
        <v>1</v>
      </c>
      <c r="AB582" s="46" t="n">
        <f aca="false">IF(AND(E582&gt;0,OR(AND(B582&gt;=1,B582&lt;=6),B582=10)),1,0)</f>
        <v>1</v>
      </c>
      <c r="AC582" s="46" t="n">
        <f aca="false">IF(AND(E582&gt;0,B582=10),1,0)</f>
        <v>0</v>
      </c>
      <c r="AD582" s="0" t="str">
        <f aca="false">IF(AND(C581=C582,AA581=AA582-1),AB581,"")</f>
        <v/>
      </c>
      <c r="AE582" s="0" t="str">
        <f aca="false">IF(AND(C581=C582,AA581=AA582-1),AC581,"")</f>
        <v/>
      </c>
      <c r="AF582" s="0" t="str">
        <f aca="false">IF(AA582=1,"",IF(AND(AB582=1,AD582&lt;&gt;1),1,0))</f>
        <v/>
      </c>
      <c r="AG582" s="0" t="str">
        <f aca="false">IF(AA582=1,"",IF(AND(AC582=1,AE582&lt;&gt;1),1,0))</f>
        <v/>
      </c>
      <c r="AH582" s="51" t="str">
        <f aca="false">IF(AND(E582&gt;0,AA582&lt;1,NOT(AND(C583=C582,AA583=AA582+1))),INDEX(DATAS,AA582+1),"")</f>
        <v/>
      </c>
      <c r="AI582" s="51" t="str">
        <f aca="false">IF(AND(AC582=1,AA582&lt;1),IF(AND(C583=C582,AA583=AA582+1),IF(AC583=1,"",INDEX(DATAS,AA582+1)),INDEX(DATAS,AA582+1)),"")</f>
        <v/>
      </c>
    </row>
    <row r="583" customFormat="false" ht="15" hidden="false" customHeight="false" outlineLevel="0" collapsed="false">
      <c r="A583" s="51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46" t="s">
        <v>562</v>
      </c>
      <c r="G583" s="0" t="n">
        <v>27.7</v>
      </c>
      <c r="H583" s="0" t="n">
        <v>28</v>
      </c>
      <c r="I583" s="46" t="s">
        <v>152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51" t="n">
        <v>46216</v>
      </c>
      <c r="X583" s="46" t="n">
        <f aca="false">IF(I583="Male",0,1)</f>
        <v>1</v>
      </c>
      <c r="Y583" s="46" t="n">
        <f aca="false">IF(OR(I583="DNB",I583="Dry DNB"),1,0)</f>
        <v>0</v>
      </c>
      <c r="Z583" s="46" t="n">
        <f aca="false">IF(ISNUMBER(W583),A583-W583,"")</f>
        <v>93</v>
      </c>
      <c r="AA583" s="46" t="n">
        <f aca="false">MATCH(A583,DATAS,0)</f>
        <v>1</v>
      </c>
      <c r="AB583" s="46" t="n">
        <f aca="false">IF(AND(E583&gt;0,OR(AND(B583&gt;=1,B583&lt;=6),B583=10)),1,0)</f>
        <v>1</v>
      </c>
      <c r="AC583" s="46" t="n">
        <f aca="false">IF(AND(E583&gt;0,B583=10),1,0)</f>
        <v>0</v>
      </c>
      <c r="AD583" s="0" t="str">
        <f aca="false">IF(AND(C582=C583,AA582=AA583-1),AB582,"")</f>
        <v/>
      </c>
      <c r="AE583" s="0" t="str">
        <f aca="false">IF(AND(C582=C583,AA582=AA583-1),AC582,"")</f>
        <v/>
      </c>
      <c r="AF583" s="0" t="str">
        <f aca="false">IF(AA583=1,"",IF(AND(AB583=1,AD583&lt;&gt;1),1,0))</f>
        <v/>
      </c>
      <c r="AG583" s="0" t="str">
        <f aca="false">IF(AA583=1,"",IF(AND(AC583=1,AE583&lt;&gt;1),1,0))</f>
        <v/>
      </c>
      <c r="AH583" s="51" t="str">
        <f aca="false">IF(AND(E583&gt;0,AA583&lt;1,NOT(AND(C584=C583,AA584=AA583+1))),INDEX(DATAS,AA583+1),"")</f>
        <v/>
      </c>
      <c r="AI583" s="51" t="str">
        <f aca="false">IF(AND(AC583=1,AA583&lt;1),IF(AND(C584=C583,AA584=AA583+1),IF(AC584=1,"",INDEX(DATAS,AA583+1)),INDEX(DATAS,AA583+1)),"")</f>
        <v/>
      </c>
    </row>
    <row r="584" customFormat="false" ht="15" hidden="false" customHeight="false" outlineLevel="0" collapsed="false">
      <c r="A584" s="51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46" t="s">
        <v>563</v>
      </c>
      <c r="G584" s="0" t="n">
        <v>32.2</v>
      </c>
      <c r="H584" s="0" t="n">
        <v>30</v>
      </c>
      <c r="I584" s="46" t="s">
        <v>138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51" t="n">
        <v>46233</v>
      </c>
      <c r="X584" s="46" t="n">
        <f aca="false">IF(I584="Male",0,1)</f>
        <v>1</v>
      </c>
      <c r="Y584" s="46" t="n">
        <f aca="false">IF(OR(I584="DNB",I584="Dry DNB"),1,0)</f>
        <v>1</v>
      </c>
      <c r="Z584" s="46" t="n">
        <f aca="false">IF(ISNUMBER(W584),A584-W584,"")</f>
        <v>76</v>
      </c>
      <c r="AA584" s="46" t="n">
        <f aca="false">MATCH(A584,DATAS,0)</f>
        <v>1</v>
      </c>
      <c r="AB584" s="46" t="n">
        <f aca="false">IF(AND(E584&gt;0,OR(AND(B584&gt;=1,B584&lt;=6),B584=10)),1,0)</f>
        <v>1</v>
      </c>
      <c r="AC584" s="46" t="n">
        <f aca="false">IF(AND(E584&gt;0,B584=10),1,0)</f>
        <v>0</v>
      </c>
      <c r="AD584" s="0" t="str">
        <f aca="false">IF(AND(C583=C584,AA583=AA584-1),AB583,"")</f>
        <v/>
      </c>
      <c r="AE584" s="0" t="str">
        <f aca="false">IF(AND(C583=C584,AA583=AA584-1),AC583,"")</f>
        <v/>
      </c>
      <c r="AF584" s="0" t="str">
        <f aca="false">IF(AA584=1,"",IF(AND(AB584=1,AD584&lt;&gt;1),1,0))</f>
        <v/>
      </c>
      <c r="AG584" s="0" t="str">
        <f aca="false">IF(AA584=1,"",IF(AND(AC584=1,AE584&lt;&gt;1),1,0))</f>
        <v/>
      </c>
      <c r="AH584" s="51" t="str">
        <f aca="false">IF(AND(E584&gt;0,AA584&lt;1,NOT(AND(C585=C584,AA585=AA584+1))),INDEX(DATAS,AA584+1),"")</f>
        <v/>
      </c>
      <c r="AI584" s="51" t="str">
        <f aca="false">IF(AND(AC584=1,AA584&lt;1),IF(AND(C585=C584,AA585=AA584+1),IF(AC585=1,"",INDEX(DATAS,AA584+1)),INDEX(DATAS,AA584+1)),"")</f>
        <v/>
      </c>
    </row>
    <row r="585" customFormat="false" ht="15" hidden="false" customHeight="false" outlineLevel="0" collapsed="false">
      <c r="A585" s="51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46" t="s">
        <v>563</v>
      </c>
      <c r="I585" s="46" t="s">
        <v>157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51" t="n">
        <v>46072</v>
      </c>
      <c r="X585" s="46" t="n">
        <f aca="false">IF(I585="Male",0,1)</f>
        <v>1</v>
      </c>
      <c r="Y585" s="46" t="n">
        <f aca="false">IF(OR(I585="DNB",I585="Dry DNB"),1,0)</f>
        <v>0</v>
      </c>
      <c r="Z585" s="46" t="n">
        <f aca="false">IF(ISNUMBER(W585),A585-W585,"")</f>
        <v>237</v>
      </c>
      <c r="AA585" s="46" t="n">
        <f aca="false">MATCH(A585,DATAS,0)</f>
        <v>1</v>
      </c>
      <c r="AB585" s="46" t="n">
        <f aca="false">IF(AND(E585&gt;0,OR(AND(B585&gt;=1,B585&lt;=6),B585=10)),1,0)</f>
        <v>0</v>
      </c>
      <c r="AC585" s="46" t="n">
        <f aca="false">IF(AND(E585&gt;0,B585=10),1,0)</f>
        <v>0</v>
      </c>
      <c r="AD585" s="0" t="str">
        <f aca="false">IF(AND(C584=C585,AA584=AA585-1),AB584,"")</f>
        <v/>
      </c>
      <c r="AE585" s="0" t="str">
        <f aca="false">IF(AND(C584=C585,AA584=AA585-1),AC584,"")</f>
        <v/>
      </c>
      <c r="AF585" s="0" t="str">
        <f aca="false">IF(AA585=1,"",IF(AND(AB585=1,AD585&lt;&gt;1),1,0))</f>
        <v/>
      </c>
      <c r="AG585" s="0" t="str">
        <f aca="false">IF(AA585=1,"",IF(AND(AC585=1,AE585&lt;&gt;1),1,0))</f>
        <v/>
      </c>
      <c r="AH585" s="51" t="str">
        <f aca="false">IF(AND(E585&gt;0,AA585&lt;1,NOT(AND(C586=C585,AA586=AA585+1))),INDEX(DATAS,AA585+1),"")</f>
        <v/>
      </c>
      <c r="AI585" s="51" t="str">
        <f aca="false">IF(AND(AC585=1,AA585&lt;1),IF(AND(C586=C585,AA586=AA585+1),IF(AC586=1,"",INDEX(DATAS,AA585+1)),INDEX(DATAS,AA585+1)),"")</f>
        <v/>
      </c>
    </row>
    <row r="586" customFormat="false" ht="15" hidden="false" customHeight="false" outlineLevel="0" collapsed="false">
      <c r="A586" s="51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46" t="s">
        <v>563</v>
      </c>
      <c r="I586" s="46" t="s">
        <v>157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51" t="n">
        <v>46058</v>
      </c>
      <c r="X586" s="46" t="n">
        <f aca="false">IF(I586="Male",0,1)</f>
        <v>1</v>
      </c>
      <c r="Y586" s="46" t="n">
        <f aca="false">IF(OR(I586="DNB",I586="Dry DNB"),1,0)</f>
        <v>0</v>
      </c>
      <c r="Z586" s="46" t="n">
        <f aca="false">IF(ISNUMBER(W586),A586-W586,"")</f>
        <v>251</v>
      </c>
      <c r="AA586" s="46" t="n">
        <f aca="false">MATCH(A586,DATAS,0)</f>
        <v>1</v>
      </c>
      <c r="AB586" s="46" t="n">
        <f aca="false">IF(AND(E586&gt;0,OR(AND(B586&gt;=1,B586&lt;=6),B586=10)),1,0)</f>
        <v>0</v>
      </c>
      <c r="AC586" s="46" t="n">
        <f aca="false">IF(AND(E586&gt;0,B586=10),1,0)</f>
        <v>0</v>
      </c>
      <c r="AD586" s="0" t="str">
        <f aca="false">IF(AND(C585=C586,AA585=AA586-1),AB585,"")</f>
        <v/>
      </c>
      <c r="AE586" s="0" t="str">
        <f aca="false">IF(AND(C585=C586,AA585=AA586-1),AC585,"")</f>
        <v/>
      </c>
      <c r="AF586" s="0" t="str">
        <f aca="false">IF(AA586=1,"",IF(AND(AB586=1,AD586&lt;&gt;1),1,0))</f>
        <v/>
      </c>
      <c r="AG586" s="0" t="str">
        <f aca="false">IF(AA586=1,"",IF(AND(AC586=1,AE586&lt;&gt;1),1,0))</f>
        <v/>
      </c>
      <c r="AH586" s="51" t="str">
        <f aca="false">IF(AND(E586&gt;0,AA586&lt;1,NOT(AND(C587=C586,AA587=AA586+1))),INDEX(DATAS,AA586+1),"")</f>
        <v/>
      </c>
      <c r="AI586" s="51" t="str">
        <f aca="false">IF(AND(AC586=1,AA586&lt;1),IF(AND(C587=C586,AA587=AA586+1),IF(AC587=1,"",INDEX(DATAS,AA586+1)),INDEX(DATAS,AA586+1)),"")</f>
        <v/>
      </c>
    </row>
    <row r="587" customFormat="false" ht="15" hidden="false" customHeight="false" outlineLevel="0" collapsed="false">
      <c r="A587" s="51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46" t="s">
        <v>564</v>
      </c>
      <c r="G587" s="0" t="n">
        <v>33.6</v>
      </c>
      <c r="H587" s="0" t="n">
        <v>34</v>
      </c>
      <c r="I587" s="46" t="s">
        <v>152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51" t="n">
        <v>46219</v>
      </c>
      <c r="X587" s="46" t="n">
        <f aca="false">IF(I587="Male",0,1)</f>
        <v>1</v>
      </c>
      <c r="Y587" s="46" t="n">
        <f aca="false">IF(OR(I587="DNB",I587="Dry DNB"),1,0)</f>
        <v>0</v>
      </c>
      <c r="Z587" s="46" t="n">
        <f aca="false">IF(ISNUMBER(W587),A587-W587,"")</f>
        <v>90</v>
      </c>
      <c r="AA587" s="46" t="n">
        <f aca="false">MATCH(A587,DATAS,0)</f>
        <v>1</v>
      </c>
      <c r="AB587" s="46" t="n">
        <f aca="false">IF(AND(E587&gt;0,OR(AND(B587&gt;=1,B587&lt;=6),B587=10)),1,0)</f>
        <v>1</v>
      </c>
      <c r="AC587" s="46" t="n">
        <f aca="false">IF(AND(E587&gt;0,B587=10),1,0)</f>
        <v>0</v>
      </c>
      <c r="AD587" s="0" t="str">
        <f aca="false">IF(AND(C586=C587,AA586=AA587-1),AB586,"")</f>
        <v/>
      </c>
      <c r="AE587" s="0" t="str">
        <f aca="false">IF(AND(C586=C587,AA586=AA587-1),AC586,"")</f>
        <v/>
      </c>
      <c r="AF587" s="0" t="str">
        <f aca="false">IF(AA587=1,"",IF(AND(AB587=1,AD587&lt;&gt;1),1,0))</f>
        <v/>
      </c>
      <c r="AG587" s="0" t="str">
        <f aca="false">IF(AA587=1,"",IF(AND(AC587=1,AE587&lt;&gt;1),1,0))</f>
        <v/>
      </c>
      <c r="AH587" s="51" t="str">
        <f aca="false">IF(AND(E587&gt;0,AA587&lt;1,NOT(AND(C588=C587,AA588=AA587+1))),INDEX(DATAS,AA587+1),"")</f>
        <v/>
      </c>
      <c r="AI587" s="51" t="str">
        <f aca="false">IF(AND(AC587=1,AA587&lt;1),IF(AND(C588=C587,AA588=AA587+1),IF(AC588=1,"",INDEX(DATAS,AA587+1)),INDEX(DATAS,AA587+1)),"")</f>
        <v/>
      </c>
    </row>
    <row r="588" customFormat="false" ht="15" hidden="false" customHeight="false" outlineLevel="0" collapsed="false">
      <c r="A588" s="51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46" t="s">
        <v>565</v>
      </c>
      <c r="G588" s="0" t="n">
        <v>32.7</v>
      </c>
      <c r="H588" s="0" t="n">
        <v>30</v>
      </c>
      <c r="I588" s="46" t="s">
        <v>152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51" t="n">
        <v>46268</v>
      </c>
      <c r="X588" s="46" t="n">
        <f aca="false">IF(I588="Male",0,1)</f>
        <v>1</v>
      </c>
      <c r="Y588" s="46" t="n">
        <f aca="false">IF(OR(I588="DNB",I588="Dry DNB"),1,0)</f>
        <v>0</v>
      </c>
      <c r="Z588" s="46" t="n">
        <f aca="false">IF(ISNUMBER(W588),A588-W588,"")</f>
        <v>41</v>
      </c>
      <c r="AA588" s="46" t="n">
        <f aca="false">MATCH(A588,DATAS,0)</f>
        <v>1</v>
      </c>
      <c r="AB588" s="46" t="n">
        <f aca="false">IF(AND(E588&gt;0,OR(AND(B588&gt;=1,B588&lt;=6),B588=10)),1,0)</f>
        <v>1</v>
      </c>
      <c r="AC588" s="46" t="n">
        <f aca="false">IF(AND(E588&gt;0,B588=10),1,0)</f>
        <v>0</v>
      </c>
      <c r="AD588" s="0" t="str">
        <f aca="false">IF(AND(C587=C588,AA587=AA588-1),AB587,"")</f>
        <v/>
      </c>
      <c r="AE588" s="0" t="str">
        <f aca="false">IF(AND(C587=C588,AA587=AA588-1),AC587,"")</f>
        <v/>
      </c>
      <c r="AF588" s="0" t="str">
        <f aca="false">IF(AA588=1,"",IF(AND(AB588=1,AD588&lt;&gt;1),1,0))</f>
        <v/>
      </c>
      <c r="AG588" s="0" t="str">
        <f aca="false">IF(AA588=1,"",IF(AND(AC588=1,AE588&lt;&gt;1),1,0))</f>
        <v/>
      </c>
      <c r="AH588" s="51" t="str">
        <f aca="false">IF(AND(E588&gt;0,AA588&lt;1,NOT(AND(C589=C588,AA589=AA588+1))),INDEX(DATAS,AA588+1),"")</f>
        <v/>
      </c>
      <c r="AI588" s="51" t="str">
        <f aca="false">IF(AND(AC588=1,AA588&lt;1),IF(AND(C589=C588,AA589=AA588+1),IF(AC589=1,"",INDEX(DATAS,AA588+1)),INDEX(DATAS,AA588+1)),"")</f>
        <v/>
      </c>
    </row>
    <row r="589" customFormat="false" ht="15" hidden="false" customHeight="false" outlineLevel="0" collapsed="false">
      <c r="A589" s="51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46" t="s">
        <v>566</v>
      </c>
      <c r="G589" s="0" t="n">
        <v>68.4</v>
      </c>
      <c r="H589" s="0" t="n">
        <v>69</v>
      </c>
      <c r="I589" s="46" t="s">
        <v>181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51" t="n">
        <v>46310</v>
      </c>
      <c r="X589" s="46" t="n">
        <f aca="false">IF(I589="Male",0,1)</f>
        <v>1</v>
      </c>
      <c r="Y589" s="46" t="n">
        <f aca="false">IF(OR(I589="DNB",I589="Dry DNB"),1,0)</f>
        <v>0</v>
      </c>
      <c r="Z589" s="46" t="n">
        <f aca="false">IF(ISNUMBER(W589),A589-W589,"")</f>
        <v>-1</v>
      </c>
      <c r="AA589" s="46" t="n">
        <f aca="false">MATCH(A589,DATAS,0)</f>
        <v>1</v>
      </c>
      <c r="AB589" s="46" t="n">
        <f aca="false">IF(AND(E589&gt;0,OR(AND(B589&gt;=1,B589&lt;=6),B589=10)),1,0)</f>
        <v>1</v>
      </c>
      <c r="AC589" s="46" t="n">
        <f aca="false">IF(AND(E589&gt;0,B589=10),1,0)</f>
        <v>0</v>
      </c>
      <c r="AD589" s="0" t="str">
        <f aca="false">IF(AND(C588=C589,AA588=AA589-1),AB588,"")</f>
        <v/>
      </c>
      <c r="AE589" s="0" t="str">
        <f aca="false">IF(AND(C588=C589,AA588=AA589-1),AC588,"")</f>
        <v/>
      </c>
      <c r="AF589" s="0" t="str">
        <f aca="false">IF(AA589=1,"",IF(AND(AB589=1,AD589&lt;&gt;1),1,0))</f>
        <v/>
      </c>
      <c r="AG589" s="0" t="str">
        <f aca="false">IF(AA589=1,"",IF(AND(AC589=1,AE589&lt;&gt;1),1,0))</f>
        <v/>
      </c>
      <c r="AH589" s="51" t="str">
        <f aca="false">IF(AND(E589&gt;0,AA589&lt;1,NOT(AND(C590=C589,AA590=AA589+1))),INDEX(DATAS,AA589+1),"")</f>
        <v/>
      </c>
      <c r="AI589" s="51" t="str">
        <f aca="false">IF(AND(AC589=1,AA589&lt;1),IF(AND(C590=C589,AA590=AA589+1),IF(AC590=1,"",INDEX(DATAS,AA589+1)),INDEX(DATAS,AA589+1)),"")</f>
        <v/>
      </c>
    </row>
    <row r="590" customFormat="false" ht="15" hidden="false" customHeight="false" outlineLevel="0" collapsed="false">
      <c r="A590" s="51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46" t="s">
        <v>567</v>
      </c>
      <c r="G590" s="0" t="n">
        <v>37.8</v>
      </c>
      <c r="H590" s="0" t="n">
        <v>37</v>
      </c>
      <c r="I590" s="46" t="s">
        <v>152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51" t="n">
        <v>46086</v>
      </c>
      <c r="X590" s="46" t="n">
        <f aca="false">IF(I590="Male",0,1)</f>
        <v>1</v>
      </c>
      <c r="Y590" s="46" t="n">
        <f aca="false">IF(OR(I590="DNB",I590="Dry DNB"),1,0)</f>
        <v>0</v>
      </c>
      <c r="Z590" s="46" t="n">
        <f aca="false">IF(ISNUMBER(W590),A590-W590,"")</f>
        <v>223</v>
      </c>
      <c r="AA590" s="46" t="n">
        <f aca="false">MATCH(A590,DATAS,0)</f>
        <v>1</v>
      </c>
      <c r="AB590" s="46" t="n">
        <f aca="false">IF(AND(E590&gt;0,OR(AND(B590&gt;=1,B590&lt;=6),B590=10)),1,0)</f>
        <v>1</v>
      </c>
      <c r="AC590" s="46" t="n">
        <f aca="false">IF(AND(E590&gt;0,B590=10),1,0)</f>
        <v>0</v>
      </c>
      <c r="AD590" s="0" t="str">
        <f aca="false">IF(AND(C589=C590,AA589=AA590-1),AB589,"")</f>
        <v/>
      </c>
      <c r="AE590" s="0" t="str">
        <f aca="false">IF(AND(C589=C590,AA589=AA590-1),AC589,"")</f>
        <v/>
      </c>
      <c r="AF590" s="0" t="str">
        <f aca="false">IF(AA590=1,"",IF(AND(AB590=1,AD590&lt;&gt;1),1,0))</f>
        <v/>
      </c>
      <c r="AG590" s="0" t="str">
        <f aca="false">IF(AA590=1,"",IF(AND(AC590=1,AE590&lt;&gt;1),1,0))</f>
        <v/>
      </c>
      <c r="AH590" s="51" t="str">
        <f aca="false">IF(AND(E590&gt;0,AA590&lt;1,NOT(AND(C591=C590,AA591=AA590+1))),INDEX(DATAS,AA590+1),"")</f>
        <v/>
      </c>
      <c r="AI590" s="51" t="str">
        <f aca="false">IF(AND(AC590=1,AA590&lt;1),IF(AND(C591=C590,AA591=AA590+1),IF(AC591=1,"",INDEX(DATAS,AA590+1)),INDEX(DATAS,AA590+1)),"")</f>
        <v/>
      </c>
    </row>
    <row r="591" customFormat="false" ht="15" hidden="false" customHeight="false" outlineLevel="0" collapsed="false">
      <c r="A591" s="51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46" t="s">
        <v>568</v>
      </c>
      <c r="G591" s="0" t="n">
        <v>51.6</v>
      </c>
      <c r="H591" s="0" t="n">
        <v>52</v>
      </c>
      <c r="I591" s="46" t="s">
        <v>181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51" t="n">
        <v>46303</v>
      </c>
      <c r="X591" s="46" t="n">
        <f aca="false">IF(I591="Male",0,1)</f>
        <v>1</v>
      </c>
      <c r="Y591" s="46" t="n">
        <f aca="false">IF(OR(I591="DNB",I591="Dry DNB"),1,0)</f>
        <v>0</v>
      </c>
      <c r="Z591" s="46" t="n">
        <f aca="false">IF(ISNUMBER(W591),A591-W591,"")</f>
        <v>6</v>
      </c>
      <c r="AA591" s="46" t="n">
        <f aca="false">MATCH(A591,DATAS,0)</f>
        <v>1</v>
      </c>
      <c r="AB591" s="46" t="n">
        <f aca="false">IF(AND(E591&gt;0,OR(AND(B591&gt;=1,B591&lt;=6),B591=10)),1,0)</f>
        <v>1</v>
      </c>
      <c r="AC591" s="46" t="n">
        <f aca="false">IF(AND(E591&gt;0,B591=10),1,0)</f>
        <v>0</v>
      </c>
      <c r="AD591" s="0" t="str">
        <f aca="false">IF(AND(C590=C591,AA590=AA591-1),AB590,"")</f>
        <v/>
      </c>
      <c r="AE591" s="0" t="str">
        <f aca="false">IF(AND(C590=C591,AA590=AA591-1),AC590,"")</f>
        <v/>
      </c>
      <c r="AF591" s="0" t="str">
        <f aca="false">IF(AA591=1,"",IF(AND(AB591=1,AD591&lt;&gt;1),1,0))</f>
        <v/>
      </c>
      <c r="AG591" s="0" t="str">
        <f aca="false">IF(AA591=1,"",IF(AND(AC591=1,AE591&lt;&gt;1),1,0))</f>
        <v/>
      </c>
      <c r="AH591" s="51" t="str">
        <f aca="false">IF(AND(E591&gt;0,AA591&lt;1,NOT(AND(C592=C591,AA592=AA591+1))),INDEX(DATAS,AA591+1),"")</f>
        <v/>
      </c>
      <c r="AI591" s="51" t="str">
        <f aca="false">IF(AND(AC591=1,AA591&lt;1),IF(AND(C592=C591,AA592=AA591+1),IF(AC592=1,"",INDEX(DATAS,AA591+1)),INDEX(DATAS,AA591+1)),"")</f>
        <v/>
      </c>
    </row>
    <row r="592" customFormat="false" ht="15" hidden="false" customHeight="false" outlineLevel="0" collapsed="false">
      <c r="A592" s="51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46" t="s">
        <v>568</v>
      </c>
      <c r="I592" s="46" t="s">
        <v>157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51" t="n">
        <v>46065</v>
      </c>
      <c r="X592" s="46" t="n">
        <f aca="false">IF(I592="Male",0,1)</f>
        <v>1</v>
      </c>
      <c r="Y592" s="46" t="n">
        <f aca="false">IF(OR(I592="DNB",I592="Dry DNB"),1,0)</f>
        <v>0</v>
      </c>
      <c r="Z592" s="46" t="n">
        <f aca="false">IF(ISNUMBER(W592),A592-W592,"")</f>
        <v>244</v>
      </c>
      <c r="AA592" s="46" t="n">
        <f aca="false">MATCH(A592,DATAS,0)</f>
        <v>1</v>
      </c>
      <c r="AB592" s="46" t="n">
        <f aca="false">IF(AND(E592&gt;0,OR(AND(B592&gt;=1,B592&lt;=6),B592=10)),1,0)</f>
        <v>0</v>
      </c>
      <c r="AC592" s="46" t="n">
        <f aca="false">IF(AND(E592&gt;0,B592=10),1,0)</f>
        <v>0</v>
      </c>
      <c r="AD592" s="0" t="str">
        <f aca="false">IF(AND(C591=C592,AA591=AA592-1),AB591,"")</f>
        <v/>
      </c>
      <c r="AE592" s="0" t="str">
        <f aca="false">IF(AND(C591=C592,AA591=AA592-1),AC591,"")</f>
        <v/>
      </c>
      <c r="AF592" s="0" t="str">
        <f aca="false">IF(AA592=1,"",IF(AND(AB592=1,AD592&lt;&gt;1),1,0))</f>
        <v/>
      </c>
      <c r="AG592" s="0" t="str">
        <f aca="false">IF(AA592=1,"",IF(AND(AC592=1,AE592&lt;&gt;1),1,0))</f>
        <v/>
      </c>
      <c r="AH592" s="51" t="str">
        <f aca="false">IF(AND(E592&gt;0,AA592&lt;1,NOT(AND(C593=C592,AA593=AA592+1))),INDEX(DATAS,AA592+1),"")</f>
        <v/>
      </c>
      <c r="AI592" s="51" t="str">
        <f aca="false">IF(AND(AC592=1,AA592&lt;1),IF(AND(C593=C592,AA593=AA592+1),IF(AC593=1,"",INDEX(DATAS,AA592+1)),INDEX(DATAS,AA592+1)),"")</f>
        <v/>
      </c>
    </row>
    <row r="593" customFormat="false" ht="15" hidden="false" customHeight="false" outlineLevel="0" collapsed="false">
      <c r="A593" s="51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46" t="s">
        <v>568</v>
      </c>
      <c r="G593" s="0" t="n">
        <v>28.9</v>
      </c>
      <c r="H593" s="0" t="n">
        <v>32</v>
      </c>
      <c r="I593" s="46" t="s">
        <v>152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51" t="n">
        <v>46163</v>
      </c>
      <c r="X593" s="46" t="n">
        <f aca="false">IF(I593="Male",0,1)</f>
        <v>1</v>
      </c>
      <c r="Y593" s="46" t="n">
        <f aca="false">IF(OR(I593="DNB",I593="Dry DNB"),1,0)</f>
        <v>0</v>
      </c>
      <c r="Z593" s="46" t="n">
        <f aca="false">IF(ISNUMBER(W593),A593-W593,"")</f>
        <v>146</v>
      </c>
      <c r="AA593" s="46" t="n">
        <f aca="false">MATCH(A593,DATAS,0)</f>
        <v>1</v>
      </c>
      <c r="AB593" s="46" t="n">
        <f aca="false">IF(AND(E593&gt;0,OR(AND(B593&gt;=1,B593&lt;=6),B593=10)),1,0)</f>
        <v>1</v>
      </c>
      <c r="AC593" s="46" t="n">
        <f aca="false">IF(AND(E593&gt;0,B593=10),1,0)</f>
        <v>0</v>
      </c>
      <c r="AD593" s="0" t="str">
        <f aca="false">IF(AND(C592=C593,AA592=AA593-1),AB592,"")</f>
        <v/>
      </c>
      <c r="AE593" s="0" t="str">
        <f aca="false">IF(AND(C592=C593,AA592=AA593-1),AC592,"")</f>
        <v/>
      </c>
      <c r="AF593" s="0" t="str">
        <f aca="false">IF(AA593=1,"",IF(AND(AB593=1,AD593&lt;&gt;1),1,0))</f>
        <v/>
      </c>
      <c r="AG593" s="0" t="str">
        <f aca="false">IF(AA593=1,"",IF(AND(AC593=1,AE593&lt;&gt;1),1,0))</f>
        <v/>
      </c>
      <c r="AH593" s="51" t="str">
        <f aca="false">IF(AND(E593&gt;0,AA593&lt;1,NOT(AND(C594=C593,AA594=AA593+1))),INDEX(DATAS,AA593+1),"")</f>
        <v/>
      </c>
      <c r="AI593" s="51" t="str">
        <f aca="false">IF(AND(AC593=1,AA593&lt;1),IF(AND(C594=C593,AA594=AA593+1),IF(AC594=1,"",INDEX(DATAS,AA593+1)),INDEX(DATAS,AA593+1)),"")</f>
        <v/>
      </c>
    </row>
    <row r="594" customFormat="false" ht="15" hidden="false" customHeight="false" outlineLevel="0" collapsed="false">
      <c r="A594" s="51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46" t="s">
        <v>568</v>
      </c>
      <c r="H594" s="0" t="n">
        <v>22</v>
      </c>
      <c r="I594" s="46" t="s">
        <v>152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51" t="n">
        <v>46191</v>
      </c>
      <c r="X594" s="46" t="n">
        <f aca="false">IF(I594="Male",0,1)</f>
        <v>1</v>
      </c>
      <c r="Y594" s="46" t="n">
        <f aca="false">IF(OR(I594="DNB",I594="Dry DNB"),1,0)</f>
        <v>0</v>
      </c>
      <c r="Z594" s="46" t="n">
        <f aca="false">IF(ISNUMBER(W594),A594-W594,"")</f>
        <v>118</v>
      </c>
      <c r="AA594" s="46" t="n">
        <f aca="false">MATCH(A594,DATAS,0)</f>
        <v>1</v>
      </c>
      <c r="AB594" s="46" t="n">
        <f aca="false">IF(AND(E594&gt;0,OR(AND(B594&gt;=1,B594&lt;=6),B594=10)),1,0)</f>
        <v>1</v>
      </c>
      <c r="AC594" s="46" t="n">
        <f aca="false">IF(AND(E594&gt;0,B594=10),1,0)</f>
        <v>0</v>
      </c>
      <c r="AD594" s="0" t="str">
        <f aca="false">IF(AND(C593=C594,AA593=AA594-1),AB593,"")</f>
        <v/>
      </c>
      <c r="AE594" s="0" t="str">
        <f aca="false">IF(AND(C593=C594,AA593=AA594-1),AC593,"")</f>
        <v/>
      </c>
      <c r="AF594" s="0" t="str">
        <f aca="false">IF(AA594=1,"",IF(AND(AB594=1,AD594&lt;&gt;1),1,0))</f>
        <v/>
      </c>
      <c r="AG594" s="0" t="str">
        <f aca="false">IF(AA594=1,"",IF(AND(AC594=1,AE594&lt;&gt;1),1,0))</f>
        <v/>
      </c>
      <c r="AH594" s="51" t="str">
        <f aca="false">IF(AND(E594&gt;0,AA594&lt;1,NOT(AND(C595=C594,AA595=AA594+1))),INDEX(DATAS,AA594+1),"")</f>
        <v/>
      </c>
      <c r="AI594" s="51" t="str">
        <f aca="false">IF(AND(AC594=1,AA594&lt;1),IF(AND(C595=C594,AA595=AA594+1),IF(AC595=1,"",INDEX(DATAS,AA594+1)),INDEX(DATAS,AA594+1)),"")</f>
        <v/>
      </c>
    </row>
    <row r="595" customFormat="false" ht="15" hidden="false" customHeight="false" outlineLevel="0" collapsed="false">
      <c r="A595" s="51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46" t="s">
        <v>569</v>
      </c>
      <c r="G595" s="0" t="n">
        <v>58.6</v>
      </c>
      <c r="H595" s="0" t="n">
        <v>55</v>
      </c>
      <c r="I595" s="46" t="s">
        <v>161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X595" s="46" t="n">
        <f aca="false">IF(I595="Male",0,1)</f>
        <v>1</v>
      </c>
      <c r="Y595" s="46" t="n">
        <f aca="false">IF(OR(I595="DNB",I595="Dry DNB"),1,0)</f>
        <v>0</v>
      </c>
      <c r="Z595" s="0" t="str">
        <f aca="false">IF(ISNUMBER(W595),A595-W595,"")</f>
        <v/>
      </c>
      <c r="AA595" s="46" t="n">
        <f aca="false">MATCH(A595,DATAS,0)</f>
        <v>1</v>
      </c>
      <c r="AB595" s="46" t="n">
        <f aca="false">IF(AND(E595&gt;0,OR(AND(B595&gt;=1,B595&lt;=6),B595=10)),1,0)</f>
        <v>1</v>
      </c>
      <c r="AC595" s="46" t="n">
        <f aca="false">IF(AND(E595&gt;0,B595=10),1,0)</f>
        <v>0</v>
      </c>
      <c r="AD595" s="0" t="str">
        <f aca="false">IF(AND(C594=C595,AA594=AA595-1),AB594,"")</f>
        <v/>
      </c>
      <c r="AE595" s="0" t="str">
        <f aca="false">IF(AND(C594=C595,AA594=AA595-1),AC594,"")</f>
        <v/>
      </c>
      <c r="AF595" s="0" t="str">
        <f aca="false">IF(AA595=1,"",IF(AND(AB595=1,AD595&lt;&gt;1),1,0))</f>
        <v/>
      </c>
      <c r="AG595" s="0" t="str">
        <f aca="false">IF(AA595=1,"",IF(AND(AC595=1,AE595&lt;&gt;1),1,0))</f>
        <v/>
      </c>
      <c r="AH595" s="51" t="str">
        <f aca="false">IF(AND(E595&gt;0,AA595&lt;1,NOT(AND(C596=C595,AA596=AA595+1))),INDEX(DATAS,AA595+1),"")</f>
        <v/>
      </c>
      <c r="AI595" s="51" t="str">
        <f aca="false">IF(AND(AC595=1,AA595&lt;1),IF(AND(C596=C595,AA596=AA595+1),IF(AC596=1,"",INDEX(DATAS,AA595+1)),INDEX(DATAS,AA595+1)),"")</f>
        <v/>
      </c>
    </row>
    <row r="596" customFormat="false" ht="15" hidden="false" customHeight="false" outlineLevel="0" collapsed="false">
      <c r="A596" s="51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46" t="s">
        <v>570</v>
      </c>
      <c r="G596" s="0" t="n">
        <v>20.6</v>
      </c>
      <c r="H596" s="0" t="n">
        <v>19</v>
      </c>
      <c r="I596" s="46" t="s">
        <v>152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51" t="n">
        <v>46234</v>
      </c>
      <c r="X596" s="46" t="n">
        <f aca="false">IF(I596="Male",0,1)</f>
        <v>1</v>
      </c>
      <c r="Y596" s="46" t="n">
        <f aca="false">IF(OR(I596="DNB",I596="Dry DNB"),1,0)</f>
        <v>0</v>
      </c>
      <c r="Z596" s="46" t="n">
        <f aca="false">IF(ISNUMBER(W596),A596-W596,"")</f>
        <v>75</v>
      </c>
      <c r="AA596" s="46" t="n">
        <f aca="false">MATCH(A596,DATAS,0)</f>
        <v>1</v>
      </c>
      <c r="AB596" s="46" t="n">
        <f aca="false">IF(AND(E596&gt;0,OR(AND(B596&gt;=1,B596&lt;=6),B596=10)),1,0)</f>
        <v>1</v>
      </c>
      <c r="AC596" s="46" t="n">
        <f aca="false">IF(AND(E596&gt;0,B596=10),1,0)</f>
        <v>0</v>
      </c>
      <c r="AD596" s="0" t="str">
        <f aca="false">IF(AND(C595=C596,AA595=AA596-1),AB595,"")</f>
        <v/>
      </c>
      <c r="AE596" s="0" t="str">
        <f aca="false">IF(AND(C595=C596,AA595=AA596-1),AC595,"")</f>
        <v/>
      </c>
      <c r="AF596" s="0" t="str">
        <f aca="false">IF(AA596=1,"",IF(AND(AB596=1,AD596&lt;&gt;1),1,0))</f>
        <v/>
      </c>
      <c r="AG596" s="0" t="str">
        <f aca="false">IF(AA596=1,"",IF(AND(AC596=1,AE596&lt;&gt;1),1,0))</f>
        <v/>
      </c>
      <c r="AH596" s="51" t="str">
        <f aca="false">IF(AND(E596&gt;0,AA596&lt;1,NOT(AND(C597=C596,AA597=AA596+1))),INDEX(DATAS,AA596+1),"")</f>
        <v/>
      </c>
      <c r="AI596" s="51" t="str">
        <f aca="false">IF(AND(AC596=1,AA596&lt;1),IF(AND(C597=C596,AA597=AA596+1),IF(AC597=1,"",INDEX(DATAS,AA596+1)),INDEX(DATAS,AA596+1)),"")</f>
        <v/>
      </c>
    </row>
    <row r="597" customFormat="false" ht="15" hidden="false" customHeight="false" outlineLevel="0" collapsed="false">
      <c r="A597" s="51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46" t="s">
        <v>570</v>
      </c>
      <c r="G597" s="0" t="n">
        <v>31.2</v>
      </c>
      <c r="H597" s="0" t="n">
        <v>33</v>
      </c>
      <c r="I597" s="46" t="s">
        <v>181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51" t="n">
        <v>46282</v>
      </c>
      <c r="X597" s="46" t="n">
        <f aca="false">IF(I597="Male",0,1)</f>
        <v>1</v>
      </c>
      <c r="Y597" s="46" t="n">
        <f aca="false">IF(OR(I597="DNB",I597="Dry DNB"),1,0)</f>
        <v>0</v>
      </c>
      <c r="Z597" s="46" t="n">
        <f aca="false">IF(ISNUMBER(W597),A597-W597,"")</f>
        <v>27</v>
      </c>
      <c r="AA597" s="46" t="n">
        <f aca="false">MATCH(A597,DATAS,0)</f>
        <v>1</v>
      </c>
      <c r="AB597" s="46" t="n">
        <f aca="false">IF(AND(E597&gt;0,OR(AND(B597&gt;=1,B597&lt;=6),B597=10)),1,0)</f>
        <v>1</v>
      </c>
      <c r="AC597" s="46" t="n">
        <f aca="false">IF(AND(E597&gt;0,B597=10),1,0)</f>
        <v>0</v>
      </c>
      <c r="AD597" s="0" t="str">
        <f aca="false">IF(AND(C596=C597,AA596=AA597-1),AB596,"")</f>
        <v/>
      </c>
      <c r="AE597" s="0" t="str">
        <f aca="false">IF(AND(C596=C597,AA596=AA597-1),AC596,"")</f>
        <v/>
      </c>
      <c r="AF597" s="0" t="str">
        <f aca="false">IF(AA597=1,"",IF(AND(AB597=1,AD597&lt;&gt;1),1,0))</f>
        <v/>
      </c>
      <c r="AG597" s="0" t="str">
        <f aca="false">IF(AA597=1,"",IF(AND(AC597=1,AE597&lt;&gt;1),1,0))</f>
        <v/>
      </c>
      <c r="AH597" s="51" t="str">
        <f aca="false">IF(AND(E597&gt;0,AA597&lt;1,NOT(AND(C598=C597,AA598=AA597+1))),INDEX(DATAS,AA597+1),"")</f>
        <v/>
      </c>
      <c r="AI597" s="51" t="str">
        <f aca="false">IF(AND(AC597=1,AA597&lt;1),IF(AND(C598=C597,AA598=AA597+1),IF(AC598=1,"",INDEX(DATAS,AA597+1)),INDEX(DATAS,AA597+1)),"")</f>
        <v/>
      </c>
    </row>
    <row r="598" customFormat="false" ht="15" hidden="false" customHeight="false" outlineLevel="0" collapsed="false">
      <c r="A598" s="51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46" t="s">
        <v>570</v>
      </c>
      <c r="G598" s="0" t="n">
        <v>62.3</v>
      </c>
      <c r="H598" s="0" t="n">
        <v>59</v>
      </c>
      <c r="I598" s="46" t="s">
        <v>181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51" t="n">
        <v>46296</v>
      </c>
      <c r="X598" s="46" t="n">
        <f aca="false">IF(I598="Male",0,1)</f>
        <v>1</v>
      </c>
      <c r="Y598" s="46" t="n">
        <f aca="false">IF(OR(I598="DNB",I598="Dry DNB"),1,0)</f>
        <v>0</v>
      </c>
      <c r="Z598" s="46" t="n">
        <f aca="false">IF(ISNUMBER(W598),A598-W598,"")</f>
        <v>13</v>
      </c>
      <c r="AA598" s="46" t="n">
        <f aca="false">MATCH(A598,DATAS,0)</f>
        <v>1</v>
      </c>
      <c r="AB598" s="46" t="n">
        <f aca="false">IF(AND(E598&gt;0,OR(AND(B598&gt;=1,B598&lt;=6),B598=10)),1,0)</f>
        <v>1</v>
      </c>
      <c r="AC598" s="46" t="n">
        <f aca="false">IF(AND(E598&gt;0,B598=10),1,0)</f>
        <v>0</v>
      </c>
      <c r="AD598" s="0" t="str">
        <f aca="false">IF(AND(C597=C598,AA597=AA598-1),AB597,"")</f>
        <v/>
      </c>
      <c r="AE598" s="0" t="str">
        <f aca="false">IF(AND(C597=C598,AA597=AA598-1),AC597,"")</f>
        <v/>
      </c>
      <c r="AF598" s="0" t="str">
        <f aca="false">IF(AA598=1,"",IF(AND(AB598=1,AD598&lt;&gt;1),1,0))</f>
        <v/>
      </c>
      <c r="AG598" s="0" t="str">
        <f aca="false">IF(AA598=1,"",IF(AND(AC598=1,AE598&lt;&gt;1),1,0))</f>
        <v/>
      </c>
      <c r="AH598" s="51" t="str">
        <f aca="false">IF(AND(E598&gt;0,AA598&lt;1,NOT(AND(C599=C598,AA599=AA598+1))),INDEX(DATAS,AA598+1),"")</f>
        <v/>
      </c>
      <c r="AI598" s="51" t="str">
        <f aca="false">IF(AND(AC598=1,AA598&lt;1),IF(AND(C599=C598,AA599=AA598+1),IF(AC599=1,"",INDEX(DATAS,AA598+1)),INDEX(DATAS,AA598+1)),"")</f>
        <v/>
      </c>
    </row>
    <row r="599" customFormat="false" ht="15" hidden="false" customHeight="false" outlineLevel="0" collapsed="false">
      <c r="A599" s="51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46" t="s">
        <v>571</v>
      </c>
      <c r="G599" s="0" t="n">
        <v>9.3</v>
      </c>
      <c r="H599" s="0" t="n">
        <v>18</v>
      </c>
      <c r="I599" s="46" t="s">
        <v>157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51" t="n">
        <v>46086</v>
      </c>
      <c r="X599" s="46" t="n">
        <f aca="false">IF(I599="Male",0,1)</f>
        <v>1</v>
      </c>
      <c r="Y599" s="46" t="n">
        <f aca="false">IF(OR(I599="DNB",I599="Dry DNB"),1,0)</f>
        <v>0</v>
      </c>
      <c r="Z599" s="46" t="n">
        <f aca="false">IF(ISNUMBER(W599),A599-W599,"")</f>
        <v>223</v>
      </c>
      <c r="AA599" s="46" t="n">
        <f aca="false">MATCH(A599,DATAS,0)</f>
        <v>1</v>
      </c>
      <c r="AB599" s="46" t="n">
        <f aca="false">IF(AND(E599&gt;0,OR(AND(B599&gt;=1,B599&lt;=6),B599=10)),1,0)</f>
        <v>0</v>
      </c>
      <c r="AC599" s="46" t="n">
        <f aca="false">IF(AND(E599&gt;0,B599=10),1,0)</f>
        <v>0</v>
      </c>
      <c r="AD599" s="0" t="str">
        <f aca="false">IF(AND(C598=C599,AA598=AA599-1),AB598,"")</f>
        <v/>
      </c>
      <c r="AE599" s="0" t="str">
        <f aca="false">IF(AND(C598=C599,AA598=AA599-1),AC598,"")</f>
        <v/>
      </c>
      <c r="AF599" s="0" t="str">
        <f aca="false">IF(AA599=1,"",IF(AND(AB599=1,AD599&lt;&gt;1),1,0))</f>
        <v/>
      </c>
      <c r="AG599" s="0" t="str">
        <f aca="false">IF(AA599=1,"",IF(AND(AC599=1,AE599&lt;&gt;1),1,0))</f>
        <v/>
      </c>
      <c r="AH599" s="51" t="str">
        <f aca="false">IF(AND(E599&gt;0,AA599&lt;1,NOT(AND(C600=C599,AA600=AA599+1))),INDEX(DATAS,AA599+1),"")</f>
        <v/>
      </c>
      <c r="AI599" s="51" t="str">
        <f aca="false">IF(AND(AC599=1,AA599&lt;1),IF(AND(C600=C599,AA600=AA599+1),IF(AC600=1,"",INDEX(DATAS,AA599+1)),INDEX(DATAS,AA599+1)),"")</f>
        <v/>
      </c>
    </row>
    <row r="600" customFormat="false" ht="15" hidden="false" customHeight="false" outlineLevel="0" collapsed="false">
      <c r="A600" s="51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46" t="s">
        <v>572</v>
      </c>
      <c r="G600" s="0" t="n">
        <v>12.3</v>
      </c>
      <c r="H600" s="0" t="n">
        <v>32</v>
      </c>
      <c r="I600" s="46" t="s">
        <v>157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51" t="n">
        <v>46086</v>
      </c>
      <c r="X600" s="46" t="n">
        <f aca="false">IF(I600="Male",0,1)</f>
        <v>1</v>
      </c>
      <c r="Y600" s="46" t="n">
        <f aca="false">IF(OR(I600="DNB",I600="Dry DNB"),1,0)</f>
        <v>0</v>
      </c>
      <c r="Z600" s="46" t="n">
        <f aca="false">IF(ISNUMBER(W600),A600-W600,"")</f>
        <v>223</v>
      </c>
      <c r="AA600" s="46" t="n">
        <f aca="false">MATCH(A600,DATAS,0)</f>
        <v>1</v>
      </c>
      <c r="AB600" s="46" t="n">
        <f aca="false">IF(AND(E600&gt;0,OR(AND(B600&gt;=1,B600&lt;=6),B600=10)),1,0)</f>
        <v>0</v>
      </c>
      <c r="AC600" s="46" t="n">
        <f aca="false">IF(AND(E600&gt;0,B600=10),1,0)</f>
        <v>0</v>
      </c>
      <c r="AD600" s="0" t="str">
        <f aca="false">IF(AND(C599=C600,AA599=AA600-1),AB599,"")</f>
        <v/>
      </c>
      <c r="AE600" s="0" t="str">
        <f aca="false">IF(AND(C599=C600,AA599=AA600-1),AC599,"")</f>
        <v/>
      </c>
      <c r="AF600" s="0" t="str">
        <f aca="false">IF(AA600=1,"",IF(AND(AB600=1,AD600&lt;&gt;1),1,0))</f>
        <v/>
      </c>
      <c r="AG600" s="0" t="str">
        <f aca="false">IF(AA600=1,"",IF(AND(AC600=1,AE600&lt;&gt;1),1,0))</f>
        <v/>
      </c>
      <c r="AH600" s="51" t="str">
        <f aca="false">IF(AND(E600&gt;0,AA600&lt;1,NOT(AND(C601=C600,AA601=AA600+1))),INDEX(DATAS,AA600+1),"")</f>
        <v/>
      </c>
      <c r="AI600" s="51" t="str">
        <f aca="false">IF(AND(AC600=1,AA600&lt;1),IF(AND(C601=C600,AA601=AA600+1),IF(AC601=1,"",INDEX(DATAS,AA600+1)),INDEX(DATAS,AA600+1)),"")</f>
        <v/>
      </c>
    </row>
    <row r="601" customFormat="false" ht="15" hidden="false" customHeight="false" outlineLevel="0" collapsed="false">
      <c r="A601" s="51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46" t="s">
        <v>572</v>
      </c>
      <c r="G601" s="0" t="n">
        <v>47.6</v>
      </c>
      <c r="H601" s="0" t="n">
        <v>46</v>
      </c>
      <c r="I601" s="46" t="s">
        <v>189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51" t="n">
        <v>46261</v>
      </c>
      <c r="X601" s="46" t="n">
        <f aca="false">IF(I601="Male",0,1)</f>
        <v>1</v>
      </c>
      <c r="Y601" s="46" t="n">
        <f aca="false">IF(OR(I601="DNB",I601="Dry DNB"),1,0)</f>
        <v>0</v>
      </c>
      <c r="Z601" s="46" t="n">
        <f aca="false">IF(ISNUMBER(W601),A601-W601,"")</f>
        <v>48</v>
      </c>
      <c r="AA601" s="46" t="n">
        <f aca="false">MATCH(A601,DATAS,0)</f>
        <v>1</v>
      </c>
      <c r="AB601" s="46" t="n">
        <f aca="false">IF(AND(E601&gt;0,OR(AND(B601&gt;=1,B601&lt;=6),B601=10)),1,0)</f>
        <v>1</v>
      </c>
      <c r="AC601" s="46" t="n">
        <f aca="false">IF(AND(E601&gt;0,B601=10),1,0)</f>
        <v>0</v>
      </c>
      <c r="AD601" s="0" t="str">
        <f aca="false">IF(AND(C600=C601,AA600=AA601-1),AB600,"")</f>
        <v/>
      </c>
      <c r="AE601" s="0" t="str">
        <f aca="false">IF(AND(C600=C601,AA600=AA601-1),AC600,"")</f>
        <v/>
      </c>
      <c r="AF601" s="0" t="str">
        <f aca="false">IF(AA601=1,"",IF(AND(AB601=1,AD601&lt;&gt;1),1,0))</f>
        <v/>
      </c>
      <c r="AG601" s="0" t="str">
        <f aca="false">IF(AA601=1,"",IF(AND(AC601=1,AE601&lt;&gt;1),1,0))</f>
        <v/>
      </c>
      <c r="AH601" s="51" t="str">
        <f aca="false">IF(AND(E601&gt;0,AA601&lt;1,NOT(AND(C602=C601,AA602=AA601+1))),INDEX(DATAS,AA601+1),"")</f>
        <v/>
      </c>
      <c r="AI601" s="51" t="str">
        <f aca="false">IF(AND(AC601=1,AA601&lt;1),IF(AND(C602=C601,AA602=AA601+1),IF(AC602=1,"",INDEX(DATAS,AA601+1)),INDEX(DATAS,AA601+1)),"")</f>
        <v/>
      </c>
    </row>
    <row r="602" customFormat="false" ht="15" hidden="false" customHeight="false" outlineLevel="0" collapsed="false">
      <c r="A602" s="51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46" t="s">
        <v>573</v>
      </c>
      <c r="G602" s="0" t="n">
        <v>63.8</v>
      </c>
      <c r="H602" s="0" t="n">
        <v>61</v>
      </c>
      <c r="I602" s="46" t="s">
        <v>152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51" t="n">
        <v>46247</v>
      </c>
      <c r="X602" s="46" t="n">
        <f aca="false">IF(I602="Male",0,1)</f>
        <v>1</v>
      </c>
      <c r="Y602" s="46" t="n">
        <f aca="false">IF(OR(I602="DNB",I602="Dry DNB"),1,0)</f>
        <v>0</v>
      </c>
      <c r="Z602" s="46" t="n">
        <f aca="false">IF(ISNUMBER(W602),A602-W602,"")</f>
        <v>62</v>
      </c>
      <c r="AA602" s="46" t="n">
        <f aca="false">MATCH(A602,DATAS,0)</f>
        <v>1</v>
      </c>
      <c r="AB602" s="46" t="n">
        <f aca="false">IF(AND(E602&gt;0,OR(AND(B602&gt;=1,B602&lt;=6),B602=10)),1,0)</f>
        <v>1</v>
      </c>
      <c r="AC602" s="46" t="n">
        <f aca="false">IF(AND(E602&gt;0,B602=10),1,0)</f>
        <v>0</v>
      </c>
      <c r="AD602" s="0" t="str">
        <f aca="false">IF(AND(C601=C602,AA601=AA602-1),AB601,"")</f>
        <v/>
      </c>
      <c r="AE602" s="0" t="str">
        <f aca="false">IF(AND(C601=C602,AA601=AA602-1),AC601,"")</f>
        <v/>
      </c>
      <c r="AF602" s="0" t="str">
        <f aca="false">IF(AA602=1,"",IF(AND(AB602=1,AD602&lt;&gt;1),1,0))</f>
        <v/>
      </c>
      <c r="AG602" s="0" t="str">
        <f aca="false">IF(AA602=1,"",IF(AND(AC602=1,AE602&lt;&gt;1),1,0))</f>
        <v/>
      </c>
      <c r="AH602" s="51" t="str">
        <f aca="false">IF(AND(E602&gt;0,AA602&lt;1,NOT(AND(C603=C602,AA603=AA602+1))),INDEX(DATAS,AA602+1),"")</f>
        <v/>
      </c>
      <c r="AI602" s="51" t="str">
        <f aca="false">IF(AND(AC602=1,AA602&lt;1),IF(AND(C603=C602,AA603=AA602+1),IF(AC603=1,"",INDEX(DATAS,AA602+1)),INDEX(DATAS,AA602+1)),"")</f>
        <v/>
      </c>
    </row>
    <row r="603" customFormat="false" ht="15" hidden="false" customHeight="false" outlineLevel="0" collapsed="false">
      <c r="A603" s="51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46" t="s">
        <v>573</v>
      </c>
      <c r="G603" s="0" t="n">
        <v>46.4</v>
      </c>
      <c r="H603" s="0" t="n">
        <v>44</v>
      </c>
      <c r="I603" s="46" t="s">
        <v>152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51" t="n">
        <v>46100</v>
      </c>
      <c r="X603" s="46" t="n">
        <f aca="false">IF(I603="Male",0,1)</f>
        <v>1</v>
      </c>
      <c r="Y603" s="46" t="n">
        <f aca="false">IF(OR(I603="DNB",I603="Dry DNB"),1,0)</f>
        <v>0</v>
      </c>
      <c r="Z603" s="46" t="n">
        <f aca="false">IF(ISNUMBER(W603),A603-W603,"")</f>
        <v>209</v>
      </c>
      <c r="AA603" s="46" t="n">
        <f aca="false">MATCH(A603,DATAS,0)</f>
        <v>1</v>
      </c>
      <c r="AB603" s="46" t="n">
        <f aca="false">IF(AND(E603&gt;0,OR(AND(B603&gt;=1,B603&lt;=6),B603=10)),1,0)</f>
        <v>1</v>
      </c>
      <c r="AC603" s="46" t="n">
        <f aca="false">IF(AND(E603&gt;0,B603=10),1,0)</f>
        <v>0</v>
      </c>
      <c r="AD603" s="0" t="str">
        <f aca="false">IF(AND(C602=C603,AA602=AA603-1),AB602,"")</f>
        <v/>
      </c>
      <c r="AE603" s="0" t="str">
        <f aca="false">IF(AND(C602=C603,AA602=AA603-1),AC602,"")</f>
        <v/>
      </c>
      <c r="AF603" s="0" t="str">
        <f aca="false">IF(AA603=1,"",IF(AND(AB603=1,AD603&lt;&gt;1),1,0))</f>
        <v/>
      </c>
      <c r="AG603" s="0" t="str">
        <f aca="false">IF(AA603=1,"",IF(AND(AC603=1,AE603&lt;&gt;1),1,0))</f>
        <v/>
      </c>
      <c r="AH603" s="51" t="str">
        <f aca="false">IF(AND(E603&gt;0,AA603&lt;1,NOT(AND(C604=C603,AA604=AA603+1))),INDEX(DATAS,AA603+1),"")</f>
        <v/>
      </c>
      <c r="AI603" s="51" t="str">
        <f aca="false">IF(AND(AC603=1,AA603&lt;1),IF(AND(C604=C603,AA604=AA603+1),IF(AC604=1,"",INDEX(DATAS,AA603+1)),INDEX(DATAS,AA603+1)),"")</f>
        <v/>
      </c>
    </row>
    <row r="604" customFormat="false" ht="15" hidden="false" customHeight="false" outlineLevel="0" collapsed="false">
      <c r="A604" s="51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46" t="s">
        <v>574</v>
      </c>
      <c r="G604" s="0" t="n">
        <v>40.2</v>
      </c>
      <c r="H604" s="0" t="n">
        <v>35</v>
      </c>
      <c r="I604" s="46" t="s">
        <v>189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51" t="n">
        <v>46219</v>
      </c>
      <c r="X604" s="46" t="n">
        <f aca="false">IF(I604="Male",0,1)</f>
        <v>1</v>
      </c>
      <c r="Y604" s="46" t="n">
        <f aca="false">IF(OR(I604="DNB",I604="Dry DNB"),1,0)</f>
        <v>0</v>
      </c>
      <c r="Z604" s="46" t="n">
        <f aca="false">IF(ISNUMBER(W604),A604-W604,"")</f>
        <v>90</v>
      </c>
      <c r="AA604" s="46" t="n">
        <f aca="false">MATCH(A604,DATAS,0)</f>
        <v>1</v>
      </c>
      <c r="AB604" s="46" t="n">
        <f aca="false">IF(AND(E604&gt;0,OR(AND(B604&gt;=1,B604&lt;=6),B604=10)),1,0)</f>
        <v>1</v>
      </c>
      <c r="AC604" s="46" t="n">
        <f aca="false">IF(AND(E604&gt;0,B604=10),1,0)</f>
        <v>0</v>
      </c>
      <c r="AD604" s="0" t="str">
        <f aca="false">IF(AND(C603=C604,AA603=AA604-1),AB603,"")</f>
        <v/>
      </c>
      <c r="AE604" s="0" t="str">
        <f aca="false">IF(AND(C603=C604,AA603=AA604-1),AC603,"")</f>
        <v/>
      </c>
      <c r="AF604" s="0" t="str">
        <f aca="false">IF(AA604=1,"",IF(AND(AB604=1,AD604&lt;&gt;1),1,0))</f>
        <v/>
      </c>
      <c r="AG604" s="0" t="str">
        <f aca="false">IF(AA604=1,"",IF(AND(AC604=1,AE604&lt;&gt;1),1,0))</f>
        <v/>
      </c>
      <c r="AH604" s="51" t="str">
        <f aca="false">IF(AND(E604&gt;0,AA604&lt;1,NOT(AND(C605=C604,AA605=AA604+1))),INDEX(DATAS,AA604+1),"")</f>
        <v/>
      </c>
      <c r="AI604" s="51" t="str">
        <f aca="false">IF(AND(AC604=1,AA604&lt;1),IF(AND(C605=C604,AA605=AA604+1),IF(AC605=1,"",INDEX(DATAS,AA604+1)),INDEX(DATAS,AA604+1)),"")</f>
        <v/>
      </c>
    </row>
    <row r="605" customFormat="false" ht="15" hidden="false" customHeight="false" outlineLevel="0" collapsed="false">
      <c r="A605" s="51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46" t="s">
        <v>574</v>
      </c>
      <c r="G605" s="0" t="n">
        <v>29.5</v>
      </c>
      <c r="H605" s="0" t="n">
        <v>27</v>
      </c>
      <c r="I605" s="46" t="s">
        <v>152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51" t="n">
        <v>46163</v>
      </c>
      <c r="X605" s="46" t="n">
        <f aca="false">IF(I605="Male",0,1)</f>
        <v>1</v>
      </c>
      <c r="Y605" s="46" t="n">
        <f aca="false">IF(OR(I605="DNB",I605="Dry DNB"),1,0)</f>
        <v>0</v>
      </c>
      <c r="Z605" s="46" t="n">
        <f aca="false">IF(ISNUMBER(W605),A605-W605,"")</f>
        <v>146</v>
      </c>
      <c r="AA605" s="46" t="n">
        <f aca="false">MATCH(A605,DATAS,0)</f>
        <v>1</v>
      </c>
      <c r="AB605" s="46" t="n">
        <f aca="false">IF(AND(E605&gt;0,OR(AND(B605&gt;=1,B605&lt;=6),B605=10)),1,0)</f>
        <v>1</v>
      </c>
      <c r="AC605" s="46" t="n">
        <f aca="false">IF(AND(E605&gt;0,B605=10),1,0)</f>
        <v>0</v>
      </c>
      <c r="AD605" s="0" t="str">
        <f aca="false">IF(AND(C604=C605,AA604=AA605-1),AB604,"")</f>
        <v/>
      </c>
      <c r="AE605" s="0" t="str">
        <f aca="false">IF(AND(C604=C605,AA604=AA605-1),AC604,"")</f>
        <v/>
      </c>
      <c r="AF605" s="0" t="str">
        <f aca="false">IF(AA605=1,"",IF(AND(AB605=1,AD605&lt;&gt;1),1,0))</f>
        <v/>
      </c>
      <c r="AG605" s="0" t="str">
        <f aca="false">IF(AA605=1,"",IF(AND(AC605=1,AE605&lt;&gt;1),1,0))</f>
        <v/>
      </c>
      <c r="AH605" s="51" t="str">
        <f aca="false">IF(AND(E605&gt;0,AA605&lt;1,NOT(AND(C606=C605,AA606=AA605+1))),INDEX(DATAS,AA605+1),"")</f>
        <v/>
      </c>
      <c r="AI605" s="51" t="str">
        <f aca="false">IF(AND(AC605=1,AA605&lt;1),IF(AND(C606=C605,AA606=AA605+1),IF(AC606=1,"",INDEX(DATAS,AA605+1)),INDEX(DATAS,AA605+1)),"")</f>
        <v/>
      </c>
    </row>
    <row r="606" customFormat="false" ht="15" hidden="false" customHeight="false" outlineLevel="0" collapsed="false">
      <c r="A606" s="51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46" t="s">
        <v>574</v>
      </c>
      <c r="G606" s="0" t="n">
        <v>48.1</v>
      </c>
      <c r="H606" s="0" t="n">
        <v>58</v>
      </c>
      <c r="I606" s="46" t="s">
        <v>181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51" t="n">
        <v>46310</v>
      </c>
      <c r="X606" s="46" t="n">
        <f aca="false">IF(I606="Male",0,1)</f>
        <v>1</v>
      </c>
      <c r="Y606" s="46" t="n">
        <f aca="false">IF(OR(I606="DNB",I606="Dry DNB"),1,0)</f>
        <v>0</v>
      </c>
      <c r="Z606" s="46" t="n">
        <f aca="false">IF(ISNUMBER(W606),A606-W606,"")</f>
        <v>-1</v>
      </c>
      <c r="AA606" s="46" t="n">
        <f aca="false">MATCH(A606,DATAS,0)</f>
        <v>1</v>
      </c>
      <c r="AB606" s="46" t="n">
        <f aca="false">IF(AND(E606&gt;0,OR(AND(B606&gt;=1,B606&lt;=6),B606=10)),1,0)</f>
        <v>1</v>
      </c>
      <c r="AC606" s="46" t="n">
        <f aca="false">IF(AND(E606&gt;0,B606=10),1,0)</f>
        <v>0</v>
      </c>
      <c r="AD606" s="0" t="str">
        <f aca="false">IF(AND(C605=C606,AA605=AA606-1),AB605,"")</f>
        <v/>
      </c>
      <c r="AE606" s="0" t="str">
        <f aca="false">IF(AND(C605=C606,AA605=AA606-1),AC605,"")</f>
        <v/>
      </c>
      <c r="AF606" s="0" t="str">
        <f aca="false">IF(AA606=1,"",IF(AND(AB606=1,AD606&lt;&gt;1),1,0))</f>
        <v/>
      </c>
      <c r="AG606" s="0" t="str">
        <f aca="false">IF(AA606=1,"",IF(AND(AC606=1,AE606&lt;&gt;1),1,0))</f>
        <v/>
      </c>
      <c r="AH606" s="51" t="str">
        <f aca="false">IF(AND(E606&gt;0,AA606&lt;1,NOT(AND(C607=C606,AA607=AA606+1))),INDEX(DATAS,AA606+1),"")</f>
        <v/>
      </c>
      <c r="AI606" s="51" t="str">
        <f aca="false">IF(AND(AC606=1,AA606&lt;1),IF(AND(C607=C606,AA607=AA606+1),IF(AC607=1,"",INDEX(DATAS,AA606+1)),INDEX(DATAS,AA606+1)),"")</f>
        <v/>
      </c>
    </row>
    <row r="607" customFormat="false" ht="15" hidden="false" customHeight="false" outlineLevel="0" collapsed="false">
      <c r="A607" s="51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46" t="s">
        <v>575</v>
      </c>
      <c r="G607" s="0" t="n">
        <v>76.3</v>
      </c>
      <c r="H607" s="0" t="n">
        <v>75</v>
      </c>
      <c r="I607" s="46" t="s">
        <v>161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X607" s="46" t="n">
        <f aca="false">IF(I607="Male",0,1)</f>
        <v>1</v>
      </c>
      <c r="Y607" s="46" t="n">
        <f aca="false">IF(OR(I607="DNB",I607="Dry DNB"),1,0)</f>
        <v>0</v>
      </c>
      <c r="Z607" s="0" t="str">
        <f aca="false">IF(ISNUMBER(W607),A607-W607,"")</f>
        <v/>
      </c>
      <c r="AA607" s="46" t="n">
        <f aca="false">MATCH(A607,DATAS,0)</f>
        <v>1</v>
      </c>
      <c r="AB607" s="46" t="n">
        <f aca="false">IF(AND(E607&gt;0,OR(AND(B607&gt;=1,B607&lt;=6),B607=10)),1,0)</f>
        <v>1</v>
      </c>
      <c r="AC607" s="46" t="n">
        <f aca="false">IF(AND(E607&gt;0,B607=10),1,0)</f>
        <v>0</v>
      </c>
      <c r="AD607" s="0" t="str">
        <f aca="false">IF(AND(C606=C607,AA606=AA607-1),AB606,"")</f>
        <v/>
      </c>
      <c r="AE607" s="0" t="str">
        <f aca="false">IF(AND(C606=C607,AA606=AA607-1),AC606,"")</f>
        <v/>
      </c>
      <c r="AF607" s="0" t="str">
        <f aca="false">IF(AA607=1,"",IF(AND(AB607=1,AD607&lt;&gt;1),1,0))</f>
        <v/>
      </c>
      <c r="AG607" s="0" t="str">
        <f aca="false">IF(AA607=1,"",IF(AND(AC607=1,AE607&lt;&gt;1),1,0))</f>
        <v/>
      </c>
      <c r="AH607" s="51" t="str">
        <f aca="false">IF(AND(E607&gt;0,AA607&lt;1,NOT(AND(C608=C607,AA608=AA607+1))),INDEX(DATAS,AA607+1),"")</f>
        <v/>
      </c>
      <c r="AI607" s="51" t="str">
        <f aca="false">IF(AND(AC607=1,AA607&lt;1),IF(AND(C608=C607,AA608=AA607+1),IF(AC608=1,"",INDEX(DATAS,AA607+1)),INDEX(DATAS,AA607+1)),"")</f>
        <v/>
      </c>
    </row>
    <row r="608" customFormat="false" ht="15" hidden="false" customHeight="false" outlineLevel="0" collapsed="false">
      <c r="A608" s="51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46" t="s">
        <v>575</v>
      </c>
      <c r="G608" s="0" t="n">
        <v>59.8</v>
      </c>
      <c r="H608" s="0" t="n">
        <v>60</v>
      </c>
      <c r="I608" s="46" t="s">
        <v>161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X608" s="46" t="n">
        <f aca="false">IF(I608="Male",0,1)</f>
        <v>1</v>
      </c>
      <c r="Y608" s="46" t="n">
        <f aca="false">IF(OR(I608="DNB",I608="Dry DNB"),1,0)</f>
        <v>0</v>
      </c>
      <c r="Z608" s="0" t="str">
        <f aca="false">IF(ISNUMBER(W608),A608-W608,"")</f>
        <v/>
      </c>
      <c r="AA608" s="46" t="n">
        <f aca="false">MATCH(A608,DATAS,0)</f>
        <v>1</v>
      </c>
      <c r="AB608" s="46" t="n">
        <f aca="false">IF(AND(E608&gt;0,OR(AND(B608&gt;=1,B608&lt;=6),B608=10)),1,0)</f>
        <v>1</v>
      </c>
      <c r="AC608" s="46" t="n">
        <f aca="false">IF(AND(E608&gt;0,B608=10),1,0)</f>
        <v>0</v>
      </c>
      <c r="AD608" s="0" t="str">
        <f aca="false">IF(AND(C607=C608,AA607=AA608-1),AB607,"")</f>
        <v/>
      </c>
      <c r="AE608" s="0" t="str">
        <f aca="false">IF(AND(C607=C608,AA607=AA608-1),AC607,"")</f>
        <v/>
      </c>
      <c r="AF608" s="0" t="str">
        <f aca="false">IF(AA608=1,"",IF(AND(AB608=1,AD608&lt;&gt;1),1,0))</f>
        <v/>
      </c>
      <c r="AG608" s="0" t="str">
        <f aca="false">IF(AA608=1,"",IF(AND(AC608=1,AE608&lt;&gt;1),1,0))</f>
        <v/>
      </c>
      <c r="AH608" s="51" t="str">
        <f aca="false">IF(AND(E608&gt;0,AA608&lt;1,NOT(AND(C609=C608,AA609=AA608+1))),INDEX(DATAS,AA608+1),"")</f>
        <v/>
      </c>
      <c r="AI608" s="51" t="str">
        <f aca="false">IF(AND(AC608=1,AA608&lt;1),IF(AND(C609=C608,AA609=AA608+1),IF(AC609=1,"",INDEX(DATAS,AA608+1)),INDEX(DATAS,AA608+1)),"")</f>
        <v/>
      </c>
    </row>
    <row r="609" customFormat="false" ht="15" hidden="false" customHeight="false" outlineLevel="0" collapsed="false">
      <c r="A609" s="51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46" t="s">
        <v>575</v>
      </c>
      <c r="H609" s="0" t="n">
        <v>8</v>
      </c>
      <c r="I609" s="46" t="s">
        <v>157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51" t="n">
        <v>46233</v>
      </c>
      <c r="X609" s="46" t="n">
        <f aca="false">IF(I609="Male",0,1)</f>
        <v>1</v>
      </c>
      <c r="Y609" s="46" t="n">
        <f aca="false">IF(OR(I609="DNB",I609="Dry DNB"),1,0)</f>
        <v>0</v>
      </c>
      <c r="Z609" s="46" t="n">
        <f aca="false">IF(ISNUMBER(W609),A609-W609,"")</f>
        <v>76</v>
      </c>
      <c r="AA609" s="46" t="n">
        <f aca="false">MATCH(A609,DATAS,0)</f>
        <v>1</v>
      </c>
      <c r="AB609" s="46" t="n">
        <f aca="false">IF(AND(E609&gt;0,OR(AND(B609&gt;=1,B609&lt;=6),B609=10)),1,0)</f>
        <v>0</v>
      </c>
      <c r="AC609" s="46" t="n">
        <f aca="false">IF(AND(E609&gt;0,B609=10),1,0)</f>
        <v>0</v>
      </c>
      <c r="AD609" s="0" t="str">
        <f aca="false">IF(AND(C608=C609,AA608=AA609-1),AB608,"")</f>
        <v/>
      </c>
      <c r="AE609" s="0" t="str">
        <f aca="false">IF(AND(C608=C609,AA608=AA609-1),AC608,"")</f>
        <v/>
      </c>
      <c r="AF609" s="0" t="str">
        <f aca="false">IF(AA609=1,"",IF(AND(AB609=1,AD609&lt;&gt;1),1,0))</f>
        <v/>
      </c>
      <c r="AG609" s="0" t="str">
        <f aca="false">IF(AA609=1,"",IF(AND(AC609=1,AE609&lt;&gt;1),1,0))</f>
        <v/>
      </c>
      <c r="AH609" s="51" t="str">
        <f aca="false">IF(AND(E609&gt;0,AA609&lt;1,NOT(AND(C610=C609,AA610=AA609+1))),INDEX(DATAS,AA609+1),"")</f>
        <v/>
      </c>
      <c r="AI609" s="51" t="str">
        <f aca="false">IF(AND(AC609=1,AA609&lt;1),IF(AND(C610=C609,AA610=AA609+1),IF(AC610=1,"",INDEX(DATAS,AA609+1)),INDEX(DATAS,AA609+1)),"")</f>
        <v/>
      </c>
    </row>
    <row r="610" customFormat="false" ht="15" hidden="false" customHeight="false" outlineLevel="0" collapsed="false">
      <c r="A610" s="51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46" t="s">
        <v>575</v>
      </c>
      <c r="H610" s="0" t="n">
        <v>23</v>
      </c>
      <c r="I610" s="46" t="s">
        <v>161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X610" s="46" t="n">
        <f aca="false">IF(I610="Male",0,1)</f>
        <v>1</v>
      </c>
      <c r="Y610" s="46" t="n">
        <f aca="false">IF(OR(I610="DNB",I610="Dry DNB"),1,0)</f>
        <v>0</v>
      </c>
      <c r="Z610" s="0" t="str">
        <f aca="false">IF(ISNUMBER(W610),A610-W610,"")</f>
        <v/>
      </c>
      <c r="AA610" s="46" t="n">
        <f aca="false">MATCH(A610,DATAS,0)</f>
        <v>1</v>
      </c>
      <c r="AB610" s="46" t="n">
        <f aca="false">IF(AND(E610&gt;0,OR(AND(B610&gt;=1,B610&lt;=6),B610=10)),1,0)</f>
        <v>1</v>
      </c>
      <c r="AC610" s="46" t="n">
        <f aca="false">IF(AND(E610&gt;0,B610=10),1,0)</f>
        <v>1</v>
      </c>
      <c r="AD610" s="0" t="str">
        <f aca="false">IF(AND(C609=C610,AA609=AA610-1),AB609,"")</f>
        <v/>
      </c>
      <c r="AE610" s="0" t="str">
        <f aca="false">IF(AND(C609=C610,AA609=AA610-1),AC609,"")</f>
        <v/>
      </c>
      <c r="AF610" s="0" t="str">
        <f aca="false">IF(AA610=1,"",IF(AND(AB610=1,AD610&lt;&gt;1),1,0))</f>
        <v/>
      </c>
      <c r="AG610" s="0" t="str">
        <f aca="false">IF(AA610=1,"",IF(AND(AC610=1,AE610&lt;&gt;1),1,0))</f>
        <v/>
      </c>
      <c r="AH610" s="51" t="str">
        <f aca="false">IF(AND(E610&gt;0,AA610&lt;1,NOT(AND(C611=C610,AA611=AA610+1))),INDEX(DATAS,AA610+1),"")</f>
        <v/>
      </c>
      <c r="AI610" s="51" t="str">
        <f aca="false">IF(AND(AC610=1,AA610&lt;1),IF(AND(C611=C610,AA611=AA610+1),IF(AC611=1,"",INDEX(DATAS,AA610+1)),INDEX(DATAS,AA610+1)),"")</f>
        <v/>
      </c>
    </row>
    <row r="611" customFormat="false" ht="15" hidden="false" customHeight="false" outlineLevel="0" collapsed="false">
      <c r="A611" s="51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46" t="s">
        <v>576</v>
      </c>
      <c r="G611" s="0" t="n">
        <v>54.9</v>
      </c>
      <c r="H611" s="0" t="n">
        <v>54</v>
      </c>
      <c r="I611" s="46" t="s">
        <v>152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51" t="n">
        <v>46128</v>
      </c>
      <c r="X611" s="46" t="n">
        <f aca="false">IF(I611="Male",0,1)</f>
        <v>1</v>
      </c>
      <c r="Y611" s="46" t="n">
        <f aca="false">IF(OR(I611="DNB",I611="Dry DNB"),1,0)</f>
        <v>0</v>
      </c>
      <c r="Z611" s="46" t="n">
        <f aca="false">IF(ISNUMBER(W611),A611-W611,"")</f>
        <v>181</v>
      </c>
      <c r="AA611" s="46" t="n">
        <f aca="false">MATCH(A611,DATAS,0)</f>
        <v>1</v>
      </c>
      <c r="AB611" s="46" t="n">
        <f aca="false">IF(AND(E611&gt;0,OR(AND(B611&gt;=1,B611&lt;=6),B611=10)),1,0)</f>
        <v>1</v>
      </c>
      <c r="AC611" s="46" t="n">
        <f aca="false">IF(AND(E611&gt;0,B611=10),1,0)</f>
        <v>0</v>
      </c>
      <c r="AD611" s="0" t="str">
        <f aca="false">IF(AND(C610=C611,AA610=AA611-1),AB610,"")</f>
        <v/>
      </c>
      <c r="AE611" s="0" t="str">
        <f aca="false">IF(AND(C610=C611,AA610=AA611-1),AC610,"")</f>
        <v/>
      </c>
      <c r="AF611" s="0" t="str">
        <f aca="false">IF(AA611=1,"",IF(AND(AB611=1,AD611&lt;&gt;1),1,0))</f>
        <v/>
      </c>
      <c r="AG611" s="0" t="str">
        <f aca="false">IF(AA611=1,"",IF(AND(AC611=1,AE611&lt;&gt;1),1,0))</f>
        <v/>
      </c>
      <c r="AH611" s="51" t="str">
        <f aca="false">IF(AND(E611&gt;0,AA611&lt;1,NOT(AND(C612=C611,AA612=AA611+1))),INDEX(DATAS,AA611+1),"")</f>
        <v/>
      </c>
      <c r="AI611" s="51" t="str">
        <f aca="false">IF(AND(AC611=1,AA611&lt;1),IF(AND(C612=C611,AA612=AA611+1),IF(AC612=1,"",INDEX(DATAS,AA611+1)),INDEX(DATAS,AA611+1)),"")</f>
        <v/>
      </c>
    </row>
    <row r="612" customFormat="false" ht="15" hidden="false" customHeight="false" outlineLevel="0" collapsed="false">
      <c r="A612" s="51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46" t="s">
        <v>576</v>
      </c>
      <c r="G612" s="0" t="n">
        <v>29.3</v>
      </c>
      <c r="H612" s="0" t="n">
        <v>28</v>
      </c>
      <c r="I612" s="46" t="s">
        <v>189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51" t="n">
        <v>46268</v>
      </c>
      <c r="X612" s="46" t="n">
        <f aca="false">IF(I612="Male",0,1)</f>
        <v>1</v>
      </c>
      <c r="Y612" s="46" t="n">
        <f aca="false">IF(OR(I612="DNB",I612="Dry DNB"),1,0)</f>
        <v>0</v>
      </c>
      <c r="Z612" s="46" t="n">
        <f aca="false">IF(ISNUMBER(W612),A612-W612,"")</f>
        <v>41</v>
      </c>
      <c r="AA612" s="46" t="n">
        <f aca="false">MATCH(A612,DATAS,0)</f>
        <v>1</v>
      </c>
      <c r="AB612" s="46" t="n">
        <f aca="false">IF(AND(E612&gt;0,OR(AND(B612&gt;=1,B612&lt;=6),B612=10)),1,0)</f>
        <v>1</v>
      </c>
      <c r="AC612" s="46" t="n">
        <f aca="false">IF(AND(E612&gt;0,B612=10),1,0)</f>
        <v>0</v>
      </c>
      <c r="AD612" s="0" t="str">
        <f aca="false">IF(AND(C611=C612,AA611=AA612-1),AB611,"")</f>
        <v/>
      </c>
      <c r="AE612" s="0" t="str">
        <f aca="false">IF(AND(C611=C612,AA611=AA612-1),AC611,"")</f>
        <v/>
      </c>
      <c r="AF612" s="0" t="str">
        <f aca="false">IF(AA612=1,"",IF(AND(AB612=1,AD612&lt;&gt;1),1,0))</f>
        <v/>
      </c>
      <c r="AG612" s="0" t="str">
        <f aca="false">IF(AA612=1,"",IF(AND(AC612=1,AE612&lt;&gt;1),1,0))</f>
        <v/>
      </c>
      <c r="AH612" s="51" t="str">
        <f aca="false">IF(AND(E612&gt;0,AA612&lt;1,NOT(AND(C613=C612,AA613=AA612+1))),INDEX(DATAS,AA612+1),"")</f>
        <v/>
      </c>
      <c r="AI612" s="51" t="str">
        <f aca="false">IF(AND(AC612=1,AA612&lt;1),IF(AND(C613=C612,AA613=AA612+1),IF(AC613=1,"",INDEX(DATAS,AA612+1)),INDEX(DATAS,AA612+1)),"")</f>
        <v/>
      </c>
    </row>
    <row r="613" customFormat="false" ht="15" hidden="false" customHeight="false" outlineLevel="0" collapsed="false">
      <c r="A613" s="51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46" t="s">
        <v>576</v>
      </c>
      <c r="G613" s="0" t="n">
        <v>44.8</v>
      </c>
      <c r="H613" s="0" t="n">
        <v>41</v>
      </c>
      <c r="I613" s="46" t="s">
        <v>152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51" t="n">
        <v>46268</v>
      </c>
      <c r="X613" s="46" t="n">
        <f aca="false">IF(I613="Male",0,1)</f>
        <v>1</v>
      </c>
      <c r="Y613" s="46" t="n">
        <f aca="false">IF(OR(I613="DNB",I613="Dry DNB"),1,0)</f>
        <v>0</v>
      </c>
      <c r="Z613" s="46" t="n">
        <f aca="false">IF(ISNUMBER(W613),A613-W613,"")</f>
        <v>41</v>
      </c>
      <c r="AA613" s="46" t="n">
        <f aca="false">MATCH(A613,DATAS,0)</f>
        <v>1</v>
      </c>
      <c r="AB613" s="46" t="n">
        <f aca="false">IF(AND(E613&gt;0,OR(AND(B613&gt;=1,B613&lt;=6),B613=10)),1,0)</f>
        <v>1</v>
      </c>
      <c r="AC613" s="46" t="n">
        <f aca="false">IF(AND(E613&gt;0,B613=10),1,0)</f>
        <v>0</v>
      </c>
      <c r="AD613" s="0" t="str">
        <f aca="false">IF(AND(C612=C613,AA612=AA613-1),AB612,"")</f>
        <v/>
      </c>
      <c r="AE613" s="0" t="str">
        <f aca="false">IF(AND(C612=C613,AA612=AA613-1),AC612,"")</f>
        <v/>
      </c>
      <c r="AF613" s="0" t="str">
        <f aca="false">IF(AA613=1,"",IF(AND(AB613=1,AD613&lt;&gt;1),1,0))</f>
        <v/>
      </c>
      <c r="AG613" s="0" t="str">
        <f aca="false">IF(AA613=1,"",IF(AND(AC613=1,AE613&lt;&gt;1),1,0))</f>
        <v/>
      </c>
      <c r="AH613" s="51" t="str">
        <f aca="false">IF(AND(E613&gt;0,AA613&lt;1,NOT(AND(C614=C613,AA614=AA613+1))),INDEX(DATAS,AA613+1),"")</f>
        <v/>
      </c>
      <c r="AI613" s="51" t="str">
        <f aca="false">IF(AND(AC613=1,AA613&lt;1),IF(AND(C614=C613,AA614=AA613+1),IF(AC614=1,"",INDEX(DATAS,AA613+1)),INDEX(DATAS,AA613+1)),"")</f>
        <v/>
      </c>
    </row>
    <row r="614" customFormat="false" ht="15" hidden="false" customHeight="false" outlineLevel="0" collapsed="false">
      <c r="A614" s="51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46" t="s">
        <v>576</v>
      </c>
      <c r="G614" s="0" t="n">
        <v>55.7</v>
      </c>
      <c r="H614" s="0" t="n">
        <v>59</v>
      </c>
      <c r="I614" s="46" t="s">
        <v>152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51" t="n">
        <v>46247</v>
      </c>
      <c r="X614" s="46" t="n">
        <f aca="false">IF(I614="Male",0,1)</f>
        <v>1</v>
      </c>
      <c r="Y614" s="46" t="n">
        <f aca="false">IF(OR(I614="DNB",I614="Dry DNB"),1,0)</f>
        <v>0</v>
      </c>
      <c r="Z614" s="46" t="n">
        <f aca="false">IF(ISNUMBER(W614),A614-W614,"")</f>
        <v>62</v>
      </c>
      <c r="AA614" s="46" t="n">
        <f aca="false">MATCH(A614,DATAS,0)</f>
        <v>1</v>
      </c>
      <c r="AB614" s="46" t="n">
        <f aca="false">IF(AND(E614&gt;0,OR(AND(B614&gt;=1,B614&lt;=6),B614=10)),1,0)</f>
        <v>1</v>
      </c>
      <c r="AC614" s="46" t="n">
        <f aca="false">IF(AND(E614&gt;0,B614=10),1,0)</f>
        <v>0</v>
      </c>
      <c r="AD614" s="0" t="str">
        <f aca="false">IF(AND(C613=C614,AA613=AA614-1),AB613,"")</f>
        <v/>
      </c>
      <c r="AE614" s="0" t="str">
        <f aca="false">IF(AND(C613=C614,AA613=AA614-1),AC613,"")</f>
        <v/>
      </c>
      <c r="AF614" s="0" t="str">
        <f aca="false">IF(AA614=1,"",IF(AND(AB614=1,AD614&lt;&gt;1),1,0))</f>
        <v/>
      </c>
      <c r="AG614" s="0" t="str">
        <f aca="false">IF(AA614=1,"",IF(AND(AC614=1,AE614&lt;&gt;1),1,0))</f>
        <v/>
      </c>
      <c r="AH614" s="51" t="str">
        <f aca="false">IF(AND(E614&gt;0,AA614&lt;1,NOT(AND(C615=C614,AA615=AA614+1))),INDEX(DATAS,AA614+1),"")</f>
        <v/>
      </c>
      <c r="AI614" s="51" t="str">
        <f aca="false">IF(AND(AC614=1,AA614&lt;1),IF(AND(C615=C614,AA615=AA614+1),IF(AC615=1,"",INDEX(DATAS,AA614+1)),INDEX(DATAS,AA614+1)),"")</f>
        <v/>
      </c>
    </row>
    <row r="615" customFormat="false" ht="15" hidden="false" customHeight="false" outlineLevel="0" collapsed="false">
      <c r="A615" s="51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46" t="s">
        <v>576</v>
      </c>
      <c r="I615" s="46" t="s">
        <v>157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X615" s="46" t="n">
        <f aca="false">IF(I615="Male",0,1)</f>
        <v>1</v>
      </c>
      <c r="Y615" s="46" t="n">
        <f aca="false">IF(OR(I615="DNB",I615="Dry DNB"),1,0)</f>
        <v>0</v>
      </c>
      <c r="Z615" s="0" t="str">
        <f aca="false">IF(ISNUMBER(W615),A615-W615,"")</f>
        <v/>
      </c>
      <c r="AA615" s="46" t="n">
        <f aca="false">MATCH(A615,DATAS,0)</f>
        <v>1</v>
      </c>
      <c r="AB615" s="46" t="n">
        <f aca="false">IF(AND(E615&gt;0,OR(AND(B615&gt;=1,B615&lt;=6),B615=10)),1,0)</f>
        <v>0</v>
      </c>
      <c r="AC615" s="46" t="n">
        <f aca="false">IF(AND(E615&gt;0,B615=10),1,0)</f>
        <v>0</v>
      </c>
      <c r="AD615" s="0" t="str">
        <f aca="false">IF(AND(C614=C615,AA614=AA615-1),AB614,"")</f>
        <v/>
      </c>
      <c r="AE615" s="0" t="str">
        <f aca="false">IF(AND(C614=C615,AA614=AA615-1),AC614,"")</f>
        <v/>
      </c>
      <c r="AF615" s="0" t="str">
        <f aca="false">IF(AA615=1,"",IF(AND(AB615=1,AD615&lt;&gt;1),1,0))</f>
        <v/>
      </c>
      <c r="AG615" s="0" t="str">
        <f aca="false">IF(AA615=1,"",IF(AND(AC615=1,AE615&lt;&gt;1),1,0))</f>
        <v/>
      </c>
      <c r="AH615" s="51" t="str">
        <f aca="false">IF(AND(E615&gt;0,AA615&lt;1,NOT(AND(C616=C615,AA616=AA615+1))),INDEX(DATAS,AA615+1),"")</f>
        <v/>
      </c>
      <c r="AI615" s="51" t="str">
        <f aca="false">IF(AND(AC615=1,AA615&lt;1),IF(AND(C616=C615,AA616=AA615+1),IF(AC616=1,"",INDEX(DATAS,AA615+1)),INDEX(DATAS,AA615+1)),"")</f>
        <v/>
      </c>
    </row>
    <row r="616" customFormat="false" ht="15" hidden="false" customHeight="false" outlineLevel="0" collapsed="false">
      <c r="A616" s="51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46" t="s">
        <v>577</v>
      </c>
      <c r="G616" s="0" t="n">
        <v>57.3</v>
      </c>
      <c r="H616" s="0" t="n">
        <v>56</v>
      </c>
      <c r="I616" s="46" t="s">
        <v>161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X616" s="46" t="n">
        <f aca="false">IF(I616="Male",0,1)</f>
        <v>1</v>
      </c>
      <c r="Y616" s="46" t="n">
        <f aca="false">IF(OR(I616="DNB",I616="Dry DNB"),1,0)</f>
        <v>0</v>
      </c>
      <c r="Z616" s="0" t="str">
        <f aca="false">IF(ISNUMBER(W616),A616-W616,"")</f>
        <v/>
      </c>
      <c r="AA616" s="46" t="n">
        <f aca="false">MATCH(A616,DATAS,0)</f>
        <v>1</v>
      </c>
      <c r="AB616" s="46" t="n">
        <f aca="false">IF(AND(E616&gt;0,OR(AND(B616&gt;=1,B616&lt;=6),B616=10)),1,0)</f>
        <v>1</v>
      </c>
      <c r="AC616" s="46" t="n">
        <f aca="false">IF(AND(E616&gt;0,B616=10),1,0)</f>
        <v>0</v>
      </c>
      <c r="AD616" s="0" t="str">
        <f aca="false">IF(AND(C615=C616,AA615=AA616-1),AB615,"")</f>
        <v/>
      </c>
      <c r="AE616" s="0" t="str">
        <f aca="false">IF(AND(C615=C616,AA615=AA616-1),AC615,"")</f>
        <v/>
      </c>
      <c r="AF616" s="0" t="str">
        <f aca="false">IF(AA616=1,"",IF(AND(AB616=1,AD616&lt;&gt;1),1,0))</f>
        <v/>
      </c>
      <c r="AG616" s="0" t="str">
        <f aca="false">IF(AA616=1,"",IF(AND(AC616=1,AE616&lt;&gt;1),1,0))</f>
        <v/>
      </c>
      <c r="AH616" s="51" t="str">
        <f aca="false">IF(AND(E616&gt;0,AA616&lt;1,NOT(AND(C617=C616,AA617=AA616+1))),INDEX(DATAS,AA616+1),"")</f>
        <v/>
      </c>
      <c r="AI616" s="51" t="str">
        <f aca="false">IF(AND(AC616=1,AA616&lt;1),IF(AND(C617=C616,AA617=AA616+1),IF(AC617=1,"",INDEX(DATAS,AA616+1)),INDEX(DATAS,AA616+1)),"")</f>
        <v/>
      </c>
    </row>
    <row r="617" customFormat="false" ht="15" hidden="false" customHeight="false" outlineLevel="0" collapsed="false">
      <c r="A617" s="51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46" t="s">
        <v>577</v>
      </c>
      <c r="G617" s="0" t="n">
        <v>26</v>
      </c>
      <c r="H617" s="0" t="n">
        <v>24</v>
      </c>
      <c r="I617" s="46" t="s">
        <v>152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51" t="n">
        <v>46163</v>
      </c>
      <c r="X617" s="46" t="n">
        <f aca="false">IF(I617="Male",0,1)</f>
        <v>1</v>
      </c>
      <c r="Y617" s="46" t="n">
        <f aca="false">IF(OR(I617="DNB",I617="Dry DNB"),1,0)</f>
        <v>0</v>
      </c>
      <c r="Z617" s="46" t="n">
        <f aca="false">IF(ISNUMBER(W617),A617-W617,"")</f>
        <v>146</v>
      </c>
      <c r="AA617" s="46" t="n">
        <f aca="false">MATCH(A617,DATAS,0)</f>
        <v>1</v>
      </c>
      <c r="AB617" s="46" t="n">
        <f aca="false">IF(AND(E617&gt;0,OR(AND(B617&gt;=1,B617&lt;=6),B617=10)),1,0)</f>
        <v>1</v>
      </c>
      <c r="AC617" s="46" t="n">
        <f aca="false">IF(AND(E617&gt;0,B617=10),1,0)</f>
        <v>0</v>
      </c>
      <c r="AD617" s="0" t="str">
        <f aca="false">IF(AND(C616=C617,AA616=AA617-1),AB616,"")</f>
        <v/>
      </c>
      <c r="AE617" s="0" t="str">
        <f aca="false">IF(AND(C616=C617,AA616=AA617-1),AC616,"")</f>
        <v/>
      </c>
      <c r="AF617" s="0" t="str">
        <f aca="false">IF(AA617=1,"",IF(AND(AB617=1,AD617&lt;&gt;1),1,0))</f>
        <v/>
      </c>
      <c r="AG617" s="0" t="str">
        <f aca="false">IF(AA617=1,"",IF(AND(AC617=1,AE617&lt;&gt;1),1,0))</f>
        <v/>
      </c>
      <c r="AH617" s="51" t="str">
        <f aca="false">IF(AND(E617&gt;0,AA617&lt;1,NOT(AND(C618=C617,AA618=AA617+1))),INDEX(DATAS,AA617+1),"")</f>
        <v/>
      </c>
      <c r="AI617" s="51" t="str">
        <f aca="false">IF(AND(AC617=1,AA617&lt;1),IF(AND(C618=C617,AA618=AA617+1),IF(AC618=1,"",INDEX(DATAS,AA617+1)),INDEX(DATAS,AA617+1)),"")</f>
        <v/>
      </c>
    </row>
    <row r="618" customFormat="false" ht="15" hidden="false" customHeight="false" outlineLevel="0" collapsed="false">
      <c r="A618" s="51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46" t="s">
        <v>578</v>
      </c>
      <c r="G618" s="0" t="n">
        <v>39</v>
      </c>
      <c r="H618" s="0" t="n">
        <v>47</v>
      </c>
      <c r="I618" s="46" t="s">
        <v>161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X618" s="46" t="n">
        <f aca="false">IF(I618="Male",0,1)</f>
        <v>1</v>
      </c>
      <c r="Y618" s="46" t="n">
        <f aca="false">IF(OR(I618="DNB",I618="Dry DNB"),1,0)</f>
        <v>0</v>
      </c>
      <c r="Z618" s="0" t="str">
        <f aca="false">IF(ISNUMBER(W618),A618-W618,"")</f>
        <v/>
      </c>
      <c r="AA618" s="46" t="n">
        <f aca="false">MATCH(A618,DATAS,0)</f>
        <v>1</v>
      </c>
      <c r="AB618" s="46" t="n">
        <f aca="false">IF(AND(E618&gt;0,OR(AND(B618&gt;=1,B618&lt;=6),B618=10)),1,0)</f>
        <v>1</v>
      </c>
      <c r="AC618" s="46" t="n">
        <f aca="false">IF(AND(E618&gt;0,B618=10),1,0)</f>
        <v>0</v>
      </c>
      <c r="AD618" s="0" t="str">
        <f aca="false">IF(AND(C617=C618,AA617=AA618-1),AB617,"")</f>
        <v/>
      </c>
      <c r="AE618" s="0" t="str">
        <f aca="false">IF(AND(C617=C618,AA617=AA618-1),AC617,"")</f>
        <v/>
      </c>
      <c r="AF618" s="0" t="str">
        <f aca="false">IF(AA618=1,"",IF(AND(AB618=1,AD618&lt;&gt;1),1,0))</f>
        <v/>
      </c>
      <c r="AG618" s="0" t="str">
        <f aca="false">IF(AA618=1,"",IF(AND(AC618=1,AE618&lt;&gt;1),1,0))</f>
        <v/>
      </c>
      <c r="AH618" s="51" t="str">
        <f aca="false">IF(AND(E618&gt;0,AA618&lt;1,NOT(AND(C619=C618,AA619=AA618+1))),INDEX(DATAS,AA618+1),"")</f>
        <v/>
      </c>
      <c r="AI618" s="51" t="str">
        <f aca="false">IF(AND(AC618=1,AA618&lt;1),IF(AND(C619=C618,AA619=AA618+1),IF(AC619=1,"",INDEX(DATAS,AA618+1)),INDEX(DATAS,AA618+1)),"")</f>
        <v/>
      </c>
    </row>
    <row r="619" customFormat="false" ht="15" hidden="false" customHeight="false" outlineLevel="0" collapsed="false">
      <c r="A619" s="51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46" t="s">
        <v>578</v>
      </c>
      <c r="G619" s="0" t="n">
        <v>32.8</v>
      </c>
      <c r="H619" s="0" t="n">
        <v>23</v>
      </c>
      <c r="I619" s="46" t="s">
        <v>161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X619" s="46" t="n">
        <f aca="false">IF(I619="Male",0,1)</f>
        <v>1</v>
      </c>
      <c r="Y619" s="46" t="n">
        <f aca="false">IF(OR(I619="DNB",I619="Dry DNB"),1,0)</f>
        <v>0</v>
      </c>
      <c r="Z619" s="0" t="str">
        <f aca="false">IF(ISNUMBER(W619),A619-W619,"")</f>
        <v/>
      </c>
      <c r="AA619" s="46" t="n">
        <f aca="false">MATCH(A619,DATAS,0)</f>
        <v>1</v>
      </c>
      <c r="AB619" s="46" t="n">
        <f aca="false">IF(AND(E619&gt;0,OR(AND(B619&gt;=1,B619&lt;=6),B619=10)),1,0)</f>
        <v>1</v>
      </c>
      <c r="AC619" s="46" t="n">
        <f aca="false">IF(AND(E619&gt;0,B619=10),1,0)</f>
        <v>0</v>
      </c>
      <c r="AD619" s="0" t="str">
        <f aca="false">IF(AND(C618=C619,AA618=AA619-1),AB618,"")</f>
        <v/>
      </c>
      <c r="AE619" s="0" t="str">
        <f aca="false">IF(AND(C618=C619,AA618=AA619-1),AC618,"")</f>
        <v/>
      </c>
      <c r="AF619" s="0" t="str">
        <f aca="false">IF(AA619=1,"",IF(AND(AB619=1,AD619&lt;&gt;1),1,0))</f>
        <v/>
      </c>
      <c r="AG619" s="0" t="str">
        <f aca="false">IF(AA619=1,"",IF(AND(AC619=1,AE619&lt;&gt;1),1,0))</f>
        <v/>
      </c>
      <c r="AH619" s="51" t="str">
        <f aca="false">IF(AND(E619&gt;0,AA619&lt;1,NOT(AND(C620=C619,AA620=AA619+1))),INDEX(DATAS,AA619+1),"")</f>
        <v/>
      </c>
      <c r="AI619" s="51" t="str">
        <f aca="false">IF(AND(AC619=1,AA619&lt;1),IF(AND(C620=C619,AA620=AA619+1),IF(AC620=1,"",INDEX(DATAS,AA619+1)),INDEX(DATAS,AA619+1)),"")</f>
        <v/>
      </c>
    </row>
    <row r="620" customFormat="false" ht="15" hidden="false" customHeight="false" outlineLevel="0" collapsed="false">
      <c r="A620" s="51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46" t="s">
        <v>578</v>
      </c>
      <c r="G620" s="0" t="n">
        <v>57.2</v>
      </c>
      <c r="H620" s="0" t="n">
        <v>53</v>
      </c>
      <c r="I620" s="46" t="s">
        <v>152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51" t="n">
        <v>46191</v>
      </c>
      <c r="X620" s="46" t="n">
        <f aca="false">IF(I620="Male",0,1)</f>
        <v>1</v>
      </c>
      <c r="Y620" s="46" t="n">
        <f aca="false">IF(OR(I620="DNB",I620="Dry DNB"),1,0)</f>
        <v>0</v>
      </c>
      <c r="Z620" s="46" t="n">
        <f aca="false">IF(ISNUMBER(W620),A620-W620,"")</f>
        <v>118</v>
      </c>
      <c r="AA620" s="46" t="n">
        <f aca="false">MATCH(A620,DATAS,0)</f>
        <v>1</v>
      </c>
      <c r="AB620" s="46" t="n">
        <f aca="false">IF(AND(E620&gt;0,OR(AND(B620&gt;=1,B620&lt;=6),B620=10)),1,0)</f>
        <v>1</v>
      </c>
      <c r="AC620" s="46" t="n">
        <f aca="false">IF(AND(E620&gt;0,B620=10),1,0)</f>
        <v>0</v>
      </c>
      <c r="AD620" s="0" t="str">
        <f aca="false">IF(AND(C619=C620,AA619=AA620-1),AB619,"")</f>
        <v/>
      </c>
      <c r="AE620" s="0" t="str">
        <f aca="false">IF(AND(C619=C620,AA619=AA620-1),AC619,"")</f>
        <v/>
      </c>
      <c r="AF620" s="0" t="str">
        <f aca="false">IF(AA620=1,"",IF(AND(AB620=1,AD620&lt;&gt;1),1,0))</f>
        <v/>
      </c>
      <c r="AG620" s="0" t="str">
        <f aca="false">IF(AA620=1,"",IF(AND(AC620=1,AE620&lt;&gt;1),1,0))</f>
        <v/>
      </c>
      <c r="AH620" s="51" t="str">
        <f aca="false">IF(AND(E620&gt;0,AA620&lt;1,NOT(AND(C621=C620,AA621=AA620+1))),INDEX(DATAS,AA620+1),"")</f>
        <v/>
      </c>
      <c r="AI620" s="51" t="str">
        <f aca="false">IF(AND(AC620=1,AA620&lt;1),IF(AND(C621=C620,AA621=AA620+1),IF(AC621=1,"",INDEX(DATAS,AA620+1)),INDEX(DATAS,AA620+1)),"")</f>
        <v/>
      </c>
    </row>
    <row r="621" customFormat="false" ht="15" hidden="false" customHeight="false" outlineLevel="0" collapsed="false">
      <c r="A621" s="51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46" t="s">
        <v>578</v>
      </c>
      <c r="G621" s="0" t="n">
        <v>9.3</v>
      </c>
      <c r="H621" s="0" t="n">
        <v>23</v>
      </c>
      <c r="I621" s="46" t="s">
        <v>157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51" t="n">
        <v>46086</v>
      </c>
      <c r="X621" s="46" t="n">
        <f aca="false">IF(I621="Male",0,1)</f>
        <v>1</v>
      </c>
      <c r="Y621" s="46" t="n">
        <f aca="false">IF(OR(I621="DNB",I621="Dry DNB"),1,0)</f>
        <v>0</v>
      </c>
      <c r="Z621" s="46" t="n">
        <f aca="false">IF(ISNUMBER(W621),A621-W621,"")</f>
        <v>223</v>
      </c>
      <c r="AA621" s="46" t="n">
        <f aca="false">MATCH(A621,DATAS,0)</f>
        <v>1</v>
      </c>
      <c r="AB621" s="46" t="n">
        <f aca="false">IF(AND(E621&gt;0,OR(AND(B621&gt;=1,B621&lt;=6),B621=10)),1,0)</f>
        <v>0</v>
      </c>
      <c r="AC621" s="46" t="n">
        <f aca="false">IF(AND(E621&gt;0,B621=10),1,0)</f>
        <v>0</v>
      </c>
      <c r="AD621" s="0" t="str">
        <f aca="false">IF(AND(C620=C621,AA620=AA621-1),AB620,"")</f>
        <v/>
      </c>
      <c r="AE621" s="0" t="str">
        <f aca="false">IF(AND(C620=C621,AA620=AA621-1),AC620,"")</f>
        <v/>
      </c>
      <c r="AF621" s="0" t="str">
        <f aca="false">IF(AA621=1,"",IF(AND(AB621=1,AD621&lt;&gt;1),1,0))</f>
        <v/>
      </c>
      <c r="AG621" s="0" t="str">
        <f aca="false">IF(AA621=1,"",IF(AND(AC621=1,AE621&lt;&gt;1),1,0))</f>
        <v/>
      </c>
      <c r="AH621" s="51" t="str">
        <f aca="false">IF(AND(E621&gt;0,AA621&lt;1,NOT(AND(C622=C621,AA622=AA621+1))),INDEX(DATAS,AA621+1),"")</f>
        <v/>
      </c>
      <c r="AI621" s="51" t="str">
        <f aca="false">IF(AND(AC621=1,AA621&lt;1),IF(AND(C622=C621,AA622=AA621+1),IF(AC622=1,"",INDEX(DATAS,AA621+1)),INDEX(DATAS,AA621+1)),"")</f>
        <v/>
      </c>
    </row>
    <row r="622" customFormat="false" ht="15" hidden="false" customHeight="false" outlineLevel="0" collapsed="false">
      <c r="A622" s="51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46" t="s">
        <v>579</v>
      </c>
      <c r="I622" s="46" t="s">
        <v>157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51" t="n">
        <v>46046</v>
      </c>
      <c r="X622" s="46" t="n">
        <f aca="false">IF(I622="Male",0,1)</f>
        <v>1</v>
      </c>
      <c r="Y622" s="46" t="n">
        <f aca="false">IF(OR(I622="DNB",I622="Dry DNB"),1,0)</f>
        <v>0</v>
      </c>
      <c r="Z622" s="46" t="n">
        <f aca="false">IF(ISNUMBER(W622),A622-W622,"")</f>
        <v>263</v>
      </c>
      <c r="AA622" s="46" t="n">
        <f aca="false">MATCH(A622,DATAS,0)</f>
        <v>1</v>
      </c>
      <c r="AB622" s="46" t="n">
        <f aca="false">IF(AND(E622&gt;0,OR(AND(B622&gt;=1,B622&lt;=6),B622=10)),1,0)</f>
        <v>0</v>
      </c>
      <c r="AC622" s="46" t="n">
        <f aca="false">IF(AND(E622&gt;0,B622=10),1,0)</f>
        <v>0</v>
      </c>
      <c r="AD622" s="0" t="str">
        <f aca="false">IF(AND(C621=C622,AA621=AA622-1),AB621,"")</f>
        <v/>
      </c>
      <c r="AE622" s="0" t="str">
        <f aca="false">IF(AND(C621=C622,AA621=AA622-1),AC621,"")</f>
        <v/>
      </c>
      <c r="AF622" s="0" t="str">
        <f aca="false">IF(AA622=1,"",IF(AND(AB622=1,AD622&lt;&gt;1),1,0))</f>
        <v/>
      </c>
      <c r="AG622" s="0" t="str">
        <f aca="false">IF(AA622=1,"",IF(AND(AC622=1,AE622&lt;&gt;1),1,0))</f>
        <v/>
      </c>
      <c r="AH622" s="51" t="str">
        <f aca="false">IF(AND(E622&gt;0,AA622&lt;1,NOT(AND(C623=C622,AA623=AA622+1))),INDEX(DATAS,AA622+1),"")</f>
        <v/>
      </c>
      <c r="AI622" s="51" t="str">
        <f aca="false">IF(AND(AC622=1,AA622&lt;1),IF(AND(C623=C622,AA623=AA622+1),IF(AC623=1,"",INDEX(DATAS,AA622+1)),INDEX(DATAS,AA622+1)),"")</f>
        <v/>
      </c>
    </row>
    <row r="623" customFormat="false" ht="15" hidden="false" customHeight="false" outlineLevel="0" collapsed="false">
      <c r="A623" s="51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46" t="s">
        <v>579</v>
      </c>
      <c r="G623" s="0" t="n">
        <v>39</v>
      </c>
      <c r="H623" s="0" t="n">
        <v>40</v>
      </c>
      <c r="I623" s="46" t="s">
        <v>152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51" t="n">
        <v>46170</v>
      </c>
      <c r="X623" s="46" t="n">
        <f aca="false">IF(I623="Male",0,1)</f>
        <v>1</v>
      </c>
      <c r="Y623" s="46" t="n">
        <f aca="false">IF(OR(I623="DNB",I623="Dry DNB"),1,0)</f>
        <v>0</v>
      </c>
      <c r="Z623" s="46" t="n">
        <f aca="false">IF(ISNUMBER(W623),A623-W623,"")</f>
        <v>139</v>
      </c>
      <c r="AA623" s="46" t="n">
        <f aca="false">MATCH(A623,DATAS,0)</f>
        <v>1</v>
      </c>
      <c r="AB623" s="46" t="n">
        <f aca="false">IF(AND(E623&gt;0,OR(AND(B623&gt;=1,B623&lt;=6),B623=10)),1,0)</f>
        <v>1</v>
      </c>
      <c r="AC623" s="46" t="n">
        <f aca="false">IF(AND(E623&gt;0,B623=10),1,0)</f>
        <v>0</v>
      </c>
      <c r="AD623" s="0" t="str">
        <f aca="false">IF(AND(C622=C623,AA622=AA623-1),AB622,"")</f>
        <v/>
      </c>
      <c r="AE623" s="0" t="str">
        <f aca="false">IF(AND(C622=C623,AA622=AA623-1),AC622,"")</f>
        <v/>
      </c>
      <c r="AF623" s="0" t="str">
        <f aca="false">IF(AA623=1,"",IF(AND(AB623=1,AD623&lt;&gt;1),1,0))</f>
        <v/>
      </c>
      <c r="AG623" s="0" t="str">
        <f aca="false">IF(AA623=1,"",IF(AND(AC623=1,AE623&lt;&gt;1),1,0))</f>
        <v/>
      </c>
      <c r="AH623" s="51" t="str">
        <f aca="false">IF(AND(E623&gt;0,AA623&lt;1,NOT(AND(C624=C623,AA624=AA623+1))),INDEX(DATAS,AA623+1),"")</f>
        <v/>
      </c>
      <c r="AI623" s="51" t="str">
        <f aca="false">IF(AND(AC623=1,AA623&lt;1),IF(AND(C624=C623,AA624=AA623+1),IF(AC624=1,"",INDEX(DATAS,AA623+1)),INDEX(DATAS,AA623+1)),"")</f>
        <v/>
      </c>
    </row>
    <row r="624" customFormat="false" ht="15" hidden="false" customHeight="false" outlineLevel="0" collapsed="false">
      <c r="A624" s="51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46" t="s">
        <v>579</v>
      </c>
      <c r="G624" s="0" t="n">
        <v>31.7</v>
      </c>
      <c r="H624" s="0" t="n">
        <v>27</v>
      </c>
      <c r="I624" s="46" t="s">
        <v>152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51" t="n">
        <v>46198</v>
      </c>
      <c r="X624" s="46" t="n">
        <f aca="false">IF(I624="Male",0,1)</f>
        <v>1</v>
      </c>
      <c r="Y624" s="46" t="n">
        <f aca="false">IF(OR(I624="DNB",I624="Dry DNB"),1,0)</f>
        <v>0</v>
      </c>
      <c r="Z624" s="46" t="n">
        <f aca="false">IF(ISNUMBER(W624),A624-W624,"")</f>
        <v>111</v>
      </c>
      <c r="AA624" s="46" t="n">
        <f aca="false">MATCH(A624,DATAS,0)</f>
        <v>1</v>
      </c>
      <c r="AB624" s="46" t="n">
        <f aca="false">IF(AND(E624&gt;0,OR(AND(B624&gt;=1,B624&lt;=6),B624=10)),1,0)</f>
        <v>1</v>
      </c>
      <c r="AC624" s="46" t="n">
        <f aca="false">IF(AND(E624&gt;0,B624=10),1,0)</f>
        <v>0</v>
      </c>
      <c r="AD624" s="0" t="str">
        <f aca="false">IF(AND(C623=C624,AA623=AA624-1),AB623,"")</f>
        <v/>
      </c>
      <c r="AE624" s="0" t="str">
        <f aca="false">IF(AND(C623=C624,AA623=AA624-1),AC623,"")</f>
        <v/>
      </c>
      <c r="AF624" s="0" t="str">
        <f aca="false">IF(AA624=1,"",IF(AND(AB624=1,AD624&lt;&gt;1),1,0))</f>
        <v/>
      </c>
      <c r="AG624" s="0" t="str">
        <f aca="false">IF(AA624=1,"",IF(AND(AC624=1,AE624&lt;&gt;1),1,0))</f>
        <v/>
      </c>
      <c r="AH624" s="51" t="str">
        <f aca="false">IF(AND(E624&gt;0,AA624&lt;1,NOT(AND(C625=C624,AA625=AA624+1))),INDEX(DATAS,AA624+1),"")</f>
        <v/>
      </c>
      <c r="AI624" s="51" t="str">
        <f aca="false">IF(AND(AC624=1,AA624&lt;1),IF(AND(C625=C624,AA625=AA624+1),IF(AC625=1,"",INDEX(DATAS,AA624+1)),INDEX(DATAS,AA624+1)),"")</f>
        <v/>
      </c>
    </row>
    <row r="625" customFormat="false" ht="15" hidden="false" customHeight="false" outlineLevel="0" collapsed="false">
      <c r="A625" s="51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46" t="s">
        <v>580</v>
      </c>
      <c r="G625" s="0" t="n">
        <v>46.1</v>
      </c>
      <c r="H625" s="0" t="n">
        <v>44</v>
      </c>
      <c r="I625" s="46" t="s">
        <v>181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51" t="n">
        <v>46296</v>
      </c>
      <c r="X625" s="46" t="n">
        <f aca="false">IF(I625="Male",0,1)</f>
        <v>1</v>
      </c>
      <c r="Y625" s="46" t="n">
        <f aca="false">IF(OR(I625="DNB",I625="Dry DNB"),1,0)</f>
        <v>0</v>
      </c>
      <c r="Z625" s="46" t="n">
        <f aca="false">IF(ISNUMBER(W625),A625-W625,"")</f>
        <v>13</v>
      </c>
      <c r="AA625" s="46" t="n">
        <f aca="false">MATCH(A625,DATAS,0)</f>
        <v>1</v>
      </c>
      <c r="AB625" s="46" t="n">
        <f aca="false">IF(AND(E625&gt;0,OR(AND(B625&gt;=1,B625&lt;=6),B625=10)),1,0)</f>
        <v>1</v>
      </c>
      <c r="AC625" s="46" t="n">
        <f aca="false">IF(AND(E625&gt;0,B625=10),1,0)</f>
        <v>0</v>
      </c>
      <c r="AD625" s="0" t="str">
        <f aca="false">IF(AND(C624=C625,AA624=AA625-1),AB624,"")</f>
        <v/>
      </c>
      <c r="AE625" s="0" t="str">
        <f aca="false">IF(AND(C624=C625,AA624=AA625-1),AC624,"")</f>
        <v/>
      </c>
      <c r="AF625" s="0" t="str">
        <f aca="false">IF(AA625=1,"",IF(AND(AB625=1,AD625&lt;&gt;1),1,0))</f>
        <v/>
      </c>
      <c r="AG625" s="0" t="str">
        <f aca="false">IF(AA625=1,"",IF(AND(AC625=1,AE625&lt;&gt;1),1,0))</f>
        <v/>
      </c>
      <c r="AH625" s="51" t="str">
        <f aca="false">IF(AND(E625&gt;0,AA625&lt;1,NOT(AND(C626=C625,AA626=AA625+1))),INDEX(DATAS,AA625+1),"")</f>
        <v/>
      </c>
      <c r="AI625" s="51" t="str">
        <f aca="false">IF(AND(AC625=1,AA625&lt;1),IF(AND(C626=C625,AA626=AA625+1),IF(AC626=1,"",INDEX(DATAS,AA625+1)),INDEX(DATAS,AA625+1)),"")</f>
        <v/>
      </c>
    </row>
    <row r="626" customFormat="false" ht="15" hidden="false" customHeight="false" outlineLevel="0" collapsed="false">
      <c r="A626" s="51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46" t="s">
        <v>581</v>
      </c>
      <c r="G626" s="0" t="n">
        <v>33.7</v>
      </c>
      <c r="H626" s="0" t="n">
        <v>32</v>
      </c>
      <c r="I626" s="46" t="s">
        <v>181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51" t="n">
        <v>46282</v>
      </c>
      <c r="X626" s="46" t="n">
        <f aca="false">IF(I626="Male",0,1)</f>
        <v>1</v>
      </c>
      <c r="Y626" s="46" t="n">
        <f aca="false">IF(OR(I626="DNB",I626="Dry DNB"),1,0)</f>
        <v>0</v>
      </c>
      <c r="Z626" s="46" t="n">
        <f aca="false">IF(ISNUMBER(W626),A626-W626,"")</f>
        <v>27</v>
      </c>
      <c r="AA626" s="46" t="n">
        <f aca="false">MATCH(A626,DATAS,0)</f>
        <v>1</v>
      </c>
      <c r="AB626" s="46" t="n">
        <f aca="false">IF(AND(E626&gt;0,OR(AND(B626&gt;=1,B626&lt;=6),B626=10)),1,0)</f>
        <v>1</v>
      </c>
      <c r="AC626" s="46" t="n">
        <f aca="false">IF(AND(E626&gt;0,B626=10),1,0)</f>
        <v>0</v>
      </c>
      <c r="AD626" s="0" t="str">
        <f aca="false">IF(AND(C625=C626,AA625=AA626-1),AB625,"")</f>
        <v/>
      </c>
      <c r="AE626" s="0" t="str">
        <f aca="false">IF(AND(C625=C626,AA625=AA626-1),AC625,"")</f>
        <v/>
      </c>
      <c r="AF626" s="0" t="str">
        <f aca="false">IF(AA626=1,"",IF(AND(AB626=1,AD626&lt;&gt;1),1,0))</f>
        <v/>
      </c>
      <c r="AG626" s="0" t="str">
        <f aca="false">IF(AA626=1,"",IF(AND(AC626=1,AE626&lt;&gt;1),1,0))</f>
        <v/>
      </c>
      <c r="AH626" s="51" t="str">
        <f aca="false">IF(AND(E626&gt;0,AA626&lt;1,NOT(AND(C627=C626,AA627=AA626+1))),INDEX(DATAS,AA626+1),"")</f>
        <v/>
      </c>
      <c r="AI626" s="51" t="str">
        <f aca="false">IF(AND(AC626=1,AA626&lt;1),IF(AND(C627=C626,AA627=AA626+1),IF(AC627=1,"",INDEX(DATAS,AA626+1)),INDEX(DATAS,AA626+1)),"")</f>
        <v/>
      </c>
    </row>
    <row r="627" customFormat="false" ht="15" hidden="false" customHeight="false" outlineLevel="0" collapsed="false">
      <c r="A627" s="51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46" t="s">
        <v>581</v>
      </c>
      <c r="G627" s="0" t="n">
        <v>26.1</v>
      </c>
      <c r="H627" s="0" t="n">
        <v>25</v>
      </c>
      <c r="I627" s="46" t="s">
        <v>152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51" t="n">
        <v>46093</v>
      </c>
      <c r="X627" s="46" t="n">
        <f aca="false">IF(I627="Male",0,1)</f>
        <v>1</v>
      </c>
      <c r="Y627" s="46" t="n">
        <f aca="false">IF(OR(I627="DNB",I627="Dry DNB"),1,0)</f>
        <v>0</v>
      </c>
      <c r="Z627" s="46" t="n">
        <f aca="false">IF(ISNUMBER(W627),A627-W627,"")</f>
        <v>216</v>
      </c>
      <c r="AA627" s="46" t="n">
        <f aca="false">MATCH(A627,DATAS,0)</f>
        <v>1</v>
      </c>
      <c r="AB627" s="46" t="n">
        <f aca="false">IF(AND(E627&gt;0,OR(AND(B627&gt;=1,B627&lt;=6),B627=10)),1,0)</f>
        <v>1</v>
      </c>
      <c r="AC627" s="46" t="n">
        <f aca="false">IF(AND(E627&gt;0,B627=10),1,0)</f>
        <v>0</v>
      </c>
      <c r="AD627" s="0" t="str">
        <f aca="false">IF(AND(C626=C627,AA626=AA627-1),AB626,"")</f>
        <v/>
      </c>
      <c r="AE627" s="0" t="str">
        <f aca="false">IF(AND(C626=C627,AA626=AA627-1),AC626,"")</f>
        <v/>
      </c>
      <c r="AF627" s="0" t="str">
        <f aca="false">IF(AA627=1,"",IF(AND(AB627=1,AD627&lt;&gt;1),1,0))</f>
        <v/>
      </c>
      <c r="AG627" s="0" t="str">
        <f aca="false">IF(AA627=1,"",IF(AND(AC627=1,AE627&lt;&gt;1),1,0))</f>
        <v/>
      </c>
      <c r="AH627" s="51" t="str">
        <f aca="false">IF(AND(E627&gt;0,AA627&lt;1,NOT(AND(C628=C627,AA628=AA627+1))),INDEX(DATAS,AA627+1),"")</f>
        <v/>
      </c>
      <c r="AI627" s="51" t="str">
        <f aca="false">IF(AND(AC627=1,AA627&lt;1),IF(AND(C628=C627,AA628=AA627+1),IF(AC628=1,"",INDEX(DATAS,AA627+1)),INDEX(DATAS,AA627+1)),"")</f>
        <v/>
      </c>
    </row>
    <row r="628" customFormat="false" ht="15" hidden="false" customHeight="false" outlineLevel="0" collapsed="false">
      <c r="A628" s="51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46" t="s">
        <v>581</v>
      </c>
      <c r="G628" s="0" t="n">
        <v>28.6</v>
      </c>
      <c r="H628" s="0" t="n">
        <v>25</v>
      </c>
      <c r="I628" s="46" t="s">
        <v>181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51" t="n">
        <v>46282</v>
      </c>
      <c r="X628" s="46" t="n">
        <f aca="false">IF(I628="Male",0,1)</f>
        <v>1</v>
      </c>
      <c r="Y628" s="46" t="n">
        <f aca="false">IF(OR(I628="DNB",I628="Dry DNB"),1,0)</f>
        <v>0</v>
      </c>
      <c r="Z628" s="46" t="n">
        <f aca="false">IF(ISNUMBER(W628),A628-W628,"")</f>
        <v>27</v>
      </c>
      <c r="AA628" s="46" t="n">
        <f aca="false">MATCH(A628,DATAS,0)</f>
        <v>1</v>
      </c>
      <c r="AB628" s="46" t="n">
        <f aca="false">IF(AND(E628&gt;0,OR(AND(B628&gt;=1,B628&lt;=6),B628=10)),1,0)</f>
        <v>1</v>
      </c>
      <c r="AC628" s="46" t="n">
        <f aca="false">IF(AND(E628&gt;0,B628=10),1,0)</f>
        <v>0</v>
      </c>
      <c r="AD628" s="0" t="str">
        <f aca="false">IF(AND(C627=C628,AA627=AA628-1),AB627,"")</f>
        <v/>
      </c>
      <c r="AE628" s="0" t="str">
        <f aca="false">IF(AND(C627=C628,AA627=AA628-1),AC627,"")</f>
        <v/>
      </c>
      <c r="AF628" s="0" t="str">
        <f aca="false">IF(AA628=1,"",IF(AND(AB628=1,AD628&lt;&gt;1),1,0))</f>
        <v/>
      </c>
      <c r="AG628" s="0" t="str">
        <f aca="false">IF(AA628=1,"",IF(AND(AC628=1,AE628&lt;&gt;1),1,0))</f>
        <v/>
      </c>
      <c r="AH628" s="51" t="str">
        <f aca="false">IF(AND(E628&gt;0,AA628&lt;1,NOT(AND(C629=C628,AA629=AA628+1))),INDEX(DATAS,AA628+1),"")</f>
        <v/>
      </c>
      <c r="AI628" s="51" t="str">
        <f aca="false">IF(AND(AC628=1,AA628&lt;1),IF(AND(C629=C628,AA629=AA628+1),IF(AC629=1,"",INDEX(DATAS,AA628+1)),INDEX(DATAS,AA628+1)),"")</f>
        <v/>
      </c>
    </row>
    <row r="629" customFormat="false" ht="15" hidden="false" customHeight="false" outlineLevel="0" collapsed="false">
      <c r="A629" s="51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46" t="s">
        <v>582</v>
      </c>
      <c r="I629" s="46" t="s">
        <v>152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51" t="n">
        <v>46100</v>
      </c>
      <c r="X629" s="46" t="n">
        <f aca="false">IF(I629="Male",0,1)</f>
        <v>1</v>
      </c>
      <c r="Y629" s="46" t="n">
        <f aca="false">IF(OR(I629="DNB",I629="Dry DNB"),1,0)</f>
        <v>0</v>
      </c>
      <c r="Z629" s="46" t="n">
        <f aca="false">IF(ISNUMBER(W629),A629-W629,"")</f>
        <v>209</v>
      </c>
      <c r="AA629" s="46" t="n">
        <f aca="false">MATCH(A629,DATAS,0)</f>
        <v>1</v>
      </c>
      <c r="AB629" s="46" t="n">
        <f aca="false">IF(AND(E629&gt;0,OR(AND(B629&gt;=1,B629&lt;=6),B629=10)),1,0)</f>
        <v>0</v>
      </c>
      <c r="AC629" s="46" t="n">
        <f aca="false">IF(AND(E629&gt;0,B629=10),1,0)</f>
        <v>0</v>
      </c>
      <c r="AD629" s="0" t="str">
        <f aca="false">IF(AND(C628=C629,AA628=AA629-1),AB628,"")</f>
        <v/>
      </c>
      <c r="AE629" s="0" t="str">
        <f aca="false">IF(AND(C628=C629,AA628=AA629-1),AC628,"")</f>
        <v/>
      </c>
      <c r="AF629" s="0" t="str">
        <f aca="false">IF(AA629=1,"",IF(AND(AB629=1,AD629&lt;&gt;1),1,0))</f>
        <v/>
      </c>
      <c r="AG629" s="0" t="str">
        <f aca="false">IF(AA629=1,"",IF(AND(AC629=1,AE629&lt;&gt;1),1,0))</f>
        <v/>
      </c>
      <c r="AH629" s="51" t="str">
        <f aca="false">IF(AND(E629&gt;0,AA629&lt;1,NOT(AND(C630=C629,AA630=AA629+1))),INDEX(DATAS,AA629+1),"")</f>
        <v/>
      </c>
      <c r="AI629" s="51" t="str">
        <f aca="false">IF(AND(AC629=1,AA629&lt;1),IF(AND(C630=C629,AA630=AA629+1),IF(AC630=1,"",INDEX(DATAS,AA629+1)),INDEX(DATAS,AA629+1)),"")</f>
        <v/>
      </c>
    </row>
    <row r="630" customFormat="false" ht="15" hidden="false" customHeight="false" outlineLevel="0" collapsed="false">
      <c r="A630" s="51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46" t="s">
        <v>582</v>
      </c>
      <c r="G630" s="0" t="n">
        <v>40</v>
      </c>
      <c r="H630" s="0" t="n">
        <v>43</v>
      </c>
      <c r="I630" s="46" t="s">
        <v>152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51" t="n">
        <v>46191</v>
      </c>
      <c r="X630" s="46" t="n">
        <f aca="false">IF(I630="Male",0,1)</f>
        <v>1</v>
      </c>
      <c r="Y630" s="46" t="n">
        <f aca="false">IF(OR(I630="DNB",I630="Dry DNB"),1,0)</f>
        <v>0</v>
      </c>
      <c r="Z630" s="46" t="n">
        <f aca="false">IF(ISNUMBER(W630),A630-W630,"")</f>
        <v>118</v>
      </c>
      <c r="AA630" s="46" t="n">
        <f aca="false">MATCH(A630,DATAS,0)</f>
        <v>1</v>
      </c>
      <c r="AB630" s="46" t="n">
        <f aca="false">IF(AND(E630&gt;0,OR(AND(B630&gt;=1,B630&lt;=6),B630=10)),1,0)</f>
        <v>1</v>
      </c>
      <c r="AC630" s="46" t="n">
        <f aca="false">IF(AND(E630&gt;0,B630=10),1,0)</f>
        <v>0</v>
      </c>
      <c r="AD630" s="0" t="str">
        <f aca="false">IF(AND(C629=C630,AA629=AA630-1),AB629,"")</f>
        <v/>
      </c>
      <c r="AE630" s="0" t="str">
        <f aca="false">IF(AND(C629=C630,AA629=AA630-1),AC629,"")</f>
        <v/>
      </c>
      <c r="AF630" s="0" t="str">
        <f aca="false">IF(AA630=1,"",IF(AND(AB630=1,AD630&lt;&gt;1),1,0))</f>
        <v/>
      </c>
      <c r="AG630" s="0" t="str">
        <f aca="false">IF(AA630=1,"",IF(AND(AC630=1,AE630&lt;&gt;1),1,0))</f>
        <v/>
      </c>
      <c r="AH630" s="51" t="str">
        <f aca="false">IF(AND(E630&gt;0,AA630&lt;1,NOT(AND(C631=C630,AA631=AA630+1))),INDEX(DATAS,AA630+1),"")</f>
        <v/>
      </c>
      <c r="AI630" s="51" t="str">
        <f aca="false">IF(AND(AC630=1,AA630&lt;1),IF(AND(C631=C630,AA631=AA630+1),IF(AC631=1,"",INDEX(DATAS,AA630+1)),INDEX(DATAS,AA630+1)),"")</f>
        <v/>
      </c>
    </row>
    <row r="631" customFormat="false" ht="15" hidden="false" customHeight="false" outlineLevel="0" collapsed="false">
      <c r="A631" s="51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46" t="s">
        <v>582</v>
      </c>
      <c r="I631" s="46" t="s">
        <v>157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51" t="n">
        <v>46037</v>
      </c>
      <c r="X631" s="46" t="n">
        <f aca="false">IF(I631="Male",0,1)</f>
        <v>1</v>
      </c>
      <c r="Y631" s="46" t="n">
        <f aca="false">IF(OR(I631="DNB",I631="Dry DNB"),1,0)</f>
        <v>0</v>
      </c>
      <c r="Z631" s="46" t="n">
        <f aca="false">IF(ISNUMBER(W631),A631-W631,"")</f>
        <v>272</v>
      </c>
      <c r="AA631" s="46" t="n">
        <f aca="false">MATCH(A631,DATAS,0)</f>
        <v>1</v>
      </c>
      <c r="AB631" s="46" t="n">
        <f aca="false">IF(AND(E631&gt;0,OR(AND(B631&gt;=1,B631&lt;=6),B631=10)),1,0)</f>
        <v>0</v>
      </c>
      <c r="AC631" s="46" t="n">
        <f aca="false">IF(AND(E631&gt;0,B631=10),1,0)</f>
        <v>0</v>
      </c>
      <c r="AD631" s="0" t="str">
        <f aca="false">IF(AND(C630=C631,AA630=AA631-1),AB630,"")</f>
        <v/>
      </c>
      <c r="AE631" s="0" t="str">
        <f aca="false">IF(AND(C630=C631,AA630=AA631-1),AC630,"")</f>
        <v/>
      </c>
      <c r="AF631" s="0" t="str">
        <f aca="false">IF(AA631=1,"",IF(AND(AB631=1,AD631&lt;&gt;1),1,0))</f>
        <v/>
      </c>
      <c r="AG631" s="0" t="str">
        <f aca="false">IF(AA631=1,"",IF(AND(AC631=1,AE631&lt;&gt;1),1,0))</f>
        <v/>
      </c>
      <c r="AH631" s="51" t="str">
        <f aca="false">IF(AND(E631&gt;0,AA631&lt;1,NOT(AND(C632=C631,AA632=AA631+1))),INDEX(DATAS,AA631+1),"")</f>
        <v/>
      </c>
      <c r="AI631" s="51" t="str">
        <f aca="false">IF(AND(AC631=1,AA631&lt;1),IF(AND(C632=C631,AA632=AA631+1),IF(AC632=1,"",INDEX(DATAS,AA631+1)),INDEX(DATAS,AA631+1)),"")</f>
        <v/>
      </c>
    </row>
    <row r="632" customFormat="false" ht="15" hidden="false" customHeight="false" outlineLevel="0" collapsed="false">
      <c r="A632" s="51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46" t="s">
        <v>583</v>
      </c>
      <c r="I632" s="46" t="s">
        <v>157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51" t="n">
        <v>46065</v>
      </c>
      <c r="X632" s="46" t="n">
        <f aca="false">IF(I632="Male",0,1)</f>
        <v>1</v>
      </c>
      <c r="Y632" s="46" t="n">
        <f aca="false">IF(OR(I632="DNB",I632="Dry DNB"),1,0)</f>
        <v>0</v>
      </c>
      <c r="Z632" s="46" t="n">
        <f aca="false">IF(ISNUMBER(W632),A632-W632,"")</f>
        <v>244</v>
      </c>
      <c r="AA632" s="46" t="n">
        <f aca="false">MATCH(A632,DATAS,0)</f>
        <v>1</v>
      </c>
      <c r="AB632" s="46" t="n">
        <f aca="false">IF(AND(E632&gt;0,OR(AND(B632&gt;=1,B632&lt;=6),B632=10)),1,0)</f>
        <v>0</v>
      </c>
      <c r="AC632" s="46" t="n">
        <f aca="false">IF(AND(E632&gt;0,B632=10),1,0)</f>
        <v>0</v>
      </c>
      <c r="AD632" s="0" t="str">
        <f aca="false">IF(AND(C631=C632,AA631=AA632-1),AB631,"")</f>
        <v/>
      </c>
      <c r="AE632" s="0" t="str">
        <f aca="false">IF(AND(C631=C632,AA631=AA632-1),AC631,"")</f>
        <v/>
      </c>
      <c r="AF632" s="0" t="str">
        <f aca="false">IF(AA632=1,"",IF(AND(AB632=1,AD632&lt;&gt;1),1,0))</f>
        <v/>
      </c>
      <c r="AG632" s="0" t="str">
        <f aca="false">IF(AA632=1,"",IF(AND(AC632=1,AE632&lt;&gt;1),1,0))</f>
        <v/>
      </c>
      <c r="AH632" s="51" t="str">
        <f aca="false">IF(AND(E632&gt;0,AA632&lt;1,NOT(AND(C633=C632,AA633=AA632+1))),INDEX(DATAS,AA632+1),"")</f>
        <v/>
      </c>
      <c r="AI632" s="51" t="str">
        <f aca="false">IF(AND(AC632=1,AA632&lt;1),IF(AND(C633=C632,AA633=AA632+1),IF(AC633=1,"",INDEX(DATAS,AA632+1)),INDEX(DATAS,AA632+1)),"")</f>
        <v/>
      </c>
    </row>
    <row r="633" customFormat="false" ht="15" hidden="false" customHeight="false" outlineLevel="0" collapsed="false">
      <c r="A633" s="51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46" t="s">
        <v>584</v>
      </c>
      <c r="G633" s="0" t="n">
        <v>9</v>
      </c>
      <c r="H633" s="0" t="n">
        <v>19</v>
      </c>
      <c r="I633" s="46" t="s">
        <v>157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51" t="n">
        <v>46114</v>
      </c>
      <c r="X633" s="46" t="n">
        <f aca="false">IF(I633="Male",0,1)</f>
        <v>1</v>
      </c>
      <c r="Y633" s="46" t="n">
        <f aca="false">IF(OR(I633="DNB",I633="Dry DNB"),1,0)</f>
        <v>0</v>
      </c>
      <c r="Z633" s="46" t="n">
        <f aca="false">IF(ISNUMBER(W633),A633-W633,"")</f>
        <v>195</v>
      </c>
      <c r="AA633" s="46" t="n">
        <f aca="false">MATCH(A633,DATAS,0)</f>
        <v>1</v>
      </c>
      <c r="AB633" s="46" t="n">
        <f aca="false">IF(AND(E633&gt;0,OR(AND(B633&gt;=1,B633&lt;=6),B633=10)),1,0)</f>
        <v>0</v>
      </c>
      <c r="AC633" s="46" t="n">
        <f aca="false">IF(AND(E633&gt;0,B633=10),1,0)</f>
        <v>0</v>
      </c>
      <c r="AD633" s="0" t="str">
        <f aca="false">IF(AND(C632=C633,AA632=AA633-1),AB632,"")</f>
        <v/>
      </c>
      <c r="AE633" s="0" t="str">
        <f aca="false">IF(AND(C632=C633,AA632=AA633-1),AC632,"")</f>
        <v/>
      </c>
      <c r="AF633" s="0" t="str">
        <f aca="false">IF(AA633=1,"",IF(AND(AB633=1,AD633&lt;&gt;1),1,0))</f>
        <v/>
      </c>
      <c r="AG633" s="0" t="str">
        <f aca="false">IF(AA633=1,"",IF(AND(AC633=1,AE633&lt;&gt;1),1,0))</f>
        <v/>
      </c>
      <c r="AH633" s="51" t="str">
        <f aca="false">IF(AND(E633&gt;0,AA633&lt;1,NOT(AND(C634=C633,AA634=AA633+1))),INDEX(DATAS,AA633+1),"")</f>
        <v/>
      </c>
      <c r="AI633" s="51" t="str">
        <f aca="false">IF(AND(AC633=1,AA633&lt;1),IF(AND(C634=C633,AA634=AA633+1),IF(AC634=1,"",INDEX(DATAS,AA633+1)),INDEX(DATAS,AA633+1)),"")</f>
        <v/>
      </c>
    </row>
    <row r="634" customFormat="false" ht="15" hidden="false" customHeight="false" outlineLevel="0" collapsed="false">
      <c r="A634" s="51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46" t="s">
        <v>585</v>
      </c>
      <c r="G634" s="0" t="n">
        <v>38.8</v>
      </c>
      <c r="H634" s="0" t="n">
        <v>37</v>
      </c>
      <c r="I634" s="46" t="s">
        <v>152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51" t="n">
        <v>46150</v>
      </c>
      <c r="X634" s="46" t="n">
        <f aca="false">IF(I634="Male",0,1)</f>
        <v>1</v>
      </c>
      <c r="Y634" s="46" t="n">
        <f aca="false">IF(OR(I634="DNB",I634="Dry DNB"),1,0)</f>
        <v>0</v>
      </c>
      <c r="Z634" s="46" t="n">
        <f aca="false">IF(ISNUMBER(W634),A634-W634,"")</f>
        <v>159</v>
      </c>
      <c r="AA634" s="46" t="n">
        <f aca="false">MATCH(A634,DATAS,0)</f>
        <v>1</v>
      </c>
      <c r="AB634" s="46" t="n">
        <f aca="false">IF(AND(E634&gt;0,OR(AND(B634&gt;=1,B634&lt;=6),B634=10)),1,0)</f>
        <v>1</v>
      </c>
      <c r="AC634" s="46" t="n">
        <f aca="false">IF(AND(E634&gt;0,B634=10),1,0)</f>
        <v>0</v>
      </c>
      <c r="AD634" s="0" t="str">
        <f aca="false">IF(AND(C633=C634,AA633=AA634-1),AB633,"")</f>
        <v/>
      </c>
      <c r="AE634" s="0" t="str">
        <f aca="false">IF(AND(C633=C634,AA633=AA634-1),AC633,"")</f>
        <v/>
      </c>
      <c r="AF634" s="0" t="str">
        <f aca="false">IF(AA634=1,"",IF(AND(AB634=1,AD634&lt;&gt;1),1,0))</f>
        <v/>
      </c>
      <c r="AG634" s="0" t="str">
        <f aca="false">IF(AA634=1,"",IF(AND(AC634=1,AE634&lt;&gt;1),1,0))</f>
        <v/>
      </c>
      <c r="AH634" s="51" t="str">
        <f aca="false">IF(AND(E634&gt;0,AA634&lt;1,NOT(AND(C635=C634,AA635=AA634+1))),INDEX(DATAS,AA634+1),"")</f>
        <v/>
      </c>
      <c r="AI634" s="51" t="str">
        <f aca="false">IF(AND(AC634=1,AA634&lt;1),IF(AND(C635=C634,AA635=AA634+1),IF(AC635=1,"",INDEX(DATAS,AA634+1)),INDEX(DATAS,AA634+1)),"")</f>
        <v/>
      </c>
    </row>
    <row r="635" customFormat="false" ht="15" hidden="false" customHeight="false" outlineLevel="0" collapsed="false">
      <c r="A635" s="51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46" t="s">
        <v>585</v>
      </c>
      <c r="G635" s="0" t="n">
        <v>60.8</v>
      </c>
      <c r="H635" s="0" t="n">
        <v>57</v>
      </c>
      <c r="I635" s="46" t="s">
        <v>161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X635" s="46" t="n">
        <f aca="false">IF(I635="Male",0,1)</f>
        <v>1</v>
      </c>
      <c r="Y635" s="46" t="n">
        <f aca="false">IF(OR(I635="DNB",I635="Dry DNB"),1,0)</f>
        <v>0</v>
      </c>
      <c r="Z635" s="0" t="str">
        <f aca="false">IF(ISNUMBER(W635),A635-W635,"")</f>
        <v/>
      </c>
      <c r="AA635" s="46" t="n">
        <f aca="false">MATCH(A635,DATAS,0)</f>
        <v>1</v>
      </c>
      <c r="AB635" s="46" t="n">
        <f aca="false">IF(AND(E635&gt;0,OR(AND(B635&gt;=1,B635&lt;=6),B635=10)),1,0)</f>
        <v>1</v>
      </c>
      <c r="AC635" s="46" t="n">
        <f aca="false">IF(AND(E635&gt;0,B635=10),1,0)</f>
        <v>0</v>
      </c>
      <c r="AD635" s="0" t="str">
        <f aca="false">IF(AND(C634=C635,AA634=AA635-1),AB634,"")</f>
        <v/>
      </c>
      <c r="AE635" s="0" t="str">
        <f aca="false">IF(AND(C634=C635,AA634=AA635-1),AC634,"")</f>
        <v/>
      </c>
      <c r="AF635" s="0" t="str">
        <f aca="false">IF(AA635=1,"",IF(AND(AB635=1,AD635&lt;&gt;1),1,0))</f>
        <v/>
      </c>
      <c r="AG635" s="0" t="str">
        <f aca="false">IF(AA635=1,"",IF(AND(AC635=1,AE635&lt;&gt;1),1,0))</f>
        <v/>
      </c>
      <c r="AH635" s="51" t="str">
        <f aca="false">IF(AND(E635&gt;0,AA635&lt;1,NOT(AND(C636=C635,AA636=AA635+1))),INDEX(DATAS,AA635+1),"")</f>
        <v/>
      </c>
      <c r="AI635" s="51" t="str">
        <f aca="false">IF(AND(AC635=1,AA635&lt;1),IF(AND(C636=C635,AA636=AA635+1),IF(AC636=1,"",INDEX(DATAS,AA635+1)),INDEX(DATAS,AA635+1)),"")</f>
        <v/>
      </c>
    </row>
    <row r="636" customFormat="false" ht="15" hidden="false" customHeight="false" outlineLevel="0" collapsed="false">
      <c r="A636" s="51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46" t="s">
        <v>585</v>
      </c>
      <c r="G636" s="0" t="n">
        <v>36.2</v>
      </c>
      <c r="H636" s="0" t="n">
        <v>32</v>
      </c>
      <c r="I636" s="46" t="s">
        <v>161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X636" s="46" t="n">
        <f aca="false">IF(I636="Male",0,1)</f>
        <v>1</v>
      </c>
      <c r="Y636" s="46" t="n">
        <f aca="false">IF(OR(I636="DNB",I636="Dry DNB"),1,0)</f>
        <v>0</v>
      </c>
      <c r="Z636" s="0" t="str">
        <f aca="false">IF(ISNUMBER(W636),A636-W636,"")</f>
        <v/>
      </c>
      <c r="AA636" s="46" t="n">
        <f aca="false">MATCH(A636,DATAS,0)</f>
        <v>1</v>
      </c>
      <c r="AB636" s="46" t="n">
        <f aca="false">IF(AND(E636&gt;0,OR(AND(B636&gt;=1,B636&lt;=6),B636=10)),1,0)</f>
        <v>1</v>
      </c>
      <c r="AC636" s="46" t="n">
        <f aca="false">IF(AND(E636&gt;0,B636=10),1,0)</f>
        <v>0</v>
      </c>
      <c r="AD636" s="0" t="str">
        <f aca="false">IF(AND(C635=C636,AA635=AA636-1),AB635,"")</f>
        <v/>
      </c>
      <c r="AE636" s="0" t="str">
        <f aca="false">IF(AND(C635=C636,AA635=AA636-1),AC635,"")</f>
        <v/>
      </c>
      <c r="AF636" s="0" t="str">
        <f aca="false">IF(AA636=1,"",IF(AND(AB636=1,AD636&lt;&gt;1),1,0))</f>
        <v/>
      </c>
      <c r="AG636" s="0" t="str">
        <f aca="false">IF(AA636=1,"",IF(AND(AC636=1,AE636&lt;&gt;1),1,0))</f>
        <v/>
      </c>
      <c r="AH636" s="51" t="str">
        <f aca="false">IF(AND(E636&gt;0,AA636&lt;1,NOT(AND(C637=C636,AA637=AA636+1))),INDEX(DATAS,AA636+1),"")</f>
        <v/>
      </c>
      <c r="AI636" s="51" t="str">
        <f aca="false">IF(AND(AC636=1,AA636&lt;1),IF(AND(C637=C636,AA637=AA636+1),IF(AC637=1,"",INDEX(DATAS,AA636+1)),INDEX(DATAS,AA636+1)),"")</f>
        <v/>
      </c>
    </row>
    <row r="637" customFormat="false" ht="15" hidden="false" customHeight="false" outlineLevel="0" collapsed="false">
      <c r="A637" s="51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46" t="s">
        <v>586</v>
      </c>
      <c r="G637" s="0" t="n">
        <v>29</v>
      </c>
      <c r="H637" s="0" t="n">
        <v>25</v>
      </c>
      <c r="I637" s="46" t="s">
        <v>152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51" t="n">
        <v>46114</v>
      </c>
      <c r="X637" s="46" t="n">
        <f aca="false">IF(I637="Male",0,1)</f>
        <v>1</v>
      </c>
      <c r="Y637" s="46" t="n">
        <f aca="false">IF(OR(I637="DNB",I637="Dry DNB"),1,0)</f>
        <v>0</v>
      </c>
      <c r="Z637" s="46" t="n">
        <f aca="false">IF(ISNUMBER(W637),A637-W637,"")</f>
        <v>195</v>
      </c>
      <c r="AA637" s="46" t="n">
        <f aca="false">MATCH(A637,DATAS,0)</f>
        <v>1</v>
      </c>
      <c r="AB637" s="46" t="n">
        <f aca="false">IF(AND(E637&gt;0,OR(AND(B637&gt;=1,B637&lt;=6),B637=10)),1,0)</f>
        <v>1</v>
      </c>
      <c r="AC637" s="46" t="n">
        <f aca="false">IF(AND(E637&gt;0,B637=10),1,0)</f>
        <v>0</v>
      </c>
      <c r="AD637" s="0" t="str">
        <f aca="false">IF(AND(C636=C637,AA636=AA637-1),AB636,"")</f>
        <v/>
      </c>
      <c r="AE637" s="0" t="str">
        <f aca="false">IF(AND(C636=C637,AA636=AA637-1),AC636,"")</f>
        <v/>
      </c>
      <c r="AF637" s="0" t="str">
        <f aca="false">IF(AA637=1,"",IF(AND(AB637=1,AD637&lt;&gt;1),1,0))</f>
        <v/>
      </c>
      <c r="AG637" s="0" t="str">
        <f aca="false">IF(AA637=1,"",IF(AND(AC637=1,AE637&lt;&gt;1),1,0))</f>
        <v/>
      </c>
      <c r="AH637" s="51" t="str">
        <f aca="false">IF(AND(E637&gt;0,AA637&lt;1,NOT(AND(C638=C637,AA638=AA637+1))),INDEX(DATAS,AA637+1),"")</f>
        <v/>
      </c>
      <c r="AI637" s="51" t="str">
        <f aca="false">IF(AND(AC637=1,AA637&lt;1),IF(AND(C638=C637,AA638=AA637+1),IF(AC638=1,"",INDEX(DATAS,AA637+1)),INDEX(DATAS,AA637+1)),"")</f>
        <v/>
      </c>
    </row>
    <row r="638" customFormat="false" ht="15" hidden="false" customHeight="false" outlineLevel="0" collapsed="false">
      <c r="A638" s="51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46" t="s">
        <v>587</v>
      </c>
      <c r="G638" s="0" t="n">
        <v>39.8</v>
      </c>
      <c r="H638" s="0" t="n">
        <v>33</v>
      </c>
      <c r="I638" s="46" t="s">
        <v>152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51" t="n">
        <v>46214</v>
      </c>
      <c r="X638" s="46" t="n">
        <f aca="false">IF(I638="Male",0,1)</f>
        <v>1</v>
      </c>
      <c r="Y638" s="46" t="n">
        <f aca="false">IF(OR(I638="DNB",I638="Dry DNB"),1,0)</f>
        <v>0</v>
      </c>
      <c r="Z638" s="46" t="n">
        <f aca="false">IF(ISNUMBER(W638),A638-W638,"")</f>
        <v>95</v>
      </c>
      <c r="AA638" s="46" t="n">
        <f aca="false">MATCH(A638,DATAS,0)</f>
        <v>1</v>
      </c>
      <c r="AB638" s="46" t="n">
        <f aca="false">IF(AND(E638&gt;0,OR(AND(B638&gt;=1,B638&lt;=6),B638=10)),1,0)</f>
        <v>1</v>
      </c>
      <c r="AC638" s="46" t="n">
        <f aca="false">IF(AND(E638&gt;0,B638=10),1,0)</f>
        <v>0</v>
      </c>
      <c r="AD638" s="0" t="str">
        <f aca="false">IF(AND(C637=C638,AA637=AA638-1),AB637,"")</f>
        <v/>
      </c>
      <c r="AE638" s="0" t="str">
        <f aca="false">IF(AND(C637=C638,AA637=AA638-1),AC637,"")</f>
        <v/>
      </c>
      <c r="AF638" s="0" t="str">
        <f aca="false">IF(AA638=1,"",IF(AND(AB638=1,AD638&lt;&gt;1),1,0))</f>
        <v/>
      </c>
      <c r="AG638" s="0" t="str">
        <f aca="false">IF(AA638=1,"",IF(AND(AC638=1,AE638&lt;&gt;1),1,0))</f>
        <v/>
      </c>
      <c r="AH638" s="51" t="str">
        <f aca="false">IF(AND(E638&gt;0,AA638&lt;1,NOT(AND(C639=C638,AA639=AA638+1))),INDEX(DATAS,AA638+1),"")</f>
        <v/>
      </c>
      <c r="AI638" s="51" t="str">
        <f aca="false">IF(AND(AC638=1,AA638&lt;1),IF(AND(C639=C638,AA639=AA638+1),IF(AC639=1,"",INDEX(DATAS,AA638+1)),INDEX(DATAS,AA638+1)),"")</f>
        <v/>
      </c>
    </row>
    <row r="639" customFormat="false" ht="15" hidden="false" customHeight="false" outlineLevel="0" collapsed="false">
      <c r="A639" s="51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46" t="s">
        <v>587</v>
      </c>
      <c r="G639" s="0" t="n">
        <v>38.8</v>
      </c>
      <c r="H639" s="0" t="n">
        <v>42</v>
      </c>
      <c r="I639" s="46" t="s">
        <v>152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51" t="n">
        <v>46200</v>
      </c>
      <c r="X639" s="46" t="n">
        <f aca="false">IF(I639="Male",0,1)</f>
        <v>1</v>
      </c>
      <c r="Y639" s="46" t="n">
        <f aca="false">IF(OR(I639="DNB",I639="Dry DNB"),1,0)</f>
        <v>0</v>
      </c>
      <c r="Z639" s="46" t="n">
        <f aca="false">IF(ISNUMBER(W639),A639-W639,"")</f>
        <v>109</v>
      </c>
      <c r="AA639" s="46" t="n">
        <f aca="false">MATCH(A639,DATAS,0)</f>
        <v>1</v>
      </c>
      <c r="AB639" s="46" t="n">
        <f aca="false">IF(AND(E639&gt;0,OR(AND(B639&gt;=1,B639&lt;=6),B639=10)),1,0)</f>
        <v>1</v>
      </c>
      <c r="AC639" s="46" t="n">
        <f aca="false">IF(AND(E639&gt;0,B639=10),1,0)</f>
        <v>0</v>
      </c>
      <c r="AD639" s="0" t="str">
        <f aca="false">IF(AND(C638=C639,AA638=AA639-1),AB638,"")</f>
        <v/>
      </c>
      <c r="AE639" s="0" t="str">
        <f aca="false">IF(AND(C638=C639,AA638=AA639-1),AC638,"")</f>
        <v/>
      </c>
      <c r="AF639" s="0" t="str">
        <f aca="false">IF(AA639=1,"",IF(AND(AB639=1,AD639&lt;&gt;1),1,0))</f>
        <v/>
      </c>
      <c r="AG639" s="0" t="str">
        <f aca="false">IF(AA639=1,"",IF(AND(AC639=1,AE639&lt;&gt;1),1,0))</f>
        <v/>
      </c>
      <c r="AH639" s="51" t="str">
        <f aca="false">IF(AND(E639&gt;0,AA639&lt;1,NOT(AND(C640=C639,AA640=AA639+1))),INDEX(DATAS,AA639+1),"")</f>
        <v/>
      </c>
      <c r="AI639" s="51" t="str">
        <f aca="false">IF(AND(AC639=1,AA639&lt;1),IF(AND(C640=C639,AA640=AA639+1),IF(AC640=1,"",INDEX(DATAS,AA639+1)),INDEX(DATAS,AA639+1)),"")</f>
        <v/>
      </c>
    </row>
    <row r="640" customFormat="false" ht="15" hidden="false" customHeight="false" outlineLevel="0" collapsed="false">
      <c r="A640" s="51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46" t="s">
        <v>587</v>
      </c>
      <c r="G640" s="0" t="n">
        <v>44.2</v>
      </c>
      <c r="H640" s="0" t="n">
        <v>40</v>
      </c>
      <c r="I640" s="46" t="s">
        <v>152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51" t="n">
        <v>46198</v>
      </c>
      <c r="X640" s="46" t="n">
        <f aca="false">IF(I640="Male",0,1)</f>
        <v>1</v>
      </c>
      <c r="Y640" s="46" t="n">
        <f aca="false">IF(OR(I640="DNB",I640="Dry DNB"),1,0)</f>
        <v>0</v>
      </c>
      <c r="Z640" s="46" t="n">
        <f aca="false">IF(ISNUMBER(W640),A640-W640,"")</f>
        <v>111</v>
      </c>
      <c r="AA640" s="46" t="n">
        <f aca="false">MATCH(A640,DATAS,0)</f>
        <v>1</v>
      </c>
      <c r="AB640" s="46" t="n">
        <f aca="false">IF(AND(E640&gt;0,OR(AND(B640&gt;=1,B640&lt;=6),B640=10)),1,0)</f>
        <v>1</v>
      </c>
      <c r="AC640" s="46" t="n">
        <f aca="false">IF(AND(E640&gt;0,B640=10),1,0)</f>
        <v>0</v>
      </c>
      <c r="AD640" s="0" t="str">
        <f aca="false">IF(AND(C639=C640,AA639=AA640-1),AB639,"")</f>
        <v/>
      </c>
      <c r="AE640" s="0" t="str">
        <f aca="false">IF(AND(C639=C640,AA639=AA640-1),AC639,"")</f>
        <v/>
      </c>
      <c r="AF640" s="0" t="str">
        <f aca="false">IF(AA640=1,"",IF(AND(AB640=1,AD640&lt;&gt;1),1,0))</f>
        <v/>
      </c>
      <c r="AG640" s="0" t="str">
        <f aca="false">IF(AA640=1,"",IF(AND(AC640=1,AE640&lt;&gt;1),1,0))</f>
        <v/>
      </c>
      <c r="AH640" s="51" t="str">
        <f aca="false">IF(AND(E640&gt;0,AA640&lt;1,NOT(AND(C641=C640,AA641=AA640+1))),INDEX(DATAS,AA640+1),"")</f>
        <v/>
      </c>
      <c r="AI640" s="51" t="str">
        <f aca="false">IF(AND(AC640=1,AA640&lt;1),IF(AND(C641=C640,AA641=AA640+1),IF(AC641=1,"",INDEX(DATAS,AA640+1)),INDEX(DATAS,AA640+1)),"")</f>
        <v/>
      </c>
    </row>
    <row r="641" customFormat="false" ht="15" hidden="false" customHeight="false" outlineLevel="0" collapsed="false">
      <c r="A641" s="51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46" t="s">
        <v>588</v>
      </c>
      <c r="G641" s="0" t="n">
        <v>34.4</v>
      </c>
      <c r="H641" s="0" t="n">
        <v>33</v>
      </c>
      <c r="I641" s="46" t="s">
        <v>181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51" t="n">
        <v>46287</v>
      </c>
      <c r="X641" s="46" t="n">
        <f aca="false">IF(I641="Male",0,1)</f>
        <v>1</v>
      </c>
      <c r="Y641" s="46" t="n">
        <f aca="false">IF(OR(I641="DNB",I641="Dry DNB"),1,0)</f>
        <v>0</v>
      </c>
      <c r="Z641" s="46" t="n">
        <f aca="false">IF(ISNUMBER(W641),A641-W641,"")</f>
        <v>22</v>
      </c>
      <c r="AA641" s="46" t="n">
        <f aca="false">MATCH(A641,DATAS,0)</f>
        <v>1</v>
      </c>
      <c r="AB641" s="46" t="n">
        <f aca="false">IF(AND(E641&gt;0,OR(AND(B641&gt;=1,B641&lt;=6),B641=10)),1,0)</f>
        <v>1</v>
      </c>
      <c r="AC641" s="46" t="n">
        <f aca="false">IF(AND(E641&gt;0,B641=10),1,0)</f>
        <v>0</v>
      </c>
      <c r="AD641" s="0" t="str">
        <f aca="false">IF(AND(C640=C641,AA640=AA641-1),AB640,"")</f>
        <v/>
      </c>
      <c r="AE641" s="0" t="str">
        <f aca="false">IF(AND(C640=C641,AA640=AA641-1),AC640,"")</f>
        <v/>
      </c>
      <c r="AF641" s="0" t="str">
        <f aca="false">IF(AA641=1,"",IF(AND(AB641=1,AD641&lt;&gt;1),1,0))</f>
        <v/>
      </c>
      <c r="AG641" s="0" t="str">
        <f aca="false">IF(AA641=1,"",IF(AND(AC641=1,AE641&lt;&gt;1),1,0))</f>
        <v/>
      </c>
      <c r="AH641" s="51" t="str">
        <f aca="false">IF(AND(E641&gt;0,AA641&lt;1,NOT(AND(C642=C641,AA642=AA641+1))),INDEX(DATAS,AA641+1),"")</f>
        <v/>
      </c>
      <c r="AI641" s="51" t="str">
        <f aca="false">IF(AND(AC641=1,AA641&lt;1),IF(AND(C642=C641,AA642=AA641+1),IF(AC642=1,"",INDEX(DATAS,AA641+1)),INDEX(DATAS,AA641+1)),"")</f>
        <v/>
      </c>
    </row>
    <row r="642" customFormat="false" ht="15" hidden="false" customHeight="false" outlineLevel="0" collapsed="false">
      <c r="A642" s="51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46" t="s">
        <v>589</v>
      </c>
      <c r="I642" s="46" t="s">
        <v>157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51" t="n">
        <v>46072</v>
      </c>
      <c r="X642" s="46" t="n">
        <f aca="false">IF(I642="Male",0,1)</f>
        <v>1</v>
      </c>
      <c r="Y642" s="46" t="n">
        <f aca="false">IF(OR(I642="DNB",I642="Dry DNB"),1,0)</f>
        <v>0</v>
      </c>
      <c r="Z642" s="46" t="n">
        <f aca="false">IF(ISNUMBER(W642),A642-W642,"")</f>
        <v>237</v>
      </c>
      <c r="AA642" s="46" t="n">
        <f aca="false">MATCH(A642,DATAS,0)</f>
        <v>1</v>
      </c>
      <c r="AB642" s="46" t="n">
        <f aca="false">IF(AND(E642&gt;0,OR(AND(B642&gt;=1,B642&lt;=6),B642=10)),1,0)</f>
        <v>0</v>
      </c>
      <c r="AC642" s="46" t="n">
        <f aca="false">IF(AND(E642&gt;0,B642=10),1,0)</f>
        <v>0</v>
      </c>
      <c r="AD642" s="0" t="str">
        <f aca="false">IF(AND(C641=C642,AA641=AA642-1),AB641,"")</f>
        <v/>
      </c>
      <c r="AE642" s="0" t="str">
        <f aca="false">IF(AND(C641=C642,AA641=AA642-1),AC641,"")</f>
        <v/>
      </c>
      <c r="AF642" s="0" t="str">
        <f aca="false">IF(AA642=1,"",IF(AND(AB642=1,AD642&lt;&gt;1),1,0))</f>
        <v/>
      </c>
      <c r="AG642" s="0" t="str">
        <f aca="false">IF(AA642=1,"",IF(AND(AC642=1,AE642&lt;&gt;1),1,0))</f>
        <v/>
      </c>
      <c r="AH642" s="51" t="str">
        <f aca="false">IF(AND(E642&gt;0,AA642&lt;1,NOT(AND(C643=C642,AA643=AA642+1))),INDEX(DATAS,AA642+1),"")</f>
        <v/>
      </c>
      <c r="AI642" s="51" t="str">
        <f aca="false">IF(AND(AC642=1,AA642&lt;1),IF(AND(C643=C642,AA643=AA642+1),IF(AC643=1,"",INDEX(DATAS,AA642+1)),INDEX(DATAS,AA642+1)),"")</f>
        <v/>
      </c>
    </row>
    <row r="643" customFormat="false" ht="15" hidden="false" customHeight="false" outlineLevel="0" collapsed="false">
      <c r="A643" s="51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46" t="s">
        <v>590</v>
      </c>
      <c r="G643" s="0" t="n">
        <v>34.3</v>
      </c>
      <c r="H643" s="0" t="n">
        <v>28</v>
      </c>
      <c r="I643" s="46" t="s">
        <v>152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51" t="n">
        <v>46135</v>
      </c>
      <c r="X643" s="46" t="n">
        <f aca="false">IF(I643="Male",0,1)</f>
        <v>1</v>
      </c>
      <c r="Y643" s="46" t="n">
        <f aca="false">IF(OR(I643="DNB",I643="Dry DNB"),1,0)</f>
        <v>0</v>
      </c>
      <c r="Z643" s="46" t="n">
        <f aca="false">IF(ISNUMBER(W643),A643-W643,"")</f>
        <v>174</v>
      </c>
      <c r="AA643" s="46" t="n">
        <f aca="false">MATCH(A643,DATAS,0)</f>
        <v>1</v>
      </c>
      <c r="AB643" s="46" t="n">
        <f aca="false">IF(AND(E643&gt;0,OR(AND(B643&gt;=1,B643&lt;=6),B643=10)),1,0)</f>
        <v>1</v>
      </c>
      <c r="AC643" s="46" t="n">
        <f aca="false">IF(AND(E643&gt;0,B643=10),1,0)</f>
        <v>0</v>
      </c>
      <c r="AD643" s="0" t="str">
        <f aca="false">IF(AND(C642=C643,AA642=AA643-1),AB642,"")</f>
        <v/>
      </c>
      <c r="AE643" s="0" t="str">
        <f aca="false">IF(AND(C642=C643,AA642=AA643-1),AC642,"")</f>
        <v/>
      </c>
      <c r="AF643" s="0" t="str">
        <f aca="false">IF(AA643=1,"",IF(AND(AB643=1,AD643&lt;&gt;1),1,0))</f>
        <v/>
      </c>
      <c r="AG643" s="0" t="str">
        <f aca="false">IF(AA643=1,"",IF(AND(AC643=1,AE643&lt;&gt;1),1,0))</f>
        <v/>
      </c>
      <c r="AH643" s="51" t="str">
        <f aca="false">IF(AND(E643&gt;0,AA643&lt;1,NOT(AND(C644=C643,AA644=AA643+1))),INDEX(DATAS,AA643+1),"")</f>
        <v/>
      </c>
      <c r="AI643" s="51" t="str">
        <f aca="false">IF(AND(AC643=1,AA643&lt;1),IF(AND(C644=C643,AA644=AA643+1),IF(AC644=1,"",INDEX(DATAS,AA643+1)),INDEX(DATAS,AA643+1)),"")</f>
        <v/>
      </c>
    </row>
    <row r="644" customFormat="false" ht="15" hidden="false" customHeight="false" outlineLevel="0" collapsed="false">
      <c r="A644" s="51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46" t="s">
        <v>590</v>
      </c>
      <c r="I644" s="46" t="s">
        <v>157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51" t="n">
        <v>46058</v>
      </c>
      <c r="X644" s="46" t="n">
        <f aca="false">IF(I644="Male",0,1)</f>
        <v>1</v>
      </c>
      <c r="Y644" s="46" t="n">
        <f aca="false">IF(OR(I644="DNB",I644="Dry DNB"),1,0)</f>
        <v>0</v>
      </c>
      <c r="Z644" s="46" t="n">
        <f aca="false">IF(ISNUMBER(W644),A644-W644,"")</f>
        <v>251</v>
      </c>
      <c r="AA644" s="46" t="n">
        <f aca="false">MATCH(A644,DATAS,0)</f>
        <v>1</v>
      </c>
      <c r="AB644" s="46" t="n">
        <f aca="false">IF(AND(E644&gt;0,OR(AND(B644&gt;=1,B644&lt;=6),B644=10)),1,0)</f>
        <v>0</v>
      </c>
      <c r="AC644" s="46" t="n">
        <f aca="false">IF(AND(E644&gt;0,B644=10),1,0)</f>
        <v>0</v>
      </c>
      <c r="AD644" s="0" t="str">
        <f aca="false">IF(AND(C643=C644,AA643=AA644-1),AB643,"")</f>
        <v/>
      </c>
      <c r="AE644" s="0" t="str">
        <f aca="false">IF(AND(C643=C644,AA643=AA644-1),AC643,"")</f>
        <v/>
      </c>
      <c r="AF644" s="0" t="str">
        <f aca="false">IF(AA644=1,"",IF(AND(AB644=1,AD644&lt;&gt;1),1,0))</f>
        <v/>
      </c>
      <c r="AG644" s="0" t="str">
        <f aca="false">IF(AA644=1,"",IF(AND(AC644=1,AE644&lt;&gt;1),1,0))</f>
        <v/>
      </c>
      <c r="AH644" s="51" t="str">
        <f aca="false">IF(AND(E644&gt;0,AA644&lt;1,NOT(AND(C645=C644,AA645=AA644+1))),INDEX(DATAS,AA644+1),"")</f>
        <v/>
      </c>
      <c r="AI644" s="51" t="str">
        <f aca="false">IF(AND(AC644=1,AA644&lt;1),IF(AND(C645=C644,AA645=AA644+1),IF(AC645=1,"",INDEX(DATAS,AA644+1)),INDEX(DATAS,AA644+1)),"")</f>
        <v/>
      </c>
    </row>
    <row r="645" customFormat="false" ht="15" hidden="false" customHeight="false" outlineLevel="0" collapsed="false">
      <c r="A645" s="51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46" t="s">
        <v>590</v>
      </c>
      <c r="G645" s="0" t="n">
        <v>59.9</v>
      </c>
      <c r="H645" s="0" t="n">
        <v>55</v>
      </c>
      <c r="I645" s="46" t="s">
        <v>152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51" t="n">
        <v>46191</v>
      </c>
      <c r="X645" s="46" t="n">
        <f aca="false">IF(I645="Male",0,1)</f>
        <v>1</v>
      </c>
      <c r="Y645" s="46" t="n">
        <f aca="false">IF(OR(I645="DNB",I645="Dry DNB"),1,0)</f>
        <v>0</v>
      </c>
      <c r="Z645" s="46" t="n">
        <f aca="false">IF(ISNUMBER(W645),A645-W645,"")</f>
        <v>118</v>
      </c>
      <c r="AA645" s="46" t="n">
        <f aca="false">MATCH(A645,DATAS,0)</f>
        <v>1</v>
      </c>
      <c r="AB645" s="46" t="n">
        <f aca="false">IF(AND(E645&gt;0,OR(AND(B645&gt;=1,B645&lt;=6),B645=10)),1,0)</f>
        <v>1</v>
      </c>
      <c r="AC645" s="46" t="n">
        <f aca="false">IF(AND(E645&gt;0,B645=10),1,0)</f>
        <v>0</v>
      </c>
      <c r="AD645" s="0" t="str">
        <f aca="false">IF(AND(C644=C645,AA644=AA645-1),AB644,"")</f>
        <v/>
      </c>
      <c r="AE645" s="0" t="str">
        <f aca="false">IF(AND(C644=C645,AA644=AA645-1),AC644,"")</f>
        <v/>
      </c>
      <c r="AF645" s="0" t="str">
        <f aca="false">IF(AA645=1,"",IF(AND(AB645=1,AD645&lt;&gt;1),1,0))</f>
        <v/>
      </c>
      <c r="AG645" s="0" t="str">
        <f aca="false">IF(AA645=1,"",IF(AND(AC645=1,AE645&lt;&gt;1),1,0))</f>
        <v/>
      </c>
      <c r="AH645" s="51" t="str">
        <f aca="false">IF(AND(E645&gt;0,AA645&lt;1,NOT(AND(C646=C645,AA646=AA645+1))),INDEX(DATAS,AA645+1),"")</f>
        <v/>
      </c>
      <c r="AI645" s="51" t="str">
        <f aca="false">IF(AND(AC645=1,AA645&lt;1),IF(AND(C646=C645,AA646=AA645+1),IF(AC646=1,"",INDEX(DATAS,AA645+1)),INDEX(DATAS,AA645+1)),"")</f>
        <v/>
      </c>
    </row>
    <row r="646" customFormat="false" ht="15" hidden="false" customHeight="false" outlineLevel="0" collapsed="false">
      <c r="A646" s="51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46" t="s">
        <v>591</v>
      </c>
      <c r="G646" s="0" t="n">
        <v>33.2</v>
      </c>
      <c r="H646" s="0" t="n">
        <v>34</v>
      </c>
      <c r="I646" s="46" t="s">
        <v>152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51" t="n">
        <v>46093</v>
      </c>
      <c r="X646" s="46" t="n">
        <f aca="false">IF(I646="Male",0,1)</f>
        <v>1</v>
      </c>
      <c r="Y646" s="46" t="n">
        <f aca="false">IF(OR(I646="DNB",I646="Dry DNB"),1,0)</f>
        <v>0</v>
      </c>
      <c r="Z646" s="46" t="n">
        <f aca="false">IF(ISNUMBER(W646),A646-W646,"")</f>
        <v>216</v>
      </c>
      <c r="AA646" s="46" t="n">
        <f aca="false">MATCH(A646,DATAS,0)</f>
        <v>1</v>
      </c>
      <c r="AB646" s="46" t="n">
        <f aca="false">IF(AND(E646&gt;0,OR(AND(B646&gt;=1,B646&lt;=6),B646=10)),1,0)</f>
        <v>1</v>
      </c>
      <c r="AC646" s="46" t="n">
        <f aca="false">IF(AND(E646&gt;0,B646=10),1,0)</f>
        <v>0</v>
      </c>
      <c r="AD646" s="0" t="str">
        <f aca="false">IF(AND(C645=C646,AA645=AA646-1),AB645,"")</f>
        <v/>
      </c>
      <c r="AE646" s="0" t="str">
        <f aca="false">IF(AND(C645=C646,AA645=AA646-1),AC645,"")</f>
        <v/>
      </c>
      <c r="AF646" s="0" t="str">
        <f aca="false">IF(AA646=1,"",IF(AND(AB646=1,AD646&lt;&gt;1),1,0))</f>
        <v/>
      </c>
      <c r="AG646" s="0" t="str">
        <f aca="false">IF(AA646=1,"",IF(AND(AC646=1,AE646&lt;&gt;1),1,0))</f>
        <v/>
      </c>
      <c r="AH646" s="51" t="str">
        <f aca="false">IF(AND(E646&gt;0,AA646&lt;1,NOT(AND(C647=C646,AA647=AA646+1))),INDEX(DATAS,AA646+1),"")</f>
        <v/>
      </c>
      <c r="AI646" s="51" t="str">
        <f aca="false">IF(AND(AC646=1,AA646&lt;1),IF(AND(C647=C646,AA647=AA646+1),IF(AC647=1,"",INDEX(DATAS,AA646+1)),INDEX(DATAS,AA646+1)),"")</f>
        <v/>
      </c>
    </row>
    <row r="647" customFormat="false" ht="15" hidden="false" customHeight="false" outlineLevel="0" collapsed="false">
      <c r="A647" s="51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46" t="s">
        <v>591</v>
      </c>
      <c r="G647" s="0" t="n">
        <v>49.9</v>
      </c>
      <c r="H647" s="0" t="n">
        <v>52</v>
      </c>
      <c r="I647" s="46" t="s">
        <v>152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51" t="n">
        <v>46135</v>
      </c>
      <c r="X647" s="46" t="n">
        <f aca="false">IF(I647="Male",0,1)</f>
        <v>1</v>
      </c>
      <c r="Y647" s="46" t="n">
        <f aca="false">IF(OR(I647="DNB",I647="Dry DNB"),1,0)</f>
        <v>0</v>
      </c>
      <c r="Z647" s="46" t="n">
        <f aca="false">IF(ISNUMBER(W647),A647-W647,"")</f>
        <v>174</v>
      </c>
      <c r="AA647" s="46" t="n">
        <f aca="false">MATCH(A647,DATAS,0)</f>
        <v>1</v>
      </c>
      <c r="AB647" s="46" t="n">
        <f aca="false">IF(AND(E647&gt;0,OR(AND(B647&gt;=1,B647&lt;=6),B647=10)),1,0)</f>
        <v>1</v>
      </c>
      <c r="AC647" s="46" t="n">
        <f aca="false">IF(AND(E647&gt;0,B647=10),1,0)</f>
        <v>0</v>
      </c>
      <c r="AD647" s="0" t="str">
        <f aca="false">IF(AND(C646=C647,AA646=AA647-1),AB646,"")</f>
        <v/>
      </c>
      <c r="AE647" s="0" t="str">
        <f aca="false">IF(AND(C646=C647,AA646=AA647-1),AC646,"")</f>
        <v/>
      </c>
      <c r="AF647" s="0" t="str">
        <f aca="false">IF(AA647=1,"",IF(AND(AB647=1,AD647&lt;&gt;1),1,0))</f>
        <v/>
      </c>
      <c r="AG647" s="0" t="str">
        <f aca="false">IF(AA647=1,"",IF(AND(AC647=1,AE647&lt;&gt;1),1,0))</f>
        <v/>
      </c>
      <c r="AH647" s="51" t="str">
        <f aca="false">IF(AND(E647&gt;0,AA647&lt;1,NOT(AND(C648=C647,AA648=AA647+1))),INDEX(DATAS,AA647+1),"")</f>
        <v/>
      </c>
      <c r="AI647" s="51" t="str">
        <f aca="false">IF(AND(AC647=1,AA647&lt;1),IF(AND(C648=C647,AA648=AA647+1),IF(AC648=1,"",INDEX(DATAS,AA647+1)),INDEX(DATAS,AA647+1)),"")</f>
        <v/>
      </c>
    </row>
    <row r="648" customFormat="false" ht="15" hidden="false" customHeight="false" outlineLevel="0" collapsed="false">
      <c r="A648" s="51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46" t="s">
        <v>592</v>
      </c>
      <c r="I648" s="46" t="s">
        <v>157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51" t="n">
        <v>46065</v>
      </c>
      <c r="X648" s="46" t="n">
        <f aca="false">IF(I648="Male",0,1)</f>
        <v>1</v>
      </c>
      <c r="Y648" s="46" t="n">
        <f aca="false">IF(OR(I648="DNB",I648="Dry DNB"),1,0)</f>
        <v>0</v>
      </c>
      <c r="Z648" s="46" t="n">
        <f aca="false">IF(ISNUMBER(W648),A648-W648,"")</f>
        <v>244</v>
      </c>
      <c r="AA648" s="46" t="n">
        <f aca="false">MATCH(A648,DATAS,0)</f>
        <v>1</v>
      </c>
      <c r="AB648" s="46" t="n">
        <f aca="false">IF(AND(E648&gt;0,OR(AND(B648&gt;=1,B648&lt;=6),B648=10)),1,0)</f>
        <v>0</v>
      </c>
      <c r="AC648" s="46" t="n">
        <f aca="false">IF(AND(E648&gt;0,B648=10),1,0)</f>
        <v>0</v>
      </c>
      <c r="AD648" s="0" t="str">
        <f aca="false">IF(AND(C647=C648,AA647=AA648-1),AB647,"")</f>
        <v/>
      </c>
      <c r="AE648" s="0" t="str">
        <f aca="false">IF(AND(C647=C648,AA647=AA648-1),AC647,"")</f>
        <v/>
      </c>
      <c r="AF648" s="0" t="str">
        <f aca="false">IF(AA648=1,"",IF(AND(AB648=1,AD648&lt;&gt;1),1,0))</f>
        <v/>
      </c>
      <c r="AG648" s="0" t="str">
        <f aca="false">IF(AA648=1,"",IF(AND(AC648=1,AE648&lt;&gt;1),1,0))</f>
        <v/>
      </c>
      <c r="AH648" s="51" t="str">
        <f aca="false">IF(AND(E648&gt;0,AA648&lt;1,NOT(AND(C649=C648,AA649=AA648+1))),INDEX(DATAS,AA648+1),"")</f>
        <v/>
      </c>
      <c r="AI648" s="51" t="str">
        <f aca="false">IF(AND(AC648=1,AA648&lt;1),IF(AND(C649=C648,AA649=AA648+1),IF(AC649=1,"",INDEX(DATAS,AA648+1)),INDEX(DATAS,AA648+1)),"")</f>
        <v/>
      </c>
    </row>
    <row r="649" customFormat="false" ht="15" hidden="false" customHeight="false" outlineLevel="0" collapsed="false">
      <c r="A649" s="51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46" t="s">
        <v>592</v>
      </c>
      <c r="G649" s="0" t="n">
        <v>41</v>
      </c>
      <c r="H649" s="0" t="n">
        <v>39</v>
      </c>
      <c r="I649" s="46" t="s">
        <v>152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51" t="n">
        <v>46149</v>
      </c>
      <c r="X649" s="46" t="n">
        <f aca="false">IF(I649="Male",0,1)</f>
        <v>1</v>
      </c>
      <c r="Y649" s="46" t="n">
        <f aca="false">IF(OR(I649="DNB",I649="Dry DNB"),1,0)</f>
        <v>0</v>
      </c>
      <c r="Z649" s="46" t="n">
        <f aca="false">IF(ISNUMBER(W649),A649-W649,"")</f>
        <v>160</v>
      </c>
      <c r="AA649" s="46" t="n">
        <f aca="false">MATCH(A649,DATAS,0)</f>
        <v>1</v>
      </c>
      <c r="AB649" s="46" t="n">
        <f aca="false">IF(AND(E649&gt;0,OR(AND(B649&gt;=1,B649&lt;=6),B649=10)),1,0)</f>
        <v>1</v>
      </c>
      <c r="AC649" s="46" t="n">
        <f aca="false">IF(AND(E649&gt;0,B649=10),1,0)</f>
        <v>0</v>
      </c>
      <c r="AD649" s="0" t="str">
        <f aca="false">IF(AND(C648=C649,AA648=AA649-1),AB648,"")</f>
        <v/>
      </c>
      <c r="AE649" s="0" t="str">
        <f aca="false">IF(AND(C648=C649,AA648=AA649-1),AC648,"")</f>
        <v/>
      </c>
      <c r="AF649" s="0" t="str">
        <f aca="false">IF(AA649=1,"",IF(AND(AB649=1,AD649&lt;&gt;1),1,0))</f>
        <v/>
      </c>
      <c r="AG649" s="0" t="str">
        <f aca="false">IF(AA649=1,"",IF(AND(AC649=1,AE649&lt;&gt;1),1,0))</f>
        <v/>
      </c>
      <c r="AH649" s="51" t="str">
        <f aca="false">IF(AND(E649&gt;0,AA649&lt;1,NOT(AND(C650=C649,AA650=AA649+1))),INDEX(DATAS,AA649+1),"")</f>
        <v/>
      </c>
      <c r="AI649" s="51" t="str">
        <f aca="false">IF(AND(AC649=1,AA649&lt;1),IF(AND(C650=C649,AA650=AA649+1),IF(AC650=1,"",INDEX(DATAS,AA649+1)),INDEX(DATAS,AA649+1)),"")</f>
        <v/>
      </c>
    </row>
    <row r="650" customFormat="false" ht="15" hidden="false" customHeight="false" outlineLevel="0" collapsed="false">
      <c r="A650" s="51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46" t="s">
        <v>593</v>
      </c>
      <c r="G650" s="0" t="n">
        <v>60.6</v>
      </c>
      <c r="H650" s="0" t="n">
        <v>61</v>
      </c>
      <c r="I650" s="46" t="s">
        <v>152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51" t="n">
        <v>46237</v>
      </c>
      <c r="X650" s="46" t="n">
        <f aca="false">IF(I650="Male",0,1)</f>
        <v>1</v>
      </c>
      <c r="Y650" s="46" t="n">
        <f aca="false">IF(OR(I650="DNB",I650="Dry DNB"),1,0)</f>
        <v>0</v>
      </c>
      <c r="Z650" s="46" t="n">
        <f aca="false">IF(ISNUMBER(W650),A650-W650,"")</f>
        <v>72</v>
      </c>
      <c r="AA650" s="46" t="n">
        <f aca="false">MATCH(A650,DATAS,0)</f>
        <v>1</v>
      </c>
      <c r="AB650" s="46" t="n">
        <f aca="false">IF(AND(E650&gt;0,OR(AND(B650&gt;=1,B650&lt;=6),B650=10)),1,0)</f>
        <v>1</v>
      </c>
      <c r="AC650" s="46" t="n">
        <f aca="false">IF(AND(E650&gt;0,B650=10),1,0)</f>
        <v>0</v>
      </c>
      <c r="AD650" s="0" t="str">
        <f aca="false">IF(AND(C649=C650,AA649=AA650-1),AB649,"")</f>
        <v/>
      </c>
      <c r="AE650" s="0" t="str">
        <f aca="false">IF(AND(C649=C650,AA649=AA650-1),AC649,"")</f>
        <v/>
      </c>
      <c r="AF650" s="0" t="str">
        <f aca="false">IF(AA650=1,"",IF(AND(AB650=1,AD650&lt;&gt;1),1,0))</f>
        <v/>
      </c>
      <c r="AG650" s="0" t="str">
        <f aca="false">IF(AA650=1,"",IF(AND(AC650=1,AE650&lt;&gt;1),1,0))</f>
        <v/>
      </c>
      <c r="AH650" s="51" t="str">
        <f aca="false">IF(AND(E650&gt;0,AA650&lt;1,NOT(AND(C651=C650,AA651=AA650+1))),INDEX(DATAS,AA650+1),"")</f>
        <v/>
      </c>
      <c r="AI650" s="51" t="str">
        <f aca="false">IF(AND(AC650=1,AA650&lt;1),IF(AND(C651=C650,AA651=AA650+1),IF(AC651=1,"",INDEX(DATAS,AA650+1)),INDEX(DATAS,AA650+1)),"")</f>
        <v/>
      </c>
    </row>
    <row r="651" customFormat="false" ht="15" hidden="false" customHeight="false" outlineLevel="0" collapsed="false">
      <c r="A651" s="51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46" t="s">
        <v>593</v>
      </c>
      <c r="G651" s="0" t="n">
        <v>17.2</v>
      </c>
      <c r="H651" s="0" t="n">
        <v>41</v>
      </c>
      <c r="I651" s="46" t="s">
        <v>157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51" t="n">
        <v>46086</v>
      </c>
      <c r="X651" s="46" t="n">
        <f aca="false">IF(I651="Male",0,1)</f>
        <v>1</v>
      </c>
      <c r="Y651" s="46" t="n">
        <f aca="false">IF(OR(I651="DNB",I651="Dry DNB"),1,0)</f>
        <v>0</v>
      </c>
      <c r="Z651" s="46" t="n">
        <f aca="false">IF(ISNUMBER(W651),A651-W651,"")</f>
        <v>223</v>
      </c>
      <c r="AA651" s="46" t="n">
        <f aca="false">MATCH(A651,DATAS,0)</f>
        <v>1</v>
      </c>
      <c r="AB651" s="46" t="n">
        <f aca="false">IF(AND(E651&gt;0,OR(AND(B651&gt;=1,B651&lt;=6),B651=10)),1,0)</f>
        <v>0</v>
      </c>
      <c r="AC651" s="46" t="n">
        <f aca="false">IF(AND(E651&gt;0,B651=10),1,0)</f>
        <v>0</v>
      </c>
      <c r="AD651" s="0" t="str">
        <f aca="false">IF(AND(C650=C651,AA650=AA651-1),AB650,"")</f>
        <v/>
      </c>
      <c r="AE651" s="0" t="str">
        <f aca="false">IF(AND(C650=C651,AA650=AA651-1),AC650,"")</f>
        <v/>
      </c>
      <c r="AF651" s="0" t="str">
        <f aca="false">IF(AA651=1,"",IF(AND(AB651=1,AD651&lt;&gt;1),1,0))</f>
        <v/>
      </c>
      <c r="AG651" s="0" t="str">
        <f aca="false">IF(AA651=1,"",IF(AND(AC651=1,AE651&lt;&gt;1),1,0))</f>
        <v/>
      </c>
      <c r="AH651" s="51" t="str">
        <f aca="false">IF(AND(E651&gt;0,AA651&lt;1,NOT(AND(C652=C651,AA652=AA651+1))),INDEX(DATAS,AA651+1),"")</f>
        <v/>
      </c>
      <c r="AI651" s="51" t="str">
        <f aca="false">IF(AND(AC651=1,AA651&lt;1),IF(AND(C652=C651,AA652=AA651+1),IF(AC652=1,"",INDEX(DATAS,AA651+1)),INDEX(DATAS,AA651+1)),"")</f>
        <v/>
      </c>
    </row>
    <row r="652" customFormat="false" ht="15" hidden="false" customHeight="false" outlineLevel="0" collapsed="false">
      <c r="A652" s="51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46" t="s">
        <v>593</v>
      </c>
      <c r="G652" s="0" t="n">
        <v>54</v>
      </c>
      <c r="H652" s="0" t="n">
        <v>57</v>
      </c>
      <c r="I652" s="46" t="s">
        <v>152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51" t="n">
        <v>46247</v>
      </c>
      <c r="X652" s="46" t="n">
        <f aca="false">IF(I652="Male",0,1)</f>
        <v>1</v>
      </c>
      <c r="Y652" s="46" t="n">
        <f aca="false">IF(OR(I652="DNB",I652="Dry DNB"),1,0)</f>
        <v>0</v>
      </c>
      <c r="Z652" s="46" t="n">
        <f aca="false">IF(ISNUMBER(W652),A652-W652,"")</f>
        <v>62</v>
      </c>
      <c r="AA652" s="46" t="n">
        <f aca="false">MATCH(A652,DATAS,0)</f>
        <v>1</v>
      </c>
      <c r="AB652" s="46" t="n">
        <f aca="false">IF(AND(E652&gt;0,OR(AND(B652&gt;=1,B652&lt;=6),B652=10)),1,0)</f>
        <v>1</v>
      </c>
      <c r="AC652" s="46" t="n">
        <f aca="false">IF(AND(E652&gt;0,B652=10),1,0)</f>
        <v>0</v>
      </c>
      <c r="AD652" s="0" t="str">
        <f aca="false">IF(AND(C651=C652,AA651=AA652-1),AB651,"")</f>
        <v/>
      </c>
      <c r="AE652" s="0" t="str">
        <f aca="false">IF(AND(C651=C652,AA651=AA652-1),AC651,"")</f>
        <v/>
      </c>
      <c r="AF652" s="0" t="str">
        <f aca="false">IF(AA652=1,"",IF(AND(AB652=1,AD652&lt;&gt;1),1,0))</f>
        <v/>
      </c>
      <c r="AG652" s="0" t="str">
        <f aca="false">IF(AA652=1,"",IF(AND(AC652=1,AE652&lt;&gt;1),1,0))</f>
        <v/>
      </c>
      <c r="AH652" s="51" t="str">
        <f aca="false">IF(AND(E652&gt;0,AA652&lt;1,NOT(AND(C653=C652,AA653=AA652+1))),INDEX(DATAS,AA652+1),"")</f>
        <v/>
      </c>
      <c r="AI652" s="51" t="str">
        <f aca="false">IF(AND(AC652=1,AA652&lt;1),IF(AND(C653=C652,AA653=AA652+1),IF(AC653=1,"",INDEX(DATAS,AA652+1)),INDEX(DATAS,AA652+1)),"")</f>
        <v/>
      </c>
    </row>
    <row r="653" customFormat="false" ht="15" hidden="false" customHeight="false" outlineLevel="0" collapsed="false">
      <c r="A653" s="51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46" t="s">
        <v>594</v>
      </c>
      <c r="G653" s="0" t="n">
        <v>13.7</v>
      </c>
      <c r="H653" s="0" t="n">
        <v>32</v>
      </c>
      <c r="I653" s="46" t="s">
        <v>157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51" t="n">
        <v>46088</v>
      </c>
      <c r="X653" s="46" t="n">
        <f aca="false">IF(I653="Male",0,1)</f>
        <v>1</v>
      </c>
      <c r="Y653" s="46" t="n">
        <f aca="false">IF(OR(I653="DNB",I653="Dry DNB"),1,0)</f>
        <v>0</v>
      </c>
      <c r="Z653" s="46" t="n">
        <f aca="false">IF(ISNUMBER(W653),A653-W653,"")</f>
        <v>221</v>
      </c>
      <c r="AA653" s="46" t="n">
        <f aca="false">MATCH(A653,DATAS,0)</f>
        <v>1</v>
      </c>
      <c r="AB653" s="46" t="n">
        <f aca="false">IF(AND(E653&gt;0,OR(AND(B653&gt;=1,B653&lt;=6),B653=10)),1,0)</f>
        <v>0</v>
      </c>
      <c r="AC653" s="46" t="n">
        <f aca="false">IF(AND(E653&gt;0,B653=10),1,0)</f>
        <v>0</v>
      </c>
      <c r="AD653" s="0" t="str">
        <f aca="false">IF(AND(C652=C653,AA652=AA653-1),AB652,"")</f>
        <v/>
      </c>
      <c r="AE653" s="0" t="str">
        <f aca="false">IF(AND(C652=C653,AA652=AA653-1),AC652,"")</f>
        <v/>
      </c>
      <c r="AF653" s="0" t="str">
        <f aca="false">IF(AA653=1,"",IF(AND(AB653=1,AD653&lt;&gt;1),1,0))</f>
        <v/>
      </c>
      <c r="AG653" s="0" t="str">
        <f aca="false">IF(AA653=1,"",IF(AND(AC653=1,AE653&lt;&gt;1),1,0))</f>
        <v/>
      </c>
      <c r="AH653" s="51" t="str">
        <f aca="false">IF(AND(E653&gt;0,AA653&lt;1,NOT(AND(C654=C653,AA654=AA653+1))),INDEX(DATAS,AA653+1),"")</f>
        <v/>
      </c>
      <c r="AI653" s="51" t="str">
        <f aca="false">IF(AND(AC653=1,AA653&lt;1),IF(AND(C654=C653,AA654=AA653+1),IF(AC654=1,"",INDEX(DATAS,AA653+1)),INDEX(DATAS,AA653+1)),"")</f>
        <v/>
      </c>
    </row>
    <row r="654" customFormat="false" ht="15" hidden="false" customHeight="false" outlineLevel="0" collapsed="false">
      <c r="A654" s="51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46" t="s">
        <v>595</v>
      </c>
      <c r="G654" s="0" t="n">
        <v>49.1</v>
      </c>
      <c r="H654" s="0" t="n">
        <v>37</v>
      </c>
      <c r="I654" s="46" t="s">
        <v>152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51" t="n">
        <v>46093</v>
      </c>
      <c r="X654" s="46" t="n">
        <f aca="false">IF(I654="Male",0,1)</f>
        <v>1</v>
      </c>
      <c r="Y654" s="46" t="n">
        <f aca="false">IF(OR(I654="DNB",I654="Dry DNB"),1,0)</f>
        <v>0</v>
      </c>
      <c r="Z654" s="46" t="n">
        <f aca="false">IF(ISNUMBER(W654),A654-W654,"")</f>
        <v>216</v>
      </c>
      <c r="AA654" s="46" t="n">
        <f aca="false">MATCH(A654,DATAS,0)</f>
        <v>1</v>
      </c>
      <c r="AB654" s="46" t="n">
        <f aca="false">IF(AND(E654&gt;0,OR(AND(B654&gt;=1,B654&lt;=6),B654=10)),1,0)</f>
        <v>1</v>
      </c>
      <c r="AC654" s="46" t="n">
        <f aca="false">IF(AND(E654&gt;0,B654=10),1,0)</f>
        <v>0</v>
      </c>
      <c r="AD654" s="0" t="str">
        <f aca="false">IF(AND(C653=C654,AA653=AA654-1),AB653,"")</f>
        <v/>
      </c>
      <c r="AE654" s="0" t="str">
        <f aca="false">IF(AND(C653=C654,AA653=AA654-1),AC653,"")</f>
        <v/>
      </c>
      <c r="AF654" s="0" t="str">
        <f aca="false">IF(AA654=1,"",IF(AND(AB654=1,AD654&lt;&gt;1),1,0))</f>
        <v/>
      </c>
      <c r="AG654" s="0" t="str">
        <f aca="false">IF(AA654=1,"",IF(AND(AC654=1,AE654&lt;&gt;1),1,0))</f>
        <v/>
      </c>
      <c r="AH654" s="51" t="str">
        <f aca="false">IF(AND(E654&gt;0,AA654&lt;1,NOT(AND(C655=C654,AA655=AA654+1))),INDEX(DATAS,AA654+1),"")</f>
        <v/>
      </c>
      <c r="AI654" s="51" t="str">
        <f aca="false">IF(AND(AC654=1,AA654&lt;1),IF(AND(C655=C654,AA655=AA654+1),IF(AC655=1,"",INDEX(DATAS,AA654+1)),INDEX(DATAS,AA654+1)),"")</f>
        <v/>
      </c>
    </row>
    <row r="655" customFormat="false" ht="15" hidden="false" customHeight="false" outlineLevel="0" collapsed="false">
      <c r="A655" s="51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46" t="s">
        <v>595</v>
      </c>
      <c r="G655" s="0" t="n">
        <v>8.8</v>
      </c>
      <c r="H655" s="0" t="n">
        <v>17</v>
      </c>
      <c r="I655" s="46" t="s">
        <v>157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51" t="n">
        <v>46086</v>
      </c>
      <c r="X655" s="46" t="n">
        <f aca="false">IF(I655="Male",0,1)</f>
        <v>1</v>
      </c>
      <c r="Y655" s="46" t="n">
        <f aca="false">IF(OR(I655="DNB",I655="Dry DNB"),1,0)</f>
        <v>0</v>
      </c>
      <c r="Z655" s="46" t="n">
        <f aca="false">IF(ISNUMBER(W655),A655-W655,"")</f>
        <v>223</v>
      </c>
      <c r="AA655" s="46" t="n">
        <f aca="false">MATCH(A655,DATAS,0)</f>
        <v>1</v>
      </c>
      <c r="AB655" s="46" t="n">
        <f aca="false">IF(AND(E655&gt;0,OR(AND(B655&gt;=1,B655&lt;=6),B655=10)),1,0)</f>
        <v>0</v>
      </c>
      <c r="AC655" s="46" t="n">
        <f aca="false">IF(AND(E655&gt;0,B655=10),1,0)</f>
        <v>0</v>
      </c>
      <c r="AD655" s="0" t="str">
        <f aca="false">IF(AND(C654=C655,AA654=AA655-1),AB654,"")</f>
        <v/>
      </c>
      <c r="AE655" s="0" t="str">
        <f aca="false">IF(AND(C654=C655,AA654=AA655-1),AC654,"")</f>
        <v/>
      </c>
      <c r="AF655" s="0" t="str">
        <f aca="false">IF(AA655=1,"",IF(AND(AB655=1,AD655&lt;&gt;1),1,0))</f>
        <v/>
      </c>
      <c r="AG655" s="0" t="str">
        <f aca="false">IF(AA655=1,"",IF(AND(AC655=1,AE655&lt;&gt;1),1,0))</f>
        <v/>
      </c>
      <c r="AH655" s="51" t="str">
        <f aca="false">IF(AND(E655&gt;0,AA655&lt;1,NOT(AND(C656=C655,AA656=AA655+1))),INDEX(DATAS,AA655+1),"")</f>
        <v/>
      </c>
      <c r="AI655" s="51" t="str">
        <f aca="false">IF(AND(AC655=1,AA655&lt;1),IF(AND(C656=C655,AA656=AA655+1),IF(AC656=1,"",INDEX(DATAS,AA655+1)),INDEX(DATAS,AA655+1)),"")</f>
        <v/>
      </c>
    </row>
    <row r="656" customFormat="false" ht="15" hidden="false" customHeight="false" outlineLevel="0" collapsed="false">
      <c r="A656" s="51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46" t="s">
        <v>595</v>
      </c>
      <c r="G656" s="0" t="n">
        <v>44.2</v>
      </c>
      <c r="H656" s="0" t="n">
        <v>43</v>
      </c>
      <c r="I656" s="46" t="s">
        <v>152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51" t="n">
        <v>46198</v>
      </c>
      <c r="X656" s="46" t="n">
        <f aca="false">IF(I656="Male",0,1)</f>
        <v>1</v>
      </c>
      <c r="Y656" s="46" t="n">
        <f aca="false">IF(OR(I656="DNB",I656="Dry DNB"),1,0)</f>
        <v>0</v>
      </c>
      <c r="Z656" s="46" t="n">
        <f aca="false">IF(ISNUMBER(W656),A656-W656,"")</f>
        <v>111</v>
      </c>
      <c r="AA656" s="46" t="n">
        <f aca="false">MATCH(A656,DATAS,0)</f>
        <v>1</v>
      </c>
      <c r="AB656" s="46" t="n">
        <f aca="false">IF(AND(E656&gt;0,OR(AND(B656&gt;=1,B656&lt;=6),B656=10)),1,0)</f>
        <v>1</v>
      </c>
      <c r="AC656" s="46" t="n">
        <f aca="false">IF(AND(E656&gt;0,B656=10),1,0)</f>
        <v>0</v>
      </c>
      <c r="AD656" s="0" t="str">
        <f aca="false">IF(AND(C655=C656,AA655=AA656-1),AB655,"")</f>
        <v/>
      </c>
      <c r="AE656" s="0" t="str">
        <f aca="false">IF(AND(C655=C656,AA655=AA656-1),AC655,"")</f>
        <v/>
      </c>
      <c r="AF656" s="0" t="str">
        <f aca="false">IF(AA656=1,"",IF(AND(AB656=1,AD656&lt;&gt;1),1,0))</f>
        <v/>
      </c>
      <c r="AG656" s="0" t="str">
        <f aca="false">IF(AA656=1,"",IF(AND(AC656=1,AE656&lt;&gt;1),1,0))</f>
        <v/>
      </c>
      <c r="AH656" s="51" t="str">
        <f aca="false">IF(AND(E656&gt;0,AA656&lt;1,NOT(AND(C657=C656,AA657=AA656+1))),INDEX(DATAS,AA656+1),"")</f>
        <v/>
      </c>
      <c r="AI656" s="51" t="str">
        <f aca="false">IF(AND(AC656=1,AA656&lt;1),IF(AND(C657=C656,AA657=AA656+1),IF(AC657=1,"",INDEX(DATAS,AA656+1)),INDEX(DATAS,AA656+1)),"")</f>
        <v/>
      </c>
    </row>
    <row r="657" customFormat="false" ht="15" hidden="false" customHeight="false" outlineLevel="0" collapsed="false">
      <c r="A657" s="51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46" t="s">
        <v>596</v>
      </c>
      <c r="G657" s="0" t="n">
        <v>55.4</v>
      </c>
      <c r="H657" s="0" t="n">
        <v>55</v>
      </c>
      <c r="I657" s="46" t="s">
        <v>152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51" t="n">
        <v>46184</v>
      </c>
      <c r="X657" s="46" t="n">
        <f aca="false">IF(I657="Male",0,1)</f>
        <v>1</v>
      </c>
      <c r="Y657" s="46" t="n">
        <f aca="false">IF(OR(I657="DNB",I657="Dry DNB"),1,0)</f>
        <v>0</v>
      </c>
      <c r="Z657" s="46" t="n">
        <f aca="false">IF(ISNUMBER(W657),A657-W657,"")</f>
        <v>125</v>
      </c>
      <c r="AA657" s="46" t="n">
        <f aca="false">MATCH(A657,DATAS,0)</f>
        <v>1</v>
      </c>
      <c r="AB657" s="46" t="n">
        <f aca="false">IF(AND(E657&gt;0,OR(AND(B657&gt;=1,B657&lt;=6),B657=10)),1,0)</f>
        <v>1</v>
      </c>
      <c r="AC657" s="46" t="n">
        <f aca="false">IF(AND(E657&gt;0,B657=10),1,0)</f>
        <v>0</v>
      </c>
      <c r="AD657" s="0" t="str">
        <f aca="false">IF(AND(C656=C657,AA656=AA657-1),AB656,"")</f>
        <v/>
      </c>
      <c r="AE657" s="0" t="str">
        <f aca="false">IF(AND(C656=C657,AA656=AA657-1),AC656,"")</f>
        <v/>
      </c>
      <c r="AF657" s="0" t="str">
        <f aca="false">IF(AA657=1,"",IF(AND(AB657=1,AD657&lt;&gt;1),1,0))</f>
        <v/>
      </c>
      <c r="AG657" s="0" t="str">
        <f aca="false">IF(AA657=1,"",IF(AND(AC657=1,AE657&lt;&gt;1),1,0))</f>
        <v/>
      </c>
      <c r="AH657" s="51" t="str">
        <f aca="false">IF(AND(E657&gt;0,AA657&lt;1,NOT(AND(C658=C657,AA658=AA657+1))),INDEX(DATAS,AA657+1),"")</f>
        <v/>
      </c>
      <c r="AI657" s="51" t="str">
        <f aca="false">IF(AND(AC657=1,AA657&lt;1),IF(AND(C658=C657,AA658=AA657+1),IF(AC658=1,"",INDEX(DATAS,AA657+1)),INDEX(DATAS,AA657+1)),"")</f>
        <v/>
      </c>
    </row>
    <row r="658" customFormat="false" ht="15" hidden="false" customHeight="false" outlineLevel="0" collapsed="false">
      <c r="A658" s="51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46" t="s">
        <v>597</v>
      </c>
      <c r="G658" s="0" t="n">
        <v>42.9</v>
      </c>
      <c r="H658" s="0" t="n">
        <v>42</v>
      </c>
      <c r="I658" s="46" t="s">
        <v>152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51" t="n">
        <v>46125</v>
      </c>
      <c r="X658" s="46" t="n">
        <f aca="false">IF(I658="Male",0,1)</f>
        <v>1</v>
      </c>
      <c r="Y658" s="46" t="n">
        <f aca="false">IF(OR(I658="DNB",I658="Dry DNB"),1,0)</f>
        <v>0</v>
      </c>
      <c r="Z658" s="46" t="n">
        <f aca="false">IF(ISNUMBER(W658),A658-W658,"")</f>
        <v>184</v>
      </c>
      <c r="AA658" s="46" t="n">
        <f aca="false">MATCH(A658,DATAS,0)</f>
        <v>1</v>
      </c>
      <c r="AB658" s="46" t="n">
        <f aca="false">IF(AND(E658&gt;0,OR(AND(B658&gt;=1,B658&lt;=6),B658=10)),1,0)</f>
        <v>1</v>
      </c>
      <c r="AC658" s="46" t="n">
        <f aca="false">IF(AND(E658&gt;0,B658=10),1,0)</f>
        <v>0</v>
      </c>
      <c r="AD658" s="0" t="str">
        <f aca="false">IF(AND(C657=C658,AA657=AA658-1),AB657,"")</f>
        <v/>
      </c>
      <c r="AE658" s="0" t="str">
        <f aca="false">IF(AND(C657=C658,AA657=AA658-1),AC657,"")</f>
        <v/>
      </c>
      <c r="AF658" s="0" t="str">
        <f aca="false">IF(AA658=1,"",IF(AND(AB658=1,AD658&lt;&gt;1),1,0))</f>
        <v/>
      </c>
      <c r="AG658" s="0" t="str">
        <f aca="false">IF(AA658=1,"",IF(AND(AC658=1,AE658&lt;&gt;1),1,0))</f>
        <v/>
      </c>
      <c r="AH658" s="51" t="str">
        <f aca="false">IF(AND(E658&gt;0,AA658&lt;1,NOT(AND(C659=C658,AA659=AA658+1))),INDEX(DATAS,AA658+1),"")</f>
        <v/>
      </c>
      <c r="AI658" s="51" t="str">
        <f aca="false">IF(AND(AC658=1,AA658&lt;1),IF(AND(C659=C658,AA659=AA658+1),IF(AC659=1,"",INDEX(DATAS,AA658+1)),INDEX(DATAS,AA658+1)),"")</f>
        <v/>
      </c>
    </row>
    <row r="659" customFormat="false" ht="15" hidden="false" customHeight="false" outlineLevel="0" collapsed="false">
      <c r="A659" s="51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46" t="s">
        <v>597</v>
      </c>
      <c r="G659" s="0" t="n">
        <v>20.9</v>
      </c>
      <c r="H659" s="0" t="n">
        <v>24</v>
      </c>
      <c r="I659" s="46" t="s">
        <v>181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51" t="n">
        <v>46289</v>
      </c>
      <c r="X659" s="46" t="n">
        <f aca="false">IF(I659="Male",0,1)</f>
        <v>1</v>
      </c>
      <c r="Y659" s="46" t="n">
        <f aca="false">IF(OR(I659="DNB",I659="Dry DNB"),1,0)</f>
        <v>0</v>
      </c>
      <c r="Z659" s="46" t="n">
        <f aca="false">IF(ISNUMBER(W659),A659-W659,"")</f>
        <v>20</v>
      </c>
      <c r="AA659" s="46" t="n">
        <f aca="false">MATCH(A659,DATAS,0)</f>
        <v>1</v>
      </c>
      <c r="AB659" s="46" t="n">
        <f aca="false">IF(AND(E659&gt;0,OR(AND(B659&gt;=1,B659&lt;=6),B659=10)),1,0)</f>
        <v>1</v>
      </c>
      <c r="AC659" s="46" t="n">
        <f aca="false">IF(AND(E659&gt;0,B659=10),1,0)</f>
        <v>0</v>
      </c>
      <c r="AD659" s="0" t="str">
        <f aca="false">IF(AND(C658=C659,AA658=AA659-1),AB658,"")</f>
        <v/>
      </c>
      <c r="AE659" s="0" t="str">
        <f aca="false">IF(AND(C658=C659,AA658=AA659-1),AC658,"")</f>
        <v/>
      </c>
      <c r="AF659" s="0" t="str">
        <f aca="false">IF(AA659=1,"",IF(AND(AB659=1,AD659&lt;&gt;1),1,0))</f>
        <v/>
      </c>
      <c r="AG659" s="0" t="str">
        <f aca="false">IF(AA659=1,"",IF(AND(AC659=1,AE659&lt;&gt;1),1,0))</f>
        <v/>
      </c>
      <c r="AH659" s="51" t="str">
        <f aca="false">IF(AND(E659&gt;0,AA659&lt;1,NOT(AND(C660=C659,AA660=AA659+1))),INDEX(DATAS,AA659+1),"")</f>
        <v/>
      </c>
      <c r="AI659" s="51" t="str">
        <f aca="false">IF(AND(AC659=1,AA659&lt;1),IF(AND(C660=C659,AA660=AA659+1),IF(AC660=1,"",INDEX(DATAS,AA659+1)),INDEX(DATAS,AA659+1)),"")</f>
        <v/>
      </c>
    </row>
    <row r="660" customFormat="false" ht="15" hidden="false" customHeight="false" outlineLevel="0" collapsed="false">
      <c r="A660" s="51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46" t="s">
        <v>597</v>
      </c>
      <c r="I660" s="46" t="s">
        <v>157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51" t="n">
        <v>46031</v>
      </c>
      <c r="X660" s="46" t="n">
        <f aca="false">IF(I660="Male",0,1)</f>
        <v>1</v>
      </c>
      <c r="Y660" s="46" t="n">
        <f aca="false">IF(OR(I660="DNB",I660="Dry DNB"),1,0)</f>
        <v>0</v>
      </c>
      <c r="Z660" s="46" t="n">
        <f aca="false">IF(ISNUMBER(W660),A660-W660,"")</f>
        <v>278</v>
      </c>
      <c r="AA660" s="46" t="n">
        <f aca="false">MATCH(A660,DATAS,0)</f>
        <v>1</v>
      </c>
      <c r="AB660" s="46" t="n">
        <f aca="false">IF(AND(E660&gt;0,OR(AND(B660&gt;=1,B660&lt;=6),B660=10)),1,0)</f>
        <v>0</v>
      </c>
      <c r="AC660" s="46" t="n">
        <f aca="false">IF(AND(E660&gt;0,B660=10),1,0)</f>
        <v>0</v>
      </c>
      <c r="AD660" s="0" t="str">
        <f aca="false">IF(AND(C659=C660,AA659=AA660-1),AB659,"")</f>
        <v/>
      </c>
      <c r="AE660" s="0" t="str">
        <f aca="false">IF(AND(C659=C660,AA659=AA660-1),AC659,"")</f>
        <v/>
      </c>
      <c r="AF660" s="0" t="str">
        <f aca="false">IF(AA660=1,"",IF(AND(AB660=1,AD660&lt;&gt;1),1,0))</f>
        <v/>
      </c>
      <c r="AG660" s="0" t="str">
        <f aca="false">IF(AA660=1,"",IF(AND(AC660=1,AE660&lt;&gt;1),1,0))</f>
        <v/>
      </c>
      <c r="AH660" s="51" t="str">
        <f aca="false">IF(AND(E660&gt;0,AA660&lt;1,NOT(AND(C661=C660,AA661=AA660+1))),INDEX(DATAS,AA660+1),"")</f>
        <v/>
      </c>
      <c r="AI660" s="51" t="str">
        <f aca="false">IF(AND(AC660=1,AA660&lt;1),IF(AND(C661=C660,AA661=AA660+1),IF(AC661=1,"",INDEX(DATAS,AA660+1)),INDEX(DATAS,AA660+1)),"")</f>
        <v/>
      </c>
    </row>
    <row r="661" customFormat="false" ht="15" hidden="false" customHeight="false" outlineLevel="0" collapsed="false">
      <c r="A661" s="51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46" t="s">
        <v>598</v>
      </c>
      <c r="G661" s="0" t="n">
        <v>27.3</v>
      </c>
      <c r="H661" s="0" t="n">
        <v>23</v>
      </c>
      <c r="I661" s="46" t="s">
        <v>152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X661" s="46" t="n">
        <f aca="false">IF(I661="Male",0,1)</f>
        <v>1</v>
      </c>
      <c r="Y661" s="46" t="n">
        <f aca="false">IF(OR(I661="DNB",I661="Dry DNB"),1,0)</f>
        <v>0</v>
      </c>
      <c r="Z661" s="0" t="str">
        <f aca="false">IF(ISNUMBER(W661),A661-W661,"")</f>
        <v/>
      </c>
      <c r="AA661" s="46" t="n">
        <f aca="false">MATCH(A661,DATAS,0)</f>
        <v>1</v>
      </c>
      <c r="AB661" s="46" t="n">
        <f aca="false">IF(AND(E661&gt;0,OR(AND(B661&gt;=1,B661&lt;=6),B661=10)),1,0)</f>
        <v>1</v>
      </c>
      <c r="AC661" s="46" t="n">
        <f aca="false">IF(AND(E661&gt;0,B661=10),1,0)</f>
        <v>0</v>
      </c>
      <c r="AD661" s="0" t="str">
        <f aca="false">IF(AND(C660=C661,AA660=AA661-1),AB660,"")</f>
        <v/>
      </c>
      <c r="AE661" s="0" t="str">
        <f aca="false">IF(AND(C660=C661,AA660=AA661-1),AC660,"")</f>
        <v/>
      </c>
      <c r="AF661" s="0" t="str">
        <f aca="false">IF(AA661=1,"",IF(AND(AB661=1,AD661&lt;&gt;1),1,0))</f>
        <v/>
      </c>
      <c r="AG661" s="0" t="str">
        <f aca="false">IF(AA661=1,"",IF(AND(AC661=1,AE661&lt;&gt;1),1,0))</f>
        <v/>
      </c>
      <c r="AH661" s="51" t="str">
        <f aca="false">IF(AND(E661&gt;0,AA661&lt;1,NOT(AND(C662=C661,AA662=AA661+1))),INDEX(DATAS,AA661+1),"")</f>
        <v/>
      </c>
      <c r="AI661" s="51" t="str">
        <f aca="false">IF(AND(AC661=1,AA661&lt;1),IF(AND(C662=C661,AA662=AA661+1),IF(AC662=1,"",INDEX(DATAS,AA661+1)),INDEX(DATAS,AA661+1)),"")</f>
        <v/>
      </c>
    </row>
    <row r="662" customFormat="false" ht="15" hidden="false" customHeight="false" outlineLevel="0" collapsed="false">
      <c r="A662" s="51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46" t="s">
        <v>599</v>
      </c>
      <c r="G662" s="0" t="n">
        <v>43.4</v>
      </c>
      <c r="H662" s="0" t="n">
        <v>46</v>
      </c>
      <c r="I662" s="46" t="s">
        <v>152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51" t="n">
        <v>46100</v>
      </c>
      <c r="X662" s="46" t="n">
        <f aca="false">IF(I662="Male",0,1)</f>
        <v>1</v>
      </c>
      <c r="Y662" s="46" t="n">
        <f aca="false">IF(OR(I662="DNB",I662="Dry DNB"),1,0)</f>
        <v>0</v>
      </c>
      <c r="Z662" s="46" t="n">
        <f aca="false">IF(ISNUMBER(W662),A662-W662,"")</f>
        <v>209</v>
      </c>
      <c r="AA662" s="46" t="n">
        <f aca="false">MATCH(A662,DATAS,0)</f>
        <v>1</v>
      </c>
      <c r="AB662" s="46" t="n">
        <f aca="false">IF(AND(E662&gt;0,OR(AND(B662&gt;=1,B662&lt;=6),B662=10)),1,0)</f>
        <v>1</v>
      </c>
      <c r="AC662" s="46" t="n">
        <f aca="false">IF(AND(E662&gt;0,B662=10),1,0)</f>
        <v>0</v>
      </c>
      <c r="AD662" s="0" t="str">
        <f aca="false">IF(AND(C661=C662,AA661=AA662-1),AB661,"")</f>
        <v/>
      </c>
      <c r="AE662" s="0" t="str">
        <f aca="false">IF(AND(C661=C662,AA661=AA662-1),AC661,"")</f>
        <v/>
      </c>
      <c r="AF662" s="0" t="str">
        <f aca="false">IF(AA662=1,"",IF(AND(AB662=1,AD662&lt;&gt;1),1,0))</f>
        <v/>
      </c>
      <c r="AG662" s="0" t="str">
        <f aca="false">IF(AA662=1,"",IF(AND(AC662=1,AE662&lt;&gt;1),1,0))</f>
        <v/>
      </c>
      <c r="AH662" s="51" t="str">
        <f aca="false">IF(AND(E662&gt;0,AA662&lt;1,NOT(AND(C663=C662,AA663=AA662+1))),INDEX(DATAS,AA662+1),"")</f>
        <v/>
      </c>
      <c r="AI662" s="51" t="str">
        <f aca="false">IF(AND(AC662=1,AA662&lt;1),IF(AND(C663=C662,AA663=AA662+1),IF(AC663=1,"",INDEX(DATAS,AA662+1)),INDEX(DATAS,AA662+1)),"")</f>
        <v/>
      </c>
    </row>
    <row r="663" customFormat="false" ht="15" hidden="false" customHeight="false" outlineLevel="0" collapsed="false">
      <c r="A663" s="51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46" t="s">
        <v>599</v>
      </c>
      <c r="G663" s="0" t="n">
        <v>56.1</v>
      </c>
      <c r="H663" s="0" t="n">
        <v>56</v>
      </c>
      <c r="I663" s="46" t="s">
        <v>152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51" t="n">
        <v>46184</v>
      </c>
      <c r="X663" s="46" t="n">
        <f aca="false">IF(I663="Male",0,1)</f>
        <v>1</v>
      </c>
      <c r="Y663" s="46" t="n">
        <f aca="false">IF(OR(I663="DNB",I663="Dry DNB"),1,0)</f>
        <v>0</v>
      </c>
      <c r="Z663" s="46" t="n">
        <f aca="false">IF(ISNUMBER(W663),A663-W663,"")</f>
        <v>125</v>
      </c>
      <c r="AA663" s="46" t="n">
        <f aca="false">MATCH(A663,DATAS,0)</f>
        <v>1</v>
      </c>
      <c r="AB663" s="46" t="n">
        <f aca="false">IF(AND(E663&gt;0,OR(AND(B663&gt;=1,B663&lt;=6),B663=10)),1,0)</f>
        <v>1</v>
      </c>
      <c r="AC663" s="46" t="n">
        <f aca="false">IF(AND(E663&gt;0,B663=10),1,0)</f>
        <v>0</v>
      </c>
      <c r="AD663" s="0" t="str">
        <f aca="false">IF(AND(C662=C663,AA662=AA663-1),AB662,"")</f>
        <v/>
      </c>
      <c r="AE663" s="0" t="str">
        <f aca="false">IF(AND(C662=C663,AA662=AA663-1),AC662,"")</f>
        <v/>
      </c>
      <c r="AF663" s="0" t="str">
        <f aca="false">IF(AA663=1,"",IF(AND(AB663=1,AD663&lt;&gt;1),1,0))</f>
        <v/>
      </c>
      <c r="AG663" s="0" t="str">
        <f aca="false">IF(AA663=1,"",IF(AND(AC663=1,AE663&lt;&gt;1),1,0))</f>
        <v/>
      </c>
      <c r="AH663" s="51" t="str">
        <f aca="false">IF(AND(E663&gt;0,AA663&lt;1,NOT(AND(C664=C663,AA664=AA663+1))),INDEX(DATAS,AA663+1),"")</f>
        <v/>
      </c>
      <c r="AI663" s="51" t="str">
        <f aca="false">IF(AND(AC663=1,AA663&lt;1),IF(AND(C664=C663,AA664=AA663+1),IF(AC664=1,"",INDEX(DATAS,AA663+1)),INDEX(DATAS,AA663+1)),"")</f>
        <v/>
      </c>
    </row>
    <row r="664" customFormat="false" ht="15" hidden="false" customHeight="false" outlineLevel="0" collapsed="false">
      <c r="A664" s="51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46" t="s">
        <v>600</v>
      </c>
      <c r="G664" s="0" t="n">
        <v>38.4</v>
      </c>
      <c r="H664" s="0" t="n">
        <v>36</v>
      </c>
      <c r="I664" s="46" t="s">
        <v>152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51" t="n">
        <v>46198</v>
      </c>
      <c r="X664" s="46" t="n">
        <f aca="false">IF(I664="Male",0,1)</f>
        <v>1</v>
      </c>
      <c r="Y664" s="46" t="n">
        <f aca="false">IF(OR(I664="DNB",I664="Dry DNB"),1,0)</f>
        <v>0</v>
      </c>
      <c r="Z664" s="46" t="n">
        <f aca="false">IF(ISNUMBER(W664),A664-W664,"")</f>
        <v>111</v>
      </c>
      <c r="AA664" s="46" t="n">
        <f aca="false">MATCH(A664,DATAS,0)</f>
        <v>1</v>
      </c>
      <c r="AB664" s="46" t="n">
        <f aca="false">IF(AND(E664&gt;0,OR(AND(B664&gt;=1,B664&lt;=6),B664=10)),1,0)</f>
        <v>1</v>
      </c>
      <c r="AC664" s="46" t="n">
        <f aca="false">IF(AND(E664&gt;0,B664=10),1,0)</f>
        <v>0</v>
      </c>
      <c r="AD664" s="0" t="str">
        <f aca="false">IF(AND(C663=C664,AA663=AA664-1),AB663,"")</f>
        <v/>
      </c>
      <c r="AE664" s="0" t="str">
        <f aca="false">IF(AND(C663=C664,AA663=AA664-1),AC663,"")</f>
        <v/>
      </c>
      <c r="AF664" s="0" t="str">
        <f aca="false">IF(AA664=1,"",IF(AND(AB664=1,AD664&lt;&gt;1),1,0))</f>
        <v/>
      </c>
      <c r="AG664" s="0" t="str">
        <f aca="false">IF(AA664=1,"",IF(AND(AC664=1,AE664&lt;&gt;1),1,0))</f>
        <v/>
      </c>
      <c r="AH664" s="51" t="str">
        <f aca="false">IF(AND(E664&gt;0,AA664&lt;1,NOT(AND(C665=C664,AA665=AA664+1))),INDEX(DATAS,AA664+1),"")</f>
        <v/>
      </c>
      <c r="AI664" s="51" t="str">
        <f aca="false">IF(AND(AC664=1,AA664&lt;1),IF(AND(C665=C664,AA665=AA664+1),IF(AC665=1,"",INDEX(DATAS,AA664+1)),INDEX(DATAS,AA664+1)),"")</f>
        <v/>
      </c>
    </row>
    <row r="665" customFormat="false" ht="15" hidden="false" customHeight="false" outlineLevel="0" collapsed="false">
      <c r="A665" s="51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46" t="s">
        <v>601</v>
      </c>
      <c r="G665" s="0" t="n">
        <v>34.7</v>
      </c>
      <c r="H665" s="0" t="n">
        <v>35</v>
      </c>
      <c r="I665" s="46" t="s">
        <v>152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51" t="n">
        <v>46139</v>
      </c>
      <c r="X665" s="46" t="n">
        <f aca="false">IF(I665="Male",0,1)</f>
        <v>1</v>
      </c>
      <c r="Y665" s="46" t="n">
        <f aca="false">IF(OR(I665="DNB",I665="Dry DNB"),1,0)</f>
        <v>0</v>
      </c>
      <c r="Z665" s="46" t="n">
        <f aca="false">IF(ISNUMBER(W665),A665-W665,"")</f>
        <v>170</v>
      </c>
      <c r="AA665" s="46" t="n">
        <f aca="false">MATCH(A665,DATAS,0)</f>
        <v>1</v>
      </c>
      <c r="AB665" s="46" t="n">
        <f aca="false">IF(AND(E665&gt;0,OR(AND(B665&gt;=1,B665&lt;=6),B665=10)),1,0)</f>
        <v>1</v>
      </c>
      <c r="AC665" s="46" t="n">
        <f aca="false">IF(AND(E665&gt;0,B665=10),1,0)</f>
        <v>0</v>
      </c>
      <c r="AD665" s="0" t="str">
        <f aca="false">IF(AND(C664=C665,AA664=AA665-1),AB664,"")</f>
        <v/>
      </c>
      <c r="AE665" s="0" t="str">
        <f aca="false">IF(AND(C664=C665,AA664=AA665-1),AC664,"")</f>
        <v/>
      </c>
      <c r="AF665" s="0" t="str">
        <f aca="false">IF(AA665=1,"",IF(AND(AB665=1,AD665&lt;&gt;1),1,0))</f>
        <v/>
      </c>
      <c r="AG665" s="0" t="str">
        <f aca="false">IF(AA665=1,"",IF(AND(AC665=1,AE665&lt;&gt;1),1,0))</f>
        <v/>
      </c>
      <c r="AH665" s="51" t="str">
        <f aca="false">IF(AND(E665&gt;0,AA665&lt;1,NOT(AND(C666=C665,AA666=AA665+1))),INDEX(DATAS,AA665+1),"")</f>
        <v/>
      </c>
      <c r="AI665" s="51" t="str">
        <f aca="false">IF(AND(AC665=1,AA665&lt;1),IF(AND(C666=C665,AA666=AA665+1),IF(AC666=1,"",INDEX(DATAS,AA665+1)),INDEX(DATAS,AA665+1)),"")</f>
        <v/>
      </c>
    </row>
    <row r="666" customFormat="false" ht="15" hidden="false" customHeight="false" outlineLevel="0" collapsed="false">
      <c r="A666" s="51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46" t="s">
        <v>601</v>
      </c>
      <c r="G666" s="0" t="n">
        <v>21.9</v>
      </c>
      <c r="H666" s="0" t="n">
        <v>22</v>
      </c>
      <c r="I666" s="46" t="s">
        <v>152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51" t="n">
        <v>46275</v>
      </c>
      <c r="X666" s="46" t="n">
        <f aca="false">IF(I666="Male",0,1)</f>
        <v>1</v>
      </c>
      <c r="Y666" s="46" t="n">
        <f aca="false">IF(OR(I666="DNB",I666="Dry DNB"),1,0)</f>
        <v>0</v>
      </c>
      <c r="Z666" s="46" t="n">
        <f aca="false">IF(ISNUMBER(W666),A666-W666,"")</f>
        <v>34</v>
      </c>
      <c r="AA666" s="46" t="n">
        <f aca="false">MATCH(A666,DATAS,0)</f>
        <v>1</v>
      </c>
      <c r="AB666" s="46" t="n">
        <f aca="false">IF(AND(E666&gt;0,OR(AND(B666&gt;=1,B666&lt;=6),B666=10)),1,0)</f>
        <v>1</v>
      </c>
      <c r="AC666" s="46" t="n">
        <f aca="false">IF(AND(E666&gt;0,B666=10),1,0)</f>
        <v>0</v>
      </c>
      <c r="AD666" s="0" t="str">
        <f aca="false">IF(AND(C665=C666,AA665=AA666-1),AB665,"")</f>
        <v/>
      </c>
      <c r="AE666" s="0" t="str">
        <f aca="false">IF(AND(C665=C666,AA665=AA666-1),AC665,"")</f>
        <v/>
      </c>
      <c r="AF666" s="0" t="str">
        <f aca="false">IF(AA666=1,"",IF(AND(AB666=1,AD666&lt;&gt;1),1,0))</f>
        <v/>
      </c>
      <c r="AG666" s="0" t="str">
        <f aca="false">IF(AA666=1,"",IF(AND(AC666=1,AE666&lt;&gt;1),1,0))</f>
        <v/>
      </c>
      <c r="AH666" s="51" t="str">
        <f aca="false">IF(AND(E666&gt;0,AA666&lt;1,NOT(AND(C667=C666,AA667=AA666+1))),INDEX(DATAS,AA666+1),"")</f>
        <v/>
      </c>
      <c r="AI666" s="51" t="str">
        <f aca="false">IF(AND(AC666=1,AA666&lt;1),IF(AND(C667=C666,AA667=AA666+1),IF(AC667=1,"",INDEX(DATAS,AA666+1)),INDEX(DATAS,AA666+1)),"")</f>
        <v/>
      </c>
    </row>
    <row r="667" customFormat="false" ht="15" hidden="false" customHeight="false" outlineLevel="0" collapsed="false">
      <c r="A667" s="51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46" t="s">
        <v>602</v>
      </c>
      <c r="G667" s="0" t="n">
        <v>65.1</v>
      </c>
      <c r="H667" s="0" t="n">
        <v>64</v>
      </c>
      <c r="I667" s="46" t="s">
        <v>152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51" t="n">
        <v>46121</v>
      </c>
      <c r="X667" s="46" t="n">
        <f aca="false">IF(I667="Male",0,1)</f>
        <v>1</v>
      </c>
      <c r="Y667" s="46" t="n">
        <f aca="false">IF(OR(I667="DNB",I667="Dry DNB"),1,0)</f>
        <v>0</v>
      </c>
      <c r="Z667" s="46" t="n">
        <f aca="false">IF(ISNUMBER(W667),A667-W667,"")</f>
        <v>188</v>
      </c>
      <c r="AA667" s="46" t="n">
        <f aca="false">MATCH(A667,DATAS,0)</f>
        <v>1</v>
      </c>
      <c r="AB667" s="46" t="n">
        <f aca="false">IF(AND(E667&gt;0,OR(AND(B667&gt;=1,B667&lt;=6),B667=10)),1,0)</f>
        <v>1</v>
      </c>
      <c r="AC667" s="46" t="n">
        <f aca="false">IF(AND(E667&gt;0,B667=10),1,0)</f>
        <v>0</v>
      </c>
      <c r="AD667" s="0" t="str">
        <f aca="false">IF(AND(C666=C667,AA666=AA667-1),AB666,"")</f>
        <v/>
      </c>
      <c r="AE667" s="0" t="str">
        <f aca="false">IF(AND(C666=C667,AA666=AA667-1),AC666,"")</f>
        <v/>
      </c>
      <c r="AF667" s="0" t="str">
        <f aca="false">IF(AA667=1,"",IF(AND(AB667=1,AD667&lt;&gt;1),1,0))</f>
        <v/>
      </c>
      <c r="AG667" s="0" t="str">
        <f aca="false">IF(AA667=1,"",IF(AND(AC667=1,AE667&lt;&gt;1),1,0))</f>
        <v/>
      </c>
      <c r="AH667" s="51" t="str">
        <f aca="false">IF(AND(E667&gt;0,AA667&lt;1,NOT(AND(C668=C667,AA668=AA667+1))),INDEX(DATAS,AA667+1),"")</f>
        <v/>
      </c>
      <c r="AI667" s="51" t="str">
        <f aca="false">IF(AND(AC667=1,AA667&lt;1),IF(AND(C668=C667,AA668=AA667+1),IF(AC668=1,"",INDEX(DATAS,AA667+1)),INDEX(DATAS,AA667+1)),"")</f>
        <v/>
      </c>
    </row>
    <row r="668" customFormat="false" ht="15" hidden="false" customHeight="false" outlineLevel="0" collapsed="false">
      <c r="A668" s="51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46" t="s">
        <v>603</v>
      </c>
      <c r="G668" s="0" t="n">
        <v>38.5</v>
      </c>
      <c r="H668" s="0" t="n">
        <v>31</v>
      </c>
      <c r="I668" s="46" t="s">
        <v>152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51" t="n">
        <v>46156</v>
      </c>
      <c r="X668" s="46" t="n">
        <f aca="false">IF(I668="Male",0,1)</f>
        <v>1</v>
      </c>
      <c r="Y668" s="46" t="n">
        <f aca="false">IF(OR(I668="DNB",I668="Dry DNB"),1,0)</f>
        <v>0</v>
      </c>
      <c r="Z668" s="46" t="n">
        <f aca="false">IF(ISNUMBER(W668),A668-W668,"")</f>
        <v>153</v>
      </c>
      <c r="AA668" s="46" t="n">
        <f aca="false">MATCH(A668,DATAS,0)</f>
        <v>1</v>
      </c>
      <c r="AB668" s="46" t="n">
        <f aca="false">IF(AND(E668&gt;0,OR(AND(B668&gt;=1,B668&lt;=6),B668=10)),1,0)</f>
        <v>1</v>
      </c>
      <c r="AC668" s="46" t="n">
        <f aca="false">IF(AND(E668&gt;0,B668=10),1,0)</f>
        <v>0</v>
      </c>
      <c r="AD668" s="0" t="str">
        <f aca="false">IF(AND(C667=C668,AA667=AA668-1),AB667,"")</f>
        <v/>
      </c>
      <c r="AE668" s="0" t="str">
        <f aca="false">IF(AND(C667=C668,AA667=AA668-1),AC667,"")</f>
        <v/>
      </c>
      <c r="AF668" s="0" t="str">
        <f aca="false">IF(AA668=1,"",IF(AND(AB668=1,AD668&lt;&gt;1),1,0))</f>
        <v/>
      </c>
      <c r="AG668" s="0" t="str">
        <f aca="false">IF(AA668=1,"",IF(AND(AC668=1,AE668&lt;&gt;1),1,0))</f>
        <v/>
      </c>
      <c r="AH668" s="51" t="str">
        <f aca="false">IF(AND(E668&gt;0,AA668&lt;1,NOT(AND(C669=C668,AA669=AA668+1))),INDEX(DATAS,AA668+1),"")</f>
        <v/>
      </c>
      <c r="AI668" s="51" t="str">
        <f aca="false">IF(AND(AC668=1,AA668&lt;1),IF(AND(C669=C668,AA669=AA668+1),IF(AC669=1,"",INDEX(DATAS,AA668+1)),INDEX(DATAS,AA668+1)),"")</f>
        <v/>
      </c>
    </row>
    <row r="669" customFormat="false" ht="15" hidden="false" customHeight="false" outlineLevel="0" collapsed="false">
      <c r="A669" s="51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46" t="s">
        <v>603</v>
      </c>
      <c r="G669" s="0" t="n">
        <v>50.3</v>
      </c>
      <c r="H669" s="0" t="n">
        <v>49</v>
      </c>
      <c r="I669" s="46" t="s">
        <v>152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51" t="n">
        <v>46177</v>
      </c>
      <c r="X669" s="46" t="n">
        <f aca="false">IF(I669="Male",0,1)</f>
        <v>1</v>
      </c>
      <c r="Y669" s="46" t="n">
        <f aca="false">IF(OR(I669="DNB",I669="Dry DNB"),1,0)</f>
        <v>0</v>
      </c>
      <c r="Z669" s="46" t="n">
        <f aca="false">IF(ISNUMBER(W669),A669-W669,"")</f>
        <v>132</v>
      </c>
      <c r="AA669" s="46" t="n">
        <f aca="false">MATCH(A669,DATAS,0)</f>
        <v>1</v>
      </c>
      <c r="AB669" s="46" t="n">
        <f aca="false">IF(AND(E669&gt;0,OR(AND(B669&gt;=1,B669&lt;=6),B669=10)),1,0)</f>
        <v>1</v>
      </c>
      <c r="AC669" s="46" t="n">
        <f aca="false">IF(AND(E669&gt;0,B669=10),1,0)</f>
        <v>0</v>
      </c>
      <c r="AD669" s="0" t="str">
        <f aca="false">IF(AND(C668=C669,AA668=AA669-1),AB668,"")</f>
        <v/>
      </c>
      <c r="AE669" s="0" t="str">
        <f aca="false">IF(AND(C668=C669,AA668=AA669-1),AC668,"")</f>
        <v/>
      </c>
      <c r="AF669" s="0" t="str">
        <f aca="false">IF(AA669=1,"",IF(AND(AB669=1,AD669&lt;&gt;1),1,0))</f>
        <v/>
      </c>
      <c r="AG669" s="0" t="str">
        <f aca="false">IF(AA669=1,"",IF(AND(AC669=1,AE669&lt;&gt;1),1,0))</f>
        <v/>
      </c>
      <c r="AH669" s="51" t="str">
        <f aca="false">IF(AND(E669&gt;0,AA669&lt;1,NOT(AND(C670=C669,AA670=AA669+1))),INDEX(DATAS,AA669+1),"")</f>
        <v/>
      </c>
      <c r="AI669" s="51" t="str">
        <f aca="false">IF(AND(AC669=1,AA669&lt;1),IF(AND(C670=C669,AA670=AA669+1),IF(AC670=1,"",INDEX(DATAS,AA669+1)),INDEX(DATAS,AA669+1)),"")</f>
        <v/>
      </c>
    </row>
    <row r="670" customFormat="false" ht="15" hidden="false" customHeight="false" outlineLevel="0" collapsed="false">
      <c r="A670" s="51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46" t="s">
        <v>604</v>
      </c>
      <c r="G670" s="0" t="n">
        <v>57.3</v>
      </c>
      <c r="H670" s="0" t="n">
        <v>55</v>
      </c>
      <c r="I670" s="46" t="s">
        <v>152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51" t="n">
        <v>46247</v>
      </c>
      <c r="X670" s="46" t="n">
        <f aca="false">IF(I670="Male",0,1)</f>
        <v>1</v>
      </c>
      <c r="Y670" s="46" t="n">
        <f aca="false">IF(OR(I670="DNB",I670="Dry DNB"),1,0)</f>
        <v>0</v>
      </c>
      <c r="Z670" s="46" t="n">
        <f aca="false">IF(ISNUMBER(W670),A670-W670,"")</f>
        <v>62</v>
      </c>
      <c r="AA670" s="46" t="n">
        <f aca="false">MATCH(A670,DATAS,0)</f>
        <v>1</v>
      </c>
      <c r="AB670" s="46" t="n">
        <f aca="false">IF(AND(E670&gt;0,OR(AND(B670&gt;=1,B670&lt;=6),B670=10)),1,0)</f>
        <v>1</v>
      </c>
      <c r="AC670" s="46" t="n">
        <f aca="false">IF(AND(E670&gt;0,B670=10),1,0)</f>
        <v>0</v>
      </c>
      <c r="AD670" s="0" t="str">
        <f aca="false">IF(AND(C669=C670,AA669=AA670-1),AB669,"")</f>
        <v/>
      </c>
      <c r="AE670" s="0" t="str">
        <f aca="false">IF(AND(C669=C670,AA669=AA670-1),AC669,"")</f>
        <v/>
      </c>
      <c r="AF670" s="0" t="str">
        <f aca="false">IF(AA670=1,"",IF(AND(AB670=1,AD670&lt;&gt;1),1,0))</f>
        <v/>
      </c>
      <c r="AG670" s="0" t="str">
        <f aca="false">IF(AA670=1,"",IF(AND(AC670=1,AE670&lt;&gt;1),1,0))</f>
        <v/>
      </c>
      <c r="AH670" s="51" t="str">
        <f aca="false">IF(AND(E670&gt;0,AA670&lt;1,NOT(AND(C671=C670,AA671=AA670+1))),INDEX(DATAS,AA670+1),"")</f>
        <v/>
      </c>
      <c r="AI670" s="51" t="str">
        <f aca="false">IF(AND(AC670=1,AA670&lt;1),IF(AND(C671=C670,AA671=AA670+1),IF(AC671=1,"",INDEX(DATAS,AA670+1)),INDEX(DATAS,AA670+1)),"")</f>
        <v/>
      </c>
    </row>
    <row r="671" customFormat="false" ht="15" hidden="false" customHeight="false" outlineLevel="0" collapsed="false">
      <c r="A671" s="51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46" t="s">
        <v>604</v>
      </c>
      <c r="G671" s="0" t="n">
        <v>51.2</v>
      </c>
      <c r="H671" s="0" t="n">
        <v>51</v>
      </c>
      <c r="I671" s="46" t="s">
        <v>152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51" t="n">
        <v>46233</v>
      </c>
      <c r="X671" s="46" t="n">
        <f aca="false">IF(I671="Male",0,1)</f>
        <v>1</v>
      </c>
      <c r="Y671" s="46" t="n">
        <f aca="false">IF(OR(I671="DNB",I671="Dry DNB"),1,0)</f>
        <v>0</v>
      </c>
      <c r="Z671" s="46" t="n">
        <f aca="false">IF(ISNUMBER(W671),A671-W671,"")</f>
        <v>76</v>
      </c>
      <c r="AA671" s="46" t="n">
        <f aca="false">MATCH(A671,DATAS,0)</f>
        <v>1</v>
      </c>
      <c r="AB671" s="46" t="n">
        <f aca="false">IF(AND(E671&gt;0,OR(AND(B671&gt;=1,B671&lt;=6),B671=10)),1,0)</f>
        <v>1</v>
      </c>
      <c r="AC671" s="46" t="n">
        <f aca="false">IF(AND(E671&gt;0,B671=10),1,0)</f>
        <v>0</v>
      </c>
      <c r="AD671" s="0" t="str">
        <f aca="false">IF(AND(C670=C671,AA670=AA671-1),AB670,"")</f>
        <v/>
      </c>
      <c r="AE671" s="0" t="str">
        <f aca="false">IF(AND(C670=C671,AA670=AA671-1),AC670,"")</f>
        <v/>
      </c>
      <c r="AF671" s="0" t="str">
        <f aca="false">IF(AA671=1,"",IF(AND(AB671=1,AD671&lt;&gt;1),1,0))</f>
        <v/>
      </c>
      <c r="AG671" s="0" t="str">
        <f aca="false">IF(AA671=1,"",IF(AND(AC671=1,AE671&lt;&gt;1),1,0))</f>
        <v/>
      </c>
      <c r="AH671" s="51" t="str">
        <f aca="false">IF(AND(E671&gt;0,AA671&lt;1,NOT(AND(C672=C671,AA672=AA671+1))),INDEX(DATAS,AA671+1),"")</f>
        <v/>
      </c>
      <c r="AI671" s="51" t="str">
        <f aca="false">IF(AND(AC671=1,AA671&lt;1),IF(AND(C672=C671,AA672=AA671+1),IF(AC672=1,"",INDEX(DATAS,AA671+1)),INDEX(DATAS,AA671+1)),"")</f>
        <v/>
      </c>
    </row>
    <row r="672" customFormat="false" ht="15" hidden="false" customHeight="false" outlineLevel="0" collapsed="false">
      <c r="A672" s="51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46" t="s">
        <v>604</v>
      </c>
      <c r="G672" s="0" t="n">
        <v>60.2</v>
      </c>
      <c r="H672" s="0" t="n">
        <v>59</v>
      </c>
      <c r="I672" s="46" t="s">
        <v>152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51" t="n">
        <v>46163</v>
      </c>
      <c r="X672" s="46" t="n">
        <f aca="false">IF(I672="Male",0,1)</f>
        <v>1</v>
      </c>
      <c r="Y672" s="46" t="n">
        <f aca="false">IF(OR(I672="DNB",I672="Dry DNB"),1,0)</f>
        <v>0</v>
      </c>
      <c r="Z672" s="46" t="n">
        <f aca="false">IF(ISNUMBER(W672),A672-W672,"")</f>
        <v>146</v>
      </c>
      <c r="AA672" s="46" t="n">
        <f aca="false">MATCH(A672,DATAS,0)</f>
        <v>1</v>
      </c>
      <c r="AB672" s="46" t="n">
        <f aca="false">IF(AND(E672&gt;0,OR(AND(B672&gt;=1,B672&lt;=6),B672=10)),1,0)</f>
        <v>1</v>
      </c>
      <c r="AC672" s="46" t="n">
        <f aca="false">IF(AND(E672&gt;0,B672=10),1,0)</f>
        <v>0</v>
      </c>
      <c r="AD672" s="0" t="str">
        <f aca="false">IF(AND(C671=C672,AA671=AA672-1),AB671,"")</f>
        <v/>
      </c>
      <c r="AE672" s="0" t="str">
        <f aca="false">IF(AND(C671=C672,AA671=AA672-1),AC671,"")</f>
        <v/>
      </c>
      <c r="AF672" s="0" t="str">
        <f aca="false">IF(AA672=1,"",IF(AND(AB672=1,AD672&lt;&gt;1),1,0))</f>
        <v/>
      </c>
      <c r="AG672" s="0" t="str">
        <f aca="false">IF(AA672=1,"",IF(AND(AC672=1,AE672&lt;&gt;1),1,0))</f>
        <v/>
      </c>
      <c r="AH672" s="51" t="str">
        <f aca="false">IF(AND(E672&gt;0,AA672&lt;1,NOT(AND(C673=C672,AA673=AA672+1))),INDEX(DATAS,AA672+1),"")</f>
        <v/>
      </c>
      <c r="AI672" s="51" t="str">
        <f aca="false">IF(AND(AC672=1,AA672&lt;1),IF(AND(C673=C672,AA673=AA672+1),IF(AC673=1,"",INDEX(DATAS,AA672+1)),INDEX(DATAS,AA672+1)),"")</f>
        <v/>
      </c>
    </row>
    <row r="673" customFormat="false" ht="15" hidden="false" customHeight="false" outlineLevel="0" collapsed="false">
      <c r="A673" s="51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46" t="s">
        <v>605</v>
      </c>
      <c r="G673" s="0" t="n">
        <v>57.4</v>
      </c>
      <c r="H673" s="0" t="n">
        <v>62</v>
      </c>
      <c r="I673" s="46" t="s">
        <v>161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X673" s="46" t="n">
        <f aca="false">IF(I673="Male",0,1)</f>
        <v>1</v>
      </c>
      <c r="Y673" s="46" t="n">
        <f aca="false">IF(OR(I673="DNB",I673="Dry DNB"),1,0)</f>
        <v>0</v>
      </c>
      <c r="Z673" s="0" t="str">
        <f aca="false">IF(ISNUMBER(W673),A673-W673,"")</f>
        <v/>
      </c>
      <c r="AA673" s="46" t="n">
        <f aca="false">MATCH(A673,DATAS,0)</f>
        <v>1</v>
      </c>
      <c r="AB673" s="46" t="n">
        <f aca="false">IF(AND(E673&gt;0,OR(AND(B673&gt;=1,B673&lt;=6),B673=10)),1,0)</f>
        <v>1</v>
      </c>
      <c r="AC673" s="46" t="n">
        <f aca="false">IF(AND(E673&gt;0,B673=10),1,0)</f>
        <v>0</v>
      </c>
      <c r="AD673" s="0" t="str">
        <f aca="false">IF(AND(C672=C673,AA672=AA673-1),AB672,"")</f>
        <v/>
      </c>
      <c r="AE673" s="0" t="str">
        <f aca="false">IF(AND(C672=C673,AA672=AA673-1),AC672,"")</f>
        <v/>
      </c>
      <c r="AF673" s="0" t="str">
        <f aca="false">IF(AA673=1,"",IF(AND(AB673=1,AD673&lt;&gt;1),1,0))</f>
        <v/>
      </c>
      <c r="AG673" s="0" t="str">
        <f aca="false">IF(AA673=1,"",IF(AND(AC673=1,AE673&lt;&gt;1),1,0))</f>
        <v/>
      </c>
      <c r="AH673" s="51" t="str">
        <f aca="false">IF(AND(E673&gt;0,AA673&lt;1,NOT(AND(C674=C673,AA674=AA673+1))),INDEX(DATAS,AA673+1),"")</f>
        <v/>
      </c>
      <c r="AI673" s="51" t="str">
        <f aca="false">IF(AND(AC673=1,AA673&lt;1),IF(AND(C674=C673,AA674=AA673+1),IF(AC674=1,"",INDEX(DATAS,AA673+1)),INDEX(DATAS,AA673+1)),"")</f>
        <v/>
      </c>
    </row>
    <row r="674" customFormat="false" ht="15" hidden="false" customHeight="false" outlineLevel="0" collapsed="false">
      <c r="A674" s="51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46" t="s">
        <v>605</v>
      </c>
      <c r="G674" s="0" t="n">
        <v>19.5</v>
      </c>
      <c r="H674" s="0" t="n">
        <v>18</v>
      </c>
      <c r="I674" s="46" t="s">
        <v>138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51" t="n">
        <v>46051</v>
      </c>
      <c r="X674" s="46" t="n">
        <f aca="false">IF(I674="Male",0,1)</f>
        <v>1</v>
      </c>
      <c r="Y674" s="46" t="n">
        <f aca="false">IF(OR(I674="DNB",I674="Dry DNB"),1,0)</f>
        <v>1</v>
      </c>
      <c r="Z674" s="46" t="n">
        <f aca="false">IF(ISNUMBER(W674),A674-W674,"")</f>
        <v>258</v>
      </c>
      <c r="AA674" s="46" t="n">
        <f aca="false">MATCH(A674,DATAS,0)</f>
        <v>1</v>
      </c>
      <c r="AB674" s="46" t="n">
        <f aca="false">IF(AND(E674&gt;0,OR(AND(B674&gt;=1,B674&lt;=6),B674=10)),1,0)</f>
        <v>1</v>
      </c>
      <c r="AC674" s="46" t="n">
        <f aca="false">IF(AND(E674&gt;0,B674=10),1,0)</f>
        <v>0</v>
      </c>
      <c r="AD674" s="0" t="str">
        <f aca="false">IF(AND(C673=C674,AA673=AA674-1),AB673,"")</f>
        <v/>
      </c>
      <c r="AE674" s="0" t="str">
        <f aca="false">IF(AND(C673=C674,AA673=AA674-1),AC673,"")</f>
        <v/>
      </c>
      <c r="AF674" s="0" t="str">
        <f aca="false">IF(AA674=1,"",IF(AND(AB674=1,AD674&lt;&gt;1),1,0))</f>
        <v/>
      </c>
      <c r="AG674" s="0" t="str">
        <f aca="false">IF(AA674=1,"",IF(AND(AC674=1,AE674&lt;&gt;1),1,0))</f>
        <v/>
      </c>
      <c r="AH674" s="51" t="str">
        <f aca="false">IF(AND(E674&gt;0,AA674&lt;1,NOT(AND(C675=C674,AA675=AA674+1))),INDEX(DATAS,AA674+1),"")</f>
        <v/>
      </c>
      <c r="AI674" s="51" t="str">
        <f aca="false">IF(AND(AC674=1,AA674&lt;1),IF(AND(C675=C674,AA675=AA674+1),IF(AC675=1,"",INDEX(DATAS,AA674+1)),INDEX(DATAS,AA674+1)),"")</f>
        <v/>
      </c>
    </row>
    <row r="675" customFormat="false" ht="15" hidden="false" customHeight="false" outlineLevel="0" collapsed="false">
      <c r="A675" s="51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46" t="s">
        <v>605</v>
      </c>
      <c r="I675" s="46" t="s">
        <v>157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51" t="n">
        <v>46044</v>
      </c>
      <c r="X675" s="46" t="n">
        <f aca="false">IF(I675="Male",0,1)</f>
        <v>1</v>
      </c>
      <c r="Y675" s="46" t="n">
        <f aca="false">IF(OR(I675="DNB",I675="Dry DNB"),1,0)</f>
        <v>0</v>
      </c>
      <c r="Z675" s="46" t="n">
        <f aca="false">IF(ISNUMBER(W675),A675-W675,"")</f>
        <v>265</v>
      </c>
      <c r="AA675" s="46" t="n">
        <f aca="false">MATCH(A675,DATAS,0)</f>
        <v>1</v>
      </c>
      <c r="AB675" s="46" t="n">
        <f aca="false">IF(AND(E675&gt;0,OR(AND(B675&gt;=1,B675&lt;=6),B675=10)),1,0)</f>
        <v>0</v>
      </c>
      <c r="AC675" s="46" t="n">
        <f aca="false">IF(AND(E675&gt;0,B675=10),1,0)</f>
        <v>0</v>
      </c>
      <c r="AD675" s="0" t="str">
        <f aca="false">IF(AND(C674=C675,AA674=AA675-1),AB674,"")</f>
        <v/>
      </c>
      <c r="AE675" s="0" t="str">
        <f aca="false">IF(AND(C674=C675,AA674=AA675-1),AC674,"")</f>
        <v/>
      </c>
      <c r="AF675" s="0" t="str">
        <f aca="false">IF(AA675=1,"",IF(AND(AB675=1,AD675&lt;&gt;1),1,0))</f>
        <v/>
      </c>
      <c r="AG675" s="0" t="str">
        <f aca="false">IF(AA675=1,"",IF(AND(AC675=1,AE675&lt;&gt;1),1,0))</f>
        <v/>
      </c>
      <c r="AH675" s="51" t="str">
        <f aca="false">IF(AND(E675&gt;0,AA675&lt;1,NOT(AND(C676=C675,AA676=AA675+1))),INDEX(DATAS,AA675+1),"")</f>
        <v/>
      </c>
      <c r="AI675" s="51" t="str">
        <f aca="false">IF(AND(AC675=1,AA675&lt;1),IF(AND(C676=C675,AA676=AA675+1),IF(AC676=1,"",INDEX(DATAS,AA675+1)),INDEX(DATAS,AA675+1)),"")</f>
        <v/>
      </c>
    </row>
    <row r="676" customFormat="false" ht="15" hidden="false" customHeight="false" outlineLevel="0" collapsed="false">
      <c r="A676" s="51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46" t="s">
        <v>606</v>
      </c>
      <c r="G676" s="0" t="n">
        <v>38.9</v>
      </c>
      <c r="H676" s="0" t="n">
        <v>35</v>
      </c>
      <c r="I676" s="46" t="s">
        <v>189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51" t="n">
        <v>46268</v>
      </c>
      <c r="X676" s="46" t="n">
        <f aca="false">IF(I676="Male",0,1)</f>
        <v>1</v>
      </c>
      <c r="Y676" s="46" t="n">
        <f aca="false">IF(OR(I676="DNB",I676="Dry DNB"),1,0)</f>
        <v>0</v>
      </c>
      <c r="Z676" s="46" t="n">
        <f aca="false">IF(ISNUMBER(W676),A676-W676,"")</f>
        <v>41</v>
      </c>
      <c r="AA676" s="46" t="n">
        <f aca="false">MATCH(A676,DATAS,0)</f>
        <v>1</v>
      </c>
      <c r="AB676" s="46" t="n">
        <f aca="false">IF(AND(E676&gt;0,OR(AND(B676&gt;=1,B676&lt;=6),B676=10)),1,0)</f>
        <v>1</v>
      </c>
      <c r="AC676" s="46" t="n">
        <f aca="false">IF(AND(E676&gt;0,B676=10),1,0)</f>
        <v>0</v>
      </c>
      <c r="AD676" s="0" t="str">
        <f aca="false">IF(AND(C675=C676,AA675=AA676-1),AB675,"")</f>
        <v/>
      </c>
      <c r="AE676" s="0" t="str">
        <f aca="false">IF(AND(C675=C676,AA675=AA676-1),AC675,"")</f>
        <v/>
      </c>
      <c r="AF676" s="0" t="str">
        <f aca="false">IF(AA676=1,"",IF(AND(AB676=1,AD676&lt;&gt;1),1,0))</f>
        <v/>
      </c>
      <c r="AG676" s="0" t="str">
        <f aca="false">IF(AA676=1,"",IF(AND(AC676=1,AE676&lt;&gt;1),1,0))</f>
        <v/>
      </c>
      <c r="AH676" s="51" t="str">
        <f aca="false">IF(AND(E676&gt;0,AA676&lt;1,NOT(AND(C677=C676,AA677=AA676+1))),INDEX(DATAS,AA676+1),"")</f>
        <v/>
      </c>
      <c r="AI676" s="51" t="str">
        <f aca="false">IF(AND(AC676=1,AA676&lt;1),IF(AND(C677=C676,AA677=AA676+1),IF(AC677=1,"",INDEX(DATAS,AA676+1)),INDEX(DATAS,AA676+1)),"")</f>
        <v/>
      </c>
    </row>
    <row r="677" customFormat="false" ht="15" hidden="false" customHeight="false" outlineLevel="0" collapsed="false">
      <c r="A677" s="51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46" t="s">
        <v>606</v>
      </c>
      <c r="G677" s="0" t="n">
        <v>36.4</v>
      </c>
      <c r="H677" s="0" t="n">
        <v>34</v>
      </c>
      <c r="I677" s="46" t="s">
        <v>161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X677" s="46" t="n">
        <f aca="false">IF(I677="Male",0,1)</f>
        <v>1</v>
      </c>
      <c r="Y677" s="46" t="n">
        <f aca="false">IF(OR(I677="DNB",I677="Dry DNB"),1,0)</f>
        <v>0</v>
      </c>
      <c r="Z677" s="0" t="str">
        <f aca="false">IF(ISNUMBER(W677),A677-W677,"")</f>
        <v/>
      </c>
      <c r="AA677" s="46" t="n">
        <f aca="false">MATCH(A677,DATAS,0)</f>
        <v>1</v>
      </c>
      <c r="AB677" s="46" t="n">
        <f aca="false">IF(AND(E677&gt;0,OR(AND(B677&gt;=1,B677&lt;=6),B677=10)),1,0)</f>
        <v>1</v>
      </c>
      <c r="AC677" s="46" t="n">
        <f aca="false">IF(AND(E677&gt;0,B677=10),1,0)</f>
        <v>0</v>
      </c>
      <c r="AD677" s="0" t="str">
        <f aca="false">IF(AND(C676=C677,AA676=AA677-1),AB676,"")</f>
        <v/>
      </c>
      <c r="AE677" s="0" t="str">
        <f aca="false">IF(AND(C676=C677,AA676=AA677-1),AC676,"")</f>
        <v/>
      </c>
      <c r="AF677" s="0" t="str">
        <f aca="false">IF(AA677=1,"",IF(AND(AB677=1,AD677&lt;&gt;1),1,0))</f>
        <v/>
      </c>
      <c r="AG677" s="0" t="str">
        <f aca="false">IF(AA677=1,"",IF(AND(AC677=1,AE677&lt;&gt;1),1,0))</f>
        <v/>
      </c>
      <c r="AH677" s="51" t="str">
        <f aca="false">IF(AND(E677&gt;0,AA677&lt;1,NOT(AND(C678=C677,AA678=AA677+1))),INDEX(DATAS,AA677+1),"")</f>
        <v/>
      </c>
      <c r="AI677" s="51" t="str">
        <f aca="false">IF(AND(AC677=1,AA677&lt;1),IF(AND(C678=C677,AA678=AA677+1),IF(AC678=1,"",INDEX(DATAS,AA677+1)),INDEX(DATAS,AA677+1)),"")</f>
        <v/>
      </c>
    </row>
    <row r="678" customFormat="false" ht="15" hidden="false" customHeight="false" outlineLevel="0" collapsed="false">
      <c r="A678" s="51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46" t="s">
        <v>606</v>
      </c>
      <c r="H678" s="0" t="n">
        <v>25</v>
      </c>
      <c r="I678" s="46" t="s">
        <v>189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51" t="n">
        <v>46240</v>
      </c>
      <c r="X678" s="46" t="n">
        <f aca="false">IF(I678="Male",0,1)</f>
        <v>1</v>
      </c>
      <c r="Y678" s="46" t="n">
        <f aca="false">IF(OR(I678="DNB",I678="Dry DNB"),1,0)</f>
        <v>0</v>
      </c>
      <c r="Z678" s="46" t="n">
        <f aca="false">IF(ISNUMBER(W678),A678-W678,"")</f>
        <v>69</v>
      </c>
      <c r="AA678" s="46" t="n">
        <f aca="false">MATCH(A678,DATAS,0)</f>
        <v>1</v>
      </c>
      <c r="AB678" s="46" t="n">
        <f aca="false">IF(AND(E678&gt;0,OR(AND(B678&gt;=1,B678&lt;=6),B678=10)),1,0)</f>
        <v>1</v>
      </c>
      <c r="AC678" s="46" t="n">
        <f aca="false">IF(AND(E678&gt;0,B678=10),1,0)</f>
        <v>1</v>
      </c>
      <c r="AD678" s="0" t="str">
        <f aca="false">IF(AND(C677=C678,AA677=AA678-1),AB677,"")</f>
        <v/>
      </c>
      <c r="AE678" s="0" t="str">
        <f aca="false">IF(AND(C677=C678,AA677=AA678-1),AC677,"")</f>
        <v/>
      </c>
      <c r="AF678" s="0" t="str">
        <f aca="false">IF(AA678=1,"",IF(AND(AB678=1,AD678&lt;&gt;1),1,0))</f>
        <v/>
      </c>
      <c r="AG678" s="0" t="str">
        <f aca="false">IF(AA678=1,"",IF(AND(AC678=1,AE678&lt;&gt;1),1,0))</f>
        <v/>
      </c>
      <c r="AH678" s="51" t="str">
        <f aca="false">IF(AND(E678&gt;0,AA678&lt;1,NOT(AND(C679=C678,AA679=AA678+1))),INDEX(DATAS,AA678+1),"")</f>
        <v/>
      </c>
      <c r="AI678" s="51" t="str">
        <f aca="false">IF(AND(AC678=1,AA678&lt;1),IF(AND(C679=C678,AA679=AA678+1),IF(AC679=1,"",INDEX(DATAS,AA678+1)),INDEX(DATAS,AA678+1)),"")</f>
        <v/>
      </c>
    </row>
    <row r="679" customFormat="false" ht="15" hidden="false" customHeight="false" outlineLevel="0" collapsed="false">
      <c r="A679" s="51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46" t="s">
        <v>606</v>
      </c>
      <c r="H679" s="0" t="n">
        <v>20</v>
      </c>
      <c r="I679" s="46" t="s">
        <v>152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51" t="n">
        <v>46226</v>
      </c>
      <c r="X679" s="46" t="n">
        <f aca="false">IF(I679="Male",0,1)</f>
        <v>1</v>
      </c>
      <c r="Y679" s="46" t="n">
        <f aca="false">IF(OR(I679="DNB",I679="Dry DNB"),1,0)</f>
        <v>0</v>
      </c>
      <c r="Z679" s="46" t="n">
        <f aca="false">IF(ISNUMBER(W679),A679-W679,"")</f>
        <v>83</v>
      </c>
      <c r="AA679" s="46" t="n">
        <f aca="false">MATCH(A679,DATAS,0)</f>
        <v>1</v>
      </c>
      <c r="AB679" s="46" t="n">
        <f aca="false">IF(AND(E679&gt;0,OR(AND(B679&gt;=1,B679&lt;=6),B679=10)),1,0)</f>
        <v>1</v>
      </c>
      <c r="AC679" s="46" t="n">
        <f aca="false">IF(AND(E679&gt;0,B679=10),1,0)</f>
        <v>1</v>
      </c>
      <c r="AD679" s="0" t="str">
        <f aca="false">IF(AND(C678=C679,AA678=AA679-1),AB678,"")</f>
        <v/>
      </c>
      <c r="AE679" s="0" t="str">
        <f aca="false">IF(AND(C678=C679,AA678=AA679-1),AC678,"")</f>
        <v/>
      </c>
      <c r="AF679" s="0" t="str">
        <f aca="false">IF(AA679=1,"",IF(AND(AB679=1,AD679&lt;&gt;1),1,0))</f>
        <v/>
      </c>
      <c r="AG679" s="0" t="str">
        <f aca="false">IF(AA679=1,"",IF(AND(AC679=1,AE679&lt;&gt;1),1,0))</f>
        <v/>
      </c>
      <c r="AH679" s="51" t="str">
        <f aca="false">IF(AND(E679&gt;0,AA679&lt;1,NOT(AND(C680=C679,AA680=AA679+1))),INDEX(DATAS,AA679+1),"")</f>
        <v/>
      </c>
      <c r="AI679" s="51" t="str">
        <f aca="false">IF(AND(AC679=1,AA679&lt;1),IF(AND(C680=C679,AA680=AA679+1),IF(AC680=1,"",INDEX(DATAS,AA679+1)),INDEX(DATAS,AA679+1)),"")</f>
        <v/>
      </c>
    </row>
    <row r="680" customFormat="false" ht="15" hidden="false" customHeight="false" outlineLevel="0" collapsed="false">
      <c r="A680" s="51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46" t="s">
        <v>606</v>
      </c>
      <c r="I680" s="46" t="s">
        <v>157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51" t="n">
        <v>46065</v>
      </c>
      <c r="X680" s="46" t="n">
        <f aca="false">IF(I680="Male",0,1)</f>
        <v>1</v>
      </c>
      <c r="Y680" s="46" t="n">
        <f aca="false">IF(OR(I680="DNB",I680="Dry DNB"),1,0)</f>
        <v>0</v>
      </c>
      <c r="Z680" s="46" t="n">
        <f aca="false">IF(ISNUMBER(W680),A680-W680,"")</f>
        <v>244</v>
      </c>
      <c r="AA680" s="46" t="n">
        <f aca="false">MATCH(A680,DATAS,0)</f>
        <v>1</v>
      </c>
      <c r="AB680" s="46" t="n">
        <f aca="false">IF(AND(E680&gt;0,OR(AND(B680&gt;=1,B680&lt;=6),B680=10)),1,0)</f>
        <v>0</v>
      </c>
      <c r="AC680" s="46" t="n">
        <f aca="false">IF(AND(E680&gt;0,B680=10),1,0)</f>
        <v>0</v>
      </c>
      <c r="AD680" s="0" t="str">
        <f aca="false">IF(AND(C679=C680,AA679=AA680-1),AB679,"")</f>
        <v/>
      </c>
      <c r="AE680" s="0" t="str">
        <f aca="false">IF(AND(C679=C680,AA679=AA680-1),AC679,"")</f>
        <v/>
      </c>
      <c r="AF680" s="0" t="str">
        <f aca="false">IF(AA680=1,"",IF(AND(AB680=1,AD680&lt;&gt;1),1,0))</f>
        <v/>
      </c>
      <c r="AG680" s="0" t="str">
        <f aca="false">IF(AA680=1,"",IF(AND(AC680=1,AE680&lt;&gt;1),1,0))</f>
        <v/>
      </c>
      <c r="AH680" s="51" t="str">
        <f aca="false">IF(AND(E680&gt;0,AA680&lt;1,NOT(AND(C681=C680,AA681=AA680+1))),INDEX(DATAS,AA680+1),"")</f>
        <v/>
      </c>
      <c r="AI680" s="51" t="str">
        <f aca="false">IF(AND(AC680=1,AA680&lt;1),IF(AND(C681=C680,AA681=AA680+1),IF(AC681=1,"",INDEX(DATAS,AA680+1)),INDEX(DATAS,AA680+1)),"")</f>
        <v/>
      </c>
    </row>
    <row r="681" customFormat="false" ht="15" hidden="false" customHeight="false" outlineLevel="0" collapsed="false">
      <c r="A681" s="51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46" t="s">
        <v>607</v>
      </c>
      <c r="G681" s="0" t="n">
        <v>54.3</v>
      </c>
      <c r="H681" s="0" t="n">
        <v>54</v>
      </c>
      <c r="I681" s="46" t="s">
        <v>152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51" t="n">
        <v>46226</v>
      </c>
      <c r="X681" s="46" t="n">
        <f aca="false">IF(I681="Male",0,1)</f>
        <v>1</v>
      </c>
      <c r="Y681" s="46" t="n">
        <f aca="false">IF(OR(I681="DNB",I681="Dry DNB"),1,0)</f>
        <v>0</v>
      </c>
      <c r="Z681" s="46" t="n">
        <f aca="false">IF(ISNUMBER(W681),A681-W681,"")</f>
        <v>83</v>
      </c>
      <c r="AA681" s="46" t="n">
        <f aca="false">MATCH(A681,DATAS,0)</f>
        <v>1</v>
      </c>
      <c r="AB681" s="46" t="n">
        <f aca="false">IF(AND(E681&gt;0,OR(AND(B681&gt;=1,B681&lt;=6),B681=10)),1,0)</f>
        <v>1</v>
      </c>
      <c r="AC681" s="46" t="n">
        <f aca="false">IF(AND(E681&gt;0,B681=10),1,0)</f>
        <v>0</v>
      </c>
      <c r="AD681" s="0" t="str">
        <f aca="false">IF(AND(C680=C681,AA680=AA681-1),AB680,"")</f>
        <v/>
      </c>
      <c r="AE681" s="0" t="str">
        <f aca="false">IF(AND(C680=C681,AA680=AA681-1),AC680,"")</f>
        <v/>
      </c>
      <c r="AF681" s="0" t="str">
        <f aca="false">IF(AA681=1,"",IF(AND(AB681=1,AD681&lt;&gt;1),1,0))</f>
        <v/>
      </c>
      <c r="AG681" s="0" t="str">
        <f aca="false">IF(AA681=1,"",IF(AND(AC681=1,AE681&lt;&gt;1),1,0))</f>
        <v/>
      </c>
      <c r="AH681" s="51" t="str">
        <f aca="false">IF(AND(E681&gt;0,AA681&lt;1,NOT(AND(C682=C681,AA682=AA681+1))),INDEX(DATAS,AA681+1),"")</f>
        <v/>
      </c>
      <c r="AI681" s="51" t="str">
        <f aca="false">IF(AND(AC681=1,AA681&lt;1),IF(AND(C682=C681,AA682=AA681+1),IF(AC682=1,"",INDEX(DATAS,AA681+1)),INDEX(DATAS,AA681+1)),"")</f>
        <v/>
      </c>
    </row>
    <row r="682" customFormat="false" ht="15" hidden="false" customHeight="false" outlineLevel="0" collapsed="false">
      <c r="A682" s="51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46" t="s">
        <v>607</v>
      </c>
      <c r="G682" s="0" t="n">
        <v>48.7</v>
      </c>
      <c r="H682" s="0" t="n">
        <v>44</v>
      </c>
      <c r="I682" s="46" t="s">
        <v>189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X682" s="46" t="n">
        <f aca="false">IF(I682="Male",0,1)</f>
        <v>1</v>
      </c>
      <c r="Y682" s="46" t="n">
        <f aca="false">IF(OR(I682="DNB",I682="Dry DNB"),1,0)</f>
        <v>0</v>
      </c>
      <c r="Z682" s="0" t="str">
        <f aca="false">IF(ISNUMBER(W682),A682-W682,"")</f>
        <v/>
      </c>
      <c r="AA682" s="46" t="n">
        <f aca="false">MATCH(A682,DATAS,0)</f>
        <v>1</v>
      </c>
      <c r="AB682" s="46" t="n">
        <f aca="false">IF(AND(E682&gt;0,OR(AND(B682&gt;=1,B682&lt;=6),B682=10)),1,0)</f>
        <v>1</v>
      </c>
      <c r="AC682" s="46" t="n">
        <f aca="false">IF(AND(E682&gt;0,B682=10),1,0)</f>
        <v>0</v>
      </c>
      <c r="AD682" s="0" t="str">
        <f aca="false">IF(AND(C681=C682,AA681=AA682-1),AB681,"")</f>
        <v/>
      </c>
      <c r="AE682" s="0" t="str">
        <f aca="false">IF(AND(C681=C682,AA681=AA682-1),AC681,"")</f>
        <v/>
      </c>
      <c r="AF682" s="0" t="str">
        <f aca="false">IF(AA682=1,"",IF(AND(AB682=1,AD682&lt;&gt;1),1,0))</f>
        <v/>
      </c>
      <c r="AG682" s="0" t="str">
        <f aca="false">IF(AA682=1,"",IF(AND(AC682=1,AE682&lt;&gt;1),1,0))</f>
        <v/>
      </c>
      <c r="AH682" s="51" t="str">
        <f aca="false">IF(AND(E682&gt;0,AA682&lt;1,NOT(AND(C683=C682,AA683=AA682+1))),INDEX(DATAS,AA682+1),"")</f>
        <v/>
      </c>
      <c r="AI682" s="51" t="str">
        <f aca="false">IF(AND(AC682=1,AA682&lt;1),IF(AND(C683=C682,AA683=AA682+1),IF(AC683=1,"",INDEX(DATAS,AA682+1)),INDEX(DATAS,AA682+1)),"")</f>
        <v/>
      </c>
    </row>
    <row r="683" customFormat="false" ht="15" hidden="false" customHeight="false" outlineLevel="0" collapsed="false">
      <c r="A683" s="51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46" t="s">
        <v>608</v>
      </c>
      <c r="G683" s="0" t="n">
        <v>42.9</v>
      </c>
      <c r="H683" s="0" t="n">
        <v>37</v>
      </c>
      <c r="I683" s="46" t="s">
        <v>152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51" t="n">
        <v>46121</v>
      </c>
      <c r="X683" s="46" t="n">
        <f aca="false">IF(I683="Male",0,1)</f>
        <v>1</v>
      </c>
      <c r="Y683" s="46" t="n">
        <f aca="false">IF(OR(I683="DNB",I683="Dry DNB"),1,0)</f>
        <v>0</v>
      </c>
      <c r="Z683" s="46" t="n">
        <f aca="false">IF(ISNUMBER(W683),A683-W683,"")</f>
        <v>188</v>
      </c>
      <c r="AA683" s="46" t="n">
        <f aca="false">MATCH(A683,DATAS,0)</f>
        <v>1</v>
      </c>
      <c r="AB683" s="46" t="n">
        <f aca="false">IF(AND(E683&gt;0,OR(AND(B683&gt;=1,B683&lt;=6),B683=10)),1,0)</f>
        <v>1</v>
      </c>
      <c r="AC683" s="46" t="n">
        <f aca="false">IF(AND(E683&gt;0,B683=10),1,0)</f>
        <v>0</v>
      </c>
      <c r="AD683" s="0" t="str">
        <f aca="false">IF(AND(C682=C683,AA682=AA683-1),AB682,"")</f>
        <v/>
      </c>
      <c r="AE683" s="0" t="str">
        <f aca="false">IF(AND(C682=C683,AA682=AA683-1),AC682,"")</f>
        <v/>
      </c>
      <c r="AF683" s="0" t="str">
        <f aca="false">IF(AA683=1,"",IF(AND(AB683=1,AD683&lt;&gt;1),1,0))</f>
        <v/>
      </c>
      <c r="AG683" s="0" t="str">
        <f aca="false">IF(AA683=1,"",IF(AND(AC683=1,AE683&lt;&gt;1),1,0))</f>
        <v/>
      </c>
      <c r="AH683" s="51" t="str">
        <f aca="false">IF(AND(E683&gt;0,AA683&lt;1,NOT(AND(C684=C683,AA684=AA683+1))),INDEX(DATAS,AA683+1),"")</f>
        <v/>
      </c>
      <c r="AI683" s="51" t="str">
        <f aca="false">IF(AND(AC683=1,AA683&lt;1),IF(AND(C684=C683,AA684=AA683+1),IF(AC684=1,"",INDEX(DATAS,AA683+1)),INDEX(DATAS,AA683+1)),"")</f>
        <v/>
      </c>
    </row>
    <row r="684" customFormat="false" ht="15" hidden="false" customHeight="false" outlineLevel="0" collapsed="false">
      <c r="A684" s="51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46" t="s">
        <v>609</v>
      </c>
      <c r="I684" s="46" t="s">
        <v>157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51" t="n">
        <v>46044</v>
      </c>
      <c r="X684" s="46" t="n">
        <f aca="false">IF(I684="Male",0,1)</f>
        <v>1</v>
      </c>
      <c r="Y684" s="46" t="n">
        <f aca="false">IF(OR(I684="DNB",I684="Dry DNB"),1,0)</f>
        <v>0</v>
      </c>
      <c r="Z684" s="46" t="n">
        <f aca="false">IF(ISNUMBER(W684),A684-W684,"")</f>
        <v>265</v>
      </c>
      <c r="AA684" s="46" t="n">
        <f aca="false">MATCH(A684,DATAS,0)</f>
        <v>1</v>
      </c>
      <c r="AB684" s="46" t="n">
        <f aca="false">IF(AND(E684&gt;0,OR(AND(B684&gt;=1,B684&lt;=6),B684=10)),1,0)</f>
        <v>0</v>
      </c>
      <c r="AC684" s="46" t="n">
        <f aca="false">IF(AND(E684&gt;0,B684=10),1,0)</f>
        <v>0</v>
      </c>
      <c r="AD684" s="0" t="str">
        <f aca="false">IF(AND(C683=C684,AA683=AA684-1),AB683,"")</f>
        <v/>
      </c>
      <c r="AE684" s="0" t="str">
        <f aca="false">IF(AND(C683=C684,AA683=AA684-1),AC683,"")</f>
        <v/>
      </c>
      <c r="AF684" s="0" t="str">
        <f aca="false">IF(AA684=1,"",IF(AND(AB684=1,AD684&lt;&gt;1),1,0))</f>
        <v/>
      </c>
      <c r="AG684" s="0" t="str">
        <f aca="false">IF(AA684=1,"",IF(AND(AC684=1,AE684&lt;&gt;1),1,0))</f>
        <v/>
      </c>
      <c r="AH684" s="51" t="str">
        <f aca="false">IF(AND(E684&gt;0,AA684&lt;1,NOT(AND(C685=C684,AA685=AA684+1))),INDEX(DATAS,AA684+1),"")</f>
        <v/>
      </c>
      <c r="AI684" s="51" t="str">
        <f aca="false">IF(AND(AC684=1,AA684&lt;1),IF(AND(C685=C684,AA685=AA684+1),IF(AC685=1,"",INDEX(DATAS,AA684+1)),INDEX(DATAS,AA684+1)),"")</f>
        <v/>
      </c>
    </row>
    <row r="685" customFormat="false" ht="15" hidden="false" customHeight="false" outlineLevel="0" collapsed="false">
      <c r="A685" s="51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46" t="s">
        <v>610</v>
      </c>
      <c r="G685" s="0" t="n">
        <v>54.2</v>
      </c>
      <c r="H685" s="0" t="n">
        <v>56</v>
      </c>
      <c r="I685" s="46" t="s">
        <v>152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51" t="n">
        <v>46261</v>
      </c>
      <c r="X685" s="46" t="n">
        <f aca="false">IF(I685="Male",0,1)</f>
        <v>1</v>
      </c>
      <c r="Y685" s="46" t="n">
        <f aca="false">IF(OR(I685="DNB",I685="Dry DNB"),1,0)</f>
        <v>0</v>
      </c>
      <c r="Z685" s="46" t="n">
        <f aca="false">IF(ISNUMBER(W685),A685-W685,"")</f>
        <v>48</v>
      </c>
      <c r="AA685" s="46" t="n">
        <f aca="false">MATCH(A685,DATAS,0)</f>
        <v>1</v>
      </c>
      <c r="AB685" s="46" t="n">
        <f aca="false">IF(AND(E685&gt;0,OR(AND(B685&gt;=1,B685&lt;=6),B685=10)),1,0)</f>
        <v>1</v>
      </c>
      <c r="AC685" s="46" t="n">
        <f aca="false">IF(AND(E685&gt;0,B685=10),1,0)</f>
        <v>0</v>
      </c>
      <c r="AD685" s="0" t="str">
        <f aca="false">IF(AND(C684=C685,AA684=AA685-1),AB684,"")</f>
        <v/>
      </c>
      <c r="AE685" s="0" t="str">
        <f aca="false">IF(AND(C684=C685,AA684=AA685-1),AC684,"")</f>
        <v/>
      </c>
      <c r="AF685" s="0" t="str">
        <f aca="false">IF(AA685=1,"",IF(AND(AB685=1,AD685&lt;&gt;1),1,0))</f>
        <v/>
      </c>
      <c r="AG685" s="0" t="str">
        <f aca="false">IF(AA685=1,"",IF(AND(AC685=1,AE685&lt;&gt;1),1,0))</f>
        <v/>
      </c>
      <c r="AH685" s="51" t="str">
        <f aca="false">IF(AND(E685&gt;0,AA685&lt;1,NOT(AND(C686=C685,AA686=AA685+1))),INDEX(DATAS,AA685+1),"")</f>
        <v/>
      </c>
      <c r="AI685" s="51" t="str">
        <f aca="false">IF(AND(AC685=1,AA685&lt;1),IF(AND(C686=C685,AA686=AA685+1),IF(AC686=1,"",INDEX(DATAS,AA685+1)),INDEX(DATAS,AA685+1)),"")</f>
        <v/>
      </c>
    </row>
    <row r="686" customFormat="false" ht="15" hidden="false" customHeight="false" outlineLevel="0" collapsed="false">
      <c r="A686" s="51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46" t="s">
        <v>610</v>
      </c>
      <c r="G686" s="0" t="n">
        <v>57.8</v>
      </c>
      <c r="H686" s="0" t="n">
        <v>59</v>
      </c>
      <c r="I686" s="46" t="s">
        <v>181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51" t="n">
        <v>46268</v>
      </c>
      <c r="X686" s="46" t="n">
        <f aca="false">IF(I686="Male",0,1)</f>
        <v>1</v>
      </c>
      <c r="Y686" s="46" t="n">
        <f aca="false">IF(OR(I686="DNB",I686="Dry DNB"),1,0)</f>
        <v>0</v>
      </c>
      <c r="Z686" s="46" t="n">
        <f aca="false">IF(ISNUMBER(W686),A686-W686,"")</f>
        <v>41</v>
      </c>
      <c r="AA686" s="46" t="n">
        <f aca="false">MATCH(A686,DATAS,0)</f>
        <v>1</v>
      </c>
      <c r="AB686" s="46" t="n">
        <f aca="false">IF(AND(E686&gt;0,OR(AND(B686&gt;=1,B686&lt;=6),B686=10)),1,0)</f>
        <v>1</v>
      </c>
      <c r="AC686" s="46" t="n">
        <f aca="false">IF(AND(E686&gt;0,B686=10),1,0)</f>
        <v>0</v>
      </c>
      <c r="AD686" s="0" t="str">
        <f aca="false">IF(AND(C685=C686,AA685=AA686-1),AB685,"")</f>
        <v/>
      </c>
      <c r="AE686" s="0" t="str">
        <f aca="false">IF(AND(C685=C686,AA685=AA686-1),AC685,"")</f>
        <v/>
      </c>
      <c r="AF686" s="0" t="str">
        <f aca="false">IF(AA686=1,"",IF(AND(AB686=1,AD686&lt;&gt;1),1,0))</f>
        <v/>
      </c>
      <c r="AG686" s="0" t="str">
        <f aca="false">IF(AA686=1,"",IF(AND(AC686=1,AE686&lt;&gt;1),1,0))</f>
        <v/>
      </c>
      <c r="AH686" s="51" t="str">
        <f aca="false">IF(AND(E686&gt;0,AA686&lt;1,NOT(AND(C687=C686,AA687=AA686+1))),INDEX(DATAS,AA686+1),"")</f>
        <v/>
      </c>
      <c r="AI686" s="51" t="str">
        <f aca="false">IF(AND(AC686=1,AA686&lt;1),IF(AND(C687=C686,AA687=AA686+1),IF(AC687=1,"",INDEX(DATAS,AA686+1)),INDEX(DATAS,AA686+1)),"")</f>
        <v/>
      </c>
    </row>
    <row r="687" customFormat="false" ht="15" hidden="false" customHeight="false" outlineLevel="0" collapsed="false">
      <c r="A687" s="51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46" t="s">
        <v>611</v>
      </c>
      <c r="G687" s="0" t="n">
        <v>54</v>
      </c>
      <c r="H687" s="0" t="n">
        <v>53</v>
      </c>
      <c r="I687" s="46" t="s">
        <v>181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51" t="n">
        <v>46289</v>
      </c>
      <c r="X687" s="46" t="n">
        <f aca="false">IF(I687="Male",0,1)</f>
        <v>1</v>
      </c>
      <c r="Y687" s="46" t="n">
        <f aca="false">IF(OR(I687="DNB",I687="Dry DNB"),1,0)</f>
        <v>0</v>
      </c>
      <c r="Z687" s="46" t="n">
        <f aca="false">IF(ISNUMBER(W687),A687-W687,"")</f>
        <v>20</v>
      </c>
      <c r="AA687" s="46" t="n">
        <f aca="false">MATCH(A687,DATAS,0)</f>
        <v>1</v>
      </c>
      <c r="AB687" s="46" t="n">
        <f aca="false">IF(AND(E687&gt;0,OR(AND(B687&gt;=1,B687&lt;=6),B687=10)),1,0)</f>
        <v>1</v>
      </c>
      <c r="AC687" s="46" t="n">
        <f aca="false">IF(AND(E687&gt;0,B687=10),1,0)</f>
        <v>0</v>
      </c>
      <c r="AD687" s="0" t="str">
        <f aca="false">IF(AND(C686=C687,AA686=AA687-1),AB686,"")</f>
        <v/>
      </c>
      <c r="AE687" s="0" t="str">
        <f aca="false">IF(AND(C686=C687,AA686=AA687-1),AC686,"")</f>
        <v/>
      </c>
      <c r="AF687" s="0" t="str">
        <f aca="false">IF(AA687=1,"",IF(AND(AB687=1,AD687&lt;&gt;1),1,0))</f>
        <v/>
      </c>
      <c r="AG687" s="0" t="str">
        <f aca="false">IF(AA687=1,"",IF(AND(AC687=1,AE687&lt;&gt;1),1,0))</f>
        <v/>
      </c>
      <c r="AH687" s="51" t="str">
        <f aca="false">IF(AND(E687&gt;0,AA687&lt;1,NOT(AND(C688=C687,AA688=AA687+1))),INDEX(DATAS,AA687+1),"")</f>
        <v/>
      </c>
      <c r="AI687" s="51" t="str">
        <f aca="false">IF(AND(AC687=1,AA687&lt;1),IF(AND(C688=C687,AA688=AA687+1),IF(AC688=1,"",INDEX(DATAS,AA687+1)),INDEX(DATAS,AA687+1)),"")</f>
        <v/>
      </c>
    </row>
    <row r="688" customFormat="false" ht="15" hidden="false" customHeight="false" outlineLevel="0" collapsed="false">
      <c r="A688" s="51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46" t="s">
        <v>611</v>
      </c>
      <c r="G688" s="0" t="n">
        <v>60.1</v>
      </c>
      <c r="H688" s="0" t="n">
        <v>58</v>
      </c>
      <c r="I688" s="46" t="s">
        <v>152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51" t="n">
        <v>46163</v>
      </c>
      <c r="X688" s="46" t="n">
        <f aca="false">IF(I688="Male",0,1)</f>
        <v>1</v>
      </c>
      <c r="Y688" s="46" t="n">
        <f aca="false">IF(OR(I688="DNB",I688="Dry DNB"),1,0)</f>
        <v>0</v>
      </c>
      <c r="Z688" s="46" t="n">
        <f aca="false">IF(ISNUMBER(W688),A688-W688,"")</f>
        <v>146</v>
      </c>
      <c r="AA688" s="46" t="n">
        <f aca="false">MATCH(A688,DATAS,0)</f>
        <v>1</v>
      </c>
      <c r="AB688" s="46" t="n">
        <f aca="false">IF(AND(E688&gt;0,OR(AND(B688&gt;=1,B688&lt;=6),B688=10)),1,0)</f>
        <v>1</v>
      </c>
      <c r="AC688" s="46" t="n">
        <f aca="false">IF(AND(E688&gt;0,B688=10),1,0)</f>
        <v>0</v>
      </c>
      <c r="AD688" s="0" t="str">
        <f aca="false">IF(AND(C687=C688,AA687=AA688-1),AB687,"")</f>
        <v/>
      </c>
      <c r="AE688" s="0" t="str">
        <f aca="false">IF(AND(C687=C688,AA687=AA688-1),AC687,"")</f>
        <v/>
      </c>
      <c r="AF688" s="0" t="str">
        <f aca="false">IF(AA688=1,"",IF(AND(AB688=1,AD688&lt;&gt;1),1,0))</f>
        <v/>
      </c>
      <c r="AG688" s="0" t="str">
        <f aca="false">IF(AA688=1,"",IF(AND(AC688=1,AE688&lt;&gt;1),1,0))</f>
        <v/>
      </c>
      <c r="AH688" s="51" t="str">
        <f aca="false">IF(AND(E688&gt;0,AA688&lt;1,NOT(AND(C689=C688,AA689=AA688+1))),INDEX(DATAS,AA688+1),"")</f>
        <v/>
      </c>
      <c r="AI688" s="51" t="str">
        <f aca="false">IF(AND(AC688=1,AA688&lt;1),IF(AND(C689=C688,AA689=AA688+1),IF(AC689=1,"",INDEX(DATAS,AA688+1)),INDEX(DATAS,AA688+1)),"")</f>
        <v/>
      </c>
    </row>
    <row r="689" customFormat="false" ht="15" hidden="false" customHeight="false" outlineLevel="0" collapsed="false">
      <c r="A689" s="51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46" t="s">
        <v>611</v>
      </c>
      <c r="G689" s="0" t="n">
        <v>4.7</v>
      </c>
      <c r="H689" s="0" t="n">
        <v>6</v>
      </c>
      <c r="I689" s="46" t="s">
        <v>152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51" t="n">
        <v>46178</v>
      </c>
      <c r="X689" s="46" t="n">
        <f aca="false">IF(I689="Male",0,1)</f>
        <v>1</v>
      </c>
      <c r="Y689" s="46" t="n">
        <f aca="false">IF(OR(I689="DNB",I689="Dry DNB"),1,0)</f>
        <v>0</v>
      </c>
      <c r="Z689" s="46" t="n">
        <f aca="false">IF(ISNUMBER(W689),A689-W689,"")</f>
        <v>131</v>
      </c>
      <c r="AA689" s="46" t="n">
        <f aca="false">MATCH(A689,DATAS,0)</f>
        <v>1</v>
      </c>
      <c r="AB689" s="46" t="n">
        <f aca="false">IF(AND(E689&gt;0,OR(AND(B689&gt;=1,B689&lt;=6),B689=10)),1,0)</f>
        <v>0</v>
      </c>
      <c r="AC689" s="46" t="n">
        <f aca="false">IF(AND(E689&gt;0,B689=10),1,0)</f>
        <v>0</v>
      </c>
      <c r="AD689" s="0" t="str">
        <f aca="false">IF(AND(C688=C689,AA688=AA689-1),AB688,"")</f>
        <v/>
      </c>
      <c r="AE689" s="0" t="str">
        <f aca="false">IF(AND(C688=C689,AA688=AA689-1),AC688,"")</f>
        <v/>
      </c>
      <c r="AF689" s="0" t="str">
        <f aca="false">IF(AA689=1,"",IF(AND(AB689=1,AD689&lt;&gt;1),1,0))</f>
        <v/>
      </c>
      <c r="AG689" s="0" t="str">
        <f aca="false">IF(AA689=1,"",IF(AND(AC689=1,AE689&lt;&gt;1),1,0))</f>
        <v/>
      </c>
      <c r="AH689" s="51" t="str">
        <f aca="false">IF(AND(E689&gt;0,AA689&lt;1,NOT(AND(C690=C689,AA690=AA689+1))),INDEX(DATAS,AA689+1),"")</f>
        <v/>
      </c>
      <c r="AI689" s="51" t="str">
        <f aca="false">IF(AND(AC689=1,AA689&lt;1),IF(AND(C690=C689,AA690=AA689+1),IF(AC690=1,"",INDEX(DATAS,AA689+1)),INDEX(DATAS,AA689+1)),"")</f>
        <v/>
      </c>
    </row>
    <row r="690" customFormat="false" ht="15" hidden="false" customHeight="false" outlineLevel="0" collapsed="false">
      <c r="A690" s="51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46" t="s">
        <v>612</v>
      </c>
      <c r="G690" s="0" t="n">
        <v>59.7</v>
      </c>
      <c r="H690" s="0" t="n">
        <v>62</v>
      </c>
      <c r="I690" s="46" t="s">
        <v>152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51" t="n">
        <v>46160</v>
      </c>
      <c r="X690" s="46" t="n">
        <f aca="false">IF(I690="Male",0,1)</f>
        <v>1</v>
      </c>
      <c r="Y690" s="46" t="n">
        <f aca="false">IF(OR(I690="DNB",I690="Dry DNB"),1,0)</f>
        <v>0</v>
      </c>
      <c r="Z690" s="46" t="n">
        <f aca="false">IF(ISNUMBER(W690),A690-W690,"")</f>
        <v>149</v>
      </c>
      <c r="AA690" s="46" t="n">
        <f aca="false">MATCH(A690,DATAS,0)</f>
        <v>1</v>
      </c>
      <c r="AB690" s="46" t="n">
        <f aca="false">IF(AND(E690&gt;0,OR(AND(B690&gt;=1,B690&lt;=6),B690=10)),1,0)</f>
        <v>1</v>
      </c>
      <c r="AC690" s="46" t="n">
        <f aca="false">IF(AND(E690&gt;0,B690=10),1,0)</f>
        <v>0</v>
      </c>
      <c r="AD690" s="0" t="str">
        <f aca="false">IF(AND(C689=C690,AA689=AA690-1),AB689,"")</f>
        <v/>
      </c>
      <c r="AE690" s="0" t="str">
        <f aca="false">IF(AND(C689=C690,AA689=AA690-1),AC689,"")</f>
        <v/>
      </c>
      <c r="AF690" s="0" t="str">
        <f aca="false">IF(AA690=1,"",IF(AND(AB690=1,AD690&lt;&gt;1),1,0))</f>
        <v/>
      </c>
      <c r="AG690" s="0" t="str">
        <f aca="false">IF(AA690=1,"",IF(AND(AC690=1,AE690&lt;&gt;1),1,0))</f>
        <v/>
      </c>
      <c r="AH690" s="51" t="str">
        <f aca="false">IF(AND(E690&gt;0,AA690&lt;1,NOT(AND(C691=C690,AA691=AA690+1))),INDEX(DATAS,AA690+1),"")</f>
        <v/>
      </c>
      <c r="AI690" s="51" t="str">
        <f aca="false">IF(AND(AC690=1,AA690&lt;1),IF(AND(C691=C690,AA691=AA690+1),IF(AC691=1,"",INDEX(DATAS,AA690+1)),INDEX(DATAS,AA690+1)),"")</f>
        <v/>
      </c>
    </row>
    <row r="691" customFormat="false" ht="15" hidden="false" customHeight="false" outlineLevel="0" collapsed="false">
      <c r="A691" s="51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46" t="s">
        <v>612</v>
      </c>
      <c r="G691" s="0" t="n">
        <v>38</v>
      </c>
      <c r="H691" s="0" t="n">
        <v>37</v>
      </c>
      <c r="I691" s="46" t="s">
        <v>138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51" t="n">
        <v>46125</v>
      </c>
      <c r="X691" s="46" t="n">
        <f aca="false">IF(I691="Male",0,1)</f>
        <v>1</v>
      </c>
      <c r="Y691" s="46" t="n">
        <f aca="false">IF(OR(I691="DNB",I691="Dry DNB"),1,0)</f>
        <v>1</v>
      </c>
      <c r="Z691" s="46" t="n">
        <f aca="false">IF(ISNUMBER(W691),A691-W691,"")</f>
        <v>184</v>
      </c>
      <c r="AA691" s="46" t="n">
        <f aca="false">MATCH(A691,DATAS,0)</f>
        <v>1</v>
      </c>
      <c r="AB691" s="46" t="n">
        <f aca="false">IF(AND(E691&gt;0,OR(AND(B691&gt;=1,B691&lt;=6),B691=10)),1,0)</f>
        <v>1</v>
      </c>
      <c r="AC691" s="46" t="n">
        <f aca="false">IF(AND(E691&gt;0,B691=10),1,0)</f>
        <v>0</v>
      </c>
      <c r="AD691" s="0" t="str">
        <f aca="false">IF(AND(C690=C691,AA690=AA691-1),AB690,"")</f>
        <v/>
      </c>
      <c r="AE691" s="0" t="str">
        <f aca="false">IF(AND(C690=C691,AA690=AA691-1),AC690,"")</f>
        <v/>
      </c>
      <c r="AF691" s="0" t="str">
        <f aca="false">IF(AA691=1,"",IF(AND(AB691=1,AD691&lt;&gt;1),1,0))</f>
        <v/>
      </c>
      <c r="AG691" s="0" t="str">
        <f aca="false">IF(AA691=1,"",IF(AND(AC691=1,AE691&lt;&gt;1),1,0))</f>
        <v/>
      </c>
      <c r="AH691" s="51" t="str">
        <f aca="false">IF(AND(E691&gt;0,AA691&lt;1,NOT(AND(C692=C691,AA692=AA691+1))),INDEX(DATAS,AA691+1),"")</f>
        <v/>
      </c>
      <c r="AI691" s="51" t="str">
        <f aca="false">IF(AND(AC691=1,AA691&lt;1),IF(AND(C692=C691,AA692=AA691+1),IF(AC692=1,"",INDEX(DATAS,AA691+1)),INDEX(DATAS,AA691+1)),"")</f>
        <v/>
      </c>
    </row>
    <row r="692" customFormat="false" ht="15" hidden="false" customHeight="false" outlineLevel="0" collapsed="false">
      <c r="A692" s="51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46" t="s">
        <v>612</v>
      </c>
      <c r="G692" s="0" t="n">
        <v>42.4</v>
      </c>
      <c r="H692" s="0" t="n">
        <v>41</v>
      </c>
      <c r="I692" s="46" t="s">
        <v>152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51" t="n">
        <v>46163</v>
      </c>
      <c r="X692" s="46" t="n">
        <f aca="false">IF(I692="Male",0,1)</f>
        <v>1</v>
      </c>
      <c r="Y692" s="46" t="n">
        <f aca="false">IF(OR(I692="DNB",I692="Dry DNB"),1,0)</f>
        <v>0</v>
      </c>
      <c r="Z692" s="46" t="n">
        <f aca="false">IF(ISNUMBER(W692),A692-W692,"")</f>
        <v>146</v>
      </c>
      <c r="AA692" s="46" t="n">
        <f aca="false">MATCH(A692,DATAS,0)</f>
        <v>1</v>
      </c>
      <c r="AB692" s="46" t="n">
        <f aca="false">IF(AND(E692&gt;0,OR(AND(B692&gt;=1,B692&lt;=6),B692=10)),1,0)</f>
        <v>1</v>
      </c>
      <c r="AC692" s="46" t="n">
        <f aca="false">IF(AND(E692&gt;0,B692=10),1,0)</f>
        <v>0</v>
      </c>
      <c r="AD692" s="0" t="str">
        <f aca="false">IF(AND(C691=C692,AA691=AA692-1),AB691,"")</f>
        <v/>
      </c>
      <c r="AE692" s="0" t="str">
        <f aca="false">IF(AND(C691=C692,AA691=AA692-1),AC691,"")</f>
        <v/>
      </c>
      <c r="AF692" s="0" t="str">
        <f aca="false">IF(AA692=1,"",IF(AND(AB692=1,AD692&lt;&gt;1),1,0))</f>
        <v/>
      </c>
      <c r="AG692" s="0" t="str">
        <f aca="false">IF(AA692=1,"",IF(AND(AC692=1,AE692&lt;&gt;1),1,0))</f>
        <v/>
      </c>
      <c r="AH692" s="51" t="str">
        <f aca="false">IF(AND(E692&gt;0,AA692&lt;1,NOT(AND(C693=C692,AA693=AA692+1))),INDEX(DATAS,AA692+1),"")</f>
        <v/>
      </c>
      <c r="AI692" s="51" t="str">
        <f aca="false">IF(AND(AC692=1,AA692&lt;1),IF(AND(C693=C692,AA693=AA692+1),IF(AC693=1,"",INDEX(DATAS,AA692+1)),INDEX(DATAS,AA692+1)),"")</f>
        <v/>
      </c>
    </row>
    <row r="693" customFormat="false" ht="15" hidden="false" customHeight="false" outlineLevel="0" collapsed="false">
      <c r="A693" s="51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46" t="s">
        <v>612</v>
      </c>
      <c r="G693" s="0" t="n">
        <v>16</v>
      </c>
      <c r="H693" s="0" t="n">
        <v>14</v>
      </c>
      <c r="I693" s="46" t="s">
        <v>138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51" t="n">
        <v>45946</v>
      </c>
      <c r="X693" s="46" t="n">
        <f aca="false">IF(I693="Male",0,1)</f>
        <v>1</v>
      </c>
      <c r="Y693" s="46" t="n">
        <f aca="false">IF(OR(I693="DNB",I693="Dry DNB"),1,0)</f>
        <v>1</v>
      </c>
      <c r="Z693" s="46" t="n">
        <f aca="false">IF(ISNUMBER(W693),A693-W693,"")</f>
        <v>363</v>
      </c>
      <c r="AA693" s="46" t="n">
        <f aca="false">MATCH(A693,DATAS,0)</f>
        <v>1</v>
      </c>
      <c r="AB693" s="46" t="n">
        <f aca="false">IF(AND(E693&gt;0,OR(AND(B693&gt;=1,B693&lt;=6),B693=10)),1,0)</f>
        <v>1</v>
      </c>
      <c r="AC693" s="46" t="n">
        <f aca="false">IF(AND(E693&gt;0,B693=10),1,0)</f>
        <v>0</v>
      </c>
      <c r="AD693" s="0" t="str">
        <f aca="false">IF(AND(C692=C693,AA692=AA693-1),AB692,"")</f>
        <v/>
      </c>
      <c r="AE693" s="0" t="str">
        <f aca="false">IF(AND(C692=C693,AA692=AA693-1),AC692,"")</f>
        <v/>
      </c>
      <c r="AF693" s="0" t="str">
        <f aca="false">IF(AA693=1,"",IF(AND(AB693=1,AD693&lt;&gt;1),1,0))</f>
        <v/>
      </c>
      <c r="AG693" s="0" t="str">
        <f aca="false">IF(AA693=1,"",IF(AND(AC693=1,AE693&lt;&gt;1),1,0))</f>
        <v/>
      </c>
      <c r="AH693" s="51" t="str">
        <f aca="false">IF(AND(E693&gt;0,AA693&lt;1,NOT(AND(C694=C693,AA694=AA693+1))),INDEX(DATAS,AA693+1),"")</f>
        <v/>
      </c>
      <c r="AI693" s="51" t="str">
        <f aca="false">IF(AND(AC693=1,AA693&lt;1),IF(AND(C694=C693,AA694=AA693+1),IF(AC694=1,"",INDEX(DATAS,AA693+1)),INDEX(DATAS,AA693+1)),"")</f>
        <v/>
      </c>
    </row>
    <row r="694" customFormat="false" ht="15" hidden="false" customHeight="false" outlineLevel="0" collapsed="false">
      <c r="A694" s="51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46" t="s">
        <v>612</v>
      </c>
      <c r="G694" s="0" t="n">
        <v>45.6</v>
      </c>
      <c r="H694" s="0" t="n">
        <v>48</v>
      </c>
      <c r="I694" s="46" t="s">
        <v>152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51" t="n">
        <v>46149</v>
      </c>
      <c r="X694" s="46" t="n">
        <f aca="false">IF(I694="Male",0,1)</f>
        <v>1</v>
      </c>
      <c r="Y694" s="46" t="n">
        <f aca="false">IF(OR(I694="DNB",I694="Dry DNB"),1,0)</f>
        <v>0</v>
      </c>
      <c r="Z694" s="46" t="n">
        <f aca="false">IF(ISNUMBER(W694),A694-W694,"")</f>
        <v>160</v>
      </c>
      <c r="AA694" s="46" t="n">
        <f aca="false">MATCH(A694,DATAS,0)</f>
        <v>1</v>
      </c>
      <c r="AB694" s="46" t="n">
        <f aca="false">IF(AND(E694&gt;0,OR(AND(B694&gt;=1,B694&lt;=6),B694=10)),1,0)</f>
        <v>1</v>
      </c>
      <c r="AC694" s="46" t="n">
        <f aca="false">IF(AND(E694&gt;0,B694=10),1,0)</f>
        <v>0</v>
      </c>
      <c r="AD694" s="0" t="str">
        <f aca="false">IF(AND(C693=C694,AA693=AA694-1),AB693,"")</f>
        <v/>
      </c>
      <c r="AE694" s="0" t="str">
        <f aca="false">IF(AND(C693=C694,AA693=AA694-1),AC693,"")</f>
        <v/>
      </c>
      <c r="AF694" s="0" t="str">
        <f aca="false">IF(AA694=1,"",IF(AND(AB694=1,AD694&lt;&gt;1),1,0))</f>
        <v/>
      </c>
      <c r="AG694" s="0" t="str">
        <f aca="false">IF(AA694=1,"",IF(AND(AC694=1,AE694&lt;&gt;1),1,0))</f>
        <v/>
      </c>
      <c r="AH694" s="51" t="str">
        <f aca="false">IF(AND(E694&gt;0,AA694&lt;1,NOT(AND(C695=C694,AA695=AA694+1))),INDEX(DATAS,AA694+1),"")</f>
        <v/>
      </c>
      <c r="AI694" s="51" t="str">
        <f aca="false">IF(AND(AC694=1,AA694&lt;1),IF(AND(C695=C694,AA695=AA694+1),IF(AC695=1,"",INDEX(DATAS,AA694+1)),INDEX(DATAS,AA694+1)),"")</f>
        <v/>
      </c>
    </row>
    <row r="695" customFormat="false" ht="15" hidden="false" customHeight="false" outlineLevel="0" collapsed="false">
      <c r="A695" s="51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46" t="s">
        <v>613</v>
      </c>
      <c r="G695" s="0" t="n">
        <v>41.3</v>
      </c>
      <c r="H695" s="0" t="n">
        <v>40</v>
      </c>
      <c r="I695" s="46" t="s">
        <v>181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51" t="n">
        <v>46282</v>
      </c>
      <c r="X695" s="46" t="n">
        <f aca="false">IF(I695="Male",0,1)</f>
        <v>1</v>
      </c>
      <c r="Y695" s="46" t="n">
        <f aca="false">IF(OR(I695="DNB",I695="Dry DNB"),1,0)</f>
        <v>0</v>
      </c>
      <c r="Z695" s="46" t="n">
        <f aca="false">IF(ISNUMBER(W695),A695-W695,"")</f>
        <v>27</v>
      </c>
      <c r="AA695" s="46" t="n">
        <f aca="false">MATCH(A695,DATAS,0)</f>
        <v>1</v>
      </c>
      <c r="AB695" s="46" t="n">
        <f aca="false">IF(AND(E695&gt;0,OR(AND(B695&gt;=1,B695&lt;=6),B695=10)),1,0)</f>
        <v>1</v>
      </c>
      <c r="AC695" s="46" t="n">
        <f aca="false">IF(AND(E695&gt;0,B695=10),1,0)</f>
        <v>0</v>
      </c>
      <c r="AD695" s="0" t="str">
        <f aca="false">IF(AND(C694=C695,AA694=AA695-1),AB694,"")</f>
        <v/>
      </c>
      <c r="AE695" s="0" t="str">
        <f aca="false">IF(AND(C694=C695,AA694=AA695-1),AC694,"")</f>
        <v/>
      </c>
      <c r="AF695" s="0" t="str">
        <f aca="false">IF(AA695=1,"",IF(AND(AB695=1,AD695&lt;&gt;1),1,0))</f>
        <v/>
      </c>
      <c r="AG695" s="0" t="str">
        <f aca="false">IF(AA695=1,"",IF(AND(AC695=1,AE695&lt;&gt;1),1,0))</f>
        <v/>
      </c>
      <c r="AH695" s="51" t="str">
        <f aca="false">IF(AND(E695&gt;0,AA695&lt;1,NOT(AND(C696=C695,AA696=AA695+1))),INDEX(DATAS,AA695+1),"")</f>
        <v/>
      </c>
      <c r="AI695" s="51" t="str">
        <f aca="false">IF(AND(AC695=1,AA695&lt;1),IF(AND(C696=C695,AA696=AA695+1),IF(AC696=1,"",INDEX(DATAS,AA695+1)),INDEX(DATAS,AA695+1)),"")</f>
        <v/>
      </c>
    </row>
    <row r="696" customFormat="false" ht="15" hidden="false" customHeight="false" outlineLevel="0" collapsed="false">
      <c r="A696" s="51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46" t="s">
        <v>613</v>
      </c>
      <c r="G696" s="0" t="n">
        <v>6.8</v>
      </c>
      <c r="H696" s="0" t="n">
        <v>17</v>
      </c>
      <c r="I696" s="46" t="s">
        <v>157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51" t="n">
        <v>46086</v>
      </c>
      <c r="X696" s="46" t="n">
        <f aca="false">IF(I696="Male",0,1)</f>
        <v>1</v>
      </c>
      <c r="Y696" s="46" t="n">
        <f aca="false">IF(OR(I696="DNB",I696="Dry DNB"),1,0)</f>
        <v>0</v>
      </c>
      <c r="Z696" s="46" t="n">
        <f aca="false">IF(ISNUMBER(W696),A696-W696,"")</f>
        <v>223</v>
      </c>
      <c r="AA696" s="46" t="n">
        <f aca="false">MATCH(A696,DATAS,0)</f>
        <v>1</v>
      </c>
      <c r="AB696" s="46" t="n">
        <f aca="false">IF(AND(E696&gt;0,OR(AND(B696&gt;=1,B696&lt;=6),B696=10)),1,0)</f>
        <v>0</v>
      </c>
      <c r="AC696" s="46" t="n">
        <f aca="false">IF(AND(E696&gt;0,B696=10),1,0)</f>
        <v>0</v>
      </c>
      <c r="AD696" s="0" t="str">
        <f aca="false">IF(AND(C695=C696,AA695=AA696-1),AB695,"")</f>
        <v/>
      </c>
      <c r="AE696" s="0" t="str">
        <f aca="false">IF(AND(C695=C696,AA695=AA696-1),AC695,"")</f>
        <v/>
      </c>
      <c r="AF696" s="0" t="str">
        <f aca="false">IF(AA696=1,"",IF(AND(AB696=1,AD696&lt;&gt;1),1,0))</f>
        <v/>
      </c>
      <c r="AG696" s="0" t="str">
        <f aca="false">IF(AA696=1,"",IF(AND(AC696=1,AE696&lt;&gt;1),1,0))</f>
        <v/>
      </c>
      <c r="AH696" s="51" t="str">
        <f aca="false">IF(AND(E696&gt;0,AA696&lt;1,NOT(AND(C697=C696,AA697=AA696+1))),INDEX(DATAS,AA696+1),"")</f>
        <v/>
      </c>
      <c r="AI696" s="51" t="str">
        <f aca="false">IF(AND(AC696=1,AA696&lt;1),IF(AND(C697=C696,AA697=AA696+1),IF(AC697=1,"",INDEX(DATAS,AA696+1)),INDEX(DATAS,AA696+1)),"")</f>
        <v/>
      </c>
    </row>
    <row r="697" customFormat="false" ht="15" hidden="false" customHeight="false" outlineLevel="0" collapsed="false">
      <c r="A697" s="51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46" t="s">
        <v>613</v>
      </c>
      <c r="H697" s="0" t="n">
        <v>20</v>
      </c>
      <c r="I697" s="46" t="s">
        <v>138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51" t="n">
        <v>46149</v>
      </c>
      <c r="X697" s="46" t="n">
        <f aca="false">IF(I697="Male",0,1)</f>
        <v>1</v>
      </c>
      <c r="Y697" s="46" t="n">
        <f aca="false">IF(OR(I697="DNB",I697="Dry DNB"),1,0)</f>
        <v>1</v>
      </c>
      <c r="Z697" s="46" t="n">
        <f aca="false">IF(ISNUMBER(W697),A697-W697,"")</f>
        <v>160</v>
      </c>
      <c r="AA697" s="46" t="n">
        <f aca="false">MATCH(A697,DATAS,0)</f>
        <v>1</v>
      </c>
      <c r="AB697" s="46" t="n">
        <f aca="false">IF(AND(E697&gt;0,OR(AND(B697&gt;=1,B697&lt;=6),B697=10)),1,0)</f>
        <v>1</v>
      </c>
      <c r="AC697" s="46" t="n">
        <f aca="false">IF(AND(E697&gt;0,B697=10),1,0)</f>
        <v>0</v>
      </c>
      <c r="AD697" s="0" t="str">
        <f aca="false">IF(AND(C696=C697,AA696=AA697-1),AB696,"")</f>
        <v/>
      </c>
      <c r="AE697" s="0" t="str">
        <f aca="false">IF(AND(C696=C697,AA696=AA697-1),AC696,"")</f>
        <v/>
      </c>
      <c r="AF697" s="0" t="str">
        <f aca="false">IF(AA697=1,"",IF(AND(AB697=1,AD697&lt;&gt;1),1,0))</f>
        <v/>
      </c>
      <c r="AG697" s="0" t="str">
        <f aca="false">IF(AA697=1,"",IF(AND(AC697=1,AE697&lt;&gt;1),1,0))</f>
        <v/>
      </c>
      <c r="AH697" s="51" t="str">
        <f aca="false">IF(AND(E697&gt;0,AA697&lt;1,NOT(AND(C698=C697,AA698=AA697+1))),INDEX(DATAS,AA697+1),"")</f>
        <v/>
      </c>
      <c r="AI697" s="51" t="str">
        <f aca="false">IF(AND(AC697=1,AA697&lt;1),IF(AND(C698=C697,AA698=AA697+1),IF(AC698=1,"",INDEX(DATAS,AA697+1)),INDEX(DATAS,AA697+1)),"")</f>
        <v/>
      </c>
    </row>
    <row r="698" customFormat="false" ht="15" hidden="false" customHeight="false" outlineLevel="0" collapsed="false">
      <c r="A698" s="51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46" t="s">
        <v>613</v>
      </c>
      <c r="G698" s="0" t="n">
        <v>47.7</v>
      </c>
      <c r="H698" s="0" t="n">
        <v>54</v>
      </c>
      <c r="I698" s="46" t="s">
        <v>152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51" t="n">
        <v>46240</v>
      </c>
      <c r="X698" s="46" t="n">
        <f aca="false">IF(I698="Male",0,1)</f>
        <v>1</v>
      </c>
      <c r="Y698" s="46" t="n">
        <f aca="false">IF(OR(I698="DNB",I698="Dry DNB"),1,0)</f>
        <v>0</v>
      </c>
      <c r="Z698" s="46" t="n">
        <f aca="false">IF(ISNUMBER(W698),A698-W698,"")</f>
        <v>69</v>
      </c>
      <c r="AA698" s="46" t="n">
        <f aca="false">MATCH(A698,DATAS,0)</f>
        <v>1</v>
      </c>
      <c r="AB698" s="46" t="n">
        <f aca="false">IF(AND(E698&gt;0,OR(AND(B698&gt;=1,B698&lt;=6),B698=10)),1,0)</f>
        <v>1</v>
      </c>
      <c r="AC698" s="46" t="n">
        <f aca="false">IF(AND(E698&gt;0,B698=10),1,0)</f>
        <v>0</v>
      </c>
      <c r="AD698" s="0" t="str">
        <f aca="false">IF(AND(C697=C698,AA697=AA698-1),AB697,"")</f>
        <v/>
      </c>
      <c r="AE698" s="0" t="str">
        <f aca="false">IF(AND(C697=C698,AA697=AA698-1),AC697,"")</f>
        <v/>
      </c>
      <c r="AF698" s="0" t="str">
        <f aca="false">IF(AA698=1,"",IF(AND(AB698=1,AD698&lt;&gt;1),1,0))</f>
        <v/>
      </c>
      <c r="AG698" s="0" t="str">
        <f aca="false">IF(AA698=1,"",IF(AND(AC698=1,AE698&lt;&gt;1),1,0))</f>
        <v/>
      </c>
      <c r="AH698" s="51" t="str">
        <f aca="false">IF(AND(E698&gt;0,AA698&lt;1,NOT(AND(C699=C698,AA699=AA698+1))),INDEX(DATAS,AA698+1),"")</f>
        <v/>
      </c>
      <c r="AI698" s="51" t="str">
        <f aca="false">IF(AND(AC698=1,AA698&lt;1),IF(AND(C699=C698,AA699=AA698+1),IF(AC699=1,"",INDEX(DATAS,AA698+1)),INDEX(DATAS,AA698+1)),"")</f>
        <v/>
      </c>
    </row>
    <row r="699" customFormat="false" ht="15" hidden="false" customHeight="false" outlineLevel="0" collapsed="false">
      <c r="A699" s="51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46" t="s">
        <v>614</v>
      </c>
      <c r="G699" s="0" t="n">
        <v>41.8</v>
      </c>
      <c r="H699" s="0" t="n">
        <v>46</v>
      </c>
      <c r="I699" s="46" t="s">
        <v>152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51" t="n">
        <v>46093</v>
      </c>
      <c r="X699" s="46" t="n">
        <f aca="false">IF(I699="Male",0,1)</f>
        <v>1</v>
      </c>
      <c r="Y699" s="46" t="n">
        <f aca="false">IF(OR(I699="DNB",I699="Dry DNB"),1,0)</f>
        <v>0</v>
      </c>
      <c r="Z699" s="46" t="n">
        <f aca="false">IF(ISNUMBER(W699),A699-W699,"")</f>
        <v>216</v>
      </c>
      <c r="AA699" s="46" t="n">
        <f aca="false">MATCH(A699,DATAS,0)</f>
        <v>1</v>
      </c>
      <c r="AB699" s="46" t="n">
        <f aca="false">IF(AND(E699&gt;0,OR(AND(B699&gt;=1,B699&lt;=6),B699=10)),1,0)</f>
        <v>1</v>
      </c>
      <c r="AC699" s="46" t="n">
        <f aca="false">IF(AND(E699&gt;0,B699=10),1,0)</f>
        <v>0</v>
      </c>
      <c r="AD699" s="0" t="str">
        <f aca="false">IF(AND(C698=C699,AA698=AA699-1),AB698,"")</f>
        <v/>
      </c>
      <c r="AE699" s="0" t="str">
        <f aca="false">IF(AND(C698=C699,AA698=AA699-1),AC698,"")</f>
        <v/>
      </c>
      <c r="AF699" s="0" t="str">
        <f aca="false">IF(AA699=1,"",IF(AND(AB699=1,AD699&lt;&gt;1),1,0))</f>
        <v/>
      </c>
      <c r="AG699" s="0" t="str">
        <f aca="false">IF(AA699=1,"",IF(AND(AC699=1,AE699&lt;&gt;1),1,0))</f>
        <v/>
      </c>
      <c r="AH699" s="51" t="str">
        <f aca="false">IF(AND(E699&gt;0,AA699&lt;1,NOT(AND(C700=C699,AA700=AA699+1))),INDEX(DATAS,AA699+1),"")</f>
        <v/>
      </c>
      <c r="AI699" s="51" t="str">
        <f aca="false">IF(AND(AC699=1,AA699&lt;1),IF(AND(C700=C699,AA700=AA699+1),IF(AC700=1,"",INDEX(DATAS,AA699+1)),INDEX(DATAS,AA699+1)),"")</f>
        <v/>
      </c>
    </row>
    <row r="700" customFormat="false" ht="15" hidden="false" customHeight="false" outlineLevel="0" collapsed="false">
      <c r="A700" s="51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46" t="s">
        <v>615</v>
      </c>
      <c r="I700" s="46" t="s">
        <v>157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51" t="n">
        <v>46074</v>
      </c>
      <c r="X700" s="46" t="n">
        <f aca="false">IF(I700="Male",0,1)</f>
        <v>1</v>
      </c>
      <c r="Y700" s="46" t="n">
        <f aca="false">IF(OR(I700="DNB",I700="Dry DNB"),1,0)</f>
        <v>0</v>
      </c>
      <c r="Z700" s="46" t="n">
        <f aca="false">IF(ISNUMBER(W700),A700-W700,"")</f>
        <v>235</v>
      </c>
      <c r="AA700" s="46" t="n">
        <f aca="false">MATCH(A700,DATAS,0)</f>
        <v>1</v>
      </c>
      <c r="AB700" s="46" t="n">
        <f aca="false">IF(AND(E700&gt;0,OR(AND(B700&gt;=1,B700&lt;=6),B700=10)),1,0)</f>
        <v>0</v>
      </c>
      <c r="AC700" s="46" t="n">
        <f aca="false">IF(AND(E700&gt;0,B700=10),1,0)</f>
        <v>0</v>
      </c>
      <c r="AD700" s="0" t="str">
        <f aca="false">IF(AND(C699=C700,AA699=AA700-1),AB699,"")</f>
        <v/>
      </c>
      <c r="AE700" s="0" t="str">
        <f aca="false">IF(AND(C699=C700,AA699=AA700-1),AC699,"")</f>
        <v/>
      </c>
      <c r="AF700" s="0" t="str">
        <f aca="false">IF(AA700=1,"",IF(AND(AB700=1,AD700&lt;&gt;1),1,0))</f>
        <v/>
      </c>
      <c r="AG700" s="0" t="str">
        <f aca="false">IF(AA700=1,"",IF(AND(AC700=1,AE700&lt;&gt;1),1,0))</f>
        <v/>
      </c>
      <c r="AH700" s="51" t="str">
        <f aca="false">IF(AND(E700&gt;0,AA700&lt;1,NOT(AND(C701=C700,AA701=AA700+1))),INDEX(DATAS,AA700+1),"")</f>
        <v/>
      </c>
      <c r="AI700" s="51" t="str">
        <f aca="false">IF(AND(AC700=1,AA700&lt;1),IF(AND(C701=C700,AA701=AA700+1),IF(AC701=1,"",INDEX(DATAS,AA700+1)),INDEX(DATAS,AA700+1)),"")</f>
        <v/>
      </c>
    </row>
    <row r="701" customFormat="false" ht="15" hidden="false" customHeight="false" outlineLevel="0" collapsed="false">
      <c r="A701" s="51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46" t="s">
        <v>616</v>
      </c>
      <c r="G701" s="0" t="n">
        <v>43.5</v>
      </c>
      <c r="H701" s="0" t="n">
        <v>57</v>
      </c>
      <c r="I701" s="46" t="s">
        <v>181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51" t="n">
        <v>46310</v>
      </c>
      <c r="X701" s="46" t="n">
        <f aca="false">IF(I701="Male",0,1)</f>
        <v>1</v>
      </c>
      <c r="Y701" s="46" t="n">
        <f aca="false">IF(OR(I701="DNB",I701="Dry DNB"),1,0)</f>
        <v>0</v>
      </c>
      <c r="Z701" s="46" t="n">
        <f aca="false">IF(ISNUMBER(W701),A701-W701,"")</f>
        <v>-1</v>
      </c>
      <c r="AA701" s="46" t="n">
        <f aca="false">MATCH(A701,DATAS,0)</f>
        <v>1</v>
      </c>
      <c r="AB701" s="46" t="n">
        <f aca="false">IF(AND(E701&gt;0,OR(AND(B701&gt;=1,B701&lt;=6),B701=10)),1,0)</f>
        <v>1</v>
      </c>
      <c r="AC701" s="46" t="n">
        <f aca="false">IF(AND(E701&gt;0,B701=10),1,0)</f>
        <v>0</v>
      </c>
      <c r="AD701" s="0" t="str">
        <f aca="false">IF(AND(C700=C701,AA700=AA701-1),AB700,"")</f>
        <v/>
      </c>
      <c r="AE701" s="0" t="str">
        <f aca="false">IF(AND(C700=C701,AA700=AA701-1),AC700,"")</f>
        <v/>
      </c>
      <c r="AF701" s="0" t="str">
        <f aca="false">IF(AA701=1,"",IF(AND(AB701=1,AD701&lt;&gt;1),1,0))</f>
        <v/>
      </c>
      <c r="AG701" s="0" t="str">
        <f aca="false">IF(AA701=1,"",IF(AND(AC701=1,AE701&lt;&gt;1),1,0))</f>
        <v/>
      </c>
      <c r="AH701" s="51" t="str">
        <f aca="false">IF(AND(E701&gt;0,AA701&lt;1,NOT(AND(C702=C701,AA702=AA701+1))),INDEX(DATAS,AA701+1),"")</f>
        <v/>
      </c>
      <c r="AI701" s="51" t="str">
        <f aca="false">IF(AND(AC701=1,AA701&lt;1),IF(AND(C702=C701,AA702=AA701+1),IF(AC702=1,"",INDEX(DATAS,AA701+1)),INDEX(DATAS,AA701+1)),"")</f>
        <v/>
      </c>
    </row>
    <row r="702" customFormat="false" ht="15" hidden="false" customHeight="false" outlineLevel="0" collapsed="false">
      <c r="A702" s="51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46" t="s">
        <v>616</v>
      </c>
      <c r="G702" s="0" t="n">
        <v>29.9</v>
      </c>
      <c r="H702" s="0" t="n">
        <v>25</v>
      </c>
      <c r="I702" s="46" t="s">
        <v>152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51" t="n">
        <v>46093</v>
      </c>
      <c r="X702" s="46" t="n">
        <f aca="false">IF(I702="Male",0,1)</f>
        <v>1</v>
      </c>
      <c r="Y702" s="46" t="n">
        <f aca="false">IF(OR(I702="DNB",I702="Dry DNB"),1,0)</f>
        <v>0</v>
      </c>
      <c r="Z702" s="46" t="n">
        <f aca="false">IF(ISNUMBER(W702),A702-W702,"")</f>
        <v>216</v>
      </c>
      <c r="AA702" s="46" t="n">
        <f aca="false">MATCH(A702,DATAS,0)</f>
        <v>1</v>
      </c>
      <c r="AB702" s="46" t="n">
        <f aca="false">IF(AND(E702&gt;0,OR(AND(B702&gt;=1,B702&lt;=6),B702=10)),1,0)</f>
        <v>1</v>
      </c>
      <c r="AC702" s="46" t="n">
        <f aca="false">IF(AND(E702&gt;0,B702=10),1,0)</f>
        <v>0</v>
      </c>
      <c r="AD702" s="0" t="str">
        <f aca="false">IF(AND(C701=C702,AA701=AA702-1),AB701,"")</f>
        <v/>
      </c>
      <c r="AE702" s="0" t="str">
        <f aca="false">IF(AND(C701=C702,AA701=AA702-1),AC701,"")</f>
        <v/>
      </c>
      <c r="AF702" s="0" t="str">
        <f aca="false">IF(AA702=1,"",IF(AND(AB702=1,AD702&lt;&gt;1),1,0))</f>
        <v/>
      </c>
      <c r="AG702" s="0" t="str">
        <f aca="false">IF(AA702=1,"",IF(AND(AC702=1,AE702&lt;&gt;1),1,0))</f>
        <v/>
      </c>
      <c r="AH702" s="51" t="str">
        <f aca="false">IF(AND(E702&gt;0,AA702&lt;1,NOT(AND(C703=C702,AA703=AA702+1))),INDEX(DATAS,AA702+1),"")</f>
        <v/>
      </c>
      <c r="AI702" s="51" t="str">
        <f aca="false">IF(AND(AC702=1,AA702&lt;1),IF(AND(C703=C702,AA703=AA702+1),IF(AC703=1,"",INDEX(DATAS,AA702+1)),INDEX(DATAS,AA702+1)),"")</f>
        <v/>
      </c>
    </row>
    <row r="703" customFormat="false" ht="15" hidden="false" customHeight="false" outlineLevel="0" collapsed="false">
      <c r="A703" s="51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46" t="s">
        <v>616</v>
      </c>
      <c r="G703" s="0" t="n">
        <v>13.9</v>
      </c>
      <c r="H703" s="0" t="n">
        <v>32</v>
      </c>
      <c r="I703" s="46" t="s">
        <v>157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51" t="n">
        <v>46086</v>
      </c>
      <c r="X703" s="46" t="n">
        <f aca="false">IF(I703="Male",0,1)</f>
        <v>1</v>
      </c>
      <c r="Y703" s="46" t="n">
        <f aca="false">IF(OR(I703="DNB",I703="Dry DNB"),1,0)</f>
        <v>0</v>
      </c>
      <c r="Z703" s="46" t="n">
        <f aca="false">IF(ISNUMBER(W703),A703-W703,"")</f>
        <v>223</v>
      </c>
      <c r="AA703" s="46" t="n">
        <f aca="false">MATCH(A703,DATAS,0)</f>
        <v>1</v>
      </c>
      <c r="AB703" s="46" t="n">
        <f aca="false">IF(AND(E703&gt;0,OR(AND(B703&gt;=1,B703&lt;=6),B703=10)),1,0)</f>
        <v>0</v>
      </c>
      <c r="AC703" s="46" t="n">
        <f aca="false">IF(AND(E703&gt;0,B703=10),1,0)</f>
        <v>0</v>
      </c>
      <c r="AD703" s="0" t="str">
        <f aca="false">IF(AND(C702=C703,AA702=AA703-1),AB702,"")</f>
        <v/>
      </c>
      <c r="AE703" s="0" t="str">
        <f aca="false">IF(AND(C702=C703,AA702=AA703-1),AC702,"")</f>
        <v/>
      </c>
      <c r="AF703" s="0" t="str">
        <f aca="false">IF(AA703=1,"",IF(AND(AB703=1,AD703&lt;&gt;1),1,0))</f>
        <v/>
      </c>
      <c r="AG703" s="0" t="str">
        <f aca="false">IF(AA703=1,"",IF(AND(AC703=1,AE703&lt;&gt;1),1,0))</f>
        <v/>
      </c>
      <c r="AH703" s="51" t="str">
        <f aca="false">IF(AND(E703&gt;0,AA703&lt;1,NOT(AND(C704=C703,AA704=AA703+1))),INDEX(DATAS,AA703+1),"")</f>
        <v/>
      </c>
      <c r="AI703" s="51" t="str">
        <f aca="false">IF(AND(AC703=1,AA703&lt;1),IF(AND(C704=C703,AA704=AA703+1),IF(AC704=1,"",INDEX(DATAS,AA703+1)),INDEX(DATAS,AA703+1)),"")</f>
        <v/>
      </c>
    </row>
    <row r="704" customFormat="false" ht="15" hidden="false" customHeight="false" outlineLevel="0" collapsed="false">
      <c r="A704" s="51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46" t="s">
        <v>616</v>
      </c>
      <c r="G704" s="0" t="n">
        <v>35.7</v>
      </c>
      <c r="H704" s="0" t="n">
        <v>34</v>
      </c>
      <c r="I704" s="46" t="s">
        <v>181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51" t="n">
        <v>46303</v>
      </c>
      <c r="X704" s="46" t="n">
        <f aca="false">IF(I704="Male",0,1)</f>
        <v>1</v>
      </c>
      <c r="Y704" s="46" t="n">
        <f aca="false">IF(OR(I704="DNB",I704="Dry DNB"),1,0)</f>
        <v>0</v>
      </c>
      <c r="Z704" s="46" t="n">
        <f aca="false">IF(ISNUMBER(W704),A704-W704,"")</f>
        <v>6</v>
      </c>
      <c r="AA704" s="46" t="n">
        <f aca="false">MATCH(A704,DATAS,0)</f>
        <v>1</v>
      </c>
      <c r="AB704" s="46" t="n">
        <f aca="false">IF(AND(E704&gt;0,OR(AND(B704&gt;=1,B704&lt;=6),B704=10)),1,0)</f>
        <v>1</v>
      </c>
      <c r="AC704" s="46" t="n">
        <f aca="false">IF(AND(E704&gt;0,B704=10),1,0)</f>
        <v>0</v>
      </c>
      <c r="AD704" s="0" t="str">
        <f aca="false">IF(AND(C703=C704,AA703=AA704-1),AB703,"")</f>
        <v/>
      </c>
      <c r="AE704" s="0" t="str">
        <f aca="false">IF(AND(C703=C704,AA703=AA704-1),AC703,"")</f>
        <v/>
      </c>
      <c r="AF704" s="0" t="str">
        <f aca="false">IF(AA704=1,"",IF(AND(AB704=1,AD704&lt;&gt;1),1,0))</f>
        <v/>
      </c>
      <c r="AG704" s="0" t="str">
        <f aca="false">IF(AA704=1,"",IF(AND(AC704=1,AE704&lt;&gt;1),1,0))</f>
        <v/>
      </c>
      <c r="AH704" s="51" t="str">
        <f aca="false">IF(AND(E704&gt;0,AA704&lt;1,NOT(AND(C705=C704,AA705=AA704+1))),INDEX(DATAS,AA704+1),"")</f>
        <v/>
      </c>
      <c r="AI704" s="51" t="str">
        <f aca="false">IF(AND(AC704=1,AA704&lt;1),IF(AND(C705=C704,AA705=AA704+1),IF(AC705=1,"",INDEX(DATAS,AA704+1)),INDEX(DATAS,AA704+1)),"")</f>
        <v/>
      </c>
    </row>
    <row r="705" customFormat="false" ht="15" hidden="false" customHeight="false" outlineLevel="0" collapsed="false">
      <c r="A705" s="51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46" t="s">
        <v>169</v>
      </c>
      <c r="G705" s="0" t="n">
        <v>50.2</v>
      </c>
      <c r="H705" s="0" t="n">
        <v>59</v>
      </c>
      <c r="I705" s="46" t="s">
        <v>189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51" t="n">
        <v>46268</v>
      </c>
      <c r="X705" s="46" t="n">
        <f aca="false">IF(I705="Male",0,1)</f>
        <v>1</v>
      </c>
      <c r="Y705" s="46" t="n">
        <f aca="false">IF(OR(I705="DNB",I705="Dry DNB"),1,0)</f>
        <v>0</v>
      </c>
      <c r="Z705" s="46" t="n">
        <f aca="false">IF(ISNUMBER(W705),A705-W705,"")</f>
        <v>41</v>
      </c>
      <c r="AA705" s="46" t="n">
        <f aca="false">MATCH(A705,DATAS,0)</f>
        <v>1</v>
      </c>
      <c r="AB705" s="46" t="n">
        <f aca="false">IF(AND(E705&gt;0,OR(AND(B705&gt;=1,B705&lt;=6),B705=10)),1,0)</f>
        <v>1</v>
      </c>
      <c r="AC705" s="46" t="n">
        <f aca="false">IF(AND(E705&gt;0,B705=10),1,0)</f>
        <v>0</v>
      </c>
      <c r="AD705" s="0" t="str">
        <f aca="false">IF(AND(C704=C705,AA704=AA705-1),AB704,"")</f>
        <v/>
      </c>
      <c r="AE705" s="0" t="str">
        <f aca="false">IF(AND(C704=C705,AA704=AA705-1),AC704,"")</f>
        <v/>
      </c>
      <c r="AF705" s="0" t="str">
        <f aca="false">IF(AA705=1,"",IF(AND(AB705=1,AD705&lt;&gt;1),1,0))</f>
        <v/>
      </c>
      <c r="AG705" s="0" t="str">
        <f aca="false">IF(AA705=1,"",IF(AND(AC705=1,AE705&lt;&gt;1),1,0))</f>
        <v/>
      </c>
      <c r="AH705" s="51" t="str">
        <f aca="false">IF(AND(E705&gt;0,AA705&lt;1,NOT(AND(C706=C705,AA706=AA705+1))),INDEX(DATAS,AA705+1),"")</f>
        <v/>
      </c>
      <c r="AI705" s="51" t="str">
        <f aca="false">IF(AND(AC705=1,AA705&lt;1),IF(AND(C706=C705,AA706=AA705+1),IF(AC706=1,"",INDEX(DATAS,AA705+1)),INDEX(DATAS,AA705+1)),"")</f>
        <v/>
      </c>
    </row>
    <row r="706" customFormat="false" ht="15" hidden="false" customHeight="false" outlineLevel="0" collapsed="false">
      <c r="A706" s="51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46" t="s">
        <v>169</v>
      </c>
      <c r="G706" s="0" t="n">
        <v>40.4</v>
      </c>
      <c r="H706" s="0" t="n">
        <v>40</v>
      </c>
      <c r="I706" s="46" t="s">
        <v>152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51" t="n">
        <v>46184</v>
      </c>
      <c r="X706" s="46" t="n">
        <f aca="false">IF(I706="Male",0,1)</f>
        <v>1</v>
      </c>
      <c r="Y706" s="46" t="n">
        <f aca="false">IF(OR(I706="DNB",I706="Dry DNB"),1,0)</f>
        <v>0</v>
      </c>
      <c r="Z706" s="46" t="n">
        <f aca="false">IF(ISNUMBER(W706),A706-W706,"")</f>
        <v>125</v>
      </c>
      <c r="AA706" s="46" t="n">
        <f aca="false">MATCH(A706,DATAS,0)</f>
        <v>1</v>
      </c>
      <c r="AB706" s="46" t="n">
        <f aca="false">IF(AND(E706&gt;0,OR(AND(B706&gt;=1,B706&lt;=6),B706=10)),1,0)</f>
        <v>1</v>
      </c>
      <c r="AC706" s="46" t="n">
        <f aca="false">IF(AND(E706&gt;0,B706=10),1,0)</f>
        <v>0</v>
      </c>
      <c r="AD706" s="0" t="str">
        <f aca="false">IF(AND(C705=C706,AA705=AA706-1),AB705,"")</f>
        <v/>
      </c>
      <c r="AE706" s="0" t="str">
        <f aca="false">IF(AND(C705=C706,AA705=AA706-1),AC705,"")</f>
        <v/>
      </c>
      <c r="AF706" s="0" t="str">
        <f aca="false">IF(AA706=1,"",IF(AND(AB706=1,AD706&lt;&gt;1),1,0))</f>
        <v/>
      </c>
      <c r="AG706" s="0" t="str">
        <f aca="false">IF(AA706=1,"",IF(AND(AC706=1,AE706&lt;&gt;1),1,0))</f>
        <v/>
      </c>
      <c r="AH706" s="51" t="str">
        <f aca="false">IF(AND(E706&gt;0,AA706&lt;1,NOT(AND(C707=C706,AA707=AA706+1))),INDEX(DATAS,AA706+1),"")</f>
        <v/>
      </c>
      <c r="AI706" s="51" t="str">
        <f aca="false">IF(AND(AC706=1,AA706&lt;1),IF(AND(C707=C706,AA707=AA706+1),IF(AC707=1,"",INDEX(DATAS,AA706+1)),INDEX(DATAS,AA706+1)),"")</f>
        <v/>
      </c>
    </row>
    <row r="707" customFormat="false" ht="15" hidden="false" customHeight="false" outlineLevel="0" collapsed="false">
      <c r="A707" s="51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46" t="s">
        <v>617</v>
      </c>
      <c r="G707" s="0" t="n">
        <v>31.1</v>
      </c>
      <c r="H707" s="0" t="n">
        <v>31</v>
      </c>
      <c r="I707" s="46" t="s">
        <v>181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51" t="n">
        <v>46303</v>
      </c>
      <c r="X707" s="46" t="n">
        <f aca="false">IF(I707="Male",0,1)</f>
        <v>1</v>
      </c>
      <c r="Y707" s="46" t="n">
        <f aca="false">IF(OR(I707="DNB",I707="Dry DNB"),1,0)</f>
        <v>0</v>
      </c>
      <c r="Z707" s="46" t="n">
        <f aca="false">IF(ISNUMBER(W707),A707-W707,"")</f>
        <v>6</v>
      </c>
      <c r="AA707" s="46" t="n">
        <f aca="false">MATCH(A707,DATAS,0)</f>
        <v>1</v>
      </c>
      <c r="AB707" s="46" t="n">
        <f aca="false">IF(AND(E707&gt;0,OR(AND(B707&gt;=1,B707&lt;=6),B707=10)),1,0)</f>
        <v>1</v>
      </c>
      <c r="AC707" s="46" t="n">
        <f aca="false">IF(AND(E707&gt;0,B707=10),1,0)</f>
        <v>0</v>
      </c>
      <c r="AD707" s="0" t="str">
        <f aca="false">IF(AND(C706=C707,AA706=AA707-1),AB706,"")</f>
        <v/>
      </c>
      <c r="AE707" s="0" t="str">
        <f aca="false">IF(AND(C706=C707,AA706=AA707-1),AC706,"")</f>
        <v/>
      </c>
      <c r="AF707" s="0" t="str">
        <f aca="false">IF(AA707=1,"",IF(AND(AB707=1,AD707&lt;&gt;1),1,0))</f>
        <v/>
      </c>
      <c r="AG707" s="0" t="str">
        <f aca="false">IF(AA707=1,"",IF(AND(AC707=1,AE707&lt;&gt;1),1,0))</f>
        <v/>
      </c>
      <c r="AH707" s="51" t="str">
        <f aca="false">IF(AND(E707&gt;0,AA707&lt;1,NOT(AND(C708=C707,AA708=AA707+1))),INDEX(DATAS,AA707+1),"")</f>
        <v/>
      </c>
      <c r="AI707" s="51" t="str">
        <f aca="false">IF(AND(AC707=1,AA707&lt;1),IF(AND(C708=C707,AA708=AA707+1),IF(AC708=1,"",INDEX(DATAS,AA707+1)),INDEX(DATAS,AA707+1)),"")</f>
        <v/>
      </c>
    </row>
    <row r="708" customFormat="false" ht="15" hidden="false" customHeight="false" outlineLevel="0" collapsed="false">
      <c r="A708" s="51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46" t="s">
        <v>617</v>
      </c>
      <c r="I708" s="46" t="s">
        <v>157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51" t="n">
        <v>46079</v>
      </c>
      <c r="X708" s="46" t="n">
        <f aca="false">IF(I708="Male",0,1)</f>
        <v>1</v>
      </c>
      <c r="Y708" s="46" t="n">
        <f aca="false">IF(OR(I708="DNB",I708="Dry DNB"),1,0)</f>
        <v>0</v>
      </c>
      <c r="Z708" s="46" t="n">
        <f aca="false">IF(ISNUMBER(W708),A708-W708,"")</f>
        <v>230</v>
      </c>
      <c r="AA708" s="46" t="n">
        <f aca="false">MATCH(A708,DATAS,0)</f>
        <v>1</v>
      </c>
      <c r="AB708" s="46" t="n">
        <f aca="false">IF(AND(E708&gt;0,OR(AND(B708&gt;=1,B708&lt;=6),B708=10)),1,0)</f>
        <v>0</v>
      </c>
      <c r="AC708" s="46" t="n">
        <f aca="false">IF(AND(E708&gt;0,B708=10),1,0)</f>
        <v>0</v>
      </c>
      <c r="AD708" s="0" t="str">
        <f aca="false">IF(AND(C707=C708,AA707=AA708-1),AB707,"")</f>
        <v/>
      </c>
      <c r="AE708" s="0" t="str">
        <f aca="false">IF(AND(C707=C708,AA707=AA708-1),AC707,"")</f>
        <v/>
      </c>
      <c r="AF708" s="0" t="str">
        <f aca="false">IF(AA708=1,"",IF(AND(AB708=1,AD708&lt;&gt;1),1,0))</f>
        <v/>
      </c>
      <c r="AG708" s="0" t="str">
        <f aca="false">IF(AA708=1,"",IF(AND(AC708=1,AE708&lt;&gt;1),1,0))</f>
        <v/>
      </c>
      <c r="AH708" s="51" t="str">
        <f aca="false">IF(AND(E708&gt;0,AA708&lt;1,NOT(AND(C709=C708,AA709=AA708+1))),INDEX(DATAS,AA708+1),"")</f>
        <v/>
      </c>
      <c r="AI708" s="51" t="str">
        <f aca="false">IF(AND(AC708=1,AA708&lt;1),IF(AND(C709=C708,AA709=AA708+1),IF(AC709=1,"",INDEX(DATAS,AA708+1)),INDEX(DATAS,AA708+1)),"")</f>
        <v/>
      </c>
    </row>
    <row r="709" customFormat="false" ht="15" hidden="false" customHeight="false" outlineLevel="0" collapsed="false">
      <c r="A709" s="51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46" t="s">
        <v>617</v>
      </c>
      <c r="G709" s="0" t="n">
        <v>39.1</v>
      </c>
      <c r="H709" s="0" t="n">
        <v>43</v>
      </c>
      <c r="I709" s="46" t="s">
        <v>152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51" t="n">
        <v>46163</v>
      </c>
      <c r="X709" s="46" t="n">
        <f aca="false">IF(I709="Male",0,1)</f>
        <v>1</v>
      </c>
      <c r="Y709" s="46" t="n">
        <f aca="false">IF(OR(I709="DNB",I709="Dry DNB"),1,0)</f>
        <v>0</v>
      </c>
      <c r="Z709" s="46" t="n">
        <f aca="false">IF(ISNUMBER(W709),A709-W709,"")</f>
        <v>146</v>
      </c>
      <c r="AA709" s="46" t="n">
        <f aca="false">MATCH(A709,DATAS,0)</f>
        <v>1</v>
      </c>
      <c r="AB709" s="46" t="n">
        <f aca="false">IF(AND(E709&gt;0,OR(AND(B709&gt;=1,B709&lt;=6),B709=10)),1,0)</f>
        <v>1</v>
      </c>
      <c r="AC709" s="46" t="n">
        <f aca="false">IF(AND(E709&gt;0,B709=10),1,0)</f>
        <v>0</v>
      </c>
      <c r="AD709" s="0" t="str">
        <f aca="false">IF(AND(C708=C709,AA708=AA709-1),AB708,"")</f>
        <v/>
      </c>
      <c r="AE709" s="0" t="str">
        <f aca="false">IF(AND(C708=C709,AA708=AA709-1),AC708,"")</f>
        <v/>
      </c>
      <c r="AF709" s="0" t="str">
        <f aca="false">IF(AA709=1,"",IF(AND(AB709=1,AD709&lt;&gt;1),1,0))</f>
        <v/>
      </c>
      <c r="AG709" s="0" t="str">
        <f aca="false">IF(AA709=1,"",IF(AND(AC709=1,AE709&lt;&gt;1),1,0))</f>
        <v/>
      </c>
      <c r="AH709" s="51" t="str">
        <f aca="false">IF(AND(E709&gt;0,AA709&lt;1,NOT(AND(C710=C709,AA710=AA709+1))),INDEX(DATAS,AA709+1),"")</f>
        <v/>
      </c>
      <c r="AI709" s="51" t="str">
        <f aca="false">IF(AND(AC709=1,AA709&lt;1),IF(AND(C710=C709,AA710=AA709+1),IF(AC710=1,"",INDEX(DATAS,AA709+1)),INDEX(DATAS,AA709+1)),"")</f>
        <v/>
      </c>
    </row>
    <row r="710" customFormat="false" ht="15" hidden="false" customHeight="false" outlineLevel="0" collapsed="false">
      <c r="A710" s="51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46" t="s">
        <v>618</v>
      </c>
      <c r="G710" s="0" t="n">
        <v>55</v>
      </c>
      <c r="H710" s="0" t="n">
        <v>54</v>
      </c>
      <c r="I710" s="46" t="s">
        <v>152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51" t="n">
        <v>46163</v>
      </c>
      <c r="X710" s="46" t="n">
        <f aca="false">IF(I710="Male",0,1)</f>
        <v>1</v>
      </c>
      <c r="Y710" s="46" t="n">
        <f aca="false">IF(OR(I710="DNB",I710="Dry DNB"),1,0)</f>
        <v>0</v>
      </c>
      <c r="Z710" s="46" t="n">
        <f aca="false">IF(ISNUMBER(W710),A710-W710,"")</f>
        <v>146</v>
      </c>
      <c r="AA710" s="46" t="n">
        <f aca="false">MATCH(A710,DATAS,0)</f>
        <v>1</v>
      </c>
      <c r="AB710" s="46" t="n">
        <f aca="false">IF(AND(E710&gt;0,OR(AND(B710&gt;=1,B710&lt;=6),B710=10)),1,0)</f>
        <v>1</v>
      </c>
      <c r="AC710" s="46" t="n">
        <f aca="false">IF(AND(E710&gt;0,B710=10),1,0)</f>
        <v>0</v>
      </c>
      <c r="AD710" s="0" t="str">
        <f aca="false">IF(AND(C709=C710,AA709=AA710-1),AB709,"")</f>
        <v/>
      </c>
      <c r="AE710" s="0" t="str">
        <f aca="false">IF(AND(C709=C710,AA709=AA710-1),AC709,"")</f>
        <v/>
      </c>
      <c r="AF710" s="0" t="str">
        <f aca="false">IF(AA710=1,"",IF(AND(AB710=1,AD710&lt;&gt;1),1,0))</f>
        <v/>
      </c>
      <c r="AG710" s="0" t="str">
        <f aca="false">IF(AA710=1,"",IF(AND(AC710=1,AE710&lt;&gt;1),1,0))</f>
        <v/>
      </c>
      <c r="AH710" s="51" t="str">
        <f aca="false">IF(AND(E710&gt;0,AA710&lt;1,NOT(AND(C711=C710,AA711=AA710+1))),INDEX(DATAS,AA710+1),"")</f>
        <v/>
      </c>
      <c r="AI710" s="51" t="str">
        <f aca="false">IF(AND(AC710=1,AA710&lt;1),IF(AND(C711=C710,AA711=AA710+1),IF(AC711=1,"",INDEX(DATAS,AA710+1)),INDEX(DATAS,AA710+1)),"")</f>
        <v/>
      </c>
    </row>
    <row r="711" customFormat="false" ht="15" hidden="false" customHeight="false" outlineLevel="0" collapsed="false">
      <c r="A711" s="51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46" t="s">
        <v>618</v>
      </c>
      <c r="G711" s="0" t="n">
        <v>38.6</v>
      </c>
      <c r="H711" s="0" t="n">
        <v>36</v>
      </c>
      <c r="I711" s="46" t="s">
        <v>152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51" t="n">
        <v>46275</v>
      </c>
      <c r="X711" s="46" t="n">
        <f aca="false">IF(I711="Male",0,1)</f>
        <v>1</v>
      </c>
      <c r="Y711" s="46" t="n">
        <f aca="false">IF(OR(I711="DNB",I711="Dry DNB"),1,0)</f>
        <v>0</v>
      </c>
      <c r="Z711" s="46" t="n">
        <f aca="false">IF(ISNUMBER(W711),A711-W711,"")</f>
        <v>34</v>
      </c>
      <c r="AA711" s="46" t="n">
        <f aca="false">MATCH(A711,DATAS,0)</f>
        <v>1</v>
      </c>
      <c r="AB711" s="46" t="n">
        <f aca="false">IF(AND(E711&gt;0,OR(AND(B711&gt;=1,B711&lt;=6),B711=10)),1,0)</f>
        <v>1</v>
      </c>
      <c r="AC711" s="46" t="n">
        <f aca="false">IF(AND(E711&gt;0,B711=10),1,0)</f>
        <v>0</v>
      </c>
      <c r="AD711" s="0" t="str">
        <f aca="false">IF(AND(C710=C711,AA710=AA711-1),AB710,"")</f>
        <v/>
      </c>
      <c r="AE711" s="0" t="str">
        <f aca="false">IF(AND(C710=C711,AA710=AA711-1),AC710,"")</f>
        <v/>
      </c>
      <c r="AF711" s="0" t="str">
        <f aca="false">IF(AA711=1,"",IF(AND(AB711=1,AD711&lt;&gt;1),1,0))</f>
        <v/>
      </c>
      <c r="AG711" s="0" t="str">
        <f aca="false">IF(AA711=1,"",IF(AND(AC711=1,AE711&lt;&gt;1),1,0))</f>
        <v/>
      </c>
      <c r="AH711" s="51" t="str">
        <f aca="false">IF(AND(E711&gt;0,AA711&lt;1,NOT(AND(C712=C711,AA712=AA711+1))),INDEX(DATAS,AA711+1),"")</f>
        <v/>
      </c>
      <c r="AI711" s="51" t="str">
        <f aca="false">IF(AND(AC711=1,AA711&lt;1),IF(AND(C712=C711,AA712=AA711+1),IF(AC712=1,"",INDEX(DATAS,AA711+1)),INDEX(DATAS,AA711+1)),"")</f>
        <v/>
      </c>
    </row>
    <row r="712" customFormat="false" ht="15" hidden="false" customHeight="false" outlineLevel="0" collapsed="false">
      <c r="A712" s="51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46" t="s">
        <v>619</v>
      </c>
      <c r="G712" s="0" t="n">
        <v>46</v>
      </c>
      <c r="H712" s="0" t="n">
        <v>48</v>
      </c>
      <c r="I712" s="46" t="s">
        <v>152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51" t="n">
        <v>46198</v>
      </c>
      <c r="X712" s="46" t="n">
        <f aca="false">IF(I712="Male",0,1)</f>
        <v>1</v>
      </c>
      <c r="Y712" s="46" t="n">
        <f aca="false">IF(OR(I712="DNB",I712="Dry DNB"),1,0)</f>
        <v>0</v>
      </c>
      <c r="Z712" s="46" t="n">
        <f aca="false">IF(ISNUMBER(W712),A712-W712,"")</f>
        <v>111</v>
      </c>
      <c r="AA712" s="46" t="n">
        <f aca="false">MATCH(A712,DATAS,0)</f>
        <v>1</v>
      </c>
      <c r="AB712" s="46" t="n">
        <f aca="false">IF(AND(E712&gt;0,OR(AND(B712&gt;=1,B712&lt;=6),B712=10)),1,0)</f>
        <v>1</v>
      </c>
      <c r="AC712" s="46" t="n">
        <f aca="false">IF(AND(E712&gt;0,B712=10),1,0)</f>
        <v>0</v>
      </c>
      <c r="AD712" s="0" t="str">
        <f aca="false">IF(AND(C711=C712,AA711=AA712-1),AB711,"")</f>
        <v/>
      </c>
      <c r="AE712" s="0" t="str">
        <f aca="false">IF(AND(C711=C712,AA711=AA712-1),AC711,"")</f>
        <v/>
      </c>
      <c r="AF712" s="0" t="str">
        <f aca="false">IF(AA712=1,"",IF(AND(AB712=1,AD712&lt;&gt;1),1,0))</f>
        <v/>
      </c>
      <c r="AG712" s="0" t="str">
        <f aca="false">IF(AA712=1,"",IF(AND(AC712=1,AE712&lt;&gt;1),1,0))</f>
        <v/>
      </c>
      <c r="AH712" s="51" t="str">
        <f aca="false">IF(AND(E712&gt;0,AA712&lt;1,NOT(AND(C713=C712,AA713=AA712+1))),INDEX(DATAS,AA712+1),"")</f>
        <v/>
      </c>
      <c r="AI712" s="51" t="str">
        <f aca="false">IF(AND(AC712=1,AA712&lt;1),IF(AND(C713=C712,AA713=AA712+1),IF(AC713=1,"",INDEX(DATAS,AA712+1)),INDEX(DATAS,AA712+1)),"")</f>
        <v/>
      </c>
    </row>
    <row r="713" customFormat="false" ht="15" hidden="false" customHeight="false" outlineLevel="0" collapsed="false">
      <c r="A713" s="51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46" t="s">
        <v>619</v>
      </c>
      <c r="G713" s="0" t="n">
        <v>34.4</v>
      </c>
      <c r="H713" s="0" t="n">
        <v>34</v>
      </c>
      <c r="I713" s="46" t="s">
        <v>138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X713" s="46" t="n">
        <f aca="false">IF(I713="Male",0,1)</f>
        <v>1</v>
      </c>
      <c r="Y713" s="46" t="n">
        <f aca="false">IF(OR(I713="DNB",I713="Dry DNB"),1,0)</f>
        <v>1</v>
      </c>
      <c r="Z713" s="0" t="str">
        <f aca="false">IF(ISNUMBER(W713),A713-W713,"")</f>
        <v/>
      </c>
      <c r="AA713" s="46" t="n">
        <f aca="false">MATCH(A713,DATAS,0)</f>
        <v>1</v>
      </c>
      <c r="AB713" s="46" t="n">
        <f aca="false">IF(AND(E713&gt;0,OR(AND(B713&gt;=1,B713&lt;=6),B713=10)),1,0)</f>
        <v>1</v>
      </c>
      <c r="AC713" s="46" t="n">
        <f aca="false">IF(AND(E713&gt;0,B713=10),1,0)</f>
        <v>0</v>
      </c>
      <c r="AD713" s="0" t="str">
        <f aca="false">IF(AND(C712=C713,AA712=AA713-1),AB712,"")</f>
        <v/>
      </c>
      <c r="AE713" s="0" t="str">
        <f aca="false">IF(AND(C712=C713,AA712=AA713-1),AC712,"")</f>
        <v/>
      </c>
      <c r="AF713" s="0" t="str">
        <f aca="false">IF(AA713=1,"",IF(AND(AB713=1,AD713&lt;&gt;1),1,0))</f>
        <v/>
      </c>
      <c r="AG713" s="0" t="str">
        <f aca="false">IF(AA713=1,"",IF(AND(AC713=1,AE713&lt;&gt;1),1,0))</f>
        <v/>
      </c>
      <c r="AH713" s="51" t="str">
        <f aca="false">IF(AND(E713&gt;0,AA713&lt;1,NOT(AND(C714=C713,AA714=AA713+1))),INDEX(DATAS,AA713+1),"")</f>
        <v/>
      </c>
      <c r="AI713" s="51" t="str">
        <f aca="false">IF(AND(AC713=1,AA713&lt;1),IF(AND(C714=C713,AA714=AA713+1),IF(AC714=1,"",INDEX(DATAS,AA713+1)),INDEX(DATAS,AA713+1)),"")</f>
        <v/>
      </c>
    </row>
    <row r="714" customFormat="false" ht="15" hidden="false" customHeight="false" outlineLevel="0" collapsed="false">
      <c r="A714" s="51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46" t="s">
        <v>620</v>
      </c>
      <c r="G714" s="0" t="n">
        <v>47.8</v>
      </c>
      <c r="H714" s="0" t="n">
        <v>41</v>
      </c>
      <c r="I714" s="46" t="s">
        <v>152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51" t="n">
        <v>46156</v>
      </c>
      <c r="X714" s="46" t="n">
        <f aca="false">IF(I714="Male",0,1)</f>
        <v>1</v>
      </c>
      <c r="Y714" s="46" t="n">
        <f aca="false">IF(OR(I714="DNB",I714="Dry DNB"),1,0)</f>
        <v>0</v>
      </c>
      <c r="Z714" s="46" t="n">
        <f aca="false">IF(ISNUMBER(W714),A714-W714,"")</f>
        <v>153</v>
      </c>
      <c r="AA714" s="46" t="n">
        <f aca="false">MATCH(A714,DATAS,0)</f>
        <v>1</v>
      </c>
      <c r="AB714" s="46" t="n">
        <f aca="false">IF(AND(E714&gt;0,OR(AND(B714&gt;=1,B714&lt;=6),B714=10)),1,0)</f>
        <v>1</v>
      </c>
      <c r="AC714" s="46" t="n">
        <f aca="false">IF(AND(E714&gt;0,B714=10),1,0)</f>
        <v>0</v>
      </c>
      <c r="AD714" s="0" t="str">
        <f aca="false">IF(AND(C713=C714,AA713=AA714-1),AB713,"")</f>
        <v/>
      </c>
      <c r="AE714" s="0" t="str">
        <f aca="false">IF(AND(C713=C714,AA713=AA714-1),AC713,"")</f>
        <v/>
      </c>
      <c r="AF714" s="0" t="str">
        <f aca="false">IF(AA714=1,"",IF(AND(AB714=1,AD714&lt;&gt;1),1,0))</f>
        <v/>
      </c>
      <c r="AG714" s="0" t="str">
        <f aca="false">IF(AA714=1,"",IF(AND(AC714=1,AE714&lt;&gt;1),1,0))</f>
        <v/>
      </c>
      <c r="AH714" s="51" t="str">
        <f aca="false">IF(AND(E714&gt;0,AA714&lt;1,NOT(AND(C715=C714,AA715=AA714+1))),INDEX(DATAS,AA714+1),"")</f>
        <v/>
      </c>
      <c r="AI714" s="51" t="str">
        <f aca="false">IF(AND(AC714=1,AA714&lt;1),IF(AND(C715=C714,AA715=AA714+1),IF(AC715=1,"",INDEX(DATAS,AA714+1)),INDEX(DATAS,AA714+1)),"")</f>
        <v/>
      </c>
    </row>
    <row r="715" customFormat="false" ht="15" hidden="false" customHeight="false" outlineLevel="0" collapsed="false">
      <c r="A715" s="51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46" t="s">
        <v>620</v>
      </c>
      <c r="G715" s="0" t="n">
        <v>41</v>
      </c>
      <c r="H715" s="0" t="n">
        <v>34</v>
      </c>
      <c r="I715" s="46" t="s">
        <v>161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X715" s="46" t="n">
        <f aca="false">IF(I715="Male",0,1)</f>
        <v>1</v>
      </c>
      <c r="Y715" s="46" t="n">
        <f aca="false">IF(OR(I715="DNB",I715="Dry DNB"),1,0)</f>
        <v>0</v>
      </c>
      <c r="Z715" s="0" t="str">
        <f aca="false">IF(ISNUMBER(W715),A715-W715,"")</f>
        <v/>
      </c>
      <c r="AA715" s="46" t="n">
        <f aca="false">MATCH(A715,DATAS,0)</f>
        <v>1</v>
      </c>
      <c r="AB715" s="46" t="n">
        <f aca="false">IF(AND(E715&gt;0,OR(AND(B715&gt;=1,B715&lt;=6),B715=10)),1,0)</f>
        <v>1</v>
      </c>
      <c r="AC715" s="46" t="n">
        <f aca="false">IF(AND(E715&gt;0,B715=10),1,0)</f>
        <v>0</v>
      </c>
      <c r="AD715" s="0" t="str">
        <f aca="false">IF(AND(C714=C715,AA714=AA715-1),AB714,"")</f>
        <v/>
      </c>
      <c r="AE715" s="0" t="str">
        <f aca="false">IF(AND(C714=C715,AA714=AA715-1),AC714,"")</f>
        <v/>
      </c>
      <c r="AF715" s="0" t="str">
        <f aca="false">IF(AA715=1,"",IF(AND(AB715=1,AD715&lt;&gt;1),1,0))</f>
        <v/>
      </c>
      <c r="AG715" s="0" t="str">
        <f aca="false">IF(AA715=1,"",IF(AND(AC715=1,AE715&lt;&gt;1),1,0))</f>
        <v/>
      </c>
      <c r="AH715" s="51" t="str">
        <f aca="false">IF(AND(E715&gt;0,AA715&lt;1,NOT(AND(C716=C715,AA716=AA715+1))),INDEX(DATAS,AA715+1),"")</f>
        <v/>
      </c>
      <c r="AI715" s="51" t="str">
        <f aca="false">IF(AND(AC715=1,AA715&lt;1),IF(AND(C716=C715,AA716=AA715+1),IF(AC716=1,"",INDEX(DATAS,AA715+1)),INDEX(DATAS,AA715+1)),"")</f>
        <v/>
      </c>
    </row>
    <row r="716" customFormat="false" ht="15" hidden="false" customHeight="false" outlineLevel="0" collapsed="false">
      <c r="A716" s="51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46" t="s">
        <v>621</v>
      </c>
      <c r="G716" s="0" t="n">
        <v>16.1</v>
      </c>
      <c r="H716" s="0" t="n">
        <v>14</v>
      </c>
      <c r="I716" s="46" t="s">
        <v>152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X716" s="46" t="n">
        <f aca="false">IF(I716="Male",0,1)</f>
        <v>1</v>
      </c>
      <c r="Y716" s="46" t="n">
        <f aca="false">IF(OR(I716="DNB",I716="Dry DNB"),1,0)</f>
        <v>0</v>
      </c>
      <c r="Z716" s="0" t="str">
        <f aca="false">IF(ISNUMBER(W716),A716-W716,"")</f>
        <v/>
      </c>
      <c r="AA716" s="46" t="n">
        <f aca="false">MATCH(A716,DATAS,0)</f>
        <v>1</v>
      </c>
      <c r="AB716" s="46" t="n">
        <f aca="false">IF(AND(E716&gt;0,OR(AND(B716&gt;=1,B716&lt;=6),B716=10)),1,0)</f>
        <v>1</v>
      </c>
      <c r="AC716" s="46" t="n">
        <f aca="false">IF(AND(E716&gt;0,B716=10),1,0)</f>
        <v>0</v>
      </c>
      <c r="AD716" s="0" t="str">
        <f aca="false">IF(AND(C715=C716,AA715=AA716-1),AB715,"")</f>
        <v/>
      </c>
      <c r="AE716" s="0" t="str">
        <f aca="false">IF(AND(C715=C716,AA715=AA716-1),AC715,"")</f>
        <v/>
      </c>
      <c r="AF716" s="0" t="str">
        <f aca="false">IF(AA716=1,"",IF(AND(AB716=1,AD716&lt;&gt;1),1,0))</f>
        <v/>
      </c>
      <c r="AG716" s="0" t="str">
        <f aca="false">IF(AA716=1,"",IF(AND(AC716=1,AE716&lt;&gt;1),1,0))</f>
        <v/>
      </c>
      <c r="AH716" s="51" t="str">
        <f aca="false">IF(AND(E716&gt;0,AA716&lt;1,NOT(AND(C717=C716,AA717=AA716+1))),INDEX(DATAS,AA716+1),"")</f>
        <v/>
      </c>
      <c r="AI716" s="51" t="str">
        <f aca="false">IF(AND(AC716=1,AA716&lt;1),IF(AND(C717=C716,AA717=AA716+1),IF(AC717=1,"",INDEX(DATAS,AA716+1)),INDEX(DATAS,AA716+1)),"")</f>
        <v/>
      </c>
    </row>
    <row r="717" customFormat="false" ht="15" hidden="false" customHeight="false" outlineLevel="0" collapsed="false">
      <c r="A717" s="51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46" t="s">
        <v>621</v>
      </c>
      <c r="G717" s="0" t="n">
        <v>31.1</v>
      </c>
      <c r="H717" s="0" t="n">
        <v>29</v>
      </c>
      <c r="I717" s="46" t="s">
        <v>152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51" t="n">
        <v>46088</v>
      </c>
      <c r="X717" s="46" t="n">
        <f aca="false">IF(I717="Male",0,1)</f>
        <v>1</v>
      </c>
      <c r="Y717" s="46" t="n">
        <f aca="false">IF(OR(I717="DNB",I717="Dry DNB"),1,0)</f>
        <v>0</v>
      </c>
      <c r="Z717" s="46" t="n">
        <f aca="false">IF(ISNUMBER(W717),A717-W717,"")</f>
        <v>221</v>
      </c>
      <c r="AA717" s="46" t="n">
        <f aca="false">MATCH(A717,DATAS,0)</f>
        <v>1</v>
      </c>
      <c r="AB717" s="46" t="n">
        <f aca="false">IF(AND(E717&gt;0,OR(AND(B717&gt;=1,B717&lt;=6),B717=10)),1,0)</f>
        <v>1</v>
      </c>
      <c r="AC717" s="46" t="n">
        <f aca="false">IF(AND(E717&gt;0,B717=10),1,0)</f>
        <v>0</v>
      </c>
      <c r="AD717" s="0" t="str">
        <f aca="false">IF(AND(C716=C717,AA716=AA717-1),AB716,"")</f>
        <v/>
      </c>
      <c r="AE717" s="0" t="str">
        <f aca="false">IF(AND(C716=C717,AA716=AA717-1),AC716,"")</f>
        <v/>
      </c>
      <c r="AF717" s="0" t="str">
        <f aca="false">IF(AA717=1,"",IF(AND(AB717=1,AD717&lt;&gt;1),1,0))</f>
        <v/>
      </c>
      <c r="AG717" s="0" t="str">
        <f aca="false">IF(AA717=1,"",IF(AND(AC717=1,AE717&lt;&gt;1),1,0))</f>
        <v/>
      </c>
      <c r="AH717" s="51" t="str">
        <f aca="false">IF(AND(E717&gt;0,AA717&lt;1,NOT(AND(C718=C717,AA718=AA717+1))),INDEX(DATAS,AA717+1),"")</f>
        <v/>
      </c>
      <c r="AI717" s="51" t="str">
        <f aca="false">IF(AND(AC717=1,AA717&lt;1),IF(AND(C718=C717,AA718=AA717+1),IF(AC718=1,"",INDEX(DATAS,AA717+1)),INDEX(DATAS,AA717+1)),"")</f>
        <v/>
      </c>
    </row>
    <row r="718" customFormat="false" ht="15" hidden="false" customHeight="false" outlineLevel="0" collapsed="false">
      <c r="A718" s="51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46" t="s">
        <v>621</v>
      </c>
      <c r="G718" s="0" t="n">
        <v>46.7</v>
      </c>
      <c r="H718" s="0" t="n">
        <v>42</v>
      </c>
      <c r="I718" s="46" t="s">
        <v>152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51" t="n">
        <v>46184</v>
      </c>
      <c r="X718" s="46" t="n">
        <f aca="false">IF(I718="Male",0,1)</f>
        <v>1</v>
      </c>
      <c r="Y718" s="46" t="n">
        <f aca="false">IF(OR(I718="DNB",I718="Dry DNB"),1,0)</f>
        <v>0</v>
      </c>
      <c r="Z718" s="46" t="n">
        <f aca="false">IF(ISNUMBER(W718),A718-W718,"")</f>
        <v>125</v>
      </c>
      <c r="AA718" s="46" t="n">
        <f aca="false">MATCH(A718,DATAS,0)</f>
        <v>1</v>
      </c>
      <c r="AB718" s="46" t="n">
        <f aca="false">IF(AND(E718&gt;0,OR(AND(B718&gt;=1,B718&lt;=6),B718=10)),1,0)</f>
        <v>1</v>
      </c>
      <c r="AC718" s="46" t="n">
        <f aca="false">IF(AND(E718&gt;0,B718=10),1,0)</f>
        <v>0</v>
      </c>
      <c r="AD718" s="0" t="str">
        <f aca="false">IF(AND(C717=C718,AA717=AA718-1),AB717,"")</f>
        <v/>
      </c>
      <c r="AE718" s="0" t="str">
        <f aca="false">IF(AND(C717=C718,AA717=AA718-1),AC717,"")</f>
        <v/>
      </c>
      <c r="AF718" s="0" t="str">
        <f aca="false">IF(AA718=1,"",IF(AND(AB718=1,AD718&lt;&gt;1),1,0))</f>
        <v/>
      </c>
      <c r="AG718" s="0" t="str">
        <f aca="false">IF(AA718=1,"",IF(AND(AC718=1,AE718&lt;&gt;1),1,0))</f>
        <v/>
      </c>
      <c r="AH718" s="51" t="str">
        <f aca="false">IF(AND(E718&gt;0,AA718&lt;1,NOT(AND(C719=C718,AA719=AA718+1))),INDEX(DATAS,AA718+1),"")</f>
        <v/>
      </c>
      <c r="AI718" s="51" t="str">
        <f aca="false">IF(AND(AC718=1,AA718&lt;1),IF(AND(C719=C718,AA719=AA718+1),IF(AC719=1,"",INDEX(DATAS,AA718+1)),INDEX(DATAS,AA718+1)),"")</f>
        <v/>
      </c>
    </row>
    <row r="719" customFormat="false" ht="15" hidden="false" customHeight="false" outlineLevel="0" collapsed="false">
      <c r="A719" s="51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46" t="s">
        <v>621</v>
      </c>
      <c r="G719" s="0" t="n">
        <v>14.2</v>
      </c>
      <c r="H719" s="0" t="n">
        <v>35</v>
      </c>
      <c r="I719" s="46" t="s">
        <v>157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51" t="n">
        <v>46087</v>
      </c>
      <c r="X719" s="46" t="n">
        <f aca="false">IF(I719="Male",0,1)</f>
        <v>1</v>
      </c>
      <c r="Y719" s="46" t="n">
        <f aca="false">IF(OR(I719="DNB",I719="Dry DNB"),1,0)</f>
        <v>0</v>
      </c>
      <c r="Z719" s="46" t="n">
        <f aca="false">IF(ISNUMBER(W719),A719-W719,"")</f>
        <v>222</v>
      </c>
      <c r="AA719" s="46" t="n">
        <f aca="false">MATCH(A719,DATAS,0)</f>
        <v>1</v>
      </c>
      <c r="AB719" s="46" t="n">
        <f aca="false">IF(AND(E719&gt;0,OR(AND(B719&gt;=1,B719&lt;=6),B719=10)),1,0)</f>
        <v>0</v>
      </c>
      <c r="AC719" s="46" t="n">
        <f aca="false">IF(AND(E719&gt;0,B719=10),1,0)</f>
        <v>0</v>
      </c>
      <c r="AD719" s="0" t="str">
        <f aca="false">IF(AND(C718=C719,AA718=AA719-1),AB718,"")</f>
        <v/>
      </c>
      <c r="AE719" s="0" t="str">
        <f aca="false">IF(AND(C718=C719,AA718=AA719-1),AC718,"")</f>
        <v/>
      </c>
      <c r="AF719" s="0" t="str">
        <f aca="false">IF(AA719=1,"",IF(AND(AB719=1,AD719&lt;&gt;1),1,0))</f>
        <v/>
      </c>
      <c r="AG719" s="0" t="str">
        <f aca="false">IF(AA719=1,"",IF(AND(AC719=1,AE719&lt;&gt;1),1,0))</f>
        <v/>
      </c>
      <c r="AH719" s="51" t="str">
        <f aca="false">IF(AND(E719&gt;0,AA719&lt;1,NOT(AND(C720=C719,AA720=AA719+1))),INDEX(DATAS,AA719+1),"")</f>
        <v/>
      </c>
      <c r="AI719" s="51" t="str">
        <f aca="false">IF(AND(AC719=1,AA719&lt;1),IF(AND(C720=C719,AA720=AA719+1),IF(AC720=1,"",INDEX(DATAS,AA719+1)),INDEX(DATAS,AA719+1)),"")</f>
        <v/>
      </c>
    </row>
    <row r="720" customFormat="false" ht="15" hidden="false" customHeight="false" outlineLevel="0" collapsed="false">
      <c r="A720" s="51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46" t="s">
        <v>622</v>
      </c>
      <c r="G720" s="0" t="n">
        <v>49.3</v>
      </c>
      <c r="H720" s="0" t="n">
        <v>47</v>
      </c>
      <c r="I720" s="46" t="s">
        <v>152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51" t="n">
        <v>46249</v>
      </c>
      <c r="X720" s="46" t="n">
        <f aca="false">IF(I720="Male",0,1)</f>
        <v>1</v>
      </c>
      <c r="Y720" s="46" t="n">
        <f aca="false">IF(OR(I720="DNB",I720="Dry DNB"),1,0)</f>
        <v>0</v>
      </c>
      <c r="Z720" s="46" t="n">
        <f aca="false">IF(ISNUMBER(W720),A720-W720,"")</f>
        <v>60</v>
      </c>
      <c r="AA720" s="46" t="n">
        <f aca="false">MATCH(A720,DATAS,0)</f>
        <v>1</v>
      </c>
      <c r="AB720" s="46" t="n">
        <f aca="false">IF(AND(E720&gt;0,OR(AND(B720&gt;=1,B720&lt;=6),B720=10)),1,0)</f>
        <v>1</v>
      </c>
      <c r="AC720" s="46" t="n">
        <f aca="false">IF(AND(E720&gt;0,B720=10),1,0)</f>
        <v>0</v>
      </c>
      <c r="AD720" s="0" t="str">
        <f aca="false">IF(AND(C719=C720,AA719=AA720-1),AB719,"")</f>
        <v/>
      </c>
      <c r="AE720" s="0" t="str">
        <f aca="false">IF(AND(C719=C720,AA719=AA720-1),AC719,"")</f>
        <v/>
      </c>
      <c r="AF720" s="0" t="str">
        <f aca="false">IF(AA720=1,"",IF(AND(AB720=1,AD720&lt;&gt;1),1,0))</f>
        <v/>
      </c>
      <c r="AG720" s="0" t="str">
        <f aca="false">IF(AA720=1,"",IF(AND(AC720=1,AE720&lt;&gt;1),1,0))</f>
        <v/>
      </c>
      <c r="AH720" s="51" t="str">
        <f aca="false">IF(AND(E720&gt;0,AA720&lt;1,NOT(AND(C721=C720,AA721=AA720+1))),INDEX(DATAS,AA720+1),"")</f>
        <v/>
      </c>
      <c r="AI720" s="51" t="str">
        <f aca="false">IF(AND(AC720=1,AA720&lt;1),IF(AND(C721=C720,AA721=AA720+1),IF(AC721=1,"",INDEX(DATAS,AA720+1)),INDEX(DATAS,AA720+1)),"")</f>
        <v/>
      </c>
    </row>
    <row r="721" customFormat="false" ht="15" hidden="false" customHeight="false" outlineLevel="0" collapsed="false">
      <c r="A721" s="51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46" t="s">
        <v>622</v>
      </c>
      <c r="G721" s="0" t="n">
        <v>48.5</v>
      </c>
      <c r="H721" s="0" t="n">
        <v>42</v>
      </c>
      <c r="I721" s="46" t="s">
        <v>152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51" t="n">
        <v>46170</v>
      </c>
      <c r="X721" s="46" t="n">
        <f aca="false">IF(I721="Male",0,1)</f>
        <v>1</v>
      </c>
      <c r="Y721" s="46" t="n">
        <f aca="false">IF(OR(I721="DNB",I721="Dry DNB"),1,0)</f>
        <v>0</v>
      </c>
      <c r="Z721" s="46" t="n">
        <f aca="false">IF(ISNUMBER(W721),A721-W721,"")</f>
        <v>139</v>
      </c>
      <c r="AA721" s="46" t="n">
        <f aca="false">MATCH(A721,DATAS,0)</f>
        <v>1</v>
      </c>
      <c r="AB721" s="46" t="n">
        <f aca="false">IF(AND(E721&gt;0,OR(AND(B721&gt;=1,B721&lt;=6),B721=10)),1,0)</f>
        <v>1</v>
      </c>
      <c r="AC721" s="46" t="n">
        <f aca="false">IF(AND(E721&gt;0,B721=10),1,0)</f>
        <v>0</v>
      </c>
      <c r="AD721" s="0" t="str">
        <f aca="false">IF(AND(C720=C721,AA720=AA721-1),AB720,"")</f>
        <v/>
      </c>
      <c r="AE721" s="0" t="str">
        <f aca="false">IF(AND(C720=C721,AA720=AA721-1),AC720,"")</f>
        <v/>
      </c>
      <c r="AF721" s="0" t="str">
        <f aca="false">IF(AA721=1,"",IF(AND(AB721=1,AD721&lt;&gt;1),1,0))</f>
        <v/>
      </c>
      <c r="AG721" s="0" t="str">
        <f aca="false">IF(AA721=1,"",IF(AND(AC721=1,AE721&lt;&gt;1),1,0))</f>
        <v/>
      </c>
      <c r="AH721" s="51" t="str">
        <f aca="false">IF(AND(E721&gt;0,AA721&lt;1,NOT(AND(C722=C721,AA722=AA721+1))),INDEX(DATAS,AA721+1),"")</f>
        <v/>
      </c>
      <c r="AI721" s="51" t="str">
        <f aca="false">IF(AND(AC721=1,AA721&lt;1),IF(AND(C722=C721,AA722=AA721+1),IF(AC722=1,"",INDEX(DATAS,AA721+1)),INDEX(DATAS,AA721+1)),"")</f>
        <v/>
      </c>
    </row>
    <row r="722" customFormat="false" ht="15" hidden="false" customHeight="false" outlineLevel="0" collapsed="false">
      <c r="A722" s="51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46" t="s">
        <v>623</v>
      </c>
      <c r="G722" s="0" t="n">
        <v>50.1</v>
      </c>
      <c r="H722" s="0" t="n">
        <v>49</v>
      </c>
      <c r="I722" s="46" t="s">
        <v>152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51" t="n">
        <v>46226</v>
      </c>
      <c r="X722" s="46" t="n">
        <f aca="false">IF(I722="Male",0,1)</f>
        <v>1</v>
      </c>
      <c r="Y722" s="46" t="n">
        <f aca="false">IF(OR(I722="DNB",I722="Dry DNB"),1,0)</f>
        <v>0</v>
      </c>
      <c r="Z722" s="46" t="n">
        <f aca="false">IF(ISNUMBER(W722),A722-W722,"")</f>
        <v>83</v>
      </c>
      <c r="AA722" s="46" t="n">
        <f aca="false">MATCH(A722,DATAS,0)</f>
        <v>1</v>
      </c>
      <c r="AB722" s="46" t="n">
        <f aca="false">IF(AND(E722&gt;0,OR(AND(B722&gt;=1,B722&lt;=6),B722=10)),1,0)</f>
        <v>1</v>
      </c>
      <c r="AC722" s="46" t="n">
        <f aca="false">IF(AND(E722&gt;0,B722=10),1,0)</f>
        <v>0</v>
      </c>
      <c r="AD722" s="0" t="str">
        <f aca="false">IF(AND(C721=C722,AA721=AA722-1),AB721,"")</f>
        <v/>
      </c>
      <c r="AE722" s="0" t="str">
        <f aca="false">IF(AND(C721=C722,AA721=AA722-1),AC721,"")</f>
        <v/>
      </c>
      <c r="AF722" s="0" t="str">
        <f aca="false">IF(AA722=1,"",IF(AND(AB722=1,AD722&lt;&gt;1),1,0))</f>
        <v/>
      </c>
      <c r="AG722" s="0" t="str">
        <f aca="false">IF(AA722=1,"",IF(AND(AC722=1,AE722&lt;&gt;1),1,0))</f>
        <v/>
      </c>
      <c r="AH722" s="51" t="str">
        <f aca="false">IF(AND(E722&gt;0,AA722&lt;1,NOT(AND(C723=C722,AA723=AA722+1))),INDEX(DATAS,AA722+1),"")</f>
        <v/>
      </c>
      <c r="AI722" s="51" t="str">
        <f aca="false">IF(AND(AC722=1,AA722&lt;1),IF(AND(C723=C722,AA723=AA722+1),IF(AC723=1,"",INDEX(DATAS,AA722+1)),INDEX(DATAS,AA722+1)),"")</f>
        <v/>
      </c>
    </row>
    <row r="723" customFormat="false" ht="15" hidden="false" customHeight="false" outlineLevel="0" collapsed="false">
      <c r="A723" s="51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46" t="s">
        <v>624</v>
      </c>
      <c r="G723" s="0" t="n">
        <v>62.8</v>
      </c>
      <c r="H723" s="0" t="n">
        <v>63</v>
      </c>
      <c r="I723" s="46" t="s">
        <v>152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51" t="n">
        <v>46261</v>
      </c>
      <c r="X723" s="46" t="n">
        <f aca="false">IF(I723="Male",0,1)</f>
        <v>1</v>
      </c>
      <c r="Y723" s="46" t="n">
        <f aca="false">IF(OR(I723="DNB",I723="Dry DNB"),1,0)</f>
        <v>0</v>
      </c>
      <c r="Z723" s="46" t="n">
        <f aca="false">IF(ISNUMBER(W723),A723-W723,"")</f>
        <v>48</v>
      </c>
      <c r="AA723" s="46" t="n">
        <f aca="false">MATCH(A723,DATAS,0)</f>
        <v>1</v>
      </c>
      <c r="AB723" s="46" t="n">
        <f aca="false">IF(AND(E723&gt;0,OR(AND(B723&gt;=1,B723&lt;=6),B723=10)),1,0)</f>
        <v>1</v>
      </c>
      <c r="AC723" s="46" t="n">
        <f aca="false">IF(AND(E723&gt;0,B723=10),1,0)</f>
        <v>0</v>
      </c>
      <c r="AD723" s="0" t="str">
        <f aca="false">IF(AND(C722=C723,AA722=AA723-1),AB722,"")</f>
        <v/>
      </c>
      <c r="AE723" s="0" t="str">
        <f aca="false">IF(AND(C722=C723,AA722=AA723-1),AC722,"")</f>
        <v/>
      </c>
      <c r="AF723" s="0" t="str">
        <f aca="false">IF(AA723=1,"",IF(AND(AB723=1,AD723&lt;&gt;1),1,0))</f>
        <v/>
      </c>
      <c r="AG723" s="0" t="str">
        <f aca="false">IF(AA723=1,"",IF(AND(AC723=1,AE723&lt;&gt;1),1,0))</f>
        <v/>
      </c>
      <c r="AH723" s="51" t="str">
        <f aca="false">IF(AND(E723&gt;0,AA723&lt;1,NOT(AND(C724=C723,AA724=AA723+1))),INDEX(DATAS,AA723+1),"")</f>
        <v/>
      </c>
      <c r="AI723" s="51" t="str">
        <f aca="false">IF(AND(AC723=1,AA723&lt;1),IF(AND(C724=C723,AA724=AA723+1),IF(AC724=1,"",INDEX(DATAS,AA723+1)),INDEX(DATAS,AA723+1)),"")</f>
        <v/>
      </c>
    </row>
    <row r="724" customFormat="false" ht="15" hidden="false" customHeight="false" outlineLevel="0" collapsed="false">
      <c r="A724" s="51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46" t="s">
        <v>625</v>
      </c>
      <c r="I724" s="46" t="s">
        <v>157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51" t="n">
        <v>46065</v>
      </c>
      <c r="X724" s="46" t="n">
        <f aca="false">IF(I724="Male",0,1)</f>
        <v>1</v>
      </c>
      <c r="Y724" s="46" t="n">
        <f aca="false">IF(OR(I724="DNB",I724="Dry DNB"),1,0)</f>
        <v>0</v>
      </c>
      <c r="Z724" s="46" t="n">
        <f aca="false">IF(ISNUMBER(W724),A724-W724,"")</f>
        <v>244</v>
      </c>
      <c r="AA724" s="46" t="n">
        <f aca="false">MATCH(A724,DATAS,0)</f>
        <v>1</v>
      </c>
      <c r="AB724" s="46" t="n">
        <f aca="false">IF(AND(E724&gt;0,OR(AND(B724&gt;=1,B724&lt;=6),B724=10)),1,0)</f>
        <v>0</v>
      </c>
      <c r="AC724" s="46" t="n">
        <f aca="false">IF(AND(E724&gt;0,B724=10),1,0)</f>
        <v>0</v>
      </c>
      <c r="AD724" s="0" t="str">
        <f aca="false">IF(AND(C723=C724,AA723=AA724-1),AB723,"")</f>
        <v/>
      </c>
      <c r="AE724" s="0" t="str">
        <f aca="false">IF(AND(C723=C724,AA723=AA724-1),AC723,"")</f>
        <v/>
      </c>
      <c r="AF724" s="0" t="str">
        <f aca="false">IF(AA724=1,"",IF(AND(AB724=1,AD724&lt;&gt;1),1,0))</f>
        <v/>
      </c>
      <c r="AG724" s="0" t="str">
        <f aca="false">IF(AA724=1,"",IF(AND(AC724=1,AE724&lt;&gt;1),1,0))</f>
        <v/>
      </c>
      <c r="AH724" s="51" t="str">
        <f aca="false">IF(AND(E724&gt;0,AA724&lt;1,NOT(AND(C725=C724,AA725=AA724+1))),INDEX(DATAS,AA724+1),"")</f>
        <v/>
      </c>
      <c r="AI724" s="51" t="str">
        <f aca="false">IF(AND(AC724=1,AA724&lt;1),IF(AND(C725=C724,AA725=AA724+1),IF(AC725=1,"",INDEX(DATAS,AA724+1)),INDEX(DATAS,AA724+1)),"")</f>
        <v/>
      </c>
    </row>
    <row r="725" customFormat="false" ht="15" hidden="false" customHeight="false" outlineLevel="0" collapsed="false">
      <c r="A725" s="51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46" t="s">
        <v>625</v>
      </c>
      <c r="G725" s="0" t="n">
        <v>52</v>
      </c>
      <c r="H725" s="0" t="n">
        <v>43</v>
      </c>
      <c r="I725" s="46" t="s">
        <v>189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51" t="n">
        <v>46268</v>
      </c>
      <c r="X725" s="46" t="n">
        <f aca="false">IF(I725="Male",0,1)</f>
        <v>1</v>
      </c>
      <c r="Y725" s="46" t="n">
        <f aca="false">IF(OR(I725="DNB",I725="Dry DNB"),1,0)</f>
        <v>0</v>
      </c>
      <c r="Z725" s="46" t="n">
        <f aca="false">IF(ISNUMBER(W725),A725-W725,"")</f>
        <v>41</v>
      </c>
      <c r="AA725" s="46" t="n">
        <f aca="false">MATCH(A725,DATAS,0)</f>
        <v>1</v>
      </c>
      <c r="AB725" s="46" t="n">
        <f aca="false">IF(AND(E725&gt;0,OR(AND(B725&gt;=1,B725&lt;=6),B725=10)),1,0)</f>
        <v>1</v>
      </c>
      <c r="AC725" s="46" t="n">
        <f aca="false">IF(AND(E725&gt;0,B725=10),1,0)</f>
        <v>0</v>
      </c>
      <c r="AD725" s="0" t="str">
        <f aca="false">IF(AND(C724=C725,AA724=AA725-1),AB724,"")</f>
        <v/>
      </c>
      <c r="AE725" s="0" t="str">
        <f aca="false">IF(AND(C724=C725,AA724=AA725-1),AC724,"")</f>
        <v/>
      </c>
      <c r="AF725" s="0" t="str">
        <f aca="false">IF(AA725=1,"",IF(AND(AB725=1,AD725&lt;&gt;1),1,0))</f>
        <v/>
      </c>
      <c r="AG725" s="0" t="str">
        <f aca="false">IF(AA725=1,"",IF(AND(AC725=1,AE725&lt;&gt;1),1,0))</f>
        <v/>
      </c>
      <c r="AH725" s="51" t="str">
        <f aca="false">IF(AND(E725&gt;0,AA725&lt;1,NOT(AND(C726=C725,AA726=AA725+1))),INDEX(DATAS,AA725+1),"")</f>
        <v/>
      </c>
      <c r="AI725" s="51" t="str">
        <f aca="false">IF(AND(AC725=1,AA725&lt;1),IF(AND(C726=C725,AA726=AA725+1),IF(AC726=1,"",INDEX(DATAS,AA725+1)),INDEX(DATAS,AA725+1)),"")</f>
        <v/>
      </c>
    </row>
    <row r="726" customFormat="false" ht="15" hidden="false" customHeight="false" outlineLevel="0" collapsed="false">
      <c r="A726" s="51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46" t="s">
        <v>625</v>
      </c>
      <c r="G726" s="0" t="n">
        <v>32.3</v>
      </c>
      <c r="H726" s="0" t="n">
        <v>30</v>
      </c>
      <c r="I726" s="46" t="s">
        <v>152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51" t="n">
        <v>46114</v>
      </c>
      <c r="X726" s="46" t="n">
        <f aca="false">IF(I726="Male",0,1)</f>
        <v>1</v>
      </c>
      <c r="Y726" s="46" t="n">
        <f aca="false">IF(OR(I726="DNB",I726="Dry DNB"),1,0)</f>
        <v>0</v>
      </c>
      <c r="Z726" s="46" t="n">
        <f aca="false">IF(ISNUMBER(W726),A726-W726,"")</f>
        <v>195</v>
      </c>
      <c r="AA726" s="46" t="n">
        <f aca="false">MATCH(A726,DATAS,0)</f>
        <v>1</v>
      </c>
      <c r="AB726" s="46" t="n">
        <f aca="false">IF(AND(E726&gt;0,OR(AND(B726&gt;=1,B726&lt;=6),B726=10)),1,0)</f>
        <v>1</v>
      </c>
      <c r="AC726" s="46" t="n">
        <f aca="false">IF(AND(E726&gt;0,B726=10),1,0)</f>
        <v>0</v>
      </c>
      <c r="AD726" s="0" t="str">
        <f aca="false">IF(AND(C725=C726,AA725=AA726-1),AB725,"")</f>
        <v/>
      </c>
      <c r="AE726" s="0" t="str">
        <f aca="false">IF(AND(C725=C726,AA725=AA726-1),AC725,"")</f>
        <v/>
      </c>
      <c r="AF726" s="0" t="str">
        <f aca="false">IF(AA726=1,"",IF(AND(AB726=1,AD726&lt;&gt;1),1,0))</f>
        <v/>
      </c>
      <c r="AG726" s="0" t="str">
        <f aca="false">IF(AA726=1,"",IF(AND(AC726=1,AE726&lt;&gt;1),1,0))</f>
        <v/>
      </c>
      <c r="AH726" s="51" t="str">
        <f aca="false">IF(AND(E726&gt;0,AA726&lt;1,NOT(AND(C727=C726,AA727=AA726+1))),INDEX(DATAS,AA726+1),"")</f>
        <v/>
      </c>
      <c r="AI726" s="51" t="str">
        <f aca="false">IF(AND(AC726=1,AA726&lt;1),IF(AND(C727=C726,AA727=AA726+1),IF(AC727=1,"",INDEX(DATAS,AA726+1)),INDEX(DATAS,AA726+1)),"")</f>
        <v/>
      </c>
    </row>
    <row r="727" customFormat="false" ht="15" hidden="false" customHeight="false" outlineLevel="0" collapsed="false">
      <c r="A727" s="51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46" t="s">
        <v>626</v>
      </c>
      <c r="I727" s="46" t="s">
        <v>157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51" t="n">
        <v>46072</v>
      </c>
      <c r="X727" s="46" t="n">
        <f aca="false">IF(I727="Male",0,1)</f>
        <v>1</v>
      </c>
      <c r="Y727" s="46" t="n">
        <f aca="false">IF(OR(I727="DNB",I727="Dry DNB"),1,0)</f>
        <v>0</v>
      </c>
      <c r="Z727" s="46" t="n">
        <f aca="false">IF(ISNUMBER(W727),A727-W727,"")</f>
        <v>237</v>
      </c>
      <c r="AA727" s="46" t="n">
        <f aca="false">MATCH(A727,DATAS,0)</f>
        <v>1</v>
      </c>
      <c r="AB727" s="46" t="n">
        <f aca="false">IF(AND(E727&gt;0,OR(AND(B727&gt;=1,B727&lt;=6),B727=10)),1,0)</f>
        <v>0</v>
      </c>
      <c r="AC727" s="46" t="n">
        <f aca="false">IF(AND(E727&gt;0,B727=10),1,0)</f>
        <v>0</v>
      </c>
      <c r="AD727" s="0" t="str">
        <f aca="false">IF(AND(C726=C727,AA726=AA727-1),AB726,"")</f>
        <v/>
      </c>
      <c r="AE727" s="0" t="str">
        <f aca="false">IF(AND(C726=C727,AA726=AA727-1),AC726,"")</f>
        <v/>
      </c>
      <c r="AF727" s="0" t="str">
        <f aca="false">IF(AA727=1,"",IF(AND(AB727=1,AD727&lt;&gt;1),1,0))</f>
        <v/>
      </c>
      <c r="AG727" s="0" t="str">
        <f aca="false">IF(AA727=1,"",IF(AND(AC727=1,AE727&lt;&gt;1),1,0))</f>
        <v/>
      </c>
      <c r="AH727" s="51" t="str">
        <f aca="false">IF(AND(E727&gt;0,AA727&lt;1,NOT(AND(C728=C727,AA728=AA727+1))),INDEX(DATAS,AA727+1),"")</f>
        <v/>
      </c>
      <c r="AI727" s="51" t="str">
        <f aca="false">IF(AND(AC727=1,AA727&lt;1),IF(AND(C728=C727,AA728=AA727+1),IF(AC728=1,"",INDEX(DATAS,AA727+1)),INDEX(DATAS,AA727+1)),"")</f>
        <v/>
      </c>
    </row>
    <row r="728" customFormat="false" ht="15" hidden="false" customHeight="false" outlineLevel="0" collapsed="false">
      <c r="A728" s="51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46" t="s">
        <v>626</v>
      </c>
      <c r="G728" s="0" t="n">
        <v>48.8</v>
      </c>
      <c r="H728" s="0" t="n">
        <v>47</v>
      </c>
      <c r="I728" s="46" t="s">
        <v>181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51" t="n">
        <v>46289</v>
      </c>
      <c r="X728" s="46" t="n">
        <f aca="false">IF(I728="Male",0,1)</f>
        <v>1</v>
      </c>
      <c r="Y728" s="46" t="n">
        <f aca="false">IF(OR(I728="DNB",I728="Dry DNB"),1,0)</f>
        <v>0</v>
      </c>
      <c r="Z728" s="46" t="n">
        <f aca="false">IF(ISNUMBER(W728),A728-W728,"")</f>
        <v>20</v>
      </c>
      <c r="AA728" s="46" t="n">
        <f aca="false">MATCH(A728,DATAS,0)</f>
        <v>1</v>
      </c>
      <c r="AB728" s="46" t="n">
        <f aca="false">IF(AND(E728&gt;0,OR(AND(B728&gt;=1,B728&lt;=6),B728=10)),1,0)</f>
        <v>1</v>
      </c>
      <c r="AC728" s="46" t="n">
        <f aca="false">IF(AND(E728&gt;0,B728=10),1,0)</f>
        <v>0</v>
      </c>
      <c r="AD728" s="0" t="str">
        <f aca="false">IF(AND(C727=C728,AA727=AA728-1),AB727,"")</f>
        <v/>
      </c>
      <c r="AE728" s="0" t="str">
        <f aca="false">IF(AND(C727=C728,AA727=AA728-1),AC727,"")</f>
        <v/>
      </c>
      <c r="AF728" s="0" t="str">
        <f aca="false">IF(AA728=1,"",IF(AND(AB728=1,AD728&lt;&gt;1),1,0))</f>
        <v/>
      </c>
      <c r="AG728" s="0" t="str">
        <f aca="false">IF(AA728=1,"",IF(AND(AC728=1,AE728&lt;&gt;1),1,0))</f>
        <v/>
      </c>
      <c r="AH728" s="51" t="str">
        <f aca="false">IF(AND(E728&gt;0,AA728&lt;1,NOT(AND(C729=C728,AA729=AA728+1))),INDEX(DATAS,AA728+1),"")</f>
        <v/>
      </c>
      <c r="AI728" s="51" t="str">
        <f aca="false">IF(AND(AC728=1,AA728&lt;1),IF(AND(C729=C728,AA729=AA728+1),IF(AC729=1,"",INDEX(DATAS,AA728+1)),INDEX(DATAS,AA728+1)),"")</f>
        <v/>
      </c>
    </row>
    <row r="729" customFormat="false" ht="15" hidden="false" customHeight="false" outlineLevel="0" collapsed="false">
      <c r="A729" s="51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46" t="s">
        <v>627</v>
      </c>
      <c r="I729" s="46" t="s">
        <v>157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X729" s="46" t="n">
        <f aca="false">IF(I729="Male",0,1)</f>
        <v>1</v>
      </c>
      <c r="Y729" s="46" t="n">
        <f aca="false">IF(OR(I729="DNB",I729="Dry DNB"),1,0)</f>
        <v>0</v>
      </c>
      <c r="Z729" s="0" t="str">
        <f aca="false">IF(ISNUMBER(W729),A729-W729,"")</f>
        <v/>
      </c>
      <c r="AA729" s="46" t="n">
        <f aca="false">MATCH(A729,DATAS,0)</f>
        <v>1</v>
      </c>
      <c r="AB729" s="46" t="n">
        <f aca="false">IF(AND(E729&gt;0,OR(AND(B729&gt;=1,B729&lt;=6),B729=10)),1,0)</f>
        <v>0</v>
      </c>
      <c r="AC729" s="46" t="n">
        <f aca="false">IF(AND(E729&gt;0,B729=10),1,0)</f>
        <v>0</v>
      </c>
      <c r="AD729" s="0" t="str">
        <f aca="false">IF(AND(C728=C729,AA728=AA729-1),AB728,"")</f>
        <v/>
      </c>
      <c r="AE729" s="0" t="str">
        <f aca="false">IF(AND(C728=C729,AA728=AA729-1),AC728,"")</f>
        <v/>
      </c>
      <c r="AF729" s="0" t="str">
        <f aca="false">IF(AA729=1,"",IF(AND(AB729=1,AD729&lt;&gt;1),1,0))</f>
        <v/>
      </c>
      <c r="AG729" s="0" t="str">
        <f aca="false">IF(AA729=1,"",IF(AND(AC729=1,AE729&lt;&gt;1),1,0))</f>
        <v/>
      </c>
      <c r="AH729" s="51" t="str">
        <f aca="false">IF(AND(E729&gt;0,AA729&lt;1,NOT(AND(C730=C729,AA730=AA729+1))),INDEX(DATAS,AA729+1),"")</f>
        <v/>
      </c>
      <c r="AI729" s="51" t="str">
        <f aca="false">IF(AND(AC729=1,AA729&lt;1),IF(AND(C730=C729,AA730=AA729+1),IF(AC730=1,"",INDEX(DATAS,AA729+1)),INDEX(DATAS,AA729+1)),"")</f>
        <v/>
      </c>
    </row>
    <row r="730" customFormat="false" ht="15" hidden="false" customHeight="false" outlineLevel="0" collapsed="false">
      <c r="A730" s="51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46" t="s">
        <v>628</v>
      </c>
      <c r="I730" s="46" t="s">
        <v>157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51" t="n">
        <v>46181</v>
      </c>
      <c r="X730" s="46" t="n">
        <f aca="false">IF(I730="Male",0,1)</f>
        <v>1</v>
      </c>
      <c r="Y730" s="46" t="n">
        <f aca="false">IF(OR(I730="DNB",I730="Dry DNB"),1,0)</f>
        <v>0</v>
      </c>
      <c r="Z730" s="46" t="n">
        <f aca="false">IF(ISNUMBER(W730),A730-W730,"")</f>
        <v>128</v>
      </c>
      <c r="AA730" s="46" t="n">
        <f aca="false">MATCH(A730,DATAS,0)</f>
        <v>1</v>
      </c>
      <c r="AB730" s="46" t="n">
        <f aca="false">IF(AND(E730&gt;0,OR(AND(B730&gt;=1,B730&lt;=6),B730=10)),1,0)</f>
        <v>0</v>
      </c>
      <c r="AC730" s="46" t="n">
        <f aca="false">IF(AND(E730&gt;0,B730=10),1,0)</f>
        <v>0</v>
      </c>
      <c r="AD730" s="0" t="str">
        <f aca="false">IF(AND(C729=C730,AA729=AA730-1),AB729,"")</f>
        <v/>
      </c>
      <c r="AE730" s="0" t="str">
        <f aca="false">IF(AND(C729=C730,AA729=AA730-1),AC729,"")</f>
        <v/>
      </c>
      <c r="AF730" s="0" t="str">
        <f aca="false">IF(AA730=1,"",IF(AND(AB730=1,AD730&lt;&gt;1),1,0))</f>
        <v/>
      </c>
      <c r="AG730" s="0" t="str">
        <f aca="false">IF(AA730=1,"",IF(AND(AC730=1,AE730&lt;&gt;1),1,0))</f>
        <v/>
      </c>
      <c r="AH730" s="51" t="str">
        <f aca="false">IF(AND(E730&gt;0,AA730&lt;1,NOT(AND(C731=C730,AA731=AA730+1))),INDEX(DATAS,AA730+1),"")</f>
        <v/>
      </c>
      <c r="AI730" s="51" t="str">
        <f aca="false">IF(AND(AC730=1,AA730&lt;1),IF(AND(C731=C730,AA731=AA730+1),IF(AC731=1,"",INDEX(DATAS,AA730+1)),INDEX(DATAS,AA730+1)),"")</f>
        <v/>
      </c>
    </row>
    <row r="731" customFormat="false" ht="15" hidden="false" customHeight="false" outlineLevel="0" collapsed="false">
      <c r="A731" s="51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46" t="s">
        <v>629</v>
      </c>
      <c r="G731" s="0" t="n">
        <v>46.5</v>
      </c>
      <c r="H731" s="0" t="n">
        <v>47</v>
      </c>
      <c r="I731" s="46" t="s">
        <v>152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51" t="n">
        <v>46234</v>
      </c>
      <c r="X731" s="46" t="n">
        <f aca="false">IF(I731="Male",0,1)</f>
        <v>1</v>
      </c>
      <c r="Y731" s="46" t="n">
        <f aca="false">IF(OR(I731="DNB",I731="Dry DNB"),1,0)</f>
        <v>0</v>
      </c>
      <c r="Z731" s="46" t="n">
        <f aca="false">IF(ISNUMBER(W731),A731-W731,"")</f>
        <v>75</v>
      </c>
      <c r="AA731" s="46" t="n">
        <f aca="false">MATCH(A731,DATAS,0)</f>
        <v>1</v>
      </c>
      <c r="AB731" s="46" t="n">
        <f aca="false">IF(AND(E731&gt;0,OR(AND(B731&gt;=1,B731&lt;=6),B731=10)),1,0)</f>
        <v>1</v>
      </c>
      <c r="AC731" s="46" t="n">
        <f aca="false">IF(AND(E731&gt;0,B731=10),1,0)</f>
        <v>0</v>
      </c>
      <c r="AD731" s="0" t="str">
        <f aca="false">IF(AND(C730=C731,AA730=AA731-1),AB730,"")</f>
        <v/>
      </c>
      <c r="AE731" s="0" t="str">
        <f aca="false">IF(AND(C730=C731,AA730=AA731-1),AC730,"")</f>
        <v/>
      </c>
      <c r="AF731" s="0" t="str">
        <f aca="false">IF(AA731=1,"",IF(AND(AB731=1,AD731&lt;&gt;1),1,0))</f>
        <v/>
      </c>
      <c r="AG731" s="0" t="str">
        <f aca="false">IF(AA731=1,"",IF(AND(AC731=1,AE731&lt;&gt;1),1,0))</f>
        <v/>
      </c>
      <c r="AH731" s="51" t="str">
        <f aca="false">IF(AND(E731&gt;0,AA731&lt;1,NOT(AND(C732=C731,AA732=AA731+1))),INDEX(DATAS,AA731+1),"")</f>
        <v/>
      </c>
      <c r="AI731" s="51" t="str">
        <f aca="false">IF(AND(AC731=1,AA731&lt;1),IF(AND(C732=C731,AA732=AA731+1),IF(AC732=1,"",INDEX(DATAS,AA731+1)),INDEX(DATAS,AA731+1)),"")</f>
        <v/>
      </c>
    </row>
    <row r="732" customFormat="false" ht="15" hidden="false" customHeight="false" outlineLevel="0" collapsed="false">
      <c r="A732" s="51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46" t="s">
        <v>630</v>
      </c>
      <c r="G732" s="0" t="n">
        <v>54</v>
      </c>
      <c r="H732" s="0" t="n">
        <v>51</v>
      </c>
      <c r="I732" s="46" t="s">
        <v>181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51" t="n">
        <v>46296</v>
      </c>
      <c r="X732" s="46" t="n">
        <f aca="false">IF(I732="Male",0,1)</f>
        <v>1</v>
      </c>
      <c r="Y732" s="46" t="n">
        <f aca="false">IF(OR(I732="DNB",I732="Dry DNB"),1,0)</f>
        <v>0</v>
      </c>
      <c r="Z732" s="46" t="n">
        <f aca="false">IF(ISNUMBER(W732),A732-W732,"")</f>
        <v>13</v>
      </c>
      <c r="AA732" s="46" t="n">
        <f aca="false">MATCH(A732,DATAS,0)</f>
        <v>1</v>
      </c>
      <c r="AB732" s="46" t="n">
        <f aca="false">IF(AND(E732&gt;0,OR(AND(B732&gt;=1,B732&lt;=6),B732=10)),1,0)</f>
        <v>1</v>
      </c>
      <c r="AC732" s="46" t="n">
        <f aca="false">IF(AND(E732&gt;0,B732=10),1,0)</f>
        <v>0</v>
      </c>
      <c r="AD732" s="0" t="str">
        <f aca="false">IF(AND(C731=C732,AA731=AA732-1),AB731,"")</f>
        <v/>
      </c>
      <c r="AE732" s="0" t="str">
        <f aca="false">IF(AND(C731=C732,AA731=AA732-1),AC731,"")</f>
        <v/>
      </c>
      <c r="AF732" s="0" t="str">
        <f aca="false">IF(AA732=1,"",IF(AND(AB732=1,AD732&lt;&gt;1),1,0))</f>
        <v/>
      </c>
      <c r="AG732" s="0" t="str">
        <f aca="false">IF(AA732=1,"",IF(AND(AC732=1,AE732&lt;&gt;1),1,0))</f>
        <v/>
      </c>
      <c r="AH732" s="51" t="str">
        <f aca="false">IF(AND(E732&gt;0,AA732&lt;1,NOT(AND(C733=C732,AA733=AA732+1))),INDEX(DATAS,AA732+1),"")</f>
        <v/>
      </c>
      <c r="AI732" s="51" t="str">
        <f aca="false">IF(AND(AC732=1,AA732&lt;1),IF(AND(C733=C732,AA733=AA732+1),IF(AC733=1,"",INDEX(DATAS,AA732+1)),INDEX(DATAS,AA732+1)),"")</f>
        <v/>
      </c>
    </row>
    <row r="733" customFormat="false" ht="15" hidden="false" customHeight="false" outlineLevel="0" collapsed="false">
      <c r="A733" s="51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46" t="s">
        <v>629</v>
      </c>
      <c r="G733" s="0" t="n">
        <v>49.1</v>
      </c>
      <c r="H733" s="0" t="n">
        <v>53</v>
      </c>
      <c r="I733" s="46" t="s">
        <v>152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51" t="n">
        <v>46244</v>
      </c>
      <c r="X733" s="46" t="n">
        <f aca="false">IF(I733="Male",0,1)</f>
        <v>1</v>
      </c>
      <c r="Y733" s="46" t="n">
        <f aca="false">IF(OR(I733="DNB",I733="Dry DNB"),1,0)</f>
        <v>0</v>
      </c>
      <c r="Z733" s="46" t="n">
        <f aca="false">IF(ISNUMBER(W733),A733-W733,"")</f>
        <v>65</v>
      </c>
      <c r="AA733" s="46" t="n">
        <f aca="false">MATCH(A733,DATAS,0)</f>
        <v>1</v>
      </c>
      <c r="AB733" s="46" t="n">
        <f aca="false">IF(AND(E733&gt;0,OR(AND(B733&gt;=1,B733&lt;=6),B733=10)),1,0)</f>
        <v>1</v>
      </c>
      <c r="AC733" s="46" t="n">
        <f aca="false">IF(AND(E733&gt;0,B733=10),1,0)</f>
        <v>0</v>
      </c>
      <c r="AD733" s="0" t="str">
        <f aca="false">IF(AND(C732=C733,AA732=AA733-1),AB732,"")</f>
        <v/>
      </c>
      <c r="AE733" s="0" t="str">
        <f aca="false">IF(AND(C732=C733,AA732=AA733-1),AC732,"")</f>
        <v/>
      </c>
      <c r="AF733" s="0" t="str">
        <f aca="false">IF(AA733=1,"",IF(AND(AB733=1,AD733&lt;&gt;1),1,0))</f>
        <v/>
      </c>
      <c r="AG733" s="0" t="str">
        <f aca="false">IF(AA733=1,"",IF(AND(AC733=1,AE733&lt;&gt;1),1,0))</f>
        <v/>
      </c>
      <c r="AH733" s="51" t="str">
        <f aca="false">IF(AND(E733&gt;0,AA733&lt;1,NOT(AND(C734=C733,AA734=AA733+1))),INDEX(DATAS,AA733+1),"")</f>
        <v/>
      </c>
      <c r="AI733" s="51" t="str">
        <f aca="false">IF(AND(AC733=1,AA733&lt;1),IF(AND(C734=C733,AA734=AA733+1),IF(AC734=1,"",INDEX(DATAS,AA733+1)),INDEX(DATAS,AA733+1)),"")</f>
        <v/>
      </c>
    </row>
    <row r="734" customFormat="false" ht="15" hidden="false" customHeight="false" outlineLevel="0" collapsed="false">
      <c r="A734" s="51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46" t="s">
        <v>631</v>
      </c>
      <c r="G734" s="0" t="n">
        <v>47.7</v>
      </c>
      <c r="H734" s="0" t="n">
        <v>46</v>
      </c>
      <c r="I734" s="46" t="s">
        <v>152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51" t="n">
        <v>46156</v>
      </c>
      <c r="X734" s="46" t="n">
        <f aca="false">IF(I734="Male",0,1)</f>
        <v>1</v>
      </c>
      <c r="Y734" s="46" t="n">
        <f aca="false">IF(OR(I734="DNB",I734="Dry DNB"),1,0)</f>
        <v>0</v>
      </c>
      <c r="Z734" s="46" t="n">
        <f aca="false">IF(ISNUMBER(W734),A734-W734,"")</f>
        <v>153</v>
      </c>
      <c r="AA734" s="46" t="n">
        <f aca="false">MATCH(A734,DATAS,0)</f>
        <v>1</v>
      </c>
      <c r="AB734" s="46" t="n">
        <f aca="false">IF(AND(E734&gt;0,OR(AND(B734&gt;=1,B734&lt;=6),B734=10)),1,0)</f>
        <v>1</v>
      </c>
      <c r="AC734" s="46" t="n">
        <f aca="false">IF(AND(E734&gt;0,B734=10),1,0)</f>
        <v>0</v>
      </c>
      <c r="AD734" s="0" t="str">
        <f aca="false">IF(AND(C733=C734,AA733=AA734-1),AB733,"")</f>
        <v/>
      </c>
      <c r="AE734" s="0" t="str">
        <f aca="false">IF(AND(C733=C734,AA733=AA734-1),AC733,"")</f>
        <v/>
      </c>
      <c r="AF734" s="0" t="str">
        <f aca="false">IF(AA734=1,"",IF(AND(AB734=1,AD734&lt;&gt;1),1,0))</f>
        <v/>
      </c>
      <c r="AG734" s="0" t="str">
        <f aca="false">IF(AA734=1,"",IF(AND(AC734=1,AE734&lt;&gt;1),1,0))</f>
        <v/>
      </c>
      <c r="AH734" s="51" t="str">
        <f aca="false">IF(AND(E734&gt;0,AA734&lt;1,NOT(AND(C735=C734,AA735=AA734+1))),INDEX(DATAS,AA734+1),"")</f>
        <v/>
      </c>
      <c r="AI734" s="51" t="str">
        <f aca="false">IF(AND(AC734=1,AA734&lt;1),IF(AND(C735=C734,AA735=AA734+1),IF(AC735=1,"",INDEX(DATAS,AA734+1)),INDEX(DATAS,AA734+1)),"")</f>
        <v/>
      </c>
    </row>
    <row r="735" customFormat="false" ht="15" hidden="false" customHeight="false" outlineLevel="0" collapsed="false">
      <c r="A735" s="51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46" t="s">
        <v>631</v>
      </c>
      <c r="G735" s="0" t="n">
        <v>39.5</v>
      </c>
      <c r="H735" s="0" t="n">
        <v>44</v>
      </c>
      <c r="I735" s="46" t="s">
        <v>181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51" t="n">
        <v>46282</v>
      </c>
      <c r="X735" s="46" t="n">
        <f aca="false">IF(I735="Male",0,1)</f>
        <v>1</v>
      </c>
      <c r="Y735" s="46" t="n">
        <f aca="false">IF(OR(I735="DNB",I735="Dry DNB"),1,0)</f>
        <v>0</v>
      </c>
      <c r="Z735" s="46" t="n">
        <f aca="false">IF(ISNUMBER(W735),A735-W735,"")</f>
        <v>27</v>
      </c>
      <c r="AA735" s="46" t="n">
        <f aca="false">MATCH(A735,DATAS,0)</f>
        <v>1</v>
      </c>
      <c r="AB735" s="46" t="n">
        <f aca="false">IF(AND(E735&gt;0,OR(AND(B735&gt;=1,B735&lt;=6),B735=10)),1,0)</f>
        <v>1</v>
      </c>
      <c r="AC735" s="46" t="n">
        <f aca="false">IF(AND(E735&gt;0,B735=10),1,0)</f>
        <v>0</v>
      </c>
      <c r="AD735" s="0" t="str">
        <f aca="false">IF(AND(C734=C735,AA734=AA735-1),AB734,"")</f>
        <v/>
      </c>
      <c r="AE735" s="0" t="str">
        <f aca="false">IF(AND(C734=C735,AA734=AA735-1),AC734,"")</f>
        <v/>
      </c>
      <c r="AF735" s="0" t="str">
        <f aca="false">IF(AA735=1,"",IF(AND(AB735=1,AD735&lt;&gt;1),1,0))</f>
        <v/>
      </c>
      <c r="AG735" s="0" t="str">
        <f aca="false">IF(AA735=1,"",IF(AND(AC735=1,AE735&lt;&gt;1),1,0))</f>
        <v/>
      </c>
      <c r="AH735" s="51" t="str">
        <f aca="false">IF(AND(E735&gt;0,AA735&lt;1,NOT(AND(C736=C735,AA736=AA735+1))),INDEX(DATAS,AA735+1),"")</f>
        <v/>
      </c>
      <c r="AI735" s="51" t="str">
        <f aca="false">IF(AND(AC735=1,AA735&lt;1),IF(AND(C736=C735,AA736=AA735+1),IF(AC736=1,"",INDEX(DATAS,AA735+1)),INDEX(DATAS,AA735+1)),"")</f>
        <v/>
      </c>
    </row>
    <row r="736" customFormat="false" ht="15" hidden="false" customHeight="false" outlineLevel="0" collapsed="false">
      <c r="A736" s="51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46" t="s">
        <v>631</v>
      </c>
      <c r="G736" s="0" t="n">
        <v>41.5</v>
      </c>
      <c r="H736" s="0" t="n">
        <v>38</v>
      </c>
      <c r="I736" s="46" t="s">
        <v>152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51" t="n">
        <v>46275</v>
      </c>
      <c r="X736" s="46" t="n">
        <f aca="false">IF(I736="Male",0,1)</f>
        <v>1</v>
      </c>
      <c r="Y736" s="46" t="n">
        <f aca="false">IF(OR(I736="DNB",I736="Dry DNB"),1,0)</f>
        <v>0</v>
      </c>
      <c r="Z736" s="46" t="n">
        <f aca="false">IF(ISNUMBER(W736),A736-W736,"")</f>
        <v>34</v>
      </c>
      <c r="AA736" s="46" t="n">
        <f aca="false">MATCH(A736,DATAS,0)</f>
        <v>1</v>
      </c>
      <c r="AB736" s="46" t="n">
        <f aca="false">IF(AND(E736&gt;0,OR(AND(B736&gt;=1,B736&lt;=6),B736=10)),1,0)</f>
        <v>1</v>
      </c>
      <c r="AC736" s="46" t="n">
        <f aca="false">IF(AND(E736&gt;0,B736=10),1,0)</f>
        <v>0</v>
      </c>
      <c r="AD736" s="0" t="str">
        <f aca="false">IF(AND(C735=C736,AA735=AA736-1),AB735,"")</f>
        <v/>
      </c>
      <c r="AE736" s="0" t="str">
        <f aca="false">IF(AND(C735=C736,AA735=AA736-1),AC735,"")</f>
        <v/>
      </c>
      <c r="AF736" s="0" t="str">
        <f aca="false">IF(AA736=1,"",IF(AND(AB736=1,AD736&lt;&gt;1),1,0))</f>
        <v/>
      </c>
      <c r="AG736" s="0" t="str">
        <f aca="false">IF(AA736=1,"",IF(AND(AC736=1,AE736&lt;&gt;1),1,0))</f>
        <v/>
      </c>
      <c r="AH736" s="51" t="str">
        <f aca="false">IF(AND(E736&gt;0,AA736&lt;1,NOT(AND(C737=C736,AA737=AA736+1))),INDEX(DATAS,AA736+1),"")</f>
        <v/>
      </c>
      <c r="AI736" s="51" t="str">
        <f aca="false">IF(AND(AC736=1,AA736&lt;1),IF(AND(C737=C736,AA737=AA736+1),IF(AC737=1,"",INDEX(DATAS,AA736+1)),INDEX(DATAS,AA736+1)),"")</f>
        <v/>
      </c>
    </row>
    <row r="737" customFormat="false" ht="15" hidden="false" customHeight="false" outlineLevel="0" collapsed="false">
      <c r="A737" s="51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46" t="s">
        <v>632</v>
      </c>
      <c r="G737" s="0" t="n">
        <v>33.9</v>
      </c>
      <c r="H737" s="0" t="n">
        <v>31</v>
      </c>
      <c r="I737" s="46" t="s">
        <v>181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51" t="n">
        <v>46282</v>
      </c>
      <c r="X737" s="46" t="n">
        <f aca="false">IF(I737="Male",0,1)</f>
        <v>1</v>
      </c>
      <c r="Y737" s="46" t="n">
        <f aca="false">IF(OR(I737="DNB",I737="Dry DNB"),1,0)</f>
        <v>0</v>
      </c>
      <c r="Z737" s="46" t="n">
        <f aca="false">IF(ISNUMBER(W737),A737-W737,"")</f>
        <v>27</v>
      </c>
      <c r="AA737" s="46" t="n">
        <f aca="false">MATCH(A737,DATAS,0)</f>
        <v>1</v>
      </c>
      <c r="AB737" s="46" t="n">
        <f aca="false">IF(AND(E737&gt;0,OR(AND(B737&gt;=1,B737&lt;=6),B737=10)),1,0)</f>
        <v>1</v>
      </c>
      <c r="AC737" s="46" t="n">
        <f aca="false">IF(AND(E737&gt;0,B737=10),1,0)</f>
        <v>0</v>
      </c>
      <c r="AD737" s="0" t="str">
        <f aca="false">IF(AND(C736=C737,AA736=AA737-1),AB736,"")</f>
        <v/>
      </c>
      <c r="AE737" s="0" t="str">
        <f aca="false">IF(AND(C736=C737,AA736=AA737-1),AC736,"")</f>
        <v/>
      </c>
      <c r="AF737" s="0" t="str">
        <f aca="false">IF(AA737=1,"",IF(AND(AB737=1,AD737&lt;&gt;1),1,0))</f>
        <v/>
      </c>
      <c r="AG737" s="0" t="str">
        <f aca="false">IF(AA737=1,"",IF(AND(AC737=1,AE737&lt;&gt;1),1,0))</f>
        <v/>
      </c>
      <c r="AH737" s="51" t="str">
        <f aca="false">IF(AND(E737&gt;0,AA737&lt;1,NOT(AND(C738=C737,AA738=AA737+1))),INDEX(DATAS,AA737+1),"")</f>
        <v/>
      </c>
      <c r="AI737" s="51" t="str">
        <f aca="false">IF(AND(AC737=1,AA737&lt;1),IF(AND(C738=C737,AA738=AA737+1),IF(AC738=1,"",INDEX(DATAS,AA737+1)),INDEX(DATAS,AA737+1)),"")</f>
        <v/>
      </c>
    </row>
    <row r="738" customFormat="false" ht="15" hidden="false" customHeight="false" outlineLevel="0" collapsed="false">
      <c r="A738" s="51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46" t="s">
        <v>632</v>
      </c>
      <c r="H738" s="0" t="n">
        <v>9</v>
      </c>
      <c r="I738" s="46" t="s">
        <v>152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51" t="n">
        <v>46149</v>
      </c>
      <c r="X738" s="46" t="n">
        <f aca="false">IF(I738="Male",0,1)</f>
        <v>1</v>
      </c>
      <c r="Y738" s="46" t="n">
        <f aca="false">IF(OR(I738="DNB",I738="Dry DNB"),1,0)</f>
        <v>0</v>
      </c>
      <c r="Z738" s="46" t="n">
        <f aca="false">IF(ISNUMBER(W738),A738-W738,"")</f>
        <v>160</v>
      </c>
      <c r="AA738" s="46" t="n">
        <f aca="false">MATCH(A738,DATAS,0)</f>
        <v>1</v>
      </c>
      <c r="AB738" s="46" t="n">
        <f aca="false">IF(AND(E738&gt;0,OR(AND(B738&gt;=1,B738&lt;=6),B738=10)),1,0)</f>
        <v>1</v>
      </c>
      <c r="AC738" s="46" t="n">
        <f aca="false">IF(AND(E738&gt;0,B738=10),1,0)</f>
        <v>1</v>
      </c>
      <c r="AD738" s="0" t="str">
        <f aca="false">IF(AND(C737=C738,AA737=AA738-1),AB737,"")</f>
        <v/>
      </c>
      <c r="AE738" s="0" t="str">
        <f aca="false">IF(AND(C737=C738,AA737=AA738-1),AC737,"")</f>
        <v/>
      </c>
      <c r="AF738" s="0" t="str">
        <f aca="false">IF(AA738=1,"",IF(AND(AB738=1,AD738&lt;&gt;1),1,0))</f>
        <v/>
      </c>
      <c r="AG738" s="0" t="str">
        <f aca="false">IF(AA738=1,"",IF(AND(AC738=1,AE738&lt;&gt;1),1,0))</f>
        <v/>
      </c>
      <c r="AH738" s="51" t="str">
        <f aca="false">IF(AND(E738&gt;0,AA738&lt;1,NOT(AND(C739=C738,AA739=AA738+1))),INDEX(DATAS,AA738+1),"")</f>
        <v/>
      </c>
      <c r="AI738" s="51" t="str">
        <f aca="false">IF(AND(AC738=1,AA738&lt;1),IF(AND(C739=C738,AA739=AA738+1),IF(AC739=1,"",INDEX(DATAS,AA738+1)),INDEX(DATAS,AA738+1)),"")</f>
        <v/>
      </c>
    </row>
    <row r="739" customFormat="false" ht="15" hidden="false" customHeight="false" outlineLevel="0" collapsed="false">
      <c r="A739" s="51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46" t="s">
        <v>632</v>
      </c>
      <c r="G739" s="0" t="n">
        <v>45.1</v>
      </c>
      <c r="H739" s="0" t="n">
        <v>49</v>
      </c>
      <c r="I739" s="46" t="s">
        <v>181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51" t="n">
        <v>46303</v>
      </c>
      <c r="X739" s="46" t="n">
        <f aca="false">IF(I739="Male",0,1)</f>
        <v>1</v>
      </c>
      <c r="Y739" s="46" t="n">
        <f aca="false">IF(OR(I739="DNB",I739="Dry DNB"),1,0)</f>
        <v>0</v>
      </c>
      <c r="Z739" s="46" t="n">
        <f aca="false">IF(ISNUMBER(W739),A739-W739,"")</f>
        <v>6</v>
      </c>
      <c r="AA739" s="46" t="n">
        <f aca="false">MATCH(A739,DATAS,0)</f>
        <v>1</v>
      </c>
      <c r="AB739" s="46" t="n">
        <f aca="false">IF(AND(E739&gt;0,OR(AND(B739&gt;=1,B739&lt;=6),B739=10)),1,0)</f>
        <v>1</v>
      </c>
      <c r="AC739" s="46" t="n">
        <f aca="false">IF(AND(E739&gt;0,B739=10),1,0)</f>
        <v>0</v>
      </c>
      <c r="AD739" s="0" t="str">
        <f aca="false">IF(AND(C738=C739,AA738=AA739-1),AB738,"")</f>
        <v/>
      </c>
      <c r="AE739" s="0" t="str">
        <f aca="false">IF(AND(C738=C739,AA738=AA739-1),AC738,"")</f>
        <v/>
      </c>
      <c r="AF739" s="0" t="str">
        <f aca="false">IF(AA739=1,"",IF(AND(AB739=1,AD739&lt;&gt;1),1,0))</f>
        <v/>
      </c>
      <c r="AG739" s="0" t="str">
        <f aca="false">IF(AA739=1,"",IF(AND(AC739=1,AE739&lt;&gt;1),1,0))</f>
        <v/>
      </c>
      <c r="AH739" s="51" t="str">
        <f aca="false">IF(AND(E739&gt;0,AA739&lt;1,NOT(AND(C740=C739,AA740=AA739+1))),INDEX(DATAS,AA739+1),"")</f>
        <v/>
      </c>
      <c r="AI739" s="51" t="str">
        <f aca="false">IF(AND(AC739=1,AA739&lt;1),IF(AND(C740=C739,AA740=AA739+1),IF(AC740=1,"",INDEX(DATAS,AA739+1)),INDEX(DATAS,AA739+1)),"")</f>
        <v/>
      </c>
    </row>
    <row r="740" customFormat="false" ht="15" hidden="false" customHeight="false" outlineLevel="0" collapsed="false">
      <c r="A740" s="51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46" t="s">
        <v>633</v>
      </c>
      <c r="G740" s="0" t="n">
        <v>46</v>
      </c>
      <c r="H740" s="0" t="n">
        <v>46</v>
      </c>
      <c r="I740" s="46" t="s">
        <v>189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X740" s="46" t="n">
        <f aca="false">IF(I740="Male",0,1)</f>
        <v>1</v>
      </c>
      <c r="Y740" s="46" t="n">
        <f aca="false">IF(OR(I740="DNB",I740="Dry DNB"),1,0)</f>
        <v>0</v>
      </c>
      <c r="Z740" s="0" t="str">
        <f aca="false">IF(ISNUMBER(W740),A740-W740,"")</f>
        <v/>
      </c>
      <c r="AA740" s="46" t="n">
        <f aca="false">MATCH(A740,DATAS,0)</f>
        <v>1</v>
      </c>
      <c r="AB740" s="46" t="n">
        <f aca="false">IF(AND(E740&gt;0,OR(AND(B740&gt;=1,B740&lt;=6),B740=10)),1,0)</f>
        <v>1</v>
      </c>
      <c r="AC740" s="46" t="n">
        <f aca="false">IF(AND(E740&gt;0,B740=10),1,0)</f>
        <v>0</v>
      </c>
      <c r="AD740" s="0" t="str">
        <f aca="false">IF(AND(C739=C740,AA739=AA740-1),AB739,"")</f>
        <v/>
      </c>
      <c r="AE740" s="0" t="str">
        <f aca="false">IF(AND(C739=C740,AA739=AA740-1),AC739,"")</f>
        <v/>
      </c>
      <c r="AF740" s="0" t="str">
        <f aca="false">IF(AA740=1,"",IF(AND(AB740=1,AD740&lt;&gt;1),1,0))</f>
        <v/>
      </c>
      <c r="AG740" s="0" t="str">
        <f aca="false">IF(AA740=1,"",IF(AND(AC740=1,AE740&lt;&gt;1),1,0))</f>
        <v/>
      </c>
      <c r="AH740" s="51" t="str">
        <f aca="false">IF(AND(E740&gt;0,AA740&lt;1,NOT(AND(C741=C740,AA741=AA740+1))),INDEX(DATAS,AA740+1),"")</f>
        <v/>
      </c>
      <c r="AI740" s="51" t="str">
        <f aca="false">IF(AND(AC740=1,AA740&lt;1),IF(AND(C741=C740,AA741=AA740+1),IF(AC741=1,"",INDEX(DATAS,AA740+1)),INDEX(DATAS,AA740+1)),"")</f>
        <v/>
      </c>
    </row>
    <row r="741" customFormat="false" ht="15" hidden="false" customHeight="false" outlineLevel="0" collapsed="false">
      <c r="A741" s="51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46" t="s">
        <v>633</v>
      </c>
      <c r="G741" s="0" t="n">
        <v>39.6</v>
      </c>
      <c r="H741" s="0" t="n">
        <v>35</v>
      </c>
      <c r="I741" s="46" t="s">
        <v>152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51" t="n">
        <v>46125</v>
      </c>
      <c r="X741" s="46" t="n">
        <f aca="false">IF(I741="Male",0,1)</f>
        <v>1</v>
      </c>
      <c r="Y741" s="46" t="n">
        <f aca="false">IF(OR(I741="DNB",I741="Dry DNB"),1,0)</f>
        <v>0</v>
      </c>
      <c r="Z741" s="46" t="n">
        <f aca="false">IF(ISNUMBER(W741),A741-W741,"")</f>
        <v>184</v>
      </c>
      <c r="AA741" s="46" t="n">
        <f aca="false">MATCH(A741,DATAS,0)</f>
        <v>1</v>
      </c>
      <c r="AB741" s="46" t="n">
        <f aca="false">IF(AND(E741&gt;0,OR(AND(B741&gt;=1,B741&lt;=6),B741=10)),1,0)</f>
        <v>1</v>
      </c>
      <c r="AC741" s="46" t="n">
        <f aca="false">IF(AND(E741&gt;0,B741=10),1,0)</f>
        <v>0</v>
      </c>
      <c r="AD741" s="0" t="str">
        <f aca="false">IF(AND(C740=C741,AA740=AA741-1),AB740,"")</f>
        <v/>
      </c>
      <c r="AE741" s="0" t="str">
        <f aca="false">IF(AND(C740=C741,AA740=AA741-1),AC740,"")</f>
        <v/>
      </c>
      <c r="AF741" s="0" t="str">
        <f aca="false">IF(AA741=1,"",IF(AND(AB741=1,AD741&lt;&gt;1),1,0))</f>
        <v/>
      </c>
      <c r="AG741" s="0" t="str">
        <f aca="false">IF(AA741=1,"",IF(AND(AC741=1,AE741&lt;&gt;1),1,0))</f>
        <v/>
      </c>
      <c r="AH741" s="51" t="str">
        <f aca="false">IF(AND(E741&gt;0,AA741&lt;1,NOT(AND(C742=C741,AA742=AA741+1))),INDEX(DATAS,AA741+1),"")</f>
        <v/>
      </c>
      <c r="AI741" s="51" t="str">
        <f aca="false">IF(AND(AC741=1,AA741&lt;1),IF(AND(C742=C741,AA742=AA741+1),IF(AC742=1,"",INDEX(DATAS,AA741+1)),INDEX(DATAS,AA741+1)),"")</f>
        <v/>
      </c>
    </row>
    <row r="742" customFormat="false" ht="15" hidden="false" customHeight="false" outlineLevel="0" collapsed="false">
      <c r="A742" s="51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46" t="s">
        <v>634</v>
      </c>
      <c r="G742" s="0" t="n">
        <v>23.7</v>
      </c>
      <c r="H742" s="0" t="n">
        <v>23</v>
      </c>
      <c r="I742" s="46" t="s">
        <v>152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51" t="n">
        <v>46205</v>
      </c>
      <c r="X742" s="46" t="n">
        <f aca="false">IF(I742="Male",0,1)</f>
        <v>1</v>
      </c>
      <c r="Y742" s="46" t="n">
        <f aca="false">IF(OR(I742="DNB",I742="Dry DNB"),1,0)</f>
        <v>0</v>
      </c>
      <c r="Z742" s="46" t="n">
        <f aca="false">IF(ISNUMBER(W742),A742-W742,"")</f>
        <v>104</v>
      </c>
      <c r="AA742" s="46" t="n">
        <f aca="false">MATCH(A742,DATAS,0)</f>
        <v>1</v>
      </c>
      <c r="AB742" s="46" t="n">
        <f aca="false">IF(AND(E742&gt;0,OR(AND(B742&gt;=1,B742&lt;=6),B742=10)),1,0)</f>
        <v>1</v>
      </c>
      <c r="AC742" s="46" t="n">
        <f aca="false">IF(AND(E742&gt;0,B742=10),1,0)</f>
        <v>0</v>
      </c>
      <c r="AD742" s="0" t="str">
        <f aca="false">IF(AND(C741=C742,AA741=AA742-1),AB741,"")</f>
        <v/>
      </c>
      <c r="AE742" s="0" t="str">
        <f aca="false">IF(AND(C741=C742,AA741=AA742-1),AC741,"")</f>
        <v/>
      </c>
      <c r="AF742" s="0" t="str">
        <f aca="false">IF(AA742=1,"",IF(AND(AB742=1,AD742&lt;&gt;1),1,0))</f>
        <v/>
      </c>
      <c r="AG742" s="0" t="str">
        <f aca="false">IF(AA742=1,"",IF(AND(AC742=1,AE742&lt;&gt;1),1,0))</f>
        <v/>
      </c>
      <c r="AH742" s="51" t="str">
        <f aca="false">IF(AND(E742&gt;0,AA742&lt;1,NOT(AND(C743=C742,AA743=AA742+1))),INDEX(DATAS,AA742+1),"")</f>
        <v/>
      </c>
      <c r="AI742" s="51" t="str">
        <f aca="false">IF(AND(AC742=1,AA742&lt;1),IF(AND(C743=C742,AA743=AA742+1),IF(AC743=1,"",INDEX(DATAS,AA742+1)),INDEX(DATAS,AA742+1)),"")</f>
        <v/>
      </c>
    </row>
    <row r="743" customFormat="false" ht="15" hidden="false" customHeight="false" outlineLevel="0" collapsed="false">
      <c r="A743" s="51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46" t="s">
        <v>635</v>
      </c>
      <c r="G743" s="0" t="n">
        <v>36.6</v>
      </c>
      <c r="H743" s="0" t="n">
        <v>37</v>
      </c>
      <c r="I743" s="46" t="s">
        <v>152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51" t="n">
        <v>46121</v>
      </c>
      <c r="X743" s="46" t="n">
        <f aca="false">IF(I743="Male",0,1)</f>
        <v>1</v>
      </c>
      <c r="Y743" s="46" t="n">
        <f aca="false">IF(OR(I743="DNB",I743="Dry DNB"),1,0)</f>
        <v>0</v>
      </c>
      <c r="Z743" s="46" t="n">
        <f aca="false">IF(ISNUMBER(W743),A743-W743,"")</f>
        <v>188</v>
      </c>
      <c r="AA743" s="46" t="n">
        <f aca="false">MATCH(A743,DATAS,0)</f>
        <v>1</v>
      </c>
      <c r="AB743" s="46" t="n">
        <f aca="false">IF(AND(E743&gt;0,OR(AND(B743&gt;=1,B743&lt;=6),B743=10)),1,0)</f>
        <v>1</v>
      </c>
      <c r="AC743" s="46" t="n">
        <f aca="false">IF(AND(E743&gt;0,B743=10),1,0)</f>
        <v>0</v>
      </c>
      <c r="AD743" s="0" t="str">
        <f aca="false">IF(AND(C742=C743,AA742=AA743-1),AB742,"")</f>
        <v/>
      </c>
      <c r="AE743" s="0" t="str">
        <f aca="false">IF(AND(C742=C743,AA742=AA743-1),AC742,"")</f>
        <v/>
      </c>
      <c r="AF743" s="0" t="str">
        <f aca="false">IF(AA743=1,"",IF(AND(AB743=1,AD743&lt;&gt;1),1,0))</f>
        <v/>
      </c>
      <c r="AG743" s="0" t="str">
        <f aca="false">IF(AA743=1,"",IF(AND(AC743=1,AE743&lt;&gt;1),1,0))</f>
        <v/>
      </c>
      <c r="AH743" s="51" t="str">
        <f aca="false">IF(AND(E743&gt;0,AA743&lt;1,NOT(AND(C744=C743,AA744=AA743+1))),INDEX(DATAS,AA743+1),"")</f>
        <v/>
      </c>
      <c r="AI743" s="51" t="str">
        <f aca="false">IF(AND(AC743=1,AA743&lt;1),IF(AND(C744=C743,AA744=AA743+1),IF(AC744=1,"",INDEX(DATAS,AA743+1)),INDEX(DATAS,AA743+1)),"")</f>
        <v/>
      </c>
    </row>
    <row r="744" customFormat="false" ht="15" hidden="false" customHeight="false" outlineLevel="0" collapsed="false">
      <c r="A744" s="51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46" t="s">
        <v>636</v>
      </c>
      <c r="G744" s="0" t="n">
        <v>51.5</v>
      </c>
      <c r="H744" s="0" t="n">
        <v>51</v>
      </c>
      <c r="I744" s="46" t="s">
        <v>181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51" t="n">
        <v>46310</v>
      </c>
      <c r="X744" s="46" t="n">
        <f aca="false">IF(I744="Male",0,1)</f>
        <v>1</v>
      </c>
      <c r="Y744" s="46" t="n">
        <f aca="false">IF(OR(I744="DNB",I744="Dry DNB"),1,0)</f>
        <v>0</v>
      </c>
      <c r="Z744" s="46" t="n">
        <f aca="false">IF(ISNUMBER(W744),A744-W744,"")</f>
        <v>-1</v>
      </c>
      <c r="AA744" s="46" t="n">
        <f aca="false">MATCH(A744,DATAS,0)</f>
        <v>1</v>
      </c>
      <c r="AB744" s="46" t="n">
        <f aca="false">IF(AND(E744&gt;0,OR(AND(B744&gt;=1,B744&lt;=6),B744=10)),1,0)</f>
        <v>1</v>
      </c>
      <c r="AC744" s="46" t="n">
        <f aca="false">IF(AND(E744&gt;0,B744=10),1,0)</f>
        <v>0</v>
      </c>
      <c r="AD744" s="0" t="str">
        <f aca="false">IF(AND(C743=C744,AA743=AA744-1),AB743,"")</f>
        <v/>
      </c>
      <c r="AE744" s="0" t="str">
        <f aca="false">IF(AND(C743=C744,AA743=AA744-1),AC743,"")</f>
        <v/>
      </c>
      <c r="AF744" s="0" t="str">
        <f aca="false">IF(AA744=1,"",IF(AND(AB744=1,AD744&lt;&gt;1),1,0))</f>
        <v/>
      </c>
      <c r="AG744" s="0" t="str">
        <f aca="false">IF(AA744=1,"",IF(AND(AC744=1,AE744&lt;&gt;1),1,0))</f>
        <v/>
      </c>
      <c r="AH744" s="51" t="str">
        <f aca="false">IF(AND(E744&gt;0,AA744&lt;1,NOT(AND(C745=C744,AA745=AA744+1))),INDEX(DATAS,AA744+1),"")</f>
        <v/>
      </c>
      <c r="AI744" s="51" t="str">
        <f aca="false">IF(AND(AC744=1,AA744&lt;1),IF(AND(C745=C744,AA745=AA744+1),IF(AC745=1,"",INDEX(DATAS,AA744+1)),INDEX(DATAS,AA744+1)),"")</f>
        <v/>
      </c>
    </row>
    <row r="745" customFormat="false" ht="15" hidden="false" customHeight="false" outlineLevel="0" collapsed="false">
      <c r="A745" s="51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46" t="s">
        <v>636</v>
      </c>
      <c r="G745" s="0" t="n">
        <v>37.6</v>
      </c>
      <c r="H745" s="0" t="n">
        <v>37</v>
      </c>
      <c r="I745" s="46" t="s">
        <v>189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51" t="n">
        <v>46268</v>
      </c>
      <c r="X745" s="46" t="n">
        <f aca="false">IF(I745="Male",0,1)</f>
        <v>1</v>
      </c>
      <c r="Y745" s="46" t="n">
        <f aca="false">IF(OR(I745="DNB",I745="Dry DNB"),1,0)</f>
        <v>0</v>
      </c>
      <c r="Z745" s="46" t="n">
        <f aca="false">IF(ISNUMBER(W745),A745-W745,"")</f>
        <v>41</v>
      </c>
      <c r="AA745" s="46" t="n">
        <f aca="false">MATCH(A745,DATAS,0)</f>
        <v>1</v>
      </c>
      <c r="AB745" s="46" t="n">
        <f aca="false">IF(AND(E745&gt;0,OR(AND(B745&gt;=1,B745&lt;=6),B745=10)),1,0)</f>
        <v>1</v>
      </c>
      <c r="AC745" s="46" t="n">
        <f aca="false">IF(AND(E745&gt;0,B745=10),1,0)</f>
        <v>0</v>
      </c>
      <c r="AD745" s="0" t="str">
        <f aca="false">IF(AND(C744=C745,AA744=AA745-1),AB744,"")</f>
        <v/>
      </c>
      <c r="AE745" s="0" t="str">
        <f aca="false">IF(AND(C744=C745,AA744=AA745-1),AC744,"")</f>
        <v/>
      </c>
      <c r="AF745" s="0" t="str">
        <f aca="false">IF(AA745=1,"",IF(AND(AB745=1,AD745&lt;&gt;1),1,0))</f>
        <v/>
      </c>
      <c r="AG745" s="0" t="str">
        <f aca="false">IF(AA745=1,"",IF(AND(AC745=1,AE745&lt;&gt;1),1,0))</f>
        <v/>
      </c>
      <c r="AH745" s="51" t="str">
        <f aca="false">IF(AND(E745&gt;0,AA745&lt;1,NOT(AND(C746=C745,AA746=AA745+1))),INDEX(DATAS,AA745+1),"")</f>
        <v/>
      </c>
      <c r="AI745" s="51" t="str">
        <f aca="false">IF(AND(AC745=1,AA745&lt;1),IF(AND(C746=C745,AA746=AA745+1),IF(AC746=1,"",INDEX(DATAS,AA745+1)),INDEX(DATAS,AA745+1)),"")</f>
        <v/>
      </c>
    </row>
    <row r="746" customFormat="false" ht="15" hidden="false" customHeight="false" outlineLevel="0" collapsed="false">
      <c r="A746" s="51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46" t="s">
        <v>637</v>
      </c>
      <c r="G746" s="0" t="n">
        <v>33.9</v>
      </c>
      <c r="H746" s="0" t="n">
        <v>35</v>
      </c>
      <c r="I746" s="46" t="s">
        <v>152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51" t="n">
        <v>46100</v>
      </c>
      <c r="X746" s="46" t="n">
        <f aca="false">IF(I746="Male",0,1)</f>
        <v>1</v>
      </c>
      <c r="Y746" s="46" t="n">
        <f aca="false">IF(OR(I746="DNB",I746="Dry DNB"),1,0)</f>
        <v>0</v>
      </c>
      <c r="Z746" s="46" t="n">
        <f aca="false">IF(ISNUMBER(W746),A746-W746,"")</f>
        <v>209</v>
      </c>
      <c r="AA746" s="46" t="n">
        <f aca="false">MATCH(A746,DATAS,0)</f>
        <v>1</v>
      </c>
      <c r="AB746" s="46" t="n">
        <f aca="false">IF(AND(E746&gt;0,OR(AND(B746&gt;=1,B746&lt;=6),B746=10)),1,0)</f>
        <v>1</v>
      </c>
      <c r="AC746" s="46" t="n">
        <f aca="false">IF(AND(E746&gt;0,B746=10),1,0)</f>
        <v>0</v>
      </c>
      <c r="AD746" s="0" t="str">
        <f aca="false">IF(AND(C745=C746,AA745=AA746-1),AB745,"")</f>
        <v/>
      </c>
      <c r="AE746" s="0" t="str">
        <f aca="false">IF(AND(C745=C746,AA745=AA746-1),AC745,"")</f>
        <v/>
      </c>
      <c r="AF746" s="0" t="str">
        <f aca="false">IF(AA746=1,"",IF(AND(AB746=1,AD746&lt;&gt;1),1,0))</f>
        <v/>
      </c>
      <c r="AG746" s="0" t="str">
        <f aca="false">IF(AA746=1,"",IF(AND(AC746=1,AE746&lt;&gt;1),1,0))</f>
        <v/>
      </c>
      <c r="AH746" s="51" t="str">
        <f aca="false">IF(AND(E746&gt;0,AA746&lt;1,NOT(AND(C747=C746,AA747=AA746+1))),INDEX(DATAS,AA746+1),"")</f>
        <v/>
      </c>
      <c r="AI746" s="51" t="str">
        <f aca="false">IF(AND(AC746=1,AA746&lt;1),IF(AND(C747=C746,AA747=AA746+1),IF(AC747=1,"",INDEX(DATAS,AA746+1)),INDEX(DATAS,AA746+1)),"")</f>
        <v/>
      </c>
    </row>
    <row r="747" customFormat="false" ht="15" hidden="false" customHeight="false" outlineLevel="0" collapsed="false">
      <c r="A747" s="51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46" t="s">
        <v>638</v>
      </c>
      <c r="G747" s="0" t="n">
        <v>16.1</v>
      </c>
      <c r="H747" s="0" t="n">
        <v>19</v>
      </c>
      <c r="I747" s="46" t="s">
        <v>181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51" t="n">
        <v>46303</v>
      </c>
      <c r="X747" s="46" t="n">
        <f aca="false">IF(I747="Male",0,1)</f>
        <v>1</v>
      </c>
      <c r="Y747" s="46" t="n">
        <f aca="false">IF(OR(I747="DNB",I747="Dry DNB"),1,0)</f>
        <v>0</v>
      </c>
      <c r="Z747" s="46" t="n">
        <f aca="false">IF(ISNUMBER(W747),A747-W747,"")</f>
        <v>6</v>
      </c>
      <c r="AA747" s="46" t="n">
        <f aca="false">MATCH(A747,DATAS,0)</f>
        <v>1</v>
      </c>
      <c r="AB747" s="46" t="n">
        <f aca="false">IF(AND(E747&gt;0,OR(AND(B747&gt;=1,B747&lt;=6),B747=10)),1,0)</f>
        <v>1</v>
      </c>
      <c r="AC747" s="46" t="n">
        <f aca="false">IF(AND(E747&gt;0,B747=10),1,0)</f>
        <v>0</v>
      </c>
      <c r="AD747" s="0" t="str">
        <f aca="false">IF(AND(C746=C747,AA746=AA747-1),AB746,"")</f>
        <v/>
      </c>
      <c r="AE747" s="0" t="str">
        <f aca="false">IF(AND(C746=C747,AA746=AA747-1),AC746,"")</f>
        <v/>
      </c>
      <c r="AF747" s="0" t="str">
        <f aca="false">IF(AA747=1,"",IF(AND(AB747=1,AD747&lt;&gt;1),1,0))</f>
        <v/>
      </c>
      <c r="AG747" s="0" t="str">
        <f aca="false">IF(AA747=1,"",IF(AND(AC747=1,AE747&lt;&gt;1),1,0))</f>
        <v/>
      </c>
      <c r="AH747" s="51" t="str">
        <f aca="false">IF(AND(E747&gt;0,AA747&lt;1,NOT(AND(C748=C747,AA748=AA747+1))),INDEX(DATAS,AA747+1),"")</f>
        <v/>
      </c>
      <c r="AI747" s="51" t="str">
        <f aca="false">IF(AND(AC747=1,AA747&lt;1),IF(AND(C748=C747,AA748=AA747+1),IF(AC748=1,"",INDEX(DATAS,AA747+1)),INDEX(DATAS,AA747+1)),"")</f>
        <v/>
      </c>
    </row>
    <row r="748" customFormat="false" ht="15" hidden="false" customHeight="false" outlineLevel="0" collapsed="false">
      <c r="A748" s="51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46" t="s">
        <v>638</v>
      </c>
      <c r="G748" s="0" t="n">
        <v>34.5</v>
      </c>
      <c r="H748" s="0" t="n">
        <v>31</v>
      </c>
      <c r="I748" s="46" t="s">
        <v>152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51" t="n">
        <v>46121</v>
      </c>
      <c r="X748" s="46" t="n">
        <f aca="false">IF(I748="Male",0,1)</f>
        <v>1</v>
      </c>
      <c r="Y748" s="46" t="n">
        <f aca="false">IF(OR(I748="DNB",I748="Dry DNB"),1,0)</f>
        <v>0</v>
      </c>
      <c r="Z748" s="46" t="n">
        <f aca="false">IF(ISNUMBER(W748),A748-W748,"")</f>
        <v>188</v>
      </c>
      <c r="AA748" s="46" t="n">
        <f aca="false">MATCH(A748,DATAS,0)</f>
        <v>1</v>
      </c>
      <c r="AB748" s="46" t="n">
        <f aca="false">IF(AND(E748&gt;0,OR(AND(B748&gt;=1,B748&lt;=6),B748=10)),1,0)</f>
        <v>1</v>
      </c>
      <c r="AC748" s="46" t="n">
        <f aca="false">IF(AND(E748&gt;0,B748=10),1,0)</f>
        <v>0</v>
      </c>
      <c r="AD748" s="0" t="str">
        <f aca="false">IF(AND(C747=C748,AA747=AA748-1),AB747,"")</f>
        <v/>
      </c>
      <c r="AE748" s="0" t="str">
        <f aca="false">IF(AND(C747=C748,AA747=AA748-1),AC747,"")</f>
        <v/>
      </c>
      <c r="AF748" s="0" t="str">
        <f aca="false">IF(AA748=1,"",IF(AND(AB748=1,AD748&lt;&gt;1),1,0))</f>
        <v/>
      </c>
      <c r="AG748" s="0" t="str">
        <f aca="false">IF(AA748=1,"",IF(AND(AC748=1,AE748&lt;&gt;1),1,0))</f>
        <v/>
      </c>
      <c r="AH748" s="51" t="str">
        <f aca="false">IF(AND(E748&gt;0,AA748&lt;1,NOT(AND(C749=C748,AA749=AA748+1))),INDEX(DATAS,AA748+1),"")</f>
        <v/>
      </c>
      <c r="AI748" s="51" t="str">
        <f aca="false">IF(AND(AC748=1,AA748&lt;1),IF(AND(C749=C748,AA749=AA748+1),IF(AC749=1,"",INDEX(DATAS,AA748+1)),INDEX(DATAS,AA748+1)),"")</f>
        <v/>
      </c>
    </row>
    <row r="749" customFormat="false" ht="15" hidden="false" customHeight="false" outlineLevel="0" collapsed="false">
      <c r="A749" s="51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46" t="s">
        <v>639</v>
      </c>
      <c r="G749" s="0" t="n">
        <v>59.6</v>
      </c>
      <c r="H749" s="0" t="n">
        <v>60</v>
      </c>
      <c r="I749" s="46" t="s">
        <v>181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51" t="n">
        <v>46282</v>
      </c>
      <c r="X749" s="46" t="n">
        <f aca="false">IF(I749="Male",0,1)</f>
        <v>1</v>
      </c>
      <c r="Y749" s="46" t="n">
        <f aca="false">IF(OR(I749="DNB",I749="Dry DNB"),1,0)</f>
        <v>0</v>
      </c>
      <c r="Z749" s="46" t="n">
        <f aca="false">IF(ISNUMBER(W749),A749-W749,"")</f>
        <v>27</v>
      </c>
      <c r="AA749" s="46" t="n">
        <f aca="false">MATCH(A749,DATAS,0)</f>
        <v>1</v>
      </c>
      <c r="AB749" s="46" t="n">
        <f aca="false">IF(AND(E749&gt;0,OR(AND(B749&gt;=1,B749&lt;=6),B749=10)),1,0)</f>
        <v>1</v>
      </c>
      <c r="AC749" s="46" t="n">
        <f aca="false">IF(AND(E749&gt;0,B749=10),1,0)</f>
        <v>0</v>
      </c>
      <c r="AD749" s="0" t="str">
        <f aca="false">IF(AND(C748=C749,AA748=AA749-1),AB748,"")</f>
        <v/>
      </c>
      <c r="AE749" s="0" t="str">
        <f aca="false">IF(AND(C748=C749,AA748=AA749-1),AC748,"")</f>
        <v/>
      </c>
      <c r="AF749" s="0" t="str">
        <f aca="false">IF(AA749=1,"",IF(AND(AB749=1,AD749&lt;&gt;1),1,0))</f>
        <v/>
      </c>
      <c r="AG749" s="0" t="str">
        <f aca="false">IF(AA749=1,"",IF(AND(AC749=1,AE749&lt;&gt;1),1,0))</f>
        <v/>
      </c>
      <c r="AH749" s="51" t="str">
        <f aca="false">IF(AND(E749&gt;0,AA749&lt;1,NOT(AND(C750=C749,AA750=AA749+1))),INDEX(DATAS,AA749+1),"")</f>
        <v/>
      </c>
      <c r="AI749" s="51" t="str">
        <f aca="false">IF(AND(AC749=1,AA749&lt;1),IF(AND(C750=C749,AA750=AA749+1),IF(AC750=1,"",INDEX(DATAS,AA749+1)),INDEX(DATAS,AA749+1)),"")</f>
        <v/>
      </c>
    </row>
    <row r="750" customFormat="false" ht="15" hidden="false" customHeight="false" outlineLevel="0" collapsed="false">
      <c r="A750" s="51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46" t="s">
        <v>639</v>
      </c>
      <c r="G750" s="0" t="n">
        <v>25.4</v>
      </c>
      <c r="H750" s="0" t="n">
        <v>17</v>
      </c>
      <c r="I750" s="46" t="s">
        <v>152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51" t="n">
        <v>46247</v>
      </c>
      <c r="X750" s="46" t="n">
        <f aca="false">IF(I750="Male",0,1)</f>
        <v>1</v>
      </c>
      <c r="Y750" s="46" t="n">
        <f aca="false">IF(OR(I750="DNB",I750="Dry DNB"),1,0)</f>
        <v>0</v>
      </c>
      <c r="Z750" s="46" t="n">
        <f aca="false">IF(ISNUMBER(W750),A750-W750,"")</f>
        <v>62</v>
      </c>
      <c r="AA750" s="46" t="n">
        <f aca="false">MATCH(A750,DATAS,0)</f>
        <v>1</v>
      </c>
      <c r="AB750" s="46" t="n">
        <f aca="false">IF(AND(E750&gt;0,OR(AND(B750&gt;=1,B750&lt;=6),B750=10)),1,0)</f>
        <v>1</v>
      </c>
      <c r="AC750" s="46" t="n">
        <f aca="false">IF(AND(E750&gt;0,B750=10),1,0)</f>
        <v>0</v>
      </c>
      <c r="AD750" s="0" t="str">
        <f aca="false">IF(AND(C749=C750,AA749=AA750-1),AB749,"")</f>
        <v/>
      </c>
      <c r="AE750" s="0" t="str">
        <f aca="false">IF(AND(C749=C750,AA749=AA750-1),AC749,"")</f>
        <v/>
      </c>
      <c r="AF750" s="0" t="str">
        <f aca="false">IF(AA750=1,"",IF(AND(AB750=1,AD750&lt;&gt;1),1,0))</f>
        <v/>
      </c>
      <c r="AG750" s="0" t="str">
        <f aca="false">IF(AA750=1,"",IF(AND(AC750=1,AE750&lt;&gt;1),1,0))</f>
        <v/>
      </c>
      <c r="AH750" s="51" t="str">
        <f aca="false">IF(AND(E750&gt;0,AA750&lt;1,NOT(AND(C751=C750,AA751=AA750+1))),INDEX(DATAS,AA750+1),"")</f>
        <v/>
      </c>
      <c r="AI750" s="51" t="str">
        <f aca="false">IF(AND(AC750=1,AA750&lt;1),IF(AND(C751=C750,AA751=AA750+1),IF(AC751=1,"",INDEX(DATAS,AA750+1)),INDEX(DATAS,AA750+1)),"")</f>
        <v/>
      </c>
    </row>
    <row r="751" customFormat="false" ht="15" hidden="false" customHeight="false" outlineLevel="0" collapsed="false">
      <c r="A751" s="51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46" t="s">
        <v>640</v>
      </c>
      <c r="G751" s="0" t="n">
        <v>45.9</v>
      </c>
      <c r="H751" s="0" t="n">
        <v>45</v>
      </c>
      <c r="I751" s="46" t="s">
        <v>181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51" t="n">
        <v>46289</v>
      </c>
      <c r="X751" s="46" t="n">
        <f aca="false">IF(I751="Male",0,1)</f>
        <v>1</v>
      </c>
      <c r="Y751" s="46" t="n">
        <f aca="false">IF(OR(I751="DNB",I751="Dry DNB"),1,0)</f>
        <v>0</v>
      </c>
      <c r="Z751" s="46" t="n">
        <f aca="false">IF(ISNUMBER(W751),A751-W751,"")</f>
        <v>20</v>
      </c>
      <c r="AA751" s="46" t="n">
        <f aca="false">MATCH(A751,DATAS,0)</f>
        <v>1</v>
      </c>
      <c r="AB751" s="46" t="n">
        <f aca="false">IF(AND(E751&gt;0,OR(AND(B751&gt;=1,B751&lt;=6),B751=10)),1,0)</f>
        <v>1</v>
      </c>
      <c r="AC751" s="46" t="n">
        <f aca="false">IF(AND(E751&gt;0,B751=10),1,0)</f>
        <v>0</v>
      </c>
      <c r="AD751" s="0" t="str">
        <f aca="false">IF(AND(C750=C751,AA750=AA751-1),AB750,"")</f>
        <v/>
      </c>
      <c r="AE751" s="0" t="str">
        <f aca="false">IF(AND(C750=C751,AA750=AA751-1),AC750,"")</f>
        <v/>
      </c>
      <c r="AF751" s="0" t="str">
        <f aca="false">IF(AA751=1,"",IF(AND(AB751=1,AD751&lt;&gt;1),1,0))</f>
        <v/>
      </c>
      <c r="AG751" s="0" t="str">
        <f aca="false">IF(AA751=1,"",IF(AND(AC751=1,AE751&lt;&gt;1),1,0))</f>
        <v/>
      </c>
      <c r="AH751" s="51" t="str">
        <f aca="false">IF(AND(E751&gt;0,AA751&lt;1,NOT(AND(C752=C751,AA752=AA751+1))),INDEX(DATAS,AA751+1),"")</f>
        <v/>
      </c>
      <c r="AI751" s="51" t="str">
        <f aca="false">IF(AND(AC751=1,AA751&lt;1),IF(AND(C752=C751,AA752=AA751+1),IF(AC752=1,"",INDEX(DATAS,AA751+1)),INDEX(DATAS,AA751+1)),"")</f>
        <v/>
      </c>
    </row>
    <row r="752" customFormat="false" ht="15" hidden="false" customHeight="false" outlineLevel="0" collapsed="false">
      <c r="A752" s="51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46" t="s">
        <v>641</v>
      </c>
      <c r="G752" s="0" t="n">
        <v>41.2</v>
      </c>
      <c r="H752" s="0" t="n">
        <v>38</v>
      </c>
      <c r="I752" s="46" t="s">
        <v>138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51" t="n">
        <v>46093</v>
      </c>
      <c r="X752" s="46" t="n">
        <f aca="false">IF(I752="Male",0,1)</f>
        <v>1</v>
      </c>
      <c r="Y752" s="46" t="n">
        <f aca="false">IF(OR(I752="DNB",I752="Dry DNB"),1,0)</f>
        <v>1</v>
      </c>
      <c r="Z752" s="46" t="n">
        <f aca="false">IF(ISNUMBER(W752),A752-W752,"")</f>
        <v>216</v>
      </c>
      <c r="AA752" s="46" t="n">
        <f aca="false">MATCH(A752,DATAS,0)</f>
        <v>1</v>
      </c>
      <c r="AB752" s="46" t="n">
        <f aca="false">IF(AND(E752&gt;0,OR(AND(B752&gt;=1,B752&lt;=6),B752=10)),1,0)</f>
        <v>1</v>
      </c>
      <c r="AC752" s="46" t="n">
        <f aca="false">IF(AND(E752&gt;0,B752=10),1,0)</f>
        <v>0</v>
      </c>
      <c r="AD752" s="0" t="str">
        <f aca="false">IF(AND(C751=C752,AA751=AA752-1),AB751,"")</f>
        <v/>
      </c>
      <c r="AE752" s="0" t="str">
        <f aca="false">IF(AND(C751=C752,AA751=AA752-1),AC751,"")</f>
        <v/>
      </c>
      <c r="AF752" s="0" t="str">
        <f aca="false">IF(AA752=1,"",IF(AND(AB752=1,AD752&lt;&gt;1),1,0))</f>
        <v/>
      </c>
      <c r="AG752" s="0" t="str">
        <f aca="false">IF(AA752=1,"",IF(AND(AC752=1,AE752&lt;&gt;1),1,0))</f>
        <v/>
      </c>
      <c r="AH752" s="51" t="str">
        <f aca="false">IF(AND(E752&gt;0,AA752&lt;1,NOT(AND(C753=C752,AA753=AA752+1))),INDEX(DATAS,AA752+1),"")</f>
        <v/>
      </c>
      <c r="AI752" s="51" t="str">
        <f aca="false">IF(AND(AC752=1,AA752&lt;1),IF(AND(C753=C752,AA753=AA752+1),IF(AC753=1,"",INDEX(DATAS,AA752+1)),INDEX(DATAS,AA752+1)),"")</f>
        <v/>
      </c>
    </row>
    <row r="753" customFormat="false" ht="15" hidden="false" customHeight="false" outlineLevel="0" collapsed="false">
      <c r="A753" s="51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46" t="s">
        <v>642</v>
      </c>
      <c r="H753" s="0" t="n">
        <v>18</v>
      </c>
      <c r="I753" s="46" t="s">
        <v>152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51" t="n">
        <v>46093</v>
      </c>
      <c r="X753" s="46" t="n">
        <f aca="false">IF(I753="Male",0,1)</f>
        <v>1</v>
      </c>
      <c r="Y753" s="46" t="n">
        <f aca="false">IF(OR(I753="DNB",I753="Dry DNB"),1,0)</f>
        <v>0</v>
      </c>
      <c r="Z753" s="46" t="n">
        <f aca="false">IF(ISNUMBER(W753),A753-W753,"")</f>
        <v>216</v>
      </c>
      <c r="AA753" s="46" t="n">
        <f aca="false">MATCH(A753,DATAS,0)</f>
        <v>1</v>
      </c>
      <c r="AB753" s="46" t="n">
        <f aca="false">IF(AND(E753&gt;0,OR(AND(B753&gt;=1,B753&lt;=6),B753=10)),1,0)</f>
        <v>1</v>
      </c>
      <c r="AC753" s="46" t="n">
        <f aca="false">IF(AND(E753&gt;0,B753=10),1,0)</f>
        <v>1</v>
      </c>
      <c r="AD753" s="0" t="str">
        <f aca="false">IF(AND(C752=C753,AA752=AA753-1),AB752,"")</f>
        <v/>
      </c>
      <c r="AE753" s="0" t="str">
        <f aca="false">IF(AND(C752=C753,AA752=AA753-1),AC752,"")</f>
        <v/>
      </c>
      <c r="AF753" s="0" t="str">
        <f aca="false">IF(AA753=1,"",IF(AND(AB753=1,AD753&lt;&gt;1),1,0))</f>
        <v/>
      </c>
      <c r="AG753" s="0" t="str">
        <f aca="false">IF(AA753=1,"",IF(AND(AC753=1,AE753&lt;&gt;1),1,0))</f>
        <v/>
      </c>
      <c r="AH753" s="51" t="str">
        <f aca="false">IF(AND(E753&gt;0,AA753&lt;1,NOT(AND(C754=C753,AA754=AA753+1))),INDEX(DATAS,AA753+1),"")</f>
        <v/>
      </c>
      <c r="AI753" s="51" t="str">
        <f aca="false">IF(AND(AC753=1,AA753&lt;1),IF(AND(C754=C753,AA754=AA753+1),IF(AC754=1,"",INDEX(DATAS,AA753+1)),INDEX(DATAS,AA753+1)),"")</f>
        <v/>
      </c>
    </row>
    <row r="754" customFormat="false" ht="15" hidden="false" customHeight="false" outlineLevel="0" collapsed="false">
      <c r="A754" s="51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46" t="s">
        <v>642</v>
      </c>
      <c r="G754" s="0" t="n">
        <v>21.2</v>
      </c>
      <c r="H754" s="0" t="n">
        <v>44</v>
      </c>
      <c r="I754" s="46" t="s">
        <v>152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51" t="n">
        <v>46191</v>
      </c>
      <c r="X754" s="46" t="n">
        <f aca="false">IF(I754="Male",0,1)</f>
        <v>1</v>
      </c>
      <c r="Y754" s="46" t="n">
        <f aca="false">IF(OR(I754="DNB",I754="Dry DNB"),1,0)</f>
        <v>0</v>
      </c>
      <c r="Z754" s="46" t="n">
        <f aca="false">IF(ISNUMBER(W754),A754-W754,"")</f>
        <v>118</v>
      </c>
      <c r="AA754" s="46" t="n">
        <f aca="false">MATCH(A754,DATAS,0)</f>
        <v>1</v>
      </c>
      <c r="AB754" s="46" t="n">
        <f aca="false">IF(AND(E754&gt;0,OR(AND(B754&gt;=1,B754&lt;=6),B754=10)),1,0)</f>
        <v>1</v>
      </c>
      <c r="AC754" s="46" t="n">
        <f aca="false">IF(AND(E754&gt;0,B754=10),1,0)</f>
        <v>1</v>
      </c>
      <c r="AD754" s="0" t="str">
        <f aca="false">IF(AND(C753=C754,AA753=AA754-1),AB753,"")</f>
        <v/>
      </c>
      <c r="AE754" s="0" t="str">
        <f aca="false">IF(AND(C753=C754,AA753=AA754-1),AC753,"")</f>
        <v/>
      </c>
      <c r="AF754" s="0" t="str">
        <f aca="false">IF(AA754=1,"",IF(AND(AB754=1,AD754&lt;&gt;1),1,0))</f>
        <v/>
      </c>
      <c r="AG754" s="0" t="str">
        <f aca="false">IF(AA754=1,"",IF(AND(AC754=1,AE754&lt;&gt;1),1,0))</f>
        <v/>
      </c>
      <c r="AH754" s="51" t="str">
        <f aca="false">IF(AND(E754&gt;0,AA754&lt;1,NOT(AND(C755=C754,AA755=AA754+1))),INDEX(DATAS,AA754+1),"")</f>
        <v/>
      </c>
      <c r="AI754" s="51" t="str">
        <f aca="false">IF(AND(AC754=1,AA754&lt;1),IF(AND(C755=C754,AA755=AA754+1),IF(AC755=1,"",INDEX(DATAS,AA754+1)),INDEX(DATAS,AA754+1)),"")</f>
        <v/>
      </c>
    </row>
    <row r="755" customFormat="false" ht="15" hidden="false" customHeight="false" outlineLevel="0" collapsed="false">
      <c r="A755" s="51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46" t="s">
        <v>643</v>
      </c>
      <c r="G755" s="0" t="n">
        <v>50.6</v>
      </c>
      <c r="H755" s="0" t="n">
        <v>49</v>
      </c>
      <c r="I755" s="46" t="s">
        <v>189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51" t="n">
        <v>46275</v>
      </c>
      <c r="X755" s="46" t="n">
        <f aca="false">IF(I755="Male",0,1)</f>
        <v>1</v>
      </c>
      <c r="Y755" s="46" t="n">
        <f aca="false">IF(OR(I755="DNB",I755="Dry DNB"),1,0)</f>
        <v>0</v>
      </c>
      <c r="Z755" s="46" t="n">
        <f aca="false">IF(ISNUMBER(W755),A755-W755,"")</f>
        <v>34</v>
      </c>
      <c r="AA755" s="46" t="n">
        <f aca="false">MATCH(A755,DATAS,0)</f>
        <v>1</v>
      </c>
      <c r="AB755" s="46" t="n">
        <f aca="false">IF(AND(E755&gt;0,OR(AND(B755&gt;=1,B755&lt;=6),B755=10)),1,0)</f>
        <v>1</v>
      </c>
      <c r="AC755" s="46" t="n">
        <f aca="false">IF(AND(E755&gt;0,B755=10),1,0)</f>
        <v>0</v>
      </c>
      <c r="AD755" s="0" t="str">
        <f aca="false">IF(AND(C754=C755,AA754=AA755-1),AB754,"")</f>
        <v/>
      </c>
      <c r="AE755" s="0" t="str">
        <f aca="false">IF(AND(C754=C755,AA754=AA755-1),AC754,"")</f>
        <v/>
      </c>
      <c r="AF755" s="0" t="str">
        <f aca="false">IF(AA755=1,"",IF(AND(AB755=1,AD755&lt;&gt;1),1,0))</f>
        <v/>
      </c>
      <c r="AG755" s="0" t="str">
        <f aca="false">IF(AA755=1,"",IF(AND(AC755=1,AE755&lt;&gt;1),1,0))</f>
        <v/>
      </c>
      <c r="AH755" s="51" t="str">
        <f aca="false">IF(AND(E755&gt;0,AA755&lt;1,NOT(AND(C756=C755,AA756=AA755+1))),INDEX(DATAS,AA755+1),"")</f>
        <v/>
      </c>
      <c r="AI755" s="51" t="str">
        <f aca="false">IF(AND(AC755=1,AA755&lt;1),IF(AND(C756=C755,AA756=AA755+1),IF(AC756=1,"",INDEX(DATAS,AA755+1)),INDEX(DATAS,AA755+1)),"")</f>
        <v/>
      </c>
    </row>
    <row r="756" customFormat="false" ht="15" hidden="false" customHeight="false" outlineLevel="0" collapsed="false">
      <c r="A756" s="51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46" t="s">
        <v>644</v>
      </c>
      <c r="G756" s="0" t="n">
        <v>30</v>
      </c>
      <c r="H756" s="0" t="n">
        <v>29</v>
      </c>
      <c r="I756" s="46" t="s">
        <v>152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51" t="n">
        <v>46184</v>
      </c>
      <c r="X756" s="46" t="n">
        <f aca="false">IF(I756="Male",0,1)</f>
        <v>1</v>
      </c>
      <c r="Y756" s="46" t="n">
        <f aca="false">IF(OR(I756="DNB",I756="Dry DNB"),1,0)</f>
        <v>0</v>
      </c>
      <c r="Z756" s="46" t="n">
        <f aca="false">IF(ISNUMBER(W756),A756-W756,"")</f>
        <v>125</v>
      </c>
      <c r="AA756" s="46" t="n">
        <f aca="false">MATCH(A756,DATAS,0)</f>
        <v>1</v>
      </c>
      <c r="AB756" s="46" t="n">
        <f aca="false">IF(AND(E756&gt;0,OR(AND(B756&gt;=1,B756&lt;=6),B756=10)),1,0)</f>
        <v>1</v>
      </c>
      <c r="AC756" s="46" t="n">
        <f aca="false">IF(AND(E756&gt;0,B756=10),1,0)</f>
        <v>0</v>
      </c>
      <c r="AD756" s="0" t="str">
        <f aca="false">IF(AND(C755=C756,AA755=AA756-1),AB755,"")</f>
        <v/>
      </c>
      <c r="AE756" s="0" t="str">
        <f aca="false">IF(AND(C755=C756,AA755=AA756-1),AC755,"")</f>
        <v/>
      </c>
      <c r="AF756" s="0" t="str">
        <f aca="false">IF(AA756=1,"",IF(AND(AB756=1,AD756&lt;&gt;1),1,0))</f>
        <v/>
      </c>
      <c r="AG756" s="0" t="str">
        <f aca="false">IF(AA756=1,"",IF(AND(AC756=1,AE756&lt;&gt;1),1,0))</f>
        <v/>
      </c>
      <c r="AH756" s="51" t="str">
        <f aca="false">IF(AND(E756&gt;0,AA756&lt;1,NOT(AND(C757=C756,AA757=AA756+1))),INDEX(DATAS,AA756+1),"")</f>
        <v/>
      </c>
      <c r="AI756" s="51" t="str">
        <f aca="false">IF(AND(AC756=1,AA756&lt;1),IF(AND(C757=C756,AA757=AA756+1),IF(AC757=1,"",INDEX(DATAS,AA756+1)),INDEX(DATAS,AA756+1)),"")</f>
        <v/>
      </c>
    </row>
    <row r="757" customFormat="false" ht="15" hidden="false" customHeight="false" outlineLevel="0" collapsed="false">
      <c r="A757" s="51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46" t="s">
        <v>645</v>
      </c>
      <c r="G757" s="0" t="n">
        <v>49.2</v>
      </c>
      <c r="H757" s="0" t="n">
        <v>45</v>
      </c>
      <c r="I757" s="46" t="s">
        <v>181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51" t="n">
        <v>46305</v>
      </c>
      <c r="X757" s="46" t="n">
        <f aca="false">IF(I757="Male",0,1)</f>
        <v>1</v>
      </c>
      <c r="Y757" s="46" t="n">
        <f aca="false">IF(OR(I757="DNB",I757="Dry DNB"),1,0)</f>
        <v>0</v>
      </c>
      <c r="Z757" s="46" t="n">
        <f aca="false">IF(ISNUMBER(W757),A757-W757,"")</f>
        <v>4</v>
      </c>
      <c r="AA757" s="46" t="n">
        <f aca="false">MATCH(A757,DATAS,0)</f>
        <v>1</v>
      </c>
      <c r="AB757" s="46" t="n">
        <f aca="false">IF(AND(E757&gt;0,OR(AND(B757&gt;=1,B757&lt;=6),B757=10)),1,0)</f>
        <v>1</v>
      </c>
      <c r="AC757" s="46" t="n">
        <f aca="false">IF(AND(E757&gt;0,B757=10),1,0)</f>
        <v>0</v>
      </c>
      <c r="AD757" s="0" t="str">
        <f aca="false">IF(AND(C756=C757,AA756=AA757-1),AB756,"")</f>
        <v/>
      </c>
      <c r="AE757" s="0" t="str">
        <f aca="false">IF(AND(C756=C757,AA756=AA757-1),AC756,"")</f>
        <v/>
      </c>
      <c r="AF757" s="0" t="str">
        <f aca="false">IF(AA757=1,"",IF(AND(AB757=1,AD757&lt;&gt;1),1,0))</f>
        <v/>
      </c>
      <c r="AG757" s="0" t="str">
        <f aca="false">IF(AA757=1,"",IF(AND(AC757=1,AE757&lt;&gt;1),1,0))</f>
        <v/>
      </c>
      <c r="AH757" s="51" t="str">
        <f aca="false">IF(AND(E757&gt;0,AA757&lt;1,NOT(AND(C758=C757,AA758=AA757+1))),INDEX(DATAS,AA757+1),"")</f>
        <v/>
      </c>
      <c r="AI757" s="51" t="str">
        <f aca="false">IF(AND(AC757=1,AA757&lt;1),IF(AND(C758=C757,AA758=AA757+1),IF(AC758=1,"",INDEX(DATAS,AA757+1)),INDEX(DATAS,AA757+1)),"")</f>
        <v/>
      </c>
    </row>
    <row r="758" customFormat="false" ht="15" hidden="false" customHeight="false" outlineLevel="0" collapsed="false">
      <c r="A758" s="51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46" t="s">
        <v>646</v>
      </c>
      <c r="G758" s="0" t="n">
        <v>45.9</v>
      </c>
      <c r="H758" s="0" t="n">
        <v>42</v>
      </c>
      <c r="I758" s="46" t="s">
        <v>152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51" t="n">
        <v>46254</v>
      </c>
      <c r="X758" s="46" t="n">
        <f aca="false">IF(I758="Male",0,1)</f>
        <v>1</v>
      </c>
      <c r="Y758" s="46" t="n">
        <f aca="false">IF(OR(I758="DNB",I758="Dry DNB"),1,0)</f>
        <v>0</v>
      </c>
      <c r="Z758" s="46" t="n">
        <f aca="false">IF(ISNUMBER(W758),A758-W758,"")</f>
        <v>55</v>
      </c>
      <c r="AA758" s="46" t="n">
        <f aca="false">MATCH(A758,DATAS,0)</f>
        <v>1</v>
      </c>
      <c r="AB758" s="46" t="n">
        <f aca="false">IF(AND(E758&gt;0,OR(AND(B758&gt;=1,B758&lt;=6),B758=10)),1,0)</f>
        <v>1</v>
      </c>
      <c r="AC758" s="46" t="n">
        <f aca="false">IF(AND(E758&gt;0,B758=10),1,0)</f>
        <v>0</v>
      </c>
      <c r="AD758" s="0" t="str">
        <f aca="false">IF(AND(C757=C758,AA757=AA758-1),AB757,"")</f>
        <v/>
      </c>
      <c r="AE758" s="0" t="str">
        <f aca="false">IF(AND(C757=C758,AA757=AA758-1),AC757,"")</f>
        <v/>
      </c>
      <c r="AF758" s="0" t="str">
        <f aca="false">IF(AA758=1,"",IF(AND(AB758=1,AD758&lt;&gt;1),1,0))</f>
        <v/>
      </c>
      <c r="AG758" s="0" t="str">
        <f aca="false">IF(AA758=1,"",IF(AND(AC758=1,AE758&lt;&gt;1),1,0))</f>
        <v/>
      </c>
      <c r="AH758" s="51" t="str">
        <f aca="false">IF(AND(E758&gt;0,AA758&lt;1,NOT(AND(C759=C758,AA759=AA758+1))),INDEX(DATAS,AA758+1),"")</f>
        <v/>
      </c>
      <c r="AI758" s="51" t="str">
        <f aca="false">IF(AND(AC758=1,AA758&lt;1),IF(AND(C759=C758,AA759=AA758+1),IF(AC759=1,"",INDEX(DATAS,AA758+1)),INDEX(DATAS,AA758+1)),"")</f>
        <v/>
      </c>
    </row>
    <row r="759" customFormat="false" ht="15" hidden="false" customHeight="false" outlineLevel="0" collapsed="false">
      <c r="A759" s="51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46" t="s">
        <v>646</v>
      </c>
      <c r="G759" s="0" t="n">
        <v>65.5</v>
      </c>
      <c r="H759" s="0" t="n">
        <v>62</v>
      </c>
      <c r="I759" s="46" t="s">
        <v>152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51" t="n">
        <v>46229</v>
      </c>
      <c r="X759" s="46" t="n">
        <f aca="false">IF(I759="Male",0,1)</f>
        <v>1</v>
      </c>
      <c r="Y759" s="46" t="n">
        <f aca="false">IF(OR(I759="DNB",I759="Dry DNB"),1,0)</f>
        <v>0</v>
      </c>
      <c r="Z759" s="46" t="n">
        <f aca="false">IF(ISNUMBER(W759),A759-W759,"")</f>
        <v>80</v>
      </c>
      <c r="AA759" s="46" t="n">
        <f aca="false">MATCH(A759,DATAS,0)</f>
        <v>1</v>
      </c>
      <c r="AB759" s="46" t="n">
        <f aca="false">IF(AND(E759&gt;0,OR(AND(B759&gt;=1,B759&lt;=6),B759=10)),1,0)</f>
        <v>1</v>
      </c>
      <c r="AC759" s="46" t="n">
        <f aca="false">IF(AND(E759&gt;0,B759=10),1,0)</f>
        <v>0</v>
      </c>
      <c r="AD759" s="0" t="str">
        <f aca="false">IF(AND(C758=C759,AA758=AA759-1),AB758,"")</f>
        <v/>
      </c>
      <c r="AE759" s="0" t="str">
        <f aca="false">IF(AND(C758=C759,AA758=AA759-1),AC758,"")</f>
        <v/>
      </c>
      <c r="AF759" s="0" t="str">
        <f aca="false">IF(AA759=1,"",IF(AND(AB759=1,AD759&lt;&gt;1),1,0))</f>
        <v/>
      </c>
      <c r="AG759" s="0" t="str">
        <f aca="false">IF(AA759=1,"",IF(AND(AC759=1,AE759&lt;&gt;1),1,0))</f>
        <v/>
      </c>
      <c r="AH759" s="51" t="str">
        <f aca="false">IF(AND(E759&gt;0,AA759&lt;1,NOT(AND(C760=C759,AA760=AA759+1))),INDEX(DATAS,AA759+1),"")</f>
        <v/>
      </c>
      <c r="AI759" s="51" t="str">
        <f aca="false">IF(AND(AC759=1,AA759&lt;1),IF(AND(C760=C759,AA760=AA759+1),IF(AC760=1,"",INDEX(DATAS,AA759+1)),INDEX(DATAS,AA759+1)),"")</f>
        <v/>
      </c>
    </row>
    <row r="760" customFormat="false" ht="15" hidden="false" customHeight="false" outlineLevel="0" collapsed="false">
      <c r="A760" s="51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46" t="s">
        <v>646</v>
      </c>
      <c r="G760" s="0" t="n">
        <v>30.8</v>
      </c>
      <c r="H760" s="0" t="n">
        <v>29</v>
      </c>
      <c r="I760" s="46" t="s">
        <v>181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51" t="n">
        <v>46289</v>
      </c>
      <c r="X760" s="46" t="n">
        <f aca="false">IF(I760="Male",0,1)</f>
        <v>1</v>
      </c>
      <c r="Y760" s="46" t="n">
        <f aca="false">IF(OR(I760="DNB",I760="Dry DNB"),1,0)</f>
        <v>0</v>
      </c>
      <c r="Z760" s="46" t="n">
        <f aca="false">IF(ISNUMBER(W760),A760-W760,"")</f>
        <v>20</v>
      </c>
      <c r="AA760" s="46" t="n">
        <f aca="false">MATCH(A760,DATAS,0)</f>
        <v>1</v>
      </c>
      <c r="AB760" s="46" t="n">
        <f aca="false">IF(AND(E760&gt;0,OR(AND(B760&gt;=1,B760&lt;=6),B760=10)),1,0)</f>
        <v>1</v>
      </c>
      <c r="AC760" s="46" t="n">
        <f aca="false">IF(AND(E760&gt;0,B760=10),1,0)</f>
        <v>0</v>
      </c>
      <c r="AD760" s="0" t="str">
        <f aca="false">IF(AND(C759=C760,AA759=AA760-1),AB759,"")</f>
        <v/>
      </c>
      <c r="AE760" s="0" t="str">
        <f aca="false">IF(AND(C759=C760,AA759=AA760-1),AC759,"")</f>
        <v/>
      </c>
      <c r="AF760" s="0" t="str">
        <f aca="false">IF(AA760=1,"",IF(AND(AB760=1,AD760&lt;&gt;1),1,0))</f>
        <v/>
      </c>
      <c r="AG760" s="0" t="str">
        <f aca="false">IF(AA760=1,"",IF(AND(AC760=1,AE760&lt;&gt;1),1,0))</f>
        <v/>
      </c>
      <c r="AH760" s="51" t="str">
        <f aca="false">IF(AND(E760&gt;0,AA760&lt;1,NOT(AND(C761=C760,AA761=AA760+1))),INDEX(DATAS,AA760+1),"")</f>
        <v/>
      </c>
      <c r="AI760" s="51" t="str">
        <f aca="false">IF(AND(AC760=1,AA760&lt;1),IF(AND(C761=C760,AA761=AA760+1),IF(AC761=1,"",INDEX(DATAS,AA760+1)),INDEX(DATAS,AA760+1)),"")</f>
        <v/>
      </c>
    </row>
    <row r="761" customFormat="false" ht="15" hidden="false" customHeight="false" outlineLevel="0" collapsed="false">
      <c r="A761" s="51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46" t="s">
        <v>647</v>
      </c>
      <c r="G761" s="0" t="n">
        <v>45.9</v>
      </c>
      <c r="H761" s="0" t="n">
        <v>46</v>
      </c>
      <c r="I761" s="46" t="s">
        <v>152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51" t="n">
        <v>46205</v>
      </c>
      <c r="X761" s="46" t="n">
        <f aca="false">IF(I761="Male",0,1)</f>
        <v>1</v>
      </c>
      <c r="Y761" s="46" t="n">
        <f aca="false">IF(OR(I761="DNB",I761="Dry DNB"),1,0)</f>
        <v>0</v>
      </c>
      <c r="Z761" s="46" t="n">
        <f aca="false">IF(ISNUMBER(W761),A761-W761,"")</f>
        <v>104</v>
      </c>
      <c r="AA761" s="46" t="n">
        <f aca="false">MATCH(A761,DATAS,0)</f>
        <v>1</v>
      </c>
      <c r="AB761" s="46" t="n">
        <f aca="false">IF(AND(E761&gt;0,OR(AND(B761&gt;=1,B761&lt;=6),B761=10)),1,0)</f>
        <v>1</v>
      </c>
      <c r="AC761" s="46" t="n">
        <f aca="false">IF(AND(E761&gt;0,B761=10),1,0)</f>
        <v>0</v>
      </c>
      <c r="AD761" s="0" t="str">
        <f aca="false">IF(AND(C760=C761,AA760=AA761-1),AB760,"")</f>
        <v/>
      </c>
      <c r="AE761" s="0" t="str">
        <f aca="false">IF(AND(C760=C761,AA760=AA761-1),AC760,"")</f>
        <v/>
      </c>
      <c r="AF761" s="0" t="str">
        <f aca="false">IF(AA761=1,"",IF(AND(AB761=1,AD761&lt;&gt;1),1,0))</f>
        <v/>
      </c>
      <c r="AG761" s="0" t="str">
        <f aca="false">IF(AA761=1,"",IF(AND(AC761=1,AE761&lt;&gt;1),1,0))</f>
        <v/>
      </c>
      <c r="AH761" s="51" t="str">
        <f aca="false">IF(AND(E761&gt;0,AA761&lt;1,NOT(AND(C762=C761,AA762=AA761+1))),INDEX(DATAS,AA761+1),"")</f>
        <v/>
      </c>
      <c r="AI761" s="51" t="str">
        <f aca="false">IF(AND(AC761=1,AA761&lt;1),IF(AND(C762=C761,AA762=AA761+1),IF(AC762=1,"",INDEX(DATAS,AA761+1)),INDEX(DATAS,AA761+1)),"")</f>
        <v/>
      </c>
    </row>
    <row r="762" customFormat="false" ht="15" hidden="false" customHeight="false" outlineLevel="0" collapsed="false">
      <c r="A762" s="51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46" t="s">
        <v>647</v>
      </c>
      <c r="G762" s="0" t="n">
        <v>44</v>
      </c>
      <c r="H762" s="0" t="n">
        <v>38</v>
      </c>
      <c r="I762" s="46" t="s">
        <v>152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51" t="n">
        <v>46261</v>
      </c>
      <c r="X762" s="46" t="n">
        <f aca="false">IF(I762="Male",0,1)</f>
        <v>1</v>
      </c>
      <c r="Y762" s="46" t="n">
        <f aca="false">IF(OR(I762="DNB",I762="Dry DNB"),1,0)</f>
        <v>0</v>
      </c>
      <c r="Z762" s="46" t="n">
        <f aca="false">IF(ISNUMBER(W762),A762-W762,"")</f>
        <v>48</v>
      </c>
      <c r="AA762" s="46" t="n">
        <f aca="false">MATCH(A762,DATAS,0)</f>
        <v>1</v>
      </c>
      <c r="AB762" s="46" t="n">
        <f aca="false">IF(AND(E762&gt;0,OR(AND(B762&gt;=1,B762&lt;=6),B762=10)),1,0)</f>
        <v>1</v>
      </c>
      <c r="AC762" s="46" t="n">
        <f aca="false">IF(AND(E762&gt;0,B762=10),1,0)</f>
        <v>0</v>
      </c>
      <c r="AD762" s="0" t="str">
        <f aca="false">IF(AND(C761=C762,AA761=AA762-1),AB761,"")</f>
        <v/>
      </c>
      <c r="AE762" s="0" t="str">
        <f aca="false">IF(AND(C761=C762,AA761=AA762-1),AC761,"")</f>
        <v/>
      </c>
      <c r="AF762" s="0" t="str">
        <f aca="false">IF(AA762=1,"",IF(AND(AB762=1,AD762&lt;&gt;1),1,0))</f>
        <v/>
      </c>
      <c r="AG762" s="0" t="str">
        <f aca="false">IF(AA762=1,"",IF(AND(AC762=1,AE762&lt;&gt;1),1,0))</f>
        <v/>
      </c>
      <c r="AH762" s="51" t="str">
        <f aca="false">IF(AND(E762&gt;0,AA762&lt;1,NOT(AND(C763=C762,AA763=AA762+1))),INDEX(DATAS,AA762+1),"")</f>
        <v/>
      </c>
      <c r="AI762" s="51" t="str">
        <f aca="false">IF(AND(AC762=1,AA762&lt;1),IF(AND(C763=C762,AA763=AA762+1),IF(AC763=1,"",INDEX(DATAS,AA762+1)),INDEX(DATAS,AA762+1)),"")</f>
        <v/>
      </c>
    </row>
    <row r="763" customFormat="false" ht="15" hidden="false" customHeight="false" outlineLevel="0" collapsed="false">
      <c r="A763" s="51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46" t="s">
        <v>647</v>
      </c>
      <c r="G763" s="0" t="n">
        <v>40.5</v>
      </c>
      <c r="H763" s="0" t="n">
        <v>36</v>
      </c>
      <c r="I763" s="46" t="s">
        <v>152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51" t="n">
        <v>46240</v>
      </c>
      <c r="X763" s="46" t="n">
        <f aca="false">IF(I763="Male",0,1)</f>
        <v>1</v>
      </c>
      <c r="Y763" s="46" t="n">
        <f aca="false">IF(OR(I763="DNB",I763="Dry DNB"),1,0)</f>
        <v>0</v>
      </c>
      <c r="Z763" s="46" t="n">
        <f aca="false">IF(ISNUMBER(W763),A763-W763,"")</f>
        <v>69</v>
      </c>
      <c r="AA763" s="46" t="n">
        <f aca="false">MATCH(A763,DATAS,0)</f>
        <v>1</v>
      </c>
      <c r="AB763" s="46" t="n">
        <f aca="false">IF(AND(E763&gt;0,OR(AND(B763&gt;=1,B763&lt;=6),B763=10)),1,0)</f>
        <v>1</v>
      </c>
      <c r="AC763" s="46" t="n">
        <f aca="false">IF(AND(E763&gt;0,B763=10),1,0)</f>
        <v>0</v>
      </c>
      <c r="AD763" s="0" t="str">
        <f aca="false">IF(AND(C762=C763,AA762=AA763-1),AB762,"")</f>
        <v/>
      </c>
      <c r="AE763" s="0" t="str">
        <f aca="false">IF(AND(C762=C763,AA762=AA763-1),AC762,"")</f>
        <v/>
      </c>
      <c r="AF763" s="0" t="str">
        <f aca="false">IF(AA763=1,"",IF(AND(AB763=1,AD763&lt;&gt;1),1,0))</f>
        <v/>
      </c>
      <c r="AG763" s="0" t="str">
        <f aca="false">IF(AA763=1,"",IF(AND(AC763=1,AE763&lt;&gt;1),1,0))</f>
        <v/>
      </c>
      <c r="AH763" s="51" t="str">
        <f aca="false">IF(AND(E763&gt;0,AA763&lt;1,NOT(AND(C764=C763,AA764=AA763+1))),INDEX(DATAS,AA763+1),"")</f>
        <v/>
      </c>
      <c r="AI763" s="51" t="str">
        <f aca="false">IF(AND(AC763=1,AA763&lt;1),IF(AND(C764=C763,AA764=AA763+1),IF(AC764=1,"",INDEX(DATAS,AA763+1)),INDEX(DATAS,AA763+1)),"")</f>
        <v/>
      </c>
    </row>
    <row r="764" customFormat="false" ht="15" hidden="false" customHeight="false" outlineLevel="0" collapsed="false">
      <c r="A764" s="51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46" t="s">
        <v>648</v>
      </c>
      <c r="G764" s="0" t="n">
        <v>75.8</v>
      </c>
      <c r="H764" s="0" t="n">
        <v>78</v>
      </c>
      <c r="I764" s="46" t="s">
        <v>181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51" t="n">
        <v>46282</v>
      </c>
      <c r="X764" s="46" t="n">
        <f aca="false">IF(I764="Male",0,1)</f>
        <v>1</v>
      </c>
      <c r="Y764" s="46" t="n">
        <f aca="false">IF(OR(I764="DNB",I764="Dry DNB"),1,0)</f>
        <v>0</v>
      </c>
      <c r="Z764" s="46" t="n">
        <f aca="false">IF(ISNUMBER(W764),A764-W764,"")</f>
        <v>27</v>
      </c>
      <c r="AA764" s="46" t="n">
        <f aca="false">MATCH(A764,DATAS,0)</f>
        <v>1</v>
      </c>
      <c r="AB764" s="46" t="n">
        <f aca="false">IF(AND(E764&gt;0,OR(AND(B764&gt;=1,B764&lt;=6),B764=10)),1,0)</f>
        <v>1</v>
      </c>
      <c r="AC764" s="46" t="n">
        <f aca="false">IF(AND(E764&gt;0,B764=10),1,0)</f>
        <v>0</v>
      </c>
      <c r="AD764" s="0" t="str">
        <f aca="false">IF(AND(C763=C764,AA763=AA764-1),AB763,"")</f>
        <v/>
      </c>
      <c r="AE764" s="0" t="str">
        <f aca="false">IF(AND(C763=C764,AA763=AA764-1),AC763,"")</f>
        <v/>
      </c>
      <c r="AF764" s="0" t="str">
        <f aca="false">IF(AA764=1,"",IF(AND(AB764=1,AD764&lt;&gt;1),1,0))</f>
        <v/>
      </c>
      <c r="AG764" s="0" t="str">
        <f aca="false">IF(AA764=1,"",IF(AND(AC764=1,AE764&lt;&gt;1),1,0))</f>
        <v/>
      </c>
      <c r="AH764" s="51" t="str">
        <f aca="false">IF(AND(E764&gt;0,AA764&lt;1,NOT(AND(C765=C764,AA765=AA764+1))),INDEX(DATAS,AA764+1),"")</f>
        <v/>
      </c>
      <c r="AI764" s="51" t="str">
        <f aca="false">IF(AND(AC764=1,AA764&lt;1),IF(AND(C765=C764,AA765=AA764+1),IF(AC765=1,"",INDEX(DATAS,AA764+1)),INDEX(DATAS,AA764+1)),"")</f>
        <v/>
      </c>
    </row>
    <row r="765" customFormat="false" ht="15" hidden="false" customHeight="false" outlineLevel="0" collapsed="false">
      <c r="A765" s="51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46" t="s">
        <v>649</v>
      </c>
      <c r="G765" s="0" t="n">
        <v>12.5</v>
      </c>
      <c r="H765" s="0" t="n">
        <v>22</v>
      </c>
      <c r="I765" s="46" t="s">
        <v>157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51" t="n">
        <v>46086</v>
      </c>
      <c r="X765" s="46" t="n">
        <f aca="false">IF(I765="Male",0,1)</f>
        <v>1</v>
      </c>
      <c r="Y765" s="46" t="n">
        <f aca="false">IF(OR(I765="DNB",I765="Dry DNB"),1,0)</f>
        <v>0</v>
      </c>
      <c r="Z765" s="46" t="n">
        <f aca="false">IF(ISNUMBER(W765),A765-W765,"")</f>
        <v>223</v>
      </c>
      <c r="AA765" s="46" t="n">
        <f aca="false">MATCH(A765,DATAS,0)</f>
        <v>1</v>
      </c>
      <c r="AB765" s="46" t="n">
        <f aca="false">IF(AND(E765&gt;0,OR(AND(B765&gt;=1,B765&lt;=6),B765=10)),1,0)</f>
        <v>0</v>
      </c>
      <c r="AC765" s="46" t="n">
        <f aca="false">IF(AND(E765&gt;0,B765=10),1,0)</f>
        <v>0</v>
      </c>
      <c r="AD765" s="0" t="str">
        <f aca="false">IF(AND(C764=C765,AA764=AA765-1),AB764,"")</f>
        <v/>
      </c>
      <c r="AE765" s="0" t="str">
        <f aca="false">IF(AND(C764=C765,AA764=AA765-1),AC764,"")</f>
        <v/>
      </c>
      <c r="AF765" s="0" t="str">
        <f aca="false">IF(AA765=1,"",IF(AND(AB765=1,AD765&lt;&gt;1),1,0))</f>
        <v/>
      </c>
      <c r="AG765" s="0" t="str">
        <f aca="false">IF(AA765=1,"",IF(AND(AC765=1,AE765&lt;&gt;1),1,0))</f>
        <v/>
      </c>
      <c r="AH765" s="51" t="str">
        <f aca="false">IF(AND(E765&gt;0,AA765&lt;1,NOT(AND(C766=C765,AA766=AA765+1))),INDEX(DATAS,AA765+1),"")</f>
        <v/>
      </c>
      <c r="AI765" s="51" t="str">
        <f aca="false">IF(AND(AC765=1,AA765&lt;1),IF(AND(C766=C765,AA766=AA765+1),IF(AC766=1,"",INDEX(DATAS,AA765+1)),INDEX(DATAS,AA765+1)),"")</f>
        <v/>
      </c>
    </row>
    <row r="766" customFormat="false" ht="15" hidden="false" customHeight="false" outlineLevel="0" collapsed="false">
      <c r="A766" s="51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46" t="s">
        <v>650</v>
      </c>
      <c r="G766" s="0" t="n">
        <v>49.9</v>
      </c>
      <c r="H766" s="0" t="n">
        <v>48</v>
      </c>
      <c r="I766" s="46" t="s">
        <v>181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51" t="n">
        <v>46282</v>
      </c>
      <c r="X766" s="46" t="n">
        <f aca="false">IF(I766="Male",0,1)</f>
        <v>1</v>
      </c>
      <c r="Y766" s="46" t="n">
        <f aca="false">IF(OR(I766="DNB",I766="Dry DNB"),1,0)</f>
        <v>0</v>
      </c>
      <c r="Z766" s="46" t="n">
        <f aca="false">IF(ISNUMBER(W766),A766-W766,"")</f>
        <v>27</v>
      </c>
      <c r="AA766" s="46" t="n">
        <f aca="false">MATCH(A766,DATAS,0)</f>
        <v>1</v>
      </c>
      <c r="AB766" s="46" t="n">
        <f aca="false">IF(AND(E766&gt;0,OR(AND(B766&gt;=1,B766&lt;=6),B766=10)),1,0)</f>
        <v>1</v>
      </c>
      <c r="AC766" s="46" t="n">
        <f aca="false">IF(AND(E766&gt;0,B766=10),1,0)</f>
        <v>0</v>
      </c>
      <c r="AD766" s="0" t="str">
        <f aca="false">IF(AND(C765=C766,AA765=AA766-1),AB765,"")</f>
        <v/>
      </c>
      <c r="AE766" s="0" t="str">
        <f aca="false">IF(AND(C765=C766,AA765=AA766-1),AC765,"")</f>
        <v/>
      </c>
      <c r="AF766" s="0" t="str">
        <f aca="false">IF(AA766=1,"",IF(AND(AB766=1,AD766&lt;&gt;1),1,0))</f>
        <v/>
      </c>
      <c r="AG766" s="0" t="str">
        <f aca="false">IF(AA766=1,"",IF(AND(AC766=1,AE766&lt;&gt;1),1,0))</f>
        <v/>
      </c>
      <c r="AH766" s="51" t="str">
        <f aca="false">IF(AND(E766&gt;0,AA766&lt;1,NOT(AND(C767=C766,AA767=AA766+1))),INDEX(DATAS,AA766+1),"")</f>
        <v/>
      </c>
      <c r="AI766" s="51" t="str">
        <f aca="false">IF(AND(AC766=1,AA766&lt;1),IF(AND(C767=C766,AA767=AA766+1),IF(AC767=1,"",INDEX(DATAS,AA766+1)),INDEX(DATAS,AA766+1)),"")</f>
        <v/>
      </c>
    </row>
    <row r="767" customFormat="false" ht="15" hidden="false" customHeight="false" outlineLevel="0" collapsed="false">
      <c r="A767" s="51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46" t="s">
        <v>651</v>
      </c>
      <c r="G767" s="0" t="n">
        <v>6.5</v>
      </c>
      <c r="H767" s="0" t="n">
        <v>11</v>
      </c>
      <c r="I767" s="46" t="s">
        <v>157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51" t="n">
        <v>46119</v>
      </c>
      <c r="X767" s="46" t="n">
        <f aca="false">IF(I767="Male",0,1)</f>
        <v>1</v>
      </c>
      <c r="Y767" s="46" t="n">
        <f aca="false">IF(OR(I767="DNB",I767="Dry DNB"),1,0)</f>
        <v>0</v>
      </c>
      <c r="Z767" s="46" t="n">
        <f aca="false">IF(ISNUMBER(W767),A767-W767,"")</f>
        <v>190</v>
      </c>
      <c r="AA767" s="46" t="n">
        <f aca="false">MATCH(A767,DATAS,0)</f>
        <v>1</v>
      </c>
      <c r="AB767" s="46" t="n">
        <f aca="false">IF(AND(E767&gt;0,OR(AND(B767&gt;=1,B767&lt;=6),B767=10)),1,0)</f>
        <v>0</v>
      </c>
      <c r="AC767" s="46" t="n">
        <f aca="false">IF(AND(E767&gt;0,B767=10),1,0)</f>
        <v>0</v>
      </c>
      <c r="AD767" s="0" t="str">
        <f aca="false">IF(AND(C766=C767,AA766=AA767-1),AB766,"")</f>
        <v/>
      </c>
      <c r="AE767" s="0" t="str">
        <f aca="false">IF(AND(C766=C767,AA766=AA767-1),AC766,"")</f>
        <v/>
      </c>
      <c r="AF767" s="0" t="str">
        <f aca="false">IF(AA767=1,"",IF(AND(AB767=1,AD767&lt;&gt;1),1,0))</f>
        <v/>
      </c>
      <c r="AG767" s="0" t="str">
        <f aca="false">IF(AA767=1,"",IF(AND(AC767=1,AE767&lt;&gt;1),1,0))</f>
        <v/>
      </c>
      <c r="AH767" s="51" t="str">
        <f aca="false">IF(AND(E767&gt;0,AA767&lt;1,NOT(AND(C768=C767,AA768=AA767+1))),INDEX(DATAS,AA767+1),"")</f>
        <v/>
      </c>
      <c r="AI767" s="51" t="str">
        <f aca="false">IF(AND(AC767=1,AA767&lt;1),IF(AND(C768=C767,AA768=AA767+1),IF(AC768=1,"",INDEX(DATAS,AA767+1)),INDEX(DATAS,AA767+1)),"")</f>
        <v/>
      </c>
    </row>
    <row r="768" customFormat="false" ht="15" hidden="false" customHeight="false" outlineLevel="0" collapsed="false">
      <c r="A768" s="51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46" t="s">
        <v>651</v>
      </c>
      <c r="G768" s="0" t="n">
        <v>35.5</v>
      </c>
      <c r="H768" s="0" t="n">
        <v>34</v>
      </c>
      <c r="I768" s="46" t="s">
        <v>152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51" t="n">
        <v>46128</v>
      </c>
      <c r="X768" s="46" t="n">
        <f aca="false">IF(I768="Male",0,1)</f>
        <v>1</v>
      </c>
      <c r="Y768" s="46" t="n">
        <f aca="false">IF(OR(I768="DNB",I768="Dry DNB"),1,0)</f>
        <v>0</v>
      </c>
      <c r="Z768" s="46" t="n">
        <f aca="false">IF(ISNUMBER(W768),A768-W768,"")</f>
        <v>181</v>
      </c>
      <c r="AA768" s="46" t="n">
        <f aca="false">MATCH(A768,DATAS,0)</f>
        <v>1</v>
      </c>
      <c r="AB768" s="46" t="n">
        <f aca="false">IF(AND(E768&gt;0,OR(AND(B768&gt;=1,B768&lt;=6),B768=10)),1,0)</f>
        <v>1</v>
      </c>
      <c r="AC768" s="46" t="n">
        <f aca="false">IF(AND(E768&gt;0,B768=10),1,0)</f>
        <v>0</v>
      </c>
      <c r="AD768" s="0" t="str">
        <f aca="false">IF(AND(C767=C768,AA767=AA768-1),AB767,"")</f>
        <v/>
      </c>
      <c r="AE768" s="0" t="str">
        <f aca="false">IF(AND(C767=C768,AA767=AA768-1),AC767,"")</f>
        <v/>
      </c>
      <c r="AF768" s="0" t="str">
        <f aca="false">IF(AA768=1,"",IF(AND(AB768=1,AD768&lt;&gt;1),1,0))</f>
        <v/>
      </c>
      <c r="AG768" s="0" t="str">
        <f aca="false">IF(AA768=1,"",IF(AND(AC768=1,AE768&lt;&gt;1),1,0))</f>
        <v/>
      </c>
      <c r="AH768" s="51" t="str">
        <f aca="false">IF(AND(E768&gt;0,AA768&lt;1,NOT(AND(C769=C768,AA769=AA768+1))),INDEX(DATAS,AA768+1),"")</f>
        <v/>
      </c>
      <c r="AI768" s="51" t="str">
        <f aca="false">IF(AND(AC768=1,AA768&lt;1),IF(AND(C769=C768,AA769=AA768+1),IF(AC769=1,"",INDEX(DATAS,AA768+1)),INDEX(DATAS,AA768+1)),"")</f>
        <v/>
      </c>
    </row>
    <row r="769" customFormat="false" ht="15" hidden="false" customHeight="false" outlineLevel="0" collapsed="false">
      <c r="A769" s="51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46" t="s">
        <v>652</v>
      </c>
      <c r="G769" s="0" t="n">
        <v>36.3</v>
      </c>
      <c r="H769" s="0" t="n">
        <v>34</v>
      </c>
      <c r="I769" s="46" t="s">
        <v>152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51" t="n">
        <v>46177</v>
      </c>
      <c r="X769" s="46" t="n">
        <f aca="false">IF(I769="Male",0,1)</f>
        <v>1</v>
      </c>
      <c r="Y769" s="46" t="n">
        <f aca="false">IF(OR(I769="DNB",I769="Dry DNB"),1,0)</f>
        <v>0</v>
      </c>
      <c r="Z769" s="46" t="n">
        <f aca="false">IF(ISNUMBER(W769),A769-W769,"")</f>
        <v>132</v>
      </c>
      <c r="AA769" s="46" t="n">
        <f aca="false">MATCH(A769,DATAS,0)</f>
        <v>1</v>
      </c>
      <c r="AB769" s="46" t="n">
        <f aca="false">IF(AND(E769&gt;0,OR(AND(B769&gt;=1,B769&lt;=6),B769=10)),1,0)</f>
        <v>1</v>
      </c>
      <c r="AC769" s="46" t="n">
        <f aca="false">IF(AND(E769&gt;0,B769=10),1,0)</f>
        <v>0</v>
      </c>
      <c r="AD769" s="0" t="str">
        <f aca="false">IF(AND(C768=C769,AA768=AA769-1),AB768,"")</f>
        <v/>
      </c>
      <c r="AE769" s="0" t="str">
        <f aca="false">IF(AND(C768=C769,AA768=AA769-1),AC768,"")</f>
        <v/>
      </c>
      <c r="AF769" s="0" t="str">
        <f aca="false">IF(AA769=1,"",IF(AND(AB769=1,AD769&lt;&gt;1),1,0))</f>
        <v/>
      </c>
      <c r="AG769" s="0" t="str">
        <f aca="false">IF(AA769=1,"",IF(AND(AC769=1,AE769&lt;&gt;1),1,0))</f>
        <v/>
      </c>
      <c r="AH769" s="51" t="str">
        <f aca="false">IF(AND(E769&gt;0,AA769&lt;1,NOT(AND(C770=C769,AA770=AA769+1))),INDEX(DATAS,AA769+1),"")</f>
        <v/>
      </c>
      <c r="AI769" s="51" t="str">
        <f aca="false">IF(AND(AC769=1,AA769&lt;1),IF(AND(C770=C769,AA770=AA769+1),IF(AC770=1,"",INDEX(DATAS,AA769+1)),INDEX(DATAS,AA769+1)),"")</f>
        <v/>
      </c>
    </row>
    <row r="770" customFormat="false" ht="15" hidden="false" customHeight="false" outlineLevel="0" collapsed="false">
      <c r="A770" s="51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46" t="s">
        <v>653</v>
      </c>
      <c r="G770" s="0" t="n">
        <v>36.3</v>
      </c>
      <c r="H770" s="0" t="n">
        <v>37</v>
      </c>
      <c r="I770" s="46" t="s">
        <v>181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51" t="n">
        <v>46289</v>
      </c>
      <c r="X770" s="46" t="n">
        <f aca="false">IF(I770="Male",0,1)</f>
        <v>1</v>
      </c>
      <c r="Y770" s="46" t="n">
        <f aca="false">IF(OR(I770="DNB",I770="Dry DNB"),1,0)</f>
        <v>0</v>
      </c>
      <c r="Z770" s="46" t="n">
        <f aca="false">IF(ISNUMBER(W770),A770-W770,"")</f>
        <v>20</v>
      </c>
      <c r="AA770" s="46" t="n">
        <f aca="false">MATCH(A770,DATAS,0)</f>
        <v>1</v>
      </c>
      <c r="AB770" s="46" t="n">
        <f aca="false">IF(AND(E770&gt;0,OR(AND(B770&gt;=1,B770&lt;=6),B770=10)),1,0)</f>
        <v>1</v>
      </c>
      <c r="AC770" s="46" t="n">
        <f aca="false">IF(AND(E770&gt;0,B770=10),1,0)</f>
        <v>0</v>
      </c>
      <c r="AD770" s="0" t="str">
        <f aca="false">IF(AND(C769=C770,AA769=AA770-1),AB769,"")</f>
        <v/>
      </c>
      <c r="AE770" s="0" t="str">
        <f aca="false">IF(AND(C769=C770,AA769=AA770-1),AC769,"")</f>
        <v/>
      </c>
      <c r="AF770" s="0" t="str">
        <f aca="false">IF(AA770=1,"",IF(AND(AB770=1,AD770&lt;&gt;1),1,0))</f>
        <v/>
      </c>
      <c r="AG770" s="0" t="str">
        <f aca="false">IF(AA770=1,"",IF(AND(AC770=1,AE770&lt;&gt;1),1,0))</f>
        <v/>
      </c>
      <c r="AH770" s="51" t="str">
        <f aca="false">IF(AND(E770&gt;0,AA770&lt;1,NOT(AND(C771=C770,AA771=AA770+1))),INDEX(DATAS,AA770+1),"")</f>
        <v/>
      </c>
      <c r="AI770" s="51" t="str">
        <f aca="false">IF(AND(AC770=1,AA770&lt;1),IF(AND(C771=C770,AA771=AA770+1),IF(AC771=1,"",INDEX(DATAS,AA770+1)),INDEX(DATAS,AA770+1)),"")</f>
        <v/>
      </c>
    </row>
    <row r="771" customFormat="false" ht="15" hidden="false" customHeight="false" outlineLevel="0" collapsed="false">
      <c r="A771" s="51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46" t="s">
        <v>653</v>
      </c>
      <c r="G771" s="0" t="n">
        <v>30.5</v>
      </c>
      <c r="H771" s="0" t="n">
        <v>29</v>
      </c>
      <c r="I771" s="46" t="s">
        <v>189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51" t="n">
        <v>46268</v>
      </c>
      <c r="X771" s="46" t="n">
        <f aca="false">IF(I771="Male",0,1)</f>
        <v>1</v>
      </c>
      <c r="Y771" s="46" t="n">
        <f aca="false">IF(OR(I771="DNB",I771="Dry DNB"),1,0)</f>
        <v>0</v>
      </c>
      <c r="Z771" s="46" t="n">
        <f aca="false">IF(ISNUMBER(W771),A771-W771,"")</f>
        <v>41</v>
      </c>
      <c r="AA771" s="46" t="n">
        <f aca="false">MATCH(A771,DATAS,0)</f>
        <v>1</v>
      </c>
      <c r="AB771" s="46" t="n">
        <f aca="false">IF(AND(E771&gt;0,OR(AND(B771&gt;=1,B771&lt;=6),B771=10)),1,0)</f>
        <v>1</v>
      </c>
      <c r="AC771" s="46" t="n">
        <f aca="false">IF(AND(E771&gt;0,B771=10),1,0)</f>
        <v>0</v>
      </c>
      <c r="AD771" s="0" t="str">
        <f aca="false">IF(AND(C770=C771,AA770=AA771-1),AB770,"")</f>
        <v/>
      </c>
      <c r="AE771" s="0" t="str">
        <f aca="false">IF(AND(C770=C771,AA770=AA771-1),AC770,"")</f>
        <v/>
      </c>
      <c r="AF771" s="0" t="str">
        <f aca="false">IF(AA771=1,"",IF(AND(AB771=1,AD771&lt;&gt;1),1,0))</f>
        <v/>
      </c>
      <c r="AG771" s="0" t="str">
        <f aca="false">IF(AA771=1,"",IF(AND(AC771=1,AE771&lt;&gt;1),1,0))</f>
        <v/>
      </c>
      <c r="AH771" s="51" t="str">
        <f aca="false">IF(AND(E771&gt;0,AA771&lt;1,NOT(AND(C772=C771,AA772=AA771+1))),INDEX(DATAS,AA771+1),"")</f>
        <v/>
      </c>
      <c r="AI771" s="51" t="str">
        <f aca="false">IF(AND(AC771=1,AA771&lt;1),IF(AND(C772=C771,AA772=AA771+1),IF(AC772=1,"",INDEX(DATAS,AA771+1)),INDEX(DATAS,AA771+1)),"")</f>
        <v/>
      </c>
    </row>
    <row r="772" customFormat="false" ht="15" hidden="false" customHeight="false" outlineLevel="0" collapsed="false">
      <c r="A772" s="51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46" t="s">
        <v>653</v>
      </c>
      <c r="G772" s="0" t="n">
        <v>50.9</v>
      </c>
      <c r="H772" s="0" t="n">
        <v>49</v>
      </c>
      <c r="I772" s="46" t="s">
        <v>152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51" t="n">
        <v>46170</v>
      </c>
      <c r="X772" s="46" t="n">
        <f aca="false">IF(I772="Male",0,1)</f>
        <v>1</v>
      </c>
      <c r="Y772" s="46" t="n">
        <f aca="false">IF(OR(I772="DNB",I772="Dry DNB"),1,0)</f>
        <v>0</v>
      </c>
      <c r="Z772" s="46" t="n">
        <f aca="false">IF(ISNUMBER(W772),A772-W772,"")</f>
        <v>139</v>
      </c>
      <c r="AA772" s="46" t="n">
        <f aca="false">MATCH(A772,DATAS,0)</f>
        <v>1</v>
      </c>
      <c r="AB772" s="46" t="n">
        <f aca="false">IF(AND(E772&gt;0,OR(AND(B772&gt;=1,B772&lt;=6),B772=10)),1,0)</f>
        <v>1</v>
      </c>
      <c r="AC772" s="46" t="n">
        <f aca="false">IF(AND(E772&gt;0,B772=10),1,0)</f>
        <v>0</v>
      </c>
      <c r="AD772" s="0" t="str">
        <f aca="false">IF(AND(C771=C772,AA771=AA772-1),AB771,"")</f>
        <v/>
      </c>
      <c r="AE772" s="0" t="str">
        <f aca="false">IF(AND(C771=C772,AA771=AA772-1),AC771,"")</f>
        <v/>
      </c>
      <c r="AF772" s="0" t="str">
        <f aca="false">IF(AA772=1,"",IF(AND(AB772=1,AD772&lt;&gt;1),1,0))</f>
        <v/>
      </c>
      <c r="AG772" s="0" t="str">
        <f aca="false">IF(AA772=1,"",IF(AND(AC772=1,AE772&lt;&gt;1),1,0))</f>
        <v/>
      </c>
      <c r="AH772" s="51" t="str">
        <f aca="false">IF(AND(E772&gt;0,AA772&lt;1,NOT(AND(C773=C772,AA773=AA772+1))),INDEX(DATAS,AA772+1),"")</f>
        <v/>
      </c>
      <c r="AI772" s="51" t="str">
        <f aca="false">IF(AND(AC772=1,AA772&lt;1),IF(AND(C773=C772,AA773=AA772+1),IF(AC773=1,"",INDEX(DATAS,AA772+1)),INDEX(DATAS,AA772+1)),"")</f>
        <v/>
      </c>
    </row>
    <row r="773" customFormat="false" ht="15" hidden="false" customHeight="false" outlineLevel="0" collapsed="false">
      <c r="A773" s="51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46" t="s">
        <v>654</v>
      </c>
      <c r="G773" s="0" t="n">
        <v>47.1</v>
      </c>
      <c r="H773" s="0" t="n">
        <v>44</v>
      </c>
      <c r="I773" s="46" t="s">
        <v>152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51" t="n">
        <v>46177</v>
      </c>
      <c r="X773" s="46" t="n">
        <f aca="false">IF(I773="Male",0,1)</f>
        <v>1</v>
      </c>
      <c r="Y773" s="46" t="n">
        <f aca="false">IF(OR(I773="DNB",I773="Dry DNB"),1,0)</f>
        <v>0</v>
      </c>
      <c r="Z773" s="46" t="n">
        <f aca="false">IF(ISNUMBER(W773),A773-W773,"")</f>
        <v>132</v>
      </c>
      <c r="AA773" s="46" t="n">
        <f aca="false">MATCH(A773,DATAS,0)</f>
        <v>1</v>
      </c>
      <c r="AB773" s="46" t="n">
        <f aca="false">IF(AND(E773&gt;0,OR(AND(B773&gt;=1,B773&lt;=6),B773=10)),1,0)</f>
        <v>1</v>
      </c>
      <c r="AC773" s="46" t="n">
        <f aca="false">IF(AND(E773&gt;0,B773=10),1,0)</f>
        <v>0</v>
      </c>
      <c r="AD773" s="0" t="str">
        <f aca="false">IF(AND(C772=C773,AA772=AA773-1),AB772,"")</f>
        <v/>
      </c>
      <c r="AE773" s="0" t="str">
        <f aca="false">IF(AND(C772=C773,AA772=AA773-1),AC772,"")</f>
        <v/>
      </c>
      <c r="AF773" s="0" t="str">
        <f aca="false">IF(AA773=1,"",IF(AND(AB773=1,AD773&lt;&gt;1),1,0))</f>
        <v/>
      </c>
      <c r="AG773" s="0" t="str">
        <f aca="false">IF(AA773=1,"",IF(AND(AC773=1,AE773&lt;&gt;1),1,0))</f>
        <v/>
      </c>
      <c r="AH773" s="51" t="str">
        <f aca="false">IF(AND(E773&gt;0,AA773&lt;1,NOT(AND(C774=C773,AA774=AA773+1))),INDEX(DATAS,AA773+1),"")</f>
        <v/>
      </c>
      <c r="AI773" s="51" t="str">
        <f aca="false">IF(AND(AC773=1,AA773&lt;1),IF(AND(C774=C773,AA774=AA773+1),IF(AC774=1,"",INDEX(DATAS,AA773+1)),INDEX(DATAS,AA773+1)),"")</f>
        <v/>
      </c>
    </row>
    <row r="774" customFormat="false" ht="15" hidden="false" customHeight="false" outlineLevel="0" collapsed="false">
      <c r="A774" s="51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46" t="s">
        <v>655</v>
      </c>
      <c r="G774" s="0" t="n">
        <v>23.6</v>
      </c>
      <c r="H774" s="0" t="n">
        <v>22</v>
      </c>
      <c r="I774" s="46" t="s">
        <v>181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51" t="n">
        <v>46296</v>
      </c>
      <c r="X774" s="46" t="n">
        <f aca="false">IF(I774="Male",0,1)</f>
        <v>1</v>
      </c>
      <c r="Y774" s="46" t="n">
        <f aca="false">IF(OR(I774="DNB",I774="Dry DNB"),1,0)</f>
        <v>0</v>
      </c>
      <c r="Z774" s="46" t="n">
        <f aca="false">IF(ISNUMBER(W774),A774-W774,"")</f>
        <v>13</v>
      </c>
      <c r="AA774" s="46" t="n">
        <f aca="false">MATCH(A774,DATAS,0)</f>
        <v>1</v>
      </c>
      <c r="AB774" s="46" t="n">
        <f aca="false">IF(AND(E774&gt;0,OR(AND(B774&gt;=1,B774&lt;=6),B774=10)),1,0)</f>
        <v>1</v>
      </c>
      <c r="AC774" s="46" t="n">
        <f aca="false">IF(AND(E774&gt;0,B774=10),1,0)</f>
        <v>0</v>
      </c>
      <c r="AD774" s="0" t="str">
        <f aca="false">IF(AND(C773=C774,AA773=AA774-1),AB773,"")</f>
        <v/>
      </c>
      <c r="AE774" s="0" t="str">
        <f aca="false">IF(AND(C773=C774,AA773=AA774-1),AC773,"")</f>
        <v/>
      </c>
      <c r="AF774" s="0" t="str">
        <f aca="false">IF(AA774=1,"",IF(AND(AB774=1,AD774&lt;&gt;1),1,0))</f>
        <v/>
      </c>
      <c r="AG774" s="0" t="str">
        <f aca="false">IF(AA774=1,"",IF(AND(AC774=1,AE774&lt;&gt;1),1,0))</f>
        <v/>
      </c>
      <c r="AH774" s="51" t="str">
        <f aca="false">IF(AND(E774&gt;0,AA774&lt;1,NOT(AND(C775=C774,AA775=AA774+1))),INDEX(DATAS,AA774+1),"")</f>
        <v/>
      </c>
      <c r="AI774" s="51" t="str">
        <f aca="false">IF(AND(AC774=1,AA774&lt;1),IF(AND(C775=C774,AA775=AA774+1),IF(AC775=1,"",INDEX(DATAS,AA774+1)),INDEX(DATAS,AA774+1)),"")</f>
        <v/>
      </c>
    </row>
    <row r="775" customFormat="false" ht="15" hidden="false" customHeight="false" outlineLevel="0" collapsed="false">
      <c r="A775" s="51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46" t="s">
        <v>656</v>
      </c>
      <c r="G775" s="0" t="n">
        <v>47.3</v>
      </c>
      <c r="H775" s="0" t="n">
        <v>50</v>
      </c>
      <c r="I775" s="46" t="s">
        <v>152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51" t="n">
        <v>46198</v>
      </c>
      <c r="X775" s="46" t="n">
        <f aca="false">IF(I775="Male",0,1)</f>
        <v>1</v>
      </c>
      <c r="Y775" s="46" t="n">
        <f aca="false">IF(OR(I775="DNB",I775="Dry DNB"),1,0)</f>
        <v>0</v>
      </c>
      <c r="Z775" s="46" t="n">
        <f aca="false">IF(ISNUMBER(W775),A775-W775,"")</f>
        <v>111</v>
      </c>
      <c r="AA775" s="46" t="n">
        <f aca="false">MATCH(A775,DATAS,0)</f>
        <v>1</v>
      </c>
      <c r="AB775" s="46" t="n">
        <f aca="false">IF(AND(E775&gt;0,OR(AND(B775&gt;=1,B775&lt;=6),B775=10)),1,0)</f>
        <v>1</v>
      </c>
      <c r="AC775" s="46" t="n">
        <f aca="false">IF(AND(E775&gt;0,B775=10),1,0)</f>
        <v>0</v>
      </c>
      <c r="AD775" s="0" t="str">
        <f aca="false">IF(AND(C774=C775,AA774=AA775-1),AB774,"")</f>
        <v/>
      </c>
      <c r="AE775" s="0" t="str">
        <f aca="false">IF(AND(C774=C775,AA774=AA775-1),AC774,"")</f>
        <v/>
      </c>
      <c r="AF775" s="0" t="str">
        <f aca="false">IF(AA775=1,"",IF(AND(AB775=1,AD775&lt;&gt;1),1,0))</f>
        <v/>
      </c>
      <c r="AG775" s="0" t="str">
        <f aca="false">IF(AA775=1,"",IF(AND(AC775=1,AE775&lt;&gt;1),1,0))</f>
        <v/>
      </c>
      <c r="AH775" s="51" t="str">
        <f aca="false">IF(AND(E775&gt;0,AA775&lt;1,NOT(AND(C776=C775,AA776=AA775+1))),INDEX(DATAS,AA775+1),"")</f>
        <v/>
      </c>
      <c r="AI775" s="51" t="str">
        <f aca="false">IF(AND(AC775=1,AA775&lt;1),IF(AND(C776=C775,AA776=AA775+1),IF(AC776=1,"",INDEX(DATAS,AA775+1)),INDEX(DATAS,AA775+1)),"")</f>
        <v/>
      </c>
    </row>
    <row r="776" customFormat="false" ht="15" hidden="false" customHeight="false" outlineLevel="0" collapsed="false">
      <c r="A776" s="51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46" t="s">
        <v>656</v>
      </c>
      <c r="G776" s="0" t="n">
        <v>41.4</v>
      </c>
      <c r="H776" s="0" t="n">
        <v>46</v>
      </c>
      <c r="I776" s="46" t="s">
        <v>152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51" t="n">
        <v>46100</v>
      </c>
      <c r="X776" s="46" t="n">
        <f aca="false">IF(I776="Male",0,1)</f>
        <v>1</v>
      </c>
      <c r="Y776" s="46" t="n">
        <f aca="false">IF(OR(I776="DNB",I776="Dry DNB"),1,0)</f>
        <v>0</v>
      </c>
      <c r="Z776" s="46" t="n">
        <f aca="false">IF(ISNUMBER(W776),A776-W776,"")</f>
        <v>209</v>
      </c>
      <c r="AA776" s="46" t="n">
        <f aca="false">MATCH(A776,DATAS,0)</f>
        <v>1</v>
      </c>
      <c r="AB776" s="46" t="n">
        <f aca="false">IF(AND(E776&gt;0,OR(AND(B776&gt;=1,B776&lt;=6),B776=10)),1,0)</f>
        <v>1</v>
      </c>
      <c r="AC776" s="46" t="n">
        <f aca="false">IF(AND(E776&gt;0,B776=10),1,0)</f>
        <v>0</v>
      </c>
      <c r="AD776" s="0" t="str">
        <f aca="false">IF(AND(C775=C776,AA775=AA776-1),AB775,"")</f>
        <v/>
      </c>
      <c r="AE776" s="0" t="str">
        <f aca="false">IF(AND(C775=C776,AA775=AA776-1),AC775,"")</f>
        <v/>
      </c>
      <c r="AF776" s="0" t="str">
        <f aca="false">IF(AA776=1,"",IF(AND(AB776=1,AD776&lt;&gt;1),1,0))</f>
        <v/>
      </c>
      <c r="AG776" s="0" t="str">
        <f aca="false">IF(AA776=1,"",IF(AND(AC776=1,AE776&lt;&gt;1),1,0))</f>
        <v/>
      </c>
      <c r="AH776" s="51" t="str">
        <f aca="false">IF(AND(E776&gt;0,AA776&lt;1,NOT(AND(C777=C776,AA777=AA776+1))),INDEX(DATAS,AA776+1),"")</f>
        <v/>
      </c>
      <c r="AI776" s="51" t="str">
        <f aca="false">IF(AND(AC776=1,AA776&lt;1),IF(AND(C777=C776,AA777=AA776+1),IF(AC777=1,"",INDEX(DATAS,AA776+1)),INDEX(DATAS,AA776+1)),"")</f>
        <v/>
      </c>
    </row>
    <row r="777" customFormat="false" ht="15" hidden="false" customHeight="false" outlineLevel="0" collapsed="false">
      <c r="A777" s="51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46" t="s">
        <v>657</v>
      </c>
      <c r="G777" s="0" t="n">
        <v>41.9</v>
      </c>
      <c r="H777" s="0" t="n">
        <v>38</v>
      </c>
      <c r="I777" s="46" t="s">
        <v>152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51" t="n">
        <v>46212</v>
      </c>
      <c r="X777" s="46" t="n">
        <f aca="false">IF(I777="Male",0,1)</f>
        <v>1</v>
      </c>
      <c r="Y777" s="46" t="n">
        <f aca="false">IF(OR(I777="DNB",I777="Dry DNB"),1,0)</f>
        <v>0</v>
      </c>
      <c r="Z777" s="46" t="n">
        <f aca="false">IF(ISNUMBER(W777),A777-W777,"")</f>
        <v>97</v>
      </c>
      <c r="AA777" s="46" t="n">
        <f aca="false">MATCH(A777,DATAS,0)</f>
        <v>1</v>
      </c>
      <c r="AB777" s="46" t="n">
        <f aca="false">IF(AND(E777&gt;0,OR(AND(B777&gt;=1,B777&lt;=6),B777=10)),1,0)</f>
        <v>1</v>
      </c>
      <c r="AC777" s="46" t="n">
        <f aca="false">IF(AND(E777&gt;0,B777=10),1,0)</f>
        <v>0</v>
      </c>
      <c r="AD777" s="0" t="str">
        <f aca="false">IF(AND(C776=C777,AA776=AA777-1),AB776,"")</f>
        <v/>
      </c>
      <c r="AE777" s="0" t="str">
        <f aca="false">IF(AND(C776=C777,AA776=AA777-1),AC776,"")</f>
        <v/>
      </c>
      <c r="AF777" s="0" t="str">
        <f aca="false">IF(AA777=1,"",IF(AND(AB777=1,AD777&lt;&gt;1),1,0))</f>
        <v/>
      </c>
      <c r="AG777" s="0" t="str">
        <f aca="false">IF(AA777=1,"",IF(AND(AC777=1,AE777&lt;&gt;1),1,0))</f>
        <v/>
      </c>
      <c r="AH777" s="51" t="str">
        <f aca="false">IF(AND(E777&gt;0,AA777&lt;1,NOT(AND(C778=C777,AA778=AA777+1))),INDEX(DATAS,AA777+1),"")</f>
        <v/>
      </c>
      <c r="AI777" s="51" t="str">
        <f aca="false">IF(AND(AC777=1,AA777&lt;1),IF(AND(C778=C777,AA778=AA777+1),IF(AC778=1,"",INDEX(DATAS,AA777+1)),INDEX(DATAS,AA777+1)),"")</f>
        <v/>
      </c>
    </row>
    <row r="778" customFormat="false" ht="15" hidden="false" customHeight="false" outlineLevel="0" collapsed="false">
      <c r="A778" s="51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46" t="s">
        <v>658</v>
      </c>
      <c r="I778" s="46" t="s">
        <v>157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51" t="n">
        <v>46037</v>
      </c>
      <c r="X778" s="46" t="n">
        <f aca="false">IF(I778="Male",0,1)</f>
        <v>1</v>
      </c>
      <c r="Y778" s="46" t="n">
        <f aca="false">IF(OR(I778="DNB",I778="Dry DNB"),1,0)</f>
        <v>0</v>
      </c>
      <c r="Z778" s="46" t="n">
        <f aca="false">IF(ISNUMBER(W778),A778-W778,"")</f>
        <v>272</v>
      </c>
      <c r="AA778" s="46" t="n">
        <f aca="false">MATCH(A778,DATAS,0)</f>
        <v>1</v>
      </c>
      <c r="AB778" s="46" t="n">
        <f aca="false">IF(AND(E778&gt;0,OR(AND(B778&gt;=1,B778&lt;=6),B778=10)),1,0)</f>
        <v>0</v>
      </c>
      <c r="AC778" s="46" t="n">
        <f aca="false">IF(AND(E778&gt;0,B778=10),1,0)</f>
        <v>0</v>
      </c>
      <c r="AD778" s="0" t="str">
        <f aca="false">IF(AND(C777=C778,AA777=AA778-1),AB777,"")</f>
        <v/>
      </c>
      <c r="AE778" s="0" t="str">
        <f aca="false">IF(AND(C777=C778,AA777=AA778-1),AC777,"")</f>
        <v/>
      </c>
      <c r="AF778" s="0" t="str">
        <f aca="false">IF(AA778=1,"",IF(AND(AB778=1,AD778&lt;&gt;1),1,0))</f>
        <v/>
      </c>
      <c r="AG778" s="0" t="str">
        <f aca="false">IF(AA778=1,"",IF(AND(AC778=1,AE778&lt;&gt;1),1,0))</f>
        <v/>
      </c>
      <c r="AH778" s="51" t="str">
        <f aca="false">IF(AND(E778&gt;0,AA778&lt;1,NOT(AND(C779=C778,AA779=AA778+1))),INDEX(DATAS,AA778+1),"")</f>
        <v/>
      </c>
      <c r="AI778" s="51" t="str">
        <f aca="false">IF(AND(AC778=1,AA778&lt;1),IF(AND(C779=C778,AA779=AA778+1),IF(AC779=1,"",INDEX(DATAS,AA778+1)),INDEX(DATAS,AA778+1)),"")</f>
        <v/>
      </c>
    </row>
    <row r="779" customFormat="false" ht="15" hidden="false" customHeight="false" outlineLevel="0" collapsed="false">
      <c r="A779" s="51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46" t="s">
        <v>659</v>
      </c>
      <c r="G779" s="0" t="n">
        <v>38.2</v>
      </c>
      <c r="H779" s="0" t="n">
        <v>35</v>
      </c>
      <c r="I779" s="46" t="s">
        <v>181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51" t="n">
        <v>46256</v>
      </c>
      <c r="X779" s="46" t="n">
        <f aca="false">IF(I779="Male",0,1)</f>
        <v>1</v>
      </c>
      <c r="Y779" s="46" t="n">
        <f aca="false">IF(OR(I779="DNB",I779="Dry DNB"),1,0)</f>
        <v>0</v>
      </c>
      <c r="Z779" s="46" t="n">
        <f aca="false">IF(ISNUMBER(W779),A779-W779,"")</f>
        <v>53</v>
      </c>
      <c r="AA779" s="46" t="n">
        <f aca="false">MATCH(A779,DATAS,0)</f>
        <v>1</v>
      </c>
      <c r="AB779" s="46" t="n">
        <f aca="false">IF(AND(E779&gt;0,OR(AND(B779&gt;=1,B779&lt;=6),B779=10)),1,0)</f>
        <v>1</v>
      </c>
      <c r="AC779" s="46" t="n">
        <f aca="false">IF(AND(E779&gt;0,B779=10),1,0)</f>
        <v>0</v>
      </c>
      <c r="AD779" s="0" t="str">
        <f aca="false">IF(AND(C778=C779,AA778=AA779-1),AB778,"")</f>
        <v/>
      </c>
      <c r="AE779" s="0" t="str">
        <f aca="false">IF(AND(C778=C779,AA778=AA779-1),AC778,"")</f>
        <v/>
      </c>
      <c r="AF779" s="0" t="str">
        <f aca="false">IF(AA779=1,"",IF(AND(AB779=1,AD779&lt;&gt;1),1,0))</f>
        <v/>
      </c>
      <c r="AG779" s="0" t="str">
        <f aca="false">IF(AA779=1,"",IF(AND(AC779=1,AE779&lt;&gt;1),1,0))</f>
        <v/>
      </c>
      <c r="AH779" s="51" t="str">
        <f aca="false">IF(AND(E779&gt;0,AA779&lt;1,NOT(AND(C780=C779,AA780=AA779+1))),INDEX(DATAS,AA779+1),"")</f>
        <v/>
      </c>
      <c r="AI779" s="51" t="str">
        <f aca="false">IF(AND(AC779=1,AA779&lt;1),IF(AND(C780=C779,AA780=AA779+1),IF(AC780=1,"",INDEX(DATAS,AA779+1)),INDEX(DATAS,AA779+1)),"")</f>
        <v/>
      </c>
    </row>
    <row r="780" customFormat="false" ht="15" hidden="false" customHeight="false" outlineLevel="0" collapsed="false">
      <c r="A780" s="51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46" t="s">
        <v>659</v>
      </c>
      <c r="G780" s="0" t="n">
        <v>34.8</v>
      </c>
      <c r="H780" s="0" t="n">
        <v>35</v>
      </c>
      <c r="I780" s="46" t="s">
        <v>152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51" t="n">
        <v>46163</v>
      </c>
      <c r="X780" s="46" t="n">
        <f aca="false">IF(I780="Male",0,1)</f>
        <v>1</v>
      </c>
      <c r="Y780" s="46" t="n">
        <f aca="false">IF(OR(I780="DNB",I780="Dry DNB"),1,0)</f>
        <v>0</v>
      </c>
      <c r="Z780" s="46" t="n">
        <f aca="false">IF(ISNUMBER(W780),A780-W780,"")</f>
        <v>146</v>
      </c>
      <c r="AA780" s="46" t="n">
        <f aca="false">MATCH(A780,DATAS,0)</f>
        <v>1</v>
      </c>
      <c r="AB780" s="46" t="n">
        <f aca="false">IF(AND(E780&gt;0,OR(AND(B780&gt;=1,B780&lt;=6),B780=10)),1,0)</f>
        <v>1</v>
      </c>
      <c r="AC780" s="46" t="n">
        <f aca="false">IF(AND(E780&gt;0,B780=10),1,0)</f>
        <v>0</v>
      </c>
      <c r="AD780" s="0" t="str">
        <f aca="false">IF(AND(C779=C780,AA779=AA780-1),AB779,"")</f>
        <v/>
      </c>
      <c r="AE780" s="0" t="str">
        <f aca="false">IF(AND(C779=C780,AA779=AA780-1),AC779,"")</f>
        <v/>
      </c>
      <c r="AF780" s="0" t="str">
        <f aca="false">IF(AA780=1,"",IF(AND(AB780=1,AD780&lt;&gt;1),1,0))</f>
        <v/>
      </c>
      <c r="AG780" s="0" t="str">
        <f aca="false">IF(AA780=1,"",IF(AND(AC780=1,AE780&lt;&gt;1),1,0))</f>
        <v/>
      </c>
      <c r="AH780" s="51" t="str">
        <f aca="false">IF(AND(E780&gt;0,AA780&lt;1,NOT(AND(C781=C780,AA781=AA780+1))),INDEX(DATAS,AA780+1),"")</f>
        <v/>
      </c>
      <c r="AI780" s="51" t="str">
        <f aca="false">IF(AND(AC780=1,AA780&lt;1),IF(AND(C781=C780,AA781=AA780+1),IF(AC781=1,"",INDEX(DATAS,AA780+1)),INDEX(DATAS,AA780+1)),"")</f>
        <v/>
      </c>
    </row>
    <row r="781" customFormat="false" ht="15" hidden="false" customHeight="false" outlineLevel="0" collapsed="false">
      <c r="A781" s="51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46" t="s">
        <v>660</v>
      </c>
      <c r="G781" s="0" t="n">
        <v>53.9</v>
      </c>
      <c r="H781" s="0" t="n">
        <v>55</v>
      </c>
      <c r="I781" s="46" t="s">
        <v>189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51" t="n">
        <v>46251</v>
      </c>
      <c r="X781" s="46" t="n">
        <f aca="false">IF(I781="Male",0,1)</f>
        <v>1</v>
      </c>
      <c r="Y781" s="46" t="n">
        <f aca="false">IF(OR(I781="DNB",I781="Dry DNB"),1,0)</f>
        <v>0</v>
      </c>
      <c r="Z781" s="46" t="n">
        <f aca="false">IF(ISNUMBER(W781),A781-W781,"")</f>
        <v>58</v>
      </c>
      <c r="AA781" s="46" t="n">
        <f aca="false">MATCH(A781,DATAS,0)</f>
        <v>1</v>
      </c>
      <c r="AB781" s="46" t="n">
        <f aca="false">IF(AND(E781&gt;0,OR(AND(B781&gt;=1,B781&lt;=6),B781=10)),1,0)</f>
        <v>1</v>
      </c>
      <c r="AC781" s="46" t="n">
        <f aca="false">IF(AND(E781&gt;0,B781=10),1,0)</f>
        <v>0</v>
      </c>
      <c r="AD781" s="0" t="str">
        <f aca="false">IF(AND(C780=C781,AA780=AA781-1),AB780,"")</f>
        <v/>
      </c>
      <c r="AE781" s="0" t="str">
        <f aca="false">IF(AND(C780=C781,AA780=AA781-1),AC780,"")</f>
        <v/>
      </c>
      <c r="AF781" s="0" t="str">
        <f aca="false">IF(AA781=1,"",IF(AND(AB781=1,AD781&lt;&gt;1),1,0))</f>
        <v/>
      </c>
      <c r="AG781" s="0" t="str">
        <f aca="false">IF(AA781=1,"",IF(AND(AC781=1,AE781&lt;&gt;1),1,0))</f>
        <v/>
      </c>
      <c r="AH781" s="51" t="str">
        <f aca="false">IF(AND(E781&gt;0,AA781&lt;1,NOT(AND(C782=C781,AA782=AA781+1))),INDEX(DATAS,AA781+1),"")</f>
        <v/>
      </c>
      <c r="AI781" s="51" t="str">
        <f aca="false">IF(AND(AC781=1,AA781&lt;1),IF(AND(C782=C781,AA782=AA781+1),IF(AC782=1,"",INDEX(DATAS,AA781+1)),INDEX(DATAS,AA781+1)),"")</f>
        <v/>
      </c>
    </row>
    <row r="782" customFormat="false" ht="15" hidden="false" customHeight="false" outlineLevel="0" collapsed="false">
      <c r="A782" s="51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46" t="s">
        <v>660</v>
      </c>
      <c r="G782" s="0" t="n">
        <v>54</v>
      </c>
      <c r="H782" s="0" t="n">
        <v>55</v>
      </c>
      <c r="I782" s="46" t="s">
        <v>152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51" t="n">
        <v>46261</v>
      </c>
      <c r="X782" s="46" t="n">
        <f aca="false">IF(I782="Male",0,1)</f>
        <v>1</v>
      </c>
      <c r="Y782" s="46" t="n">
        <f aca="false">IF(OR(I782="DNB",I782="Dry DNB"),1,0)</f>
        <v>0</v>
      </c>
      <c r="Z782" s="46" t="n">
        <f aca="false">IF(ISNUMBER(W782),A782-W782,"")</f>
        <v>48</v>
      </c>
      <c r="AA782" s="46" t="n">
        <f aca="false">MATCH(A782,DATAS,0)</f>
        <v>1</v>
      </c>
      <c r="AB782" s="46" t="n">
        <f aca="false">IF(AND(E782&gt;0,OR(AND(B782&gt;=1,B782&lt;=6),B782=10)),1,0)</f>
        <v>1</v>
      </c>
      <c r="AC782" s="46" t="n">
        <f aca="false">IF(AND(E782&gt;0,B782=10),1,0)</f>
        <v>0</v>
      </c>
      <c r="AD782" s="0" t="str">
        <f aca="false">IF(AND(C781=C782,AA781=AA782-1),AB781,"")</f>
        <v/>
      </c>
      <c r="AE782" s="0" t="str">
        <f aca="false">IF(AND(C781=C782,AA781=AA782-1),AC781,"")</f>
        <v/>
      </c>
      <c r="AF782" s="0" t="str">
        <f aca="false">IF(AA782=1,"",IF(AND(AB782=1,AD782&lt;&gt;1),1,0))</f>
        <v/>
      </c>
      <c r="AG782" s="0" t="str">
        <f aca="false">IF(AA782=1,"",IF(AND(AC782=1,AE782&lt;&gt;1),1,0))</f>
        <v/>
      </c>
      <c r="AH782" s="51" t="str">
        <f aca="false">IF(AND(E782&gt;0,AA782&lt;1,NOT(AND(C783=C782,AA783=AA782+1))),INDEX(DATAS,AA782+1),"")</f>
        <v/>
      </c>
      <c r="AI782" s="51" t="str">
        <f aca="false">IF(AND(AC782=1,AA782&lt;1),IF(AND(C783=C782,AA783=AA782+1),IF(AC783=1,"",INDEX(DATAS,AA782+1)),INDEX(DATAS,AA782+1)),"")</f>
        <v/>
      </c>
    </row>
    <row r="783" customFormat="false" ht="15" hidden="false" customHeight="false" outlineLevel="0" collapsed="false">
      <c r="A783" s="51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46" t="s">
        <v>660</v>
      </c>
      <c r="I783" s="46" t="s">
        <v>490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51" t="n">
        <v>46303</v>
      </c>
      <c r="X783" s="46" t="n">
        <f aca="false">IF(I783="Male",0,1)</f>
        <v>1</v>
      </c>
      <c r="Y783" s="46" t="n">
        <f aca="false">IF(OR(I783="DNB",I783="Dry DNB"),1,0)</f>
        <v>0</v>
      </c>
      <c r="Z783" s="46" t="n">
        <f aca="false">IF(ISNUMBER(W783),A783-W783,"")</f>
        <v>6</v>
      </c>
      <c r="AA783" s="46" t="n">
        <f aca="false">MATCH(A783,DATAS,0)</f>
        <v>1</v>
      </c>
      <c r="AB783" s="46" t="n">
        <f aca="false">IF(AND(E783&gt;0,OR(AND(B783&gt;=1,B783&lt;=6),B783=10)),1,0)</f>
        <v>0</v>
      </c>
      <c r="AC783" s="46" t="n">
        <f aca="false">IF(AND(E783&gt;0,B783=10),1,0)</f>
        <v>0</v>
      </c>
      <c r="AD783" s="0" t="str">
        <f aca="false">IF(AND(C782=C783,AA782=AA783-1),AB782,"")</f>
        <v/>
      </c>
      <c r="AE783" s="0" t="str">
        <f aca="false">IF(AND(C782=C783,AA782=AA783-1),AC782,"")</f>
        <v/>
      </c>
      <c r="AF783" s="0" t="str">
        <f aca="false">IF(AA783=1,"",IF(AND(AB783=1,AD783&lt;&gt;1),1,0))</f>
        <v/>
      </c>
      <c r="AG783" s="0" t="str">
        <f aca="false">IF(AA783=1,"",IF(AND(AC783=1,AE783&lt;&gt;1),1,0))</f>
        <v/>
      </c>
      <c r="AH783" s="51" t="str">
        <f aca="false">IF(AND(E783&gt;0,AA783&lt;1,NOT(AND(C784=C783,AA784=AA783+1))),INDEX(DATAS,AA783+1),"")</f>
        <v/>
      </c>
      <c r="AI783" s="51" t="str">
        <f aca="false">IF(AND(AC783=1,AA783&lt;1),IF(AND(C784=C783,AA784=AA783+1),IF(AC784=1,"",INDEX(DATAS,AA783+1)),INDEX(DATAS,AA783+1)),"")</f>
        <v/>
      </c>
    </row>
    <row r="784" customFormat="false" ht="15" hidden="false" customHeight="false" outlineLevel="0" collapsed="false">
      <c r="A784" s="51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46" t="s">
        <v>661</v>
      </c>
      <c r="G784" s="0" t="n">
        <v>53.2</v>
      </c>
      <c r="H784" s="0" t="n">
        <v>54</v>
      </c>
      <c r="I784" s="46" t="s">
        <v>181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51" t="n">
        <v>46282</v>
      </c>
      <c r="X784" s="46" t="n">
        <f aca="false">IF(I784="Male",0,1)</f>
        <v>1</v>
      </c>
      <c r="Y784" s="46" t="n">
        <f aca="false">IF(OR(I784="DNB",I784="Dry DNB"),1,0)</f>
        <v>0</v>
      </c>
      <c r="Z784" s="46" t="n">
        <f aca="false">IF(ISNUMBER(W784),A784-W784,"")</f>
        <v>27</v>
      </c>
      <c r="AA784" s="46" t="n">
        <f aca="false">MATCH(A784,DATAS,0)</f>
        <v>1</v>
      </c>
      <c r="AB784" s="46" t="n">
        <f aca="false">IF(AND(E784&gt;0,OR(AND(B784&gt;=1,B784&lt;=6),B784=10)),1,0)</f>
        <v>1</v>
      </c>
      <c r="AC784" s="46" t="n">
        <f aca="false">IF(AND(E784&gt;0,B784=10),1,0)</f>
        <v>0</v>
      </c>
      <c r="AD784" s="0" t="str">
        <f aca="false">IF(AND(C783=C784,AA783=AA784-1),AB783,"")</f>
        <v/>
      </c>
      <c r="AE784" s="0" t="str">
        <f aca="false">IF(AND(C783=C784,AA783=AA784-1),AC783,"")</f>
        <v/>
      </c>
      <c r="AF784" s="0" t="str">
        <f aca="false">IF(AA784=1,"",IF(AND(AB784=1,AD784&lt;&gt;1),1,0))</f>
        <v/>
      </c>
      <c r="AG784" s="0" t="str">
        <f aca="false">IF(AA784=1,"",IF(AND(AC784=1,AE784&lt;&gt;1),1,0))</f>
        <v/>
      </c>
      <c r="AH784" s="51" t="str">
        <f aca="false">IF(AND(E784&gt;0,AA784&lt;1,NOT(AND(C785=C784,AA785=AA784+1))),INDEX(DATAS,AA784+1),"")</f>
        <v/>
      </c>
      <c r="AI784" s="51" t="str">
        <f aca="false">IF(AND(AC784=1,AA784&lt;1),IF(AND(C785=C784,AA785=AA784+1),IF(AC785=1,"",INDEX(DATAS,AA784+1)),INDEX(DATAS,AA784+1)),"")</f>
        <v/>
      </c>
    </row>
    <row r="785" customFormat="false" ht="15" hidden="false" customHeight="false" outlineLevel="0" collapsed="false">
      <c r="A785" s="51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46" t="s">
        <v>662</v>
      </c>
      <c r="G785" s="0" t="n">
        <v>30.7</v>
      </c>
      <c r="H785" s="0" t="n">
        <v>28</v>
      </c>
      <c r="I785" s="46" t="s">
        <v>152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51" t="n">
        <v>46135</v>
      </c>
      <c r="X785" s="46" t="n">
        <f aca="false">IF(I785="Male",0,1)</f>
        <v>1</v>
      </c>
      <c r="Y785" s="46" t="n">
        <f aca="false">IF(OR(I785="DNB",I785="Dry DNB"),1,0)</f>
        <v>0</v>
      </c>
      <c r="Z785" s="46" t="n">
        <f aca="false">IF(ISNUMBER(W785),A785-W785,"")</f>
        <v>174</v>
      </c>
      <c r="AA785" s="46" t="n">
        <f aca="false">MATCH(A785,DATAS,0)</f>
        <v>1</v>
      </c>
      <c r="AB785" s="46" t="n">
        <f aca="false">IF(AND(E785&gt;0,OR(AND(B785&gt;=1,B785&lt;=6),B785=10)),1,0)</f>
        <v>1</v>
      </c>
      <c r="AC785" s="46" t="n">
        <f aca="false">IF(AND(E785&gt;0,B785=10),1,0)</f>
        <v>0</v>
      </c>
      <c r="AD785" s="0" t="str">
        <f aca="false">IF(AND(C784=C785,AA784=AA785-1),AB784,"")</f>
        <v/>
      </c>
      <c r="AE785" s="0" t="str">
        <f aca="false">IF(AND(C784=C785,AA784=AA785-1),AC784,"")</f>
        <v/>
      </c>
      <c r="AF785" s="0" t="str">
        <f aca="false">IF(AA785=1,"",IF(AND(AB785=1,AD785&lt;&gt;1),1,0))</f>
        <v/>
      </c>
      <c r="AG785" s="0" t="str">
        <f aca="false">IF(AA785=1,"",IF(AND(AC785=1,AE785&lt;&gt;1),1,0))</f>
        <v/>
      </c>
      <c r="AH785" s="51" t="str">
        <f aca="false">IF(AND(E785&gt;0,AA785&lt;1,NOT(AND(C786=C785,AA786=AA785+1))),INDEX(DATAS,AA785+1),"")</f>
        <v/>
      </c>
      <c r="AI785" s="51" t="str">
        <f aca="false">IF(AND(AC785=1,AA785&lt;1),IF(AND(C786=C785,AA786=AA785+1),IF(AC786=1,"",INDEX(DATAS,AA785+1)),INDEX(DATAS,AA785+1)),"")</f>
        <v/>
      </c>
    </row>
    <row r="786" customFormat="false" ht="15" hidden="false" customHeight="false" outlineLevel="0" collapsed="false">
      <c r="A786" s="51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46" t="s">
        <v>663</v>
      </c>
      <c r="H786" s="0" t="n">
        <v>26</v>
      </c>
      <c r="I786" s="46" t="s">
        <v>152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51" t="n">
        <v>46254</v>
      </c>
      <c r="X786" s="46" t="n">
        <f aca="false">IF(I786="Male",0,1)</f>
        <v>1</v>
      </c>
      <c r="Y786" s="46" t="n">
        <f aca="false">IF(OR(I786="DNB",I786="Dry DNB"),1,0)</f>
        <v>0</v>
      </c>
      <c r="Z786" s="46" t="n">
        <f aca="false">IF(ISNUMBER(W786),A786-W786,"")</f>
        <v>55</v>
      </c>
      <c r="AA786" s="46" t="n">
        <f aca="false">MATCH(A786,DATAS,0)</f>
        <v>1</v>
      </c>
      <c r="AB786" s="46" t="n">
        <f aca="false">IF(AND(E786&gt;0,OR(AND(B786&gt;=1,B786&lt;=6),B786=10)),1,0)</f>
        <v>1</v>
      </c>
      <c r="AC786" s="46" t="n">
        <f aca="false">IF(AND(E786&gt;0,B786=10),1,0)</f>
        <v>1</v>
      </c>
      <c r="AD786" s="0" t="str">
        <f aca="false">IF(AND(C785=C786,AA785=AA786-1),AB785,"")</f>
        <v/>
      </c>
      <c r="AE786" s="0" t="str">
        <f aca="false">IF(AND(C785=C786,AA785=AA786-1),AC785,"")</f>
        <v/>
      </c>
      <c r="AF786" s="0" t="str">
        <f aca="false">IF(AA786=1,"",IF(AND(AB786=1,AD786&lt;&gt;1),1,0))</f>
        <v/>
      </c>
      <c r="AG786" s="0" t="str">
        <f aca="false">IF(AA786=1,"",IF(AND(AC786=1,AE786&lt;&gt;1),1,0))</f>
        <v/>
      </c>
      <c r="AH786" s="51" t="str">
        <f aca="false">IF(AND(E786&gt;0,AA786&lt;1,NOT(AND(C787=C786,AA787=AA786+1))),INDEX(DATAS,AA786+1),"")</f>
        <v/>
      </c>
      <c r="AI786" s="51" t="str">
        <f aca="false">IF(AND(AC786=1,AA786&lt;1),IF(AND(C787=C786,AA787=AA786+1),IF(AC787=1,"",INDEX(DATAS,AA786+1)),INDEX(DATAS,AA786+1)),"")</f>
        <v/>
      </c>
    </row>
    <row r="787" customFormat="false" ht="15" hidden="false" customHeight="false" outlineLevel="0" collapsed="false">
      <c r="A787" s="51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46" t="s">
        <v>663</v>
      </c>
      <c r="G787" s="0" t="n">
        <v>44.8</v>
      </c>
      <c r="H787" s="0" t="n">
        <v>44</v>
      </c>
      <c r="I787" s="46" t="s">
        <v>181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51" t="n">
        <v>46282</v>
      </c>
      <c r="X787" s="46" t="n">
        <f aca="false">IF(I787="Male",0,1)</f>
        <v>1</v>
      </c>
      <c r="Y787" s="46" t="n">
        <f aca="false">IF(OR(I787="DNB",I787="Dry DNB"),1,0)</f>
        <v>0</v>
      </c>
      <c r="Z787" s="46" t="n">
        <f aca="false">IF(ISNUMBER(W787),A787-W787,"")</f>
        <v>27</v>
      </c>
      <c r="AA787" s="46" t="n">
        <f aca="false">MATCH(A787,DATAS,0)</f>
        <v>1</v>
      </c>
      <c r="AB787" s="46" t="n">
        <f aca="false">IF(AND(E787&gt;0,OR(AND(B787&gt;=1,B787&lt;=6),B787=10)),1,0)</f>
        <v>1</v>
      </c>
      <c r="AC787" s="46" t="n">
        <f aca="false">IF(AND(E787&gt;0,B787=10),1,0)</f>
        <v>0</v>
      </c>
      <c r="AD787" s="0" t="str">
        <f aca="false">IF(AND(C786=C787,AA786=AA787-1),AB786,"")</f>
        <v/>
      </c>
      <c r="AE787" s="0" t="str">
        <f aca="false">IF(AND(C786=C787,AA786=AA787-1),AC786,"")</f>
        <v/>
      </c>
      <c r="AF787" s="0" t="str">
        <f aca="false">IF(AA787=1,"",IF(AND(AB787=1,AD787&lt;&gt;1),1,0))</f>
        <v/>
      </c>
      <c r="AG787" s="0" t="str">
        <f aca="false">IF(AA787=1,"",IF(AND(AC787=1,AE787&lt;&gt;1),1,0))</f>
        <v/>
      </c>
      <c r="AH787" s="51" t="str">
        <f aca="false">IF(AND(E787&gt;0,AA787&lt;1,NOT(AND(C788=C787,AA788=AA787+1))),INDEX(DATAS,AA787+1),"")</f>
        <v/>
      </c>
      <c r="AI787" s="51" t="str">
        <f aca="false">IF(AND(AC787=1,AA787&lt;1),IF(AND(C788=C787,AA788=AA787+1),IF(AC788=1,"",INDEX(DATAS,AA787+1)),INDEX(DATAS,AA787+1)),"")</f>
        <v/>
      </c>
    </row>
    <row r="788" customFormat="false" ht="15" hidden="false" customHeight="false" outlineLevel="0" collapsed="false">
      <c r="A788" s="51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46" t="s">
        <v>663</v>
      </c>
      <c r="G788" s="0" t="n">
        <v>48.1</v>
      </c>
      <c r="H788" s="0" t="n">
        <v>43</v>
      </c>
      <c r="I788" s="46" t="s">
        <v>181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51" t="n">
        <v>46296</v>
      </c>
      <c r="X788" s="46" t="n">
        <f aca="false">IF(I788="Male",0,1)</f>
        <v>1</v>
      </c>
      <c r="Y788" s="46" t="n">
        <f aca="false">IF(OR(I788="DNB",I788="Dry DNB"),1,0)</f>
        <v>0</v>
      </c>
      <c r="Z788" s="46" t="n">
        <f aca="false">IF(ISNUMBER(W788),A788-W788,"")</f>
        <v>13</v>
      </c>
      <c r="AA788" s="46" t="n">
        <f aca="false">MATCH(A788,DATAS,0)</f>
        <v>1</v>
      </c>
      <c r="AB788" s="46" t="n">
        <f aca="false">IF(AND(E788&gt;0,OR(AND(B788&gt;=1,B788&lt;=6),B788=10)),1,0)</f>
        <v>1</v>
      </c>
      <c r="AC788" s="46" t="n">
        <f aca="false">IF(AND(E788&gt;0,B788=10),1,0)</f>
        <v>0</v>
      </c>
      <c r="AD788" s="0" t="str">
        <f aca="false">IF(AND(C787=C788,AA787=AA788-1),AB787,"")</f>
        <v/>
      </c>
      <c r="AE788" s="0" t="str">
        <f aca="false">IF(AND(C787=C788,AA787=AA788-1),AC787,"")</f>
        <v/>
      </c>
      <c r="AF788" s="0" t="str">
        <f aca="false">IF(AA788=1,"",IF(AND(AB788=1,AD788&lt;&gt;1),1,0))</f>
        <v/>
      </c>
      <c r="AG788" s="0" t="str">
        <f aca="false">IF(AA788=1,"",IF(AND(AC788=1,AE788&lt;&gt;1),1,0))</f>
        <v/>
      </c>
      <c r="AH788" s="51" t="str">
        <f aca="false">IF(AND(E788&gt;0,AA788&lt;1,NOT(AND(C789=C788,AA789=AA788+1))),INDEX(DATAS,AA788+1),"")</f>
        <v/>
      </c>
      <c r="AI788" s="51" t="str">
        <f aca="false">IF(AND(AC788=1,AA788&lt;1),IF(AND(C789=C788,AA789=AA788+1),IF(AC789=1,"",INDEX(DATAS,AA788+1)),INDEX(DATAS,AA788+1)),"")</f>
        <v/>
      </c>
    </row>
    <row r="789" customFormat="false" ht="15" hidden="false" customHeight="false" outlineLevel="0" collapsed="false">
      <c r="A789" s="51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46" t="s">
        <v>664</v>
      </c>
      <c r="G789" s="0" t="n">
        <v>34.5</v>
      </c>
      <c r="H789" s="0" t="n">
        <v>37</v>
      </c>
      <c r="I789" s="46" t="s">
        <v>161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X789" s="46" t="n">
        <f aca="false">IF(I789="Male",0,1)</f>
        <v>1</v>
      </c>
      <c r="Y789" s="46" t="n">
        <f aca="false">IF(OR(I789="DNB",I789="Dry DNB"),1,0)</f>
        <v>0</v>
      </c>
      <c r="Z789" s="0" t="str">
        <f aca="false">IF(ISNUMBER(W789),A789-W789,"")</f>
        <v/>
      </c>
      <c r="AA789" s="46" t="n">
        <f aca="false">MATCH(A789,DATAS,0)</f>
        <v>1</v>
      </c>
      <c r="AB789" s="46" t="n">
        <f aca="false">IF(AND(E789&gt;0,OR(AND(B789&gt;=1,B789&lt;=6),B789=10)),1,0)</f>
        <v>1</v>
      </c>
      <c r="AC789" s="46" t="n">
        <f aca="false">IF(AND(E789&gt;0,B789=10),1,0)</f>
        <v>0</v>
      </c>
      <c r="AD789" s="0" t="str">
        <f aca="false">IF(AND(C788=C789,AA788=AA789-1),AB788,"")</f>
        <v/>
      </c>
      <c r="AE789" s="0" t="str">
        <f aca="false">IF(AND(C788=C789,AA788=AA789-1),AC788,"")</f>
        <v/>
      </c>
      <c r="AF789" s="0" t="str">
        <f aca="false">IF(AA789=1,"",IF(AND(AB789=1,AD789&lt;&gt;1),1,0))</f>
        <v/>
      </c>
      <c r="AG789" s="0" t="str">
        <f aca="false">IF(AA789=1,"",IF(AND(AC789=1,AE789&lt;&gt;1),1,0))</f>
        <v/>
      </c>
      <c r="AH789" s="51" t="str">
        <f aca="false">IF(AND(E789&gt;0,AA789&lt;1,NOT(AND(C790=C789,AA790=AA789+1))),INDEX(DATAS,AA789+1),"")</f>
        <v/>
      </c>
      <c r="AI789" s="51" t="str">
        <f aca="false">IF(AND(AC789=1,AA789&lt;1),IF(AND(C790=C789,AA790=AA789+1),IF(AC790=1,"",INDEX(DATAS,AA789+1)),INDEX(DATAS,AA789+1)),"")</f>
        <v/>
      </c>
    </row>
    <row r="790" customFormat="false" ht="15" hidden="false" customHeight="false" outlineLevel="0" collapsed="false">
      <c r="A790" s="51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46" t="s">
        <v>665</v>
      </c>
      <c r="I790" s="46" t="s">
        <v>157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51" t="n">
        <v>46044</v>
      </c>
      <c r="X790" s="46" t="n">
        <f aca="false">IF(I790="Male",0,1)</f>
        <v>1</v>
      </c>
      <c r="Y790" s="46" t="n">
        <f aca="false">IF(OR(I790="DNB",I790="Dry DNB"),1,0)</f>
        <v>0</v>
      </c>
      <c r="Z790" s="46" t="n">
        <f aca="false">IF(ISNUMBER(W790),A790-W790,"")</f>
        <v>265</v>
      </c>
      <c r="AA790" s="46" t="n">
        <f aca="false">MATCH(A790,DATAS,0)</f>
        <v>1</v>
      </c>
      <c r="AB790" s="46" t="n">
        <f aca="false">IF(AND(E790&gt;0,OR(AND(B790&gt;=1,B790&lt;=6),B790=10)),1,0)</f>
        <v>0</v>
      </c>
      <c r="AC790" s="46" t="n">
        <f aca="false">IF(AND(E790&gt;0,B790=10),1,0)</f>
        <v>0</v>
      </c>
      <c r="AD790" s="0" t="str">
        <f aca="false">IF(AND(C789=C790,AA789=AA790-1),AB789,"")</f>
        <v/>
      </c>
      <c r="AE790" s="0" t="str">
        <f aca="false">IF(AND(C789=C790,AA789=AA790-1),AC789,"")</f>
        <v/>
      </c>
      <c r="AF790" s="0" t="str">
        <f aca="false">IF(AA790=1,"",IF(AND(AB790=1,AD790&lt;&gt;1),1,0))</f>
        <v/>
      </c>
      <c r="AG790" s="0" t="str">
        <f aca="false">IF(AA790=1,"",IF(AND(AC790=1,AE790&lt;&gt;1),1,0))</f>
        <v/>
      </c>
      <c r="AH790" s="51" t="str">
        <f aca="false">IF(AND(E790&gt;0,AA790&lt;1,NOT(AND(C791=C790,AA791=AA790+1))),INDEX(DATAS,AA790+1),"")</f>
        <v/>
      </c>
      <c r="AI790" s="51" t="str">
        <f aca="false">IF(AND(AC790=1,AA790&lt;1),IF(AND(C791=C790,AA791=AA790+1),IF(AC791=1,"",INDEX(DATAS,AA790+1)),INDEX(DATAS,AA790+1)),"")</f>
        <v/>
      </c>
    </row>
    <row r="791" customFormat="false" ht="15" hidden="false" customHeight="false" outlineLevel="0" collapsed="false">
      <c r="A791" s="51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46" t="s">
        <v>666</v>
      </c>
      <c r="G791" s="0" t="n">
        <v>47.3</v>
      </c>
      <c r="H791" s="0" t="n">
        <v>37</v>
      </c>
      <c r="I791" s="46" t="s">
        <v>152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51" t="n">
        <v>46240</v>
      </c>
      <c r="X791" s="46" t="n">
        <f aca="false">IF(I791="Male",0,1)</f>
        <v>1</v>
      </c>
      <c r="Y791" s="46" t="n">
        <f aca="false">IF(OR(I791="DNB",I791="Dry DNB"),1,0)</f>
        <v>0</v>
      </c>
      <c r="Z791" s="46" t="n">
        <f aca="false">IF(ISNUMBER(W791),A791-W791,"")</f>
        <v>69</v>
      </c>
      <c r="AA791" s="46" t="n">
        <f aca="false">MATCH(A791,DATAS,0)</f>
        <v>1</v>
      </c>
      <c r="AB791" s="46" t="n">
        <f aca="false">IF(AND(E791&gt;0,OR(AND(B791&gt;=1,B791&lt;=6),B791=10)),1,0)</f>
        <v>1</v>
      </c>
      <c r="AC791" s="46" t="n">
        <f aca="false">IF(AND(E791&gt;0,B791=10),1,0)</f>
        <v>0</v>
      </c>
      <c r="AD791" s="0" t="str">
        <f aca="false">IF(AND(C790=C791,AA790=AA791-1),AB790,"")</f>
        <v/>
      </c>
      <c r="AE791" s="0" t="str">
        <f aca="false">IF(AND(C790=C791,AA790=AA791-1),AC790,"")</f>
        <v/>
      </c>
      <c r="AF791" s="0" t="str">
        <f aca="false">IF(AA791=1,"",IF(AND(AB791=1,AD791&lt;&gt;1),1,0))</f>
        <v/>
      </c>
      <c r="AG791" s="0" t="str">
        <f aca="false">IF(AA791=1,"",IF(AND(AC791=1,AE791&lt;&gt;1),1,0))</f>
        <v/>
      </c>
      <c r="AH791" s="51" t="str">
        <f aca="false">IF(AND(E791&gt;0,AA791&lt;1,NOT(AND(C792=C791,AA792=AA791+1))),INDEX(DATAS,AA791+1),"")</f>
        <v/>
      </c>
      <c r="AI791" s="51" t="str">
        <f aca="false">IF(AND(AC791=1,AA791&lt;1),IF(AND(C792=C791,AA792=AA791+1),IF(AC792=1,"",INDEX(DATAS,AA791+1)),INDEX(DATAS,AA791+1)),"")</f>
        <v/>
      </c>
    </row>
    <row r="792" customFormat="false" ht="15" hidden="false" customHeight="false" outlineLevel="0" collapsed="false">
      <c r="A792" s="51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46" t="s">
        <v>667</v>
      </c>
      <c r="G792" s="0" t="n">
        <v>17.9</v>
      </c>
      <c r="H792" s="0" t="n">
        <v>17</v>
      </c>
      <c r="I792" s="46" t="s">
        <v>138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51" t="n">
        <v>46226</v>
      </c>
      <c r="X792" s="46" t="n">
        <f aca="false">IF(I792="Male",0,1)</f>
        <v>1</v>
      </c>
      <c r="Y792" s="46" t="n">
        <f aca="false">IF(OR(I792="DNB",I792="Dry DNB"),1,0)</f>
        <v>1</v>
      </c>
      <c r="Z792" s="46" t="n">
        <f aca="false">IF(ISNUMBER(W792),A792-W792,"")</f>
        <v>83</v>
      </c>
      <c r="AA792" s="46" t="n">
        <f aca="false">MATCH(A792,DATAS,0)</f>
        <v>1</v>
      </c>
      <c r="AB792" s="46" t="n">
        <f aca="false">IF(AND(E792&gt;0,OR(AND(B792&gt;=1,B792&lt;=6),B792=10)),1,0)</f>
        <v>1</v>
      </c>
      <c r="AC792" s="46" t="n">
        <f aca="false">IF(AND(E792&gt;0,B792=10),1,0)</f>
        <v>0</v>
      </c>
      <c r="AD792" s="0" t="str">
        <f aca="false">IF(AND(C791=C792,AA791=AA792-1),AB791,"")</f>
        <v/>
      </c>
      <c r="AE792" s="0" t="str">
        <f aca="false">IF(AND(C791=C792,AA791=AA792-1),AC791,"")</f>
        <v/>
      </c>
      <c r="AF792" s="0" t="str">
        <f aca="false">IF(AA792=1,"",IF(AND(AB792=1,AD792&lt;&gt;1),1,0))</f>
        <v/>
      </c>
      <c r="AG792" s="0" t="str">
        <f aca="false">IF(AA792=1,"",IF(AND(AC792=1,AE792&lt;&gt;1),1,0))</f>
        <v/>
      </c>
      <c r="AH792" s="51" t="str">
        <f aca="false">IF(AND(E792&gt;0,AA792&lt;1,NOT(AND(C793=C792,AA793=AA792+1))),INDEX(DATAS,AA792+1),"")</f>
        <v/>
      </c>
      <c r="AI792" s="51" t="str">
        <f aca="false">IF(AND(AC792=1,AA792&lt;1),IF(AND(C793=C792,AA793=AA792+1),IF(AC793=1,"",INDEX(DATAS,AA792+1)),INDEX(DATAS,AA792+1)),"")</f>
        <v/>
      </c>
    </row>
    <row r="793" customFormat="false" ht="15" hidden="false" customHeight="false" outlineLevel="0" collapsed="false">
      <c r="A793" s="51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46" t="s">
        <v>668</v>
      </c>
      <c r="G793" s="0" t="n">
        <v>40.7</v>
      </c>
      <c r="H793" s="0" t="n">
        <v>60</v>
      </c>
      <c r="I793" s="46" t="s">
        <v>181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51" t="n">
        <v>46310</v>
      </c>
      <c r="X793" s="46" t="n">
        <f aca="false">IF(I793="Male",0,1)</f>
        <v>1</v>
      </c>
      <c r="Y793" s="46" t="n">
        <f aca="false">IF(OR(I793="DNB",I793="Dry DNB"),1,0)</f>
        <v>0</v>
      </c>
      <c r="Z793" s="46" t="n">
        <f aca="false">IF(ISNUMBER(W793),A793-W793,"")</f>
        <v>-1</v>
      </c>
      <c r="AA793" s="46" t="n">
        <f aca="false">MATCH(A793,DATAS,0)</f>
        <v>1</v>
      </c>
      <c r="AB793" s="46" t="n">
        <f aca="false">IF(AND(E793&gt;0,OR(AND(B793&gt;=1,B793&lt;=6),B793=10)),1,0)</f>
        <v>1</v>
      </c>
      <c r="AC793" s="46" t="n">
        <f aca="false">IF(AND(E793&gt;0,B793=10),1,0)</f>
        <v>0</v>
      </c>
      <c r="AD793" s="0" t="str">
        <f aca="false">IF(AND(C792=C793,AA792=AA793-1),AB792,"")</f>
        <v/>
      </c>
      <c r="AE793" s="0" t="str">
        <f aca="false">IF(AND(C792=C793,AA792=AA793-1),AC792,"")</f>
        <v/>
      </c>
      <c r="AF793" s="0" t="str">
        <f aca="false">IF(AA793=1,"",IF(AND(AB793=1,AD793&lt;&gt;1),1,0))</f>
        <v/>
      </c>
      <c r="AG793" s="0" t="str">
        <f aca="false">IF(AA793=1,"",IF(AND(AC793=1,AE793&lt;&gt;1),1,0))</f>
        <v/>
      </c>
      <c r="AH793" s="51" t="str">
        <f aca="false">IF(AND(E793&gt;0,AA793&lt;1,NOT(AND(C794=C793,AA794=AA793+1))),INDEX(DATAS,AA793+1),"")</f>
        <v/>
      </c>
      <c r="AI793" s="51" t="str">
        <f aca="false">IF(AND(AC793=1,AA793&lt;1),IF(AND(C794=C793,AA794=AA793+1),IF(AC794=1,"",INDEX(DATAS,AA793+1)),INDEX(DATAS,AA793+1)),"")</f>
        <v/>
      </c>
    </row>
    <row r="794" customFormat="false" ht="15" hidden="false" customHeight="false" outlineLevel="0" collapsed="false">
      <c r="A794" s="51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46" t="s">
        <v>669</v>
      </c>
      <c r="G794" s="0" t="n">
        <v>21.1</v>
      </c>
      <c r="H794" s="0" t="n">
        <v>16</v>
      </c>
      <c r="I794" s="46" t="s">
        <v>138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51" t="n">
        <v>46268</v>
      </c>
      <c r="X794" s="46" t="n">
        <f aca="false">IF(I794="Male",0,1)</f>
        <v>1</v>
      </c>
      <c r="Y794" s="46" t="n">
        <f aca="false">IF(OR(I794="DNB",I794="Dry DNB"),1,0)</f>
        <v>1</v>
      </c>
      <c r="Z794" s="46" t="n">
        <f aca="false">IF(ISNUMBER(W794),A794-W794,"")</f>
        <v>41</v>
      </c>
      <c r="AA794" s="46" t="n">
        <f aca="false">MATCH(A794,DATAS,0)</f>
        <v>1</v>
      </c>
      <c r="AB794" s="46" t="n">
        <f aca="false">IF(AND(E794&gt;0,OR(AND(B794&gt;=1,B794&lt;=6),B794=10)),1,0)</f>
        <v>1</v>
      </c>
      <c r="AC794" s="46" t="n">
        <f aca="false">IF(AND(E794&gt;0,B794=10),1,0)</f>
        <v>1</v>
      </c>
      <c r="AD794" s="0" t="str">
        <f aca="false">IF(AND(C793=C794,AA793=AA794-1),AB793,"")</f>
        <v/>
      </c>
      <c r="AE794" s="0" t="str">
        <f aca="false">IF(AND(C793=C794,AA793=AA794-1),AC793,"")</f>
        <v/>
      </c>
      <c r="AF794" s="0" t="str">
        <f aca="false">IF(AA794=1,"",IF(AND(AB794=1,AD794&lt;&gt;1),1,0))</f>
        <v/>
      </c>
      <c r="AG794" s="0" t="str">
        <f aca="false">IF(AA794=1,"",IF(AND(AC794=1,AE794&lt;&gt;1),1,0))</f>
        <v/>
      </c>
      <c r="AH794" s="51" t="str">
        <f aca="false">IF(AND(E794&gt;0,AA794&lt;1,NOT(AND(C795=C794,AA795=AA794+1))),INDEX(DATAS,AA794+1),"")</f>
        <v/>
      </c>
      <c r="AI794" s="51" t="str">
        <f aca="false">IF(AND(AC794=1,AA794&lt;1),IF(AND(C795=C794,AA795=AA794+1),IF(AC795=1,"",INDEX(DATAS,AA794+1)),INDEX(DATAS,AA794+1)),"")</f>
        <v/>
      </c>
    </row>
    <row r="795" customFormat="false" ht="15" hidden="false" customHeight="false" outlineLevel="0" collapsed="false">
      <c r="A795" s="51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46" t="s">
        <v>669</v>
      </c>
      <c r="G795" s="0" t="n">
        <v>32.1</v>
      </c>
      <c r="H795" s="0" t="n">
        <v>33</v>
      </c>
      <c r="I795" s="46" t="s">
        <v>181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51" t="n">
        <v>46289</v>
      </c>
      <c r="X795" s="46" t="n">
        <f aca="false">IF(I795="Male",0,1)</f>
        <v>1</v>
      </c>
      <c r="Y795" s="46" t="n">
        <f aca="false">IF(OR(I795="DNB",I795="Dry DNB"),1,0)</f>
        <v>0</v>
      </c>
      <c r="Z795" s="46" t="n">
        <f aca="false">IF(ISNUMBER(W795),A795-W795,"")</f>
        <v>20</v>
      </c>
      <c r="AA795" s="46" t="n">
        <f aca="false">MATCH(A795,DATAS,0)</f>
        <v>1</v>
      </c>
      <c r="AB795" s="46" t="n">
        <f aca="false">IF(AND(E795&gt;0,OR(AND(B795&gt;=1,B795&lt;=6),B795=10)),1,0)</f>
        <v>1</v>
      </c>
      <c r="AC795" s="46" t="n">
        <f aca="false">IF(AND(E795&gt;0,B795=10),1,0)</f>
        <v>0</v>
      </c>
      <c r="AD795" s="0" t="str">
        <f aca="false">IF(AND(C794=C795,AA794=AA795-1),AB794,"")</f>
        <v/>
      </c>
      <c r="AE795" s="0" t="str">
        <f aca="false">IF(AND(C794=C795,AA794=AA795-1),AC794,"")</f>
        <v/>
      </c>
      <c r="AF795" s="0" t="str">
        <f aca="false">IF(AA795=1,"",IF(AND(AB795=1,AD795&lt;&gt;1),1,0))</f>
        <v/>
      </c>
      <c r="AG795" s="0" t="str">
        <f aca="false">IF(AA795=1,"",IF(AND(AC795=1,AE795&lt;&gt;1),1,0))</f>
        <v/>
      </c>
      <c r="AH795" s="51" t="str">
        <f aca="false">IF(AND(E795&gt;0,AA795&lt;1,NOT(AND(C796=C795,AA796=AA795+1))),INDEX(DATAS,AA795+1),"")</f>
        <v/>
      </c>
      <c r="AI795" s="51" t="str">
        <f aca="false">IF(AND(AC795=1,AA795&lt;1),IF(AND(C796=C795,AA796=AA795+1),IF(AC796=1,"",INDEX(DATAS,AA795+1)),INDEX(DATAS,AA795+1)),"")</f>
        <v/>
      </c>
    </row>
    <row r="796" customFormat="false" ht="15" hidden="false" customHeight="false" outlineLevel="0" collapsed="false">
      <c r="A796" s="51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46" t="s">
        <v>670</v>
      </c>
      <c r="G796" s="0" t="n">
        <v>52.6</v>
      </c>
      <c r="H796" s="0" t="n">
        <v>55</v>
      </c>
      <c r="I796" s="46" t="s">
        <v>152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51" t="n">
        <v>46184</v>
      </c>
      <c r="X796" s="46" t="n">
        <f aca="false">IF(I796="Male",0,1)</f>
        <v>1</v>
      </c>
      <c r="Y796" s="46" t="n">
        <f aca="false">IF(OR(I796="DNB",I796="Dry DNB"),1,0)</f>
        <v>0</v>
      </c>
      <c r="Z796" s="46" t="n">
        <f aca="false">IF(ISNUMBER(W796),A796-W796,"")</f>
        <v>125</v>
      </c>
      <c r="AA796" s="46" t="n">
        <f aca="false">MATCH(A796,DATAS,0)</f>
        <v>1</v>
      </c>
      <c r="AB796" s="46" t="n">
        <f aca="false">IF(AND(E796&gt;0,OR(AND(B796&gt;=1,B796&lt;=6),B796=10)),1,0)</f>
        <v>1</v>
      </c>
      <c r="AC796" s="46" t="n">
        <f aca="false">IF(AND(E796&gt;0,B796=10),1,0)</f>
        <v>0</v>
      </c>
      <c r="AD796" s="0" t="str">
        <f aca="false">IF(AND(C795=C796,AA795=AA796-1),AB795,"")</f>
        <v/>
      </c>
      <c r="AE796" s="0" t="str">
        <f aca="false">IF(AND(C795=C796,AA795=AA796-1),AC795,"")</f>
        <v/>
      </c>
      <c r="AF796" s="0" t="str">
        <f aca="false">IF(AA796=1,"",IF(AND(AB796=1,AD796&lt;&gt;1),1,0))</f>
        <v/>
      </c>
      <c r="AG796" s="0" t="str">
        <f aca="false">IF(AA796=1,"",IF(AND(AC796=1,AE796&lt;&gt;1),1,0))</f>
        <v/>
      </c>
      <c r="AH796" s="51" t="str">
        <f aca="false">IF(AND(E796&gt;0,AA796&lt;1,NOT(AND(C797=C796,AA797=AA796+1))),INDEX(DATAS,AA796+1),"")</f>
        <v/>
      </c>
      <c r="AI796" s="51" t="str">
        <f aca="false">IF(AND(AC796=1,AA796&lt;1),IF(AND(C797=C796,AA797=AA796+1),IF(AC797=1,"",INDEX(DATAS,AA796+1)),INDEX(DATAS,AA796+1)),"")</f>
        <v/>
      </c>
    </row>
    <row r="797" customFormat="false" ht="15" hidden="false" customHeight="false" outlineLevel="0" collapsed="false">
      <c r="A797" s="51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46" t="s">
        <v>670</v>
      </c>
      <c r="G797" s="0" t="n">
        <v>41.6</v>
      </c>
      <c r="H797" s="0" t="n">
        <v>36</v>
      </c>
      <c r="I797" s="46" t="s">
        <v>181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51" t="n">
        <v>46307</v>
      </c>
      <c r="X797" s="46" t="n">
        <f aca="false">IF(I797="Male",0,1)</f>
        <v>1</v>
      </c>
      <c r="Y797" s="46" t="n">
        <f aca="false">IF(OR(I797="DNB",I797="Dry DNB"),1,0)</f>
        <v>0</v>
      </c>
      <c r="Z797" s="46" t="n">
        <f aca="false">IF(ISNUMBER(W797),A797-W797,"")</f>
        <v>2</v>
      </c>
      <c r="AA797" s="46" t="n">
        <f aca="false">MATCH(A797,DATAS,0)</f>
        <v>1</v>
      </c>
      <c r="AB797" s="46" t="n">
        <f aca="false">IF(AND(E797&gt;0,OR(AND(B797&gt;=1,B797&lt;=6),B797=10)),1,0)</f>
        <v>1</v>
      </c>
      <c r="AC797" s="46" t="n">
        <f aca="false">IF(AND(E797&gt;0,B797=10),1,0)</f>
        <v>0</v>
      </c>
      <c r="AD797" s="0" t="str">
        <f aca="false">IF(AND(C796=C797,AA796=AA797-1),AB796,"")</f>
        <v/>
      </c>
      <c r="AE797" s="0" t="str">
        <f aca="false">IF(AND(C796=C797,AA796=AA797-1),AC796,"")</f>
        <v/>
      </c>
      <c r="AF797" s="0" t="str">
        <f aca="false">IF(AA797=1,"",IF(AND(AB797=1,AD797&lt;&gt;1),1,0))</f>
        <v/>
      </c>
      <c r="AG797" s="0" t="str">
        <f aca="false">IF(AA797=1,"",IF(AND(AC797=1,AE797&lt;&gt;1),1,0))</f>
        <v/>
      </c>
      <c r="AH797" s="51" t="str">
        <f aca="false">IF(AND(E797&gt;0,AA797&lt;1,NOT(AND(C798=C797,AA798=AA797+1))),INDEX(DATAS,AA797+1),"")</f>
        <v/>
      </c>
      <c r="AI797" s="51" t="str">
        <f aca="false">IF(AND(AC797=1,AA797&lt;1),IF(AND(C798=C797,AA798=AA797+1),IF(AC798=1,"",INDEX(DATAS,AA797+1)),INDEX(DATAS,AA797+1)),"")</f>
        <v/>
      </c>
    </row>
    <row r="798" customFormat="false" ht="15" hidden="false" customHeight="false" outlineLevel="0" collapsed="false">
      <c r="A798" s="51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46" t="s">
        <v>670</v>
      </c>
      <c r="G798" s="0" t="n">
        <v>43.8</v>
      </c>
      <c r="H798" s="0" t="n">
        <v>42</v>
      </c>
      <c r="I798" s="46" t="s">
        <v>152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51" t="n">
        <v>46142</v>
      </c>
      <c r="X798" s="46" t="n">
        <f aca="false">IF(I798="Male",0,1)</f>
        <v>1</v>
      </c>
      <c r="Y798" s="46" t="n">
        <f aca="false">IF(OR(I798="DNB",I798="Dry DNB"),1,0)</f>
        <v>0</v>
      </c>
      <c r="Z798" s="46" t="n">
        <f aca="false">IF(ISNUMBER(W798),A798-W798,"")</f>
        <v>167</v>
      </c>
      <c r="AA798" s="46" t="n">
        <f aca="false">MATCH(A798,DATAS,0)</f>
        <v>1</v>
      </c>
      <c r="AB798" s="46" t="n">
        <f aca="false">IF(AND(E798&gt;0,OR(AND(B798&gt;=1,B798&lt;=6),B798=10)),1,0)</f>
        <v>1</v>
      </c>
      <c r="AC798" s="46" t="n">
        <f aca="false">IF(AND(E798&gt;0,B798=10),1,0)</f>
        <v>0</v>
      </c>
      <c r="AD798" s="0" t="str">
        <f aca="false">IF(AND(C797=C798,AA797=AA798-1),AB797,"")</f>
        <v/>
      </c>
      <c r="AE798" s="0" t="str">
        <f aca="false">IF(AND(C797=C798,AA797=AA798-1),AC797,"")</f>
        <v/>
      </c>
      <c r="AF798" s="0" t="str">
        <f aca="false">IF(AA798=1,"",IF(AND(AB798=1,AD798&lt;&gt;1),1,0))</f>
        <v/>
      </c>
      <c r="AG798" s="0" t="str">
        <f aca="false">IF(AA798=1,"",IF(AND(AC798=1,AE798&lt;&gt;1),1,0))</f>
        <v/>
      </c>
      <c r="AH798" s="51" t="str">
        <f aca="false">IF(AND(E798&gt;0,AA798&lt;1,NOT(AND(C799=C798,AA799=AA798+1))),INDEX(DATAS,AA798+1),"")</f>
        <v/>
      </c>
      <c r="AI798" s="51" t="str">
        <f aca="false">IF(AND(AC798=1,AA798&lt;1),IF(AND(C799=C798,AA799=AA798+1),IF(AC799=1,"",INDEX(DATAS,AA798+1)),INDEX(DATAS,AA798+1)),"")</f>
        <v/>
      </c>
    </row>
    <row r="799" customFormat="false" ht="15" hidden="false" customHeight="false" outlineLevel="0" collapsed="false">
      <c r="A799" s="51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46" t="s">
        <v>671</v>
      </c>
      <c r="G799" s="0" t="n">
        <v>45</v>
      </c>
      <c r="H799" s="0" t="n">
        <v>48</v>
      </c>
      <c r="I799" s="46" t="s">
        <v>152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51" t="n">
        <v>46156</v>
      </c>
      <c r="X799" s="46" t="n">
        <f aca="false">IF(I799="Male",0,1)</f>
        <v>1</v>
      </c>
      <c r="Y799" s="46" t="n">
        <f aca="false">IF(OR(I799="DNB",I799="Dry DNB"),1,0)</f>
        <v>0</v>
      </c>
      <c r="Z799" s="46" t="n">
        <f aca="false">IF(ISNUMBER(W799),A799-W799,"")</f>
        <v>153</v>
      </c>
      <c r="AA799" s="46" t="n">
        <f aca="false">MATCH(A799,DATAS,0)</f>
        <v>1</v>
      </c>
      <c r="AB799" s="46" t="n">
        <f aca="false">IF(AND(E799&gt;0,OR(AND(B799&gt;=1,B799&lt;=6),B799=10)),1,0)</f>
        <v>1</v>
      </c>
      <c r="AC799" s="46" t="n">
        <f aca="false">IF(AND(E799&gt;0,B799=10),1,0)</f>
        <v>0</v>
      </c>
      <c r="AD799" s="0" t="str">
        <f aca="false">IF(AND(C798=C799,AA798=AA799-1),AB798,"")</f>
        <v/>
      </c>
      <c r="AE799" s="0" t="str">
        <f aca="false">IF(AND(C798=C799,AA798=AA799-1),AC798,"")</f>
        <v/>
      </c>
      <c r="AF799" s="0" t="str">
        <f aca="false">IF(AA799=1,"",IF(AND(AB799=1,AD799&lt;&gt;1),1,0))</f>
        <v/>
      </c>
      <c r="AG799" s="0" t="str">
        <f aca="false">IF(AA799=1,"",IF(AND(AC799=1,AE799&lt;&gt;1),1,0))</f>
        <v/>
      </c>
      <c r="AH799" s="51" t="str">
        <f aca="false">IF(AND(E799&gt;0,AA799&lt;1,NOT(AND(C800=C799,AA800=AA799+1))),INDEX(DATAS,AA799+1),"")</f>
        <v/>
      </c>
      <c r="AI799" s="51" t="str">
        <f aca="false">IF(AND(AC799=1,AA799&lt;1),IF(AND(C800=C799,AA800=AA799+1),IF(AC800=1,"",INDEX(DATAS,AA799+1)),INDEX(DATAS,AA799+1)),"")</f>
        <v/>
      </c>
    </row>
    <row r="800" customFormat="false" ht="15" hidden="false" customHeight="false" outlineLevel="0" collapsed="false">
      <c r="A800" s="51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46" t="s">
        <v>671</v>
      </c>
      <c r="G800" s="0" t="n">
        <v>40</v>
      </c>
      <c r="H800" s="0" t="n">
        <v>33</v>
      </c>
      <c r="I800" s="46" t="s">
        <v>181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51" t="n">
        <v>46255</v>
      </c>
      <c r="X800" s="46" t="n">
        <f aca="false">IF(I800="Male",0,1)</f>
        <v>1</v>
      </c>
      <c r="Y800" s="46" t="n">
        <f aca="false">IF(OR(I800="DNB",I800="Dry DNB"),1,0)</f>
        <v>0</v>
      </c>
      <c r="Z800" s="46" t="n">
        <f aca="false">IF(ISNUMBER(W800),A800-W800,"")</f>
        <v>54</v>
      </c>
      <c r="AA800" s="46" t="n">
        <f aca="false">MATCH(A800,DATAS,0)</f>
        <v>1</v>
      </c>
      <c r="AB800" s="46" t="n">
        <f aca="false">IF(AND(E800&gt;0,OR(AND(B800&gt;=1,B800&lt;=6),B800=10)),1,0)</f>
        <v>1</v>
      </c>
      <c r="AC800" s="46" t="n">
        <f aca="false">IF(AND(E800&gt;0,B800=10),1,0)</f>
        <v>0</v>
      </c>
      <c r="AD800" s="0" t="str">
        <f aca="false">IF(AND(C799=C800,AA799=AA800-1),AB799,"")</f>
        <v/>
      </c>
      <c r="AE800" s="0" t="str">
        <f aca="false">IF(AND(C799=C800,AA799=AA800-1),AC799,"")</f>
        <v/>
      </c>
      <c r="AF800" s="0" t="str">
        <f aca="false">IF(AA800=1,"",IF(AND(AB800=1,AD800&lt;&gt;1),1,0))</f>
        <v/>
      </c>
      <c r="AG800" s="0" t="str">
        <f aca="false">IF(AA800=1,"",IF(AND(AC800=1,AE800&lt;&gt;1),1,0))</f>
        <v/>
      </c>
      <c r="AH800" s="51" t="str">
        <f aca="false">IF(AND(E800&gt;0,AA800&lt;1,NOT(AND(C801=C800,AA801=AA800+1))),INDEX(DATAS,AA800+1),"")</f>
        <v/>
      </c>
      <c r="AI800" s="51" t="str">
        <f aca="false">IF(AND(AC800=1,AA800&lt;1),IF(AND(C801=C800,AA801=AA800+1),IF(AC801=1,"",INDEX(DATAS,AA800+1)),INDEX(DATAS,AA800+1)),"")</f>
        <v/>
      </c>
    </row>
    <row r="801" customFormat="false" ht="15" hidden="false" customHeight="false" outlineLevel="0" collapsed="false">
      <c r="A801" s="51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46" t="s">
        <v>671</v>
      </c>
      <c r="G801" s="0" t="n">
        <v>48.2</v>
      </c>
      <c r="H801" s="0" t="n">
        <v>51</v>
      </c>
      <c r="I801" s="46" t="s">
        <v>189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51" t="n">
        <v>46149</v>
      </c>
      <c r="X801" s="46" t="n">
        <f aca="false">IF(I801="Male",0,1)</f>
        <v>1</v>
      </c>
      <c r="Y801" s="46" t="n">
        <f aca="false">IF(OR(I801="DNB",I801="Dry DNB"),1,0)</f>
        <v>0</v>
      </c>
      <c r="Z801" s="46" t="n">
        <f aca="false">IF(ISNUMBER(W801),A801-W801,"")</f>
        <v>160</v>
      </c>
      <c r="AA801" s="46" t="n">
        <f aca="false">MATCH(A801,DATAS,0)</f>
        <v>1</v>
      </c>
      <c r="AB801" s="46" t="n">
        <f aca="false">IF(AND(E801&gt;0,OR(AND(B801&gt;=1,B801&lt;=6),B801=10)),1,0)</f>
        <v>1</v>
      </c>
      <c r="AC801" s="46" t="n">
        <f aca="false">IF(AND(E801&gt;0,B801=10),1,0)</f>
        <v>0</v>
      </c>
      <c r="AD801" s="0" t="str">
        <f aca="false">IF(AND(C800=C801,AA800=AA801-1),AB800,"")</f>
        <v/>
      </c>
      <c r="AE801" s="0" t="str">
        <f aca="false">IF(AND(C800=C801,AA800=AA801-1),AC800,"")</f>
        <v/>
      </c>
      <c r="AF801" s="0" t="str">
        <f aca="false">IF(AA801=1,"",IF(AND(AB801=1,AD801&lt;&gt;1),1,0))</f>
        <v/>
      </c>
      <c r="AG801" s="0" t="str">
        <f aca="false">IF(AA801=1,"",IF(AND(AC801=1,AE801&lt;&gt;1),1,0))</f>
        <v/>
      </c>
      <c r="AH801" s="51" t="str">
        <f aca="false">IF(AND(E801&gt;0,AA801&lt;1,NOT(AND(C802=C801,AA802=AA801+1))),INDEX(DATAS,AA801+1),"")</f>
        <v/>
      </c>
      <c r="AI801" s="51" t="str">
        <f aca="false">IF(AND(AC801=1,AA801&lt;1),IF(AND(C802=C801,AA802=AA801+1),IF(AC802=1,"",INDEX(DATAS,AA801+1)),INDEX(DATAS,AA801+1)),"")</f>
        <v/>
      </c>
    </row>
    <row r="802" customFormat="false" ht="15" hidden="false" customHeight="false" outlineLevel="0" collapsed="false">
      <c r="A802" s="51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46" t="s">
        <v>671</v>
      </c>
      <c r="G802" s="0" t="n">
        <v>27.9</v>
      </c>
      <c r="H802" s="0" t="n">
        <v>36</v>
      </c>
      <c r="I802" s="46" t="s">
        <v>152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51" t="n">
        <v>46135</v>
      </c>
      <c r="X802" s="46" t="n">
        <f aca="false">IF(I802="Male",0,1)</f>
        <v>1</v>
      </c>
      <c r="Y802" s="46" t="n">
        <f aca="false">IF(OR(I802="DNB",I802="Dry DNB"),1,0)</f>
        <v>0</v>
      </c>
      <c r="Z802" s="46" t="n">
        <f aca="false">IF(ISNUMBER(W802),A802-W802,"")</f>
        <v>174</v>
      </c>
      <c r="AA802" s="46" t="n">
        <f aca="false">MATCH(A802,DATAS,0)</f>
        <v>1</v>
      </c>
      <c r="AB802" s="46" t="n">
        <f aca="false">IF(AND(E802&gt;0,OR(AND(B802&gt;=1,B802&lt;=6),B802=10)),1,0)</f>
        <v>1</v>
      </c>
      <c r="AC802" s="46" t="n">
        <f aca="false">IF(AND(E802&gt;0,B802=10),1,0)</f>
        <v>0</v>
      </c>
      <c r="AD802" s="0" t="str">
        <f aca="false">IF(AND(C801=C802,AA801=AA802-1),AB801,"")</f>
        <v/>
      </c>
      <c r="AE802" s="0" t="str">
        <f aca="false">IF(AND(C801=C802,AA801=AA802-1),AC801,"")</f>
        <v/>
      </c>
      <c r="AF802" s="0" t="str">
        <f aca="false">IF(AA802=1,"",IF(AND(AB802=1,AD802&lt;&gt;1),1,0))</f>
        <v/>
      </c>
      <c r="AG802" s="0" t="str">
        <f aca="false">IF(AA802=1,"",IF(AND(AC802=1,AE802&lt;&gt;1),1,0))</f>
        <v/>
      </c>
      <c r="AH802" s="51" t="str">
        <f aca="false">IF(AND(E802&gt;0,AA802&lt;1,NOT(AND(C803=C802,AA803=AA802+1))),INDEX(DATAS,AA802+1),"")</f>
        <v/>
      </c>
      <c r="AI802" s="51" t="str">
        <f aca="false">IF(AND(AC802=1,AA802&lt;1),IF(AND(C803=C802,AA803=AA802+1),IF(AC803=1,"",INDEX(DATAS,AA802+1)),INDEX(DATAS,AA802+1)),"")</f>
        <v/>
      </c>
    </row>
    <row r="803" customFormat="false" ht="15" hidden="false" customHeight="false" outlineLevel="0" collapsed="false">
      <c r="A803" s="51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46" t="s">
        <v>671</v>
      </c>
      <c r="G803" s="0" t="n">
        <v>48.7</v>
      </c>
      <c r="H803" s="0" t="n">
        <v>51</v>
      </c>
      <c r="I803" s="46" t="s">
        <v>152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51" t="n">
        <v>46137</v>
      </c>
      <c r="X803" s="46" t="n">
        <f aca="false">IF(I803="Male",0,1)</f>
        <v>1</v>
      </c>
      <c r="Y803" s="46" t="n">
        <f aca="false">IF(OR(I803="DNB",I803="Dry DNB"),1,0)</f>
        <v>0</v>
      </c>
      <c r="Z803" s="46" t="n">
        <f aca="false">IF(ISNUMBER(W803),A803-W803,"")</f>
        <v>172</v>
      </c>
      <c r="AA803" s="46" t="n">
        <f aca="false">MATCH(A803,DATAS,0)</f>
        <v>1</v>
      </c>
      <c r="AB803" s="46" t="n">
        <f aca="false">IF(AND(E803&gt;0,OR(AND(B803&gt;=1,B803&lt;=6),B803=10)),1,0)</f>
        <v>1</v>
      </c>
      <c r="AC803" s="46" t="n">
        <f aca="false">IF(AND(E803&gt;0,B803=10),1,0)</f>
        <v>0</v>
      </c>
      <c r="AD803" s="0" t="str">
        <f aca="false">IF(AND(C802=C803,AA802=AA803-1),AB802,"")</f>
        <v/>
      </c>
      <c r="AE803" s="0" t="str">
        <f aca="false">IF(AND(C802=C803,AA802=AA803-1),AC802,"")</f>
        <v/>
      </c>
      <c r="AF803" s="0" t="str">
        <f aca="false">IF(AA803=1,"",IF(AND(AB803=1,AD803&lt;&gt;1),1,0))</f>
        <v/>
      </c>
      <c r="AG803" s="0" t="str">
        <f aca="false">IF(AA803=1,"",IF(AND(AC803=1,AE803&lt;&gt;1),1,0))</f>
        <v/>
      </c>
      <c r="AH803" s="51" t="str">
        <f aca="false">IF(AND(E803&gt;0,AA803&lt;1,NOT(AND(C804=C803,AA804=AA803+1))),INDEX(DATAS,AA803+1),"")</f>
        <v/>
      </c>
      <c r="AI803" s="51" t="str">
        <f aca="false">IF(AND(AC803=1,AA803&lt;1),IF(AND(C804=C803,AA804=AA803+1),IF(AC804=1,"",INDEX(DATAS,AA803+1)),INDEX(DATAS,AA803+1)),"")</f>
        <v/>
      </c>
    </row>
    <row r="804" customFormat="false" ht="15" hidden="false" customHeight="false" outlineLevel="0" collapsed="false">
      <c r="A804" s="51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46" t="s">
        <v>672</v>
      </c>
      <c r="G804" s="0" t="n">
        <v>63.4</v>
      </c>
      <c r="H804" s="0" t="n">
        <v>63</v>
      </c>
      <c r="I804" s="46" t="s">
        <v>152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51" t="n">
        <v>46254</v>
      </c>
      <c r="X804" s="46" t="n">
        <f aca="false">IF(I804="Male",0,1)</f>
        <v>1</v>
      </c>
      <c r="Y804" s="46" t="n">
        <f aca="false">IF(OR(I804="DNB",I804="Dry DNB"),1,0)</f>
        <v>0</v>
      </c>
      <c r="Z804" s="46" t="n">
        <f aca="false">IF(ISNUMBER(W804),A804-W804,"")</f>
        <v>55</v>
      </c>
      <c r="AA804" s="46" t="n">
        <f aca="false">MATCH(A804,DATAS,0)</f>
        <v>1</v>
      </c>
      <c r="AB804" s="46" t="n">
        <f aca="false">IF(AND(E804&gt;0,OR(AND(B804&gt;=1,B804&lt;=6),B804=10)),1,0)</f>
        <v>1</v>
      </c>
      <c r="AC804" s="46" t="n">
        <f aca="false">IF(AND(E804&gt;0,B804=10),1,0)</f>
        <v>0</v>
      </c>
      <c r="AD804" s="0" t="str">
        <f aca="false">IF(AND(C803=C804,AA803=AA804-1),AB803,"")</f>
        <v/>
      </c>
      <c r="AE804" s="0" t="str">
        <f aca="false">IF(AND(C803=C804,AA803=AA804-1),AC803,"")</f>
        <v/>
      </c>
      <c r="AF804" s="0" t="str">
        <f aca="false">IF(AA804=1,"",IF(AND(AB804=1,AD804&lt;&gt;1),1,0))</f>
        <v/>
      </c>
      <c r="AG804" s="0" t="str">
        <f aca="false">IF(AA804=1,"",IF(AND(AC804=1,AE804&lt;&gt;1),1,0))</f>
        <v/>
      </c>
      <c r="AH804" s="51" t="str">
        <f aca="false">IF(AND(E804&gt;0,AA804&lt;1,NOT(AND(C805=C804,AA805=AA804+1))),INDEX(DATAS,AA804+1),"")</f>
        <v/>
      </c>
      <c r="AI804" s="51" t="str">
        <f aca="false">IF(AND(AC804=1,AA804&lt;1),IF(AND(C805=C804,AA805=AA804+1),IF(AC805=1,"",INDEX(DATAS,AA804+1)),INDEX(DATAS,AA804+1)),"")</f>
        <v/>
      </c>
    </row>
    <row r="805" customFormat="false" ht="15" hidden="false" customHeight="false" outlineLevel="0" collapsed="false">
      <c r="A805" s="51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46" t="s">
        <v>672</v>
      </c>
      <c r="G805" s="0" t="n">
        <v>42.8</v>
      </c>
      <c r="H805" s="0" t="n">
        <v>40</v>
      </c>
      <c r="I805" s="46" t="s">
        <v>152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51" t="n">
        <v>46184</v>
      </c>
      <c r="X805" s="46" t="n">
        <f aca="false">IF(I805="Male",0,1)</f>
        <v>1</v>
      </c>
      <c r="Y805" s="46" t="n">
        <f aca="false">IF(OR(I805="DNB",I805="Dry DNB"),1,0)</f>
        <v>0</v>
      </c>
      <c r="Z805" s="46" t="n">
        <f aca="false">IF(ISNUMBER(W805),A805-W805,"")</f>
        <v>125</v>
      </c>
      <c r="AA805" s="46" t="n">
        <f aca="false">MATCH(A805,DATAS,0)</f>
        <v>1</v>
      </c>
      <c r="AB805" s="46" t="n">
        <f aca="false">IF(AND(E805&gt;0,OR(AND(B805&gt;=1,B805&lt;=6),B805=10)),1,0)</f>
        <v>1</v>
      </c>
      <c r="AC805" s="46" t="n">
        <f aca="false">IF(AND(E805&gt;0,B805=10),1,0)</f>
        <v>0</v>
      </c>
      <c r="AD805" s="0" t="str">
        <f aca="false">IF(AND(C804=C805,AA804=AA805-1),AB804,"")</f>
        <v/>
      </c>
      <c r="AE805" s="0" t="str">
        <f aca="false">IF(AND(C804=C805,AA804=AA805-1),AC804,"")</f>
        <v/>
      </c>
      <c r="AF805" s="0" t="str">
        <f aca="false">IF(AA805=1,"",IF(AND(AB805=1,AD805&lt;&gt;1),1,0))</f>
        <v/>
      </c>
      <c r="AG805" s="0" t="str">
        <f aca="false">IF(AA805=1,"",IF(AND(AC805=1,AE805&lt;&gt;1),1,0))</f>
        <v/>
      </c>
      <c r="AH805" s="51" t="str">
        <f aca="false">IF(AND(E805&gt;0,AA805&lt;1,NOT(AND(C806=C805,AA806=AA805+1))),INDEX(DATAS,AA805+1),"")</f>
        <v/>
      </c>
      <c r="AI805" s="51" t="str">
        <f aca="false">IF(AND(AC805=1,AA805&lt;1),IF(AND(C806=C805,AA806=AA805+1),IF(AC806=1,"",INDEX(DATAS,AA805+1)),INDEX(DATAS,AA805+1)),"")</f>
        <v/>
      </c>
    </row>
    <row r="806" customFormat="false" ht="15" hidden="false" customHeight="false" outlineLevel="0" collapsed="false">
      <c r="A806" s="51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46" t="s">
        <v>672</v>
      </c>
      <c r="G806" s="0" t="n">
        <v>53.2</v>
      </c>
      <c r="H806" s="0" t="n">
        <v>50</v>
      </c>
      <c r="I806" s="46" t="s">
        <v>152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51" t="n">
        <v>46198</v>
      </c>
      <c r="X806" s="46" t="n">
        <f aca="false">IF(I806="Male",0,1)</f>
        <v>1</v>
      </c>
      <c r="Y806" s="46" t="n">
        <f aca="false">IF(OR(I806="DNB",I806="Dry DNB"),1,0)</f>
        <v>0</v>
      </c>
      <c r="Z806" s="46" t="n">
        <f aca="false">IF(ISNUMBER(W806),A806-W806,"")</f>
        <v>111</v>
      </c>
      <c r="AA806" s="46" t="n">
        <f aca="false">MATCH(A806,DATAS,0)</f>
        <v>1</v>
      </c>
      <c r="AB806" s="46" t="n">
        <f aca="false">IF(AND(E806&gt;0,OR(AND(B806&gt;=1,B806&lt;=6),B806=10)),1,0)</f>
        <v>1</v>
      </c>
      <c r="AC806" s="46" t="n">
        <f aca="false">IF(AND(E806&gt;0,B806=10),1,0)</f>
        <v>0</v>
      </c>
      <c r="AD806" s="0" t="str">
        <f aca="false">IF(AND(C805=C806,AA805=AA806-1),AB805,"")</f>
        <v/>
      </c>
      <c r="AE806" s="0" t="str">
        <f aca="false">IF(AND(C805=C806,AA805=AA806-1),AC805,"")</f>
        <v/>
      </c>
      <c r="AF806" s="0" t="str">
        <f aca="false">IF(AA806=1,"",IF(AND(AB806=1,AD806&lt;&gt;1),1,0))</f>
        <v/>
      </c>
      <c r="AG806" s="0" t="str">
        <f aca="false">IF(AA806=1,"",IF(AND(AC806=1,AE806&lt;&gt;1),1,0))</f>
        <v/>
      </c>
      <c r="AH806" s="51" t="str">
        <f aca="false">IF(AND(E806&gt;0,AA806&lt;1,NOT(AND(C807=C806,AA807=AA806+1))),INDEX(DATAS,AA806+1),"")</f>
        <v/>
      </c>
      <c r="AI806" s="51" t="str">
        <f aca="false">IF(AND(AC806=1,AA806&lt;1),IF(AND(C807=C806,AA807=AA806+1),IF(AC807=1,"",INDEX(DATAS,AA806+1)),INDEX(DATAS,AA806+1)),"")</f>
        <v/>
      </c>
    </row>
    <row r="807" customFormat="false" ht="15" hidden="false" customHeight="false" outlineLevel="0" collapsed="false">
      <c r="A807" s="51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46" t="s">
        <v>672</v>
      </c>
      <c r="I807" s="46" t="s">
        <v>157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51" t="n">
        <v>46154</v>
      </c>
      <c r="X807" s="46" t="n">
        <f aca="false">IF(I807="Male",0,1)</f>
        <v>1</v>
      </c>
      <c r="Y807" s="46" t="n">
        <f aca="false">IF(OR(I807="DNB",I807="Dry DNB"),1,0)</f>
        <v>0</v>
      </c>
      <c r="Z807" s="46" t="n">
        <f aca="false">IF(ISNUMBER(W807),A807-W807,"")</f>
        <v>155</v>
      </c>
      <c r="AA807" s="46" t="n">
        <f aca="false">MATCH(A807,DATAS,0)</f>
        <v>1</v>
      </c>
      <c r="AB807" s="46" t="n">
        <f aca="false">IF(AND(E807&gt;0,OR(AND(B807&gt;=1,B807&lt;=6),B807=10)),1,0)</f>
        <v>0</v>
      </c>
      <c r="AC807" s="46" t="n">
        <f aca="false">IF(AND(E807&gt;0,B807=10),1,0)</f>
        <v>0</v>
      </c>
      <c r="AD807" s="0" t="str">
        <f aca="false">IF(AND(C806=C807,AA806=AA807-1),AB806,"")</f>
        <v/>
      </c>
      <c r="AE807" s="0" t="str">
        <f aca="false">IF(AND(C806=C807,AA806=AA807-1),AC806,"")</f>
        <v/>
      </c>
      <c r="AF807" s="0" t="str">
        <f aca="false">IF(AA807=1,"",IF(AND(AB807=1,AD807&lt;&gt;1),1,0))</f>
        <v/>
      </c>
      <c r="AG807" s="0" t="str">
        <f aca="false">IF(AA807=1,"",IF(AND(AC807=1,AE807&lt;&gt;1),1,0))</f>
        <v/>
      </c>
      <c r="AH807" s="51" t="str">
        <f aca="false">IF(AND(E807&gt;0,AA807&lt;1,NOT(AND(C808=C807,AA808=AA807+1))),INDEX(DATAS,AA807+1),"")</f>
        <v/>
      </c>
      <c r="AI807" s="51" t="str">
        <f aca="false">IF(AND(AC807=1,AA807&lt;1),IF(AND(C808=C807,AA808=AA807+1),IF(AC808=1,"",INDEX(DATAS,AA807+1)),INDEX(DATAS,AA807+1)),"")</f>
        <v/>
      </c>
    </row>
    <row r="808" customFormat="false" ht="15" hidden="false" customHeight="false" outlineLevel="0" collapsed="false">
      <c r="A808" s="51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46" t="s">
        <v>673</v>
      </c>
      <c r="G808" s="0" t="n">
        <v>43.1</v>
      </c>
      <c r="H808" s="0" t="n">
        <v>43</v>
      </c>
      <c r="I808" s="46" t="s">
        <v>152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51" t="n">
        <v>46205</v>
      </c>
      <c r="X808" s="46" t="n">
        <f aca="false">IF(I808="Male",0,1)</f>
        <v>1</v>
      </c>
      <c r="Y808" s="46" t="n">
        <f aca="false">IF(OR(I808="DNB",I808="Dry DNB"),1,0)</f>
        <v>0</v>
      </c>
      <c r="Z808" s="46" t="n">
        <f aca="false">IF(ISNUMBER(W808),A808-W808,"")</f>
        <v>104</v>
      </c>
      <c r="AA808" s="46" t="n">
        <f aca="false">MATCH(A808,DATAS,0)</f>
        <v>1</v>
      </c>
      <c r="AB808" s="46" t="n">
        <f aca="false">IF(AND(E808&gt;0,OR(AND(B808&gt;=1,B808&lt;=6),B808=10)),1,0)</f>
        <v>1</v>
      </c>
      <c r="AC808" s="46" t="n">
        <f aca="false">IF(AND(E808&gt;0,B808=10),1,0)</f>
        <v>0</v>
      </c>
      <c r="AD808" s="0" t="str">
        <f aca="false">IF(AND(C807=C808,AA807=AA808-1),AB807,"")</f>
        <v/>
      </c>
      <c r="AE808" s="0" t="str">
        <f aca="false">IF(AND(C807=C808,AA807=AA808-1),AC807,"")</f>
        <v/>
      </c>
      <c r="AF808" s="0" t="str">
        <f aca="false">IF(AA808=1,"",IF(AND(AB808=1,AD808&lt;&gt;1),1,0))</f>
        <v/>
      </c>
      <c r="AG808" s="0" t="str">
        <f aca="false">IF(AA808=1,"",IF(AND(AC808=1,AE808&lt;&gt;1),1,0))</f>
        <v/>
      </c>
      <c r="AH808" s="51" t="str">
        <f aca="false">IF(AND(E808&gt;0,AA808&lt;1,NOT(AND(C809=C808,AA809=AA808+1))),INDEX(DATAS,AA808+1),"")</f>
        <v/>
      </c>
      <c r="AI808" s="51" t="str">
        <f aca="false">IF(AND(AC808=1,AA808&lt;1),IF(AND(C809=C808,AA809=AA808+1),IF(AC809=1,"",INDEX(DATAS,AA808+1)),INDEX(DATAS,AA808+1)),"")</f>
        <v/>
      </c>
    </row>
    <row r="809" customFormat="false" ht="15" hidden="false" customHeight="false" outlineLevel="0" collapsed="false">
      <c r="A809" s="51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46" t="s">
        <v>674</v>
      </c>
      <c r="G809" s="0" t="n">
        <v>51.7</v>
      </c>
      <c r="H809" s="0" t="n">
        <v>51</v>
      </c>
      <c r="I809" s="46" t="s">
        <v>181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51" t="n">
        <v>46289</v>
      </c>
      <c r="X809" s="46" t="n">
        <f aca="false">IF(I809="Male",0,1)</f>
        <v>1</v>
      </c>
      <c r="Y809" s="46" t="n">
        <f aca="false">IF(OR(I809="DNB",I809="Dry DNB"),1,0)</f>
        <v>0</v>
      </c>
      <c r="Z809" s="46" t="n">
        <f aca="false">IF(ISNUMBER(W809),A809-W809,"")</f>
        <v>20</v>
      </c>
      <c r="AA809" s="46" t="n">
        <f aca="false">MATCH(A809,DATAS,0)</f>
        <v>1</v>
      </c>
      <c r="AB809" s="46" t="n">
        <f aca="false">IF(AND(E809&gt;0,OR(AND(B809&gt;=1,B809&lt;=6),B809=10)),1,0)</f>
        <v>1</v>
      </c>
      <c r="AC809" s="46" t="n">
        <f aca="false">IF(AND(E809&gt;0,B809=10),1,0)</f>
        <v>0</v>
      </c>
      <c r="AD809" s="0" t="str">
        <f aca="false">IF(AND(C808=C809,AA808=AA809-1),AB808,"")</f>
        <v/>
      </c>
      <c r="AE809" s="0" t="str">
        <f aca="false">IF(AND(C808=C809,AA808=AA809-1),AC808,"")</f>
        <v/>
      </c>
      <c r="AF809" s="0" t="str">
        <f aca="false">IF(AA809=1,"",IF(AND(AB809=1,AD809&lt;&gt;1),1,0))</f>
        <v/>
      </c>
      <c r="AG809" s="0" t="str">
        <f aca="false">IF(AA809=1,"",IF(AND(AC809=1,AE809&lt;&gt;1),1,0))</f>
        <v/>
      </c>
      <c r="AH809" s="51" t="str">
        <f aca="false">IF(AND(E809&gt;0,AA809&lt;1,NOT(AND(C810=C809,AA810=AA809+1))),INDEX(DATAS,AA809+1),"")</f>
        <v/>
      </c>
      <c r="AI809" s="51" t="str">
        <f aca="false">IF(AND(AC809=1,AA809&lt;1),IF(AND(C810=C809,AA810=AA809+1),IF(AC810=1,"",INDEX(DATAS,AA809+1)),INDEX(DATAS,AA809+1)),"")</f>
        <v/>
      </c>
    </row>
    <row r="810" customFormat="false" ht="15" hidden="false" customHeight="false" outlineLevel="0" collapsed="false">
      <c r="A810" s="51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46" t="s">
        <v>675</v>
      </c>
      <c r="G810" s="0" t="n">
        <v>45.3</v>
      </c>
      <c r="H810" s="0" t="n">
        <v>45</v>
      </c>
      <c r="I810" s="46" t="s">
        <v>181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51" t="n">
        <v>46282</v>
      </c>
      <c r="X810" s="46" t="n">
        <f aca="false">IF(I810="Male",0,1)</f>
        <v>1</v>
      </c>
      <c r="Y810" s="46" t="n">
        <f aca="false">IF(OR(I810="DNB",I810="Dry DNB"),1,0)</f>
        <v>0</v>
      </c>
      <c r="Z810" s="46" t="n">
        <f aca="false">IF(ISNUMBER(W810),A810-W810,"")</f>
        <v>27</v>
      </c>
      <c r="AA810" s="46" t="n">
        <f aca="false">MATCH(A810,DATAS,0)</f>
        <v>1</v>
      </c>
      <c r="AB810" s="46" t="n">
        <f aca="false">IF(AND(E810&gt;0,OR(AND(B810&gt;=1,B810&lt;=6),B810=10)),1,0)</f>
        <v>1</v>
      </c>
      <c r="AC810" s="46" t="n">
        <f aca="false">IF(AND(E810&gt;0,B810=10),1,0)</f>
        <v>0</v>
      </c>
      <c r="AD810" s="0" t="str">
        <f aca="false">IF(AND(C809=C810,AA809=AA810-1),AB809,"")</f>
        <v/>
      </c>
      <c r="AE810" s="0" t="str">
        <f aca="false">IF(AND(C809=C810,AA809=AA810-1),AC809,"")</f>
        <v/>
      </c>
      <c r="AF810" s="0" t="str">
        <f aca="false">IF(AA810=1,"",IF(AND(AB810=1,AD810&lt;&gt;1),1,0))</f>
        <v/>
      </c>
      <c r="AG810" s="0" t="str">
        <f aca="false">IF(AA810=1,"",IF(AND(AC810=1,AE810&lt;&gt;1),1,0))</f>
        <v/>
      </c>
      <c r="AH810" s="51" t="str">
        <f aca="false">IF(AND(E810&gt;0,AA810&lt;1,NOT(AND(C811=C810,AA811=AA810+1))),INDEX(DATAS,AA810+1),"")</f>
        <v/>
      </c>
      <c r="AI810" s="51" t="str">
        <f aca="false">IF(AND(AC810=1,AA810&lt;1),IF(AND(C811=C810,AA811=AA810+1),IF(AC811=1,"",INDEX(DATAS,AA810+1)),INDEX(DATAS,AA810+1)),"")</f>
        <v/>
      </c>
    </row>
    <row r="811" customFormat="false" ht="15" hidden="false" customHeight="false" outlineLevel="0" collapsed="false">
      <c r="A811" s="51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46" t="s">
        <v>675</v>
      </c>
      <c r="G811" s="0" t="n">
        <v>46.2</v>
      </c>
      <c r="H811" s="0" t="n">
        <v>37</v>
      </c>
      <c r="I811" s="46" t="s">
        <v>152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51" t="n">
        <v>46170</v>
      </c>
      <c r="X811" s="46" t="n">
        <f aca="false">IF(I811="Male",0,1)</f>
        <v>1</v>
      </c>
      <c r="Y811" s="46" t="n">
        <f aca="false">IF(OR(I811="DNB",I811="Dry DNB"),1,0)</f>
        <v>0</v>
      </c>
      <c r="Z811" s="46" t="n">
        <f aca="false">IF(ISNUMBER(W811),A811-W811,"")</f>
        <v>139</v>
      </c>
      <c r="AA811" s="46" t="n">
        <f aca="false">MATCH(A811,DATAS,0)</f>
        <v>1</v>
      </c>
      <c r="AB811" s="46" t="n">
        <f aca="false">IF(AND(E811&gt;0,OR(AND(B811&gt;=1,B811&lt;=6),B811=10)),1,0)</f>
        <v>1</v>
      </c>
      <c r="AC811" s="46" t="n">
        <f aca="false">IF(AND(E811&gt;0,B811=10),1,0)</f>
        <v>0</v>
      </c>
      <c r="AD811" s="0" t="str">
        <f aca="false">IF(AND(C810=C811,AA810=AA811-1),AB810,"")</f>
        <v/>
      </c>
      <c r="AE811" s="0" t="str">
        <f aca="false">IF(AND(C810=C811,AA810=AA811-1),AC810,"")</f>
        <v/>
      </c>
      <c r="AF811" s="0" t="str">
        <f aca="false">IF(AA811=1,"",IF(AND(AB811=1,AD811&lt;&gt;1),1,0))</f>
        <v/>
      </c>
      <c r="AG811" s="0" t="str">
        <f aca="false">IF(AA811=1,"",IF(AND(AC811=1,AE811&lt;&gt;1),1,0))</f>
        <v/>
      </c>
      <c r="AH811" s="51" t="str">
        <f aca="false">IF(AND(E811&gt;0,AA811&lt;1,NOT(AND(C812=C811,AA812=AA811+1))),INDEX(DATAS,AA811+1),"")</f>
        <v/>
      </c>
      <c r="AI811" s="51" t="str">
        <f aca="false">IF(AND(AC811=1,AA811&lt;1),IF(AND(C812=C811,AA812=AA811+1),IF(AC812=1,"",INDEX(DATAS,AA811+1)),INDEX(DATAS,AA811+1)),"")</f>
        <v/>
      </c>
    </row>
    <row r="812" customFormat="false" ht="15" hidden="false" customHeight="false" outlineLevel="0" collapsed="false">
      <c r="A812" s="51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46" t="s">
        <v>675</v>
      </c>
      <c r="I812" s="46" t="s">
        <v>157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51" t="n">
        <v>46073</v>
      </c>
      <c r="X812" s="46" t="n">
        <f aca="false">IF(I812="Male",0,1)</f>
        <v>1</v>
      </c>
      <c r="Y812" s="46" t="n">
        <f aca="false">IF(OR(I812="DNB",I812="Dry DNB"),1,0)</f>
        <v>0</v>
      </c>
      <c r="Z812" s="46" t="n">
        <f aca="false">IF(ISNUMBER(W812),A812-W812,"")</f>
        <v>236</v>
      </c>
      <c r="AA812" s="46" t="n">
        <f aca="false">MATCH(A812,DATAS,0)</f>
        <v>1</v>
      </c>
      <c r="AB812" s="46" t="n">
        <f aca="false">IF(AND(E812&gt;0,OR(AND(B812&gt;=1,B812&lt;=6),B812=10)),1,0)</f>
        <v>0</v>
      </c>
      <c r="AC812" s="46" t="n">
        <f aca="false">IF(AND(E812&gt;0,B812=10),1,0)</f>
        <v>0</v>
      </c>
      <c r="AD812" s="0" t="str">
        <f aca="false">IF(AND(C811=C812,AA811=AA812-1),AB811,"")</f>
        <v/>
      </c>
      <c r="AE812" s="0" t="str">
        <f aca="false">IF(AND(C811=C812,AA811=AA812-1),AC811,"")</f>
        <v/>
      </c>
      <c r="AF812" s="0" t="str">
        <f aca="false">IF(AA812=1,"",IF(AND(AB812=1,AD812&lt;&gt;1),1,0))</f>
        <v/>
      </c>
      <c r="AG812" s="0" t="str">
        <f aca="false">IF(AA812=1,"",IF(AND(AC812=1,AE812&lt;&gt;1),1,0))</f>
        <v/>
      </c>
      <c r="AH812" s="51" t="str">
        <f aca="false">IF(AND(E812&gt;0,AA812&lt;1,NOT(AND(C813=C812,AA813=AA812+1))),INDEX(DATAS,AA812+1),"")</f>
        <v/>
      </c>
      <c r="AI812" s="51" t="str">
        <f aca="false">IF(AND(AC812=1,AA812&lt;1),IF(AND(C813=C812,AA813=AA812+1),IF(AC813=1,"",INDEX(DATAS,AA812+1)),INDEX(DATAS,AA812+1)),"")</f>
        <v/>
      </c>
    </row>
    <row r="813" customFormat="false" ht="15" hidden="false" customHeight="false" outlineLevel="0" collapsed="false">
      <c r="A813" s="51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46" t="s">
        <v>676</v>
      </c>
      <c r="G813" s="0" t="n">
        <v>54.9</v>
      </c>
      <c r="H813" s="0" t="n">
        <v>54</v>
      </c>
      <c r="I813" s="46" t="s">
        <v>181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51" t="n">
        <v>46296</v>
      </c>
      <c r="X813" s="46" t="n">
        <f aca="false">IF(I813="Male",0,1)</f>
        <v>1</v>
      </c>
      <c r="Y813" s="46" t="n">
        <f aca="false">IF(OR(I813="DNB",I813="Dry DNB"),1,0)</f>
        <v>0</v>
      </c>
      <c r="Z813" s="46" t="n">
        <f aca="false">IF(ISNUMBER(W813),A813-W813,"")</f>
        <v>13</v>
      </c>
      <c r="AA813" s="46" t="n">
        <f aca="false">MATCH(A813,DATAS,0)</f>
        <v>1</v>
      </c>
      <c r="AB813" s="46" t="n">
        <f aca="false">IF(AND(E813&gt;0,OR(AND(B813&gt;=1,B813&lt;=6),B813=10)),1,0)</f>
        <v>1</v>
      </c>
      <c r="AC813" s="46" t="n">
        <f aca="false">IF(AND(E813&gt;0,B813=10),1,0)</f>
        <v>0</v>
      </c>
      <c r="AD813" s="0" t="str">
        <f aca="false">IF(AND(C812=C813,AA812=AA813-1),AB812,"")</f>
        <v/>
      </c>
      <c r="AE813" s="0" t="str">
        <f aca="false">IF(AND(C812=C813,AA812=AA813-1),AC812,"")</f>
        <v/>
      </c>
      <c r="AF813" s="0" t="str">
        <f aca="false">IF(AA813=1,"",IF(AND(AB813=1,AD813&lt;&gt;1),1,0))</f>
        <v/>
      </c>
      <c r="AG813" s="0" t="str">
        <f aca="false">IF(AA813=1,"",IF(AND(AC813=1,AE813&lt;&gt;1),1,0))</f>
        <v/>
      </c>
      <c r="AH813" s="51" t="str">
        <f aca="false">IF(AND(E813&gt;0,AA813&lt;1,NOT(AND(C814=C813,AA814=AA813+1))),INDEX(DATAS,AA813+1),"")</f>
        <v/>
      </c>
      <c r="AI813" s="51" t="str">
        <f aca="false">IF(AND(AC813=1,AA813&lt;1),IF(AND(C814=C813,AA814=AA813+1),IF(AC814=1,"",INDEX(DATAS,AA813+1)),INDEX(DATAS,AA813+1)),"")</f>
        <v/>
      </c>
    </row>
    <row r="814" customFormat="false" ht="15" hidden="false" customHeight="false" outlineLevel="0" collapsed="false">
      <c r="A814" s="51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46" t="s">
        <v>676</v>
      </c>
      <c r="G814" s="0" t="n">
        <v>54.3</v>
      </c>
      <c r="H814" s="0" t="n">
        <v>52</v>
      </c>
      <c r="I814" s="46" t="s">
        <v>181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51" t="n">
        <v>46296</v>
      </c>
      <c r="X814" s="46" t="n">
        <f aca="false">IF(I814="Male",0,1)</f>
        <v>1</v>
      </c>
      <c r="Y814" s="46" t="n">
        <f aca="false">IF(OR(I814="DNB",I814="Dry DNB"),1,0)</f>
        <v>0</v>
      </c>
      <c r="Z814" s="46" t="n">
        <f aca="false">IF(ISNUMBER(W814),A814-W814,"")</f>
        <v>13</v>
      </c>
      <c r="AA814" s="46" t="n">
        <f aca="false">MATCH(A814,DATAS,0)</f>
        <v>1</v>
      </c>
      <c r="AB814" s="46" t="n">
        <f aca="false">IF(AND(E814&gt;0,OR(AND(B814&gt;=1,B814&lt;=6),B814=10)),1,0)</f>
        <v>1</v>
      </c>
      <c r="AC814" s="46" t="n">
        <f aca="false">IF(AND(E814&gt;0,B814=10),1,0)</f>
        <v>0</v>
      </c>
      <c r="AD814" s="0" t="str">
        <f aca="false">IF(AND(C813=C814,AA813=AA814-1),AB813,"")</f>
        <v/>
      </c>
      <c r="AE814" s="0" t="str">
        <f aca="false">IF(AND(C813=C814,AA813=AA814-1),AC813,"")</f>
        <v/>
      </c>
      <c r="AF814" s="0" t="str">
        <f aca="false">IF(AA814=1,"",IF(AND(AB814=1,AD814&lt;&gt;1),1,0))</f>
        <v/>
      </c>
      <c r="AG814" s="0" t="str">
        <f aca="false">IF(AA814=1,"",IF(AND(AC814=1,AE814&lt;&gt;1),1,0))</f>
        <v/>
      </c>
      <c r="AH814" s="51" t="str">
        <f aca="false">IF(AND(E814&gt;0,AA814&lt;1,NOT(AND(C815=C814,AA815=AA814+1))),INDEX(DATAS,AA814+1),"")</f>
        <v/>
      </c>
      <c r="AI814" s="51" t="str">
        <f aca="false">IF(AND(AC814=1,AA814&lt;1),IF(AND(C815=C814,AA815=AA814+1),IF(AC815=1,"",INDEX(DATAS,AA814+1)),INDEX(DATAS,AA814+1)),"")</f>
        <v/>
      </c>
    </row>
    <row r="815" customFormat="false" ht="15" hidden="false" customHeight="false" outlineLevel="0" collapsed="false">
      <c r="A815" s="51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46" t="s">
        <v>677</v>
      </c>
      <c r="G815" s="0" t="n">
        <v>62.5</v>
      </c>
      <c r="H815" s="0" t="n">
        <v>63</v>
      </c>
      <c r="I815" s="46" t="s">
        <v>181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51" t="n">
        <v>46289</v>
      </c>
      <c r="X815" s="46" t="n">
        <f aca="false">IF(I815="Male",0,1)</f>
        <v>1</v>
      </c>
      <c r="Y815" s="46" t="n">
        <f aca="false">IF(OR(I815="DNB",I815="Dry DNB"),1,0)</f>
        <v>0</v>
      </c>
      <c r="Z815" s="46" t="n">
        <f aca="false">IF(ISNUMBER(W815),A815-W815,"")</f>
        <v>20</v>
      </c>
      <c r="AA815" s="46" t="n">
        <f aca="false">MATCH(A815,DATAS,0)</f>
        <v>1</v>
      </c>
      <c r="AB815" s="46" t="n">
        <f aca="false">IF(AND(E815&gt;0,OR(AND(B815&gt;=1,B815&lt;=6),B815=10)),1,0)</f>
        <v>1</v>
      </c>
      <c r="AC815" s="46" t="n">
        <f aca="false">IF(AND(E815&gt;0,B815=10),1,0)</f>
        <v>0</v>
      </c>
      <c r="AD815" s="0" t="str">
        <f aca="false">IF(AND(C814=C815,AA814=AA815-1),AB814,"")</f>
        <v/>
      </c>
      <c r="AE815" s="0" t="str">
        <f aca="false">IF(AND(C814=C815,AA814=AA815-1),AC814,"")</f>
        <v/>
      </c>
      <c r="AF815" s="0" t="str">
        <f aca="false">IF(AA815=1,"",IF(AND(AB815=1,AD815&lt;&gt;1),1,0))</f>
        <v/>
      </c>
      <c r="AG815" s="0" t="str">
        <f aca="false">IF(AA815=1,"",IF(AND(AC815=1,AE815&lt;&gt;1),1,0))</f>
        <v/>
      </c>
      <c r="AH815" s="51" t="str">
        <f aca="false">IF(AND(E815&gt;0,AA815&lt;1,NOT(AND(C816=C815,AA816=AA815+1))),INDEX(DATAS,AA815+1),"")</f>
        <v/>
      </c>
      <c r="AI815" s="51" t="str">
        <f aca="false">IF(AND(AC815=1,AA815&lt;1),IF(AND(C816=C815,AA816=AA815+1),IF(AC816=1,"",INDEX(DATAS,AA815+1)),INDEX(DATAS,AA815+1)),"")</f>
        <v/>
      </c>
    </row>
    <row r="816" customFormat="false" ht="15" hidden="false" customHeight="false" outlineLevel="0" collapsed="false">
      <c r="A816" s="51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46" t="s">
        <v>677</v>
      </c>
      <c r="H816" s="0" t="n">
        <v>17</v>
      </c>
      <c r="I816" s="46" t="s">
        <v>152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51" t="n">
        <v>46121</v>
      </c>
      <c r="X816" s="46" t="n">
        <f aca="false">IF(I816="Male",0,1)</f>
        <v>1</v>
      </c>
      <c r="Y816" s="46" t="n">
        <f aca="false">IF(OR(I816="DNB",I816="Dry DNB"),1,0)</f>
        <v>0</v>
      </c>
      <c r="Z816" s="46" t="n">
        <f aca="false">IF(ISNUMBER(W816),A816-W816,"")</f>
        <v>188</v>
      </c>
      <c r="AA816" s="46" t="n">
        <f aca="false">MATCH(A816,DATAS,0)</f>
        <v>1</v>
      </c>
      <c r="AB816" s="46" t="n">
        <f aca="false">IF(AND(E816&gt;0,OR(AND(B816&gt;=1,B816&lt;=6),B816=10)),1,0)</f>
        <v>1</v>
      </c>
      <c r="AC816" s="46" t="n">
        <f aca="false">IF(AND(E816&gt;0,B816=10),1,0)</f>
        <v>0</v>
      </c>
      <c r="AD816" s="0" t="str">
        <f aca="false">IF(AND(C815=C816,AA815=AA816-1),AB815,"")</f>
        <v/>
      </c>
      <c r="AE816" s="0" t="str">
        <f aca="false">IF(AND(C815=C816,AA815=AA816-1),AC815,"")</f>
        <v/>
      </c>
      <c r="AF816" s="0" t="str">
        <f aca="false">IF(AA816=1,"",IF(AND(AB816=1,AD816&lt;&gt;1),1,0))</f>
        <v/>
      </c>
      <c r="AG816" s="0" t="str">
        <f aca="false">IF(AA816=1,"",IF(AND(AC816=1,AE816&lt;&gt;1),1,0))</f>
        <v/>
      </c>
      <c r="AH816" s="51" t="str">
        <f aca="false">IF(AND(E816&gt;0,AA816&lt;1,NOT(AND(C817=C816,AA817=AA816+1))),INDEX(DATAS,AA816+1),"")</f>
        <v/>
      </c>
      <c r="AI816" s="51" t="str">
        <f aca="false">IF(AND(AC816=1,AA816&lt;1),IF(AND(C817=C816,AA817=AA816+1),IF(AC817=1,"",INDEX(DATAS,AA816+1)),INDEX(DATAS,AA816+1)),"")</f>
        <v/>
      </c>
    </row>
    <row r="817" customFormat="false" ht="15" hidden="false" customHeight="false" outlineLevel="0" collapsed="false">
      <c r="A817" s="51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46" t="s">
        <v>677</v>
      </c>
      <c r="G817" s="0" t="n">
        <v>32.3</v>
      </c>
      <c r="H817" s="0" t="n">
        <v>29</v>
      </c>
      <c r="I817" s="46" t="s">
        <v>181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51" t="n">
        <v>46278</v>
      </c>
      <c r="X817" s="46" t="n">
        <f aca="false">IF(I817="Male",0,1)</f>
        <v>1</v>
      </c>
      <c r="Y817" s="46" t="n">
        <f aca="false">IF(OR(I817="DNB",I817="Dry DNB"),1,0)</f>
        <v>0</v>
      </c>
      <c r="Z817" s="46" t="n">
        <f aca="false">IF(ISNUMBER(W817),A817-W817,"")</f>
        <v>31</v>
      </c>
      <c r="AA817" s="46" t="n">
        <f aca="false">MATCH(A817,DATAS,0)</f>
        <v>1</v>
      </c>
      <c r="AB817" s="46" t="n">
        <f aca="false">IF(AND(E817&gt;0,OR(AND(B817&gt;=1,B817&lt;=6),B817=10)),1,0)</f>
        <v>1</v>
      </c>
      <c r="AC817" s="46" t="n">
        <f aca="false">IF(AND(E817&gt;0,B817=10),1,0)</f>
        <v>0</v>
      </c>
      <c r="AD817" s="0" t="str">
        <f aca="false">IF(AND(C816=C817,AA816=AA817-1),AB816,"")</f>
        <v/>
      </c>
      <c r="AE817" s="0" t="str">
        <f aca="false">IF(AND(C816=C817,AA816=AA817-1),AC816,"")</f>
        <v/>
      </c>
      <c r="AF817" s="0" t="str">
        <f aca="false">IF(AA817=1,"",IF(AND(AB817=1,AD817&lt;&gt;1),1,0))</f>
        <v/>
      </c>
      <c r="AG817" s="0" t="str">
        <f aca="false">IF(AA817=1,"",IF(AND(AC817=1,AE817&lt;&gt;1),1,0))</f>
        <v/>
      </c>
      <c r="AH817" s="51" t="str">
        <f aca="false">IF(AND(E817&gt;0,AA817&lt;1,NOT(AND(C818=C817,AA818=AA817+1))),INDEX(DATAS,AA817+1),"")</f>
        <v/>
      </c>
      <c r="AI817" s="51" t="str">
        <f aca="false">IF(AND(AC817=1,AA817&lt;1),IF(AND(C818=C817,AA818=AA817+1),IF(AC818=1,"",INDEX(DATAS,AA817+1)),INDEX(DATAS,AA817+1)),"")</f>
        <v/>
      </c>
    </row>
    <row r="818" customFormat="false" ht="15" hidden="false" customHeight="false" outlineLevel="0" collapsed="false">
      <c r="A818" s="51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46" t="s">
        <v>678</v>
      </c>
      <c r="G818" s="0" t="n">
        <v>54.2</v>
      </c>
      <c r="H818" s="0" t="n">
        <v>51</v>
      </c>
      <c r="I818" s="46" t="s">
        <v>152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51" t="n">
        <v>46240</v>
      </c>
      <c r="X818" s="46" t="n">
        <f aca="false">IF(I818="Male",0,1)</f>
        <v>1</v>
      </c>
      <c r="Y818" s="46" t="n">
        <f aca="false">IF(OR(I818="DNB",I818="Dry DNB"),1,0)</f>
        <v>0</v>
      </c>
      <c r="Z818" s="46" t="n">
        <f aca="false">IF(ISNUMBER(W818),A818-W818,"")</f>
        <v>69</v>
      </c>
      <c r="AA818" s="46" t="n">
        <f aca="false">MATCH(A818,DATAS,0)</f>
        <v>1</v>
      </c>
      <c r="AB818" s="46" t="n">
        <f aca="false">IF(AND(E818&gt;0,OR(AND(B818&gt;=1,B818&lt;=6),B818=10)),1,0)</f>
        <v>1</v>
      </c>
      <c r="AC818" s="46" t="n">
        <f aca="false">IF(AND(E818&gt;0,B818=10),1,0)</f>
        <v>0</v>
      </c>
      <c r="AD818" s="0" t="str">
        <f aca="false">IF(AND(C817=C818,AA817=AA818-1),AB817,"")</f>
        <v/>
      </c>
      <c r="AE818" s="0" t="str">
        <f aca="false">IF(AND(C817=C818,AA817=AA818-1),AC817,"")</f>
        <v/>
      </c>
      <c r="AF818" s="0" t="str">
        <f aca="false">IF(AA818=1,"",IF(AND(AB818=1,AD818&lt;&gt;1),1,0))</f>
        <v/>
      </c>
      <c r="AG818" s="0" t="str">
        <f aca="false">IF(AA818=1,"",IF(AND(AC818=1,AE818&lt;&gt;1),1,0))</f>
        <v/>
      </c>
      <c r="AH818" s="51" t="str">
        <f aca="false">IF(AND(E818&gt;0,AA818&lt;1,NOT(AND(C819=C818,AA819=AA818+1))),INDEX(DATAS,AA818+1),"")</f>
        <v/>
      </c>
      <c r="AI818" s="51" t="str">
        <f aca="false">IF(AND(AC818=1,AA818&lt;1),IF(AND(C819=C818,AA819=AA818+1),IF(AC819=1,"",INDEX(DATAS,AA818+1)),INDEX(DATAS,AA818+1)),"")</f>
        <v/>
      </c>
    </row>
    <row r="819" customFormat="false" ht="15" hidden="false" customHeight="false" outlineLevel="0" collapsed="false">
      <c r="A819" s="51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46" t="s">
        <v>678</v>
      </c>
      <c r="G819" s="0" t="n">
        <v>35.3</v>
      </c>
      <c r="H819" s="0" t="n">
        <v>35</v>
      </c>
      <c r="I819" s="46" t="s">
        <v>152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51" t="n">
        <v>46205</v>
      </c>
      <c r="X819" s="46" t="n">
        <f aca="false">IF(I819="Male",0,1)</f>
        <v>1</v>
      </c>
      <c r="Y819" s="46" t="n">
        <f aca="false">IF(OR(I819="DNB",I819="Dry DNB"),1,0)</f>
        <v>0</v>
      </c>
      <c r="Z819" s="46" t="n">
        <f aca="false">IF(ISNUMBER(W819),A819-W819,"")</f>
        <v>104</v>
      </c>
      <c r="AA819" s="46" t="n">
        <f aca="false">MATCH(A819,DATAS,0)</f>
        <v>1</v>
      </c>
      <c r="AB819" s="46" t="n">
        <f aca="false">IF(AND(E819&gt;0,OR(AND(B819&gt;=1,B819&lt;=6),B819=10)),1,0)</f>
        <v>1</v>
      </c>
      <c r="AC819" s="46" t="n">
        <f aca="false">IF(AND(E819&gt;0,B819=10),1,0)</f>
        <v>0</v>
      </c>
      <c r="AD819" s="0" t="str">
        <f aca="false">IF(AND(C818=C819,AA818=AA819-1),AB818,"")</f>
        <v/>
      </c>
      <c r="AE819" s="0" t="str">
        <f aca="false">IF(AND(C818=C819,AA818=AA819-1),AC818,"")</f>
        <v/>
      </c>
      <c r="AF819" s="0" t="str">
        <f aca="false">IF(AA819=1,"",IF(AND(AB819=1,AD819&lt;&gt;1),1,0))</f>
        <v/>
      </c>
      <c r="AG819" s="0" t="str">
        <f aca="false">IF(AA819=1,"",IF(AND(AC819=1,AE819&lt;&gt;1),1,0))</f>
        <v/>
      </c>
      <c r="AH819" s="51" t="str">
        <f aca="false">IF(AND(E819&gt;0,AA819&lt;1,NOT(AND(C820=C819,AA820=AA819+1))),INDEX(DATAS,AA819+1),"")</f>
        <v/>
      </c>
      <c r="AI819" s="51" t="str">
        <f aca="false">IF(AND(AC819=1,AA819&lt;1),IF(AND(C820=C819,AA820=AA819+1),IF(AC820=1,"",INDEX(DATAS,AA819+1)),INDEX(DATAS,AA819+1)),"")</f>
        <v/>
      </c>
    </row>
    <row r="820" customFormat="false" ht="15" hidden="false" customHeight="false" outlineLevel="0" collapsed="false">
      <c r="A820" s="51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46" t="s">
        <v>679</v>
      </c>
      <c r="G820" s="0" t="n">
        <v>40.4</v>
      </c>
      <c r="H820" s="0" t="n">
        <v>44</v>
      </c>
      <c r="I820" s="46" t="s">
        <v>152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51" t="n">
        <v>46205</v>
      </c>
      <c r="X820" s="46" t="n">
        <f aca="false">IF(I820="Male",0,1)</f>
        <v>1</v>
      </c>
      <c r="Y820" s="46" t="n">
        <f aca="false">IF(OR(I820="DNB",I820="Dry DNB"),1,0)</f>
        <v>0</v>
      </c>
      <c r="Z820" s="46" t="n">
        <f aca="false">IF(ISNUMBER(W820),A820-W820,"")</f>
        <v>104</v>
      </c>
      <c r="AA820" s="46" t="n">
        <f aca="false">MATCH(A820,DATAS,0)</f>
        <v>1</v>
      </c>
      <c r="AB820" s="46" t="n">
        <f aca="false">IF(AND(E820&gt;0,OR(AND(B820&gt;=1,B820&lt;=6),B820=10)),1,0)</f>
        <v>1</v>
      </c>
      <c r="AC820" s="46" t="n">
        <f aca="false">IF(AND(E820&gt;0,B820=10),1,0)</f>
        <v>0</v>
      </c>
      <c r="AD820" s="0" t="str">
        <f aca="false">IF(AND(C819=C820,AA819=AA820-1),AB819,"")</f>
        <v/>
      </c>
      <c r="AE820" s="0" t="str">
        <f aca="false">IF(AND(C819=C820,AA819=AA820-1),AC819,"")</f>
        <v/>
      </c>
      <c r="AF820" s="0" t="str">
        <f aca="false">IF(AA820=1,"",IF(AND(AB820=1,AD820&lt;&gt;1),1,0))</f>
        <v/>
      </c>
      <c r="AG820" s="0" t="str">
        <f aca="false">IF(AA820=1,"",IF(AND(AC820=1,AE820&lt;&gt;1),1,0))</f>
        <v/>
      </c>
      <c r="AH820" s="51" t="str">
        <f aca="false">IF(AND(E820&gt;0,AA820&lt;1,NOT(AND(C821=C820,AA821=AA820+1))),INDEX(DATAS,AA820+1),"")</f>
        <v/>
      </c>
      <c r="AI820" s="51" t="str">
        <f aca="false">IF(AND(AC820=1,AA820&lt;1),IF(AND(C821=C820,AA821=AA820+1),IF(AC821=1,"",INDEX(DATAS,AA820+1)),INDEX(DATAS,AA820+1)),"")</f>
        <v/>
      </c>
    </row>
    <row r="821" customFormat="false" ht="15" hidden="false" customHeight="false" outlineLevel="0" collapsed="false">
      <c r="A821" s="51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46" t="s">
        <v>679</v>
      </c>
      <c r="G821" s="0" t="n">
        <v>47.6</v>
      </c>
      <c r="H821" s="0" t="n">
        <v>42</v>
      </c>
      <c r="I821" s="46" t="s">
        <v>152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51" t="n">
        <v>46100</v>
      </c>
      <c r="X821" s="46" t="n">
        <f aca="false">IF(I821="Male",0,1)</f>
        <v>1</v>
      </c>
      <c r="Y821" s="46" t="n">
        <f aca="false">IF(OR(I821="DNB",I821="Dry DNB"),1,0)</f>
        <v>0</v>
      </c>
      <c r="Z821" s="46" t="n">
        <f aca="false">IF(ISNUMBER(W821),A821-W821,"")</f>
        <v>209</v>
      </c>
      <c r="AA821" s="46" t="n">
        <f aca="false">MATCH(A821,DATAS,0)</f>
        <v>1</v>
      </c>
      <c r="AB821" s="46" t="n">
        <f aca="false">IF(AND(E821&gt;0,OR(AND(B821&gt;=1,B821&lt;=6),B821=10)),1,0)</f>
        <v>1</v>
      </c>
      <c r="AC821" s="46" t="n">
        <f aca="false">IF(AND(E821&gt;0,B821=10),1,0)</f>
        <v>0</v>
      </c>
      <c r="AD821" s="0" t="str">
        <f aca="false">IF(AND(C820=C821,AA820=AA821-1),AB820,"")</f>
        <v/>
      </c>
      <c r="AE821" s="0" t="str">
        <f aca="false">IF(AND(C820=C821,AA820=AA821-1),AC820,"")</f>
        <v/>
      </c>
      <c r="AF821" s="0" t="str">
        <f aca="false">IF(AA821=1,"",IF(AND(AB821=1,AD821&lt;&gt;1),1,0))</f>
        <v/>
      </c>
      <c r="AG821" s="0" t="str">
        <f aca="false">IF(AA821=1,"",IF(AND(AC821=1,AE821&lt;&gt;1),1,0))</f>
        <v/>
      </c>
      <c r="AH821" s="51" t="str">
        <f aca="false">IF(AND(E821&gt;0,AA821&lt;1,NOT(AND(C822=C821,AA822=AA821+1))),INDEX(DATAS,AA821+1),"")</f>
        <v/>
      </c>
      <c r="AI821" s="51" t="str">
        <f aca="false">IF(AND(AC821=1,AA821&lt;1),IF(AND(C822=C821,AA822=AA821+1),IF(AC822=1,"",INDEX(DATAS,AA821+1)),INDEX(DATAS,AA821+1)),"")</f>
        <v/>
      </c>
    </row>
    <row r="822" customFormat="false" ht="15" hidden="false" customHeight="false" outlineLevel="0" collapsed="false">
      <c r="A822" s="51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46" t="s">
        <v>680</v>
      </c>
      <c r="G822" s="0" t="n">
        <v>57.5</v>
      </c>
      <c r="H822" s="0" t="n">
        <v>58</v>
      </c>
      <c r="I822" s="46" t="s">
        <v>152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51" t="n">
        <v>46177</v>
      </c>
      <c r="X822" s="46" t="n">
        <f aca="false">IF(I822="Male",0,1)</f>
        <v>1</v>
      </c>
      <c r="Y822" s="46" t="n">
        <f aca="false">IF(OR(I822="DNB",I822="Dry DNB"),1,0)</f>
        <v>0</v>
      </c>
      <c r="Z822" s="46" t="n">
        <f aca="false">IF(ISNUMBER(W822),A822-W822,"")</f>
        <v>132</v>
      </c>
      <c r="AA822" s="46" t="n">
        <f aca="false">MATCH(A822,DATAS,0)</f>
        <v>1</v>
      </c>
      <c r="AB822" s="46" t="n">
        <f aca="false">IF(AND(E822&gt;0,OR(AND(B822&gt;=1,B822&lt;=6),B822=10)),1,0)</f>
        <v>1</v>
      </c>
      <c r="AC822" s="46" t="n">
        <f aca="false">IF(AND(E822&gt;0,B822=10),1,0)</f>
        <v>0</v>
      </c>
      <c r="AD822" s="0" t="str">
        <f aca="false">IF(AND(C821=C822,AA821=AA822-1),AB821,"")</f>
        <v/>
      </c>
      <c r="AE822" s="0" t="str">
        <f aca="false">IF(AND(C821=C822,AA821=AA822-1),AC821,"")</f>
        <v/>
      </c>
      <c r="AF822" s="0" t="str">
        <f aca="false">IF(AA822=1,"",IF(AND(AB822=1,AD822&lt;&gt;1),1,0))</f>
        <v/>
      </c>
      <c r="AG822" s="0" t="str">
        <f aca="false">IF(AA822=1,"",IF(AND(AC822=1,AE822&lt;&gt;1),1,0))</f>
        <v/>
      </c>
      <c r="AH822" s="51" t="str">
        <f aca="false">IF(AND(E822&gt;0,AA822&lt;1,NOT(AND(C823=C822,AA823=AA822+1))),INDEX(DATAS,AA822+1),"")</f>
        <v/>
      </c>
      <c r="AI822" s="51" t="str">
        <f aca="false">IF(AND(AC822=1,AA822&lt;1),IF(AND(C823=C822,AA823=AA822+1),IF(AC823=1,"",INDEX(DATAS,AA822+1)),INDEX(DATAS,AA822+1)),"")</f>
        <v/>
      </c>
    </row>
    <row r="823" customFormat="false" ht="15" hidden="false" customHeight="false" outlineLevel="0" collapsed="false">
      <c r="A823" s="51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46" t="s">
        <v>680</v>
      </c>
      <c r="G823" s="0" t="n">
        <v>52.5</v>
      </c>
      <c r="H823" s="0" t="n">
        <v>51</v>
      </c>
      <c r="I823" s="46" t="s">
        <v>161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X823" s="46" t="n">
        <f aca="false">IF(I823="Male",0,1)</f>
        <v>1</v>
      </c>
      <c r="Y823" s="46" t="n">
        <f aca="false">IF(OR(I823="DNB",I823="Dry DNB"),1,0)</f>
        <v>0</v>
      </c>
      <c r="Z823" s="0" t="str">
        <f aca="false">IF(ISNUMBER(W823),A823-W823,"")</f>
        <v/>
      </c>
      <c r="AA823" s="46" t="n">
        <f aca="false">MATCH(A823,DATAS,0)</f>
        <v>1</v>
      </c>
      <c r="AB823" s="46" t="n">
        <f aca="false">IF(AND(E823&gt;0,OR(AND(B823&gt;=1,B823&lt;=6),B823=10)),1,0)</f>
        <v>1</v>
      </c>
      <c r="AC823" s="46" t="n">
        <f aca="false">IF(AND(E823&gt;0,B823=10),1,0)</f>
        <v>0</v>
      </c>
      <c r="AD823" s="0" t="str">
        <f aca="false">IF(AND(C822=C823,AA822=AA823-1),AB822,"")</f>
        <v/>
      </c>
      <c r="AE823" s="0" t="str">
        <f aca="false">IF(AND(C822=C823,AA822=AA823-1),AC822,"")</f>
        <v/>
      </c>
      <c r="AF823" s="0" t="str">
        <f aca="false">IF(AA823=1,"",IF(AND(AB823=1,AD823&lt;&gt;1),1,0))</f>
        <v/>
      </c>
      <c r="AG823" s="0" t="str">
        <f aca="false">IF(AA823=1,"",IF(AND(AC823=1,AE823&lt;&gt;1),1,0))</f>
        <v/>
      </c>
      <c r="AH823" s="51" t="str">
        <f aca="false">IF(AND(E823&gt;0,AA823&lt;1,NOT(AND(C824=C823,AA824=AA823+1))),INDEX(DATAS,AA823+1),"")</f>
        <v/>
      </c>
      <c r="AI823" s="51" t="str">
        <f aca="false">IF(AND(AC823=1,AA823&lt;1),IF(AND(C824=C823,AA824=AA823+1),IF(AC824=1,"",INDEX(DATAS,AA823+1)),INDEX(DATAS,AA823+1)),"")</f>
        <v/>
      </c>
    </row>
    <row r="824" customFormat="false" ht="15" hidden="false" customHeight="false" outlineLevel="0" collapsed="false">
      <c r="A824" s="51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46" t="s">
        <v>680</v>
      </c>
      <c r="G824" s="0" t="n">
        <v>42.7</v>
      </c>
      <c r="H824" s="0" t="n">
        <v>39</v>
      </c>
      <c r="I824" s="46" t="s">
        <v>189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X824" s="46" t="n">
        <f aca="false">IF(I824="Male",0,1)</f>
        <v>1</v>
      </c>
      <c r="Y824" s="46" t="n">
        <f aca="false">IF(OR(I824="DNB",I824="Dry DNB"),1,0)</f>
        <v>0</v>
      </c>
      <c r="Z824" s="0" t="str">
        <f aca="false">IF(ISNUMBER(W824),A824-W824,"")</f>
        <v/>
      </c>
      <c r="AA824" s="46" t="n">
        <f aca="false">MATCH(A824,DATAS,0)</f>
        <v>1</v>
      </c>
      <c r="AB824" s="46" t="n">
        <f aca="false">IF(AND(E824&gt;0,OR(AND(B824&gt;=1,B824&lt;=6),B824=10)),1,0)</f>
        <v>1</v>
      </c>
      <c r="AC824" s="46" t="n">
        <f aca="false">IF(AND(E824&gt;0,B824=10),1,0)</f>
        <v>0</v>
      </c>
      <c r="AD824" s="0" t="str">
        <f aca="false">IF(AND(C823=C824,AA823=AA824-1),AB823,"")</f>
        <v/>
      </c>
      <c r="AE824" s="0" t="str">
        <f aca="false">IF(AND(C823=C824,AA823=AA824-1),AC823,"")</f>
        <v/>
      </c>
      <c r="AF824" s="0" t="str">
        <f aca="false">IF(AA824=1,"",IF(AND(AB824=1,AD824&lt;&gt;1),1,0))</f>
        <v/>
      </c>
      <c r="AG824" s="0" t="str">
        <f aca="false">IF(AA824=1,"",IF(AND(AC824=1,AE824&lt;&gt;1),1,0))</f>
        <v/>
      </c>
      <c r="AH824" s="51" t="str">
        <f aca="false">IF(AND(E824&gt;0,AA824&lt;1,NOT(AND(C825=C824,AA825=AA824+1))),INDEX(DATAS,AA824+1),"")</f>
        <v/>
      </c>
      <c r="AI824" s="51" t="str">
        <f aca="false">IF(AND(AC824=1,AA824&lt;1),IF(AND(C825=C824,AA825=AA824+1),IF(AC825=1,"",INDEX(DATAS,AA824+1)),INDEX(DATAS,AA824+1)),"")</f>
        <v/>
      </c>
    </row>
    <row r="825" customFormat="false" ht="15" hidden="false" customHeight="false" outlineLevel="0" collapsed="false">
      <c r="A825" s="51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46" t="s">
        <v>681</v>
      </c>
      <c r="G825" s="0" t="n">
        <v>21.7</v>
      </c>
      <c r="H825" s="0" t="n">
        <v>20</v>
      </c>
      <c r="I825" s="46" t="s">
        <v>138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51" t="n">
        <v>46275</v>
      </c>
      <c r="X825" s="46" t="n">
        <f aca="false">IF(I825="Male",0,1)</f>
        <v>1</v>
      </c>
      <c r="Y825" s="46" t="n">
        <f aca="false">IF(OR(I825="DNB",I825="Dry DNB"),1,0)</f>
        <v>1</v>
      </c>
      <c r="Z825" s="46" t="n">
        <f aca="false">IF(ISNUMBER(W825),A825-W825,"")</f>
        <v>34</v>
      </c>
      <c r="AA825" s="46" t="n">
        <f aca="false">MATCH(A825,DATAS,0)</f>
        <v>1</v>
      </c>
      <c r="AB825" s="46" t="n">
        <f aca="false">IF(AND(E825&gt;0,OR(AND(B825&gt;=1,B825&lt;=6),B825=10)),1,0)</f>
        <v>1</v>
      </c>
      <c r="AC825" s="46" t="n">
        <f aca="false">IF(AND(E825&gt;0,B825=10),1,0)</f>
        <v>0</v>
      </c>
      <c r="AD825" s="0" t="str">
        <f aca="false">IF(AND(C824=C825,AA824=AA825-1),AB824,"")</f>
        <v/>
      </c>
      <c r="AE825" s="0" t="str">
        <f aca="false">IF(AND(C824=C825,AA824=AA825-1),AC824,"")</f>
        <v/>
      </c>
      <c r="AF825" s="0" t="str">
        <f aca="false">IF(AA825=1,"",IF(AND(AB825=1,AD825&lt;&gt;1),1,0))</f>
        <v/>
      </c>
      <c r="AG825" s="0" t="str">
        <f aca="false">IF(AA825=1,"",IF(AND(AC825=1,AE825&lt;&gt;1),1,0))</f>
        <v/>
      </c>
      <c r="AH825" s="51" t="str">
        <f aca="false">IF(AND(E825&gt;0,AA825&lt;1,NOT(AND(C826=C825,AA826=AA825+1))),INDEX(DATAS,AA825+1),"")</f>
        <v/>
      </c>
      <c r="AI825" s="51" t="str">
        <f aca="false">IF(AND(AC825=1,AA825&lt;1),IF(AND(C826=C825,AA826=AA825+1),IF(AC826=1,"",INDEX(DATAS,AA825+1)),INDEX(DATAS,AA825+1)),"")</f>
        <v/>
      </c>
    </row>
    <row r="826" customFormat="false" ht="15" hidden="false" customHeight="false" outlineLevel="0" collapsed="false">
      <c r="A826" s="51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46" t="s">
        <v>681</v>
      </c>
      <c r="G826" s="0" t="n">
        <v>26.6</v>
      </c>
      <c r="H826" s="0" t="n">
        <v>25</v>
      </c>
      <c r="I826" s="46" t="s">
        <v>152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51" t="n">
        <v>46215</v>
      </c>
      <c r="X826" s="46" t="n">
        <f aca="false">IF(I826="Male",0,1)</f>
        <v>1</v>
      </c>
      <c r="Y826" s="46" t="n">
        <f aca="false">IF(OR(I826="DNB",I826="Dry DNB"),1,0)</f>
        <v>0</v>
      </c>
      <c r="Z826" s="46" t="n">
        <f aca="false">IF(ISNUMBER(W826),A826-W826,"")</f>
        <v>94</v>
      </c>
      <c r="AA826" s="46" t="n">
        <f aca="false">MATCH(A826,DATAS,0)</f>
        <v>1</v>
      </c>
      <c r="AB826" s="46" t="n">
        <f aca="false">IF(AND(E826&gt;0,OR(AND(B826&gt;=1,B826&lt;=6),B826=10)),1,0)</f>
        <v>1</v>
      </c>
      <c r="AC826" s="46" t="n">
        <f aca="false">IF(AND(E826&gt;0,B826=10),1,0)</f>
        <v>0</v>
      </c>
      <c r="AD826" s="0" t="str">
        <f aca="false">IF(AND(C825=C826,AA825=AA826-1),AB825,"")</f>
        <v/>
      </c>
      <c r="AE826" s="0" t="str">
        <f aca="false">IF(AND(C825=C826,AA825=AA826-1),AC825,"")</f>
        <v/>
      </c>
      <c r="AF826" s="0" t="str">
        <f aca="false">IF(AA826=1,"",IF(AND(AB826=1,AD826&lt;&gt;1),1,0))</f>
        <v/>
      </c>
      <c r="AG826" s="0" t="str">
        <f aca="false">IF(AA826=1,"",IF(AND(AC826=1,AE826&lt;&gt;1),1,0))</f>
        <v/>
      </c>
      <c r="AH826" s="51" t="str">
        <f aca="false">IF(AND(E826&gt;0,AA826&lt;1,NOT(AND(C827=C826,AA827=AA826+1))),INDEX(DATAS,AA826+1),"")</f>
        <v/>
      </c>
      <c r="AI826" s="51" t="str">
        <f aca="false">IF(AND(AC826=1,AA826&lt;1),IF(AND(C827=C826,AA827=AA826+1),IF(AC827=1,"",INDEX(DATAS,AA826+1)),INDEX(DATAS,AA826+1)),"")</f>
        <v/>
      </c>
    </row>
    <row r="827" customFormat="false" ht="15" hidden="false" customHeight="false" outlineLevel="0" collapsed="false">
      <c r="A827" s="51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46" t="s">
        <v>682</v>
      </c>
      <c r="G827" s="0" t="n">
        <v>46.9</v>
      </c>
      <c r="H827" s="0" t="n">
        <v>45</v>
      </c>
      <c r="I827" s="46" t="s">
        <v>152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51" t="n">
        <v>46205</v>
      </c>
      <c r="X827" s="46" t="n">
        <f aca="false">IF(I827="Male",0,1)</f>
        <v>1</v>
      </c>
      <c r="Y827" s="46" t="n">
        <f aca="false">IF(OR(I827="DNB",I827="Dry DNB"),1,0)</f>
        <v>0</v>
      </c>
      <c r="Z827" s="46" t="n">
        <f aca="false">IF(ISNUMBER(W827),A827-W827,"")</f>
        <v>104</v>
      </c>
      <c r="AA827" s="46" t="n">
        <f aca="false">MATCH(A827,DATAS,0)</f>
        <v>1</v>
      </c>
      <c r="AB827" s="46" t="n">
        <f aca="false">IF(AND(E827&gt;0,OR(AND(B827&gt;=1,B827&lt;=6),B827=10)),1,0)</f>
        <v>1</v>
      </c>
      <c r="AC827" s="46" t="n">
        <f aca="false">IF(AND(E827&gt;0,B827=10),1,0)</f>
        <v>0</v>
      </c>
      <c r="AD827" s="0" t="str">
        <f aca="false">IF(AND(C826=C827,AA826=AA827-1),AB826,"")</f>
        <v/>
      </c>
      <c r="AE827" s="0" t="str">
        <f aca="false">IF(AND(C826=C827,AA826=AA827-1),AC826,"")</f>
        <v/>
      </c>
      <c r="AF827" s="0" t="str">
        <f aca="false">IF(AA827=1,"",IF(AND(AB827=1,AD827&lt;&gt;1),1,0))</f>
        <v/>
      </c>
      <c r="AG827" s="0" t="str">
        <f aca="false">IF(AA827=1,"",IF(AND(AC827=1,AE827&lt;&gt;1),1,0))</f>
        <v/>
      </c>
      <c r="AH827" s="51" t="str">
        <f aca="false">IF(AND(E827&gt;0,AA827&lt;1,NOT(AND(C828=C827,AA828=AA827+1))),INDEX(DATAS,AA827+1),"")</f>
        <v/>
      </c>
      <c r="AI827" s="51" t="str">
        <f aca="false">IF(AND(AC827=1,AA827&lt;1),IF(AND(C828=C827,AA828=AA827+1),IF(AC828=1,"",INDEX(DATAS,AA827+1)),INDEX(DATAS,AA827+1)),"")</f>
        <v/>
      </c>
    </row>
    <row r="828" customFormat="false" ht="15" hidden="false" customHeight="false" outlineLevel="0" collapsed="false">
      <c r="A828" s="51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46" t="s">
        <v>683</v>
      </c>
      <c r="G828" s="0" t="n">
        <v>43.5</v>
      </c>
      <c r="H828" s="0" t="n">
        <v>39</v>
      </c>
      <c r="I828" s="46" t="s">
        <v>181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51" t="n">
        <v>46233</v>
      </c>
      <c r="X828" s="46" t="n">
        <f aca="false">IF(I828="Male",0,1)</f>
        <v>1</v>
      </c>
      <c r="Y828" s="46" t="n">
        <f aca="false">IF(OR(I828="DNB",I828="Dry DNB"),1,0)</f>
        <v>0</v>
      </c>
      <c r="Z828" s="46" t="n">
        <f aca="false">IF(ISNUMBER(W828),A828-W828,"")</f>
        <v>76</v>
      </c>
      <c r="AA828" s="46" t="n">
        <f aca="false">MATCH(A828,DATAS,0)</f>
        <v>1</v>
      </c>
      <c r="AB828" s="46" t="n">
        <f aca="false">IF(AND(E828&gt;0,OR(AND(B828&gt;=1,B828&lt;=6),B828=10)),1,0)</f>
        <v>1</v>
      </c>
      <c r="AC828" s="46" t="n">
        <f aca="false">IF(AND(E828&gt;0,B828=10),1,0)</f>
        <v>0</v>
      </c>
      <c r="AD828" s="0" t="str">
        <f aca="false">IF(AND(C827=C828,AA827=AA828-1),AB827,"")</f>
        <v/>
      </c>
      <c r="AE828" s="0" t="str">
        <f aca="false">IF(AND(C827=C828,AA827=AA828-1),AC827,"")</f>
        <v/>
      </c>
      <c r="AF828" s="0" t="str">
        <f aca="false">IF(AA828=1,"",IF(AND(AB828=1,AD828&lt;&gt;1),1,0))</f>
        <v/>
      </c>
      <c r="AG828" s="0" t="str">
        <f aca="false">IF(AA828=1,"",IF(AND(AC828=1,AE828&lt;&gt;1),1,0))</f>
        <v/>
      </c>
      <c r="AH828" s="51" t="str">
        <f aca="false">IF(AND(E828&gt;0,AA828&lt;1,NOT(AND(C829=C828,AA829=AA828+1))),INDEX(DATAS,AA828+1),"")</f>
        <v/>
      </c>
      <c r="AI828" s="51" t="str">
        <f aca="false">IF(AND(AC828=1,AA828&lt;1),IF(AND(C829=C828,AA829=AA828+1),IF(AC829=1,"",INDEX(DATAS,AA828+1)),INDEX(DATAS,AA828+1)),"")</f>
        <v/>
      </c>
    </row>
    <row r="829" customFormat="false" ht="15" hidden="false" customHeight="false" outlineLevel="0" collapsed="false">
      <c r="A829" s="51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46" t="s">
        <v>684</v>
      </c>
      <c r="G829" s="0" t="n">
        <v>44.9</v>
      </c>
      <c r="H829" s="0" t="n">
        <v>45</v>
      </c>
      <c r="I829" s="46" t="s">
        <v>152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51" t="n">
        <v>46198</v>
      </c>
      <c r="X829" s="46" t="n">
        <f aca="false">IF(I829="Male",0,1)</f>
        <v>1</v>
      </c>
      <c r="Y829" s="46" t="n">
        <f aca="false">IF(OR(I829="DNB",I829="Dry DNB"),1,0)</f>
        <v>0</v>
      </c>
      <c r="Z829" s="46" t="n">
        <f aca="false">IF(ISNUMBER(W829),A829-W829,"")</f>
        <v>111</v>
      </c>
      <c r="AA829" s="46" t="n">
        <f aca="false">MATCH(A829,DATAS,0)</f>
        <v>1</v>
      </c>
      <c r="AB829" s="46" t="n">
        <f aca="false">IF(AND(E829&gt;0,OR(AND(B829&gt;=1,B829&lt;=6),B829=10)),1,0)</f>
        <v>1</v>
      </c>
      <c r="AC829" s="46" t="n">
        <f aca="false">IF(AND(E829&gt;0,B829=10),1,0)</f>
        <v>0</v>
      </c>
      <c r="AD829" s="0" t="str">
        <f aca="false">IF(AND(C828=C829,AA828=AA829-1),AB828,"")</f>
        <v/>
      </c>
      <c r="AE829" s="0" t="str">
        <f aca="false">IF(AND(C828=C829,AA828=AA829-1),AC828,"")</f>
        <v/>
      </c>
      <c r="AF829" s="0" t="str">
        <f aca="false">IF(AA829=1,"",IF(AND(AB829=1,AD829&lt;&gt;1),1,0))</f>
        <v/>
      </c>
      <c r="AG829" s="0" t="str">
        <f aca="false">IF(AA829=1,"",IF(AND(AC829=1,AE829&lt;&gt;1),1,0))</f>
        <v/>
      </c>
      <c r="AH829" s="51" t="str">
        <f aca="false">IF(AND(E829&gt;0,AA829&lt;1,NOT(AND(C830=C829,AA830=AA829+1))),INDEX(DATAS,AA829+1),"")</f>
        <v/>
      </c>
      <c r="AI829" s="51" t="str">
        <f aca="false">IF(AND(AC829=1,AA829&lt;1),IF(AND(C830=C829,AA830=AA829+1),IF(AC830=1,"",INDEX(DATAS,AA829+1)),INDEX(DATAS,AA829+1)),"")</f>
        <v/>
      </c>
    </row>
    <row r="830" customFormat="false" ht="15" hidden="false" customHeight="false" outlineLevel="0" collapsed="false">
      <c r="A830" s="51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46" t="s">
        <v>684</v>
      </c>
      <c r="G830" s="0" t="n">
        <v>33.1</v>
      </c>
      <c r="H830" s="0" t="n">
        <v>32</v>
      </c>
      <c r="I830" s="46" t="s">
        <v>152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51" t="n">
        <v>46240</v>
      </c>
      <c r="X830" s="46" t="n">
        <f aca="false">IF(I830="Male",0,1)</f>
        <v>1</v>
      </c>
      <c r="Y830" s="46" t="n">
        <f aca="false">IF(OR(I830="DNB",I830="Dry DNB"),1,0)</f>
        <v>0</v>
      </c>
      <c r="Z830" s="46" t="n">
        <f aca="false">IF(ISNUMBER(W830),A830-W830,"")</f>
        <v>69</v>
      </c>
      <c r="AA830" s="46" t="n">
        <f aca="false">MATCH(A830,DATAS,0)</f>
        <v>1</v>
      </c>
      <c r="AB830" s="46" t="n">
        <f aca="false">IF(AND(E830&gt;0,OR(AND(B830&gt;=1,B830&lt;=6),B830=10)),1,0)</f>
        <v>1</v>
      </c>
      <c r="AC830" s="46" t="n">
        <f aca="false">IF(AND(E830&gt;0,B830=10),1,0)</f>
        <v>0</v>
      </c>
      <c r="AD830" s="0" t="str">
        <f aca="false">IF(AND(C829=C830,AA829=AA830-1),AB829,"")</f>
        <v/>
      </c>
      <c r="AE830" s="0" t="str">
        <f aca="false">IF(AND(C829=C830,AA829=AA830-1),AC829,"")</f>
        <v/>
      </c>
      <c r="AF830" s="0" t="str">
        <f aca="false">IF(AA830=1,"",IF(AND(AB830=1,AD830&lt;&gt;1),1,0))</f>
        <v/>
      </c>
      <c r="AG830" s="0" t="str">
        <f aca="false">IF(AA830=1,"",IF(AND(AC830=1,AE830&lt;&gt;1),1,0))</f>
        <v/>
      </c>
      <c r="AH830" s="51" t="str">
        <f aca="false">IF(AND(E830&gt;0,AA830&lt;1,NOT(AND(C831=C830,AA831=AA830+1))),INDEX(DATAS,AA830+1),"")</f>
        <v/>
      </c>
      <c r="AI830" s="51" t="str">
        <f aca="false">IF(AND(AC830=1,AA830&lt;1),IF(AND(C831=C830,AA831=AA830+1),IF(AC831=1,"",INDEX(DATAS,AA830+1)),INDEX(DATAS,AA830+1)),"")</f>
        <v/>
      </c>
    </row>
    <row r="831" customFormat="false" ht="15" hidden="false" customHeight="false" outlineLevel="0" collapsed="false">
      <c r="A831" s="51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46" t="s">
        <v>685</v>
      </c>
      <c r="G831" s="0" t="n">
        <v>63.9</v>
      </c>
      <c r="H831" s="0" t="n">
        <v>58</v>
      </c>
      <c r="I831" s="46" t="s">
        <v>152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51" t="n">
        <v>46278</v>
      </c>
      <c r="X831" s="46" t="n">
        <f aca="false">IF(I831="Male",0,1)</f>
        <v>1</v>
      </c>
      <c r="Y831" s="46" t="n">
        <f aca="false">IF(OR(I831="DNB",I831="Dry DNB"),1,0)</f>
        <v>0</v>
      </c>
      <c r="Z831" s="46" t="n">
        <f aca="false">IF(ISNUMBER(W831),A831-W831,"")</f>
        <v>31</v>
      </c>
      <c r="AA831" s="46" t="n">
        <f aca="false">MATCH(A831,DATAS,0)</f>
        <v>1</v>
      </c>
      <c r="AB831" s="46" t="n">
        <f aca="false">IF(AND(E831&gt;0,OR(AND(B831&gt;=1,B831&lt;=6),B831=10)),1,0)</f>
        <v>1</v>
      </c>
      <c r="AC831" s="46" t="n">
        <f aca="false">IF(AND(E831&gt;0,B831=10),1,0)</f>
        <v>0</v>
      </c>
      <c r="AD831" s="0" t="str">
        <f aca="false">IF(AND(C830=C831,AA830=AA831-1),AB830,"")</f>
        <v/>
      </c>
      <c r="AE831" s="0" t="str">
        <f aca="false">IF(AND(C830=C831,AA830=AA831-1),AC830,"")</f>
        <v/>
      </c>
      <c r="AF831" s="0" t="str">
        <f aca="false">IF(AA831=1,"",IF(AND(AB831=1,AD831&lt;&gt;1),1,0))</f>
        <v/>
      </c>
      <c r="AG831" s="0" t="str">
        <f aca="false">IF(AA831=1,"",IF(AND(AC831=1,AE831&lt;&gt;1),1,0))</f>
        <v/>
      </c>
      <c r="AH831" s="51" t="str">
        <f aca="false">IF(AND(E831&gt;0,AA831&lt;1,NOT(AND(C832=C831,AA832=AA831+1))),INDEX(DATAS,AA831+1),"")</f>
        <v/>
      </c>
      <c r="AI831" s="51" t="str">
        <f aca="false">IF(AND(AC831=1,AA831&lt;1),IF(AND(C832=C831,AA832=AA831+1),IF(AC832=1,"",INDEX(DATAS,AA831+1)),INDEX(DATAS,AA831+1)),"")</f>
        <v/>
      </c>
    </row>
    <row r="832" customFormat="false" ht="15" hidden="false" customHeight="false" outlineLevel="0" collapsed="false">
      <c r="A832" s="51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46" t="s">
        <v>685</v>
      </c>
      <c r="G832" s="0" t="n">
        <v>54.1</v>
      </c>
      <c r="H832" s="0" t="n">
        <v>51</v>
      </c>
      <c r="I832" s="46" t="s">
        <v>161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X832" s="46" t="n">
        <f aca="false">IF(I832="Male",0,1)</f>
        <v>1</v>
      </c>
      <c r="Y832" s="46" t="n">
        <f aca="false">IF(OR(I832="DNB",I832="Dry DNB"),1,0)</f>
        <v>0</v>
      </c>
      <c r="Z832" s="0" t="str">
        <f aca="false">IF(ISNUMBER(W832),A832-W832,"")</f>
        <v/>
      </c>
      <c r="AA832" s="46" t="n">
        <f aca="false">MATCH(A832,DATAS,0)</f>
        <v>1</v>
      </c>
      <c r="AB832" s="46" t="n">
        <f aca="false">IF(AND(E832&gt;0,OR(AND(B832&gt;=1,B832&lt;=6),B832=10)),1,0)</f>
        <v>1</v>
      </c>
      <c r="AC832" s="46" t="n">
        <f aca="false">IF(AND(E832&gt;0,B832=10),1,0)</f>
        <v>0</v>
      </c>
      <c r="AD832" s="0" t="str">
        <f aca="false">IF(AND(C831=C832,AA831=AA832-1),AB831,"")</f>
        <v/>
      </c>
      <c r="AE832" s="0" t="str">
        <f aca="false">IF(AND(C831=C832,AA831=AA832-1),AC831,"")</f>
        <v/>
      </c>
      <c r="AF832" s="0" t="str">
        <f aca="false">IF(AA832=1,"",IF(AND(AB832=1,AD832&lt;&gt;1),1,0))</f>
        <v/>
      </c>
      <c r="AG832" s="0" t="str">
        <f aca="false">IF(AA832=1,"",IF(AND(AC832=1,AE832&lt;&gt;1),1,0))</f>
        <v/>
      </c>
      <c r="AH832" s="51" t="str">
        <f aca="false">IF(AND(E832&gt;0,AA832&lt;1,NOT(AND(C833=C832,AA833=AA832+1))),INDEX(DATAS,AA832+1),"")</f>
        <v/>
      </c>
      <c r="AI832" s="51" t="str">
        <f aca="false">IF(AND(AC832=1,AA832&lt;1),IF(AND(C833=C832,AA833=AA832+1),IF(AC833=1,"",INDEX(DATAS,AA832+1)),INDEX(DATAS,AA832+1)),"")</f>
        <v/>
      </c>
    </row>
    <row r="833" customFormat="false" ht="15" hidden="false" customHeight="false" outlineLevel="0" collapsed="false">
      <c r="A833" s="51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46" t="s">
        <v>685</v>
      </c>
      <c r="G833" s="0" t="n">
        <v>29.9</v>
      </c>
      <c r="H833" s="0" t="n">
        <v>25</v>
      </c>
      <c r="I833" s="46" t="s">
        <v>152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51" t="n">
        <v>46160</v>
      </c>
      <c r="X833" s="46" t="n">
        <f aca="false">IF(I833="Male",0,1)</f>
        <v>1</v>
      </c>
      <c r="Y833" s="46" t="n">
        <f aca="false">IF(OR(I833="DNB",I833="Dry DNB"),1,0)</f>
        <v>0</v>
      </c>
      <c r="Z833" s="46" t="n">
        <f aca="false">IF(ISNUMBER(W833),A833-W833,"")</f>
        <v>149</v>
      </c>
      <c r="AA833" s="46" t="n">
        <f aca="false">MATCH(A833,DATAS,0)</f>
        <v>1</v>
      </c>
      <c r="AB833" s="46" t="n">
        <f aca="false">IF(AND(E833&gt;0,OR(AND(B833&gt;=1,B833&lt;=6),B833=10)),1,0)</f>
        <v>1</v>
      </c>
      <c r="AC833" s="46" t="n">
        <f aca="false">IF(AND(E833&gt;0,B833=10),1,0)</f>
        <v>0</v>
      </c>
      <c r="AD833" s="0" t="str">
        <f aca="false">IF(AND(C832=C833,AA832=AA833-1),AB832,"")</f>
        <v/>
      </c>
      <c r="AE833" s="0" t="str">
        <f aca="false">IF(AND(C832=C833,AA832=AA833-1),AC832,"")</f>
        <v/>
      </c>
      <c r="AF833" s="0" t="str">
        <f aca="false">IF(AA833=1,"",IF(AND(AB833=1,AD833&lt;&gt;1),1,0))</f>
        <v/>
      </c>
      <c r="AG833" s="0" t="str">
        <f aca="false">IF(AA833=1,"",IF(AND(AC833=1,AE833&lt;&gt;1),1,0))</f>
        <v/>
      </c>
      <c r="AH833" s="51" t="str">
        <f aca="false">IF(AND(E833&gt;0,AA833&lt;1,NOT(AND(C834=C833,AA834=AA833+1))),INDEX(DATAS,AA833+1),"")</f>
        <v/>
      </c>
      <c r="AI833" s="51" t="str">
        <f aca="false">IF(AND(AC833=1,AA833&lt;1),IF(AND(C834=C833,AA834=AA833+1),IF(AC834=1,"",INDEX(DATAS,AA833+1)),INDEX(DATAS,AA833+1)),"")</f>
        <v/>
      </c>
    </row>
    <row r="834" customFormat="false" ht="15" hidden="false" customHeight="false" outlineLevel="0" collapsed="false">
      <c r="A834" s="51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46" t="s">
        <v>682</v>
      </c>
      <c r="G834" s="0" t="n">
        <v>42.9</v>
      </c>
      <c r="H834" s="0" t="n">
        <v>40</v>
      </c>
      <c r="I834" s="46" t="s">
        <v>152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51" t="n">
        <v>46163</v>
      </c>
      <c r="X834" s="46" t="n">
        <f aca="false">IF(I834="Male",0,1)</f>
        <v>1</v>
      </c>
      <c r="Y834" s="46" t="n">
        <f aca="false">IF(OR(I834="DNB",I834="Dry DNB"),1,0)</f>
        <v>0</v>
      </c>
      <c r="Z834" s="46" t="n">
        <f aca="false">IF(ISNUMBER(W834),A834-W834,"")</f>
        <v>146</v>
      </c>
      <c r="AA834" s="46" t="n">
        <f aca="false">MATCH(A834,DATAS,0)</f>
        <v>1</v>
      </c>
      <c r="AB834" s="46" t="n">
        <f aca="false">IF(AND(E834&gt;0,OR(AND(B834&gt;=1,B834&lt;=6),B834=10)),1,0)</f>
        <v>1</v>
      </c>
      <c r="AC834" s="46" t="n">
        <f aca="false">IF(AND(E834&gt;0,B834=10),1,0)</f>
        <v>0</v>
      </c>
      <c r="AD834" s="0" t="str">
        <f aca="false">IF(AND(C833=C834,AA833=AA834-1),AB833,"")</f>
        <v/>
      </c>
      <c r="AE834" s="0" t="str">
        <f aca="false">IF(AND(C833=C834,AA833=AA834-1),AC833,"")</f>
        <v/>
      </c>
      <c r="AF834" s="0" t="str">
        <f aca="false">IF(AA834=1,"",IF(AND(AB834=1,AD834&lt;&gt;1),1,0))</f>
        <v/>
      </c>
      <c r="AG834" s="0" t="str">
        <f aca="false">IF(AA834=1,"",IF(AND(AC834=1,AE834&lt;&gt;1),1,0))</f>
        <v/>
      </c>
      <c r="AH834" s="51" t="str">
        <f aca="false">IF(AND(E834&gt;0,AA834&lt;1,NOT(AND(C835=C834,AA835=AA834+1))),INDEX(DATAS,AA834+1),"")</f>
        <v/>
      </c>
      <c r="AI834" s="51" t="str">
        <f aca="false">IF(AND(AC834=1,AA834&lt;1),IF(AND(C835=C834,AA835=AA834+1),IF(AC835=1,"",INDEX(DATAS,AA834+1)),INDEX(DATAS,AA834+1)),"")</f>
        <v/>
      </c>
    </row>
    <row r="835" customFormat="false" ht="15" hidden="false" customHeight="false" outlineLevel="0" collapsed="false">
      <c r="A835" s="51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46" t="s">
        <v>682</v>
      </c>
      <c r="G835" s="0" t="n">
        <v>28.6</v>
      </c>
      <c r="H835" s="0" t="n">
        <v>27</v>
      </c>
      <c r="I835" s="46" t="s">
        <v>152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51" t="n">
        <v>46275</v>
      </c>
      <c r="X835" s="46" t="n">
        <f aca="false">IF(I835="Male",0,1)</f>
        <v>1</v>
      </c>
      <c r="Y835" s="46" t="n">
        <f aca="false">IF(OR(I835="DNB",I835="Dry DNB"),1,0)</f>
        <v>0</v>
      </c>
      <c r="Z835" s="46" t="n">
        <f aca="false">IF(ISNUMBER(W835),A835-W835,"")</f>
        <v>34</v>
      </c>
      <c r="AA835" s="46" t="n">
        <f aca="false">MATCH(A835,DATAS,0)</f>
        <v>1</v>
      </c>
      <c r="AB835" s="46" t="n">
        <f aca="false">IF(AND(E835&gt;0,OR(AND(B835&gt;=1,B835&lt;=6),B835=10)),1,0)</f>
        <v>1</v>
      </c>
      <c r="AC835" s="46" t="n">
        <f aca="false">IF(AND(E835&gt;0,B835=10),1,0)</f>
        <v>0</v>
      </c>
      <c r="AD835" s="0" t="str">
        <f aca="false">IF(AND(C834=C835,AA834=AA835-1),AB834,"")</f>
        <v/>
      </c>
      <c r="AE835" s="0" t="str">
        <f aca="false">IF(AND(C834=C835,AA834=AA835-1),AC834,"")</f>
        <v/>
      </c>
      <c r="AF835" s="0" t="str">
        <f aca="false">IF(AA835=1,"",IF(AND(AB835=1,AD835&lt;&gt;1),1,0))</f>
        <v/>
      </c>
      <c r="AG835" s="0" t="str">
        <f aca="false">IF(AA835=1,"",IF(AND(AC835=1,AE835&lt;&gt;1),1,0))</f>
        <v/>
      </c>
      <c r="AH835" s="51" t="str">
        <f aca="false">IF(AND(E835&gt;0,AA835&lt;1,NOT(AND(C836=C835,AA836=AA835+1))),INDEX(DATAS,AA835+1),"")</f>
        <v/>
      </c>
      <c r="AI835" s="51" t="str">
        <f aca="false">IF(AND(AC835=1,AA835&lt;1),IF(AND(C836=C835,AA836=AA835+1),IF(AC836=1,"",INDEX(DATAS,AA835+1)),INDEX(DATAS,AA835+1)),"")</f>
        <v/>
      </c>
    </row>
    <row r="836" customFormat="false" ht="15" hidden="false" customHeight="false" outlineLevel="0" collapsed="false">
      <c r="A836" s="51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46" t="s">
        <v>686</v>
      </c>
      <c r="G836" s="0" t="n">
        <v>32.1</v>
      </c>
      <c r="H836" s="0" t="n">
        <v>31</v>
      </c>
      <c r="I836" s="46" t="s">
        <v>189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51" t="n">
        <v>46254</v>
      </c>
      <c r="X836" s="46" t="n">
        <f aca="false">IF(I836="Male",0,1)</f>
        <v>1</v>
      </c>
      <c r="Y836" s="46" t="n">
        <f aca="false">IF(OR(I836="DNB",I836="Dry DNB"),1,0)</f>
        <v>0</v>
      </c>
      <c r="Z836" s="46" t="n">
        <f aca="false">IF(ISNUMBER(W836),A836-W836,"")</f>
        <v>55</v>
      </c>
      <c r="AA836" s="46" t="n">
        <f aca="false">MATCH(A836,DATAS,0)</f>
        <v>1</v>
      </c>
      <c r="AB836" s="46" t="n">
        <f aca="false">IF(AND(E836&gt;0,OR(AND(B836&gt;=1,B836&lt;=6),B836=10)),1,0)</f>
        <v>1</v>
      </c>
      <c r="AC836" s="46" t="n">
        <f aca="false">IF(AND(E836&gt;0,B836=10),1,0)</f>
        <v>0</v>
      </c>
      <c r="AD836" s="0" t="str">
        <f aca="false">IF(AND(C835=C836,AA835=AA836-1),AB835,"")</f>
        <v/>
      </c>
      <c r="AE836" s="0" t="str">
        <f aca="false">IF(AND(C835=C836,AA835=AA836-1),AC835,"")</f>
        <v/>
      </c>
      <c r="AF836" s="0" t="str">
        <f aca="false">IF(AA836=1,"",IF(AND(AB836=1,AD836&lt;&gt;1),1,0))</f>
        <v/>
      </c>
      <c r="AG836" s="0" t="str">
        <f aca="false">IF(AA836=1,"",IF(AND(AC836=1,AE836&lt;&gt;1),1,0))</f>
        <v/>
      </c>
      <c r="AH836" s="51" t="str">
        <f aca="false">IF(AND(E836&gt;0,AA836&lt;1,NOT(AND(C837=C836,AA837=AA836+1))),INDEX(DATAS,AA836+1),"")</f>
        <v/>
      </c>
      <c r="AI836" s="51" t="str">
        <f aca="false">IF(AND(AC836=1,AA836&lt;1),IF(AND(C837=C836,AA837=AA836+1),IF(AC837=1,"",INDEX(DATAS,AA836+1)),INDEX(DATAS,AA836+1)),"")</f>
        <v/>
      </c>
    </row>
    <row r="837" customFormat="false" ht="15" hidden="false" customHeight="false" outlineLevel="0" collapsed="false">
      <c r="A837" s="51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46" t="s">
        <v>686</v>
      </c>
      <c r="G837" s="0" t="n">
        <v>29.6</v>
      </c>
      <c r="H837" s="0" t="n">
        <v>26</v>
      </c>
      <c r="I837" s="46" t="s">
        <v>152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51" t="n">
        <v>46254</v>
      </c>
      <c r="X837" s="46" t="n">
        <f aca="false">IF(I837="Male",0,1)</f>
        <v>1</v>
      </c>
      <c r="Y837" s="46" t="n">
        <f aca="false">IF(OR(I837="DNB",I837="Dry DNB"),1,0)</f>
        <v>0</v>
      </c>
      <c r="Z837" s="46" t="n">
        <f aca="false">IF(ISNUMBER(W837),A837-W837,"")</f>
        <v>55</v>
      </c>
      <c r="AA837" s="46" t="n">
        <f aca="false">MATCH(A837,DATAS,0)</f>
        <v>1</v>
      </c>
      <c r="AB837" s="46" t="n">
        <f aca="false">IF(AND(E837&gt;0,OR(AND(B837&gt;=1,B837&lt;=6),B837=10)),1,0)</f>
        <v>1</v>
      </c>
      <c r="AC837" s="46" t="n">
        <f aca="false">IF(AND(E837&gt;0,B837=10),1,0)</f>
        <v>0</v>
      </c>
      <c r="AD837" s="0" t="str">
        <f aca="false">IF(AND(C836=C837,AA836=AA837-1),AB836,"")</f>
        <v/>
      </c>
      <c r="AE837" s="0" t="str">
        <f aca="false">IF(AND(C836=C837,AA836=AA837-1),AC836,"")</f>
        <v/>
      </c>
      <c r="AF837" s="0" t="str">
        <f aca="false">IF(AA837=1,"",IF(AND(AB837=1,AD837&lt;&gt;1),1,0))</f>
        <v/>
      </c>
      <c r="AG837" s="0" t="str">
        <f aca="false">IF(AA837=1,"",IF(AND(AC837=1,AE837&lt;&gt;1),1,0))</f>
        <v/>
      </c>
      <c r="AH837" s="51" t="str">
        <f aca="false">IF(AND(E837&gt;0,AA837&lt;1,NOT(AND(C838=C837,AA838=AA837+1))),INDEX(DATAS,AA837+1),"")</f>
        <v/>
      </c>
      <c r="AI837" s="51" t="str">
        <f aca="false">IF(AND(AC837=1,AA837&lt;1),IF(AND(C838=C837,AA838=AA837+1),IF(AC838=1,"",INDEX(DATAS,AA837+1)),INDEX(DATAS,AA837+1)),"")</f>
        <v/>
      </c>
    </row>
    <row r="838" customFormat="false" ht="15" hidden="false" customHeight="false" outlineLevel="0" collapsed="false">
      <c r="A838" s="51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46" t="s">
        <v>687</v>
      </c>
      <c r="G838" s="0" t="n">
        <v>43.1</v>
      </c>
      <c r="H838" s="0" t="n">
        <v>38</v>
      </c>
      <c r="I838" s="46" t="s">
        <v>161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X838" s="46" t="n">
        <f aca="false">IF(I838="Male",0,1)</f>
        <v>1</v>
      </c>
      <c r="Y838" s="46" t="n">
        <f aca="false">IF(OR(I838="DNB",I838="Dry DNB"),1,0)</f>
        <v>0</v>
      </c>
      <c r="Z838" s="0" t="str">
        <f aca="false">IF(ISNUMBER(W838),A838-W838,"")</f>
        <v/>
      </c>
      <c r="AA838" s="46" t="n">
        <f aca="false">MATCH(A838,DATAS,0)</f>
        <v>1</v>
      </c>
      <c r="AB838" s="46" t="n">
        <f aca="false">IF(AND(E838&gt;0,OR(AND(B838&gt;=1,B838&lt;=6),B838=10)),1,0)</f>
        <v>1</v>
      </c>
      <c r="AC838" s="46" t="n">
        <f aca="false">IF(AND(E838&gt;0,B838=10),1,0)</f>
        <v>0</v>
      </c>
      <c r="AD838" s="0" t="str">
        <f aca="false">IF(AND(C837=C838,AA837=AA838-1),AB837,"")</f>
        <v/>
      </c>
      <c r="AE838" s="0" t="str">
        <f aca="false">IF(AND(C837=C838,AA837=AA838-1),AC837,"")</f>
        <v/>
      </c>
      <c r="AF838" s="0" t="str">
        <f aca="false">IF(AA838=1,"",IF(AND(AB838=1,AD838&lt;&gt;1),1,0))</f>
        <v/>
      </c>
      <c r="AG838" s="0" t="str">
        <f aca="false">IF(AA838=1,"",IF(AND(AC838=1,AE838&lt;&gt;1),1,0))</f>
        <v/>
      </c>
      <c r="AH838" s="51" t="str">
        <f aca="false">IF(AND(E838&gt;0,AA838&lt;1,NOT(AND(C839=C838,AA839=AA838+1))),INDEX(DATAS,AA838+1),"")</f>
        <v/>
      </c>
      <c r="AI838" s="51" t="str">
        <f aca="false">IF(AND(AC838=1,AA838&lt;1),IF(AND(C839=C838,AA839=AA838+1),IF(AC839=1,"",INDEX(DATAS,AA838+1)),INDEX(DATAS,AA838+1)),"")</f>
        <v/>
      </c>
    </row>
    <row r="839" customFormat="false" ht="15" hidden="false" customHeight="false" outlineLevel="0" collapsed="false">
      <c r="A839" s="51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46" t="s">
        <v>688</v>
      </c>
      <c r="G839" s="0" t="n">
        <v>21.3</v>
      </c>
      <c r="H839" s="0" t="n">
        <v>22</v>
      </c>
      <c r="I839" s="46" t="s">
        <v>181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51" t="n">
        <v>46289</v>
      </c>
      <c r="X839" s="46" t="n">
        <f aca="false">IF(I839="Male",0,1)</f>
        <v>1</v>
      </c>
      <c r="Y839" s="46" t="n">
        <f aca="false">IF(OR(I839="DNB",I839="Dry DNB"),1,0)</f>
        <v>0</v>
      </c>
      <c r="Z839" s="46" t="n">
        <f aca="false">IF(ISNUMBER(W839),A839-W839,"")</f>
        <v>20</v>
      </c>
      <c r="AA839" s="46" t="n">
        <f aca="false">MATCH(A839,DATAS,0)</f>
        <v>1</v>
      </c>
      <c r="AB839" s="46" t="n">
        <f aca="false">IF(AND(E839&gt;0,OR(AND(B839&gt;=1,B839&lt;=6),B839=10)),1,0)</f>
        <v>1</v>
      </c>
      <c r="AC839" s="46" t="n">
        <f aca="false">IF(AND(E839&gt;0,B839=10),1,0)</f>
        <v>0</v>
      </c>
      <c r="AD839" s="0" t="str">
        <f aca="false">IF(AND(C838=C839,AA838=AA839-1),AB838,"")</f>
        <v/>
      </c>
      <c r="AE839" s="0" t="str">
        <f aca="false">IF(AND(C838=C839,AA838=AA839-1),AC838,"")</f>
        <v/>
      </c>
      <c r="AF839" s="0" t="str">
        <f aca="false">IF(AA839=1,"",IF(AND(AB839=1,AD839&lt;&gt;1),1,0))</f>
        <v/>
      </c>
      <c r="AG839" s="0" t="str">
        <f aca="false">IF(AA839=1,"",IF(AND(AC839=1,AE839&lt;&gt;1),1,0))</f>
        <v/>
      </c>
      <c r="AH839" s="51" t="str">
        <f aca="false">IF(AND(E839&gt;0,AA839&lt;1,NOT(AND(C840=C839,AA840=AA839+1))),INDEX(DATAS,AA839+1),"")</f>
        <v/>
      </c>
      <c r="AI839" s="51" t="str">
        <f aca="false">IF(AND(AC839=1,AA839&lt;1),IF(AND(C840=C839,AA840=AA839+1),IF(AC840=1,"",INDEX(DATAS,AA839+1)),INDEX(DATAS,AA839+1)),"")</f>
        <v/>
      </c>
    </row>
    <row r="840" customFormat="false" ht="15" hidden="false" customHeight="false" outlineLevel="0" collapsed="false">
      <c r="A840" s="51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46" t="s">
        <v>687</v>
      </c>
      <c r="G840" s="0" t="n">
        <v>38.1</v>
      </c>
      <c r="H840" s="0" t="n">
        <v>40</v>
      </c>
      <c r="I840" s="46" t="s">
        <v>181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51" t="n">
        <v>46301</v>
      </c>
      <c r="X840" s="46" t="n">
        <f aca="false">IF(I840="Male",0,1)</f>
        <v>1</v>
      </c>
      <c r="Y840" s="46" t="n">
        <f aca="false">IF(OR(I840="DNB",I840="Dry DNB"),1,0)</f>
        <v>0</v>
      </c>
      <c r="Z840" s="46" t="n">
        <f aca="false">IF(ISNUMBER(W840),A840-W840,"")</f>
        <v>8</v>
      </c>
      <c r="AA840" s="46" t="n">
        <f aca="false">MATCH(A840,DATAS,0)</f>
        <v>1</v>
      </c>
      <c r="AB840" s="46" t="n">
        <f aca="false">IF(AND(E840&gt;0,OR(AND(B840&gt;=1,B840&lt;=6),B840=10)),1,0)</f>
        <v>1</v>
      </c>
      <c r="AC840" s="46" t="n">
        <f aca="false">IF(AND(E840&gt;0,B840=10),1,0)</f>
        <v>0</v>
      </c>
      <c r="AD840" s="0" t="str">
        <f aca="false">IF(AND(C839=C840,AA839=AA840-1),AB839,"")</f>
        <v/>
      </c>
      <c r="AE840" s="0" t="str">
        <f aca="false">IF(AND(C839=C840,AA839=AA840-1),AC839,"")</f>
        <v/>
      </c>
      <c r="AF840" s="0" t="str">
        <f aca="false">IF(AA840=1,"",IF(AND(AB840=1,AD840&lt;&gt;1),1,0))</f>
        <v/>
      </c>
      <c r="AG840" s="0" t="str">
        <f aca="false">IF(AA840=1,"",IF(AND(AC840=1,AE840&lt;&gt;1),1,0))</f>
        <v/>
      </c>
      <c r="AH840" s="51" t="str">
        <f aca="false">IF(AND(E840&gt;0,AA840&lt;1,NOT(AND(C841=C840,AA841=AA840+1))),INDEX(DATAS,AA840+1),"")</f>
        <v/>
      </c>
      <c r="AI840" s="51" t="str">
        <f aca="false">IF(AND(AC840=1,AA840&lt;1),IF(AND(C841=C840,AA841=AA840+1),IF(AC841=1,"",INDEX(DATAS,AA840+1)),INDEX(DATAS,AA840+1)),"")</f>
        <v/>
      </c>
    </row>
    <row r="841" customFormat="false" ht="15" hidden="false" customHeight="false" outlineLevel="0" collapsed="false">
      <c r="A841" s="51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46" t="s">
        <v>687</v>
      </c>
      <c r="G841" s="0" t="n">
        <v>11</v>
      </c>
      <c r="H841" s="0" t="n">
        <v>25</v>
      </c>
      <c r="I841" s="46" t="s">
        <v>157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51" t="n">
        <v>45953</v>
      </c>
      <c r="X841" s="46" t="n">
        <f aca="false">IF(I841="Male",0,1)</f>
        <v>1</v>
      </c>
      <c r="Y841" s="46" t="n">
        <f aca="false">IF(OR(I841="DNB",I841="Dry DNB"),1,0)</f>
        <v>0</v>
      </c>
      <c r="Z841" s="46" t="n">
        <f aca="false">IF(ISNUMBER(W841),A841-W841,"")</f>
        <v>356</v>
      </c>
      <c r="AA841" s="46" t="n">
        <f aca="false">MATCH(A841,DATAS,0)</f>
        <v>1</v>
      </c>
      <c r="AB841" s="46" t="n">
        <f aca="false">IF(AND(E841&gt;0,OR(AND(B841&gt;=1,B841&lt;=6),B841=10)),1,0)</f>
        <v>0</v>
      </c>
      <c r="AC841" s="46" t="n">
        <f aca="false">IF(AND(E841&gt;0,B841=10),1,0)</f>
        <v>0</v>
      </c>
      <c r="AD841" s="0" t="str">
        <f aca="false">IF(AND(C840=C841,AA840=AA841-1),AB840,"")</f>
        <v/>
      </c>
      <c r="AE841" s="0" t="str">
        <f aca="false">IF(AND(C840=C841,AA840=AA841-1),AC840,"")</f>
        <v/>
      </c>
      <c r="AF841" s="0" t="str">
        <f aca="false">IF(AA841=1,"",IF(AND(AB841=1,AD841&lt;&gt;1),1,0))</f>
        <v/>
      </c>
      <c r="AG841" s="0" t="str">
        <f aca="false">IF(AA841=1,"",IF(AND(AC841=1,AE841&lt;&gt;1),1,0))</f>
        <v/>
      </c>
      <c r="AH841" s="51" t="str">
        <f aca="false">IF(AND(E841&gt;0,AA841&lt;1,NOT(AND(C842=C841,AA842=AA841+1))),INDEX(DATAS,AA841+1),"")</f>
        <v/>
      </c>
      <c r="AI841" s="51" t="str">
        <f aca="false">IF(AND(AC841=1,AA841&lt;1),IF(AND(C842=C841,AA842=AA841+1),IF(AC842=1,"",INDEX(DATAS,AA841+1)),INDEX(DATAS,AA841+1)),"")</f>
        <v/>
      </c>
    </row>
    <row r="842" customFormat="false" ht="15" hidden="false" customHeight="false" outlineLevel="0" collapsed="false">
      <c r="A842" s="51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46" t="s">
        <v>688</v>
      </c>
      <c r="G842" s="0" t="n">
        <v>29.2</v>
      </c>
      <c r="H842" s="0" t="n">
        <v>24</v>
      </c>
      <c r="I842" s="46" t="s">
        <v>152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51" t="n">
        <v>46258</v>
      </c>
      <c r="X842" s="46" t="n">
        <f aca="false">IF(I842="Male",0,1)</f>
        <v>1</v>
      </c>
      <c r="Y842" s="46" t="n">
        <f aca="false">IF(OR(I842="DNB",I842="Dry DNB"),1,0)</f>
        <v>0</v>
      </c>
      <c r="Z842" s="46" t="n">
        <f aca="false">IF(ISNUMBER(W842),A842-W842,"")</f>
        <v>51</v>
      </c>
      <c r="AA842" s="46" t="n">
        <f aca="false">MATCH(A842,DATAS,0)</f>
        <v>1</v>
      </c>
      <c r="AB842" s="46" t="n">
        <f aca="false">IF(AND(E842&gt;0,OR(AND(B842&gt;=1,B842&lt;=6),B842=10)),1,0)</f>
        <v>1</v>
      </c>
      <c r="AC842" s="46" t="n">
        <f aca="false">IF(AND(E842&gt;0,B842=10),1,0)</f>
        <v>0</v>
      </c>
      <c r="AD842" s="0" t="str">
        <f aca="false">IF(AND(C841=C842,AA841=AA842-1),AB841,"")</f>
        <v/>
      </c>
      <c r="AE842" s="0" t="str">
        <f aca="false">IF(AND(C841=C842,AA841=AA842-1),AC841,"")</f>
        <v/>
      </c>
      <c r="AF842" s="0" t="str">
        <f aca="false">IF(AA842=1,"",IF(AND(AB842=1,AD842&lt;&gt;1),1,0))</f>
        <v/>
      </c>
      <c r="AG842" s="0" t="str">
        <f aca="false">IF(AA842=1,"",IF(AND(AC842=1,AE842&lt;&gt;1),1,0))</f>
        <v/>
      </c>
      <c r="AH842" s="51" t="str">
        <f aca="false">IF(AND(E842&gt;0,AA842&lt;1,NOT(AND(C843=C842,AA843=AA842+1))),INDEX(DATAS,AA842+1),"")</f>
        <v/>
      </c>
      <c r="AI842" s="51" t="str">
        <f aca="false">IF(AND(AC842=1,AA842&lt;1),IF(AND(C843=C842,AA843=AA842+1),IF(AC843=1,"",INDEX(DATAS,AA842+1)),INDEX(DATAS,AA842+1)),"")</f>
        <v/>
      </c>
    </row>
    <row r="843" customFormat="false" ht="15" hidden="false" customHeight="false" outlineLevel="0" collapsed="false">
      <c r="A843" s="51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46" t="s">
        <v>688</v>
      </c>
      <c r="G843" s="0" t="n">
        <v>71.6</v>
      </c>
      <c r="H843" s="0" t="n">
        <v>68</v>
      </c>
      <c r="I843" s="46" t="s">
        <v>181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51" t="n">
        <v>46305</v>
      </c>
      <c r="X843" s="46" t="n">
        <f aca="false">IF(I843="Male",0,1)</f>
        <v>1</v>
      </c>
      <c r="Y843" s="46" t="n">
        <f aca="false">IF(OR(I843="DNB",I843="Dry DNB"),1,0)</f>
        <v>0</v>
      </c>
      <c r="Z843" s="46" t="n">
        <f aca="false">IF(ISNUMBER(W843),A843-W843,"")</f>
        <v>4</v>
      </c>
      <c r="AA843" s="46" t="n">
        <f aca="false">MATCH(A843,DATAS,0)</f>
        <v>1</v>
      </c>
      <c r="AB843" s="46" t="n">
        <f aca="false">IF(AND(E843&gt;0,OR(AND(B843&gt;=1,B843&lt;=6),B843=10)),1,0)</f>
        <v>1</v>
      </c>
      <c r="AC843" s="46" t="n">
        <f aca="false">IF(AND(E843&gt;0,B843=10),1,0)</f>
        <v>0</v>
      </c>
      <c r="AD843" s="0" t="str">
        <f aca="false">IF(AND(C842=C843,AA842=AA843-1),AB842,"")</f>
        <v/>
      </c>
      <c r="AE843" s="0" t="str">
        <f aca="false">IF(AND(C842=C843,AA842=AA843-1),AC842,"")</f>
        <v/>
      </c>
      <c r="AF843" s="0" t="str">
        <f aca="false">IF(AA843=1,"",IF(AND(AB843=1,AD843&lt;&gt;1),1,0))</f>
        <v/>
      </c>
      <c r="AG843" s="0" t="str">
        <f aca="false">IF(AA843=1,"",IF(AND(AC843=1,AE843&lt;&gt;1),1,0))</f>
        <v/>
      </c>
      <c r="AH843" s="51" t="str">
        <f aca="false">IF(AND(E843&gt;0,AA843&lt;1,NOT(AND(C844=C843,AA844=AA843+1))),INDEX(DATAS,AA843+1),"")</f>
        <v/>
      </c>
      <c r="AI843" s="51" t="str">
        <f aca="false">IF(AND(AC843=1,AA843&lt;1),IF(AND(C844=C843,AA844=AA843+1),IF(AC844=1,"",INDEX(DATAS,AA843+1)),INDEX(DATAS,AA843+1)),"")</f>
        <v/>
      </c>
    </row>
    <row r="844" customFormat="false" ht="15" hidden="false" customHeight="false" outlineLevel="0" collapsed="false">
      <c r="A844" s="51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46" t="s">
        <v>689</v>
      </c>
      <c r="G844" s="0" t="n">
        <v>40.7</v>
      </c>
      <c r="H844" s="0" t="n">
        <v>38</v>
      </c>
      <c r="I844" s="46" t="s">
        <v>152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51" t="n">
        <v>46163</v>
      </c>
      <c r="X844" s="46" t="n">
        <f aca="false">IF(I844="Male",0,1)</f>
        <v>1</v>
      </c>
      <c r="Y844" s="46" t="n">
        <f aca="false">IF(OR(I844="DNB",I844="Dry DNB"),1,0)</f>
        <v>0</v>
      </c>
      <c r="Z844" s="46" t="n">
        <f aca="false">IF(ISNUMBER(W844),A844-W844,"")</f>
        <v>146</v>
      </c>
      <c r="AA844" s="46" t="n">
        <f aca="false">MATCH(A844,DATAS,0)</f>
        <v>1</v>
      </c>
      <c r="AB844" s="46" t="n">
        <f aca="false">IF(AND(E844&gt;0,OR(AND(B844&gt;=1,B844&lt;=6),B844=10)),1,0)</f>
        <v>1</v>
      </c>
      <c r="AC844" s="46" t="n">
        <f aca="false">IF(AND(E844&gt;0,B844=10),1,0)</f>
        <v>0</v>
      </c>
      <c r="AD844" s="0" t="str">
        <f aca="false">IF(AND(C843=C844,AA843=AA844-1),AB843,"")</f>
        <v/>
      </c>
      <c r="AE844" s="0" t="str">
        <f aca="false">IF(AND(C843=C844,AA843=AA844-1),AC843,"")</f>
        <v/>
      </c>
      <c r="AF844" s="0" t="str">
        <f aca="false">IF(AA844=1,"",IF(AND(AB844=1,AD844&lt;&gt;1),1,0))</f>
        <v/>
      </c>
      <c r="AG844" s="0" t="str">
        <f aca="false">IF(AA844=1,"",IF(AND(AC844=1,AE844&lt;&gt;1),1,0))</f>
        <v/>
      </c>
      <c r="AH844" s="51" t="str">
        <f aca="false">IF(AND(E844&gt;0,AA844&lt;1,NOT(AND(C845=C844,AA845=AA844+1))),INDEX(DATAS,AA844+1),"")</f>
        <v/>
      </c>
      <c r="AI844" s="51" t="str">
        <f aca="false">IF(AND(AC844=1,AA844&lt;1),IF(AND(C845=C844,AA845=AA844+1),IF(AC845=1,"",INDEX(DATAS,AA844+1)),INDEX(DATAS,AA844+1)),"")</f>
        <v/>
      </c>
    </row>
    <row r="845" customFormat="false" ht="15" hidden="false" customHeight="false" outlineLevel="0" collapsed="false">
      <c r="A845" s="51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46" t="s">
        <v>689</v>
      </c>
      <c r="G845" s="0" t="n">
        <v>35.2</v>
      </c>
      <c r="H845" s="0" t="n">
        <v>33</v>
      </c>
      <c r="I845" s="46" t="s">
        <v>181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51" t="n">
        <v>46282</v>
      </c>
      <c r="X845" s="46" t="n">
        <f aca="false">IF(I845="Male",0,1)</f>
        <v>1</v>
      </c>
      <c r="Y845" s="46" t="n">
        <f aca="false">IF(OR(I845="DNB",I845="Dry DNB"),1,0)</f>
        <v>0</v>
      </c>
      <c r="Z845" s="46" t="n">
        <f aca="false">IF(ISNUMBER(W845),A845-W845,"")</f>
        <v>27</v>
      </c>
      <c r="AA845" s="46" t="n">
        <f aca="false">MATCH(A845,DATAS,0)</f>
        <v>1</v>
      </c>
      <c r="AB845" s="46" t="n">
        <f aca="false">IF(AND(E845&gt;0,OR(AND(B845&gt;=1,B845&lt;=6),B845=10)),1,0)</f>
        <v>1</v>
      </c>
      <c r="AC845" s="46" t="n">
        <f aca="false">IF(AND(E845&gt;0,B845=10),1,0)</f>
        <v>0</v>
      </c>
      <c r="AD845" s="0" t="str">
        <f aca="false">IF(AND(C844=C845,AA844=AA845-1),AB844,"")</f>
        <v/>
      </c>
      <c r="AE845" s="0" t="str">
        <f aca="false">IF(AND(C844=C845,AA844=AA845-1),AC844,"")</f>
        <v/>
      </c>
      <c r="AF845" s="0" t="str">
        <f aca="false">IF(AA845=1,"",IF(AND(AB845=1,AD845&lt;&gt;1),1,0))</f>
        <v/>
      </c>
      <c r="AG845" s="0" t="str">
        <f aca="false">IF(AA845=1,"",IF(AND(AC845=1,AE845&lt;&gt;1),1,0))</f>
        <v/>
      </c>
      <c r="AH845" s="51" t="str">
        <f aca="false">IF(AND(E845&gt;0,AA845&lt;1,NOT(AND(C846=C845,AA846=AA845+1))),INDEX(DATAS,AA845+1),"")</f>
        <v/>
      </c>
      <c r="AI845" s="51" t="str">
        <f aca="false">IF(AND(AC845=1,AA845&lt;1),IF(AND(C846=C845,AA846=AA845+1),IF(AC846=1,"",INDEX(DATAS,AA845+1)),INDEX(DATAS,AA845+1)),"")</f>
        <v/>
      </c>
    </row>
    <row r="846" customFormat="false" ht="15" hidden="false" customHeight="false" outlineLevel="0" collapsed="false">
      <c r="A846" s="51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46" t="s">
        <v>689</v>
      </c>
      <c r="G846" s="0" t="n">
        <v>14.9</v>
      </c>
      <c r="H846" s="0" t="n">
        <v>21</v>
      </c>
      <c r="I846" s="46" t="s">
        <v>152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51" t="n">
        <v>46135</v>
      </c>
      <c r="X846" s="46" t="n">
        <f aca="false">IF(I846="Male",0,1)</f>
        <v>1</v>
      </c>
      <c r="Y846" s="46" t="n">
        <f aca="false">IF(OR(I846="DNB",I846="Dry DNB"),1,0)</f>
        <v>0</v>
      </c>
      <c r="Z846" s="46" t="n">
        <f aca="false">IF(ISNUMBER(W846),A846-W846,"")</f>
        <v>174</v>
      </c>
      <c r="AA846" s="46" t="n">
        <f aca="false">MATCH(A846,DATAS,0)</f>
        <v>1</v>
      </c>
      <c r="AB846" s="46" t="n">
        <f aca="false">IF(AND(E846&gt;0,OR(AND(B846&gt;=1,B846&lt;=6),B846=10)),1,0)</f>
        <v>1</v>
      </c>
      <c r="AC846" s="46" t="n">
        <f aca="false">IF(AND(E846&gt;0,B846=10),1,0)</f>
        <v>0</v>
      </c>
      <c r="AD846" s="0" t="str">
        <f aca="false">IF(AND(C845=C846,AA845=AA846-1),AB845,"")</f>
        <v/>
      </c>
      <c r="AE846" s="0" t="str">
        <f aca="false">IF(AND(C845=C846,AA845=AA846-1),AC845,"")</f>
        <v/>
      </c>
      <c r="AF846" s="0" t="str">
        <f aca="false">IF(AA846=1,"",IF(AND(AB846=1,AD846&lt;&gt;1),1,0))</f>
        <v/>
      </c>
      <c r="AG846" s="0" t="str">
        <f aca="false">IF(AA846=1,"",IF(AND(AC846=1,AE846&lt;&gt;1),1,0))</f>
        <v/>
      </c>
      <c r="AH846" s="51" t="str">
        <f aca="false">IF(AND(E846&gt;0,AA846&lt;1,NOT(AND(C847=C846,AA847=AA846+1))),INDEX(DATAS,AA846+1),"")</f>
        <v/>
      </c>
      <c r="AI846" s="51" t="str">
        <f aca="false">IF(AND(AC846=1,AA846&lt;1),IF(AND(C847=C846,AA847=AA846+1),IF(AC847=1,"",INDEX(DATAS,AA846+1)),INDEX(DATAS,AA846+1)),"")</f>
        <v/>
      </c>
    </row>
    <row r="847" customFormat="false" ht="15" hidden="false" customHeight="false" outlineLevel="0" collapsed="false">
      <c r="A847" s="51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46" t="s">
        <v>690</v>
      </c>
      <c r="G847" s="0" t="n">
        <v>58</v>
      </c>
      <c r="H847" s="0" t="n">
        <v>57</v>
      </c>
      <c r="I847" s="46" t="s">
        <v>152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51" t="n">
        <v>46205</v>
      </c>
      <c r="X847" s="46" t="n">
        <f aca="false">IF(I847="Male",0,1)</f>
        <v>1</v>
      </c>
      <c r="Y847" s="46" t="n">
        <f aca="false">IF(OR(I847="DNB",I847="Dry DNB"),1,0)</f>
        <v>0</v>
      </c>
      <c r="Z847" s="46" t="n">
        <f aca="false">IF(ISNUMBER(W847),A847-W847,"")</f>
        <v>104</v>
      </c>
      <c r="AA847" s="46" t="n">
        <f aca="false">MATCH(A847,DATAS,0)</f>
        <v>1</v>
      </c>
      <c r="AB847" s="46" t="n">
        <f aca="false">IF(AND(E847&gt;0,OR(AND(B847&gt;=1,B847&lt;=6),B847=10)),1,0)</f>
        <v>1</v>
      </c>
      <c r="AC847" s="46" t="n">
        <f aca="false">IF(AND(E847&gt;0,B847=10),1,0)</f>
        <v>0</v>
      </c>
      <c r="AD847" s="0" t="str">
        <f aca="false">IF(AND(C846=C847,AA846=AA847-1),AB846,"")</f>
        <v/>
      </c>
      <c r="AE847" s="0" t="str">
        <f aca="false">IF(AND(C846=C847,AA846=AA847-1),AC846,"")</f>
        <v/>
      </c>
      <c r="AF847" s="0" t="str">
        <f aca="false">IF(AA847=1,"",IF(AND(AB847=1,AD847&lt;&gt;1),1,0))</f>
        <v/>
      </c>
      <c r="AG847" s="0" t="str">
        <f aca="false">IF(AA847=1,"",IF(AND(AC847=1,AE847&lt;&gt;1),1,0))</f>
        <v/>
      </c>
      <c r="AH847" s="51" t="str">
        <f aca="false">IF(AND(E847&gt;0,AA847&lt;1,NOT(AND(C848=C847,AA848=AA847+1))),INDEX(DATAS,AA847+1),"")</f>
        <v/>
      </c>
      <c r="AI847" s="51" t="str">
        <f aca="false">IF(AND(AC847=1,AA847&lt;1),IF(AND(C848=C847,AA848=AA847+1),IF(AC848=1,"",INDEX(DATAS,AA847+1)),INDEX(DATAS,AA847+1)),"")</f>
        <v/>
      </c>
    </row>
    <row r="848" customFormat="false" ht="15" hidden="false" customHeight="false" outlineLevel="0" collapsed="false">
      <c r="A848" s="51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46" t="s">
        <v>690</v>
      </c>
      <c r="G848" s="0" t="n">
        <v>56.2</v>
      </c>
      <c r="H848" s="0" t="n">
        <v>55</v>
      </c>
      <c r="I848" s="46" t="s">
        <v>152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51" t="n">
        <v>46230</v>
      </c>
      <c r="X848" s="46" t="n">
        <f aca="false">IF(I848="Male",0,1)</f>
        <v>1</v>
      </c>
      <c r="Y848" s="46" t="n">
        <f aca="false">IF(OR(I848="DNB",I848="Dry DNB"),1,0)</f>
        <v>0</v>
      </c>
      <c r="Z848" s="46" t="n">
        <f aca="false">IF(ISNUMBER(W848),A848-W848,"")</f>
        <v>79</v>
      </c>
      <c r="AA848" s="46" t="n">
        <f aca="false">MATCH(A848,DATAS,0)</f>
        <v>1</v>
      </c>
      <c r="AB848" s="46" t="n">
        <f aca="false">IF(AND(E848&gt;0,OR(AND(B848&gt;=1,B848&lt;=6),B848=10)),1,0)</f>
        <v>1</v>
      </c>
      <c r="AC848" s="46" t="n">
        <f aca="false">IF(AND(E848&gt;0,B848=10),1,0)</f>
        <v>0</v>
      </c>
      <c r="AD848" s="0" t="str">
        <f aca="false">IF(AND(C847=C848,AA847=AA848-1),AB847,"")</f>
        <v/>
      </c>
      <c r="AE848" s="0" t="str">
        <f aca="false">IF(AND(C847=C848,AA847=AA848-1),AC847,"")</f>
        <v/>
      </c>
      <c r="AF848" s="0" t="str">
        <f aca="false">IF(AA848=1,"",IF(AND(AB848=1,AD848&lt;&gt;1),1,0))</f>
        <v/>
      </c>
      <c r="AG848" s="0" t="str">
        <f aca="false">IF(AA848=1,"",IF(AND(AC848=1,AE848&lt;&gt;1),1,0))</f>
        <v/>
      </c>
      <c r="AH848" s="51" t="str">
        <f aca="false">IF(AND(E848&gt;0,AA848&lt;1,NOT(AND(C849=C848,AA849=AA848+1))),INDEX(DATAS,AA848+1),"")</f>
        <v/>
      </c>
      <c r="AI848" s="51" t="str">
        <f aca="false">IF(AND(AC848=1,AA848&lt;1),IF(AND(C849=C848,AA849=AA848+1),IF(AC849=1,"",INDEX(DATAS,AA848+1)),INDEX(DATAS,AA848+1)),"")</f>
        <v/>
      </c>
    </row>
    <row r="849" customFormat="false" ht="15" hidden="false" customHeight="false" outlineLevel="0" collapsed="false">
      <c r="A849" s="51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46" t="s">
        <v>691</v>
      </c>
      <c r="G849" s="0" t="n">
        <v>51.1</v>
      </c>
      <c r="H849" s="0" t="n">
        <v>47</v>
      </c>
      <c r="I849" s="46" t="s">
        <v>189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51" t="n">
        <v>46240</v>
      </c>
      <c r="X849" s="46" t="n">
        <f aca="false">IF(I849="Male",0,1)</f>
        <v>1</v>
      </c>
      <c r="Y849" s="46" t="n">
        <f aca="false">IF(OR(I849="DNB",I849="Dry DNB"),1,0)</f>
        <v>0</v>
      </c>
      <c r="Z849" s="46" t="n">
        <f aca="false">IF(ISNUMBER(W849),A849-W849,"")</f>
        <v>69</v>
      </c>
      <c r="AA849" s="46" t="n">
        <f aca="false">MATCH(A849,DATAS,0)</f>
        <v>1</v>
      </c>
      <c r="AB849" s="46" t="n">
        <f aca="false">IF(AND(E849&gt;0,OR(AND(B849&gt;=1,B849&lt;=6),B849=10)),1,0)</f>
        <v>1</v>
      </c>
      <c r="AC849" s="46" t="n">
        <f aca="false">IF(AND(E849&gt;0,B849=10),1,0)</f>
        <v>0</v>
      </c>
      <c r="AD849" s="0" t="str">
        <f aca="false">IF(AND(C848=C849,AA848=AA849-1),AB848,"")</f>
        <v/>
      </c>
      <c r="AE849" s="0" t="str">
        <f aca="false">IF(AND(C848=C849,AA848=AA849-1),AC848,"")</f>
        <v/>
      </c>
      <c r="AF849" s="0" t="str">
        <f aca="false">IF(AA849=1,"",IF(AND(AB849=1,AD849&lt;&gt;1),1,0))</f>
        <v/>
      </c>
      <c r="AG849" s="0" t="str">
        <f aca="false">IF(AA849=1,"",IF(AND(AC849=1,AE849&lt;&gt;1),1,0))</f>
        <v/>
      </c>
      <c r="AH849" s="51" t="str">
        <f aca="false">IF(AND(E849&gt;0,AA849&lt;1,NOT(AND(C850=C849,AA850=AA849+1))),INDEX(DATAS,AA849+1),"")</f>
        <v/>
      </c>
      <c r="AI849" s="51" t="str">
        <f aca="false">IF(AND(AC849=1,AA849&lt;1),IF(AND(C850=C849,AA850=AA849+1),IF(AC850=1,"",INDEX(DATAS,AA849+1)),INDEX(DATAS,AA849+1)),"")</f>
        <v/>
      </c>
    </row>
    <row r="850" customFormat="false" ht="15" hidden="false" customHeight="false" outlineLevel="0" collapsed="false">
      <c r="A850" s="51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46" t="s">
        <v>691</v>
      </c>
      <c r="G850" s="0" t="n">
        <v>57.8</v>
      </c>
      <c r="H850" s="0" t="n">
        <v>57</v>
      </c>
      <c r="I850" s="46" t="s">
        <v>152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51" t="n">
        <v>46268</v>
      </c>
      <c r="X850" s="46" t="n">
        <f aca="false">IF(I850="Male",0,1)</f>
        <v>1</v>
      </c>
      <c r="Y850" s="46" t="n">
        <f aca="false">IF(OR(I850="DNB",I850="Dry DNB"),1,0)</f>
        <v>0</v>
      </c>
      <c r="Z850" s="46" t="n">
        <f aca="false">IF(ISNUMBER(W850),A850-W850,"")</f>
        <v>41</v>
      </c>
      <c r="AA850" s="46" t="n">
        <f aca="false">MATCH(A850,DATAS,0)</f>
        <v>1</v>
      </c>
      <c r="AB850" s="46" t="n">
        <f aca="false">IF(AND(E850&gt;0,OR(AND(B850&gt;=1,B850&lt;=6),B850=10)),1,0)</f>
        <v>1</v>
      </c>
      <c r="AC850" s="46" t="n">
        <f aca="false">IF(AND(E850&gt;0,B850=10),1,0)</f>
        <v>0</v>
      </c>
      <c r="AD850" s="0" t="str">
        <f aca="false">IF(AND(C849=C850,AA849=AA850-1),AB849,"")</f>
        <v/>
      </c>
      <c r="AE850" s="0" t="str">
        <f aca="false">IF(AND(C849=C850,AA849=AA850-1),AC849,"")</f>
        <v/>
      </c>
      <c r="AF850" s="0" t="str">
        <f aca="false">IF(AA850=1,"",IF(AND(AB850=1,AD850&lt;&gt;1),1,0))</f>
        <v/>
      </c>
      <c r="AG850" s="0" t="str">
        <f aca="false">IF(AA850=1,"",IF(AND(AC850=1,AE850&lt;&gt;1),1,0))</f>
        <v/>
      </c>
      <c r="AH850" s="51" t="str">
        <f aca="false">IF(AND(E850&gt;0,AA850&lt;1,NOT(AND(C851=C850,AA851=AA850+1))),INDEX(DATAS,AA850+1),"")</f>
        <v/>
      </c>
      <c r="AI850" s="51" t="str">
        <f aca="false">IF(AND(AC850=1,AA850&lt;1),IF(AND(C851=C850,AA851=AA850+1),IF(AC851=1,"",INDEX(DATAS,AA850+1)),INDEX(DATAS,AA850+1)),"")</f>
        <v/>
      </c>
    </row>
    <row r="851" customFormat="false" ht="15" hidden="false" customHeight="false" outlineLevel="0" collapsed="false">
      <c r="A851" s="51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46" t="s">
        <v>691</v>
      </c>
      <c r="G851" s="0" t="n">
        <v>51.2</v>
      </c>
      <c r="H851" s="0" t="n">
        <v>50</v>
      </c>
      <c r="I851" s="46" t="s">
        <v>152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51" t="n">
        <v>46247</v>
      </c>
      <c r="X851" s="46" t="n">
        <f aca="false">IF(I851="Male",0,1)</f>
        <v>1</v>
      </c>
      <c r="Y851" s="46" t="n">
        <f aca="false">IF(OR(I851="DNB",I851="Dry DNB"),1,0)</f>
        <v>0</v>
      </c>
      <c r="Z851" s="46" t="n">
        <f aca="false">IF(ISNUMBER(W851),A851-W851,"")</f>
        <v>62</v>
      </c>
      <c r="AA851" s="46" t="n">
        <f aca="false">MATCH(A851,DATAS,0)</f>
        <v>1</v>
      </c>
      <c r="AB851" s="46" t="n">
        <f aca="false">IF(AND(E851&gt;0,OR(AND(B851&gt;=1,B851&lt;=6),B851=10)),1,0)</f>
        <v>1</v>
      </c>
      <c r="AC851" s="46" t="n">
        <f aca="false">IF(AND(E851&gt;0,B851=10),1,0)</f>
        <v>0</v>
      </c>
      <c r="AD851" s="0" t="str">
        <f aca="false">IF(AND(C850=C851,AA850=AA851-1),AB850,"")</f>
        <v/>
      </c>
      <c r="AE851" s="0" t="str">
        <f aca="false">IF(AND(C850=C851,AA850=AA851-1),AC850,"")</f>
        <v/>
      </c>
      <c r="AF851" s="0" t="str">
        <f aca="false">IF(AA851=1,"",IF(AND(AB851=1,AD851&lt;&gt;1),1,0))</f>
        <v/>
      </c>
      <c r="AG851" s="0" t="str">
        <f aca="false">IF(AA851=1,"",IF(AND(AC851=1,AE851&lt;&gt;1),1,0))</f>
        <v/>
      </c>
      <c r="AH851" s="51" t="str">
        <f aca="false">IF(AND(E851&gt;0,AA851&lt;1,NOT(AND(C852=C851,AA852=AA851+1))),INDEX(DATAS,AA851+1),"")</f>
        <v/>
      </c>
      <c r="AI851" s="51" t="str">
        <f aca="false">IF(AND(AC851=1,AA851&lt;1),IF(AND(C852=C851,AA852=AA851+1),IF(AC852=1,"",INDEX(DATAS,AA851+1)),INDEX(DATAS,AA851+1)),"")</f>
        <v/>
      </c>
    </row>
    <row r="852" customFormat="false" ht="15" hidden="false" customHeight="false" outlineLevel="0" collapsed="false">
      <c r="A852" s="51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46" t="s">
        <v>692</v>
      </c>
      <c r="H852" s="0" t="n">
        <v>24</v>
      </c>
      <c r="I852" s="46" t="s">
        <v>189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51" t="n">
        <v>46146</v>
      </c>
      <c r="X852" s="46" t="n">
        <f aca="false">IF(I852="Male",0,1)</f>
        <v>1</v>
      </c>
      <c r="Y852" s="46" t="n">
        <f aca="false">IF(OR(I852="DNB",I852="Dry DNB"),1,0)</f>
        <v>0</v>
      </c>
      <c r="Z852" s="46" t="n">
        <f aca="false">IF(ISNUMBER(W852),A852-W852,"")</f>
        <v>163</v>
      </c>
      <c r="AA852" s="46" t="n">
        <f aca="false">MATCH(A852,DATAS,0)</f>
        <v>1</v>
      </c>
      <c r="AB852" s="46" t="n">
        <f aca="false">IF(AND(E852&gt;0,OR(AND(B852&gt;=1,B852&lt;=6),B852=10)),1,0)</f>
        <v>1</v>
      </c>
      <c r="AC852" s="46" t="n">
        <f aca="false">IF(AND(E852&gt;0,B852=10),1,0)</f>
        <v>1</v>
      </c>
      <c r="AD852" s="0" t="str">
        <f aca="false">IF(AND(C851=C852,AA851=AA852-1),AB851,"")</f>
        <v/>
      </c>
      <c r="AE852" s="0" t="str">
        <f aca="false">IF(AND(C851=C852,AA851=AA852-1),AC851,"")</f>
        <v/>
      </c>
      <c r="AF852" s="0" t="str">
        <f aca="false">IF(AA852=1,"",IF(AND(AB852=1,AD852&lt;&gt;1),1,0))</f>
        <v/>
      </c>
      <c r="AG852" s="0" t="str">
        <f aca="false">IF(AA852=1,"",IF(AND(AC852=1,AE852&lt;&gt;1),1,0))</f>
        <v/>
      </c>
      <c r="AH852" s="51" t="str">
        <f aca="false">IF(AND(E852&gt;0,AA852&lt;1,NOT(AND(C853=C852,AA853=AA852+1))),INDEX(DATAS,AA852+1),"")</f>
        <v/>
      </c>
      <c r="AI852" s="51" t="str">
        <f aca="false">IF(AND(AC852=1,AA852&lt;1),IF(AND(C853=C852,AA853=AA852+1),IF(AC853=1,"",INDEX(DATAS,AA852+1)),INDEX(DATAS,AA852+1)),"")</f>
        <v/>
      </c>
    </row>
    <row r="853" customFormat="false" ht="15" hidden="false" customHeight="false" outlineLevel="0" collapsed="false">
      <c r="A853" s="51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46" t="s">
        <v>693</v>
      </c>
      <c r="G853" s="0" t="n">
        <v>50.6</v>
      </c>
      <c r="H853" s="0" t="n">
        <v>49</v>
      </c>
      <c r="I853" s="46" t="s">
        <v>189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51" t="n">
        <v>46247</v>
      </c>
      <c r="X853" s="46" t="n">
        <f aca="false">IF(I853="Male",0,1)</f>
        <v>1</v>
      </c>
      <c r="Y853" s="46" t="n">
        <f aca="false">IF(OR(I853="DNB",I853="Dry DNB"),1,0)</f>
        <v>0</v>
      </c>
      <c r="Z853" s="46" t="n">
        <f aca="false">IF(ISNUMBER(W853),A853-W853,"")</f>
        <v>62</v>
      </c>
      <c r="AA853" s="46" t="n">
        <f aca="false">MATCH(A853,DATAS,0)</f>
        <v>1</v>
      </c>
      <c r="AB853" s="46" t="n">
        <f aca="false">IF(AND(E853&gt;0,OR(AND(B853&gt;=1,B853&lt;=6),B853=10)),1,0)</f>
        <v>1</v>
      </c>
      <c r="AC853" s="46" t="n">
        <f aca="false">IF(AND(E853&gt;0,B853=10),1,0)</f>
        <v>0</v>
      </c>
      <c r="AD853" s="0" t="str">
        <f aca="false">IF(AND(C852=C853,AA852=AA853-1),AB852,"")</f>
        <v/>
      </c>
      <c r="AE853" s="0" t="str">
        <f aca="false">IF(AND(C852=C853,AA852=AA853-1),AC852,"")</f>
        <v/>
      </c>
      <c r="AF853" s="0" t="str">
        <f aca="false">IF(AA853=1,"",IF(AND(AB853=1,AD853&lt;&gt;1),1,0))</f>
        <v/>
      </c>
      <c r="AG853" s="0" t="str">
        <f aca="false">IF(AA853=1,"",IF(AND(AC853=1,AE853&lt;&gt;1),1,0))</f>
        <v/>
      </c>
      <c r="AH853" s="51" t="str">
        <f aca="false">IF(AND(E853&gt;0,AA853&lt;1,NOT(AND(C854=C853,AA854=AA853+1))),INDEX(DATAS,AA853+1),"")</f>
        <v/>
      </c>
      <c r="AI853" s="51" t="str">
        <f aca="false">IF(AND(AC853=1,AA853&lt;1),IF(AND(C854=C853,AA854=AA853+1),IF(AC854=1,"",INDEX(DATAS,AA853+1)),INDEX(DATAS,AA853+1)),"")</f>
        <v/>
      </c>
    </row>
    <row r="854" customFormat="false" ht="15" hidden="false" customHeight="false" outlineLevel="0" collapsed="false">
      <c r="A854" s="51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46" t="s">
        <v>693</v>
      </c>
      <c r="G854" s="0" t="n">
        <v>37.6</v>
      </c>
      <c r="H854" s="0" t="n">
        <v>35</v>
      </c>
      <c r="I854" s="46" t="s">
        <v>152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51" t="n">
        <v>46272</v>
      </c>
      <c r="X854" s="46" t="n">
        <f aca="false">IF(I854="Male",0,1)</f>
        <v>1</v>
      </c>
      <c r="Y854" s="46" t="n">
        <f aca="false">IF(OR(I854="DNB",I854="Dry DNB"),1,0)</f>
        <v>0</v>
      </c>
      <c r="Z854" s="46" t="n">
        <f aca="false">IF(ISNUMBER(W854),A854-W854,"")</f>
        <v>37</v>
      </c>
      <c r="AA854" s="46" t="n">
        <f aca="false">MATCH(A854,DATAS,0)</f>
        <v>1</v>
      </c>
      <c r="AB854" s="46" t="n">
        <f aca="false">IF(AND(E854&gt;0,OR(AND(B854&gt;=1,B854&lt;=6),B854=10)),1,0)</f>
        <v>1</v>
      </c>
      <c r="AC854" s="46" t="n">
        <f aca="false">IF(AND(E854&gt;0,B854=10),1,0)</f>
        <v>0</v>
      </c>
      <c r="AD854" s="0" t="str">
        <f aca="false">IF(AND(C853=C854,AA853=AA854-1),AB853,"")</f>
        <v/>
      </c>
      <c r="AE854" s="0" t="str">
        <f aca="false">IF(AND(C853=C854,AA853=AA854-1),AC853,"")</f>
        <v/>
      </c>
      <c r="AF854" s="0" t="str">
        <f aca="false">IF(AA854=1,"",IF(AND(AB854=1,AD854&lt;&gt;1),1,0))</f>
        <v/>
      </c>
      <c r="AG854" s="0" t="str">
        <f aca="false">IF(AA854=1,"",IF(AND(AC854=1,AE854&lt;&gt;1),1,0))</f>
        <v/>
      </c>
      <c r="AH854" s="51" t="str">
        <f aca="false">IF(AND(E854&gt;0,AA854&lt;1,NOT(AND(C855=C854,AA855=AA854+1))),INDEX(DATAS,AA854+1),"")</f>
        <v/>
      </c>
      <c r="AI854" s="51" t="str">
        <f aca="false">IF(AND(AC854=1,AA854&lt;1),IF(AND(C855=C854,AA855=AA854+1),IF(AC855=1,"",INDEX(DATAS,AA854+1)),INDEX(DATAS,AA854+1)),"")</f>
        <v/>
      </c>
    </row>
    <row r="855" customFormat="false" ht="15" hidden="false" customHeight="false" outlineLevel="0" collapsed="false">
      <c r="A855" s="51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46" t="s">
        <v>694</v>
      </c>
      <c r="H855" s="0" t="n">
        <v>18</v>
      </c>
      <c r="I855" s="46" t="s">
        <v>152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51" t="n">
        <v>46247</v>
      </c>
      <c r="X855" s="46" t="n">
        <f aca="false">IF(I855="Male",0,1)</f>
        <v>1</v>
      </c>
      <c r="Y855" s="46" t="n">
        <f aca="false">IF(OR(I855="DNB",I855="Dry DNB"),1,0)</f>
        <v>0</v>
      </c>
      <c r="Z855" s="46" t="n">
        <f aca="false">IF(ISNUMBER(W855),A855-W855,"")</f>
        <v>62</v>
      </c>
      <c r="AA855" s="46" t="n">
        <f aca="false">MATCH(A855,DATAS,0)</f>
        <v>1</v>
      </c>
      <c r="AB855" s="46" t="n">
        <f aca="false">IF(AND(E855&gt;0,OR(AND(B855&gt;=1,B855&lt;=6),B855=10)),1,0)</f>
        <v>1</v>
      </c>
      <c r="AC855" s="46" t="n">
        <f aca="false">IF(AND(E855&gt;0,B855=10),1,0)</f>
        <v>1</v>
      </c>
      <c r="AD855" s="0" t="str">
        <f aca="false">IF(AND(C854=C855,AA854=AA855-1),AB854,"")</f>
        <v/>
      </c>
      <c r="AE855" s="0" t="str">
        <f aca="false">IF(AND(C854=C855,AA854=AA855-1),AC854,"")</f>
        <v/>
      </c>
      <c r="AF855" s="0" t="str">
        <f aca="false">IF(AA855=1,"",IF(AND(AB855=1,AD855&lt;&gt;1),1,0))</f>
        <v/>
      </c>
      <c r="AG855" s="0" t="str">
        <f aca="false">IF(AA855=1,"",IF(AND(AC855=1,AE855&lt;&gt;1),1,0))</f>
        <v/>
      </c>
      <c r="AH855" s="51" t="str">
        <f aca="false">IF(AND(E855&gt;0,AA855&lt;1,NOT(AND(C856=C855,AA856=AA855+1))),INDEX(DATAS,AA855+1),"")</f>
        <v/>
      </c>
      <c r="AI855" s="51" t="str">
        <f aca="false">IF(AND(AC855=1,AA855&lt;1),IF(AND(C856=C855,AA856=AA855+1),IF(AC856=1,"",INDEX(DATAS,AA855+1)),INDEX(DATAS,AA855+1)),"")</f>
        <v/>
      </c>
    </row>
    <row r="856" customFormat="false" ht="15" hidden="false" customHeight="false" outlineLevel="0" collapsed="false">
      <c r="A856" s="51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46" t="s">
        <v>694</v>
      </c>
      <c r="G856" s="0" t="n">
        <v>44.9</v>
      </c>
      <c r="H856" s="0" t="n">
        <v>45</v>
      </c>
      <c r="I856" s="46" t="s">
        <v>161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X856" s="46" t="n">
        <f aca="false">IF(I856="Male",0,1)</f>
        <v>1</v>
      </c>
      <c r="Y856" s="46" t="n">
        <f aca="false">IF(OR(I856="DNB",I856="Dry DNB"),1,0)</f>
        <v>0</v>
      </c>
      <c r="Z856" s="0" t="str">
        <f aca="false">IF(ISNUMBER(W856),A856-W856,"")</f>
        <v/>
      </c>
      <c r="AA856" s="46" t="n">
        <f aca="false">MATCH(A856,DATAS,0)</f>
        <v>1</v>
      </c>
      <c r="AB856" s="46" t="n">
        <f aca="false">IF(AND(E856&gt;0,OR(AND(B856&gt;=1,B856&lt;=6),B856=10)),1,0)</f>
        <v>1</v>
      </c>
      <c r="AC856" s="46" t="n">
        <f aca="false">IF(AND(E856&gt;0,B856=10),1,0)</f>
        <v>0</v>
      </c>
      <c r="AD856" s="0" t="str">
        <f aca="false">IF(AND(C855=C856,AA855=AA856-1),AB855,"")</f>
        <v/>
      </c>
      <c r="AE856" s="0" t="str">
        <f aca="false">IF(AND(C855=C856,AA855=AA856-1),AC855,"")</f>
        <v/>
      </c>
      <c r="AF856" s="0" t="str">
        <f aca="false">IF(AA856=1,"",IF(AND(AB856=1,AD856&lt;&gt;1),1,0))</f>
        <v/>
      </c>
      <c r="AG856" s="0" t="str">
        <f aca="false">IF(AA856=1,"",IF(AND(AC856=1,AE856&lt;&gt;1),1,0))</f>
        <v/>
      </c>
      <c r="AH856" s="51" t="str">
        <f aca="false">IF(AND(E856&gt;0,AA856&lt;1,NOT(AND(C857=C856,AA857=AA856+1))),INDEX(DATAS,AA856+1),"")</f>
        <v/>
      </c>
      <c r="AI856" s="51" t="str">
        <f aca="false">IF(AND(AC856=1,AA856&lt;1),IF(AND(C857=C856,AA857=AA856+1),IF(AC857=1,"",INDEX(DATAS,AA856+1)),INDEX(DATAS,AA856+1)),"")</f>
        <v/>
      </c>
    </row>
    <row r="857" customFormat="false" ht="15" hidden="false" customHeight="false" outlineLevel="0" collapsed="false">
      <c r="A857" s="51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46" t="s">
        <v>695</v>
      </c>
      <c r="I857" s="46" t="s">
        <v>152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51" t="n">
        <v>46161</v>
      </c>
      <c r="X857" s="46" t="n">
        <f aca="false">IF(I857="Male",0,1)</f>
        <v>1</v>
      </c>
      <c r="Y857" s="46" t="n">
        <f aca="false">IF(OR(I857="DNB",I857="Dry DNB"),1,0)</f>
        <v>0</v>
      </c>
      <c r="Z857" s="46" t="n">
        <f aca="false">IF(ISNUMBER(W857),A857-W857,"")</f>
        <v>148</v>
      </c>
      <c r="AA857" s="46" t="n">
        <f aca="false">MATCH(A857,DATAS,0)</f>
        <v>1</v>
      </c>
      <c r="AB857" s="46" t="n">
        <f aca="false">IF(AND(E857&gt;0,OR(AND(B857&gt;=1,B857&lt;=6),B857=10)),1,0)</f>
        <v>0</v>
      </c>
      <c r="AC857" s="46" t="n">
        <f aca="false">IF(AND(E857&gt;0,B857=10),1,0)</f>
        <v>0</v>
      </c>
      <c r="AD857" s="0" t="str">
        <f aca="false">IF(AND(C856=C857,AA856=AA857-1),AB856,"")</f>
        <v/>
      </c>
      <c r="AE857" s="0" t="str">
        <f aca="false">IF(AND(C856=C857,AA856=AA857-1),AC856,"")</f>
        <v/>
      </c>
      <c r="AF857" s="0" t="str">
        <f aca="false">IF(AA857=1,"",IF(AND(AB857=1,AD857&lt;&gt;1),1,0))</f>
        <v/>
      </c>
      <c r="AG857" s="0" t="str">
        <f aca="false">IF(AA857=1,"",IF(AND(AC857=1,AE857&lt;&gt;1),1,0))</f>
        <v/>
      </c>
      <c r="AH857" s="51" t="str">
        <f aca="false">IF(AND(E857&gt;0,AA857&lt;1,NOT(AND(C858=C857,AA858=AA857+1))),INDEX(DATAS,AA857+1),"")</f>
        <v/>
      </c>
      <c r="AI857" s="51" t="str">
        <f aca="false">IF(AND(AC857=1,AA857&lt;1),IF(AND(C858=C857,AA858=AA857+1),IF(AC858=1,"",INDEX(DATAS,AA857+1)),INDEX(DATAS,AA857+1)),"")</f>
        <v/>
      </c>
    </row>
    <row r="858" customFormat="false" ht="15" hidden="false" customHeight="false" outlineLevel="0" collapsed="false">
      <c r="A858" s="51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46" t="s">
        <v>696</v>
      </c>
      <c r="G858" s="0" t="n">
        <v>63.5</v>
      </c>
      <c r="H858" s="0" t="n">
        <v>64</v>
      </c>
      <c r="I858" s="46" t="s">
        <v>161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X858" s="46" t="n">
        <f aca="false">IF(I858="Male",0,1)</f>
        <v>1</v>
      </c>
      <c r="Y858" s="46" t="n">
        <f aca="false">IF(OR(I858="DNB",I858="Dry DNB"),1,0)</f>
        <v>0</v>
      </c>
      <c r="Z858" s="0" t="str">
        <f aca="false">IF(ISNUMBER(W858),A858-W858,"")</f>
        <v/>
      </c>
      <c r="AA858" s="46" t="n">
        <f aca="false">MATCH(A858,DATAS,0)</f>
        <v>1</v>
      </c>
      <c r="AB858" s="46" t="n">
        <f aca="false">IF(AND(E858&gt;0,OR(AND(B858&gt;=1,B858&lt;=6),B858=10)),1,0)</f>
        <v>1</v>
      </c>
      <c r="AC858" s="46" t="n">
        <f aca="false">IF(AND(E858&gt;0,B858=10),1,0)</f>
        <v>0</v>
      </c>
      <c r="AD858" s="0" t="str">
        <f aca="false">IF(AND(C857=C858,AA857=AA858-1),AB857,"")</f>
        <v/>
      </c>
      <c r="AE858" s="0" t="str">
        <f aca="false">IF(AND(C857=C858,AA857=AA858-1),AC857,"")</f>
        <v/>
      </c>
      <c r="AF858" s="0" t="str">
        <f aca="false">IF(AA858=1,"",IF(AND(AB858=1,AD858&lt;&gt;1),1,0))</f>
        <v/>
      </c>
      <c r="AG858" s="0" t="str">
        <f aca="false">IF(AA858=1,"",IF(AND(AC858=1,AE858&lt;&gt;1),1,0))</f>
        <v/>
      </c>
      <c r="AH858" s="51" t="str">
        <f aca="false">IF(AND(E858&gt;0,AA858&lt;1,NOT(AND(C859=C858,AA859=AA858+1))),INDEX(DATAS,AA858+1),"")</f>
        <v/>
      </c>
      <c r="AI858" s="51" t="str">
        <f aca="false">IF(AND(AC858=1,AA858&lt;1),IF(AND(C859=C858,AA859=AA858+1),IF(AC859=1,"",INDEX(DATAS,AA858+1)),INDEX(DATAS,AA858+1)),"")</f>
        <v/>
      </c>
    </row>
    <row r="859" customFormat="false" ht="15" hidden="false" customHeight="false" outlineLevel="0" collapsed="false">
      <c r="A859" s="51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46" t="s">
        <v>695</v>
      </c>
      <c r="I859" s="46" t="s">
        <v>157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51" t="n">
        <v>46058</v>
      </c>
      <c r="X859" s="46" t="n">
        <f aca="false">IF(I859="Male",0,1)</f>
        <v>1</v>
      </c>
      <c r="Y859" s="46" t="n">
        <f aca="false">IF(OR(I859="DNB",I859="Dry DNB"),1,0)</f>
        <v>0</v>
      </c>
      <c r="Z859" s="46" t="n">
        <f aca="false">IF(ISNUMBER(W859),A859-W859,"")</f>
        <v>251</v>
      </c>
      <c r="AA859" s="46" t="n">
        <f aca="false">MATCH(A859,DATAS,0)</f>
        <v>1</v>
      </c>
      <c r="AB859" s="46" t="n">
        <f aca="false">IF(AND(E859&gt;0,OR(AND(B859&gt;=1,B859&lt;=6),B859=10)),1,0)</f>
        <v>0</v>
      </c>
      <c r="AC859" s="46" t="n">
        <f aca="false">IF(AND(E859&gt;0,B859=10),1,0)</f>
        <v>0</v>
      </c>
      <c r="AD859" s="0" t="str">
        <f aca="false">IF(AND(C858=C859,AA858=AA859-1),AB858,"")</f>
        <v/>
      </c>
      <c r="AE859" s="0" t="str">
        <f aca="false">IF(AND(C858=C859,AA858=AA859-1),AC858,"")</f>
        <v/>
      </c>
      <c r="AF859" s="0" t="str">
        <f aca="false">IF(AA859=1,"",IF(AND(AB859=1,AD859&lt;&gt;1),1,0))</f>
        <v/>
      </c>
      <c r="AG859" s="0" t="str">
        <f aca="false">IF(AA859=1,"",IF(AND(AC859=1,AE859&lt;&gt;1),1,0))</f>
        <v/>
      </c>
      <c r="AH859" s="51" t="str">
        <f aca="false">IF(AND(E859&gt;0,AA859&lt;1,NOT(AND(C860=C859,AA860=AA859+1))),INDEX(DATAS,AA859+1),"")</f>
        <v/>
      </c>
      <c r="AI859" s="51" t="str">
        <f aca="false">IF(AND(AC859=1,AA859&lt;1),IF(AND(C860=C859,AA860=AA859+1),IF(AC860=1,"",INDEX(DATAS,AA859+1)),INDEX(DATAS,AA859+1)),"")</f>
        <v/>
      </c>
    </row>
    <row r="860" customFormat="false" ht="15" hidden="false" customHeight="false" outlineLevel="0" collapsed="false">
      <c r="A860" s="51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46" t="s">
        <v>695</v>
      </c>
      <c r="G860" s="0" t="n">
        <v>30.2</v>
      </c>
      <c r="H860" s="0" t="n">
        <v>27</v>
      </c>
      <c r="I860" s="46" t="s">
        <v>152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51" t="n">
        <v>46212</v>
      </c>
      <c r="X860" s="46" t="n">
        <f aca="false">IF(I860="Male",0,1)</f>
        <v>1</v>
      </c>
      <c r="Y860" s="46" t="n">
        <f aca="false">IF(OR(I860="DNB",I860="Dry DNB"),1,0)</f>
        <v>0</v>
      </c>
      <c r="Z860" s="46" t="n">
        <f aca="false">IF(ISNUMBER(W860),A860-W860,"")</f>
        <v>97</v>
      </c>
      <c r="AA860" s="46" t="n">
        <f aca="false">MATCH(A860,DATAS,0)</f>
        <v>1</v>
      </c>
      <c r="AB860" s="46" t="n">
        <f aca="false">IF(AND(E860&gt;0,OR(AND(B860&gt;=1,B860&lt;=6),B860=10)),1,0)</f>
        <v>1</v>
      </c>
      <c r="AC860" s="46" t="n">
        <f aca="false">IF(AND(E860&gt;0,B860=10),1,0)</f>
        <v>0</v>
      </c>
      <c r="AD860" s="0" t="str">
        <f aca="false">IF(AND(C859=C860,AA859=AA860-1),AB859,"")</f>
        <v/>
      </c>
      <c r="AE860" s="0" t="str">
        <f aca="false">IF(AND(C859=C860,AA859=AA860-1),AC859,"")</f>
        <v/>
      </c>
      <c r="AF860" s="0" t="str">
        <f aca="false">IF(AA860=1,"",IF(AND(AB860=1,AD860&lt;&gt;1),1,0))</f>
        <v/>
      </c>
      <c r="AG860" s="0" t="str">
        <f aca="false">IF(AA860=1,"",IF(AND(AC860=1,AE860&lt;&gt;1),1,0))</f>
        <v/>
      </c>
      <c r="AH860" s="51" t="str">
        <f aca="false">IF(AND(E860&gt;0,AA860&lt;1,NOT(AND(C861=C860,AA861=AA860+1))),INDEX(DATAS,AA860+1),"")</f>
        <v/>
      </c>
      <c r="AI860" s="51" t="str">
        <f aca="false">IF(AND(AC860=1,AA860&lt;1),IF(AND(C861=C860,AA861=AA860+1),IF(AC861=1,"",INDEX(DATAS,AA860+1)),INDEX(DATAS,AA860+1)),"")</f>
        <v/>
      </c>
    </row>
    <row r="861" customFormat="false" ht="15" hidden="false" customHeight="false" outlineLevel="0" collapsed="false">
      <c r="A861" s="51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46" t="s">
        <v>695</v>
      </c>
      <c r="G861" s="0" t="n">
        <v>59.9</v>
      </c>
      <c r="H861" s="0" t="n">
        <v>57</v>
      </c>
      <c r="I861" s="46" t="s">
        <v>161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X861" s="46" t="n">
        <f aca="false">IF(I861="Male",0,1)</f>
        <v>1</v>
      </c>
      <c r="Y861" s="46" t="n">
        <f aca="false">IF(OR(I861="DNB",I861="Dry DNB"),1,0)</f>
        <v>0</v>
      </c>
      <c r="Z861" s="0" t="str">
        <f aca="false">IF(ISNUMBER(W861),A861-W861,"")</f>
        <v/>
      </c>
      <c r="AA861" s="46" t="n">
        <f aca="false">MATCH(A861,DATAS,0)</f>
        <v>1</v>
      </c>
      <c r="AB861" s="46" t="n">
        <f aca="false">IF(AND(E861&gt;0,OR(AND(B861&gt;=1,B861&lt;=6),B861=10)),1,0)</f>
        <v>1</v>
      </c>
      <c r="AC861" s="46" t="n">
        <f aca="false">IF(AND(E861&gt;0,B861=10),1,0)</f>
        <v>0</v>
      </c>
      <c r="AD861" s="0" t="str">
        <f aca="false">IF(AND(C860=C861,AA860=AA861-1),AB860,"")</f>
        <v/>
      </c>
      <c r="AE861" s="0" t="str">
        <f aca="false">IF(AND(C860=C861,AA860=AA861-1),AC860,"")</f>
        <v/>
      </c>
      <c r="AF861" s="0" t="str">
        <f aca="false">IF(AA861=1,"",IF(AND(AB861=1,AD861&lt;&gt;1),1,0))</f>
        <v/>
      </c>
      <c r="AG861" s="0" t="str">
        <f aca="false">IF(AA861=1,"",IF(AND(AC861=1,AE861&lt;&gt;1),1,0))</f>
        <v/>
      </c>
      <c r="AH861" s="51" t="str">
        <f aca="false">IF(AND(E861&gt;0,AA861&lt;1,NOT(AND(C862=C861,AA862=AA861+1))),INDEX(DATAS,AA861+1),"")</f>
        <v/>
      </c>
      <c r="AI861" s="51" t="str">
        <f aca="false">IF(AND(AC861=1,AA861&lt;1),IF(AND(C862=C861,AA862=AA861+1),IF(AC862=1,"",INDEX(DATAS,AA861+1)),INDEX(DATAS,AA861+1)),"")</f>
        <v/>
      </c>
    </row>
    <row r="862" customFormat="false" ht="15" hidden="false" customHeight="false" outlineLevel="0" collapsed="false">
      <c r="A862" s="51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46" t="s">
        <v>695</v>
      </c>
      <c r="G862" s="0" t="n">
        <v>20.9</v>
      </c>
      <c r="H862" s="0" t="n">
        <v>20</v>
      </c>
      <c r="I862" s="46" t="s">
        <v>152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51" t="n">
        <v>46205</v>
      </c>
      <c r="X862" s="46" t="n">
        <f aca="false">IF(I862="Male",0,1)</f>
        <v>1</v>
      </c>
      <c r="Y862" s="46" t="n">
        <f aca="false">IF(OR(I862="DNB",I862="Dry DNB"),1,0)</f>
        <v>0</v>
      </c>
      <c r="Z862" s="46" t="n">
        <f aca="false">IF(ISNUMBER(W862),A862-W862,"")</f>
        <v>104</v>
      </c>
      <c r="AA862" s="46" t="n">
        <f aca="false">MATCH(A862,DATAS,0)</f>
        <v>1</v>
      </c>
      <c r="AB862" s="46" t="n">
        <f aca="false">IF(AND(E862&gt;0,OR(AND(B862&gt;=1,B862&lt;=6),B862=10)),1,0)</f>
        <v>1</v>
      </c>
      <c r="AC862" s="46" t="n">
        <f aca="false">IF(AND(E862&gt;0,B862=10),1,0)</f>
        <v>0</v>
      </c>
      <c r="AD862" s="0" t="str">
        <f aca="false">IF(AND(C861=C862,AA861=AA862-1),AB861,"")</f>
        <v/>
      </c>
      <c r="AE862" s="0" t="str">
        <f aca="false">IF(AND(C861=C862,AA861=AA862-1),AC861,"")</f>
        <v/>
      </c>
      <c r="AF862" s="0" t="str">
        <f aca="false">IF(AA862=1,"",IF(AND(AB862=1,AD862&lt;&gt;1),1,0))</f>
        <v/>
      </c>
      <c r="AG862" s="0" t="str">
        <f aca="false">IF(AA862=1,"",IF(AND(AC862=1,AE862&lt;&gt;1),1,0))</f>
        <v/>
      </c>
      <c r="AH862" s="51" t="str">
        <f aca="false">IF(AND(E862&gt;0,AA862&lt;1,NOT(AND(C863=C862,AA863=AA862+1))),INDEX(DATAS,AA862+1),"")</f>
        <v/>
      </c>
      <c r="AI862" s="51" t="str">
        <f aca="false">IF(AND(AC862=1,AA862&lt;1),IF(AND(C863=C862,AA863=AA862+1),IF(AC863=1,"",INDEX(DATAS,AA862+1)),INDEX(DATAS,AA862+1)),"")</f>
        <v/>
      </c>
    </row>
    <row r="863" customFormat="false" ht="15" hidden="false" customHeight="false" outlineLevel="0" collapsed="false">
      <c r="A863" s="51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46" t="s">
        <v>697</v>
      </c>
      <c r="G863" s="0" t="n">
        <v>54.2</v>
      </c>
      <c r="H863" s="0" t="n">
        <v>50</v>
      </c>
      <c r="I863" s="46" t="s">
        <v>189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51" t="n">
        <v>46254</v>
      </c>
      <c r="X863" s="46" t="n">
        <f aca="false">IF(I863="Male",0,1)</f>
        <v>1</v>
      </c>
      <c r="Y863" s="46" t="n">
        <f aca="false">IF(OR(I863="DNB",I863="Dry DNB"),1,0)</f>
        <v>0</v>
      </c>
      <c r="Z863" s="46" t="n">
        <f aca="false">IF(ISNUMBER(W863),A863-W863,"")</f>
        <v>55</v>
      </c>
      <c r="AA863" s="46" t="n">
        <f aca="false">MATCH(A863,DATAS,0)</f>
        <v>1</v>
      </c>
      <c r="AB863" s="46" t="n">
        <f aca="false">IF(AND(E863&gt;0,OR(AND(B863&gt;=1,B863&lt;=6),B863=10)),1,0)</f>
        <v>1</v>
      </c>
      <c r="AC863" s="46" t="n">
        <f aca="false">IF(AND(E863&gt;0,B863=10),1,0)</f>
        <v>0</v>
      </c>
      <c r="AD863" s="0" t="str">
        <f aca="false">IF(AND(C862=C863,AA862=AA863-1),AB862,"")</f>
        <v/>
      </c>
      <c r="AE863" s="0" t="str">
        <f aca="false">IF(AND(C862=C863,AA862=AA863-1),AC862,"")</f>
        <v/>
      </c>
      <c r="AF863" s="0" t="str">
        <f aca="false">IF(AA863=1,"",IF(AND(AB863=1,AD863&lt;&gt;1),1,0))</f>
        <v/>
      </c>
      <c r="AG863" s="0" t="str">
        <f aca="false">IF(AA863=1,"",IF(AND(AC863=1,AE863&lt;&gt;1),1,0))</f>
        <v/>
      </c>
      <c r="AH863" s="51" t="str">
        <f aca="false">IF(AND(E863&gt;0,AA863&lt;1,NOT(AND(C864=C863,AA864=AA863+1))),INDEX(DATAS,AA863+1),"")</f>
        <v/>
      </c>
      <c r="AI863" s="51" t="str">
        <f aca="false">IF(AND(AC863=1,AA863&lt;1),IF(AND(C864=C863,AA864=AA863+1),IF(AC864=1,"",INDEX(DATAS,AA863+1)),INDEX(DATAS,AA863+1)),"")</f>
        <v/>
      </c>
    </row>
    <row r="864" customFormat="false" ht="15" hidden="false" customHeight="false" outlineLevel="0" collapsed="false">
      <c r="A864" s="51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46" t="s">
        <v>697</v>
      </c>
      <c r="G864" s="0" t="n">
        <v>39</v>
      </c>
      <c r="H864" s="0" t="n">
        <v>34</v>
      </c>
      <c r="I864" s="46" t="s">
        <v>152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51" t="n">
        <v>46149</v>
      </c>
      <c r="X864" s="46" t="n">
        <f aca="false">IF(I864="Male",0,1)</f>
        <v>1</v>
      </c>
      <c r="Y864" s="46" t="n">
        <f aca="false">IF(OR(I864="DNB",I864="Dry DNB"),1,0)</f>
        <v>0</v>
      </c>
      <c r="Z864" s="46" t="n">
        <f aca="false">IF(ISNUMBER(W864),A864-W864,"")</f>
        <v>160</v>
      </c>
      <c r="AA864" s="46" t="n">
        <f aca="false">MATCH(A864,DATAS,0)</f>
        <v>1</v>
      </c>
      <c r="AB864" s="46" t="n">
        <f aca="false">IF(AND(E864&gt;0,OR(AND(B864&gt;=1,B864&lt;=6),B864=10)),1,0)</f>
        <v>1</v>
      </c>
      <c r="AC864" s="46" t="n">
        <f aca="false">IF(AND(E864&gt;0,B864=10),1,0)</f>
        <v>0</v>
      </c>
      <c r="AD864" s="0" t="str">
        <f aca="false">IF(AND(C863=C864,AA863=AA864-1),AB863,"")</f>
        <v/>
      </c>
      <c r="AE864" s="0" t="str">
        <f aca="false">IF(AND(C863=C864,AA863=AA864-1),AC863,"")</f>
        <v/>
      </c>
      <c r="AF864" s="0" t="str">
        <f aca="false">IF(AA864=1,"",IF(AND(AB864=1,AD864&lt;&gt;1),1,0))</f>
        <v/>
      </c>
      <c r="AG864" s="0" t="str">
        <f aca="false">IF(AA864=1,"",IF(AND(AC864=1,AE864&lt;&gt;1),1,0))</f>
        <v/>
      </c>
      <c r="AH864" s="51" t="str">
        <f aca="false">IF(AND(E864&gt;0,AA864&lt;1,NOT(AND(C865=C864,AA865=AA864+1))),INDEX(DATAS,AA864+1),"")</f>
        <v/>
      </c>
      <c r="AI864" s="51" t="str">
        <f aca="false">IF(AND(AC864=1,AA864&lt;1),IF(AND(C865=C864,AA865=AA864+1),IF(AC865=1,"",INDEX(DATAS,AA864+1)),INDEX(DATAS,AA864+1)),"")</f>
        <v/>
      </c>
    </row>
    <row r="865" customFormat="false" ht="15" hidden="false" customHeight="false" outlineLevel="0" collapsed="false">
      <c r="A865" s="51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46" t="s">
        <v>697</v>
      </c>
      <c r="G865" s="0" t="n">
        <v>55.3</v>
      </c>
      <c r="H865" s="0" t="n">
        <v>55</v>
      </c>
      <c r="I865" s="46" t="s">
        <v>152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51" t="n">
        <v>46233</v>
      </c>
      <c r="X865" s="46" t="n">
        <f aca="false">IF(I865="Male",0,1)</f>
        <v>1</v>
      </c>
      <c r="Y865" s="46" t="n">
        <f aca="false">IF(OR(I865="DNB",I865="Dry DNB"),1,0)</f>
        <v>0</v>
      </c>
      <c r="Z865" s="46" t="n">
        <f aca="false">IF(ISNUMBER(W865),A865-W865,"")</f>
        <v>76</v>
      </c>
      <c r="AA865" s="46" t="n">
        <f aca="false">MATCH(A865,DATAS,0)</f>
        <v>1</v>
      </c>
      <c r="AB865" s="46" t="n">
        <f aca="false">IF(AND(E865&gt;0,OR(AND(B865&gt;=1,B865&lt;=6),B865=10)),1,0)</f>
        <v>1</v>
      </c>
      <c r="AC865" s="46" t="n">
        <f aca="false">IF(AND(E865&gt;0,B865=10),1,0)</f>
        <v>0</v>
      </c>
      <c r="AD865" s="0" t="str">
        <f aca="false">IF(AND(C864=C865,AA864=AA865-1),AB864,"")</f>
        <v/>
      </c>
      <c r="AE865" s="0" t="str">
        <f aca="false">IF(AND(C864=C865,AA864=AA865-1),AC864,"")</f>
        <v/>
      </c>
      <c r="AF865" s="0" t="str">
        <f aca="false">IF(AA865=1,"",IF(AND(AB865=1,AD865&lt;&gt;1),1,0))</f>
        <v/>
      </c>
      <c r="AG865" s="0" t="str">
        <f aca="false">IF(AA865=1,"",IF(AND(AC865=1,AE865&lt;&gt;1),1,0))</f>
        <v/>
      </c>
      <c r="AH865" s="51" t="str">
        <f aca="false">IF(AND(E865&gt;0,AA865&lt;1,NOT(AND(C866=C865,AA866=AA865+1))),INDEX(DATAS,AA865+1),"")</f>
        <v/>
      </c>
      <c r="AI865" s="51" t="str">
        <f aca="false">IF(AND(AC865=1,AA865&lt;1),IF(AND(C866=C865,AA866=AA865+1),IF(AC866=1,"",INDEX(DATAS,AA865+1)),INDEX(DATAS,AA865+1)),"")</f>
        <v/>
      </c>
    </row>
    <row r="866" customFormat="false" ht="15" hidden="false" customHeight="false" outlineLevel="0" collapsed="false">
      <c r="A866" s="51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46" t="s">
        <v>697</v>
      </c>
      <c r="G866" s="0" t="n">
        <v>52.9</v>
      </c>
      <c r="H866" s="0" t="n">
        <v>56</v>
      </c>
      <c r="I866" s="46" t="s">
        <v>181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51" t="n">
        <v>46310</v>
      </c>
      <c r="X866" s="46" t="n">
        <f aca="false">IF(I866="Male",0,1)</f>
        <v>1</v>
      </c>
      <c r="Y866" s="46" t="n">
        <f aca="false">IF(OR(I866="DNB",I866="Dry DNB"),1,0)</f>
        <v>0</v>
      </c>
      <c r="Z866" s="46" t="n">
        <f aca="false">IF(ISNUMBER(W866),A866-W866,"")</f>
        <v>-1</v>
      </c>
      <c r="AA866" s="46" t="n">
        <f aca="false">MATCH(A866,DATAS,0)</f>
        <v>1</v>
      </c>
      <c r="AB866" s="46" t="n">
        <f aca="false">IF(AND(E866&gt;0,OR(AND(B866&gt;=1,B866&lt;=6),B866=10)),1,0)</f>
        <v>1</v>
      </c>
      <c r="AC866" s="46" t="n">
        <f aca="false">IF(AND(E866&gt;0,B866=10),1,0)</f>
        <v>0</v>
      </c>
      <c r="AD866" s="0" t="str">
        <f aca="false">IF(AND(C865=C866,AA865=AA866-1),AB865,"")</f>
        <v/>
      </c>
      <c r="AE866" s="0" t="str">
        <f aca="false">IF(AND(C865=C866,AA865=AA866-1),AC865,"")</f>
        <v/>
      </c>
      <c r="AF866" s="0" t="str">
        <f aca="false">IF(AA866=1,"",IF(AND(AB866=1,AD866&lt;&gt;1),1,0))</f>
        <v/>
      </c>
      <c r="AG866" s="0" t="str">
        <f aca="false">IF(AA866=1,"",IF(AND(AC866=1,AE866&lt;&gt;1),1,0))</f>
        <v/>
      </c>
      <c r="AH866" s="51" t="str">
        <f aca="false">IF(AND(E866&gt;0,AA866&lt;1,NOT(AND(C867=C866,AA867=AA866+1))),INDEX(DATAS,AA866+1),"")</f>
        <v/>
      </c>
      <c r="AI866" s="51" t="str">
        <f aca="false">IF(AND(AC866=1,AA866&lt;1),IF(AND(C867=C866,AA867=AA866+1),IF(AC867=1,"",INDEX(DATAS,AA866+1)),INDEX(DATAS,AA866+1)),"")</f>
        <v/>
      </c>
    </row>
    <row r="867" customFormat="false" ht="15" hidden="false" customHeight="false" outlineLevel="0" collapsed="false">
      <c r="A867" s="51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46" t="s">
        <v>698</v>
      </c>
      <c r="G867" s="0" t="n">
        <v>39</v>
      </c>
      <c r="H867" s="0" t="n">
        <v>38</v>
      </c>
      <c r="I867" s="46" t="s">
        <v>152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51" t="n">
        <v>46233</v>
      </c>
      <c r="X867" s="46" t="n">
        <f aca="false">IF(I867="Male",0,1)</f>
        <v>1</v>
      </c>
      <c r="Y867" s="46" t="n">
        <f aca="false">IF(OR(I867="DNB",I867="Dry DNB"),1,0)</f>
        <v>0</v>
      </c>
      <c r="Z867" s="46" t="n">
        <f aca="false">IF(ISNUMBER(W867),A867-W867,"")</f>
        <v>76</v>
      </c>
      <c r="AA867" s="46" t="n">
        <f aca="false">MATCH(A867,DATAS,0)</f>
        <v>1</v>
      </c>
      <c r="AB867" s="46" t="n">
        <f aca="false">IF(AND(E867&gt;0,OR(AND(B867&gt;=1,B867&lt;=6),B867=10)),1,0)</f>
        <v>1</v>
      </c>
      <c r="AC867" s="46" t="n">
        <f aca="false">IF(AND(E867&gt;0,B867=10),1,0)</f>
        <v>0</v>
      </c>
      <c r="AD867" s="0" t="str">
        <f aca="false">IF(AND(C866=C867,AA866=AA867-1),AB866,"")</f>
        <v/>
      </c>
      <c r="AE867" s="0" t="str">
        <f aca="false">IF(AND(C866=C867,AA866=AA867-1),AC866,"")</f>
        <v/>
      </c>
      <c r="AF867" s="0" t="str">
        <f aca="false">IF(AA867=1,"",IF(AND(AB867=1,AD867&lt;&gt;1),1,0))</f>
        <v/>
      </c>
      <c r="AG867" s="0" t="str">
        <f aca="false">IF(AA867=1,"",IF(AND(AC867=1,AE867&lt;&gt;1),1,0))</f>
        <v/>
      </c>
      <c r="AH867" s="51" t="str">
        <f aca="false">IF(AND(E867&gt;0,AA867&lt;1,NOT(AND(C868=C867,AA868=AA867+1))),INDEX(DATAS,AA867+1),"")</f>
        <v/>
      </c>
      <c r="AI867" s="51" t="str">
        <f aca="false">IF(AND(AC867=1,AA867&lt;1),IF(AND(C868=C867,AA868=AA867+1),IF(AC868=1,"",INDEX(DATAS,AA867+1)),INDEX(DATAS,AA867+1)),"")</f>
        <v/>
      </c>
    </row>
    <row r="868" customFormat="false" ht="15" hidden="false" customHeight="false" outlineLevel="0" collapsed="false">
      <c r="A868" s="51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46" t="s">
        <v>698</v>
      </c>
      <c r="G868" s="0" t="n">
        <v>51</v>
      </c>
      <c r="H868" s="0" t="n">
        <v>46</v>
      </c>
      <c r="I868" s="46" t="s">
        <v>181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51" t="n">
        <v>46284</v>
      </c>
      <c r="X868" s="46" t="n">
        <f aca="false">IF(I868="Male",0,1)</f>
        <v>1</v>
      </c>
      <c r="Y868" s="46" t="n">
        <f aca="false">IF(OR(I868="DNB",I868="Dry DNB"),1,0)</f>
        <v>0</v>
      </c>
      <c r="Z868" s="46" t="n">
        <f aca="false">IF(ISNUMBER(W868),A868-W868,"")</f>
        <v>25</v>
      </c>
      <c r="AA868" s="46" t="n">
        <f aca="false">MATCH(A868,DATAS,0)</f>
        <v>1</v>
      </c>
      <c r="AB868" s="46" t="n">
        <f aca="false">IF(AND(E868&gt;0,OR(AND(B868&gt;=1,B868&lt;=6),B868=10)),1,0)</f>
        <v>1</v>
      </c>
      <c r="AC868" s="46" t="n">
        <f aca="false">IF(AND(E868&gt;0,B868=10),1,0)</f>
        <v>0</v>
      </c>
      <c r="AD868" s="0" t="str">
        <f aca="false">IF(AND(C867=C868,AA867=AA868-1),AB867,"")</f>
        <v/>
      </c>
      <c r="AE868" s="0" t="str">
        <f aca="false">IF(AND(C867=C868,AA867=AA868-1),AC867,"")</f>
        <v/>
      </c>
      <c r="AF868" s="0" t="str">
        <f aca="false">IF(AA868=1,"",IF(AND(AB868=1,AD868&lt;&gt;1),1,0))</f>
        <v/>
      </c>
      <c r="AG868" s="0" t="str">
        <f aca="false">IF(AA868=1,"",IF(AND(AC868=1,AE868&lt;&gt;1),1,0))</f>
        <v/>
      </c>
      <c r="AH868" s="51" t="str">
        <f aca="false">IF(AND(E868&gt;0,AA868&lt;1,NOT(AND(C869=C868,AA869=AA868+1))),INDEX(DATAS,AA868+1),"")</f>
        <v/>
      </c>
      <c r="AI868" s="51" t="str">
        <f aca="false">IF(AND(AC868=1,AA868&lt;1),IF(AND(C869=C868,AA869=AA868+1),IF(AC869=1,"",INDEX(DATAS,AA868+1)),INDEX(DATAS,AA868+1)),"")</f>
        <v/>
      </c>
    </row>
    <row r="869" customFormat="false" ht="15" hidden="false" customHeight="false" outlineLevel="0" collapsed="false">
      <c r="A869" s="51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46" t="s">
        <v>698</v>
      </c>
      <c r="G869" s="0" t="n">
        <v>43</v>
      </c>
      <c r="H869" s="0" t="n">
        <v>40</v>
      </c>
      <c r="I869" s="46" t="s">
        <v>152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51" t="n">
        <v>46247</v>
      </c>
      <c r="X869" s="46" t="n">
        <f aca="false">IF(I869="Male",0,1)</f>
        <v>1</v>
      </c>
      <c r="Y869" s="46" t="n">
        <f aca="false">IF(OR(I869="DNB",I869="Dry DNB"),1,0)</f>
        <v>0</v>
      </c>
      <c r="Z869" s="46" t="n">
        <f aca="false">IF(ISNUMBER(W869),A869-W869,"")</f>
        <v>62</v>
      </c>
      <c r="AA869" s="46" t="n">
        <f aca="false">MATCH(A869,DATAS,0)</f>
        <v>1</v>
      </c>
      <c r="AB869" s="46" t="n">
        <f aca="false">IF(AND(E869&gt;0,OR(AND(B869&gt;=1,B869&lt;=6),B869=10)),1,0)</f>
        <v>1</v>
      </c>
      <c r="AC869" s="46" t="n">
        <f aca="false">IF(AND(E869&gt;0,B869=10),1,0)</f>
        <v>0</v>
      </c>
      <c r="AD869" s="0" t="str">
        <f aca="false">IF(AND(C868=C869,AA868=AA869-1),AB868,"")</f>
        <v/>
      </c>
      <c r="AE869" s="0" t="str">
        <f aca="false">IF(AND(C868=C869,AA868=AA869-1),AC868,"")</f>
        <v/>
      </c>
      <c r="AF869" s="0" t="str">
        <f aca="false">IF(AA869=1,"",IF(AND(AB869=1,AD869&lt;&gt;1),1,0))</f>
        <v/>
      </c>
      <c r="AG869" s="0" t="str">
        <f aca="false">IF(AA869=1,"",IF(AND(AC869=1,AE869&lt;&gt;1),1,0))</f>
        <v/>
      </c>
      <c r="AH869" s="51" t="str">
        <f aca="false">IF(AND(E869&gt;0,AA869&lt;1,NOT(AND(C870=C869,AA870=AA869+1))),INDEX(DATAS,AA869+1),"")</f>
        <v/>
      </c>
      <c r="AI869" s="51" t="str">
        <f aca="false">IF(AND(AC869=1,AA869&lt;1),IF(AND(C870=C869,AA870=AA869+1),IF(AC870=1,"",INDEX(DATAS,AA869+1)),INDEX(DATAS,AA869+1)),"")</f>
        <v/>
      </c>
    </row>
    <row r="870" customFormat="false" ht="15" hidden="false" customHeight="false" outlineLevel="0" collapsed="false">
      <c r="A870" s="51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46" t="s">
        <v>698</v>
      </c>
      <c r="G870" s="0" t="n">
        <v>38.5</v>
      </c>
      <c r="H870" s="0" t="n">
        <v>33</v>
      </c>
      <c r="I870" s="46" t="s">
        <v>152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51" t="n">
        <v>46156</v>
      </c>
      <c r="X870" s="46" t="n">
        <f aca="false">IF(I870="Male",0,1)</f>
        <v>1</v>
      </c>
      <c r="Y870" s="46" t="n">
        <f aca="false">IF(OR(I870="DNB",I870="Dry DNB"),1,0)</f>
        <v>0</v>
      </c>
      <c r="Z870" s="46" t="n">
        <f aca="false">IF(ISNUMBER(W870),A870-W870,"")</f>
        <v>153</v>
      </c>
      <c r="AA870" s="46" t="n">
        <f aca="false">MATCH(A870,DATAS,0)</f>
        <v>1</v>
      </c>
      <c r="AB870" s="46" t="n">
        <f aca="false">IF(AND(E870&gt;0,OR(AND(B870&gt;=1,B870&lt;=6),B870=10)),1,0)</f>
        <v>1</v>
      </c>
      <c r="AC870" s="46" t="n">
        <f aca="false">IF(AND(E870&gt;0,B870=10),1,0)</f>
        <v>0</v>
      </c>
      <c r="AD870" s="0" t="str">
        <f aca="false">IF(AND(C869=C870,AA869=AA870-1),AB869,"")</f>
        <v/>
      </c>
      <c r="AE870" s="0" t="str">
        <f aca="false">IF(AND(C869=C870,AA869=AA870-1),AC869,"")</f>
        <v/>
      </c>
      <c r="AF870" s="0" t="str">
        <f aca="false">IF(AA870=1,"",IF(AND(AB870=1,AD870&lt;&gt;1),1,0))</f>
        <v/>
      </c>
      <c r="AG870" s="0" t="str">
        <f aca="false">IF(AA870=1,"",IF(AND(AC870=1,AE870&lt;&gt;1),1,0))</f>
        <v/>
      </c>
      <c r="AH870" s="51" t="str">
        <f aca="false">IF(AND(E870&gt;0,AA870&lt;1,NOT(AND(C871=C870,AA871=AA870+1))),INDEX(DATAS,AA870+1),"")</f>
        <v/>
      </c>
      <c r="AI870" s="51" t="str">
        <f aca="false">IF(AND(AC870=1,AA870&lt;1),IF(AND(C871=C870,AA871=AA870+1),IF(AC871=1,"",INDEX(DATAS,AA870+1)),INDEX(DATAS,AA870+1)),"")</f>
        <v/>
      </c>
    </row>
    <row r="871" customFormat="false" ht="15" hidden="false" customHeight="false" outlineLevel="0" collapsed="false">
      <c r="A871" s="51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46" t="s">
        <v>699</v>
      </c>
      <c r="G871" s="0" t="n">
        <v>39.4</v>
      </c>
      <c r="H871" s="0" t="n">
        <v>39</v>
      </c>
      <c r="I871" s="46" t="s">
        <v>152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51" t="n">
        <v>46268</v>
      </c>
      <c r="X871" s="46" t="n">
        <f aca="false">IF(I871="Male",0,1)</f>
        <v>1</v>
      </c>
      <c r="Y871" s="46" t="n">
        <f aca="false">IF(OR(I871="DNB",I871="Dry DNB"),1,0)</f>
        <v>0</v>
      </c>
      <c r="Z871" s="46" t="n">
        <f aca="false">IF(ISNUMBER(W871),A871-W871,"")</f>
        <v>41</v>
      </c>
      <c r="AA871" s="46" t="n">
        <f aca="false">MATCH(A871,DATAS,0)</f>
        <v>1</v>
      </c>
      <c r="AB871" s="46" t="n">
        <f aca="false">IF(AND(E871&gt;0,OR(AND(B871&gt;=1,B871&lt;=6),B871=10)),1,0)</f>
        <v>1</v>
      </c>
      <c r="AC871" s="46" t="n">
        <f aca="false">IF(AND(E871&gt;0,B871=10),1,0)</f>
        <v>0</v>
      </c>
      <c r="AD871" s="0" t="str">
        <f aca="false">IF(AND(C870=C871,AA870=AA871-1),AB870,"")</f>
        <v/>
      </c>
      <c r="AE871" s="0" t="str">
        <f aca="false">IF(AND(C870=C871,AA870=AA871-1),AC870,"")</f>
        <v/>
      </c>
      <c r="AF871" s="0" t="str">
        <f aca="false">IF(AA871=1,"",IF(AND(AB871=1,AD871&lt;&gt;1),1,0))</f>
        <v/>
      </c>
      <c r="AG871" s="0" t="str">
        <f aca="false">IF(AA871=1,"",IF(AND(AC871=1,AE871&lt;&gt;1),1,0))</f>
        <v/>
      </c>
      <c r="AH871" s="51" t="str">
        <f aca="false">IF(AND(E871&gt;0,AA871&lt;1,NOT(AND(C872=C871,AA872=AA871+1))),INDEX(DATAS,AA871+1),"")</f>
        <v/>
      </c>
      <c r="AI871" s="51" t="str">
        <f aca="false">IF(AND(AC871=1,AA871&lt;1),IF(AND(C872=C871,AA872=AA871+1),IF(AC872=1,"",INDEX(DATAS,AA871+1)),INDEX(DATAS,AA871+1)),"")</f>
        <v/>
      </c>
    </row>
    <row r="872" customFormat="false" ht="15" hidden="false" customHeight="false" outlineLevel="0" collapsed="false">
      <c r="A872" s="51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46" t="s">
        <v>699</v>
      </c>
      <c r="G872" s="0" t="n">
        <v>68.5</v>
      </c>
      <c r="H872" s="0" t="n">
        <v>65</v>
      </c>
      <c r="I872" s="46" t="s">
        <v>152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51" t="n">
        <v>46226</v>
      </c>
      <c r="X872" s="46" t="n">
        <f aca="false">IF(I872="Male",0,1)</f>
        <v>1</v>
      </c>
      <c r="Y872" s="46" t="n">
        <f aca="false">IF(OR(I872="DNB",I872="Dry DNB"),1,0)</f>
        <v>0</v>
      </c>
      <c r="Z872" s="46" t="n">
        <f aca="false">IF(ISNUMBER(W872),A872-W872,"")</f>
        <v>83</v>
      </c>
      <c r="AA872" s="46" t="n">
        <f aca="false">MATCH(A872,DATAS,0)</f>
        <v>1</v>
      </c>
      <c r="AB872" s="46" t="n">
        <f aca="false">IF(AND(E872&gt;0,OR(AND(B872&gt;=1,B872&lt;=6),B872=10)),1,0)</f>
        <v>1</v>
      </c>
      <c r="AC872" s="46" t="n">
        <f aca="false">IF(AND(E872&gt;0,B872=10),1,0)</f>
        <v>0</v>
      </c>
      <c r="AD872" s="0" t="str">
        <f aca="false">IF(AND(C871=C872,AA871=AA872-1),AB871,"")</f>
        <v/>
      </c>
      <c r="AE872" s="0" t="str">
        <f aca="false">IF(AND(C871=C872,AA871=AA872-1),AC871,"")</f>
        <v/>
      </c>
      <c r="AF872" s="0" t="str">
        <f aca="false">IF(AA872=1,"",IF(AND(AB872=1,AD872&lt;&gt;1),1,0))</f>
        <v/>
      </c>
      <c r="AG872" s="0" t="str">
        <f aca="false">IF(AA872=1,"",IF(AND(AC872=1,AE872&lt;&gt;1),1,0))</f>
        <v/>
      </c>
      <c r="AH872" s="51" t="str">
        <f aca="false">IF(AND(E872&gt;0,AA872&lt;1,NOT(AND(C873=C872,AA873=AA872+1))),INDEX(DATAS,AA872+1),"")</f>
        <v/>
      </c>
      <c r="AI872" s="51" t="str">
        <f aca="false">IF(AND(AC872=1,AA872&lt;1),IF(AND(C873=C872,AA873=AA872+1),IF(AC873=1,"",INDEX(DATAS,AA872+1)),INDEX(DATAS,AA872+1)),"")</f>
        <v/>
      </c>
    </row>
    <row r="873" customFormat="false" ht="15" hidden="false" customHeight="false" outlineLevel="0" collapsed="false">
      <c r="A873" s="51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46" t="s">
        <v>700</v>
      </c>
      <c r="G873" s="0" t="n">
        <v>26.2</v>
      </c>
      <c r="H873" s="0" t="n">
        <v>21</v>
      </c>
      <c r="I873" s="46" t="s">
        <v>161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X873" s="46" t="n">
        <f aca="false">IF(I873="Male",0,1)</f>
        <v>1</v>
      </c>
      <c r="Y873" s="46" t="n">
        <f aca="false">IF(OR(I873="DNB",I873="Dry DNB"),1,0)</f>
        <v>0</v>
      </c>
      <c r="Z873" s="0" t="str">
        <f aca="false">IF(ISNUMBER(W873),A873-W873,"")</f>
        <v/>
      </c>
      <c r="AA873" s="46" t="n">
        <f aca="false">MATCH(A873,DATAS,0)</f>
        <v>1</v>
      </c>
      <c r="AB873" s="46" t="n">
        <f aca="false">IF(AND(E873&gt;0,OR(AND(B873&gt;=1,B873&lt;=6),B873=10)),1,0)</f>
        <v>1</v>
      </c>
      <c r="AC873" s="46" t="n">
        <f aca="false">IF(AND(E873&gt;0,B873=10),1,0)</f>
        <v>0</v>
      </c>
      <c r="AD873" s="0" t="str">
        <f aca="false">IF(AND(C872=C873,AA872=AA873-1),AB872,"")</f>
        <v/>
      </c>
      <c r="AE873" s="0" t="str">
        <f aca="false">IF(AND(C872=C873,AA872=AA873-1),AC872,"")</f>
        <v/>
      </c>
      <c r="AF873" s="0" t="str">
        <f aca="false">IF(AA873=1,"",IF(AND(AB873=1,AD873&lt;&gt;1),1,0))</f>
        <v/>
      </c>
      <c r="AG873" s="0" t="str">
        <f aca="false">IF(AA873=1,"",IF(AND(AC873=1,AE873&lt;&gt;1),1,0))</f>
        <v/>
      </c>
      <c r="AH873" s="51" t="str">
        <f aca="false">IF(AND(E873&gt;0,AA873&lt;1,NOT(AND(C874=C873,AA874=AA873+1))),INDEX(DATAS,AA873+1),"")</f>
        <v/>
      </c>
      <c r="AI873" s="51" t="str">
        <f aca="false">IF(AND(AC873=1,AA873&lt;1),IF(AND(C874=C873,AA874=AA873+1),IF(AC874=1,"",INDEX(DATAS,AA873+1)),INDEX(DATAS,AA873+1)),"")</f>
        <v/>
      </c>
    </row>
    <row r="874" customFormat="false" ht="15" hidden="false" customHeight="false" outlineLevel="0" collapsed="false">
      <c r="A874" s="51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46" t="s">
        <v>700</v>
      </c>
      <c r="G874" s="0" t="n">
        <v>32.7</v>
      </c>
      <c r="H874" s="0" t="n">
        <v>30</v>
      </c>
      <c r="I874" s="46" t="s">
        <v>152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51" t="n">
        <v>46149</v>
      </c>
      <c r="X874" s="46" t="n">
        <f aca="false">IF(I874="Male",0,1)</f>
        <v>1</v>
      </c>
      <c r="Y874" s="46" t="n">
        <f aca="false">IF(OR(I874="DNB",I874="Dry DNB"),1,0)</f>
        <v>0</v>
      </c>
      <c r="Z874" s="46" t="n">
        <f aca="false">IF(ISNUMBER(W874),A874-W874,"")</f>
        <v>160</v>
      </c>
      <c r="AA874" s="46" t="n">
        <f aca="false">MATCH(A874,DATAS,0)</f>
        <v>1</v>
      </c>
      <c r="AB874" s="46" t="n">
        <f aca="false">IF(AND(E874&gt;0,OR(AND(B874&gt;=1,B874&lt;=6),B874=10)),1,0)</f>
        <v>1</v>
      </c>
      <c r="AC874" s="46" t="n">
        <f aca="false">IF(AND(E874&gt;0,B874=10),1,0)</f>
        <v>0</v>
      </c>
      <c r="AD874" s="0" t="str">
        <f aca="false">IF(AND(C873=C874,AA873=AA874-1),AB873,"")</f>
        <v/>
      </c>
      <c r="AE874" s="0" t="str">
        <f aca="false">IF(AND(C873=C874,AA873=AA874-1),AC873,"")</f>
        <v/>
      </c>
      <c r="AF874" s="0" t="str">
        <f aca="false">IF(AA874=1,"",IF(AND(AB874=1,AD874&lt;&gt;1),1,0))</f>
        <v/>
      </c>
      <c r="AG874" s="0" t="str">
        <f aca="false">IF(AA874=1,"",IF(AND(AC874=1,AE874&lt;&gt;1),1,0))</f>
        <v/>
      </c>
      <c r="AH874" s="51" t="str">
        <f aca="false">IF(AND(E874&gt;0,AA874&lt;1,NOT(AND(C875=C874,AA875=AA874+1))),INDEX(DATAS,AA874+1),"")</f>
        <v/>
      </c>
      <c r="AI874" s="51" t="str">
        <f aca="false">IF(AND(AC874=1,AA874&lt;1),IF(AND(C875=C874,AA875=AA874+1),IF(AC875=1,"",INDEX(DATAS,AA874+1)),INDEX(DATAS,AA874+1)),"")</f>
        <v/>
      </c>
    </row>
    <row r="875" customFormat="false" ht="15" hidden="false" customHeight="false" outlineLevel="0" collapsed="false">
      <c r="A875" s="51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46" t="s">
        <v>701</v>
      </c>
      <c r="G875" s="0" t="n">
        <v>41.9</v>
      </c>
      <c r="H875" s="0" t="n">
        <v>39</v>
      </c>
      <c r="I875" s="46" t="s">
        <v>152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51" t="n">
        <v>46254</v>
      </c>
      <c r="X875" s="46" t="n">
        <f aca="false">IF(I875="Male",0,1)</f>
        <v>1</v>
      </c>
      <c r="Y875" s="46" t="n">
        <f aca="false">IF(OR(I875="DNB",I875="Dry DNB"),1,0)</f>
        <v>0</v>
      </c>
      <c r="Z875" s="46" t="n">
        <f aca="false">IF(ISNUMBER(W875),A875-W875,"")</f>
        <v>55</v>
      </c>
      <c r="AA875" s="46" t="n">
        <f aca="false">MATCH(A875,DATAS,0)</f>
        <v>1</v>
      </c>
      <c r="AB875" s="46" t="n">
        <f aca="false">IF(AND(E875&gt;0,OR(AND(B875&gt;=1,B875&lt;=6),B875=10)),1,0)</f>
        <v>1</v>
      </c>
      <c r="AC875" s="46" t="n">
        <f aca="false">IF(AND(E875&gt;0,B875=10),1,0)</f>
        <v>0</v>
      </c>
      <c r="AD875" s="0" t="str">
        <f aca="false">IF(AND(C874=C875,AA874=AA875-1),AB874,"")</f>
        <v/>
      </c>
      <c r="AE875" s="0" t="str">
        <f aca="false">IF(AND(C874=C875,AA874=AA875-1),AC874,"")</f>
        <v/>
      </c>
      <c r="AF875" s="0" t="str">
        <f aca="false">IF(AA875=1,"",IF(AND(AB875=1,AD875&lt;&gt;1),1,0))</f>
        <v/>
      </c>
      <c r="AG875" s="0" t="str">
        <f aca="false">IF(AA875=1,"",IF(AND(AC875=1,AE875&lt;&gt;1),1,0))</f>
        <v/>
      </c>
      <c r="AH875" s="51" t="str">
        <f aca="false">IF(AND(E875&gt;0,AA875&lt;1,NOT(AND(C876=C875,AA876=AA875+1))),INDEX(DATAS,AA875+1),"")</f>
        <v/>
      </c>
      <c r="AI875" s="51" t="str">
        <f aca="false">IF(AND(AC875=1,AA875&lt;1),IF(AND(C876=C875,AA876=AA875+1),IF(AC876=1,"",INDEX(DATAS,AA875+1)),INDEX(DATAS,AA875+1)),"")</f>
        <v/>
      </c>
    </row>
    <row r="876" customFormat="false" ht="15" hidden="false" customHeight="false" outlineLevel="0" collapsed="false">
      <c r="A876" s="51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46" t="s">
        <v>701</v>
      </c>
      <c r="G876" s="0" t="n">
        <v>41.8</v>
      </c>
      <c r="H876" s="0" t="n">
        <v>32</v>
      </c>
      <c r="I876" s="46" t="s">
        <v>181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51" t="n">
        <v>46289</v>
      </c>
      <c r="X876" s="46" t="n">
        <f aca="false">IF(I876="Male",0,1)</f>
        <v>1</v>
      </c>
      <c r="Y876" s="46" t="n">
        <f aca="false">IF(OR(I876="DNB",I876="Dry DNB"),1,0)</f>
        <v>0</v>
      </c>
      <c r="Z876" s="46" t="n">
        <f aca="false">IF(ISNUMBER(W876),A876-W876,"")</f>
        <v>20</v>
      </c>
      <c r="AA876" s="46" t="n">
        <f aca="false">MATCH(A876,DATAS,0)</f>
        <v>1</v>
      </c>
      <c r="AB876" s="46" t="n">
        <f aca="false">IF(AND(E876&gt;0,OR(AND(B876&gt;=1,B876&lt;=6),B876=10)),1,0)</f>
        <v>1</v>
      </c>
      <c r="AC876" s="46" t="n">
        <f aca="false">IF(AND(E876&gt;0,B876=10),1,0)</f>
        <v>0</v>
      </c>
      <c r="AD876" s="0" t="str">
        <f aca="false">IF(AND(C875=C876,AA875=AA876-1),AB875,"")</f>
        <v/>
      </c>
      <c r="AE876" s="0" t="str">
        <f aca="false">IF(AND(C875=C876,AA875=AA876-1),AC875,"")</f>
        <v/>
      </c>
      <c r="AF876" s="0" t="str">
        <f aca="false">IF(AA876=1,"",IF(AND(AB876=1,AD876&lt;&gt;1),1,0))</f>
        <v/>
      </c>
      <c r="AG876" s="0" t="str">
        <f aca="false">IF(AA876=1,"",IF(AND(AC876=1,AE876&lt;&gt;1),1,0))</f>
        <v/>
      </c>
      <c r="AH876" s="51" t="str">
        <f aca="false">IF(AND(E876&gt;0,AA876&lt;1,NOT(AND(C877=C876,AA877=AA876+1))),INDEX(DATAS,AA876+1),"")</f>
        <v/>
      </c>
      <c r="AI876" s="51" t="str">
        <f aca="false">IF(AND(AC876=1,AA876&lt;1),IF(AND(C877=C876,AA877=AA876+1),IF(AC877=1,"",INDEX(DATAS,AA876+1)),INDEX(DATAS,AA876+1)),"")</f>
        <v/>
      </c>
    </row>
    <row r="877" customFormat="false" ht="15" hidden="false" customHeight="false" outlineLevel="0" collapsed="false">
      <c r="A877" s="51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46" t="s">
        <v>701</v>
      </c>
      <c r="G877" s="0" t="n">
        <v>20</v>
      </c>
      <c r="H877" s="0" t="n">
        <v>23</v>
      </c>
      <c r="I877" s="46" t="s">
        <v>152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51" t="n">
        <v>46261</v>
      </c>
      <c r="X877" s="46" t="n">
        <f aca="false">IF(I877="Male",0,1)</f>
        <v>1</v>
      </c>
      <c r="Y877" s="46" t="n">
        <f aca="false">IF(OR(I877="DNB",I877="Dry DNB"),1,0)</f>
        <v>0</v>
      </c>
      <c r="Z877" s="46" t="n">
        <f aca="false">IF(ISNUMBER(W877),A877-W877,"")</f>
        <v>48</v>
      </c>
      <c r="AA877" s="46" t="n">
        <f aca="false">MATCH(A877,DATAS,0)</f>
        <v>1</v>
      </c>
      <c r="AB877" s="46" t="n">
        <f aca="false">IF(AND(E877&gt;0,OR(AND(B877&gt;=1,B877&lt;=6),B877=10)),1,0)</f>
        <v>1</v>
      </c>
      <c r="AC877" s="46" t="n">
        <f aca="false">IF(AND(E877&gt;0,B877=10),1,0)</f>
        <v>0</v>
      </c>
      <c r="AD877" s="0" t="str">
        <f aca="false">IF(AND(C876=C877,AA876=AA877-1),AB876,"")</f>
        <v/>
      </c>
      <c r="AE877" s="0" t="str">
        <f aca="false">IF(AND(C876=C877,AA876=AA877-1),AC876,"")</f>
        <v/>
      </c>
      <c r="AF877" s="0" t="str">
        <f aca="false">IF(AA877=1,"",IF(AND(AB877=1,AD877&lt;&gt;1),1,0))</f>
        <v/>
      </c>
      <c r="AG877" s="0" t="str">
        <f aca="false">IF(AA877=1,"",IF(AND(AC877=1,AE877&lt;&gt;1),1,0))</f>
        <v/>
      </c>
      <c r="AH877" s="51" t="str">
        <f aca="false">IF(AND(E877&gt;0,AA877&lt;1,NOT(AND(C878=C877,AA878=AA877+1))),INDEX(DATAS,AA877+1),"")</f>
        <v/>
      </c>
      <c r="AI877" s="51" t="str">
        <f aca="false">IF(AND(AC877=1,AA877&lt;1),IF(AND(C878=C877,AA878=AA877+1),IF(AC878=1,"",INDEX(DATAS,AA877+1)),INDEX(DATAS,AA877+1)),"")</f>
        <v/>
      </c>
    </row>
    <row r="878" customFormat="false" ht="15" hidden="false" customHeight="false" outlineLevel="0" collapsed="false">
      <c r="A878" s="51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46" t="s">
        <v>701</v>
      </c>
      <c r="G878" s="0" t="n">
        <v>47.8</v>
      </c>
      <c r="H878" s="0" t="n">
        <v>47</v>
      </c>
      <c r="I878" s="46" t="s">
        <v>152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51" t="n">
        <v>46205</v>
      </c>
      <c r="X878" s="46" t="n">
        <f aca="false">IF(I878="Male",0,1)</f>
        <v>1</v>
      </c>
      <c r="Y878" s="46" t="n">
        <f aca="false">IF(OR(I878="DNB",I878="Dry DNB"),1,0)</f>
        <v>0</v>
      </c>
      <c r="Z878" s="46" t="n">
        <f aca="false">IF(ISNUMBER(W878),A878-W878,"")</f>
        <v>104</v>
      </c>
      <c r="AA878" s="46" t="n">
        <f aca="false">MATCH(A878,DATAS,0)</f>
        <v>1</v>
      </c>
      <c r="AB878" s="46" t="n">
        <f aca="false">IF(AND(E878&gt;0,OR(AND(B878&gt;=1,B878&lt;=6),B878=10)),1,0)</f>
        <v>1</v>
      </c>
      <c r="AC878" s="46" t="n">
        <f aca="false">IF(AND(E878&gt;0,B878=10),1,0)</f>
        <v>0</v>
      </c>
      <c r="AD878" s="0" t="str">
        <f aca="false">IF(AND(C877=C878,AA877=AA878-1),AB877,"")</f>
        <v/>
      </c>
      <c r="AE878" s="0" t="str">
        <f aca="false">IF(AND(C877=C878,AA877=AA878-1),AC877,"")</f>
        <v/>
      </c>
      <c r="AF878" s="0" t="str">
        <f aca="false">IF(AA878=1,"",IF(AND(AB878=1,AD878&lt;&gt;1),1,0))</f>
        <v/>
      </c>
      <c r="AG878" s="0" t="str">
        <f aca="false">IF(AA878=1,"",IF(AND(AC878=1,AE878&lt;&gt;1),1,0))</f>
        <v/>
      </c>
      <c r="AH878" s="51" t="str">
        <f aca="false">IF(AND(E878&gt;0,AA878&lt;1,NOT(AND(C879=C878,AA879=AA878+1))),INDEX(DATAS,AA878+1),"")</f>
        <v/>
      </c>
      <c r="AI878" s="51" t="str">
        <f aca="false">IF(AND(AC878=1,AA878&lt;1),IF(AND(C879=C878,AA879=AA878+1),IF(AC879=1,"",INDEX(DATAS,AA878+1)),INDEX(DATAS,AA878+1)),"")</f>
        <v/>
      </c>
    </row>
    <row r="879" customFormat="false" ht="15" hidden="false" customHeight="false" outlineLevel="0" collapsed="false">
      <c r="A879" s="51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46" t="s">
        <v>701</v>
      </c>
      <c r="I879" s="46" t="s">
        <v>157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51" t="n">
        <v>46250</v>
      </c>
      <c r="X879" s="46" t="n">
        <f aca="false">IF(I879="Male",0,1)</f>
        <v>1</v>
      </c>
      <c r="Y879" s="46" t="n">
        <f aca="false">IF(OR(I879="DNB",I879="Dry DNB"),1,0)</f>
        <v>0</v>
      </c>
      <c r="Z879" s="46" t="n">
        <f aca="false">IF(ISNUMBER(W879),A879-W879,"")</f>
        <v>59</v>
      </c>
      <c r="AA879" s="46" t="n">
        <f aca="false">MATCH(A879,DATAS,0)</f>
        <v>1</v>
      </c>
      <c r="AB879" s="46" t="n">
        <f aca="false">IF(AND(E879&gt;0,OR(AND(B879&gt;=1,B879&lt;=6),B879=10)),1,0)</f>
        <v>0</v>
      </c>
      <c r="AC879" s="46" t="n">
        <f aca="false">IF(AND(E879&gt;0,B879=10),1,0)</f>
        <v>0</v>
      </c>
      <c r="AD879" s="0" t="str">
        <f aca="false">IF(AND(C878=C879,AA878=AA879-1),AB878,"")</f>
        <v/>
      </c>
      <c r="AE879" s="0" t="str">
        <f aca="false">IF(AND(C878=C879,AA878=AA879-1),AC878,"")</f>
        <v/>
      </c>
      <c r="AF879" s="0" t="str">
        <f aca="false">IF(AA879=1,"",IF(AND(AB879=1,AD879&lt;&gt;1),1,0))</f>
        <v/>
      </c>
      <c r="AG879" s="0" t="str">
        <f aca="false">IF(AA879=1,"",IF(AND(AC879=1,AE879&lt;&gt;1),1,0))</f>
        <v/>
      </c>
      <c r="AH879" s="51" t="str">
        <f aca="false">IF(AND(E879&gt;0,AA879&lt;1,NOT(AND(C880=C879,AA880=AA879+1))),INDEX(DATAS,AA879+1),"")</f>
        <v/>
      </c>
      <c r="AI879" s="51" t="str">
        <f aca="false">IF(AND(AC879=1,AA879&lt;1),IF(AND(C880=C879,AA880=AA879+1),IF(AC880=1,"",INDEX(DATAS,AA879+1)),INDEX(DATAS,AA879+1)),"")</f>
        <v/>
      </c>
    </row>
    <row r="880" customFormat="false" ht="15" hidden="false" customHeight="false" outlineLevel="0" collapsed="false">
      <c r="A880" s="51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46" t="s">
        <v>702</v>
      </c>
      <c r="G880" s="0" t="n">
        <v>42.4</v>
      </c>
      <c r="H880" s="0" t="n">
        <v>40</v>
      </c>
      <c r="I880" s="46" t="s">
        <v>152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51" t="n">
        <v>46254</v>
      </c>
      <c r="X880" s="46" t="n">
        <f aca="false">IF(I880="Male",0,1)</f>
        <v>1</v>
      </c>
      <c r="Y880" s="46" t="n">
        <f aca="false">IF(OR(I880="DNB",I880="Dry DNB"),1,0)</f>
        <v>0</v>
      </c>
      <c r="Z880" s="46" t="n">
        <f aca="false">IF(ISNUMBER(W880),A880-W880,"")</f>
        <v>55</v>
      </c>
      <c r="AA880" s="46" t="n">
        <f aca="false">MATCH(A880,DATAS,0)</f>
        <v>1</v>
      </c>
      <c r="AB880" s="46" t="n">
        <f aca="false">IF(AND(E880&gt;0,OR(AND(B880&gt;=1,B880&lt;=6),B880=10)),1,0)</f>
        <v>1</v>
      </c>
      <c r="AC880" s="46" t="n">
        <f aca="false">IF(AND(E880&gt;0,B880=10),1,0)</f>
        <v>0</v>
      </c>
      <c r="AD880" s="0" t="str">
        <f aca="false">IF(AND(C879=C880,AA879=AA880-1),AB879,"")</f>
        <v/>
      </c>
      <c r="AE880" s="0" t="str">
        <f aca="false">IF(AND(C879=C880,AA879=AA880-1),AC879,"")</f>
        <v/>
      </c>
      <c r="AF880" s="0" t="str">
        <f aca="false">IF(AA880=1,"",IF(AND(AB880=1,AD880&lt;&gt;1),1,0))</f>
        <v/>
      </c>
      <c r="AG880" s="0" t="str">
        <f aca="false">IF(AA880=1,"",IF(AND(AC880=1,AE880&lt;&gt;1),1,0))</f>
        <v/>
      </c>
      <c r="AH880" s="51" t="str">
        <f aca="false">IF(AND(E880&gt;0,AA880&lt;1,NOT(AND(C881=C880,AA881=AA880+1))),INDEX(DATAS,AA880+1),"")</f>
        <v/>
      </c>
      <c r="AI880" s="51" t="str">
        <f aca="false">IF(AND(AC880=1,AA880&lt;1),IF(AND(C881=C880,AA881=AA880+1),IF(AC881=1,"",INDEX(DATAS,AA880+1)),INDEX(DATAS,AA880+1)),"")</f>
        <v/>
      </c>
    </row>
    <row r="881" customFormat="false" ht="15" hidden="false" customHeight="false" outlineLevel="0" collapsed="false">
      <c r="A881" s="51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46" t="s">
        <v>702</v>
      </c>
      <c r="G881" s="0" t="n">
        <v>23.4</v>
      </c>
      <c r="H881" s="0" t="n">
        <v>22</v>
      </c>
      <c r="I881" s="46" t="s">
        <v>152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51" t="n">
        <v>46272</v>
      </c>
      <c r="X881" s="46" t="n">
        <f aca="false">IF(I881="Male",0,1)</f>
        <v>1</v>
      </c>
      <c r="Y881" s="46" t="n">
        <f aca="false">IF(OR(I881="DNB",I881="Dry DNB"),1,0)</f>
        <v>0</v>
      </c>
      <c r="Z881" s="46" t="n">
        <f aca="false">IF(ISNUMBER(W881),A881-W881,"")</f>
        <v>37</v>
      </c>
      <c r="AA881" s="46" t="n">
        <f aca="false">MATCH(A881,DATAS,0)</f>
        <v>1</v>
      </c>
      <c r="AB881" s="46" t="n">
        <f aca="false">IF(AND(E881&gt;0,OR(AND(B881&gt;=1,B881&lt;=6),B881=10)),1,0)</f>
        <v>1</v>
      </c>
      <c r="AC881" s="46" t="n">
        <f aca="false">IF(AND(E881&gt;0,B881=10),1,0)</f>
        <v>0</v>
      </c>
      <c r="AD881" s="0" t="str">
        <f aca="false">IF(AND(C880=C881,AA880=AA881-1),AB880,"")</f>
        <v/>
      </c>
      <c r="AE881" s="0" t="str">
        <f aca="false">IF(AND(C880=C881,AA880=AA881-1),AC880,"")</f>
        <v/>
      </c>
      <c r="AF881" s="0" t="str">
        <f aca="false">IF(AA881=1,"",IF(AND(AB881=1,AD881&lt;&gt;1),1,0))</f>
        <v/>
      </c>
      <c r="AG881" s="0" t="str">
        <f aca="false">IF(AA881=1,"",IF(AND(AC881=1,AE881&lt;&gt;1),1,0))</f>
        <v/>
      </c>
      <c r="AH881" s="51" t="str">
        <f aca="false">IF(AND(E881&gt;0,AA881&lt;1,NOT(AND(C882=C881,AA882=AA881+1))),INDEX(DATAS,AA881+1),"")</f>
        <v/>
      </c>
      <c r="AI881" s="51" t="str">
        <f aca="false">IF(AND(AC881=1,AA881&lt;1),IF(AND(C882=C881,AA882=AA881+1),IF(AC882=1,"",INDEX(DATAS,AA881+1)),INDEX(DATAS,AA881+1)),"")</f>
        <v/>
      </c>
    </row>
    <row r="882" customFormat="false" ht="15" hidden="false" customHeight="false" outlineLevel="0" collapsed="false">
      <c r="A882" s="51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46" t="s">
        <v>702</v>
      </c>
      <c r="G882" s="0" t="n">
        <v>46.1</v>
      </c>
      <c r="H882" s="0" t="n">
        <v>39</v>
      </c>
      <c r="I882" s="46" t="s">
        <v>152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51" t="n">
        <v>46205</v>
      </c>
      <c r="X882" s="46" t="n">
        <f aca="false">IF(I882="Male",0,1)</f>
        <v>1</v>
      </c>
      <c r="Y882" s="46" t="n">
        <f aca="false">IF(OR(I882="DNB",I882="Dry DNB"),1,0)</f>
        <v>0</v>
      </c>
      <c r="Z882" s="46" t="n">
        <f aca="false">IF(ISNUMBER(W882),A882-W882,"")</f>
        <v>104</v>
      </c>
      <c r="AA882" s="46" t="n">
        <f aca="false">MATCH(A882,DATAS,0)</f>
        <v>1</v>
      </c>
      <c r="AB882" s="46" t="n">
        <f aca="false">IF(AND(E882&gt;0,OR(AND(B882&gt;=1,B882&lt;=6),B882=10)),1,0)</f>
        <v>1</v>
      </c>
      <c r="AC882" s="46" t="n">
        <f aca="false">IF(AND(E882&gt;0,B882=10),1,0)</f>
        <v>0</v>
      </c>
      <c r="AD882" s="0" t="str">
        <f aca="false">IF(AND(C881=C882,AA881=AA882-1),AB881,"")</f>
        <v/>
      </c>
      <c r="AE882" s="0" t="str">
        <f aca="false">IF(AND(C881=C882,AA881=AA882-1),AC881,"")</f>
        <v/>
      </c>
      <c r="AF882" s="0" t="str">
        <f aca="false">IF(AA882=1,"",IF(AND(AB882=1,AD882&lt;&gt;1),1,0))</f>
        <v/>
      </c>
      <c r="AG882" s="0" t="str">
        <f aca="false">IF(AA882=1,"",IF(AND(AC882=1,AE882&lt;&gt;1),1,0))</f>
        <v/>
      </c>
      <c r="AH882" s="51" t="str">
        <f aca="false">IF(AND(E882&gt;0,AA882&lt;1,NOT(AND(C883=C882,AA883=AA882+1))),INDEX(DATAS,AA882+1),"")</f>
        <v/>
      </c>
      <c r="AI882" s="51" t="str">
        <f aca="false">IF(AND(AC882=1,AA882&lt;1),IF(AND(C883=C882,AA883=AA882+1),IF(AC883=1,"",INDEX(DATAS,AA882+1)),INDEX(DATAS,AA882+1)),"")</f>
        <v/>
      </c>
    </row>
    <row r="883" customFormat="false" ht="15" hidden="false" customHeight="false" outlineLevel="0" collapsed="false">
      <c r="A883" s="51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46" t="s">
        <v>702</v>
      </c>
      <c r="G883" s="0" t="n">
        <v>42.5</v>
      </c>
      <c r="H883" s="0" t="n">
        <v>50</v>
      </c>
      <c r="I883" s="46" t="s">
        <v>189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51" t="n">
        <v>46305</v>
      </c>
      <c r="X883" s="46" t="n">
        <f aca="false">IF(I883="Male",0,1)</f>
        <v>1</v>
      </c>
      <c r="Y883" s="46" t="n">
        <f aca="false">IF(OR(I883="DNB",I883="Dry DNB"),1,0)</f>
        <v>0</v>
      </c>
      <c r="Z883" s="46" t="n">
        <f aca="false">IF(ISNUMBER(W883),A883-W883,"")</f>
        <v>4</v>
      </c>
      <c r="AA883" s="46" t="n">
        <f aca="false">MATCH(A883,DATAS,0)</f>
        <v>1</v>
      </c>
      <c r="AB883" s="46" t="n">
        <f aca="false">IF(AND(E883&gt;0,OR(AND(B883&gt;=1,B883&lt;=6),B883=10)),1,0)</f>
        <v>1</v>
      </c>
      <c r="AC883" s="46" t="n">
        <f aca="false">IF(AND(E883&gt;0,B883=10),1,0)</f>
        <v>0</v>
      </c>
      <c r="AD883" s="0" t="str">
        <f aca="false">IF(AND(C882=C883,AA882=AA883-1),AB882,"")</f>
        <v/>
      </c>
      <c r="AE883" s="0" t="str">
        <f aca="false">IF(AND(C882=C883,AA882=AA883-1),AC882,"")</f>
        <v/>
      </c>
      <c r="AF883" s="0" t="str">
        <f aca="false">IF(AA883=1,"",IF(AND(AB883=1,AD883&lt;&gt;1),1,0))</f>
        <v/>
      </c>
      <c r="AG883" s="0" t="str">
        <f aca="false">IF(AA883=1,"",IF(AND(AC883=1,AE883&lt;&gt;1),1,0))</f>
        <v/>
      </c>
      <c r="AH883" s="51" t="str">
        <f aca="false">IF(AND(E883&gt;0,AA883&lt;1,NOT(AND(C884=C883,AA884=AA883+1))),INDEX(DATAS,AA883+1),"")</f>
        <v/>
      </c>
      <c r="AI883" s="51" t="str">
        <f aca="false">IF(AND(AC883=1,AA883&lt;1),IF(AND(C884=C883,AA884=AA883+1),IF(AC884=1,"",INDEX(DATAS,AA883+1)),INDEX(DATAS,AA883+1)),"")</f>
        <v/>
      </c>
    </row>
    <row r="884" customFormat="false" ht="15" hidden="false" customHeight="false" outlineLevel="0" collapsed="false">
      <c r="A884" s="51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46" t="s">
        <v>703</v>
      </c>
      <c r="G884" s="0" t="n">
        <v>31.1</v>
      </c>
      <c r="H884" s="0" t="n">
        <v>28</v>
      </c>
      <c r="I884" s="46" t="s">
        <v>152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51" t="n">
        <v>46234</v>
      </c>
      <c r="X884" s="46" t="n">
        <f aca="false">IF(I884="Male",0,1)</f>
        <v>1</v>
      </c>
      <c r="Y884" s="46" t="n">
        <f aca="false">IF(OR(I884="DNB",I884="Dry DNB"),1,0)</f>
        <v>0</v>
      </c>
      <c r="Z884" s="46" t="n">
        <f aca="false">IF(ISNUMBER(W884),A884-W884,"")</f>
        <v>75</v>
      </c>
      <c r="AA884" s="46" t="n">
        <f aca="false">MATCH(A884,DATAS,0)</f>
        <v>1</v>
      </c>
      <c r="AB884" s="46" t="n">
        <f aca="false">IF(AND(E884&gt;0,OR(AND(B884&gt;=1,B884&lt;=6),B884=10)),1,0)</f>
        <v>1</v>
      </c>
      <c r="AC884" s="46" t="n">
        <f aca="false">IF(AND(E884&gt;0,B884=10),1,0)</f>
        <v>0</v>
      </c>
      <c r="AD884" s="0" t="str">
        <f aca="false">IF(AND(C883=C884,AA883=AA884-1),AB883,"")</f>
        <v/>
      </c>
      <c r="AE884" s="0" t="str">
        <f aca="false">IF(AND(C883=C884,AA883=AA884-1),AC883,"")</f>
        <v/>
      </c>
      <c r="AF884" s="0" t="str">
        <f aca="false">IF(AA884=1,"",IF(AND(AB884=1,AD884&lt;&gt;1),1,0))</f>
        <v/>
      </c>
      <c r="AG884" s="0" t="str">
        <f aca="false">IF(AA884=1,"",IF(AND(AC884=1,AE884&lt;&gt;1),1,0))</f>
        <v/>
      </c>
      <c r="AH884" s="51" t="str">
        <f aca="false">IF(AND(E884&gt;0,AA884&lt;1,NOT(AND(C885=C884,AA885=AA884+1))),INDEX(DATAS,AA884+1),"")</f>
        <v/>
      </c>
      <c r="AI884" s="51" t="str">
        <f aca="false">IF(AND(AC884=1,AA884&lt;1),IF(AND(C885=C884,AA885=AA884+1),IF(AC885=1,"",INDEX(DATAS,AA884+1)),INDEX(DATAS,AA884+1)),"")</f>
        <v/>
      </c>
    </row>
    <row r="885" customFormat="false" ht="15" hidden="false" customHeight="false" outlineLevel="0" collapsed="false">
      <c r="A885" s="51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46" t="s">
        <v>703</v>
      </c>
      <c r="G885" s="0" t="n">
        <v>30.5</v>
      </c>
      <c r="H885" s="0" t="n">
        <v>29</v>
      </c>
      <c r="I885" s="46" t="s">
        <v>181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51" t="n">
        <v>46303</v>
      </c>
      <c r="X885" s="46" t="n">
        <f aca="false">IF(I885="Male",0,1)</f>
        <v>1</v>
      </c>
      <c r="Y885" s="46" t="n">
        <f aca="false">IF(OR(I885="DNB",I885="Dry DNB"),1,0)</f>
        <v>0</v>
      </c>
      <c r="Z885" s="46" t="n">
        <f aca="false">IF(ISNUMBER(W885),A885-W885,"")</f>
        <v>6</v>
      </c>
      <c r="AA885" s="46" t="n">
        <f aca="false">MATCH(A885,DATAS,0)</f>
        <v>1</v>
      </c>
      <c r="AB885" s="46" t="n">
        <f aca="false">IF(AND(E885&gt;0,OR(AND(B885&gt;=1,B885&lt;=6),B885=10)),1,0)</f>
        <v>1</v>
      </c>
      <c r="AC885" s="46" t="n">
        <f aca="false">IF(AND(E885&gt;0,B885=10),1,0)</f>
        <v>0</v>
      </c>
      <c r="AD885" s="0" t="str">
        <f aca="false">IF(AND(C884=C885,AA884=AA885-1),AB884,"")</f>
        <v/>
      </c>
      <c r="AE885" s="0" t="str">
        <f aca="false">IF(AND(C884=C885,AA884=AA885-1),AC884,"")</f>
        <v/>
      </c>
      <c r="AF885" s="0" t="str">
        <f aca="false">IF(AA885=1,"",IF(AND(AB885=1,AD885&lt;&gt;1),1,0))</f>
        <v/>
      </c>
      <c r="AG885" s="0" t="str">
        <f aca="false">IF(AA885=1,"",IF(AND(AC885=1,AE885&lt;&gt;1),1,0))</f>
        <v/>
      </c>
      <c r="AH885" s="51" t="str">
        <f aca="false">IF(AND(E885&gt;0,AA885&lt;1,NOT(AND(C886=C885,AA886=AA885+1))),INDEX(DATAS,AA885+1),"")</f>
        <v/>
      </c>
      <c r="AI885" s="51" t="str">
        <f aca="false">IF(AND(AC885=1,AA885&lt;1),IF(AND(C886=C885,AA886=AA885+1),IF(AC886=1,"",INDEX(DATAS,AA885+1)),INDEX(DATAS,AA885+1)),"")</f>
        <v/>
      </c>
    </row>
    <row r="886" customFormat="false" ht="15" hidden="false" customHeight="false" outlineLevel="0" collapsed="false">
      <c r="A886" s="51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46" t="s">
        <v>703</v>
      </c>
      <c r="G886" s="0" t="n">
        <v>42</v>
      </c>
      <c r="H886" s="0" t="n">
        <v>54</v>
      </c>
      <c r="I886" s="46" t="s">
        <v>152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51" t="n">
        <v>46263</v>
      </c>
      <c r="X886" s="46" t="n">
        <f aca="false">IF(I886="Male",0,1)</f>
        <v>1</v>
      </c>
      <c r="Y886" s="46" t="n">
        <f aca="false">IF(OR(I886="DNB",I886="Dry DNB"),1,0)</f>
        <v>0</v>
      </c>
      <c r="Z886" s="46" t="n">
        <f aca="false">IF(ISNUMBER(W886),A886-W886,"")</f>
        <v>46</v>
      </c>
      <c r="AA886" s="46" t="n">
        <f aca="false">MATCH(A886,DATAS,0)</f>
        <v>1</v>
      </c>
      <c r="AB886" s="46" t="n">
        <f aca="false">IF(AND(E886&gt;0,OR(AND(B886&gt;=1,B886&lt;=6),B886=10)),1,0)</f>
        <v>1</v>
      </c>
      <c r="AC886" s="46" t="n">
        <f aca="false">IF(AND(E886&gt;0,B886=10),1,0)</f>
        <v>0</v>
      </c>
      <c r="AD886" s="0" t="str">
        <f aca="false">IF(AND(C885=C886,AA885=AA886-1),AB885,"")</f>
        <v/>
      </c>
      <c r="AE886" s="0" t="str">
        <f aca="false">IF(AND(C885=C886,AA885=AA886-1),AC885,"")</f>
        <v/>
      </c>
      <c r="AF886" s="0" t="str">
        <f aca="false">IF(AA886=1,"",IF(AND(AB886=1,AD886&lt;&gt;1),1,0))</f>
        <v/>
      </c>
      <c r="AG886" s="0" t="str">
        <f aca="false">IF(AA886=1,"",IF(AND(AC886=1,AE886&lt;&gt;1),1,0))</f>
        <v/>
      </c>
      <c r="AH886" s="51" t="str">
        <f aca="false">IF(AND(E886&gt;0,AA886&lt;1,NOT(AND(C887=C886,AA887=AA886+1))),INDEX(DATAS,AA886+1),"")</f>
        <v/>
      </c>
      <c r="AI886" s="51" t="str">
        <f aca="false">IF(AND(AC886=1,AA886&lt;1),IF(AND(C887=C886,AA887=AA886+1),IF(AC887=1,"",INDEX(DATAS,AA886+1)),INDEX(DATAS,AA886+1)),"")</f>
        <v/>
      </c>
    </row>
    <row r="887" customFormat="false" ht="15" hidden="false" customHeight="false" outlineLevel="0" collapsed="false">
      <c r="A887" s="51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46" t="s">
        <v>704</v>
      </c>
      <c r="G887" s="0" t="n">
        <v>51</v>
      </c>
      <c r="H887" s="0" t="n">
        <v>49</v>
      </c>
      <c r="I887" s="46" t="s">
        <v>152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51" t="n">
        <v>46247</v>
      </c>
      <c r="X887" s="46" t="n">
        <f aca="false">IF(I887="Male",0,1)</f>
        <v>1</v>
      </c>
      <c r="Y887" s="46" t="n">
        <f aca="false">IF(OR(I887="DNB",I887="Dry DNB"),1,0)</f>
        <v>0</v>
      </c>
      <c r="Z887" s="46" t="n">
        <f aca="false">IF(ISNUMBER(W887),A887-W887,"")</f>
        <v>62</v>
      </c>
      <c r="AA887" s="46" t="n">
        <f aca="false">MATCH(A887,DATAS,0)</f>
        <v>1</v>
      </c>
      <c r="AB887" s="46" t="n">
        <f aca="false">IF(AND(E887&gt;0,OR(AND(B887&gt;=1,B887&lt;=6),B887=10)),1,0)</f>
        <v>1</v>
      </c>
      <c r="AC887" s="46" t="n">
        <f aca="false">IF(AND(E887&gt;0,B887=10),1,0)</f>
        <v>0</v>
      </c>
      <c r="AD887" s="0" t="str">
        <f aca="false">IF(AND(C886=C887,AA886=AA887-1),AB886,"")</f>
        <v/>
      </c>
      <c r="AE887" s="0" t="str">
        <f aca="false">IF(AND(C886=C887,AA886=AA887-1),AC886,"")</f>
        <v/>
      </c>
      <c r="AF887" s="0" t="str">
        <f aca="false">IF(AA887=1,"",IF(AND(AB887=1,AD887&lt;&gt;1),1,0))</f>
        <v/>
      </c>
      <c r="AG887" s="0" t="str">
        <f aca="false">IF(AA887=1,"",IF(AND(AC887=1,AE887&lt;&gt;1),1,0))</f>
        <v/>
      </c>
      <c r="AH887" s="51" t="str">
        <f aca="false">IF(AND(E887&gt;0,AA887&lt;1,NOT(AND(C888=C887,AA888=AA887+1))),INDEX(DATAS,AA887+1),"")</f>
        <v/>
      </c>
      <c r="AI887" s="51" t="str">
        <f aca="false">IF(AND(AC887=1,AA887&lt;1),IF(AND(C888=C887,AA888=AA887+1),IF(AC888=1,"",INDEX(DATAS,AA887+1)),INDEX(DATAS,AA887+1)),"")</f>
        <v/>
      </c>
    </row>
    <row r="888" customFormat="false" ht="15" hidden="false" customHeight="false" outlineLevel="0" collapsed="false">
      <c r="A888" s="51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46" t="s">
        <v>704</v>
      </c>
      <c r="G888" s="0" t="n">
        <v>51.7</v>
      </c>
      <c r="H888" s="0" t="n">
        <v>55</v>
      </c>
      <c r="I888" s="46" t="s">
        <v>152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51" t="n">
        <v>46247</v>
      </c>
      <c r="X888" s="46" t="n">
        <f aca="false">IF(I888="Male",0,1)</f>
        <v>1</v>
      </c>
      <c r="Y888" s="46" t="n">
        <f aca="false">IF(OR(I888="DNB",I888="Dry DNB"),1,0)</f>
        <v>0</v>
      </c>
      <c r="Z888" s="46" t="n">
        <f aca="false">IF(ISNUMBER(W888),A888-W888,"")</f>
        <v>62</v>
      </c>
      <c r="AA888" s="46" t="n">
        <f aca="false">MATCH(A888,DATAS,0)</f>
        <v>1</v>
      </c>
      <c r="AB888" s="46" t="n">
        <f aca="false">IF(AND(E888&gt;0,OR(AND(B888&gt;=1,B888&lt;=6),B888=10)),1,0)</f>
        <v>1</v>
      </c>
      <c r="AC888" s="46" t="n">
        <f aca="false">IF(AND(E888&gt;0,B888=10),1,0)</f>
        <v>0</v>
      </c>
      <c r="AD888" s="0" t="str">
        <f aca="false">IF(AND(C887=C888,AA887=AA888-1),AB887,"")</f>
        <v/>
      </c>
      <c r="AE888" s="0" t="str">
        <f aca="false">IF(AND(C887=C888,AA887=AA888-1),AC887,"")</f>
        <v/>
      </c>
      <c r="AF888" s="0" t="str">
        <f aca="false">IF(AA888=1,"",IF(AND(AB888=1,AD888&lt;&gt;1),1,0))</f>
        <v/>
      </c>
      <c r="AG888" s="0" t="str">
        <f aca="false">IF(AA888=1,"",IF(AND(AC888=1,AE888&lt;&gt;1),1,0))</f>
        <v/>
      </c>
      <c r="AH888" s="51" t="str">
        <f aca="false">IF(AND(E888&gt;0,AA888&lt;1,NOT(AND(C889=C888,AA889=AA888+1))),INDEX(DATAS,AA888+1),"")</f>
        <v/>
      </c>
      <c r="AI888" s="51" t="str">
        <f aca="false">IF(AND(AC888=1,AA888&lt;1),IF(AND(C889=C888,AA889=AA888+1),IF(AC889=1,"",INDEX(DATAS,AA888+1)),INDEX(DATAS,AA888+1)),"")</f>
        <v/>
      </c>
    </row>
    <row r="889" customFormat="false" ht="15" hidden="false" customHeight="false" outlineLevel="0" collapsed="false">
      <c r="A889" s="51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46" t="s">
        <v>705</v>
      </c>
      <c r="G889" s="0" t="n">
        <v>55.7</v>
      </c>
      <c r="H889" s="0" t="n">
        <v>58</v>
      </c>
      <c r="I889" s="46" t="s">
        <v>152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51" t="n">
        <v>46254</v>
      </c>
      <c r="X889" s="46" t="n">
        <f aca="false">IF(I889="Male",0,1)</f>
        <v>1</v>
      </c>
      <c r="Y889" s="46" t="n">
        <f aca="false">IF(OR(I889="DNB",I889="Dry DNB"),1,0)</f>
        <v>0</v>
      </c>
      <c r="Z889" s="46" t="n">
        <f aca="false">IF(ISNUMBER(W889),A889-W889,"")</f>
        <v>55</v>
      </c>
      <c r="AA889" s="46" t="n">
        <f aca="false">MATCH(A889,DATAS,0)</f>
        <v>1</v>
      </c>
      <c r="AB889" s="46" t="n">
        <f aca="false">IF(AND(E889&gt;0,OR(AND(B889&gt;=1,B889&lt;=6),B889=10)),1,0)</f>
        <v>1</v>
      </c>
      <c r="AC889" s="46" t="n">
        <f aca="false">IF(AND(E889&gt;0,B889=10),1,0)</f>
        <v>0</v>
      </c>
      <c r="AD889" s="0" t="str">
        <f aca="false">IF(AND(C888=C889,AA888=AA889-1),AB888,"")</f>
        <v/>
      </c>
      <c r="AE889" s="0" t="str">
        <f aca="false">IF(AND(C888=C889,AA888=AA889-1),AC888,"")</f>
        <v/>
      </c>
      <c r="AF889" s="0" t="str">
        <f aca="false">IF(AA889=1,"",IF(AND(AB889=1,AD889&lt;&gt;1),1,0))</f>
        <v/>
      </c>
      <c r="AG889" s="0" t="str">
        <f aca="false">IF(AA889=1,"",IF(AND(AC889=1,AE889&lt;&gt;1),1,0))</f>
        <v/>
      </c>
      <c r="AH889" s="51" t="str">
        <f aca="false">IF(AND(E889&gt;0,AA889&lt;1,NOT(AND(C890=C889,AA890=AA889+1))),INDEX(DATAS,AA889+1),"")</f>
        <v/>
      </c>
      <c r="AI889" s="51" t="str">
        <f aca="false">IF(AND(AC889=1,AA889&lt;1),IF(AND(C890=C889,AA890=AA889+1),IF(AC890=1,"",INDEX(DATAS,AA889+1)),INDEX(DATAS,AA889+1)),"")</f>
        <v/>
      </c>
    </row>
    <row r="890" customFormat="false" ht="15" hidden="false" customHeight="false" outlineLevel="0" collapsed="false">
      <c r="A890" s="51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46" t="s">
        <v>706</v>
      </c>
      <c r="G890" s="0" t="n">
        <v>44.6</v>
      </c>
      <c r="H890" s="0" t="n">
        <v>47</v>
      </c>
      <c r="I890" s="46" t="s">
        <v>161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X890" s="46" t="n">
        <f aca="false">IF(I890="Male",0,1)</f>
        <v>1</v>
      </c>
      <c r="Y890" s="46" t="n">
        <f aca="false">IF(OR(I890="DNB",I890="Dry DNB"),1,0)</f>
        <v>0</v>
      </c>
      <c r="Z890" s="0" t="str">
        <f aca="false">IF(ISNUMBER(W890),A890-W890,"")</f>
        <v/>
      </c>
      <c r="AA890" s="46" t="n">
        <f aca="false">MATCH(A890,DATAS,0)</f>
        <v>1</v>
      </c>
      <c r="AB890" s="46" t="n">
        <f aca="false">IF(AND(E890&gt;0,OR(AND(B890&gt;=1,B890&lt;=6),B890=10)),1,0)</f>
        <v>1</v>
      </c>
      <c r="AC890" s="46" t="n">
        <f aca="false">IF(AND(E890&gt;0,B890=10),1,0)</f>
        <v>0</v>
      </c>
      <c r="AD890" s="0" t="str">
        <f aca="false">IF(AND(C889=C890,AA889=AA890-1),AB889,"")</f>
        <v/>
      </c>
      <c r="AE890" s="0" t="str">
        <f aca="false">IF(AND(C889=C890,AA889=AA890-1),AC889,"")</f>
        <v/>
      </c>
      <c r="AF890" s="0" t="str">
        <f aca="false">IF(AA890=1,"",IF(AND(AB890=1,AD890&lt;&gt;1),1,0))</f>
        <v/>
      </c>
      <c r="AG890" s="0" t="str">
        <f aca="false">IF(AA890=1,"",IF(AND(AC890=1,AE890&lt;&gt;1),1,0))</f>
        <v/>
      </c>
      <c r="AH890" s="51" t="str">
        <f aca="false">IF(AND(E890&gt;0,AA890&lt;1,NOT(AND(C891=C890,AA891=AA890+1))),INDEX(DATAS,AA890+1),"")</f>
        <v/>
      </c>
      <c r="AI890" s="51" t="str">
        <f aca="false">IF(AND(AC890=1,AA890&lt;1),IF(AND(C891=C890,AA891=AA890+1),IF(AC891=1,"",INDEX(DATAS,AA890+1)),INDEX(DATAS,AA890+1)),"")</f>
        <v/>
      </c>
    </row>
    <row r="891" customFormat="false" ht="15" hidden="false" customHeight="false" outlineLevel="0" collapsed="false">
      <c r="A891" s="51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46" t="s">
        <v>706</v>
      </c>
      <c r="G891" s="0" t="n">
        <v>44.7</v>
      </c>
      <c r="H891" s="0" t="n">
        <v>48</v>
      </c>
      <c r="I891" s="46" t="s">
        <v>161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X891" s="46" t="n">
        <f aca="false">IF(I891="Male",0,1)</f>
        <v>1</v>
      </c>
      <c r="Y891" s="46" t="n">
        <f aca="false">IF(OR(I891="DNB",I891="Dry DNB"),1,0)</f>
        <v>0</v>
      </c>
      <c r="Z891" s="0" t="str">
        <f aca="false">IF(ISNUMBER(W891),A891-W891,"")</f>
        <v/>
      </c>
      <c r="AA891" s="46" t="n">
        <f aca="false">MATCH(A891,DATAS,0)</f>
        <v>1</v>
      </c>
      <c r="AB891" s="46" t="n">
        <f aca="false">IF(AND(E891&gt;0,OR(AND(B891&gt;=1,B891&lt;=6),B891=10)),1,0)</f>
        <v>1</v>
      </c>
      <c r="AC891" s="46" t="n">
        <f aca="false">IF(AND(E891&gt;0,B891=10),1,0)</f>
        <v>0</v>
      </c>
      <c r="AD891" s="0" t="str">
        <f aca="false">IF(AND(C890=C891,AA890=AA891-1),AB890,"")</f>
        <v/>
      </c>
      <c r="AE891" s="0" t="str">
        <f aca="false">IF(AND(C890=C891,AA890=AA891-1),AC890,"")</f>
        <v/>
      </c>
      <c r="AF891" s="0" t="str">
        <f aca="false">IF(AA891=1,"",IF(AND(AB891=1,AD891&lt;&gt;1),1,0))</f>
        <v/>
      </c>
      <c r="AG891" s="0" t="str">
        <f aca="false">IF(AA891=1,"",IF(AND(AC891=1,AE891&lt;&gt;1),1,0))</f>
        <v/>
      </c>
      <c r="AH891" s="51" t="str">
        <f aca="false">IF(AND(E891&gt;0,AA891&lt;1,NOT(AND(C892=C891,AA892=AA891+1))),INDEX(DATAS,AA891+1),"")</f>
        <v/>
      </c>
      <c r="AI891" s="51" t="str">
        <f aca="false">IF(AND(AC891=1,AA891&lt;1),IF(AND(C892=C891,AA892=AA891+1),IF(AC892=1,"",INDEX(DATAS,AA891+1)),INDEX(DATAS,AA891+1)),"")</f>
        <v/>
      </c>
    </row>
    <row r="892" customFormat="false" ht="15" hidden="false" customHeight="false" outlineLevel="0" collapsed="false">
      <c r="A892" s="51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46" t="s">
        <v>706</v>
      </c>
      <c r="G892" s="0" t="n">
        <v>59.7</v>
      </c>
      <c r="H892" s="0" t="n">
        <v>60</v>
      </c>
      <c r="I892" s="46" t="s">
        <v>152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51" t="n">
        <v>46226</v>
      </c>
      <c r="X892" s="46" t="n">
        <f aca="false">IF(I892="Male",0,1)</f>
        <v>1</v>
      </c>
      <c r="Y892" s="46" t="n">
        <f aca="false">IF(OR(I892="DNB",I892="Dry DNB"),1,0)</f>
        <v>0</v>
      </c>
      <c r="Z892" s="46" t="n">
        <f aca="false">IF(ISNUMBER(W892),A892-W892,"")</f>
        <v>83</v>
      </c>
      <c r="AA892" s="46" t="n">
        <f aca="false">MATCH(A892,DATAS,0)</f>
        <v>1</v>
      </c>
      <c r="AB892" s="46" t="n">
        <f aca="false">IF(AND(E892&gt;0,OR(AND(B892&gt;=1,B892&lt;=6),B892=10)),1,0)</f>
        <v>1</v>
      </c>
      <c r="AC892" s="46" t="n">
        <f aca="false">IF(AND(E892&gt;0,B892=10),1,0)</f>
        <v>0</v>
      </c>
      <c r="AD892" s="0" t="str">
        <f aca="false">IF(AND(C891=C892,AA891=AA892-1),AB891,"")</f>
        <v/>
      </c>
      <c r="AE892" s="0" t="str">
        <f aca="false">IF(AND(C891=C892,AA891=AA892-1),AC891,"")</f>
        <v/>
      </c>
      <c r="AF892" s="0" t="str">
        <f aca="false">IF(AA892=1,"",IF(AND(AB892=1,AD892&lt;&gt;1),1,0))</f>
        <v/>
      </c>
      <c r="AG892" s="0" t="str">
        <f aca="false">IF(AA892=1,"",IF(AND(AC892=1,AE892&lt;&gt;1),1,0))</f>
        <v/>
      </c>
      <c r="AH892" s="51" t="str">
        <f aca="false">IF(AND(E892&gt;0,AA892&lt;1,NOT(AND(C893=C892,AA893=AA892+1))),INDEX(DATAS,AA892+1),"")</f>
        <v/>
      </c>
      <c r="AI892" s="51" t="str">
        <f aca="false">IF(AND(AC892=1,AA892&lt;1),IF(AND(C893=C892,AA893=AA892+1),IF(AC893=1,"",INDEX(DATAS,AA892+1)),INDEX(DATAS,AA892+1)),"")</f>
        <v/>
      </c>
    </row>
    <row r="893" customFormat="false" ht="15" hidden="false" customHeight="false" outlineLevel="0" collapsed="false">
      <c r="A893" s="51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46" t="s">
        <v>707</v>
      </c>
      <c r="G893" s="0" t="n">
        <v>23.5</v>
      </c>
      <c r="H893" s="0" t="n">
        <v>28</v>
      </c>
      <c r="I893" s="46" t="s">
        <v>152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51" t="n">
        <v>46254</v>
      </c>
      <c r="X893" s="46" t="n">
        <f aca="false">IF(I893="Male",0,1)</f>
        <v>1</v>
      </c>
      <c r="Y893" s="46" t="n">
        <f aca="false">IF(OR(I893="DNB",I893="Dry DNB"),1,0)</f>
        <v>0</v>
      </c>
      <c r="Z893" s="46" t="n">
        <f aca="false">IF(ISNUMBER(W893),A893-W893,"")</f>
        <v>55</v>
      </c>
      <c r="AA893" s="46" t="n">
        <f aca="false">MATCH(A893,DATAS,0)</f>
        <v>1</v>
      </c>
      <c r="AB893" s="46" t="n">
        <f aca="false">IF(AND(E893&gt;0,OR(AND(B893&gt;=1,B893&lt;=6),B893=10)),1,0)</f>
        <v>1</v>
      </c>
      <c r="AC893" s="46" t="n">
        <f aca="false">IF(AND(E893&gt;0,B893=10),1,0)</f>
        <v>0</v>
      </c>
      <c r="AD893" s="0" t="str">
        <f aca="false">IF(AND(C892=C893,AA892=AA893-1),AB892,"")</f>
        <v/>
      </c>
      <c r="AE893" s="0" t="str">
        <f aca="false">IF(AND(C892=C893,AA892=AA893-1),AC892,"")</f>
        <v/>
      </c>
      <c r="AF893" s="0" t="str">
        <f aca="false">IF(AA893=1,"",IF(AND(AB893=1,AD893&lt;&gt;1),1,0))</f>
        <v/>
      </c>
      <c r="AG893" s="0" t="str">
        <f aca="false">IF(AA893=1,"",IF(AND(AC893=1,AE893&lt;&gt;1),1,0))</f>
        <v/>
      </c>
      <c r="AH893" s="51" t="str">
        <f aca="false">IF(AND(E893&gt;0,AA893&lt;1,NOT(AND(C894=C893,AA894=AA893+1))),INDEX(DATAS,AA893+1),"")</f>
        <v/>
      </c>
      <c r="AI893" s="51" t="str">
        <f aca="false">IF(AND(AC893=1,AA893&lt;1),IF(AND(C894=C893,AA894=AA893+1),IF(AC894=1,"",INDEX(DATAS,AA893+1)),INDEX(DATAS,AA893+1)),"")</f>
        <v/>
      </c>
    </row>
    <row r="894" customFormat="false" ht="15" hidden="false" customHeight="false" outlineLevel="0" collapsed="false">
      <c r="A894" s="51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46" t="s">
        <v>708</v>
      </c>
      <c r="G894" s="0" t="n">
        <v>32.9</v>
      </c>
      <c r="H894" s="0" t="n">
        <v>30</v>
      </c>
      <c r="I894" s="46" t="s">
        <v>152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51" t="n">
        <v>46178</v>
      </c>
      <c r="X894" s="46" t="n">
        <f aca="false">IF(I894="Male",0,1)</f>
        <v>1</v>
      </c>
      <c r="Y894" s="46" t="n">
        <f aca="false">IF(OR(I894="DNB",I894="Dry DNB"),1,0)</f>
        <v>0</v>
      </c>
      <c r="Z894" s="46" t="n">
        <f aca="false">IF(ISNUMBER(W894),A894-W894,"")</f>
        <v>131</v>
      </c>
      <c r="AA894" s="46" t="n">
        <f aca="false">MATCH(A894,DATAS,0)</f>
        <v>1</v>
      </c>
      <c r="AB894" s="46" t="n">
        <f aca="false">IF(AND(E894&gt;0,OR(AND(B894&gt;=1,B894&lt;=6),B894=10)),1,0)</f>
        <v>1</v>
      </c>
      <c r="AC894" s="46" t="n">
        <f aca="false">IF(AND(E894&gt;0,B894=10),1,0)</f>
        <v>0</v>
      </c>
      <c r="AD894" s="0" t="str">
        <f aca="false">IF(AND(C893=C894,AA893=AA894-1),AB893,"")</f>
        <v/>
      </c>
      <c r="AE894" s="0" t="str">
        <f aca="false">IF(AND(C893=C894,AA893=AA894-1),AC893,"")</f>
        <v/>
      </c>
      <c r="AF894" s="0" t="str">
        <f aca="false">IF(AA894=1,"",IF(AND(AB894=1,AD894&lt;&gt;1),1,0))</f>
        <v/>
      </c>
      <c r="AG894" s="0" t="str">
        <f aca="false">IF(AA894=1,"",IF(AND(AC894=1,AE894&lt;&gt;1),1,0))</f>
        <v/>
      </c>
      <c r="AH894" s="51" t="str">
        <f aca="false">IF(AND(E894&gt;0,AA894&lt;1,NOT(AND(C895=C894,AA895=AA894+1))),INDEX(DATAS,AA894+1),"")</f>
        <v/>
      </c>
      <c r="AI894" s="51" t="str">
        <f aca="false">IF(AND(AC894=1,AA894&lt;1),IF(AND(C895=C894,AA895=AA894+1),IF(AC895=1,"",INDEX(DATAS,AA894+1)),INDEX(DATAS,AA894+1)),"")</f>
        <v/>
      </c>
    </row>
    <row r="895" customFormat="false" ht="15" hidden="false" customHeight="false" outlineLevel="0" collapsed="false">
      <c r="A895" s="51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46" t="s">
        <v>708</v>
      </c>
      <c r="G895" s="0" t="n">
        <v>21.2</v>
      </c>
      <c r="H895" s="0" t="n">
        <v>31</v>
      </c>
      <c r="I895" s="46" t="s">
        <v>189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51" t="n">
        <v>46275</v>
      </c>
      <c r="X895" s="46" t="n">
        <f aca="false">IF(I895="Male",0,1)</f>
        <v>1</v>
      </c>
      <c r="Y895" s="46" t="n">
        <f aca="false">IF(OR(I895="DNB",I895="Dry DNB"),1,0)</f>
        <v>0</v>
      </c>
      <c r="Z895" s="46" t="n">
        <f aca="false">IF(ISNUMBER(W895),A895-W895,"")</f>
        <v>34</v>
      </c>
      <c r="AA895" s="46" t="n">
        <f aca="false">MATCH(A895,DATAS,0)</f>
        <v>1</v>
      </c>
      <c r="AB895" s="46" t="n">
        <f aca="false">IF(AND(E895&gt;0,OR(AND(B895&gt;=1,B895&lt;=6),B895=10)),1,0)</f>
        <v>1</v>
      </c>
      <c r="AC895" s="46" t="n">
        <f aca="false">IF(AND(E895&gt;0,B895=10),1,0)</f>
        <v>0</v>
      </c>
      <c r="AD895" s="0" t="str">
        <f aca="false">IF(AND(C894=C895,AA894=AA895-1),AB894,"")</f>
        <v/>
      </c>
      <c r="AE895" s="0" t="str">
        <f aca="false">IF(AND(C894=C895,AA894=AA895-1),AC894,"")</f>
        <v/>
      </c>
      <c r="AF895" s="0" t="str">
        <f aca="false">IF(AA895=1,"",IF(AND(AB895=1,AD895&lt;&gt;1),1,0))</f>
        <v/>
      </c>
      <c r="AG895" s="0" t="str">
        <f aca="false">IF(AA895=1,"",IF(AND(AC895=1,AE895&lt;&gt;1),1,0))</f>
        <v/>
      </c>
      <c r="AH895" s="51" t="str">
        <f aca="false">IF(AND(E895&gt;0,AA895&lt;1,NOT(AND(C896=C895,AA896=AA895+1))),INDEX(DATAS,AA895+1),"")</f>
        <v/>
      </c>
      <c r="AI895" s="51" t="str">
        <f aca="false">IF(AND(AC895=1,AA895&lt;1),IF(AND(C896=C895,AA896=AA895+1),IF(AC896=1,"",INDEX(DATAS,AA895+1)),INDEX(DATAS,AA895+1)),"")</f>
        <v/>
      </c>
    </row>
    <row r="896" customFormat="false" ht="15" hidden="false" customHeight="false" outlineLevel="0" collapsed="false">
      <c r="A896" s="51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46" t="s">
        <v>709</v>
      </c>
      <c r="H896" s="0" t="n">
        <v>25</v>
      </c>
      <c r="I896" s="46" t="s">
        <v>189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51" t="n">
        <v>46275</v>
      </c>
      <c r="X896" s="46" t="n">
        <f aca="false">IF(I896="Male",0,1)</f>
        <v>1</v>
      </c>
      <c r="Y896" s="46" t="n">
        <f aca="false">IF(OR(I896="DNB",I896="Dry DNB"),1,0)</f>
        <v>0</v>
      </c>
      <c r="Z896" s="46" t="n">
        <f aca="false">IF(ISNUMBER(W896),A896-W896,"")</f>
        <v>34</v>
      </c>
      <c r="AA896" s="46" t="n">
        <f aca="false">MATCH(A896,DATAS,0)</f>
        <v>1</v>
      </c>
      <c r="AB896" s="46" t="n">
        <f aca="false">IF(AND(E896&gt;0,OR(AND(B896&gt;=1,B896&lt;=6),B896=10)),1,0)</f>
        <v>1</v>
      </c>
      <c r="AC896" s="46" t="n">
        <f aca="false">IF(AND(E896&gt;0,B896=10),1,0)</f>
        <v>1</v>
      </c>
      <c r="AD896" s="0" t="str">
        <f aca="false">IF(AND(C895=C896,AA895=AA896-1),AB895,"")</f>
        <v/>
      </c>
      <c r="AE896" s="0" t="str">
        <f aca="false">IF(AND(C895=C896,AA895=AA896-1),AC895,"")</f>
        <v/>
      </c>
      <c r="AF896" s="0" t="str">
        <f aca="false">IF(AA896=1,"",IF(AND(AB896=1,AD896&lt;&gt;1),1,0))</f>
        <v/>
      </c>
      <c r="AG896" s="0" t="str">
        <f aca="false">IF(AA896=1,"",IF(AND(AC896=1,AE896&lt;&gt;1),1,0))</f>
        <v/>
      </c>
      <c r="AH896" s="51" t="str">
        <f aca="false">IF(AND(E896&gt;0,AA896&lt;1,NOT(AND(C897=C896,AA897=AA896+1))),INDEX(DATAS,AA896+1),"")</f>
        <v/>
      </c>
      <c r="AI896" s="51" t="str">
        <f aca="false">IF(AND(AC896=1,AA896&lt;1),IF(AND(C897=C896,AA897=AA896+1),IF(AC897=1,"",INDEX(DATAS,AA896+1)),INDEX(DATAS,AA896+1)),"")</f>
        <v/>
      </c>
    </row>
    <row r="897" customFormat="false" ht="15" hidden="false" customHeight="false" outlineLevel="0" collapsed="false">
      <c r="A897" s="51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46" t="s">
        <v>709</v>
      </c>
      <c r="I897" s="46" t="s">
        <v>157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51" t="n">
        <v>46051</v>
      </c>
      <c r="X897" s="46" t="n">
        <f aca="false">IF(I897="Male",0,1)</f>
        <v>1</v>
      </c>
      <c r="Y897" s="46" t="n">
        <f aca="false">IF(OR(I897="DNB",I897="Dry DNB"),1,0)</f>
        <v>0</v>
      </c>
      <c r="Z897" s="46" t="n">
        <f aca="false">IF(ISNUMBER(W897),A897-W897,"")</f>
        <v>258</v>
      </c>
      <c r="AA897" s="46" t="n">
        <f aca="false">MATCH(A897,DATAS,0)</f>
        <v>1</v>
      </c>
      <c r="AB897" s="46" t="n">
        <f aca="false">IF(AND(E897&gt;0,OR(AND(B897&gt;=1,B897&lt;=6),B897=10)),1,0)</f>
        <v>0</v>
      </c>
      <c r="AC897" s="46" t="n">
        <f aca="false">IF(AND(E897&gt;0,B897=10),1,0)</f>
        <v>0</v>
      </c>
      <c r="AD897" s="0" t="str">
        <f aca="false">IF(AND(C896=C897,AA896=AA897-1),AB896,"")</f>
        <v/>
      </c>
      <c r="AE897" s="0" t="str">
        <f aca="false">IF(AND(C896=C897,AA896=AA897-1),AC896,"")</f>
        <v/>
      </c>
      <c r="AF897" s="0" t="str">
        <f aca="false">IF(AA897=1,"",IF(AND(AB897=1,AD897&lt;&gt;1),1,0))</f>
        <v/>
      </c>
      <c r="AG897" s="0" t="str">
        <f aca="false">IF(AA897=1,"",IF(AND(AC897=1,AE897&lt;&gt;1),1,0))</f>
        <v/>
      </c>
      <c r="AH897" s="51" t="str">
        <f aca="false">IF(AND(E897&gt;0,AA897&lt;1,NOT(AND(C898=C897,AA898=AA897+1))),INDEX(DATAS,AA897+1),"")</f>
        <v/>
      </c>
      <c r="AI897" s="51" t="str">
        <f aca="false">IF(AND(AC897=1,AA897&lt;1),IF(AND(C898=C897,AA898=AA897+1),IF(AC898=1,"",INDEX(DATAS,AA897+1)),INDEX(DATAS,AA897+1)),"")</f>
        <v/>
      </c>
    </row>
    <row r="898" customFormat="false" ht="15" hidden="false" customHeight="false" outlineLevel="0" collapsed="false">
      <c r="A898" s="51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46" t="s">
        <v>710</v>
      </c>
      <c r="G898" s="0" t="n">
        <v>30.9</v>
      </c>
      <c r="H898" s="0" t="n">
        <v>32</v>
      </c>
      <c r="I898" s="46" t="s">
        <v>181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51" t="n">
        <v>46282</v>
      </c>
      <c r="X898" s="46" t="n">
        <f aca="false">IF(I898="Male",0,1)</f>
        <v>1</v>
      </c>
      <c r="Y898" s="46" t="n">
        <f aca="false">IF(OR(I898="DNB",I898="Dry DNB"),1,0)</f>
        <v>0</v>
      </c>
      <c r="Z898" s="46" t="n">
        <f aca="false">IF(ISNUMBER(W898),A898-W898,"")</f>
        <v>27</v>
      </c>
      <c r="AA898" s="46" t="n">
        <f aca="false">MATCH(A898,DATAS,0)</f>
        <v>1</v>
      </c>
      <c r="AB898" s="46" t="n">
        <f aca="false">IF(AND(E898&gt;0,OR(AND(B898&gt;=1,B898&lt;=6),B898=10)),1,0)</f>
        <v>1</v>
      </c>
      <c r="AC898" s="46" t="n">
        <f aca="false">IF(AND(E898&gt;0,B898=10),1,0)</f>
        <v>0</v>
      </c>
      <c r="AD898" s="0" t="str">
        <f aca="false">IF(AND(C897=C898,AA897=AA898-1),AB897,"")</f>
        <v/>
      </c>
      <c r="AE898" s="0" t="str">
        <f aca="false">IF(AND(C897=C898,AA897=AA898-1),AC897,"")</f>
        <v/>
      </c>
      <c r="AF898" s="0" t="str">
        <f aca="false">IF(AA898=1,"",IF(AND(AB898=1,AD898&lt;&gt;1),1,0))</f>
        <v/>
      </c>
      <c r="AG898" s="0" t="str">
        <f aca="false">IF(AA898=1,"",IF(AND(AC898=1,AE898&lt;&gt;1),1,0))</f>
        <v/>
      </c>
      <c r="AH898" s="51" t="str">
        <f aca="false">IF(AND(E898&gt;0,AA898&lt;1,NOT(AND(C899=C898,AA899=AA898+1))),INDEX(DATAS,AA898+1),"")</f>
        <v/>
      </c>
      <c r="AI898" s="51" t="str">
        <f aca="false">IF(AND(AC898=1,AA898&lt;1),IF(AND(C899=C898,AA899=AA898+1),IF(AC899=1,"",INDEX(DATAS,AA898+1)),INDEX(DATAS,AA898+1)),"")</f>
        <v/>
      </c>
    </row>
    <row r="899" customFormat="false" ht="15" hidden="false" customHeight="false" outlineLevel="0" collapsed="false">
      <c r="A899" s="51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46" t="s">
        <v>710</v>
      </c>
      <c r="G899" s="0" t="n">
        <v>41.8</v>
      </c>
      <c r="H899" s="0" t="n">
        <v>33</v>
      </c>
      <c r="I899" s="46" t="s">
        <v>161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X899" s="46" t="n">
        <f aca="false">IF(I899="Male",0,1)</f>
        <v>1</v>
      </c>
      <c r="Y899" s="46" t="n">
        <f aca="false">IF(OR(I899="DNB",I899="Dry DNB"),1,0)</f>
        <v>0</v>
      </c>
      <c r="Z899" s="0" t="str">
        <f aca="false">IF(ISNUMBER(W899),A899-W899,"")</f>
        <v/>
      </c>
      <c r="AA899" s="46" t="n">
        <f aca="false">MATCH(A899,DATAS,0)</f>
        <v>1</v>
      </c>
      <c r="AB899" s="46" t="n">
        <f aca="false">IF(AND(E899&gt;0,OR(AND(B899&gt;=1,B899&lt;=6),B899=10)),1,0)</f>
        <v>1</v>
      </c>
      <c r="AC899" s="46" t="n">
        <f aca="false">IF(AND(E899&gt;0,B899=10),1,0)</f>
        <v>0</v>
      </c>
      <c r="AD899" s="0" t="str">
        <f aca="false">IF(AND(C898=C899,AA898=AA899-1),AB898,"")</f>
        <v/>
      </c>
      <c r="AE899" s="0" t="str">
        <f aca="false">IF(AND(C898=C899,AA898=AA899-1),AC898,"")</f>
        <v/>
      </c>
      <c r="AF899" s="0" t="str">
        <f aca="false">IF(AA899=1,"",IF(AND(AB899=1,AD899&lt;&gt;1),1,0))</f>
        <v/>
      </c>
      <c r="AG899" s="0" t="str">
        <f aca="false">IF(AA899=1,"",IF(AND(AC899=1,AE899&lt;&gt;1),1,0))</f>
        <v/>
      </c>
      <c r="AH899" s="51" t="str">
        <f aca="false">IF(AND(E899&gt;0,AA899&lt;1,NOT(AND(C900=C899,AA900=AA899+1))),INDEX(DATAS,AA899+1),"")</f>
        <v/>
      </c>
      <c r="AI899" s="51" t="str">
        <f aca="false">IF(AND(AC899=1,AA899&lt;1),IF(AND(C900=C899,AA900=AA899+1),IF(AC900=1,"",INDEX(DATAS,AA899+1)),INDEX(DATAS,AA899+1)),"")</f>
        <v/>
      </c>
    </row>
    <row r="900" customFormat="false" ht="15" hidden="false" customHeight="false" outlineLevel="0" collapsed="false">
      <c r="A900" s="51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46" t="s">
        <v>711</v>
      </c>
      <c r="G900" s="0" t="n">
        <v>30.6</v>
      </c>
      <c r="H900" s="0" t="n">
        <v>31</v>
      </c>
      <c r="I900" s="46" t="s">
        <v>152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X900" s="46" t="n">
        <f aca="false">IF(I900="Male",0,1)</f>
        <v>1</v>
      </c>
      <c r="Y900" s="46" t="n">
        <f aca="false">IF(OR(I900="DNB",I900="Dry DNB"),1,0)</f>
        <v>0</v>
      </c>
      <c r="Z900" s="0" t="str">
        <f aca="false">IF(ISNUMBER(W900),A900-W900,"")</f>
        <v/>
      </c>
      <c r="AA900" s="46" t="n">
        <f aca="false">MATCH(A900,DATAS,0)</f>
        <v>1</v>
      </c>
      <c r="AB900" s="46" t="n">
        <f aca="false">IF(AND(E900&gt;0,OR(AND(B900&gt;=1,B900&lt;=6),B900=10)),1,0)</f>
        <v>1</v>
      </c>
      <c r="AC900" s="46" t="n">
        <f aca="false">IF(AND(E900&gt;0,B900=10),1,0)</f>
        <v>0</v>
      </c>
      <c r="AD900" s="0" t="str">
        <f aca="false">IF(AND(C899=C900,AA899=AA900-1),AB899,"")</f>
        <v/>
      </c>
      <c r="AE900" s="0" t="str">
        <f aca="false">IF(AND(C899=C900,AA899=AA900-1),AC899,"")</f>
        <v/>
      </c>
      <c r="AF900" s="0" t="str">
        <f aca="false">IF(AA900=1,"",IF(AND(AB900=1,AD900&lt;&gt;1),1,0))</f>
        <v/>
      </c>
      <c r="AG900" s="0" t="str">
        <f aca="false">IF(AA900=1,"",IF(AND(AC900=1,AE900&lt;&gt;1),1,0))</f>
        <v/>
      </c>
      <c r="AH900" s="51" t="str">
        <f aca="false">IF(AND(E900&gt;0,AA900&lt;1,NOT(AND(C901=C900,AA901=AA900+1))),INDEX(DATAS,AA900+1),"")</f>
        <v/>
      </c>
      <c r="AI900" s="51" t="str">
        <f aca="false">IF(AND(AC900=1,AA900&lt;1),IF(AND(C901=C900,AA901=AA900+1),IF(AC901=1,"",INDEX(DATAS,AA900+1)),INDEX(DATAS,AA900+1)),"")</f>
        <v/>
      </c>
    </row>
    <row r="901" customFormat="false" ht="15" hidden="false" customHeight="false" outlineLevel="0" collapsed="false">
      <c r="A901" s="51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46" t="s">
        <v>711</v>
      </c>
      <c r="G901" s="0" t="n">
        <v>66.9</v>
      </c>
      <c r="H901" s="0" t="n">
        <v>64</v>
      </c>
      <c r="I901" s="46" t="s">
        <v>161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X901" s="46" t="n">
        <f aca="false">IF(I901="Male",0,1)</f>
        <v>1</v>
      </c>
      <c r="Y901" s="46" t="n">
        <f aca="false">IF(OR(I901="DNB",I901="Dry DNB"),1,0)</f>
        <v>0</v>
      </c>
      <c r="Z901" s="0" t="str">
        <f aca="false">IF(ISNUMBER(W901),A901-W901,"")</f>
        <v/>
      </c>
      <c r="AA901" s="46" t="n">
        <f aca="false">MATCH(A901,DATAS,0)</f>
        <v>1</v>
      </c>
      <c r="AB901" s="46" t="n">
        <f aca="false">IF(AND(E901&gt;0,OR(AND(B901&gt;=1,B901&lt;=6),B901=10)),1,0)</f>
        <v>1</v>
      </c>
      <c r="AC901" s="46" t="n">
        <f aca="false">IF(AND(E901&gt;0,B901=10),1,0)</f>
        <v>0</v>
      </c>
      <c r="AD901" s="0" t="str">
        <f aca="false">IF(AND(C900=C901,AA900=AA901-1),AB900,"")</f>
        <v/>
      </c>
      <c r="AE901" s="0" t="str">
        <f aca="false">IF(AND(C900=C901,AA900=AA901-1),AC900,"")</f>
        <v/>
      </c>
      <c r="AF901" s="0" t="str">
        <f aca="false">IF(AA901=1,"",IF(AND(AB901=1,AD901&lt;&gt;1),1,0))</f>
        <v/>
      </c>
      <c r="AG901" s="0" t="str">
        <f aca="false">IF(AA901=1,"",IF(AND(AC901=1,AE901&lt;&gt;1),1,0))</f>
        <v/>
      </c>
      <c r="AH901" s="51" t="str">
        <f aca="false">IF(AND(E901&gt;0,AA901&lt;1,NOT(AND(C902=C901,AA902=AA901+1))),INDEX(DATAS,AA901+1),"")</f>
        <v/>
      </c>
      <c r="AI901" s="51" t="str">
        <f aca="false">IF(AND(AC901=1,AA901&lt;1),IF(AND(C902=C901,AA902=AA901+1),IF(AC902=1,"",INDEX(DATAS,AA901+1)),INDEX(DATAS,AA901+1)),"")</f>
        <v/>
      </c>
    </row>
    <row r="902" customFormat="false" ht="15" hidden="false" customHeight="false" outlineLevel="0" collapsed="false">
      <c r="A902" s="51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46" t="s">
        <v>711</v>
      </c>
      <c r="G902" s="0" t="n">
        <v>31.9</v>
      </c>
      <c r="H902" s="0" t="n">
        <v>29</v>
      </c>
      <c r="I902" s="46" t="s">
        <v>152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51" t="n">
        <v>46170</v>
      </c>
      <c r="X902" s="46" t="n">
        <f aca="false">IF(I902="Male",0,1)</f>
        <v>1</v>
      </c>
      <c r="Y902" s="46" t="n">
        <f aca="false">IF(OR(I902="DNB",I902="Dry DNB"),1,0)</f>
        <v>0</v>
      </c>
      <c r="Z902" s="46" t="n">
        <f aca="false">IF(ISNUMBER(W902),A902-W902,"")</f>
        <v>139</v>
      </c>
      <c r="AA902" s="46" t="n">
        <f aca="false">MATCH(A902,DATAS,0)</f>
        <v>1</v>
      </c>
      <c r="AB902" s="46" t="n">
        <f aca="false">IF(AND(E902&gt;0,OR(AND(B902&gt;=1,B902&lt;=6),B902=10)),1,0)</f>
        <v>1</v>
      </c>
      <c r="AC902" s="46" t="n">
        <f aca="false">IF(AND(E902&gt;0,B902=10),1,0)</f>
        <v>0</v>
      </c>
      <c r="AD902" s="0" t="str">
        <f aca="false">IF(AND(C901=C902,AA901=AA902-1),AB901,"")</f>
        <v/>
      </c>
      <c r="AE902" s="0" t="str">
        <f aca="false">IF(AND(C901=C902,AA901=AA902-1),AC901,"")</f>
        <v/>
      </c>
      <c r="AF902" s="0" t="str">
        <f aca="false">IF(AA902=1,"",IF(AND(AB902=1,AD902&lt;&gt;1),1,0))</f>
        <v/>
      </c>
      <c r="AG902" s="0" t="str">
        <f aca="false">IF(AA902=1,"",IF(AND(AC902=1,AE902&lt;&gt;1),1,0))</f>
        <v/>
      </c>
      <c r="AH902" s="51" t="str">
        <f aca="false">IF(AND(E902&gt;0,AA902&lt;1,NOT(AND(C903=C902,AA903=AA902+1))),INDEX(DATAS,AA902+1),"")</f>
        <v/>
      </c>
      <c r="AI902" s="51" t="str">
        <f aca="false">IF(AND(AC902=1,AA902&lt;1),IF(AND(C903=C902,AA903=AA902+1),IF(AC903=1,"",INDEX(DATAS,AA902+1)),INDEX(DATAS,AA902+1)),"")</f>
        <v/>
      </c>
    </row>
    <row r="903" customFormat="false" ht="15" hidden="false" customHeight="false" outlineLevel="0" collapsed="false">
      <c r="A903" s="51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46" t="s">
        <v>711</v>
      </c>
      <c r="G903" s="0" t="n">
        <v>41.2</v>
      </c>
      <c r="H903" s="0" t="n">
        <v>43</v>
      </c>
      <c r="I903" s="46" t="s">
        <v>152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51" t="n">
        <v>46255</v>
      </c>
      <c r="X903" s="46" t="n">
        <f aca="false">IF(I903="Male",0,1)</f>
        <v>1</v>
      </c>
      <c r="Y903" s="46" t="n">
        <f aca="false">IF(OR(I903="DNB",I903="Dry DNB"),1,0)</f>
        <v>0</v>
      </c>
      <c r="Z903" s="46" t="n">
        <f aca="false">IF(ISNUMBER(W903),A903-W903,"")</f>
        <v>54</v>
      </c>
      <c r="AA903" s="46" t="n">
        <f aca="false">MATCH(A903,DATAS,0)</f>
        <v>1</v>
      </c>
      <c r="AB903" s="46" t="n">
        <f aca="false">IF(AND(E903&gt;0,OR(AND(B903&gt;=1,B903&lt;=6),B903=10)),1,0)</f>
        <v>1</v>
      </c>
      <c r="AC903" s="46" t="n">
        <f aca="false">IF(AND(E903&gt;0,B903=10),1,0)</f>
        <v>0</v>
      </c>
      <c r="AD903" s="0" t="str">
        <f aca="false">IF(AND(C902=C903,AA902=AA903-1),AB902,"")</f>
        <v/>
      </c>
      <c r="AE903" s="0" t="str">
        <f aca="false">IF(AND(C902=C903,AA902=AA903-1),AC902,"")</f>
        <v/>
      </c>
      <c r="AF903" s="0" t="str">
        <f aca="false">IF(AA903=1,"",IF(AND(AB903=1,AD903&lt;&gt;1),1,0))</f>
        <v/>
      </c>
      <c r="AG903" s="0" t="str">
        <f aca="false">IF(AA903=1,"",IF(AND(AC903=1,AE903&lt;&gt;1),1,0))</f>
        <v/>
      </c>
      <c r="AH903" s="51" t="str">
        <f aca="false">IF(AND(E903&gt;0,AA903&lt;1,NOT(AND(C904=C903,AA904=AA903+1))),INDEX(DATAS,AA903+1),"")</f>
        <v/>
      </c>
      <c r="AI903" s="51" t="str">
        <f aca="false">IF(AND(AC903=1,AA903&lt;1),IF(AND(C904=C903,AA904=AA903+1),IF(AC904=1,"",INDEX(DATAS,AA903+1)),INDEX(DATAS,AA903+1)),"")</f>
        <v/>
      </c>
    </row>
    <row r="904" customFormat="false" ht="15" hidden="false" customHeight="false" outlineLevel="0" collapsed="false">
      <c r="A904" s="51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46" t="s">
        <v>711</v>
      </c>
      <c r="G904" s="0" t="n">
        <v>40.3</v>
      </c>
      <c r="H904" s="0" t="n">
        <v>38</v>
      </c>
      <c r="I904" s="46" t="s">
        <v>152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51" t="n">
        <v>46247</v>
      </c>
      <c r="X904" s="46" t="n">
        <f aca="false">IF(I904="Male",0,1)</f>
        <v>1</v>
      </c>
      <c r="Y904" s="46" t="n">
        <f aca="false">IF(OR(I904="DNB",I904="Dry DNB"),1,0)</f>
        <v>0</v>
      </c>
      <c r="Z904" s="46" t="n">
        <f aca="false">IF(ISNUMBER(W904),A904-W904,"")</f>
        <v>62</v>
      </c>
      <c r="AA904" s="46" t="n">
        <f aca="false">MATCH(A904,DATAS,0)</f>
        <v>1</v>
      </c>
      <c r="AB904" s="46" t="n">
        <f aca="false">IF(AND(E904&gt;0,OR(AND(B904&gt;=1,B904&lt;=6),B904=10)),1,0)</f>
        <v>1</v>
      </c>
      <c r="AC904" s="46" t="n">
        <f aca="false">IF(AND(E904&gt;0,B904=10),1,0)</f>
        <v>0</v>
      </c>
      <c r="AD904" s="0" t="str">
        <f aca="false">IF(AND(C903=C904,AA903=AA904-1),AB903,"")</f>
        <v/>
      </c>
      <c r="AE904" s="0" t="str">
        <f aca="false">IF(AND(C903=C904,AA903=AA904-1),AC903,"")</f>
        <v/>
      </c>
      <c r="AF904" s="0" t="str">
        <f aca="false">IF(AA904=1,"",IF(AND(AB904=1,AD904&lt;&gt;1),1,0))</f>
        <v/>
      </c>
      <c r="AG904" s="0" t="str">
        <f aca="false">IF(AA904=1,"",IF(AND(AC904=1,AE904&lt;&gt;1),1,0))</f>
        <v/>
      </c>
      <c r="AH904" s="51" t="str">
        <f aca="false">IF(AND(E904&gt;0,AA904&lt;1,NOT(AND(C905=C904,AA905=AA904+1))),INDEX(DATAS,AA904+1),"")</f>
        <v/>
      </c>
      <c r="AI904" s="51" t="str">
        <f aca="false">IF(AND(AC904=1,AA904&lt;1),IF(AND(C905=C904,AA905=AA904+1),IF(AC905=1,"",INDEX(DATAS,AA904+1)),INDEX(DATAS,AA904+1)),"")</f>
        <v/>
      </c>
    </row>
    <row r="905" customFormat="false" ht="15" hidden="false" customHeight="false" outlineLevel="0" collapsed="false">
      <c r="A905" s="51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46" t="s">
        <v>711</v>
      </c>
      <c r="G905" s="0" t="n">
        <v>48.4</v>
      </c>
      <c r="H905" s="0" t="n">
        <v>51</v>
      </c>
      <c r="I905" s="46" t="s">
        <v>152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51" t="n">
        <v>46177</v>
      </c>
      <c r="X905" s="46" t="n">
        <f aca="false">IF(I905="Male",0,1)</f>
        <v>1</v>
      </c>
      <c r="Y905" s="46" t="n">
        <f aca="false">IF(OR(I905="DNB",I905="Dry DNB"),1,0)</f>
        <v>0</v>
      </c>
      <c r="Z905" s="46" t="n">
        <f aca="false">IF(ISNUMBER(W905),A905-W905,"")</f>
        <v>132</v>
      </c>
      <c r="AA905" s="46" t="n">
        <f aca="false">MATCH(A905,DATAS,0)</f>
        <v>1</v>
      </c>
      <c r="AB905" s="46" t="n">
        <f aca="false">IF(AND(E905&gt;0,OR(AND(B905&gt;=1,B905&lt;=6),B905=10)),1,0)</f>
        <v>1</v>
      </c>
      <c r="AC905" s="46" t="n">
        <f aca="false">IF(AND(E905&gt;0,B905=10),1,0)</f>
        <v>0</v>
      </c>
      <c r="AD905" s="0" t="str">
        <f aca="false">IF(AND(C904=C905,AA904=AA905-1),AB904,"")</f>
        <v/>
      </c>
      <c r="AE905" s="0" t="str">
        <f aca="false">IF(AND(C904=C905,AA904=AA905-1),AC904,"")</f>
        <v/>
      </c>
      <c r="AF905" s="0" t="str">
        <f aca="false">IF(AA905=1,"",IF(AND(AB905=1,AD905&lt;&gt;1),1,0))</f>
        <v/>
      </c>
      <c r="AG905" s="0" t="str">
        <f aca="false">IF(AA905=1,"",IF(AND(AC905=1,AE905&lt;&gt;1),1,0))</f>
        <v/>
      </c>
      <c r="AH905" s="51" t="str">
        <f aca="false">IF(AND(E905&gt;0,AA905&lt;1,NOT(AND(C906=C905,AA906=AA905+1))),INDEX(DATAS,AA905+1),"")</f>
        <v/>
      </c>
      <c r="AI905" s="51" t="str">
        <f aca="false">IF(AND(AC905=1,AA905&lt;1),IF(AND(C906=C905,AA906=AA905+1),IF(AC906=1,"",INDEX(DATAS,AA905+1)),INDEX(DATAS,AA905+1)),"")</f>
        <v/>
      </c>
    </row>
    <row r="906" customFormat="false" ht="15" hidden="false" customHeight="false" outlineLevel="0" collapsed="false">
      <c r="A906" s="51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46" t="s">
        <v>711</v>
      </c>
      <c r="G906" s="0" t="n">
        <v>32</v>
      </c>
      <c r="H906" s="0" t="n">
        <v>36</v>
      </c>
      <c r="I906" s="46" t="s">
        <v>152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51" t="n">
        <v>46184</v>
      </c>
      <c r="X906" s="46" t="n">
        <f aca="false">IF(I906="Male",0,1)</f>
        <v>1</v>
      </c>
      <c r="Y906" s="46" t="n">
        <f aca="false">IF(OR(I906="DNB",I906="Dry DNB"),1,0)</f>
        <v>0</v>
      </c>
      <c r="Z906" s="46" t="n">
        <f aca="false">IF(ISNUMBER(W906),A906-W906,"")</f>
        <v>125</v>
      </c>
      <c r="AA906" s="46" t="n">
        <f aca="false">MATCH(A906,DATAS,0)</f>
        <v>1</v>
      </c>
      <c r="AB906" s="46" t="n">
        <f aca="false">IF(AND(E906&gt;0,OR(AND(B906&gt;=1,B906&lt;=6),B906=10)),1,0)</f>
        <v>1</v>
      </c>
      <c r="AC906" s="46" t="n">
        <f aca="false">IF(AND(E906&gt;0,B906=10),1,0)</f>
        <v>0</v>
      </c>
      <c r="AD906" s="0" t="str">
        <f aca="false">IF(AND(C905=C906,AA905=AA906-1),AB905,"")</f>
        <v/>
      </c>
      <c r="AE906" s="0" t="str">
        <f aca="false">IF(AND(C905=C906,AA905=AA906-1),AC905,"")</f>
        <v/>
      </c>
      <c r="AF906" s="0" t="str">
        <f aca="false">IF(AA906=1,"",IF(AND(AB906=1,AD906&lt;&gt;1),1,0))</f>
        <v/>
      </c>
      <c r="AG906" s="0" t="str">
        <f aca="false">IF(AA906=1,"",IF(AND(AC906=1,AE906&lt;&gt;1),1,0))</f>
        <v/>
      </c>
      <c r="AH906" s="51" t="str">
        <f aca="false">IF(AND(E906&gt;0,AA906&lt;1,NOT(AND(C907=C906,AA907=AA906+1))),INDEX(DATAS,AA906+1),"")</f>
        <v/>
      </c>
      <c r="AI906" s="51" t="str">
        <f aca="false">IF(AND(AC906=1,AA906&lt;1),IF(AND(C907=C906,AA907=AA906+1),IF(AC907=1,"",INDEX(DATAS,AA906+1)),INDEX(DATAS,AA906+1)),"")</f>
        <v/>
      </c>
    </row>
    <row r="907" customFormat="false" ht="15" hidden="false" customHeight="false" outlineLevel="0" collapsed="false">
      <c r="A907" s="51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46" t="s">
        <v>712</v>
      </c>
      <c r="G907" s="0" t="n">
        <v>53.4</v>
      </c>
      <c r="H907" s="0" t="n">
        <v>53</v>
      </c>
      <c r="I907" s="46" t="s">
        <v>181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51" t="n">
        <v>46303</v>
      </c>
      <c r="X907" s="46" t="n">
        <f aca="false">IF(I907="Male",0,1)</f>
        <v>1</v>
      </c>
      <c r="Y907" s="46" t="n">
        <f aca="false">IF(OR(I907="DNB",I907="Dry DNB"),1,0)</f>
        <v>0</v>
      </c>
      <c r="Z907" s="46" t="n">
        <f aca="false">IF(ISNUMBER(W907),A907-W907,"")</f>
        <v>6</v>
      </c>
      <c r="AA907" s="46" t="n">
        <f aca="false">MATCH(A907,DATAS,0)</f>
        <v>1</v>
      </c>
      <c r="AB907" s="46" t="n">
        <f aca="false">IF(AND(E907&gt;0,OR(AND(B907&gt;=1,B907&lt;=6),B907=10)),1,0)</f>
        <v>1</v>
      </c>
      <c r="AC907" s="46" t="n">
        <f aca="false">IF(AND(E907&gt;0,B907=10),1,0)</f>
        <v>0</v>
      </c>
      <c r="AD907" s="0" t="str">
        <f aca="false">IF(AND(C906=C907,AA906=AA907-1),AB906,"")</f>
        <v/>
      </c>
      <c r="AE907" s="0" t="str">
        <f aca="false">IF(AND(C906=C907,AA906=AA907-1),AC906,"")</f>
        <v/>
      </c>
      <c r="AF907" s="0" t="str">
        <f aca="false">IF(AA907=1,"",IF(AND(AB907=1,AD907&lt;&gt;1),1,0))</f>
        <v/>
      </c>
      <c r="AG907" s="0" t="str">
        <f aca="false">IF(AA907=1,"",IF(AND(AC907=1,AE907&lt;&gt;1),1,0))</f>
        <v/>
      </c>
      <c r="AH907" s="51" t="str">
        <f aca="false">IF(AND(E907&gt;0,AA907&lt;1,NOT(AND(C908=C907,AA908=AA907+1))),INDEX(DATAS,AA907+1),"")</f>
        <v/>
      </c>
      <c r="AI907" s="51" t="str">
        <f aca="false">IF(AND(AC907=1,AA907&lt;1),IF(AND(C908=C907,AA908=AA907+1),IF(AC908=1,"",INDEX(DATAS,AA907+1)),INDEX(DATAS,AA907+1)),"")</f>
        <v/>
      </c>
    </row>
    <row r="908" customFormat="false" ht="15" hidden="false" customHeight="false" outlineLevel="0" collapsed="false">
      <c r="A908" s="51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46" t="s">
        <v>713</v>
      </c>
      <c r="I908" s="46" t="s">
        <v>157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51" t="n">
        <v>46088</v>
      </c>
      <c r="X908" s="46" t="n">
        <f aca="false">IF(I908="Male",0,1)</f>
        <v>1</v>
      </c>
      <c r="Y908" s="46" t="n">
        <f aca="false">IF(OR(I908="DNB",I908="Dry DNB"),1,0)</f>
        <v>0</v>
      </c>
      <c r="Z908" s="46" t="n">
        <f aca="false">IF(ISNUMBER(W908),A908-W908,"")</f>
        <v>221</v>
      </c>
      <c r="AA908" s="46" t="n">
        <f aca="false">MATCH(A908,DATAS,0)</f>
        <v>1</v>
      </c>
      <c r="AB908" s="46" t="n">
        <f aca="false">IF(AND(E908&gt;0,OR(AND(B908&gt;=1,B908&lt;=6),B908=10)),1,0)</f>
        <v>0</v>
      </c>
      <c r="AC908" s="46" t="n">
        <f aca="false">IF(AND(E908&gt;0,B908=10),1,0)</f>
        <v>0</v>
      </c>
      <c r="AD908" s="0" t="str">
        <f aca="false">IF(AND(C907=C908,AA907=AA908-1),AB907,"")</f>
        <v/>
      </c>
      <c r="AE908" s="0" t="str">
        <f aca="false">IF(AND(C907=C908,AA907=AA908-1),AC907,"")</f>
        <v/>
      </c>
      <c r="AF908" s="0" t="str">
        <f aca="false">IF(AA908=1,"",IF(AND(AB908=1,AD908&lt;&gt;1),1,0))</f>
        <v/>
      </c>
      <c r="AG908" s="0" t="str">
        <f aca="false">IF(AA908=1,"",IF(AND(AC908=1,AE908&lt;&gt;1),1,0))</f>
        <v/>
      </c>
      <c r="AH908" s="51" t="str">
        <f aca="false">IF(AND(E908&gt;0,AA908&lt;1,NOT(AND(C909=C908,AA909=AA908+1))),INDEX(DATAS,AA908+1),"")</f>
        <v/>
      </c>
      <c r="AI908" s="51" t="str">
        <f aca="false">IF(AND(AC908=1,AA908&lt;1),IF(AND(C909=C908,AA909=AA908+1),IF(AC909=1,"",INDEX(DATAS,AA908+1)),INDEX(DATAS,AA908+1)),"")</f>
        <v/>
      </c>
    </row>
    <row r="909" customFormat="false" ht="15" hidden="false" customHeight="false" outlineLevel="0" collapsed="false">
      <c r="A909" s="51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46" t="s">
        <v>714</v>
      </c>
      <c r="G909" s="0" t="n">
        <v>16.9</v>
      </c>
      <c r="H909" s="0" t="n">
        <v>20</v>
      </c>
      <c r="I909" s="46" t="s">
        <v>161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X909" s="46" t="n">
        <f aca="false">IF(I909="Male",0,1)</f>
        <v>1</v>
      </c>
      <c r="Y909" s="46" t="n">
        <f aca="false">IF(OR(I909="DNB",I909="Dry DNB"),1,0)</f>
        <v>0</v>
      </c>
      <c r="Z909" s="0" t="str">
        <f aca="false">IF(ISNUMBER(W909),A909-W909,"")</f>
        <v/>
      </c>
      <c r="AA909" s="46" t="n">
        <f aca="false">MATCH(A909,DATAS,0)</f>
        <v>1</v>
      </c>
      <c r="AB909" s="46" t="n">
        <f aca="false">IF(AND(E909&gt;0,OR(AND(B909&gt;=1,B909&lt;=6),B909=10)),1,0)</f>
        <v>1</v>
      </c>
      <c r="AC909" s="46" t="n">
        <f aca="false">IF(AND(E909&gt;0,B909=10),1,0)</f>
        <v>0</v>
      </c>
      <c r="AD909" s="0" t="str">
        <f aca="false">IF(AND(C908=C909,AA908=AA909-1),AB908,"")</f>
        <v/>
      </c>
      <c r="AE909" s="0" t="str">
        <f aca="false">IF(AND(C908=C909,AA908=AA909-1),AC908,"")</f>
        <v/>
      </c>
      <c r="AF909" s="0" t="str">
        <f aca="false">IF(AA909=1,"",IF(AND(AB909=1,AD909&lt;&gt;1),1,0))</f>
        <v/>
      </c>
      <c r="AG909" s="0" t="str">
        <f aca="false">IF(AA909=1,"",IF(AND(AC909=1,AE909&lt;&gt;1),1,0))</f>
        <v/>
      </c>
      <c r="AH909" s="51" t="str">
        <f aca="false">IF(AND(E909&gt;0,AA909&lt;1,NOT(AND(C910=C909,AA910=AA909+1))),INDEX(DATAS,AA909+1),"")</f>
        <v/>
      </c>
      <c r="AI909" s="51" t="str">
        <f aca="false">IF(AND(AC909=1,AA909&lt;1),IF(AND(C910=C909,AA910=AA909+1),IF(AC910=1,"",INDEX(DATAS,AA909+1)),INDEX(DATAS,AA909+1)),"")</f>
        <v/>
      </c>
    </row>
    <row r="910" customFormat="false" ht="15" hidden="false" customHeight="false" outlineLevel="0" collapsed="false">
      <c r="A910" s="51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46" t="s">
        <v>714</v>
      </c>
      <c r="I910" s="46" t="s">
        <v>157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51" t="n">
        <v>46177</v>
      </c>
      <c r="X910" s="46" t="n">
        <f aca="false">IF(I910="Male",0,1)</f>
        <v>1</v>
      </c>
      <c r="Y910" s="46" t="n">
        <f aca="false">IF(OR(I910="DNB",I910="Dry DNB"),1,0)</f>
        <v>0</v>
      </c>
      <c r="Z910" s="46" t="n">
        <f aca="false">IF(ISNUMBER(W910),A910-W910,"")</f>
        <v>132</v>
      </c>
      <c r="AA910" s="46" t="n">
        <f aca="false">MATCH(A910,DATAS,0)</f>
        <v>1</v>
      </c>
      <c r="AB910" s="46" t="n">
        <f aca="false">IF(AND(E910&gt;0,OR(AND(B910&gt;=1,B910&lt;=6),B910=10)),1,0)</f>
        <v>0</v>
      </c>
      <c r="AC910" s="46" t="n">
        <f aca="false">IF(AND(E910&gt;0,B910=10),1,0)</f>
        <v>0</v>
      </c>
      <c r="AD910" s="0" t="str">
        <f aca="false">IF(AND(C909=C910,AA909=AA910-1),AB909,"")</f>
        <v/>
      </c>
      <c r="AE910" s="0" t="str">
        <f aca="false">IF(AND(C909=C910,AA909=AA910-1),AC909,"")</f>
        <v/>
      </c>
      <c r="AF910" s="0" t="str">
        <f aca="false">IF(AA910=1,"",IF(AND(AB910=1,AD910&lt;&gt;1),1,0))</f>
        <v/>
      </c>
      <c r="AG910" s="0" t="str">
        <f aca="false">IF(AA910=1,"",IF(AND(AC910=1,AE910&lt;&gt;1),1,0))</f>
        <v/>
      </c>
      <c r="AH910" s="51" t="str">
        <f aca="false">IF(AND(E910&gt;0,AA910&lt;1,NOT(AND(C911=C910,AA911=AA910+1))),INDEX(DATAS,AA910+1),"")</f>
        <v/>
      </c>
      <c r="AI910" s="51" t="str">
        <f aca="false">IF(AND(AC910=1,AA910&lt;1),IF(AND(C911=C910,AA911=AA910+1),IF(AC911=1,"",INDEX(DATAS,AA910+1)),INDEX(DATAS,AA910+1)),"")</f>
        <v/>
      </c>
    </row>
    <row r="911" customFormat="false" ht="15" hidden="false" customHeight="false" outlineLevel="0" collapsed="false">
      <c r="A911" s="51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46" t="s">
        <v>714</v>
      </c>
      <c r="G911" s="0" t="n">
        <v>17.2</v>
      </c>
      <c r="H911" s="0" t="n">
        <v>22</v>
      </c>
      <c r="I911" s="46" t="s">
        <v>152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51" t="n">
        <v>46258</v>
      </c>
      <c r="X911" s="46" t="n">
        <f aca="false">IF(I911="Male",0,1)</f>
        <v>1</v>
      </c>
      <c r="Y911" s="46" t="n">
        <f aca="false">IF(OR(I911="DNB",I911="Dry DNB"),1,0)</f>
        <v>0</v>
      </c>
      <c r="Z911" s="46" t="n">
        <f aca="false">IF(ISNUMBER(W911),A911-W911,"")</f>
        <v>51</v>
      </c>
      <c r="AA911" s="46" t="n">
        <f aca="false">MATCH(A911,DATAS,0)</f>
        <v>1</v>
      </c>
      <c r="AB911" s="46" t="n">
        <f aca="false">IF(AND(E911&gt;0,OR(AND(B911&gt;=1,B911&lt;=6),B911=10)),1,0)</f>
        <v>1</v>
      </c>
      <c r="AC911" s="46" t="n">
        <f aca="false">IF(AND(E911&gt;0,B911=10),1,0)</f>
        <v>0</v>
      </c>
      <c r="AD911" s="0" t="str">
        <f aca="false">IF(AND(C910=C911,AA910=AA911-1),AB910,"")</f>
        <v/>
      </c>
      <c r="AE911" s="0" t="str">
        <f aca="false">IF(AND(C910=C911,AA910=AA911-1),AC910,"")</f>
        <v/>
      </c>
      <c r="AF911" s="0" t="str">
        <f aca="false">IF(AA911=1,"",IF(AND(AB911=1,AD911&lt;&gt;1),1,0))</f>
        <v/>
      </c>
      <c r="AG911" s="0" t="str">
        <f aca="false">IF(AA911=1,"",IF(AND(AC911=1,AE911&lt;&gt;1),1,0))</f>
        <v/>
      </c>
      <c r="AH911" s="51" t="str">
        <f aca="false">IF(AND(E911&gt;0,AA911&lt;1,NOT(AND(C912=C911,AA912=AA911+1))),INDEX(DATAS,AA911+1),"")</f>
        <v/>
      </c>
      <c r="AI911" s="51" t="str">
        <f aca="false">IF(AND(AC911=1,AA911&lt;1),IF(AND(C912=C911,AA912=AA911+1),IF(AC912=1,"",INDEX(DATAS,AA911+1)),INDEX(DATAS,AA911+1)),"")</f>
        <v/>
      </c>
    </row>
    <row r="912" customFormat="false" ht="15" hidden="false" customHeight="false" outlineLevel="0" collapsed="false">
      <c r="A912" s="51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46" t="s">
        <v>715</v>
      </c>
      <c r="G912" s="0" t="n">
        <v>70</v>
      </c>
      <c r="H912" s="0" t="n">
        <v>72</v>
      </c>
      <c r="I912" s="46" t="s">
        <v>181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51" t="n">
        <v>46289</v>
      </c>
      <c r="X912" s="46" t="n">
        <f aca="false">IF(I912="Male",0,1)</f>
        <v>1</v>
      </c>
      <c r="Y912" s="46" t="n">
        <f aca="false">IF(OR(I912="DNB",I912="Dry DNB"),1,0)</f>
        <v>0</v>
      </c>
      <c r="Z912" s="46" t="n">
        <f aca="false">IF(ISNUMBER(W912),A912-W912,"")</f>
        <v>20</v>
      </c>
      <c r="AA912" s="46" t="n">
        <f aca="false">MATCH(A912,DATAS,0)</f>
        <v>1</v>
      </c>
      <c r="AB912" s="46" t="n">
        <f aca="false">IF(AND(E912&gt;0,OR(AND(B912&gt;=1,B912&lt;=6),B912=10)),1,0)</f>
        <v>1</v>
      </c>
      <c r="AC912" s="46" t="n">
        <f aca="false">IF(AND(E912&gt;0,B912=10),1,0)</f>
        <v>0</v>
      </c>
      <c r="AD912" s="0" t="str">
        <f aca="false">IF(AND(C911=C912,AA911=AA912-1),AB911,"")</f>
        <v/>
      </c>
      <c r="AE912" s="0" t="str">
        <f aca="false">IF(AND(C911=C912,AA911=AA912-1),AC911,"")</f>
        <v/>
      </c>
      <c r="AF912" s="0" t="str">
        <f aca="false">IF(AA912=1,"",IF(AND(AB912=1,AD912&lt;&gt;1),1,0))</f>
        <v/>
      </c>
      <c r="AG912" s="0" t="str">
        <f aca="false">IF(AA912=1,"",IF(AND(AC912=1,AE912&lt;&gt;1),1,0))</f>
        <v/>
      </c>
      <c r="AH912" s="51" t="str">
        <f aca="false">IF(AND(E912&gt;0,AA912&lt;1,NOT(AND(C913=C912,AA913=AA912+1))),INDEX(DATAS,AA912+1),"")</f>
        <v/>
      </c>
      <c r="AI912" s="51" t="str">
        <f aca="false">IF(AND(AC912=1,AA912&lt;1),IF(AND(C913=C912,AA913=AA912+1),IF(AC913=1,"",INDEX(DATAS,AA912+1)),INDEX(DATAS,AA912+1)),"")</f>
        <v/>
      </c>
    </row>
    <row r="913" customFormat="false" ht="15" hidden="false" customHeight="false" outlineLevel="0" collapsed="false">
      <c r="A913" s="51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46" t="s">
        <v>715</v>
      </c>
      <c r="G913" s="0" t="n">
        <v>36.9</v>
      </c>
      <c r="H913" s="0" t="n">
        <v>36</v>
      </c>
      <c r="I913" s="46" t="s">
        <v>181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51" t="n">
        <v>46282</v>
      </c>
      <c r="X913" s="46" t="n">
        <f aca="false">IF(I913="Male",0,1)</f>
        <v>1</v>
      </c>
      <c r="Y913" s="46" t="n">
        <f aca="false">IF(OR(I913="DNB",I913="Dry DNB"),1,0)</f>
        <v>0</v>
      </c>
      <c r="Z913" s="46" t="n">
        <f aca="false">IF(ISNUMBER(W913),A913-W913,"")</f>
        <v>27</v>
      </c>
      <c r="AA913" s="46" t="n">
        <f aca="false">MATCH(A913,DATAS,0)</f>
        <v>1</v>
      </c>
      <c r="AB913" s="46" t="n">
        <f aca="false">IF(AND(E913&gt;0,OR(AND(B913&gt;=1,B913&lt;=6),B913=10)),1,0)</f>
        <v>1</v>
      </c>
      <c r="AC913" s="46" t="n">
        <f aca="false">IF(AND(E913&gt;0,B913=10),1,0)</f>
        <v>0</v>
      </c>
      <c r="AD913" s="0" t="str">
        <f aca="false">IF(AND(C912=C913,AA912=AA913-1),AB912,"")</f>
        <v/>
      </c>
      <c r="AE913" s="0" t="str">
        <f aca="false">IF(AND(C912=C913,AA912=AA913-1),AC912,"")</f>
        <v/>
      </c>
      <c r="AF913" s="0" t="str">
        <f aca="false">IF(AA913=1,"",IF(AND(AB913=1,AD913&lt;&gt;1),1,0))</f>
        <v/>
      </c>
      <c r="AG913" s="0" t="str">
        <f aca="false">IF(AA913=1,"",IF(AND(AC913=1,AE913&lt;&gt;1),1,0))</f>
        <v/>
      </c>
      <c r="AH913" s="51" t="str">
        <f aca="false">IF(AND(E913&gt;0,AA913&lt;1,NOT(AND(C914=C913,AA914=AA913+1))),INDEX(DATAS,AA913+1),"")</f>
        <v/>
      </c>
      <c r="AI913" s="51" t="str">
        <f aca="false">IF(AND(AC913=1,AA913&lt;1),IF(AND(C914=C913,AA914=AA913+1),IF(AC914=1,"",INDEX(DATAS,AA913+1)),INDEX(DATAS,AA913+1)),"")</f>
        <v/>
      </c>
    </row>
    <row r="914" customFormat="false" ht="15" hidden="false" customHeight="false" outlineLevel="0" collapsed="false">
      <c r="A914" s="51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46" t="s">
        <v>715</v>
      </c>
      <c r="G914" s="0" t="n">
        <v>47.8</v>
      </c>
      <c r="H914" s="0" t="n">
        <v>47</v>
      </c>
      <c r="I914" s="46" t="s">
        <v>152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51" t="n">
        <v>46163</v>
      </c>
      <c r="X914" s="46" t="n">
        <f aca="false">IF(I914="Male",0,1)</f>
        <v>1</v>
      </c>
      <c r="Y914" s="46" t="n">
        <f aca="false">IF(OR(I914="DNB",I914="Dry DNB"),1,0)</f>
        <v>0</v>
      </c>
      <c r="Z914" s="46" t="n">
        <f aca="false">IF(ISNUMBER(W914),A914-W914,"")</f>
        <v>146</v>
      </c>
      <c r="AA914" s="46" t="n">
        <f aca="false">MATCH(A914,DATAS,0)</f>
        <v>1</v>
      </c>
      <c r="AB914" s="46" t="n">
        <f aca="false">IF(AND(E914&gt;0,OR(AND(B914&gt;=1,B914&lt;=6),B914=10)),1,0)</f>
        <v>1</v>
      </c>
      <c r="AC914" s="46" t="n">
        <f aca="false">IF(AND(E914&gt;0,B914=10),1,0)</f>
        <v>0</v>
      </c>
      <c r="AD914" s="0" t="str">
        <f aca="false">IF(AND(C913=C914,AA913=AA914-1),AB913,"")</f>
        <v/>
      </c>
      <c r="AE914" s="0" t="str">
        <f aca="false">IF(AND(C913=C914,AA913=AA914-1),AC913,"")</f>
        <v/>
      </c>
      <c r="AF914" s="0" t="str">
        <f aca="false">IF(AA914=1,"",IF(AND(AB914=1,AD914&lt;&gt;1),1,0))</f>
        <v/>
      </c>
      <c r="AG914" s="0" t="str">
        <f aca="false">IF(AA914=1,"",IF(AND(AC914=1,AE914&lt;&gt;1),1,0))</f>
        <v/>
      </c>
      <c r="AH914" s="51" t="str">
        <f aca="false">IF(AND(E914&gt;0,AA914&lt;1,NOT(AND(C915=C914,AA915=AA914+1))),INDEX(DATAS,AA914+1),"")</f>
        <v/>
      </c>
      <c r="AI914" s="51" t="str">
        <f aca="false">IF(AND(AC914=1,AA914&lt;1),IF(AND(C915=C914,AA915=AA914+1),IF(AC915=1,"",INDEX(DATAS,AA914+1)),INDEX(DATAS,AA914+1)),"")</f>
        <v/>
      </c>
    </row>
    <row r="915" customFormat="false" ht="15" hidden="false" customHeight="false" outlineLevel="0" collapsed="false">
      <c r="A915" s="51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46" t="s">
        <v>716</v>
      </c>
      <c r="G915" s="0" t="n">
        <v>60.7</v>
      </c>
      <c r="H915" s="0" t="n">
        <v>60</v>
      </c>
      <c r="I915" s="46" t="s">
        <v>161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X915" s="46" t="n">
        <f aca="false">IF(I915="Male",0,1)</f>
        <v>1</v>
      </c>
      <c r="Y915" s="46" t="n">
        <f aca="false">IF(OR(I915="DNB",I915="Dry DNB"),1,0)</f>
        <v>0</v>
      </c>
      <c r="Z915" s="0" t="str">
        <f aca="false">IF(ISNUMBER(W915),A915-W915,"")</f>
        <v/>
      </c>
      <c r="AA915" s="46" t="n">
        <f aca="false">MATCH(A915,DATAS,0)</f>
        <v>1</v>
      </c>
      <c r="AB915" s="46" t="n">
        <f aca="false">IF(AND(E915&gt;0,OR(AND(B915&gt;=1,B915&lt;=6),B915=10)),1,0)</f>
        <v>1</v>
      </c>
      <c r="AC915" s="46" t="n">
        <f aca="false">IF(AND(E915&gt;0,B915=10),1,0)</f>
        <v>0</v>
      </c>
      <c r="AD915" s="0" t="str">
        <f aca="false">IF(AND(C914=C915,AA914=AA915-1),AB914,"")</f>
        <v/>
      </c>
      <c r="AE915" s="0" t="str">
        <f aca="false">IF(AND(C914=C915,AA914=AA915-1),AC914,"")</f>
        <v/>
      </c>
      <c r="AF915" s="0" t="str">
        <f aca="false">IF(AA915=1,"",IF(AND(AB915=1,AD915&lt;&gt;1),1,0))</f>
        <v/>
      </c>
      <c r="AG915" s="0" t="str">
        <f aca="false">IF(AA915=1,"",IF(AND(AC915=1,AE915&lt;&gt;1),1,0))</f>
        <v/>
      </c>
      <c r="AH915" s="51" t="str">
        <f aca="false">IF(AND(E915&gt;0,AA915&lt;1,NOT(AND(C916=C915,AA916=AA915+1))),INDEX(DATAS,AA915+1),"")</f>
        <v/>
      </c>
      <c r="AI915" s="51" t="str">
        <f aca="false">IF(AND(AC915=1,AA915&lt;1),IF(AND(C916=C915,AA916=AA915+1),IF(AC916=1,"",INDEX(DATAS,AA915+1)),INDEX(DATAS,AA915+1)),"")</f>
        <v/>
      </c>
    </row>
    <row r="916" customFormat="false" ht="15" hidden="false" customHeight="false" outlineLevel="0" collapsed="false">
      <c r="A916" s="51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46" t="s">
        <v>717</v>
      </c>
      <c r="G916" s="0" t="n">
        <v>50.8</v>
      </c>
      <c r="H916" s="0" t="n">
        <v>53</v>
      </c>
      <c r="I916" s="46" t="s">
        <v>189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51" t="n">
        <v>46233</v>
      </c>
      <c r="X916" s="46" t="n">
        <f aca="false">IF(I916="Male",0,1)</f>
        <v>1</v>
      </c>
      <c r="Y916" s="46" t="n">
        <f aca="false">IF(OR(I916="DNB",I916="Dry DNB"),1,0)</f>
        <v>0</v>
      </c>
      <c r="Z916" s="46" t="n">
        <f aca="false">IF(ISNUMBER(W916),A916-W916,"")</f>
        <v>76</v>
      </c>
      <c r="AA916" s="46" t="n">
        <f aca="false">MATCH(A916,DATAS,0)</f>
        <v>1</v>
      </c>
      <c r="AB916" s="46" t="n">
        <f aca="false">IF(AND(E916&gt;0,OR(AND(B916&gt;=1,B916&lt;=6),B916=10)),1,0)</f>
        <v>1</v>
      </c>
      <c r="AC916" s="46" t="n">
        <f aca="false">IF(AND(E916&gt;0,B916=10),1,0)</f>
        <v>0</v>
      </c>
      <c r="AD916" s="0" t="str">
        <f aca="false">IF(AND(C915=C916,AA915=AA916-1),AB915,"")</f>
        <v/>
      </c>
      <c r="AE916" s="0" t="str">
        <f aca="false">IF(AND(C915=C916,AA915=AA916-1),AC915,"")</f>
        <v/>
      </c>
      <c r="AF916" s="0" t="str">
        <f aca="false">IF(AA916=1,"",IF(AND(AB916=1,AD916&lt;&gt;1),1,0))</f>
        <v/>
      </c>
      <c r="AG916" s="0" t="str">
        <f aca="false">IF(AA916=1,"",IF(AND(AC916=1,AE916&lt;&gt;1),1,0))</f>
        <v/>
      </c>
      <c r="AH916" s="51" t="str">
        <f aca="false">IF(AND(E916&gt;0,AA916&lt;1,NOT(AND(C917=C916,AA917=AA916+1))),INDEX(DATAS,AA916+1),"")</f>
        <v/>
      </c>
      <c r="AI916" s="51" t="str">
        <f aca="false">IF(AND(AC916=1,AA916&lt;1),IF(AND(C917=C916,AA917=AA916+1),IF(AC917=1,"",INDEX(DATAS,AA916+1)),INDEX(DATAS,AA916+1)),"")</f>
        <v/>
      </c>
    </row>
    <row r="917" customFormat="false" ht="15" hidden="false" customHeight="false" outlineLevel="0" collapsed="false">
      <c r="A917" s="51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46" t="s">
        <v>717</v>
      </c>
      <c r="G917" s="0" t="n">
        <v>56.4</v>
      </c>
      <c r="H917" s="0" t="n">
        <v>57</v>
      </c>
      <c r="I917" s="46" t="s">
        <v>181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51" t="n">
        <v>46289</v>
      </c>
      <c r="X917" s="46" t="n">
        <f aca="false">IF(I917="Male",0,1)</f>
        <v>1</v>
      </c>
      <c r="Y917" s="46" t="n">
        <f aca="false">IF(OR(I917="DNB",I917="Dry DNB"),1,0)</f>
        <v>0</v>
      </c>
      <c r="Z917" s="46" t="n">
        <f aca="false">IF(ISNUMBER(W917),A917-W917,"")</f>
        <v>20</v>
      </c>
      <c r="AA917" s="46" t="n">
        <f aca="false">MATCH(A917,DATAS,0)</f>
        <v>1</v>
      </c>
      <c r="AB917" s="46" t="n">
        <f aca="false">IF(AND(E917&gt;0,OR(AND(B917&gt;=1,B917&lt;=6),B917=10)),1,0)</f>
        <v>1</v>
      </c>
      <c r="AC917" s="46" t="n">
        <f aca="false">IF(AND(E917&gt;0,B917=10),1,0)</f>
        <v>0</v>
      </c>
      <c r="AD917" s="0" t="str">
        <f aca="false">IF(AND(C916=C917,AA916=AA917-1),AB916,"")</f>
        <v/>
      </c>
      <c r="AE917" s="0" t="str">
        <f aca="false">IF(AND(C916=C917,AA916=AA917-1),AC916,"")</f>
        <v/>
      </c>
      <c r="AF917" s="0" t="str">
        <f aca="false">IF(AA917=1,"",IF(AND(AB917=1,AD917&lt;&gt;1),1,0))</f>
        <v/>
      </c>
      <c r="AG917" s="0" t="str">
        <f aca="false">IF(AA917=1,"",IF(AND(AC917=1,AE917&lt;&gt;1),1,0))</f>
        <v/>
      </c>
      <c r="AH917" s="51" t="str">
        <f aca="false">IF(AND(E917&gt;0,AA917&lt;1,NOT(AND(C918=C917,AA918=AA917+1))),INDEX(DATAS,AA917+1),"")</f>
        <v/>
      </c>
      <c r="AI917" s="51" t="str">
        <f aca="false">IF(AND(AC917=1,AA917&lt;1),IF(AND(C918=C917,AA918=AA917+1),IF(AC918=1,"",INDEX(DATAS,AA917+1)),INDEX(DATAS,AA917+1)),"")</f>
        <v/>
      </c>
    </row>
    <row r="918" customFormat="false" ht="15" hidden="false" customHeight="false" outlineLevel="0" collapsed="false">
      <c r="A918" s="51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46" t="s">
        <v>718</v>
      </c>
      <c r="G918" s="0" t="n">
        <v>37.4</v>
      </c>
      <c r="H918" s="0" t="n">
        <v>35</v>
      </c>
      <c r="I918" s="46" t="s">
        <v>152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51" t="n">
        <v>46088</v>
      </c>
      <c r="X918" s="46" t="n">
        <f aca="false">IF(I918="Male",0,1)</f>
        <v>1</v>
      </c>
      <c r="Y918" s="46" t="n">
        <f aca="false">IF(OR(I918="DNB",I918="Dry DNB"),1,0)</f>
        <v>0</v>
      </c>
      <c r="Z918" s="46" t="n">
        <f aca="false">IF(ISNUMBER(W918),A918-W918,"")</f>
        <v>221</v>
      </c>
      <c r="AA918" s="46" t="n">
        <f aca="false">MATCH(A918,DATAS,0)</f>
        <v>1</v>
      </c>
      <c r="AB918" s="46" t="n">
        <f aca="false">IF(AND(E918&gt;0,OR(AND(B918&gt;=1,B918&lt;=6),B918=10)),1,0)</f>
        <v>1</v>
      </c>
      <c r="AC918" s="46" t="n">
        <f aca="false">IF(AND(E918&gt;0,B918=10),1,0)</f>
        <v>0</v>
      </c>
      <c r="AD918" s="0" t="str">
        <f aca="false">IF(AND(C917=C918,AA917=AA918-1),AB917,"")</f>
        <v/>
      </c>
      <c r="AE918" s="0" t="str">
        <f aca="false">IF(AND(C917=C918,AA917=AA918-1),AC917,"")</f>
        <v/>
      </c>
      <c r="AF918" s="0" t="str">
        <f aca="false">IF(AA918=1,"",IF(AND(AB918=1,AD918&lt;&gt;1),1,0))</f>
        <v/>
      </c>
      <c r="AG918" s="0" t="str">
        <f aca="false">IF(AA918=1,"",IF(AND(AC918=1,AE918&lt;&gt;1),1,0))</f>
        <v/>
      </c>
      <c r="AH918" s="51" t="str">
        <f aca="false">IF(AND(E918&gt;0,AA918&lt;1,NOT(AND(C919=C918,AA919=AA918+1))),INDEX(DATAS,AA918+1),"")</f>
        <v/>
      </c>
      <c r="AI918" s="51" t="str">
        <f aca="false">IF(AND(AC918=1,AA918&lt;1),IF(AND(C919=C918,AA919=AA918+1),IF(AC919=1,"",INDEX(DATAS,AA918+1)),INDEX(DATAS,AA918+1)),"")</f>
        <v/>
      </c>
    </row>
    <row r="919" customFormat="false" ht="15" hidden="false" customHeight="false" outlineLevel="0" collapsed="false">
      <c r="A919" s="51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46" t="s">
        <v>719</v>
      </c>
      <c r="G919" s="0" t="n">
        <v>67.2</v>
      </c>
      <c r="H919" s="0" t="n">
        <v>69</v>
      </c>
      <c r="I919" s="46" t="s">
        <v>181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51" t="n">
        <v>46282</v>
      </c>
      <c r="X919" s="46" t="n">
        <f aca="false">IF(I919="Male",0,1)</f>
        <v>1</v>
      </c>
      <c r="Y919" s="46" t="n">
        <f aca="false">IF(OR(I919="DNB",I919="Dry DNB"),1,0)</f>
        <v>0</v>
      </c>
      <c r="Z919" s="46" t="n">
        <f aca="false">IF(ISNUMBER(W919),A919-W919,"")</f>
        <v>27</v>
      </c>
      <c r="AA919" s="46" t="n">
        <f aca="false">MATCH(A919,DATAS,0)</f>
        <v>1</v>
      </c>
      <c r="AB919" s="46" t="n">
        <f aca="false">IF(AND(E919&gt;0,OR(AND(B919&gt;=1,B919&lt;=6),B919=10)),1,0)</f>
        <v>1</v>
      </c>
      <c r="AC919" s="46" t="n">
        <f aca="false">IF(AND(E919&gt;0,B919=10),1,0)</f>
        <v>0</v>
      </c>
      <c r="AD919" s="0" t="str">
        <f aca="false">IF(AND(C918=C919,AA918=AA919-1),AB918,"")</f>
        <v/>
      </c>
      <c r="AE919" s="0" t="str">
        <f aca="false">IF(AND(C918=C919,AA918=AA919-1),AC918,"")</f>
        <v/>
      </c>
      <c r="AF919" s="0" t="str">
        <f aca="false">IF(AA919=1,"",IF(AND(AB919=1,AD919&lt;&gt;1),1,0))</f>
        <v/>
      </c>
      <c r="AG919" s="0" t="str">
        <f aca="false">IF(AA919=1,"",IF(AND(AC919=1,AE919&lt;&gt;1),1,0))</f>
        <v/>
      </c>
      <c r="AH919" s="51" t="str">
        <f aca="false">IF(AND(E919&gt;0,AA919&lt;1,NOT(AND(C920=C919,AA920=AA919+1))),INDEX(DATAS,AA919+1),"")</f>
        <v/>
      </c>
      <c r="AI919" s="51" t="str">
        <f aca="false">IF(AND(AC919=1,AA919&lt;1),IF(AND(C920=C919,AA920=AA919+1),IF(AC920=1,"",INDEX(DATAS,AA919+1)),INDEX(DATAS,AA919+1)),"")</f>
        <v/>
      </c>
    </row>
    <row r="920" customFormat="false" ht="15" hidden="false" customHeight="false" outlineLevel="0" collapsed="false">
      <c r="A920" s="51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46" t="s">
        <v>719</v>
      </c>
      <c r="G920" s="0" t="n">
        <v>59.4</v>
      </c>
      <c r="H920" s="0" t="n">
        <v>58</v>
      </c>
      <c r="I920" s="46" t="s">
        <v>181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51" t="n">
        <v>46296</v>
      </c>
      <c r="X920" s="46" t="n">
        <f aca="false">IF(I920="Male",0,1)</f>
        <v>1</v>
      </c>
      <c r="Y920" s="46" t="n">
        <f aca="false">IF(OR(I920="DNB",I920="Dry DNB"),1,0)</f>
        <v>0</v>
      </c>
      <c r="Z920" s="46" t="n">
        <f aca="false">IF(ISNUMBER(W920),A920-W920,"")</f>
        <v>13</v>
      </c>
      <c r="AA920" s="46" t="n">
        <f aca="false">MATCH(A920,DATAS,0)</f>
        <v>1</v>
      </c>
      <c r="AB920" s="46" t="n">
        <f aca="false">IF(AND(E920&gt;0,OR(AND(B920&gt;=1,B920&lt;=6),B920=10)),1,0)</f>
        <v>1</v>
      </c>
      <c r="AC920" s="46" t="n">
        <f aca="false">IF(AND(E920&gt;0,B920=10),1,0)</f>
        <v>0</v>
      </c>
      <c r="AD920" s="0" t="str">
        <f aca="false">IF(AND(C919=C920,AA919=AA920-1),AB919,"")</f>
        <v/>
      </c>
      <c r="AE920" s="0" t="str">
        <f aca="false">IF(AND(C919=C920,AA919=AA920-1),AC919,"")</f>
        <v/>
      </c>
      <c r="AF920" s="0" t="str">
        <f aca="false">IF(AA920=1,"",IF(AND(AB920=1,AD920&lt;&gt;1),1,0))</f>
        <v/>
      </c>
      <c r="AG920" s="0" t="str">
        <f aca="false">IF(AA920=1,"",IF(AND(AC920=1,AE920&lt;&gt;1),1,0))</f>
        <v/>
      </c>
      <c r="AH920" s="51" t="str">
        <f aca="false">IF(AND(E920&gt;0,AA920&lt;1,NOT(AND(C921=C920,AA921=AA920+1))),INDEX(DATAS,AA920+1),"")</f>
        <v/>
      </c>
      <c r="AI920" s="51" t="str">
        <f aca="false">IF(AND(AC920=1,AA920&lt;1),IF(AND(C921=C920,AA921=AA920+1),IF(AC921=1,"",INDEX(DATAS,AA920+1)),INDEX(DATAS,AA920+1)),"")</f>
        <v/>
      </c>
    </row>
    <row r="921" customFormat="false" ht="15" hidden="false" customHeight="false" outlineLevel="0" collapsed="false">
      <c r="A921" s="51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46" t="s">
        <v>720</v>
      </c>
      <c r="G921" s="0" t="n">
        <v>56</v>
      </c>
      <c r="H921" s="0" t="n">
        <v>52</v>
      </c>
      <c r="I921" s="46" t="s">
        <v>152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51" t="n">
        <v>46219</v>
      </c>
      <c r="X921" s="46" t="n">
        <f aca="false">IF(I921="Male",0,1)</f>
        <v>1</v>
      </c>
      <c r="Y921" s="46" t="n">
        <f aca="false">IF(OR(I921="DNB",I921="Dry DNB"),1,0)</f>
        <v>0</v>
      </c>
      <c r="Z921" s="46" t="n">
        <f aca="false">IF(ISNUMBER(W921),A921-W921,"")</f>
        <v>90</v>
      </c>
      <c r="AA921" s="46" t="n">
        <f aca="false">MATCH(A921,DATAS,0)</f>
        <v>1</v>
      </c>
      <c r="AB921" s="46" t="n">
        <f aca="false">IF(AND(E921&gt;0,OR(AND(B921&gt;=1,B921&lt;=6),B921=10)),1,0)</f>
        <v>1</v>
      </c>
      <c r="AC921" s="46" t="n">
        <f aca="false">IF(AND(E921&gt;0,B921=10),1,0)</f>
        <v>0</v>
      </c>
      <c r="AD921" s="0" t="str">
        <f aca="false">IF(AND(C920=C921,AA920=AA921-1),AB920,"")</f>
        <v/>
      </c>
      <c r="AE921" s="0" t="str">
        <f aca="false">IF(AND(C920=C921,AA920=AA921-1),AC920,"")</f>
        <v/>
      </c>
      <c r="AF921" s="0" t="str">
        <f aca="false">IF(AA921=1,"",IF(AND(AB921=1,AD921&lt;&gt;1),1,0))</f>
        <v/>
      </c>
      <c r="AG921" s="0" t="str">
        <f aca="false">IF(AA921=1,"",IF(AND(AC921=1,AE921&lt;&gt;1),1,0))</f>
        <v/>
      </c>
      <c r="AH921" s="51" t="str">
        <f aca="false">IF(AND(E921&gt;0,AA921&lt;1,NOT(AND(C922=C921,AA922=AA921+1))),INDEX(DATAS,AA921+1),"")</f>
        <v/>
      </c>
      <c r="AI921" s="51" t="str">
        <f aca="false">IF(AND(AC921=1,AA921&lt;1),IF(AND(C922=C921,AA922=AA921+1),IF(AC922=1,"",INDEX(DATAS,AA921+1)),INDEX(DATAS,AA921+1)),"")</f>
        <v/>
      </c>
    </row>
    <row r="922" customFormat="false" ht="15" hidden="false" customHeight="false" outlineLevel="0" collapsed="false">
      <c r="A922" s="51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46" t="s">
        <v>721</v>
      </c>
      <c r="G922" s="0" t="n">
        <v>39.7</v>
      </c>
      <c r="H922" s="0" t="n">
        <v>35</v>
      </c>
      <c r="I922" s="46" t="s">
        <v>181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51" t="n">
        <v>46282</v>
      </c>
      <c r="X922" s="46" t="n">
        <f aca="false">IF(I922="Male",0,1)</f>
        <v>1</v>
      </c>
      <c r="Y922" s="46" t="n">
        <f aca="false">IF(OR(I922="DNB",I922="Dry DNB"),1,0)</f>
        <v>0</v>
      </c>
      <c r="Z922" s="46" t="n">
        <f aca="false">IF(ISNUMBER(W922),A922-W922,"")</f>
        <v>27</v>
      </c>
      <c r="AA922" s="46" t="n">
        <f aca="false">MATCH(A922,DATAS,0)</f>
        <v>1</v>
      </c>
      <c r="AB922" s="46" t="n">
        <f aca="false">IF(AND(E922&gt;0,OR(AND(B922&gt;=1,B922&lt;=6),B922=10)),1,0)</f>
        <v>1</v>
      </c>
      <c r="AC922" s="46" t="n">
        <f aca="false">IF(AND(E922&gt;0,B922=10),1,0)</f>
        <v>0</v>
      </c>
      <c r="AD922" s="0" t="str">
        <f aca="false">IF(AND(C921=C922,AA921=AA922-1),AB921,"")</f>
        <v/>
      </c>
      <c r="AE922" s="0" t="str">
        <f aca="false">IF(AND(C921=C922,AA921=AA922-1),AC921,"")</f>
        <v/>
      </c>
      <c r="AF922" s="0" t="str">
        <f aca="false">IF(AA922=1,"",IF(AND(AB922=1,AD922&lt;&gt;1),1,0))</f>
        <v/>
      </c>
      <c r="AG922" s="0" t="str">
        <f aca="false">IF(AA922=1,"",IF(AND(AC922=1,AE922&lt;&gt;1),1,0))</f>
        <v/>
      </c>
      <c r="AH922" s="51" t="str">
        <f aca="false">IF(AND(E922&gt;0,AA922&lt;1,NOT(AND(C923=C922,AA923=AA922+1))),INDEX(DATAS,AA922+1),"")</f>
        <v/>
      </c>
      <c r="AI922" s="51" t="str">
        <f aca="false">IF(AND(AC922=1,AA922&lt;1),IF(AND(C923=C922,AA923=AA922+1),IF(AC923=1,"",INDEX(DATAS,AA922+1)),INDEX(DATAS,AA922+1)),"")</f>
        <v/>
      </c>
    </row>
    <row r="923" customFormat="false" ht="15" hidden="false" customHeight="false" outlineLevel="0" collapsed="false">
      <c r="A923" s="51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46" t="s">
        <v>721</v>
      </c>
      <c r="G923" s="0" t="n">
        <v>57.1</v>
      </c>
      <c r="H923" s="0" t="n">
        <v>58</v>
      </c>
      <c r="I923" s="46" t="s">
        <v>152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51" t="n">
        <v>46254</v>
      </c>
      <c r="X923" s="46" t="n">
        <f aca="false">IF(I923="Male",0,1)</f>
        <v>1</v>
      </c>
      <c r="Y923" s="46" t="n">
        <f aca="false">IF(OR(I923="DNB",I923="Dry DNB"),1,0)</f>
        <v>0</v>
      </c>
      <c r="Z923" s="46" t="n">
        <f aca="false">IF(ISNUMBER(W923),A923-W923,"")</f>
        <v>55</v>
      </c>
      <c r="AA923" s="46" t="n">
        <f aca="false">MATCH(A923,DATAS,0)</f>
        <v>1</v>
      </c>
      <c r="AB923" s="46" t="n">
        <f aca="false">IF(AND(E923&gt;0,OR(AND(B923&gt;=1,B923&lt;=6),B923=10)),1,0)</f>
        <v>1</v>
      </c>
      <c r="AC923" s="46" t="n">
        <f aca="false">IF(AND(E923&gt;0,B923=10),1,0)</f>
        <v>0</v>
      </c>
      <c r="AD923" s="0" t="str">
        <f aca="false">IF(AND(C922=C923,AA922=AA923-1),AB922,"")</f>
        <v/>
      </c>
      <c r="AE923" s="0" t="str">
        <f aca="false">IF(AND(C922=C923,AA922=AA923-1),AC922,"")</f>
        <v/>
      </c>
      <c r="AF923" s="0" t="str">
        <f aca="false">IF(AA923=1,"",IF(AND(AB923=1,AD923&lt;&gt;1),1,0))</f>
        <v/>
      </c>
      <c r="AG923" s="0" t="str">
        <f aca="false">IF(AA923=1,"",IF(AND(AC923=1,AE923&lt;&gt;1),1,0))</f>
        <v/>
      </c>
      <c r="AH923" s="51" t="str">
        <f aca="false">IF(AND(E923&gt;0,AA923&lt;1,NOT(AND(C924=C923,AA924=AA923+1))),INDEX(DATAS,AA923+1),"")</f>
        <v/>
      </c>
      <c r="AI923" s="51" t="str">
        <f aca="false">IF(AND(AC923=1,AA923&lt;1),IF(AND(C924=C923,AA924=AA923+1),IF(AC924=1,"",INDEX(DATAS,AA923+1)),INDEX(DATAS,AA923+1)),"")</f>
        <v/>
      </c>
    </row>
    <row r="924" customFormat="false" ht="15" hidden="false" customHeight="false" outlineLevel="0" collapsed="false">
      <c r="A924" s="51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46" t="s">
        <v>722</v>
      </c>
      <c r="G924" s="0" t="n">
        <v>13.9</v>
      </c>
      <c r="H924" s="0" t="n">
        <v>36</v>
      </c>
      <c r="I924" s="46" t="s">
        <v>157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51" t="n">
        <v>46086</v>
      </c>
      <c r="X924" s="46" t="n">
        <f aca="false">IF(I924="Male",0,1)</f>
        <v>1</v>
      </c>
      <c r="Y924" s="46" t="n">
        <f aca="false">IF(OR(I924="DNB",I924="Dry DNB"),1,0)</f>
        <v>0</v>
      </c>
      <c r="Z924" s="46" t="n">
        <f aca="false">IF(ISNUMBER(W924),A924-W924,"")</f>
        <v>223</v>
      </c>
      <c r="AA924" s="46" t="n">
        <f aca="false">MATCH(A924,DATAS,0)</f>
        <v>1</v>
      </c>
      <c r="AB924" s="46" t="n">
        <f aca="false">IF(AND(E924&gt;0,OR(AND(B924&gt;=1,B924&lt;=6),B924=10)),1,0)</f>
        <v>0</v>
      </c>
      <c r="AC924" s="46" t="n">
        <f aca="false">IF(AND(E924&gt;0,B924=10),1,0)</f>
        <v>0</v>
      </c>
      <c r="AD924" s="0" t="str">
        <f aca="false">IF(AND(C923=C924,AA923=AA924-1),AB923,"")</f>
        <v/>
      </c>
      <c r="AE924" s="0" t="str">
        <f aca="false">IF(AND(C923=C924,AA923=AA924-1),AC923,"")</f>
        <v/>
      </c>
      <c r="AF924" s="0" t="str">
        <f aca="false">IF(AA924=1,"",IF(AND(AB924=1,AD924&lt;&gt;1),1,0))</f>
        <v/>
      </c>
      <c r="AG924" s="0" t="str">
        <f aca="false">IF(AA924=1,"",IF(AND(AC924=1,AE924&lt;&gt;1),1,0))</f>
        <v/>
      </c>
      <c r="AH924" s="51" t="str">
        <f aca="false">IF(AND(E924&gt;0,AA924&lt;1,NOT(AND(C925=C924,AA925=AA924+1))),INDEX(DATAS,AA924+1),"")</f>
        <v/>
      </c>
      <c r="AI924" s="51" t="str">
        <f aca="false">IF(AND(AC924=1,AA924&lt;1),IF(AND(C925=C924,AA925=AA924+1),IF(AC925=1,"",INDEX(DATAS,AA924+1)),INDEX(DATAS,AA924+1)),"")</f>
        <v/>
      </c>
    </row>
    <row r="925" customFormat="false" ht="15" hidden="false" customHeight="false" outlineLevel="0" collapsed="false">
      <c r="A925" s="51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46" t="s">
        <v>723</v>
      </c>
      <c r="G925" s="0" t="n">
        <v>30.5</v>
      </c>
      <c r="H925" s="0" t="n">
        <v>31</v>
      </c>
      <c r="I925" s="46" t="s">
        <v>138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51" t="n">
        <v>46277</v>
      </c>
      <c r="X925" s="46" t="n">
        <f aca="false">IF(I925="Male",0,1)</f>
        <v>1</v>
      </c>
      <c r="Y925" s="46" t="n">
        <f aca="false">IF(OR(I925="DNB",I925="Dry DNB"),1,0)</f>
        <v>1</v>
      </c>
      <c r="Z925" s="46" t="n">
        <f aca="false">IF(ISNUMBER(W925),A925-W925,"")</f>
        <v>32</v>
      </c>
      <c r="AA925" s="46" t="n">
        <f aca="false">MATCH(A925,DATAS,0)</f>
        <v>1</v>
      </c>
      <c r="AB925" s="46" t="n">
        <f aca="false">IF(AND(E925&gt;0,OR(AND(B925&gt;=1,B925&lt;=6),B925=10)),1,0)</f>
        <v>1</v>
      </c>
      <c r="AC925" s="46" t="n">
        <f aca="false">IF(AND(E925&gt;0,B925=10),1,0)</f>
        <v>0</v>
      </c>
      <c r="AD925" s="0" t="str">
        <f aca="false">IF(AND(C924=C925,AA924=AA925-1),AB924,"")</f>
        <v/>
      </c>
      <c r="AE925" s="0" t="str">
        <f aca="false">IF(AND(C924=C925,AA924=AA925-1),AC924,"")</f>
        <v/>
      </c>
      <c r="AF925" s="0" t="str">
        <f aca="false">IF(AA925=1,"",IF(AND(AB925=1,AD925&lt;&gt;1),1,0))</f>
        <v/>
      </c>
      <c r="AG925" s="0" t="str">
        <f aca="false">IF(AA925=1,"",IF(AND(AC925=1,AE925&lt;&gt;1),1,0))</f>
        <v/>
      </c>
      <c r="AH925" s="51" t="str">
        <f aca="false">IF(AND(E925&gt;0,AA925&lt;1,NOT(AND(C926=C925,AA926=AA925+1))),INDEX(DATAS,AA925+1),"")</f>
        <v/>
      </c>
      <c r="AI925" s="51" t="str">
        <f aca="false">IF(AND(AC925=1,AA925&lt;1),IF(AND(C926=C925,AA926=AA925+1),IF(AC926=1,"",INDEX(DATAS,AA925+1)),INDEX(DATAS,AA925+1)),"")</f>
        <v/>
      </c>
    </row>
    <row r="926" customFormat="false" ht="15" hidden="false" customHeight="false" outlineLevel="0" collapsed="false">
      <c r="A926" s="51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46" t="s">
        <v>723</v>
      </c>
      <c r="G926" s="0" t="n">
        <v>56</v>
      </c>
      <c r="H926" s="0" t="n">
        <v>56</v>
      </c>
      <c r="I926" s="46" t="s">
        <v>181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51" t="n">
        <v>46289</v>
      </c>
      <c r="X926" s="46" t="n">
        <f aca="false">IF(I926="Male",0,1)</f>
        <v>1</v>
      </c>
      <c r="Y926" s="46" t="n">
        <f aca="false">IF(OR(I926="DNB",I926="Dry DNB"),1,0)</f>
        <v>0</v>
      </c>
      <c r="Z926" s="46" t="n">
        <f aca="false">IF(ISNUMBER(W926),A926-W926,"")</f>
        <v>20</v>
      </c>
      <c r="AA926" s="46" t="n">
        <f aca="false">MATCH(A926,DATAS,0)</f>
        <v>1</v>
      </c>
      <c r="AB926" s="46" t="n">
        <f aca="false">IF(AND(E926&gt;0,OR(AND(B926&gt;=1,B926&lt;=6),B926=10)),1,0)</f>
        <v>1</v>
      </c>
      <c r="AC926" s="46" t="n">
        <f aca="false">IF(AND(E926&gt;0,B926=10),1,0)</f>
        <v>0</v>
      </c>
      <c r="AD926" s="0" t="str">
        <f aca="false">IF(AND(C925=C926,AA925=AA926-1),AB925,"")</f>
        <v/>
      </c>
      <c r="AE926" s="0" t="str">
        <f aca="false">IF(AND(C925=C926,AA925=AA926-1),AC925,"")</f>
        <v/>
      </c>
      <c r="AF926" s="0" t="str">
        <f aca="false">IF(AA926=1,"",IF(AND(AB926=1,AD926&lt;&gt;1),1,0))</f>
        <v/>
      </c>
      <c r="AG926" s="0" t="str">
        <f aca="false">IF(AA926=1,"",IF(AND(AC926=1,AE926&lt;&gt;1),1,0))</f>
        <v/>
      </c>
      <c r="AH926" s="51" t="str">
        <f aca="false">IF(AND(E926&gt;0,AA926&lt;1,NOT(AND(C927=C926,AA927=AA926+1))),INDEX(DATAS,AA926+1),"")</f>
        <v/>
      </c>
      <c r="AI926" s="51" t="str">
        <f aca="false">IF(AND(AC926=1,AA926&lt;1),IF(AND(C927=C926,AA927=AA926+1),IF(AC927=1,"",INDEX(DATAS,AA926+1)),INDEX(DATAS,AA926+1)),"")</f>
        <v/>
      </c>
    </row>
    <row r="927" customFormat="false" ht="15" hidden="false" customHeight="false" outlineLevel="0" collapsed="false">
      <c r="A927" s="51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46" t="s">
        <v>723</v>
      </c>
      <c r="G927" s="0" t="n">
        <v>30.9</v>
      </c>
      <c r="H927" s="0" t="n">
        <v>27</v>
      </c>
      <c r="I927" s="46" t="s">
        <v>181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51" t="n">
        <v>46289</v>
      </c>
      <c r="X927" s="46" t="n">
        <f aca="false">IF(I927="Male",0,1)</f>
        <v>1</v>
      </c>
      <c r="Y927" s="46" t="n">
        <f aca="false">IF(OR(I927="DNB",I927="Dry DNB"),1,0)</f>
        <v>0</v>
      </c>
      <c r="Z927" s="46" t="n">
        <f aca="false">IF(ISNUMBER(W927),A927-W927,"")</f>
        <v>20</v>
      </c>
      <c r="AA927" s="46" t="n">
        <f aca="false">MATCH(A927,DATAS,0)</f>
        <v>1</v>
      </c>
      <c r="AB927" s="46" t="n">
        <f aca="false">IF(AND(E927&gt;0,OR(AND(B927&gt;=1,B927&lt;=6),B927=10)),1,0)</f>
        <v>1</v>
      </c>
      <c r="AC927" s="46" t="n">
        <f aca="false">IF(AND(E927&gt;0,B927=10),1,0)</f>
        <v>0</v>
      </c>
      <c r="AD927" s="0" t="str">
        <f aca="false">IF(AND(C926=C927,AA926=AA927-1),AB926,"")</f>
        <v/>
      </c>
      <c r="AE927" s="0" t="str">
        <f aca="false">IF(AND(C926=C927,AA926=AA927-1),AC926,"")</f>
        <v/>
      </c>
      <c r="AF927" s="0" t="str">
        <f aca="false">IF(AA927=1,"",IF(AND(AB927=1,AD927&lt;&gt;1),1,0))</f>
        <v/>
      </c>
      <c r="AG927" s="0" t="str">
        <f aca="false">IF(AA927=1,"",IF(AND(AC927=1,AE927&lt;&gt;1),1,0))</f>
        <v/>
      </c>
      <c r="AH927" s="51" t="str">
        <f aca="false">IF(AND(E927&gt;0,AA927&lt;1,NOT(AND(C928=C927,AA928=AA927+1))),INDEX(DATAS,AA927+1),"")</f>
        <v/>
      </c>
      <c r="AI927" s="51" t="str">
        <f aca="false">IF(AND(AC927=1,AA927&lt;1),IF(AND(C928=C927,AA928=AA927+1),IF(AC928=1,"",INDEX(DATAS,AA927+1)),INDEX(DATAS,AA927+1)),"")</f>
        <v/>
      </c>
    </row>
    <row r="928" customFormat="false" ht="15" hidden="false" customHeight="false" outlineLevel="0" collapsed="false">
      <c r="A928" s="51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46" t="s">
        <v>724</v>
      </c>
      <c r="G928" s="0" t="n">
        <v>52</v>
      </c>
      <c r="H928" s="0" t="n">
        <v>51</v>
      </c>
      <c r="I928" s="46" t="s">
        <v>181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51" t="n">
        <v>46307</v>
      </c>
      <c r="X928" s="46" t="n">
        <f aca="false">IF(I928="Male",0,1)</f>
        <v>1</v>
      </c>
      <c r="Y928" s="46" t="n">
        <f aca="false">IF(OR(I928="DNB",I928="Dry DNB"),1,0)</f>
        <v>0</v>
      </c>
      <c r="Z928" s="46" t="n">
        <f aca="false">IF(ISNUMBER(W928),A928-W928,"")</f>
        <v>2</v>
      </c>
      <c r="AA928" s="46" t="n">
        <f aca="false">MATCH(A928,DATAS,0)</f>
        <v>1</v>
      </c>
      <c r="AB928" s="46" t="n">
        <f aca="false">IF(AND(E928&gt;0,OR(AND(B928&gt;=1,B928&lt;=6),B928=10)),1,0)</f>
        <v>1</v>
      </c>
      <c r="AC928" s="46" t="n">
        <f aca="false">IF(AND(E928&gt;0,B928=10),1,0)</f>
        <v>0</v>
      </c>
      <c r="AD928" s="0" t="str">
        <f aca="false">IF(AND(C927=C928,AA927=AA928-1),AB927,"")</f>
        <v/>
      </c>
      <c r="AE928" s="0" t="str">
        <f aca="false">IF(AND(C927=C928,AA927=AA928-1),AC927,"")</f>
        <v/>
      </c>
      <c r="AF928" s="0" t="str">
        <f aca="false">IF(AA928=1,"",IF(AND(AB928=1,AD928&lt;&gt;1),1,0))</f>
        <v/>
      </c>
      <c r="AG928" s="0" t="str">
        <f aca="false">IF(AA928=1,"",IF(AND(AC928=1,AE928&lt;&gt;1),1,0))</f>
        <v/>
      </c>
      <c r="AH928" s="51" t="str">
        <f aca="false">IF(AND(E928&gt;0,AA928&lt;1,NOT(AND(C929=C928,AA929=AA928+1))),INDEX(DATAS,AA928+1),"")</f>
        <v/>
      </c>
      <c r="AI928" s="51" t="str">
        <f aca="false">IF(AND(AC928=1,AA928&lt;1),IF(AND(C929=C928,AA929=AA928+1),IF(AC929=1,"",INDEX(DATAS,AA928+1)),INDEX(DATAS,AA928+1)),"")</f>
        <v/>
      </c>
    </row>
    <row r="929" customFormat="false" ht="15" hidden="false" customHeight="false" outlineLevel="0" collapsed="false">
      <c r="A929" s="51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46" t="s">
        <v>725</v>
      </c>
      <c r="G929" s="0" t="n">
        <v>53.9</v>
      </c>
      <c r="H929" s="0" t="n">
        <v>55</v>
      </c>
      <c r="I929" s="46" t="s">
        <v>152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51" t="n">
        <v>46275</v>
      </c>
      <c r="X929" s="46" t="n">
        <f aca="false">IF(I929="Male",0,1)</f>
        <v>1</v>
      </c>
      <c r="Y929" s="46" t="n">
        <f aca="false">IF(OR(I929="DNB",I929="Dry DNB"),1,0)</f>
        <v>0</v>
      </c>
      <c r="Z929" s="46" t="n">
        <f aca="false">IF(ISNUMBER(W929),A929-W929,"")</f>
        <v>34</v>
      </c>
      <c r="AA929" s="46" t="n">
        <f aca="false">MATCH(A929,DATAS,0)</f>
        <v>1</v>
      </c>
      <c r="AB929" s="46" t="n">
        <f aca="false">IF(AND(E929&gt;0,OR(AND(B929&gt;=1,B929&lt;=6),B929=10)),1,0)</f>
        <v>1</v>
      </c>
      <c r="AC929" s="46" t="n">
        <f aca="false">IF(AND(E929&gt;0,B929=10),1,0)</f>
        <v>0</v>
      </c>
      <c r="AD929" s="0" t="str">
        <f aca="false">IF(AND(C928=C929,AA928=AA929-1),AB928,"")</f>
        <v/>
      </c>
      <c r="AE929" s="0" t="str">
        <f aca="false">IF(AND(C928=C929,AA928=AA929-1),AC928,"")</f>
        <v/>
      </c>
      <c r="AF929" s="0" t="str">
        <f aca="false">IF(AA929=1,"",IF(AND(AB929=1,AD929&lt;&gt;1),1,0))</f>
        <v/>
      </c>
      <c r="AG929" s="0" t="str">
        <f aca="false">IF(AA929=1,"",IF(AND(AC929=1,AE929&lt;&gt;1),1,0))</f>
        <v/>
      </c>
      <c r="AH929" s="51" t="str">
        <f aca="false">IF(AND(E929&gt;0,AA929&lt;1,NOT(AND(C930=C929,AA930=AA929+1))),INDEX(DATAS,AA929+1),"")</f>
        <v/>
      </c>
      <c r="AI929" s="51" t="str">
        <f aca="false">IF(AND(AC929=1,AA929&lt;1),IF(AND(C930=C929,AA930=AA929+1),IF(AC930=1,"",INDEX(DATAS,AA929+1)),INDEX(DATAS,AA929+1)),"")</f>
        <v/>
      </c>
    </row>
    <row r="930" customFormat="false" ht="15" hidden="false" customHeight="false" outlineLevel="0" collapsed="false">
      <c r="A930" s="51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46" t="s">
        <v>726</v>
      </c>
      <c r="G930" s="0" t="n">
        <v>48</v>
      </c>
      <c r="H930" s="0" t="n">
        <v>48</v>
      </c>
      <c r="I930" s="46" t="s">
        <v>161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X930" s="46" t="n">
        <f aca="false">IF(I930="Male",0,1)</f>
        <v>1</v>
      </c>
      <c r="Y930" s="46" t="n">
        <f aca="false">IF(OR(I930="DNB",I930="Dry DNB"),1,0)</f>
        <v>0</v>
      </c>
      <c r="Z930" s="0" t="str">
        <f aca="false">IF(ISNUMBER(W930),A930-W930,"")</f>
        <v/>
      </c>
      <c r="AA930" s="46" t="n">
        <f aca="false">MATCH(A930,DATAS,0)</f>
        <v>1</v>
      </c>
      <c r="AB930" s="46" t="n">
        <f aca="false">IF(AND(E930&gt;0,OR(AND(B930&gt;=1,B930&lt;=6),B930=10)),1,0)</f>
        <v>1</v>
      </c>
      <c r="AC930" s="46" t="n">
        <f aca="false">IF(AND(E930&gt;0,B930=10),1,0)</f>
        <v>0</v>
      </c>
      <c r="AD930" s="0" t="str">
        <f aca="false">IF(AND(C929=C930,AA929=AA930-1),AB929,"")</f>
        <v/>
      </c>
      <c r="AE930" s="0" t="str">
        <f aca="false">IF(AND(C929=C930,AA929=AA930-1),AC929,"")</f>
        <v/>
      </c>
      <c r="AF930" s="0" t="str">
        <f aca="false">IF(AA930=1,"",IF(AND(AB930=1,AD930&lt;&gt;1),1,0))</f>
        <v/>
      </c>
      <c r="AG930" s="0" t="str">
        <f aca="false">IF(AA930=1,"",IF(AND(AC930=1,AE930&lt;&gt;1),1,0))</f>
        <v/>
      </c>
      <c r="AH930" s="51" t="str">
        <f aca="false">IF(AND(E930&gt;0,AA930&lt;1,NOT(AND(C931=C930,AA931=AA930+1))),INDEX(DATAS,AA930+1),"")</f>
        <v/>
      </c>
      <c r="AI930" s="51" t="str">
        <f aca="false">IF(AND(AC930=1,AA930&lt;1),IF(AND(C931=C930,AA931=AA930+1),IF(AC931=1,"",INDEX(DATAS,AA930+1)),INDEX(DATAS,AA930+1)),"")</f>
        <v/>
      </c>
    </row>
    <row r="931" customFormat="false" ht="15" hidden="false" customHeight="false" outlineLevel="0" collapsed="false">
      <c r="A931" s="51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46" t="s">
        <v>726</v>
      </c>
      <c r="G931" s="0" t="n">
        <v>23</v>
      </c>
      <c r="H931" s="0" t="n">
        <v>23</v>
      </c>
      <c r="I931" s="46" t="s">
        <v>152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51" t="n">
        <v>46230</v>
      </c>
      <c r="X931" s="46" t="n">
        <f aca="false">IF(I931="Male",0,1)</f>
        <v>1</v>
      </c>
      <c r="Y931" s="46" t="n">
        <f aca="false">IF(OR(I931="DNB",I931="Dry DNB"),1,0)</f>
        <v>0</v>
      </c>
      <c r="Z931" s="46" t="n">
        <f aca="false">IF(ISNUMBER(W931),A931-W931,"")</f>
        <v>79</v>
      </c>
      <c r="AA931" s="46" t="n">
        <f aca="false">MATCH(A931,DATAS,0)</f>
        <v>1</v>
      </c>
      <c r="AB931" s="46" t="n">
        <f aca="false">IF(AND(E931&gt;0,OR(AND(B931&gt;=1,B931&lt;=6),B931=10)),1,0)</f>
        <v>1</v>
      </c>
      <c r="AC931" s="46" t="n">
        <f aca="false">IF(AND(E931&gt;0,B931=10),1,0)</f>
        <v>0</v>
      </c>
      <c r="AD931" s="0" t="str">
        <f aca="false">IF(AND(C930=C931,AA930=AA931-1),AB930,"")</f>
        <v/>
      </c>
      <c r="AE931" s="0" t="str">
        <f aca="false">IF(AND(C930=C931,AA930=AA931-1),AC930,"")</f>
        <v/>
      </c>
      <c r="AF931" s="0" t="str">
        <f aca="false">IF(AA931=1,"",IF(AND(AB931=1,AD931&lt;&gt;1),1,0))</f>
        <v/>
      </c>
      <c r="AG931" s="0" t="str">
        <f aca="false">IF(AA931=1,"",IF(AND(AC931=1,AE931&lt;&gt;1),1,0))</f>
        <v/>
      </c>
      <c r="AH931" s="51" t="str">
        <f aca="false">IF(AND(E931&gt;0,AA931&lt;1,NOT(AND(C932=C931,AA932=AA931+1))),INDEX(DATAS,AA931+1),"")</f>
        <v/>
      </c>
      <c r="AI931" s="51" t="str">
        <f aca="false">IF(AND(AC931=1,AA931&lt;1),IF(AND(C932=C931,AA932=AA931+1),IF(AC932=1,"",INDEX(DATAS,AA931+1)),INDEX(DATAS,AA931+1)),"")</f>
        <v/>
      </c>
    </row>
    <row r="932" customFormat="false" ht="15" hidden="false" customHeight="false" outlineLevel="0" collapsed="false">
      <c r="A932" s="51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46" t="s">
        <v>727</v>
      </c>
      <c r="G932" s="0" t="n">
        <v>38.2</v>
      </c>
      <c r="H932" s="0" t="n">
        <v>37</v>
      </c>
      <c r="I932" s="46" t="s">
        <v>189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51" t="n">
        <v>46163</v>
      </c>
      <c r="X932" s="46" t="n">
        <f aca="false">IF(I932="Male",0,1)</f>
        <v>1</v>
      </c>
      <c r="Y932" s="46" t="n">
        <f aca="false">IF(OR(I932="DNB",I932="Dry DNB"),1,0)</f>
        <v>0</v>
      </c>
      <c r="Z932" s="46" t="n">
        <f aca="false">IF(ISNUMBER(W932),A932-W932,"")</f>
        <v>146</v>
      </c>
      <c r="AA932" s="46" t="n">
        <f aca="false">MATCH(A932,DATAS,0)</f>
        <v>1</v>
      </c>
      <c r="AB932" s="46" t="n">
        <f aca="false">IF(AND(E932&gt;0,OR(AND(B932&gt;=1,B932&lt;=6),B932=10)),1,0)</f>
        <v>1</v>
      </c>
      <c r="AC932" s="46" t="n">
        <f aca="false">IF(AND(E932&gt;0,B932=10),1,0)</f>
        <v>0</v>
      </c>
      <c r="AD932" s="0" t="str">
        <f aca="false">IF(AND(C931=C932,AA931=AA932-1),AB931,"")</f>
        <v/>
      </c>
      <c r="AE932" s="0" t="str">
        <f aca="false">IF(AND(C931=C932,AA931=AA932-1),AC931,"")</f>
        <v/>
      </c>
      <c r="AF932" s="0" t="str">
        <f aca="false">IF(AA932=1,"",IF(AND(AB932=1,AD932&lt;&gt;1),1,0))</f>
        <v/>
      </c>
      <c r="AG932" s="0" t="str">
        <f aca="false">IF(AA932=1,"",IF(AND(AC932=1,AE932&lt;&gt;1),1,0))</f>
        <v/>
      </c>
      <c r="AH932" s="51" t="str">
        <f aca="false">IF(AND(E932&gt;0,AA932&lt;1,NOT(AND(C933=C932,AA933=AA932+1))),INDEX(DATAS,AA932+1),"")</f>
        <v/>
      </c>
      <c r="AI932" s="51" t="str">
        <f aca="false">IF(AND(AC932=1,AA932&lt;1),IF(AND(C933=C932,AA933=AA932+1),IF(AC933=1,"",INDEX(DATAS,AA932+1)),INDEX(DATAS,AA932+1)),"")</f>
        <v/>
      </c>
    </row>
    <row r="933" customFormat="false" ht="15" hidden="false" customHeight="false" outlineLevel="0" collapsed="false">
      <c r="A933" s="51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46" t="s">
        <v>727</v>
      </c>
      <c r="G933" s="0" t="n">
        <v>48.6</v>
      </c>
      <c r="H933" s="0" t="n">
        <v>44</v>
      </c>
      <c r="I933" s="46" t="s">
        <v>181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51" t="n">
        <v>46303</v>
      </c>
      <c r="X933" s="46" t="n">
        <f aca="false">IF(I933="Male",0,1)</f>
        <v>1</v>
      </c>
      <c r="Y933" s="46" t="n">
        <f aca="false">IF(OR(I933="DNB",I933="Dry DNB"),1,0)</f>
        <v>0</v>
      </c>
      <c r="Z933" s="46" t="n">
        <f aca="false">IF(ISNUMBER(W933),A933-W933,"")</f>
        <v>6</v>
      </c>
      <c r="AA933" s="46" t="n">
        <f aca="false">MATCH(A933,DATAS,0)</f>
        <v>1</v>
      </c>
      <c r="AB933" s="46" t="n">
        <f aca="false">IF(AND(E933&gt;0,OR(AND(B933&gt;=1,B933&lt;=6),B933=10)),1,0)</f>
        <v>1</v>
      </c>
      <c r="AC933" s="46" t="n">
        <f aca="false">IF(AND(E933&gt;0,B933=10),1,0)</f>
        <v>0</v>
      </c>
      <c r="AD933" s="0" t="str">
        <f aca="false">IF(AND(C932=C933,AA932=AA933-1),AB932,"")</f>
        <v/>
      </c>
      <c r="AE933" s="0" t="str">
        <f aca="false">IF(AND(C932=C933,AA932=AA933-1),AC932,"")</f>
        <v/>
      </c>
      <c r="AF933" s="0" t="str">
        <f aca="false">IF(AA933=1,"",IF(AND(AB933=1,AD933&lt;&gt;1),1,0))</f>
        <v/>
      </c>
      <c r="AG933" s="0" t="str">
        <f aca="false">IF(AA933=1,"",IF(AND(AC933=1,AE933&lt;&gt;1),1,0))</f>
        <v/>
      </c>
      <c r="AH933" s="51" t="str">
        <f aca="false">IF(AND(E933&gt;0,AA933&lt;1,NOT(AND(C934=C933,AA934=AA933+1))),INDEX(DATAS,AA933+1),"")</f>
        <v/>
      </c>
      <c r="AI933" s="51" t="str">
        <f aca="false">IF(AND(AC933=1,AA933&lt;1),IF(AND(C934=C933,AA934=AA933+1),IF(AC934=1,"",INDEX(DATAS,AA933+1)),INDEX(DATAS,AA933+1)),"")</f>
        <v/>
      </c>
    </row>
    <row r="934" customFormat="false" ht="15" hidden="false" customHeight="false" outlineLevel="0" collapsed="false">
      <c r="A934" s="51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46" t="s">
        <v>727</v>
      </c>
      <c r="G934" s="0" t="n">
        <v>47.6</v>
      </c>
      <c r="H934" s="0" t="n">
        <v>47</v>
      </c>
      <c r="I934" s="46" t="s">
        <v>189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51" t="n">
        <v>46247</v>
      </c>
      <c r="X934" s="46" t="n">
        <f aca="false">IF(I934="Male",0,1)</f>
        <v>1</v>
      </c>
      <c r="Y934" s="46" t="n">
        <f aca="false">IF(OR(I934="DNB",I934="Dry DNB"),1,0)</f>
        <v>0</v>
      </c>
      <c r="Z934" s="46" t="n">
        <f aca="false">IF(ISNUMBER(W934),A934-W934,"")</f>
        <v>62</v>
      </c>
      <c r="AA934" s="46" t="n">
        <f aca="false">MATCH(A934,DATAS,0)</f>
        <v>1</v>
      </c>
      <c r="AB934" s="46" t="n">
        <f aca="false">IF(AND(E934&gt;0,OR(AND(B934&gt;=1,B934&lt;=6),B934=10)),1,0)</f>
        <v>1</v>
      </c>
      <c r="AC934" s="46" t="n">
        <f aca="false">IF(AND(E934&gt;0,B934=10),1,0)</f>
        <v>0</v>
      </c>
      <c r="AD934" s="0" t="str">
        <f aca="false">IF(AND(C933=C934,AA933=AA934-1),AB933,"")</f>
        <v/>
      </c>
      <c r="AE934" s="0" t="str">
        <f aca="false">IF(AND(C933=C934,AA933=AA934-1),AC933,"")</f>
        <v/>
      </c>
      <c r="AF934" s="0" t="str">
        <f aca="false">IF(AA934=1,"",IF(AND(AB934=1,AD934&lt;&gt;1),1,0))</f>
        <v/>
      </c>
      <c r="AG934" s="0" t="str">
        <f aca="false">IF(AA934=1,"",IF(AND(AC934=1,AE934&lt;&gt;1),1,0))</f>
        <v/>
      </c>
      <c r="AH934" s="51" t="str">
        <f aca="false">IF(AND(E934&gt;0,AA934&lt;1,NOT(AND(C935=C934,AA935=AA934+1))),INDEX(DATAS,AA934+1),"")</f>
        <v/>
      </c>
      <c r="AI934" s="51" t="str">
        <f aca="false">IF(AND(AC934=1,AA934&lt;1),IF(AND(C935=C934,AA935=AA934+1),IF(AC935=1,"",INDEX(DATAS,AA934+1)),INDEX(DATAS,AA934+1)),"")</f>
        <v/>
      </c>
    </row>
    <row r="935" customFormat="false" ht="15" hidden="false" customHeight="false" outlineLevel="0" collapsed="false">
      <c r="A935" s="51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46" t="s">
        <v>727</v>
      </c>
      <c r="G935" s="0" t="n">
        <v>44.5</v>
      </c>
      <c r="H935" s="0" t="n">
        <v>45</v>
      </c>
      <c r="I935" s="46" t="s">
        <v>152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51" t="n">
        <v>46128</v>
      </c>
      <c r="X935" s="46" t="n">
        <f aca="false">IF(I935="Male",0,1)</f>
        <v>1</v>
      </c>
      <c r="Y935" s="46" t="n">
        <f aca="false">IF(OR(I935="DNB",I935="Dry DNB"),1,0)</f>
        <v>0</v>
      </c>
      <c r="Z935" s="46" t="n">
        <f aca="false">IF(ISNUMBER(W935),A935-W935,"")</f>
        <v>181</v>
      </c>
      <c r="AA935" s="46" t="n">
        <f aca="false">MATCH(A935,DATAS,0)</f>
        <v>1</v>
      </c>
      <c r="AB935" s="46" t="n">
        <f aca="false">IF(AND(E935&gt;0,OR(AND(B935&gt;=1,B935&lt;=6),B935=10)),1,0)</f>
        <v>1</v>
      </c>
      <c r="AC935" s="46" t="n">
        <f aca="false">IF(AND(E935&gt;0,B935=10),1,0)</f>
        <v>0</v>
      </c>
      <c r="AD935" s="0" t="str">
        <f aca="false">IF(AND(C934=C935,AA934=AA935-1),AB934,"")</f>
        <v/>
      </c>
      <c r="AE935" s="0" t="str">
        <f aca="false">IF(AND(C934=C935,AA934=AA935-1),AC934,"")</f>
        <v/>
      </c>
      <c r="AF935" s="0" t="str">
        <f aca="false">IF(AA935=1,"",IF(AND(AB935=1,AD935&lt;&gt;1),1,0))</f>
        <v/>
      </c>
      <c r="AG935" s="0" t="str">
        <f aca="false">IF(AA935=1,"",IF(AND(AC935=1,AE935&lt;&gt;1),1,0))</f>
        <v/>
      </c>
      <c r="AH935" s="51" t="str">
        <f aca="false">IF(AND(E935&gt;0,AA935&lt;1,NOT(AND(C936=C935,AA936=AA935+1))),INDEX(DATAS,AA935+1),"")</f>
        <v/>
      </c>
      <c r="AI935" s="51" t="str">
        <f aca="false">IF(AND(AC935=1,AA935&lt;1),IF(AND(C936=C935,AA936=AA935+1),IF(AC936=1,"",INDEX(DATAS,AA935+1)),INDEX(DATAS,AA935+1)),"")</f>
        <v/>
      </c>
    </row>
    <row r="936" customFormat="false" ht="15" hidden="false" customHeight="false" outlineLevel="0" collapsed="false">
      <c r="A936" s="51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46" t="s">
        <v>728</v>
      </c>
      <c r="G936" s="0" t="n">
        <v>30</v>
      </c>
      <c r="H936" s="0" t="n">
        <v>34</v>
      </c>
      <c r="I936" s="46" t="s">
        <v>152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51" t="n">
        <v>46233</v>
      </c>
      <c r="X936" s="46" t="n">
        <f aca="false">IF(I936="Male",0,1)</f>
        <v>1</v>
      </c>
      <c r="Y936" s="46" t="n">
        <f aca="false">IF(OR(I936="DNB",I936="Dry DNB"),1,0)</f>
        <v>0</v>
      </c>
      <c r="Z936" s="46" t="n">
        <f aca="false">IF(ISNUMBER(W936),A936-W936,"")</f>
        <v>76</v>
      </c>
      <c r="AA936" s="46" t="n">
        <f aca="false">MATCH(A936,DATAS,0)</f>
        <v>1</v>
      </c>
      <c r="AB936" s="46" t="n">
        <f aca="false">IF(AND(E936&gt;0,OR(AND(B936&gt;=1,B936&lt;=6),B936=10)),1,0)</f>
        <v>1</v>
      </c>
      <c r="AC936" s="46" t="n">
        <f aca="false">IF(AND(E936&gt;0,B936=10),1,0)</f>
        <v>0</v>
      </c>
      <c r="AD936" s="0" t="str">
        <f aca="false">IF(AND(C935=C936,AA935=AA936-1),AB935,"")</f>
        <v/>
      </c>
      <c r="AE936" s="0" t="str">
        <f aca="false">IF(AND(C935=C936,AA935=AA936-1),AC935,"")</f>
        <v/>
      </c>
      <c r="AF936" s="0" t="str">
        <f aca="false">IF(AA936=1,"",IF(AND(AB936=1,AD936&lt;&gt;1),1,0))</f>
        <v/>
      </c>
      <c r="AG936" s="0" t="str">
        <f aca="false">IF(AA936=1,"",IF(AND(AC936=1,AE936&lt;&gt;1),1,0))</f>
        <v/>
      </c>
      <c r="AH936" s="51" t="str">
        <f aca="false">IF(AND(E936&gt;0,AA936&lt;1,NOT(AND(C937=C936,AA937=AA936+1))),INDEX(DATAS,AA936+1),"")</f>
        <v/>
      </c>
      <c r="AI936" s="51" t="str">
        <f aca="false">IF(AND(AC936=1,AA936&lt;1),IF(AND(C937=C936,AA937=AA936+1),IF(AC937=1,"",INDEX(DATAS,AA936+1)),INDEX(DATAS,AA936+1)),"")</f>
        <v/>
      </c>
    </row>
    <row r="937" customFormat="false" ht="15" hidden="false" customHeight="false" outlineLevel="0" collapsed="false">
      <c r="A937" s="51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46" t="s">
        <v>729</v>
      </c>
      <c r="G937" s="0" t="n">
        <v>34.9</v>
      </c>
      <c r="H937" s="0" t="n">
        <v>49</v>
      </c>
      <c r="I937" s="46" t="s">
        <v>161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X937" s="46" t="n">
        <f aca="false">IF(I937="Male",0,1)</f>
        <v>1</v>
      </c>
      <c r="Y937" s="46" t="n">
        <f aca="false">IF(OR(I937="DNB",I937="Dry DNB"),1,0)</f>
        <v>0</v>
      </c>
      <c r="Z937" s="0" t="str">
        <f aca="false">IF(ISNUMBER(W937),A937-W937,"")</f>
        <v/>
      </c>
      <c r="AA937" s="46" t="n">
        <f aca="false">MATCH(A937,DATAS,0)</f>
        <v>1</v>
      </c>
      <c r="AB937" s="46" t="n">
        <f aca="false">IF(AND(E937&gt;0,OR(AND(B937&gt;=1,B937&lt;=6),B937=10)),1,0)</f>
        <v>1</v>
      </c>
      <c r="AC937" s="46" t="n">
        <f aca="false">IF(AND(E937&gt;0,B937=10),1,0)</f>
        <v>0</v>
      </c>
      <c r="AD937" s="0" t="str">
        <f aca="false">IF(AND(C936=C937,AA936=AA937-1),AB936,"")</f>
        <v/>
      </c>
      <c r="AE937" s="0" t="str">
        <f aca="false">IF(AND(C936=C937,AA936=AA937-1),AC936,"")</f>
        <v/>
      </c>
      <c r="AF937" s="0" t="str">
        <f aca="false">IF(AA937=1,"",IF(AND(AB937=1,AD937&lt;&gt;1),1,0))</f>
        <v/>
      </c>
      <c r="AG937" s="0" t="str">
        <f aca="false">IF(AA937=1,"",IF(AND(AC937=1,AE937&lt;&gt;1),1,0))</f>
        <v/>
      </c>
      <c r="AH937" s="51" t="str">
        <f aca="false">IF(AND(E937&gt;0,AA937&lt;1,NOT(AND(C938=C937,AA938=AA937+1))),INDEX(DATAS,AA937+1),"")</f>
        <v/>
      </c>
      <c r="AI937" s="51" t="str">
        <f aca="false">IF(AND(AC937=1,AA937&lt;1),IF(AND(C938=C937,AA938=AA937+1),IF(AC938=1,"",INDEX(DATAS,AA937+1)),INDEX(DATAS,AA937+1)),"")</f>
        <v/>
      </c>
    </row>
    <row r="938" customFormat="false" ht="15" hidden="false" customHeight="false" outlineLevel="0" collapsed="false">
      <c r="A938" s="51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46" t="s">
        <v>729</v>
      </c>
      <c r="G938" s="0" t="n">
        <v>67.9</v>
      </c>
      <c r="H938" s="0" t="n">
        <v>63</v>
      </c>
      <c r="I938" s="46" t="s">
        <v>181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51" t="n">
        <v>46289</v>
      </c>
      <c r="X938" s="46" t="n">
        <f aca="false">IF(I938="Male",0,1)</f>
        <v>1</v>
      </c>
      <c r="Y938" s="46" t="n">
        <f aca="false">IF(OR(I938="DNB",I938="Dry DNB"),1,0)</f>
        <v>0</v>
      </c>
      <c r="Z938" s="46" t="n">
        <f aca="false">IF(ISNUMBER(W938),A938-W938,"")</f>
        <v>20</v>
      </c>
      <c r="AA938" s="46" t="n">
        <f aca="false">MATCH(A938,DATAS,0)</f>
        <v>1</v>
      </c>
      <c r="AB938" s="46" t="n">
        <f aca="false">IF(AND(E938&gt;0,OR(AND(B938&gt;=1,B938&lt;=6),B938=10)),1,0)</f>
        <v>1</v>
      </c>
      <c r="AC938" s="46" t="n">
        <f aca="false">IF(AND(E938&gt;0,B938=10),1,0)</f>
        <v>0</v>
      </c>
      <c r="AD938" s="0" t="str">
        <f aca="false">IF(AND(C937=C938,AA937=AA938-1),AB937,"")</f>
        <v/>
      </c>
      <c r="AE938" s="0" t="str">
        <f aca="false">IF(AND(C937=C938,AA937=AA938-1),AC937,"")</f>
        <v/>
      </c>
      <c r="AF938" s="0" t="str">
        <f aca="false">IF(AA938=1,"",IF(AND(AB938=1,AD938&lt;&gt;1),1,0))</f>
        <v/>
      </c>
      <c r="AG938" s="0" t="str">
        <f aca="false">IF(AA938=1,"",IF(AND(AC938=1,AE938&lt;&gt;1),1,0))</f>
        <v/>
      </c>
      <c r="AH938" s="51" t="str">
        <f aca="false">IF(AND(E938&gt;0,AA938&lt;1,NOT(AND(C939=C938,AA939=AA938+1))),INDEX(DATAS,AA938+1),"")</f>
        <v/>
      </c>
      <c r="AI938" s="51" t="str">
        <f aca="false">IF(AND(AC938=1,AA938&lt;1),IF(AND(C939=C938,AA939=AA938+1),IF(AC939=1,"",INDEX(DATAS,AA938+1)),INDEX(DATAS,AA938+1)),"")</f>
        <v/>
      </c>
    </row>
    <row r="939" customFormat="false" ht="15" hidden="false" customHeight="false" outlineLevel="0" collapsed="false">
      <c r="A939" s="51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46" t="s">
        <v>729</v>
      </c>
      <c r="G939" s="0" t="n">
        <v>21.1</v>
      </c>
      <c r="H939" s="0" t="n">
        <v>21</v>
      </c>
      <c r="I939" s="46" t="s">
        <v>152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51" t="n">
        <v>46233</v>
      </c>
      <c r="X939" s="46" t="n">
        <f aca="false">IF(I939="Male",0,1)</f>
        <v>1</v>
      </c>
      <c r="Y939" s="46" t="n">
        <f aca="false">IF(OR(I939="DNB",I939="Dry DNB"),1,0)</f>
        <v>0</v>
      </c>
      <c r="Z939" s="46" t="n">
        <f aca="false">IF(ISNUMBER(W939),A939-W939,"")</f>
        <v>76</v>
      </c>
      <c r="AA939" s="46" t="n">
        <f aca="false">MATCH(A939,DATAS,0)</f>
        <v>1</v>
      </c>
      <c r="AB939" s="46" t="n">
        <f aca="false">IF(AND(E939&gt;0,OR(AND(B939&gt;=1,B939&lt;=6),B939=10)),1,0)</f>
        <v>1</v>
      </c>
      <c r="AC939" s="46" t="n">
        <f aca="false">IF(AND(E939&gt;0,B939=10),1,0)</f>
        <v>0</v>
      </c>
      <c r="AD939" s="0" t="str">
        <f aca="false">IF(AND(C938=C939,AA938=AA939-1),AB938,"")</f>
        <v/>
      </c>
      <c r="AE939" s="0" t="str">
        <f aca="false">IF(AND(C938=C939,AA938=AA939-1),AC938,"")</f>
        <v/>
      </c>
      <c r="AF939" s="0" t="str">
        <f aca="false">IF(AA939=1,"",IF(AND(AB939=1,AD939&lt;&gt;1),1,0))</f>
        <v/>
      </c>
      <c r="AG939" s="0" t="str">
        <f aca="false">IF(AA939=1,"",IF(AND(AC939=1,AE939&lt;&gt;1),1,0))</f>
        <v/>
      </c>
      <c r="AH939" s="51" t="str">
        <f aca="false">IF(AND(E939&gt;0,AA939&lt;1,NOT(AND(C940=C939,AA940=AA939+1))),INDEX(DATAS,AA939+1),"")</f>
        <v/>
      </c>
      <c r="AI939" s="51" t="str">
        <f aca="false">IF(AND(AC939=1,AA939&lt;1),IF(AND(C940=C939,AA940=AA939+1),IF(AC940=1,"",INDEX(DATAS,AA939+1)),INDEX(DATAS,AA939+1)),"")</f>
        <v/>
      </c>
    </row>
    <row r="940" customFormat="false" ht="15" hidden="false" customHeight="false" outlineLevel="0" collapsed="false">
      <c r="A940" s="51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46" t="s">
        <v>729</v>
      </c>
      <c r="G940" s="0" t="n">
        <v>41</v>
      </c>
      <c r="H940" s="0" t="n">
        <v>39</v>
      </c>
      <c r="I940" s="46" t="s">
        <v>189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51" t="n">
        <v>46277</v>
      </c>
      <c r="X940" s="46" t="n">
        <f aca="false">IF(I940="Male",0,1)</f>
        <v>1</v>
      </c>
      <c r="Y940" s="46" t="n">
        <f aca="false">IF(OR(I940="DNB",I940="Dry DNB"),1,0)</f>
        <v>0</v>
      </c>
      <c r="Z940" s="46" t="n">
        <f aca="false">IF(ISNUMBER(W940),A940-W940,"")</f>
        <v>32</v>
      </c>
      <c r="AA940" s="46" t="n">
        <f aca="false">MATCH(A940,DATAS,0)</f>
        <v>1</v>
      </c>
      <c r="AB940" s="46" t="n">
        <f aca="false">IF(AND(E940&gt;0,OR(AND(B940&gt;=1,B940&lt;=6),B940=10)),1,0)</f>
        <v>1</v>
      </c>
      <c r="AC940" s="46" t="n">
        <f aca="false">IF(AND(E940&gt;0,B940=10),1,0)</f>
        <v>0</v>
      </c>
      <c r="AD940" s="0" t="str">
        <f aca="false">IF(AND(C939=C940,AA939=AA940-1),AB939,"")</f>
        <v/>
      </c>
      <c r="AE940" s="0" t="str">
        <f aca="false">IF(AND(C939=C940,AA939=AA940-1),AC939,"")</f>
        <v/>
      </c>
      <c r="AF940" s="0" t="str">
        <f aca="false">IF(AA940=1,"",IF(AND(AB940=1,AD940&lt;&gt;1),1,0))</f>
        <v/>
      </c>
      <c r="AG940" s="0" t="str">
        <f aca="false">IF(AA940=1,"",IF(AND(AC940=1,AE940&lt;&gt;1),1,0))</f>
        <v/>
      </c>
      <c r="AH940" s="51" t="str">
        <f aca="false">IF(AND(E940&gt;0,AA940&lt;1,NOT(AND(C941=C940,AA941=AA940+1))),INDEX(DATAS,AA940+1),"")</f>
        <v/>
      </c>
      <c r="AI940" s="51" t="str">
        <f aca="false">IF(AND(AC940=1,AA940&lt;1),IF(AND(C941=C940,AA941=AA940+1),IF(AC941=1,"",INDEX(DATAS,AA940+1)),INDEX(DATAS,AA940+1)),"")</f>
        <v/>
      </c>
    </row>
    <row r="941" customFormat="false" ht="15" hidden="false" customHeight="false" outlineLevel="0" collapsed="false">
      <c r="A941" s="51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46" t="s">
        <v>730</v>
      </c>
      <c r="G941" s="0" t="n">
        <v>41.5</v>
      </c>
      <c r="H941" s="0" t="n">
        <v>31</v>
      </c>
      <c r="I941" s="46" t="s">
        <v>161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X941" s="46" t="n">
        <f aca="false">IF(I941="Male",0,1)</f>
        <v>1</v>
      </c>
      <c r="Y941" s="46" t="n">
        <f aca="false">IF(OR(I941="DNB",I941="Dry DNB"),1,0)</f>
        <v>0</v>
      </c>
      <c r="Z941" s="0" t="str">
        <f aca="false">IF(ISNUMBER(W941),A941-W941,"")</f>
        <v/>
      </c>
      <c r="AA941" s="46" t="n">
        <f aca="false">MATCH(A941,DATAS,0)</f>
        <v>1</v>
      </c>
      <c r="AB941" s="46" t="n">
        <f aca="false">IF(AND(E941&gt;0,OR(AND(B941&gt;=1,B941&lt;=6),B941=10)),1,0)</f>
        <v>1</v>
      </c>
      <c r="AC941" s="46" t="n">
        <f aca="false">IF(AND(E941&gt;0,B941=10),1,0)</f>
        <v>0</v>
      </c>
      <c r="AD941" s="0" t="str">
        <f aca="false">IF(AND(C940=C941,AA940=AA941-1),AB940,"")</f>
        <v/>
      </c>
      <c r="AE941" s="0" t="str">
        <f aca="false">IF(AND(C940=C941,AA940=AA941-1),AC940,"")</f>
        <v/>
      </c>
      <c r="AF941" s="0" t="str">
        <f aca="false">IF(AA941=1,"",IF(AND(AB941=1,AD941&lt;&gt;1),1,0))</f>
        <v/>
      </c>
      <c r="AG941" s="0" t="str">
        <f aca="false">IF(AA941=1,"",IF(AND(AC941=1,AE941&lt;&gt;1),1,0))</f>
        <v/>
      </c>
      <c r="AH941" s="51" t="str">
        <f aca="false">IF(AND(E941&gt;0,AA941&lt;1,NOT(AND(C942=C941,AA942=AA941+1))),INDEX(DATAS,AA941+1),"")</f>
        <v/>
      </c>
      <c r="AI941" s="51" t="str">
        <f aca="false">IF(AND(AC941=1,AA941&lt;1),IF(AND(C942=C941,AA942=AA941+1),IF(AC942=1,"",INDEX(DATAS,AA941+1)),INDEX(DATAS,AA941+1)),"")</f>
        <v/>
      </c>
    </row>
    <row r="942" customFormat="false" ht="15" hidden="false" customHeight="false" outlineLevel="0" collapsed="false">
      <c r="A942" s="51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46" t="s">
        <v>730</v>
      </c>
      <c r="G942" s="0" t="n">
        <v>41.3</v>
      </c>
      <c r="H942" s="0" t="n">
        <v>38</v>
      </c>
      <c r="I942" s="46" t="s">
        <v>152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51" t="n">
        <v>46233</v>
      </c>
      <c r="X942" s="46" t="n">
        <f aca="false">IF(I942="Male",0,1)</f>
        <v>1</v>
      </c>
      <c r="Y942" s="46" t="n">
        <f aca="false">IF(OR(I942="DNB",I942="Dry DNB"),1,0)</f>
        <v>0</v>
      </c>
      <c r="Z942" s="46" t="n">
        <f aca="false">IF(ISNUMBER(W942),A942-W942,"")</f>
        <v>76</v>
      </c>
      <c r="AA942" s="46" t="n">
        <f aca="false">MATCH(A942,DATAS,0)</f>
        <v>1</v>
      </c>
      <c r="AB942" s="46" t="n">
        <f aca="false">IF(AND(E942&gt;0,OR(AND(B942&gt;=1,B942&lt;=6),B942=10)),1,0)</f>
        <v>1</v>
      </c>
      <c r="AC942" s="46" t="n">
        <f aca="false">IF(AND(E942&gt;0,B942=10),1,0)</f>
        <v>0</v>
      </c>
      <c r="AD942" s="0" t="str">
        <f aca="false">IF(AND(C941=C942,AA941=AA942-1),AB941,"")</f>
        <v/>
      </c>
      <c r="AE942" s="0" t="str">
        <f aca="false">IF(AND(C941=C942,AA941=AA942-1),AC941,"")</f>
        <v/>
      </c>
      <c r="AF942" s="0" t="str">
        <f aca="false">IF(AA942=1,"",IF(AND(AB942=1,AD942&lt;&gt;1),1,0))</f>
        <v/>
      </c>
      <c r="AG942" s="0" t="str">
        <f aca="false">IF(AA942=1,"",IF(AND(AC942=1,AE942&lt;&gt;1),1,0))</f>
        <v/>
      </c>
      <c r="AH942" s="51" t="str">
        <f aca="false">IF(AND(E942&gt;0,AA942&lt;1,NOT(AND(C943=C942,AA943=AA942+1))),INDEX(DATAS,AA942+1),"")</f>
        <v/>
      </c>
      <c r="AI942" s="51" t="str">
        <f aca="false">IF(AND(AC942=1,AA942&lt;1),IF(AND(C943=C942,AA943=AA942+1),IF(AC943=1,"",INDEX(DATAS,AA942+1)),INDEX(DATAS,AA942+1)),"")</f>
        <v/>
      </c>
    </row>
    <row r="943" customFormat="false" ht="15" hidden="false" customHeight="false" outlineLevel="0" collapsed="false">
      <c r="A943" s="51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46" t="s">
        <v>730</v>
      </c>
      <c r="G943" s="0" t="n">
        <v>44.1</v>
      </c>
      <c r="H943" s="0" t="n">
        <v>45</v>
      </c>
      <c r="I943" s="46" t="s">
        <v>189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51" t="n">
        <v>46275</v>
      </c>
      <c r="X943" s="46" t="n">
        <f aca="false">IF(I943="Male",0,1)</f>
        <v>1</v>
      </c>
      <c r="Y943" s="46" t="n">
        <f aca="false">IF(OR(I943="DNB",I943="Dry DNB"),1,0)</f>
        <v>0</v>
      </c>
      <c r="Z943" s="46" t="n">
        <f aca="false">IF(ISNUMBER(W943),A943-W943,"")</f>
        <v>34</v>
      </c>
      <c r="AA943" s="46" t="n">
        <f aca="false">MATCH(A943,DATAS,0)</f>
        <v>1</v>
      </c>
      <c r="AB943" s="46" t="n">
        <f aca="false">IF(AND(E943&gt;0,OR(AND(B943&gt;=1,B943&lt;=6),B943=10)),1,0)</f>
        <v>1</v>
      </c>
      <c r="AC943" s="46" t="n">
        <f aca="false">IF(AND(E943&gt;0,B943=10),1,0)</f>
        <v>0</v>
      </c>
      <c r="AD943" s="0" t="str">
        <f aca="false">IF(AND(C942=C943,AA942=AA943-1),AB942,"")</f>
        <v/>
      </c>
      <c r="AE943" s="0" t="str">
        <f aca="false">IF(AND(C942=C943,AA942=AA943-1),AC942,"")</f>
        <v/>
      </c>
      <c r="AF943" s="0" t="str">
        <f aca="false">IF(AA943=1,"",IF(AND(AB943=1,AD943&lt;&gt;1),1,0))</f>
        <v/>
      </c>
      <c r="AG943" s="0" t="str">
        <f aca="false">IF(AA943=1,"",IF(AND(AC943=1,AE943&lt;&gt;1),1,0))</f>
        <v/>
      </c>
      <c r="AH943" s="51" t="str">
        <f aca="false">IF(AND(E943&gt;0,AA943&lt;1,NOT(AND(C944=C943,AA944=AA943+1))),INDEX(DATAS,AA943+1),"")</f>
        <v/>
      </c>
      <c r="AI943" s="51" t="str">
        <f aca="false">IF(AND(AC943=1,AA943&lt;1),IF(AND(C944=C943,AA944=AA943+1),IF(AC944=1,"",INDEX(DATAS,AA943+1)),INDEX(DATAS,AA943+1)),"")</f>
        <v/>
      </c>
    </row>
    <row r="944" customFormat="false" ht="15" hidden="false" customHeight="false" outlineLevel="0" collapsed="false">
      <c r="A944" s="51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46" t="s">
        <v>730</v>
      </c>
      <c r="G944" s="0" t="n">
        <v>59.5</v>
      </c>
      <c r="H944" s="0" t="n">
        <v>59</v>
      </c>
      <c r="I944" s="46" t="s">
        <v>161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X944" s="46" t="n">
        <f aca="false">IF(I944="Male",0,1)</f>
        <v>1</v>
      </c>
      <c r="Y944" s="46" t="n">
        <f aca="false">IF(OR(I944="DNB",I944="Dry DNB"),1,0)</f>
        <v>0</v>
      </c>
      <c r="Z944" s="0" t="str">
        <f aca="false">IF(ISNUMBER(W944),A944-W944,"")</f>
        <v/>
      </c>
      <c r="AA944" s="46" t="n">
        <f aca="false">MATCH(A944,DATAS,0)</f>
        <v>1</v>
      </c>
      <c r="AB944" s="46" t="n">
        <f aca="false">IF(AND(E944&gt;0,OR(AND(B944&gt;=1,B944&lt;=6),B944=10)),1,0)</f>
        <v>1</v>
      </c>
      <c r="AC944" s="46" t="n">
        <f aca="false">IF(AND(E944&gt;0,B944=10),1,0)</f>
        <v>0</v>
      </c>
      <c r="AD944" s="0" t="str">
        <f aca="false">IF(AND(C943=C944,AA943=AA944-1),AB943,"")</f>
        <v/>
      </c>
      <c r="AE944" s="0" t="str">
        <f aca="false">IF(AND(C943=C944,AA943=AA944-1),AC943,"")</f>
        <v/>
      </c>
      <c r="AF944" s="0" t="str">
        <f aca="false">IF(AA944=1,"",IF(AND(AB944=1,AD944&lt;&gt;1),1,0))</f>
        <v/>
      </c>
      <c r="AG944" s="0" t="str">
        <f aca="false">IF(AA944=1,"",IF(AND(AC944=1,AE944&lt;&gt;1),1,0))</f>
        <v/>
      </c>
      <c r="AH944" s="51" t="str">
        <f aca="false">IF(AND(E944&gt;0,AA944&lt;1,NOT(AND(C945=C944,AA945=AA944+1))),INDEX(DATAS,AA944+1),"")</f>
        <v/>
      </c>
      <c r="AI944" s="51" t="str">
        <f aca="false">IF(AND(AC944=1,AA944&lt;1),IF(AND(C945=C944,AA945=AA944+1),IF(AC945=1,"",INDEX(DATAS,AA944+1)),INDEX(DATAS,AA944+1)),"")</f>
        <v/>
      </c>
    </row>
    <row r="945" customFormat="false" ht="15" hidden="false" customHeight="false" outlineLevel="0" collapsed="false">
      <c r="A945" s="51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46" t="s">
        <v>731</v>
      </c>
      <c r="G945" s="0" t="n">
        <v>51.1</v>
      </c>
      <c r="H945" s="0" t="n">
        <v>48</v>
      </c>
      <c r="I945" s="46" t="s">
        <v>181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51" t="n">
        <v>46296</v>
      </c>
      <c r="X945" s="46" t="n">
        <f aca="false">IF(I945="Male",0,1)</f>
        <v>1</v>
      </c>
      <c r="Y945" s="46" t="n">
        <f aca="false">IF(OR(I945="DNB",I945="Dry DNB"),1,0)</f>
        <v>0</v>
      </c>
      <c r="Z945" s="46" t="n">
        <f aca="false">IF(ISNUMBER(W945),A945-W945,"")</f>
        <v>13</v>
      </c>
      <c r="AA945" s="46" t="n">
        <f aca="false">MATCH(A945,DATAS,0)</f>
        <v>1</v>
      </c>
      <c r="AB945" s="46" t="n">
        <f aca="false">IF(AND(E945&gt;0,OR(AND(B945&gt;=1,B945&lt;=6),B945=10)),1,0)</f>
        <v>1</v>
      </c>
      <c r="AC945" s="46" t="n">
        <f aca="false">IF(AND(E945&gt;0,B945=10),1,0)</f>
        <v>0</v>
      </c>
      <c r="AD945" s="0" t="str">
        <f aca="false">IF(AND(C944=C945,AA944=AA945-1),AB944,"")</f>
        <v/>
      </c>
      <c r="AE945" s="0" t="str">
        <f aca="false">IF(AND(C944=C945,AA944=AA945-1),AC944,"")</f>
        <v/>
      </c>
      <c r="AF945" s="0" t="str">
        <f aca="false">IF(AA945=1,"",IF(AND(AB945=1,AD945&lt;&gt;1),1,0))</f>
        <v/>
      </c>
      <c r="AG945" s="0" t="str">
        <f aca="false">IF(AA945=1,"",IF(AND(AC945=1,AE945&lt;&gt;1),1,0))</f>
        <v/>
      </c>
      <c r="AH945" s="51" t="str">
        <f aca="false">IF(AND(E945&gt;0,AA945&lt;1,NOT(AND(C946=C945,AA946=AA945+1))),INDEX(DATAS,AA945+1),"")</f>
        <v/>
      </c>
      <c r="AI945" s="51" t="str">
        <f aca="false">IF(AND(AC945=1,AA945&lt;1),IF(AND(C946=C945,AA946=AA945+1),IF(AC946=1,"",INDEX(DATAS,AA945+1)),INDEX(DATAS,AA945+1)),"")</f>
        <v/>
      </c>
    </row>
    <row r="946" customFormat="false" ht="15" hidden="false" customHeight="false" outlineLevel="0" collapsed="false">
      <c r="A946" s="51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46" t="s">
        <v>731</v>
      </c>
      <c r="G946" s="0" t="n">
        <v>40.6</v>
      </c>
      <c r="H946" s="0" t="n">
        <v>41</v>
      </c>
      <c r="I946" s="46" t="s">
        <v>152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X946" s="46" t="n">
        <f aca="false">IF(I946="Male",0,1)</f>
        <v>1</v>
      </c>
      <c r="Y946" s="46" t="n">
        <f aca="false">IF(OR(I946="DNB",I946="Dry DNB"),1,0)</f>
        <v>0</v>
      </c>
      <c r="Z946" s="0" t="str">
        <f aca="false">IF(ISNUMBER(W946),A946-W946,"")</f>
        <v/>
      </c>
      <c r="AA946" s="46" t="n">
        <f aca="false">MATCH(A946,DATAS,0)</f>
        <v>1</v>
      </c>
      <c r="AB946" s="46" t="n">
        <f aca="false">IF(AND(E946&gt;0,OR(AND(B946&gt;=1,B946&lt;=6),B946=10)),1,0)</f>
        <v>1</v>
      </c>
      <c r="AC946" s="46" t="n">
        <f aca="false">IF(AND(E946&gt;0,B946=10),1,0)</f>
        <v>0</v>
      </c>
      <c r="AD946" s="0" t="str">
        <f aca="false">IF(AND(C945=C946,AA945=AA946-1),AB945,"")</f>
        <v/>
      </c>
      <c r="AE946" s="0" t="str">
        <f aca="false">IF(AND(C945=C946,AA945=AA946-1),AC945,"")</f>
        <v/>
      </c>
      <c r="AF946" s="0" t="str">
        <f aca="false">IF(AA946=1,"",IF(AND(AB946=1,AD946&lt;&gt;1),1,0))</f>
        <v/>
      </c>
      <c r="AG946" s="0" t="str">
        <f aca="false">IF(AA946=1,"",IF(AND(AC946=1,AE946&lt;&gt;1),1,0))</f>
        <v/>
      </c>
      <c r="AH946" s="51" t="str">
        <f aca="false">IF(AND(E946&gt;0,AA946&lt;1,NOT(AND(C947=C946,AA947=AA946+1))),INDEX(DATAS,AA946+1),"")</f>
        <v/>
      </c>
      <c r="AI946" s="51" t="str">
        <f aca="false">IF(AND(AC946=1,AA946&lt;1),IF(AND(C947=C946,AA947=AA946+1),IF(AC947=1,"",INDEX(DATAS,AA946+1)),INDEX(DATAS,AA946+1)),"")</f>
        <v/>
      </c>
    </row>
    <row r="947" customFormat="false" ht="15" hidden="false" customHeight="false" outlineLevel="0" collapsed="false">
      <c r="A947" s="51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46" t="s">
        <v>732</v>
      </c>
      <c r="H947" s="0" t="n">
        <v>17</v>
      </c>
      <c r="I947" s="46" t="s">
        <v>161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X947" s="46" t="n">
        <f aca="false">IF(I947="Male",0,1)</f>
        <v>1</v>
      </c>
      <c r="Y947" s="46" t="n">
        <f aca="false">IF(OR(I947="DNB",I947="Dry DNB"),1,0)</f>
        <v>0</v>
      </c>
      <c r="Z947" s="0" t="str">
        <f aca="false">IF(ISNUMBER(W947),A947-W947,"")</f>
        <v/>
      </c>
      <c r="AA947" s="46" t="n">
        <f aca="false">MATCH(A947,DATAS,0)</f>
        <v>1</v>
      </c>
      <c r="AB947" s="46" t="n">
        <f aca="false">IF(AND(E947&gt;0,OR(AND(B947&gt;=1,B947&lt;=6),B947=10)),1,0)</f>
        <v>1</v>
      </c>
      <c r="AC947" s="46" t="n">
        <f aca="false">IF(AND(E947&gt;0,B947=10),1,0)</f>
        <v>0</v>
      </c>
      <c r="AD947" s="0" t="str">
        <f aca="false">IF(AND(C946=C947,AA946=AA947-1),AB946,"")</f>
        <v/>
      </c>
      <c r="AE947" s="0" t="str">
        <f aca="false">IF(AND(C946=C947,AA946=AA947-1),AC946,"")</f>
        <v/>
      </c>
      <c r="AF947" s="0" t="str">
        <f aca="false">IF(AA947=1,"",IF(AND(AB947=1,AD947&lt;&gt;1),1,0))</f>
        <v/>
      </c>
      <c r="AG947" s="0" t="str">
        <f aca="false">IF(AA947=1,"",IF(AND(AC947=1,AE947&lt;&gt;1),1,0))</f>
        <v/>
      </c>
      <c r="AH947" s="51" t="str">
        <f aca="false">IF(AND(E947&gt;0,AA947&lt;1,NOT(AND(C948=C947,AA948=AA947+1))),INDEX(DATAS,AA947+1),"")</f>
        <v/>
      </c>
      <c r="AI947" s="51" t="str">
        <f aca="false">IF(AND(AC947=1,AA947&lt;1),IF(AND(C948=C947,AA948=AA947+1),IF(AC948=1,"",INDEX(DATAS,AA947+1)),INDEX(DATAS,AA947+1)),"")</f>
        <v/>
      </c>
    </row>
    <row r="948" customFormat="false" ht="15" hidden="false" customHeight="false" outlineLevel="0" collapsed="false">
      <c r="A948" s="51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46" t="s">
        <v>733</v>
      </c>
      <c r="G948" s="0" t="n">
        <v>59.7</v>
      </c>
      <c r="H948" s="0" t="n">
        <v>55</v>
      </c>
      <c r="I948" s="46" t="s">
        <v>181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51" t="n">
        <v>46310</v>
      </c>
      <c r="X948" s="46" t="n">
        <f aca="false">IF(I948="Male",0,1)</f>
        <v>1</v>
      </c>
      <c r="Y948" s="46" t="n">
        <f aca="false">IF(OR(I948="DNB",I948="Dry DNB"),1,0)</f>
        <v>0</v>
      </c>
      <c r="Z948" s="46" t="n">
        <f aca="false">IF(ISNUMBER(W948),A948-W948,"")</f>
        <v>-1</v>
      </c>
      <c r="AA948" s="46" t="n">
        <f aca="false">MATCH(A948,DATAS,0)</f>
        <v>1</v>
      </c>
      <c r="AB948" s="46" t="n">
        <f aca="false">IF(AND(E948&gt;0,OR(AND(B948&gt;=1,B948&lt;=6),B948=10)),1,0)</f>
        <v>1</v>
      </c>
      <c r="AC948" s="46" t="n">
        <f aca="false">IF(AND(E948&gt;0,B948=10),1,0)</f>
        <v>0</v>
      </c>
      <c r="AD948" s="0" t="str">
        <f aca="false">IF(AND(C947=C948,AA947=AA948-1),AB947,"")</f>
        <v/>
      </c>
      <c r="AE948" s="0" t="str">
        <f aca="false">IF(AND(C947=C948,AA947=AA948-1),AC947,"")</f>
        <v/>
      </c>
      <c r="AF948" s="0" t="str">
        <f aca="false">IF(AA948=1,"",IF(AND(AB948=1,AD948&lt;&gt;1),1,0))</f>
        <v/>
      </c>
      <c r="AG948" s="0" t="str">
        <f aca="false">IF(AA948=1,"",IF(AND(AC948=1,AE948&lt;&gt;1),1,0))</f>
        <v/>
      </c>
      <c r="AH948" s="51" t="str">
        <f aca="false">IF(AND(E948&gt;0,AA948&lt;1,NOT(AND(C949=C948,AA949=AA948+1))),INDEX(DATAS,AA948+1),"")</f>
        <v/>
      </c>
      <c r="AI948" s="51" t="str">
        <f aca="false">IF(AND(AC948=1,AA948&lt;1),IF(AND(C949=C948,AA949=AA948+1),IF(AC949=1,"",INDEX(DATAS,AA948+1)),INDEX(DATAS,AA948+1)),"")</f>
        <v/>
      </c>
    </row>
    <row r="949" customFormat="false" ht="15" hidden="false" customHeight="false" outlineLevel="0" collapsed="false">
      <c r="A949" s="51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46" t="s">
        <v>734</v>
      </c>
      <c r="G949" s="0" t="n">
        <v>36</v>
      </c>
      <c r="H949" s="0" t="n">
        <v>42</v>
      </c>
      <c r="I949" s="46" t="s">
        <v>189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51" t="n">
        <v>46268</v>
      </c>
      <c r="X949" s="46" t="n">
        <f aca="false">IF(I949="Male",0,1)</f>
        <v>1</v>
      </c>
      <c r="Y949" s="46" t="n">
        <f aca="false">IF(OR(I949="DNB",I949="Dry DNB"),1,0)</f>
        <v>0</v>
      </c>
      <c r="Z949" s="46" t="n">
        <f aca="false">IF(ISNUMBER(W949),A949-W949,"")</f>
        <v>41</v>
      </c>
      <c r="AA949" s="46" t="n">
        <f aca="false">MATCH(A949,DATAS,0)</f>
        <v>1</v>
      </c>
      <c r="AB949" s="46" t="n">
        <f aca="false">IF(AND(E949&gt;0,OR(AND(B949&gt;=1,B949&lt;=6),B949=10)),1,0)</f>
        <v>1</v>
      </c>
      <c r="AC949" s="46" t="n">
        <f aca="false">IF(AND(E949&gt;0,B949=10),1,0)</f>
        <v>0</v>
      </c>
      <c r="AD949" s="0" t="str">
        <f aca="false">IF(AND(C948=C949,AA948=AA949-1),AB948,"")</f>
        <v/>
      </c>
      <c r="AE949" s="0" t="str">
        <f aca="false">IF(AND(C948=C949,AA948=AA949-1),AC948,"")</f>
        <v/>
      </c>
      <c r="AF949" s="0" t="str">
        <f aca="false">IF(AA949=1,"",IF(AND(AB949=1,AD949&lt;&gt;1),1,0))</f>
        <v/>
      </c>
      <c r="AG949" s="0" t="str">
        <f aca="false">IF(AA949=1,"",IF(AND(AC949=1,AE949&lt;&gt;1),1,0))</f>
        <v/>
      </c>
      <c r="AH949" s="51" t="str">
        <f aca="false">IF(AND(E949&gt;0,AA949&lt;1,NOT(AND(C950=C949,AA950=AA949+1))),INDEX(DATAS,AA949+1),"")</f>
        <v/>
      </c>
      <c r="AI949" s="51" t="str">
        <f aca="false">IF(AND(AC949=1,AA949&lt;1),IF(AND(C950=C949,AA950=AA949+1),IF(AC950=1,"",INDEX(DATAS,AA949+1)),INDEX(DATAS,AA949+1)),"")</f>
        <v/>
      </c>
    </row>
    <row r="950" customFormat="false" ht="15" hidden="false" customHeight="false" outlineLevel="0" collapsed="false">
      <c r="A950" s="51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46" t="s">
        <v>734</v>
      </c>
      <c r="G950" s="0" t="n">
        <v>23.1</v>
      </c>
      <c r="H950" s="0" t="n">
        <v>23</v>
      </c>
      <c r="I950" s="46" t="s">
        <v>152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51" t="n">
        <v>46135</v>
      </c>
      <c r="X950" s="46" t="n">
        <f aca="false">IF(I950="Male",0,1)</f>
        <v>1</v>
      </c>
      <c r="Y950" s="46" t="n">
        <f aca="false">IF(OR(I950="DNB",I950="Dry DNB"),1,0)</f>
        <v>0</v>
      </c>
      <c r="Z950" s="46" t="n">
        <f aca="false">IF(ISNUMBER(W950),A950-W950,"")</f>
        <v>174</v>
      </c>
      <c r="AA950" s="46" t="n">
        <f aca="false">MATCH(A950,DATAS,0)</f>
        <v>1</v>
      </c>
      <c r="AB950" s="46" t="n">
        <f aca="false">IF(AND(E950&gt;0,OR(AND(B950&gt;=1,B950&lt;=6),B950=10)),1,0)</f>
        <v>1</v>
      </c>
      <c r="AC950" s="46" t="n">
        <f aca="false">IF(AND(E950&gt;0,B950=10),1,0)</f>
        <v>0</v>
      </c>
      <c r="AD950" s="0" t="str">
        <f aca="false">IF(AND(C949=C950,AA949=AA950-1),AB949,"")</f>
        <v/>
      </c>
      <c r="AE950" s="0" t="str">
        <f aca="false">IF(AND(C949=C950,AA949=AA950-1),AC949,"")</f>
        <v/>
      </c>
      <c r="AF950" s="0" t="str">
        <f aca="false">IF(AA950=1,"",IF(AND(AB950=1,AD950&lt;&gt;1),1,0))</f>
        <v/>
      </c>
      <c r="AG950" s="0" t="str">
        <f aca="false">IF(AA950=1,"",IF(AND(AC950=1,AE950&lt;&gt;1),1,0))</f>
        <v/>
      </c>
      <c r="AH950" s="51" t="str">
        <f aca="false">IF(AND(E950&gt;0,AA950&lt;1,NOT(AND(C951=C950,AA951=AA950+1))),INDEX(DATAS,AA950+1),"")</f>
        <v/>
      </c>
      <c r="AI950" s="51" t="str">
        <f aca="false">IF(AND(AC950=1,AA950&lt;1),IF(AND(C951=C950,AA951=AA950+1),IF(AC951=1,"",INDEX(DATAS,AA950+1)),INDEX(DATAS,AA950+1)),"")</f>
        <v/>
      </c>
    </row>
    <row r="951" customFormat="false" ht="15" hidden="false" customHeight="false" outlineLevel="0" collapsed="false">
      <c r="A951" s="51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46" t="s">
        <v>734</v>
      </c>
      <c r="I951" s="46" t="s">
        <v>157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51" t="n">
        <v>46051</v>
      </c>
      <c r="X951" s="46" t="n">
        <f aca="false">IF(I951="Male",0,1)</f>
        <v>1</v>
      </c>
      <c r="Y951" s="46" t="n">
        <f aca="false">IF(OR(I951="DNB",I951="Dry DNB"),1,0)</f>
        <v>0</v>
      </c>
      <c r="Z951" s="46" t="n">
        <f aca="false">IF(ISNUMBER(W951),A951-W951,"")</f>
        <v>258</v>
      </c>
      <c r="AA951" s="46" t="n">
        <f aca="false">MATCH(A951,DATAS,0)</f>
        <v>1</v>
      </c>
      <c r="AB951" s="46" t="n">
        <f aca="false">IF(AND(E951&gt;0,OR(AND(B951&gt;=1,B951&lt;=6),B951=10)),1,0)</f>
        <v>0</v>
      </c>
      <c r="AC951" s="46" t="n">
        <f aca="false">IF(AND(E951&gt;0,B951=10),1,0)</f>
        <v>0</v>
      </c>
      <c r="AD951" s="0" t="str">
        <f aca="false">IF(AND(C950=C951,AA950=AA951-1),AB950,"")</f>
        <v/>
      </c>
      <c r="AE951" s="0" t="str">
        <f aca="false">IF(AND(C950=C951,AA950=AA951-1),AC950,"")</f>
        <v/>
      </c>
      <c r="AF951" s="0" t="str">
        <f aca="false">IF(AA951=1,"",IF(AND(AB951=1,AD951&lt;&gt;1),1,0))</f>
        <v/>
      </c>
      <c r="AG951" s="0" t="str">
        <f aca="false">IF(AA951=1,"",IF(AND(AC951=1,AE951&lt;&gt;1),1,0))</f>
        <v/>
      </c>
      <c r="AH951" s="51" t="str">
        <f aca="false">IF(AND(E951&gt;0,AA951&lt;1,NOT(AND(C952=C951,AA952=AA951+1))),INDEX(DATAS,AA951+1),"")</f>
        <v/>
      </c>
      <c r="AI951" s="51" t="str">
        <f aca="false">IF(AND(AC951=1,AA951&lt;1),IF(AND(C952=C951,AA952=AA951+1),IF(AC952=1,"",INDEX(DATAS,AA951+1)),INDEX(DATAS,AA951+1)),"")</f>
        <v/>
      </c>
    </row>
    <row r="952" customFormat="false" ht="15" hidden="false" customHeight="false" outlineLevel="0" collapsed="false">
      <c r="A952" s="51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46" t="s">
        <v>735</v>
      </c>
      <c r="G952" s="0" t="n">
        <v>45.3</v>
      </c>
      <c r="H952" s="0" t="n">
        <v>49</v>
      </c>
      <c r="I952" s="46" t="s">
        <v>152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51" t="n">
        <v>46234</v>
      </c>
      <c r="X952" s="46" t="n">
        <f aca="false">IF(I952="Male",0,1)</f>
        <v>1</v>
      </c>
      <c r="Y952" s="46" t="n">
        <f aca="false">IF(OR(I952="DNB",I952="Dry DNB"),1,0)</f>
        <v>0</v>
      </c>
      <c r="Z952" s="46" t="n">
        <f aca="false">IF(ISNUMBER(W952),A952-W952,"")</f>
        <v>75</v>
      </c>
      <c r="AA952" s="46" t="n">
        <f aca="false">MATCH(A952,DATAS,0)</f>
        <v>1</v>
      </c>
      <c r="AB952" s="46" t="n">
        <f aca="false">IF(AND(E952&gt;0,OR(AND(B952&gt;=1,B952&lt;=6),B952=10)),1,0)</f>
        <v>1</v>
      </c>
      <c r="AC952" s="46" t="n">
        <f aca="false">IF(AND(E952&gt;0,B952=10),1,0)</f>
        <v>0</v>
      </c>
      <c r="AD952" s="0" t="str">
        <f aca="false">IF(AND(C951=C952,AA951=AA952-1),AB951,"")</f>
        <v/>
      </c>
      <c r="AE952" s="0" t="str">
        <f aca="false">IF(AND(C951=C952,AA951=AA952-1),AC951,"")</f>
        <v/>
      </c>
      <c r="AF952" s="0" t="str">
        <f aca="false">IF(AA952=1,"",IF(AND(AB952=1,AD952&lt;&gt;1),1,0))</f>
        <v/>
      </c>
      <c r="AG952" s="0" t="str">
        <f aca="false">IF(AA952=1,"",IF(AND(AC952=1,AE952&lt;&gt;1),1,0))</f>
        <v/>
      </c>
      <c r="AH952" s="51" t="str">
        <f aca="false">IF(AND(E952&gt;0,AA952&lt;1,NOT(AND(C953=C952,AA953=AA952+1))),INDEX(DATAS,AA952+1),"")</f>
        <v/>
      </c>
      <c r="AI952" s="51" t="str">
        <f aca="false">IF(AND(AC952=1,AA952&lt;1),IF(AND(C953=C952,AA953=AA952+1),IF(AC953=1,"",INDEX(DATAS,AA952+1)),INDEX(DATAS,AA952+1)),"")</f>
        <v/>
      </c>
    </row>
    <row r="953" customFormat="false" ht="15" hidden="false" customHeight="false" outlineLevel="0" collapsed="false">
      <c r="A953" s="51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46" t="s">
        <v>735</v>
      </c>
      <c r="G953" s="0" t="n">
        <v>70.4</v>
      </c>
      <c r="H953" s="0" t="n">
        <v>67</v>
      </c>
      <c r="I953" s="46" t="s">
        <v>181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51" t="n">
        <v>46296</v>
      </c>
      <c r="X953" s="46" t="n">
        <f aca="false">IF(I953="Male",0,1)</f>
        <v>1</v>
      </c>
      <c r="Y953" s="46" t="n">
        <f aca="false">IF(OR(I953="DNB",I953="Dry DNB"),1,0)</f>
        <v>0</v>
      </c>
      <c r="Z953" s="46" t="n">
        <f aca="false">IF(ISNUMBER(W953),A953-W953,"")</f>
        <v>13</v>
      </c>
      <c r="AA953" s="46" t="n">
        <f aca="false">MATCH(A953,DATAS,0)</f>
        <v>1</v>
      </c>
      <c r="AB953" s="46" t="n">
        <f aca="false">IF(AND(E953&gt;0,OR(AND(B953&gt;=1,B953&lt;=6),B953=10)),1,0)</f>
        <v>1</v>
      </c>
      <c r="AC953" s="46" t="n">
        <f aca="false">IF(AND(E953&gt;0,B953=10),1,0)</f>
        <v>0</v>
      </c>
      <c r="AD953" s="0" t="str">
        <f aca="false">IF(AND(C952=C953,AA952=AA953-1),AB952,"")</f>
        <v/>
      </c>
      <c r="AE953" s="0" t="str">
        <f aca="false">IF(AND(C952=C953,AA952=AA953-1),AC952,"")</f>
        <v/>
      </c>
      <c r="AF953" s="0" t="str">
        <f aca="false">IF(AA953=1,"",IF(AND(AB953=1,AD953&lt;&gt;1),1,0))</f>
        <v/>
      </c>
      <c r="AG953" s="0" t="str">
        <f aca="false">IF(AA953=1,"",IF(AND(AC953=1,AE953&lt;&gt;1),1,0))</f>
        <v/>
      </c>
      <c r="AH953" s="51" t="str">
        <f aca="false">IF(AND(E953&gt;0,AA953&lt;1,NOT(AND(C954=C953,AA954=AA953+1))),INDEX(DATAS,AA953+1),"")</f>
        <v/>
      </c>
      <c r="AI953" s="51" t="str">
        <f aca="false">IF(AND(AC953=1,AA953&lt;1),IF(AND(C954=C953,AA954=AA953+1),IF(AC954=1,"",INDEX(DATAS,AA953+1)),INDEX(DATAS,AA953+1)),"")</f>
        <v/>
      </c>
    </row>
    <row r="954" customFormat="false" ht="15" hidden="false" customHeight="false" outlineLevel="0" collapsed="false">
      <c r="A954" s="51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46" t="s">
        <v>735</v>
      </c>
      <c r="G954" s="0" t="n">
        <v>64.1</v>
      </c>
      <c r="H954" s="0" t="n">
        <v>63</v>
      </c>
      <c r="I954" s="46" t="s">
        <v>152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51" t="n">
        <v>46226</v>
      </c>
      <c r="X954" s="46" t="n">
        <f aca="false">IF(I954="Male",0,1)</f>
        <v>1</v>
      </c>
      <c r="Y954" s="46" t="n">
        <f aca="false">IF(OR(I954="DNB",I954="Dry DNB"),1,0)</f>
        <v>0</v>
      </c>
      <c r="Z954" s="46" t="n">
        <f aca="false">IF(ISNUMBER(W954),A954-W954,"")</f>
        <v>83</v>
      </c>
      <c r="AA954" s="46" t="n">
        <f aca="false">MATCH(A954,DATAS,0)</f>
        <v>1</v>
      </c>
      <c r="AB954" s="46" t="n">
        <f aca="false">IF(AND(E954&gt;0,OR(AND(B954&gt;=1,B954&lt;=6),B954=10)),1,0)</f>
        <v>1</v>
      </c>
      <c r="AC954" s="46" t="n">
        <f aca="false">IF(AND(E954&gt;0,B954=10),1,0)</f>
        <v>0</v>
      </c>
      <c r="AD954" s="0" t="str">
        <f aca="false">IF(AND(C953=C954,AA953=AA954-1),AB953,"")</f>
        <v/>
      </c>
      <c r="AE954" s="0" t="str">
        <f aca="false">IF(AND(C953=C954,AA953=AA954-1),AC953,"")</f>
        <v/>
      </c>
      <c r="AF954" s="0" t="str">
        <f aca="false">IF(AA954=1,"",IF(AND(AB954=1,AD954&lt;&gt;1),1,0))</f>
        <v/>
      </c>
      <c r="AG954" s="0" t="str">
        <f aca="false">IF(AA954=1,"",IF(AND(AC954=1,AE954&lt;&gt;1),1,0))</f>
        <v/>
      </c>
      <c r="AH954" s="51" t="str">
        <f aca="false">IF(AND(E954&gt;0,AA954&lt;1,NOT(AND(C955=C954,AA955=AA954+1))),INDEX(DATAS,AA954+1),"")</f>
        <v/>
      </c>
      <c r="AI954" s="51" t="str">
        <f aca="false">IF(AND(AC954=1,AA954&lt;1),IF(AND(C955=C954,AA955=AA954+1),IF(AC955=1,"",INDEX(DATAS,AA954+1)),INDEX(DATAS,AA954+1)),"")</f>
        <v/>
      </c>
    </row>
    <row r="955" customFormat="false" ht="15" hidden="false" customHeight="false" outlineLevel="0" collapsed="false">
      <c r="A955" s="51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46" t="s">
        <v>736</v>
      </c>
      <c r="G955" s="0" t="n">
        <v>50.9</v>
      </c>
      <c r="H955" s="0" t="n">
        <v>52</v>
      </c>
      <c r="I955" s="46" t="s">
        <v>152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51" t="n">
        <v>46264</v>
      </c>
      <c r="X955" s="46" t="n">
        <f aca="false">IF(I955="Male",0,1)</f>
        <v>1</v>
      </c>
      <c r="Y955" s="46" t="n">
        <f aca="false">IF(OR(I955="DNB",I955="Dry DNB"),1,0)</f>
        <v>0</v>
      </c>
      <c r="Z955" s="46" t="n">
        <f aca="false">IF(ISNUMBER(W955),A955-W955,"")</f>
        <v>45</v>
      </c>
      <c r="AA955" s="46" t="n">
        <f aca="false">MATCH(A955,DATAS,0)</f>
        <v>1</v>
      </c>
      <c r="AB955" s="46" t="n">
        <f aca="false">IF(AND(E955&gt;0,OR(AND(B955&gt;=1,B955&lt;=6),B955=10)),1,0)</f>
        <v>1</v>
      </c>
      <c r="AC955" s="46" t="n">
        <f aca="false">IF(AND(E955&gt;0,B955=10),1,0)</f>
        <v>0</v>
      </c>
      <c r="AD955" s="0" t="str">
        <f aca="false">IF(AND(C954=C955,AA954=AA955-1),AB954,"")</f>
        <v/>
      </c>
      <c r="AE955" s="0" t="str">
        <f aca="false">IF(AND(C954=C955,AA954=AA955-1),AC954,"")</f>
        <v/>
      </c>
      <c r="AF955" s="0" t="str">
        <f aca="false">IF(AA955=1,"",IF(AND(AB955=1,AD955&lt;&gt;1),1,0))</f>
        <v/>
      </c>
      <c r="AG955" s="0" t="str">
        <f aca="false">IF(AA955=1,"",IF(AND(AC955=1,AE955&lt;&gt;1),1,0))</f>
        <v/>
      </c>
      <c r="AH955" s="51" t="str">
        <f aca="false">IF(AND(E955&gt;0,AA955&lt;1,NOT(AND(C956=C955,AA956=AA955+1))),INDEX(DATAS,AA955+1),"")</f>
        <v/>
      </c>
      <c r="AI955" s="51" t="str">
        <f aca="false">IF(AND(AC955=1,AA955&lt;1),IF(AND(C956=C955,AA956=AA955+1),IF(AC956=1,"",INDEX(DATAS,AA955+1)),INDEX(DATAS,AA955+1)),"")</f>
        <v/>
      </c>
    </row>
    <row r="956" customFormat="false" ht="15" hidden="false" customHeight="false" outlineLevel="0" collapsed="false">
      <c r="A956" s="51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46" t="s">
        <v>737</v>
      </c>
      <c r="G956" s="0" t="n">
        <v>54.4</v>
      </c>
      <c r="H956" s="0" t="n">
        <v>54</v>
      </c>
      <c r="I956" s="46" t="s">
        <v>181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51" t="n">
        <v>46300</v>
      </c>
      <c r="X956" s="46" t="n">
        <f aca="false">IF(I956="Male",0,1)</f>
        <v>1</v>
      </c>
      <c r="Y956" s="46" t="n">
        <f aca="false">IF(OR(I956="DNB",I956="Dry DNB"),1,0)</f>
        <v>0</v>
      </c>
      <c r="Z956" s="46" t="n">
        <f aca="false">IF(ISNUMBER(W956),A956-W956,"")</f>
        <v>9</v>
      </c>
      <c r="AA956" s="46" t="n">
        <f aca="false">MATCH(A956,DATAS,0)</f>
        <v>1</v>
      </c>
      <c r="AB956" s="46" t="n">
        <f aca="false">IF(AND(E956&gt;0,OR(AND(B956&gt;=1,B956&lt;=6),B956=10)),1,0)</f>
        <v>1</v>
      </c>
      <c r="AC956" s="46" t="n">
        <f aca="false">IF(AND(E956&gt;0,B956=10),1,0)</f>
        <v>0</v>
      </c>
      <c r="AD956" s="0" t="str">
        <f aca="false">IF(AND(C955=C956,AA955=AA956-1),AB955,"")</f>
        <v/>
      </c>
      <c r="AE956" s="0" t="str">
        <f aca="false">IF(AND(C955=C956,AA955=AA956-1),AC955,"")</f>
        <v/>
      </c>
      <c r="AF956" s="0" t="str">
        <f aca="false">IF(AA956=1,"",IF(AND(AB956=1,AD956&lt;&gt;1),1,0))</f>
        <v/>
      </c>
      <c r="AG956" s="0" t="str">
        <f aca="false">IF(AA956=1,"",IF(AND(AC956=1,AE956&lt;&gt;1),1,0))</f>
        <v/>
      </c>
      <c r="AH956" s="51" t="str">
        <f aca="false">IF(AND(E956&gt;0,AA956&lt;1,NOT(AND(C957=C956,AA957=AA956+1))),INDEX(DATAS,AA956+1),"")</f>
        <v/>
      </c>
      <c r="AI956" s="51" t="str">
        <f aca="false">IF(AND(AC956=1,AA956&lt;1),IF(AND(C957=C956,AA957=AA956+1),IF(AC957=1,"",INDEX(DATAS,AA956+1)),INDEX(DATAS,AA956+1)),"")</f>
        <v/>
      </c>
    </row>
    <row r="957" customFormat="false" ht="15" hidden="false" customHeight="false" outlineLevel="0" collapsed="false">
      <c r="A957" s="51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46" t="s">
        <v>737</v>
      </c>
      <c r="G957" s="0" t="n">
        <v>42.7</v>
      </c>
      <c r="H957" s="0" t="n">
        <v>41</v>
      </c>
      <c r="I957" s="46" t="s">
        <v>181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51" t="n">
        <v>46296</v>
      </c>
      <c r="X957" s="46" t="n">
        <f aca="false">IF(I957="Male",0,1)</f>
        <v>1</v>
      </c>
      <c r="Y957" s="46" t="n">
        <f aca="false">IF(OR(I957="DNB",I957="Dry DNB"),1,0)</f>
        <v>0</v>
      </c>
      <c r="Z957" s="46" t="n">
        <f aca="false">IF(ISNUMBER(W957),A957-W957,"")</f>
        <v>13</v>
      </c>
      <c r="AA957" s="46" t="n">
        <f aca="false">MATCH(A957,DATAS,0)</f>
        <v>1</v>
      </c>
      <c r="AB957" s="46" t="n">
        <f aca="false">IF(AND(E957&gt;0,OR(AND(B957&gt;=1,B957&lt;=6),B957=10)),1,0)</f>
        <v>1</v>
      </c>
      <c r="AC957" s="46" t="n">
        <f aca="false">IF(AND(E957&gt;0,B957=10),1,0)</f>
        <v>0</v>
      </c>
      <c r="AD957" s="0" t="str">
        <f aca="false">IF(AND(C956=C957,AA956=AA957-1),AB956,"")</f>
        <v/>
      </c>
      <c r="AE957" s="0" t="str">
        <f aca="false">IF(AND(C956=C957,AA956=AA957-1),AC956,"")</f>
        <v/>
      </c>
      <c r="AF957" s="0" t="str">
        <f aca="false">IF(AA957=1,"",IF(AND(AB957=1,AD957&lt;&gt;1),1,0))</f>
        <v/>
      </c>
      <c r="AG957" s="0" t="str">
        <f aca="false">IF(AA957=1,"",IF(AND(AC957=1,AE957&lt;&gt;1),1,0))</f>
        <v/>
      </c>
      <c r="AH957" s="51" t="str">
        <f aca="false">IF(AND(E957&gt;0,AA957&lt;1,NOT(AND(C958=C957,AA958=AA957+1))),INDEX(DATAS,AA957+1),"")</f>
        <v/>
      </c>
      <c r="AI957" s="51" t="str">
        <f aca="false">IF(AND(AC957=1,AA957&lt;1),IF(AND(C958=C957,AA958=AA957+1),IF(AC958=1,"",INDEX(DATAS,AA957+1)),INDEX(DATAS,AA957+1)),"")</f>
        <v/>
      </c>
    </row>
    <row r="958" customFormat="false" ht="15" hidden="false" customHeight="false" outlineLevel="0" collapsed="false">
      <c r="A958" s="51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46" t="s">
        <v>737</v>
      </c>
      <c r="G958" s="0" t="n">
        <v>28.1</v>
      </c>
      <c r="H958" s="0" t="n">
        <v>29</v>
      </c>
      <c r="I958" s="46" t="s">
        <v>152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51" t="n">
        <v>46156</v>
      </c>
      <c r="X958" s="46" t="n">
        <f aca="false">IF(I958="Male",0,1)</f>
        <v>1</v>
      </c>
      <c r="Y958" s="46" t="n">
        <f aca="false">IF(OR(I958="DNB",I958="Dry DNB"),1,0)</f>
        <v>0</v>
      </c>
      <c r="Z958" s="46" t="n">
        <f aca="false">IF(ISNUMBER(W958),A958-W958,"")</f>
        <v>153</v>
      </c>
      <c r="AA958" s="46" t="n">
        <f aca="false">MATCH(A958,DATAS,0)</f>
        <v>1</v>
      </c>
      <c r="AB958" s="46" t="n">
        <f aca="false">IF(AND(E958&gt;0,OR(AND(B958&gt;=1,B958&lt;=6),B958=10)),1,0)</f>
        <v>1</v>
      </c>
      <c r="AC958" s="46" t="n">
        <f aca="false">IF(AND(E958&gt;0,B958=10),1,0)</f>
        <v>0</v>
      </c>
      <c r="AD958" s="0" t="str">
        <f aca="false">IF(AND(C957=C958,AA957=AA958-1),AB957,"")</f>
        <v/>
      </c>
      <c r="AE958" s="0" t="str">
        <f aca="false">IF(AND(C957=C958,AA957=AA958-1),AC957,"")</f>
        <v/>
      </c>
      <c r="AF958" s="0" t="str">
        <f aca="false">IF(AA958=1,"",IF(AND(AB958=1,AD958&lt;&gt;1),1,0))</f>
        <v/>
      </c>
      <c r="AG958" s="0" t="str">
        <f aca="false">IF(AA958=1,"",IF(AND(AC958=1,AE958&lt;&gt;1),1,0))</f>
        <v/>
      </c>
      <c r="AH958" s="51" t="str">
        <f aca="false">IF(AND(E958&gt;0,AA958&lt;1,NOT(AND(C959=C958,AA959=AA958+1))),INDEX(DATAS,AA958+1),"")</f>
        <v/>
      </c>
      <c r="AI958" s="51" t="str">
        <f aca="false">IF(AND(AC958=1,AA958&lt;1),IF(AND(C959=C958,AA959=AA958+1),IF(AC959=1,"",INDEX(DATAS,AA958+1)),INDEX(DATAS,AA958+1)),"")</f>
        <v/>
      </c>
    </row>
    <row r="959" customFormat="false" ht="15" hidden="false" customHeight="false" outlineLevel="0" collapsed="false">
      <c r="A959" s="51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46" t="s">
        <v>737</v>
      </c>
      <c r="G959" s="0" t="n">
        <v>67.7</v>
      </c>
      <c r="H959" s="0" t="n">
        <v>66</v>
      </c>
      <c r="I959" s="46" t="s">
        <v>161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X959" s="46" t="n">
        <f aca="false">IF(I959="Male",0,1)</f>
        <v>1</v>
      </c>
      <c r="Y959" s="46" t="n">
        <f aca="false">IF(OR(I959="DNB",I959="Dry DNB"),1,0)</f>
        <v>0</v>
      </c>
      <c r="Z959" s="0" t="str">
        <f aca="false">IF(ISNUMBER(W959),A959-W959,"")</f>
        <v/>
      </c>
      <c r="AA959" s="46" t="n">
        <f aca="false">MATCH(A959,DATAS,0)</f>
        <v>1</v>
      </c>
      <c r="AB959" s="46" t="n">
        <f aca="false">IF(AND(E959&gt;0,OR(AND(B959&gt;=1,B959&lt;=6),B959=10)),1,0)</f>
        <v>1</v>
      </c>
      <c r="AC959" s="46" t="n">
        <f aca="false">IF(AND(E959&gt;0,B959=10),1,0)</f>
        <v>0</v>
      </c>
      <c r="AD959" s="0" t="str">
        <f aca="false">IF(AND(C958=C959,AA958=AA959-1),AB958,"")</f>
        <v/>
      </c>
      <c r="AE959" s="0" t="str">
        <f aca="false">IF(AND(C958=C959,AA958=AA959-1),AC958,"")</f>
        <v/>
      </c>
      <c r="AF959" s="0" t="str">
        <f aca="false">IF(AA959=1,"",IF(AND(AB959=1,AD959&lt;&gt;1),1,0))</f>
        <v/>
      </c>
      <c r="AG959" s="0" t="str">
        <f aca="false">IF(AA959=1,"",IF(AND(AC959=1,AE959&lt;&gt;1),1,0))</f>
        <v/>
      </c>
      <c r="AH959" s="51" t="str">
        <f aca="false">IF(AND(E959&gt;0,AA959&lt;1,NOT(AND(C960=C959,AA960=AA959+1))),INDEX(DATAS,AA959+1),"")</f>
        <v/>
      </c>
      <c r="AI959" s="51" t="str">
        <f aca="false">IF(AND(AC959=1,AA959&lt;1),IF(AND(C960=C959,AA960=AA959+1),IF(AC960=1,"",INDEX(DATAS,AA959+1)),INDEX(DATAS,AA959+1)),"")</f>
        <v/>
      </c>
    </row>
    <row r="960" customFormat="false" ht="15" hidden="false" customHeight="false" outlineLevel="0" collapsed="false">
      <c r="A960" s="51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46" t="s">
        <v>738</v>
      </c>
      <c r="G960" s="0" t="n">
        <v>28.9</v>
      </c>
      <c r="H960" s="0" t="n">
        <v>33</v>
      </c>
      <c r="I960" s="46" t="s">
        <v>189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51" t="n">
        <v>46272</v>
      </c>
      <c r="X960" s="46" t="n">
        <f aca="false">IF(I960="Male",0,1)</f>
        <v>1</v>
      </c>
      <c r="Y960" s="46" t="n">
        <f aca="false">IF(OR(I960="DNB",I960="Dry DNB"),1,0)</f>
        <v>0</v>
      </c>
      <c r="Z960" s="46" t="n">
        <f aca="false">IF(ISNUMBER(W960),A960-W960,"")</f>
        <v>37</v>
      </c>
      <c r="AA960" s="46" t="n">
        <f aca="false">MATCH(A960,DATAS,0)</f>
        <v>1</v>
      </c>
      <c r="AB960" s="46" t="n">
        <f aca="false">IF(AND(E960&gt;0,OR(AND(B960&gt;=1,B960&lt;=6),B960=10)),1,0)</f>
        <v>1</v>
      </c>
      <c r="AC960" s="46" t="n">
        <f aca="false">IF(AND(E960&gt;0,B960=10),1,0)</f>
        <v>0</v>
      </c>
      <c r="AD960" s="0" t="str">
        <f aca="false">IF(AND(C959=C960,AA959=AA960-1),AB959,"")</f>
        <v/>
      </c>
      <c r="AE960" s="0" t="str">
        <f aca="false">IF(AND(C959=C960,AA959=AA960-1),AC959,"")</f>
        <v/>
      </c>
      <c r="AF960" s="0" t="str">
        <f aca="false">IF(AA960=1,"",IF(AND(AB960=1,AD960&lt;&gt;1),1,0))</f>
        <v/>
      </c>
      <c r="AG960" s="0" t="str">
        <f aca="false">IF(AA960=1,"",IF(AND(AC960=1,AE960&lt;&gt;1),1,0))</f>
        <v/>
      </c>
      <c r="AH960" s="51" t="str">
        <f aca="false">IF(AND(E960&gt;0,AA960&lt;1,NOT(AND(C961=C960,AA961=AA960+1))),INDEX(DATAS,AA960+1),"")</f>
        <v/>
      </c>
      <c r="AI960" s="51" t="str">
        <f aca="false">IF(AND(AC960=1,AA960&lt;1),IF(AND(C961=C960,AA961=AA960+1),IF(AC961=1,"",INDEX(DATAS,AA960+1)),INDEX(DATAS,AA960+1)),"")</f>
        <v/>
      </c>
    </row>
    <row r="961" customFormat="false" ht="15" hidden="false" customHeight="false" outlineLevel="0" collapsed="false">
      <c r="A961" s="51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46" t="s">
        <v>739</v>
      </c>
      <c r="G961" s="0" t="n">
        <v>45.8</v>
      </c>
      <c r="H961" s="0" t="n">
        <v>45</v>
      </c>
      <c r="I961" s="46" t="s">
        <v>152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51" t="n">
        <v>46261</v>
      </c>
      <c r="X961" s="46" t="n">
        <f aca="false">IF(I961="Male",0,1)</f>
        <v>1</v>
      </c>
      <c r="Y961" s="46" t="n">
        <f aca="false">IF(OR(I961="DNB",I961="Dry DNB"),1,0)</f>
        <v>0</v>
      </c>
      <c r="Z961" s="46" t="n">
        <f aca="false">IF(ISNUMBER(W961),A961-W961,"")</f>
        <v>48</v>
      </c>
      <c r="AA961" s="46" t="n">
        <f aca="false">MATCH(A961,DATAS,0)</f>
        <v>1</v>
      </c>
      <c r="AB961" s="46" t="n">
        <f aca="false">IF(AND(E961&gt;0,OR(AND(B961&gt;=1,B961&lt;=6),B961=10)),1,0)</f>
        <v>1</v>
      </c>
      <c r="AC961" s="46" t="n">
        <f aca="false">IF(AND(E961&gt;0,B961=10),1,0)</f>
        <v>0</v>
      </c>
      <c r="AD961" s="0" t="str">
        <f aca="false">IF(AND(C960=C961,AA960=AA961-1),AB960,"")</f>
        <v/>
      </c>
      <c r="AE961" s="0" t="str">
        <f aca="false">IF(AND(C960=C961,AA960=AA961-1),AC960,"")</f>
        <v/>
      </c>
      <c r="AF961" s="0" t="str">
        <f aca="false">IF(AA961=1,"",IF(AND(AB961=1,AD961&lt;&gt;1),1,0))</f>
        <v/>
      </c>
      <c r="AG961" s="0" t="str">
        <f aca="false">IF(AA961=1,"",IF(AND(AC961=1,AE961&lt;&gt;1),1,0))</f>
        <v/>
      </c>
      <c r="AH961" s="51" t="str">
        <f aca="false">IF(AND(E961&gt;0,AA961&lt;1,NOT(AND(C962=C961,AA962=AA961+1))),INDEX(DATAS,AA961+1),"")</f>
        <v/>
      </c>
      <c r="AI961" s="51" t="str">
        <f aca="false">IF(AND(AC961=1,AA961&lt;1),IF(AND(C962=C961,AA962=AA961+1),IF(AC962=1,"",INDEX(DATAS,AA961+1)),INDEX(DATAS,AA961+1)),"")</f>
        <v/>
      </c>
    </row>
    <row r="962" customFormat="false" ht="15" hidden="false" customHeight="false" outlineLevel="0" collapsed="false">
      <c r="A962" s="51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46" t="s">
        <v>739</v>
      </c>
      <c r="G962" s="0" t="n">
        <v>24.7</v>
      </c>
      <c r="H962" s="0" t="n">
        <v>27</v>
      </c>
      <c r="I962" s="46" t="s">
        <v>161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X962" s="46" t="n">
        <f aca="false">IF(I962="Male",0,1)</f>
        <v>1</v>
      </c>
      <c r="Y962" s="46" t="n">
        <f aca="false">IF(OR(I962="DNB",I962="Dry DNB"),1,0)</f>
        <v>0</v>
      </c>
      <c r="Z962" s="0" t="str">
        <f aca="false">IF(ISNUMBER(W962),A962-W962,"")</f>
        <v/>
      </c>
      <c r="AA962" s="46" t="n">
        <f aca="false">MATCH(A962,DATAS,0)</f>
        <v>1</v>
      </c>
      <c r="AB962" s="46" t="n">
        <f aca="false">IF(AND(E962&gt;0,OR(AND(B962&gt;=1,B962&lt;=6),B962=10)),1,0)</f>
        <v>1</v>
      </c>
      <c r="AC962" s="46" t="n">
        <f aca="false">IF(AND(E962&gt;0,B962=10),1,0)</f>
        <v>0</v>
      </c>
      <c r="AD962" s="0" t="str">
        <f aca="false">IF(AND(C961=C962,AA961=AA962-1),AB961,"")</f>
        <v/>
      </c>
      <c r="AE962" s="0" t="str">
        <f aca="false">IF(AND(C961=C962,AA961=AA962-1),AC961,"")</f>
        <v/>
      </c>
      <c r="AF962" s="0" t="str">
        <f aca="false">IF(AA962=1,"",IF(AND(AB962=1,AD962&lt;&gt;1),1,0))</f>
        <v/>
      </c>
      <c r="AG962" s="0" t="str">
        <f aca="false">IF(AA962=1,"",IF(AND(AC962=1,AE962&lt;&gt;1),1,0))</f>
        <v/>
      </c>
      <c r="AH962" s="51" t="str">
        <f aca="false">IF(AND(E962&gt;0,AA962&lt;1,NOT(AND(C963=C962,AA963=AA962+1))),INDEX(DATAS,AA962+1),"")</f>
        <v/>
      </c>
      <c r="AI962" s="51" t="str">
        <f aca="false">IF(AND(AC962=1,AA962&lt;1),IF(AND(C963=C962,AA963=AA962+1),IF(AC963=1,"",INDEX(DATAS,AA962+1)),INDEX(DATAS,AA962+1)),"")</f>
        <v/>
      </c>
    </row>
    <row r="963" customFormat="false" ht="15" hidden="false" customHeight="false" outlineLevel="0" collapsed="false">
      <c r="A963" s="51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46" t="s">
        <v>740</v>
      </c>
      <c r="G963" s="0" t="n">
        <v>12.9</v>
      </c>
      <c r="H963" s="0" t="n">
        <v>36</v>
      </c>
      <c r="I963" s="46" t="s">
        <v>157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51" t="n">
        <v>46051</v>
      </c>
      <c r="X963" s="46" t="n">
        <f aca="false">IF(I963="Male",0,1)</f>
        <v>1</v>
      </c>
      <c r="Y963" s="46" t="n">
        <f aca="false">IF(OR(I963="DNB",I963="Dry DNB"),1,0)</f>
        <v>0</v>
      </c>
      <c r="Z963" s="46" t="n">
        <f aca="false">IF(ISNUMBER(W963),A963-W963,"")</f>
        <v>258</v>
      </c>
      <c r="AA963" s="46" t="n">
        <f aca="false">MATCH(A963,DATAS,0)</f>
        <v>1</v>
      </c>
      <c r="AB963" s="46" t="n">
        <f aca="false">IF(AND(E963&gt;0,OR(AND(B963&gt;=1,B963&lt;=6),B963=10)),1,0)</f>
        <v>0</v>
      </c>
      <c r="AC963" s="46" t="n">
        <f aca="false">IF(AND(E963&gt;0,B963=10),1,0)</f>
        <v>0</v>
      </c>
      <c r="AD963" s="0" t="str">
        <f aca="false">IF(AND(C962=C963,AA962=AA963-1),AB962,"")</f>
        <v/>
      </c>
      <c r="AE963" s="0" t="str">
        <f aca="false">IF(AND(C962=C963,AA962=AA963-1),AC962,"")</f>
        <v/>
      </c>
      <c r="AF963" s="0" t="str">
        <f aca="false">IF(AA963=1,"",IF(AND(AB963=1,AD963&lt;&gt;1),1,0))</f>
        <v/>
      </c>
      <c r="AG963" s="0" t="str">
        <f aca="false">IF(AA963=1,"",IF(AND(AC963=1,AE963&lt;&gt;1),1,0))</f>
        <v/>
      </c>
      <c r="AH963" s="51" t="str">
        <f aca="false">IF(AND(E963&gt;0,AA963&lt;1,NOT(AND(C964=C963,AA964=AA963+1))),INDEX(DATAS,AA963+1),"")</f>
        <v/>
      </c>
      <c r="AI963" s="51" t="str">
        <f aca="false">IF(AND(AC963=1,AA963&lt;1),IF(AND(C964=C963,AA964=AA963+1),IF(AC964=1,"",INDEX(DATAS,AA963+1)),INDEX(DATAS,AA963+1)),"")</f>
        <v/>
      </c>
    </row>
    <row r="964" customFormat="false" ht="15" hidden="false" customHeight="false" outlineLevel="0" collapsed="false">
      <c r="A964" s="51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46" t="s">
        <v>740</v>
      </c>
      <c r="G964" s="0" t="n">
        <v>45.3</v>
      </c>
      <c r="H964" s="0" t="n">
        <v>60</v>
      </c>
      <c r="I964" s="46" t="s">
        <v>181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51" t="n">
        <v>46282</v>
      </c>
      <c r="X964" s="46" t="n">
        <f aca="false">IF(I964="Male",0,1)</f>
        <v>1</v>
      </c>
      <c r="Y964" s="46" t="n">
        <f aca="false">IF(OR(I964="DNB",I964="Dry DNB"),1,0)</f>
        <v>0</v>
      </c>
      <c r="Z964" s="46" t="n">
        <f aca="false">IF(ISNUMBER(W964),A964-W964,"")</f>
        <v>27</v>
      </c>
      <c r="AA964" s="46" t="n">
        <f aca="false">MATCH(A964,DATAS,0)</f>
        <v>1</v>
      </c>
      <c r="AB964" s="46" t="n">
        <f aca="false">IF(AND(E964&gt;0,OR(AND(B964&gt;=1,B964&lt;=6),B964=10)),1,0)</f>
        <v>1</v>
      </c>
      <c r="AC964" s="46" t="n">
        <f aca="false">IF(AND(E964&gt;0,B964=10),1,0)</f>
        <v>0</v>
      </c>
      <c r="AD964" s="0" t="str">
        <f aca="false">IF(AND(C963=C964,AA963=AA964-1),AB963,"")</f>
        <v/>
      </c>
      <c r="AE964" s="0" t="str">
        <f aca="false">IF(AND(C963=C964,AA963=AA964-1),AC963,"")</f>
        <v/>
      </c>
      <c r="AF964" s="0" t="str">
        <f aca="false">IF(AA964=1,"",IF(AND(AB964=1,AD964&lt;&gt;1),1,0))</f>
        <v/>
      </c>
      <c r="AG964" s="0" t="str">
        <f aca="false">IF(AA964=1,"",IF(AND(AC964=1,AE964&lt;&gt;1),1,0))</f>
        <v/>
      </c>
      <c r="AH964" s="51" t="str">
        <f aca="false">IF(AND(E964&gt;0,AA964&lt;1,NOT(AND(C965=C964,AA965=AA964+1))),INDEX(DATAS,AA964+1),"")</f>
        <v/>
      </c>
      <c r="AI964" s="51" t="str">
        <f aca="false">IF(AND(AC964=1,AA964&lt;1),IF(AND(C965=C964,AA965=AA964+1),IF(AC965=1,"",INDEX(DATAS,AA964+1)),INDEX(DATAS,AA964+1)),"")</f>
        <v/>
      </c>
    </row>
    <row r="965" customFormat="false" ht="15" hidden="false" customHeight="false" outlineLevel="0" collapsed="false">
      <c r="A965" s="51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46" t="s">
        <v>740</v>
      </c>
      <c r="G965" s="0" t="n">
        <v>39.2</v>
      </c>
      <c r="H965" s="0" t="n">
        <v>40</v>
      </c>
      <c r="I965" s="46" t="s">
        <v>152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51" t="n">
        <v>46226</v>
      </c>
      <c r="X965" s="46" t="n">
        <f aca="false">IF(I965="Male",0,1)</f>
        <v>1</v>
      </c>
      <c r="Y965" s="46" t="n">
        <f aca="false">IF(OR(I965="DNB",I965="Dry DNB"),1,0)</f>
        <v>0</v>
      </c>
      <c r="Z965" s="46" t="n">
        <f aca="false">IF(ISNUMBER(W965),A965-W965,"")</f>
        <v>83</v>
      </c>
      <c r="AA965" s="46" t="n">
        <f aca="false">MATCH(A965,DATAS,0)</f>
        <v>1</v>
      </c>
      <c r="AB965" s="46" t="n">
        <f aca="false">IF(AND(E965&gt;0,OR(AND(B965&gt;=1,B965&lt;=6),B965=10)),1,0)</f>
        <v>1</v>
      </c>
      <c r="AC965" s="46" t="n">
        <f aca="false">IF(AND(E965&gt;0,B965=10),1,0)</f>
        <v>0</v>
      </c>
      <c r="AD965" s="0" t="str">
        <f aca="false">IF(AND(C964=C965,AA964=AA965-1),AB964,"")</f>
        <v/>
      </c>
      <c r="AE965" s="0" t="str">
        <f aca="false">IF(AND(C964=C965,AA964=AA965-1),AC964,"")</f>
        <v/>
      </c>
      <c r="AF965" s="0" t="str">
        <f aca="false">IF(AA965=1,"",IF(AND(AB965=1,AD965&lt;&gt;1),1,0))</f>
        <v/>
      </c>
      <c r="AG965" s="0" t="str">
        <f aca="false">IF(AA965=1,"",IF(AND(AC965=1,AE965&lt;&gt;1),1,0))</f>
        <v/>
      </c>
      <c r="AH965" s="51" t="str">
        <f aca="false">IF(AND(E965&gt;0,AA965&lt;1,NOT(AND(C966=C965,AA966=AA965+1))),INDEX(DATAS,AA965+1),"")</f>
        <v/>
      </c>
      <c r="AI965" s="51" t="str">
        <f aca="false">IF(AND(AC965=1,AA965&lt;1),IF(AND(C966=C965,AA966=AA965+1),IF(AC966=1,"",INDEX(DATAS,AA965+1)),INDEX(DATAS,AA965+1)),"")</f>
        <v/>
      </c>
    </row>
    <row r="966" customFormat="false" ht="15" hidden="false" customHeight="false" outlineLevel="0" collapsed="false">
      <c r="A966" s="51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46" t="s">
        <v>741</v>
      </c>
      <c r="G966" s="0" t="n">
        <v>42.3</v>
      </c>
      <c r="H966" s="0" t="n">
        <v>38</v>
      </c>
      <c r="I966" s="46" t="s">
        <v>181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51" t="n">
        <v>46289</v>
      </c>
      <c r="X966" s="46" t="n">
        <f aca="false">IF(I966="Male",0,1)</f>
        <v>1</v>
      </c>
      <c r="Y966" s="46" t="n">
        <f aca="false">IF(OR(I966="DNB",I966="Dry DNB"),1,0)</f>
        <v>0</v>
      </c>
      <c r="Z966" s="46" t="n">
        <f aca="false">IF(ISNUMBER(W966),A966-W966,"")</f>
        <v>20</v>
      </c>
      <c r="AA966" s="46" t="n">
        <f aca="false">MATCH(A966,DATAS,0)</f>
        <v>1</v>
      </c>
      <c r="AB966" s="46" t="n">
        <f aca="false">IF(AND(E966&gt;0,OR(AND(B966&gt;=1,B966&lt;=6),B966=10)),1,0)</f>
        <v>1</v>
      </c>
      <c r="AC966" s="46" t="n">
        <f aca="false">IF(AND(E966&gt;0,B966=10),1,0)</f>
        <v>0</v>
      </c>
      <c r="AD966" s="0" t="str">
        <f aca="false">IF(AND(C965=C966,AA965=AA966-1),AB965,"")</f>
        <v/>
      </c>
      <c r="AE966" s="0" t="str">
        <f aca="false">IF(AND(C965=C966,AA965=AA966-1),AC965,"")</f>
        <v/>
      </c>
      <c r="AF966" s="0" t="str">
        <f aca="false">IF(AA966=1,"",IF(AND(AB966=1,AD966&lt;&gt;1),1,0))</f>
        <v/>
      </c>
      <c r="AG966" s="0" t="str">
        <f aca="false">IF(AA966=1,"",IF(AND(AC966=1,AE966&lt;&gt;1),1,0))</f>
        <v/>
      </c>
      <c r="AH966" s="51" t="str">
        <f aca="false">IF(AND(E966&gt;0,AA966&lt;1,NOT(AND(C967=C966,AA967=AA966+1))),INDEX(DATAS,AA966+1),"")</f>
        <v/>
      </c>
      <c r="AI966" s="51" t="str">
        <f aca="false">IF(AND(AC966=1,AA966&lt;1),IF(AND(C967=C966,AA967=AA966+1),IF(AC967=1,"",INDEX(DATAS,AA966+1)),INDEX(DATAS,AA966+1)),"")</f>
        <v/>
      </c>
    </row>
    <row r="967" customFormat="false" ht="15" hidden="false" customHeight="false" outlineLevel="0" collapsed="false">
      <c r="A967" s="51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46" t="s">
        <v>741</v>
      </c>
      <c r="G967" s="0" t="n">
        <v>27.4</v>
      </c>
      <c r="H967" s="0" t="n">
        <v>25</v>
      </c>
      <c r="I967" s="46" t="s">
        <v>138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51" t="n">
        <v>46180</v>
      </c>
      <c r="X967" s="46" t="n">
        <f aca="false">IF(I967="Male",0,1)</f>
        <v>1</v>
      </c>
      <c r="Y967" s="46" t="n">
        <f aca="false">IF(OR(I967="DNB",I967="Dry DNB"),1,0)</f>
        <v>1</v>
      </c>
      <c r="Z967" s="46" t="n">
        <f aca="false">IF(ISNUMBER(W967),A967-W967,"")</f>
        <v>129</v>
      </c>
      <c r="AA967" s="46" t="n">
        <f aca="false">MATCH(A967,DATAS,0)</f>
        <v>1</v>
      </c>
      <c r="AB967" s="46" t="n">
        <f aca="false">IF(AND(E967&gt;0,OR(AND(B967&gt;=1,B967&lt;=6),B967=10)),1,0)</f>
        <v>1</v>
      </c>
      <c r="AC967" s="46" t="n">
        <f aca="false">IF(AND(E967&gt;0,B967=10),1,0)</f>
        <v>0</v>
      </c>
      <c r="AD967" s="0" t="str">
        <f aca="false">IF(AND(C966=C967,AA966=AA967-1),AB966,"")</f>
        <v/>
      </c>
      <c r="AE967" s="0" t="str">
        <f aca="false">IF(AND(C966=C967,AA966=AA967-1),AC966,"")</f>
        <v/>
      </c>
      <c r="AF967" s="0" t="str">
        <f aca="false">IF(AA967=1,"",IF(AND(AB967=1,AD967&lt;&gt;1),1,0))</f>
        <v/>
      </c>
      <c r="AG967" s="0" t="str">
        <f aca="false">IF(AA967=1,"",IF(AND(AC967=1,AE967&lt;&gt;1),1,0))</f>
        <v/>
      </c>
      <c r="AH967" s="51" t="str">
        <f aca="false">IF(AND(E967&gt;0,AA967&lt;1,NOT(AND(C968=C967,AA968=AA967+1))),INDEX(DATAS,AA967+1),"")</f>
        <v/>
      </c>
      <c r="AI967" s="51" t="str">
        <f aca="false">IF(AND(AC967=1,AA967&lt;1),IF(AND(C968=C967,AA968=AA967+1),IF(AC968=1,"",INDEX(DATAS,AA967+1)),INDEX(DATAS,AA967+1)),"")</f>
        <v/>
      </c>
    </row>
    <row r="968" customFormat="false" ht="15" hidden="false" customHeight="false" outlineLevel="0" collapsed="false">
      <c r="A968" s="51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46" t="s">
        <v>741</v>
      </c>
      <c r="G968" s="0" t="n">
        <v>63.5</v>
      </c>
      <c r="H968" s="0" t="n">
        <v>59</v>
      </c>
      <c r="I968" s="46" t="s">
        <v>181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51" t="n">
        <v>46296</v>
      </c>
      <c r="X968" s="46" t="n">
        <f aca="false">IF(I968="Male",0,1)</f>
        <v>1</v>
      </c>
      <c r="Y968" s="46" t="n">
        <f aca="false">IF(OR(I968="DNB",I968="Dry DNB"),1,0)</f>
        <v>0</v>
      </c>
      <c r="Z968" s="46" t="n">
        <f aca="false">IF(ISNUMBER(W968),A968-W968,"")</f>
        <v>13</v>
      </c>
      <c r="AA968" s="46" t="n">
        <f aca="false">MATCH(A968,DATAS,0)</f>
        <v>1</v>
      </c>
      <c r="AB968" s="46" t="n">
        <f aca="false">IF(AND(E968&gt;0,OR(AND(B968&gt;=1,B968&lt;=6),B968=10)),1,0)</f>
        <v>1</v>
      </c>
      <c r="AC968" s="46" t="n">
        <f aca="false">IF(AND(E968&gt;0,B968=10),1,0)</f>
        <v>0</v>
      </c>
      <c r="AD968" s="0" t="str">
        <f aca="false">IF(AND(C967=C968,AA967=AA968-1),AB967,"")</f>
        <v/>
      </c>
      <c r="AE968" s="0" t="str">
        <f aca="false">IF(AND(C967=C968,AA967=AA968-1),AC967,"")</f>
        <v/>
      </c>
      <c r="AF968" s="0" t="str">
        <f aca="false">IF(AA968=1,"",IF(AND(AB968=1,AD968&lt;&gt;1),1,0))</f>
        <v/>
      </c>
      <c r="AG968" s="0" t="str">
        <f aca="false">IF(AA968=1,"",IF(AND(AC968=1,AE968&lt;&gt;1),1,0))</f>
        <v/>
      </c>
      <c r="AH968" s="51" t="str">
        <f aca="false">IF(AND(E968&gt;0,AA968&lt;1,NOT(AND(C969=C968,AA969=AA968+1))),INDEX(DATAS,AA968+1),"")</f>
        <v/>
      </c>
      <c r="AI968" s="51" t="str">
        <f aca="false">IF(AND(AC968=1,AA968&lt;1),IF(AND(C969=C968,AA969=AA968+1),IF(AC969=1,"",INDEX(DATAS,AA968+1)),INDEX(DATAS,AA968+1)),"")</f>
        <v/>
      </c>
    </row>
    <row r="969" customFormat="false" ht="15" hidden="false" customHeight="false" outlineLevel="0" collapsed="false">
      <c r="A969" s="51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46" t="s">
        <v>741</v>
      </c>
      <c r="G969" s="0" t="n">
        <v>30.1</v>
      </c>
      <c r="H969" s="0" t="n">
        <v>22</v>
      </c>
      <c r="I969" s="46" t="s">
        <v>181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51" t="n">
        <v>46303</v>
      </c>
      <c r="X969" s="46" t="n">
        <f aca="false">IF(I969="Male",0,1)</f>
        <v>1</v>
      </c>
      <c r="Y969" s="46" t="n">
        <f aca="false">IF(OR(I969="DNB",I969="Dry DNB"),1,0)</f>
        <v>0</v>
      </c>
      <c r="Z969" s="46" t="n">
        <f aca="false">IF(ISNUMBER(W969),A969-W969,"")</f>
        <v>6</v>
      </c>
      <c r="AA969" s="46" t="n">
        <f aca="false">MATCH(A969,DATAS,0)</f>
        <v>1</v>
      </c>
      <c r="AB969" s="46" t="n">
        <f aca="false">IF(AND(E969&gt;0,OR(AND(B969&gt;=1,B969&lt;=6),B969=10)),1,0)</f>
        <v>1</v>
      </c>
      <c r="AC969" s="46" t="n">
        <f aca="false">IF(AND(E969&gt;0,B969=10),1,0)</f>
        <v>1</v>
      </c>
      <c r="AD969" s="0" t="str">
        <f aca="false">IF(AND(C968=C969,AA968=AA969-1),AB968,"")</f>
        <v/>
      </c>
      <c r="AE969" s="0" t="str">
        <f aca="false">IF(AND(C968=C969,AA968=AA969-1),AC968,"")</f>
        <v/>
      </c>
      <c r="AF969" s="0" t="str">
        <f aca="false">IF(AA969=1,"",IF(AND(AB969=1,AD969&lt;&gt;1),1,0))</f>
        <v/>
      </c>
      <c r="AG969" s="0" t="str">
        <f aca="false">IF(AA969=1,"",IF(AND(AC969=1,AE969&lt;&gt;1),1,0))</f>
        <v/>
      </c>
      <c r="AH969" s="51" t="str">
        <f aca="false">IF(AND(E969&gt;0,AA969&lt;1,NOT(AND(C970=C969,AA970=AA969+1))),INDEX(DATAS,AA969+1),"")</f>
        <v/>
      </c>
      <c r="AI969" s="51" t="str">
        <f aca="false">IF(AND(AC969=1,AA969&lt;1),IF(AND(C970=C969,AA970=AA969+1),IF(AC970=1,"",INDEX(DATAS,AA969+1)),INDEX(DATAS,AA969+1)),"")</f>
        <v/>
      </c>
    </row>
    <row r="970" customFormat="false" ht="15" hidden="false" customHeight="false" outlineLevel="0" collapsed="false">
      <c r="A970" s="51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46" t="s">
        <v>742</v>
      </c>
      <c r="G970" s="0" t="n">
        <v>31.4</v>
      </c>
      <c r="H970" s="0" t="n">
        <v>31</v>
      </c>
      <c r="I970" s="46" t="s">
        <v>181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51" t="n">
        <v>46287</v>
      </c>
      <c r="X970" s="46" t="n">
        <f aca="false">IF(I970="Male",0,1)</f>
        <v>1</v>
      </c>
      <c r="Y970" s="46" t="n">
        <f aca="false">IF(OR(I970="DNB",I970="Dry DNB"),1,0)</f>
        <v>0</v>
      </c>
      <c r="Z970" s="46" t="n">
        <f aca="false">IF(ISNUMBER(W970),A970-W970,"")</f>
        <v>22</v>
      </c>
      <c r="AA970" s="46" t="n">
        <f aca="false">MATCH(A970,DATAS,0)</f>
        <v>1</v>
      </c>
      <c r="AB970" s="46" t="n">
        <f aca="false">IF(AND(E970&gt;0,OR(AND(B970&gt;=1,B970&lt;=6),B970=10)),1,0)</f>
        <v>1</v>
      </c>
      <c r="AC970" s="46" t="n">
        <f aca="false">IF(AND(E970&gt;0,B970=10),1,0)</f>
        <v>0</v>
      </c>
      <c r="AD970" s="0" t="str">
        <f aca="false">IF(AND(C969=C970,AA969=AA970-1),AB969,"")</f>
        <v/>
      </c>
      <c r="AE970" s="0" t="str">
        <f aca="false">IF(AND(C969=C970,AA969=AA970-1),AC969,"")</f>
        <v/>
      </c>
      <c r="AF970" s="0" t="str">
        <f aca="false">IF(AA970=1,"",IF(AND(AB970=1,AD970&lt;&gt;1),1,0))</f>
        <v/>
      </c>
      <c r="AG970" s="0" t="str">
        <f aca="false">IF(AA970=1,"",IF(AND(AC970=1,AE970&lt;&gt;1),1,0))</f>
        <v/>
      </c>
      <c r="AH970" s="51" t="str">
        <f aca="false">IF(AND(E970&gt;0,AA970&lt;1,NOT(AND(C971=C970,AA971=AA970+1))),INDEX(DATAS,AA970+1),"")</f>
        <v/>
      </c>
      <c r="AI970" s="51" t="str">
        <f aca="false">IF(AND(AC970=1,AA970&lt;1),IF(AND(C971=C970,AA971=AA970+1),IF(AC971=1,"",INDEX(DATAS,AA970+1)),INDEX(DATAS,AA970+1)),"")</f>
        <v/>
      </c>
    </row>
    <row r="971" customFormat="false" ht="15" hidden="false" customHeight="false" outlineLevel="0" collapsed="false">
      <c r="A971" s="51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46" t="s">
        <v>742</v>
      </c>
      <c r="G971" s="0" t="n">
        <v>49</v>
      </c>
      <c r="H971" s="0" t="n">
        <v>51</v>
      </c>
      <c r="I971" s="46" t="s">
        <v>189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51" t="n">
        <v>46268</v>
      </c>
      <c r="X971" s="46" t="n">
        <f aca="false">IF(I971="Male",0,1)</f>
        <v>1</v>
      </c>
      <c r="Y971" s="46" t="n">
        <f aca="false">IF(OR(I971="DNB",I971="Dry DNB"),1,0)</f>
        <v>0</v>
      </c>
      <c r="Z971" s="46" t="n">
        <f aca="false">IF(ISNUMBER(W971),A971-W971,"")</f>
        <v>41</v>
      </c>
      <c r="AA971" s="46" t="n">
        <f aca="false">MATCH(A971,DATAS,0)</f>
        <v>1</v>
      </c>
      <c r="AB971" s="46" t="n">
        <f aca="false">IF(AND(E971&gt;0,OR(AND(B971&gt;=1,B971&lt;=6),B971=10)),1,0)</f>
        <v>1</v>
      </c>
      <c r="AC971" s="46" t="n">
        <f aca="false">IF(AND(E971&gt;0,B971=10),1,0)</f>
        <v>0</v>
      </c>
      <c r="AD971" s="0" t="str">
        <f aca="false">IF(AND(C970=C971,AA970=AA971-1),AB970,"")</f>
        <v/>
      </c>
      <c r="AE971" s="0" t="str">
        <f aca="false">IF(AND(C970=C971,AA970=AA971-1),AC970,"")</f>
        <v/>
      </c>
      <c r="AF971" s="0" t="str">
        <f aca="false">IF(AA971=1,"",IF(AND(AB971=1,AD971&lt;&gt;1),1,0))</f>
        <v/>
      </c>
      <c r="AG971" s="0" t="str">
        <f aca="false">IF(AA971=1,"",IF(AND(AC971=1,AE971&lt;&gt;1),1,0))</f>
        <v/>
      </c>
      <c r="AH971" s="51" t="str">
        <f aca="false">IF(AND(E971&gt;0,AA971&lt;1,NOT(AND(C972=C971,AA972=AA971+1))),INDEX(DATAS,AA971+1),"")</f>
        <v/>
      </c>
      <c r="AI971" s="51" t="str">
        <f aca="false">IF(AND(AC971=1,AA971&lt;1),IF(AND(C972=C971,AA972=AA971+1),IF(AC972=1,"",INDEX(DATAS,AA971+1)),INDEX(DATAS,AA971+1)),"")</f>
        <v/>
      </c>
    </row>
    <row r="972" customFormat="false" ht="15" hidden="false" customHeight="false" outlineLevel="0" collapsed="false">
      <c r="A972" s="51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46" t="s">
        <v>743</v>
      </c>
      <c r="G972" s="0" t="n">
        <v>46.6</v>
      </c>
      <c r="H972" s="0" t="n">
        <v>48</v>
      </c>
      <c r="I972" s="46" t="s">
        <v>161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X972" s="46" t="n">
        <f aca="false">IF(I972="Male",0,1)</f>
        <v>1</v>
      </c>
      <c r="Y972" s="46" t="n">
        <f aca="false">IF(OR(I972="DNB",I972="Dry DNB"),1,0)</f>
        <v>0</v>
      </c>
      <c r="Z972" s="0" t="str">
        <f aca="false">IF(ISNUMBER(W972),A972-W972,"")</f>
        <v/>
      </c>
      <c r="AA972" s="46" t="n">
        <f aca="false">MATCH(A972,DATAS,0)</f>
        <v>1</v>
      </c>
      <c r="AB972" s="46" t="n">
        <f aca="false">IF(AND(E972&gt;0,OR(AND(B972&gt;=1,B972&lt;=6),B972=10)),1,0)</f>
        <v>1</v>
      </c>
      <c r="AC972" s="46" t="n">
        <f aca="false">IF(AND(E972&gt;0,B972=10),1,0)</f>
        <v>0</v>
      </c>
      <c r="AD972" s="0" t="str">
        <f aca="false">IF(AND(C971=C972,AA971=AA972-1),AB971,"")</f>
        <v/>
      </c>
      <c r="AE972" s="0" t="str">
        <f aca="false">IF(AND(C971=C972,AA971=AA972-1),AC971,"")</f>
        <v/>
      </c>
      <c r="AF972" s="0" t="str">
        <f aca="false">IF(AA972=1,"",IF(AND(AB972=1,AD972&lt;&gt;1),1,0))</f>
        <v/>
      </c>
      <c r="AG972" s="0" t="str">
        <f aca="false">IF(AA972=1,"",IF(AND(AC972=1,AE972&lt;&gt;1),1,0))</f>
        <v/>
      </c>
      <c r="AH972" s="51" t="str">
        <f aca="false">IF(AND(E972&gt;0,AA972&lt;1,NOT(AND(C973=C972,AA973=AA972+1))),INDEX(DATAS,AA972+1),"")</f>
        <v/>
      </c>
      <c r="AI972" s="51" t="str">
        <f aca="false">IF(AND(AC972=1,AA972&lt;1),IF(AND(C973=C972,AA973=AA972+1),IF(AC973=1,"",INDEX(DATAS,AA972+1)),INDEX(DATAS,AA972+1)),"")</f>
        <v/>
      </c>
    </row>
    <row r="973" customFormat="false" ht="15" hidden="false" customHeight="false" outlineLevel="0" collapsed="false">
      <c r="A973" s="51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46" t="s">
        <v>744</v>
      </c>
      <c r="G973" s="0" t="n">
        <v>52.4</v>
      </c>
      <c r="H973" s="0" t="n">
        <v>53</v>
      </c>
      <c r="I973" s="46" t="s">
        <v>181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51" t="n">
        <v>46291</v>
      </c>
      <c r="X973" s="46" t="n">
        <f aca="false">IF(I973="Male",0,1)</f>
        <v>1</v>
      </c>
      <c r="Y973" s="46" t="n">
        <f aca="false">IF(OR(I973="DNB",I973="Dry DNB"),1,0)</f>
        <v>0</v>
      </c>
      <c r="Z973" s="46" t="n">
        <f aca="false">IF(ISNUMBER(W973),A973-W973,"")</f>
        <v>18</v>
      </c>
      <c r="AA973" s="46" t="n">
        <f aca="false">MATCH(A973,DATAS,0)</f>
        <v>1</v>
      </c>
      <c r="AB973" s="46" t="n">
        <f aca="false">IF(AND(E973&gt;0,OR(AND(B973&gt;=1,B973&lt;=6),B973=10)),1,0)</f>
        <v>1</v>
      </c>
      <c r="AC973" s="46" t="n">
        <f aca="false">IF(AND(E973&gt;0,B973=10),1,0)</f>
        <v>0</v>
      </c>
      <c r="AD973" s="0" t="str">
        <f aca="false">IF(AND(C972=C973,AA972=AA973-1),AB972,"")</f>
        <v/>
      </c>
      <c r="AE973" s="0" t="str">
        <f aca="false">IF(AND(C972=C973,AA972=AA973-1),AC972,"")</f>
        <v/>
      </c>
      <c r="AF973" s="0" t="str">
        <f aca="false">IF(AA973=1,"",IF(AND(AB973=1,AD973&lt;&gt;1),1,0))</f>
        <v/>
      </c>
      <c r="AG973" s="0" t="str">
        <f aca="false">IF(AA973=1,"",IF(AND(AC973=1,AE973&lt;&gt;1),1,0))</f>
        <v/>
      </c>
      <c r="AH973" s="51" t="str">
        <f aca="false">IF(AND(E973&gt;0,AA973&lt;1,NOT(AND(C974=C973,AA974=AA973+1))),INDEX(DATAS,AA973+1),"")</f>
        <v/>
      </c>
      <c r="AI973" s="51" t="str">
        <f aca="false">IF(AND(AC973=1,AA973&lt;1),IF(AND(C974=C973,AA974=AA973+1),IF(AC974=1,"",INDEX(DATAS,AA973+1)),INDEX(DATAS,AA973+1)),"")</f>
        <v/>
      </c>
    </row>
    <row r="974" customFormat="false" ht="15" hidden="false" customHeight="false" outlineLevel="0" collapsed="false">
      <c r="A974" s="51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46" t="s">
        <v>744</v>
      </c>
      <c r="G974" s="0" t="n">
        <v>52.8</v>
      </c>
      <c r="H974" s="0" t="n">
        <v>54</v>
      </c>
      <c r="I974" s="46" t="s">
        <v>152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51" t="n">
        <v>46261</v>
      </c>
      <c r="X974" s="46" t="n">
        <f aca="false">IF(I974="Male",0,1)</f>
        <v>1</v>
      </c>
      <c r="Y974" s="46" t="n">
        <f aca="false">IF(OR(I974="DNB",I974="Dry DNB"),1,0)</f>
        <v>0</v>
      </c>
      <c r="Z974" s="46" t="n">
        <f aca="false">IF(ISNUMBER(W974),A974-W974,"")</f>
        <v>48</v>
      </c>
      <c r="AA974" s="46" t="n">
        <f aca="false">MATCH(A974,DATAS,0)</f>
        <v>1</v>
      </c>
      <c r="AB974" s="46" t="n">
        <f aca="false">IF(AND(E974&gt;0,OR(AND(B974&gt;=1,B974&lt;=6),B974=10)),1,0)</f>
        <v>1</v>
      </c>
      <c r="AC974" s="46" t="n">
        <f aca="false">IF(AND(E974&gt;0,B974=10),1,0)</f>
        <v>0</v>
      </c>
      <c r="AD974" s="0" t="str">
        <f aca="false">IF(AND(C973=C974,AA973=AA974-1),AB973,"")</f>
        <v/>
      </c>
      <c r="AE974" s="0" t="str">
        <f aca="false">IF(AND(C973=C974,AA973=AA974-1),AC973,"")</f>
        <v/>
      </c>
      <c r="AF974" s="0" t="str">
        <f aca="false">IF(AA974=1,"",IF(AND(AB974=1,AD974&lt;&gt;1),1,0))</f>
        <v/>
      </c>
      <c r="AG974" s="0" t="str">
        <f aca="false">IF(AA974=1,"",IF(AND(AC974=1,AE974&lt;&gt;1),1,0))</f>
        <v/>
      </c>
      <c r="AH974" s="51" t="str">
        <f aca="false">IF(AND(E974&gt;0,AA974&lt;1,NOT(AND(C975=C974,AA975=AA974+1))),INDEX(DATAS,AA974+1),"")</f>
        <v/>
      </c>
      <c r="AI974" s="51" t="str">
        <f aca="false">IF(AND(AC974=1,AA974&lt;1),IF(AND(C975=C974,AA975=AA974+1),IF(AC975=1,"",INDEX(DATAS,AA974+1)),INDEX(DATAS,AA974+1)),"")</f>
        <v/>
      </c>
    </row>
    <row r="975" customFormat="false" ht="15" hidden="false" customHeight="false" outlineLevel="0" collapsed="false">
      <c r="A975" s="51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46" t="s">
        <v>744</v>
      </c>
      <c r="G975" s="0" t="n">
        <v>65.2</v>
      </c>
      <c r="H975" s="0" t="n">
        <v>67</v>
      </c>
      <c r="I975" s="46" t="s">
        <v>181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51" t="n">
        <v>46296</v>
      </c>
      <c r="X975" s="46" t="n">
        <f aca="false">IF(I975="Male",0,1)</f>
        <v>1</v>
      </c>
      <c r="Y975" s="46" t="n">
        <f aca="false">IF(OR(I975="DNB",I975="Dry DNB"),1,0)</f>
        <v>0</v>
      </c>
      <c r="Z975" s="46" t="n">
        <f aca="false">IF(ISNUMBER(W975),A975-W975,"")</f>
        <v>13</v>
      </c>
      <c r="AA975" s="46" t="n">
        <f aca="false">MATCH(A975,DATAS,0)</f>
        <v>1</v>
      </c>
      <c r="AB975" s="46" t="n">
        <f aca="false">IF(AND(E975&gt;0,OR(AND(B975&gt;=1,B975&lt;=6),B975=10)),1,0)</f>
        <v>1</v>
      </c>
      <c r="AC975" s="46" t="n">
        <f aca="false">IF(AND(E975&gt;0,B975=10),1,0)</f>
        <v>0</v>
      </c>
      <c r="AD975" s="0" t="str">
        <f aca="false">IF(AND(C974=C975,AA974=AA975-1),AB974,"")</f>
        <v/>
      </c>
      <c r="AE975" s="0" t="str">
        <f aca="false">IF(AND(C974=C975,AA974=AA975-1),AC974,"")</f>
        <v/>
      </c>
      <c r="AF975" s="0" t="str">
        <f aca="false">IF(AA975=1,"",IF(AND(AB975=1,AD975&lt;&gt;1),1,0))</f>
        <v/>
      </c>
      <c r="AG975" s="0" t="str">
        <f aca="false">IF(AA975=1,"",IF(AND(AC975=1,AE975&lt;&gt;1),1,0))</f>
        <v/>
      </c>
      <c r="AH975" s="51" t="str">
        <f aca="false">IF(AND(E975&gt;0,AA975&lt;1,NOT(AND(C976=C975,AA976=AA975+1))),INDEX(DATAS,AA975+1),"")</f>
        <v/>
      </c>
      <c r="AI975" s="51" t="str">
        <f aca="false">IF(AND(AC975=1,AA975&lt;1),IF(AND(C976=C975,AA976=AA975+1),IF(AC976=1,"",INDEX(DATAS,AA975+1)),INDEX(DATAS,AA975+1)),"")</f>
        <v/>
      </c>
    </row>
    <row r="976" customFormat="false" ht="15" hidden="false" customHeight="false" outlineLevel="0" collapsed="false">
      <c r="A976" s="51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46" t="s">
        <v>744</v>
      </c>
      <c r="G976" s="0" t="n">
        <v>39.8</v>
      </c>
      <c r="H976" s="0" t="n">
        <v>41</v>
      </c>
      <c r="I976" s="46" t="s">
        <v>138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51" t="n">
        <v>46065</v>
      </c>
      <c r="X976" s="46" t="n">
        <f aca="false">IF(I976="Male",0,1)</f>
        <v>1</v>
      </c>
      <c r="Y976" s="46" t="n">
        <f aca="false">IF(OR(I976="DNB",I976="Dry DNB"),1,0)</f>
        <v>1</v>
      </c>
      <c r="Z976" s="46" t="n">
        <f aca="false">IF(ISNUMBER(W976),A976-W976,"")</f>
        <v>244</v>
      </c>
      <c r="AA976" s="46" t="n">
        <f aca="false">MATCH(A976,DATAS,0)</f>
        <v>1</v>
      </c>
      <c r="AB976" s="46" t="n">
        <f aca="false">IF(AND(E976&gt;0,OR(AND(B976&gt;=1,B976&lt;=6),B976=10)),1,0)</f>
        <v>1</v>
      </c>
      <c r="AC976" s="46" t="n">
        <f aca="false">IF(AND(E976&gt;0,B976=10),1,0)</f>
        <v>0</v>
      </c>
      <c r="AD976" s="0" t="str">
        <f aca="false">IF(AND(C975=C976,AA975=AA976-1),AB975,"")</f>
        <v/>
      </c>
      <c r="AE976" s="0" t="str">
        <f aca="false">IF(AND(C975=C976,AA975=AA976-1),AC975,"")</f>
        <v/>
      </c>
      <c r="AF976" s="0" t="str">
        <f aca="false">IF(AA976=1,"",IF(AND(AB976=1,AD976&lt;&gt;1),1,0))</f>
        <v/>
      </c>
      <c r="AG976" s="0" t="str">
        <f aca="false">IF(AA976=1,"",IF(AND(AC976=1,AE976&lt;&gt;1),1,0))</f>
        <v/>
      </c>
      <c r="AH976" s="51" t="str">
        <f aca="false">IF(AND(E976&gt;0,AA976&lt;1,NOT(AND(C977=C976,AA977=AA976+1))),INDEX(DATAS,AA976+1),"")</f>
        <v/>
      </c>
      <c r="AI976" s="51" t="str">
        <f aca="false">IF(AND(AC976=1,AA976&lt;1),IF(AND(C977=C976,AA977=AA976+1),IF(AC977=1,"",INDEX(DATAS,AA976+1)),INDEX(DATAS,AA976+1)),"")</f>
        <v/>
      </c>
    </row>
    <row r="977" customFormat="false" ht="15" hidden="false" customHeight="false" outlineLevel="0" collapsed="false">
      <c r="A977" s="51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46" t="s">
        <v>744</v>
      </c>
      <c r="G977" s="0" t="n">
        <v>43.3</v>
      </c>
      <c r="H977" s="0" t="n">
        <v>38</v>
      </c>
      <c r="I977" s="46" t="s">
        <v>161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X977" s="46" t="n">
        <f aca="false">IF(I977="Male",0,1)</f>
        <v>1</v>
      </c>
      <c r="Y977" s="46" t="n">
        <f aca="false">IF(OR(I977="DNB",I977="Dry DNB"),1,0)</f>
        <v>0</v>
      </c>
      <c r="Z977" s="0" t="str">
        <f aca="false">IF(ISNUMBER(W977),A977-W977,"")</f>
        <v/>
      </c>
      <c r="AA977" s="46" t="n">
        <f aca="false">MATCH(A977,DATAS,0)</f>
        <v>1</v>
      </c>
      <c r="AB977" s="46" t="n">
        <f aca="false">IF(AND(E977&gt;0,OR(AND(B977&gt;=1,B977&lt;=6),B977=10)),1,0)</f>
        <v>1</v>
      </c>
      <c r="AC977" s="46" t="n">
        <f aca="false">IF(AND(E977&gt;0,B977=10),1,0)</f>
        <v>0</v>
      </c>
      <c r="AD977" s="0" t="str">
        <f aca="false">IF(AND(C976=C977,AA976=AA977-1),AB976,"")</f>
        <v/>
      </c>
      <c r="AE977" s="0" t="str">
        <f aca="false">IF(AND(C976=C977,AA976=AA977-1),AC976,"")</f>
        <v/>
      </c>
      <c r="AF977" s="0" t="str">
        <f aca="false">IF(AA977=1,"",IF(AND(AB977=1,AD977&lt;&gt;1),1,0))</f>
        <v/>
      </c>
      <c r="AG977" s="0" t="str">
        <f aca="false">IF(AA977=1,"",IF(AND(AC977=1,AE977&lt;&gt;1),1,0))</f>
        <v/>
      </c>
      <c r="AH977" s="51" t="str">
        <f aca="false">IF(AND(E977&gt;0,AA977&lt;1,NOT(AND(C978=C977,AA978=AA977+1))),INDEX(DATAS,AA977+1),"")</f>
        <v/>
      </c>
      <c r="AI977" s="51" t="str">
        <f aca="false">IF(AND(AC977=1,AA977&lt;1),IF(AND(C978=C977,AA978=AA977+1),IF(AC978=1,"",INDEX(DATAS,AA977+1)),INDEX(DATAS,AA977+1)),"")</f>
        <v/>
      </c>
    </row>
    <row r="978" customFormat="false" ht="15" hidden="false" customHeight="false" outlineLevel="0" collapsed="false">
      <c r="A978" s="51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46" t="s">
        <v>745</v>
      </c>
      <c r="G978" s="0" t="n">
        <v>44.4</v>
      </c>
      <c r="H978" s="0" t="n">
        <v>40</v>
      </c>
      <c r="I978" s="46" t="s">
        <v>181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51" t="n">
        <v>46282</v>
      </c>
      <c r="X978" s="46" t="n">
        <f aca="false">IF(I978="Male",0,1)</f>
        <v>1</v>
      </c>
      <c r="Y978" s="46" t="n">
        <f aca="false">IF(OR(I978="DNB",I978="Dry DNB"),1,0)</f>
        <v>0</v>
      </c>
      <c r="Z978" s="46" t="n">
        <f aca="false">IF(ISNUMBER(W978),A978-W978,"")</f>
        <v>27</v>
      </c>
      <c r="AA978" s="46" t="n">
        <f aca="false">MATCH(A978,DATAS,0)</f>
        <v>1</v>
      </c>
      <c r="AB978" s="46" t="n">
        <f aca="false">IF(AND(E978&gt;0,OR(AND(B978&gt;=1,B978&lt;=6),B978=10)),1,0)</f>
        <v>1</v>
      </c>
      <c r="AC978" s="46" t="n">
        <f aca="false">IF(AND(E978&gt;0,B978=10),1,0)</f>
        <v>0</v>
      </c>
      <c r="AD978" s="0" t="str">
        <f aca="false">IF(AND(C977=C978,AA977=AA978-1),AB977,"")</f>
        <v/>
      </c>
      <c r="AE978" s="0" t="str">
        <f aca="false">IF(AND(C977=C978,AA977=AA978-1),AC977,"")</f>
        <v/>
      </c>
      <c r="AF978" s="0" t="str">
        <f aca="false">IF(AA978=1,"",IF(AND(AB978=1,AD978&lt;&gt;1),1,0))</f>
        <v/>
      </c>
      <c r="AG978" s="0" t="str">
        <f aca="false">IF(AA978=1,"",IF(AND(AC978=1,AE978&lt;&gt;1),1,0))</f>
        <v/>
      </c>
      <c r="AH978" s="51" t="str">
        <f aca="false">IF(AND(E978&gt;0,AA978&lt;1,NOT(AND(C979=C978,AA979=AA978+1))),INDEX(DATAS,AA978+1),"")</f>
        <v/>
      </c>
      <c r="AI978" s="51" t="str">
        <f aca="false">IF(AND(AC978=1,AA978&lt;1),IF(AND(C979=C978,AA979=AA978+1),IF(AC979=1,"",INDEX(DATAS,AA978+1)),INDEX(DATAS,AA978+1)),"")</f>
        <v/>
      </c>
    </row>
    <row r="979" customFormat="false" ht="15" hidden="false" customHeight="false" outlineLevel="0" collapsed="false">
      <c r="A979" s="51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46" t="s">
        <v>746</v>
      </c>
      <c r="G979" s="0" t="n">
        <v>28.6</v>
      </c>
      <c r="H979" s="0" t="n">
        <v>49</v>
      </c>
      <c r="I979" s="46" t="s">
        <v>181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51" t="n">
        <v>46310</v>
      </c>
      <c r="X979" s="46" t="n">
        <f aca="false">IF(I979="Male",0,1)</f>
        <v>1</v>
      </c>
      <c r="Y979" s="46" t="n">
        <f aca="false">IF(OR(I979="DNB",I979="Dry DNB"),1,0)</f>
        <v>0</v>
      </c>
      <c r="Z979" s="46" t="n">
        <f aca="false">IF(ISNUMBER(W979),A979-W979,"")</f>
        <v>-1</v>
      </c>
      <c r="AA979" s="46" t="n">
        <f aca="false">MATCH(A979,DATAS,0)</f>
        <v>1</v>
      </c>
      <c r="AB979" s="46" t="n">
        <f aca="false">IF(AND(E979&gt;0,OR(AND(B979&gt;=1,B979&lt;=6),B979=10)),1,0)</f>
        <v>1</v>
      </c>
      <c r="AC979" s="46" t="n">
        <f aca="false">IF(AND(E979&gt;0,B979=10),1,0)</f>
        <v>0</v>
      </c>
      <c r="AD979" s="0" t="str">
        <f aca="false">IF(AND(C978=C979,AA978=AA979-1),AB978,"")</f>
        <v/>
      </c>
      <c r="AE979" s="0" t="str">
        <f aca="false">IF(AND(C978=C979,AA978=AA979-1),AC978,"")</f>
        <v/>
      </c>
      <c r="AF979" s="0" t="str">
        <f aca="false">IF(AA979=1,"",IF(AND(AB979=1,AD979&lt;&gt;1),1,0))</f>
        <v/>
      </c>
      <c r="AG979" s="0" t="str">
        <f aca="false">IF(AA979=1,"",IF(AND(AC979=1,AE979&lt;&gt;1),1,0))</f>
        <v/>
      </c>
      <c r="AH979" s="51" t="str">
        <f aca="false">IF(AND(E979&gt;0,AA979&lt;1,NOT(AND(C980=C979,AA980=AA979+1))),INDEX(DATAS,AA979+1),"")</f>
        <v/>
      </c>
      <c r="AI979" s="51" t="str">
        <f aca="false">IF(AND(AC979=1,AA979&lt;1),IF(AND(C980=C979,AA980=AA979+1),IF(AC980=1,"",INDEX(DATAS,AA979+1)),INDEX(DATAS,AA979+1)),"")</f>
        <v/>
      </c>
    </row>
    <row r="980" customFormat="false" ht="15" hidden="false" customHeight="false" outlineLevel="0" collapsed="false">
      <c r="A980" s="51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46" t="s">
        <v>747</v>
      </c>
      <c r="G980" s="0" t="n">
        <v>23.5</v>
      </c>
      <c r="H980" s="0" t="n">
        <v>25</v>
      </c>
      <c r="I980" s="46" t="s">
        <v>152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51" t="n">
        <v>46247</v>
      </c>
      <c r="X980" s="46" t="n">
        <f aca="false">IF(I980="Male",0,1)</f>
        <v>1</v>
      </c>
      <c r="Y980" s="46" t="n">
        <f aca="false">IF(OR(I980="DNB",I980="Dry DNB"),1,0)</f>
        <v>0</v>
      </c>
      <c r="Z980" s="46" t="n">
        <f aca="false">IF(ISNUMBER(W980),A980-W980,"")</f>
        <v>62</v>
      </c>
      <c r="AA980" s="46" t="n">
        <f aca="false">MATCH(A980,DATAS,0)</f>
        <v>1</v>
      </c>
      <c r="AB980" s="46" t="n">
        <f aca="false">IF(AND(E980&gt;0,OR(AND(B980&gt;=1,B980&lt;=6),B980=10)),1,0)</f>
        <v>1</v>
      </c>
      <c r="AC980" s="46" t="n">
        <f aca="false">IF(AND(E980&gt;0,B980=10),1,0)</f>
        <v>0</v>
      </c>
      <c r="AD980" s="0" t="str">
        <f aca="false">IF(AND(C979=C980,AA979=AA980-1),AB979,"")</f>
        <v/>
      </c>
      <c r="AE980" s="0" t="str">
        <f aca="false">IF(AND(C979=C980,AA979=AA980-1),AC979,"")</f>
        <v/>
      </c>
      <c r="AF980" s="0" t="str">
        <f aca="false">IF(AA980=1,"",IF(AND(AB980=1,AD980&lt;&gt;1),1,0))</f>
        <v/>
      </c>
      <c r="AG980" s="0" t="str">
        <f aca="false">IF(AA980=1,"",IF(AND(AC980=1,AE980&lt;&gt;1),1,0))</f>
        <v/>
      </c>
      <c r="AH980" s="51" t="str">
        <f aca="false">IF(AND(E980&gt;0,AA980&lt;1,NOT(AND(C981=C980,AA981=AA980+1))),INDEX(DATAS,AA980+1),"")</f>
        <v/>
      </c>
      <c r="AI980" s="51" t="str">
        <f aca="false">IF(AND(AC980=1,AA980&lt;1),IF(AND(C981=C980,AA981=AA980+1),IF(AC981=1,"",INDEX(DATAS,AA980+1)),INDEX(DATAS,AA980+1)),"")</f>
        <v/>
      </c>
    </row>
    <row r="981" customFormat="false" ht="15" hidden="false" customHeight="false" outlineLevel="0" collapsed="false">
      <c r="A981" s="51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46" t="s">
        <v>748</v>
      </c>
      <c r="H981" s="0" t="n">
        <v>19</v>
      </c>
      <c r="I981" s="46" t="s">
        <v>161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X981" s="46" t="n">
        <f aca="false">IF(I981="Male",0,1)</f>
        <v>1</v>
      </c>
      <c r="Y981" s="46" t="n">
        <f aca="false">IF(OR(I981="DNB",I981="Dry DNB"),1,0)</f>
        <v>0</v>
      </c>
      <c r="Z981" s="0" t="str">
        <f aca="false">IF(ISNUMBER(W981),A981-W981,"")</f>
        <v/>
      </c>
      <c r="AA981" s="46" t="n">
        <f aca="false">MATCH(A981,DATAS,0)</f>
        <v>1</v>
      </c>
      <c r="AB981" s="46" t="n">
        <f aca="false">IF(AND(E981&gt;0,OR(AND(B981&gt;=1,B981&lt;=6),B981=10)),1,0)</f>
        <v>1</v>
      </c>
      <c r="AC981" s="46" t="n">
        <f aca="false">IF(AND(E981&gt;0,B981=10),1,0)</f>
        <v>0</v>
      </c>
      <c r="AD981" s="0" t="str">
        <f aca="false">IF(AND(C980=C981,AA980=AA981-1),AB980,"")</f>
        <v/>
      </c>
      <c r="AE981" s="0" t="str">
        <f aca="false">IF(AND(C980=C981,AA980=AA981-1),AC980,"")</f>
        <v/>
      </c>
      <c r="AF981" s="0" t="str">
        <f aca="false">IF(AA981=1,"",IF(AND(AB981=1,AD981&lt;&gt;1),1,0))</f>
        <v/>
      </c>
      <c r="AG981" s="0" t="str">
        <f aca="false">IF(AA981=1,"",IF(AND(AC981=1,AE981&lt;&gt;1),1,0))</f>
        <v/>
      </c>
      <c r="AH981" s="51" t="str">
        <f aca="false">IF(AND(E981&gt;0,AA981&lt;1,NOT(AND(C982=C981,AA982=AA981+1))),INDEX(DATAS,AA981+1),"")</f>
        <v/>
      </c>
      <c r="AI981" s="51" t="str">
        <f aca="false">IF(AND(AC981=1,AA981&lt;1),IF(AND(C982=C981,AA982=AA981+1),IF(AC982=1,"",INDEX(DATAS,AA981+1)),INDEX(DATAS,AA981+1)),"")</f>
        <v/>
      </c>
    </row>
    <row r="982" customFormat="false" ht="15" hidden="false" customHeight="false" outlineLevel="0" collapsed="false">
      <c r="A982" s="51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46" t="s">
        <v>748</v>
      </c>
      <c r="G982" s="0" t="n">
        <v>54.1</v>
      </c>
      <c r="H982" s="0" t="n">
        <v>54</v>
      </c>
      <c r="I982" s="46" t="s">
        <v>181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51" t="n">
        <v>46282</v>
      </c>
      <c r="X982" s="46" t="n">
        <f aca="false">IF(I982="Male",0,1)</f>
        <v>1</v>
      </c>
      <c r="Y982" s="46" t="n">
        <f aca="false">IF(OR(I982="DNB",I982="Dry DNB"),1,0)</f>
        <v>0</v>
      </c>
      <c r="Z982" s="46" t="n">
        <f aca="false">IF(ISNUMBER(W982),A982-W982,"")</f>
        <v>27</v>
      </c>
      <c r="AA982" s="46" t="n">
        <f aca="false">MATCH(A982,DATAS,0)</f>
        <v>1</v>
      </c>
      <c r="AB982" s="46" t="n">
        <f aca="false">IF(AND(E982&gt;0,OR(AND(B982&gt;=1,B982&lt;=6),B982=10)),1,0)</f>
        <v>1</v>
      </c>
      <c r="AC982" s="46" t="n">
        <f aca="false">IF(AND(E982&gt;0,B982=10),1,0)</f>
        <v>0</v>
      </c>
      <c r="AD982" s="0" t="str">
        <f aca="false">IF(AND(C981=C982,AA981=AA982-1),AB981,"")</f>
        <v/>
      </c>
      <c r="AE982" s="0" t="str">
        <f aca="false">IF(AND(C981=C982,AA981=AA982-1),AC981,"")</f>
        <v/>
      </c>
      <c r="AF982" s="0" t="str">
        <f aca="false">IF(AA982=1,"",IF(AND(AB982=1,AD982&lt;&gt;1),1,0))</f>
        <v/>
      </c>
      <c r="AG982" s="0" t="str">
        <f aca="false">IF(AA982=1,"",IF(AND(AC982=1,AE982&lt;&gt;1),1,0))</f>
        <v/>
      </c>
      <c r="AH982" s="51" t="str">
        <f aca="false">IF(AND(E982&gt;0,AA982&lt;1,NOT(AND(C983=C982,AA983=AA982+1))),INDEX(DATAS,AA982+1),"")</f>
        <v/>
      </c>
      <c r="AI982" s="51" t="str">
        <f aca="false">IF(AND(AC982=1,AA982&lt;1),IF(AND(C983=C982,AA983=AA982+1),IF(AC983=1,"",INDEX(DATAS,AA982+1)),INDEX(DATAS,AA982+1)),"")</f>
        <v/>
      </c>
    </row>
    <row r="983" customFormat="false" ht="15" hidden="false" customHeight="false" outlineLevel="0" collapsed="false">
      <c r="A983" s="51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46" t="s">
        <v>748</v>
      </c>
      <c r="G983" s="0" t="n">
        <v>51.2</v>
      </c>
      <c r="H983" s="0" t="n">
        <v>50</v>
      </c>
      <c r="I983" s="46" t="s">
        <v>152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51" t="n">
        <v>46275</v>
      </c>
      <c r="X983" s="46" t="n">
        <f aca="false">IF(I983="Male",0,1)</f>
        <v>1</v>
      </c>
      <c r="Y983" s="46" t="n">
        <f aca="false">IF(OR(I983="DNB",I983="Dry DNB"),1,0)</f>
        <v>0</v>
      </c>
      <c r="Z983" s="46" t="n">
        <f aca="false">IF(ISNUMBER(W983),A983-W983,"")</f>
        <v>34</v>
      </c>
      <c r="AA983" s="46" t="n">
        <f aca="false">MATCH(A983,DATAS,0)</f>
        <v>1</v>
      </c>
      <c r="AB983" s="46" t="n">
        <f aca="false">IF(AND(E983&gt;0,OR(AND(B983&gt;=1,B983&lt;=6),B983=10)),1,0)</f>
        <v>1</v>
      </c>
      <c r="AC983" s="46" t="n">
        <f aca="false">IF(AND(E983&gt;0,B983=10),1,0)</f>
        <v>0</v>
      </c>
      <c r="AD983" s="0" t="str">
        <f aca="false">IF(AND(C982=C983,AA982=AA983-1),AB982,"")</f>
        <v/>
      </c>
      <c r="AE983" s="0" t="str">
        <f aca="false">IF(AND(C982=C983,AA982=AA983-1),AC982,"")</f>
        <v/>
      </c>
      <c r="AF983" s="0" t="str">
        <f aca="false">IF(AA983=1,"",IF(AND(AB983=1,AD983&lt;&gt;1),1,0))</f>
        <v/>
      </c>
      <c r="AG983" s="0" t="str">
        <f aca="false">IF(AA983=1,"",IF(AND(AC983=1,AE983&lt;&gt;1),1,0))</f>
        <v/>
      </c>
      <c r="AH983" s="51" t="str">
        <f aca="false">IF(AND(E983&gt;0,AA983&lt;1,NOT(AND(C984=C983,AA984=AA983+1))),INDEX(DATAS,AA983+1),"")</f>
        <v/>
      </c>
      <c r="AI983" s="51" t="str">
        <f aca="false">IF(AND(AC983=1,AA983&lt;1),IF(AND(C984=C983,AA984=AA983+1),IF(AC984=1,"",INDEX(DATAS,AA983+1)),INDEX(DATAS,AA983+1)),"")</f>
        <v/>
      </c>
    </row>
    <row r="984" customFormat="false" ht="15" hidden="false" customHeight="false" outlineLevel="0" collapsed="false">
      <c r="A984" s="51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46" t="s">
        <v>749</v>
      </c>
      <c r="G984" s="0" t="n">
        <v>65.3</v>
      </c>
      <c r="H984" s="0" t="n">
        <v>63</v>
      </c>
      <c r="I984" s="46" t="s">
        <v>152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51" t="n">
        <v>46268</v>
      </c>
      <c r="X984" s="46" t="n">
        <f aca="false">IF(I984="Male",0,1)</f>
        <v>1</v>
      </c>
      <c r="Y984" s="46" t="n">
        <f aca="false">IF(OR(I984="DNB",I984="Dry DNB"),1,0)</f>
        <v>0</v>
      </c>
      <c r="Z984" s="46" t="n">
        <f aca="false">IF(ISNUMBER(W984),A984-W984,"")</f>
        <v>41</v>
      </c>
      <c r="AA984" s="46" t="n">
        <f aca="false">MATCH(A984,DATAS,0)</f>
        <v>1</v>
      </c>
      <c r="AB984" s="46" t="n">
        <f aca="false">IF(AND(E984&gt;0,OR(AND(B984&gt;=1,B984&lt;=6),B984=10)),1,0)</f>
        <v>1</v>
      </c>
      <c r="AC984" s="46" t="n">
        <f aca="false">IF(AND(E984&gt;0,B984=10),1,0)</f>
        <v>0</v>
      </c>
      <c r="AD984" s="0" t="str">
        <f aca="false">IF(AND(C983=C984,AA983=AA984-1),AB983,"")</f>
        <v/>
      </c>
      <c r="AE984" s="0" t="str">
        <f aca="false">IF(AND(C983=C984,AA983=AA984-1),AC983,"")</f>
        <v/>
      </c>
      <c r="AF984" s="0" t="str">
        <f aca="false">IF(AA984=1,"",IF(AND(AB984=1,AD984&lt;&gt;1),1,0))</f>
        <v/>
      </c>
      <c r="AG984" s="0" t="str">
        <f aca="false">IF(AA984=1,"",IF(AND(AC984=1,AE984&lt;&gt;1),1,0))</f>
        <v/>
      </c>
      <c r="AH984" s="51" t="str">
        <f aca="false">IF(AND(E984&gt;0,AA984&lt;1,NOT(AND(C985=C984,AA985=AA984+1))),INDEX(DATAS,AA984+1),"")</f>
        <v/>
      </c>
      <c r="AI984" s="51" t="str">
        <f aca="false">IF(AND(AC984=1,AA984&lt;1),IF(AND(C985=C984,AA985=AA984+1),IF(AC985=1,"",INDEX(DATAS,AA984+1)),INDEX(DATAS,AA984+1)),"")</f>
        <v/>
      </c>
    </row>
    <row r="985" customFormat="false" ht="15" hidden="false" customHeight="false" outlineLevel="0" collapsed="false">
      <c r="A985" s="51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46" t="s">
        <v>749</v>
      </c>
      <c r="G985" s="0" t="n">
        <v>53.6</v>
      </c>
      <c r="H985" s="0" t="n">
        <v>51</v>
      </c>
      <c r="I985" s="46" t="s">
        <v>181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51" t="n">
        <v>46296</v>
      </c>
      <c r="X985" s="46" t="n">
        <f aca="false">IF(I985="Male",0,1)</f>
        <v>1</v>
      </c>
      <c r="Y985" s="46" t="n">
        <f aca="false">IF(OR(I985="DNB",I985="Dry DNB"),1,0)</f>
        <v>0</v>
      </c>
      <c r="Z985" s="46" t="n">
        <f aca="false">IF(ISNUMBER(W985),A985-W985,"")</f>
        <v>13</v>
      </c>
      <c r="AA985" s="46" t="n">
        <f aca="false">MATCH(A985,DATAS,0)</f>
        <v>1</v>
      </c>
      <c r="AB985" s="46" t="n">
        <f aca="false">IF(AND(E985&gt;0,OR(AND(B985&gt;=1,B985&lt;=6),B985=10)),1,0)</f>
        <v>1</v>
      </c>
      <c r="AC985" s="46" t="n">
        <f aca="false">IF(AND(E985&gt;0,B985=10),1,0)</f>
        <v>0</v>
      </c>
      <c r="AD985" s="0" t="str">
        <f aca="false">IF(AND(C984=C985,AA984=AA985-1),AB984,"")</f>
        <v/>
      </c>
      <c r="AE985" s="0" t="str">
        <f aca="false">IF(AND(C984=C985,AA984=AA985-1),AC984,"")</f>
        <v/>
      </c>
      <c r="AF985" s="0" t="str">
        <f aca="false">IF(AA985=1,"",IF(AND(AB985=1,AD985&lt;&gt;1),1,0))</f>
        <v/>
      </c>
      <c r="AG985" s="0" t="str">
        <f aca="false">IF(AA985=1,"",IF(AND(AC985=1,AE985&lt;&gt;1),1,0))</f>
        <v/>
      </c>
      <c r="AH985" s="51" t="str">
        <f aca="false">IF(AND(E985&gt;0,AA985&lt;1,NOT(AND(C986=C985,AA986=AA985+1))),INDEX(DATAS,AA985+1),"")</f>
        <v/>
      </c>
      <c r="AI985" s="51" t="str">
        <f aca="false">IF(AND(AC985=1,AA985&lt;1),IF(AND(C986=C985,AA986=AA985+1),IF(AC986=1,"",INDEX(DATAS,AA985+1)),INDEX(DATAS,AA985+1)),"")</f>
        <v/>
      </c>
    </row>
    <row r="986" customFormat="false" ht="15" hidden="false" customHeight="false" outlineLevel="0" collapsed="false">
      <c r="A986" s="51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46" t="s">
        <v>750</v>
      </c>
      <c r="G986" s="0" t="n">
        <v>53.9</v>
      </c>
      <c r="H986" s="0" t="n">
        <v>53</v>
      </c>
      <c r="I986" s="46" t="s">
        <v>152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X986" s="46" t="n">
        <f aca="false">IF(I986="Male",0,1)</f>
        <v>1</v>
      </c>
      <c r="Y986" s="46" t="n">
        <f aca="false">IF(OR(I986="DNB",I986="Dry DNB"),1,0)</f>
        <v>0</v>
      </c>
      <c r="Z986" s="0" t="str">
        <f aca="false">IF(ISNUMBER(W986),A986-W986,"")</f>
        <v/>
      </c>
      <c r="AA986" s="46" t="n">
        <f aca="false">MATCH(A986,DATAS,0)</f>
        <v>1</v>
      </c>
      <c r="AB986" s="46" t="n">
        <f aca="false">IF(AND(E986&gt;0,OR(AND(B986&gt;=1,B986&lt;=6),B986=10)),1,0)</f>
        <v>1</v>
      </c>
      <c r="AC986" s="46" t="n">
        <f aca="false">IF(AND(E986&gt;0,B986=10),1,0)</f>
        <v>0</v>
      </c>
      <c r="AD986" s="0" t="str">
        <f aca="false">IF(AND(C985=C986,AA985=AA986-1),AB985,"")</f>
        <v/>
      </c>
      <c r="AE986" s="0" t="str">
        <f aca="false">IF(AND(C985=C986,AA985=AA986-1),AC985,"")</f>
        <v/>
      </c>
      <c r="AF986" s="0" t="str">
        <f aca="false">IF(AA986=1,"",IF(AND(AB986=1,AD986&lt;&gt;1),1,0))</f>
        <v/>
      </c>
      <c r="AG986" s="0" t="str">
        <f aca="false">IF(AA986=1,"",IF(AND(AC986=1,AE986&lt;&gt;1),1,0))</f>
        <v/>
      </c>
      <c r="AH986" s="51" t="str">
        <f aca="false">IF(AND(E986&gt;0,AA986&lt;1,NOT(AND(C987=C986,AA987=AA986+1))),INDEX(DATAS,AA986+1),"")</f>
        <v/>
      </c>
      <c r="AI986" s="51" t="str">
        <f aca="false">IF(AND(AC986=1,AA986&lt;1),IF(AND(C987=C986,AA987=AA986+1),IF(AC987=1,"",INDEX(DATAS,AA986+1)),INDEX(DATAS,AA986+1)),"")</f>
        <v/>
      </c>
    </row>
    <row r="987" customFormat="false" ht="15" hidden="false" customHeight="false" outlineLevel="0" collapsed="false">
      <c r="A987" s="51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46" t="s">
        <v>750</v>
      </c>
      <c r="H987" s="0" t="n">
        <v>22</v>
      </c>
      <c r="I987" s="46" t="s">
        <v>161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X987" s="46" t="n">
        <f aca="false">IF(I987="Male",0,1)</f>
        <v>1</v>
      </c>
      <c r="Y987" s="46" t="n">
        <f aca="false">IF(OR(I987="DNB",I987="Dry DNB"),1,0)</f>
        <v>0</v>
      </c>
      <c r="Z987" s="0" t="str">
        <f aca="false">IF(ISNUMBER(W987),A987-W987,"")</f>
        <v/>
      </c>
      <c r="AA987" s="46" t="n">
        <f aca="false">MATCH(A987,DATAS,0)</f>
        <v>1</v>
      </c>
      <c r="AB987" s="46" t="n">
        <f aca="false">IF(AND(E987&gt;0,OR(AND(B987&gt;=1,B987&lt;=6),B987=10)),1,0)</f>
        <v>1</v>
      </c>
      <c r="AC987" s="46" t="n">
        <f aca="false">IF(AND(E987&gt;0,B987=10),1,0)</f>
        <v>0</v>
      </c>
      <c r="AD987" s="0" t="str">
        <f aca="false">IF(AND(C986=C987,AA986=AA987-1),AB986,"")</f>
        <v/>
      </c>
      <c r="AE987" s="0" t="str">
        <f aca="false">IF(AND(C986=C987,AA986=AA987-1),AC986,"")</f>
        <v/>
      </c>
      <c r="AF987" s="0" t="str">
        <f aca="false">IF(AA987=1,"",IF(AND(AB987=1,AD987&lt;&gt;1),1,0))</f>
        <v/>
      </c>
      <c r="AG987" s="0" t="str">
        <f aca="false">IF(AA987=1,"",IF(AND(AC987=1,AE987&lt;&gt;1),1,0))</f>
        <v/>
      </c>
      <c r="AH987" s="51" t="str">
        <f aca="false">IF(AND(E987&gt;0,AA987&lt;1,NOT(AND(C988=C987,AA988=AA987+1))),INDEX(DATAS,AA987+1),"")</f>
        <v/>
      </c>
      <c r="AI987" s="51" t="str">
        <f aca="false">IF(AND(AC987=1,AA987&lt;1),IF(AND(C988=C987,AA988=AA987+1),IF(AC988=1,"",INDEX(DATAS,AA987+1)),INDEX(DATAS,AA987+1)),"")</f>
        <v/>
      </c>
    </row>
    <row r="988" customFormat="false" ht="15" hidden="false" customHeight="false" outlineLevel="0" collapsed="false">
      <c r="A988" s="51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46" t="s">
        <v>751</v>
      </c>
      <c r="G988" s="0" t="n">
        <v>38.4</v>
      </c>
      <c r="H988" s="0" t="n">
        <v>41</v>
      </c>
      <c r="I988" s="46" t="s">
        <v>181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51" t="n">
        <v>46303</v>
      </c>
      <c r="X988" s="46" t="n">
        <f aca="false">IF(I988="Male",0,1)</f>
        <v>1</v>
      </c>
      <c r="Y988" s="46" t="n">
        <f aca="false">IF(OR(I988="DNB",I988="Dry DNB"),1,0)</f>
        <v>0</v>
      </c>
      <c r="Z988" s="46" t="n">
        <f aca="false">IF(ISNUMBER(W988),A988-W988,"")</f>
        <v>6</v>
      </c>
      <c r="AA988" s="46" t="n">
        <f aca="false">MATCH(A988,DATAS,0)</f>
        <v>1</v>
      </c>
      <c r="AB988" s="46" t="n">
        <f aca="false">IF(AND(E988&gt;0,OR(AND(B988&gt;=1,B988&lt;=6),B988=10)),1,0)</f>
        <v>1</v>
      </c>
      <c r="AC988" s="46" t="n">
        <f aca="false">IF(AND(E988&gt;0,B988=10),1,0)</f>
        <v>0</v>
      </c>
      <c r="AD988" s="0" t="str">
        <f aca="false">IF(AND(C987=C988,AA987=AA988-1),AB987,"")</f>
        <v/>
      </c>
      <c r="AE988" s="0" t="str">
        <f aca="false">IF(AND(C987=C988,AA987=AA988-1),AC987,"")</f>
        <v/>
      </c>
      <c r="AF988" s="0" t="str">
        <f aca="false">IF(AA988=1,"",IF(AND(AB988=1,AD988&lt;&gt;1),1,0))</f>
        <v/>
      </c>
      <c r="AG988" s="0" t="str">
        <f aca="false">IF(AA988=1,"",IF(AND(AC988=1,AE988&lt;&gt;1),1,0))</f>
        <v/>
      </c>
      <c r="AH988" s="51" t="str">
        <f aca="false">IF(AND(E988&gt;0,AA988&lt;1,NOT(AND(C989=C988,AA989=AA988+1))),INDEX(DATAS,AA988+1),"")</f>
        <v/>
      </c>
      <c r="AI988" s="51" t="str">
        <f aca="false">IF(AND(AC988=1,AA988&lt;1),IF(AND(C989=C988,AA989=AA988+1),IF(AC989=1,"",INDEX(DATAS,AA988+1)),INDEX(DATAS,AA988+1)),"")</f>
        <v/>
      </c>
    </row>
    <row r="989" customFormat="false" ht="15" hidden="false" customHeight="false" outlineLevel="0" collapsed="false">
      <c r="A989" s="51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46" t="s">
        <v>751</v>
      </c>
      <c r="I989" s="46" t="s">
        <v>157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51" t="n">
        <v>46086</v>
      </c>
      <c r="X989" s="46" t="n">
        <f aca="false">IF(I989="Male",0,1)</f>
        <v>1</v>
      </c>
      <c r="Y989" s="46" t="n">
        <f aca="false">IF(OR(I989="DNB",I989="Dry DNB"),1,0)</f>
        <v>0</v>
      </c>
      <c r="Z989" s="46" t="n">
        <f aca="false">IF(ISNUMBER(W989),A989-W989,"")</f>
        <v>223</v>
      </c>
      <c r="AA989" s="46" t="n">
        <f aca="false">MATCH(A989,DATAS,0)</f>
        <v>1</v>
      </c>
      <c r="AB989" s="46" t="n">
        <f aca="false">IF(AND(E989&gt;0,OR(AND(B989&gt;=1,B989&lt;=6),B989=10)),1,0)</f>
        <v>0</v>
      </c>
      <c r="AC989" s="46" t="n">
        <f aca="false">IF(AND(E989&gt;0,B989=10),1,0)</f>
        <v>0</v>
      </c>
      <c r="AD989" s="0" t="str">
        <f aca="false">IF(AND(C988=C989,AA988=AA989-1),AB988,"")</f>
        <v/>
      </c>
      <c r="AE989" s="0" t="str">
        <f aca="false">IF(AND(C988=C989,AA988=AA989-1),AC988,"")</f>
        <v/>
      </c>
      <c r="AF989" s="0" t="str">
        <f aca="false">IF(AA989=1,"",IF(AND(AB989=1,AD989&lt;&gt;1),1,0))</f>
        <v/>
      </c>
      <c r="AG989" s="0" t="str">
        <f aca="false">IF(AA989=1,"",IF(AND(AC989=1,AE989&lt;&gt;1),1,0))</f>
        <v/>
      </c>
      <c r="AH989" s="51" t="str">
        <f aca="false">IF(AND(E989&gt;0,AA989&lt;1,NOT(AND(C990=C989,AA990=AA989+1))),INDEX(DATAS,AA989+1),"")</f>
        <v/>
      </c>
      <c r="AI989" s="51" t="str">
        <f aca="false">IF(AND(AC989=1,AA989&lt;1),IF(AND(C990=C989,AA990=AA989+1),IF(AC990=1,"",INDEX(DATAS,AA989+1)),INDEX(DATAS,AA989+1)),"")</f>
        <v/>
      </c>
    </row>
    <row r="990" customFormat="false" ht="15" hidden="false" customHeight="false" outlineLevel="0" collapsed="false">
      <c r="A990" s="51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46" t="s">
        <v>752</v>
      </c>
      <c r="G990" s="0" t="n">
        <v>46.8</v>
      </c>
      <c r="H990" s="0" t="n">
        <v>43</v>
      </c>
      <c r="I990" s="46" t="s">
        <v>181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51" t="n">
        <v>46293</v>
      </c>
      <c r="X990" s="46" t="n">
        <f aca="false">IF(I990="Male",0,1)</f>
        <v>1</v>
      </c>
      <c r="Y990" s="46" t="n">
        <f aca="false">IF(OR(I990="DNB",I990="Dry DNB"),1,0)</f>
        <v>0</v>
      </c>
      <c r="Z990" s="46" t="n">
        <f aca="false">IF(ISNUMBER(W990),A990-W990,"")</f>
        <v>16</v>
      </c>
      <c r="AA990" s="46" t="n">
        <f aca="false">MATCH(A990,DATAS,0)</f>
        <v>1</v>
      </c>
      <c r="AB990" s="46" t="n">
        <f aca="false">IF(AND(E990&gt;0,OR(AND(B990&gt;=1,B990&lt;=6),B990=10)),1,0)</f>
        <v>1</v>
      </c>
      <c r="AC990" s="46" t="n">
        <f aca="false">IF(AND(E990&gt;0,B990=10),1,0)</f>
        <v>0</v>
      </c>
      <c r="AD990" s="0" t="str">
        <f aca="false">IF(AND(C989=C990,AA989=AA990-1),AB989,"")</f>
        <v/>
      </c>
      <c r="AE990" s="0" t="str">
        <f aca="false">IF(AND(C989=C990,AA989=AA990-1),AC989,"")</f>
        <v/>
      </c>
      <c r="AF990" s="0" t="str">
        <f aca="false">IF(AA990=1,"",IF(AND(AB990=1,AD990&lt;&gt;1),1,0))</f>
        <v/>
      </c>
      <c r="AG990" s="0" t="str">
        <f aca="false">IF(AA990=1,"",IF(AND(AC990=1,AE990&lt;&gt;1),1,0))</f>
        <v/>
      </c>
      <c r="AH990" s="51" t="str">
        <f aca="false">IF(AND(E990&gt;0,AA990&lt;1,NOT(AND(C991=C990,AA991=AA990+1))),INDEX(DATAS,AA990+1),"")</f>
        <v/>
      </c>
      <c r="AI990" s="51" t="str">
        <f aca="false">IF(AND(AC990=1,AA990&lt;1),IF(AND(C991=C990,AA991=AA990+1),IF(AC991=1,"",INDEX(DATAS,AA990+1)),INDEX(DATAS,AA990+1)),"")</f>
        <v/>
      </c>
    </row>
    <row r="991" customFormat="false" ht="15" hidden="false" customHeight="false" outlineLevel="0" collapsed="false">
      <c r="A991" s="51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46" t="s">
        <v>753</v>
      </c>
      <c r="G991" s="0" t="n">
        <v>44.2</v>
      </c>
      <c r="H991" s="0" t="n">
        <v>43</v>
      </c>
      <c r="I991" s="46" t="s">
        <v>181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51" t="n">
        <v>46303</v>
      </c>
      <c r="X991" s="46" t="n">
        <f aca="false">IF(I991="Male",0,1)</f>
        <v>1</v>
      </c>
      <c r="Y991" s="46" t="n">
        <f aca="false">IF(OR(I991="DNB",I991="Dry DNB"),1,0)</f>
        <v>0</v>
      </c>
      <c r="Z991" s="46" t="n">
        <f aca="false">IF(ISNUMBER(W991),A991-W991,"")</f>
        <v>6</v>
      </c>
      <c r="AA991" s="46" t="n">
        <f aca="false">MATCH(A991,DATAS,0)</f>
        <v>1</v>
      </c>
      <c r="AB991" s="46" t="n">
        <f aca="false">IF(AND(E991&gt;0,OR(AND(B991&gt;=1,B991&lt;=6),B991=10)),1,0)</f>
        <v>1</v>
      </c>
      <c r="AC991" s="46" t="n">
        <f aca="false">IF(AND(E991&gt;0,B991=10),1,0)</f>
        <v>0</v>
      </c>
      <c r="AD991" s="0" t="str">
        <f aca="false">IF(AND(C990=C991,AA990=AA991-1),AB990,"")</f>
        <v/>
      </c>
      <c r="AE991" s="0" t="str">
        <f aca="false">IF(AND(C990=C991,AA990=AA991-1),AC990,"")</f>
        <v/>
      </c>
      <c r="AF991" s="0" t="str">
        <f aca="false">IF(AA991=1,"",IF(AND(AB991=1,AD991&lt;&gt;1),1,0))</f>
        <v/>
      </c>
      <c r="AG991" s="0" t="str">
        <f aca="false">IF(AA991=1,"",IF(AND(AC991=1,AE991&lt;&gt;1),1,0))</f>
        <v/>
      </c>
      <c r="AH991" s="51" t="str">
        <f aca="false">IF(AND(E991&gt;0,AA991&lt;1,NOT(AND(C992=C991,AA992=AA991+1))),INDEX(DATAS,AA991+1),"")</f>
        <v/>
      </c>
      <c r="AI991" s="51" t="str">
        <f aca="false">IF(AND(AC991=1,AA991&lt;1),IF(AND(C992=C991,AA992=AA991+1),IF(AC992=1,"",INDEX(DATAS,AA991+1)),INDEX(DATAS,AA991+1)),"")</f>
        <v/>
      </c>
    </row>
    <row r="992" customFormat="false" ht="15" hidden="false" customHeight="false" outlineLevel="0" collapsed="false">
      <c r="A992" s="51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46" t="s">
        <v>753</v>
      </c>
      <c r="G992" s="0" t="n">
        <v>40.3</v>
      </c>
      <c r="H992" s="0" t="n">
        <v>41</v>
      </c>
      <c r="I992" s="46" t="s">
        <v>181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51" t="n">
        <v>46289</v>
      </c>
      <c r="X992" s="46" t="n">
        <f aca="false">IF(I992="Male",0,1)</f>
        <v>1</v>
      </c>
      <c r="Y992" s="46" t="n">
        <f aca="false">IF(OR(I992="DNB",I992="Dry DNB"),1,0)</f>
        <v>0</v>
      </c>
      <c r="Z992" s="46" t="n">
        <f aca="false">IF(ISNUMBER(W992),A992-W992,"")</f>
        <v>20</v>
      </c>
      <c r="AA992" s="46" t="n">
        <f aca="false">MATCH(A992,DATAS,0)</f>
        <v>1</v>
      </c>
      <c r="AB992" s="46" t="n">
        <f aca="false">IF(AND(E992&gt;0,OR(AND(B992&gt;=1,B992&lt;=6),B992=10)),1,0)</f>
        <v>1</v>
      </c>
      <c r="AC992" s="46" t="n">
        <f aca="false">IF(AND(E992&gt;0,B992=10),1,0)</f>
        <v>0</v>
      </c>
      <c r="AD992" s="0" t="str">
        <f aca="false">IF(AND(C991=C992,AA991=AA992-1),AB991,"")</f>
        <v/>
      </c>
      <c r="AE992" s="0" t="str">
        <f aca="false">IF(AND(C991=C992,AA991=AA992-1),AC991,"")</f>
        <v/>
      </c>
      <c r="AF992" s="0" t="str">
        <f aca="false">IF(AA992=1,"",IF(AND(AB992=1,AD992&lt;&gt;1),1,0))</f>
        <v/>
      </c>
      <c r="AG992" s="0" t="str">
        <f aca="false">IF(AA992=1,"",IF(AND(AC992=1,AE992&lt;&gt;1),1,0))</f>
        <v/>
      </c>
      <c r="AH992" s="51" t="str">
        <f aca="false">IF(AND(E992&gt;0,AA992&lt;1,NOT(AND(C993=C992,AA993=AA992+1))),INDEX(DATAS,AA992+1),"")</f>
        <v/>
      </c>
      <c r="AI992" s="51" t="str">
        <f aca="false">IF(AND(AC992=1,AA992&lt;1),IF(AND(C993=C992,AA993=AA992+1),IF(AC993=1,"",INDEX(DATAS,AA992+1)),INDEX(DATAS,AA992+1)),"")</f>
        <v/>
      </c>
    </row>
    <row r="993" customFormat="false" ht="15" hidden="false" customHeight="false" outlineLevel="0" collapsed="false">
      <c r="A993" s="51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46" t="s">
        <v>754</v>
      </c>
      <c r="G993" s="0" t="n">
        <v>44.8</v>
      </c>
      <c r="H993" s="0" t="n">
        <v>43</v>
      </c>
      <c r="I993" s="46" t="s">
        <v>189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51" t="n">
        <v>46268</v>
      </c>
      <c r="X993" s="46" t="n">
        <f aca="false">IF(I993="Male",0,1)</f>
        <v>1</v>
      </c>
      <c r="Y993" s="46" t="n">
        <f aca="false">IF(OR(I993="DNB",I993="Dry DNB"),1,0)</f>
        <v>0</v>
      </c>
      <c r="Z993" s="46" t="n">
        <f aca="false">IF(ISNUMBER(W993),A993-W993,"")</f>
        <v>41</v>
      </c>
      <c r="AA993" s="46" t="n">
        <f aca="false">MATCH(A993,DATAS,0)</f>
        <v>1</v>
      </c>
      <c r="AB993" s="46" t="n">
        <f aca="false">IF(AND(E993&gt;0,OR(AND(B993&gt;=1,B993&lt;=6),B993=10)),1,0)</f>
        <v>1</v>
      </c>
      <c r="AC993" s="46" t="n">
        <f aca="false">IF(AND(E993&gt;0,B993=10),1,0)</f>
        <v>0</v>
      </c>
      <c r="AD993" s="0" t="str">
        <f aca="false">IF(AND(C992=C993,AA992=AA993-1),AB992,"")</f>
        <v/>
      </c>
      <c r="AE993" s="0" t="str">
        <f aca="false">IF(AND(C992=C993,AA992=AA993-1),AC992,"")</f>
        <v/>
      </c>
      <c r="AF993" s="0" t="str">
        <f aca="false">IF(AA993=1,"",IF(AND(AB993=1,AD993&lt;&gt;1),1,0))</f>
        <v/>
      </c>
      <c r="AG993" s="0" t="str">
        <f aca="false">IF(AA993=1,"",IF(AND(AC993=1,AE993&lt;&gt;1),1,0))</f>
        <v/>
      </c>
      <c r="AH993" s="51" t="str">
        <f aca="false">IF(AND(E993&gt;0,AA993&lt;1,NOT(AND(C994=C993,AA994=AA993+1))),INDEX(DATAS,AA993+1),"")</f>
        <v/>
      </c>
      <c r="AI993" s="51" t="str">
        <f aca="false">IF(AND(AC993=1,AA993&lt;1),IF(AND(C994=C993,AA994=AA993+1),IF(AC994=1,"",INDEX(DATAS,AA993+1)),INDEX(DATAS,AA993+1)),"")</f>
        <v/>
      </c>
    </row>
    <row r="994" customFormat="false" ht="15" hidden="false" customHeight="false" outlineLevel="0" collapsed="false">
      <c r="A994" s="51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46" t="s">
        <v>755</v>
      </c>
      <c r="G994" s="0" t="n">
        <v>44.5</v>
      </c>
      <c r="H994" s="0" t="n">
        <v>40</v>
      </c>
      <c r="I994" s="46" t="s">
        <v>152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51" t="n">
        <v>46107</v>
      </c>
      <c r="X994" s="46" t="n">
        <f aca="false">IF(I994="Male",0,1)</f>
        <v>1</v>
      </c>
      <c r="Y994" s="46" t="n">
        <f aca="false">IF(OR(I994="DNB",I994="Dry DNB"),1,0)</f>
        <v>0</v>
      </c>
      <c r="Z994" s="46" t="n">
        <f aca="false">IF(ISNUMBER(W994),A994-W994,"")</f>
        <v>202</v>
      </c>
      <c r="AA994" s="46" t="n">
        <f aca="false">MATCH(A994,DATAS,0)</f>
        <v>1</v>
      </c>
      <c r="AB994" s="46" t="n">
        <f aca="false">IF(AND(E994&gt;0,OR(AND(B994&gt;=1,B994&lt;=6),B994=10)),1,0)</f>
        <v>1</v>
      </c>
      <c r="AC994" s="46" t="n">
        <f aca="false">IF(AND(E994&gt;0,B994=10),1,0)</f>
        <v>0</v>
      </c>
      <c r="AD994" s="0" t="str">
        <f aca="false">IF(AND(C993=C994,AA993=AA994-1),AB993,"")</f>
        <v/>
      </c>
      <c r="AE994" s="0" t="str">
        <f aca="false">IF(AND(C993=C994,AA993=AA994-1),AC993,"")</f>
        <v/>
      </c>
      <c r="AF994" s="0" t="str">
        <f aca="false">IF(AA994=1,"",IF(AND(AB994=1,AD994&lt;&gt;1),1,0))</f>
        <v/>
      </c>
      <c r="AG994" s="0" t="str">
        <f aca="false">IF(AA994=1,"",IF(AND(AC994=1,AE994&lt;&gt;1),1,0))</f>
        <v/>
      </c>
      <c r="AH994" s="51" t="str">
        <f aca="false">IF(AND(E994&gt;0,AA994&lt;1,NOT(AND(C995=C994,AA995=AA994+1))),INDEX(DATAS,AA994+1),"")</f>
        <v/>
      </c>
      <c r="AI994" s="51" t="str">
        <f aca="false">IF(AND(AC994=1,AA994&lt;1),IF(AND(C995=C994,AA995=AA994+1),IF(AC995=1,"",INDEX(DATAS,AA994+1)),INDEX(DATAS,AA994+1)),"")</f>
        <v/>
      </c>
    </row>
    <row r="995" customFormat="false" ht="15" hidden="false" customHeight="false" outlineLevel="0" collapsed="false">
      <c r="A995" s="51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46" t="s">
        <v>756</v>
      </c>
      <c r="G995" s="0" t="n">
        <v>30.3</v>
      </c>
      <c r="H995" s="0" t="n">
        <v>29</v>
      </c>
      <c r="I995" s="46" t="s">
        <v>181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51" t="n">
        <v>46285</v>
      </c>
      <c r="X995" s="46" t="n">
        <f aca="false">IF(I995="Male",0,1)</f>
        <v>1</v>
      </c>
      <c r="Y995" s="46" t="n">
        <f aca="false">IF(OR(I995="DNB",I995="Dry DNB"),1,0)</f>
        <v>0</v>
      </c>
      <c r="Z995" s="46" t="n">
        <f aca="false">IF(ISNUMBER(W995),A995-W995,"")</f>
        <v>24</v>
      </c>
      <c r="AA995" s="46" t="n">
        <f aca="false">MATCH(A995,DATAS,0)</f>
        <v>1</v>
      </c>
      <c r="AB995" s="46" t="n">
        <f aca="false">IF(AND(E995&gt;0,OR(AND(B995&gt;=1,B995&lt;=6),B995=10)),1,0)</f>
        <v>1</v>
      </c>
      <c r="AC995" s="46" t="n">
        <f aca="false">IF(AND(E995&gt;0,B995=10),1,0)</f>
        <v>0</v>
      </c>
      <c r="AD995" s="0" t="str">
        <f aca="false">IF(AND(C994=C995,AA994=AA995-1),AB994,"")</f>
        <v/>
      </c>
      <c r="AE995" s="0" t="str">
        <f aca="false">IF(AND(C994=C995,AA994=AA995-1),AC994,"")</f>
        <v/>
      </c>
      <c r="AF995" s="0" t="str">
        <f aca="false">IF(AA995=1,"",IF(AND(AB995=1,AD995&lt;&gt;1),1,0))</f>
        <v/>
      </c>
      <c r="AG995" s="0" t="str">
        <f aca="false">IF(AA995=1,"",IF(AND(AC995=1,AE995&lt;&gt;1),1,0))</f>
        <v/>
      </c>
      <c r="AH995" s="51" t="str">
        <f aca="false">IF(AND(E995&gt;0,AA995&lt;1,NOT(AND(C996=C995,AA996=AA995+1))),INDEX(DATAS,AA995+1),"")</f>
        <v/>
      </c>
      <c r="AI995" s="51" t="str">
        <f aca="false">IF(AND(AC995=1,AA995&lt;1),IF(AND(C996=C995,AA996=AA995+1),IF(AC996=1,"",INDEX(DATAS,AA995+1)),INDEX(DATAS,AA995+1)),"")</f>
        <v/>
      </c>
    </row>
    <row r="996" customFormat="false" ht="15" hidden="false" customHeight="false" outlineLevel="0" collapsed="false">
      <c r="A996" s="51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46" t="s">
        <v>757</v>
      </c>
      <c r="G996" s="0" t="n">
        <v>56.4</v>
      </c>
      <c r="H996" s="0" t="n">
        <v>55</v>
      </c>
      <c r="I996" s="46" t="s">
        <v>189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X996" s="46" t="n">
        <f aca="false">IF(I996="Male",0,1)</f>
        <v>1</v>
      </c>
      <c r="Y996" s="46" t="n">
        <f aca="false">IF(OR(I996="DNB",I996="Dry DNB"),1,0)</f>
        <v>0</v>
      </c>
      <c r="Z996" s="0" t="str">
        <f aca="false">IF(ISNUMBER(W996),A996-W996,"")</f>
        <v/>
      </c>
      <c r="AA996" s="46" t="n">
        <f aca="false">MATCH(A996,DATAS,0)</f>
        <v>1</v>
      </c>
      <c r="AB996" s="46" t="n">
        <f aca="false">IF(AND(E996&gt;0,OR(AND(B996&gt;=1,B996&lt;=6),B996=10)),1,0)</f>
        <v>1</v>
      </c>
      <c r="AC996" s="46" t="n">
        <f aca="false">IF(AND(E996&gt;0,B996=10),1,0)</f>
        <v>0</v>
      </c>
      <c r="AD996" s="0" t="str">
        <f aca="false">IF(AND(C995=C996,AA995=AA996-1),AB995,"")</f>
        <v/>
      </c>
      <c r="AE996" s="0" t="str">
        <f aca="false">IF(AND(C995=C996,AA995=AA996-1),AC995,"")</f>
        <v/>
      </c>
      <c r="AF996" s="0" t="str">
        <f aca="false">IF(AA996=1,"",IF(AND(AB996=1,AD996&lt;&gt;1),1,0))</f>
        <v/>
      </c>
      <c r="AG996" s="0" t="str">
        <f aca="false">IF(AA996=1,"",IF(AND(AC996=1,AE996&lt;&gt;1),1,0))</f>
        <v/>
      </c>
      <c r="AH996" s="51" t="str">
        <f aca="false">IF(AND(E996&gt;0,AA996&lt;1,NOT(AND(C997=C996,AA997=AA996+1))),INDEX(DATAS,AA996+1),"")</f>
        <v/>
      </c>
      <c r="AI996" s="51" t="str">
        <f aca="false">IF(AND(AC996=1,AA996&lt;1),IF(AND(C997=C996,AA997=AA996+1),IF(AC997=1,"",INDEX(DATAS,AA996+1)),INDEX(DATAS,AA996+1)),"")</f>
        <v/>
      </c>
    </row>
    <row r="997" customFormat="false" ht="15" hidden="false" customHeight="false" outlineLevel="0" collapsed="false">
      <c r="A997" s="51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46" t="s">
        <v>757</v>
      </c>
      <c r="G997" s="0" t="n">
        <v>23.5</v>
      </c>
      <c r="H997" s="0" t="n">
        <v>17</v>
      </c>
      <c r="I997" s="46" t="s">
        <v>152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51" t="n">
        <v>46177</v>
      </c>
      <c r="X997" s="46" t="n">
        <f aca="false">IF(I997="Male",0,1)</f>
        <v>1</v>
      </c>
      <c r="Y997" s="46" t="n">
        <f aca="false">IF(OR(I997="DNB",I997="Dry DNB"),1,0)</f>
        <v>0</v>
      </c>
      <c r="Z997" s="46" t="n">
        <f aca="false">IF(ISNUMBER(W997),A997-W997,"")</f>
        <v>132</v>
      </c>
      <c r="AA997" s="46" t="n">
        <f aca="false">MATCH(A997,DATAS,0)</f>
        <v>1</v>
      </c>
      <c r="AB997" s="46" t="n">
        <f aca="false">IF(AND(E997&gt;0,OR(AND(B997&gt;=1,B997&lt;=6),B997=10)),1,0)</f>
        <v>1</v>
      </c>
      <c r="AC997" s="46" t="n">
        <f aca="false">IF(AND(E997&gt;0,B997=10),1,0)</f>
        <v>0</v>
      </c>
      <c r="AD997" s="0" t="str">
        <f aca="false">IF(AND(C996=C997,AA996=AA997-1),AB996,"")</f>
        <v/>
      </c>
      <c r="AE997" s="0" t="str">
        <f aca="false">IF(AND(C996=C997,AA996=AA997-1),AC996,"")</f>
        <v/>
      </c>
      <c r="AF997" s="0" t="str">
        <f aca="false">IF(AA997=1,"",IF(AND(AB997=1,AD997&lt;&gt;1),1,0))</f>
        <v/>
      </c>
      <c r="AG997" s="0" t="str">
        <f aca="false">IF(AA997=1,"",IF(AND(AC997=1,AE997&lt;&gt;1),1,0))</f>
        <v/>
      </c>
      <c r="AH997" s="51" t="str">
        <f aca="false">IF(AND(E997&gt;0,AA997&lt;1,NOT(AND(C998=C997,AA998=AA997+1))),INDEX(DATAS,AA997+1),"")</f>
        <v/>
      </c>
      <c r="AI997" s="51" t="str">
        <f aca="false">IF(AND(AC997=1,AA997&lt;1),IF(AND(C998=C997,AA998=AA997+1),IF(AC998=1,"",INDEX(DATAS,AA997+1)),INDEX(DATAS,AA997+1)),"")</f>
        <v/>
      </c>
    </row>
    <row r="998" customFormat="false" ht="15" hidden="false" customHeight="false" outlineLevel="0" collapsed="false">
      <c r="A998" s="51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46" t="s">
        <v>758</v>
      </c>
      <c r="G998" s="0" t="n">
        <v>46.2</v>
      </c>
      <c r="H998" s="0" t="n">
        <v>44</v>
      </c>
      <c r="I998" s="46" t="s">
        <v>152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51" t="n">
        <v>46268</v>
      </c>
      <c r="X998" s="46" t="n">
        <f aca="false">IF(I998="Male",0,1)</f>
        <v>1</v>
      </c>
      <c r="Y998" s="46" t="n">
        <f aca="false">IF(OR(I998="DNB",I998="Dry DNB"),1,0)</f>
        <v>0</v>
      </c>
      <c r="Z998" s="46" t="n">
        <f aca="false">IF(ISNUMBER(W998),A998-W998,"")</f>
        <v>41</v>
      </c>
      <c r="AA998" s="46" t="n">
        <f aca="false">MATCH(A998,DATAS,0)</f>
        <v>1</v>
      </c>
      <c r="AB998" s="46" t="n">
        <f aca="false">IF(AND(E998&gt;0,OR(AND(B998&gt;=1,B998&lt;=6),B998=10)),1,0)</f>
        <v>1</v>
      </c>
      <c r="AC998" s="46" t="n">
        <f aca="false">IF(AND(E998&gt;0,B998=10),1,0)</f>
        <v>0</v>
      </c>
      <c r="AD998" s="0" t="str">
        <f aca="false">IF(AND(C997=C998,AA997=AA998-1),AB997,"")</f>
        <v/>
      </c>
      <c r="AE998" s="0" t="str">
        <f aca="false">IF(AND(C997=C998,AA997=AA998-1),AC997,"")</f>
        <v/>
      </c>
      <c r="AF998" s="0" t="str">
        <f aca="false">IF(AA998=1,"",IF(AND(AB998=1,AD998&lt;&gt;1),1,0))</f>
        <v/>
      </c>
      <c r="AG998" s="0" t="str">
        <f aca="false">IF(AA998=1,"",IF(AND(AC998=1,AE998&lt;&gt;1),1,0))</f>
        <v/>
      </c>
      <c r="AH998" s="51" t="str">
        <f aca="false">IF(AND(E998&gt;0,AA998&lt;1,NOT(AND(C999=C998,AA999=AA998+1))),INDEX(DATAS,AA998+1),"")</f>
        <v/>
      </c>
      <c r="AI998" s="51" t="str">
        <f aca="false">IF(AND(AC998=1,AA998&lt;1),IF(AND(C999=C998,AA999=AA998+1),IF(AC999=1,"",INDEX(DATAS,AA998+1)),INDEX(DATAS,AA998+1)),"")</f>
        <v/>
      </c>
    </row>
    <row r="999" customFormat="false" ht="15" hidden="false" customHeight="false" outlineLevel="0" collapsed="false">
      <c r="A999" s="51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46" t="s">
        <v>758</v>
      </c>
      <c r="G999" s="0" t="n">
        <v>40.8</v>
      </c>
      <c r="H999" s="0" t="n">
        <v>39</v>
      </c>
      <c r="I999" s="46" t="s">
        <v>181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51" t="n">
        <v>46289</v>
      </c>
      <c r="X999" s="46" t="n">
        <f aca="false">IF(I999="Male",0,1)</f>
        <v>1</v>
      </c>
      <c r="Y999" s="46" t="n">
        <f aca="false">IF(OR(I999="DNB",I999="Dry DNB"),1,0)</f>
        <v>0</v>
      </c>
      <c r="Z999" s="46" t="n">
        <f aca="false">IF(ISNUMBER(W999),A999-W999,"")</f>
        <v>20</v>
      </c>
      <c r="AA999" s="46" t="n">
        <f aca="false">MATCH(A999,DATAS,0)</f>
        <v>1</v>
      </c>
      <c r="AB999" s="46" t="n">
        <f aca="false">IF(AND(E999&gt;0,OR(AND(B999&gt;=1,B999&lt;=6),B999=10)),1,0)</f>
        <v>1</v>
      </c>
      <c r="AC999" s="46" t="n">
        <f aca="false">IF(AND(E999&gt;0,B999=10),1,0)</f>
        <v>0</v>
      </c>
      <c r="AD999" s="0" t="str">
        <f aca="false">IF(AND(C998=C999,AA998=AA999-1),AB998,"")</f>
        <v/>
      </c>
      <c r="AE999" s="0" t="str">
        <f aca="false">IF(AND(C998=C999,AA998=AA999-1),AC998,"")</f>
        <v/>
      </c>
      <c r="AF999" s="0" t="str">
        <f aca="false">IF(AA999=1,"",IF(AND(AB999=1,AD999&lt;&gt;1),1,0))</f>
        <v/>
      </c>
      <c r="AG999" s="0" t="str">
        <f aca="false">IF(AA999=1,"",IF(AND(AC999=1,AE999&lt;&gt;1),1,0))</f>
        <v/>
      </c>
      <c r="AH999" s="51" t="str">
        <f aca="false">IF(AND(E999&gt;0,AA999&lt;1,NOT(AND(C1000=C999,AA1000=AA999+1))),INDEX(DATAS,AA999+1),"")</f>
        <v/>
      </c>
      <c r="AI999" s="51" t="str">
        <f aca="false">IF(AND(AC999=1,AA999&lt;1),IF(AND(C1000=C999,AA1000=AA999+1),IF(AC1000=1,"",INDEX(DATAS,AA999+1)),INDEX(DATAS,AA999+1)),"")</f>
        <v/>
      </c>
    </row>
    <row r="1000" customFormat="false" ht="15" hidden="false" customHeight="false" outlineLevel="0" collapsed="false">
      <c r="A1000" s="51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46" t="s">
        <v>759</v>
      </c>
      <c r="G1000" s="0" t="n">
        <v>47</v>
      </c>
      <c r="H1000" s="0" t="n">
        <v>46</v>
      </c>
      <c r="I1000" s="46" t="s">
        <v>181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51" t="n">
        <v>46306</v>
      </c>
      <c r="X1000" s="46" t="n">
        <f aca="false">IF(I1000="Male",0,1)</f>
        <v>1</v>
      </c>
      <c r="Y1000" s="46" t="n">
        <f aca="false">IF(OR(I1000="DNB",I1000="Dry DNB"),1,0)</f>
        <v>0</v>
      </c>
      <c r="Z1000" s="46" t="n">
        <f aca="false">IF(ISNUMBER(W1000),A1000-W1000,"")</f>
        <v>3</v>
      </c>
      <c r="AA1000" s="46" t="n">
        <f aca="false">MATCH(A1000,DATAS,0)</f>
        <v>1</v>
      </c>
      <c r="AB1000" s="46" t="n">
        <f aca="false">IF(AND(E1000&gt;0,OR(AND(B1000&gt;=1,B1000&lt;=6),B1000=10)),1,0)</f>
        <v>1</v>
      </c>
      <c r="AC1000" s="46" t="n">
        <f aca="false">IF(AND(E1000&gt;0,B1000=10),1,0)</f>
        <v>0</v>
      </c>
      <c r="AD1000" s="0" t="str">
        <f aca="false">IF(AND(C999=C1000,AA999=AA1000-1),AB999,"")</f>
        <v/>
      </c>
      <c r="AE1000" s="0" t="str">
        <f aca="false">IF(AND(C999=C1000,AA999=AA1000-1),AC999,"")</f>
        <v/>
      </c>
      <c r="AF1000" s="0" t="str">
        <f aca="false">IF(AA1000=1,"",IF(AND(AB1000=1,AD1000&lt;&gt;1),1,0))</f>
        <v/>
      </c>
      <c r="AG1000" s="0" t="str">
        <f aca="false">IF(AA1000=1,"",IF(AND(AC1000=1,AE1000&lt;&gt;1),1,0))</f>
        <v/>
      </c>
      <c r="AH1000" s="51" t="str">
        <f aca="false">IF(AND(E1000&gt;0,AA1000&lt;1,NOT(AND(C1001=C1000,AA1001=AA1000+1))),INDEX(DATAS,AA1000+1),"")</f>
        <v/>
      </c>
      <c r="AI1000" s="51" t="str">
        <f aca="false">IF(AND(AC1000=1,AA1000&lt;1),IF(AND(C1001=C1000,AA1001=AA1000+1),IF(AC1001=1,"",INDEX(DATAS,AA1000+1)),INDEX(DATAS,AA1000+1)),"")</f>
        <v/>
      </c>
    </row>
    <row r="1001" customFormat="false" ht="15" hidden="false" customHeight="false" outlineLevel="0" collapsed="false">
      <c r="A1001" s="51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46" t="s">
        <v>759</v>
      </c>
      <c r="G1001" s="0" t="n">
        <v>4.5</v>
      </c>
      <c r="H1001" s="0" t="n">
        <v>13</v>
      </c>
      <c r="I1001" s="46" t="s">
        <v>189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X1001" s="46" t="n">
        <f aca="false">IF(I1001="Male",0,1)</f>
        <v>1</v>
      </c>
      <c r="Y1001" s="46" t="n">
        <f aca="false">IF(OR(I1001="DNB",I1001="Dry DNB"),1,0)</f>
        <v>0</v>
      </c>
      <c r="Z1001" s="0" t="str">
        <f aca="false">IF(ISNUMBER(W1001),A1001-W1001,"")</f>
        <v/>
      </c>
      <c r="AA1001" s="46" t="n">
        <f aca="false">MATCH(A1001,DATAS,0)</f>
        <v>1</v>
      </c>
      <c r="AB1001" s="46" t="n">
        <f aca="false">IF(AND(E1001&gt;0,OR(AND(B1001&gt;=1,B1001&lt;=6),B1001=10)),1,0)</f>
        <v>1</v>
      </c>
      <c r="AC1001" s="46" t="n">
        <f aca="false">IF(AND(E1001&gt;0,B1001=10),1,0)</f>
        <v>1</v>
      </c>
      <c r="AD1001" s="0" t="str">
        <f aca="false">IF(AND(C1000=C1001,AA1000=AA1001-1),AB1000,"")</f>
        <v/>
      </c>
      <c r="AE1001" s="0" t="str">
        <f aca="false">IF(AND(C1000=C1001,AA1000=AA1001-1),AC1000,"")</f>
        <v/>
      </c>
      <c r="AF1001" s="0" t="str">
        <f aca="false">IF(AA1001=1,"",IF(AND(AB1001=1,AD1001&lt;&gt;1),1,0))</f>
        <v/>
      </c>
      <c r="AG1001" s="0" t="str">
        <f aca="false">IF(AA1001=1,"",IF(AND(AC1001=1,AE1001&lt;&gt;1),1,0))</f>
        <v/>
      </c>
      <c r="AH1001" s="51" t="str">
        <f aca="false">IF(AND(E1001&gt;0,AA1001&lt;1,NOT(AND(C1002=C1001,AA1002=AA1001+1))),INDEX(DATAS,AA1001+1),"")</f>
        <v/>
      </c>
      <c r="AI1001" s="51" t="str">
        <f aca="false">IF(AND(AC1001=1,AA1001&lt;1),IF(AND(C1002=C1001,AA1002=AA1001+1),IF(AC1002=1,"",INDEX(DATAS,AA1001+1)),INDEX(DATAS,AA1001+1)),"")</f>
        <v/>
      </c>
    </row>
    <row r="1002" customFormat="false" ht="15" hidden="false" customHeight="false" outlineLevel="0" collapsed="false">
      <c r="A1002" s="51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46" t="s">
        <v>760</v>
      </c>
      <c r="G1002" s="0" t="n">
        <v>59.1</v>
      </c>
      <c r="H1002" s="0" t="n">
        <v>55</v>
      </c>
      <c r="I1002" s="46" t="s">
        <v>181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51" t="n">
        <v>46294</v>
      </c>
      <c r="X1002" s="46" t="n">
        <f aca="false">IF(I1002="Male",0,1)</f>
        <v>1</v>
      </c>
      <c r="Y1002" s="46" t="n">
        <f aca="false">IF(OR(I1002="DNB",I1002="Dry DNB"),1,0)</f>
        <v>0</v>
      </c>
      <c r="Z1002" s="46" t="n">
        <f aca="false">IF(ISNUMBER(W1002),A1002-W1002,"")</f>
        <v>15</v>
      </c>
      <c r="AA1002" s="46" t="n">
        <f aca="false">MATCH(A1002,DATAS,0)</f>
        <v>1</v>
      </c>
      <c r="AB1002" s="46" t="n">
        <f aca="false">IF(AND(E1002&gt;0,OR(AND(B1002&gt;=1,B1002&lt;=6),B1002=10)),1,0)</f>
        <v>1</v>
      </c>
      <c r="AC1002" s="46" t="n">
        <f aca="false">IF(AND(E1002&gt;0,B1002=10),1,0)</f>
        <v>0</v>
      </c>
      <c r="AD1002" s="0" t="str">
        <f aca="false">IF(AND(C1001=C1002,AA1001=AA1002-1),AB1001,"")</f>
        <v/>
      </c>
      <c r="AE1002" s="0" t="str">
        <f aca="false">IF(AND(C1001=C1002,AA1001=AA1002-1),AC1001,"")</f>
        <v/>
      </c>
      <c r="AF1002" s="0" t="str">
        <f aca="false">IF(AA1002=1,"",IF(AND(AB1002=1,AD1002&lt;&gt;1),1,0))</f>
        <v/>
      </c>
      <c r="AG1002" s="0" t="str">
        <f aca="false">IF(AA1002=1,"",IF(AND(AC1002=1,AE1002&lt;&gt;1),1,0))</f>
        <v/>
      </c>
      <c r="AH1002" s="51" t="str">
        <f aca="false">IF(AND(E1002&gt;0,AA1002&lt;1,NOT(AND(C1003=C1002,AA1003=AA1002+1))),INDEX(DATAS,AA1002+1),"")</f>
        <v/>
      </c>
      <c r="AI1002" s="51" t="str">
        <f aca="false">IF(AND(AC1002=1,AA1002&lt;1),IF(AND(C1003=C1002,AA1003=AA1002+1),IF(AC1003=1,"",INDEX(DATAS,AA1002+1)),INDEX(DATAS,AA1002+1)),"")</f>
        <v/>
      </c>
    </row>
    <row r="1003" customFormat="false" ht="15" hidden="false" customHeight="false" outlineLevel="0" collapsed="false">
      <c r="A1003" s="51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46" t="s">
        <v>760</v>
      </c>
      <c r="G1003" s="0" t="n">
        <v>54.7</v>
      </c>
      <c r="H1003" s="0" t="n">
        <v>54</v>
      </c>
      <c r="I1003" s="46" t="s">
        <v>189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51" t="n">
        <v>46275</v>
      </c>
      <c r="X1003" s="46" t="n">
        <f aca="false">IF(I1003="Male",0,1)</f>
        <v>1</v>
      </c>
      <c r="Y1003" s="46" t="n">
        <f aca="false">IF(OR(I1003="DNB",I1003="Dry DNB"),1,0)</f>
        <v>0</v>
      </c>
      <c r="Z1003" s="46" t="n">
        <f aca="false">IF(ISNUMBER(W1003),A1003-W1003,"")</f>
        <v>34</v>
      </c>
      <c r="AA1003" s="46" t="n">
        <f aca="false">MATCH(A1003,DATAS,0)</f>
        <v>1</v>
      </c>
      <c r="AB1003" s="46" t="n">
        <f aca="false">IF(AND(E1003&gt;0,OR(AND(B1003&gt;=1,B1003&lt;=6),B1003=10)),1,0)</f>
        <v>1</v>
      </c>
      <c r="AC1003" s="46" t="n">
        <f aca="false">IF(AND(E1003&gt;0,B1003=10),1,0)</f>
        <v>0</v>
      </c>
      <c r="AD1003" s="0" t="str">
        <f aca="false">IF(AND(C1002=C1003,AA1002=AA1003-1),AB1002,"")</f>
        <v/>
      </c>
      <c r="AE1003" s="0" t="str">
        <f aca="false">IF(AND(C1002=C1003,AA1002=AA1003-1),AC1002,"")</f>
        <v/>
      </c>
      <c r="AF1003" s="0" t="str">
        <f aca="false">IF(AA1003=1,"",IF(AND(AB1003=1,AD1003&lt;&gt;1),1,0))</f>
        <v/>
      </c>
      <c r="AG1003" s="0" t="str">
        <f aca="false">IF(AA1003=1,"",IF(AND(AC1003=1,AE1003&lt;&gt;1),1,0))</f>
        <v/>
      </c>
      <c r="AH1003" s="51" t="str">
        <f aca="false">IF(AND(E1003&gt;0,AA1003&lt;1,NOT(AND(C1004=C1003,AA1004=AA1003+1))),INDEX(DATAS,AA1003+1),"")</f>
        <v/>
      </c>
      <c r="AI1003" s="51" t="str">
        <f aca="false">IF(AND(AC1003=1,AA1003&lt;1),IF(AND(C1004=C1003,AA1004=AA1003+1),IF(AC1004=1,"",INDEX(DATAS,AA1003+1)),INDEX(DATAS,AA1003+1)),"")</f>
        <v/>
      </c>
    </row>
    <row r="1004" customFormat="false" ht="15" hidden="false" customHeight="false" outlineLevel="0" collapsed="false">
      <c r="A1004" s="51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46" t="s">
        <v>760</v>
      </c>
      <c r="G1004" s="0" t="n">
        <v>53.2</v>
      </c>
      <c r="H1004" s="0" t="n">
        <v>56</v>
      </c>
      <c r="I1004" s="46" t="s">
        <v>189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51" t="n">
        <v>46269</v>
      </c>
      <c r="X1004" s="46" t="n">
        <f aca="false">IF(I1004="Male",0,1)</f>
        <v>1</v>
      </c>
      <c r="Y1004" s="46" t="n">
        <f aca="false">IF(OR(I1004="DNB",I1004="Dry DNB"),1,0)</f>
        <v>0</v>
      </c>
      <c r="Z1004" s="46" t="n">
        <f aca="false">IF(ISNUMBER(W1004),A1004-W1004,"")</f>
        <v>40</v>
      </c>
      <c r="AA1004" s="46" t="n">
        <f aca="false">MATCH(A1004,DATAS,0)</f>
        <v>1</v>
      </c>
      <c r="AB1004" s="46" t="n">
        <f aca="false">IF(AND(E1004&gt;0,OR(AND(B1004&gt;=1,B1004&lt;=6),B1004=10)),1,0)</f>
        <v>1</v>
      </c>
      <c r="AC1004" s="46" t="n">
        <f aca="false">IF(AND(E1004&gt;0,B1004=10),1,0)</f>
        <v>0</v>
      </c>
      <c r="AD1004" s="0" t="str">
        <f aca="false">IF(AND(C1003=C1004,AA1003=AA1004-1),AB1003,"")</f>
        <v/>
      </c>
      <c r="AE1004" s="0" t="str">
        <f aca="false">IF(AND(C1003=C1004,AA1003=AA1004-1),AC1003,"")</f>
        <v/>
      </c>
      <c r="AF1004" s="0" t="str">
        <f aca="false">IF(AA1004=1,"",IF(AND(AB1004=1,AD1004&lt;&gt;1),1,0))</f>
        <v/>
      </c>
      <c r="AG1004" s="0" t="str">
        <f aca="false">IF(AA1004=1,"",IF(AND(AC1004=1,AE1004&lt;&gt;1),1,0))</f>
        <v/>
      </c>
      <c r="AH1004" s="51" t="str">
        <f aca="false">IF(AND(E1004&gt;0,AA1004&lt;1,NOT(AND(C1005=C1004,AA1005=AA1004+1))),INDEX(DATAS,AA1004+1),"")</f>
        <v/>
      </c>
      <c r="AI1004" s="51" t="str">
        <f aca="false">IF(AND(AC1004=1,AA1004&lt;1),IF(AND(C1005=C1004,AA1005=AA1004+1),IF(AC1005=1,"",INDEX(DATAS,AA1004+1)),INDEX(DATAS,AA1004+1)),"")</f>
        <v/>
      </c>
    </row>
    <row r="1005" customFormat="false" ht="15" hidden="false" customHeight="false" outlineLevel="0" collapsed="false">
      <c r="A1005" s="51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46" t="s">
        <v>761</v>
      </c>
      <c r="I1005" s="46" t="s">
        <v>157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51" t="n">
        <v>46184</v>
      </c>
      <c r="X1005" s="46" t="n">
        <f aca="false">IF(I1005="Male",0,1)</f>
        <v>1</v>
      </c>
      <c r="Y1005" s="46" t="n">
        <f aca="false">IF(OR(I1005="DNB",I1005="Dry DNB"),1,0)</f>
        <v>0</v>
      </c>
      <c r="Z1005" s="46" t="n">
        <f aca="false">IF(ISNUMBER(W1005),A1005-W1005,"")</f>
        <v>125</v>
      </c>
      <c r="AA1005" s="46" t="n">
        <f aca="false">MATCH(A1005,DATAS,0)</f>
        <v>1</v>
      </c>
      <c r="AB1005" s="46" t="n">
        <f aca="false">IF(AND(E1005&gt;0,OR(AND(B1005&gt;=1,B1005&lt;=6),B1005=10)),1,0)</f>
        <v>0</v>
      </c>
      <c r="AC1005" s="46" t="n">
        <f aca="false">IF(AND(E1005&gt;0,B1005=10),1,0)</f>
        <v>0</v>
      </c>
      <c r="AD1005" s="0" t="str">
        <f aca="false">IF(AND(C1004=C1005,AA1004=AA1005-1),AB1004,"")</f>
        <v/>
      </c>
      <c r="AE1005" s="0" t="str">
        <f aca="false">IF(AND(C1004=C1005,AA1004=AA1005-1),AC1004,"")</f>
        <v/>
      </c>
      <c r="AF1005" s="0" t="str">
        <f aca="false">IF(AA1005=1,"",IF(AND(AB1005=1,AD1005&lt;&gt;1),1,0))</f>
        <v/>
      </c>
      <c r="AG1005" s="0" t="str">
        <f aca="false">IF(AA1005=1,"",IF(AND(AC1005=1,AE1005&lt;&gt;1),1,0))</f>
        <v/>
      </c>
      <c r="AH1005" s="51" t="str">
        <f aca="false">IF(AND(E1005&gt;0,AA1005&lt;1,NOT(AND(C1006=C1005,AA1006=AA1005+1))),INDEX(DATAS,AA1005+1),"")</f>
        <v/>
      </c>
      <c r="AI1005" s="51" t="str">
        <f aca="false">IF(AND(AC1005=1,AA1005&lt;1),IF(AND(C1006=C1005,AA1006=AA1005+1),IF(AC1006=1,"",INDEX(DATAS,AA1005+1)),INDEX(DATAS,AA1005+1)),"")</f>
        <v/>
      </c>
    </row>
    <row r="1006" customFormat="false" ht="15" hidden="false" customHeight="false" outlineLevel="0" collapsed="false">
      <c r="A1006" s="51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46" t="s">
        <v>761</v>
      </c>
      <c r="G1006" s="0" t="n">
        <v>61.9</v>
      </c>
      <c r="H1006" s="0" t="n">
        <v>57</v>
      </c>
      <c r="I1006" s="46" t="s">
        <v>161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X1006" s="46" t="n">
        <f aca="false">IF(I1006="Male",0,1)</f>
        <v>1</v>
      </c>
      <c r="Y1006" s="46" t="n">
        <f aca="false">IF(OR(I1006="DNB",I1006="Dry DNB"),1,0)</f>
        <v>0</v>
      </c>
      <c r="Z1006" s="0" t="str">
        <f aca="false">IF(ISNUMBER(W1006),A1006-W1006,"")</f>
        <v/>
      </c>
      <c r="AA1006" s="46" t="n">
        <f aca="false">MATCH(A1006,DATAS,0)</f>
        <v>1</v>
      </c>
      <c r="AB1006" s="46" t="n">
        <f aca="false">IF(AND(E1006&gt;0,OR(AND(B1006&gt;=1,B1006&lt;=6),B1006=10)),1,0)</f>
        <v>1</v>
      </c>
      <c r="AC1006" s="46" t="n">
        <f aca="false">IF(AND(E1006&gt;0,B1006=10),1,0)</f>
        <v>0</v>
      </c>
      <c r="AD1006" s="0" t="str">
        <f aca="false">IF(AND(C1005=C1006,AA1005=AA1006-1),AB1005,"")</f>
        <v/>
      </c>
      <c r="AE1006" s="0" t="str">
        <f aca="false">IF(AND(C1005=C1006,AA1005=AA1006-1),AC1005,"")</f>
        <v/>
      </c>
      <c r="AF1006" s="0" t="str">
        <f aca="false">IF(AA1006=1,"",IF(AND(AB1006=1,AD1006&lt;&gt;1),1,0))</f>
        <v/>
      </c>
      <c r="AG1006" s="0" t="str">
        <f aca="false">IF(AA1006=1,"",IF(AND(AC1006=1,AE1006&lt;&gt;1),1,0))</f>
        <v/>
      </c>
      <c r="AH1006" s="51" t="str">
        <f aca="false">IF(AND(E1006&gt;0,AA1006&lt;1,NOT(AND(C1007=C1006,AA1007=AA1006+1))),INDEX(DATAS,AA1006+1),"")</f>
        <v/>
      </c>
      <c r="AI1006" s="51" t="str">
        <f aca="false">IF(AND(AC1006=1,AA1006&lt;1),IF(AND(C1007=C1006,AA1007=AA1006+1),IF(AC1007=1,"",INDEX(DATAS,AA1006+1)),INDEX(DATAS,AA1006+1)),"")</f>
        <v/>
      </c>
    </row>
    <row r="1007" customFormat="false" ht="15" hidden="false" customHeight="false" outlineLevel="0" collapsed="false">
      <c r="A1007" s="51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46" t="s">
        <v>761</v>
      </c>
      <c r="H1007" s="0" t="n">
        <v>19</v>
      </c>
      <c r="I1007" s="46" t="s">
        <v>161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X1007" s="46" t="n">
        <f aca="false">IF(I1007="Male",0,1)</f>
        <v>1</v>
      </c>
      <c r="Y1007" s="46" t="n">
        <f aca="false">IF(OR(I1007="DNB",I1007="Dry DNB"),1,0)</f>
        <v>0</v>
      </c>
      <c r="Z1007" s="0" t="str">
        <f aca="false">IF(ISNUMBER(W1007),A1007-W1007,"")</f>
        <v/>
      </c>
      <c r="AA1007" s="46" t="n">
        <f aca="false">MATCH(A1007,DATAS,0)</f>
        <v>1</v>
      </c>
      <c r="AB1007" s="46" t="n">
        <f aca="false">IF(AND(E1007&gt;0,OR(AND(B1007&gt;=1,B1007&lt;=6),B1007=10)),1,0)</f>
        <v>1</v>
      </c>
      <c r="AC1007" s="46" t="n">
        <f aca="false">IF(AND(E1007&gt;0,B1007=10),1,0)</f>
        <v>1</v>
      </c>
      <c r="AD1007" s="0" t="str">
        <f aca="false">IF(AND(C1006=C1007,AA1006=AA1007-1),AB1006,"")</f>
        <v/>
      </c>
      <c r="AE1007" s="0" t="str">
        <f aca="false">IF(AND(C1006=C1007,AA1006=AA1007-1),AC1006,"")</f>
        <v/>
      </c>
      <c r="AF1007" s="0" t="str">
        <f aca="false">IF(AA1007=1,"",IF(AND(AB1007=1,AD1007&lt;&gt;1),1,0))</f>
        <v/>
      </c>
      <c r="AG1007" s="0" t="str">
        <f aca="false">IF(AA1007=1,"",IF(AND(AC1007=1,AE1007&lt;&gt;1),1,0))</f>
        <v/>
      </c>
      <c r="AH1007" s="51" t="str">
        <f aca="false">IF(AND(E1007&gt;0,AA1007&lt;1,NOT(AND(C1008=C1007,AA1008=AA1007+1))),INDEX(DATAS,AA1007+1),"")</f>
        <v/>
      </c>
      <c r="AI1007" s="51" t="str">
        <f aca="false">IF(AND(AC1007=1,AA1007&lt;1),IF(AND(C1008=C1007,AA1008=AA1007+1),IF(AC1008=1,"",INDEX(DATAS,AA1007+1)),INDEX(DATAS,AA1007+1)),"")</f>
        <v/>
      </c>
    </row>
    <row r="1008" customFormat="false" ht="15" hidden="false" customHeight="false" outlineLevel="0" collapsed="false">
      <c r="A1008" s="51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46" t="s">
        <v>762</v>
      </c>
      <c r="G1008" s="0" t="n">
        <v>35</v>
      </c>
      <c r="H1008" s="0" t="n">
        <v>35</v>
      </c>
      <c r="I1008" s="46" t="s">
        <v>189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X1008" s="46" t="n">
        <f aca="false">IF(I1008="Male",0,1)</f>
        <v>1</v>
      </c>
      <c r="Y1008" s="46" t="n">
        <f aca="false">IF(OR(I1008="DNB",I1008="Dry DNB"),1,0)</f>
        <v>0</v>
      </c>
      <c r="Z1008" s="0" t="str">
        <f aca="false">IF(ISNUMBER(W1008),A1008-W1008,"")</f>
        <v/>
      </c>
      <c r="AA1008" s="46" t="n">
        <f aca="false">MATCH(A1008,DATAS,0)</f>
        <v>1</v>
      </c>
      <c r="AB1008" s="46" t="n">
        <f aca="false">IF(AND(E1008&gt;0,OR(AND(B1008&gt;=1,B1008&lt;=6),B1008=10)),1,0)</f>
        <v>1</v>
      </c>
      <c r="AC1008" s="46" t="n">
        <f aca="false">IF(AND(E1008&gt;0,B1008=10),1,0)</f>
        <v>0</v>
      </c>
      <c r="AD1008" s="0" t="str">
        <f aca="false">IF(AND(C1007=C1008,AA1007=AA1008-1),AB1007,"")</f>
        <v/>
      </c>
      <c r="AE1008" s="0" t="str">
        <f aca="false">IF(AND(C1007=C1008,AA1007=AA1008-1),AC1007,"")</f>
        <v/>
      </c>
      <c r="AF1008" s="0" t="str">
        <f aca="false">IF(AA1008=1,"",IF(AND(AB1008=1,AD1008&lt;&gt;1),1,0))</f>
        <v/>
      </c>
      <c r="AG1008" s="0" t="str">
        <f aca="false">IF(AA1008=1,"",IF(AND(AC1008=1,AE1008&lt;&gt;1),1,0))</f>
        <v/>
      </c>
      <c r="AH1008" s="51" t="str">
        <f aca="false">IF(AND(E1008&gt;0,AA1008&lt;1,NOT(AND(C1009=C1008,AA1009=AA1008+1))),INDEX(DATAS,AA1008+1),"")</f>
        <v/>
      </c>
      <c r="AI1008" s="51" t="str">
        <f aca="false">IF(AND(AC1008=1,AA1008&lt;1),IF(AND(C1009=C1008,AA1009=AA1008+1),IF(AC1009=1,"",INDEX(DATAS,AA1008+1)),INDEX(DATAS,AA1008+1)),"")</f>
        <v/>
      </c>
    </row>
    <row r="1009" customFormat="false" ht="15" hidden="false" customHeight="false" outlineLevel="0" collapsed="false">
      <c r="A1009" s="51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46" t="s">
        <v>763</v>
      </c>
      <c r="G1009" s="0" t="n">
        <v>62.2</v>
      </c>
      <c r="H1009" s="0" t="n">
        <v>62</v>
      </c>
      <c r="I1009" s="46" t="s">
        <v>152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51" t="n">
        <v>46262</v>
      </c>
      <c r="X1009" s="46" t="n">
        <f aca="false">IF(I1009="Male",0,1)</f>
        <v>1</v>
      </c>
      <c r="Y1009" s="46" t="n">
        <f aca="false">IF(OR(I1009="DNB",I1009="Dry DNB"),1,0)</f>
        <v>0</v>
      </c>
      <c r="Z1009" s="46" t="n">
        <f aca="false">IF(ISNUMBER(W1009),A1009-W1009,"")</f>
        <v>47</v>
      </c>
      <c r="AA1009" s="46" t="n">
        <f aca="false">MATCH(A1009,DATAS,0)</f>
        <v>1</v>
      </c>
      <c r="AB1009" s="46" t="n">
        <f aca="false">IF(AND(E1009&gt;0,OR(AND(B1009&gt;=1,B1009&lt;=6),B1009=10)),1,0)</f>
        <v>1</v>
      </c>
      <c r="AC1009" s="46" t="n">
        <f aca="false">IF(AND(E1009&gt;0,B1009=10),1,0)</f>
        <v>0</v>
      </c>
      <c r="AD1009" s="0" t="str">
        <f aca="false">IF(AND(C1008=C1009,AA1008=AA1009-1),AB1008,"")</f>
        <v/>
      </c>
      <c r="AE1009" s="0" t="str">
        <f aca="false">IF(AND(C1008=C1009,AA1008=AA1009-1),AC1008,"")</f>
        <v/>
      </c>
      <c r="AF1009" s="0" t="str">
        <f aca="false">IF(AA1009=1,"",IF(AND(AB1009=1,AD1009&lt;&gt;1),1,0))</f>
        <v/>
      </c>
      <c r="AG1009" s="0" t="str">
        <f aca="false">IF(AA1009=1,"",IF(AND(AC1009=1,AE1009&lt;&gt;1),1,0))</f>
        <v/>
      </c>
      <c r="AH1009" s="51" t="str">
        <f aca="false">IF(AND(E1009&gt;0,AA1009&lt;1,NOT(AND(C1010=C1009,AA1010=AA1009+1))),INDEX(DATAS,AA1009+1),"")</f>
        <v/>
      </c>
      <c r="AI1009" s="51" t="str">
        <f aca="false">IF(AND(AC1009=1,AA1009&lt;1),IF(AND(C1010=C1009,AA1010=AA1009+1),IF(AC1010=1,"",INDEX(DATAS,AA1009+1)),INDEX(DATAS,AA1009+1)),"")</f>
        <v/>
      </c>
    </row>
    <row r="1010" customFormat="false" ht="15" hidden="false" customHeight="false" outlineLevel="0" collapsed="false">
      <c r="A1010" s="51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46" t="s">
        <v>763</v>
      </c>
      <c r="G1010" s="0" t="n">
        <v>59.3</v>
      </c>
      <c r="H1010" s="0" t="n">
        <v>55</v>
      </c>
      <c r="I1010" s="46" t="s">
        <v>161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X1010" s="46" t="n">
        <f aca="false">IF(I1010="Male",0,1)</f>
        <v>1</v>
      </c>
      <c r="Y1010" s="46" t="n">
        <f aca="false">IF(OR(I1010="DNB",I1010="Dry DNB"),1,0)</f>
        <v>0</v>
      </c>
      <c r="Z1010" s="0" t="str">
        <f aca="false">IF(ISNUMBER(W1010),A1010-W1010,"")</f>
        <v/>
      </c>
      <c r="AA1010" s="46" t="n">
        <f aca="false">MATCH(A1010,DATAS,0)</f>
        <v>1</v>
      </c>
      <c r="AB1010" s="46" t="n">
        <f aca="false">IF(AND(E1010&gt;0,OR(AND(B1010&gt;=1,B1010&lt;=6),B1010=10)),1,0)</f>
        <v>1</v>
      </c>
      <c r="AC1010" s="46" t="n">
        <f aca="false">IF(AND(E1010&gt;0,B1010=10),1,0)</f>
        <v>0</v>
      </c>
      <c r="AD1010" s="0" t="str">
        <f aca="false">IF(AND(C1009=C1010,AA1009=AA1010-1),AB1009,"")</f>
        <v/>
      </c>
      <c r="AE1010" s="0" t="str">
        <f aca="false">IF(AND(C1009=C1010,AA1009=AA1010-1),AC1009,"")</f>
        <v/>
      </c>
      <c r="AF1010" s="0" t="str">
        <f aca="false">IF(AA1010=1,"",IF(AND(AB1010=1,AD1010&lt;&gt;1),1,0))</f>
        <v/>
      </c>
      <c r="AG1010" s="0" t="str">
        <f aca="false">IF(AA1010=1,"",IF(AND(AC1010=1,AE1010&lt;&gt;1),1,0))</f>
        <v/>
      </c>
      <c r="AH1010" s="51" t="str">
        <f aca="false">IF(AND(E1010&gt;0,AA1010&lt;1,NOT(AND(C1011=C1010,AA1011=AA1010+1))),INDEX(DATAS,AA1010+1),"")</f>
        <v/>
      </c>
      <c r="AI1010" s="51" t="str">
        <f aca="false">IF(AND(AC1010=1,AA1010&lt;1),IF(AND(C1011=C1010,AA1011=AA1010+1),IF(AC1011=1,"",INDEX(DATAS,AA1010+1)),INDEX(DATAS,AA1010+1)),"")</f>
        <v/>
      </c>
    </row>
    <row r="1011" customFormat="false" ht="15" hidden="false" customHeight="false" outlineLevel="0" collapsed="false">
      <c r="A1011" s="51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46" t="s">
        <v>764</v>
      </c>
      <c r="I1011" s="46" t="s">
        <v>157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51" t="n">
        <v>46072</v>
      </c>
      <c r="X1011" s="46" t="n">
        <f aca="false">IF(I1011="Male",0,1)</f>
        <v>1</v>
      </c>
      <c r="Y1011" s="46" t="n">
        <f aca="false">IF(OR(I1011="DNB",I1011="Dry DNB"),1,0)</f>
        <v>0</v>
      </c>
      <c r="Z1011" s="46" t="n">
        <f aca="false">IF(ISNUMBER(W1011),A1011-W1011,"")</f>
        <v>237</v>
      </c>
      <c r="AA1011" s="46" t="n">
        <f aca="false">MATCH(A1011,DATAS,0)</f>
        <v>1</v>
      </c>
      <c r="AB1011" s="46" t="n">
        <f aca="false">IF(AND(E1011&gt;0,OR(AND(B1011&gt;=1,B1011&lt;=6),B1011=10)),1,0)</f>
        <v>0</v>
      </c>
      <c r="AC1011" s="46" t="n">
        <f aca="false">IF(AND(E1011&gt;0,B1011=10),1,0)</f>
        <v>0</v>
      </c>
      <c r="AD1011" s="0" t="str">
        <f aca="false">IF(AND(C1010=C1011,AA1010=AA1011-1),AB1010,"")</f>
        <v/>
      </c>
      <c r="AE1011" s="0" t="str">
        <f aca="false">IF(AND(C1010=C1011,AA1010=AA1011-1),AC1010,"")</f>
        <v/>
      </c>
      <c r="AF1011" s="0" t="str">
        <f aca="false">IF(AA1011=1,"",IF(AND(AB1011=1,AD1011&lt;&gt;1),1,0))</f>
        <v/>
      </c>
      <c r="AG1011" s="0" t="str">
        <f aca="false">IF(AA1011=1,"",IF(AND(AC1011=1,AE1011&lt;&gt;1),1,0))</f>
        <v/>
      </c>
      <c r="AH1011" s="51" t="str">
        <f aca="false">IF(AND(E1011&gt;0,AA1011&lt;1,NOT(AND(C1012=C1011,AA1012=AA1011+1))),INDEX(DATAS,AA1011+1),"")</f>
        <v/>
      </c>
      <c r="AI1011" s="51" t="str">
        <f aca="false">IF(AND(AC1011=1,AA1011&lt;1),IF(AND(C1012=C1011,AA1012=AA1011+1),IF(AC1012=1,"",INDEX(DATAS,AA1011+1)),INDEX(DATAS,AA1011+1)),"")</f>
        <v/>
      </c>
    </row>
    <row r="1012" customFormat="false" ht="15" hidden="false" customHeight="false" outlineLevel="0" collapsed="false">
      <c r="A1012" s="51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46" t="s">
        <v>765</v>
      </c>
      <c r="G1012" s="0" t="n">
        <v>60.6</v>
      </c>
      <c r="H1012" s="0" t="n">
        <v>56</v>
      </c>
      <c r="I1012" s="46" t="s">
        <v>189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51" t="n">
        <v>46268</v>
      </c>
      <c r="X1012" s="46" t="n">
        <f aca="false">IF(I1012="Male",0,1)</f>
        <v>1</v>
      </c>
      <c r="Y1012" s="46" t="n">
        <f aca="false">IF(OR(I1012="DNB",I1012="Dry DNB"),1,0)</f>
        <v>0</v>
      </c>
      <c r="Z1012" s="46" t="n">
        <f aca="false">IF(ISNUMBER(W1012),A1012-W1012,"")</f>
        <v>41</v>
      </c>
      <c r="AA1012" s="46" t="n">
        <f aca="false">MATCH(A1012,DATAS,0)</f>
        <v>1</v>
      </c>
      <c r="AB1012" s="46" t="n">
        <f aca="false">IF(AND(E1012&gt;0,OR(AND(B1012&gt;=1,B1012&lt;=6),B1012=10)),1,0)</f>
        <v>1</v>
      </c>
      <c r="AC1012" s="46" t="n">
        <f aca="false">IF(AND(E1012&gt;0,B1012=10),1,0)</f>
        <v>0</v>
      </c>
      <c r="AD1012" s="0" t="str">
        <f aca="false">IF(AND(C1011=C1012,AA1011=AA1012-1),AB1011,"")</f>
        <v/>
      </c>
      <c r="AE1012" s="0" t="str">
        <f aca="false">IF(AND(C1011=C1012,AA1011=AA1012-1),AC1011,"")</f>
        <v/>
      </c>
      <c r="AF1012" s="0" t="str">
        <f aca="false">IF(AA1012=1,"",IF(AND(AB1012=1,AD1012&lt;&gt;1),1,0))</f>
        <v/>
      </c>
      <c r="AG1012" s="0" t="str">
        <f aca="false">IF(AA1012=1,"",IF(AND(AC1012=1,AE1012&lt;&gt;1),1,0))</f>
        <v/>
      </c>
      <c r="AH1012" s="51" t="str">
        <f aca="false">IF(AND(E1012&gt;0,AA1012&lt;1,NOT(AND(C1013=C1012,AA1013=AA1012+1))),INDEX(DATAS,AA1012+1),"")</f>
        <v/>
      </c>
      <c r="AI1012" s="51" t="str">
        <f aca="false">IF(AND(AC1012=1,AA1012&lt;1),IF(AND(C1013=C1012,AA1013=AA1012+1),IF(AC1013=1,"",INDEX(DATAS,AA1012+1)),INDEX(DATAS,AA1012+1)),"")</f>
        <v/>
      </c>
    </row>
    <row r="1013" customFormat="false" ht="15" hidden="false" customHeight="false" outlineLevel="0" collapsed="false">
      <c r="A1013" s="51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46" t="s">
        <v>766</v>
      </c>
      <c r="G1013" s="0" t="n">
        <v>48.3</v>
      </c>
      <c r="H1013" s="0" t="n">
        <v>43</v>
      </c>
      <c r="I1013" s="46" t="s">
        <v>138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X1013" s="46" t="n">
        <f aca="false">IF(I1013="Male",0,1)</f>
        <v>1</v>
      </c>
      <c r="Y1013" s="46" t="n">
        <f aca="false">IF(OR(I1013="DNB",I1013="Dry DNB"),1,0)</f>
        <v>1</v>
      </c>
      <c r="Z1013" s="0" t="str">
        <f aca="false">IF(ISNUMBER(W1013),A1013-W1013,"")</f>
        <v/>
      </c>
      <c r="AA1013" s="46" t="n">
        <f aca="false">MATCH(A1013,DATAS,0)</f>
        <v>1</v>
      </c>
      <c r="AB1013" s="46" t="n">
        <f aca="false">IF(AND(E1013&gt;0,OR(AND(B1013&gt;=1,B1013&lt;=6),B1013=10)),1,0)</f>
        <v>1</v>
      </c>
      <c r="AC1013" s="46" t="n">
        <f aca="false">IF(AND(E1013&gt;0,B1013=10),1,0)</f>
        <v>0</v>
      </c>
      <c r="AD1013" s="0" t="str">
        <f aca="false">IF(AND(C1012=C1013,AA1012=AA1013-1),AB1012,"")</f>
        <v/>
      </c>
      <c r="AE1013" s="0" t="str">
        <f aca="false">IF(AND(C1012=C1013,AA1012=AA1013-1),AC1012,"")</f>
        <v/>
      </c>
      <c r="AF1013" s="0" t="str">
        <f aca="false">IF(AA1013=1,"",IF(AND(AB1013=1,AD1013&lt;&gt;1),1,0))</f>
        <v/>
      </c>
      <c r="AG1013" s="0" t="str">
        <f aca="false">IF(AA1013=1,"",IF(AND(AC1013=1,AE1013&lt;&gt;1),1,0))</f>
        <v/>
      </c>
      <c r="AH1013" s="51" t="str">
        <f aca="false">IF(AND(E1013&gt;0,AA1013&lt;1,NOT(AND(C1014=C1013,AA1014=AA1013+1))),INDEX(DATAS,AA1013+1),"")</f>
        <v/>
      </c>
      <c r="AI1013" s="51" t="str">
        <f aca="false">IF(AND(AC1013=1,AA1013&lt;1),IF(AND(C1014=C1013,AA1014=AA1013+1),IF(AC1014=1,"",INDEX(DATAS,AA1013+1)),INDEX(DATAS,AA1013+1)),"")</f>
        <v/>
      </c>
    </row>
    <row r="1014" customFormat="false" ht="15" hidden="false" customHeight="false" outlineLevel="0" collapsed="false">
      <c r="A1014" s="51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46" t="s">
        <v>767</v>
      </c>
      <c r="G1014" s="0" t="n">
        <v>54.3</v>
      </c>
      <c r="H1014" s="0" t="n">
        <v>56</v>
      </c>
      <c r="I1014" s="46" t="s">
        <v>152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51" t="n">
        <v>46233</v>
      </c>
      <c r="X1014" s="46" t="n">
        <f aca="false">IF(I1014="Male",0,1)</f>
        <v>1</v>
      </c>
      <c r="Y1014" s="46" t="n">
        <f aca="false">IF(OR(I1014="DNB",I1014="Dry DNB"),1,0)</f>
        <v>0</v>
      </c>
      <c r="Z1014" s="46" t="n">
        <f aca="false">IF(ISNUMBER(W1014),A1014-W1014,"")</f>
        <v>76</v>
      </c>
      <c r="AA1014" s="46" t="n">
        <f aca="false">MATCH(A1014,DATAS,0)</f>
        <v>1</v>
      </c>
      <c r="AB1014" s="46" t="n">
        <f aca="false">IF(AND(E1014&gt;0,OR(AND(B1014&gt;=1,B1014&lt;=6),B1014=10)),1,0)</f>
        <v>1</v>
      </c>
      <c r="AC1014" s="46" t="n">
        <f aca="false">IF(AND(E1014&gt;0,B1014=10),1,0)</f>
        <v>0</v>
      </c>
      <c r="AD1014" s="0" t="str">
        <f aca="false">IF(AND(C1013=C1014,AA1013=AA1014-1),AB1013,"")</f>
        <v/>
      </c>
      <c r="AE1014" s="0" t="str">
        <f aca="false">IF(AND(C1013=C1014,AA1013=AA1014-1),AC1013,"")</f>
        <v/>
      </c>
      <c r="AF1014" s="0" t="str">
        <f aca="false">IF(AA1014=1,"",IF(AND(AB1014=1,AD1014&lt;&gt;1),1,0))</f>
        <v/>
      </c>
      <c r="AG1014" s="0" t="str">
        <f aca="false">IF(AA1014=1,"",IF(AND(AC1014=1,AE1014&lt;&gt;1),1,0))</f>
        <v/>
      </c>
      <c r="AH1014" s="51" t="str">
        <f aca="false">IF(AND(E1014&gt;0,AA1014&lt;1,NOT(AND(C1015=C1014,AA1015=AA1014+1))),INDEX(DATAS,AA1014+1),"")</f>
        <v/>
      </c>
      <c r="AI1014" s="51" t="str">
        <f aca="false">IF(AND(AC1014=1,AA1014&lt;1),IF(AND(C1015=C1014,AA1015=AA1014+1),IF(AC1015=1,"",INDEX(DATAS,AA1014+1)),INDEX(DATAS,AA1014+1)),"")</f>
        <v/>
      </c>
    </row>
    <row r="1015" customFormat="false" ht="15" hidden="false" customHeight="false" outlineLevel="0" collapsed="false">
      <c r="A1015" s="51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46" t="s">
        <v>767</v>
      </c>
      <c r="G1015" s="0" t="n">
        <v>47.9</v>
      </c>
      <c r="H1015" s="0" t="n">
        <v>50</v>
      </c>
      <c r="I1015" s="46" t="s">
        <v>189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51" t="n">
        <v>46276</v>
      </c>
      <c r="X1015" s="46" t="n">
        <f aca="false">IF(I1015="Male",0,1)</f>
        <v>1</v>
      </c>
      <c r="Y1015" s="46" t="n">
        <f aca="false">IF(OR(I1015="DNB",I1015="Dry DNB"),1,0)</f>
        <v>0</v>
      </c>
      <c r="Z1015" s="46" t="n">
        <f aca="false">IF(ISNUMBER(W1015),A1015-W1015,"")</f>
        <v>33</v>
      </c>
      <c r="AA1015" s="46" t="n">
        <f aca="false">MATCH(A1015,DATAS,0)</f>
        <v>1</v>
      </c>
      <c r="AB1015" s="46" t="n">
        <f aca="false">IF(AND(E1015&gt;0,OR(AND(B1015&gt;=1,B1015&lt;=6),B1015=10)),1,0)</f>
        <v>1</v>
      </c>
      <c r="AC1015" s="46" t="n">
        <f aca="false">IF(AND(E1015&gt;0,B1015=10),1,0)</f>
        <v>0</v>
      </c>
      <c r="AD1015" s="0" t="str">
        <f aca="false">IF(AND(C1014=C1015,AA1014=AA1015-1),AB1014,"")</f>
        <v/>
      </c>
      <c r="AE1015" s="0" t="str">
        <f aca="false">IF(AND(C1014=C1015,AA1014=AA1015-1),AC1014,"")</f>
        <v/>
      </c>
      <c r="AF1015" s="0" t="str">
        <f aca="false">IF(AA1015=1,"",IF(AND(AB1015=1,AD1015&lt;&gt;1),1,0))</f>
        <v/>
      </c>
      <c r="AG1015" s="0" t="str">
        <f aca="false">IF(AA1015=1,"",IF(AND(AC1015=1,AE1015&lt;&gt;1),1,0))</f>
        <v/>
      </c>
      <c r="AH1015" s="51" t="str">
        <f aca="false">IF(AND(E1015&gt;0,AA1015&lt;1,NOT(AND(C1016=C1015,AA1016=AA1015+1))),INDEX(DATAS,AA1015+1),"")</f>
        <v/>
      </c>
      <c r="AI1015" s="51" t="str">
        <f aca="false">IF(AND(AC1015=1,AA1015&lt;1),IF(AND(C1016=C1015,AA1016=AA1015+1),IF(AC1016=1,"",INDEX(DATAS,AA1015+1)),INDEX(DATAS,AA1015+1)),"")</f>
        <v/>
      </c>
    </row>
    <row r="1016" customFormat="false" ht="15" hidden="false" customHeight="false" outlineLevel="0" collapsed="false">
      <c r="A1016" s="51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46" t="s">
        <v>768</v>
      </c>
      <c r="G1016" s="0" t="n">
        <v>63.2</v>
      </c>
      <c r="H1016" s="0" t="n">
        <v>63</v>
      </c>
      <c r="I1016" s="46" t="s">
        <v>181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51" t="n">
        <v>46307</v>
      </c>
      <c r="X1016" s="46" t="n">
        <f aca="false">IF(I1016="Male",0,1)</f>
        <v>1</v>
      </c>
      <c r="Y1016" s="46" t="n">
        <f aca="false">IF(OR(I1016="DNB",I1016="Dry DNB"),1,0)</f>
        <v>0</v>
      </c>
      <c r="Z1016" s="46" t="n">
        <f aca="false">IF(ISNUMBER(W1016),A1016-W1016,"")</f>
        <v>2</v>
      </c>
      <c r="AA1016" s="46" t="n">
        <f aca="false">MATCH(A1016,DATAS,0)</f>
        <v>1</v>
      </c>
      <c r="AB1016" s="46" t="n">
        <f aca="false">IF(AND(E1016&gt;0,OR(AND(B1016&gt;=1,B1016&lt;=6),B1016=10)),1,0)</f>
        <v>1</v>
      </c>
      <c r="AC1016" s="46" t="n">
        <f aca="false">IF(AND(E1016&gt;0,B1016=10),1,0)</f>
        <v>0</v>
      </c>
      <c r="AD1016" s="0" t="str">
        <f aca="false">IF(AND(C1015=C1016,AA1015=AA1016-1),AB1015,"")</f>
        <v/>
      </c>
      <c r="AE1016" s="0" t="str">
        <f aca="false">IF(AND(C1015=C1016,AA1015=AA1016-1),AC1015,"")</f>
        <v/>
      </c>
      <c r="AF1016" s="0" t="str">
        <f aca="false">IF(AA1016=1,"",IF(AND(AB1016=1,AD1016&lt;&gt;1),1,0))</f>
        <v/>
      </c>
      <c r="AG1016" s="0" t="str">
        <f aca="false">IF(AA1016=1,"",IF(AND(AC1016=1,AE1016&lt;&gt;1),1,0))</f>
        <v/>
      </c>
      <c r="AH1016" s="51" t="str">
        <f aca="false">IF(AND(E1016&gt;0,AA1016&lt;1,NOT(AND(C1017=C1016,AA1017=AA1016+1))),INDEX(DATAS,AA1016+1),"")</f>
        <v/>
      </c>
      <c r="AI1016" s="51" t="str">
        <f aca="false">IF(AND(AC1016=1,AA1016&lt;1),IF(AND(C1017=C1016,AA1017=AA1016+1),IF(AC1017=1,"",INDEX(DATAS,AA1016+1)),INDEX(DATAS,AA1016+1)),"")</f>
        <v/>
      </c>
    </row>
    <row r="1017" customFormat="false" ht="15" hidden="false" customHeight="false" outlineLevel="0" collapsed="false">
      <c r="A1017" s="51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46" t="s">
        <v>768</v>
      </c>
      <c r="G1017" s="0" t="n">
        <v>15.9</v>
      </c>
      <c r="H1017" s="0" t="n">
        <v>22</v>
      </c>
      <c r="I1017" s="46" t="s">
        <v>181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51" t="n">
        <v>46289</v>
      </c>
      <c r="X1017" s="46" t="n">
        <f aca="false">IF(I1017="Male",0,1)</f>
        <v>1</v>
      </c>
      <c r="Y1017" s="46" t="n">
        <f aca="false">IF(OR(I1017="DNB",I1017="Dry DNB"),1,0)</f>
        <v>0</v>
      </c>
      <c r="Z1017" s="46" t="n">
        <f aca="false">IF(ISNUMBER(W1017),A1017-W1017,"")</f>
        <v>20</v>
      </c>
      <c r="AA1017" s="46" t="n">
        <f aca="false">MATCH(A1017,DATAS,0)</f>
        <v>1</v>
      </c>
      <c r="AB1017" s="46" t="n">
        <f aca="false">IF(AND(E1017&gt;0,OR(AND(B1017&gt;=1,B1017&lt;=6),B1017=10)),1,0)</f>
        <v>1</v>
      </c>
      <c r="AC1017" s="46" t="n">
        <f aca="false">IF(AND(E1017&gt;0,B1017=10),1,0)</f>
        <v>1</v>
      </c>
      <c r="AD1017" s="0" t="str">
        <f aca="false">IF(AND(C1016=C1017,AA1016=AA1017-1),AB1016,"")</f>
        <v/>
      </c>
      <c r="AE1017" s="0" t="str">
        <f aca="false">IF(AND(C1016=C1017,AA1016=AA1017-1),AC1016,"")</f>
        <v/>
      </c>
      <c r="AF1017" s="0" t="str">
        <f aca="false">IF(AA1017=1,"",IF(AND(AB1017=1,AD1017&lt;&gt;1),1,0))</f>
        <v/>
      </c>
      <c r="AG1017" s="0" t="str">
        <f aca="false">IF(AA1017=1,"",IF(AND(AC1017=1,AE1017&lt;&gt;1),1,0))</f>
        <v/>
      </c>
      <c r="AH1017" s="51" t="str">
        <f aca="false">IF(AND(E1017&gt;0,AA1017&lt;1,NOT(AND(C1018=C1017,AA1018=AA1017+1))),INDEX(DATAS,AA1017+1),"")</f>
        <v/>
      </c>
      <c r="AI1017" s="51" t="str">
        <f aca="false">IF(AND(AC1017=1,AA1017&lt;1),IF(AND(C1018=C1017,AA1018=AA1017+1),IF(AC1018=1,"",INDEX(DATAS,AA1017+1)),INDEX(DATAS,AA1017+1)),"")</f>
        <v/>
      </c>
    </row>
    <row r="1018" customFormat="false" ht="15" hidden="false" customHeight="false" outlineLevel="0" collapsed="false">
      <c r="A1018" s="51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46" t="s">
        <v>768</v>
      </c>
      <c r="G1018" s="0" t="n">
        <v>43.1</v>
      </c>
      <c r="H1018" s="0" t="n">
        <v>38</v>
      </c>
      <c r="I1018" s="46" t="s">
        <v>181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51" t="n">
        <v>46278</v>
      </c>
      <c r="X1018" s="46" t="n">
        <f aca="false">IF(I1018="Male",0,1)</f>
        <v>1</v>
      </c>
      <c r="Y1018" s="46" t="n">
        <f aca="false">IF(OR(I1018="DNB",I1018="Dry DNB"),1,0)</f>
        <v>0</v>
      </c>
      <c r="Z1018" s="46" t="n">
        <f aca="false">IF(ISNUMBER(W1018),A1018-W1018,"")</f>
        <v>31</v>
      </c>
      <c r="AA1018" s="46" t="n">
        <f aca="false">MATCH(A1018,DATAS,0)</f>
        <v>1</v>
      </c>
      <c r="AB1018" s="46" t="n">
        <f aca="false">IF(AND(E1018&gt;0,OR(AND(B1018&gt;=1,B1018&lt;=6),B1018=10)),1,0)</f>
        <v>1</v>
      </c>
      <c r="AC1018" s="46" t="n">
        <f aca="false">IF(AND(E1018&gt;0,B1018=10),1,0)</f>
        <v>0</v>
      </c>
      <c r="AD1018" s="0" t="str">
        <f aca="false">IF(AND(C1017=C1018,AA1017=AA1018-1),AB1017,"")</f>
        <v/>
      </c>
      <c r="AE1018" s="0" t="str">
        <f aca="false">IF(AND(C1017=C1018,AA1017=AA1018-1),AC1017,"")</f>
        <v/>
      </c>
      <c r="AF1018" s="0" t="str">
        <f aca="false">IF(AA1018=1,"",IF(AND(AB1018=1,AD1018&lt;&gt;1),1,0))</f>
        <v/>
      </c>
      <c r="AG1018" s="0" t="str">
        <f aca="false">IF(AA1018=1,"",IF(AND(AC1018=1,AE1018&lt;&gt;1),1,0))</f>
        <v/>
      </c>
      <c r="AH1018" s="51" t="str">
        <f aca="false">IF(AND(E1018&gt;0,AA1018&lt;1,NOT(AND(C1019=C1018,AA1019=AA1018+1))),INDEX(DATAS,AA1018+1),"")</f>
        <v/>
      </c>
      <c r="AI1018" s="51" t="str">
        <f aca="false">IF(AND(AC1018=1,AA1018&lt;1),IF(AND(C1019=C1018,AA1019=AA1018+1),IF(AC1019=1,"",INDEX(DATAS,AA1018+1)),INDEX(DATAS,AA1018+1)),"")</f>
        <v/>
      </c>
    </row>
    <row r="1019" customFormat="false" ht="15" hidden="false" customHeight="false" outlineLevel="0" collapsed="false">
      <c r="A1019" s="51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46" t="s">
        <v>769</v>
      </c>
      <c r="G1019" s="0" t="n">
        <v>51.4</v>
      </c>
      <c r="H1019" s="0" t="n">
        <v>57</v>
      </c>
      <c r="I1019" s="46" t="s">
        <v>161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X1019" s="46" t="n">
        <f aca="false">IF(I1019="Male",0,1)</f>
        <v>1</v>
      </c>
      <c r="Y1019" s="46" t="n">
        <f aca="false">IF(OR(I1019="DNB",I1019="Dry DNB"),1,0)</f>
        <v>0</v>
      </c>
      <c r="Z1019" s="0" t="str">
        <f aca="false">IF(ISNUMBER(W1019),A1019-W1019,"")</f>
        <v/>
      </c>
      <c r="AA1019" s="46" t="n">
        <f aca="false">MATCH(A1019,DATAS,0)</f>
        <v>1</v>
      </c>
      <c r="AB1019" s="46" t="n">
        <f aca="false">IF(AND(E1019&gt;0,OR(AND(B1019&gt;=1,B1019&lt;=6),B1019=10)),1,0)</f>
        <v>1</v>
      </c>
      <c r="AC1019" s="46" t="n">
        <f aca="false">IF(AND(E1019&gt;0,B1019=10),1,0)</f>
        <v>0</v>
      </c>
      <c r="AD1019" s="0" t="str">
        <f aca="false">IF(AND(C1018=C1019,AA1018=AA1019-1),AB1018,"")</f>
        <v/>
      </c>
      <c r="AE1019" s="0" t="str">
        <f aca="false">IF(AND(C1018=C1019,AA1018=AA1019-1),AC1018,"")</f>
        <v/>
      </c>
      <c r="AF1019" s="0" t="str">
        <f aca="false">IF(AA1019=1,"",IF(AND(AB1019=1,AD1019&lt;&gt;1),1,0))</f>
        <v/>
      </c>
      <c r="AG1019" s="0" t="str">
        <f aca="false">IF(AA1019=1,"",IF(AND(AC1019=1,AE1019&lt;&gt;1),1,0))</f>
        <v/>
      </c>
      <c r="AH1019" s="51" t="str">
        <f aca="false">IF(AND(E1019&gt;0,AA1019&lt;1,NOT(AND(C1020=C1019,AA1020=AA1019+1))),INDEX(DATAS,AA1019+1),"")</f>
        <v/>
      </c>
      <c r="AI1019" s="51" t="str">
        <f aca="false">IF(AND(AC1019=1,AA1019&lt;1),IF(AND(C1020=C1019,AA1020=AA1019+1),IF(AC1020=1,"",INDEX(DATAS,AA1019+1)),INDEX(DATAS,AA1019+1)),"")</f>
        <v/>
      </c>
    </row>
    <row r="1020" customFormat="false" ht="15" hidden="false" customHeight="false" outlineLevel="0" collapsed="false">
      <c r="A1020" s="51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46" t="s">
        <v>769</v>
      </c>
      <c r="G1020" s="0" t="n">
        <v>40.4</v>
      </c>
      <c r="H1020" s="0" t="n">
        <v>38</v>
      </c>
      <c r="I1020" s="46" t="s">
        <v>152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51" t="n">
        <v>46198</v>
      </c>
      <c r="X1020" s="46" t="n">
        <f aca="false">IF(I1020="Male",0,1)</f>
        <v>1</v>
      </c>
      <c r="Y1020" s="46" t="n">
        <f aca="false">IF(OR(I1020="DNB",I1020="Dry DNB"),1,0)</f>
        <v>0</v>
      </c>
      <c r="Z1020" s="46" t="n">
        <f aca="false">IF(ISNUMBER(W1020),A1020-W1020,"")</f>
        <v>111</v>
      </c>
      <c r="AA1020" s="46" t="n">
        <f aca="false">MATCH(A1020,DATAS,0)</f>
        <v>1</v>
      </c>
      <c r="AB1020" s="46" t="n">
        <f aca="false">IF(AND(E1020&gt;0,OR(AND(B1020&gt;=1,B1020&lt;=6),B1020=10)),1,0)</f>
        <v>1</v>
      </c>
      <c r="AC1020" s="46" t="n">
        <f aca="false">IF(AND(E1020&gt;0,B1020=10),1,0)</f>
        <v>0</v>
      </c>
      <c r="AD1020" s="0" t="str">
        <f aca="false">IF(AND(C1019=C1020,AA1019=AA1020-1),AB1019,"")</f>
        <v/>
      </c>
      <c r="AE1020" s="0" t="str">
        <f aca="false">IF(AND(C1019=C1020,AA1019=AA1020-1),AC1019,"")</f>
        <v/>
      </c>
      <c r="AF1020" s="0" t="str">
        <f aca="false">IF(AA1020=1,"",IF(AND(AB1020=1,AD1020&lt;&gt;1),1,0))</f>
        <v/>
      </c>
      <c r="AG1020" s="0" t="str">
        <f aca="false">IF(AA1020=1,"",IF(AND(AC1020=1,AE1020&lt;&gt;1),1,0))</f>
        <v/>
      </c>
      <c r="AH1020" s="51" t="str">
        <f aca="false">IF(AND(E1020&gt;0,AA1020&lt;1,NOT(AND(C1021=C1020,AA1021=AA1020+1))),INDEX(DATAS,AA1020+1),"")</f>
        <v/>
      </c>
      <c r="AI1020" s="51" t="str">
        <f aca="false">IF(AND(AC1020=1,AA1020&lt;1),IF(AND(C1021=C1020,AA1021=AA1020+1),IF(AC1021=1,"",INDEX(DATAS,AA1020+1)),INDEX(DATAS,AA1020+1)),"")</f>
        <v/>
      </c>
    </row>
    <row r="1021" customFormat="false" ht="15" hidden="false" customHeight="false" outlineLevel="0" collapsed="false">
      <c r="A1021" s="51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46" t="s">
        <v>769</v>
      </c>
      <c r="I1021" s="46" t="s">
        <v>157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51" t="n">
        <v>46065</v>
      </c>
      <c r="X1021" s="46" t="n">
        <f aca="false">IF(I1021="Male",0,1)</f>
        <v>1</v>
      </c>
      <c r="Y1021" s="46" t="n">
        <f aca="false">IF(OR(I1021="DNB",I1021="Dry DNB"),1,0)</f>
        <v>0</v>
      </c>
      <c r="Z1021" s="46" t="n">
        <f aca="false">IF(ISNUMBER(W1021),A1021-W1021,"")</f>
        <v>244</v>
      </c>
      <c r="AA1021" s="46" t="n">
        <f aca="false">MATCH(A1021,DATAS,0)</f>
        <v>1</v>
      </c>
      <c r="AB1021" s="46" t="n">
        <f aca="false">IF(AND(E1021&gt;0,OR(AND(B1021&gt;=1,B1021&lt;=6),B1021=10)),1,0)</f>
        <v>0</v>
      </c>
      <c r="AC1021" s="46" t="n">
        <f aca="false">IF(AND(E1021&gt;0,B1021=10),1,0)</f>
        <v>0</v>
      </c>
      <c r="AD1021" s="0" t="str">
        <f aca="false">IF(AND(C1020=C1021,AA1020=AA1021-1),AB1020,"")</f>
        <v/>
      </c>
      <c r="AE1021" s="0" t="str">
        <f aca="false">IF(AND(C1020=C1021,AA1020=AA1021-1),AC1020,"")</f>
        <v/>
      </c>
      <c r="AF1021" s="0" t="str">
        <f aca="false">IF(AA1021=1,"",IF(AND(AB1021=1,AD1021&lt;&gt;1),1,0))</f>
        <v/>
      </c>
      <c r="AG1021" s="0" t="str">
        <f aca="false">IF(AA1021=1,"",IF(AND(AC1021=1,AE1021&lt;&gt;1),1,0))</f>
        <v/>
      </c>
      <c r="AH1021" s="51" t="str">
        <f aca="false">IF(AND(E1021&gt;0,AA1021&lt;1,NOT(AND(C1022=C1021,AA1022=AA1021+1))),INDEX(DATAS,AA1021+1),"")</f>
        <v/>
      </c>
      <c r="AI1021" s="51" t="str">
        <f aca="false">IF(AND(AC1021=1,AA1021&lt;1),IF(AND(C1022=C1021,AA1022=AA1021+1),IF(AC1022=1,"",INDEX(DATAS,AA1021+1)),INDEX(DATAS,AA1021+1)),"")</f>
        <v/>
      </c>
    </row>
    <row r="1022" customFormat="false" ht="15" hidden="false" customHeight="false" outlineLevel="0" collapsed="false">
      <c r="A1022" s="51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46" t="s">
        <v>769</v>
      </c>
      <c r="G1022" s="0" t="n">
        <v>65.6</v>
      </c>
      <c r="H1022" s="0" t="n">
        <v>60</v>
      </c>
      <c r="I1022" s="46" t="s">
        <v>189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51" t="n">
        <v>46275</v>
      </c>
      <c r="X1022" s="46" t="n">
        <f aca="false">IF(I1022="Male",0,1)</f>
        <v>1</v>
      </c>
      <c r="Y1022" s="46" t="n">
        <f aca="false">IF(OR(I1022="DNB",I1022="Dry DNB"),1,0)</f>
        <v>0</v>
      </c>
      <c r="Z1022" s="46" t="n">
        <f aca="false">IF(ISNUMBER(W1022),A1022-W1022,"")</f>
        <v>34</v>
      </c>
      <c r="AA1022" s="46" t="n">
        <f aca="false">MATCH(A1022,DATAS,0)</f>
        <v>1</v>
      </c>
      <c r="AB1022" s="46" t="n">
        <f aca="false">IF(AND(E1022&gt;0,OR(AND(B1022&gt;=1,B1022&lt;=6),B1022=10)),1,0)</f>
        <v>1</v>
      </c>
      <c r="AC1022" s="46" t="n">
        <f aca="false">IF(AND(E1022&gt;0,B1022=10),1,0)</f>
        <v>0</v>
      </c>
      <c r="AD1022" s="0" t="str">
        <f aca="false">IF(AND(C1021=C1022,AA1021=AA1022-1),AB1021,"")</f>
        <v/>
      </c>
      <c r="AE1022" s="0" t="str">
        <f aca="false">IF(AND(C1021=C1022,AA1021=AA1022-1),AC1021,"")</f>
        <v/>
      </c>
      <c r="AF1022" s="0" t="str">
        <f aca="false">IF(AA1022=1,"",IF(AND(AB1022=1,AD1022&lt;&gt;1),1,0))</f>
        <v/>
      </c>
      <c r="AG1022" s="0" t="str">
        <f aca="false">IF(AA1022=1,"",IF(AND(AC1022=1,AE1022&lt;&gt;1),1,0))</f>
        <v/>
      </c>
      <c r="AH1022" s="51" t="str">
        <f aca="false">IF(AND(E1022&gt;0,AA1022&lt;1,NOT(AND(C1023=C1022,AA1023=AA1022+1))),INDEX(DATAS,AA1022+1),"")</f>
        <v/>
      </c>
      <c r="AI1022" s="51" t="str">
        <f aca="false">IF(AND(AC1022=1,AA1022&lt;1),IF(AND(C1023=C1022,AA1023=AA1022+1),IF(AC1023=1,"",INDEX(DATAS,AA1022+1)),INDEX(DATAS,AA1022+1)),"")</f>
        <v/>
      </c>
    </row>
    <row r="1023" customFormat="false" ht="15" hidden="false" customHeight="false" outlineLevel="0" collapsed="false">
      <c r="A1023" s="51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46" t="s">
        <v>769</v>
      </c>
      <c r="G1023" s="0" t="n">
        <v>60.6</v>
      </c>
      <c r="H1023" s="0" t="n">
        <v>59</v>
      </c>
      <c r="I1023" s="46" t="s">
        <v>161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X1023" s="46" t="n">
        <f aca="false">IF(I1023="Male",0,1)</f>
        <v>1</v>
      </c>
      <c r="Y1023" s="46" t="n">
        <f aca="false">IF(OR(I1023="DNB",I1023="Dry DNB"),1,0)</f>
        <v>0</v>
      </c>
      <c r="Z1023" s="0" t="str">
        <f aca="false">IF(ISNUMBER(W1023),A1023-W1023,"")</f>
        <v/>
      </c>
      <c r="AA1023" s="46" t="n">
        <f aca="false">MATCH(A1023,DATAS,0)</f>
        <v>1</v>
      </c>
      <c r="AB1023" s="46" t="n">
        <f aca="false">IF(AND(E1023&gt;0,OR(AND(B1023&gt;=1,B1023&lt;=6),B1023=10)),1,0)</f>
        <v>1</v>
      </c>
      <c r="AC1023" s="46" t="n">
        <f aca="false">IF(AND(E1023&gt;0,B1023=10),1,0)</f>
        <v>0</v>
      </c>
      <c r="AD1023" s="0" t="str">
        <f aca="false">IF(AND(C1022=C1023,AA1022=AA1023-1),AB1022,"")</f>
        <v/>
      </c>
      <c r="AE1023" s="0" t="str">
        <f aca="false">IF(AND(C1022=C1023,AA1022=AA1023-1),AC1022,"")</f>
        <v/>
      </c>
      <c r="AF1023" s="0" t="str">
        <f aca="false">IF(AA1023=1,"",IF(AND(AB1023=1,AD1023&lt;&gt;1),1,0))</f>
        <v/>
      </c>
      <c r="AG1023" s="0" t="str">
        <f aca="false">IF(AA1023=1,"",IF(AND(AC1023=1,AE1023&lt;&gt;1),1,0))</f>
        <v/>
      </c>
      <c r="AH1023" s="51" t="str">
        <f aca="false">IF(AND(E1023&gt;0,AA1023&lt;1,NOT(AND(C1024=C1023,AA1024=AA1023+1))),INDEX(DATAS,AA1023+1),"")</f>
        <v/>
      </c>
      <c r="AI1023" s="51" t="str">
        <f aca="false">IF(AND(AC1023=1,AA1023&lt;1),IF(AND(C1024=C1023,AA1024=AA1023+1),IF(AC1024=1,"",INDEX(DATAS,AA1023+1)),INDEX(DATAS,AA1023+1)),"")</f>
        <v/>
      </c>
    </row>
    <row r="1024" customFormat="false" ht="15" hidden="false" customHeight="false" outlineLevel="0" collapsed="false">
      <c r="A1024" s="51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46" t="s">
        <v>770</v>
      </c>
      <c r="G1024" s="0" t="n">
        <v>55.2</v>
      </c>
      <c r="H1024" s="0" t="n">
        <v>55</v>
      </c>
      <c r="I1024" s="46" t="s">
        <v>181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51" t="n">
        <v>46282</v>
      </c>
      <c r="X1024" s="46" t="n">
        <f aca="false">IF(I1024="Male",0,1)</f>
        <v>1</v>
      </c>
      <c r="Y1024" s="46" t="n">
        <f aca="false">IF(OR(I1024="DNB",I1024="Dry DNB"),1,0)</f>
        <v>0</v>
      </c>
      <c r="Z1024" s="46" t="n">
        <f aca="false">IF(ISNUMBER(W1024),A1024-W1024,"")</f>
        <v>27</v>
      </c>
      <c r="AA1024" s="46" t="n">
        <f aca="false">MATCH(A1024,DATAS,0)</f>
        <v>1</v>
      </c>
      <c r="AB1024" s="46" t="n">
        <f aca="false">IF(AND(E1024&gt;0,OR(AND(B1024&gt;=1,B1024&lt;=6),B1024=10)),1,0)</f>
        <v>1</v>
      </c>
      <c r="AC1024" s="46" t="n">
        <f aca="false">IF(AND(E1024&gt;0,B1024=10),1,0)</f>
        <v>0</v>
      </c>
      <c r="AD1024" s="0" t="str">
        <f aca="false">IF(AND(C1023=C1024,AA1023=AA1024-1),AB1023,"")</f>
        <v/>
      </c>
      <c r="AE1024" s="0" t="str">
        <f aca="false">IF(AND(C1023=C1024,AA1023=AA1024-1),AC1023,"")</f>
        <v/>
      </c>
      <c r="AF1024" s="0" t="str">
        <f aca="false">IF(AA1024=1,"",IF(AND(AB1024=1,AD1024&lt;&gt;1),1,0))</f>
        <v/>
      </c>
      <c r="AG1024" s="0" t="str">
        <f aca="false">IF(AA1024=1,"",IF(AND(AC1024=1,AE1024&lt;&gt;1),1,0))</f>
        <v/>
      </c>
      <c r="AH1024" s="51" t="str">
        <f aca="false">IF(AND(E1024&gt;0,AA1024&lt;1,NOT(AND(C1025=C1024,AA1025=AA1024+1))),INDEX(DATAS,AA1024+1),"")</f>
        <v/>
      </c>
      <c r="AI1024" s="51" t="str">
        <f aca="false">IF(AND(AC1024=1,AA1024&lt;1),IF(AND(C1025=C1024,AA1025=AA1024+1),IF(AC1025=1,"",INDEX(DATAS,AA1024+1)),INDEX(DATAS,AA1024+1)),"")</f>
        <v/>
      </c>
    </row>
    <row r="1025" customFormat="false" ht="15" hidden="false" customHeight="false" outlineLevel="0" collapsed="false">
      <c r="A1025" s="51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46" t="s">
        <v>770</v>
      </c>
      <c r="G1025" s="0" t="n">
        <v>51.7</v>
      </c>
      <c r="H1025" s="0" t="n">
        <v>45</v>
      </c>
      <c r="I1025" s="46" t="s">
        <v>152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51" t="n">
        <v>46254</v>
      </c>
      <c r="X1025" s="46" t="n">
        <f aca="false">IF(I1025="Male",0,1)</f>
        <v>1</v>
      </c>
      <c r="Y1025" s="46" t="n">
        <f aca="false">IF(OR(I1025="DNB",I1025="Dry DNB"),1,0)</f>
        <v>0</v>
      </c>
      <c r="Z1025" s="46" t="n">
        <f aca="false">IF(ISNUMBER(W1025),A1025-W1025,"")</f>
        <v>55</v>
      </c>
      <c r="AA1025" s="46" t="n">
        <f aca="false">MATCH(A1025,DATAS,0)</f>
        <v>1</v>
      </c>
      <c r="AB1025" s="46" t="n">
        <f aca="false">IF(AND(E1025&gt;0,OR(AND(B1025&gt;=1,B1025&lt;=6),B1025=10)),1,0)</f>
        <v>1</v>
      </c>
      <c r="AC1025" s="46" t="n">
        <f aca="false">IF(AND(E1025&gt;0,B1025=10),1,0)</f>
        <v>0</v>
      </c>
      <c r="AD1025" s="0" t="str">
        <f aca="false">IF(AND(C1024=C1025,AA1024=AA1025-1),AB1024,"")</f>
        <v/>
      </c>
      <c r="AE1025" s="0" t="str">
        <f aca="false">IF(AND(C1024=C1025,AA1024=AA1025-1),AC1024,"")</f>
        <v/>
      </c>
      <c r="AF1025" s="0" t="str">
        <f aca="false">IF(AA1025=1,"",IF(AND(AB1025=1,AD1025&lt;&gt;1),1,0))</f>
        <v/>
      </c>
      <c r="AG1025" s="0" t="str">
        <f aca="false">IF(AA1025=1,"",IF(AND(AC1025=1,AE1025&lt;&gt;1),1,0))</f>
        <v/>
      </c>
      <c r="AH1025" s="51" t="str">
        <f aca="false">IF(AND(E1025&gt;0,AA1025&lt;1,NOT(AND(C1026=C1025,AA1026=AA1025+1))),INDEX(DATAS,AA1025+1),"")</f>
        <v/>
      </c>
      <c r="AI1025" s="51" t="str">
        <f aca="false">IF(AND(AC1025=1,AA1025&lt;1),IF(AND(C1026=C1025,AA1026=AA1025+1),IF(AC1026=1,"",INDEX(DATAS,AA1025+1)),INDEX(DATAS,AA1025+1)),"")</f>
        <v/>
      </c>
    </row>
    <row r="1026" customFormat="false" ht="15" hidden="false" customHeight="false" outlineLevel="0" collapsed="false">
      <c r="A1026" s="51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46" t="s">
        <v>771</v>
      </c>
      <c r="G1026" s="0" t="n">
        <v>20.1</v>
      </c>
      <c r="H1026" s="0" t="n">
        <v>16</v>
      </c>
      <c r="I1026" s="46" t="s">
        <v>181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51" t="n">
        <v>46296</v>
      </c>
      <c r="X1026" s="46" t="n">
        <f aca="false">IF(I1026="Male",0,1)</f>
        <v>1</v>
      </c>
      <c r="Y1026" s="46" t="n">
        <f aca="false">IF(OR(I1026="DNB",I1026="Dry DNB"),1,0)</f>
        <v>0</v>
      </c>
      <c r="Z1026" s="46" t="n">
        <f aca="false">IF(ISNUMBER(W1026),A1026-W1026,"")</f>
        <v>13</v>
      </c>
      <c r="AA1026" s="46" t="n">
        <f aca="false">MATCH(A1026,DATAS,0)</f>
        <v>1</v>
      </c>
      <c r="AB1026" s="46" t="n">
        <f aca="false">IF(AND(E1026&gt;0,OR(AND(B1026&gt;=1,B1026&lt;=6),B1026=10)),1,0)</f>
        <v>1</v>
      </c>
      <c r="AC1026" s="46" t="n">
        <f aca="false">IF(AND(E1026&gt;0,B1026=10),1,0)</f>
        <v>0</v>
      </c>
      <c r="AD1026" s="0" t="str">
        <f aca="false">IF(AND(C1025=C1026,AA1025=AA1026-1),AB1025,"")</f>
        <v/>
      </c>
      <c r="AE1026" s="0" t="str">
        <f aca="false">IF(AND(C1025=C1026,AA1025=AA1026-1),AC1025,"")</f>
        <v/>
      </c>
      <c r="AF1026" s="0" t="str">
        <f aca="false">IF(AA1026=1,"",IF(AND(AB1026=1,AD1026&lt;&gt;1),1,0))</f>
        <v/>
      </c>
      <c r="AG1026" s="0" t="str">
        <f aca="false">IF(AA1026=1,"",IF(AND(AC1026=1,AE1026&lt;&gt;1),1,0))</f>
        <v/>
      </c>
      <c r="AH1026" s="51" t="str">
        <f aca="false">IF(AND(E1026&gt;0,AA1026&lt;1,NOT(AND(C1027=C1026,AA1027=AA1026+1))),INDEX(DATAS,AA1026+1),"")</f>
        <v/>
      </c>
      <c r="AI1026" s="51" t="str">
        <f aca="false">IF(AND(AC1026=1,AA1026&lt;1),IF(AND(C1027=C1026,AA1027=AA1026+1),IF(AC1027=1,"",INDEX(DATAS,AA1026+1)),INDEX(DATAS,AA1026+1)),"")</f>
        <v/>
      </c>
    </row>
    <row r="1027" customFormat="false" ht="15" hidden="false" customHeight="false" outlineLevel="0" collapsed="false">
      <c r="A1027" s="51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46" t="s">
        <v>772</v>
      </c>
      <c r="G1027" s="0" t="n">
        <v>10.6</v>
      </c>
      <c r="H1027" s="0" t="n">
        <v>23</v>
      </c>
      <c r="I1027" s="46" t="s">
        <v>189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51" t="n">
        <v>46275</v>
      </c>
      <c r="X1027" s="46" t="n">
        <f aca="false">IF(I1027="Male",0,1)</f>
        <v>1</v>
      </c>
      <c r="Y1027" s="46" t="n">
        <f aca="false">IF(OR(I1027="DNB",I1027="Dry DNB"),1,0)</f>
        <v>0</v>
      </c>
      <c r="Z1027" s="46" t="n">
        <f aca="false">IF(ISNUMBER(W1027),A1027-W1027,"")</f>
        <v>34</v>
      </c>
      <c r="AA1027" s="46" t="n">
        <f aca="false">MATCH(A1027,DATAS,0)</f>
        <v>1</v>
      </c>
      <c r="AB1027" s="46" t="n">
        <f aca="false">IF(AND(E1027&gt;0,OR(AND(B1027&gt;=1,B1027&lt;=6),B1027=10)),1,0)</f>
        <v>1</v>
      </c>
      <c r="AC1027" s="46" t="n">
        <f aca="false">IF(AND(E1027&gt;0,B1027=10),1,0)</f>
        <v>0</v>
      </c>
      <c r="AD1027" s="0" t="str">
        <f aca="false">IF(AND(C1026=C1027,AA1026=AA1027-1),AB1026,"")</f>
        <v/>
      </c>
      <c r="AE1027" s="0" t="str">
        <f aca="false">IF(AND(C1026=C1027,AA1026=AA1027-1),AC1026,"")</f>
        <v/>
      </c>
      <c r="AF1027" s="0" t="str">
        <f aca="false">IF(AA1027=1,"",IF(AND(AB1027=1,AD1027&lt;&gt;1),1,0))</f>
        <v/>
      </c>
      <c r="AG1027" s="0" t="str">
        <f aca="false">IF(AA1027=1,"",IF(AND(AC1027=1,AE1027&lt;&gt;1),1,0))</f>
        <v/>
      </c>
      <c r="AH1027" s="51" t="str">
        <f aca="false">IF(AND(E1027&gt;0,AA1027&lt;1,NOT(AND(C1028=C1027,AA1028=AA1027+1))),INDEX(DATAS,AA1027+1),"")</f>
        <v/>
      </c>
      <c r="AI1027" s="51" t="str">
        <f aca="false">IF(AND(AC1027=1,AA1027&lt;1),IF(AND(C1028=C1027,AA1028=AA1027+1),IF(AC1028=1,"",INDEX(DATAS,AA1027+1)),INDEX(DATAS,AA1027+1)),"")</f>
        <v/>
      </c>
    </row>
    <row r="1028" customFormat="false" ht="15" hidden="false" customHeight="false" outlineLevel="0" collapsed="false">
      <c r="A1028" s="51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46" t="s">
        <v>772</v>
      </c>
      <c r="G1028" s="0" t="n">
        <v>56.1</v>
      </c>
      <c r="H1028" s="0" t="n">
        <v>55</v>
      </c>
      <c r="I1028" s="46" t="s">
        <v>161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X1028" s="46" t="n">
        <f aca="false">IF(I1028="Male",0,1)</f>
        <v>1</v>
      </c>
      <c r="Y1028" s="46" t="n">
        <f aca="false">IF(OR(I1028="DNB",I1028="Dry DNB"),1,0)</f>
        <v>0</v>
      </c>
      <c r="Z1028" s="0" t="str">
        <f aca="false">IF(ISNUMBER(W1028),A1028-W1028,"")</f>
        <v/>
      </c>
      <c r="AA1028" s="46" t="n">
        <f aca="false">MATCH(A1028,DATAS,0)</f>
        <v>1</v>
      </c>
      <c r="AB1028" s="46" t="n">
        <f aca="false">IF(AND(E1028&gt;0,OR(AND(B1028&gt;=1,B1028&lt;=6),B1028=10)),1,0)</f>
        <v>1</v>
      </c>
      <c r="AC1028" s="46" t="n">
        <f aca="false">IF(AND(E1028&gt;0,B1028=10),1,0)</f>
        <v>0</v>
      </c>
      <c r="AD1028" s="0" t="str">
        <f aca="false">IF(AND(C1027=C1028,AA1027=AA1028-1),AB1027,"")</f>
        <v/>
      </c>
      <c r="AE1028" s="0" t="str">
        <f aca="false">IF(AND(C1027=C1028,AA1027=AA1028-1),AC1027,"")</f>
        <v/>
      </c>
      <c r="AF1028" s="0" t="str">
        <f aca="false">IF(AA1028=1,"",IF(AND(AB1028=1,AD1028&lt;&gt;1),1,0))</f>
        <v/>
      </c>
      <c r="AG1028" s="0" t="str">
        <f aca="false">IF(AA1028=1,"",IF(AND(AC1028=1,AE1028&lt;&gt;1),1,0))</f>
        <v/>
      </c>
      <c r="AH1028" s="51" t="str">
        <f aca="false">IF(AND(E1028&gt;0,AA1028&lt;1,NOT(AND(C1029=C1028,AA1029=AA1028+1))),INDEX(DATAS,AA1028+1),"")</f>
        <v/>
      </c>
      <c r="AI1028" s="51" t="str">
        <f aca="false">IF(AND(AC1028=1,AA1028&lt;1),IF(AND(C1029=C1028,AA1029=AA1028+1),IF(AC1029=1,"",INDEX(DATAS,AA1028+1)),INDEX(DATAS,AA1028+1)),"")</f>
        <v/>
      </c>
    </row>
    <row r="1029" customFormat="false" ht="15" hidden="false" customHeight="false" outlineLevel="0" collapsed="false">
      <c r="A1029" s="51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46" t="s">
        <v>772</v>
      </c>
      <c r="G1029" s="0" t="n">
        <v>39.9</v>
      </c>
      <c r="H1029" s="0" t="n">
        <v>34</v>
      </c>
      <c r="I1029" s="46" t="s">
        <v>138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51" t="n">
        <v>45911</v>
      </c>
      <c r="X1029" s="46" t="n">
        <f aca="false">IF(I1029="Male",0,1)</f>
        <v>1</v>
      </c>
      <c r="Y1029" s="46" t="n">
        <f aca="false">IF(OR(I1029="DNB",I1029="Dry DNB"),1,0)</f>
        <v>1</v>
      </c>
      <c r="Z1029" s="46" t="n">
        <f aca="false">IF(ISNUMBER(W1029),A1029-W1029,"")</f>
        <v>398</v>
      </c>
      <c r="AA1029" s="46" t="n">
        <f aca="false">MATCH(A1029,DATAS,0)</f>
        <v>1</v>
      </c>
      <c r="AB1029" s="46" t="n">
        <f aca="false">IF(AND(E1029&gt;0,OR(AND(B1029&gt;=1,B1029&lt;=6),B1029=10)),1,0)</f>
        <v>1</v>
      </c>
      <c r="AC1029" s="46" t="n">
        <f aca="false">IF(AND(E1029&gt;0,B1029=10),1,0)</f>
        <v>0</v>
      </c>
      <c r="AD1029" s="0" t="str">
        <f aca="false">IF(AND(C1028=C1029,AA1028=AA1029-1),AB1028,"")</f>
        <v/>
      </c>
      <c r="AE1029" s="0" t="str">
        <f aca="false">IF(AND(C1028=C1029,AA1028=AA1029-1),AC1028,"")</f>
        <v/>
      </c>
      <c r="AF1029" s="0" t="str">
        <f aca="false">IF(AA1029=1,"",IF(AND(AB1029=1,AD1029&lt;&gt;1),1,0))</f>
        <v/>
      </c>
      <c r="AG1029" s="0" t="str">
        <f aca="false">IF(AA1029=1,"",IF(AND(AC1029=1,AE1029&lt;&gt;1),1,0))</f>
        <v/>
      </c>
      <c r="AH1029" s="51" t="str">
        <f aca="false">IF(AND(E1029&gt;0,AA1029&lt;1,NOT(AND(C1030=C1029,AA1030=AA1029+1))),INDEX(DATAS,AA1029+1),"")</f>
        <v/>
      </c>
      <c r="AI1029" s="51" t="str">
        <f aca="false">IF(AND(AC1029=1,AA1029&lt;1),IF(AND(C1030=C1029,AA1030=AA1029+1),IF(AC1030=1,"",INDEX(DATAS,AA1029+1)),INDEX(DATAS,AA1029+1)),"")</f>
        <v/>
      </c>
    </row>
    <row r="1030" customFormat="false" ht="15" hidden="false" customHeight="false" outlineLevel="0" collapsed="false">
      <c r="A1030" s="51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46" t="s">
        <v>773</v>
      </c>
      <c r="G1030" s="0" t="n">
        <v>32.9</v>
      </c>
      <c r="H1030" s="0" t="n">
        <v>32</v>
      </c>
      <c r="I1030" s="46" t="s">
        <v>181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51" t="n">
        <v>46303</v>
      </c>
      <c r="X1030" s="46" t="n">
        <f aca="false">IF(I1030="Male",0,1)</f>
        <v>1</v>
      </c>
      <c r="Y1030" s="46" t="n">
        <f aca="false">IF(OR(I1030="DNB",I1030="Dry DNB"),1,0)</f>
        <v>0</v>
      </c>
      <c r="Z1030" s="46" t="n">
        <f aca="false">IF(ISNUMBER(W1030),A1030-W1030,"")</f>
        <v>6</v>
      </c>
      <c r="AA1030" s="46" t="n">
        <f aca="false">MATCH(A1030,DATAS,0)</f>
        <v>1</v>
      </c>
      <c r="AB1030" s="46" t="n">
        <f aca="false">IF(AND(E1030&gt;0,OR(AND(B1030&gt;=1,B1030&lt;=6),B1030=10)),1,0)</f>
        <v>1</v>
      </c>
      <c r="AC1030" s="46" t="n">
        <f aca="false">IF(AND(E1030&gt;0,B1030=10),1,0)</f>
        <v>0</v>
      </c>
      <c r="AD1030" s="0" t="str">
        <f aca="false">IF(AND(C1029=C1030,AA1029=AA1030-1),AB1029,"")</f>
        <v/>
      </c>
      <c r="AE1030" s="0" t="str">
        <f aca="false">IF(AND(C1029=C1030,AA1029=AA1030-1),AC1029,"")</f>
        <v/>
      </c>
      <c r="AF1030" s="0" t="str">
        <f aca="false">IF(AA1030=1,"",IF(AND(AB1030=1,AD1030&lt;&gt;1),1,0))</f>
        <v/>
      </c>
      <c r="AG1030" s="0" t="str">
        <f aca="false">IF(AA1030=1,"",IF(AND(AC1030=1,AE1030&lt;&gt;1),1,0))</f>
        <v/>
      </c>
      <c r="AH1030" s="51" t="str">
        <f aca="false">IF(AND(E1030&gt;0,AA1030&lt;1,NOT(AND(C1031=C1030,AA1031=AA1030+1))),INDEX(DATAS,AA1030+1),"")</f>
        <v/>
      </c>
      <c r="AI1030" s="51" t="str">
        <f aca="false">IF(AND(AC1030=1,AA1030&lt;1),IF(AND(C1031=C1030,AA1031=AA1030+1),IF(AC1031=1,"",INDEX(DATAS,AA1030+1)),INDEX(DATAS,AA1030+1)),"")</f>
        <v/>
      </c>
    </row>
    <row r="1031" customFormat="false" ht="15" hidden="false" customHeight="false" outlineLevel="0" collapsed="false">
      <c r="A1031" s="51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46" t="s">
        <v>773</v>
      </c>
      <c r="G1031" s="0" t="n">
        <v>41.3</v>
      </c>
      <c r="H1031" s="0" t="n">
        <v>41</v>
      </c>
      <c r="I1031" s="46" t="s">
        <v>161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X1031" s="46" t="n">
        <f aca="false">IF(I1031="Male",0,1)</f>
        <v>1</v>
      </c>
      <c r="Y1031" s="46" t="n">
        <f aca="false">IF(OR(I1031="DNB",I1031="Dry DNB"),1,0)</f>
        <v>0</v>
      </c>
      <c r="Z1031" s="0" t="str">
        <f aca="false">IF(ISNUMBER(W1031),A1031-W1031,"")</f>
        <v/>
      </c>
      <c r="AA1031" s="46" t="n">
        <f aca="false">MATCH(A1031,DATAS,0)</f>
        <v>1</v>
      </c>
      <c r="AB1031" s="46" t="n">
        <f aca="false">IF(AND(E1031&gt;0,OR(AND(B1031&gt;=1,B1031&lt;=6),B1031=10)),1,0)</f>
        <v>1</v>
      </c>
      <c r="AC1031" s="46" t="n">
        <f aca="false">IF(AND(E1031&gt;0,B1031=10),1,0)</f>
        <v>0</v>
      </c>
      <c r="AD1031" s="0" t="str">
        <f aca="false">IF(AND(C1030=C1031,AA1030=AA1031-1),AB1030,"")</f>
        <v/>
      </c>
      <c r="AE1031" s="0" t="str">
        <f aca="false">IF(AND(C1030=C1031,AA1030=AA1031-1),AC1030,"")</f>
        <v/>
      </c>
      <c r="AF1031" s="0" t="str">
        <f aca="false">IF(AA1031=1,"",IF(AND(AB1031=1,AD1031&lt;&gt;1),1,0))</f>
        <v/>
      </c>
      <c r="AG1031" s="0" t="str">
        <f aca="false">IF(AA1031=1,"",IF(AND(AC1031=1,AE1031&lt;&gt;1),1,0))</f>
        <v/>
      </c>
      <c r="AH1031" s="51" t="str">
        <f aca="false">IF(AND(E1031&gt;0,AA1031&lt;1,NOT(AND(C1032=C1031,AA1032=AA1031+1))),INDEX(DATAS,AA1031+1),"")</f>
        <v/>
      </c>
      <c r="AI1031" s="51" t="str">
        <f aca="false">IF(AND(AC1031=1,AA1031&lt;1),IF(AND(C1032=C1031,AA1032=AA1031+1),IF(AC1032=1,"",INDEX(DATAS,AA1031+1)),INDEX(DATAS,AA1031+1)),"")</f>
        <v/>
      </c>
    </row>
    <row r="1032" customFormat="false" ht="15" hidden="false" customHeight="false" outlineLevel="0" collapsed="false">
      <c r="A1032" s="51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46" t="s">
        <v>774</v>
      </c>
      <c r="G1032" s="0" t="n">
        <v>39.7</v>
      </c>
      <c r="H1032" s="0" t="n">
        <v>39</v>
      </c>
      <c r="I1032" s="46" t="s">
        <v>152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51" t="n">
        <v>46136</v>
      </c>
      <c r="X1032" s="46" t="n">
        <f aca="false">IF(I1032="Male",0,1)</f>
        <v>1</v>
      </c>
      <c r="Y1032" s="46" t="n">
        <f aca="false">IF(OR(I1032="DNB",I1032="Dry DNB"),1,0)</f>
        <v>0</v>
      </c>
      <c r="Z1032" s="46" t="n">
        <f aca="false">IF(ISNUMBER(W1032),A1032-W1032,"")</f>
        <v>173</v>
      </c>
      <c r="AA1032" s="46" t="n">
        <f aca="false">MATCH(A1032,DATAS,0)</f>
        <v>1</v>
      </c>
      <c r="AB1032" s="46" t="n">
        <f aca="false">IF(AND(E1032&gt;0,OR(AND(B1032&gt;=1,B1032&lt;=6),B1032=10)),1,0)</f>
        <v>1</v>
      </c>
      <c r="AC1032" s="46" t="n">
        <f aca="false">IF(AND(E1032&gt;0,B1032=10),1,0)</f>
        <v>0</v>
      </c>
      <c r="AD1032" s="0" t="str">
        <f aca="false">IF(AND(C1031=C1032,AA1031=AA1032-1),AB1031,"")</f>
        <v/>
      </c>
      <c r="AE1032" s="0" t="str">
        <f aca="false">IF(AND(C1031=C1032,AA1031=AA1032-1),AC1031,"")</f>
        <v/>
      </c>
      <c r="AF1032" s="0" t="str">
        <f aca="false">IF(AA1032=1,"",IF(AND(AB1032=1,AD1032&lt;&gt;1),1,0))</f>
        <v/>
      </c>
      <c r="AG1032" s="0" t="str">
        <f aca="false">IF(AA1032=1,"",IF(AND(AC1032=1,AE1032&lt;&gt;1),1,0))</f>
        <v/>
      </c>
      <c r="AH1032" s="51" t="str">
        <f aca="false">IF(AND(E1032&gt;0,AA1032&lt;1,NOT(AND(C1033=C1032,AA1033=AA1032+1))),INDEX(DATAS,AA1032+1),"")</f>
        <v/>
      </c>
      <c r="AI1032" s="51" t="str">
        <f aca="false">IF(AND(AC1032=1,AA1032&lt;1),IF(AND(C1033=C1032,AA1033=AA1032+1),IF(AC1033=1,"",INDEX(DATAS,AA1032+1)),INDEX(DATAS,AA1032+1)),"")</f>
        <v/>
      </c>
    </row>
    <row r="1033" customFormat="false" ht="15" hidden="false" customHeight="false" outlineLevel="0" collapsed="false">
      <c r="A1033" s="51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46" t="s">
        <v>775</v>
      </c>
      <c r="G1033" s="0" t="n">
        <v>50.9</v>
      </c>
      <c r="H1033" s="0" t="n">
        <v>51</v>
      </c>
      <c r="I1033" s="46" t="s">
        <v>152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51" t="n">
        <v>46268</v>
      </c>
      <c r="X1033" s="46" t="n">
        <f aca="false">IF(I1033="Male",0,1)</f>
        <v>1</v>
      </c>
      <c r="Y1033" s="46" t="n">
        <f aca="false">IF(OR(I1033="DNB",I1033="Dry DNB"),1,0)</f>
        <v>0</v>
      </c>
      <c r="Z1033" s="46" t="n">
        <f aca="false">IF(ISNUMBER(W1033),A1033-W1033,"")</f>
        <v>41</v>
      </c>
      <c r="AA1033" s="46" t="n">
        <f aca="false">MATCH(A1033,DATAS,0)</f>
        <v>1</v>
      </c>
      <c r="AB1033" s="46" t="n">
        <f aca="false">IF(AND(E1033&gt;0,OR(AND(B1033&gt;=1,B1033&lt;=6),B1033=10)),1,0)</f>
        <v>1</v>
      </c>
      <c r="AC1033" s="46" t="n">
        <f aca="false">IF(AND(E1033&gt;0,B1033=10),1,0)</f>
        <v>0</v>
      </c>
      <c r="AD1033" s="0" t="str">
        <f aca="false">IF(AND(C1032=C1033,AA1032=AA1033-1),AB1032,"")</f>
        <v/>
      </c>
      <c r="AE1033" s="0" t="str">
        <f aca="false">IF(AND(C1032=C1033,AA1032=AA1033-1),AC1032,"")</f>
        <v/>
      </c>
      <c r="AF1033" s="0" t="str">
        <f aca="false">IF(AA1033=1,"",IF(AND(AB1033=1,AD1033&lt;&gt;1),1,0))</f>
        <v/>
      </c>
      <c r="AG1033" s="0" t="str">
        <f aca="false">IF(AA1033=1,"",IF(AND(AC1033=1,AE1033&lt;&gt;1),1,0))</f>
        <v/>
      </c>
      <c r="AH1033" s="51" t="str">
        <f aca="false">IF(AND(E1033&gt;0,AA1033&lt;1,NOT(AND(C1034=C1033,AA1034=AA1033+1))),INDEX(DATAS,AA1033+1),"")</f>
        <v/>
      </c>
      <c r="AI1033" s="51" t="str">
        <f aca="false">IF(AND(AC1033=1,AA1033&lt;1),IF(AND(C1034=C1033,AA1034=AA1033+1),IF(AC1034=1,"",INDEX(DATAS,AA1033+1)),INDEX(DATAS,AA1033+1)),"")</f>
        <v/>
      </c>
    </row>
    <row r="1034" customFormat="false" ht="15" hidden="false" customHeight="false" outlineLevel="0" collapsed="false">
      <c r="A1034" s="51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46" t="s">
        <v>776</v>
      </c>
      <c r="G1034" s="0" t="n">
        <v>53.6</v>
      </c>
      <c r="H1034" s="0" t="n">
        <v>51</v>
      </c>
      <c r="I1034" s="46" t="s">
        <v>181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51" t="n">
        <v>46308</v>
      </c>
      <c r="X1034" s="46" t="n">
        <f aca="false">IF(I1034="Male",0,1)</f>
        <v>1</v>
      </c>
      <c r="Y1034" s="46" t="n">
        <f aca="false">IF(OR(I1034="DNB",I1034="Dry DNB"),1,0)</f>
        <v>0</v>
      </c>
      <c r="Z1034" s="46" t="n">
        <f aca="false">IF(ISNUMBER(W1034),A1034-W1034,"")</f>
        <v>1</v>
      </c>
      <c r="AA1034" s="46" t="n">
        <f aca="false">MATCH(A1034,DATAS,0)</f>
        <v>1</v>
      </c>
      <c r="AB1034" s="46" t="n">
        <f aca="false">IF(AND(E1034&gt;0,OR(AND(B1034&gt;=1,B1034&lt;=6),B1034=10)),1,0)</f>
        <v>1</v>
      </c>
      <c r="AC1034" s="46" t="n">
        <f aca="false">IF(AND(E1034&gt;0,B1034=10),1,0)</f>
        <v>0</v>
      </c>
      <c r="AD1034" s="0" t="str">
        <f aca="false">IF(AND(C1033=C1034,AA1033=AA1034-1),AB1033,"")</f>
        <v/>
      </c>
      <c r="AE1034" s="0" t="str">
        <f aca="false">IF(AND(C1033=C1034,AA1033=AA1034-1),AC1033,"")</f>
        <v/>
      </c>
      <c r="AF1034" s="0" t="str">
        <f aca="false">IF(AA1034=1,"",IF(AND(AB1034=1,AD1034&lt;&gt;1),1,0))</f>
        <v/>
      </c>
      <c r="AG1034" s="0" t="str">
        <f aca="false">IF(AA1034=1,"",IF(AND(AC1034=1,AE1034&lt;&gt;1),1,0))</f>
        <v/>
      </c>
      <c r="AH1034" s="51" t="str">
        <f aca="false">IF(AND(E1034&gt;0,AA1034&lt;1,NOT(AND(C1035=C1034,AA1035=AA1034+1))),INDEX(DATAS,AA1034+1),"")</f>
        <v/>
      </c>
      <c r="AI1034" s="51" t="str">
        <f aca="false">IF(AND(AC1034=1,AA1034&lt;1),IF(AND(C1035=C1034,AA1035=AA1034+1),IF(AC1035=1,"",INDEX(DATAS,AA1034+1)),INDEX(DATAS,AA1034+1)),"")</f>
        <v/>
      </c>
    </row>
    <row r="1035" customFormat="false" ht="15" hidden="false" customHeight="false" outlineLevel="0" collapsed="false">
      <c r="A1035" s="51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46" t="s">
        <v>776</v>
      </c>
      <c r="G1035" s="0" t="n">
        <v>51.7</v>
      </c>
      <c r="H1035" s="0" t="n">
        <v>48</v>
      </c>
      <c r="I1035" s="46" t="s">
        <v>138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51" t="n">
        <v>46205</v>
      </c>
      <c r="X1035" s="46" t="n">
        <f aca="false">IF(I1035="Male",0,1)</f>
        <v>1</v>
      </c>
      <c r="Y1035" s="46" t="n">
        <f aca="false">IF(OR(I1035="DNB",I1035="Dry DNB"),1,0)</f>
        <v>1</v>
      </c>
      <c r="Z1035" s="46" t="n">
        <f aca="false">IF(ISNUMBER(W1035),A1035-W1035,"")</f>
        <v>104</v>
      </c>
      <c r="AA1035" s="46" t="n">
        <f aca="false">MATCH(A1035,DATAS,0)</f>
        <v>1</v>
      </c>
      <c r="AB1035" s="46" t="n">
        <f aca="false">IF(AND(E1035&gt;0,OR(AND(B1035&gt;=1,B1035&lt;=6),B1035=10)),1,0)</f>
        <v>1</v>
      </c>
      <c r="AC1035" s="46" t="n">
        <f aca="false">IF(AND(E1035&gt;0,B1035=10),1,0)</f>
        <v>0</v>
      </c>
      <c r="AD1035" s="0" t="str">
        <f aca="false">IF(AND(C1034=C1035,AA1034=AA1035-1),AB1034,"")</f>
        <v/>
      </c>
      <c r="AE1035" s="0" t="str">
        <f aca="false">IF(AND(C1034=C1035,AA1034=AA1035-1),AC1034,"")</f>
        <v/>
      </c>
      <c r="AF1035" s="0" t="str">
        <f aca="false">IF(AA1035=1,"",IF(AND(AB1035=1,AD1035&lt;&gt;1),1,0))</f>
        <v/>
      </c>
      <c r="AG1035" s="0" t="str">
        <f aca="false">IF(AA1035=1,"",IF(AND(AC1035=1,AE1035&lt;&gt;1),1,0))</f>
        <v/>
      </c>
      <c r="AH1035" s="51" t="str">
        <f aca="false">IF(AND(E1035&gt;0,AA1035&lt;1,NOT(AND(C1036=C1035,AA1036=AA1035+1))),INDEX(DATAS,AA1035+1),"")</f>
        <v/>
      </c>
      <c r="AI1035" s="51" t="str">
        <f aca="false">IF(AND(AC1035=1,AA1035&lt;1),IF(AND(C1036=C1035,AA1036=AA1035+1),IF(AC1036=1,"",INDEX(DATAS,AA1035+1)),INDEX(DATAS,AA1035+1)),"")</f>
        <v/>
      </c>
    </row>
    <row r="1036" customFormat="false" ht="15" hidden="false" customHeight="false" outlineLevel="0" collapsed="false">
      <c r="A1036" s="51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46" t="s">
        <v>777</v>
      </c>
      <c r="G1036" s="0" t="n">
        <v>20.4</v>
      </c>
      <c r="H1036" s="0" t="n">
        <v>19</v>
      </c>
      <c r="I1036" s="46" t="s">
        <v>181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51" t="n">
        <v>46309</v>
      </c>
      <c r="X1036" s="46" t="n">
        <f aca="false">IF(I1036="Male",0,1)</f>
        <v>1</v>
      </c>
      <c r="Y1036" s="46" t="n">
        <f aca="false">IF(OR(I1036="DNB",I1036="Dry DNB"),1,0)</f>
        <v>0</v>
      </c>
      <c r="Z1036" s="46" t="n">
        <f aca="false">IF(ISNUMBER(W1036),A1036-W1036,"")</f>
        <v>0</v>
      </c>
      <c r="AA1036" s="46" t="n">
        <f aca="false">MATCH(A1036,DATAS,0)</f>
        <v>1</v>
      </c>
      <c r="AB1036" s="46" t="n">
        <f aca="false">IF(AND(E1036&gt;0,OR(AND(B1036&gt;=1,B1036&lt;=6),B1036=10)),1,0)</f>
        <v>1</v>
      </c>
      <c r="AC1036" s="46" t="n">
        <f aca="false">IF(AND(E1036&gt;0,B1036=10),1,0)</f>
        <v>0</v>
      </c>
      <c r="AD1036" s="0" t="str">
        <f aca="false">IF(AND(C1035=C1036,AA1035=AA1036-1),AB1035,"")</f>
        <v/>
      </c>
      <c r="AE1036" s="0" t="str">
        <f aca="false">IF(AND(C1035=C1036,AA1035=AA1036-1),AC1035,"")</f>
        <v/>
      </c>
      <c r="AF1036" s="0" t="str">
        <f aca="false">IF(AA1036=1,"",IF(AND(AB1036=1,AD1036&lt;&gt;1),1,0))</f>
        <v/>
      </c>
      <c r="AG1036" s="0" t="str">
        <f aca="false">IF(AA1036=1,"",IF(AND(AC1036=1,AE1036&lt;&gt;1),1,0))</f>
        <v/>
      </c>
      <c r="AH1036" s="51" t="str">
        <f aca="false">IF(AND(E1036&gt;0,AA1036&lt;1,NOT(AND(C1037=C1036,AA1037=AA1036+1))),INDEX(DATAS,AA1036+1),"")</f>
        <v/>
      </c>
      <c r="AI1036" s="51" t="str">
        <f aca="false">IF(AND(AC1036=1,AA1036&lt;1),IF(AND(C1037=C1036,AA1037=AA1036+1),IF(AC1037=1,"",INDEX(DATAS,AA1036+1)),INDEX(DATAS,AA1036+1)),"")</f>
        <v/>
      </c>
    </row>
    <row r="1037" customFormat="false" ht="15" hidden="false" customHeight="false" outlineLevel="0" collapsed="false">
      <c r="A1037" s="51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46" t="s">
        <v>777</v>
      </c>
      <c r="G1037" s="0" t="n">
        <v>71.9</v>
      </c>
      <c r="H1037" s="0" t="n">
        <v>67</v>
      </c>
      <c r="I1037" s="46" t="s">
        <v>161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X1037" s="46" t="n">
        <f aca="false">IF(I1037="Male",0,1)</f>
        <v>1</v>
      </c>
      <c r="Y1037" s="46" t="n">
        <f aca="false">IF(OR(I1037="DNB",I1037="Dry DNB"),1,0)</f>
        <v>0</v>
      </c>
      <c r="Z1037" s="0" t="str">
        <f aca="false">IF(ISNUMBER(W1037),A1037-W1037,"")</f>
        <v/>
      </c>
      <c r="AA1037" s="46" t="n">
        <f aca="false">MATCH(A1037,DATAS,0)</f>
        <v>1</v>
      </c>
      <c r="AB1037" s="46" t="n">
        <f aca="false">IF(AND(E1037&gt;0,OR(AND(B1037&gt;=1,B1037&lt;=6),B1037=10)),1,0)</f>
        <v>1</v>
      </c>
      <c r="AC1037" s="46" t="n">
        <f aca="false">IF(AND(E1037&gt;0,B1037=10),1,0)</f>
        <v>0</v>
      </c>
      <c r="AD1037" s="0" t="str">
        <f aca="false">IF(AND(C1036=C1037,AA1036=AA1037-1),AB1036,"")</f>
        <v/>
      </c>
      <c r="AE1037" s="0" t="str">
        <f aca="false">IF(AND(C1036=C1037,AA1036=AA1037-1),AC1036,"")</f>
        <v/>
      </c>
      <c r="AF1037" s="0" t="str">
        <f aca="false">IF(AA1037=1,"",IF(AND(AB1037=1,AD1037&lt;&gt;1),1,0))</f>
        <v/>
      </c>
      <c r="AG1037" s="0" t="str">
        <f aca="false">IF(AA1037=1,"",IF(AND(AC1037=1,AE1037&lt;&gt;1),1,0))</f>
        <v/>
      </c>
      <c r="AH1037" s="51" t="str">
        <f aca="false">IF(AND(E1037&gt;0,AA1037&lt;1,NOT(AND(C1038=C1037,AA1038=AA1037+1))),INDEX(DATAS,AA1037+1),"")</f>
        <v/>
      </c>
      <c r="AI1037" s="51" t="str">
        <f aca="false">IF(AND(AC1037=1,AA1037&lt;1),IF(AND(C1038=C1037,AA1038=AA1037+1),IF(AC1038=1,"",INDEX(DATAS,AA1037+1)),INDEX(DATAS,AA1037+1)),"")</f>
        <v/>
      </c>
    </row>
    <row r="1038" customFormat="false" ht="15" hidden="false" customHeight="false" outlineLevel="0" collapsed="false">
      <c r="A1038" s="51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46" t="s">
        <v>778</v>
      </c>
      <c r="G1038" s="0" t="n">
        <v>65.7</v>
      </c>
      <c r="H1038" s="0" t="n">
        <v>63</v>
      </c>
      <c r="I1038" s="46" t="s">
        <v>152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X1038" s="46" t="n">
        <f aca="false">IF(I1038="Male",0,1)</f>
        <v>1</v>
      </c>
      <c r="Y1038" s="46" t="n">
        <f aca="false">IF(OR(I1038="DNB",I1038="Dry DNB"),1,0)</f>
        <v>0</v>
      </c>
      <c r="Z1038" s="0" t="str">
        <f aca="false">IF(ISNUMBER(W1038),A1038-W1038,"")</f>
        <v/>
      </c>
      <c r="AA1038" s="46" t="n">
        <f aca="false">MATCH(A1038,DATAS,0)</f>
        <v>1</v>
      </c>
      <c r="AB1038" s="46" t="n">
        <f aca="false">IF(AND(E1038&gt;0,OR(AND(B1038&gt;=1,B1038&lt;=6),B1038=10)),1,0)</f>
        <v>1</v>
      </c>
      <c r="AC1038" s="46" t="n">
        <f aca="false">IF(AND(E1038&gt;0,B1038=10),1,0)</f>
        <v>0</v>
      </c>
      <c r="AD1038" s="0" t="str">
        <f aca="false">IF(AND(C1037=C1038,AA1037=AA1038-1),AB1037,"")</f>
        <v/>
      </c>
      <c r="AE1038" s="0" t="str">
        <f aca="false">IF(AND(C1037=C1038,AA1037=AA1038-1),AC1037,"")</f>
        <v/>
      </c>
      <c r="AF1038" s="0" t="str">
        <f aca="false">IF(AA1038=1,"",IF(AND(AB1038=1,AD1038&lt;&gt;1),1,0))</f>
        <v/>
      </c>
      <c r="AG1038" s="0" t="str">
        <f aca="false">IF(AA1038=1,"",IF(AND(AC1038=1,AE1038&lt;&gt;1),1,0))</f>
        <v/>
      </c>
      <c r="AH1038" s="51" t="str">
        <f aca="false">IF(AND(E1038&gt;0,AA1038&lt;1,NOT(AND(C1039=C1038,AA1039=AA1038+1))),INDEX(DATAS,AA1038+1),"")</f>
        <v/>
      </c>
      <c r="AI1038" s="51" t="str">
        <f aca="false">IF(AND(AC1038=1,AA1038&lt;1),IF(AND(C1039=C1038,AA1039=AA1038+1),IF(AC1039=1,"",INDEX(DATAS,AA1038+1)),INDEX(DATAS,AA1038+1)),"")</f>
        <v/>
      </c>
    </row>
    <row r="1039" customFormat="false" ht="15" hidden="false" customHeight="false" outlineLevel="0" collapsed="false">
      <c r="A1039" s="51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46" t="s">
        <v>779</v>
      </c>
      <c r="G1039" s="0" t="n">
        <v>26.7</v>
      </c>
      <c r="H1039" s="0" t="n">
        <v>30</v>
      </c>
      <c r="I1039" s="46" t="s">
        <v>138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51" t="n">
        <v>46198</v>
      </c>
      <c r="X1039" s="46" t="n">
        <f aca="false">IF(I1039="Male",0,1)</f>
        <v>1</v>
      </c>
      <c r="Y1039" s="46" t="n">
        <f aca="false">IF(OR(I1039="DNB",I1039="Dry DNB"),1,0)</f>
        <v>1</v>
      </c>
      <c r="Z1039" s="46" t="n">
        <f aca="false">IF(ISNUMBER(W1039),A1039-W1039,"")</f>
        <v>111</v>
      </c>
      <c r="AA1039" s="46" t="n">
        <f aca="false">MATCH(A1039,DATAS,0)</f>
        <v>1</v>
      </c>
      <c r="AB1039" s="46" t="n">
        <f aca="false">IF(AND(E1039&gt;0,OR(AND(B1039&gt;=1,B1039&lt;=6),B1039=10)),1,0)</f>
        <v>1</v>
      </c>
      <c r="AC1039" s="46" t="n">
        <f aca="false">IF(AND(E1039&gt;0,B1039=10),1,0)</f>
        <v>0</v>
      </c>
      <c r="AD1039" s="0" t="str">
        <f aca="false">IF(AND(C1038=C1039,AA1038=AA1039-1),AB1038,"")</f>
        <v/>
      </c>
      <c r="AE1039" s="0" t="str">
        <f aca="false">IF(AND(C1038=C1039,AA1038=AA1039-1),AC1038,"")</f>
        <v/>
      </c>
      <c r="AF1039" s="0" t="str">
        <f aca="false">IF(AA1039=1,"",IF(AND(AB1039=1,AD1039&lt;&gt;1),1,0))</f>
        <v/>
      </c>
      <c r="AG1039" s="0" t="str">
        <f aca="false">IF(AA1039=1,"",IF(AND(AC1039=1,AE1039&lt;&gt;1),1,0))</f>
        <v/>
      </c>
      <c r="AH1039" s="51" t="str">
        <f aca="false">IF(AND(E1039&gt;0,AA1039&lt;1,NOT(AND(C1040=C1039,AA1040=AA1039+1))),INDEX(DATAS,AA1039+1),"")</f>
        <v/>
      </c>
      <c r="AI1039" s="51" t="str">
        <f aca="false">IF(AND(AC1039=1,AA1039&lt;1),IF(AND(C1040=C1039,AA1040=AA1039+1),IF(AC1040=1,"",INDEX(DATAS,AA1039+1)),INDEX(DATAS,AA1039+1)),"")</f>
        <v/>
      </c>
    </row>
    <row r="1040" customFormat="false" ht="15" hidden="false" customHeight="false" outlineLevel="0" collapsed="false">
      <c r="A1040" s="51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46" t="s">
        <v>779</v>
      </c>
      <c r="I1040" s="46" t="s">
        <v>157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51" t="n">
        <v>46037</v>
      </c>
      <c r="X1040" s="46" t="n">
        <f aca="false">IF(I1040="Male",0,1)</f>
        <v>1</v>
      </c>
      <c r="Y1040" s="46" t="n">
        <f aca="false">IF(OR(I1040="DNB",I1040="Dry DNB"),1,0)</f>
        <v>0</v>
      </c>
      <c r="Z1040" s="46" t="n">
        <f aca="false">IF(ISNUMBER(W1040),A1040-W1040,"")</f>
        <v>272</v>
      </c>
      <c r="AA1040" s="46" t="n">
        <f aca="false">MATCH(A1040,DATAS,0)</f>
        <v>1</v>
      </c>
      <c r="AB1040" s="46" t="n">
        <f aca="false">IF(AND(E1040&gt;0,OR(AND(B1040&gt;=1,B1040&lt;=6),B1040=10)),1,0)</f>
        <v>0</v>
      </c>
      <c r="AC1040" s="46" t="n">
        <f aca="false">IF(AND(E1040&gt;0,B1040=10),1,0)</f>
        <v>0</v>
      </c>
      <c r="AD1040" s="0" t="str">
        <f aca="false">IF(AND(C1039=C1040,AA1039=AA1040-1),AB1039,"")</f>
        <v/>
      </c>
      <c r="AE1040" s="0" t="str">
        <f aca="false">IF(AND(C1039=C1040,AA1039=AA1040-1),AC1039,"")</f>
        <v/>
      </c>
      <c r="AF1040" s="0" t="str">
        <f aca="false">IF(AA1040=1,"",IF(AND(AB1040=1,AD1040&lt;&gt;1),1,0))</f>
        <v/>
      </c>
      <c r="AG1040" s="0" t="str">
        <f aca="false">IF(AA1040=1,"",IF(AND(AC1040=1,AE1040&lt;&gt;1),1,0))</f>
        <v/>
      </c>
      <c r="AH1040" s="51" t="str">
        <f aca="false">IF(AND(E1040&gt;0,AA1040&lt;1,NOT(AND(C1041=C1040,AA1041=AA1040+1))),INDEX(DATAS,AA1040+1),"")</f>
        <v/>
      </c>
      <c r="AI1040" s="51" t="str">
        <f aca="false">IF(AND(AC1040=1,AA1040&lt;1),IF(AND(C1041=C1040,AA1041=AA1040+1),IF(AC1041=1,"",INDEX(DATAS,AA1040+1)),INDEX(DATAS,AA1040+1)),"")</f>
        <v/>
      </c>
    </row>
    <row r="1041" customFormat="false" ht="15" hidden="false" customHeight="false" outlineLevel="0" collapsed="false">
      <c r="A1041" s="51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46" t="s">
        <v>780</v>
      </c>
      <c r="I1041" s="46" t="s">
        <v>157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51" t="n">
        <v>46079</v>
      </c>
      <c r="X1041" s="46" t="n">
        <f aca="false">IF(I1041="Male",0,1)</f>
        <v>1</v>
      </c>
      <c r="Y1041" s="46" t="n">
        <f aca="false">IF(OR(I1041="DNB",I1041="Dry DNB"),1,0)</f>
        <v>0</v>
      </c>
      <c r="Z1041" s="46" t="n">
        <f aca="false">IF(ISNUMBER(W1041),A1041-W1041,"")</f>
        <v>230</v>
      </c>
      <c r="AA1041" s="46" t="n">
        <f aca="false">MATCH(A1041,DATAS,0)</f>
        <v>1</v>
      </c>
      <c r="AB1041" s="46" t="n">
        <f aca="false">IF(AND(E1041&gt;0,OR(AND(B1041&gt;=1,B1041&lt;=6),B1041=10)),1,0)</f>
        <v>0</v>
      </c>
      <c r="AC1041" s="46" t="n">
        <f aca="false">IF(AND(E1041&gt;0,B1041=10),1,0)</f>
        <v>0</v>
      </c>
      <c r="AD1041" s="0" t="str">
        <f aca="false">IF(AND(C1040=C1041,AA1040=AA1041-1),AB1040,"")</f>
        <v/>
      </c>
      <c r="AE1041" s="0" t="str">
        <f aca="false">IF(AND(C1040=C1041,AA1040=AA1041-1),AC1040,"")</f>
        <v/>
      </c>
      <c r="AF1041" s="0" t="str">
        <f aca="false">IF(AA1041=1,"",IF(AND(AB1041=1,AD1041&lt;&gt;1),1,0))</f>
        <v/>
      </c>
      <c r="AG1041" s="0" t="str">
        <f aca="false">IF(AA1041=1,"",IF(AND(AC1041=1,AE1041&lt;&gt;1),1,0))</f>
        <v/>
      </c>
      <c r="AH1041" s="51" t="str">
        <f aca="false">IF(AND(E1041&gt;0,AA1041&lt;1,NOT(AND(C1042=C1041,AA1042=AA1041+1))),INDEX(DATAS,AA1041+1),"")</f>
        <v/>
      </c>
      <c r="AI1041" s="51" t="str">
        <f aca="false">IF(AND(AC1041=1,AA1041&lt;1),IF(AND(C1042=C1041,AA1042=AA1041+1),IF(AC1042=1,"",INDEX(DATAS,AA1041+1)),INDEX(DATAS,AA1041+1)),"")</f>
        <v/>
      </c>
    </row>
    <row r="1042" customFormat="false" ht="15" hidden="false" customHeight="false" outlineLevel="0" collapsed="false">
      <c r="A1042" s="51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46" t="s">
        <v>781</v>
      </c>
      <c r="G1042" s="0" t="n">
        <v>39.9</v>
      </c>
      <c r="H1042" s="0" t="n">
        <v>36</v>
      </c>
      <c r="I1042" s="46" t="s">
        <v>181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51" t="n">
        <v>46277</v>
      </c>
      <c r="X1042" s="46" t="n">
        <f aca="false">IF(I1042="Male",0,1)</f>
        <v>1</v>
      </c>
      <c r="Y1042" s="46" t="n">
        <f aca="false">IF(OR(I1042="DNB",I1042="Dry DNB"),1,0)</f>
        <v>0</v>
      </c>
      <c r="Z1042" s="46" t="n">
        <f aca="false">IF(ISNUMBER(W1042),A1042-W1042,"")</f>
        <v>32</v>
      </c>
      <c r="AA1042" s="46" t="n">
        <f aca="false">MATCH(A1042,DATAS,0)</f>
        <v>1</v>
      </c>
      <c r="AB1042" s="46" t="n">
        <f aca="false">IF(AND(E1042&gt;0,OR(AND(B1042&gt;=1,B1042&lt;=6),B1042=10)),1,0)</f>
        <v>1</v>
      </c>
      <c r="AC1042" s="46" t="n">
        <f aca="false">IF(AND(E1042&gt;0,B1042=10),1,0)</f>
        <v>0</v>
      </c>
      <c r="AD1042" s="0" t="str">
        <f aca="false">IF(AND(C1041=C1042,AA1041=AA1042-1),AB1041,"")</f>
        <v/>
      </c>
      <c r="AE1042" s="0" t="str">
        <f aca="false">IF(AND(C1041=C1042,AA1041=AA1042-1),AC1041,"")</f>
        <v/>
      </c>
      <c r="AF1042" s="0" t="str">
        <f aca="false">IF(AA1042=1,"",IF(AND(AB1042=1,AD1042&lt;&gt;1),1,0))</f>
        <v/>
      </c>
      <c r="AG1042" s="0" t="str">
        <f aca="false">IF(AA1042=1,"",IF(AND(AC1042=1,AE1042&lt;&gt;1),1,0))</f>
        <v/>
      </c>
      <c r="AH1042" s="51" t="str">
        <f aca="false">IF(AND(E1042&gt;0,AA1042&lt;1,NOT(AND(C1043=C1042,AA1043=AA1042+1))),INDEX(DATAS,AA1042+1),"")</f>
        <v/>
      </c>
      <c r="AI1042" s="51" t="str">
        <f aca="false">IF(AND(AC1042=1,AA1042&lt;1),IF(AND(C1043=C1042,AA1043=AA1042+1),IF(AC1043=1,"",INDEX(DATAS,AA1042+1)),INDEX(DATAS,AA1042+1)),"")</f>
        <v/>
      </c>
    </row>
    <row r="1043" customFormat="false" ht="15" hidden="false" customHeight="false" outlineLevel="0" collapsed="false">
      <c r="A1043" s="51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46" t="s">
        <v>151</v>
      </c>
      <c r="I1043" s="46" t="s">
        <v>157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51" t="n">
        <v>46037</v>
      </c>
      <c r="X1043" s="46" t="n">
        <f aca="false">IF(I1043="Male",0,1)</f>
        <v>1</v>
      </c>
      <c r="Y1043" s="46" t="n">
        <f aca="false">IF(OR(I1043="DNB",I1043="Dry DNB"),1,0)</f>
        <v>0</v>
      </c>
      <c r="Z1043" s="46" t="n">
        <f aca="false">IF(ISNUMBER(W1043),A1043-W1043,"")</f>
        <v>272</v>
      </c>
      <c r="AA1043" s="46" t="n">
        <f aca="false">MATCH(A1043,DATAS,0)</f>
        <v>1</v>
      </c>
      <c r="AB1043" s="46" t="n">
        <f aca="false">IF(AND(E1043&gt;0,OR(AND(B1043&gt;=1,B1043&lt;=6),B1043=10)),1,0)</f>
        <v>0</v>
      </c>
      <c r="AC1043" s="46" t="n">
        <f aca="false">IF(AND(E1043&gt;0,B1043=10),1,0)</f>
        <v>0</v>
      </c>
      <c r="AD1043" s="0" t="str">
        <f aca="false">IF(AND(C1042=C1043,AA1042=AA1043-1),AB1042,"")</f>
        <v/>
      </c>
      <c r="AE1043" s="0" t="str">
        <f aca="false">IF(AND(C1042=C1043,AA1042=AA1043-1),AC1042,"")</f>
        <v/>
      </c>
      <c r="AF1043" s="0" t="str">
        <f aca="false">IF(AA1043=1,"",IF(AND(AB1043=1,AD1043&lt;&gt;1),1,0))</f>
        <v/>
      </c>
      <c r="AG1043" s="0" t="str">
        <f aca="false">IF(AA1043=1,"",IF(AND(AC1043=1,AE1043&lt;&gt;1),1,0))</f>
        <v/>
      </c>
      <c r="AH1043" s="51" t="str">
        <f aca="false">IF(AND(E1043&gt;0,AA1043&lt;1,NOT(AND(C1044=C1043,AA1044=AA1043+1))),INDEX(DATAS,AA1043+1),"")</f>
        <v/>
      </c>
      <c r="AI1043" s="51" t="str">
        <f aca="false">IF(AND(AC1043=1,AA1043&lt;1),IF(AND(C1044=C1043,AA1044=AA1043+1),IF(AC1044=1,"",INDEX(DATAS,AA1043+1)),INDEX(DATAS,AA1043+1)),"")</f>
        <v/>
      </c>
    </row>
    <row r="1044" customFormat="false" ht="15" hidden="false" customHeight="false" outlineLevel="0" collapsed="false">
      <c r="A1044" s="51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46" t="s">
        <v>151</v>
      </c>
      <c r="G1044" s="0" t="n">
        <v>23.7</v>
      </c>
      <c r="H1044" s="0" t="n">
        <v>23</v>
      </c>
      <c r="I1044" s="46" t="s">
        <v>138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51" t="n">
        <v>46205</v>
      </c>
      <c r="X1044" s="46" t="n">
        <f aca="false">IF(I1044="Male",0,1)</f>
        <v>1</v>
      </c>
      <c r="Y1044" s="46" t="n">
        <f aca="false">IF(OR(I1044="DNB",I1044="Dry DNB"),1,0)</f>
        <v>1</v>
      </c>
      <c r="Z1044" s="46" t="n">
        <f aca="false">IF(ISNUMBER(W1044),A1044-W1044,"")</f>
        <v>104</v>
      </c>
      <c r="AA1044" s="46" t="n">
        <f aca="false">MATCH(A1044,DATAS,0)</f>
        <v>1</v>
      </c>
      <c r="AB1044" s="46" t="n">
        <f aca="false">IF(AND(E1044&gt;0,OR(AND(B1044&gt;=1,B1044&lt;=6),B1044=10)),1,0)</f>
        <v>1</v>
      </c>
      <c r="AC1044" s="46" t="n">
        <f aca="false">IF(AND(E1044&gt;0,B1044=10),1,0)</f>
        <v>0</v>
      </c>
      <c r="AD1044" s="0" t="str">
        <f aca="false">IF(AND(C1043=C1044,AA1043=AA1044-1),AB1043,"")</f>
        <v/>
      </c>
      <c r="AE1044" s="0" t="str">
        <f aca="false">IF(AND(C1043=C1044,AA1043=AA1044-1),AC1043,"")</f>
        <v/>
      </c>
      <c r="AF1044" s="0" t="str">
        <f aca="false">IF(AA1044=1,"",IF(AND(AB1044=1,AD1044&lt;&gt;1),1,0))</f>
        <v/>
      </c>
      <c r="AG1044" s="0" t="str">
        <f aca="false">IF(AA1044=1,"",IF(AND(AC1044=1,AE1044&lt;&gt;1),1,0))</f>
        <v/>
      </c>
      <c r="AH1044" s="51" t="str">
        <f aca="false">IF(AND(E1044&gt;0,AA1044&lt;1,NOT(AND(C1045=C1044,AA1045=AA1044+1))),INDEX(DATAS,AA1044+1),"")</f>
        <v/>
      </c>
      <c r="AI1044" s="51" t="str">
        <f aca="false">IF(AND(AC1044=1,AA1044&lt;1),IF(AND(C1045=C1044,AA1045=AA1044+1),IF(AC1045=1,"",INDEX(DATAS,AA1044+1)),INDEX(DATAS,AA1044+1)),"")</f>
        <v/>
      </c>
    </row>
    <row r="1045" customFormat="false" ht="15" hidden="false" customHeight="false" outlineLevel="0" collapsed="false">
      <c r="A1045" s="51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46" t="s">
        <v>151</v>
      </c>
      <c r="G1045" s="0" t="n">
        <v>30.5</v>
      </c>
      <c r="H1045" s="0" t="n">
        <v>32</v>
      </c>
      <c r="I1045" s="46" t="s">
        <v>152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51" t="n">
        <v>46233</v>
      </c>
      <c r="X1045" s="46" t="n">
        <f aca="false">IF(I1045="Male",0,1)</f>
        <v>1</v>
      </c>
      <c r="Y1045" s="46" t="n">
        <f aca="false">IF(OR(I1045="DNB",I1045="Dry DNB"),1,0)</f>
        <v>0</v>
      </c>
      <c r="Z1045" s="46" t="n">
        <f aca="false">IF(ISNUMBER(W1045),A1045-W1045,"")</f>
        <v>76</v>
      </c>
      <c r="AA1045" s="46" t="n">
        <f aca="false">MATCH(A1045,DATAS,0)</f>
        <v>1</v>
      </c>
      <c r="AB1045" s="46" t="n">
        <f aca="false">IF(AND(E1045&gt;0,OR(AND(B1045&gt;=1,B1045&lt;=6),B1045=10)),1,0)</f>
        <v>1</v>
      </c>
      <c r="AC1045" s="46" t="n">
        <f aca="false">IF(AND(E1045&gt;0,B1045=10),1,0)</f>
        <v>0</v>
      </c>
      <c r="AD1045" s="0" t="str">
        <f aca="false">IF(AND(C1044=C1045,AA1044=AA1045-1),AB1044,"")</f>
        <v/>
      </c>
      <c r="AE1045" s="0" t="str">
        <f aca="false">IF(AND(C1044=C1045,AA1044=AA1045-1),AC1044,"")</f>
        <v/>
      </c>
      <c r="AF1045" s="0" t="str">
        <f aca="false">IF(AA1045=1,"",IF(AND(AB1045=1,AD1045&lt;&gt;1),1,0))</f>
        <v/>
      </c>
      <c r="AG1045" s="0" t="str">
        <f aca="false">IF(AA1045=1,"",IF(AND(AC1045=1,AE1045&lt;&gt;1),1,0))</f>
        <v/>
      </c>
      <c r="AH1045" s="51" t="str">
        <f aca="false">IF(AND(E1045&gt;0,AA1045&lt;1,NOT(AND(C1046=C1045,AA1046=AA1045+1))),INDEX(DATAS,AA1045+1),"")</f>
        <v/>
      </c>
      <c r="AI1045" s="51" t="str">
        <f aca="false">IF(AND(AC1045=1,AA1045&lt;1),IF(AND(C1046=C1045,AA1046=AA1045+1),IF(AC1046=1,"",INDEX(DATAS,AA1045+1)),INDEX(DATAS,AA1045+1)),"")</f>
        <v/>
      </c>
    </row>
    <row r="1046" customFormat="false" ht="15" hidden="false" customHeight="false" outlineLevel="0" collapsed="false">
      <c r="A1046" s="51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46" t="s">
        <v>782</v>
      </c>
      <c r="G1046" s="0" t="n">
        <v>47.4</v>
      </c>
      <c r="H1046" s="0" t="n">
        <v>46</v>
      </c>
      <c r="I1046" s="46" t="s">
        <v>181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51" t="n">
        <v>46289</v>
      </c>
      <c r="X1046" s="46" t="n">
        <f aca="false">IF(I1046="Male",0,1)</f>
        <v>1</v>
      </c>
      <c r="Y1046" s="46" t="n">
        <f aca="false">IF(OR(I1046="DNB",I1046="Dry DNB"),1,0)</f>
        <v>0</v>
      </c>
      <c r="Z1046" s="46" t="n">
        <f aca="false">IF(ISNUMBER(W1046),A1046-W1046,"")</f>
        <v>20</v>
      </c>
      <c r="AA1046" s="46" t="n">
        <f aca="false">MATCH(A1046,DATAS,0)</f>
        <v>1</v>
      </c>
      <c r="AB1046" s="46" t="n">
        <f aca="false">IF(AND(E1046&gt;0,OR(AND(B1046&gt;=1,B1046&lt;=6),B1046=10)),1,0)</f>
        <v>1</v>
      </c>
      <c r="AC1046" s="46" t="n">
        <f aca="false">IF(AND(E1046&gt;0,B1046=10),1,0)</f>
        <v>0</v>
      </c>
      <c r="AD1046" s="0" t="str">
        <f aca="false">IF(AND(C1045=C1046,AA1045=AA1046-1),AB1045,"")</f>
        <v/>
      </c>
      <c r="AE1046" s="0" t="str">
        <f aca="false">IF(AND(C1045=C1046,AA1045=AA1046-1),AC1045,"")</f>
        <v/>
      </c>
      <c r="AF1046" s="0" t="str">
        <f aca="false">IF(AA1046=1,"",IF(AND(AB1046=1,AD1046&lt;&gt;1),1,0))</f>
        <v/>
      </c>
      <c r="AG1046" s="0" t="str">
        <f aca="false">IF(AA1046=1,"",IF(AND(AC1046=1,AE1046&lt;&gt;1),1,0))</f>
        <v/>
      </c>
      <c r="AH1046" s="51" t="str">
        <f aca="false">IF(AND(E1046&gt;0,AA1046&lt;1,NOT(AND(C1047=C1046,AA1047=AA1046+1))),INDEX(DATAS,AA1046+1),"")</f>
        <v/>
      </c>
      <c r="AI1046" s="51" t="str">
        <f aca="false">IF(AND(AC1046=1,AA1046&lt;1),IF(AND(C1047=C1046,AA1047=AA1046+1),IF(AC1047=1,"",INDEX(DATAS,AA1046+1)),INDEX(DATAS,AA1046+1)),"")</f>
        <v/>
      </c>
    </row>
    <row r="1047" customFormat="false" ht="15" hidden="false" customHeight="false" outlineLevel="0" collapsed="false">
      <c r="A1047" s="51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46" t="s">
        <v>783</v>
      </c>
      <c r="G1047" s="0" t="n">
        <v>45.1</v>
      </c>
      <c r="H1047" s="0" t="n">
        <v>38</v>
      </c>
      <c r="I1047" s="46" t="s">
        <v>189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51" t="n">
        <v>46268</v>
      </c>
      <c r="X1047" s="46" t="n">
        <f aca="false">IF(I1047="Male",0,1)</f>
        <v>1</v>
      </c>
      <c r="Y1047" s="46" t="n">
        <f aca="false">IF(OR(I1047="DNB",I1047="Dry DNB"),1,0)</f>
        <v>0</v>
      </c>
      <c r="Z1047" s="46" t="n">
        <f aca="false">IF(ISNUMBER(W1047),A1047-W1047,"")</f>
        <v>41</v>
      </c>
      <c r="AA1047" s="46" t="n">
        <f aca="false">MATCH(A1047,DATAS,0)</f>
        <v>1</v>
      </c>
      <c r="AB1047" s="46" t="n">
        <f aca="false">IF(AND(E1047&gt;0,OR(AND(B1047&gt;=1,B1047&lt;=6),B1047=10)),1,0)</f>
        <v>1</v>
      </c>
      <c r="AC1047" s="46" t="n">
        <f aca="false">IF(AND(E1047&gt;0,B1047=10),1,0)</f>
        <v>0</v>
      </c>
      <c r="AD1047" s="0" t="str">
        <f aca="false">IF(AND(C1046=C1047,AA1046=AA1047-1),AB1046,"")</f>
        <v/>
      </c>
      <c r="AE1047" s="0" t="str">
        <f aca="false">IF(AND(C1046=C1047,AA1046=AA1047-1),AC1046,"")</f>
        <v/>
      </c>
      <c r="AF1047" s="0" t="str">
        <f aca="false">IF(AA1047=1,"",IF(AND(AB1047=1,AD1047&lt;&gt;1),1,0))</f>
        <v/>
      </c>
      <c r="AG1047" s="0" t="str">
        <f aca="false">IF(AA1047=1,"",IF(AND(AC1047=1,AE1047&lt;&gt;1),1,0))</f>
        <v/>
      </c>
      <c r="AH1047" s="51" t="str">
        <f aca="false">IF(AND(E1047&gt;0,AA1047&lt;1,NOT(AND(C1048=C1047,AA1048=AA1047+1))),INDEX(DATAS,AA1047+1),"")</f>
        <v/>
      </c>
      <c r="AI1047" s="51" t="str">
        <f aca="false">IF(AND(AC1047=1,AA1047&lt;1),IF(AND(C1048=C1047,AA1048=AA1047+1),IF(AC1048=1,"",INDEX(DATAS,AA1047+1)),INDEX(DATAS,AA1047+1)),"")</f>
        <v/>
      </c>
    </row>
    <row r="1048" customFormat="false" ht="15" hidden="false" customHeight="false" outlineLevel="0" collapsed="false">
      <c r="A1048" s="51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46" t="s">
        <v>783</v>
      </c>
      <c r="G1048" s="0" t="n">
        <v>56.9</v>
      </c>
      <c r="H1048" s="0" t="n">
        <v>58</v>
      </c>
      <c r="I1048" s="46" t="s">
        <v>181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51" t="n">
        <v>46285</v>
      </c>
      <c r="X1048" s="46" t="n">
        <f aca="false">IF(I1048="Male",0,1)</f>
        <v>1</v>
      </c>
      <c r="Y1048" s="46" t="n">
        <f aca="false">IF(OR(I1048="DNB",I1048="Dry DNB"),1,0)</f>
        <v>0</v>
      </c>
      <c r="Z1048" s="46" t="n">
        <f aca="false">IF(ISNUMBER(W1048),A1048-W1048,"")</f>
        <v>24</v>
      </c>
      <c r="AA1048" s="46" t="n">
        <f aca="false">MATCH(A1048,DATAS,0)</f>
        <v>1</v>
      </c>
      <c r="AB1048" s="46" t="n">
        <f aca="false">IF(AND(E1048&gt;0,OR(AND(B1048&gt;=1,B1048&lt;=6),B1048=10)),1,0)</f>
        <v>1</v>
      </c>
      <c r="AC1048" s="46" t="n">
        <f aca="false">IF(AND(E1048&gt;0,B1048=10),1,0)</f>
        <v>0</v>
      </c>
      <c r="AD1048" s="0" t="str">
        <f aca="false">IF(AND(C1047=C1048,AA1047=AA1048-1),AB1047,"")</f>
        <v/>
      </c>
      <c r="AE1048" s="0" t="str">
        <f aca="false">IF(AND(C1047=C1048,AA1047=AA1048-1),AC1047,"")</f>
        <v/>
      </c>
      <c r="AF1048" s="0" t="str">
        <f aca="false">IF(AA1048=1,"",IF(AND(AB1048=1,AD1048&lt;&gt;1),1,0))</f>
        <v/>
      </c>
      <c r="AG1048" s="0" t="str">
        <f aca="false">IF(AA1048=1,"",IF(AND(AC1048=1,AE1048&lt;&gt;1),1,0))</f>
        <v/>
      </c>
      <c r="AH1048" s="51" t="str">
        <f aca="false">IF(AND(E1048&gt;0,AA1048&lt;1,NOT(AND(C1049=C1048,AA1049=AA1048+1))),INDEX(DATAS,AA1048+1),"")</f>
        <v/>
      </c>
      <c r="AI1048" s="51" t="str">
        <f aca="false">IF(AND(AC1048=1,AA1048&lt;1),IF(AND(C1049=C1048,AA1049=AA1048+1),IF(AC1049=1,"",INDEX(DATAS,AA1048+1)),INDEX(DATAS,AA1048+1)),"")</f>
        <v/>
      </c>
    </row>
    <row r="1049" customFormat="false" ht="15" hidden="false" customHeight="false" outlineLevel="0" collapsed="false">
      <c r="A1049" s="51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46" t="s">
        <v>784</v>
      </c>
      <c r="G1049" s="0" t="n">
        <v>35.8</v>
      </c>
      <c r="H1049" s="0" t="n">
        <v>34</v>
      </c>
      <c r="I1049" s="46" t="s">
        <v>152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51" t="n">
        <v>46212</v>
      </c>
      <c r="X1049" s="46" t="n">
        <f aca="false">IF(I1049="Male",0,1)</f>
        <v>1</v>
      </c>
      <c r="Y1049" s="46" t="n">
        <f aca="false">IF(OR(I1049="DNB",I1049="Dry DNB"),1,0)</f>
        <v>0</v>
      </c>
      <c r="Z1049" s="46" t="n">
        <f aca="false">IF(ISNUMBER(W1049),A1049-W1049,"")</f>
        <v>97</v>
      </c>
      <c r="AA1049" s="46" t="n">
        <f aca="false">MATCH(A1049,DATAS,0)</f>
        <v>1</v>
      </c>
      <c r="AB1049" s="46" t="n">
        <f aca="false">IF(AND(E1049&gt;0,OR(AND(B1049&gt;=1,B1049&lt;=6),B1049=10)),1,0)</f>
        <v>1</v>
      </c>
      <c r="AC1049" s="46" t="n">
        <f aca="false">IF(AND(E1049&gt;0,B1049=10),1,0)</f>
        <v>0</v>
      </c>
      <c r="AD1049" s="0" t="str">
        <f aca="false">IF(AND(C1048=C1049,AA1048=AA1049-1),AB1048,"")</f>
        <v/>
      </c>
      <c r="AE1049" s="0" t="str">
        <f aca="false">IF(AND(C1048=C1049,AA1048=AA1049-1),AC1048,"")</f>
        <v/>
      </c>
      <c r="AF1049" s="0" t="str">
        <f aca="false">IF(AA1049=1,"",IF(AND(AB1049=1,AD1049&lt;&gt;1),1,0))</f>
        <v/>
      </c>
      <c r="AG1049" s="0" t="str">
        <f aca="false">IF(AA1049=1,"",IF(AND(AC1049=1,AE1049&lt;&gt;1),1,0))</f>
        <v/>
      </c>
      <c r="AH1049" s="51" t="str">
        <f aca="false">IF(AND(E1049&gt;0,AA1049&lt;1,NOT(AND(C1050=C1049,AA1050=AA1049+1))),INDEX(DATAS,AA1049+1),"")</f>
        <v/>
      </c>
      <c r="AI1049" s="51" t="str">
        <f aca="false">IF(AND(AC1049=1,AA1049&lt;1),IF(AND(C1050=C1049,AA1050=AA1049+1),IF(AC1050=1,"",INDEX(DATAS,AA1049+1)),INDEX(DATAS,AA1049+1)),"")</f>
        <v/>
      </c>
    </row>
    <row r="1050" customFormat="false" ht="15" hidden="false" customHeight="false" outlineLevel="0" collapsed="false">
      <c r="A1050" s="51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46" t="s">
        <v>784</v>
      </c>
      <c r="G1050" s="0" t="n">
        <v>38</v>
      </c>
      <c r="H1050" s="0" t="n">
        <v>43</v>
      </c>
      <c r="I1050" s="46" t="s">
        <v>181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51" t="n">
        <v>46296</v>
      </c>
      <c r="X1050" s="46" t="n">
        <f aca="false">IF(I1050="Male",0,1)</f>
        <v>1</v>
      </c>
      <c r="Y1050" s="46" t="n">
        <f aca="false">IF(OR(I1050="DNB",I1050="Dry DNB"),1,0)</f>
        <v>0</v>
      </c>
      <c r="Z1050" s="46" t="n">
        <f aca="false">IF(ISNUMBER(W1050),A1050-W1050,"")</f>
        <v>13</v>
      </c>
      <c r="AA1050" s="46" t="n">
        <f aca="false">MATCH(A1050,DATAS,0)</f>
        <v>1</v>
      </c>
      <c r="AB1050" s="46" t="n">
        <f aca="false">IF(AND(E1050&gt;0,OR(AND(B1050&gt;=1,B1050&lt;=6),B1050=10)),1,0)</f>
        <v>1</v>
      </c>
      <c r="AC1050" s="46" t="n">
        <f aca="false">IF(AND(E1050&gt;0,B1050=10),1,0)</f>
        <v>0</v>
      </c>
      <c r="AD1050" s="0" t="str">
        <f aca="false">IF(AND(C1049=C1050,AA1049=AA1050-1),AB1049,"")</f>
        <v/>
      </c>
      <c r="AE1050" s="0" t="str">
        <f aca="false">IF(AND(C1049=C1050,AA1049=AA1050-1),AC1049,"")</f>
        <v/>
      </c>
      <c r="AF1050" s="0" t="str">
        <f aca="false">IF(AA1050=1,"",IF(AND(AB1050=1,AD1050&lt;&gt;1),1,0))</f>
        <v/>
      </c>
      <c r="AG1050" s="0" t="str">
        <f aca="false">IF(AA1050=1,"",IF(AND(AC1050=1,AE1050&lt;&gt;1),1,0))</f>
        <v/>
      </c>
      <c r="AH1050" s="51" t="str">
        <f aca="false">IF(AND(E1050&gt;0,AA1050&lt;1,NOT(AND(C1051=C1050,AA1051=AA1050+1))),INDEX(DATAS,AA1050+1),"")</f>
        <v/>
      </c>
      <c r="AI1050" s="51" t="str">
        <f aca="false">IF(AND(AC1050=1,AA1050&lt;1),IF(AND(C1051=C1050,AA1051=AA1050+1),IF(AC1051=1,"",INDEX(DATAS,AA1050+1)),INDEX(DATAS,AA1050+1)),"")</f>
        <v/>
      </c>
    </row>
    <row r="1051" customFormat="false" ht="15" hidden="false" customHeight="false" outlineLevel="0" collapsed="false">
      <c r="A1051" s="51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46" t="s">
        <v>784</v>
      </c>
      <c r="G1051" s="0" t="n">
        <v>54.4</v>
      </c>
      <c r="H1051" s="0" t="n">
        <v>54</v>
      </c>
      <c r="I1051" s="46" t="s">
        <v>161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X1051" s="46" t="n">
        <f aca="false">IF(I1051="Male",0,1)</f>
        <v>1</v>
      </c>
      <c r="Y1051" s="46" t="n">
        <f aca="false">IF(OR(I1051="DNB",I1051="Dry DNB"),1,0)</f>
        <v>0</v>
      </c>
      <c r="Z1051" s="0" t="str">
        <f aca="false">IF(ISNUMBER(W1051),A1051-W1051,"")</f>
        <v/>
      </c>
      <c r="AA1051" s="46" t="n">
        <f aca="false">MATCH(A1051,DATAS,0)</f>
        <v>1</v>
      </c>
      <c r="AB1051" s="46" t="n">
        <f aca="false">IF(AND(E1051&gt;0,OR(AND(B1051&gt;=1,B1051&lt;=6),B1051=10)),1,0)</f>
        <v>1</v>
      </c>
      <c r="AC1051" s="46" t="n">
        <f aca="false">IF(AND(E1051&gt;0,B1051=10),1,0)</f>
        <v>0</v>
      </c>
      <c r="AD1051" s="0" t="str">
        <f aca="false">IF(AND(C1050=C1051,AA1050=AA1051-1),AB1050,"")</f>
        <v/>
      </c>
      <c r="AE1051" s="0" t="str">
        <f aca="false">IF(AND(C1050=C1051,AA1050=AA1051-1),AC1050,"")</f>
        <v/>
      </c>
      <c r="AF1051" s="0" t="str">
        <f aca="false">IF(AA1051=1,"",IF(AND(AB1051=1,AD1051&lt;&gt;1),1,0))</f>
        <v/>
      </c>
      <c r="AG1051" s="0" t="str">
        <f aca="false">IF(AA1051=1,"",IF(AND(AC1051=1,AE1051&lt;&gt;1),1,0))</f>
        <v/>
      </c>
      <c r="AH1051" s="51" t="str">
        <f aca="false">IF(AND(E1051&gt;0,AA1051&lt;1,NOT(AND(C1052=C1051,AA1052=AA1051+1))),INDEX(DATAS,AA1051+1),"")</f>
        <v/>
      </c>
      <c r="AI1051" s="51" t="str">
        <f aca="false">IF(AND(AC1051=1,AA1051&lt;1),IF(AND(C1052=C1051,AA1052=AA1051+1),IF(AC1052=1,"",INDEX(DATAS,AA1051+1)),INDEX(DATAS,AA1051+1)),"")</f>
        <v/>
      </c>
    </row>
    <row r="1052" customFormat="false" ht="15" hidden="false" customHeight="false" outlineLevel="0" collapsed="false">
      <c r="A1052" s="51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46" t="s">
        <v>785</v>
      </c>
      <c r="G1052" s="0" t="n">
        <v>49.6</v>
      </c>
      <c r="H1052" s="0" t="n">
        <v>49</v>
      </c>
      <c r="I1052" s="46" t="s">
        <v>161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X1052" s="46" t="n">
        <f aca="false">IF(I1052="Male",0,1)</f>
        <v>1</v>
      </c>
      <c r="Y1052" s="46" t="n">
        <f aca="false">IF(OR(I1052="DNB",I1052="Dry DNB"),1,0)</f>
        <v>0</v>
      </c>
      <c r="Z1052" s="0" t="str">
        <f aca="false">IF(ISNUMBER(W1052),A1052-W1052,"")</f>
        <v/>
      </c>
      <c r="AA1052" s="46" t="n">
        <f aca="false">MATCH(A1052,DATAS,0)</f>
        <v>1</v>
      </c>
      <c r="AB1052" s="46" t="n">
        <f aca="false">IF(AND(E1052&gt;0,OR(AND(B1052&gt;=1,B1052&lt;=6),B1052=10)),1,0)</f>
        <v>1</v>
      </c>
      <c r="AC1052" s="46" t="n">
        <f aca="false">IF(AND(E1052&gt;0,B1052=10),1,0)</f>
        <v>1</v>
      </c>
      <c r="AD1052" s="0" t="str">
        <f aca="false">IF(AND(C1051=C1052,AA1051=AA1052-1),AB1051,"")</f>
        <v/>
      </c>
      <c r="AE1052" s="0" t="str">
        <f aca="false">IF(AND(C1051=C1052,AA1051=AA1052-1),AC1051,"")</f>
        <v/>
      </c>
      <c r="AF1052" s="0" t="str">
        <f aca="false">IF(AA1052=1,"",IF(AND(AB1052=1,AD1052&lt;&gt;1),1,0))</f>
        <v/>
      </c>
      <c r="AG1052" s="0" t="str">
        <f aca="false">IF(AA1052=1,"",IF(AND(AC1052=1,AE1052&lt;&gt;1),1,0))</f>
        <v/>
      </c>
      <c r="AH1052" s="51" t="str">
        <f aca="false">IF(AND(E1052&gt;0,AA1052&lt;1,NOT(AND(C1053=C1052,AA1053=AA1052+1))),INDEX(DATAS,AA1052+1),"")</f>
        <v/>
      </c>
      <c r="AI1052" s="51" t="str">
        <f aca="false">IF(AND(AC1052=1,AA1052&lt;1),IF(AND(C1053=C1052,AA1053=AA1052+1),IF(AC1053=1,"",INDEX(DATAS,AA1052+1)),INDEX(DATAS,AA1052+1)),"")</f>
        <v/>
      </c>
    </row>
    <row r="1053" customFormat="false" ht="15" hidden="false" customHeight="false" outlineLevel="0" collapsed="false">
      <c r="A1053" s="51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46" t="s">
        <v>785</v>
      </c>
      <c r="G1053" s="0" t="n">
        <v>32.5</v>
      </c>
      <c r="H1053" s="0" t="n">
        <v>29</v>
      </c>
      <c r="I1053" s="46" t="s">
        <v>181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51" t="n">
        <v>46289</v>
      </c>
      <c r="X1053" s="46" t="n">
        <f aca="false">IF(I1053="Male",0,1)</f>
        <v>1</v>
      </c>
      <c r="Y1053" s="46" t="n">
        <f aca="false">IF(OR(I1053="DNB",I1053="Dry DNB"),1,0)</f>
        <v>0</v>
      </c>
      <c r="Z1053" s="46" t="n">
        <f aca="false">IF(ISNUMBER(W1053),A1053-W1053,"")</f>
        <v>20</v>
      </c>
      <c r="AA1053" s="46" t="n">
        <f aca="false">MATCH(A1053,DATAS,0)</f>
        <v>1</v>
      </c>
      <c r="AB1053" s="46" t="n">
        <f aca="false">IF(AND(E1053&gt;0,OR(AND(B1053&gt;=1,B1053&lt;=6),B1053=10)),1,0)</f>
        <v>1</v>
      </c>
      <c r="AC1053" s="46" t="n">
        <f aca="false">IF(AND(E1053&gt;0,B1053=10),1,0)</f>
        <v>0</v>
      </c>
      <c r="AD1053" s="0" t="str">
        <f aca="false">IF(AND(C1052=C1053,AA1052=AA1053-1),AB1052,"")</f>
        <v/>
      </c>
      <c r="AE1053" s="0" t="str">
        <f aca="false">IF(AND(C1052=C1053,AA1052=AA1053-1),AC1052,"")</f>
        <v/>
      </c>
      <c r="AF1053" s="0" t="str">
        <f aca="false">IF(AA1053=1,"",IF(AND(AB1053=1,AD1053&lt;&gt;1),1,0))</f>
        <v/>
      </c>
      <c r="AG1053" s="0" t="str">
        <f aca="false">IF(AA1053=1,"",IF(AND(AC1053=1,AE1053&lt;&gt;1),1,0))</f>
        <v/>
      </c>
      <c r="AH1053" s="51" t="str">
        <f aca="false">IF(AND(E1053&gt;0,AA1053&lt;1,NOT(AND(C1054=C1053,AA1054=AA1053+1))),INDEX(DATAS,AA1053+1),"")</f>
        <v/>
      </c>
      <c r="AI1053" s="51" t="str">
        <f aca="false">IF(AND(AC1053=1,AA1053&lt;1),IF(AND(C1054=C1053,AA1054=AA1053+1),IF(AC1054=1,"",INDEX(DATAS,AA1053+1)),INDEX(DATAS,AA1053+1)),"")</f>
        <v/>
      </c>
    </row>
    <row r="1054" customFormat="false" ht="15" hidden="false" customHeight="false" outlineLevel="0" collapsed="false">
      <c r="A1054" s="51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46" t="s">
        <v>786</v>
      </c>
      <c r="I1054" s="46" t="s">
        <v>490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51" t="n">
        <v>46301</v>
      </c>
      <c r="X1054" s="46" t="n">
        <f aca="false">IF(I1054="Male",0,1)</f>
        <v>1</v>
      </c>
      <c r="Y1054" s="46" t="n">
        <f aca="false">IF(OR(I1054="DNB",I1054="Dry DNB"),1,0)</f>
        <v>0</v>
      </c>
      <c r="Z1054" s="46" t="n">
        <f aca="false">IF(ISNUMBER(W1054),A1054-W1054,"")</f>
        <v>8</v>
      </c>
      <c r="AA1054" s="46" t="n">
        <f aca="false">MATCH(A1054,DATAS,0)</f>
        <v>1</v>
      </c>
      <c r="AB1054" s="46" t="n">
        <f aca="false">IF(AND(E1054&gt;0,OR(AND(B1054&gt;=1,B1054&lt;=6),B1054=10)),1,0)</f>
        <v>0</v>
      </c>
      <c r="AC1054" s="46" t="n">
        <f aca="false">IF(AND(E1054&gt;0,B1054=10),1,0)</f>
        <v>0</v>
      </c>
      <c r="AD1054" s="0" t="str">
        <f aca="false">IF(AND(C1053=C1054,AA1053=AA1054-1),AB1053,"")</f>
        <v/>
      </c>
      <c r="AE1054" s="0" t="str">
        <f aca="false">IF(AND(C1053=C1054,AA1053=AA1054-1),AC1053,"")</f>
        <v/>
      </c>
      <c r="AF1054" s="0" t="str">
        <f aca="false">IF(AA1054=1,"",IF(AND(AB1054=1,AD1054&lt;&gt;1),1,0))</f>
        <v/>
      </c>
      <c r="AG1054" s="0" t="str">
        <f aca="false">IF(AA1054=1,"",IF(AND(AC1054=1,AE1054&lt;&gt;1),1,0))</f>
        <v/>
      </c>
      <c r="AH1054" s="51" t="str">
        <f aca="false">IF(AND(E1054&gt;0,AA1054&lt;1,NOT(AND(C1055=C1054,AA1055=AA1054+1))),INDEX(DATAS,AA1054+1),"")</f>
        <v/>
      </c>
      <c r="AI1054" s="51" t="str">
        <f aca="false">IF(AND(AC1054=1,AA1054&lt;1),IF(AND(C1055=C1054,AA1055=AA1054+1),IF(AC1055=1,"",INDEX(DATAS,AA1054+1)),INDEX(DATAS,AA1054+1)),"")</f>
        <v/>
      </c>
    </row>
    <row r="1055" customFormat="false" ht="15" hidden="false" customHeight="false" outlineLevel="0" collapsed="false">
      <c r="A1055" s="51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46" t="s">
        <v>786</v>
      </c>
      <c r="G1055" s="0" t="n">
        <v>45.3</v>
      </c>
      <c r="H1055" s="0" t="n">
        <v>48</v>
      </c>
      <c r="I1055" s="46" t="s">
        <v>181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51" t="n">
        <v>46289</v>
      </c>
      <c r="X1055" s="46" t="n">
        <f aca="false">IF(I1055="Male",0,1)</f>
        <v>1</v>
      </c>
      <c r="Y1055" s="46" t="n">
        <f aca="false">IF(OR(I1055="DNB",I1055="Dry DNB"),1,0)</f>
        <v>0</v>
      </c>
      <c r="Z1055" s="46" t="n">
        <f aca="false">IF(ISNUMBER(W1055),A1055-W1055,"")</f>
        <v>20</v>
      </c>
      <c r="AA1055" s="46" t="n">
        <f aca="false">MATCH(A1055,DATAS,0)</f>
        <v>1</v>
      </c>
      <c r="AB1055" s="46" t="n">
        <f aca="false">IF(AND(E1055&gt;0,OR(AND(B1055&gt;=1,B1055&lt;=6),B1055=10)),1,0)</f>
        <v>1</v>
      </c>
      <c r="AC1055" s="46" t="n">
        <f aca="false">IF(AND(E1055&gt;0,B1055=10),1,0)</f>
        <v>0</v>
      </c>
      <c r="AD1055" s="0" t="str">
        <f aca="false">IF(AND(C1054=C1055,AA1054=AA1055-1),AB1054,"")</f>
        <v/>
      </c>
      <c r="AE1055" s="0" t="str">
        <f aca="false">IF(AND(C1054=C1055,AA1054=AA1055-1),AC1054,"")</f>
        <v/>
      </c>
      <c r="AF1055" s="0" t="str">
        <f aca="false">IF(AA1055=1,"",IF(AND(AB1055=1,AD1055&lt;&gt;1),1,0))</f>
        <v/>
      </c>
      <c r="AG1055" s="0" t="str">
        <f aca="false">IF(AA1055=1,"",IF(AND(AC1055=1,AE1055&lt;&gt;1),1,0))</f>
        <v/>
      </c>
      <c r="AH1055" s="51" t="str">
        <f aca="false">IF(AND(E1055&gt;0,AA1055&lt;1,NOT(AND(C1056=C1055,AA1056=AA1055+1))),INDEX(DATAS,AA1055+1),"")</f>
        <v/>
      </c>
      <c r="AI1055" s="51" t="str">
        <f aca="false">IF(AND(AC1055=1,AA1055&lt;1),IF(AND(C1056=C1055,AA1056=AA1055+1),IF(AC1056=1,"",INDEX(DATAS,AA1055+1)),INDEX(DATAS,AA1055+1)),"")</f>
        <v/>
      </c>
    </row>
    <row r="1056" customFormat="false" ht="15" hidden="false" customHeight="false" outlineLevel="0" collapsed="false">
      <c r="A1056" s="51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46" t="s">
        <v>786</v>
      </c>
      <c r="G1056" s="0" t="n">
        <v>45.5</v>
      </c>
      <c r="H1056" s="0" t="n">
        <v>45</v>
      </c>
      <c r="I1056" s="46" t="s">
        <v>152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51" t="n">
        <v>46209</v>
      </c>
      <c r="X1056" s="46" t="n">
        <f aca="false">IF(I1056="Male",0,1)</f>
        <v>1</v>
      </c>
      <c r="Y1056" s="46" t="n">
        <f aca="false">IF(OR(I1056="DNB",I1056="Dry DNB"),1,0)</f>
        <v>0</v>
      </c>
      <c r="Z1056" s="46" t="n">
        <f aca="false">IF(ISNUMBER(W1056),A1056-W1056,"")</f>
        <v>100</v>
      </c>
      <c r="AA1056" s="46" t="n">
        <f aca="false">MATCH(A1056,DATAS,0)</f>
        <v>1</v>
      </c>
      <c r="AB1056" s="46" t="n">
        <f aca="false">IF(AND(E1056&gt;0,OR(AND(B1056&gt;=1,B1056&lt;=6),B1056=10)),1,0)</f>
        <v>1</v>
      </c>
      <c r="AC1056" s="46" t="n">
        <f aca="false">IF(AND(E1056&gt;0,B1056=10),1,0)</f>
        <v>0</v>
      </c>
      <c r="AD1056" s="0" t="str">
        <f aca="false">IF(AND(C1055=C1056,AA1055=AA1056-1),AB1055,"")</f>
        <v/>
      </c>
      <c r="AE1056" s="0" t="str">
        <f aca="false">IF(AND(C1055=C1056,AA1055=AA1056-1),AC1055,"")</f>
        <v/>
      </c>
      <c r="AF1056" s="0" t="str">
        <f aca="false">IF(AA1056=1,"",IF(AND(AB1056=1,AD1056&lt;&gt;1),1,0))</f>
        <v/>
      </c>
      <c r="AG1056" s="0" t="str">
        <f aca="false">IF(AA1056=1,"",IF(AND(AC1056=1,AE1056&lt;&gt;1),1,0))</f>
        <v/>
      </c>
      <c r="AH1056" s="51" t="str">
        <f aca="false">IF(AND(E1056&gt;0,AA1056&lt;1,NOT(AND(C1057=C1056,AA1057=AA1056+1))),INDEX(DATAS,AA1056+1),"")</f>
        <v/>
      </c>
      <c r="AI1056" s="51" t="str">
        <f aca="false">IF(AND(AC1056=1,AA1056&lt;1),IF(AND(C1057=C1056,AA1057=AA1056+1),IF(AC1057=1,"",INDEX(DATAS,AA1056+1)),INDEX(DATAS,AA1056+1)),"")</f>
        <v/>
      </c>
    </row>
    <row r="1057" customFormat="false" ht="15" hidden="false" customHeight="false" outlineLevel="0" collapsed="false">
      <c r="A1057" s="51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46" t="s">
        <v>786</v>
      </c>
      <c r="I1057" s="46" t="s">
        <v>157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51" t="n">
        <v>46067</v>
      </c>
      <c r="X1057" s="46" t="n">
        <f aca="false">IF(I1057="Male",0,1)</f>
        <v>1</v>
      </c>
      <c r="Y1057" s="46" t="n">
        <f aca="false">IF(OR(I1057="DNB",I1057="Dry DNB"),1,0)</f>
        <v>0</v>
      </c>
      <c r="Z1057" s="46" t="n">
        <f aca="false">IF(ISNUMBER(W1057),A1057-W1057,"")</f>
        <v>242</v>
      </c>
      <c r="AA1057" s="46" t="n">
        <f aca="false">MATCH(A1057,DATAS,0)</f>
        <v>1</v>
      </c>
      <c r="AB1057" s="46" t="n">
        <f aca="false">IF(AND(E1057&gt;0,OR(AND(B1057&gt;=1,B1057&lt;=6),B1057=10)),1,0)</f>
        <v>0</v>
      </c>
      <c r="AC1057" s="46" t="n">
        <f aca="false">IF(AND(E1057&gt;0,B1057=10),1,0)</f>
        <v>0</v>
      </c>
      <c r="AD1057" s="0" t="str">
        <f aca="false">IF(AND(C1056=C1057,AA1056=AA1057-1),AB1056,"")</f>
        <v/>
      </c>
      <c r="AE1057" s="0" t="str">
        <f aca="false">IF(AND(C1056=C1057,AA1056=AA1057-1),AC1056,"")</f>
        <v/>
      </c>
      <c r="AF1057" s="0" t="str">
        <f aca="false">IF(AA1057=1,"",IF(AND(AB1057=1,AD1057&lt;&gt;1),1,0))</f>
        <v/>
      </c>
      <c r="AG1057" s="0" t="str">
        <f aca="false">IF(AA1057=1,"",IF(AND(AC1057=1,AE1057&lt;&gt;1),1,0))</f>
        <v/>
      </c>
      <c r="AH1057" s="51" t="str">
        <f aca="false">IF(AND(E1057&gt;0,AA1057&lt;1,NOT(AND(C1058=C1057,AA1058=AA1057+1))),INDEX(DATAS,AA1057+1),"")</f>
        <v/>
      </c>
      <c r="AI1057" s="51" t="str">
        <f aca="false">IF(AND(AC1057=1,AA1057&lt;1),IF(AND(C1058=C1057,AA1058=AA1057+1),IF(AC1058=1,"",INDEX(DATAS,AA1057+1)),INDEX(DATAS,AA1057+1)),"")</f>
        <v/>
      </c>
    </row>
    <row r="1058" customFormat="false" ht="15" hidden="false" customHeight="false" outlineLevel="0" collapsed="false">
      <c r="A1058" s="51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46" t="s">
        <v>787</v>
      </c>
      <c r="G1058" s="0" t="n">
        <v>45.6</v>
      </c>
      <c r="H1058" s="0" t="n">
        <v>46</v>
      </c>
      <c r="I1058" s="46" t="s">
        <v>138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X1058" s="46" t="n">
        <f aca="false">IF(I1058="Male",0,1)</f>
        <v>1</v>
      </c>
      <c r="Y1058" s="46" t="n">
        <f aca="false">IF(OR(I1058="DNB",I1058="Dry DNB"),1,0)</f>
        <v>1</v>
      </c>
      <c r="Z1058" s="0" t="str">
        <f aca="false">IF(ISNUMBER(W1058),A1058-W1058,"")</f>
        <v/>
      </c>
      <c r="AA1058" s="46" t="n">
        <f aca="false">MATCH(A1058,DATAS,0)</f>
        <v>1</v>
      </c>
      <c r="AB1058" s="46" t="n">
        <f aca="false">IF(AND(E1058&gt;0,OR(AND(B1058&gt;=1,B1058&lt;=6),B1058=10)),1,0)</f>
        <v>1</v>
      </c>
      <c r="AC1058" s="46" t="n">
        <f aca="false">IF(AND(E1058&gt;0,B1058=10),1,0)</f>
        <v>0</v>
      </c>
      <c r="AD1058" s="0" t="str">
        <f aca="false">IF(AND(C1057=C1058,AA1057=AA1058-1),AB1057,"")</f>
        <v/>
      </c>
      <c r="AE1058" s="0" t="str">
        <f aca="false">IF(AND(C1057=C1058,AA1057=AA1058-1),AC1057,"")</f>
        <v/>
      </c>
      <c r="AF1058" s="0" t="str">
        <f aca="false">IF(AA1058=1,"",IF(AND(AB1058=1,AD1058&lt;&gt;1),1,0))</f>
        <v/>
      </c>
      <c r="AG1058" s="0" t="str">
        <f aca="false">IF(AA1058=1,"",IF(AND(AC1058=1,AE1058&lt;&gt;1),1,0))</f>
        <v/>
      </c>
      <c r="AH1058" s="51" t="str">
        <f aca="false">IF(AND(E1058&gt;0,AA1058&lt;1,NOT(AND(C1059=C1058,AA1059=AA1058+1))),INDEX(DATAS,AA1058+1),"")</f>
        <v/>
      </c>
      <c r="AI1058" s="51" t="str">
        <f aca="false">IF(AND(AC1058=1,AA1058&lt;1),IF(AND(C1059=C1058,AA1059=AA1058+1),IF(AC1059=1,"",INDEX(DATAS,AA1058+1)),INDEX(DATAS,AA1058+1)),"")</f>
        <v/>
      </c>
    </row>
    <row r="1059" customFormat="false" ht="15" hidden="false" customHeight="false" outlineLevel="0" collapsed="false">
      <c r="A1059" s="51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46" t="s">
        <v>787</v>
      </c>
      <c r="G1059" s="0" t="n">
        <v>43.4</v>
      </c>
      <c r="H1059" s="0" t="n">
        <v>43</v>
      </c>
      <c r="I1059" s="46" t="s">
        <v>152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51" t="n">
        <v>46156</v>
      </c>
      <c r="X1059" s="46" t="n">
        <f aca="false">IF(I1059="Male",0,1)</f>
        <v>1</v>
      </c>
      <c r="Y1059" s="46" t="n">
        <f aca="false">IF(OR(I1059="DNB",I1059="Dry DNB"),1,0)</f>
        <v>0</v>
      </c>
      <c r="Z1059" s="46" t="n">
        <f aca="false">IF(ISNUMBER(W1059),A1059-W1059,"")</f>
        <v>153</v>
      </c>
      <c r="AA1059" s="46" t="n">
        <f aca="false">MATCH(A1059,DATAS,0)</f>
        <v>1</v>
      </c>
      <c r="AB1059" s="46" t="n">
        <f aca="false">IF(AND(E1059&gt;0,OR(AND(B1059&gt;=1,B1059&lt;=6),B1059=10)),1,0)</f>
        <v>1</v>
      </c>
      <c r="AC1059" s="46" t="n">
        <f aca="false">IF(AND(E1059&gt;0,B1059=10),1,0)</f>
        <v>0</v>
      </c>
      <c r="AD1059" s="0" t="str">
        <f aca="false">IF(AND(C1058=C1059,AA1058=AA1059-1),AB1058,"")</f>
        <v/>
      </c>
      <c r="AE1059" s="0" t="str">
        <f aca="false">IF(AND(C1058=C1059,AA1058=AA1059-1),AC1058,"")</f>
        <v/>
      </c>
      <c r="AF1059" s="0" t="str">
        <f aca="false">IF(AA1059=1,"",IF(AND(AB1059=1,AD1059&lt;&gt;1),1,0))</f>
        <v/>
      </c>
      <c r="AG1059" s="0" t="str">
        <f aca="false">IF(AA1059=1,"",IF(AND(AC1059=1,AE1059&lt;&gt;1),1,0))</f>
        <v/>
      </c>
      <c r="AH1059" s="51" t="str">
        <f aca="false">IF(AND(E1059&gt;0,AA1059&lt;1,NOT(AND(C1060=C1059,AA1060=AA1059+1))),INDEX(DATAS,AA1059+1),"")</f>
        <v/>
      </c>
      <c r="AI1059" s="51" t="str">
        <f aca="false">IF(AND(AC1059=1,AA1059&lt;1),IF(AND(C1060=C1059,AA1060=AA1059+1),IF(AC1060=1,"",INDEX(DATAS,AA1059+1)),INDEX(DATAS,AA1059+1)),"")</f>
        <v/>
      </c>
    </row>
    <row r="1060" customFormat="false" ht="15" hidden="false" customHeight="false" outlineLevel="0" collapsed="false">
      <c r="A1060" s="51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46" t="s">
        <v>788</v>
      </c>
      <c r="G1060" s="0" t="n">
        <v>25</v>
      </c>
      <c r="H1060" s="0" t="n">
        <v>26</v>
      </c>
      <c r="I1060" s="46" t="s">
        <v>138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51" t="n">
        <v>46247</v>
      </c>
      <c r="X1060" s="46" t="n">
        <f aca="false">IF(I1060="Male",0,1)</f>
        <v>1</v>
      </c>
      <c r="Y1060" s="46" t="n">
        <f aca="false">IF(OR(I1060="DNB",I1060="Dry DNB"),1,0)</f>
        <v>1</v>
      </c>
      <c r="Z1060" s="46" t="n">
        <f aca="false">IF(ISNUMBER(W1060),A1060-W1060,"")</f>
        <v>62</v>
      </c>
      <c r="AA1060" s="46" t="n">
        <f aca="false">MATCH(A1060,DATAS,0)</f>
        <v>1</v>
      </c>
      <c r="AB1060" s="46" t="n">
        <f aca="false">IF(AND(E1060&gt;0,OR(AND(B1060&gt;=1,B1060&lt;=6),B1060=10)),1,0)</f>
        <v>1</v>
      </c>
      <c r="AC1060" s="46" t="n">
        <f aca="false">IF(AND(E1060&gt;0,B1060=10),1,0)</f>
        <v>1</v>
      </c>
      <c r="AD1060" s="0" t="str">
        <f aca="false">IF(AND(C1059=C1060,AA1059=AA1060-1),AB1059,"")</f>
        <v/>
      </c>
      <c r="AE1060" s="0" t="str">
        <f aca="false">IF(AND(C1059=C1060,AA1059=AA1060-1),AC1059,"")</f>
        <v/>
      </c>
      <c r="AF1060" s="0" t="str">
        <f aca="false">IF(AA1060=1,"",IF(AND(AB1060=1,AD1060&lt;&gt;1),1,0))</f>
        <v/>
      </c>
      <c r="AG1060" s="0" t="str">
        <f aca="false">IF(AA1060=1,"",IF(AND(AC1060=1,AE1060&lt;&gt;1),1,0))</f>
        <v/>
      </c>
      <c r="AH1060" s="51" t="str">
        <f aca="false">IF(AND(E1060&gt;0,AA1060&lt;1,NOT(AND(C1061=C1060,AA1061=AA1060+1))),INDEX(DATAS,AA1060+1),"")</f>
        <v/>
      </c>
      <c r="AI1060" s="51" t="str">
        <f aca="false">IF(AND(AC1060=1,AA1060&lt;1),IF(AND(C1061=C1060,AA1061=AA1060+1),IF(AC1061=1,"",INDEX(DATAS,AA1060+1)),INDEX(DATAS,AA1060+1)),"")</f>
        <v/>
      </c>
    </row>
    <row r="1061" customFormat="false" ht="15" hidden="false" customHeight="false" outlineLevel="0" collapsed="false">
      <c r="A1061" s="51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46" t="s">
        <v>788</v>
      </c>
      <c r="G1061" s="0" t="n">
        <v>24.7</v>
      </c>
      <c r="H1061" s="0" t="n">
        <v>24</v>
      </c>
      <c r="I1061" s="46" t="s">
        <v>152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51" t="n">
        <v>46240</v>
      </c>
      <c r="X1061" s="46" t="n">
        <f aca="false">IF(I1061="Male",0,1)</f>
        <v>1</v>
      </c>
      <c r="Y1061" s="46" t="n">
        <f aca="false">IF(OR(I1061="DNB",I1061="Dry DNB"),1,0)</f>
        <v>0</v>
      </c>
      <c r="Z1061" s="46" t="n">
        <f aca="false">IF(ISNUMBER(W1061),A1061-W1061,"")</f>
        <v>69</v>
      </c>
      <c r="AA1061" s="46" t="n">
        <f aca="false">MATCH(A1061,DATAS,0)</f>
        <v>1</v>
      </c>
      <c r="AB1061" s="46" t="n">
        <f aca="false">IF(AND(E1061&gt;0,OR(AND(B1061&gt;=1,B1061&lt;=6),B1061=10)),1,0)</f>
        <v>1</v>
      </c>
      <c r="AC1061" s="46" t="n">
        <f aca="false">IF(AND(E1061&gt;0,B1061=10),1,0)</f>
        <v>0</v>
      </c>
      <c r="AD1061" s="0" t="str">
        <f aca="false">IF(AND(C1060=C1061,AA1060=AA1061-1),AB1060,"")</f>
        <v/>
      </c>
      <c r="AE1061" s="0" t="str">
        <f aca="false">IF(AND(C1060=C1061,AA1060=AA1061-1),AC1060,"")</f>
        <v/>
      </c>
      <c r="AF1061" s="0" t="str">
        <f aca="false">IF(AA1061=1,"",IF(AND(AB1061=1,AD1061&lt;&gt;1),1,0))</f>
        <v/>
      </c>
      <c r="AG1061" s="0" t="str">
        <f aca="false">IF(AA1061=1,"",IF(AND(AC1061=1,AE1061&lt;&gt;1),1,0))</f>
        <v/>
      </c>
      <c r="AH1061" s="51" t="str">
        <f aca="false">IF(AND(E1061&gt;0,AA1061&lt;1,NOT(AND(C1062=C1061,AA1062=AA1061+1))),INDEX(DATAS,AA1061+1),"")</f>
        <v/>
      </c>
      <c r="AI1061" s="51" t="str">
        <f aca="false">IF(AND(AC1061=1,AA1061&lt;1),IF(AND(C1062=C1061,AA1062=AA1061+1),IF(AC1062=1,"",INDEX(DATAS,AA1061+1)),INDEX(DATAS,AA1061+1)),"")</f>
        <v/>
      </c>
    </row>
    <row r="1062" customFormat="false" ht="15" hidden="false" customHeight="false" outlineLevel="0" collapsed="false">
      <c r="A1062" s="51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46" t="s">
        <v>788</v>
      </c>
      <c r="G1062" s="0" t="n">
        <v>50.2</v>
      </c>
      <c r="H1062" s="0" t="n">
        <v>45</v>
      </c>
      <c r="I1062" s="46" t="s">
        <v>152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51" t="n">
        <v>46275</v>
      </c>
      <c r="X1062" s="46" t="n">
        <f aca="false">IF(I1062="Male",0,1)</f>
        <v>1</v>
      </c>
      <c r="Y1062" s="46" t="n">
        <f aca="false">IF(OR(I1062="DNB",I1062="Dry DNB"),1,0)</f>
        <v>0</v>
      </c>
      <c r="Z1062" s="46" t="n">
        <f aca="false">IF(ISNUMBER(W1062),A1062-W1062,"")</f>
        <v>34</v>
      </c>
      <c r="AA1062" s="46" t="n">
        <f aca="false">MATCH(A1062,DATAS,0)</f>
        <v>1</v>
      </c>
      <c r="AB1062" s="46" t="n">
        <f aca="false">IF(AND(E1062&gt;0,OR(AND(B1062&gt;=1,B1062&lt;=6),B1062=10)),1,0)</f>
        <v>1</v>
      </c>
      <c r="AC1062" s="46" t="n">
        <f aca="false">IF(AND(E1062&gt;0,B1062=10),1,0)</f>
        <v>0</v>
      </c>
      <c r="AD1062" s="0" t="str">
        <f aca="false">IF(AND(C1061=C1062,AA1061=AA1062-1),AB1061,"")</f>
        <v/>
      </c>
      <c r="AE1062" s="0" t="str">
        <f aca="false">IF(AND(C1061=C1062,AA1061=AA1062-1),AC1061,"")</f>
        <v/>
      </c>
      <c r="AF1062" s="0" t="str">
        <f aca="false">IF(AA1062=1,"",IF(AND(AB1062=1,AD1062&lt;&gt;1),1,0))</f>
        <v/>
      </c>
      <c r="AG1062" s="0" t="str">
        <f aca="false">IF(AA1062=1,"",IF(AND(AC1062=1,AE1062&lt;&gt;1),1,0))</f>
        <v/>
      </c>
      <c r="AH1062" s="51" t="str">
        <f aca="false">IF(AND(E1062&gt;0,AA1062&lt;1,NOT(AND(C1063=C1062,AA1063=AA1062+1))),INDEX(DATAS,AA1062+1),"")</f>
        <v/>
      </c>
      <c r="AI1062" s="51" t="str">
        <f aca="false">IF(AND(AC1062=1,AA1062&lt;1),IF(AND(C1063=C1062,AA1063=AA1062+1),IF(AC1063=1,"",INDEX(DATAS,AA1062+1)),INDEX(DATAS,AA1062+1)),"")</f>
        <v/>
      </c>
    </row>
    <row r="1063" customFormat="false" ht="15" hidden="false" customHeight="false" outlineLevel="0" collapsed="false">
      <c r="A1063" s="51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46" t="s">
        <v>789</v>
      </c>
      <c r="G1063" s="0" t="n">
        <v>45</v>
      </c>
      <c r="H1063" s="0" t="n">
        <v>40</v>
      </c>
      <c r="I1063" s="46" t="s">
        <v>161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X1063" s="46" t="n">
        <f aca="false">IF(I1063="Male",0,1)</f>
        <v>1</v>
      </c>
      <c r="Y1063" s="46" t="n">
        <f aca="false">IF(OR(I1063="DNB",I1063="Dry DNB"),1,0)</f>
        <v>0</v>
      </c>
      <c r="Z1063" s="0" t="str">
        <f aca="false">IF(ISNUMBER(W1063),A1063-W1063,"")</f>
        <v/>
      </c>
      <c r="AA1063" s="46" t="n">
        <f aca="false">MATCH(A1063,DATAS,0)</f>
        <v>1</v>
      </c>
      <c r="AB1063" s="46" t="n">
        <f aca="false">IF(AND(E1063&gt;0,OR(AND(B1063&gt;=1,B1063&lt;=6),B1063=10)),1,0)</f>
        <v>1</v>
      </c>
      <c r="AC1063" s="46" t="n">
        <f aca="false">IF(AND(E1063&gt;0,B1063=10),1,0)</f>
        <v>0</v>
      </c>
      <c r="AD1063" s="0" t="str">
        <f aca="false">IF(AND(C1062=C1063,AA1062=AA1063-1),AB1062,"")</f>
        <v/>
      </c>
      <c r="AE1063" s="0" t="str">
        <f aca="false">IF(AND(C1062=C1063,AA1062=AA1063-1),AC1062,"")</f>
        <v/>
      </c>
      <c r="AF1063" s="0" t="str">
        <f aca="false">IF(AA1063=1,"",IF(AND(AB1063=1,AD1063&lt;&gt;1),1,0))</f>
        <v/>
      </c>
      <c r="AG1063" s="0" t="str">
        <f aca="false">IF(AA1063=1,"",IF(AND(AC1063=1,AE1063&lt;&gt;1),1,0))</f>
        <v/>
      </c>
      <c r="AH1063" s="51" t="str">
        <f aca="false">IF(AND(E1063&gt;0,AA1063&lt;1,NOT(AND(C1064=C1063,AA1064=AA1063+1))),INDEX(DATAS,AA1063+1),"")</f>
        <v/>
      </c>
      <c r="AI1063" s="51" t="str">
        <f aca="false">IF(AND(AC1063=1,AA1063&lt;1),IF(AND(C1064=C1063,AA1064=AA1063+1),IF(AC1064=1,"",INDEX(DATAS,AA1063+1)),INDEX(DATAS,AA1063+1)),"")</f>
        <v/>
      </c>
    </row>
    <row r="1064" customFormat="false" ht="15" hidden="false" customHeight="false" outlineLevel="0" collapsed="false">
      <c r="A1064" s="51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46" t="s">
        <v>789</v>
      </c>
      <c r="I1064" s="46" t="s">
        <v>157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51" t="n">
        <v>46037</v>
      </c>
      <c r="X1064" s="46" t="n">
        <f aca="false">IF(I1064="Male",0,1)</f>
        <v>1</v>
      </c>
      <c r="Y1064" s="46" t="n">
        <f aca="false">IF(OR(I1064="DNB",I1064="Dry DNB"),1,0)</f>
        <v>0</v>
      </c>
      <c r="Z1064" s="46" t="n">
        <f aca="false">IF(ISNUMBER(W1064),A1064-W1064,"")</f>
        <v>272</v>
      </c>
      <c r="AA1064" s="46" t="n">
        <f aca="false">MATCH(A1064,DATAS,0)</f>
        <v>1</v>
      </c>
      <c r="AB1064" s="46" t="n">
        <f aca="false">IF(AND(E1064&gt;0,OR(AND(B1064&gt;=1,B1064&lt;=6),B1064=10)),1,0)</f>
        <v>0</v>
      </c>
      <c r="AC1064" s="46" t="n">
        <f aca="false">IF(AND(E1064&gt;0,B1064=10),1,0)</f>
        <v>0</v>
      </c>
      <c r="AD1064" s="0" t="str">
        <f aca="false">IF(AND(C1063=C1064,AA1063=AA1064-1),AB1063,"")</f>
        <v/>
      </c>
      <c r="AE1064" s="0" t="str">
        <f aca="false">IF(AND(C1063=C1064,AA1063=AA1064-1),AC1063,"")</f>
        <v/>
      </c>
      <c r="AF1064" s="0" t="str">
        <f aca="false">IF(AA1064=1,"",IF(AND(AB1064=1,AD1064&lt;&gt;1),1,0))</f>
        <v/>
      </c>
      <c r="AG1064" s="0" t="str">
        <f aca="false">IF(AA1064=1,"",IF(AND(AC1064=1,AE1064&lt;&gt;1),1,0))</f>
        <v/>
      </c>
      <c r="AH1064" s="51" t="str">
        <f aca="false">IF(AND(E1064&gt;0,AA1064&lt;1,NOT(AND(C1065=C1064,AA1065=AA1064+1))),INDEX(DATAS,AA1064+1),"")</f>
        <v/>
      </c>
      <c r="AI1064" s="51" t="str">
        <f aca="false">IF(AND(AC1064=1,AA1064&lt;1),IF(AND(C1065=C1064,AA1065=AA1064+1),IF(AC1065=1,"",INDEX(DATAS,AA1064+1)),INDEX(DATAS,AA1064+1)),"")</f>
        <v/>
      </c>
    </row>
    <row r="1065" customFormat="false" ht="15" hidden="false" customHeight="false" outlineLevel="0" collapsed="false">
      <c r="A1065" s="51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46" t="s">
        <v>790</v>
      </c>
      <c r="G1065" s="0" t="n">
        <v>44</v>
      </c>
      <c r="H1065" s="0" t="n">
        <v>41</v>
      </c>
      <c r="I1065" s="46" t="s">
        <v>152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51" t="n">
        <v>46276</v>
      </c>
      <c r="X1065" s="46" t="n">
        <f aca="false">IF(I1065="Male",0,1)</f>
        <v>1</v>
      </c>
      <c r="Y1065" s="46" t="n">
        <f aca="false">IF(OR(I1065="DNB",I1065="Dry DNB"),1,0)</f>
        <v>0</v>
      </c>
      <c r="Z1065" s="46" t="n">
        <f aca="false">IF(ISNUMBER(W1065),A1065-W1065,"")</f>
        <v>33</v>
      </c>
      <c r="AA1065" s="46" t="n">
        <f aca="false">MATCH(A1065,DATAS,0)</f>
        <v>1</v>
      </c>
      <c r="AB1065" s="46" t="n">
        <f aca="false">IF(AND(E1065&gt;0,OR(AND(B1065&gt;=1,B1065&lt;=6),B1065=10)),1,0)</f>
        <v>1</v>
      </c>
      <c r="AC1065" s="46" t="n">
        <f aca="false">IF(AND(E1065&gt;0,B1065=10),1,0)</f>
        <v>0</v>
      </c>
      <c r="AD1065" s="0" t="str">
        <f aca="false">IF(AND(C1064=C1065,AA1064=AA1065-1),AB1064,"")</f>
        <v/>
      </c>
      <c r="AE1065" s="0" t="str">
        <f aca="false">IF(AND(C1064=C1065,AA1064=AA1065-1),AC1064,"")</f>
        <v/>
      </c>
      <c r="AF1065" s="0" t="str">
        <f aca="false">IF(AA1065=1,"",IF(AND(AB1065=1,AD1065&lt;&gt;1),1,0))</f>
        <v/>
      </c>
      <c r="AG1065" s="0" t="str">
        <f aca="false">IF(AA1065=1,"",IF(AND(AC1065=1,AE1065&lt;&gt;1),1,0))</f>
        <v/>
      </c>
      <c r="AH1065" s="51" t="str">
        <f aca="false">IF(AND(E1065&gt;0,AA1065&lt;1,NOT(AND(C1066=C1065,AA1066=AA1065+1))),INDEX(DATAS,AA1065+1),"")</f>
        <v/>
      </c>
      <c r="AI1065" s="51" t="str">
        <f aca="false">IF(AND(AC1065=1,AA1065&lt;1),IF(AND(C1066=C1065,AA1066=AA1065+1),IF(AC1066=1,"",INDEX(DATAS,AA1065+1)),INDEX(DATAS,AA1065+1)),"")</f>
        <v/>
      </c>
    </row>
    <row r="1066" customFormat="false" ht="15" hidden="false" customHeight="false" outlineLevel="0" collapsed="false">
      <c r="A1066" s="51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46" t="s">
        <v>790</v>
      </c>
      <c r="G1066" s="0" t="n">
        <v>56.6</v>
      </c>
      <c r="H1066" s="0" t="n">
        <v>65</v>
      </c>
      <c r="I1066" s="46" t="s">
        <v>189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51" t="n">
        <v>46268</v>
      </c>
      <c r="X1066" s="46" t="n">
        <f aca="false">IF(I1066="Male",0,1)</f>
        <v>1</v>
      </c>
      <c r="Y1066" s="46" t="n">
        <f aca="false">IF(OR(I1066="DNB",I1066="Dry DNB"),1,0)</f>
        <v>0</v>
      </c>
      <c r="Z1066" s="46" t="n">
        <f aca="false">IF(ISNUMBER(W1066),A1066-W1066,"")</f>
        <v>41</v>
      </c>
      <c r="AA1066" s="46" t="n">
        <f aca="false">MATCH(A1066,DATAS,0)</f>
        <v>1</v>
      </c>
      <c r="AB1066" s="46" t="n">
        <f aca="false">IF(AND(E1066&gt;0,OR(AND(B1066&gt;=1,B1066&lt;=6),B1066=10)),1,0)</f>
        <v>1</v>
      </c>
      <c r="AC1066" s="46" t="n">
        <f aca="false">IF(AND(E1066&gt;0,B1066=10),1,0)</f>
        <v>0</v>
      </c>
      <c r="AD1066" s="0" t="str">
        <f aca="false">IF(AND(C1065=C1066,AA1065=AA1066-1),AB1065,"")</f>
        <v/>
      </c>
      <c r="AE1066" s="0" t="str">
        <f aca="false">IF(AND(C1065=C1066,AA1065=AA1066-1),AC1065,"")</f>
        <v/>
      </c>
      <c r="AF1066" s="0" t="str">
        <f aca="false">IF(AA1066=1,"",IF(AND(AB1066=1,AD1066&lt;&gt;1),1,0))</f>
        <v/>
      </c>
      <c r="AG1066" s="0" t="str">
        <f aca="false">IF(AA1066=1,"",IF(AND(AC1066=1,AE1066&lt;&gt;1),1,0))</f>
        <v/>
      </c>
      <c r="AH1066" s="51" t="str">
        <f aca="false">IF(AND(E1066&gt;0,AA1066&lt;1,NOT(AND(C1067=C1066,AA1067=AA1066+1))),INDEX(DATAS,AA1066+1),"")</f>
        <v/>
      </c>
      <c r="AI1066" s="51" t="str">
        <f aca="false">IF(AND(AC1066=1,AA1066&lt;1),IF(AND(C1067=C1066,AA1067=AA1066+1),IF(AC1067=1,"",INDEX(DATAS,AA1066+1)),INDEX(DATAS,AA1066+1)),"")</f>
        <v/>
      </c>
    </row>
    <row r="1067" customFormat="false" ht="15" hidden="false" customHeight="false" outlineLevel="0" collapsed="false">
      <c r="A1067" s="51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46" t="s">
        <v>790</v>
      </c>
      <c r="G1067" s="0" t="n">
        <v>51.9</v>
      </c>
      <c r="H1067" s="0" t="n">
        <v>48</v>
      </c>
      <c r="I1067" s="46" t="s">
        <v>152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51" t="n">
        <v>46233</v>
      </c>
      <c r="X1067" s="46" t="n">
        <f aca="false">IF(I1067="Male",0,1)</f>
        <v>1</v>
      </c>
      <c r="Y1067" s="46" t="n">
        <f aca="false">IF(OR(I1067="DNB",I1067="Dry DNB"),1,0)</f>
        <v>0</v>
      </c>
      <c r="Z1067" s="46" t="n">
        <f aca="false">IF(ISNUMBER(W1067),A1067-W1067,"")</f>
        <v>76</v>
      </c>
      <c r="AA1067" s="46" t="n">
        <f aca="false">MATCH(A1067,DATAS,0)</f>
        <v>1</v>
      </c>
      <c r="AB1067" s="46" t="n">
        <f aca="false">IF(AND(E1067&gt;0,OR(AND(B1067&gt;=1,B1067&lt;=6),B1067=10)),1,0)</f>
        <v>1</v>
      </c>
      <c r="AC1067" s="46" t="n">
        <f aca="false">IF(AND(E1067&gt;0,B1067=10),1,0)</f>
        <v>0</v>
      </c>
      <c r="AD1067" s="0" t="str">
        <f aca="false">IF(AND(C1066=C1067,AA1066=AA1067-1),AB1066,"")</f>
        <v/>
      </c>
      <c r="AE1067" s="0" t="str">
        <f aca="false">IF(AND(C1066=C1067,AA1066=AA1067-1),AC1066,"")</f>
        <v/>
      </c>
      <c r="AF1067" s="0" t="str">
        <f aca="false">IF(AA1067=1,"",IF(AND(AB1067=1,AD1067&lt;&gt;1),1,0))</f>
        <v/>
      </c>
      <c r="AG1067" s="0" t="str">
        <f aca="false">IF(AA1067=1,"",IF(AND(AC1067=1,AE1067&lt;&gt;1),1,0))</f>
        <v/>
      </c>
      <c r="AH1067" s="51" t="str">
        <f aca="false">IF(AND(E1067&gt;0,AA1067&lt;1,NOT(AND(C1068=C1067,AA1068=AA1067+1))),INDEX(DATAS,AA1067+1),"")</f>
        <v/>
      </c>
      <c r="AI1067" s="51" t="str">
        <f aca="false">IF(AND(AC1067=1,AA1067&lt;1),IF(AND(C1068=C1067,AA1068=AA1067+1),IF(AC1068=1,"",INDEX(DATAS,AA1067+1)),INDEX(DATAS,AA1067+1)),"")</f>
        <v/>
      </c>
    </row>
    <row r="1068" customFormat="false" ht="15" hidden="false" customHeight="false" outlineLevel="0" collapsed="false">
      <c r="A1068" s="51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46" t="s">
        <v>791</v>
      </c>
      <c r="G1068" s="0" t="n">
        <v>46.8</v>
      </c>
      <c r="H1068" s="0" t="n">
        <v>50</v>
      </c>
      <c r="I1068" s="46" t="s">
        <v>161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X1068" s="46" t="n">
        <f aca="false">IF(I1068="Male",0,1)</f>
        <v>1</v>
      </c>
      <c r="Y1068" s="46" t="n">
        <f aca="false">IF(OR(I1068="DNB",I1068="Dry DNB"),1,0)</f>
        <v>0</v>
      </c>
      <c r="Z1068" s="0" t="str">
        <f aca="false">IF(ISNUMBER(W1068),A1068-W1068,"")</f>
        <v/>
      </c>
      <c r="AA1068" s="46" t="n">
        <f aca="false">MATCH(A1068,DATAS,0)</f>
        <v>1</v>
      </c>
      <c r="AB1068" s="46" t="n">
        <f aca="false">IF(AND(E1068&gt;0,OR(AND(B1068&gt;=1,B1068&lt;=6),B1068=10)),1,0)</f>
        <v>1</v>
      </c>
      <c r="AC1068" s="46" t="n">
        <f aca="false">IF(AND(E1068&gt;0,B1068=10),1,0)</f>
        <v>0</v>
      </c>
      <c r="AD1068" s="0" t="str">
        <f aca="false">IF(AND(C1067=C1068,AA1067=AA1068-1),AB1067,"")</f>
        <v/>
      </c>
      <c r="AE1068" s="0" t="str">
        <f aca="false">IF(AND(C1067=C1068,AA1067=AA1068-1),AC1067,"")</f>
        <v/>
      </c>
      <c r="AF1068" s="0" t="str">
        <f aca="false">IF(AA1068=1,"",IF(AND(AB1068=1,AD1068&lt;&gt;1),1,0))</f>
        <v/>
      </c>
      <c r="AG1068" s="0" t="str">
        <f aca="false">IF(AA1068=1,"",IF(AND(AC1068=1,AE1068&lt;&gt;1),1,0))</f>
        <v/>
      </c>
      <c r="AH1068" s="51" t="str">
        <f aca="false">IF(AND(E1068&gt;0,AA1068&lt;1,NOT(AND(C1069=C1068,AA1069=AA1068+1))),INDEX(DATAS,AA1068+1),"")</f>
        <v/>
      </c>
      <c r="AI1068" s="51" t="str">
        <f aca="false">IF(AND(AC1068=1,AA1068&lt;1),IF(AND(C1069=C1068,AA1069=AA1068+1),IF(AC1069=1,"",INDEX(DATAS,AA1068+1)),INDEX(DATAS,AA1068+1)),"")</f>
        <v/>
      </c>
    </row>
    <row r="1069" customFormat="false" ht="15" hidden="false" customHeight="false" outlineLevel="0" collapsed="false">
      <c r="A1069" s="51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46" t="s">
        <v>791</v>
      </c>
      <c r="G1069" s="0" t="n">
        <v>41.8</v>
      </c>
      <c r="H1069" s="0" t="n">
        <v>38</v>
      </c>
      <c r="I1069" s="46" t="s">
        <v>161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X1069" s="46" t="n">
        <f aca="false">IF(I1069="Male",0,1)</f>
        <v>1</v>
      </c>
      <c r="Y1069" s="46" t="n">
        <f aca="false">IF(OR(I1069="DNB",I1069="Dry DNB"),1,0)</f>
        <v>0</v>
      </c>
      <c r="Z1069" s="0" t="str">
        <f aca="false">IF(ISNUMBER(W1069),A1069-W1069,"")</f>
        <v/>
      </c>
      <c r="AA1069" s="46" t="n">
        <f aca="false">MATCH(A1069,DATAS,0)</f>
        <v>1</v>
      </c>
      <c r="AB1069" s="46" t="n">
        <f aca="false">IF(AND(E1069&gt;0,OR(AND(B1069&gt;=1,B1069&lt;=6),B1069=10)),1,0)</f>
        <v>1</v>
      </c>
      <c r="AC1069" s="46" t="n">
        <f aca="false">IF(AND(E1069&gt;0,B1069=10),1,0)</f>
        <v>0</v>
      </c>
      <c r="AD1069" s="0" t="str">
        <f aca="false">IF(AND(C1068=C1069,AA1068=AA1069-1),AB1068,"")</f>
        <v/>
      </c>
      <c r="AE1069" s="0" t="str">
        <f aca="false">IF(AND(C1068=C1069,AA1068=AA1069-1),AC1068,"")</f>
        <v/>
      </c>
      <c r="AF1069" s="0" t="str">
        <f aca="false">IF(AA1069=1,"",IF(AND(AB1069=1,AD1069&lt;&gt;1),1,0))</f>
        <v/>
      </c>
      <c r="AG1069" s="0" t="str">
        <f aca="false">IF(AA1069=1,"",IF(AND(AC1069=1,AE1069&lt;&gt;1),1,0))</f>
        <v/>
      </c>
      <c r="AH1069" s="51" t="str">
        <f aca="false">IF(AND(E1069&gt;0,AA1069&lt;1,NOT(AND(C1070=C1069,AA1070=AA1069+1))),INDEX(DATAS,AA1069+1),"")</f>
        <v/>
      </c>
      <c r="AI1069" s="51" t="str">
        <f aca="false">IF(AND(AC1069=1,AA1069&lt;1),IF(AND(C1070=C1069,AA1070=AA1069+1),IF(AC1070=1,"",INDEX(DATAS,AA1069+1)),INDEX(DATAS,AA1069+1)),"")</f>
        <v/>
      </c>
    </row>
    <row r="1070" customFormat="false" ht="15" hidden="false" customHeight="false" outlineLevel="0" collapsed="false">
      <c r="A1070" s="51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46" t="s">
        <v>791</v>
      </c>
      <c r="G1070" s="0" t="n">
        <v>25.5</v>
      </c>
      <c r="H1070" s="0" t="n">
        <v>28</v>
      </c>
      <c r="I1070" s="46" t="s">
        <v>161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X1070" s="46" t="n">
        <f aca="false">IF(I1070="Male",0,1)</f>
        <v>1</v>
      </c>
      <c r="Y1070" s="46" t="n">
        <f aca="false">IF(OR(I1070="DNB",I1070="Dry DNB"),1,0)</f>
        <v>0</v>
      </c>
      <c r="Z1070" s="0" t="str">
        <f aca="false">IF(ISNUMBER(W1070),A1070-W1070,"")</f>
        <v/>
      </c>
      <c r="AA1070" s="46" t="n">
        <f aca="false">MATCH(A1070,DATAS,0)</f>
        <v>1</v>
      </c>
      <c r="AB1070" s="46" t="n">
        <f aca="false">IF(AND(E1070&gt;0,OR(AND(B1070&gt;=1,B1070&lt;=6),B1070=10)),1,0)</f>
        <v>1</v>
      </c>
      <c r="AC1070" s="46" t="n">
        <f aca="false">IF(AND(E1070&gt;0,B1070=10),1,0)</f>
        <v>0</v>
      </c>
      <c r="AD1070" s="0" t="str">
        <f aca="false">IF(AND(C1069=C1070,AA1069=AA1070-1),AB1069,"")</f>
        <v/>
      </c>
      <c r="AE1070" s="0" t="str">
        <f aca="false">IF(AND(C1069=C1070,AA1069=AA1070-1),AC1069,"")</f>
        <v/>
      </c>
      <c r="AF1070" s="0" t="str">
        <f aca="false">IF(AA1070=1,"",IF(AND(AB1070=1,AD1070&lt;&gt;1),1,0))</f>
        <v/>
      </c>
      <c r="AG1070" s="0" t="str">
        <f aca="false">IF(AA1070=1,"",IF(AND(AC1070=1,AE1070&lt;&gt;1),1,0))</f>
        <v/>
      </c>
      <c r="AH1070" s="51" t="str">
        <f aca="false">IF(AND(E1070&gt;0,AA1070&lt;1,NOT(AND(C1071=C1070,AA1071=AA1070+1))),INDEX(DATAS,AA1070+1),"")</f>
        <v/>
      </c>
      <c r="AI1070" s="51" t="str">
        <f aca="false">IF(AND(AC1070=1,AA1070&lt;1),IF(AND(C1071=C1070,AA1071=AA1070+1),IF(AC1071=1,"",INDEX(DATAS,AA1070+1)),INDEX(DATAS,AA1070+1)),"")</f>
        <v/>
      </c>
    </row>
    <row r="1071" customFormat="false" ht="15" hidden="false" customHeight="false" outlineLevel="0" collapsed="false">
      <c r="A1071" s="51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46" t="s">
        <v>792</v>
      </c>
      <c r="G1071" s="0" t="n">
        <v>51</v>
      </c>
      <c r="H1071" s="0" t="n">
        <v>43</v>
      </c>
      <c r="I1071" s="46" t="s">
        <v>161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X1071" s="46" t="n">
        <f aca="false">IF(I1071="Male",0,1)</f>
        <v>1</v>
      </c>
      <c r="Y1071" s="46" t="n">
        <f aca="false">IF(OR(I1071="DNB",I1071="Dry DNB"),1,0)</f>
        <v>0</v>
      </c>
      <c r="Z1071" s="0" t="str">
        <f aca="false">IF(ISNUMBER(W1071),A1071-W1071,"")</f>
        <v/>
      </c>
      <c r="AA1071" s="46" t="n">
        <f aca="false">MATCH(A1071,DATAS,0)</f>
        <v>1</v>
      </c>
      <c r="AB1071" s="46" t="n">
        <f aca="false">IF(AND(E1071&gt;0,OR(AND(B1071&gt;=1,B1071&lt;=6),B1071=10)),1,0)</f>
        <v>1</v>
      </c>
      <c r="AC1071" s="46" t="n">
        <f aca="false">IF(AND(E1071&gt;0,B1071=10),1,0)</f>
        <v>0</v>
      </c>
      <c r="AD1071" s="0" t="str">
        <f aca="false">IF(AND(C1070=C1071,AA1070=AA1071-1),AB1070,"")</f>
        <v/>
      </c>
      <c r="AE1071" s="0" t="str">
        <f aca="false">IF(AND(C1070=C1071,AA1070=AA1071-1),AC1070,"")</f>
        <v/>
      </c>
      <c r="AF1071" s="0" t="str">
        <f aca="false">IF(AA1071=1,"",IF(AND(AB1071=1,AD1071&lt;&gt;1),1,0))</f>
        <v/>
      </c>
      <c r="AG1071" s="0" t="str">
        <f aca="false">IF(AA1071=1,"",IF(AND(AC1071=1,AE1071&lt;&gt;1),1,0))</f>
        <v/>
      </c>
      <c r="AH1071" s="51" t="str">
        <f aca="false">IF(AND(E1071&gt;0,AA1071&lt;1,NOT(AND(C1072=C1071,AA1072=AA1071+1))),INDEX(DATAS,AA1071+1),"")</f>
        <v/>
      </c>
      <c r="AI1071" s="51" t="str">
        <f aca="false">IF(AND(AC1071=1,AA1071&lt;1),IF(AND(C1072=C1071,AA1072=AA1071+1),IF(AC1072=1,"",INDEX(DATAS,AA1071+1)),INDEX(DATAS,AA1071+1)),"")</f>
        <v/>
      </c>
    </row>
    <row r="1072" customFormat="false" ht="15" hidden="false" customHeight="false" outlineLevel="0" collapsed="false">
      <c r="A1072" s="51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46" t="s">
        <v>792</v>
      </c>
      <c r="G1072" s="0" t="n">
        <v>36.7</v>
      </c>
      <c r="H1072" s="0" t="n">
        <v>34</v>
      </c>
      <c r="I1072" s="46" t="s">
        <v>161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X1072" s="46" t="n">
        <f aca="false">IF(I1072="Male",0,1)</f>
        <v>1</v>
      </c>
      <c r="Y1072" s="46" t="n">
        <f aca="false">IF(OR(I1072="DNB",I1072="Dry DNB"),1,0)</f>
        <v>0</v>
      </c>
      <c r="Z1072" s="0" t="str">
        <f aca="false">IF(ISNUMBER(W1072),A1072-W1072,"")</f>
        <v/>
      </c>
      <c r="AA1072" s="46" t="n">
        <f aca="false">MATCH(A1072,DATAS,0)</f>
        <v>1</v>
      </c>
      <c r="AB1072" s="46" t="n">
        <f aca="false">IF(AND(E1072&gt;0,OR(AND(B1072&gt;=1,B1072&lt;=6),B1072=10)),1,0)</f>
        <v>1</v>
      </c>
      <c r="AC1072" s="46" t="n">
        <f aca="false">IF(AND(E1072&gt;0,B1072=10),1,0)</f>
        <v>0</v>
      </c>
      <c r="AD1072" s="0" t="str">
        <f aca="false">IF(AND(C1071=C1072,AA1071=AA1072-1),AB1071,"")</f>
        <v/>
      </c>
      <c r="AE1072" s="0" t="str">
        <f aca="false">IF(AND(C1071=C1072,AA1071=AA1072-1),AC1071,"")</f>
        <v/>
      </c>
      <c r="AF1072" s="0" t="str">
        <f aca="false">IF(AA1072=1,"",IF(AND(AB1072=1,AD1072&lt;&gt;1),1,0))</f>
        <v/>
      </c>
      <c r="AG1072" s="0" t="str">
        <f aca="false">IF(AA1072=1,"",IF(AND(AC1072=1,AE1072&lt;&gt;1),1,0))</f>
        <v/>
      </c>
      <c r="AH1072" s="51" t="str">
        <f aca="false">IF(AND(E1072&gt;0,AA1072&lt;1,NOT(AND(C1073=C1072,AA1073=AA1072+1))),INDEX(DATAS,AA1072+1),"")</f>
        <v/>
      </c>
      <c r="AI1072" s="51" t="str">
        <f aca="false">IF(AND(AC1072=1,AA1072&lt;1),IF(AND(C1073=C1072,AA1073=AA1072+1),IF(AC1073=1,"",INDEX(DATAS,AA1072+1)),INDEX(DATAS,AA1072+1)),"")</f>
        <v/>
      </c>
    </row>
    <row r="1073" customFormat="false" ht="15" hidden="false" customHeight="false" outlineLevel="0" collapsed="false">
      <c r="A1073" s="51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46" t="s">
        <v>792</v>
      </c>
      <c r="G1073" s="0" t="n">
        <v>39.8</v>
      </c>
      <c r="H1073" s="0" t="n">
        <v>39</v>
      </c>
      <c r="I1073" s="46" t="s">
        <v>181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51" t="n">
        <v>46282</v>
      </c>
      <c r="X1073" s="46" t="n">
        <f aca="false">IF(I1073="Male",0,1)</f>
        <v>1</v>
      </c>
      <c r="Y1073" s="46" t="n">
        <f aca="false">IF(OR(I1073="DNB",I1073="Dry DNB"),1,0)</f>
        <v>0</v>
      </c>
      <c r="Z1073" s="46" t="n">
        <f aca="false">IF(ISNUMBER(W1073),A1073-W1073,"")</f>
        <v>27</v>
      </c>
      <c r="AA1073" s="46" t="n">
        <f aca="false">MATCH(A1073,DATAS,0)</f>
        <v>1</v>
      </c>
      <c r="AB1073" s="46" t="n">
        <f aca="false">IF(AND(E1073&gt;0,OR(AND(B1073&gt;=1,B1073&lt;=6),B1073=10)),1,0)</f>
        <v>1</v>
      </c>
      <c r="AC1073" s="46" t="n">
        <f aca="false">IF(AND(E1073&gt;0,B1073=10),1,0)</f>
        <v>0</v>
      </c>
      <c r="AD1073" s="0" t="str">
        <f aca="false">IF(AND(C1072=C1073,AA1072=AA1073-1),AB1072,"")</f>
        <v/>
      </c>
      <c r="AE1073" s="0" t="str">
        <f aca="false">IF(AND(C1072=C1073,AA1072=AA1073-1),AC1072,"")</f>
        <v/>
      </c>
      <c r="AF1073" s="0" t="str">
        <f aca="false">IF(AA1073=1,"",IF(AND(AB1073=1,AD1073&lt;&gt;1),1,0))</f>
        <v/>
      </c>
      <c r="AG1073" s="0" t="str">
        <f aca="false">IF(AA1073=1,"",IF(AND(AC1073=1,AE1073&lt;&gt;1),1,0))</f>
        <v/>
      </c>
      <c r="AH1073" s="51" t="str">
        <f aca="false">IF(AND(E1073&gt;0,AA1073&lt;1,NOT(AND(C1074=C1073,AA1074=AA1073+1))),INDEX(DATAS,AA1073+1),"")</f>
        <v/>
      </c>
      <c r="AI1073" s="51" t="str">
        <f aca="false">IF(AND(AC1073=1,AA1073&lt;1),IF(AND(C1074=C1073,AA1074=AA1073+1),IF(AC1074=1,"",INDEX(DATAS,AA1073+1)),INDEX(DATAS,AA1073+1)),"")</f>
        <v/>
      </c>
    </row>
    <row r="1074" customFormat="false" ht="15" hidden="false" customHeight="false" outlineLevel="0" collapsed="false">
      <c r="A1074" s="51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46" t="s">
        <v>792</v>
      </c>
      <c r="I1074" s="46" t="s">
        <v>157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51" t="n">
        <v>46037</v>
      </c>
      <c r="X1074" s="46" t="n">
        <f aca="false">IF(I1074="Male",0,1)</f>
        <v>1</v>
      </c>
      <c r="Y1074" s="46" t="n">
        <f aca="false">IF(OR(I1074="DNB",I1074="Dry DNB"),1,0)</f>
        <v>0</v>
      </c>
      <c r="Z1074" s="46" t="n">
        <f aca="false">IF(ISNUMBER(W1074),A1074-W1074,"")</f>
        <v>272</v>
      </c>
      <c r="AA1074" s="46" t="n">
        <f aca="false">MATCH(A1074,DATAS,0)</f>
        <v>1</v>
      </c>
      <c r="AB1074" s="46" t="n">
        <f aca="false">IF(AND(E1074&gt;0,OR(AND(B1074&gt;=1,B1074&lt;=6),B1074=10)),1,0)</f>
        <v>0</v>
      </c>
      <c r="AC1074" s="46" t="n">
        <f aca="false">IF(AND(E1074&gt;0,B1074=10),1,0)</f>
        <v>0</v>
      </c>
      <c r="AD1074" s="0" t="str">
        <f aca="false">IF(AND(C1073=C1074,AA1073=AA1074-1),AB1073,"")</f>
        <v/>
      </c>
      <c r="AE1074" s="0" t="str">
        <f aca="false">IF(AND(C1073=C1074,AA1073=AA1074-1),AC1073,"")</f>
        <v/>
      </c>
      <c r="AF1074" s="0" t="str">
        <f aca="false">IF(AA1074=1,"",IF(AND(AB1074=1,AD1074&lt;&gt;1),1,0))</f>
        <v/>
      </c>
      <c r="AG1074" s="0" t="str">
        <f aca="false">IF(AA1074=1,"",IF(AND(AC1074=1,AE1074&lt;&gt;1),1,0))</f>
        <v/>
      </c>
      <c r="AH1074" s="51" t="str">
        <f aca="false">IF(AND(E1074&gt;0,AA1074&lt;1,NOT(AND(C1075=C1074,AA1075=AA1074+1))),INDEX(DATAS,AA1074+1),"")</f>
        <v/>
      </c>
      <c r="AI1074" s="51" t="str">
        <f aca="false">IF(AND(AC1074=1,AA1074&lt;1),IF(AND(C1075=C1074,AA1075=AA1074+1),IF(AC1075=1,"",INDEX(DATAS,AA1074+1)),INDEX(DATAS,AA1074+1)),"")</f>
        <v/>
      </c>
    </row>
    <row r="1075" customFormat="false" ht="15" hidden="false" customHeight="false" outlineLevel="0" collapsed="false">
      <c r="A1075" s="51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46" t="s">
        <v>792</v>
      </c>
      <c r="G1075" s="0" t="n">
        <v>40.2</v>
      </c>
      <c r="H1075" s="0" t="n">
        <v>40</v>
      </c>
      <c r="I1075" s="46" t="s">
        <v>152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51" t="n">
        <v>46125</v>
      </c>
      <c r="X1075" s="46" t="n">
        <f aca="false">IF(I1075="Male",0,1)</f>
        <v>1</v>
      </c>
      <c r="Y1075" s="46" t="n">
        <f aca="false">IF(OR(I1075="DNB",I1075="Dry DNB"),1,0)</f>
        <v>0</v>
      </c>
      <c r="Z1075" s="46" t="n">
        <f aca="false">IF(ISNUMBER(W1075),A1075-W1075,"")</f>
        <v>184</v>
      </c>
      <c r="AA1075" s="46" t="n">
        <f aca="false">MATCH(A1075,DATAS,0)</f>
        <v>1</v>
      </c>
      <c r="AB1075" s="46" t="n">
        <f aca="false">IF(AND(E1075&gt;0,OR(AND(B1075&gt;=1,B1075&lt;=6),B1075=10)),1,0)</f>
        <v>1</v>
      </c>
      <c r="AC1075" s="46" t="n">
        <f aca="false">IF(AND(E1075&gt;0,B1075=10),1,0)</f>
        <v>0</v>
      </c>
      <c r="AD1075" s="0" t="str">
        <f aca="false">IF(AND(C1074=C1075,AA1074=AA1075-1),AB1074,"")</f>
        <v/>
      </c>
      <c r="AE1075" s="0" t="str">
        <f aca="false">IF(AND(C1074=C1075,AA1074=AA1075-1),AC1074,"")</f>
        <v/>
      </c>
      <c r="AF1075" s="0" t="str">
        <f aca="false">IF(AA1075=1,"",IF(AND(AB1075=1,AD1075&lt;&gt;1),1,0))</f>
        <v/>
      </c>
      <c r="AG1075" s="0" t="str">
        <f aca="false">IF(AA1075=1,"",IF(AND(AC1075=1,AE1075&lt;&gt;1),1,0))</f>
        <v/>
      </c>
      <c r="AH1075" s="51" t="str">
        <f aca="false">IF(AND(E1075&gt;0,AA1075&lt;1,NOT(AND(C1076=C1075,AA1076=AA1075+1))),INDEX(DATAS,AA1075+1),"")</f>
        <v/>
      </c>
      <c r="AI1075" s="51" t="str">
        <f aca="false">IF(AND(AC1075=1,AA1075&lt;1),IF(AND(C1076=C1075,AA1076=AA1075+1),IF(AC1076=1,"",INDEX(DATAS,AA1075+1)),INDEX(DATAS,AA1075+1)),"")</f>
        <v/>
      </c>
    </row>
    <row r="1076" customFormat="false" ht="15" hidden="false" customHeight="false" outlineLevel="0" collapsed="false">
      <c r="A1076" s="51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46" t="s">
        <v>793</v>
      </c>
      <c r="G1076" s="0" t="n">
        <v>34.1</v>
      </c>
      <c r="H1076" s="0" t="n">
        <v>37</v>
      </c>
      <c r="I1076" s="46" t="s">
        <v>189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51" t="n">
        <v>46128</v>
      </c>
      <c r="X1076" s="46" t="n">
        <f aca="false">IF(I1076="Male",0,1)</f>
        <v>1</v>
      </c>
      <c r="Y1076" s="46" t="n">
        <f aca="false">IF(OR(I1076="DNB",I1076="Dry DNB"),1,0)</f>
        <v>0</v>
      </c>
      <c r="Z1076" s="46" t="n">
        <f aca="false">IF(ISNUMBER(W1076),A1076-W1076,"")</f>
        <v>181</v>
      </c>
      <c r="AA1076" s="46" t="n">
        <f aca="false">MATCH(A1076,DATAS,0)</f>
        <v>1</v>
      </c>
      <c r="AB1076" s="46" t="n">
        <f aca="false">IF(AND(E1076&gt;0,OR(AND(B1076&gt;=1,B1076&lt;=6),B1076=10)),1,0)</f>
        <v>1</v>
      </c>
      <c r="AC1076" s="46" t="n">
        <f aca="false">IF(AND(E1076&gt;0,B1076=10),1,0)</f>
        <v>0</v>
      </c>
      <c r="AD1076" s="0" t="str">
        <f aca="false">IF(AND(C1075=C1076,AA1075=AA1076-1),AB1075,"")</f>
        <v/>
      </c>
      <c r="AE1076" s="0" t="str">
        <f aca="false">IF(AND(C1075=C1076,AA1075=AA1076-1),AC1075,"")</f>
        <v/>
      </c>
      <c r="AF1076" s="0" t="str">
        <f aca="false">IF(AA1076=1,"",IF(AND(AB1076=1,AD1076&lt;&gt;1),1,0))</f>
        <v/>
      </c>
      <c r="AG1076" s="0" t="str">
        <f aca="false">IF(AA1076=1,"",IF(AND(AC1076=1,AE1076&lt;&gt;1),1,0))</f>
        <v/>
      </c>
      <c r="AH1076" s="51" t="str">
        <f aca="false">IF(AND(E1076&gt;0,AA1076&lt;1,NOT(AND(C1077=C1076,AA1077=AA1076+1))),INDEX(DATAS,AA1076+1),"")</f>
        <v/>
      </c>
      <c r="AI1076" s="51" t="str">
        <f aca="false">IF(AND(AC1076=1,AA1076&lt;1),IF(AND(C1077=C1076,AA1077=AA1076+1),IF(AC1077=1,"",INDEX(DATAS,AA1076+1)),INDEX(DATAS,AA1076+1)),"")</f>
        <v/>
      </c>
    </row>
    <row r="1077" customFormat="false" ht="15" hidden="false" customHeight="false" outlineLevel="0" collapsed="false">
      <c r="A1077" s="51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46" t="s">
        <v>794</v>
      </c>
      <c r="G1077" s="0" t="n">
        <v>39.1</v>
      </c>
      <c r="H1077" s="0" t="n">
        <v>43</v>
      </c>
      <c r="I1077" s="46" t="s">
        <v>152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51" t="n">
        <v>46114</v>
      </c>
      <c r="X1077" s="46" t="n">
        <f aca="false">IF(I1077="Male",0,1)</f>
        <v>1</v>
      </c>
      <c r="Y1077" s="46" t="n">
        <f aca="false">IF(OR(I1077="DNB",I1077="Dry DNB"),1,0)</f>
        <v>0</v>
      </c>
      <c r="Z1077" s="46" t="n">
        <f aca="false">IF(ISNUMBER(W1077),A1077-W1077,"")</f>
        <v>195</v>
      </c>
      <c r="AA1077" s="46" t="n">
        <f aca="false">MATCH(A1077,DATAS,0)</f>
        <v>1</v>
      </c>
      <c r="AB1077" s="46" t="n">
        <f aca="false">IF(AND(E1077&gt;0,OR(AND(B1077&gt;=1,B1077&lt;=6),B1077=10)),1,0)</f>
        <v>1</v>
      </c>
      <c r="AC1077" s="46" t="n">
        <f aca="false">IF(AND(E1077&gt;0,B1077=10),1,0)</f>
        <v>0</v>
      </c>
      <c r="AD1077" s="0" t="str">
        <f aca="false">IF(AND(C1076=C1077,AA1076=AA1077-1),AB1076,"")</f>
        <v/>
      </c>
      <c r="AE1077" s="0" t="str">
        <f aca="false">IF(AND(C1076=C1077,AA1076=AA1077-1),AC1076,"")</f>
        <v/>
      </c>
      <c r="AF1077" s="0" t="str">
        <f aca="false">IF(AA1077=1,"",IF(AND(AB1077=1,AD1077&lt;&gt;1),1,0))</f>
        <v/>
      </c>
      <c r="AG1077" s="0" t="str">
        <f aca="false">IF(AA1077=1,"",IF(AND(AC1077=1,AE1077&lt;&gt;1),1,0))</f>
        <v/>
      </c>
      <c r="AH1077" s="51" t="str">
        <f aca="false">IF(AND(E1077&gt;0,AA1077&lt;1,NOT(AND(C1078=C1077,AA1078=AA1077+1))),INDEX(DATAS,AA1077+1),"")</f>
        <v/>
      </c>
      <c r="AI1077" s="51" t="str">
        <f aca="false">IF(AND(AC1077=1,AA1077&lt;1),IF(AND(C1078=C1077,AA1078=AA1077+1),IF(AC1078=1,"",INDEX(DATAS,AA1077+1)),INDEX(DATAS,AA1077+1)),"")</f>
        <v/>
      </c>
    </row>
    <row r="1078" customFormat="false" ht="15" hidden="false" customHeight="false" outlineLevel="0" collapsed="false">
      <c r="A1078" s="51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46" t="s">
        <v>794</v>
      </c>
      <c r="G1078" s="0" t="n">
        <v>31.5</v>
      </c>
      <c r="H1078" s="0" t="n">
        <v>23</v>
      </c>
      <c r="I1078" s="46" t="s">
        <v>152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51" t="n">
        <v>46157</v>
      </c>
      <c r="X1078" s="46" t="n">
        <f aca="false">IF(I1078="Male",0,1)</f>
        <v>1</v>
      </c>
      <c r="Y1078" s="46" t="n">
        <f aca="false">IF(OR(I1078="DNB",I1078="Dry DNB"),1,0)</f>
        <v>0</v>
      </c>
      <c r="Z1078" s="46" t="n">
        <f aca="false">IF(ISNUMBER(W1078),A1078-W1078,"")</f>
        <v>152</v>
      </c>
      <c r="AA1078" s="46" t="n">
        <f aca="false">MATCH(A1078,DATAS,0)</f>
        <v>1</v>
      </c>
      <c r="AB1078" s="46" t="n">
        <f aca="false">IF(AND(E1078&gt;0,OR(AND(B1078&gt;=1,B1078&lt;=6),B1078=10)),1,0)</f>
        <v>1</v>
      </c>
      <c r="AC1078" s="46" t="n">
        <f aca="false">IF(AND(E1078&gt;0,B1078=10),1,0)</f>
        <v>0</v>
      </c>
      <c r="AD1078" s="0" t="str">
        <f aca="false">IF(AND(C1077=C1078,AA1077=AA1078-1),AB1077,"")</f>
        <v/>
      </c>
      <c r="AE1078" s="0" t="str">
        <f aca="false">IF(AND(C1077=C1078,AA1077=AA1078-1),AC1077,"")</f>
        <v/>
      </c>
      <c r="AF1078" s="0" t="str">
        <f aca="false">IF(AA1078=1,"",IF(AND(AB1078=1,AD1078&lt;&gt;1),1,0))</f>
        <v/>
      </c>
      <c r="AG1078" s="0" t="str">
        <f aca="false">IF(AA1078=1,"",IF(AND(AC1078=1,AE1078&lt;&gt;1),1,0))</f>
        <v/>
      </c>
      <c r="AH1078" s="51" t="str">
        <f aca="false">IF(AND(E1078&gt;0,AA1078&lt;1,NOT(AND(C1079=C1078,AA1079=AA1078+1))),INDEX(DATAS,AA1078+1),"")</f>
        <v/>
      </c>
      <c r="AI1078" s="51" t="str">
        <f aca="false">IF(AND(AC1078=1,AA1078&lt;1),IF(AND(C1079=C1078,AA1079=AA1078+1),IF(AC1079=1,"",INDEX(DATAS,AA1078+1)),INDEX(DATAS,AA1078+1)),"")</f>
        <v/>
      </c>
    </row>
    <row r="1079" customFormat="false" ht="15" hidden="false" customHeight="false" outlineLevel="0" collapsed="false">
      <c r="A1079" s="51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46" t="s">
        <v>795</v>
      </c>
      <c r="G1079" s="0" t="n">
        <v>53.9</v>
      </c>
      <c r="H1079" s="0" t="n">
        <v>49</v>
      </c>
      <c r="I1079" s="46" t="s">
        <v>152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51" t="n">
        <v>46107</v>
      </c>
      <c r="X1079" s="46" t="n">
        <f aca="false">IF(I1079="Male",0,1)</f>
        <v>1</v>
      </c>
      <c r="Y1079" s="46" t="n">
        <f aca="false">IF(OR(I1079="DNB",I1079="Dry DNB"),1,0)</f>
        <v>0</v>
      </c>
      <c r="Z1079" s="46" t="n">
        <f aca="false">IF(ISNUMBER(W1079),A1079-W1079,"")</f>
        <v>202</v>
      </c>
      <c r="AA1079" s="46" t="n">
        <f aca="false">MATCH(A1079,DATAS,0)</f>
        <v>1</v>
      </c>
      <c r="AB1079" s="46" t="n">
        <f aca="false">IF(AND(E1079&gt;0,OR(AND(B1079&gt;=1,B1079&lt;=6),B1079=10)),1,0)</f>
        <v>1</v>
      </c>
      <c r="AC1079" s="46" t="n">
        <f aca="false">IF(AND(E1079&gt;0,B1079=10),1,0)</f>
        <v>0</v>
      </c>
      <c r="AD1079" s="0" t="str">
        <f aca="false">IF(AND(C1078=C1079,AA1078=AA1079-1),AB1078,"")</f>
        <v/>
      </c>
      <c r="AE1079" s="0" t="str">
        <f aca="false">IF(AND(C1078=C1079,AA1078=AA1079-1),AC1078,"")</f>
        <v/>
      </c>
      <c r="AF1079" s="0" t="str">
        <f aca="false">IF(AA1079=1,"",IF(AND(AB1079=1,AD1079&lt;&gt;1),1,0))</f>
        <v/>
      </c>
      <c r="AG1079" s="0" t="str">
        <f aca="false">IF(AA1079=1,"",IF(AND(AC1079=1,AE1079&lt;&gt;1),1,0))</f>
        <v/>
      </c>
      <c r="AH1079" s="51" t="str">
        <f aca="false">IF(AND(E1079&gt;0,AA1079&lt;1,NOT(AND(C1080=C1079,AA1080=AA1079+1))),INDEX(DATAS,AA1079+1),"")</f>
        <v/>
      </c>
      <c r="AI1079" s="51" t="str">
        <f aca="false">IF(AND(AC1079=1,AA1079&lt;1),IF(AND(C1080=C1079,AA1080=AA1079+1),IF(AC1080=1,"",INDEX(DATAS,AA1079+1)),INDEX(DATAS,AA1079+1)),"")</f>
        <v/>
      </c>
    </row>
    <row r="1080" customFormat="false" ht="15" hidden="false" customHeight="false" outlineLevel="0" collapsed="false">
      <c r="A1080" s="51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46" t="s">
        <v>795</v>
      </c>
      <c r="G1080" s="0" t="n">
        <v>49.2</v>
      </c>
      <c r="H1080" s="0" t="n">
        <v>46</v>
      </c>
      <c r="I1080" s="46" t="s">
        <v>161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X1080" s="46" t="n">
        <f aca="false">IF(I1080="Male",0,1)</f>
        <v>1</v>
      </c>
      <c r="Y1080" s="46" t="n">
        <f aca="false">IF(OR(I1080="DNB",I1080="Dry DNB"),1,0)</f>
        <v>0</v>
      </c>
      <c r="Z1080" s="0" t="str">
        <f aca="false">IF(ISNUMBER(W1080),A1080-W1080,"")</f>
        <v/>
      </c>
      <c r="AA1080" s="46" t="n">
        <f aca="false">MATCH(A1080,DATAS,0)</f>
        <v>1</v>
      </c>
      <c r="AB1080" s="46" t="n">
        <f aca="false">IF(AND(E1080&gt;0,OR(AND(B1080&gt;=1,B1080&lt;=6),B1080=10)),1,0)</f>
        <v>1</v>
      </c>
      <c r="AC1080" s="46" t="n">
        <f aca="false">IF(AND(E1080&gt;0,B1080=10),1,0)</f>
        <v>0</v>
      </c>
      <c r="AD1080" s="0" t="str">
        <f aca="false">IF(AND(C1079=C1080,AA1079=AA1080-1),AB1079,"")</f>
        <v/>
      </c>
      <c r="AE1080" s="0" t="str">
        <f aca="false">IF(AND(C1079=C1080,AA1079=AA1080-1),AC1079,"")</f>
        <v/>
      </c>
      <c r="AF1080" s="0" t="str">
        <f aca="false">IF(AA1080=1,"",IF(AND(AB1080=1,AD1080&lt;&gt;1),1,0))</f>
        <v/>
      </c>
      <c r="AG1080" s="0" t="str">
        <f aca="false">IF(AA1080=1,"",IF(AND(AC1080=1,AE1080&lt;&gt;1),1,0))</f>
        <v/>
      </c>
      <c r="AH1080" s="51" t="str">
        <f aca="false">IF(AND(E1080&gt;0,AA1080&lt;1,NOT(AND(C1081=C1080,AA1081=AA1080+1))),INDEX(DATAS,AA1080+1),"")</f>
        <v/>
      </c>
      <c r="AI1080" s="51" t="str">
        <f aca="false">IF(AND(AC1080=1,AA1080&lt;1),IF(AND(C1081=C1080,AA1081=AA1080+1),IF(AC1081=1,"",INDEX(DATAS,AA1080+1)),INDEX(DATAS,AA1080+1)),"")</f>
        <v/>
      </c>
    </row>
    <row r="1081" customFormat="false" ht="15" hidden="false" customHeight="false" outlineLevel="0" collapsed="false">
      <c r="A1081" s="51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46" t="s">
        <v>796</v>
      </c>
      <c r="G1081" s="0" t="n">
        <v>40</v>
      </c>
      <c r="H1081" s="0" t="n">
        <v>41</v>
      </c>
      <c r="I1081" s="46" t="s">
        <v>189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X1081" s="46" t="n">
        <f aca="false">IF(I1081="Male",0,1)</f>
        <v>1</v>
      </c>
      <c r="Y1081" s="46" t="n">
        <f aca="false">IF(OR(I1081="DNB",I1081="Dry DNB"),1,0)</f>
        <v>0</v>
      </c>
      <c r="Z1081" s="0" t="str">
        <f aca="false">IF(ISNUMBER(W1081),A1081-W1081,"")</f>
        <v/>
      </c>
      <c r="AA1081" s="46" t="n">
        <f aca="false">MATCH(A1081,DATAS,0)</f>
        <v>1</v>
      </c>
      <c r="AB1081" s="46" t="n">
        <f aca="false">IF(AND(E1081&gt;0,OR(AND(B1081&gt;=1,B1081&lt;=6),B1081=10)),1,0)</f>
        <v>1</v>
      </c>
      <c r="AC1081" s="46" t="n">
        <f aca="false">IF(AND(E1081&gt;0,B1081=10),1,0)</f>
        <v>0</v>
      </c>
      <c r="AD1081" s="0" t="str">
        <f aca="false">IF(AND(C1080=C1081,AA1080=AA1081-1),AB1080,"")</f>
        <v/>
      </c>
      <c r="AE1081" s="0" t="str">
        <f aca="false">IF(AND(C1080=C1081,AA1080=AA1081-1),AC1080,"")</f>
        <v/>
      </c>
      <c r="AF1081" s="0" t="str">
        <f aca="false">IF(AA1081=1,"",IF(AND(AB1081=1,AD1081&lt;&gt;1),1,0))</f>
        <v/>
      </c>
      <c r="AG1081" s="0" t="str">
        <f aca="false">IF(AA1081=1,"",IF(AND(AC1081=1,AE1081&lt;&gt;1),1,0))</f>
        <v/>
      </c>
      <c r="AH1081" s="51" t="str">
        <f aca="false">IF(AND(E1081&gt;0,AA1081&lt;1,NOT(AND(C1082=C1081,AA1082=AA1081+1))),INDEX(DATAS,AA1081+1),"")</f>
        <v/>
      </c>
      <c r="AI1081" s="51" t="str">
        <f aca="false">IF(AND(AC1081=1,AA1081&lt;1),IF(AND(C1082=C1081,AA1082=AA1081+1),IF(AC1082=1,"",INDEX(DATAS,AA1081+1)),INDEX(DATAS,AA1081+1)),"")</f>
        <v/>
      </c>
    </row>
    <row r="1082" customFormat="false" ht="15" hidden="false" customHeight="false" outlineLevel="0" collapsed="false">
      <c r="A1082" s="51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46" t="s">
        <v>797</v>
      </c>
      <c r="G1082" s="0" t="n">
        <v>42.5</v>
      </c>
      <c r="H1082" s="0" t="n">
        <v>38</v>
      </c>
      <c r="I1082" s="46" t="s">
        <v>152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51" t="n">
        <v>46156</v>
      </c>
      <c r="X1082" s="46" t="n">
        <f aca="false">IF(I1082="Male",0,1)</f>
        <v>1</v>
      </c>
      <c r="Y1082" s="46" t="n">
        <f aca="false">IF(OR(I1082="DNB",I1082="Dry DNB"),1,0)</f>
        <v>0</v>
      </c>
      <c r="Z1082" s="46" t="n">
        <f aca="false">IF(ISNUMBER(W1082),A1082-W1082,"")</f>
        <v>153</v>
      </c>
      <c r="AA1082" s="46" t="n">
        <f aca="false">MATCH(A1082,DATAS,0)</f>
        <v>1</v>
      </c>
      <c r="AB1082" s="46" t="n">
        <f aca="false">IF(AND(E1082&gt;0,OR(AND(B1082&gt;=1,B1082&lt;=6),B1082=10)),1,0)</f>
        <v>1</v>
      </c>
      <c r="AC1082" s="46" t="n">
        <f aca="false">IF(AND(E1082&gt;0,B1082=10),1,0)</f>
        <v>0</v>
      </c>
      <c r="AD1082" s="0" t="str">
        <f aca="false">IF(AND(C1081=C1082,AA1081=AA1082-1),AB1081,"")</f>
        <v/>
      </c>
      <c r="AE1082" s="0" t="str">
        <f aca="false">IF(AND(C1081=C1082,AA1081=AA1082-1),AC1081,"")</f>
        <v/>
      </c>
      <c r="AF1082" s="0" t="str">
        <f aca="false">IF(AA1082=1,"",IF(AND(AB1082=1,AD1082&lt;&gt;1),1,0))</f>
        <v/>
      </c>
      <c r="AG1082" s="0" t="str">
        <f aca="false">IF(AA1082=1,"",IF(AND(AC1082=1,AE1082&lt;&gt;1),1,0))</f>
        <v/>
      </c>
      <c r="AH1082" s="51" t="str">
        <f aca="false">IF(AND(E1082&gt;0,AA1082&lt;1,NOT(AND(C1083=C1082,AA1083=AA1082+1))),INDEX(DATAS,AA1082+1),"")</f>
        <v/>
      </c>
      <c r="AI1082" s="51" t="str">
        <f aca="false">IF(AND(AC1082=1,AA1082&lt;1),IF(AND(C1083=C1082,AA1083=AA1082+1),IF(AC1083=1,"",INDEX(DATAS,AA1082+1)),INDEX(DATAS,AA1082+1)),"")</f>
        <v/>
      </c>
    </row>
    <row r="1083" customFormat="false" ht="15" hidden="false" customHeight="false" outlineLevel="0" collapsed="false">
      <c r="A1083" s="51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46" t="s">
        <v>798</v>
      </c>
      <c r="G1083" s="0" t="n">
        <v>29</v>
      </c>
      <c r="H1083" s="0" t="n">
        <v>28</v>
      </c>
      <c r="I1083" s="46" t="s">
        <v>152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51" t="n">
        <v>46226</v>
      </c>
      <c r="X1083" s="46" t="n">
        <f aca="false">IF(I1083="Male",0,1)</f>
        <v>1</v>
      </c>
      <c r="Y1083" s="46" t="n">
        <f aca="false">IF(OR(I1083="DNB",I1083="Dry DNB"),1,0)</f>
        <v>0</v>
      </c>
      <c r="Z1083" s="46" t="n">
        <f aca="false">IF(ISNUMBER(W1083),A1083-W1083,"")</f>
        <v>83</v>
      </c>
      <c r="AA1083" s="46" t="n">
        <f aca="false">MATCH(A1083,DATAS,0)</f>
        <v>1</v>
      </c>
      <c r="AB1083" s="46" t="n">
        <f aca="false">IF(AND(E1083&gt;0,OR(AND(B1083&gt;=1,B1083&lt;=6),B1083=10)),1,0)</f>
        <v>1</v>
      </c>
      <c r="AC1083" s="46" t="n">
        <f aca="false">IF(AND(E1083&gt;0,B1083=10),1,0)</f>
        <v>0</v>
      </c>
      <c r="AD1083" s="0" t="str">
        <f aca="false">IF(AND(C1082=C1083,AA1082=AA1083-1),AB1082,"")</f>
        <v/>
      </c>
      <c r="AE1083" s="0" t="str">
        <f aca="false">IF(AND(C1082=C1083,AA1082=AA1083-1),AC1082,"")</f>
        <v/>
      </c>
      <c r="AF1083" s="0" t="str">
        <f aca="false">IF(AA1083=1,"",IF(AND(AB1083=1,AD1083&lt;&gt;1),1,0))</f>
        <v/>
      </c>
      <c r="AG1083" s="0" t="str">
        <f aca="false">IF(AA1083=1,"",IF(AND(AC1083=1,AE1083&lt;&gt;1),1,0))</f>
        <v/>
      </c>
      <c r="AH1083" s="51" t="str">
        <f aca="false">IF(AND(E1083&gt;0,AA1083&lt;1,NOT(AND(C1084=C1083,AA1084=AA1083+1))),INDEX(DATAS,AA1083+1),"")</f>
        <v/>
      </c>
      <c r="AI1083" s="51" t="str">
        <f aca="false">IF(AND(AC1083=1,AA1083&lt;1),IF(AND(C1084=C1083,AA1084=AA1083+1),IF(AC1084=1,"",INDEX(DATAS,AA1083+1)),INDEX(DATAS,AA1083+1)),"")</f>
        <v/>
      </c>
    </row>
    <row r="1084" customFormat="false" ht="15" hidden="false" customHeight="false" outlineLevel="0" collapsed="false">
      <c r="A1084" s="51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46" t="s">
        <v>798</v>
      </c>
      <c r="G1084" s="0" t="n">
        <v>26.8</v>
      </c>
      <c r="H1084" s="0" t="n">
        <v>33</v>
      </c>
      <c r="I1084" s="46" t="s">
        <v>152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51" t="n">
        <v>46226</v>
      </c>
      <c r="X1084" s="46" t="n">
        <f aca="false">IF(I1084="Male",0,1)</f>
        <v>1</v>
      </c>
      <c r="Y1084" s="46" t="n">
        <f aca="false">IF(OR(I1084="DNB",I1084="Dry DNB"),1,0)</f>
        <v>0</v>
      </c>
      <c r="Z1084" s="46" t="n">
        <f aca="false">IF(ISNUMBER(W1084),A1084-W1084,"")</f>
        <v>83</v>
      </c>
      <c r="AA1084" s="46" t="n">
        <f aca="false">MATCH(A1084,DATAS,0)</f>
        <v>1</v>
      </c>
      <c r="AB1084" s="46" t="n">
        <f aca="false">IF(AND(E1084&gt;0,OR(AND(B1084&gt;=1,B1084&lt;=6),B1084=10)),1,0)</f>
        <v>1</v>
      </c>
      <c r="AC1084" s="46" t="n">
        <f aca="false">IF(AND(E1084&gt;0,B1084=10),1,0)</f>
        <v>0</v>
      </c>
      <c r="AD1084" s="0" t="str">
        <f aca="false">IF(AND(C1083=C1084,AA1083=AA1084-1),AB1083,"")</f>
        <v/>
      </c>
      <c r="AE1084" s="0" t="str">
        <f aca="false">IF(AND(C1083=C1084,AA1083=AA1084-1),AC1083,"")</f>
        <v/>
      </c>
      <c r="AF1084" s="0" t="str">
        <f aca="false">IF(AA1084=1,"",IF(AND(AB1084=1,AD1084&lt;&gt;1),1,0))</f>
        <v/>
      </c>
      <c r="AG1084" s="0" t="str">
        <f aca="false">IF(AA1084=1,"",IF(AND(AC1084=1,AE1084&lt;&gt;1),1,0))</f>
        <v/>
      </c>
      <c r="AH1084" s="51" t="str">
        <f aca="false">IF(AND(E1084&gt;0,AA1084&lt;1,NOT(AND(C1085=C1084,AA1085=AA1084+1))),INDEX(DATAS,AA1084+1),"")</f>
        <v/>
      </c>
      <c r="AI1084" s="51" t="str">
        <f aca="false">IF(AND(AC1084=1,AA1084&lt;1),IF(AND(C1085=C1084,AA1085=AA1084+1),IF(AC1085=1,"",INDEX(DATAS,AA1084+1)),INDEX(DATAS,AA1084+1)),"")</f>
        <v/>
      </c>
    </row>
    <row r="1085" customFormat="false" ht="15" hidden="false" customHeight="false" outlineLevel="0" collapsed="false">
      <c r="A1085" s="51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46" t="s">
        <v>799</v>
      </c>
      <c r="G1085" s="0" t="n">
        <v>7.1</v>
      </c>
      <c r="H1085" s="0" t="n">
        <v>12</v>
      </c>
      <c r="I1085" s="46" t="s">
        <v>157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51" t="n">
        <v>46114</v>
      </c>
      <c r="X1085" s="46" t="n">
        <f aca="false">IF(I1085="Male",0,1)</f>
        <v>1</v>
      </c>
      <c r="Y1085" s="46" t="n">
        <f aca="false">IF(OR(I1085="DNB",I1085="Dry DNB"),1,0)</f>
        <v>0</v>
      </c>
      <c r="Z1085" s="46" t="n">
        <f aca="false">IF(ISNUMBER(W1085),A1085-W1085,"")</f>
        <v>195</v>
      </c>
      <c r="AA1085" s="46" t="n">
        <f aca="false">MATCH(A1085,DATAS,0)</f>
        <v>1</v>
      </c>
      <c r="AB1085" s="46" t="n">
        <f aca="false">IF(AND(E1085&gt;0,OR(AND(B1085&gt;=1,B1085&lt;=6),B1085=10)),1,0)</f>
        <v>0</v>
      </c>
      <c r="AC1085" s="46" t="n">
        <f aca="false">IF(AND(E1085&gt;0,B1085=10),1,0)</f>
        <v>0</v>
      </c>
      <c r="AD1085" s="0" t="str">
        <f aca="false">IF(AND(C1084=C1085,AA1084=AA1085-1),AB1084,"")</f>
        <v/>
      </c>
      <c r="AE1085" s="0" t="str">
        <f aca="false">IF(AND(C1084=C1085,AA1084=AA1085-1),AC1084,"")</f>
        <v/>
      </c>
      <c r="AF1085" s="0" t="str">
        <f aca="false">IF(AA1085=1,"",IF(AND(AB1085=1,AD1085&lt;&gt;1),1,0))</f>
        <v/>
      </c>
      <c r="AG1085" s="0" t="str">
        <f aca="false">IF(AA1085=1,"",IF(AND(AC1085=1,AE1085&lt;&gt;1),1,0))</f>
        <v/>
      </c>
      <c r="AH1085" s="51" t="str">
        <f aca="false">IF(AND(E1085&gt;0,AA1085&lt;1,NOT(AND(C1086=C1085,AA1086=AA1085+1))),INDEX(DATAS,AA1085+1),"")</f>
        <v/>
      </c>
      <c r="AI1085" s="51" t="str">
        <f aca="false">IF(AND(AC1085=1,AA1085&lt;1),IF(AND(C1086=C1085,AA1086=AA1085+1),IF(AC1086=1,"",INDEX(DATAS,AA1085+1)),INDEX(DATAS,AA1085+1)),"")</f>
        <v/>
      </c>
    </row>
    <row r="1086" customFormat="false" ht="15" hidden="false" customHeight="false" outlineLevel="0" collapsed="false">
      <c r="A1086" s="51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46" t="s">
        <v>800</v>
      </c>
      <c r="G1086" s="0" t="n">
        <v>23.9</v>
      </c>
      <c r="H1086" s="0" t="n">
        <v>20</v>
      </c>
      <c r="I1086" s="46" t="s">
        <v>152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51" t="n">
        <v>46254</v>
      </c>
      <c r="X1086" s="46" t="n">
        <f aca="false">IF(I1086="Male",0,1)</f>
        <v>1</v>
      </c>
      <c r="Y1086" s="46" t="n">
        <f aca="false">IF(OR(I1086="DNB",I1086="Dry DNB"),1,0)</f>
        <v>0</v>
      </c>
      <c r="Z1086" s="46" t="n">
        <f aca="false">IF(ISNUMBER(W1086),A1086-W1086,"")</f>
        <v>55</v>
      </c>
      <c r="AA1086" s="46" t="n">
        <f aca="false">MATCH(A1086,DATAS,0)</f>
        <v>1</v>
      </c>
      <c r="AB1086" s="46" t="n">
        <f aca="false">IF(AND(E1086&gt;0,OR(AND(B1086&gt;=1,B1086&lt;=6),B1086=10)),1,0)</f>
        <v>1</v>
      </c>
      <c r="AC1086" s="46" t="n">
        <f aca="false">IF(AND(E1086&gt;0,B1086=10),1,0)</f>
        <v>0</v>
      </c>
      <c r="AD1086" s="0" t="str">
        <f aca="false">IF(AND(C1085=C1086,AA1085=AA1086-1),AB1085,"")</f>
        <v/>
      </c>
      <c r="AE1086" s="0" t="str">
        <f aca="false">IF(AND(C1085=C1086,AA1085=AA1086-1),AC1085,"")</f>
        <v/>
      </c>
      <c r="AF1086" s="0" t="str">
        <f aca="false">IF(AA1086=1,"",IF(AND(AB1086=1,AD1086&lt;&gt;1),1,0))</f>
        <v/>
      </c>
      <c r="AG1086" s="0" t="str">
        <f aca="false">IF(AA1086=1,"",IF(AND(AC1086=1,AE1086&lt;&gt;1),1,0))</f>
        <v/>
      </c>
      <c r="AH1086" s="51" t="str">
        <f aca="false">IF(AND(E1086&gt;0,AA1086&lt;1,NOT(AND(C1087=C1086,AA1087=AA1086+1))),INDEX(DATAS,AA1086+1),"")</f>
        <v/>
      </c>
      <c r="AI1086" s="51" t="str">
        <f aca="false">IF(AND(AC1086=1,AA1086&lt;1),IF(AND(C1087=C1086,AA1087=AA1086+1),IF(AC1087=1,"",INDEX(DATAS,AA1086+1)),INDEX(DATAS,AA1086+1)),"")</f>
        <v/>
      </c>
    </row>
    <row r="1087" customFormat="false" ht="15" hidden="false" customHeight="false" outlineLevel="0" collapsed="false">
      <c r="A1087" s="51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46" t="s">
        <v>801</v>
      </c>
      <c r="G1087" s="0" t="n">
        <v>44.9</v>
      </c>
      <c r="H1087" s="0" t="n">
        <v>42</v>
      </c>
      <c r="I1087" s="46" t="s">
        <v>152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51" t="n">
        <v>46240</v>
      </c>
      <c r="X1087" s="46" t="n">
        <f aca="false">IF(I1087="Male",0,1)</f>
        <v>1</v>
      </c>
      <c r="Y1087" s="46" t="n">
        <f aca="false">IF(OR(I1087="DNB",I1087="Dry DNB"),1,0)</f>
        <v>0</v>
      </c>
      <c r="Z1087" s="46" t="n">
        <f aca="false">IF(ISNUMBER(W1087),A1087-W1087,"")</f>
        <v>69</v>
      </c>
      <c r="AA1087" s="46" t="n">
        <f aca="false">MATCH(A1087,DATAS,0)</f>
        <v>1</v>
      </c>
      <c r="AB1087" s="46" t="n">
        <f aca="false">IF(AND(E1087&gt;0,OR(AND(B1087&gt;=1,B1087&lt;=6),B1087=10)),1,0)</f>
        <v>1</v>
      </c>
      <c r="AC1087" s="46" t="n">
        <f aca="false">IF(AND(E1087&gt;0,B1087=10),1,0)</f>
        <v>0</v>
      </c>
      <c r="AD1087" s="0" t="str">
        <f aca="false">IF(AND(C1086=C1087,AA1086=AA1087-1),AB1086,"")</f>
        <v/>
      </c>
      <c r="AE1087" s="0" t="str">
        <f aca="false">IF(AND(C1086=C1087,AA1086=AA1087-1),AC1086,"")</f>
        <v/>
      </c>
      <c r="AF1087" s="0" t="str">
        <f aca="false">IF(AA1087=1,"",IF(AND(AB1087=1,AD1087&lt;&gt;1),1,0))</f>
        <v/>
      </c>
      <c r="AG1087" s="0" t="str">
        <f aca="false">IF(AA1087=1,"",IF(AND(AC1087=1,AE1087&lt;&gt;1),1,0))</f>
        <v/>
      </c>
      <c r="AH1087" s="51" t="str">
        <f aca="false">IF(AND(E1087&gt;0,AA1087&lt;1,NOT(AND(C1088=C1087,AA1088=AA1087+1))),INDEX(DATAS,AA1087+1),"")</f>
        <v/>
      </c>
      <c r="AI1087" s="51" t="str">
        <f aca="false">IF(AND(AC1087=1,AA1087&lt;1),IF(AND(C1088=C1087,AA1088=AA1087+1),IF(AC1088=1,"",INDEX(DATAS,AA1087+1)),INDEX(DATAS,AA1087+1)),"")</f>
        <v/>
      </c>
    </row>
    <row r="1088" customFormat="false" ht="15" hidden="false" customHeight="false" outlineLevel="0" collapsed="false">
      <c r="A1088" s="51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46" t="s">
        <v>801</v>
      </c>
      <c r="G1088" s="0" t="n">
        <v>61.8</v>
      </c>
      <c r="H1088" s="0" t="n">
        <v>55</v>
      </c>
      <c r="I1088" s="46" t="s">
        <v>161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X1088" s="46" t="n">
        <f aca="false">IF(I1088="Male",0,1)</f>
        <v>1</v>
      </c>
      <c r="Y1088" s="46" t="n">
        <f aca="false">IF(OR(I1088="DNB",I1088="Dry DNB"),1,0)</f>
        <v>0</v>
      </c>
      <c r="Z1088" s="0" t="str">
        <f aca="false">IF(ISNUMBER(W1088),A1088-W1088,"")</f>
        <v/>
      </c>
      <c r="AA1088" s="46" t="n">
        <f aca="false">MATCH(A1088,DATAS,0)</f>
        <v>1</v>
      </c>
      <c r="AB1088" s="46" t="n">
        <f aca="false">IF(AND(E1088&gt;0,OR(AND(B1088&gt;=1,B1088&lt;=6),B1088=10)),1,0)</f>
        <v>1</v>
      </c>
      <c r="AC1088" s="46" t="n">
        <f aca="false">IF(AND(E1088&gt;0,B1088=10),1,0)</f>
        <v>0</v>
      </c>
      <c r="AD1088" s="0" t="str">
        <f aca="false">IF(AND(C1087=C1088,AA1087=AA1088-1),AB1087,"")</f>
        <v/>
      </c>
      <c r="AE1088" s="0" t="str">
        <f aca="false">IF(AND(C1087=C1088,AA1087=AA1088-1),AC1087,"")</f>
        <v/>
      </c>
      <c r="AF1088" s="0" t="str">
        <f aca="false">IF(AA1088=1,"",IF(AND(AB1088=1,AD1088&lt;&gt;1),1,0))</f>
        <v/>
      </c>
      <c r="AG1088" s="0" t="str">
        <f aca="false">IF(AA1088=1,"",IF(AND(AC1088=1,AE1088&lt;&gt;1),1,0))</f>
        <v/>
      </c>
      <c r="AH1088" s="51" t="str">
        <f aca="false">IF(AND(E1088&gt;0,AA1088&lt;1,NOT(AND(C1089=C1088,AA1089=AA1088+1))),INDEX(DATAS,AA1088+1),"")</f>
        <v/>
      </c>
      <c r="AI1088" s="51" t="str">
        <f aca="false">IF(AND(AC1088=1,AA1088&lt;1),IF(AND(C1089=C1088,AA1089=AA1088+1),IF(AC1089=1,"",INDEX(DATAS,AA1088+1)),INDEX(DATAS,AA1088+1)),"")</f>
        <v/>
      </c>
    </row>
    <row r="1089" customFormat="false" ht="15" hidden="false" customHeight="false" outlineLevel="0" collapsed="false">
      <c r="A1089" s="51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46" t="s">
        <v>801</v>
      </c>
      <c r="I1089" s="46" t="s">
        <v>157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51" t="n">
        <v>46079</v>
      </c>
      <c r="X1089" s="46" t="n">
        <f aca="false">IF(I1089="Male",0,1)</f>
        <v>1</v>
      </c>
      <c r="Y1089" s="46" t="n">
        <f aca="false">IF(OR(I1089="DNB",I1089="Dry DNB"),1,0)</f>
        <v>0</v>
      </c>
      <c r="Z1089" s="46" t="n">
        <f aca="false">IF(ISNUMBER(W1089),A1089-W1089,"")</f>
        <v>230</v>
      </c>
      <c r="AA1089" s="46" t="n">
        <f aca="false">MATCH(A1089,DATAS,0)</f>
        <v>1</v>
      </c>
      <c r="AB1089" s="46" t="n">
        <f aca="false">IF(AND(E1089&gt;0,OR(AND(B1089&gt;=1,B1089&lt;=6),B1089=10)),1,0)</f>
        <v>0</v>
      </c>
      <c r="AC1089" s="46" t="n">
        <f aca="false">IF(AND(E1089&gt;0,B1089=10),1,0)</f>
        <v>0</v>
      </c>
      <c r="AD1089" s="0" t="str">
        <f aca="false">IF(AND(C1088=C1089,AA1088=AA1089-1),AB1088,"")</f>
        <v/>
      </c>
      <c r="AE1089" s="0" t="str">
        <f aca="false">IF(AND(C1088=C1089,AA1088=AA1089-1),AC1088,"")</f>
        <v/>
      </c>
      <c r="AF1089" s="0" t="str">
        <f aca="false">IF(AA1089=1,"",IF(AND(AB1089=1,AD1089&lt;&gt;1),1,0))</f>
        <v/>
      </c>
      <c r="AG1089" s="0" t="str">
        <f aca="false">IF(AA1089=1,"",IF(AND(AC1089=1,AE1089&lt;&gt;1),1,0))</f>
        <v/>
      </c>
      <c r="AH1089" s="51" t="str">
        <f aca="false">IF(AND(E1089&gt;0,AA1089&lt;1,NOT(AND(C1090=C1089,AA1090=AA1089+1))),INDEX(DATAS,AA1089+1),"")</f>
        <v/>
      </c>
      <c r="AI1089" s="51" t="str">
        <f aca="false">IF(AND(AC1089=1,AA1089&lt;1),IF(AND(C1090=C1089,AA1090=AA1089+1),IF(AC1090=1,"",INDEX(DATAS,AA1089+1)),INDEX(DATAS,AA1089+1)),"")</f>
        <v/>
      </c>
    </row>
    <row r="1090" customFormat="false" ht="15" hidden="false" customHeight="false" outlineLevel="0" collapsed="false">
      <c r="A1090" s="51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46" t="s">
        <v>801</v>
      </c>
      <c r="I1090" s="46" t="s">
        <v>157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51" t="n">
        <v>46058</v>
      </c>
      <c r="X1090" s="46" t="n">
        <f aca="false">IF(I1090="Male",0,1)</f>
        <v>1</v>
      </c>
      <c r="Y1090" s="46" t="n">
        <f aca="false">IF(OR(I1090="DNB",I1090="Dry DNB"),1,0)</f>
        <v>0</v>
      </c>
      <c r="Z1090" s="46" t="n">
        <f aca="false">IF(ISNUMBER(W1090),A1090-W1090,"")</f>
        <v>251</v>
      </c>
      <c r="AA1090" s="46" t="n">
        <f aca="false">MATCH(A1090,DATAS,0)</f>
        <v>1</v>
      </c>
      <c r="AB1090" s="46" t="n">
        <f aca="false">IF(AND(E1090&gt;0,OR(AND(B1090&gt;=1,B1090&lt;=6),B1090=10)),1,0)</f>
        <v>0</v>
      </c>
      <c r="AC1090" s="46" t="n">
        <f aca="false">IF(AND(E1090&gt;0,B1090=10),1,0)</f>
        <v>0</v>
      </c>
      <c r="AD1090" s="0" t="str">
        <f aca="false">IF(AND(C1089=C1090,AA1089=AA1090-1),AB1089,"")</f>
        <v/>
      </c>
      <c r="AE1090" s="0" t="str">
        <f aca="false">IF(AND(C1089=C1090,AA1089=AA1090-1),AC1089,"")</f>
        <v/>
      </c>
      <c r="AF1090" s="0" t="str">
        <f aca="false">IF(AA1090=1,"",IF(AND(AB1090=1,AD1090&lt;&gt;1),1,0))</f>
        <v/>
      </c>
      <c r="AG1090" s="0" t="str">
        <f aca="false">IF(AA1090=1,"",IF(AND(AC1090=1,AE1090&lt;&gt;1),1,0))</f>
        <v/>
      </c>
      <c r="AH1090" s="51" t="str">
        <f aca="false">IF(AND(E1090&gt;0,AA1090&lt;1,NOT(AND(C1091=C1090,AA1091=AA1090+1))),INDEX(DATAS,AA1090+1),"")</f>
        <v/>
      </c>
      <c r="AI1090" s="51" t="str">
        <f aca="false">IF(AND(AC1090=1,AA1090&lt;1),IF(AND(C1091=C1090,AA1091=AA1090+1),IF(AC1091=1,"",INDEX(DATAS,AA1090+1)),INDEX(DATAS,AA1090+1)),"")</f>
        <v/>
      </c>
    </row>
    <row r="1091" customFormat="false" ht="15" hidden="false" customHeight="false" outlineLevel="0" collapsed="false">
      <c r="A1091" s="51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46" t="s">
        <v>802</v>
      </c>
      <c r="G1091" s="0" t="n">
        <v>33.6</v>
      </c>
      <c r="H1091" s="0" t="n">
        <v>37</v>
      </c>
      <c r="I1091" s="46" t="s">
        <v>189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51" t="n">
        <v>46275</v>
      </c>
      <c r="X1091" s="46" t="n">
        <f aca="false">IF(I1091="Male",0,1)</f>
        <v>1</v>
      </c>
      <c r="Y1091" s="46" t="n">
        <f aca="false">IF(OR(I1091="DNB",I1091="Dry DNB"),1,0)</f>
        <v>0</v>
      </c>
      <c r="Z1091" s="46" t="n">
        <f aca="false">IF(ISNUMBER(W1091),A1091-W1091,"")</f>
        <v>34</v>
      </c>
      <c r="AA1091" s="46" t="n">
        <f aca="false">MATCH(A1091,DATAS,0)</f>
        <v>1</v>
      </c>
      <c r="AB1091" s="46" t="n">
        <f aca="false">IF(AND(E1091&gt;0,OR(AND(B1091&gt;=1,B1091&lt;=6),B1091=10)),1,0)</f>
        <v>1</v>
      </c>
      <c r="AC1091" s="46" t="n">
        <f aca="false">IF(AND(E1091&gt;0,B1091=10),1,0)</f>
        <v>0</v>
      </c>
      <c r="AD1091" s="0" t="str">
        <f aca="false">IF(AND(C1090=C1091,AA1090=AA1091-1),AB1090,"")</f>
        <v/>
      </c>
      <c r="AE1091" s="0" t="str">
        <f aca="false">IF(AND(C1090=C1091,AA1090=AA1091-1),AC1090,"")</f>
        <v/>
      </c>
      <c r="AF1091" s="0" t="str">
        <f aca="false">IF(AA1091=1,"",IF(AND(AB1091=1,AD1091&lt;&gt;1),1,0))</f>
        <v/>
      </c>
      <c r="AG1091" s="0" t="str">
        <f aca="false">IF(AA1091=1,"",IF(AND(AC1091=1,AE1091&lt;&gt;1),1,0))</f>
        <v/>
      </c>
      <c r="AH1091" s="51" t="str">
        <f aca="false">IF(AND(E1091&gt;0,AA1091&lt;1,NOT(AND(C1092=C1091,AA1092=AA1091+1))),INDEX(DATAS,AA1091+1),"")</f>
        <v/>
      </c>
      <c r="AI1091" s="51" t="str">
        <f aca="false">IF(AND(AC1091=1,AA1091&lt;1),IF(AND(C1092=C1091,AA1092=AA1091+1),IF(AC1092=1,"",INDEX(DATAS,AA1091+1)),INDEX(DATAS,AA1091+1)),"")</f>
        <v/>
      </c>
    </row>
    <row r="1092" customFormat="false" ht="15" hidden="false" customHeight="false" outlineLevel="0" collapsed="false">
      <c r="A1092" s="51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46" t="s">
        <v>803</v>
      </c>
      <c r="G1092" s="0" t="n">
        <v>16.6</v>
      </c>
      <c r="H1092" s="0" t="n">
        <v>25</v>
      </c>
      <c r="I1092" s="46" t="s">
        <v>152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51" t="n">
        <v>46268</v>
      </c>
      <c r="X1092" s="46" t="n">
        <f aca="false">IF(I1092="Male",0,1)</f>
        <v>1</v>
      </c>
      <c r="Y1092" s="46" t="n">
        <f aca="false">IF(OR(I1092="DNB",I1092="Dry DNB"),1,0)</f>
        <v>0</v>
      </c>
      <c r="Z1092" s="46" t="n">
        <f aca="false">IF(ISNUMBER(W1092),A1092-W1092,"")</f>
        <v>41</v>
      </c>
      <c r="AA1092" s="46" t="n">
        <f aca="false">MATCH(A1092,DATAS,0)</f>
        <v>1</v>
      </c>
      <c r="AB1092" s="46" t="n">
        <f aca="false">IF(AND(E1092&gt;0,OR(AND(B1092&gt;=1,B1092&lt;=6),B1092=10)),1,0)</f>
        <v>1</v>
      </c>
      <c r="AC1092" s="46" t="n">
        <f aca="false">IF(AND(E1092&gt;0,B1092=10),1,0)</f>
        <v>0</v>
      </c>
      <c r="AD1092" s="0" t="str">
        <f aca="false">IF(AND(C1091=C1092,AA1091=AA1092-1),AB1091,"")</f>
        <v/>
      </c>
      <c r="AE1092" s="0" t="str">
        <f aca="false">IF(AND(C1091=C1092,AA1091=AA1092-1),AC1091,"")</f>
        <v/>
      </c>
      <c r="AF1092" s="0" t="str">
        <f aca="false">IF(AA1092=1,"",IF(AND(AB1092=1,AD1092&lt;&gt;1),1,0))</f>
        <v/>
      </c>
      <c r="AG1092" s="0" t="str">
        <f aca="false">IF(AA1092=1,"",IF(AND(AC1092=1,AE1092&lt;&gt;1),1,0))</f>
        <v/>
      </c>
      <c r="AH1092" s="51" t="str">
        <f aca="false">IF(AND(E1092&gt;0,AA1092&lt;1,NOT(AND(C1093=C1092,AA1093=AA1092+1))),INDEX(DATAS,AA1092+1),"")</f>
        <v/>
      </c>
      <c r="AI1092" s="51" t="str">
        <f aca="false">IF(AND(AC1092=1,AA1092&lt;1),IF(AND(C1093=C1092,AA1093=AA1092+1),IF(AC1093=1,"",INDEX(DATAS,AA1092+1)),INDEX(DATAS,AA1092+1)),"")</f>
        <v/>
      </c>
    </row>
    <row r="1093" customFormat="false" ht="15" hidden="false" customHeight="false" outlineLevel="0" collapsed="false">
      <c r="A1093" s="51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46" t="s">
        <v>803</v>
      </c>
      <c r="G1093" s="0" t="n">
        <v>53.6</v>
      </c>
      <c r="H1093" s="0" t="n">
        <v>48</v>
      </c>
      <c r="I1093" s="46" t="s">
        <v>161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X1093" s="46" t="n">
        <f aca="false">IF(I1093="Male",0,1)</f>
        <v>1</v>
      </c>
      <c r="Y1093" s="46" t="n">
        <f aca="false">IF(OR(I1093="DNB",I1093="Dry DNB"),1,0)</f>
        <v>0</v>
      </c>
      <c r="Z1093" s="0" t="str">
        <f aca="false">IF(ISNUMBER(W1093),A1093-W1093,"")</f>
        <v/>
      </c>
      <c r="AA1093" s="46" t="n">
        <f aca="false">MATCH(A1093,DATAS,0)</f>
        <v>1</v>
      </c>
      <c r="AB1093" s="46" t="n">
        <f aca="false">IF(AND(E1093&gt;0,OR(AND(B1093&gt;=1,B1093&lt;=6),B1093=10)),1,0)</f>
        <v>1</v>
      </c>
      <c r="AC1093" s="46" t="n">
        <f aca="false">IF(AND(E1093&gt;0,B1093=10),1,0)</f>
        <v>0</v>
      </c>
      <c r="AD1093" s="0" t="str">
        <f aca="false">IF(AND(C1092=C1093,AA1092=AA1093-1),AB1092,"")</f>
        <v/>
      </c>
      <c r="AE1093" s="0" t="str">
        <f aca="false">IF(AND(C1092=C1093,AA1092=AA1093-1),AC1092,"")</f>
        <v/>
      </c>
      <c r="AF1093" s="0" t="str">
        <f aca="false">IF(AA1093=1,"",IF(AND(AB1093=1,AD1093&lt;&gt;1),1,0))</f>
        <v/>
      </c>
      <c r="AG1093" s="0" t="str">
        <f aca="false">IF(AA1093=1,"",IF(AND(AC1093=1,AE1093&lt;&gt;1),1,0))</f>
        <v/>
      </c>
      <c r="AH1093" s="51" t="str">
        <f aca="false">IF(AND(E1093&gt;0,AA1093&lt;1,NOT(AND(C1094=C1093,AA1094=AA1093+1))),INDEX(DATAS,AA1093+1),"")</f>
        <v/>
      </c>
      <c r="AI1093" s="51" t="str">
        <f aca="false">IF(AND(AC1093=1,AA1093&lt;1),IF(AND(C1094=C1093,AA1094=AA1093+1),IF(AC1094=1,"",INDEX(DATAS,AA1093+1)),INDEX(DATAS,AA1093+1)),"")</f>
        <v/>
      </c>
    </row>
    <row r="1094" customFormat="false" ht="15" hidden="false" customHeight="false" outlineLevel="0" collapsed="false">
      <c r="A1094" s="51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46" t="s">
        <v>804</v>
      </c>
      <c r="G1094" s="0" t="n">
        <v>31.4</v>
      </c>
      <c r="H1094" s="0" t="n">
        <v>28</v>
      </c>
      <c r="I1094" s="46" t="s">
        <v>138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51" t="n">
        <v>46065</v>
      </c>
      <c r="X1094" s="46" t="n">
        <f aca="false">IF(I1094="Male",0,1)</f>
        <v>1</v>
      </c>
      <c r="Y1094" s="46" t="n">
        <f aca="false">IF(OR(I1094="DNB",I1094="Dry DNB"),1,0)</f>
        <v>1</v>
      </c>
      <c r="Z1094" s="46" t="n">
        <f aca="false">IF(ISNUMBER(W1094),A1094-W1094,"")</f>
        <v>244</v>
      </c>
      <c r="AA1094" s="46" t="n">
        <f aca="false">MATCH(A1094,DATAS,0)</f>
        <v>1</v>
      </c>
      <c r="AB1094" s="46" t="n">
        <f aca="false">IF(AND(E1094&gt;0,OR(AND(B1094&gt;=1,B1094&lt;=6),B1094=10)),1,0)</f>
        <v>1</v>
      </c>
      <c r="AC1094" s="46" t="n">
        <f aca="false">IF(AND(E1094&gt;0,B1094=10),1,0)</f>
        <v>0</v>
      </c>
      <c r="AD1094" s="0" t="str">
        <f aca="false">IF(AND(C1093=C1094,AA1093=AA1094-1),AB1093,"")</f>
        <v/>
      </c>
      <c r="AE1094" s="0" t="str">
        <f aca="false">IF(AND(C1093=C1094,AA1093=AA1094-1),AC1093,"")</f>
        <v/>
      </c>
      <c r="AF1094" s="0" t="str">
        <f aca="false">IF(AA1094=1,"",IF(AND(AB1094=1,AD1094&lt;&gt;1),1,0))</f>
        <v/>
      </c>
      <c r="AG1094" s="0" t="str">
        <f aca="false">IF(AA1094=1,"",IF(AND(AC1094=1,AE1094&lt;&gt;1),1,0))</f>
        <v/>
      </c>
      <c r="AH1094" s="51" t="str">
        <f aca="false">IF(AND(E1094&gt;0,AA1094&lt;1,NOT(AND(C1095=C1094,AA1095=AA1094+1))),INDEX(DATAS,AA1094+1),"")</f>
        <v/>
      </c>
      <c r="AI1094" s="51" t="str">
        <f aca="false">IF(AND(AC1094=1,AA1094&lt;1),IF(AND(C1095=C1094,AA1095=AA1094+1),IF(AC1095=1,"",INDEX(DATAS,AA1094+1)),INDEX(DATAS,AA1094+1)),"")</f>
        <v/>
      </c>
    </row>
    <row r="1095" customFormat="false" ht="15" hidden="false" customHeight="false" outlineLevel="0" collapsed="false">
      <c r="A1095" s="51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46" t="s">
        <v>804</v>
      </c>
      <c r="G1095" s="0" t="n">
        <v>34.8</v>
      </c>
      <c r="H1095" s="0" t="n">
        <v>35</v>
      </c>
      <c r="I1095" s="46" t="s">
        <v>189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51" t="n">
        <v>46268</v>
      </c>
      <c r="X1095" s="46" t="n">
        <f aca="false">IF(I1095="Male",0,1)</f>
        <v>1</v>
      </c>
      <c r="Y1095" s="46" t="n">
        <f aca="false">IF(OR(I1095="DNB",I1095="Dry DNB"),1,0)</f>
        <v>0</v>
      </c>
      <c r="Z1095" s="46" t="n">
        <f aca="false">IF(ISNUMBER(W1095),A1095-W1095,"")</f>
        <v>41</v>
      </c>
      <c r="AA1095" s="46" t="n">
        <f aca="false">MATCH(A1095,DATAS,0)</f>
        <v>1</v>
      </c>
      <c r="AB1095" s="46" t="n">
        <f aca="false">IF(AND(E1095&gt;0,OR(AND(B1095&gt;=1,B1095&lt;=6),B1095=10)),1,0)</f>
        <v>1</v>
      </c>
      <c r="AC1095" s="46" t="n">
        <f aca="false">IF(AND(E1095&gt;0,B1095=10),1,0)</f>
        <v>0</v>
      </c>
      <c r="AD1095" s="0" t="str">
        <f aca="false">IF(AND(C1094=C1095,AA1094=AA1095-1),AB1094,"")</f>
        <v/>
      </c>
      <c r="AE1095" s="0" t="str">
        <f aca="false">IF(AND(C1094=C1095,AA1094=AA1095-1),AC1094,"")</f>
        <v/>
      </c>
      <c r="AF1095" s="0" t="str">
        <f aca="false">IF(AA1095=1,"",IF(AND(AB1095=1,AD1095&lt;&gt;1),1,0))</f>
        <v/>
      </c>
      <c r="AG1095" s="0" t="str">
        <f aca="false">IF(AA1095=1,"",IF(AND(AC1095=1,AE1095&lt;&gt;1),1,0))</f>
        <v/>
      </c>
      <c r="AH1095" s="51" t="str">
        <f aca="false">IF(AND(E1095&gt;0,AA1095&lt;1,NOT(AND(C1096=C1095,AA1096=AA1095+1))),INDEX(DATAS,AA1095+1),"")</f>
        <v/>
      </c>
      <c r="AI1095" s="51" t="str">
        <f aca="false">IF(AND(AC1095=1,AA1095&lt;1),IF(AND(C1096=C1095,AA1096=AA1095+1),IF(AC1096=1,"",INDEX(DATAS,AA1095+1)),INDEX(DATAS,AA1095+1)),"")</f>
        <v/>
      </c>
    </row>
    <row r="1096" customFormat="false" ht="15" hidden="false" customHeight="false" outlineLevel="0" collapsed="false">
      <c r="A1096" s="51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46" t="s">
        <v>804</v>
      </c>
      <c r="I1096" s="46" t="s">
        <v>157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51" t="n">
        <v>46079</v>
      </c>
      <c r="X1096" s="46" t="n">
        <f aca="false">IF(I1096="Male",0,1)</f>
        <v>1</v>
      </c>
      <c r="Y1096" s="46" t="n">
        <f aca="false">IF(OR(I1096="DNB",I1096="Dry DNB"),1,0)</f>
        <v>0</v>
      </c>
      <c r="Z1096" s="46" t="n">
        <f aca="false">IF(ISNUMBER(W1096),A1096-W1096,"")</f>
        <v>230</v>
      </c>
      <c r="AA1096" s="46" t="n">
        <f aca="false">MATCH(A1096,DATAS,0)</f>
        <v>1</v>
      </c>
      <c r="AB1096" s="46" t="n">
        <f aca="false">IF(AND(E1096&gt;0,OR(AND(B1096&gt;=1,B1096&lt;=6),B1096=10)),1,0)</f>
        <v>0</v>
      </c>
      <c r="AC1096" s="46" t="n">
        <f aca="false">IF(AND(E1096&gt;0,B1096=10),1,0)</f>
        <v>0</v>
      </c>
      <c r="AD1096" s="0" t="str">
        <f aca="false">IF(AND(C1095=C1096,AA1095=AA1096-1),AB1095,"")</f>
        <v/>
      </c>
      <c r="AE1096" s="0" t="str">
        <f aca="false">IF(AND(C1095=C1096,AA1095=AA1096-1),AC1095,"")</f>
        <v/>
      </c>
      <c r="AF1096" s="0" t="str">
        <f aca="false">IF(AA1096=1,"",IF(AND(AB1096=1,AD1096&lt;&gt;1),1,0))</f>
        <v/>
      </c>
      <c r="AG1096" s="0" t="str">
        <f aca="false">IF(AA1096=1,"",IF(AND(AC1096=1,AE1096&lt;&gt;1),1,0))</f>
        <v/>
      </c>
      <c r="AH1096" s="51" t="str">
        <f aca="false">IF(AND(E1096&gt;0,AA1096&lt;1,NOT(AND(C1097=C1096,AA1097=AA1096+1))),INDEX(DATAS,AA1096+1),"")</f>
        <v/>
      </c>
      <c r="AI1096" s="51" t="str">
        <f aca="false">IF(AND(AC1096=1,AA1096&lt;1),IF(AND(C1097=C1096,AA1097=AA1096+1),IF(AC1097=1,"",INDEX(DATAS,AA1096+1)),INDEX(DATAS,AA1096+1)),"")</f>
        <v/>
      </c>
    </row>
    <row r="1097" customFormat="false" ht="15" hidden="false" customHeight="false" outlineLevel="0" collapsed="false">
      <c r="A1097" s="51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46" t="s">
        <v>805</v>
      </c>
      <c r="G1097" s="0" t="n">
        <v>25.5</v>
      </c>
      <c r="H1097" s="0" t="n">
        <v>22</v>
      </c>
      <c r="I1097" s="46" t="s">
        <v>152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51" t="n">
        <v>46177</v>
      </c>
      <c r="X1097" s="46" t="n">
        <f aca="false">IF(I1097="Male",0,1)</f>
        <v>1</v>
      </c>
      <c r="Y1097" s="46" t="n">
        <f aca="false">IF(OR(I1097="DNB",I1097="Dry DNB"),1,0)</f>
        <v>0</v>
      </c>
      <c r="Z1097" s="46" t="n">
        <f aca="false">IF(ISNUMBER(W1097),A1097-W1097,"")</f>
        <v>132</v>
      </c>
      <c r="AA1097" s="46" t="n">
        <f aca="false">MATCH(A1097,DATAS,0)</f>
        <v>1</v>
      </c>
      <c r="AB1097" s="46" t="n">
        <f aca="false">IF(AND(E1097&gt;0,OR(AND(B1097&gt;=1,B1097&lt;=6),B1097=10)),1,0)</f>
        <v>1</v>
      </c>
      <c r="AC1097" s="46" t="n">
        <f aca="false">IF(AND(E1097&gt;0,B1097=10),1,0)</f>
        <v>0</v>
      </c>
      <c r="AD1097" s="0" t="str">
        <f aca="false">IF(AND(C1096=C1097,AA1096=AA1097-1),AB1096,"")</f>
        <v/>
      </c>
      <c r="AE1097" s="0" t="str">
        <f aca="false">IF(AND(C1096=C1097,AA1096=AA1097-1),AC1096,"")</f>
        <v/>
      </c>
      <c r="AF1097" s="0" t="str">
        <f aca="false">IF(AA1097=1,"",IF(AND(AB1097=1,AD1097&lt;&gt;1),1,0))</f>
        <v/>
      </c>
      <c r="AG1097" s="0" t="str">
        <f aca="false">IF(AA1097=1,"",IF(AND(AC1097=1,AE1097&lt;&gt;1),1,0))</f>
        <v/>
      </c>
      <c r="AH1097" s="51" t="str">
        <f aca="false">IF(AND(E1097&gt;0,AA1097&lt;1,NOT(AND(C1098=C1097,AA1098=AA1097+1))),INDEX(DATAS,AA1097+1),"")</f>
        <v/>
      </c>
      <c r="AI1097" s="51" t="str">
        <f aca="false">IF(AND(AC1097=1,AA1097&lt;1),IF(AND(C1098=C1097,AA1098=AA1097+1),IF(AC1098=1,"",INDEX(DATAS,AA1097+1)),INDEX(DATAS,AA1097+1)),"")</f>
        <v/>
      </c>
    </row>
    <row r="1098" customFormat="false" ht="15" hidden="false" customHeight="false" outlineLevel="0" collapsed="false">
      <c r="A1098" s="51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46" t="s">
        <v>806</v>
      </c>
      <c r="G1098" s="0" t="n">
        <v>21.9</v>
      </c>
      <c r="H1098" s="0" t="n">
        <v>21</v>
      </c>
      <c r="I1098" s="46" t="s">
        <v>152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51" t="n">
        <v>46093</v>
      </c>
      <c r="X1098" s="46" t="n">
        <f aca="false">IF(I1098="Male",0,1)</f>
        <v>1</v>
      </c>
      <c r="Y1098" s="46" t="n">
        <f aca="false">IF(OR(I1098="DNB",I1098="Dry DNB"),1,0)</f>
        <v>0</v>
      </c>
      <c r="Z1098" s="46" t="n">
        <f aca="false">IF(ISNUMBER(W1098),A1098-W1098,"")</f>
        <v>216</v>
      </c>
      <c r="AA1098" s="46" t="n">
        <f aca="false">MATCH(A1098,DATAS,0)</f>
        <v>1</v>
      </c>
      <c r="AB1098" s="46" t="n">
        <f aca="false">IF(AND(E1098&gt;0,OR(AND(B1098&gt;=1,B1098&lt;=6),B1098=10)),1,0)</f>
        <v>1</v>
      </c>
      <c r="AC1098" s="46" t="n">
        <f aca="false">IF(AND(E1098&gt;0,B1098=10),1,0)</f>
        <v>0</v>
      </c>
      <c r="AD1098" s="0" t="str">
        <f aca="false">IF(AND(C1097=C1098,AA1097=AA1098-1),AB1097,"")</f>
        <v/>
      </c>
      <c r="AE1098" s="0" t="str">
        <f aca="false">IF(AND(C1097=C1098,AA1097=AA1098-1),AC1097,"")</f>
        <v/>
      </c>
      <c r="AF1098" s="0" t="str">
        <f aca="false">IF(AA1098=1,"",IF(AND(AB1098=1,AD1098&lt;&gt;1),1,0))</f>
        <v/>
      </c>
      <c r="AG1098" s="0" t="str">
        <f aca="false">IF(AA1098=1,"",IF(AND(AC1098=1,AE1098&lt;&gt;1),1,0))</f>
        <v/>
      </c>
      <c r="AH1098" s="51" t="str">
        <f aca="false">IF(AND(E1098&gt;0,AA1098&lt;1,NOT(AND(C1099=C1098,AA1099=AA1098+1))),INDEX(DATAS,AA1098+1),"")</f>
        <v/>
      </c>
      <c r="AI1098" s="51" t="str">
        <f aca="false">IF(AND(AC1098=1,AA1098&lt;1),IF(AND(C1099=C1098,AA1099=AA1098+1),IF(AC1099=1,"",INDEX(DATAS,AA1098+1)),INDEX(DATAS,AA1098+1)),"")</f>
        <v/>
      </c>
    </row>
    <row r="1099" customFormat="false" ht="15" hidden="false" customHeight="false" outlineLevel="0" collapsed="false">
      <c r="A1099" s="51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46" t="s">
        <v>806</v>
      </c>
      <c r="G1099" s="0" t="n">
        <v>30.9</v>
      </c>
      <c r="H1099" s="0" t="n">
        <v>30</v>
      </c>
      <c r="I1099" s="46" t="s">
        <v>152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51" t="n">
        <v>46220</v>
      </c>
      <c r="X1099" s="46" t="n">
        <f aca="false">IF(I1099="Male",0,1)</f>
        <v>1</v>
      </c>
      <c r="Y1099" s="46" t="n">
        <f aca="false">IF(OR(I1099="DNB",I1099="Dry DNB"),1,0)</f>
        <v>0</v>
      </c>
      <c r="Z1099" s="46" t="n">
        <f aca="false">IF(ISNUMBER(W1099),A1099-W1099,"")</f>
        <v>89</v>
      </c>
      <c r="AA1099" s="46" t="n">
        <f aca="false">MATCH(A1099,DATAS,0)</f>
        <v>1</v>
      </c>
      <c r="AB1099" s="46" t="n">
        <f aca="false">IF(AND(E1099&gt;0,OR(AND(B1099&gt;=1,B1099&lt;=6),B1099=10)),1,0)</f>
        <v>1</v>
      </c>
      <c r="AC1099" s="46" t="n">
        <f aca="false">IF(AND(E1099&gt;0,B1099=10),1,0)</f>
        <v>0</v>
      </c>
      <c r="AD1099" s="0" t="str">
        <f aca="false">IF(AND(C1098=C1099,AA1098=AA1099-1),AB1098,"")</f>
        <v/>
      </c>
      <c r="AE1099" s="0" t="str">
        <f aca="false">IF(AND(C1098=C1099,AA1098=AA1099-1),AC1098,"")</f>
        <v/>
      </c>
      <c r="AF1099" s="0" t="str">
        <f aca="false">IF(AA1099=1,"",IF(AND(AB1099=1,AD1099&lt;&gt;1),1,0))</f>
        <v/>
      </c>
      <c r="AG1099" s="0" t="str">
        <f aca="false">IF(AA1099=1,"",IF(AND(AC1099=1,AE1099&lt;&gt;1),1,0))</f>
        <v/>
      </c>
      <c r="AH1099" s="51" t="str">
        <f aca="false">IF(AND(E1099&gt;0,AA1099&lt;1,NOT(AND(C1100=C1099,AA1100=AA1099+1))),INDEX(DATAS,AA1099+1),"")</f>
        <v/>
      </c>
      <c r="AI1099" s="51" t="str">
        <f aca="false">IF(AND(AC1099=1,AA1099&lt;1),IF(AND(C1100=C1099,AA1100=AA1099+1),IF(AC1100=1,"",INDEX(DATAS,AA1099+1)),INDEX(DATAS,AA1099+1)),"")</f>
        <v/>
      </c>
    </row>
    <row r="1100" customFormat="false" ht="15" hidden="false" customHeight="false" outlineLevel="0" collapsed="false">
      <c r="A1100" s="51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46" t="s">
        <v>807</v>
      </c>
      <c r="G1100" s="0" t="n">
        <v>40.8</v>
      </c>
      <c r="H1100" s="0" t="n">
        <v>36</v>
      </c>
      <c r="I1100" s="46" t="s">
        <v>181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51" t="n">
        <v>46296</v>
      </c>
      <c r="X1100" s="46" t="n">
        <f aca="false">IF(I1100="Male",0,1)</f>
        <v>1</v>
      </c>
      <c r="Y1100" s="46" t="n">
        <f aca="false">IF(OR(I1100="DNB",I1100="Dry DNB"),1,0)</f>
        <v>0</v>
      </c>
      <c r="Z1100" s="46" t="n">
        <f aca="false">IF(ISNUMBER(W1100),A1100-W1100,"")</f>
        <v>13</v>
      </c>
      <c r="AA1100" s="46" t="n">
        <f aca="false">MATCH(A1100,DATAS,0)</f>
        <v>1</v>
      </c>
      <c r="AB1100" s="46" t="n">
        <f aca="false">IF(AND(E1100&gt;0,OR(AND(B1100&gt;=1,B1100&lt;=6),B1100=10)),1,0)</f>
        <v>1</v>
      </c>
      <c r="AC1100" s="46" t="n">
        <f aca="false">IF(AND(E1100&gt;0,B1100=10),1,0)</f>
        <v>0</v>
      </c>
      <c r="AD1100" s="0" t="str">
        <f aca="false">IF(AND(C1099=C1100,AA1099=AA1100-1),AB1099,"")</f>
        <v/>
      </c>
      <c r="AE1100" s="0" t="str">
        <f aca="false">IF(AND(C1099=C1100,AA1099=AA1100-1),AC1099,"")</f>
        <v/>
      </c>
      <c r="AF1100" s="0" t="str">
        <f aca="false">IF(AA1100=1,"",IF(AND(AB1100=1,AD1100&lt;&gt;1),1,0))</f>
        <v/>
      </c>
      <c r="AG1100" s="0" t="str">
        <f aca="false">IF(AA1100=1,"",IF(AND(AC1100=1,AE1100&lt;&gt;1),1,0))</f>
        <v/>
      </c>
      <c r="AH1100" s="51" t="str">
        <f aca="false">IF(AND(E1100&gt;0,AA1100&lt;1,NOT(AND(C1101=C1100,AA1101=AA1100+1))),INDEX(DATAS,AA1100+1),"")</f>
        <v/>
      </c>
      <c r="AI1100" s="51" t="str">
        <f aca="false">IF(AND(AC1100=1,AA1100&lt;1),IF(AND(C1101=C1100,AA1101=AA1100+1),IF(AC1101=1,"",INDEX(DATAS,AA1100+1)),INDEX(DATAS,AA1100+1)),"")</f>
        <v/>
      </c>
    </row>
    <row r="1101" customFormat="false" ht="15" hidden="false" customHeight="false" outlineLevel="0" collapsed="false">
      <c r="A1101" s="51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46" t="s">
        <v>807</v>
      </c>
      <c r="I1101" s="46" t="s">
        <v>157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51" t="n">
        <v>46044</v>
      </c>
      <c r="X1101" s="46" t="n">
        <f aca="false">IF(I1101="Male",0,1)</f>
        <v>1</v>
      </c>
      <c r="Y1101" s="46" t="n">
        <f aca="false">IF(OR(I1101="DNB",I1101="Dry DNB"),1,0)</f>
        <v>0</v>
      </c>
      <c r="Z1101" s="46" t="n">
        <f aca="false">IF(ISNUMBER(W1101),A1101-W1101,"")</f>
        <v>265</v>
      </c>
      <c r="AA1101" s="46" t="n">
        <f aca="false">MATCH(A1101,DATAS,0)</f>
        <v>1</v>
      </c>
      <c r="AB1101" s="46" t="n">
        <f aca="false">IF(AND(E1101&gt;0,OR(AND(B1101&gt;=1,B1101&lt;=6),B1101=10)),1,0)</f>
        <v>0</v>
      </c>
      <c r="AC1101" s="46" t="n">
        <f aca="false">IF(AND(E1101&gt;0,B1101=10),1,0)</f>
        <v>0</v>
      </c>
      <c r="AD1101" s="0" t="str">
        <f aca="false">IF(AND(C1100=C1101,AA1100=AA1101-1),AB1100,"")</f>
        <v/>
      </c>
      <c r="AE1101" s="0" t="str">
        <f aca="false">IF(AND(C1100=C1101,AA1100=AA1101-1),AC1100,"")</f>
        <v/>
      </c>
      <c r="AF1101" s="0" t="str">
        <f aca="false">IF(AA1101=1,"",IF(AND(AB1101=1,AD1101&lt;&gt;1),1,0))</f>
        <v/>
      </c>
      <c r="AG1101" s="0" t="str">
        <f aca="false">IF(AA1101=1,"",IF(AND(AC1101=1,AE1101&lt;&gt;1),1,0))</f>
        <v/>
      </c>
      <c r="AH1101" s="51" t="str">
        <f aca="false">IF(AND(E1101&gt;0,AA1101&lt;1,NOT(AND(C1102=C1101,AA1102=AA1101+1))),INDEX(DATAS,AA1101+1),"")</f>
        <v/>
      </c>
      <c r="AI1101" s="51" t="str">
        <f aca="false">IF(AND(AC1101=1,AA1101&lt;1),IF(AND(C1102=C1101,AA1102=AA1101+1),IF(AC1102=1,"",INDEX(DATAS,AA1101+1)),INDEX(DATAS,AA1101+1)),"")</f>
        <v/>
      </c>
    </row>
    <row r="1102" customFormat="false" ht="15" hidden="false" customHeight="false" outlineLevel="0" collapsed="false">
      <c r="A1102" s="51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46" t="s">
        <v>808</v>
      </c>
      <c r="G1102" s="0" t="n">
        <v>16.9</v>
      </c>
      <c r="H1102" s="0" t="n">
        <v>23</v>
      </c>
      <c r="I1102" s="46" t="s">
        <v>161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X1102" s="46" t="n">
        <f aca="false">IF(I1102="Male",0,1)</f>
        <v>1</v>
      </c>
      <c r="Y1102" s="46" t="n">
        <f aca="false">IF(OR(I1102="DNB",I1102="Dry DNB"),1,0)</f>
        <v>0</v>
      </c>
      <c r="Z1102" s="0" t="str">
        <f aca="false">IF(ISNUMBER(W1102),A1102-W1102,"")</f>
        <v/>
      </c>
      <c r="AA1102" s="46" t="n">
        <f aca="false">MATCH(A1102,DATAS,0)</f>
        <v>1</v>
      </c>
      <c r="AB1102" s="46" t="n">
        <f aca="false">IF(AND(E1102&gt;0,OR(AND(B1102&gt;=1,B1102&lt;=6),B1102=10)),1,0)</f>
        <v>1</v>
      </c>
      <c r="AC1102" s="46" t="n">
        <f aca="false">IF(AND(E1102&gt;0,B1102=10),1,0)</f>
        <v>0</v>
      </c>
      <c r="AD1102" s="0" t="str">
        <f aca="false">IF(AND(C1101=C1102,AA1101=AA1102-1),AB1101,"")</f>
        <v/>
      </c>
      <c r="AE1102" s="0" t="str">
        <f aca="false">IF(AND(C1101=C1102,AA1101=AA1102-1),AC1101,"")</f>
        <v/>
      </c>
      <c r="AF1102" s="0" t="str">
        <f aca="false">IF(AA1102=1,"",IF(AND(AB1102=1,AD1102&lt;&gt;1),1,0))</f>
        <v/>
      </c>
      <c r="AG1102" s="0" t="str">
        <f aca="false">IF(AA1102=1,"",IF(AND(AC1102=1,AE1102&lt;&gt;1),1,0))</f>
        <v/>
      </c>
      <c r="AH1102" s="51" t="str">
        <f aca="false">IF(AND(E1102&gt;0,AA1102&lt;1,NOT(AND(C1103=C1102,AA1103=AA1102+1))),INDEX(DATAS,AA1102+1),"")</f>
        <v/>
      </c>
      <c r="AI1102" s="51" t="str">
        <f aca="false">IF(AND(AC1102=1,AA1102&lt;1),IF(AND(C1103=C1102,AA1103=AA1102+1),IF(AC1103=1,"",INDEX(DATAS,AA1102+1)),INDEX(DATAS,AA1102+1)),"")</f>
        <v/>
      </c>
    </row>
    <row r="1103" customFormat="false" ht="15" hidden="false" customHeight="false" outlineLevel="0" collapsed="false">
      <c r="A1103" s="51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46" t="s">
        <v>808</v>
      </c>
      <c r="G1103" s="0" t="n">
        <v>56.4</v>
      </c>
      <c r="H1103" s="0" t="n">
        <v>55</v>
      </c>
      <c r="I1103" s="46" t="s">
        <v>161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X1103" s="46" t="n">
        <f aca="false">IF(I1103="Male",0,1)</f>
        <v>1</v>
      </c>
      <c r="Y1103" s="46" t="n">
        <f aca="false">IF(OR(I1103="DNB",I1103="Dry DNB"),1,0)</f>
        <v>0</v>
      </c>
      <c r="Z1103" s="0" t="str">
        <f aca="false">IF(ISNUMBER(W1103),A1103-W1103,"")</f>
        <v/>
      </c>
      <c r="AA1103" s="46" t="n">
        <f aca="false">MATCH(A1103,DATAS,0)</f>
        <v>1</v>
      </c>
      <c r="AB1103" s="46" t="n">
        <f aca="false">IF(AND(E1103&gt;0,OR(AND(B1103&gt;=1,B1103&lt;=6),B1103=10)),1,0)</f>
        <v>1</v>
      </c>
      <c r="AC1103" s="46" t="n">
        <f aca="false">IF(AND(E1103&gt;0,B1103=10),1,0)</f>
        <v>0</v>
      </c>
      <c r="AD1103" s="0" t="str">
        <f aca="false">IF(AND(C1102=C1103,AA1102=AA1103-1),AB1102,"")</f>
        <v/>
      </c>
      <c r="AE1103" s="0" t="str">
        <f aca="false">IF(AND(C1102=C1103,AA1102=AA1103-1),AC1102,"")</f>
        <v/>
      </c>
      <c r="AF1103" s="0" t="str">
        <f aca="false">IF(AA1103=1,"",IF(AND(AB1103=1,AD1103&lt;&gt;1),1,0))</f>
        <v/>
      </c>
      <c r="AG1103" s="0" t="str">
        <f aca="false">IF(AA1103=1,"",IF(AND(AC1103=1,AE1103&lt;&gt;1),1,0))</f>
        <v/>
      </c>
      <c r="AH1103" s="51" t="str">
        <f aca="false">IF(AND(E1103&gt;0,AA1103&lt;1,NOT(AND(C1104=C1103,AA1104=AA1103+1))),INDEX(DATAS,AA1103+1),"")</f>
        <v/>
      </c>
      <c r="AI1103" s="51" t="str">
        <f aca="false">IF(AND(AC1103=1,AA1103&lt;1),IF(AND(C1104=C1103,AA1104=AA1103+1),IF(AC1104=1,"",INDEX(DATAS,AA1103+1)),INDEX(DATAS,AA1103+1)),"")</f>
        <v/>
      </c>
    </row>
    <row r="1104" customFormat="false" ht="15" hidden="false" customHeight="false" outlineLevel="0" collapsed="false">
      <c r="A1104" s="51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46" t="s">
        <v>808</v>
      </c>
      <c r="G1104" s="0" t="n">
        <v>35.2</v>
      </c>
      <c r="H1104" s="0" t="n">
        <v>34</v>
      </c>
      <c r="I1104" s="46" t="s">
        <v>181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51" t="n">
        <v>46282</v>
      </c>
      <c r="X1104" s="46" t="n">
        <f aca="false">IF(I1104="Male",0,1)</f>
        <v>1</v>
      </c>
      <c r="Y1104" s="46" t="n">
        <f aca="false">IF(OR(I1104="DNB",I1104="Dry DNB"),1,0)</f>
        <v>0</v>
      </c>
      <c r="Z1104" s="46" t="n">
        <f aca="false">IF(ISNUMBER(W1104),A1104-W1104,"")</f>
        <v>27</v>
      </c>
      <c r="AA1104" s="46" t="n">
        <f aca="false">MATCH(A1104,DATAS,0)</f>
        <v>1</v>
      </c>
      <c r="AB1104" s="46" t="n">
        <f aca="false">IF(AND(E1104&gt;0,OR(AND(B1104&gt;=1,B1104&lt;=6),B1104=10)),1,0)</f>
        <v>1</v>
      </c>
      <c r="AC1104" s="46" t="n">
        <f aca="false">IF(AND(E1104&gt;0,B1104=10),1,0)</f>
        <v>0</v>
      </c>
      <c r="AD1104" s="0" t="str">
        <f aca="false">IF(AND(C1103=C1104,AA1103=AA1104-1),AB1103,"")</f>
        <v/>
      </c>
      <c r="AE1104" s="0" t="str">
        <f aca="false">IF(AND(C1103=C1104,AA1103=AA1104-1),AC1103,"")</f>
        <v/>
      </c>
      <c r="AF1104" s="0" t="str">
        <f aca="false">IF(AA1104=1,"",IF(AND(AB1104=1,AD1104&lt;&gt;1),1,0))</f>
        <v/>
      </c>
      <c r="AG1104" s="0" t="str">
        <f aca="false">IF(AA1104=1,"",IF(AND(AC1104=1,AE1104&lt;&gt;1),1,0))</f>
        <v/>
      </c>
      <c r="AH1104" s="51" t="str">
        <f aca="false">IF(AND(E1104&gt;0,AA1104&lt;1,NOT(AND(C1105=C1104,AA1105=AA1104+1))),INDEX(DATAS,AA1104+1),"")</f>
        <v/>
      </c>
      <c r="AI1104" s="51" t="str">
        <f aca="false">IF(AND(AC1104=1,AA1104&lt;1),IF(AND(C1105=C1104,AA1105=AA1104+1),IF(AC1105=1,"",INDEX(DATAS,AA1104+1)),INDEX(DATAS,AA1104+1)),"")</f>
        <v/>
      </c>
    </row>
    <row r="1105" customFormat="false" ht="15" hidden="false" customHeight="false" outlineLevel="0" collapsed="false">
      <c r="A1105" s="51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46" t="s">
        <v>809</v>
      </c>
      <c r="G1105" s="0" t="n">
        <v>56.7</v>
      </c>
      <c r="H1105" s="0" t="n">
        <v>60</v>
      </c>
      <c r="I1105" s="46" t="s">
        <v>181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51" t="n">
        <v>46282</v>
      </c>
      <c r="X1105" s="46" t="n">
        <f aca="false">IF(I1105="Male",0,1)</f>
        <v>1</v>
      </c>
      <c r="Y1105" s="46" t="n">
        <f aca="false">IF(OR(I1105="DNB",I1105="Dry DNB"),1,0)</f>
        <v>0</v>
      </c>
      <c r="Z1105" s="46" t="n">
        <f aca="false">IF(ISNUMBER(W1105),A1105-W1105,"")</f>
        <v>27</v>
      </c>
      <c r="AA1105" s="46" t="n">
        <f aca="false">MATCH(A1105,DATAS,0)</f>
        <v>1</v>
      </c>
      <c r="AB1105" s="46" t="n">
        <f aca="false">IF(AND(E1105&gt;0,OR(AND(B1105&gt;=1,B1105&lt;=6),B1105=10)),1,0)</f>
        <v>1</v>
      </c>
      <c r="AC1105" s="46" t="n">
        <f aca="false">IF(AND(E1105&gt;0,B1105=10),1,0)</f>
        <v>0</v>
      </c>
      <c r="AD1105" s="0" t="str">
        <f aca="false">IF(AND(C1104=C1105,AA1104=AA1105-1),AB1104,"")</f>
        <v/>
      </c>
      <c r="AE1105" s="0" t="str">
        <f aca="false">IF(AND(C1104=C1105,AA1104=AA1105-1),AC1104,"")</f>
        <v/>
      </c>
      <c r="AF1105" s="0" t="str">
        <f aca="false">IF(AA1105=1,"",IF(AND(AB1105=1,AD1105&lt;&gt;1),1,0))</f>
        <v/>
      </c>
      <c r="AG1105" s="0" t="str">
        <f aca="false">IF(AA1105=1,"",IF(AND(AC1105=1,AE1105&lt;&gt;1),1,0))</f>
        <v/>
      </c>
      <c r="AH1105" s="51" t="str">
        <f aca="false">IF(AND(E1105&gt;0,AA1105&lt;1,NOT(AND(C1106=C1105,AA1106=AA1105+1))),INDEX(DATAS,AA1105+1),"")</f>
        <v/>
      </c>
      <c r="AI1105" s="51" t="str">
        <f aca="false">IF(AND(AC1105=1,AA1105&lt;1),IF(AND(C1106=C1105,AA1106=AA1105+1),IF(AC1106=1,"",INDEX(DATAS,AA1105+1)),INDEX(DATAS,AA1105+1)),"")</f>
        <v/>
      </c>
    </row>
    <row r="1106" customFormat="false" ht="15" hidden="false" customHeight="false" outlineLevel="0" collapsed="false">
      <c r="A1106" s="51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46" t="s">
        <v>809</v>
      </c>
      <c r="G1106" s="0" t="n">
        <v>49.1</v>
      </c>
      <c r="H1106" s="0" t="n">
        <v>52</v>
      </c>
      <c r="I1106" s="46" t="s">
        <v>181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51" t="n">
        <v>46296</v>
      </c>
      <c r="X1106" s="46" t="n">
        <f aca="false">IF(I1106="Male",0,1)</f>
        <v>1</v>
      </c>
      <c r="Y1106" s="46" t="n">
        <f aca="false">IF(OR(I1106="DNB",I1106="Dry DNB"),1,0)</f>
        <v>0</v>
      </c>
      <c r="Z1106" s="46" t="n">
        <f aca="false">IF(ISNUMBER(W1106),A1106-W1106,"")</f>
        <v>13</v>
      </c>
      <c r="AA1106" s="46" t="n">
        <f aca="false">MATCH(A1106,DATAS,0)</f>
        <v>1</v>
      </c>
      <c r="AB1106" s="46" t="n">
        <f aca="false">IF(AND(E1106&gt;0,OR(AND(B1106&gt;=1,B1106&lt;=6),B1106=10)),1,0)</f>
        <v>1</v>
      </c>
      <c r="AC1106" s="46" t="n">
        <f aca="false">IF(AND(E1106&gt;0,B1106=10),1,0)</f>
        <v>0</v>
      </c>
      <c r="AD1106" s="0" t="str">
        <f aca="false">IF(AND(C1105=C1106,AA1105=AA1106-1),AB1105,"")</f>
        <v/>
      </c>
      <c r="AE1106" s="0" t="str">
        <f aca="false">IF(AND(C1105=C1106,AA1105=AA1106-1),AC1105,"")</f>
        <v/>
      </c>
      <c r="AF1106" s="0" t="str">
        <f aca="false">IF(AA1106=1,"",IF(AND(AB1106=1,AD1106&lt;&gt;1),1,0))</f>
        <v/>
      </c>
      <c r="AG1106" s="0" t="str">
        <f aca="false">IF(AA1106=1,"",IF(AND(AC1106=1,AE1106&lt;&gt;1),1,0))</f>
        <v/>
      </c>
      <c r="AH1106" s="51" t="str">
        <f aca="false">IF(AND(E1106&gt;0,AA1106&lt;1,NOT(AND(C1107=C1106,AA1107=AA1106+1))),INDEX(DATAS,AA1106+1),"")</f>
        <v/>
      </c>
      <c r="AI1106" s="51" t="str">
        <f aca="false">IF(AND(AC1106=1,AA1106&lt;1),IF(AND(C1107=C1106,AA1107=AA1106+1),IF(AC1107=1,"",INDEX(DATAS,AA1106+1)),INDEX(DATAS,AA1106+1)),"")</f>
        <v/>
      </c>
    </row>
    <row r="1107" customFormat="false" ht="15" hidden="false" customHeight="false" outlineLevel="0" collapsed="false">
      <c r="A1107" s="51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46" t="s">
        <v>809</v>
      </c>
      <c r="G1107" s="0" t="n">
        <v>25.7</v>
      </c>
      <c r="H1107" s="0" t="n">
        <v>24</v>
      </c>
      <c r="I1107" s="46" t="s">
        <v>152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51" t="n">
        <v>46191</v>
      </c>
      <c r="X1107" s="46" t="n">
        <f aca="false">IF(I1107="Male",0,1)</f>
        <v>1</v>
      </c>
      <c r="Y1107" s="46" t="n">
        <f aca="false">IF(OR(I1107="DNB",I1107="Dry DNB"),1,0)</f>
        <v>0</v>
      </c>
      <c r="Z1107" s="46" t="n">
        <f aca="false">IF(ISNUMBER(W1107),A1107-W1107,"")</f>
        <v>118</v>
      </c>
      <c r="AA1107" s="46" t="n">
        <f aca="false">MATCH(A1107,DATAS,0)</f>
        <v>1</v>
      </c>
      <c r="AB1107" s="46" t="n">
        <f aca="false">IF(AND(E1107&gt;0,OR(AND(B1107&gt;=1,B1107&lt;=6),B1107=10)),1,0)</f>
        <v>1</v>
      </c>
      <c r="AC1107" s="46" t="n">
        <f aca="false">IF(AND(E1107&gt;0,B1107=10),1,0)</f>
        <v>0</v>
      </c>
      <c r="AD1107" s="0" t="str">
        <f aca="false">IF(AND(C1106=C1107,AA1106=AA1107-1),AB1106,"")</f>
        <v/>
      </c>
      <c r="AE1107" s="0" t="str">
        <f aca="false">IF(AND(C1106=C1107,AA1106=AA1107-1),AC1106,"")</f>
        <v/>
      </c>
      <c r="AF1107" s="0" t="str">
        <f aca="false">IF(AA1107=1,"",IF(AND(AB1107=1,AD1107&lt;&gt;1),1,0))</f>
        <v/>
      </c>
      <c r="AG1107" s="0" t="str">
        <f aca="false">IF(AA1107=1,"",IF(AND(AC1107=1,AE1107&lt;&gt;1),1,0))</f>
        <v/>
      </c>
      <c r="AH1107" s="51" t="str">
        <f aca="false">IF(AND(E1107&gt;0,AA1107&lt;1,NOT(AND(C1108=C1107,AA1108=AA1107+1))),INDEX(DATAS,AA1107+1),"")</f>
        <v/>
      </c>
      <c r="AI1107" s="51" t="str">
        <f aca="false">IF(AND(AC1107=1,AA1107&lt;1),IF(AND(C1108=C1107,AA1108=AA1107+1),IF(AC1108=1,"",INDEX(DATAS,AA1107+1)),INDEX(DATAS,AA1107+1)),"")</f>
        <v/>
      </c>
    </row>
    <row r="1108" customFormat="false" ht="15" hidden="false" customHeight="false" outlineLevel="0" collapsed="false">
      <c r="A1108" s="51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46" t="s">
        <v>810</v>
      </c>
      <c r="G1108" s="0" t="n">
        <v>56.2</v>
      </c>
      <c r="H1108" s="0" t="n">
        <v>61</v>
      </c>
      <c r="I1108" s="46" t="s">
        <v>161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X1108" s="46" t="n">
        <f aca="false">IF(I1108="Male",0,1)</f>
        <v>1</v>
      </c>
      <c r="Y1108" s="46" t="n">
        <f aca="false">IF(OR(I1108="DNB",I1108="Dry DNB"),1,0)</f>
        <v>0</v>
      </c>
      <c r="Z1108" s="0" t="str">
        <f aca="false">IF(ISNUMBER(W1108),A1108-W1108,"")</f>
        <v/>
      </c>
      <c r="AA1108" s="46" t="n">
        <f aca="false">MATCH(A1108,DATAS,0)</f>
        <v>1</v>
      </c>
      <c r="AB1108" s="46" t="n">
        <f aca="false">IF(AND(E1108&gt;0,OR(AND(B1108&gt;=1,B1108&lt;=6),B1108=10)),1,0)</f>
        <v>1</v>
      </c>
      <c r="AC1108" s="46" t="n">
        <f aca="false">IF(AND(E1108&gt;0,B1108=10),1,0)</f>
        <v>0</v>
      </c>
      <c r="AD1108" s="0" t="str">
        <f aca="false">IF(AND(C1107=C1108,AA1107=AA1108-1),AB1107,"")</f>
        <v/>
      </c>
      <c r="AE1108" s="0" t="str">
        <f aca="false">IF(AND(C1107=C1108,AA1107=AA1108-1),AC1107,"")</f>
        <v/>
      </c>
      <c r="AF1108" s="0" t="str">
        <f aca="false">IF(AA1108=1,"",IF(AND(AB1108=1,AD1108&lt;&gt;1),1,0))</f>
        <v/>
      </c>
      <c r="AG1108" s="0" t="str">
        <f aca="false">IF(AA1108=1,"",IF(AND(AC1108=1,AE1108&lt;&gt;1),1,0))</f>
        <v/>
      </c>
      <c r="AH1108" s="51" t="str">
        <f aca="false">IF(AND(E1108&gt;0,AA1108&lt;1,NOT(AND(C1109=C1108,AA1109=AA1108+1))),INDEX(DATAS,AA1108+1),"")</f>
        <v/>
      </c>
      <c r="AI1108" s="51" t="str">
        <f aca="false">IF(AND(AC1108=1,AA1108&lt;1),IF(AND(C1109=C1108,AA1109=AA1108+1),IF(AC1109=1,"",INDEX(DATAS,AA1108+1)),INDEX(DATAS,AA1108+1)),"")</f>
        <v/>
      </c>
    </row>
    <row r="1109" customFormat="false" ht="15" hidden="false" customHeight="false" outlineLevel="0" collapsed="false">
      <c r="A1109" s="51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46" t="s">
        <v>810</v>
      </c>
      <c r="G1109" s="0" t="n">
        <v>53.5</v>
      </c>
      <c r="H1109" s="0" t="n">
        <v>53</v>
      </c>
      <c r="I1109" s="46" t="s">
        <v>181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51" t="n">
        <v>46303</v>
      </c>
      <c r="X1109" s="46" t="n">
        <f aca="false">IF(I1109="Male",0,1)</f>
        <v>1</v>
      </c>
      <c r="Y1109" s="46" t="n">
        <f aca="false">IF(OR(I1109="DNB",I1109="Dry DNB"),1,0)</f>
        <v>0</v>
      </c>
      <c r="Z1109" s="46" t="n">
        <f aca="false">IF(ISNUMBER(W1109),A1109-W1109,"")</f>
        <v>6</v>
      </c>
      <c r="AA1109" s="46" t="n">
        <f aca="false">MATCH(A1109,DATAS,0)</f>
        <v>1</v>
      </c>
      <c r="AB1109" s="46" t="n">
        <f aca="false">IF(AND(E1109&gt;0,OR(AND(B1109&gt;=1,B1109&lt;=6),B1109=10)),1,0)</f>
        <v>1</v>
      </c>
      <c r="AC1109" s="46" t="n">
        <f aca="false">IF(AND(E1109&gt;0,B1109=10),1,0)</f>
        <v>0</v>
      </c>
      <c r="AD1109" s="0" t="str">
        <f aca="false">IF(AND(C1108=C1109,AA1108=AA1109-1),AB1108,"")</f>
        <v/>
      </c>
      <c r="AE1109" s="0" t="str">
        <f aca="false">IF(AND(C1108=C1109,AA1108=AA1109-1),AC1108,"")</f>
        <v/>
      </c>
      <c r="AF1109" s="0" t="str">
        <f aca="false">IF(AA1109=1,"",IF(AND(AB1109=1,AD1109&lt;&gt;1),1,0))</f>
        <v/>
      </c>
      <c r="AG1109" s="0" t="str">
        <f aca="false">IF(AA1109=1,"",IF(AND(AC1109=1,AE1109&lt;&gt;1),1,0))</f>
        <v/>
      </c>
      <c r="AH1109" s="51" t="str">
        <f aca="false">IF(AND(E1109&gt;0,AA1109&lt;1,NOT(AND(C1110=C1109,AA1110=AA1109+1))),INDEX(DATAS,AA1109+1),"")</f>
        <v/>
      </c>
      <c r="AI1109" s="51" t="str">
        <f aca="false">IF(AND(AC1109=1,AA1109&lt;1),IF(AND(C1110=C1109,AA1110=AA1109+1),IF(AC1110=1,"",INDEX(DATAS,AA1109+1)),INDEX(DATAS,AA1109+1)),"")</f>
        <v/>
      </c>
    </row>
    <row r="1110" customFormat="false" ht="15" hidden="false" customHeight="false" outlineLevel="0" collapsed="false">
      <c r="A1110" s="51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46" t="s">
        <v>811</v>
      </c>
      <c r="H1110" s="0" t="n">
        <v>20</v>
      </c>
      <c r="I1110" s="46" t="s">
        <v>152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51" t="n">
        <v>46096</v>
      </c>
      <c r="X1110" s="46" t="n">
        <f aca="false">IF(I1110="Male",0,1)</f>
        <v>1</v>
      </c>
      <c r="Y1110" s="46" t="n">
        <f aca="false">IF(OR(I1110="DNB",I1110="Dry DNB"),1,0)</f>
        <v>0</v>
      </c>
      <c r="Z1110" s="46" t="n">
        <f aca="false">IF(ISNUMBER(W1110),A1110-W1110,"")</f>
        <v>213</v>
      </c>
      <c r="AA1110" s="46" t="n">
        <f aca="false">MATCH(A1110,DATAS,0)</f>
        <v>1</v>
      </c>
      <c r="AB1110" s="46" t="n">
        <f aca="false">IF(AND(E1110&gt;0,OR(AND(B1110&gt;=1,B1110&lt;=6),B1110=10)),1,0)</f>
        <v>1</v>
      </c>
      <c r="AC1110" s="46" t="n">
        <f aca="false">IF(AND(E1110&gt;0,B1110=10),1,0)</f>
        <v>0</v>
      </c>
      <c r="AD1110" s="0" t="str">
        <f aca="false">IF(AND(C1109=C1110,AA1109=AA1110-1),AB1109,"")</f>
        <v/>
      </c>
      <c r="AE1110" s="0" t="str">
        <f aca="false">IF(AND(C1109=C1110,AA1109=AA1110-1),AC1109,"")</f>
        <v/>
      </c>
      <c r="AF1110" s="0" t="str">
        <f aca="false">IF(AA1110=1,"",IF(AND(AB1110=1,AD1110&lt;&gt;1),1,0))</f>
        <v/>
      </c>
      <c r="AG1110" s="0" t="str">
        <f aca="false">IF(AA1110=1,"",IF(AND(AC1110=1,AE1110&lt;&gt;1),1,0))</f>
        <v/>
      </c>
      <c r="AH1110" s="51" t="str">
        <f aca="false">IF(AND(E1110&gt;0,AA1110&lt;1,NOT(AND(C1111=C1110,AA1111=AA1110+1))),INDEX(DATAS,AA1110+1),"")</f>
        <v/>
      </c>
      <c r="AI1110" s="51" t="str">
        <f aca="false">IF(AND(AC1110=1,AA1110&lt;1),IF(AND(C1111=C1110,AA1111=AA1110+1),IF(AC1111=1,"",INDEX(DATAS,AA1110+1)),INDEX(DATAS,AA1110+1)),"")</f>
        <v/>
      </c>
    </row>
    <row r="1111" customFormat="false" ht="15" hidden="false" customHeight="false" outlineLevel="0" collapsed="false">
      <c r="A1111" s="51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46" t="s">
        <v>811</v>
      </c>
      <c r="G1111" s="0" t="n">
        <v>19.9</v>
      </c>
      <c r="H1111" s="0" t="n">
        <v>20</v>
      </c>
      <c r="I1111" s="46" t="s">
        <v>189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51" t="n">
        <v>46198</v>
      </c>
      <c r="X1111" s="46" t="n">
        <f aca="false">IF(I1111="Male",0,1)</f>
        <v>1</v>
      </c>
      <c r="Y1111" s="46" t="n">
        <f aca="false">IF(OR(I1111="DNB",I1111="Dry DNB"),1,0)</f>
        <v>0</v>
      </c>
      <c r="Z1111" s="46" t="n">
        <f aca="false">IF(ISNUMBER(W1111),A1111-W1111,"")</f>
        <v>111</v>
      </c>
      <c r="AA1111" s="46" t="n">
        <f aca="false">MATCH(A1111,DATAS,0)</f>
        <v>1</v>
      </c>
      <c r="AB1111" s="46" t="n">
        <f aca="false">IF(AND(E1111&gt;0,OR(AND(B1111&gt;=1,B1111&lt;=6),B1111=10)),1,0)</f>
        <v>1</v>
      </c>
      <c r="AC1111" s="46" t="n">
        <f aca="false">IF(AND(E1111&gt;0,B1111=10),1,0)</f>
        <v>0</v>
      </c>
      <c r="AD1111" s="0" t="str">
        <f aca="false">IF(AND(C1110=C1111,AA1110=AA1111-1),AB1110,"")</f>
        <v/>
      </c>
      <c r="AE1111" s="0" t="str">
        <f aca="false">IF(AND(C1110=C1111,AA1110=AA1111-1),AC1110,"")</f>
        <v/>
      </c>
      <c r="AF1111" s="0" t="str">
        <f aca="false">IF(AA1111=1,"",IF(AND(AB1111=1,AD1111&lt;&gt;1),1,0))</f>
        <v/>
      </c>
      <c r="AG1111" s="0" t="str">
        <f aca="false">IF(AA1111=1,"",IF(AND(AC1111=1,AE1111&lt;&gt;1),1,0))</f>
        <v/>
      </c>
      <c r="AH1111" s="51" t="str">
        <f aca="false">IF(AND(E1111&gt;0,AA1111&lt;1,NOT(AND(C1112=C1111,AA1112=AA1111+1))),INDEX(DATAS,AA1111+1),"")</f>
        <v/>
      </c>
      <c r="AI1111" s="51" t="str">
        <f aca="false">IF(AND(AC1111=1,AA1111&lt;1),IF(AND(C1112=C1111,AA1112=AA1111+1),IF(AC1112=1,"",INDEX(DATAS,AA1111+1)),INDEX(DATAS,AA1111+1)),"")</f>
        <v/>
      </c>
    </row>
    <row r="1112" customFormat="false" ht="15" hidden="false" customHeight="false" outlineLevel="0" collapsed="false">
      <c r="A1112" s="51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46" t="s">
        <v>811</v>
      </c>
      <c r="I1112" s="46" t="s">
        <v>157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51" t="n">
        <v>46072</v>
      </c>
      <c r="X1112" s="46" t="n">
        <f aca="false">IF(I1112="Male",0,1)</f>
        <v>1</v>
      </c>
      <c r="Y1112" s="46" t="n">
        <f aca="false">IF(OR(I1112="DNB",I1112="Dry DNB"),1,0)</f>
        <v>0</v>
      </c>
      <c r="Z1112" s="46" t="n">
        <f aca="false">IF(ISNUMBER(W1112),A1112-W1112,"")</f>
        <v>237</v>
      </c>
      <c r="AA1112" s="46" t="n">
        <f aca="false">MATCH(A1112,DATAS,0)</f>
        <v>1</v>
      </c>
      <c r="AB1112" s="46" t="n">
        <f aca="false">IF(AND(E1112&gt;0,OR(AND(B1112&gt;=1,B1112&lt;=6),B1112=10)),1,0)</f>
        <v>0</v>
      </c>
      <c r="AC1112" s="46" t="n">
        <f aca="false">IF(AND(E1112&gt;0,B1112=10),1,0)</f>
        <v>0</v>
      </c>
      <c r="AD1112" s="0" t="str">
        <f aca="false">IF(AND(C1111=C1112,AA1111=AA1112-1),AB1111,"")</f>
        <v/>
      </c>
      <c r="AE1112" s="0" t="str">
        <f aca="false">IF(AND(C1111=C1112,AA1111=AA1112-1),AC1111,"")</f>
        <v/>
      </c>
      <c r="AF1112" s="0" t="str">
        <f aca="false">IF(AA1112=1,"",IF(AND(AB1112=1,AD1112&lt;&gt;1),1,0))</f>
        <v/>
      </c>
      <c r="AG1112" s="0" t="str">
        <f aca="false">IF(AA1112=1,"",IF(AND(AC1112=1,AE1112&lt;&gt;1),1,0))</f>
        <v/>
      </c>
      <c r="AH1112" s="51" t="str">
        <f aca="false">IF(AND(E1112&gt;0,AA1112&lt;1,NOT(AND(C1113=C1112,AA1113=AA1112+1))),INDEX(DATAS,AA1112+1),"")</f>
        <v/>
      </c>
      <c r="AI1112" s="51" t="str">
        <f aca="false">IF(AND(AC1112=1,AA1112&lt;1),IF(AND(C1113=C1112,AA1113=AA1112+1),IF(AC1113=1,"",INDEX(DATAS,AA1112+1)),INDEX(DATAS,AA1112+1)),"")</f>
        <v/>
      </c>
    </row>
    <row r="1113" customFormat="false" ht="15" hidden="false" customHeight="false" outlineLevel="0" collapsed="false">
      <c r="A1113" s="51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46" t="s">
        <v>812</v>
      </c>
      <c r="G1113" s="0" t="n">
        <v>61</v>
      </c>
      <c r="H1113" s="0" t="n">
        <v>59</v>
      </c>
      <c r="I1113" s="46" t="s">
        <v>181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51" t="n">
        <v>46282</v>
      </c>
      <c r="X1113" s="46" t="n">
        <f aca="false">IF(I1113="Male",0,1)</f>
        <v>1</v>
      </c>
      <c r="Y1113" s="46" t="n">
        <f aca="false">IF(OR(I1113="DNB",I1113="Dry DNB"),1,0)</f>
        <v>0</v>
      </c>
      <c r="Z1113" s="46" t="n">
        <f aca="false">IF(ISNUMBER(W1113),A1113-W1113,"")</f>
        <v>27</v>
      </c>
      <c r="AA1113" s="46" t="n">
        <f aca="false">MATCH(A1113,DATAS,0)</f>
        <v>1</v>
      </c>
      <c r="AB1113" s="46" t="n">
        <f aca="false">IF(AND(E1113&gt;0,OR(AND(B1113&gt;=1,B1113&lt;=6),B1113=10)),1,0)</f>
        <v>1</v>
      </c>
      <c r="AC1113" s="46" t="n">
        <f aca="false">IF(AND(E1113&gt;0,B1113=10),1,0)</f>
        <v>0</v>
      </c>
      <c r="AD1113" s="0" t="str">
        <f aca="false">IF(AND(C1112=C1113,AA1112=AA1113-1),AB1112,"")</f>
        <v/>
      </c>
      <c r="AE1113" s="0" t="str">
        <f aca="false">IF(AND(C1112=C1113,AA1112=AA1113-1),AC1112,"")</f>
        <v/>
      </c>
      <c r="AF1113" s="0" t="str">
        <f aca="false">IF(AA1113=1,"",IF(AND(AB1113=1,AD1113&lt;&gt;1),1,0))</f>
        <v/>
      </c>
      <c r="AG1113" s="0" t="str">
        <f aca="false">IF(AA1113=1,"",IF(AND(AC1113=1,AE1113&lt;&gt;1),1,0))</f>
        <v/>
      </c>
      <c r="AH1113" s="51" t="str">
        <f aca="false">IF(AND(E1113&gt;0,AA1113&lt;1,NOT(AND(C1114=C1113,AA1114=AA1113+1))),INDEX(DATAS,AA1113+1),"")</f>
        <v/>
      </c>
      <c r="AI1113" s="51" t="str">
        <f aca="false">IF(AND(AC1113=1,AA1113&lt;1),IF(AND(C1114=C1113,AA1114=AA1113+1),IF(AC1114=1,"",INDEX(DATAS,AA1113+1)),INDEX(DATAS,AA1113+1)),"")</f>
        <v/>
      </c>
    </row>
    <row r="1114" customFormat="false" ht="15" hidden="false" customHeight="false" outlineLevel="0" collapsed="false">
      <c r="A1114" s="51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46" t="s">
        <v>812</v>
      </c>
      <c r="I1114" s="46" t="s">
        <v>157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51" t="n">
        <v>46072</v>
      </c>
      <c r="X1114" s="46" t="n">
        <f aca="false">IF(I1114="Male",0,1)</f>
        <v>1</v>
      </c>
      <c r="Y1114" s="46" t="n">
        <f aca="false">IF(OR(I1114="DNB",I1114="Dry DNB"),1,0)</f>
        <v>0</v>
      </c>
      <c r="Z1114" s="46" t="n">
        <f aca="false">IF(ISNUMBER(W1114),A1114-W1114,"")</f>
        <v>237</v>
      </c>
      <c r="AA1114" s="46" t="n">
        <f aca="false">MATCH(A1114,DATAS,0)</f>
        <v>1</v>
      </c>
      <c r="AB1114" s="46" t="n">
        <f aca="false">IF(AND(E1114&gt;0,OR(AND(B1114&gt;=1,B1114&lt;=6),B1114=10)),1,0)</f>
        <v>0</v>
      </c>
      <c r="AC1114" s="46" t="n">
        <f aca="false">IF(AND(E1114&gt;0,B1114=10),1,0)</f>
        <v>0</v>
      </c>
      <c r="AD1114" s="0" t="str">
        <f aca="false">IF(AND(C1113=C1114,AA1113=AA1114-1),AB1113,"")</f>
        <v/>
      </c>
      <c r="AE1114" s="0" t="str">
        <f aca="false">IF(AND(C1113=C1114,AA1113=AA1114-1),AC1113,"")</f>
        <v/>
      </c>
      <c r="AF1114" s="0" t="str">
        <f aca="false">IF(AA1114=1,"",IF(AND(AB1114=1,AD1114&lt;&gt;1),1,0))</f>
        <v/>
      </c>
      <c r="AG1114" s="0" t="str">
        <f aca="false">IF(AA1114=1,"",IF(AND(AC1114=1,AE1114&lt;&gt;1),1,0))</f>
        <v/>
      </c>
      <c r="AH1114" s="51" t="str">
        <f aca="false">IF(AND(E1114&gt;0,AA1114&lt;1,NOT(AND(C1115=C1114,AA1115=AA1114+1))),INDEX(DATAS,AA1114+1),"")</f>
        <v/>
      </c>
      <c r="AI1114" s="51" t="str">
        <f aca="false">IF(AND(AC1114=1,AA1114&lt;1),IF(AND(C1115=C1114,AA1115=AA1114+1),IF(AC1115=1,"",INDEX(DATAS,AA1114+1)),INDEX(DATAS,AA1114+1)),"")</f>
        <v/>
      </c>
    </row>
    <row r="1115" customFormat="false" ht="15" hidden="false" customHeight="false" outlineLevel="0" collapsed="false">
      <c r="A1115" s="51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46" t="s">
        <v>812</v>
      </c>
      <c r="G1115" s="0" t="n">
        <v>53.1</v>
      </c>
      <c r="H1115" s="0" t="n">
        <v>51</v>
      </c>
      <c r="I1115" s="46" t="s">
        <v>152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51" t="n">
        <v>46198</v>
      </c>
      <c r="X1115" s="46" t="n">
        <f aca="false">IF(I1115="Male",0,1)</f>
        <v>1</v>
      </c>
      <c r="Y1115" s="46" t="n">
        <f aca="false">IF(OR(I1115="DNB",I1115="Dry DNB"),1,0)</f>
        <v>0</v>
      </c>
      <c r="Z1115" s="46" t="n">
        <f aca="false">IF(ISNUMBER(W1115),A1115-W1115,"")</f>
        <v>111</v>
      </c>
      <c r="AA1115" s="46" t="n">
        <f aca="false">MATCH(A1115,DATAS,0)</f>
        <v>1</v>
      </c>
      <c r="AB1115" s="46" t="n">
        <f aca="false">IF(AND(E1115&gt;0,OR(AND(B1115&gt;=1,B1115&lt;=6),B1115=10)),1,0)</f>
        <v>1</v>
      </c>
      <c r="AC1115" s="46" t="n">
        <f aca="false">IF(AND(E1115&gt;0,B1115=10),1,0)</f>
        <v>0</v>
      </c>
      <c r="AD1115" s="0" t="str">
        <f aca="false">IF(AND(C1114=C1115,AA1114=AA1115-1),AB1114,"")</f>
        <v/>
      </c>
      <c r="AE1115" s="0" t="str">
        <f aca="false">IF(AND(C1114=C1115,AA1114=AA1115-1),AC1114,"")</f>
        <v/>
      </c>
      <c r="AF1115" s="0" t="str">
        <f aca="false">IF(AA1115=1,"",IF(AND(AB1115=1,AD1115&lt;&gt;1),1,0))</f>
        <v/>
      </c>
      <c r="AG1115" s="0" t="str">
        <f aca="false">IF(AA1115=1,"",IF(AND(AC1115=1,AE1115&lt;&gt;1),1,0))</f>
        <v/>
      </c>
      <c r="AH1115" s="51" t="str">
        <f aca="false">IF(AND(E1115&gt;0,AA1115&lt;1,NOT(AND(C1116=C1115,AA1116=AA1115+1))),INDEX(DATAS,AA1115+1),"")</f>
        <v/>
      </c>
      <c r="AI1115" s="51" t="str">
        <f aca="false">IF(AND(AC1115=1,AA1115&lt;1),IF(AND(C1116=C1115,AA1116=AA1115+1),IF(AC1116=1,"",INDEX(DATAS,AA1115+1)),INDEX(DATAS,AA1115+1)),"")</f>
        <v/>
      </c>
    </row>
    <row r="1116" customFormat="false" ht="15" hidden="false" customHeight="false" outlineLevel="0" collapsed="false">
      <c r="A1116" s="51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46" t="s">
        <v>812</v>
      </c>
      <c r="I1116" s="46" t="s">
        <v>157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51" t="n">
        <v>46058</v>
      </c>
      <c r="X1116" s="46" t="n">
        <f aca="false">IF(I1116="Male",0,1)</f>
        <v>1</v>
      </c>
      <c r="Y1116" s="46" t="n">
        <f aca="false">IF(OR(I1116="DNB",I1116="Dry DNB"),1,0)</f>
        <v>0</v>
      </c>
      <c r="Z1116" s="46" t="n">
        <f aca="false">IF(ISNUMBER(W1116),A1116-W1116,"")</f>
        <v>251</v>
      </c>
      <c r="AA1116" s="46" t="n">
        <f aca="false">MATCH(A1116,DATAS,0)</f>
        <v>1</v>
      </c>
      <c r="AB1116" s="46" t="n">
        <f aca="false">IF(AND(E1116&gt;0,OR(AND(B1116&gt;=1,B1116&lt;=6),B1116=10)),1,0)</f>
        <v>0</v>
      </c>
      <c r="AC1116" s="46" t="n">
        <f aca="false">IF(AND(E1116&gt;0,B1116=10),1,0)</f>
        <v>0</v>
      </c>
      <c r="AD1116" s="0" t="str">
        <f aca="false">IF(AND(C1115=C1116,AA1115=AA1116-1),AB1115,"")</f>
        <v/>
      </c>
      <c r="AE1116" s="0" t="str">
        <f aca="false">IF(AND(C1115=C1116,AA1115=AA1116-1),AC1115,"")</f>
        <v/>
      </c>
      <c r="AF1116" s="0" t="str">
        <f aca="false">IF(AA1116=1,"",IF(AND(AB1116=1,AD1116&lt;&gt;1),1,0))</f>
        <v/>
      </c>
      <c r="AG1116" s="0" t="str">
        <f aca="false">IF(AA1116=1,"",IF(AND(AC1116=1,AE1116&lt;&gt;1),1,0))</f>
        <v/>
      </c>
      <c r="AH1116" s="51" t="str">
        <f aca="false">IF(AND(E1116&gt;0,AA1116&lt;1,NOT(AND(C1117=C1116,AA1117=AA1116+1))),INDEX(DATAS,AA1116+1),"")</f>
        <v/>
      </c>
      <c r="AI1116" s="51" t="str">
        <f aca="false">IF(AND(AC1116=1,AA1116&lt;1),IF(AND(C1117=C1116,AA1117=AA1116+1),IF(AC1117=1,"",INDEX(DATAS,AA1116+1)),INDEX(DATAS,AA1116+1)),"")</f>
        <v/>
      </c>
    </row>
    <row r="1117" customFormat="false" ht="15" hidden="false" customHeight="false" outlineLevel="0" collapsed="false">
      <c r="A1117" s="51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46" t="s">
        <v>813</v>
      </c>
      <c r="G1117" s="0" t="n">
        <v>49.3</v>
      </c>
      <c r="H1117" s="0" t="n">
        <v>49</v>
      </c>
      <c r="I1117" s="46" t="s">
        <v>189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X1117" s="46" t="n">
        <f aca="false">IF(I1117="Male",0,1)</f>
        <v>1</v>
      </c>
      <c r="Y1117" s="46" t="n">
        <f aca="false">IF(OR(I1117="DNB",I1117="Dry DNB"),1,0)</f>
        <v>0</v>
      </c>
      <c r="Z1117" s="0" t="str">
        <f aca="false">IF(ISNUMBER(W1117),A1117-W1117,"")</f>
        <v/>
      </c>
      <c r="AA1117" s="46" t="n">
        <f aca="false">MATCH(A1117,DATAS,0)</f>
        <v>1</v>
      </c>
      <c r="AB1117" s="46" t="n">
        <f aca="false">IF(AND(E1117&gt;0,OR(AND(B1117&gt;=1,B1117&lt;=6),B1117=10)),1,0)</f>
        <v>1</v>
      </c>
      <c r="AC1117" s="46" t="n">
        <f aca="false">IF(AND(E1117&gt;0,B1117=10),1,0)</f>
        <v>0</v>
      </c>
      <c r="AD1117" s="0" t="str">
        <f aca="false">IF(AND(C1116=C1117,AA1116=AA1117-1),AB1116,"")</f>
        <v/>
      </c>
      <c r="AE1117" s="0" t="str">
        <f aca="false">IF(AND(C1116=C1117,AA1116=AA1117-1),AC1116,"")</f>
        <v/>
      </c>
      <c r="AF1117" s="0" t="str">
        <f aca="false">IF(AA1117=1,"",IF(AND(AB1117=1,AD1117&lt;&gt;1),1,0))</f>
        <v/>
      </c>
      <c r="AG1117" s="0" t="str">
        <f aca="false">IF(AA1117=1,"",IF(AND(AC1117=1,AE1117&lt;&gt;1),1,0))</f>
        <v/>
      </c>
      <c r="AH1117" s="51" t="str">
        <f aca="false">IF(AND(E1117&gt;0,AA1117&lt;1,NOT(AND(C1118=C1117,AA1118=AA1117+1))),INDEX(DATAS,AA1117+1),"")</f>
        <v/>
      </c>
      <c r="AI1117" s="51" t="str">
        <f aca="false">IF(AND(AC1117=1,AA1117&lt;1),IF(AND(C1118=C1117,AA1118=AA1117+1),IF(AC1118=1,"",INDEX(DATAS,AA1117+1)),INDEX(DATAS,AA1117+1)),"")</f>
        <v/>
      </c>
    </row>
    <row r="1118" customFormat="false" ht="15" hidden="false" customHeight="false" outlineLevel="0" collapsed="false">
      <c r="A1118" s="51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46" t="s">
        <v>813</v>
      </c>
      <c r="G1118" s="0" t="n">
        <v>59.4</v>
      </c>
      <c r="H1118" s="0" t="n">
        <v>55</v>
      </c>
      <c r="I1118" s="46" t="s">
        <v>161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X1118" s="46" t="n">
        <f aca="false">IF(I1118="Male",0,1)</f>
        <v>1</v>
      </c>
      <c r="Y1118" s="46" t="n">
        <f aca="false">IF(OR(I1118="DNB",I1118="Dry DNB"),1,0)</f>
        <v>0</v>
      </c>
      <c r="Z1118" s="0" t="str">
        <f aca="false">IF(ISNUMBER(W1118),A1118-W1118,"")</f>
        <v/>
      </c>
      <c r="AA1118" s="46" t="n">
        <f aca="false">MATCH(A1118,DATAS,0)</f>
        <v>1</v>
      </c>
      <c r="AB1118" s="46" t="n">
        <f aca="false">IF(AND(E1118&gt;0,OR(AND(B1118&gt;=1,B1118&lt;=6),B1118=10)),1,0)</f>
        <v>1</v>
      </c>
      <c r="AC1118" s="46" t="n">
        <f aca="false">IF(AND(E1118&gt;0,B1118=10),1,0)</f>
        <v>0</v>
      </c>
      <c r="AD1118" s="0" t="str">
        <f aca="false">IF(AND(C1117=C1118,AA1117=AA1118-1),AB1117,"")</f>
        <v/>
      </c>
      <c r="AE1118" s="0" t="str">
        <f aca="false">IF(AND(C1117=C1118,AA1117=AA1118-1),AC1117,"")</f>
        <v/>
      </c>
      <c r="AF1118" s="0" t="str">
        <f aca="false">IF(AA1118=1,"",IF(AND(AB1118=1,AD1118&lt;&gt;1),1,0))</f>
        <v/>
      </c>
      <c r="AG1118" s="0" t="str">
        <f aca="false">IF(AA1118=1,"",IF(AND(AC1118=1,AE1118&lt;&gt;1),1,0))</f>
        <v/>
      </c>
      <c r="AH1118" s="51" t="str">
        <f aca="false">IF(AND(E1118&gt;0,AA1118&lt;1,NOT(AND(C1119=C1118,AA1119=AA1118+1))),INDEX(DATAS,AA1118+1),"")</f>
        <v/>
      </c>
      <c r="AI1118" s="51" t="str">
        <f aca="false">IF(AND(AC1118=1,AA1118&lt;1),IF(AND(C1119=C1118,AA1119=AA1118+1),IF(AC1119=1,"",INDEX(DATAS,AA1118+1)),INDEX(DATAS,AA1118+1)),"")</f>
        <v/>
      </c>
    </row>
    <row r="1119" customFormat="false" ht="15" hidden="false" customHeight="false" outlineLevel="0" collapsed="false">
      <c r="A1119" s="51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46" t="s">
        <v>813</v>
      </c>
      <c r="I1119" s="46" t="s">
        <v>157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51" t="n">
        <v>46044</v>
      </c>
      <c r="X1119" s="46" t="n">
        <f aca="false">IF(I1119="Male",0,1)</f>
        <v>1</v>
      </c>
      <c r="Y1119" s="46" t="n">
        <f aca="false">IF(OR(I1119="DNB",I1119="Dry DNB"),1,0)</f>
        <v>0</v>
      </c>
      <c r="Z1119" s="46" t="n">
        <f aca="false">IF(ISNUMBER(W1119),A1119-W1119,"")</f>
        <v>265</v>
      </c>
      <c r="AA1119" s="46" t="n">
        <f aca="false">MATCH(A1119,DATAS,0)</f>
        <v>1</v>
      </c>
      <c r="AB1119" s="46" t="n">
        <f aca="false">IF(AND(E1119&gt;0,OR(AND(B1119&gt;=1,B1119&lt;=6),B1119=10)),1,0)</f>
        <v>0</v>
      </c>
      <c r="AC1119" s="46" t="n">
        <f aca="false">IF(AND(E1119&gt;0,B1119=10),1,0)</f>
        <v>0</v>
      </c>
      <c r="AD1119" s="0" t="str">
        <f aca="false">IF(AND(C1118=C1119,AA1118=AA1119-1),AB1118,"")</f>
        <v/>
      </c>
      <c r="AE1119" s="0" t="str">
        <f aca="false">IF(AND(C1118=C1119,AA1118=AA1119-1),AC1118,"")</f>
        <v/>
      </c>
      <c r="AF1119" s="0" t="str">
        <f aca="false">IF(AA1119=1,"",IF(AND(AB1119=1,AD1119&lt;&gt;1),1,0))</f>
        <v/>
      </c>
      <c r="AG1119" s="0" t="str">
        <f aca="false">IF(AA1119=1,"",IF(AND(AC1119=1,AE1119&lt;&gt;1),1,0))</f>
        <v/>
      </c>
      <c r="AH1119" s="51" t="str">
        <f aca="false">IF(AND(E1119&gt;0,AA1119&lt;1,NOT(AND(C1120=C1119,AA1120=AA1119+1))),INDEX(DATAS,AA1119+1),"")</f>
        <v/>
      </c>
      <c r="AI1119" s="51" t="str">
        <f aca="false">IF(AND(AC1119=1,AA1119&lt;1),IF(AND(C1120=C1119,AA1120=AA1119+1),IF(AC1120=1,"",INDEX(DATAS,AA1119+1)),INDEX(DATAS,AA1119+1)),"")</f>
        <v/>
      </c>
    </row>
    <row r="1120" customFormat="false" ht="15" hidden="false" customHeight="false" outlineLevel="0" collapsed="false">
      <c r="A1120" s="51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46" t="s">
        <v>814</v>
      </c>
      <c r="I1120" s="46" t="s">
        <v>157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51" t="n">
        <v>46070</v>
      </c>
      <c r="X1120" s="46" t="n">
        <f aca="false">IF(I1120="Male",0,1)</f>
        <v>1</v>
      </c>
      <c r="Y1120" s="46" t="n">
        <f aca="false">IF(OR(I1120="DNB",I1120="Dry DNB"),1,0)</f>
        <v>0</v>
      </c>
      <c r="Z1120" s="46" t="n">
        <f aca="false">IF(ISNUMBER(W1120),A1120-W1120,"")</f>
        <v>239</v>
      </c>
      <c r="AA1120" s="46" t="n">
        <f aca="false">MATCH(A1120,DATAS,0)</f>
        <v>1</v>
      </c>
      <c r="AB1120" s="46" t="n">
        <f aca="false">IF(AND(E1120&gt;0,OR(AND(B1120&gt;=1,B1120&lt;=6),B1120=10)),1,0)</f>
        <v>0</v>
      </c>
      <c r="AC1120" s="46" t="n">
        <f aca="false">IF(AND(E1120&gt;0,B1120=10),1,0)</f>
        <v>0</v>
      </c>
      <c r="AD1120" s="0" t="str">
        <f aca="false">IF(AND(C1119=C1120,AA1119=AA1120-1),AB1119,"")</f>
        <v/>
      </c>
      <c r="AE1120" s="0" t="str">
        <f aca="false">IF(AND(C1119=C1120,AA1119=AA1120-1),AC1119,"")</f>
        <v/>
      </c>
      <c r="AF1120" s="0" t="str">
        <f aca="false">IF(AA1120=1,"",IF(AND(AB1120=1,AD1120&lt;&gt;1),1,0))</f>
        <v/>
      </c>
      <c r="AG1120" s="0" t="str">
        <f aca="false">IF(AA1120=1,"",IF(AND(AC1120=1,AE1120&lt;&gt;1),1,0))</f>
        <v/>
      </c>
      <c r="AH1120" s="51" t="str">
        <f aca="false">IF(AND(E1120&gt;0,AA1120&lt;1,NOT(AND(C1121=C1120,AA1121=AA1120+1))),INDEX(DATAS,AA1120+1),"")</f>
        <v/>
      </c>
      <c r="AI1120" s="51" t="str">
        <f aca="false">IF(AND(AC1120=1,AA1120&lt;1),IF(AND(C1121=C1120,AA1121=AA1120+1),IF(AC1121=1,"",INDEX(DATAS,AA1120+1)),INDEX(DATAS,AA1120+1)),"")</f>
        <v/>
      </c>
    </row>
    <row r="1121" customFormat="false" ht="15" hidden="false" customHeight="false" outlineLevel="0" collapsed="false">
      <c r="A1121" s="51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46" t="s">
        <v>814</v>
      </c>
      <c r="G1121" s="0" t="n">
        <v>45.6</v>
      </c>
      <c r="H1121" s="0" t="n">
        <v>40</v>
      </c>
      <c r="I1121" s="46" t="s">
        <v>152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51" t="n">
        <v>46184</v>
      </c>
      <c r="X1121" s="46" t="n">
        <f aca="false">IF(I1121="Male",0,1)</f>
        <v>1</v>
      </c>
      <c r="Y1121" s="46" t="n">
        <f aca="false">IF(OR(I1121="DNB",I1121="Dry DNB"),1,0)</f>
        <v>0</v>
      </c>
      <c r="Z1121" s="46" t="n">
        <f aca="false">IF(ISNUMBER(W1121),A1121-W1121,"")</f>
        <v>125</v>
      </c>
      <c r="AA1121" s="46" t="n">
        <f aca="false">MATCH(A1121,DATAS,0)</f>
        <v>1</v>
      </c>
      <c r="AB1121" s="46" t="n">
        <f aca="false">IF(AND(E1121&gt;0,OR(AND(B1121&gt;=1,B1121&lt;=6),B1121=10)),1,0)</f>
        <v>1</v>
      </c>
      <c r="AC1121" s="46" t="n">
        <f aca="false">IF(AND(E1121&gt;0,B1121=10),1,0)</f>
        <v>0</v>
      </c>
      <c r="AD1121" s="0" t="str">
        <f aca="false">IF(AND(C1120=C1121,AA1120=AA1121-1),AB1120,"")</f>
        <v/>
      </c>
      <c r="AE1121" s="0" t="str">
        <f aca="false">IF(AND(C1120=C1121,AA1120=AA1121-1),AC1120,"")</f>
        <v/>
      </c>
      <c r="AF1121" s="0" t="str">
        <f aca="false">IF(AA1121=1,"",IF(AND(AB1121=1,AD1121&lt;&gt;1),1,0))</f>
        <v/>
      </c>
      <c r="AG1121" s="0" t="str">
        <f aca="false">IF(AA1121=1,"",IF(AND(AC1121=1,AE1121&lt;&gt;1),1,0))</f>
        <v/>
      </c>
      <c r="AH1121" s="51" t="str">
        <f aca="false">IF(AND(E1121&gt;0,AA1121&lt;1,NOT(AND(C1122=C1121,AA1122=AA1121+1))),INDEX(DATAS,AA1121+1),"")</f>
        <v/>
      </c>
      <c r="AI1121" s="51" t="str">
        <f aca="false">IF(AND(AC1121=1,AA1121&lt;1),IF(AND(C1122=C1121,AA1122=AA1121+1),IF(AC1122=1,"",INDEX(DATAS,AA1121+1)),INDEX(DATAS,AA1121+1)),"")</f>
        <v/>
      </c>
    </row>
    <row r="1122" customFormat="false" ht="15" hidden="false" customHeight="false" outlineLevel="0" collapsed="false">
      <c r="A1122" s="51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46" t="s">
        <v>815</v>
      </c>
      <c r="G1122" s="0" t="n">
        <v>40</v>
      </c>
      <c r="H1122" s="0" t="n">
        <v>41</v>
      </c>
      <c r="I1122" s="46" t="s">
        <v>152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51" t="n">
        <v>46254</v>
      </c>
      <c r="X1122" s="46" t="n">
        <f aca="false">IF(I1122="Male",0,1)</f>
        <v>1</v>
      </c>
      <c r="Y1122" s="46" t="n">
        <f aca="false">IF(OR(I1122="DNB",I1122="Dry DNB"),1,0)</f>
        <v>0</v>
      </c>
      <c r="Z1122" s="46" t="n">
        <f aca="false">IF(ISNUMBER(W1122),A1122-W1122,"")</f>
        <v>55</v>
      </c>
      <c r="AA1122" s="46" t="n">
        <f aca="false">MATCH(A1122,DATAS,0)</f>
        <v>1</v>
      </c>
      <c r="AB1122" s="46" t="n">
        <f aca="false">IF(AND(E1122&gt;0,OR(AND(B1122&gt;=1,B1122&lt;=6),B1122=10)),1,0)</f>
        <v>1</v>
      </c>
      <c r="AC1122" s="46" t="n">
        <f aca="false">IF(AND(E1122&gt;0,B1122=10),1,0)</f>
        <v>0</v>
      </c>
      <c r="AD1122" s="0" t="str">
        <f aca="false">IF(AND(C1121=C1122,AA1121=AA1122-1),AB1121,"")</f>
        <v/>
      </c>
      <c r="AE1122" s="0" t="str">
        <f aca="false">IF(AND(C1121=C1122,AA1121=AA1122-1),AC1121,"")</f>
        <v/>
      </c>
      <c r="AF1122" s="0" t="str">
        <f aca="false">IF(AA1122=1,"",IF(AND(AB1122=1,AD1122&lt;&gt;1),1,0))</f>
        <v/>
      </c>
      <c r="AG1122" s="0" t="str">
        <f aca="false">IF(AA1122=1,"",IF(AND(AC1122=1,AE1122&lt;&gt;1),1,0))</f>
        <v/>
      </c>
      <c r="AH1122" s="51" t="str">
        <f aca="false">IF(AND(E1122&gt;0,AA1122&lt;1,NOT(AND(C1123=C1122,AA1123=AA1122+1))),INDEX(DATAS,AA1122+1),"")</f>
        <v/>
      </c>
      <c r="AI1122" s="51" t="str">
        <f aca="false">IF(AND(AC1122=1,AA1122&lt;1),IF(AND(C1123=C1122,AA1123=AA1122+1),IF(AC1123=1,"",INDEX(DATAS,AA1122+1)),INDEX(DATAS,AA1122+1)),"")</f>
        <v/>
      </c>
    </row>
    <row r="1123" customFormat="false" ht="15" hidden="false" customHeight="false" outlineLevel="0" collapsed="false">
      <c r="A1123" s="51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46" t="s">
        <v>816</v>
      </c>
      <c r="G1123" s="0" t="n">
        <v>45.1</v>
      </c>
      <c r="H1123" s="0" t="n">
        <v>46</v>
      </c>
      <c r="I1123" s="46" t="s">
        <v>152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51" t="n">
        <v>46177</v>
      </c>
      <c r="X1123" s="46" t="n">
        <f aca="false">IF(I1123="Male",0,1)</f>
        <v>1</v>
      </c>
      <c r="Y1123" s="46" t="n">
        <f aca="false">IF(OR(I1123="DNB",I1123="Dry DNB"),1,0)</f>
        <v>0</v>
      </c>
      <c r="Z1123" s="46" t="n">
        <f aca="false">IF(ISNUMBER(W1123),A1123-W1123,"")</f>
        <v>132</v>
      </c>
      <c r="AA1123" s="46" t="n">
        <f aca="false">MATCH(A1123,DATAS,0)</f>
        <v>1</v>
      </c>
      <c r="AB1123" s="46" t="n">
        <f aca="false">IF(AND(E1123&gt;0,OR(AND(B1123&gt;=1,B1123&lt;=6),B1123=10)),1,0)</f>
        <v>1</v>
      </c>
      <c r="AC1123" s="46" t="n">
        <f aca="false">IF(AND(E1123&gt;0,B1123=10),1,0)</f>
        <v>0</v>
      </c>
      <c r="AD1123" s="0" t="str">
        <f aca="false">IF(AND(C1122=C1123,AA1122=AA1123-1),AB1122,"")</f>
        <v/>
      </c>
      <c r="AE1123" s="0" t="str">
        <f aca="false">IF(AND(C1122=C1123,AA1122=AA1123-1),AC1122,"")</f>
        <v/>
      </c>
      <c r="AF1123" s="0" t="str">
        <f aca="false">IF(AA1123=1,"",IF(AND(AB1123=1,AD1123&lt;&gt;1),1,0))</f>
        <v/>
      </c>
      <c r="AG1123" s="0" t="str">
        <f aca="false">IF(AA1123=1,"",IF(AND(AC1123=1,AE1123&lt;&gt;1),1,0))</f>
        <v/>
      </c>
      <c r="AH1123" s="51" t="str">
        <f aca="false">IF(AND(E1123&gt;0,AA1123&lt;1,NOT(AND(C1124=C1123,AA1124=AA1123+1))),INDEX(DATAS,AA1123+1),"")</f>
        <v/>
      </c>
      <c r="AI1123" s="51" t="str">
        <f aca="false">IF(AND(AC1123=1,AA1123&lt;1),IF(AND(C1124=C1123,AA1124=AA1123+1),IF(AC1124=1,"",INDEX(DATAS,AA1123+1)),INDEX(DATAS,AA1123+1)),"")</f>
        <v/>
      </c>
    </row>
    <row r="1124" customFormat="false" ht="15" hidden="false" customHeight="false" outlineLevel="0" collapsed="false">
      <c r="A1124" s="51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46" t="s">
        <v>816</v>
      </c>
      <c r="G1124" s="0" t="n">
        <v>41.8</v>
      </c>
      <c r="H1124" s="0" t="n">
        <v>36</v>
      </c>
      <c r="I1124" s="46" t="s">
        <v>189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51" t="n">
        <v>46086</v>
      </c>
      <c r="X1124" s="46" t="n">
        <f aca="false">IF(I1124="Male",0,1)</f>
        <v>1</v>
      </c>
      <c r="Y1124" s="46" t="n">
        <f aca="false">IF(OR(I1124="DNB",I1124="Dry DNB"),1,0)</f>
        <v>0</v>
      </c>
      <c r="Z1124" s="46" t="n">
        <f aca="false">IF(ISNUMBER(W1124),A1124-W1124,"")</f>
        <v>223</v>
      </c>
      <c r="AA1124" s="46" t="n">
        <f aca="false">MATCH(A1124,DATAS,0)</f>
        <v>1</v>
      </c>
      <c r="AB1124" s="46" t="n">
        <f aca="false">IF(AND(E1124&gt;0,OR(AND(B1124&gt;=1,B1124&lt;=6),B1124=10)),1,0)</f>
        <v>1</v>
      </c>
      <c r="AC1124" s="46" t="n">
        <f aca="false">IF(AND(E1124&gt;0,B1124=10),1,0)</f>
        <v>0</v>
      </c>
      <c r="AD1124" s="0" t="str">
        <f aca="false">IF(AND(C1123=C1124,AA1123=AA1124-1),AB1123,"")</f>
        <v/>
      </c>
      <c r="AE1124" s="0" t="str">
        <f aca="false">IF(AND(C1123=C1124,AA1123=AA1124-1),AC1123,"")</f>
        <v/>
      </c>
      <c r="AF1124" s="0" t="str">
        <f aca="false">IF(AA1124=1,"",IF(AND(AB1124=1,AD1124&lt;&gt;1),1,0))</f>
        <v/>
      </c>
      <c r="AG1124" s="0" t="str">
        <f aca="false">IF(AA1124=1,"",IF(AND(AC1124=1,AE1124&lt;&gt;1),1,0))</f>
        <v/>
      </c>
      <c r="AH1124" s="51" t="str">
        <f aca="false">IF(AND(E1124&gt;0,AA1124&lt;1,NOT(AND(C1125=C1124,AA1125=AA1124+1))),INDEX(DATAS,AA1124+1),"")</f>
        <v/>
      </c>
      <c r="AI1124" s="51" t="str">
        <f aca="false">IF(AND(AC1124=1,AA1124&lt;1),IF(AND(C1125=C1124,AA1125=AA1124+1),IF(AC1125=1,"",INDEX(DATAS,AA1124+1)),INDEX(DATAS,AA1124+1)),"")</f>
        <v/>
      </c>
    </row>
    <row r="1125" customFormat="false" ht="15" hidden="false" customHeight="false" outlineLevel="0" collapsed="false">
      <c r="A1125" s="51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46" t="s">
        <v>816</v>
      </c>
      <c r="I1125" s="46" t="s">
        <v>157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51" t="n">
        <v>46079</v>
      </c>
      <c r="X1125" s="46" t="n">
        <f aca="false">IF(I1125="Male",0,1)</f>
        <v>1</v>
      </c>
      <c r="Y1125" s="46" t="n">
        <f aca="false">IF(OR(I1125="DNB",I1125="Dry DNB"),1,0)</f>
        <v>0</v>
      </c>
      <c r="Z1125" s="46" t="n">
        <f aca="false">IF(ISNUMBER(W1125),A1125-W1125,"")</f>
        <v>230</v>
      </c>
      <c r="AA1125" s="46" t="n">
        <f aca="false">MATCH(A1125,DATAS,0)</f>
        <v>1</v>
      </c>
      <c r="AB1125" s="46" t="n">
        <f aca="false">IF(AND(E1125&gt;0,OR(AND(B1125&gt;=1,B1125&lt;=6),B1125=10)),1,0)</f>
        <v>0</v>
      </c>
      <c r="AC1125" s="46" t="n">
        <f aca="false">IF(AND(E1125&gt;0,B1125=10),1,0)</f>
        <v>0</v>
      </c>
      <c r="AD1125" s="0" t="str">
        <f aca="false">IF(AND(C1124=C1125,AA1124=AA1125-1),AB1124,"")</f>
        <v/>
      </c>
      <c r="AE1125" s="0" t="str">
        <f aca="false">IF(AND(C1124=C1125,AA1124=AA1125-1),AC1124,"")</f>
        <v/>
      </c>
      <c r="AF1125" s="0" t="str">
        <f aca="false">IF(AA1125=1,"",IF(AND(AB1125=1,AD1125&lt;&gt;1),1,0))</f>
        <v/>
      </c>
      <c r="AG1125" s="0" t="str">
        <f aca="false">IF(AA1125=1,"",IF(AND(AC1125=1,AE1125&lt;&gt;1),1,0))</f>
        <v/>
      </c>
      <c r="AH1125" s="51" t="str">
        <f aca="false">IF(AND(E1125&gt;0,AA1125&lt;1,NOT(AND(C1126=C1125,AA1126=AA1125+1))),INDEX(DATAS,AA1125+1),"")</f>
        <v/>
      </c>
      <c r="AI1125" s="51" t="str">
        <f aca="false">IF(AND(AC1125=1,AA1125&lt;1),IF(AND(C1126=C1125,AA1126=AA1125+1),IF(AC1126=1,"",INDEX(DATAS,AA1125+1)),INDEX(DATAS,AA1125+1)),"")</f>
        <v/>
      </c>
    </row>
    <row r="1126" customFormat="false" ht="15" hidden="false" customHeight="false" outlineLevel="0" collapsed="false">
      <c r="A1126" s="51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46" t="s">
        <v>817</v>
      </c>
      <c r="G1126" s="0" t="n">
        <v>44.9</v>
      </c>
      <c r="H1126" s="0" t="n">
        <v>48</v>
      </c>
      <c r="I1126" s="46" t="s">
        <v>152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51" t="n">
        <v>46184</v>
      </c>
      <c r="X1126" s="46" t="n">
        <f aca="false">IF(I1126="Male",0,1)</f>
        <v>1</v>
      </c>
      <c r="Y1126" s="46" t="n">
        <f aca="false">IF(OR(I1126="DNB",I1126="Dry DNB"),1,0)</f>
        <v>0</v>
      </c>
      <c r="Z1126" s="46" t="n">
        <f aca="false">IF(ISNUMBER(W1126),A1126-W1126,"")</f>
        <v>125</v>
      </c>
      <c r="AA1126" s="46" t="n">
        <f aca="false">MATCH(A1126,DATAS,0)</f>
        <v>1</v>
      </c>
      <c r="AB1126" s="46" t="n">
        <f aca="false">IF(AND(E1126&gt;0,OR(AND(B1126&gt;=1,B1126&lt;=6),B1126=10)),1,0)</f>
        <v>1</v>
      </c>
      <c r="AC1126" s="46" t="n">
        <f aca="false">IF(AND(E1126&gt;0,B1126=10),1,0)</f>
        <v>0</v>
      </c>
      <c r="AD1126" s="0" t="str">
        <f aca="false">IF(AND(C1125=C1126,AA1125=AA1126-1),AB1125,"")</f>
        <v/>
      </c>
      <c r="AE1126" s="0" t="str">
        <f aca="false">IF(AND(C1125=C1126,AA1125=AA1126-1),AC1125,"")</f>
        <v/>
      </c>
      <c r="AF1126" s="0" t="str">
        <f aca="false">IF(AA1126=1,"",IF(AND(AB1126=1,AD1126&lt;&gt;1),1,0))</f>
        <v/>
      </c>
      <c r="AG1126" s="0" t="str">
        <f aca="false">IF(AA1126=1,"",IF(AND(AC1126=1,AE1126&lt;&gt;1),1,0))</f>
        <v/>
      </c>
      <c r="AH1126" s="51" t="str">
        <f aca="false">IF(AND(E1126&gt;0,AA1126&lt;1,NOT(AND(C1127=C1126,AA1127=AA1126+1))),INDEX(DATAS,AA1126+1),"")</f>
        <v/>
      </c>
      <c r="AI1126" s="51" t="str">
        <f aca="false">IF(AND(AC1126=1,AA1126&lt;1),IF(AND(C1127=C1126,AA1127=AA1126+1),IF(AC1127=1,"",INDEX(DATAS,AA1126+1)),INDEX(DATAS,AA1126+1)),"")</f>
        <v/>
      </c>
    </row>
    <row r="1127" customFormat="false" ht="15" hidden="false" customHeight="false" outlineLevel="0" collapsed="false">
      <c r="A1127" s="51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46" t="s">
        <v>817</v>
      </c>
      <c r="G1127" s="0" t="n">
        <v>39.7</v>
      </c>
      <c r="H1127" s="0" t="n">
        <v>39</v>
      </c>
      <c r="I1127" s="46" t="s">
        <v>152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51" t="n">
        <v>46107</v>
      </c>
      <c r="X1127" s="46" t="n">
        <f aca="false">IF(I1127="Male",0,1)</f>
        <v>1</v>
      </c>
      <c r="Y1127" s="46" t="n">
        <f aca="false">IF(OR(I1127="DNB",I1127="Dry DNB"),1,0)</f>
        <v>0</v>
      </c>
      <c r="Z1127" s="46" t="n">
        <f aca="false">IF(ISNUMBER(W1127),A1127-W1127,"")</f>
        <v>202</v>
      </c>
      <c r="AA1127" s="46" t="n">
        <f aca="false">MATCH(A1127,DATAS,0)</f>
        <v>1</v>
      </c>
      <c r="AB1127" s="46" t="n">
        <f aca="false">IF(AND(E1127&gt;0,OR(AND(B1127&gt;=1,B1127&lt;=6),B1127=10)),1,0)</f>
        <v>1</v>
      </c>
      <c r="AC1127" s="46" t="n">
        <f aca="false">IF(AND(E1127&gt;0,B1127=10),1,0)</f>
        <v>0</v>
      </c>
      <c r="AD1127" s="0" t="str">
        <f aca="false">IF(AND(C1126=C1127,AA1126=AA1127-1),AB1126,"")</f>
        <v/>
      </c>
      <c r="AE1127" s="0" t="str">
        <f aca="false">IF(AND(C1126=C1127,AA1126=AA1127-1),AC1126,"")</f>
        <v/>
      </c>
      <c r="AF1127" s="0" t="str">
        <f aca="false">IF(AA1127=1,"",IF(AND(AB1127=1,AD1127&lt;&gt;1),1,0))</f>
        <v/>
      </c>
      <c r="AG1127" s="0" t="str">
        <f aca="false">IF(AA1127=1,"",IF(AND(AC1127=1,AE1127&lt;&gt;1),1,0))</f>
        <v/>
      </c>
      <c r="AH1127" s="51" t="str">
        <f aca="false">IF(AND(E1127&gt;0,AA1127&lt;1,NOT(AND(C1128=C1127,AA1128=AA1127+1))),INDEX(DATAS,AA1127+1),"")</f>
        <v/>
      </c>
      <c r="AI1127" s="51" t="str">
        <f aca="false">IF(AND(AC1127=1,AA1127&lt;1),IF(AND(C1128=C1127,AA1128=AA1127+1),IF(AC1128=1,"",INDEX(DATAS,AA1127+1)),INDEX(DATAS,AA1127+1)),"")</f>
        <v/>
      </c>
    </row>
    <row r="1128" customFormat="false" ht="15" hidden="false" customHeight="false" outlineLevel="0" collapsed="false">
      <c r="A1128" s="51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46" t="s">
        <v>817</v>
      </c>
      <c r="G1128" s="0" t="n">
        <v>61.8</v>
      </c>
      <c r="H1128" s="0" t="n">
        <v>56</v>
      </c>
      <c r="I1128" s="46" t="s">
        <v>189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X1128" s="46" t="n">
        <f aca="false">IF(I1128="Male",0,1)</f>
        <v>1</v>
      </c>
      <c r="Y1128" s="46" t="n">
        <f aca="false">IF(OR(I1128="DNB",I1128="Dry DNB"),1,0)</f>
        <v>0</v>
      </c>
      <c r="Z1128" s="0" t="str">
        <f aca="false">IF(ISNUMBER(W1128),A1128-W1128,"")</f>
        <v/>
      </c>
      <c r="AA1128" s="46" t="n">
        <f aca="false">MATCH(A1128,DATAS,0)</f>
        <v>1</v>
      </c>
      <c r="AB1128" s="46" t="n">
        <f aca="false">IF(AND(E1128&gt;0,OR(AND(B1128&gt;=1,B1128&lt;=6),B1128=10)),1,0)</f>
        <v>1</v>
      </c>
      <c r="AC1128" s="46" t="n">
        <f aca="false">IF(AND(E1128&gt;0,B1128=10),1,0)</f>
        <v>0</v>
      </c>
      <c r="AD1128" s="0" t="str">
        <f aca="false">IF(AND(C1127=C1128,AA1127=AA1128-1),AB1127,"")</f>
        <v/>
      </c>
      <c r="AE1128" s="0" t="str">
        <f aca="false">IF(AND(C1127=C1128,AA1127=AA1128-1),AC1127,"")</f>
        <v/>
      </c>
      <c r="AF1128" s="0" t="str">
        <f aca="false">IF(AA1128=1,"",IF(AND(AB1128=1,AD1128&lt;&gt;1),1,0))</f>
        <v/>
      </c>
      <c r="AG1128" s="0" t="str">
        <f aca="false">IF(AA1128=1,"",IF(AND(AC1128=1,AE1128&lt;&gt;1),1,0))</f>
        <v/>
      </c>
      <c r="AH1128" s="51" t="str">
        <f aca="false">IF(AND(E1128&gt;0,AA1128&lt;1,NOT(AND(C1129=C1128,AA1129=AA1128+1))),INDEX(DATAS,AA1128+1),"")</f>
        <v/>
      </c>
      <c r="AI1128" s="51" t="str">
        <f aca="false">IF(AND(AC1128=1,AA1128&lt;1),IF(AND(C1129=C1128,AA1129=AA1128+1),IF(AC1129=1,"",INDEX(DATAS,AA1128+1)),INDEX(DATAS,AA1128+1)),"")</f>
        <v/>
      </c>
    </row>
    <row r="1129" customFormat="false" ht="15" hidden="false" customHeight="false" outlineLevel="0" collapsed="false">
      <c r="A1129" s="51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46" t="s">
        <v>817</v>
      </c>
      <c r="G1129" s="0" t="n">
        <v>40.9</v>
      </c>
      <c r="H1129" s="0" t="n">
        <v>40</v>
      </c>
      <c r="I1129" s="46" t="s">
        <v>152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51" t="n">
        <v>46088</v>
      </c>
      <c r="X1129" s="46" t="n">
        <f aca="false">IF(I1129="Male",0,1)</f>
        <v>1</v>
      </c>
      <c r="Y1129" s="46" t="n">
        <f aca="false">IF(OR(I1129="DNB",I1129="Dry DNB"),1,0)</f>
        <v>0</v>
      </c>
      <c r="Z1129" s="46" t="n">
        <f aca="false">IF(ISNUMBER(W1129),A1129-W1129,"")</f>
        <v>221</v>
      </c>
      <c r="AA1129" s="46" t="n">
        <f aca="false">MATCH(A1129,DATAS,0)</f>
        <v>1</v>
      </c>
      <c r="AB1129" s="46" t="n">
        <f aca="false">IF(AND(E1129&gt;0,OR(AND(B1129&gt;=1,B1129&lt;=6),B1129=10)),1,0)</f>
        <v>1</v>
      </c>
      <c r="AC1129" s="46" t="n">
        <f aca="false">IF(AND(E1129&gt;0,B1129=10),1,0)</f>
        <v>0</v>
      </c>
      <c r="AD1129" s="0" t="str">
        <f aca="false">IF(AND(C1128=C1129,AA1128=AA1129-1),AB1128,"")</f>
        <v/>
      </c>
      <c r="AE1129" s="0" t="str">
        <f aca="false">IF(AND(C1128=C1129,AA1128=AA1129-1),AC1128,"")</f>
        <v/>
      </c>
      <c r="AF1129" s="0" t="str">
        <f aca="false">IF(AA1129=1,"",IF(AND(AB1129=1,AD1129&lt;&gt;1),1,0))</f>
        <v/>
      </c>
      <c r="AG1129" s="0" t="str">
        <f aca="false">IF(AA1129=1,"",IF(AND(AC1129=1,AE1129&lt;&gt;1),1,0))</f>
        <v/>
      </c>
      <c r="AH1129" s="51" t="str">
        <f aca="false">IF(AND(E1129&gt;0,AA1129&lt;1,NOT(AND(C1130=C1129,AA1130=AA1129+1))),INDEX(DATAS,AA1129+1),"")</f>
        <v/>
      </c>
      <c r="AI1129" s="51" t="str">
        <f aca="false">IF(AND(AC1129=1,AA1129&lt;1),IF(AND(C1130=C1129,AA1130=AA1129+1),IF(AC1130=1,"",INDEX(DATAS,AA1129+1)),INDEX(DATAS,AA1129+1)),"")</f>
        <v/>
      </c>
    </row>
    <row r="1130" customFormat="false" ht="15" hidden="false" customHeight="false" outlineLevel="0" collapsed="false">
      <c r="A1130" s="51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46" t="s">
        <v>817</v>
      </c>
      <c r="I1130" s="46" t="s">
        <v>157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51" t="n">
        <v>46058</v>
      </c>
      <c r="X1130" s="46" t="n">
        <f aca="false">IF(I1130="Male",0,1)</f>
        <v>1</v>
      </c>
      <c r="Y1130" s="46" t="n">
        <f aca="false">IF(OR(I1130="DNB",I1130="Dry DNB"),1,0)</f>
        <v>0</v>
      </c>
      <c r="Z1130" s="46" t="n">
        <f aca="false">IF(ISNUMBER(W1130),A1130-W1130,"")</f>
        <v>251</v>
      </c>
      <c r="AA1130" s="46" t="n">
        <f aca="false">MATCH(A1130,DATAS,0)</f>
        <v>1</v>
      </c>
      <c r="AB1130" s="46" t="n">
        <f aca="false">IF(AND(E1130&gt;0,OR(AND(B1130&gt;=1,B1130&lt;=6),B1130=10)),1,0)</f>
        <v>0</v>
      </c>
      <c r="AC1130" s="46" t="n">
        <f aca="false">IF(AND(E1130&gt;0,B1130=10),1,0)</f>
        <v>0</v>
      </c>
      <c r="AD1130" s="0" t="str">
        <f aca="false">IF(AND(C1129=C1130,AA1129=AA1130-1),AB1129,"")</f>
        <v/>
      </c>
      <c r="AE1130" s="0" t="str">
        <f aca="false">IF(AND(C1129=C1130,AA1129=AA1130-1),AC1129,"")</f>
        <v/>
      </c>
      <c r="AF1130" s="0" t="str">
        <f aca="false">IF(AA1130=1,"",IF(AND(AB1130=1,AD1130&lt;&gt;1),1,0))</f>
        <v/>
      </c>
      <c r="AG1130" s="0" t="str">
        <f aca="false">IF(AA1130=1,"",IF(AND(AC1130=1,AE1130&lt;&gt;1),1,0))</f>
        <v/>
      </c>
      <c r="AH1130" s="51" t="str">
        <f aca="false">IF(AND(E1130&gt;0,AA1130&lt;1,NOT(AND(C1131=C1130,AA1131=AA1130+1))),INDEX(DATAS,AA1130+1),"")</f>
        <v/>
      </c>
      <c r="AI1130" s="51" t="str">
        <f aca="false">IF(AND(AC1130=1,AA1130&lt;1),IF(AND(C1131=C1130,AA1131=AA1130+1),IF(AC1131=1,"",INDEX(DATAS,AA1130+1)),INDEX(DATAS,AA1130+1)),"")</f>
        <v/>
      </c>
    </row>
    <row r="1131" customFormat="false" ht="15" hidden="false" customHeight="false" outlineLevel="0" collapsed="false">
      <c r="A1131" s="51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46" t="s">
        <v>817</v>
      </c>
      <c r="G1131" s="0" t="n">
        <v>64.4</v>
      </c>
      <c r="H1131" s="0" t="n">
        <v>64</v>
      </c>
      <c r="I1131" s="46" t="s">
        <v>161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X1131" s="46" t="n">
        <f aca="false">IF(I1131="Male",0,1)</f>
        <v>1</v>
      </c>
      <c r="Y1131" s="46" t="n">
        <f aca="false">IF(OR(I1131="DNB",I1131="Dry DNB"),1,0)</f>
        <v>0</v>
      </c>
      <c r="Z1131" s="0" t="str">
        <f aca="false">IF(ISNUMBER(W1131),A1131-W1131,"")</f>
        <v/>
      </c>
      <c r="AA1131" s="46" t="n">
        <f aca="false">MATCH(A1131,DATAS,0)</f>
        <v>1</v>
      </c>
      <c r="AB1131" s="46" t="n">
        <f aca="false">IF(AND(E1131&gt;0,OR(AND(B1131&gt;=1,B1131&lt;=6),B1131=10)),1,0)</f>
        <v>1</v>
      </c>
      <c r="AC1131" s="46" t="n">
        <f aca="false">IF(AND(E1131&gt;0,B1131=10),1,0)</f>
        <v>0</v>
      </c>
      <c r="AD1131" s="0" t="str">
        <f aca="false">IF(AND(C1130=C1131,AA1130=AA1131-1),AB1130,"")</f>
        <v/>
      </c>
      <c r="AE1131" s="0" t="str">
        <f aca="false">IF(AND(C1130=C1131,AA1130=AA1131-1),AC1130,"")</f>
        <v/>
      </c>
      <c r="AF1131" s="0" t="str">
        <f aca="false">IF(AA1131=1,"",IF(AND(AB1131=1,AD1131&lt;&gt;1),1,0))</f>
        <v/>
      </c>
      <c r="AG1131" s="0" t="str">
        <f aca="false">IF(AA1131=1,"",IF(AND(AC1131=1,AE1131&lt;&gt;1),1,0))</f>
        <v/>
      </c>
      <c r="AH1131" s="51" t="str">
        <f aca="false">IF(AND(E1131&gt;0,AA1131&lt;1,NOT(AND(C1132=C1131,AA1132=AA1131+1))),INDEX(DATAS,AA1131+1),"")</f>
        <v/>
      </c>
      <c r="AI1131" s="51" t="str">
        <f aca="false">IF(AND(AC1131=1,AA1131&lt;1),IF(AND(C1132=C1131,AA1132=AA1131+1),IF(AC1132=1,"",INDEX(DATAS,AA1131+1)),INDEX(DATAS,AA1131+1)),"")</f>
        <v/>
      </c>
    </row>
    <row r="1132" customFormat="false" ht="15" hidden="false" customHeight="false" outlineLevel="0" collapsed="false">
      <c r="A1132" s="51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46" t="s">
        <v>817</v>
      </c>
      <c r="G1132" s="0" t="n">
        <v>60.3</v>
      </c>
      <c r="H1132" s="0" t="n">
        <v>54</v>
      </c>
      <c r="I1132" s="46" t="s">
        <v>181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51" t="n">
        <v>46303</v>
      </c>
      <c r="X1132" s="46" t="n">
        <f aca="false">IF(I1132="Male",0,1)</f>
        <v>1</v>
      </c>
      <c r="Y1132" s="46" t="n">
        <f aca="false">IF(OR(I1132="DNB",I1132="Dry DNB"),1,0)</f>
        <v>0</v>
      </c>
      <c r="Z1132" s="46" t="n">
        <f aca="false">IF(ISNUMBER(W1132),A1132-W1132,"")</f>
        <v>6</v>
      </c>
      <c r="AA1132" s="46" t="n">
        <f aca="false">MATCH(A1132,DATAS,0)</f>
        <v>1</v>
      </c>
      <c r="AB1132" s="46" t="n">
        <f aca="false">IF(AND(E1132&gt;0,OR(AND(B1132&gt;=1,B1132&lt;=6),B1132=10)),1,0)</f>
        <v>1</v>
      </c>
      <c r="AC1132" s="46" t="n">
        <f aca="false">IF(AND(E1132&gt;0,B1132=10),1,0)</f>
        <v>0</v>
      </c>
      <c r="AD1132" s="0" t="str">
        <f aca="false">IF(AND(C1131=C1132,AA1131=AA1132-1),AB1131,"")</f>
        <v/>
      </c>
      <c r="AE1132" s="0" t="str">
        <f aca="false">IF(AND(C1131=C1132,AA1131=AA1132-1),AC1131,"")</f>
        <v/>
      </c>
      <c r="AF1132" s="0" t="str">
        <f aca="false">IF(AA1132=1,"",IF(AND(AB1132=1,AD1132&lt;&gt;1),1,0))</f>
        <v/>
      </c>
      <c r="AG1132" s="0" t="str">
        <f aca="false">IF(AA1132=1,"",IF(AND(AC1132=1,AE1132&lt;&gt;1),1,0))</f>
        <v/>
      </c>
      <c r="AH1132" s="51" t="str">
        <f aca="false">IF(AND(E1132&gt;0,AA1132&lt;1,NOT(AND(C1133=C1132,AA1133=AA1132+1))),INDEX(DATAS,AA1132+1),"")</f>
        <v/>
      </c>
      <c r="AI1132" s="51" t="str">
        <f aca="false">IF(AND(AC1132=1,AA1132&lt;1),IF(AND(C1133=C1132,AA1133=AA1132+1),IF(AC1133=1,"",INDEX(DATAS,AA1132+1)),INDEX(DATAS,AA1132+1)),"")</f>
        <v/>
      </c>
    </row>
    <row r="1133" customFormat="false" ht="15" hidden="false" customHeight="false" outlineLevel="0" collapsed="false">
      <c r="A1133" s="51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46" t="s">
        <v>818</v>
      </c>
      <c r="G1133" s="0" t="n">
        <v>53.5</v>
      </c>
      <c r="H1133" s="0" t="n">
        <v>51</v>
      </c>
      <c r="I1133" s="46" t="s">
        <v>152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51" t="n">
        <v>46275</v>
      </c>
      <c r="X1133" s="46" t="n">
        <f aca="false">IF(I1133="Male",0,1)</f>
        <v>1</v>
      </c>
      <c r="Y1133" s="46" t="n">
        <f aca="false">IF(OR(I1133="DNB",I1133="Dry DNB"),1,0)</f>
        <v>0</v>
      </c>
      <c r="Z1133" s="46" t="n">
        <f aca="false">IF(ISNUMBER(W1133),A1133-W1133,"")</f>
        <v>34</v>
      </c>
      <c r="AA1133" s="46" t="n">
        <f aca="false">MATCH(A1133,DATAS,0)</f>
        <v>1</v>
      </c>
      <c r="AB1133" s="46" t="n">
        <f aca="false">IF(AND(E1133&gt;0,OR(AND(B1133&gt;=1,B1133&lt;=6),B1133=10)),1,0)</f>
        <v>1</v>
      </c>
      <c r="AC1133" s="46" t="n">
        <f aca="false">IF(AND(E1133&gt;0,B1133=10),1,0)</f>
        <v>0</v>
      </c>
      <c r="AD1133" s="0" t="str">
        <f aca="false">IF(AND(C1132=C1133,AA1132=AA1133-1),AB1132,"")</f>
        <v/>
      </c>
      <c r="AE1133" s="0" t="str">
        <f aca="false">IF(AND(C1132=C1133,AA1132=AA1133-1),AC1132,"")</f>
        <v/>
      </c>
      <c r="AF1133" s="0" t="str">
        <f aca="false">IF(AA1133=1,"",IF(AND(AB1133=1,AD1133&lt;&gt;1),1,0))</f>
        <v/>
      </c>
      <c r="AG1133" s="0" t="str">
        <f aca="false">IF(AA1133=1,"",IF(AND(AC1133=1,AE1133&lt;&gt;1),1,0))</f>
        <v/>
      </c>
      <c r="AH1133" s="51" t="str">
        <f aca="false">IF(AND(E1133&gt;0,AA1133&lt;1,NOT(AND(C1134=C1133,AA1134=AA1133+1))),INDEX(DATAS,AA1133+1),"")</f>
        <v/>
      </c>
      <c r="AI1133" s="51" t="str">
        <f aca="false">IF(AND(AC1133=1,AA1133&lt;1),IF(AND(C1134=C1133,AA1134=AA1133+1),IF(AC1134=1,"",INDEX(DATAS,AA1133+1)),INDEX(DATAS,AA1133+1)),"")</f>
        <v/>
      </c>
    </row>
    <row r="1134" customFormat="false" ht="15" hidden="false" customHeight="false" outlineLevel="0" collapsed="false">
      <c r="A1134" s="51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46" t="s">
        <v>819</v>
      </c>
      <c r="G1134" s="0" t="n">
        <v>40.1</v>
      </c>
      <c r="H1134" s="0" t="n">
        <v>40</v>
      </c>
      <c r="I1134" s="46" t="s">
        <v>152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51" t="n">
        <v>46093</v>
      </c>
      <c r="X1134" s="46" t="n">
        <f aca="false">IF(I1134="Male",0,1)</f>
        <v>1</v>
      </c>
      <c r="Y1134" s="46" t="n">
        <f aca="false">IF(OR(I1134="DNB",I1134="Dry DNB"),1,0)</f>
        <v>0</v>
      </c>
      <c r="Z1134" s="46" t="n">
        <f aca="false">IF(ISNUMBER(W1134),A1134-W1134,"")</f>
        <v>216</v>
      </c>
      <c r="AA1134" s="46" t="n">
        <f aca="false">MATCH(A1134,DATAS,0)</f>
        <v>1</v>
      </c>
      <c r="AB1134" s="46" t="n">
        <f aca="false">IF(AND(E1134&gt;0,OR(AND(B1134&gt;=1,B1134&lt;=6),B1134=10)),1,0)</f>
        <v>1</v>
      </c>
      <c r="AC1134" s="46" t="n">
        <f aca="false">IF(AND(E1134&gt;0,B1134=10),1,0)</f>
        <v>0</v>
      </c>
      <c r="AD1134" s="0" t="str">
        <f aca="false">IF(AND(C1133=C1134,AA1133=AA1134-1),AB1133,"")</f>
        <v/>
      </c>
      <c r="AE1134" s="0" t="str">
        <f aca="false">IF(AND(C1133=C1134,AA1133=AA1134-1),AC1133,"")</f>
        <v/>
      </c>
      <c r="AF1134" s="0" t="str">
        <f aca="false">IF(AA1134=1,"",IF(AND(AB1134=1,AD1134&lt;&gt;1),1,0))</f>
        <v/>
      </c>
      <c r="AG1134" s="0" t="str">
        <f aca="false">IF(AA1134=1,"",IF(AND(AC1134=1,AE1134&lt;&gt;1),1,0))</f>
        <v/>
      </c>
      <c r="AH1134" s="51" t="str">
        <f aca="false">IF(AND(E1134&gt;0,AA1134&lt;1,NOT(AND(C1135=C1134,AA1135=AA1134+1))),INDEX(DATAS,AA1134+1),"")</f>
        <v/>
      </c>
      <c r="AI1134" s="51" t="str">
        <f aca="false">IF(AND(AC1134=1,AA1134&lt;1),IF(AND(C1135=C1134,AA1135=AA1134+1),IF(AC1135=1,"",INDEX(DATAS,AA1134+1)),INDEX(DATAS,AA1134+1)),"")</f>
        <v/>
      </c>
    </row>
    <row r="1135" customFormat="false" ht="15" hidden="false" customHeight="false" outlineLevel="0" collapsed="false">
      <c r="A1135" s="51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46" t="s">
        <v>819</v>
      </c>
      <c r="G1135" s="0" t="n">
        <v>50.6</v>
      </c>
      <c r="H1135" s="0" t="n">
        <v>47</v>
      </c>
      <c r="I1135" s="46" t="s">
        <v>181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51" t="n">
        <v>46303</v>
      </c>
      <c r="X1135" s="46" t="n">
        <f aca="false">IF(I1135="Male",0,1)</f>
        <v>1</v>
      </c>
      <c r="Y1135" s="46" t="n">
        <f aca="false">IF(OR(I1135="DNB",I1135="Dry DNB"),1,0)</f>
        <v>0</v>
      </c>
      <c r="Z1135" s="46" t="n">
        <f aca="false">IF(ISNUMBER(W1135),A1135-W1135,"")</f>
        <v>6</v>
      </c>
      <c r="AA1135" s="46" t="n">
        <f aca="false">MATCH(A1135,DATAS,0)</f>
        <v>1</v>
      </c>
      <c r="AB1135" s="46" t="n">
        <f aca="false">IF(AND(E1135&gt;0,OR(AND(B1135&gt;=1,B1135&lt;=6),B1135=10)),1,0)</f>
        <v>1</v>
      </c>
      <c r="AC1135" s="46" t="n">
        <f aca="false">IF(AND(E1135&gt;0,B1135=10),1,0)</f>
        <v>0</v>
      </c>
      <c r="AD1135" s="0" t="str">
        <f aca="false">IF(AND(C1134=C1135,AA1134=AA1135-1),AB1134,"")</f>
        <v/>
      </c>
      <c r="AE1135" s="0" t="str">
        <f aca="false">IF(AND(C1134=C1135,AA1134=AA1135-1),AC1134,"")</f>
        <v/>
      </c>
      <c r="AF1135" s="0" t="str">
        <f aca="false">IF(AA1135=1,"",IF(AND(AB1135=1,AD1135&lt;&gt;1),1,0))</f>
        <v/>
      </c>
      <c r="AG1135" s="0" t="str">
        <f aca="false">IF(AA1135=1,"",IF(AND(AC1135=1,AE1135&lt;&gt;1),1,0))</f>
        <v/>
      </c>
      <c r="AH1135" s="51" t="str">
        <f aca="false">IF(AND(E1135&gt;0,AA1135&lt;1,NOT(AND(C1136=C1135,AA1136=AA1135+1))),INDEX(DATAS,AA1135+1),"")</f>
        <v/>
      </c>
      <c r="AI1135" s="51" t="str">
        <f aca="false">IF(AND(AC1135=1,AA1135&lt;1),IF(AND(C1136=C1135,AA1136=AA1135+1),IF(AC1136=1,"",INDEX(DATAS,AA1135+1)),INDEX(DATAS,AA1135+1)),"")</f>
        <v/>
      </c>
    </row>
    <row r="1136" customFormat="false" ht="15" hidden="false" customHeight="false" outlineLevel="0" collapsed="false">
      <c r="A1136" s="51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46" t="s">
        <v>820</v>
      </c>
      <c r="I1136" s="46" t="s">
        <v>157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51" t="n">
        <v>46002</v>
      </c>
      <c r="X1136" s="46" t="n">
        <f aca="false">IF(I1136="Male",0,1)</f>
        <v>1</v>
      </c>
      <c r="Y1136" s="46" t="n">
        <f aca="false">IF(OR(I1136="DNB",I1136="Dry DNB"),1,0)</f>
        <v>0</v>
      </c>
      <c r="Z1136" s="46" t="n">
        <f aca="false">IF(ISNUMBER(W1136),A1136-W1136,"")</f>
        <v>307</v>
      </c>
      <c r="AA1136" s="46" t="n">
        <f aca="false">MATCH(A1136,DATAS,0)</f>
        <v>1</v>
      </c>
      <c r="AB1136" s="46" t="n">
        <f aca="false">IF(AND(E1136&gt;0,OR(AND(B1136&gt;=1,B1136&lt;=6),B1136=10)),1,0)</f>
        <v>0</v>
      </c>
      <c r="AC1136" s="46" t="n">
        <f aca="false">IF(AND(E1136&gt;0,B1136=10),1,0)</f>
        <v>0</v>
      </c>
      <c r="AD1136" s="0" t="str">
        <f aca="false">IF(AND(C1135=C1136,AA1135=AA1136-1),AB1135,"")</f>
        <v/>
      </c>
      <c r="AE1136" s="0" t="str">
        <f aca="false">IF(AND(C1135=C1136,AA1135=AA1136-1),AC1135,"")</f>
        <v/>
      </c>
      <c r="AF1136" s="0" t="str">
        <f aca="false">IF(AA1136=1,"",IF(AND(AB1136=1,AD1136&lt;&gt;1),1,0))</f>
        <v/>
      </c>
      <c r="AG1136" s="0" t="str">
        <f aca="false">IF(AA1136=1,"",IF(AND(AC1136=1,AE1136&lt;&gt;1),1,0))</f>
        <v/>
      </c>
      <c r="AH1136" s="51" t="str">
        <f aca="false">IF(AND(E1136&gt;0,AA1136&lt;1,NOT(AND(C1137=C1136,AA1137=AA1136+1))),INDEX(DATAS,AA1136+1),"")</f>
        <v/>
      </c>
      <c r="AI1136" s="51" t="str">
        <f aca="false">IF(AND(AC1136=1,AA1136&lt;1),IF(AND(C1137=C1136,AA1137=AA1136+1),IF(AC1137=1,"",INDEX(DATAS,AA1136+1)),INDEX(DATAS,AA1136+1)),"")</f>
        <v/>
      </c>
    </row>
    <row r="1137" customFormat="false" ht="15" hidden="false" customHeight="false" outlineLevel="0" collapsed="false">
      <c r="A1137" s="51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46" t="s">
        <v>820</v>
      </c>
      <c r="G1137" s="0" t="n">
        <v>30.9</v>
      </c>
      <c r="H1137" s="0" t="n">
        <v>33</v>
      </c>
      <c r="I1137" s="46" t="s">
        <v>152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51" t="n">
        <v>46184</v>
      </c>
      <c r="X1137" s="46" t="n">
        <f aca="false">IF(I1137="Male",0,1)</f>
        <v>1</v>
      </c>
      <c r="Y1137" s="46" t="n">
        <f aca="false">IF(OR(I1137="DNB",I1137="Dry DNB"),1,0)</f>
        <v>0</v>
      </c>
      <c r="Z1137" s="46" t="n">
        <f aca="false">IF(ISNUMBER(W1137),A1137-W1137,"")</f>
        <v>125</v>
      </c>
      <c r="AA1137" s="46" t="n">
        <f aca="false">MATCH(A1137,DATAS,0)</f>
        <v>1</v>
      </c>
      <c r="AB1137" s="46" t="n">
        <f aca="false">IF(AND(E1137&gt;0,OR(AND(B1137&gt;=1,B1137&lt;=6),B1137=10)),1,0)</f>
        <v>1</v>
      </c>
      <c r="AC1137" s="46" t="n">
        <f aca="false">IF(AND(E1137&gt;0,B1137=10),1,0)</f>
        <v>0</v>
      </c>
      <c r="AD1137" s="0" t="str">
        <f aca="false">IF(AND(C1136=C1137,AA1136=AA1137-1),AB1136,"")</f>
        <v/>
      </c>
      <c r="AE1137" s="0" t="str">
        <f aca="false">IF(AND(C1136=C1137,AA1136=AA1137-1),AC1136,"")</f>
        <v/>
      </c>
      <c r="AF1137" s="0" t="str">
        <f aca="false">IF(AA1137=1,"",IF(AND(AB1137=1,AD1137&lt;&gt;1),1,0))</f>
        <v/>
      </c>
      <c r="AG1137" s="0" t="str">
        <f aca="false">IF(AA1137=1,"",IF(AND(AC1137=1,AE1137&lt;&gt;1),1,0))</f>
        <v/>
      </c>
      <c r="AH1137" s="51" t="str">
        <f aca="false">IF(AND(E1137&gt;0,AA1137&lt;1,NOT(AND(C1138=C1137,AA1138=AA1137+1))),INDEX(DATAS,AA1137+1),"")</f>
        <v/>
      </c>
      <c r="AI1137" s="51" t="str">
        <f aca="false">IF(AND(AC1137=1,AA1137&lt;1),IF(AND(C1138=C1137,AA1138=AA1137+1),IF(AC1138=1,"",INDEX(DATAS,AA1137+1)),INDEX(DATAS,AA1137+1)),"")</f>
        <v/>
      </c>
    </row>
    <row r="1138" customFormat="false" ht="15" hidden="false" customHeight="false" outlineLevel="0" collapsed="false">
      <c r="A1138" s="51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46" t="s">
        <v>820</v>
      </c>
      <c r="G1138" s="0" t="n">
        <v>41.6</v>
      </c>
      <c r="H1138" s="0" t="n">
        <v>41</v>
      </c>
      <c r="I1138" s="46" t="s">
        <v>152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51" t="n">
        <v>46194</v>
      </c>
      <c r="X1138" s="46" t="n">
        <f aca="false">IF(I1138="Male",0,1)</f>
        <v>1</v>
      </c>
      <c r="Y1138" s="46" t="n">
        <f aca="false">IF(OR(I1138="DNB",I1138="Dry DNB"),1,0)</f>
        <v>0</v>
      </c>
      <c r="Z1138" s="46" t="n">
        <f aca="false">IF(ISNUMBER(W1138),A1138-W1138,"")</f>
        <v>115</v>
      </c>
      <c r="AA1138" s="46" t="n">
        <f aca="false">MATCH(A1138,DATAS,0)</f>
        <v>1</v>
      </c>
      <c r="AB1138" s="46" t="n">
        <f aca="false">IF(AND(E1138&gt;0,OR(AND(B1138&gt;=1,B1138&lt;=6),B1138=10)),1,0)</f>
        <v>1</v>
      </c>
      <c r="AC1138" s="46" t="n">
        <f aca="false">IF(AND(E1138&gt;0,B1138=10),1,0)</f>
        <v>0</v>
      </c>
      <c r="AD1138" s="0" t="str">
        <f aca="false">IF(AND(C1137=C1138,AA1137=AA1138-1),AB1137,"")</f>
        <v/>
      </c>
      <c r="AE1138" s="0" t="str">
        <f aca="false">IF(AND(C1137=C1138,AA1137=AA1138-1),AC1137,"")</f>
        <v/>
      </c>
      <c r="AF1138" s="0" t="str">
        <f aca="false">IF(AA1138=1,"",IF(AND(AB1138=1,AD1138&lt;&gt;1),1,0))</f>
        <v/>
      </c>
      <c r="AG1138" s="0" t="str">
        <f aca="false">IF(AA1138=1,"",IF(AND(AC1138=1,AE1138&lt;&gt;1),1,0))</f>
        <v/>
      </c>
      <c r="AH1138" s="51" t="str">
        <f aca="false">IF(AND(E1138&gt;0,AA1138&lt;1,NOT(AND(C1139=C1138,AA1139=AA1138+1))),INDEX(DATAS,AA1138+1),"")</f>
        <v/>
      </c>
      <c r="AI1138" s="51" t="str">
        <f aca="false">IF(AND(AC1138=1,AA1138&lt;1),IF(AND(C1139=C1138,AA1139=AA1138+1),IF(AC1139=1,"",INDEX(DATAS,AA1138+1)),INDEX(DATAS,AA1138+1)),"")</f>
        <v/>
      </c>
    </row>
    <row r="1139" customFormat="false" ht="15" hidden="false" customHeight="false" outlineLevel="0" collapsed="false">
      <c r="A1139" s="51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46" t="s">
        <v>821</v>
      </c>
      <c r="G1139" s="0" t="n">
        <v>57.8</v>
      </c>
      <c r="H1139" s="0" t="n">
        <v>53</v>
      </c>
      <c r="I1139" s="46" t="s">
        <v>161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X1139" s="46" t="n">
        <f aca="false">IF(I1139="Male",0,1)</f>
        <v>1</v>
      </c>
      <c r="Y1139" s="46" t="n">
        <f aca="false">IF(OR(I1139="DNB",I1139="Dry DNB"),1,0)</f>
        <v>0</v>
      </c>
      <c r="Z1139" s="0" t="str">
        <f aca="false">IF(ISNUMBER(W1139),A1139-W1139,"")</f>
        <v/>
      </c>
      <c r="AA1139" s="46" t="n">
        <f aca="false">MATCH(A1139,DATAS,0)</f>
        <v>1</v>
      </c>
      <c r="AB1139" s="46" t="n">
        <f aca="false">IF(AND(E1139&gt;0,OR(AND(B1139&gt;=1,B1139&lt;=6),B1139=10)),1,0)</f>
        <v>1</v>
      </c>
      <c r="AC1139" s="46" t="n">
        <f aca="false">IF(AND(E1139&gt;0,B1139=10),1,0)</f>
        <v>0</v>
      </c>
      <c r="AD1139" s="0" t="str">
        <f aca="false">IF(AND(C1138=C1139,AA1138=AA1139-1),AB1138,"")</f>
        <v/>
      </c>
      <c r="AE1139" s="0" t="str">
        <f aca="false">IF(AND(C1138=C1139,AA1138=AA1139-1),AC1138,"")</f>
        <v/>
      </c>
      <c r="AF1139" s="0" t="str">
        <f aca="false">IF(AA1139=1,"",IF(AND(AB1139=1,AD1139&lt;&gt;1),1,0))</f>
        <v/>
      </c>
      <c r="AG1139" s="0" t="str">
        <f aca="false">IF(AA1139=1,"",IF(AND(AC1139=1,AE1139&lt;&gt;1),1,0))</f>
        <v/>
      </c>
      <c r="AH1139" s="51" t="str">
        <f aca="false">IF(AND(E1139&gt;0,AA1139&lt;1,NOT(AND(C1140=C1139,AA1140=AA1139+1))),INDEX(DATAS,AA1139+1),"")</f>
        <v/>
      </c>
      <c r="AI1139" s="51" t="str">
        <f aca="false">IF(AND(AC1139=1,AA1139&lt;1),IF(AND(C1140=C1139,AA1140=AA1139+1),IF(AC1140=1,"",INDEX(DATAS,AA1139+1)),INDEX(DATAS,AA1139+1)),"")</f>
        <v/>
      </c>
    </row>
    <row r="1140" customFormat="false" ht="15" hidden="false" customHeight="false" outlineLevel="0" collapsed="false">
      <c r="A1140" s="51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46" t="s">
        <v>821</v>
      </c>
      <c r="G1140" s="0" t="n">
        <v>6.7</v>
      </c>
      <c r="H1140" s="0" t="n">
        <v>4</v>
      </c>
      <c r="I1140" s="46" t="s">
        <v>161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X1140" s="46" t="n">
        <f aca="false">IF(I1140="Male",0,1)</f>
        <v>1</v>
      </c>
      <c r="Y1140" s="46" t="n">
        <f aca="false">IF(OR(I1140="DNB",I1140="Dry DNB"),1,0)</f>
        <v>0</v>
      </c>
      <c r="Z1140" s="0" t="str">
        <f aca="false">IF(ISNUMBER(W1140),A1140-W1140,"")</f>
        <v/>
      </c>
      <c r="AA1140" s="46" t="n">
        <f aca="false">MATCH(A1140,DATAS,0)</f>
        <v>1</v>
      </c>
      <c r="AB1140" s="46" t="n">
        <f aca="false">IF(AND(E1140&gt;0,OR(AND(B1140&gt;=1,B1140&lt;=6),B1140=10)),1,0)</f>
        <v>1</v>
      </c>
      <c r="AC1140" s="46" t="n">
        <f aca="false">IF(AND(E1140&gt;0,B1140=10),1,0)</f>
        <v>0</v>
      </c>
      <c r="AD1140" s="0" t="str">
        <f aca="false">IF(AND(C1139=C1140,AA1139=AA1140-1),AB1139,"")</f>
        <v/>
      </c>
      <c r="AE1140" s="0" t="str">
        <f aca="false">IF(AND(C1139=C1140,AA1139=AA1140-1),AC1139,"")</f>
        <v/>
      </c>
      <c r="AF1140" s="0" t="str">
        <f aca="false">IF(AA1140=1,"",IF(AND(AB1140=1,AD1140&lt;&gt;1),1,0))</f>
        <v/>
      </c>
      <c r="AG1140" s="0" t="str">
        <f aca="false">IF(AA1140=1,"",IF(AND(AC1140=1,AE1140&lt;&gt;1),1,0))</f>
        <v/>
      </c>
      <c r="AH1140" s="51" t="str">
        <f aca="false">IF(AND(E1140&gt;0,AA1140&lt;1,NOT(AND(C1141=C1140,AA1141=AA1140+1))),INDEX(DATAS,AA1140+1),"")</f>
        <v/>
      </c>
      <c r="AI1140" s="51" t="str">
        <f aca="false">IF(AND(AC1140=1,AA1140&lt;1),IF(AND(C1141=C1140,AA1141=AA1140+1),IF(AC1141=1,"",INDEX(DATAS,AA1140+1)),INDEX(DATAS,AA1140+1)),"")</f>
        <v/>
      </c>
    </row>
    <row r="1141" customFormat="false" ht="15" hidden="false" customHeight="false" outlineLevel="0" collapsed="false">
      <c r="A1141" s="51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46" t="s">
        <v>821</v>
      </c>
      <c r="G1141" s="0" t="n">
        <v>49</v>
      </c>
      <c r="H1141" s="0" t="n">
        <v>48</v>
      </c>
      <c r="I1141" s="46" t="s">
        <v>152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51" t="n">
        <v>46226</v>
      </c>
      <c r="X1141" s="46" t="n">
        <f aca="false">IF(I1141="Male",0,1)</f>
        <v>1</v>
      </c>
      <c r="Y1141" s="46" t="n">
        <f aca="false">IF(OR(I1141="DNB",I1141="Dry DNB"),1,0)</f>
        <v>0</v>
      </c>
      <c r="Z1141" s="46" t="n">
        <f aca="false">IF(ISNUMBER(W1141),A1141-W1141,"")</f>
        <v>83</v>
      </c>
      <c r="AA1141" s="46" t="n">
        <f aca="false">MATCH(A1141,DATAS,0)</f>
        <v>1</v>
      </c>
      <c r="AB1141" s="46" t="n">
        <f aca="false">IF(AND(E1141&gt;0,OR(AND(B1141&gt;=1,B1141&lt;=6),B1141=10)),1,0)</f>
        <v>1</v>
      </c>
      <c r="AC1141" s="46" t="n">
        <f aca="false">IF(AND(E1141&gt;0,B1141=10),1,0)</f>
        <v>0</v>
      </c>
      <c r="AD1141" s="0" t="str">
        <f aca="false">IF(AND(C1140=C1141,AA1140=AA1141-1),AB1140,"")</f>
        <v/>
      </c>
      <c r="AE1141" s="0" t="str">
        <f aca="false">IF(AND(C1140=C1141,AA1140=AA1141-1),AC1140,"")</f>
        <v/>
      </c>
      <c r="AF1141" s="0" t="str">
        <f aca="false">IF(AA1141=1,"",IF(AND(AB1141=1,AD1141&lt;&gt;1),1,0))</f>
        <v/>
      </c>
      <c r="AG1141" s="0" t="str">
        <f aca="false">IF(AA1141=1,"",IF(AND(AC1141=1,AE1141&lt;&gt;1),1,0))</f>
        <v/>
      </c>
      <c r="AH1141" s="51" t="str">
        <f aca="false">IF(AND(E1141&gt;0,AA1141&lt;1,NOT(AND(C1142=C1141,AA1142=AA1141+1))),INDEX(DATAS,AA1141+1),"")</f>
        <v/>
      </c>
      <c r="AI1141" s="51" t="str">
        <f aca="false">IF(AND(AC1141=1,AA1141&lt;1),IF(AND(C1142=C1141,AA1142=AA1141+1),IF(AC1142=1,"",INDEX(DATAS,AA1141+1)),INDEX(DATAS,AA1141+1)),"")</f>
        <v/>
      </c>
    </row>
    <row r="1142" customFormat="false" ht="15" hidden="false" customHeight="false" outlineLevel="0" collapsed="false">
      <c r="A1142" s="51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46" t="s">
        <v>822</v>
      </c>
      <c r="G1142" s="0" t="n">
        <v>41.7</v>
      </c>
      <c r="H1142" s="0" t="n">
        <v>48</v>
      </c>
      <c r="I1142" s="46" t="s">
        <v>181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51" t="n">
        <v>46296</v>
      </c>
      <c r="X1142" s="46" t="n">
        <f aca="false">IF(I1142="Male",0,1)</f>
        <v>1</v>
      </c>
      <c r="Y1142" s="46" t="n">
        <f aca="false">IF(OR(I1142="DNB",I1142="Dry DNB"),1,0)</f>
        <v>0</v>
      </c>
      <c r="Z1142" s="46" t="n">
        <f aca="false">IF(ISNUMBER(W1142),A1142-W1142,"")</f>
        <v>13</v>
      </c>
      <c r="AA1142" s="46" t="n">
        <f aca="false">MATCH(A1142,DATAS,0)</f>
        <v>1</v>
      </c>
      <c r="AB1142" s="46" t="n">
        <f aca="false">IF(AND(E1142&gt;0,OR(AND(B1142&gt;=1,B1142&lt;=6),B1142=10)),1,0)</f>
        <v>1</v>
      </c>
      <c r="AC1142" s="46" t="n">
        <f aca="false">IF(AND(E1142&gt;0,B1142=10),1,0)</f>
        <v>0</v>
      </c>
      <c r="AD1142" s="0" t="str">
        <f aca="false">IF(AND(C1141=C1142,AA1141=AA1142-1),AB1141,"")</f>
        <v/>
      </c>
      <c r="AE1142" s="0" t="str">
        <f aca="false">IF(AND(C1141=C1142,AA1141=AA1142-1),AC1141,"")</f>
        <v/>
      </c>
      <c r="AF1142" s="0" t="str">
        <f aca="false">IF(AA1142=1,"",IF(AND(AB1142=1,AD1142&lt;&gt;1),1,0))</f>
        <v/>
      </c>
      <c r="AG1142" s="0" t="str">
        <f aca="false">IF(AA1142=1,"",IF(AND(AC1142=1,AE1142&lt;&gt;1),1,0))</f>
        <v/>
      </c>
      <c r="AH1142" s="51" t="str">
        <f aca="false">IF(AND(E1142&gt;0,AA1142&lt;1,NOT(AND(C1143=C1142,AA1143=AA1142+1))),INDEX(DATAS,AA1142+1),"")</f>
        <v/>
      </c>
      <c r="AI1142" s="51" t="str">
        <f aca="false">IF(AND(AC1142=1,AA1142&lt;1),IF(AND(C1143=C1142,AA1143=AA1142+1),IF(AC1143=1,"",INDEX(DATAS,AA1142+1)),INDEX(DATAS,AA1142+1)),"")</f>
        <v/>
      </c>
    </row>
    <row r="1143" customFormat="false" ht="15" hidden="false" customHeight="false" outlineLevel="0" collapsed="false">
      <c r="A1143" s="51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46" t="s">
        <v>822</v>
      </c>
      <c r="G1143" s="0" t="n">
        <v>38.7</v>
      </c>
      <c r="H1143" s="0" t="n">
        <v>36</v>
      </c>
      <c r="I1143" s="46" t="s">
        <v>152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51" t="n">
        <v>46229</v>
      </c>
      <c r="X1143" s="46" t="n">
        <f aca="false">IF(I1143="Male",0,1)</f>
        <v>1</v>
      </c>
      <c r="Y1143" s="46" t="n">
        <f aca="false">IF(OR(I1143="DNB",I1143="Dry DNB"),1,0)</f>
        <v>0</v>
      </c>
      <c r="Z1143" s="46" t="n">
        <f aca="false">IF(ISNUMBER(W1143),A1143-W1143,"")</f>
        <v>80</v>
      </c>
      <c r="AA1143" s="46" t="n">
        <f aca="false">MATCH(A1143,DATAS,0)</f>
        <v>1</v>
      </c>
      <c r="AB1143" s="46" t="n">
        <f aca="false">IF(AND(E1143&gt;0,OR(AND(B1143&gt;=1,B1143&lt;=6),B1143=10)),1,0)</f>
        <v>1</v>
      </c>
      <c r="AC1143" s="46" t="n">
        <f aca="false">IF(AND(E1143&gt;0,B1143=10),1,0)</f>
        <v>0</v>
      </c>
      <c r="AD1143" s="0" t="str">
        <f aca="false">IF(AND(C1142=C1143,AA1142=AA1143-1),AB1142,"")</f>
        <v/>
      </c>
      <c r="AE1143" s="0" t="str">
        <f aca="false">IF(AND(C1142=C1143,AA1142=AA1143-1),AC1142,"")</f>
        <v/>
      </c>
      <c r="AF1143" s="0" t="str">
        <f aca="false">IF(AA1143=1,"",IF(AND(AB1143=1,AD1143&lt;&gt;1),1,0))</f>
        <v/>
      </c>
      <c r="AG1143" s="0" t="str">
        <f aca="false">IF(AA1143=1,"",IF(AND(AC1143=1,AE1143&lt;&gt;1),1,0))</f>
        <v/>
      </c>
      <c r="AH1143" s="51" t="str">
        <f aca="false">IF(AND(E1143&gt;0,AA1143&lt;1,NOT(AND(C1144=C1143,AA1144=AA1143+1))),INDEX(DATAS,AA1143+1),"")</f>
        <v/>
      </c>
      <c r="AI1143" s="51" t="str">
        <f aca="false">IF(AND(AC1143=1,AA1143&lt;1),IF(AND(C1144=C1143,AA1144=AA1143+1),IF(AC1144=1,"",INDEX(DATAS,AA1143+1)),INDEX(DATAS,AA1143+1)),"")</f>
        <v/>
      </c>
    </row>
    <row r="1144" customFormat="false" ht="15" hidden="false" customHeight="false" outlineLevel="0" collapsed="false">
      <c r="A1144" s="51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46" t="s">
        <v>822</v>
      </c>
      <c r="G1144" s="0" t="n">
        <v>35.5</v>
      </c>
      <c r="H1144" s="0" t="n">
        <v>26</v>
      </c>
      <c r="I1144" s="46" t="s">
        <v>152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51" t="n">
        <v>46226</v>
      </c>
      <c r="X1144" s="46" t="n">
        <f aca="false">IF(I1144="Male",0,1)</f>
        <v>1</v>
      </c>
      <c r="Y1144" s="46" t="n">
        <f aca="false">IF(OR(I1144="DNB",I1144="Dry DNB"),1,0)</f>
        <v>0</v>
      </c>
      <c r="Z1144" s="46" t="n">
        <f aca="false">IF(ISNUMBER(W1144),A1144-W1144,"")</f>
        <v>83</v>
      </c>
      <c r="AA1144" s="46" t="n">
        <f aca="false">MATCH(A1144,DATAS,0)</f>
        <v>1</v>
      </c>
      <c r="AB1144" s="46" t="n">
        <f aca="false">IF(AND(E1144&gt;0,OR(AND(B1144&gt;=1,B1144&lt;=6),B1144=10)),1,0)</f>
        <v>1</v>
      </c>
      <c r="AC1144" s="46" t="n">
        <f aca="false">IF(AND(E1144&gt;0,B1144=10),1,0)</f>
        <v>0</v>
      </c>
      <c r="AD1144" s="0" t="str">
        <f aca="false">IF(AND(C1143=C1144,AA1143=AA1144-1),AB1143,"")</f>
        <v/>
      </c>
      <c r="AE1144" s="0" t="str">
        <f aca="false">IF(AND(C1143=C1144,AA1143=AA1144-1),AC1143,"")</f>
        <v/>
      </c>
      <c r="AF1144" s="0" t="str">
        <f aca="false">IF(AA1144=1,"",IF(AND(AB1144=1,AD1144&lt;&gt;1),1,0))</f>
        <v/>
      </c>
      <c r="AG1144" s="0" t="str">
        <f aca="false">IF(AA1144=1,"",IF(AND(AC1144=1,AE1144&lt;&gt;1),1,0))</f>
        <v/>
      </c>
      <c r="AH1144" s="51" t="str">
        <f aca="false">IF(AND(E1144&gt;0,AA1144&lt;1,NOT(AND(C1145=C1144,AA1145=AA1144+1))),INDEX(DATAS,AA1144+1),"")</f>
        <v/>
      </c>
      <c r="AI1144" s="51" t="str">
        <f aca="false">IF(AND(AC1144=1,AA1144&lt;1),IF(AND(C1145=C1144,AA1145=AA1144+1),IF(AC1145=1,"",INDEX(DATAS,AA1144+1)),INDEX(DATAS,AA1144+1)),"")</f>
        <v/>
      </c>
    </row>
    <row r="1145" customFormat="false" ht="15" hidden="false" customHeight="false" outlineLevel="0" collapsed="false">
      <c r="A1145" s="51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46" t="s">
        <v>823</v>
      </c>
      <c r="G1145" s="0" t="n">
        <v>44.6</v>
      </c>
      <c r="H1145" s="0" t="n">
        <v>43</v>
      </c>
      <c r="I1145" s="46" t="s">
        <v>152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51" t="n">
        <v>46107</v>
      </c>
      <c r="X1145" s="46" t="n">
        <f aca="false">IF(I1145="Male",0,1)</f>
        <v>1</v>
      </c>
      <c r="Y1145" s="46" t="n">
        <f aca="false">IF(OR(I1145="DNB",I1145="Dry DNB"),1,0)</f>
        <v>0</v>
      </c>
      <c r="Z1145" s="46" t="n">
        <f aca="false">IF(ISNUMBER(W1145),A1145-W1145,"")</f>
        <v>202</v>
      </c>
      <c r="AA1145" s="46" t="n">
        <f aca="false">MATCH(A1145,DATAS,0)</f>
        <v>1</v>
      </c>
      <c r="AB1145" s="46" t="n">
        <f aca="false">IF(AND(E1145&gt;0,OR(AND(B1145&gt;=1,B1145&lt;=6),B1145=10)),1,0)</f>
        <v>1</v>
      </c>
      <c r="AC1145" s="46" t="n">
        <f aca="false">IF(AND(E1145&gt;0,B1145=10),1,0)</f>
        <v>0</v>
      </c>
      <c r="AD1145" s="0" t="str">
        <f aca="false">IF(AND(C1144=C1145,AA1144=AA1145-1),AB1144,"")</f>
        <v/>
      </c>
      <c r="AE1145" s="0" t="str">
        <f aca="false">IF(AND(C1144=C1145,AA1144=AA1145-1),AC1144,"")</f>
        <v/>
      </c>
      <c r="AF1145" s="0" t="str">
        <f aca="false">IF(AA1145=1,"",IF(AND(AB1145=1,AD1145&lt;&gt;1),1,0))</f>
        <v/>
      </c>
      <c r="AG1145" s="0" t="str">
        <f aca="false">IF(AA1145=1,"",IF(AND(AC1145=1,AE1145&lt;&gt;1),1,0))</f>
        <v/>
      </c>
      <c r="AH1145" s="51" t="str">
        <f aca="false">IF(AND(E1145&gt;0,AA1145&lt;1,NOT(AND(C1146=C1145,AA1146=AA1145+1))),INDEX(DATAS,AA1145+1),"")</f>
        <v/>
      </c>
      <c r="AI1145" s="51" t="str">
        <f aca="false">IF(AND(AC1145=1,AA1145&lt;1),IF(AND(C1146=C1145,AA1146=AA1145+1),IF(AC1146=1,"",INDEX(DATAS,AA1145+1)),INDEX(DATAS,AA1145+1)),"")</f>
        <v/>
      </c>
    </row>
    <row r="1146" customFormat="false" ht="15" hidden="false" customHeight="false" outlineLevel="0" collapsed="false">
      <c r="A1146" s="51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46" t="s">
        <v>824</v>
      </c>
      <c r="G1146" s="0" t="n">
        <v>33.7</v>
      </c>
      <c r="H1146" s="0" t="n">
        <v>29</v>
      </c>
      <c r="I1146" s="46" t="s">
        <v>181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51" t="n">
        <v>46282</v>
      </c>
      <c r="X1146" s="46" t="n">
        <f aca="false">IF(I1146="Male",0,1)</f>
        <v>1</v>
      </c>
      <c r="Y1146" s="46" t="n">
        <f aca="false">IF(OR(I1146="DNB",I1146="Dry DNB"),1,0)</f>
        <v>0</v>
      </c>
      <c r="Z1146" s="46" t="n">
        <f aca="false">IF(ISNUMBER(W1146),A1146-W1146,"")</f>
        <v>27</v>
      </c>
      <c r="AA1146" s="46" t="n">
        <f aca="false">MATCH(A1146,DATAS,0)</f>
        <v>1</v>
      </c>
      <c r="AB1146" s="46" t="n">
        <f aca="false">IF(AND(E1146&gt;0,OR(AND(B1146&gt;=1,B1146&lt;=6),B1146=10)),1,0)</f>
        <v>1</v>
      </c>
      <c r="AC1146" s="46" t="n">
        <f aca="false">IF(AND(E1146&gt;0,B1146=10),1,0)</f>
        <v>0</v>
      </c>
      <c r="AD1146" s="0" t="str">
        <f aca="false">IF(AND(C1145=C1146,AA1145=AA1146-1),AB1145,"")</f>
        <v/>
      </c>
      <c r="AE1146" s="0" t="str">
        <f aca="false">IF(AND(C1145=C1146,AA1145=AA1146-1),AC1145,"")</f>
        <v/>
      </c>
      <c r="AF1146" s="0" t="str">
        <f aca="false">IF(AA1146=1,"",IF(AND(AB1146=1,AD1146&lt;&gt;1),1,0))</f>
        <v/>
      </c>
      <c r="AG1146" s="0" t="str">
        <f aca="false">IF(AA1146=1,"",IF(AND(AC1146=1,AE1146&lt;&gt;1),1,0))</f>
        <v/>
      </c>
      <c r="AH1146" s="51" t="str">
        <f aca="false">IF(AND(E1146&gt;0,AA1146&lt;1,NOT(AND(C1147=C1146,AA1147=AA1146+1))),INDEX(DATAS,AA1146+1),"")</f>
        <v/>
      </c>
      <c r="AI1146" s="51" t="str">
        <f aca="false">IF(AND(AC1146=1,AA1146&lt;1),IF(AND(C1147=C1146,AA1147=AA1146+1),IF(AC1147=1,"",INDEX(DATAS,AA1146+1)),INDEX(DATAS,AA1146+1)),"")</f>
        <v/>
      </c>
    </row>
    <row r="1147" customFormat="false" ht="15" hidden="false" customHeight="false" outlineLevel="0" collapsed="false">
      <c r="A1147" s="51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46" t="s">
        <v>825</v>
      </c>
      <c r="I1147" s="46" t="s">
        <v>157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51" t="n">
        <v>46059</v>
      </c>
      <c r="X1147" s="46" t="n">
        <f aca="false">IF(I1147="Male",0,1)</f>
        <v>1</v>
      </c>
      <c r="Y1147" s="46" t="n">
        <f aca="false">IF(OR(I1147="DNB",I1147="Dry DNB"),1,0)</f>
        <v>0</v>
      </c>
      <c r="Z1147" s="46" t="n">
        <f aca="false">IF(ISNUMBER(W1147),A1147-W1147,"")</f>
        <v>250</v>
      </c>
      <c r="AA1147" s="46" t="n">
        <f aca="false">MATCH(A1147,DATAS,0)</f>
        <v>1</v>
      </c>
      <c r="AB1147" s="46" t="n">
        <f aca="false">IF(AND(E1147&gt;0,OR(AND(B1147&gt;=1,B1147&lt;=6),B1147=10)),1,0)</f>
        <v>0</v>
      </c>
      <c r="AC1147" s="46" t="n">
        <f aca="false">IF(AND(E1147&gt;0,B1147=10),1,0)</f>
        <v>0</v>
      </c>
      <c r="AD1147" s="0" t="str">
        <f aca="false">IF(AND(C1146=C1147,AA1146=AA1147-1),AB1146,"")</f>
        <v/>
      </c>
      <c r="AE1147" s="0" t="str">
        <f aca="false">IF(AND(C1146=C1147,AA1146=AA1147-1),AC1146,"")</f>
        <v/>
      </c>
      <c r="AF1147" s="0" t="str">
        <f aca="false">IF(AA1147=1,"",IF(AND(AB1147=1,AD1147&lt;&gt;1),1,0))</f>
        <v/>
      </c>
      <c r="AG1147" s="0" t="str">
        <f aca="false">IF(AA1147=1,"",IF(AND(AC1147=1,AE1147&lt;&gt;1),1,0))</f>
        <v/>
      </c>
      <c r="AH1147" s="51" t="str">
        <f aca="false">IF(AND(E1147&gt;0,AA1147&lt;1,NOT(AND(C1148=C1147,AA1148=AA1147+1))),INDEX(DATAS,AA1147+1),"")</f>
        <v/>
      </c>
      <c r="AI1147" s="51" t="str">
        <f aca="false">IF(AND(AC1147=1,AA1147&lt;1),IF(AND(C1148=C1147,AA1148=AA1147+1),IF(AC1148=1,"",INDEX(DATAS,AA1147+1)),INDEX(DATAS,AA1147+1)),"")</f>
        <v/>
      </c>
    </row>
    <row r="1148" customFormat="false" ht="15" hidden="false" customHeight="false" outlineLevel="0" collapsed="false">
      <c r="A1148" s="51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46" t="s">
        <v>825</v>
      </c>
      <c r="I1148" s="46" t="s">
        <v>157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X1148" s="46" t="n">
        <f aca="false">IF(I1148="Male",0,1)</f>
        <v>1</v>
      </c>
      <c r="Y1148" s="46" t="n">
        <f aca="false">IF(OR(I1148="DNB",I1148="Dry DNB"),1,0)</f>
        <v>0</v>
      </c>
      <c r="Z1148" s="0" t="str">
        <f aca="false">IF(ISNUMBER(W1148),A1148-W1148,"")</f>
        <v/>
      </c>
      <c r="AA1148" s="46" t="n">
        <f aca="false">MATCH(A1148,DATAS,0)</f>
        <v>1</v>
      </c>
      <c r="AB1148" s="46" t="n">
        <f aca="false">IF(AND(E1148&gt;0,OR(AND(B1148&gt;=1,B1148&lt;=6),B1148=10)),1,0)</f>
        <v>0</v>
      </c>
      <c r="AC1148" s="46" t="n">
        <f aca="false">IF(AND(E1148&gt;0,B1148=10),1,0)</f>
        <v>0</v>
      </c>
      <c r="AD1148" s="0" t="str">
        <f aca="false">IF(AND(C1147=C1148,AA1147=AA1148-1),AB1147,"")</f>
        <v/>
      </c>
      <c r="AE1148" s="0" t="str">
        <f aca="false">IF(AND(C1147=C1148,AA1147=AA1148-1),AC1147,"")</f>
        <v/>
      </c>
      <c r="AF1148" s="0" t="str">
        <f aca="false">IF(AA1148=1,"",IF(AND(AB1148=1,AD1148&lt;&gt;1),1,0))</f>
        <v/>
      </c>
      <c r="AG1148" s="0" t="str">
        <f aca="false">IF(AA1148=1,"",IF(AND(AC1148=1,AE1148&lt;&gt;1),1,0))</f>
        <v/>
      </c>
      <c r="AH1148" s="51" t="str">
        <f aca="false">IF(AND(E1148&gt;0,AA1148&lt;1,NOT(AND(C1149=C1148,AA1149=AA1148+1))),INDEX(DATAS,AA1148+1),"")</f>
        <v/>
      </c>
      <c r="AI1148" s="51" t="str">
        <f aca="false">IF(AND(AC1148=1,AA1148&lt;1),IF(AND(C1149=C1148,AA1149=AA1148+1),IF(AC1149=1,"",INDEX(DATAS,AA1148+1)),INDEX(DATAS,AA1148+1)),"")</f>
        <v/>
      </c>
    </row>
    <row r="1149" customFormat="false" ht="15" hidden="false" customHeight="false" outlineLevel="0" collapsed="false">
      <c r="A1149" s="51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46" t="s">
        <v>825</v>
      </c>
      <c r="G1149" s="0" t="n">
        <v>39.5</v>
      </c>
      <c r="H1149" s="0" t="n">
        <v>41</v>
      </c>
      <c r="I1149" s="46" t="s">
        <v>152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51" t="n">
        <v>46233</v>
      </c>
      <c r="X1149" s="46" t="n">
        <f aca="false">IF(I1149="Male",0,1)</f>
        <v>1</v>
      </c>
      <c r="Y1149" s="46" t="n">
        <f aca="false">IF(OR(I1149="DNB",I1149="Dry DNB"),1,0)</f>
        <v>0</v>
      </c>
      <c r="Z1149" s="46" t="n">
        <f aca="false">IF(ISNUMBER(W1149),A1149-W1149,"")</f>
        <v>76</v>
      </c>
      <c r="AA1149" s="46" t="n">
        <f aca="false">MATCH(A1149,DATAS,0)</f>
        <v>1</v>
      </c>
      <c r="AB1149" s="46" t="n">
        <f aca="false">IF(AND(E1149&gt;0,OR(AND(B1149&gt;=1,B1149&lt;=6),B1149=10)),1,0)</f>
        <v>1</v>
      </c>
      <c r="AC1149" s="46" t="n">
        <f aca="false">IF(AND(E1149&gt;0,B1149=10),1,0)</f>
        <v>0</v>
      </c>
      <c r="AD1149" s="0" t="str">
        <f aca="false">IF(AND(C1148=C1149,AA1148=AA1149-1),AB1148,"")</f>
        <v/>
      </c>
      <c r="AE1149" s="0" t="str">
        <f aca="false">IF(AND(C1148=C1149,AA1148=AA1149-1),AC1148,"")</f>
        <v/>
      </c>
      <c r="AF1149" s="0" t="str">
        <f aca="false">IF(AA1149=1,"",IF(AND(AB1149=1,AD1149&lt;&gt;1),1,0))</f>
        <v/>
      </c>
      <c r="AG1149" s="0" t="str">
        <f aca="false">IF(AA1149=1,"",IF(AND(AC1149=1,AE1149&lt;&gt;1),1,0))</f>
        <v/>
      </c>
      <c r="AH1149" s="51" t="str">
        <f aca="false">IF(AND(E1149&gt;0,AA1149&lt;1,NOT(AND(C1150=C1149,AA1150=AA1149+1))),INDEX(DATAS,AA1149+1),"")</f>
        <v/>
      </c>
      <c r="AI1149" s="51" t="str">
        <f aca="false">IF(AND(AC1149=1,AA1149&lt;1),IF(AND(C1150=C1149,AA1150=AA1149+1),IF(AC1150=1,"",INDEX(DATAS,AA1149+1)),INDEX(DATAS,AA1149+1)),"")</f>
        <v/>
      </c>
    </row>
    <row r="1150" customFormat="false" ht="15" hidden="false" customHeight="false" outlineLevel="0" collapsed="false">
      <c r="A1150" s="51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46" t="s">
        <v>825</v>
      </c>
      <c r="G1150" s="0" t="n">
        <v>41.3</v>
      </c>
      <c r="H1150" s="0" t="n">
        <v>44</v>
      </c>
      <c r="I1150" s="46" t="s">
        <v>152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51" t="n">
        <v>46132</v>
      </c>
      <c r="X1150" s="46" t="n">
        <f aca="false">IF(I1150="Male",0,1)</f>
        <v>1</v>
      </c>
      <c r="Y1150" s="46" t="n">
        <f aca="false">IF(OR(I1150="DNB",I1150="Dry DNB"),1,0)</f>
        <v>0</v>
      </c>
      <c r="Z1150" s="46" t="n">
        <f aca="false">IF(ISNUMBER(W1150),A1150-W1150,"")</f>
        <v>177</v>
      </c>
      <c r="AA1150" s="46" t="n">
        <f aca="false">MATCH(A1150,DATAS,0)</f>
        <v>1</v>
      </c>
      <c r="AB1150" s="46" t="n">
        <f aca="false">IF(AND(E1150&gt;0,OR(AND(B1150&gt;=1,B1150&lt;=6),B1150=10)),1,0)</f>
        <v>1</v>
      </c>
      <c r="AC1150" s="46" t="n">
        <f aca="false">IF(AND(E1150&gt;0,B1150=10),1,0)</f>
        <v>0</v>
      </c>
      <c r="AD1150" s="0" t="str">
        <f aca="false">IF(AND(C1149=C1150,AA1149=AA1150-1),AB1149,"")</f>
        <v/>
      </c>
      <c r="AE1150" s="0" t="str">
        <f aca="false">IF(AND(C1149=C1150,AA1149=AA1150-1),AC1149,"")</f>
        <v/>
      </c>
      <c r="AF1150" s="0" t="str">
        <f aca="false">IF(AA1150=1,"",IF(AND(AB1150=1,AD1150&lt;&gt;1),1,0))</f>
        <v/>
      </c>
      <c r="AG1150" s="0" t="str">
        <f aca="false">IF(AA1150=1,"",IF(AND(AC1150=1,AE1150&lt;&gt;1),1,0))</f>
        <v/>
      </c>
      <c r="AH1150" s="51" t="str">
        <f aca="false">IF(AND(E1150&gt;0,AA1150&lt;1,NOT(AND(C1151=C1150,AA1151=AA1150+1))),INDEX(DATAS,AA1150+1),"")</f>
        <v/>
      </c>
      <c r="AI1150" s="51" t="str">
        <f aca="false">IF(AND(AC1150=1,AA1150&lt;1),IF(AND(C1151=C1150,AA1151=AA1150+1),IF(AC1151=1,"",INDEX(DATAS,AA1150+1)),INDEX(DATAS,AA1150+1)),"")</f>
        <v/>
      </c>
    </row>
    <row r="1151" customFormat="false" ht="15" hidden="false" customHeight="false" outlineLevel="0" collapsed="false">
      <c r="A1151" s="51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46" t="s">
        <v>826</v>
      </c>
      <c r="G1151" s="0" t="n">
        <v>42.8</v>
      </c>
      <c r="H1151" s="0" t="n">
        <v>38</v>
      </c>
      <c r="I1151" s="46" t="s">
        <v>181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51" t="n">
        <v>46303</v>
      </c>
      <c r="X1151" s="46" t="n">
        <f aca="false">IF(I1151="Male",0,1)</f>
        <v>1</v>
      </c>
      <c r="Y1151" s="46" t="n">
        <f aca="false">IF(OR(I1151="DNB",I1151="Dry DNB"),1,0)</f>
        <v>0</v>
      </c>
      <c r="Z1151" s="46" t="n">
        <f aca="false">IF(ISNUMBER(W1151),A1151-W1151,"")</f>
        <v>6</v>
      </c>
      <c r="AA1151" s="46" t="n">
        <f aca="false">MATCH(A1151,DATAS,0)</f>
        <v>1</v>
      </c>
      <c r="AB1151" s="46" t="n">
        <f aca="false">IF(AND(E1151&gt;0,OR(AND(B1151&gt;=1,B1151&lt;=6),B1151=10)),1,0)</f>
        <v>1</v>
      </c>
      <c r="AC1151" s="46" t="n">
        <f aca="false">IF(AND(E1151&gt;0,B1151=10),1,0)</f>
        <v>0</v>
      </c>
      <c r="AD1151" s="0" t="str">
        <f aca="false">IF(AND(C1150=C1151,AA1150=AA1151-1),AB1150,"")</f>
        <v/>
      </c>
      <c r="AE1151" s="0" t="str">
        <f aca="false">IF(AND(C1150=C1151,AA1150=AA1151-1),AC1150,"")</f>
        <v/>
      </c>
      <c r="AF1151" s="0" t="str">
        <f aca="false">IF(AA1151=1,"",IF(AND(AB1151=1,AD1151&lt;&gt;1),1,0))</f>
        <v/>
      </c>
      <c r="AG1151" s="0" t="str">
        <f aca="false">IF(AA1151=1,"",IF(AND(AC1151=1,AE1151&lt;&gt;1),1,0))</f>
        <v/>
      </c>
      <c r="AH1151" s="51" t="str">
        <f aca="false">IF(AND(E1151&gt;0,AA1151&lt;1,NOT(AND(C1152=C1151,AA1152=AA1151+1))),INDEX(DATAS,AA1151+1),"")</f>
        <v/>
      </c>
      <c r="AI1151" s="51" t="str">
        <f aca="false">IF(AND(AC1151=1,AA1151&lt;1),IF(AND(C1152=C1151,AA1152=AA1151+1),IF(AC1152=1,"",INDEX(DATAS,AA1151+1)),INDEX(DATAS,AA1151+1)),"")</f>
        <v/>
      </c>
    </row>
    <row r="1152" customFormat="false" ht="15" hidden="false" customHeight="false" outlineLevel="0" collapsed="false">
      <c r="A1152" s="51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46" t="s">
        <v>827</v>
      </c>
      <c r="G1152" s="0" t="n">
        <v>0.6</v>
      </c>
      <c r="H1152" s="0" t="n">
        <v>0</v>
      </c>
      <c r="I1152" s="46" t="s">
        <v>157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51" t="n">
        <v>46032</v>
      </c>
      <c r="X1152" s="46" t="n">
        <f aca="false">IF(I1152="Male",0,1)</f>
        <v>1</v>
      </c>
      <c r="Y1152" s="46" t="n">
        <f aca="false">IF(OR(I1152="DNB",I1152="Dry DNB"),1,0)</f>
        <v>0</v>
      </c>
      <c r="Z1152" s="46" t="n">
        <f aca="false">IF(ISNUMBER(W1152),A1152-W1152,"")</f>
        <v>277</v>
      </c>
      <c r="AA1152" s="46" t="n">
        <f aca="false">MATCH(A1152,DATAS,0)</f>
        <v>1</v>
      </c>
      <c r="AB1152" s="46" t="n">
        <f aca="false">IF(AND(E1152&gt;0,OR(AND(B1152&gt;=1,B1152&lt;=6),B1152=10)),1,0)</f>
        <v>0</v>
      </c>
      <c r="AC1152" s="46" t="n">
        <f aca="false">IF(AND(E1152&gt;0,B1152=10),1,0)</f>
        <v>0</v>
      </c>
      <c r="AD1152" s="0" t="str">
        <f aca="false">IF(AND(C1151=C1152,AA1151=AA1152-1),AB1151,"")</f>
        <v/>
      </c>
      <c r="AE1152" s="0" t="str">
        <f aca="false">IF(AND(C1151=C1152,AA1151=AA1152-1),AC1151,"")</f>
        <v/>
      </c>
      <c r="AF1152" s="0" t="str">
        <f aca="false">IF(AA1152=1,"",IF(AND(AB1152=1,AD1152&lt;&gt;1),1,0))</f>
        <v/>
      </c>
      <c r="AG1152" s="0" t="str">
        <f aca="false">IF(AA1152=1,"",IF(AND(AC1152=1,AE1152&lt;&gt;1),1,0))</f>
        <v/>
      </c>
      <c r="AH1152" s="51" t="str">
        <f aca="false">IF(AND(E1152&gt;0,AA1152&lt;1,NOT(AND(C1153=C1152,AA1153=AA1152+1))),INDEX(DATAS,AA1152+1),"")</f>
        <v/>
      </c>
      <c r="AI1152" s="51" t="str">
        <f aca="false">IF(AND(AC1152=1,AA1152&lt;1),IF(AND(C1153=C1152,AA1153=AA1152+1),IF(AC1153=1,"",INDEX(DATAS,AA1152+1)),INDEX(DATAS,AA1152+1)),"")</f>
        <v/>
      </c>
    </row>
    <row r="1153" customFormat="false" ht="15" hidden="false" customHeight="false" outlineLevel="0" collapsed="false">
      <c r="A1153" s="51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46" t="s">
        <v>827</v>
      </c>
      <c r="G1153" s="0" t="n">
        <v>45.6</v>
      </c>
      <c r="H1153" s="0" t="n">
        <v>43</v>
      </c>
      <c r="I1153" s="46" t="s">
        <v>152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51" t="n">
        <v>46240</v>
      </c>
      <c r="X1153" s="46" t="n">
        <f aca="false">IF(I1153="Male",0,1)</f>
        <v>1</v>
      </c>
      <c r="Y1153" s="46" t="n">
        <f aca="false">IF(OR(I1153="DNB",I1153="Dry DNB"),1,0)</f>
        <v>0</v>
      </c>
      <c r="Z1153" s="46" t="n">
        <f aca="false">IF(ISNUMBER(W1153),A1153-W1153,"")</f>
        <v>69</v>
      </c>
      <c r="AA1153" s="46" t="n">
        <f aca="false">MATCH(A1153,DATAS,0)</f>
        <v>1</v>
      </c>
      <c r="AB1153" s="46" t="n">
        <f aca="false">IF(AND(E1153&gt;0,OR(AND(B1153&gt;=1,B1153&lt;=6),B1153=10)),1,0)</f>
        <v>1</v>
      </c>
      <c r="AC1153" s="46" t="n">
        <f aca="false">IF(AND(E1153&gt;0,B1153=10),1,0)</f>
        <v>0</v>
      </c>
      <c r="AD1153" s="0" t="str">
        <f aca="false">IF(AND(C1152=C1153,AA1152=AA1153-1),AB1152,"")</f>
        <v/>
      </c>
      <c r="AE1153" s="0" t="str">
        <f aca="false">IF(AND(C1152=C1153,AA1152=AA1153-1),AC1152,"")</f>
        <v/>
      </c>
      <c r="AF1153" s="0" t="str">
        <f aca="false">IF(AA1153=1,"",IF(AND(AB1153=1,AD1153&lt;&gt;1),1,0))</f>
        <v/>
      </c>
      <c r="AG1153" s="0" t="str">
        <f aca="false">IF(AA1153=1,"",IF(AND(AC1153=1,AE1153&lt;&gt;1),1,0))</f>
        <v/>
      </c>
      <c r="AH1153" s="51" t="str">
        <f aca="false">IF(AND(E1153&gt;0,AA1153&lt;1,NOT(AND(C1154=C1153,AA1154=AA1153+1))),INDEX(DATAS,AA1153+1),"")</f>
        <v/>
      </c>
      <c r="AI1153" s="51" t="str">
        <f aca="false">IF(AND(AC1153=1,AA1153&lt;1),IF(AND(C1154=C1153,AA1154=AA1153+1),IF(AC1154=1,"",INDEX(DATAS,AA1153+1)),INDEX(DATAS,AA1153+1)),"")</f>
        <v/>
      </c>
    </row>
    <row r="1154" customFormat="false" ht="15" hidden="false" customHeight="false" outlineLevel="0" collapsed="false">
      <c r="A1154" s="51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46" t="s">
        <v>827</v>
      </c>
      <c r="G1154" s="0" t="n">
        <v>57.3</v>
      </c>
      <c r="H1154" s="0" t="n">
        <v>56</v>
      </c>
      <c r="I1154" s="46" t="s">
        <v>152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51" t="n">
        <v>46184</v>
      </c>
      <c r="X1154" s="46" t="n">
        <f aca="false">IF(I1154="Male",0,1)</f>
        <v>1</v>
      </c>
      <c r="Y1154" s="46" t="n">
        <f aca="false">IF(OR(I1154="DNB",I1154="Dry DNB"),1,0)</f>
        <v>0</v>
      </c>
      <c r="Z1154" s="46" t="n">
        <f aca="false">IF(ISNUMBER(W1154),A1154-W1154,"")</f>
        <v>125</v>
      </c>
      <c r="AA1154" s="46" t="n">
        <f aca="false">MATCH(A1154,DATAS,0)</f>
        <v>1</v>
      </c>
      <c r="AB1154" s="46" t="n">
        <f aca="false">IF(AND(E1154&gt;0,OR(AND(B1154&gt;=1,B1154&lt;=6),B1154=10)),1,0)</f>
        <v>1</v>
      </c>
      <c r="AC1154" s="46" t="n">
        <f aca="false">IF(AND(E1154&gt;0,B1154=10),1,0)</f>
        <v>0</v>
      </c>
      <c r="AD1154" s="0" t="str">
        <f aca="false">IF(AND(C1153=C1154,AA1153=AA1154-1),AB1153,"")</f>
        <v/>
      </c>
      <c r="AE1154" s="0" t="str">
        <f aca="false">IF(AND(C1153=C1154,AA1153=AA1154-1),AC1153,"")</f>
        <v/>
      </c>
      <c r="AF1154" s="0" t="str">
        <f aca="false">IF(AA1154=1,"",IF(AND(AB1154=1,AD1154&lt;&gt;1),1,0))</f>
        <v/>
      </c>
      <c r="AG1154" s="0" t="str">
        <f aca="false">IF(AA1154=1,"",IF(AND(AC1154=1,AE1154&lt;&gt;1),1,0))</f>
        <v/>
      </c>
      <c r="AH1154" s="51" t="str">
        <f aca="false">IF(AND(E1154&gt;0,AA1154&lt;1,NOT(AND(C1155=C1154,AA1155=AA1154+1))),INDEX(DATAS,AA1154+1),"")</f>
        <v/>
      </c>
      <c r="AI1154" s="51" t="str">
        <f aca="false">IF(AND(AC1154=1,AA1154&lt;1),IF(AND(C1155=C1154,AA1155=AA1154+1),IF(AC1155=1,"",INDEX(DATAS,AA1154+1)),INDEX(DATAS,AA1154+1)),"")</f>
        <v/>
      </c>
    </row>
    <row r="1155" customFormat="false" ht="15" hidden="false" customHeight="false" outlineLevel="0" collapsed="false">
      <c r="A1155" s="51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46" t="s">
        <v>828</v>
      </c>
      <c r="G1155" s="0" t="n">
        <v>31.5</v>
      </c>
      <c r="H1155" s="0" t="n">
        <v>30</v>
      </c>
      <c r="I1155" s="46" t="s">
        <v>138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51" t="n">
        <v>46107</v>
      </c>
      <c r="X1155" s="46" t="n">
        <f aca="false">IF(I1155="Male",0,1)</f>
        <v>1</v>
      </c>
      <c r="Y1155" s="46" t="n">
        <f aca="false">IF(OR(I1155="DNB",I1155="Dry DNB"),1,0)</f>
        <v>1</v>
      </c>
      <c r="Z1155" s="46" t="n">
        <f aca="false">IF(ISNUMBER(W1155),A1155-W1155,"")</f>
        <v>202</v>
      </c>
      <c r="AA1155" s="46" t="n">
        <f aca="false">MATCH(A1155,DATAS,0)</f>
        <v>1</v>
      </c>
      <c r="AB1155" s="46" t="n">
        <f aca="false">IF(AND(E1155&gt;0,OR(AND(B1155&gt;=1,B1155&lt;=6),B1155=10)),1,0)</f>
        <v>1</v>
      </c>
      <c r="AC1155" s="46" t="n">
        <f aca="false">IF(AND(E1155&gt;0,B1155=10),1,0)</f>
        <v>0</v>
      </c>
      <c r="AD1155" s="0" t="str">
        <f aca="false">IF(AND(C1154=C1155,AA1154=AA1155-1),AB1154,"")</f>
        <v/>
      </c>
      <c r="AE1155" s="0" t="str">
        <f aca="false">IF(AND(C1154=C1155,AA1154=AA1155-1),AC1154,"")</f>
        <v/>
      </c>
      <c r="AF1155" s="0" t="str">
        <f aca="false">IF(AA1155=1,"",IF(AND(AB1155=1,AD1155&lt;&gt;1),1,0))</f>
        <v/>
      </c>
      <c r="AG1155" s="0" t="str">
        <f aca="false">IF(AA1155=1,"",IF(AND(AC1155=1,AE1155&lt;&gt;1),1,0))</f>
        <v/>
      </c>
      <c r="AH1155" s="51" t="str">
        <f aca="false">IF(AND(E1155&gt;0,AA1155&lt;1,NOT(AND(C1156=C1155,AA1156=AA1155+1))),INDEX(DATAS,AA1155+1),"")</f>
        <v/>
      </c>
      <c r="AI1155" s="51" t="str">
        <f aca="false">IF(AND(AC1155=1,AA1155&lt;1),IF(AND(C1156=C1155,AA1156=AA1155+1),IF(AC1156=1,"",INDEX(DATAS,AA1155+1)),INDEX(DATAS,AA1155+1)),"")</f>
        <v/>
      </c>
    </row>
    <row r="1156" customFormat="false" ht="15" hidden="false" customHeight="false" outlineLevel="0" collapsed="false">
      <c r="A1156" s="51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46" t="s">
        <v>829</v>
      </c>
      <c r="G1156" s="0" t="n">
        <v>54.2</v>
      </c>
      <c r="H1156" s="0" t="n">
        <v>49</v>
      </c>
      <c r="I1156" s="46" t="s">
        <v>181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51" t="n">
        <v>46303</v>
      </c>
      <c r="X1156" s="46" t="n">
        <f aca="false">IF(I1156="Male",0,1)</f>
        <v>1</v>
      </c>
      <c r="Y1156" s="46" t="n">
        <f aca="false">IF(OR(I1156="DNB",I1156="Dry DNB"),1,0)</f>
        <v>0</v>
      </c>
      <c r="Z1156" s="46" t="n">
        <f aca="false">IF(ISNUMBER(W1156),A1156-W1156,"")</f>
        <v>6</v>
      </c>
      <c r="AA1156" s="46" t="n">
        <f aca="false">MATCH(A1156,DATAS,0)</f>
        <v>1</v>
      </c>
      <c r="AB1156" s="46" t="n">
        <f aca="false">IF(AND(E1156&gt;0,OR(AND(B1156&gt;=1,B1156&lt;=6),B1156=10)),1,0)</f>
        <v>1</v>
      </c>
      <c r="AC1156" s="46" t="n">
        <f aca="false">IF(AND(E1156&gt;0,B1156=10),1,0)</f>
        <v>0</v>
      </c>
      <c r="AD1156" s="0" t="str">
        <f aca="false">IF(AND(C1155=C1156,AA1155=AA1156-1),AB1155,"")</f>
        <v/>
      </c>
      <c r="AE1156" s="0" t="str">
        <f aca="false">IF(AND(C1155=C1156,AA1155=AA1156-1),AC1155,"")</f>
        <v/>
      </c>
      <c r="AF1156" s="0" t="str">
        <f aca="false">IF(AA1156=1,"",IF(AND(AB1156=1,AD1156&lt;&gt;1),1,0))</f>
        <v/>
      </c>
      <c r="AG1156" s="0" t="str">
        <f aca="false">IF(AA1156=1,"",IF(AND(AC1156=1,AE1156&lt;&gt;1),1,0))</f>
        <v/>
      </c>
      <c r="AH1156" s="51" t="str">
        <f aca="false">IF(AND(E1156&gt;0,AA1156&lt;1,NOT(AND(C1157=C1156,AA1157=AA1156+1))),INDEX(DATAS,AA1156+1),"")</f>
        <v/>
      </c>
      <c r="AI1156" s="51" t="str">
        <f aca="false">IF(AND(AC1156=1,AA1156&lt;1),IF(AND(C1157=C1156,AA1157=AA1156+1),IF(AC1157=1,"",INDEX(DATAS,AA1156+1)),INDEX(DATAS,AA1156+1)),"")</f>
        <v/>
      </c>
    </row>
    <row r="1157" customFormat="false" ht="15" hidden="false" customHeight="false" outlineLevel="0" collapsed="false">
      <c r="A1157" s="51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46" t="s">
        <v>830</v>
      </c>
      <c r="I1157" s="46" t="s">
        <v>157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51" t="n">
        <v>46058</v>
      </c>
      <c r="X1157" s="46" t="n">
        <f aca="false">IF(I1157="Male",0,1)</f>
        <v>1</v>
      </c>
      <c r="Y1157" s="46" t="n">
        <f aca="false">IF(OR(I1157="DNB",I1157="Dry DNB"),1,0)</f>
        <v>0</v>
      </c>
      <c r="Z1157" s="46" t="n">
        <f aca="false">IF(ISNUMBER(W1157),A1157-W1157,"")</f>
        <v>251</v>
      </c>
      <c r="AA1157" s="46" t="n">
        <f aca="false">MATCH(A1157,DATAS,0)</f>
        <v>1</v>
      </c>
      <c r="AB1157" s="46" t="n">
        <f aca="false">IF(AND(E1157&gt;0,OR(AND(B1157&gt;=1,B1157&lt;=6),B1157=10)),1,0)</f>
        <v>0</v>
      </c>
      <c r="AC1157" s="46" t="n">
        <f aca="false">IF(AND(E1157&gt;0,B1157=10),1,0)</f>
        <v>0</v>
      </c>
      <c r="AD1157" s="0" t="str">
        <f aca="false">IF(AND(C1156=C1157,AA1156=AA1157-1),AB1156,"")</f>
        <v/>
      </c>
      <c r="AE1157" s="0" t="str">
        <f aca="false">IF(AND(C1156=C1157,AA1156=AA1157-1),AC1156,"")</f>
        <v/>
      </c>
      <c r="AF1157" s="0" t="str">
        <f aca="false">IF(AA1157=1,"",IF(AND(AB1157=1,AD1157&lt;&gt;1),1,0))</f>
        <v/>
      </c>
      <c r="AG1157" s="0" t="str">
        <f aca="false">IF(AA1157=1,"",IF(AND(AC1157=1,AE1157&lt;&gt;1),1,0))</f>
        <v/>
      </c>
      <c r="AH1157" s="51" t="str">
        <f aca="false">IF(AND(E1157&gt;0,AA1157&lt;1,NOT(AND(C1158=C1157,AA1158=AA1157+1))),INDEX(DATAS,AA1157+1),"")</f>
        <v/>
      </c>
      <c r="AI1157" s="51" t="str">
        <f aca="false">IF(AND(AC1157=1,AA1157&lt;1),IF(AND(C1158=C1157,AA1158=AA1157+1),IF(AC1158=1,"",INDEX(DATAS,AA1157+1)),INDEX(DATAS,AA1157+1)),"")</f>
        <v/>
      </c>
    </row>
    <row r="1158" customFormat="false" ht="15" hidden="false" customHeight="false" outlineLevel="0" collapsed="false">
      <c r="A1158" s="51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46" t="s">
        <v>830</v>
      </c>
      <c r="G1158" s="0" t="n">
        <v>4.1</v>
      </c>
      <c r="H1158" s="0" t="n">
        <v>14</v>
      </c>
      <c r="I1158" s="46" t="s">
        <v>161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X1158" s="46" t="n">
        <f aca="false">IF(I1158="Male",0,1)</f>
        <v>1</v>
      </c>
      <c r="Y1158" s="46" t="n">
        <f aca="false">IF(OR(I1158="DNB",I1158="Dry DNB"),1,0)</f>
        <v>0</v>
      </c>
      <c r="Z1158" s="0" t="str">
        <f aca="false">IF(ISNUMBER(W1158),A1158-W1158,"")</f>
        <v/>
      </c>
      <c r="AA1158" s="46" t="n">
        <f aca="false">MATCH(A1158,DATAS,0)</f>
        <v>1</v>
      </c>
      <c r="AB1158" s="46" t="n">
        <f aca="false">IF(AND(E1158&gt;0,OR(AND(B1158&gt;=1,B1158&lt;=6),B1158=10)),1,0)</f>
        <v>1</v>
      </c>
      <c r="AC1158" s="46" t="n">
        <f aca="false">IF(AND(E1158&gt;0,B1158=10),1,0)</f>
        <v>0</v>
      </c>
      <c r="AD1158" s="0" t="str">
        <f aca="false">IF(AND(C1157=C1158,AA1157=AA1158-1),AB1157,"")</f>
        <v/>
      </c>
      <c r="AE1158" s="0" t="str">
        <f aca="false">IF(AND(C1157=C1158,AA1157=AA1158-1),AC1157,"")</f>
        <v/>
      </c>
      <c r="AF1158" s="0" t="str">
        <f aca="false">IF(AA1158=1,"",IF(AND(AB1158=1,AD1158&lt;&gt;1),1,0))</f>
        <v/>
      </c>
      <c r="AG1158" s="0" t="str">
        <f aca="false">IF(AA1158=1,"",IF(AND(AC1158=1,AE1158&lt;&gt;1),1,0))</f>
        <v/>
      </c>
      <c r="AH1158" s="51" t="str">
        <f aca="false">IF(AND(E1158&gt;0,AA1158&lt;1,NOT(AND(C1159=C1158,AA1159=AA1158+1))),INDEX(DATAS,AA1158+1),"")</f>
        <v/>
      </c>
      <c r="AI1158" s="51" t="str">
        <f aca="false">IF(AND(AC1158=1,AA1158&lt;1),IF(AND(C1159=C1158,AA1159=AA1158+1),IF(AC1159=1,"",INDEX(DATAS,AA1158+1)),INDEX(DATAS,AA1158+1)),"")</f>
        <v/>
      </c>
    </row>
    <row r="1159" customFormat="false" ht="15" hidden="false" customHeight="false" outlineLevel="0" collapsed="false">
      <c r="A1159" s="51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46" t="s">
        <v>830</v>
      </c>
      <c r="G1159" s="0" t="n">
        <v>48.1</v>
      </c>
      <c r="H1159" s="0" t="n">
        <v>52</v>
      </c>
      <c r="I1159" s="46" t="s">
        <v>152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51" t="n">
        <v>46185</v>
      </c>
      <c r="X1159" s="46" t="n">
        <f aca="false">IF(I1159="Male",0,1)</f>
        <v>1</v>
      </c>
      <c r="Y1159" s="46" t="n">
        <f aca="false">IF(OR(I1159="DNB",I1159="Dry DNB"),1,0)</f>
        <v>0</v>
      </c>
      <c r="Z1159" s="46" t="n">
        <f aca="false">IF(ISNUMBER(W1159),A1159-W1159,"")</f>
        <v>124</v>
      </c>
      <c r="AA1159" s="46" t="n">
        <f aca="false">MATCH(A1159,DATAS,0)</f>
        <v>1</v>
      </c>
      <c r="AB1159" s="46" t="n">
        <f aca="false">IF(AND(E1159&gt;0,OR(AND(B1159&gt;=1,B1159&lt;=6),B1159=10)),1,0)</f>
        <v>1</v>
      </c>
      <c r="AC1159" s="46" t="n">
        <f aca="false">IF(AND(E1159&gt;0,B1159=10),1,0)</f>
        <v>0</v>
      </c>
      <c r="AD1159" s="0" t="str">
        <f aca="false">IF(AND(C1158=C1159,AA1158=AA1159-1),AB1158,"")</f>
        <v/>
      </c>
      <c r="AE1159" s="0" t="str">
        <f aca="false">IF(AND(C1158=C1159,AA1158=AA1159-1),AC1158,"")</f>
        <v/>
      </c>
      <c r="AF1159" s="0" t="str">
        <f aca="false">IF(AA1159=1,"",IF(AND(AB1159=1,AD1159&lt;&gt;1),1,0))</f>
        <v/>
      </c>
      <c r="AG1159" s="0" t="str">
        <f aca="false">IF(AA1159=1,"",IF(AND(AC1159=1,AE1159&lt;&gt;1),1,0))</f>
        <v/>
      </c>
      <c r="AH1159" s="51" t="str">
        <f aca="false">IF(AND(E1159&gt;0,AA1159&lt;1,NOT(AND(C1160=C1159,AA1160=AA1159+1))),INDEX(DATAS,AA1159+1),"")</f>
        <v/>
      </c>
      <c r="AI1159" s="51" t="str">
        <f aca="false">IF(AND(AC1159=1,AA1159&lt;1),IF(AND(C1160=C1159,AA1160=AA1159+1),IF(AC1160=1,"",INDEX(DATAS,AA1159+1)),INDEX(DATAS,AA1159+1)),"")</f>
        <v/>
      </c>
    </row>
    <row r="1160" customFormat="false" ht="15" hidden="false" customHeight="false" outlineLevel="0" collapsed="false">
      <c r="A1160" s="51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46" t="s">
        <v>831</v>
      </c>
      <c r="G1160" s="0" t="n">
        <v>57.8</v>
      </c>
      <c r="H1160" s="0" t="n">
        <v>59</v>
      </c>
      <c r="I1160" s="46" t="s">
        <v>161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X1160" s="46" t="n">
        <f aca="false">IF(I1160="Male",0,1)</f>
        <v>1</v>
      </c>
      <c r="Y1160" s="46" t="n">
        <f aca="false">IF(OR(I1160="DNB",I1160="Dry DNB"),1,0)</f>
        <v>0</v>
      </c>
      <c r="Z1160" s="0" t="str">
        <f aca="false">IF(ISNUMBER(W1160),A1160-W1160,"")</f>
        <v/>
      </c>
      <c r="AA1160" s="46" t="n">
        <f aca="false">MATCH(A1160,DATAS,0)</f>
        <v>1</v>
      </c>
      <c r="AB1160" s="46" t="n">
        <f aca="false">IF(AND(E1160&gt;0,OR(AND(B1160&gt;=1,B1160&lt;=6),B1160=10)),1,0)</f>
        <v>1</v>
      </c>
      <c r="AC1160" s="46" t="n">
        <f aca="false">IF(AND(E1160&gt;0,B1160=10),1,0)</f>
        <v>0</v>
      </c>
      <c r="AD1160" s="0" t="str">
        <f aca="false">IF(AND(C1159=C1160,AA1159=AA1160-1),AB1159,"")</f>
        <v/>
      </c>
      <c r="AE1160" s="0" t="str">
        <f aca="false">IF(AND(C1159=C1160,AA1159=AA1160-1),AC1159,"")</f>
        <v/>
      </c>
      <c r="AF1160" s="0" t="str">
        <f aca="false">IF(AA1160=1,"",IF(AND(AB1160=1,AD1160&lt;&gt;1),1,0))</f>
        <v/>
      </c>
      <c r="AG1160" s="0" t="str">
        <f aca="false">IF(AA1160=1,"",IF(AND(AC1160=1,AE1160&lt;&gt;1),1,0))</f>
        <v/>
      </c>
      <c r="AH1160" s="51" t="str">
        <f aca="false">IF(AND(E1160&gt;0,AA1160&lt;1,NOT(AND(C1161=C1160,AA1161=AA1160+1))),INDEX(DATAS,AA1160+1),"")</f>
        <v/>
      </c>
      <c r="AI1160" s="51" t="str">
        <f aca="false">IF(AND(AC1160=1,AA1160&lt;1),IF(AND(C1161=C1160,AA1161=AA1160+1),IF(AC1161=1,"",INDEX(DATAS,AA1160+1)),INDEX(DATAS,AA1160+1)),"")</f>
        <v/>
      </c>
    </row>
    <row r="1161" customFormat="false" ht="15" hidden="false" customHeight="false" outlineLevel="0" collapsed="false">
      <c r="A1161" s="51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46" t="s">
        <v>832</v>
      </c>
      <c r="I1161" s="46" t="s">
        <v>157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51" t="n">
        <v>46079</v>
      </c>
      <c r="X1161" s="46" t="n">
        <f aca="false">IF(I1161="Male",0,1)</f>
        <v>1</v>
      </c>
      <c r="Y1161" s="46" t="n">
        <f aca="false">IF(OR(I1161="DNB",I1161="Dry DNB"),1,0)</f>
        <v>0</v>
      </c>
      <c r="Z1161" s="46" t="n">
        <f aca="false">IF(ISNUMBER(W1161),A1161-W1161,"")</f>
        <v>230</v>
      </c>
      <c r="AA1161" s="46" t="n">
        <f aca="false">MATCH(A1161,DATAS,0)</f>
        <v>1</v>
      </c>
      <c r="AB1161" s="46" t="n">
        <f aca="false">IF(AND(E1161&gt;0,OR(AND(B1161&gt;=1,B1161&lt;=6),B1161=10)),1,0)</f>
        <v>0</v>
      </c>
      <c r="AC1161" s="46" t="n">
        <f aca="false">IF(AND(E1161&gt;0,B1161=10),1,0)</f>
        <v>0</v>
      </c>
      <c r="AD1161" s="0" t="str">
        <f aca="false">IF(AND(C1160=C1161,AA1160=AA1161-1),AB1160,"")</f>
        <v/>
      </c>
      <c r="AE1161" s="0" t="str">
        <f aca="false">IF(AND(C1160=C1161,AA1160=AA1161-1),AC1160,"")</f>
        <v/>
      </c>
      <c r="AF1161" s="0" t="str">
        <f aca="false">IF(AA1161=1,"",IF(AND(AB1161=1,AD1161&lt;&gt;1),1,0))</f>
        <v/>
      </c>
      <c r="AG1161" s="0" t="str">
        <f aca="false">IF(AA1161=1,"",IF(AND(AC1161=1,AE1161&lt;&gt;1),1,0))</f>
        <v/>
      </c>
      <c r="AH1161" s="51" t="str">
        <f aca="false">IF(AND(E1161&gt;0,AA1161&lt;1,NOT(AND(C1162=C1161,AA1162=AA1161+1))),INDEX(DATAS,AA1161+1),"")</f>
        <v/>
      </c>
      <c r="AI1161" s="51" t="str">
        <f aca="false">IF(AND(AC1161=1,AA1161&lt;1),IF(AND(C1162=C1161,AA1162=AA1161+1),IF(AC1162=1,"",INDEX(DATAS,AA1161+1)),INDEX(DATAS,AA1161+1)),"")</f>
        <v/>
      </c>
    </row>
    <row r="1162" customFormat="false" ht="15" hidden="false" customHeight="false" outlineLevel="0" collapsed="false">
      <c r="A1162" s="51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46" t="s">
        <v>832</v>
      </c>
      <c r="G1162" s="0" t="n">
        <v>54.3</v>
      </c>
      <c r="H1162" s="0" t="n">
        <v>49</v>
      </c>
      <c r="I1162" s="46" t="s">
        <v>181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51" t="n">
        <v>46296</v>
      </c>
      <c r="X1162" s="46" t="n">
        <f aca="false">IF(I1162="Male",0,1)</f>
        <v>1</v>
      </c>
      <c r="Y1162" s="46" t="n">
        <f aca="false">IF(OR(I1162="DNB",I1162="Dry DNB"),1,0)</f>
        <v>0</v>
      </c>
      <c r="Z1162" s="46" t="n">
        <f aca="false">IF(ISNUMBER(W1162),A1162-W1162,"")</f>
        <v>13</v>
      </c>
      <c r="AA1162" s="46" t="n">
        <f aca="false">MATCH(A1162,DATAS,0)</f>
        <v>1</v>
      </c>
      <c r="AB1162" s="46" t="n">
        <f aca="false">IF(AND(E1162&gt;0,OR(AND(B1162&gt;=1,B1162&lt;=6),B1162=10)),1,0)</f>
        <v>1</v>
      </c>
      <c r="AC1162" s="46" t="n">
        <f aca="false">IF(AND(E1162&gt;0,B1162=10),1,0)</f>
        <v>0</v>
      </c>
      <c r="AD1162" s="0" t="str">
        <f aca="false">IF(AND(C1161=C1162,AA1161=AA1162-1),AB1161,"")</f>
        <v/>
      </c>
      <c r="AE1162" s="0" t="str">
        <f aca="false">IF(AND(C1161=C1162,AA1161=AA1162-1),AC1161,"")</f>
        <v/>
      </c>
      <c r="AF1162" s="0" t="str">
        <f aca="false">IF(AA1162=1,"",IF(AND(AB1162=1,AD1162&lt;&gt;1),1,0))</f>
        <v/>
      </c>
      <c r="AG1162" s="0" t="str">
        <f aca="false">IF(AA1162=1,"",IF(AND(AC1162=1,AE1162&lt;&gt;1),1,0))</f>
        <v/>
      </c>
      <c r="AH1162" s="51" t="str">
        <f aca="false">IF(AND(E1162&gt;0,AA1162&lt;1,NOT(AND(C1163=C1162,AA1163=AA1162+1))),INDEX(DATAS,AA1162+1),"")</f>
        <v/>
      </c>
      <c r="AI1162" s="51" t="str">
        <f aca="false">IF(AND(AC1162=1,AA1162&lt;1),IF(AND(C1163=C1162,AA1163=AA1162+1),IF(AC1163=1,"",INDEX(DATAS,AA1162+1)),INDEX(DATAS,AA1162+1)),"")</f>
        <v/>
      </c>
    </row>
    <row r="1163" customFormat="false" ht="15" hidden="false" customHeight="false" outlineLevel="0" collapsed="false">
      <c r="A1163" s="51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46" t="s">
        <v>833</v>
      </c>
      <c r="G1163" s="0" t="n">
        <v>48.6</v>
      </c>
      <c r="H1163" s="0" t="n">
        <v>44</v>
      </c>
      <c r="I1163" s="46" t="s">
        <v>161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X1163" s="46" t="n">
        <f aca="false">IF(I1163="Male",0,1)</f>
        <v>1</v>
      </c>
      <c r="Y1163" s="46" t="n">
        <f aca="false">IF(OR(I1163="DNB",I1163="Dry DNB"),1,0)</f>
        <v>0</v>
      </c>
      <c r="Z1163" s="0" t="str">
        <f aca="false">IF(ISNUMBER(W1163),A1163-W1163,"")</f>
        <v/>
      </c>
      <c r="AA1163" s="46" t="n">
        <f aca="false">MATCH(A1163,DATAS,0)</f>
        <v>1</v>
      </c>
      <c r="AB1163" s="46" t="n">
        <f aca="false">IF(AND(E1163&gt;0,OR(AND(B1163&gt;=1,B1163&lt;=6),B1163=10)),1,0)</f>
        <v>1</v>
      </c>
      <c r="AC1163" s="46" t="n">
        <f aca="false">IF(AND(E1163&gt;0,B1163=10),1,0)</f>
        <v>0</v>
      </c>
      <c r="AD1163" s="0" t="str">
        <f aca="false">IF(AND(C1162=C1163,AA1162=AA1163-1),AB1162,"")</f>
        <v/>
      </c>
      <c r="AE1163" s="0" t="str">
        <f aca="false">IF(AND(C1162=C1163,AA1162=AA1163-1),AC1162,"")</f>
        <v/>
      </c>
      <c r="AF1163" s="0" t="str">
        <f aca="false">IF(AA1163=1,"",IF(AND(AB1163=1,AD1163&lt;&gt;1),1,0))</f>
        <v/>
      </c>
      <c r="AG1163" s="0" t="str">
        <f aca="false">IF(AA1163=1,"",IF(AND(AC1163=1,AE1163&lt;&gt;1),1,0))</f>
        <v/>
      </c>
      <c r="AH1163" s="51" t="str">
        <f aca="false">IF(AND(E1163&gt;0,AA1163&lt;1,NOT(AND(C1164=C1163,AA1164=AA1163+1))),INDEX(DATAS,AA1163+1),"")</f>
        <v/>
      </c>
      <c r="AI1163" s="51" t="str">
        <f aca="false">IF(AND(AC1163=1,AA1163&lt;1),IF(AND(C1164=C1163,AA1164=AA1163+1),IF(AC1164=1,"",INDEX(DATAS,AA1163+1)),INDEX(DATAS,AA1163+1)),"")</f>
        <v/>
      </c>
    </row>
    <row r="1164" customFormat="false" ht="15" hidden="false" customHeight="false" outlineLevel="0" collapsed="false">
      <c r="A1164" s="51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46" t="s">
        <v>833</v>
      </c>
      <c r="G1164" s="0" t="n">
        <v>9.3</v>
      </c>
      <c r="H1164" s="0" t="n">
        <v>31</v>
      </c>
      <c r="I1164" s="46" t="s">
        <v>157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51" t="n">
        <v>46086</v>
      </c>
      <c r="X1164" s="46" t="n">
        <f aca="false">IF(I1164="Male",0,1)</f>
        <v>1</v>
      </c>
      <c r="Y1164" s="46" t="n">
        <f aca="false">IF(OR(I1164="DNB",I1164="Dry DNB"),1,0)</f>
        <v>0</v>
      </c>
      <c r="Z1164" s="46" t="n">
        <f aca="false">IF(ISNUMBER(W1164),A1164-W1164,"")</f>
        <v>223</v>
      </c>
      <c r="AA1164" s="46" t="n">
        <f aca="false">MATCH(A1164,DATAS,0)</f>
        <v>1</v>
      </c>
      <c r="AB1164" s="46" t="n">
        <f aca="false">IF(AND(E1164&gt;0,OR(AND(B1164&gt;=1,B1164&lt;=6),B1164=10)),1,0)</f>
        <v>0</v>
      </c>
      <c r="AC1164" s="46" t="n">
        <f aca="false">IF(AND(E1164&gt;0,B1164=10),1,0)</f>
        <v>0</v>
      </c>
      <c r="AD1164" s="0" t="str">
        <f aca="false">IF(AND(C1163=C1164,AA1163=AA1164-1),AB1163,"")</f>
        <v/>
      </c>
      <c r="AE1164" s="0" t="str">
        <f aca="false">IF(AND(C1163=C1164,AA1163=AA1164-1),AC1163,"")</f>
        <v/>
      </c>
      <c r="AF1164" s="0" t="str">
        <f aca="false">IF(AA1164=1,"",IF(AND(AB1164=1,AD1164&lt;&gt;1),1,0))</f>
        <v/>
      </c>
      <c r="AG1164" s="0" t="str">
        <f aca="false">IF(AA1164=1,"",IF(AND(AC1164=1,AE1164&lt;&gt;1),1,0))</f>
        <v/>
      </c>
      <c r="AH1164" s="51" t="str">
        <f aca="false">IF(AND(E1164&gt;0,AA1164&lt;1,NOT(AND(C1165=C1164,AA1165=AA1164+1))),INDEX(DATAS,AA1164+1),"")</f>
        <v/>
      </c>
      <c r="AI1164" s="51" t="str">
        <f aca="false">IF(AND(AC1164=1,AA1164&lt;1),IF(AND(C1165=C1164,AA1165=AA1164+1),IF(AC1165=1,"",INDEX(DATAS,AA1164+1)),INDEX(DATAS,AA1164+1)),"")</f>
        <v/>
      </c>
    </row>
    <row r="1165" customFormat="false" ht="15" hidden="false" customHeight="false" outlineLevel="0" collapsed="false">
      <c r="A1165" s="51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46" t="s">
        <v>833</v>
      </c>
      <c r="G1165" s="0" t="n">
        <v>34</v>
      </c>
      <c r="H1165" s="0" t="n">
        <v>36</v>
      </c>
      <c r="I1165" s="46" t="s">
        <v>157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51" t="n">
        <v>46084</v>
      </c>
      <c r="X1165" s="46" t="n">
        <f aca="false">IF(I1165="Male",0,1)</f>
        <v>1</v>
      </c>
      <c r="Y1165" s="46" t="n">
        <f aca="false">IF(OR(I1165="DNB",I1165="Dry DNB"),1,0)</f>
        <v>0</v>
      </c>
      <c r="Z1165" s="46" t="n">
        <f aca="false">IF(ISNUMBER(W1165),A1165-W1165,"")</f>
        <v>225</v>
      </c>
      <c r="AA1165" s="46" t="n">
        <f aca="false">MATCH(A1165,DATAS,0)</f>
        <v>1</v>
      </c>
      <c r="AB1165" s="46" t="n">
        <f aca="false">IF(AND(E1165&gt;0,OR(AND(B1165&gt;=1,B1165&lt;=6),B1165=10)),1,0)</f>
        <v>0</v>
      </c>
      <c r="AC1165" s="46" t="n">
        <f aca="false">IF(AND(E1165&gt;0,B1165=10),1,0)</f>
        <v>0</v>
      </c>
      <c r="AD1165" s="0" t="str">
        <f aca="false">IF(AND(C1164=C1165,AA1164=AA1165-1),AB1164,"")</f>
        <v/>
      </c>
      <c r="AE1165" s="0" t="str">
        <f aca="false">IF(AND(C1164=C1165,AA1164=AA1165-1),AC1164,"")</f>
        <v/>
      </c>
      <c r="AF1165" s="0" t="str">
        <f aca="false">IF(AA1165=1,"",IF(AND(AB1165=1,AD1165&lt;&gt;1),1,0))</f>
        <v/>
      </c>
      <c r="AG1165" s="0" t="str">
        <f aca="false">IF(AA1165=1,"",IF(AND(AC1165=1,AE1165&lt;&gt;1),1,0))</f>
        <v/>
      </c>
      <c r="AH1165" s="51" t="str">
        <f aca="false">IF(AND(E1165&gt;0,AA1165&lt;1,NOT(AND(C1166=C1165,AA1166=AA1165+1))),INDEX(DATAS,AA1165+1),"")</f>
        <v/>
      </c>
      <c r="AI1165" s="51" t="str">
        <f aca="false">IF(AND(AC1165=1,AA1165&lt;1),IF(AND(C1166=C1165,AA1166=AA1165+1),IF(AC1166=1,"",INDEX(DATAS,AA1165+1)),INDEX(DATAS,AA1165+1)),"")</f>
        <v/>
      </c>
    </row>
    <row r="1166" customFormat="false" ht="15" hidden="false" customHeight="false" outlineLevel="0" collapsed="false">
      <c r="A1166" s="51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46" t="s">
        <v>833</v>
      </c>
      <c r="G1166" s="0" t="n">
        <v>33.9</v>
      </c>
      <c r="H1166" s="0" t="n">
        <v>39</v>
      </c>
      <c r="I1166" s="46" t="s">
        <v>161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X1166" s="46" t="n">
        <f aca="false">IF(I1166="Male",0,1)</f>
        <v>1</v>
      </c>
      <c r="Y1166" s="46" t="n">
        <f aca="false">IF(OR(I1166="DNB",I1166="Dry DNB"),1,0)</f>
        <v>0</v>
      </c>
      <c r="Z1166" s="0" t="str">
        <f aca="false">IF(ISNUMBER(W1166),A1166-W1166,"")</f>
        <v/>
      </c>
      <c r="AA1166" s="46" t="n">
        <f aca="false">MATCH(A1166,DATAS,0)</f>
        <v>1</v>
      </c>
      <c r="AB1166" s="46" t="n">
        <f aca="false">IF(AND(E1166&gt;0,OR(AND(B1166&gt;=1,B1166&lt;=6),B1166=10)),1,0)</f>
        <v>1</v>
      </c>
      <c r="AC1166" s="46" t="n">
        <f aca="false">IF(AND(E1166&gt;0,B1166=10),1,0)</f>
        <v>0</v>
      </c>
      <c r="AD1166" s="0" t="str">
        <f aca="false">IF(AND(C1165=C1166,AA1165=AA1166-1),AB1165,"")</f>
        <v/>
      </c>
      <c r="AE1166" s="0" t="str">
        <f aca="false">IF(AND(C1165=C1166,AA1165=AA1166-1),AC1165,"")</f>
        <v/>
      </c>
      <c r="AF1166" s="0" t="str">
        <f aca="false">IF(AA1166=1,"",IF(AND(AB1166=1,AD1166&lt;&gt;1),1,0))</f>
        <v/>
      </c>
      <c r="AG1166" s="0" t="str">
        <f aca="false">IF(AA1166=1,"",IF(AND(AC1166=1,AE1166&lt;&gt;1),1,0))</f>
        <v/>
      </c>
      <c r="AH1166" s="51" t="str">
        <f aca="false">IF(AND(E1166&gt;0,AA1166&lt;1,NOT(AND(C1167=C1166,AA1167=AA1166+1))),INDEX(DATAS,AA1166+1),"")</f>
        <v/>
      </c>
      <c r="AI1166" s="51" t="str">
        <f aca="false">IF(AND(AC1166=1,AA1166&lt;1),IF(AND(C1167=C1166,AA1167=AA1166+1),IF(AC1167=1,"",INDEX(DATAS,AA1166+1)),INDEX(DATAS,AA1166+1)),"")</f>
        <v/>
      </c>
    </row>
    <row r="1167" customFormat="false" ht="15" hidden="false" customHeight="false" outlineLevel="0" collapsed="false">
      <c r="A1167" s="51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46" t="s">
        <v>834</v>
      </c>
      <c r="I1167" s="46" t="s">
        <v>157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51" t="n">
        <v>46070</v>
      </c>
      <c r="X1167" s="46" t="n">
        <f aca="false">IF(I1167="Male",0,1)</f>
        <v>1</v>
      </c>
      <c r="Y1167" s="46" t="n">
        <f aca="false">IF(OR(I1167="DNB",I1167="Dry DNB"),1,0)</f>
        <v>0</v>
      </c>
      <c r="Z1167" s="46" t="n">
        <f aca="false">IF(ISNUMBER(W1167),A1167-W1167,"")</f>
        <v>239</v>
      </c>
      <c r="AA1167" s="46" t="n">
        <f aca="false">MATCH(A1167,DATAS,0)</f>
        <v>1</v>
      </c>
      <c r="AB1167" s="46" t="n">
        <f aca="false">IF(AND(E1167&gt;0,OR(AND(B1167&gt;=1,B1167&lt;=6),B1167=10)),1,0)</f>
        <v>0</v>
      </c>
      <c r="AC1167" s="46" t="n">
        <f aca="false">IF(AND(E1167&gt;0,B1167=10),1,0)</f>
        <v>0</v>
      </c>
      <c r="AD1167" s="0" t="str">
        <f aca="false">IF(AND(C1166=C1167,AA1166=AA1167-1),AB1166,"")</f>
        <v/>
      </c>
      <c r="AE1167" s="0" t="str">
        <f aca="false">IF(AND(C1166=C1167,AA1166=AA1167-1),AC1166,"")</f>
        <v/>
      </c>
      <c r="AF1167" s="0" t="str">
        <f aca="false">IF(AA1167=1,"",IF(AND(AB1167=1,AD1167&lt;&gt;1),1,0))</f>
        <v/>
      </c>
      <c r="AG1167" s="0" t="str">
        <f aca="false">IF(AA1167=1,"",IF(AND(AC1167=1,AE1167&lt;&gt;1),1,0))</f>
        <v/>
      </c>
      <c r="AH1167" s="51" t="str">
        <f aca="false">IF(AND(E1167&gt;0,AA1167&lt;1,NOT(AND(C1168=C1167,AA1168=AA1167+1))),INDEX(DATAS,AA1167+1),"")</f>
        <v/>
      </c>
      <c r="AI1167" s="51" t="str">
        <f aca="false">IF(AND(AC1167=1,AA1167&lt;1),IF(AND(C1168=C1167,AA1168=AA1167+1),IF(AC1168=1,"",INDEX(DATAS,AA1167+1)),INDEX(DATAS,AA1167+1)),"")</f>
        <v/>
      </c>
    </row>
    <row r="1168" customFormat="false" ht="15" hidden="false" customHeight="false" outlineLevel="0" collapsed="false">
      <c r="A1168" s="51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46" t="s">
        <v>835</v>
      </c>
      <c r="G1168" s="0" t="n">
        <v>41.8</v>
      </c>
      <c r="H1168" s="0" t="n">
        <v>42</v>
      </c>
      <c r="I1168" s="46" t="s">
        <v>189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51" t="n">
        <v>46219</v>
      </c>
      <c r="X1168" s="46" t="n">
        <f aca="false">IF(I1168="Male",0,1)</f>
        <v>1</v>
      </c>
      <c r="Y1168" s="46" t="n">
        <f aca="false">IF(OR(I1168="DNB",I1168="Dry DNB"),1,0)</f>
        <v>0</v>
      </c>
      <c r="Z1168" s="46" t="n">
        <f aca="false">IF(ISNUMBER(W1168),A1168-W1168,"")</f>
        <v>90</v>
      </c>
      <c r="AA1168" s="46" t="n">
        <f aca="false">MATCH(A1168,DATAS,0)</f>
        <v>1</v>
      </c>
      <c r="AB1168" s="46" t="n">
        <f aca="false">IF(AND(E1168&gt;0,OR(AND(B1168&gt;=1,B1168&lt;=6),B1168=10)),1,0)</f>
        <v>1</v>
      </c>
      <c r="AC1168" s="46" t="n">
        <f aca="false">IF(AND(E1168&gt;0,B1168=10),1,0)</f>
        <v>0</v>
      </c>
      <c r="AD1168" s="0" t="str">
        <f aca="false">IF(AND(C1167=C1168,AA1167=AA1168-1),AB1167,"")</f>
        <v/>
      </c>
      <c r="AE1168" s="0" t="str">
        <f aca="false">IF(AND(C1167=C1168,AA1167=AA1168-1),AC1167,"")</f>
        <v/>
      </c>
      <c r="AF1168" s="0" t="str">
        <f aca="false">IF(AA1168=1,"",IF(AND(AB1168=1,AD1168&lt;&gt;1),1,0))</f>
        <v/>
      </c>
      <c r="AG1168" s="0" t="str">
        <f aca="false">IF(AA1168=1,"",IF(AND(AC1168=1,AE1168&lt;&gt;1),1,0))</f>
        <v/>
      </c>
      <c r="AH1168" s="51" t="str">
        <f aca="false">IF(AND(E1168&gt;0,AA1168&lt;1,NOT(AND(C1169=C1168,AA1169=AA1168+1))),INDEX(DATAS,AA1168+1),"")</f>
        <v/>
      </c>
      <c r="AI1168" s="51" t="str">
        <f aca="false">IF(AND(AC1168=1,AA1168&lt;1),IF(AND(C1169=C1168,AA1169=AA1168+1),IF(AC1169=1,"",INDEX(DATAS,AA1168+1)),INDEX(DATAS,AA1168+1)),"")</f>
        <v/>
      </c>
    </row>
    <row r="1169" customFormat="false" ht="15" hidden="false" customHeight="false" outlineLevel="0" collapsed="false">
      <c r="A1169" s="51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46" t="s">
        <v>836</v>
      </c>
      <c r="G1169" s="0" t="n">
        <v>39.8</v>
      </c>
      <c r="H1169" s="0" t="n">
        <v>32</v>
      </c>
      <c r="I1169" s="46" t="s">
        <v>152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51" t="n">
        <v>46128</v>
      </c>
      <c r="X1169" s="46" t="n">
        <f aca="false">IF(I1169="Male",0,1)</f>
        <v>1</v>
      </c>
      <c r="Y1169" s="46" t="n">
        <f aca="false">IF(OR(I1169="DNB",I1169="Dry DNB"),1,0)</f>
        <v>0</v>
      </c>
      <c r="Z1169" s="46" t="n">
        <f aca="false">IF(ISNUMBER(W1169),A1169-W1169,"")</f>
        <v>181</v>
      </c>
      <c r="AA1169" s="46" t="n">
        <f aca="false">MATCH(A1169,DATAS,0)</f>
        <v>1</v>
      </c>
      <c r="AB1169" s="46" t="n">
        <f aca="false">IF(AND(E1169&gt;0,OR(AND(B1169&gt;=1,B1169&lt;=6),B1169=10)),1,0)</f>
        <v>1</v>
      </c>
      <c r="AC1169" s="46" t="n">
        <f aca="false">IF(AND(E1169&gt;0,B1169=10),1,0)</f>
        <v>0</v>
      </c>
      <c r="AD1169" s="0" t="str">
        <f aca="false">IF(AND(C1168=C1169,AA1168=AA1169-1),AB1168,"")</f>
        <v/>
      </c>
      <c r="AE1169" s="0" t="str">
        <f aca="false">IF(AND(C1168=C1169,AA1168=AA1169-1),AC1168,"")</f>
        <v/>
      </c>
      <c r="AF1169" s="0" t="str">
        <f aca="false">IF(AA1169=1,"",IF(AND(AB1169=1,AD1169&lt;&gt;1),1,0))</f>
        <v/>
      </c>
      <c r="AG1169" s="0" t="str">
        <f aca="false">IF(AA1169=1,"",IF(AND(AC1169=1,AE1169&lt;&gt;1),1,0))</f>
        <v/>
      </c>
      <c r="AH1169" s="51" t="str">
        <f aca="false">IF(AND(E1169&gt;0,AA1169&lt;1,NOT(AND(C1170=C1169,AA1170=AA1169+1))),INDEX(DATAS,AA1169+1),"")</f>
        <v/>
      </c>
      <c r="AI1169" s="51" t="str">
        <f aca="false">IF(AND(AC1169=1,AA1169&lt;1),IF(AND(C1170=C1169,AA1170=AA1169+1),IF(AC1170=1,"",INDEX(DATAS,AA1169+1)),INDEX(DATAS,AA1169+1)),"")</f>
        <v/>
      </c>
    </row>
    <row r="1170" customFormat="false" ht="15" hidden="false" customHeight="false" outlineLevel="0" collapsed="false">
      <c r="A1170" s="51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46" t="s">
        <v>836</v>
      </c>
      <c r="G1170" s="0" t="n">
        <v>39.8</v>
      </c>
      <c r="H1170" s="0" t="n">
        <v>38</v>
      </c>
      <c r="I1170" s="46" t="s">
        <v>181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51" t="n">
        <v>46308</v>
      </c>
      <c r="X1170" s="46" t="n">
        <f aca="false">IF(I1170="Male",0,1)</f>
        <v>1</v>
      </c>
      <c r="Y1170" s="46" t="n">
        <f aca="false">IF(OR(I1170="DNB",I1170="Dry DNB"),1,0)</f>
        <v>0</v>
      </c>
      <c r="Z1170" s="46" t="n">
        <f aca="false">IF(ISNUMBER(W1170),A1170-W1170,"")</f>
        <v>1</v>
      </c>
      <c r="AA1170" s="46" t="n">
        <f aca="false">MATCH(A1170,DATAS,0)</f>
        <v>1</v>
      </c>
      <c r="AB1170" s="46" t="n">
        <f aca="false">IF(AND(E1170&gt;0,OR(AND(B1170&gt;=1,B1170&lt;=6),B1170=10)),1,0)</f>
        <v>1</v>
      </c>
      <c r="AC1170" s="46" t="n">
        <f aca="false">IF(AND(E1170&gt;0,B1170=10),1,0)</f>
        <v>0</v>
      </c>
      <c r="AD1170" s="0" t="str">
        <f aca="false">IF(AND(C1169=C1170,AA1169=AA1170-1),AB1169,"")</f>
        <v/>
      </c>
      <c r="AE1170" s="0" t="str">
        <f aca="false">IF(AND(C1169=C1170,AA1169=AA1170-1),AC1169,"")</f>
        <v/>
      </c>
      <c r="AF1170" s="0" t="str">
        <f aca="false">IF(AA1170=1,"",IF(AND(AB1170=1,AD1170&lt;&gt;1),1,0))</f>
        <v/>
      </c>
      <c r="AG1170" s="0" t="str">
        <f aca="false">IF(AA1170=1,"",IF(AND(AC1170=1,AE1170&lt;&gt;1),1,0))</f>
        <v/>
      </c>
      <c r="AH1170" s="51" t="str">
        <f aca="false">IF(AND(E1170&gt;0,AA1170&lt;1,NOT(AND(C1171=C1170,AA1171=AA1170+1))),INDEX(DATAS,AA1170+1),"")</f>
        <v/>
      </c>
      <c r="AI1170" s="51" t="str">
        <f aca="false">IF(AND(AC1170=1,AA1170&lt;1),IF(AND(C1171=C1170,AA1171=AA1170+1),IF(AC1171=1,"",INDEX(DATAS,AA1170+1)),INDEX(DATAS,AA1170+1)),"")</f>
        <v/>
      </c>
    </row>
    <row r="1171" customFormat="false" ht="15" hidden="false" customHeight="false" outlineLevel="0" collapsed="false">
      <c r="A1171" s="51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46" t="s">
        <v>836</v>
      </c>
      <c r="G1171" s="0" t="n">
        <v>40</v>
      </c>
      <c r="H1171" s="0" t="n">
        <v>35</v>
      </c>
      <c r="I1171" s="46" t="s">
        <v>152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51" t="n">
        <v>46184</v>
      </c>
      <c r="X1171" s="46" t="n">
        <f aca="false">IF(I1171="Male",0,1)</f>
        <v>1</v>
      </c>
      <c r="Y1171" s="46" t="n">
        <f aca="false">IF(OR(I1171="DNB",I1171="Dry DNB"),1,0)</f>
        <v>0</v>
      </c>
      <c r="Z1171" s="46" t="n">
        <f aca="false">IF(ISNUMBER(W1171),A1171-W1171,"")</f>
        <v>125</v>
      </c>
      <c r="AA1171" s="46" t="n">
        <f aca="false">MATCH(A1171,DATAS,0)</f>
        <v>1</v>
      </c>
      <c r="AB1171" s="46" t="n">
        <f aca="false">IF(AND(E1171&gt;0,OR(AND(B1171&gt;=1,B1171&lt;=6),B1171=10)),1,0)</f>
        <v>1</v>
      </c>
      <c r="AC1171" s="46" t="n">
        <f aca="false">IF(AND(E1171&gt;0,B1171=10),1,0)</f>
        <v>0</v>
      </c>
      <c r="AD1171" s="0" t="str">
        <f aca="false">IF(AND(C1170=C1171,AA1170=AA1171-1),AB1170,"")</f>
        <v/>
      </c>
      <c r="AE1171" s="0" t="str">
        <f aca="false">IF(AND(C1170=C1171,AA1170=AA1171-1),AC1170,"")</f>
        <v/>
      </c>
      <c r="AF1171" s="0" t="str">
        <f aca="false">IF(AA1171=1,"",IF(AND(AB1171=1,AD1171&lt;&gt;1),1,0))</f>
        <v/>
      </c>
      <c r="AG1171" s="0" t="str">
        <f aca="false">IF(AA1171=1,"",IF(AND(AC1171=1,AE1171&lt;&gt;1),1,0))</f>
        <v/>
      </c>
      <c r="AH1171" s="51" t="str">
        <f aca="false">IF(AND(E1171&gt;0,AA1171&lt;1,NOT(AND(C1172=C1171,AA1172=AA1171+1))),INDEX(DATAS,AA1171+1),"")</f>
        <v/>
      </c>
      <c r="AI1171" s="51" t="str">
        <f aca="false">IF(AND(AC1171=1,AA1171&lt;1),IF(AND(C1172=C1171,AA1172=AA1171+1),IF(AC1172=1,"",INDEX(DATAS,AA1171+1)),INDEX(DATAS,AA1171+1)),"")</f>
        <v/>
      </c>
    </row>
    <row r="1172" customFormat="false" ht="15" hidden="false" customHeight="false" outlineLevel="0" collapsed="false">
      <c r="A1172" s="51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46" t="s">
        <v>837</v>
      </c>
      <c r="I1172" s="46" t="s">
        <v>157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51" t="n">
        <v>46075</v>
      </c>
      <c r="X1172" s="46" t="n">
        <f aca="false">IF(I1172="Male",0,1)</f>
        <v>1</v>
      </c>
      <c r="Y1172" s="46" t="n">
        <f aca="false">IF(OR(I1172="DNB",I1172="Dry DNB"),1,0)</f>
        <v>0</v>
      </c>
      <c r="Z1172" s="46" t="n">
        <f aca="false">IF(ISNUMBER(W1172),A1172-W1172,"")</f>
        <v>234</v>
      </c>
      <c r="AA1172" s="46" t="n">
        <f aca="false">MATCH(A1172,DATAS,0)</f>
        <v>1</v>
      </c>
      <c r="AB1172" s="46" t="n">
        <f aca="false">IF(AND(E1172&gt;0,OR(AND(B1172&gt;=1,B1172&lt;=6),B1172=10)),1,0)</f>
        <v>0</v>
      </c>
      <c r="AC1172" s="46" t="n">
        <f aca="false">IF(AND(E1172&gt;0,B1172=10),1,0)</f>
        <v>0</v>
      </c>
      <c r="AD1172" s="0" t="str">
        <f aca="false">IF(AND(C1171=C1172,AA1171=AA1172-1),AB1171,"")</f>
        <v/>
      </c>
      <c r="AE1172" s="0" t="str">
        <f aca="false">IF(AND(C1171=C1172,AA1171=AA1172-1),AC1171,"")</f>
        <v/>
      </c>
      <c r="AF1172" s="0" t="str">
        <f aca="false">IF(AA1172=1,"",IF(AND(AB1172=1,AD1172&lt;&gt;1),1,0))</f>
        <v/>
      </c>
      <c r="AG1172" s="0" t="str">
        <f aca="false">IF(AA1172=1,"",IF(AND(AC1172=1,AE1172&lt;&gt;1),1,0))</f>
        <v/>
      </c>
      <c r="AH1172" s="51" t="str">
        <f aca="false">IF(AND(E1172&gt;0,AA1172&lt;1,NOT(AND(C1173=C1172,AA1173=AA1172+1))),INDEX(DATAS,AA1172+1),"")</f>
        <v/>
      </c>
      <c r="AI1172" s="51" t="str">
        <f aca="false">IF(AND(AC1172=1,AA1172&lt;1),IF(AND(C1173=C1172,AA1173=AA1172+1),IF(AC1173=1,"",INDEX(DATAS,AA1172+1)),INDEX(DATAS,AA1172+1)),"")</f>
        <v/>
      </c>
    </row>
    <row r="1173" customFormat="false" ht="15" hidden="false" customHeight="false" outlineLevel="0" collapsed="false">
      <c r="A1173" s="51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46" t="s">
        <v>837</v>
      </c>
      <c r="G1173" s="0" t="n">
        <v>49.9</v>
      </c>
      <c r="H1173" s="0" t="n">
        <v>46</v>
      </c>
      <c r="I1173" s="46" t="s">
        <v>161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X1173" s="46" t="n">
        <f aca="false">IF(I1173="Male",0,1)</f>
        <v>1</v>
      </c>
      <c r="Y1173" s="46" t="n">
        <f aca="false">IF(OR(I1173="DNB",I1173="Dry DNB"),1,0)</f>
        <v>0</v>
      </c>
      <c r="Z1173" s="0" t="str">
        <f aca="false">IF(ISNUMBER(W1173),A1173-W1173,"")</f>
        <v/>
      </c>
      <c r="AA1173" s="46" t="n">
        <f aca="false">MATCH(A1173,DATAS,0)</f>
        <v>1</v>
      </c>
      <c r="AB1173" s="46" t="n">
        <f aca="false">IF(AND(E1173&gt;0,OR(AND(B1173&gt;=1,B1173&lt;=6),B1173=10)),1,0)</f>
        <v>1</v>
      </c>
      <c r="AC1173" s="46" t="n">
        <f aca="false">IF(AND(E1173&gt;0,B1173=10),1,0)</f>
        <v>0</v>
      </c>
      <c r="AD1173" s="0" t="str">
        <f aca="false">IF(AND(C1172=C1173,AA1172=AA1173-1),AB1172,"")</f>
        <v/>
      </c>
      <c r="AE1173" s="0" t="str">
        <f aca="false">IF(AND(C1172=C1173,AA1172=AA1173-1),AC1172,"")</f>
        <v/>
      </c>
      <c r="AF1173" s="0" t="str">
        <f aca="false">IF(AA1173=1,"",IF(AND(AB1173=1,AD1173&lt;&gt;1),1,0))</f>
        <v/>
      </c>
      <c r="AG1173" s="0" t="str">
        <f aca="false">IF(AA1173=1,"",IF(AND(AC1173=1,AE1173&lt;&gt;1),1,0))</f>
        <v/>
      </c>
      <c r="AH1173" s="51" t="str">
        <f aca="false">IF(AND(E1173&gt;0,AA1173&lt;1,NOT(AND(C1174=C1173,AA1174=AA1173+1))),INDEX(DATAS,AA1173+1),"")</f>
        <v/>
      </c>
      <c r="AI1173" s="51" t="str">
        <f aca="false">IF(AND(AC1173=1,AA1173&lt;1),IF(AND(C1174=C1173,AA1174=AA1173+1),IF(AC1174=1,"",INDEX(DATAS,AA1173+1)),INDEX(DATAS,AA1173+1)),"")</f>
        <v/>
      </c>
    </row>
    <row r="1174" customFormat="false" ht="15" hidden="false" customHeight="false" outlineLevel="0" collapsed="false">
      <c r="A1174" s="51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46" t="s">
        <v>837</v>
      </c>
      <c r="G1174" s="0" t="n">
        <v>48</v>
      </c>
      <c r="H1174" s="0" t="n">
        <v>49</v>
      </c>
      <c r="I1174" s="46" t="s">
        <v>181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51" t="n">
        <v>46291</v>
      </c>
      <c r="X1174" s="46" t="n">
        <f aca="false">IF(I1174="Male",0,1)</f>
        <v>1</v>
      </c>
      <c r="Y1174" s="46" t="n">
        <f aca="false">IF(OR(I1174="DNB",I1174="Dry DNB"),1,0)</f>
        <v>0</v>
      </c>
      <c r="Z1174" s="46" t="n">
        <f aca="false">IF(ISNUMBER(W1174),A1174-W1174,"")</f>
        <v>18</v>
      </c>
      <c r="AA1174" s="46" t="n">
        <f aca="false">MATCH(A1174,DATAS,0)</f>
        <v>1</v>
      </c>
      <c r="AB1174" s="46" t="n">
        <f aca="false">IF(AND(E1174&gt;0,OR(AND(B1174&gt;=1,B1174&lt;=6),B1174=10)),1,0)</f>
        <v>1</v>
      </c>
      <c r="AC1174" s="46" t="n">
        <f aca="false">IF(AND(E1174&gt;0,B1174=10),1,0)</f>
        <v>0</v>
      </c>
      <c r="AD1174" s="0" t="str">
        <f aca="false">IF(AND(C1173=C1174,AA1173=AA1174-1),AB1173,"")</f>
        <v/>
      </c>
      <c r="AE1174" s="0" t="str">
        <f aca="false">IF(AND(C1173=C1174,AA1173=AA1174-1),AC1173,"")</f>
        <v/>
      </c>
      <c r="AF1174" s="0" t="str">
        <f aca="false">IF(AA1174=1,"",IF(AND(AB1174=1,AD1174&lt;&gt;1),1,0))</f>
        <v/>
      </c>
      <c r="AG1174" s="0" t="str">
        <f aca="false">IF(AA1174=1,"",IF(AND(AC1174=1,AE1174&lt;&gt;1),1,0))</f>
        <v/>
      </c>
      <c r="AH1174" s="51" t="str">
        <f aca="false">IF(AND(E1174&gt;0,AA1174&lt;1,NOT(AND(C1175=C1174,AA1175=AA1174+1))),INDEX(DATAS,AA1174+1),"")</f>
        <v/>
      </c>
      <c r="AI1174" s="51" t="str">
        <f aca="false">IF(AND(AC1174=1,AA1174&lt;1),IF(AND(C1175=C1174,AA1175=AA1174+1),IF(AC1175=1,"",INDEX(DATAS,AA1174+1)),INDEX(DATAS,AA1174+1)),"")</f>
        <v/>
      </c>
    </row>
    <row r="1175" customFormat="false" ht="15" hidden="false" customHeight="false" outlineLevel="0" collapsed="false">
      <c r="A1175" s="51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46" t="s">
        <v>838</v>
      </c>
      <c r="G1175" s="0" t="n">
        <v>48.8</v>
      </c>
      <c r="H1175" s="0" t="n">
        <v>52</v>
      </c>
      <c r="I1175" s="46" t="s">
        <v>152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51" t="n">
        <v>46135</v>
      </c>
      <c r="X1175" s="46" t="n">
        <f aca="false">IF(I1175="Male",0,1)</f>
        <v>1</v>
      </c>
      <c r="Y1175" s="46" t="n">
        <f aca="false">IF(OR(I1175="DNB",I1175="Dry DNB"),1,0)</f>
        <v>0</v>
      </c>
      <c r="Z1175" s="46" t="n">
        <f aca="false">IF(ISNUMBER(W1175),A1175-W1175,"")</f>
        <v>174</v>
      </c>
      <c r="AA1175" s="46" t="n">
        <f aca="false">MATCH(A1175,DATAS,0)</f>
        <v>1</v>
      </c>
      <c r="AB1175" s="46" t="n">
        <f aca="false">IF(AND(E1175&gt;0,OR(AND(B1175&gt;=1,B1175&lt;=6),B1175=10)),1,0)</f>
        <v>1</v>
      </c>
      <c r="AC1175" s="46" t="n">
        <f aca="false">IF(AND(E1175&gt;0,B1175=10),1,0)</f>
        <v>0</v>
      </c>
      <c r="AD1175" s="0" t="str">
        <f aca="false">IF(AND(C1174=C1175,AA1174=AA1175-1),AB1174,"")</f>
        <v/>
      </c>
      <c r="AE1175" s="0" t="str">
        <f aca="false">IF(AND(C1174=C1175,AA1174=AA1175-1),AC1174,"")</f>
        <v/>
      </c>
      <c r="AF1175" s="0" t="str">
        <f aca="false">IF(AA1175=1,"",IF(AND(AB1175=1,AD1175&lt;&gt;1),1,0))</f>
        <v/>
      </c>
      <c r="AG1175" s="0" t="str">
        <f aca="false">IF(AA1175=1,"",IF(AND(AC1175=1,AE1175&lt;&gt;1),1,0))</f>
        <v/>
      </c>
      <c r="AH1175" s="51" t="str">
        <f aca="false">IF(AND(E1175&gt;0,AA1175&lt;1,NOT(AND(C1176=C1175,AA1176=AA1175+1))),INDEX(DATAS,AA1175+1),"")</f>
        <v/>
      </c>
      <c r="AI1175" s="51" t="str">
        <f aca="false">IF(AND(AC1175=1,AA1175&lt;1),IF(AND(C1176=C1175,AA1176=AA1175+1),IF(AC1176=1,"",INDEX(DATAS,AA1175+1)),INDEX(DATAS,AA1175+1)),"")</f>
        <v/>
      </c>
    </row>
    <row r="1176" customFormat="false" ht="15" hidden="false" customHeight="false" outlineLevel="0" collapsed="false">
      <c r="A1176" s="51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46" t="s">
        <v>839</v>
      </c>
      <c r="G1176" s="0" t="n">
        <v>23</v>
      </c>
      <c r="H1176" s="0" t="n">
        <v>22</v>
      </c>
      <c r="I1176" s="46" t="s">
        <v>161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X1176" s="46" t="n">
        <f aca="false">IF(I1176="Male",0,1)</f>
        <v>1</v>
      </c>
      <c r="Y1176" s="46" t="n">
        <f aca="false">IF(OR(I1176="DNB",I1176="Dry DNB"),1,0)</f>
        <v>0</v>
      </c>
      <c r="Z1176" s="0" t="str">
        <f aca="false">IF(ISNUMBER(W1176),A1176-W1176,"")</f>
        <v/>
      </c>
      <c r="AA1176" s="46" t="n">
        <f aca="false">MATCH(A1176,DATAS,0)</f>
        <v>1</v>
      </c>
      <c r="AB1176" s="46" t="n">
        <f aca="false">IF(AND(E1176&gt;0,OR(AND(B1176&gt;=1,B1176&lt;=6),B1176=10)),1,0)</f>
        <v>1</v>
      </c>
      <c r="AC1176" s="46" t="n">
        <f aca="false">IF(AND(E1176&gt;0,B1176=10),1,0)</f>
        <v>1</v>
      </c>
      <c r="AD1176" s="0" t="str">
        <f aca="false">IF(AND(C1175=C1176,AA1175=AA1176-1),AB1175,"")</f>
        <v/>
      </c>
      <c r="AE1176" s="0" t="str">
        <f aca="false">IF(AND(C1175=C1176,AA1175=AA1176-1),AC1175,"")</f>
        <v/>
      </c>
      <c r="AF1176" s="0" t="str">
        <f aca="false">IF(AA1176=1,"",IF(AND(AB1176=1,AD1176&lt;&gt;1),1,0))</f>
        <v/>
      </c>
      <c r="AG1176" s="0" t="str">
        <f aca="false">IF(AA1176=1,"",IF(AND(AC1176=1,AE1176&lt;&gt;1),1,0))</f>
        <v/>
      </c>
      <c r="AH1176" s="51" t="str">
        <f aca="false">IF(AND(E1176&gt;0,AA1176&lt;1,NOT(AND(C1177=C1176,AA1177=AA1176+1))),INDEX(DATAS,AA1176+1),"")</f>
        <v/>
      </c>
      <c r="AI1176" s="51" t="str">
        <f aca="false">IF(AND(AC1176=1,AA1176&lt;1),IF(AND(C1177=C1176,AA1177=AA1176+1),IF(AC1177=1,"",INDEX(DATAS,AA1176+1)),INDEX(DATAS,AA1176+1)),"")</f>
        <v/>
      </c>
    </row>
    <row r="1177" customFormat="false" ht="15" hidden="false" customHeight="false" outlineLevel="0" collapsed="false">
      <c r="A1177" s="51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46" t="s">
        <v>839</v>
      </c>
      <c r="I1177" s="46" t="s">
        <v>157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51" t="n">
        <v>46072</v>
      </c>
      <c r="X1177" s="46" t="n">
        <f aca="false">IF(I1177="Male",0,1)</f>
        <v>1</v>
      </c>
      <c r="Y1177" s="46" t="n">
        <f aca="false">IF(OR(I1177="DNB",I1177="Dry DNB"),1,0)</f>
        <v>0</v>
      </c>
      <c r="Z1177" s="46" t="n">
        <f aca="false">IF(ISNUMBER(W1177),A1177-W1177,"")</f>
        <v>237</v>
      </c>
      <c r="AA1177" s="46" t="n">
        <f aca="false">MATCH(A1177,DATAS,0)</f>
        <v>1</v>
      </c>
      <c r="AB1177" s="46" t="n">
        <f aca="false">IF(AND(E1177&gt;0,OR(AND(B1177&gt;=1,B1177&lt;=6),B1177=10)),1,0)</f>
        <v>0</v>
      </c>
      <c r="AC1177" s="46" t="n">
        <f aca="false">IF(AND(E1177&gt;0,B1177=10),1,0)</f>
        <v>0</v>
      </c>
      <c r="AD1177" s="0" t="str">
        <f aca="false">IF(AND(C1176=C1177,AA1176=AA1177-1),AB1176,"")</f>
        <v/>
      </c>
      <c r="AE1177" s="0" t="str">
        <f aca="false">IF(AND(C1176=C1177,AA1176=AA1177-1),AC1176,"")</f>
        <v/>
      </c>
      <c r="AF1177" s="0" t="str">
        <f aca="false">IF(AA1177=1,"",IF(AND(AB1177=1,AD1177&lt;&gt;1),1,0))</f>
        <v/>
      </c>
      <c r="AG1177" s="0" t="str">
        <f aca="false">IF(AA1177=1,"",IF(AND(AC1177=1,AE1177&lt;&gt;1),1,0))</f>
        <v/>
      </c>
      <c r="AH1177" s="51" t="str">
        <f aca="false">IF(AND(E1177&gt;0,AA1177&lt;1,NOT(AND(C1178=C1177,AA1178=AA1177+1))),INDEX(DATAS,AA1177+1),"")</f>
        <v/>
      </c>
      <c r="AI1177" s="51" t="str">
        <f aca="false">IF(AND(AC1177=1,AA1177&lt;1),IF(AND(C1178=C1177,AA1178=AA1177+1),IF(AC1178=1,"",INDEX(DATAS,AA1177+1)),INDEX(DATAS,AA1177+1)),"")</f>
        <v/>
      </c>
    </row>
    <row r="1178" customFormat="false" ht="15" hidden="false" customHeight="false" outlineLevel="0" collapsed="false">
      <c r="A1178" s="51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46" t="s">
        <v>839</v>
      </c>
      <c r="G1178" s="0" t="n">
        <v>45.8</v>
      </c>
      <c r="H1178" s="0" t="n">
        <v>41</v>
      </c>
      <c r="I1178" s="46" t="s">
        <v>152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51" t="n">
        <v>46165</v>
      </c>
      <c r="X1178" s="46" t="n">
        <f aca="false">IF(I1178="Male",0,1)</f>
        <v>1</v>
      </c>
      <c r="Y1178" s="46" t="n">
        <f aca="false">IF(OR(I1178="DNB",I1178="Dry DNB"),1,0)</f>
        <v>0</v>
      </c>
      <c r="Z1178" s="46" t="n">
        <f aca="false">IF(ISNUMBER(W1178),A1178-W1178,"")</f>
        <v>144</v>
      </c>
      <c r="AA1178" s="46" t="n">
        <f aca="false">MATCH(A1178,DATAS,0)</f>
        <v>1</v>
      </c>
      <c r="AB1178" s="46" t="n">
        <f aca="false">IF(AND(E1178&gt;0,OR(AND(B1178&gt;=1,B1178&lt;=6),B1178=10)),1,0)</f>
        <v>1</v>
      </c>
      <c r="AC1178" s="46" t="n">
        <f aca="false">IF(AND(E1178&gt;0,B1178=10),1,0)</f>
        <v>0</v>
      </c>
      <c r="AD1178" s="0" t="str">
        <f aca="false">IF(AND(C1177=C1178,AA1177=AA1178-1),AB1177,"")</f>
        <v/>
      </c>
      <c r="AE1178" s="0" t="str">
        <f aca="false">IF(AND(C1177=C1178,AA1177=AA1178-1),AC1177,"")</f>
        <v/>
      </c>
      <c r="AF1178" s="0" t="str">
        <f aca="false">IF(AA1178=1,"",IF(AND(AB1178=1,AD1178&lt;&gt;1),1,0))</f>
        <v/>
      </c>
      <c r="AG1178" s="0" t="str">
        <f aca="false">IF(AA1178=1,"",IF(AND(AC1178=1,AE1178&lt;&gt;1),1,0))</f>
        <v/>
      </c>
      <c r="AH1178" s="51" t="str">
        <f aca="false">IF(AND(E1178&gt;0,AA1178&lt;1,NOT(AND(C1179=C1178,AA1179=AA1178+1))),INDEX(DATAS,AA1178+1),"")</f>
        <v/>
      </c>
      <c r="AI1178" s="51" t="str">
        <f aca="false">IF(AND(AC1178=1,AA1178&lt;1),IF(AND(C1179=C1178,AA1179=AA1178+1),IF(AC1179=1,"",INDEX(DATAS,AA1178+1)),INDEX(DATAS,AA1178+1)),"")</f>
        <v/>
      </c>
    </row>
    <row r="1179" customFormat="false" ht="15" hidden="false" customHeight="false" outlineLevel="0" collapsed="false">
      <c r="A1179" s="51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46" t="s">
        <v>839</v>
      </c>
      <c r="G1179" s="0" t="n">
        <v>46.5</v>
      </c>
      <c r="H1179" s="0" t="n">
        <v>48</v>
      </c>
      <c r="I1179" s="46" t="s">
        <v>181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51" t="n">
        <v>46258</v>
      </c>
      <c r="X1179" s="46" t="n">
        <f aca="false">IF(I1179="Male",0,1)</f>
        <v>1</v>
      </c>
      <c r="Y1179" s="46" t="n">
        <f aca="false">IF(OR(I1179="DNB",I1179="Dry DNB"),1,0)</f>
        <v>0</v>
      </c>
      <c r="Z1179" s="46" t="n">
        <f aca="false">IF(ISNUMBER(W1179),A1179-W1179,"")</f>
        <v>51</v>
      </c>
      <c r="AA1179" s="46" t="n">
        <f aca="false">MATCH(A1179,DATAS,0)</f>
        <v>1</v>
      </c>
      <c r="AB1179" s="46" t="n">
        <f aca="false">IF(AND(E1179&gt;0,OR(AND(B1179&gt;=1,B1179&lt;=6),B1179=10)),1,0)</f>
        <v>1</v>
      </c>
      <c r="AC1179" s="46" t="n">
        <f aca="false">IF(AND(E1179&gt;0,B1179=10),1,0)</f>
        <v>0</v>
      </c>
      <c r="AD1179" s="0" t="str">
        <f aca="false">IF(AND(C1178=C1179,AA1178=AA1179-1),AB1178,"")</f>
        <v/>
      </c>
      <c r="AE1179" s="0" t="str">
        <f aca="false">IF(AND(C1178=C1179,AA1178=AA1179-1),AC1178,"")</f>
        <v/>
      </c>
      <c r="AF1179" s="0" t="str">
        <f aca="false">IF(AA1179=1,"",IF(AND(AB1179=1,AD1179&lt;&gt;1),1,0))</f>
        <v/>
      </c>
      <c r="AG1179" s="0" t="str">
        <f aca="false">IF(AA1179=1,"",IF(AND(AC1179=1,AE1179&lt;&gt;1),1,0))</f>
        <v/>
      </c>
      <c r="AH1179" s="51" t="str">
        <f aca="false">IF(AND(E1179&gt;0,AA1179&lt;1,NOT(AND(C1180=C1179,AA1180=AA1179+1))),INDEX(DATAS,AA1179+1),"")</f>
        <v/>
      </c>
      <c r="AI1179" s="51" t="str">
        <f aca="false">IF(AND(AC1179=1,AA1179&lt;1),IF(AND(C1180=C1179,AA1180=AA1179+1),IF(AC1180=1,"",INDEX(DATAS,AA1179+1)),INDEX(DATAS,AA1179+1)),"")</f>
        <v/>
      </c>
    </row>
    <row r="1180" customFormat="false" ht="15" hidden="false" customHeight="false" outlineLevel="0" collapsed="false">
      <c r="A1180" s="51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46" t="s">
        <v>839</v>
      </c>
      <c r="I1180" s="46" t="s">
        <v>157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51" t="n">
        <v>46072</v>
      </c>
      <c r="X1180" s="46" t="n">
        <f aca="false">IF(I1180="Male",0,1)</f>
        <v>1</v>
      </c>
      <c r="Y1180" s="46" t="n">
        <f aca="false">IF(OR(I1180="DNB",I1180="Dry DNB"),1,0)</f>
        <v>0</v>
      </c>
      <c r="Z1180" s="46" t="n">
        <f aca="false">IF(ISNUMBER(W1180),A1180-W1180,"")</f>
        <v>237</v>
      </c>
      <c r="AA1180" s="46" t="n">
        <f aca="false">MATCH(A1180,DATAS,0)</f>
        <v>1</v>
      </c>
      <c r="AB1180" s="46" t="n">
        <f aca="false">IF(AND(E1180&gt;0,OR(AND(B1180&gt;=1,B1180&lt;=6),B1180=10)),1,0)</f>
        <v>0</v>
      </c>
      <c r="AC1180" s="46" t="n">
        <f aca="false">IF(AND(E1180&gt;0,B1180=10),1,0)</f>
        <v>0</v>
      </c>
      <c r="AD1180" s="0" t="str">
        <f aca="false">IF(AND(C1179=C1180,AA1179=AA1180-1),AB1179,"")</f>
        <v/>
      </c>
      <c r="AE1180" s="0" t="str">
        <f aca="false">IF(AND(C1179=C1180,AA1179=AA1180-1),AC1179,"")</f>
        <v/>
      </c>
      <c r="AF1180" s="0" t="str">
        <f aca="false">IF(AA1180=1,"",IF(AND(AB1180=1,AD1180&lt;&gt;1),1,0))</f>
        <v/>
      </c>
      <c r="AG1180" s="0" t="str">
        <f aca="false">IF(AA1180=1,"",IF(AND(AC1180=1,AE1180&lt;&gt;1),1,0))</f>
        <v/>
      </c>
      <c r="AH1180" s="51" t="str">
        <f aca="false">IF(AND(E1180&gt;0,AA1180&lt;1,NOT(AND(C1181=C1180,AA1181=AA1180+1))),INDEX(DATAS,AA1180+1),"")</f>
        <v/>
      </c>
      <c r="AI1180" s="51" t="str">
        <f aca="false">IF(AND(AC1180=1,AA1180&lt;1),IF(AND(C1181=C1180,AA1181=AA1180+1),IF(AC1181=1,"",INDEX(DATAS,AA1180+1)),INDEX(DATAS,AA1180+1)),"")</f>
        <v/>
      </c>
    </row>
    <row r="1181" customFormat="false" ht="15" hidden="false" customHeight="false" outlineLevel="0" collapsed="false">
      <c r="A1181" s="51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46" t="s">
        <v>840</v>
      </c>
      <c r="G1181" s="0" t="n">
        <v>37.1</v>
      </c>
      <c r="H1181" s="0" t="n">
        <v>33</v>
      </c>
      <c r="I1181" s="46" t="s">
        <v>152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51" t="n">
        <v>46191</v>
      </c>
      <c r="X1181" s="46" t="n">
        <f aca="false">IF(I1181="Male",0,1)</f>
        <v>1</v>
      </c>
      <c r="Y1181" s="46" t="n">
        <f aca="false">IF(OR(I1181="DNB",I1181="Dry DNB"),1,0)</f>
        <v>0</v>
      </c>
      <c r="Z1181" s="46" t="n">
        <f aca="false">IF(ISNUMBER(W1181),A1181-W1181,"")</f>
        <v>118</v>
      </c>
      <c r="AA1181" s="46" t="n">
        <f aca="false">MATCH(A1181,DATAS,0)</f>
        <v>1</v>
      </c>
      <c r="AB1181" s="46" t="n">
        <f aca="false">IF(AND(E1181&gt;0,OR(AND(B1181&gt;=1,B1181&lt;=6),B1181=10)),1,0)</f>
        <v>1</v>
      </c>
      <c r="AC1181" s="46" t="n">
        <f aca="false">IF(AND(E1181&gt;0,B1181=10),1,0)</f>
        <v>0</v>
      </c>
      <c r="AD1181" s="0" t="str">
        <f aca="false">IF(AND(C1180=C1181,AA1180=AA1181-1),AB1180,"")</f>
        <v/>
      </c>
      <c r="AE1181" s="0" t="str">
        <f aca="false">IF(AND(C1180=C1181,AA1180=AA1181-1),AC1180,"")</f>
        <v/>
      </c>
      <c r="AF1181" s="0" t="str">
        <f aca="false">IF(AA1181=1,"",IF(AND(AB1181=1,AD1181&lt;&gt;1),1,0))</f>
        <v/>
      </c>
      <c r="AG1181" s="0" t="str">
        <f aca="false">IF(AA1181=1,"",IF(AND(AC1181=1,AE1181&lt;&gt;1),1,0))</f>
        <v/>
      </c>
      <c r="AH1181" s="51" t="str">
        <f aca="false">IF(AND(E1181&gt;0,AA1181&lt;1,NOT(AND(C1182=C1181,AA1182=AA1181+1))),INDEX(DATAS,AA1181+1),"")</f>
        <v/>
      </c>
      <c r="AI1181" s="51" t="str">
        <f aca="false">IF(AND(AC1181=1,AA1181&lt;1),IF(AND(C1182=C1181,AA1182=AA1181+1),IF(AC1182=1,"",INDEX(DATAS,AA1181+1)),INDEX(DATAS,AA1181+1)),"")</f>
        <v/>
      </c>
    </row>
    <row r="1182" customFormat="false" ht="15" hidden="false" customHeight="false" outlineLevel="0" collapsed="false">
      <c r="A1182" s="51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46" t="s">
        <v>840</v>
      </c>
      <c r="G1182" s="0" t="n">
        <v>54.7</v>
      </c>
      <c r="H1182" s="0" t="n">
        <v>49</v>
      </c>
      <c r="I1182" s="46" t="s">
        <v>152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51" t="n">
        <v>46226</v>
      </c>
      <c r="X1182" s="46" t="n">
        <f aca="false">IF(I1182="Male",0,1)</f>
        <v>1</v>
      </c>
      <c r="Y1182" s="46" t="n">
        <f aca="false">IF(OR(I1182="DNB",I1182="Dry DNB"),1,0)</f>
        <v>0</v>
      </c>
      <c r="Z1182" s="46" t="n">
        <f aca="false">IF(ISNUMBER(W1182),A1182-W1182,"")</f>
        <v>83</v>
      </c>
      <c r="AA1182" s="46" t="n">
        <f aca="false">MATCH(A1182,DATAS,0)</f>
        <v>1</v>
      </c>
      <c r="AB1182" s="46" t="n">
        <f aca="false">IF(AND(E1182&gt;0,OR(AND(B1182&gt;=1,B1182&lt;=6),B1182=10)),1,0)</f>
        <v>1</v>
      </c>
      <c r="AC1182" s="46" t="n">
        <f aca="false">IF(AND(E1182&gt;0,B1182=10),1,0)</f>
        <v>0</v>
      </c>
      <c r="AD1182" s="0" t="str">
        <f aca="false">IF(AND(C1181=C1182,AA1181=AA1182-1),AB1181,"")</f>
        <v/>
      </c>
      <c r="AE1182" s="0" t="str">
        <f aca="false">IF(AND(C1181=C1182,AA1181=AA1182-1),AC1181,"")</f>
        <v/>
      </c>
      <c r="AF1182" s="0" t="str">
        <f aca="false">IF(AA1182=1,"",IF(AND(AB1182=1,AD1182&lt;&gt;1),1,0))</f>
        <v/>
      </c>
      <c r="AG1182" s="0" t="str">
        <f aca="false">IF(AA1182=1,"",IF(AND(AC1182=1,AE1182&lt;&gt;1),1,0))</f>
        <v/>
      </c>
      <c r="AH1182" s="51" t="str">
        <f aca="false">IF(AND(E1182&gt;0,AA1182&lt;1,NOT(AND(C1183=C1182,AA1183=AA1182+1))),INDEX(DATAS,AA1182+1),"")</f>
        <v/>
      </c>
      <c r="AI1182" s="51" t="str">
        <f aca="false">IF(AND(AC1182=1,AA1182&lt;1),IF(AND(C1183=C1182,AA1183=AA1182+1),IF(AC1183=1,"",INDEX(DATAS,AA1182+1)),INDEX(DATAS,AA1182+1)),"")</f>
        <v/>
      </c>
    </row>
    <row r="1183" customFormat="false" ht="15" hidden="false" customHeight="false" outlineLevel="0" collapsed="false">
      <c r="A1183" s="51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46" t="s">
        <v>841</v>
      </c>
      <c r="G1183" s="0" t="n">
        <v>41.1</v>
      </c>
      <c r="H1183" s="0" t="n">
        <v>42</v>
      </c>
      <c r="I1183" s="46" t="s">
        <v>161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X1183" s="46" t="n">
        <f aca="false">IF(I1183="Male",0,1)</f>
        <v>1</v>
      </c>
      <c r="Y1183" s="46" t="n">
        <f aca="false">IF(OR(I1183="DNB",I1183="Dry DNB"),1,0)</f>
        <v>0</v>
      </c>
      <c r="Z1183" s="0" t="str">
        <f aca="false">IF(ISNUMBER(W1183),A1183-W1183,"")</f>
        <v/>
      </c>
      <c r="AA1183" s="46" t="n">
        <f aca="false">MATCH(A1183,DATAS,0)</f>
        <v>1</v>
      </c>
      <c r="AB1183" s="46" t="n">
        <f aca="false">IF(AND(E1183&gt;0,OR(AND(B1183&gt;=1,B1183&lt;=6),B1183=10)),1,0)</f>
        <v>1</v>
      </c>
      <c r="AC1183" s="46" t="n">
        <f aca="false">IF(AND(E1183&gt;0,B1183=10),1,0)</f>
        <v>0</v>
      </c>
      <c r="AD1183" s="0" t="str">
        <f aca="false">IF(AND(C1182=C1183,AA1182=AA1183-1),AB1182,"")</f>
        <v/>
      </c>
      <c r="AE1183" s="0" t="str">
        <f aca="false">IF(AND(C1182=C1183,AA1182=AA1183-1),AC1182,"")</f>
        <v/>
      </c>
      <c r="AF1183" s="0" t="str">
        <f aca="false">IF(AA1183=1,"",IF(AND(AB1183=1,AD1183&lt;&gt;1),1,0))</f>
        <v/>
      </c>
      <c r="AG1183" s="0" t="str">
        <f aca="false">IF(AA1183=1,"",IF(AND(AC1183=1,AE1183&lt;&gt;1),1,0))</f>
        <v/>
      </c>
      <c r="AH1183" s="51" t="str">
        <f aca="false">IF(AND(E1183&gt;0,AA1183&lt;1,NOT(AND(C1184=C1183,AA1184=AA1183+1))),INDEX(DATAS,AA1183+1),"")</f>
        <v/>
      </c>
      <c r="AI1183" s="51" t="str">
        <f aca="false">IF(AND(AC1183=1,AA1183&lt;1),IF(AND(C1184=C1183,AA1184=AA1183+1),IF(AC1184=1,"",INDEX(DATAS,AA1183+1)),INDEX(DATAS,AA1183+1)),"")</f>
        <v/>
      </c>
    </row>
    <row r="1184" customFormat="false" ht="15" hidden="false" customHeight="false" outlineLevel="0" collapsed="false">
      <c r="A1184" s="51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46" t="s">
        <v>841</v>
      </c>
      <c r="G1184" s="0" t="n">
        <v>49.6</v>
      </c>
      <c r="H1184" s="0" t="n">
        <v>47</v>
      </c>
      <c r="I1184" s="46" t="s">
        <v>152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51" t="n">
        <v>46177</v>
      </c>
      <c r="X1184" s="46" t="n">
        <f aca="false">IF(I1184="Male",0,1)</f>
        <v>1</v>
      </c>
      <c r="Y1184" s="46" t="n">
        <f aca="false">IF(OR(I1184="DNB",I1184="Dry DNB"),1,0)</f>
        <v>0</v>
      </c>
      <c r="Z1184" s="46" t="n">
        <f aca="false">IF(ISNUMBER(W1184),A1184-W1184,"")</f>
        <v>132</v>
      </c>
      <c r="AA1184" s="46" t="n">
        <f aca="false">MATCH(A1184,DATAS,0)</f>
        <v>1</v>
      </c>
      <c r="AB1184" s="46" t="n">
        <f aca="false">IF(AND(E1184&gt;0,OR(AND(B1184&gt;=1,B1184&lt;=6),B1184=10)),1,0)</f>
        <v>1</v>
      </c>
      <c r="AC1184" s="46" t="n">
        <f aca="false">IF(AND(E1184&gt;0,B1184=10),1,0)</f>
        <v>0</v>
      </c>
      <c r="AD1184" s="0" t="str">
        <f aca="false">IF(AND(C1183=C1184,AA1183=AA1184-1),AB1183,"")</f>
        <v/>
      </c>
      <c r="AE1184" s="0" t="str">
        <f aca="false">IF(AND(C1183=C1184,AA1183=AA1184-1),AC1183,"")</f>
        <v/>
      </c>
      <c r="AF1184" s="0" t="str">
        <f aca="false">IF(AA1184=1,"",IF(AND(AB1184=1,AD1184&lt;&gt;1),1,0))</f>
        <v/>
      </c>
      <c r="AG1184" s="0" t="str">
        <f aca="false">IF(AA1184=1,"",IF(AND(AC1184=1,AE1184&lt;&gt;1),1,0))</f>
        <v/>
      </c>
      <c r="AH1184" s="51" t="str">
        <f aca="false">IF(AND(E1184&gt;0,AA1184&lt;1,NOT(AND(C1185=C1184,AA1185=AA1184+1))),INDEX(DATAS,AA1184+1),"")</f>
        <v/>
      </c>
      <c r="AI1184" s="51" t="str">
        <f aca="false">IF(AND(AC1184=1,AA1184&lt;1),IF(AND(C1185=C1184,AA1185=AA1184+1),IF(AC1185=1,"",INDEX(DATAS,AA1184+1)),INDEX(DATAS,AA1184+1)),"")</f>
        <v/>
      </c>
    </row>
    <row r="1185" customFormat="false" ht="15" hidden="false" customHeight="false" outlineLevel="0" collapsed="false">
      <c r="A1185" s="51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46" t="s">
        <v>841</v>
      </c>
      <c r="G1185" s="0" t="n">
        <v>47.5</v>
      </c>
      <c r="H1185" s="0" t="n">
        <v>48</v>
      </c>
      <c r="I1185" s="46" t="s">
        <v>152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51" t="n">
        <v>46226</v>
      </c>
      <c r="X1185" s="46" t="n">
        <f aca="false">IF(I1185="Male",0,1)</f>
        <v>1</v>
      </c>
      <c r="Y1185" s="46" t="n">
        <f aca="false">IF(OR(I1185="DNB",I1185="Dry DNB"),1,0)</f>
        <v>0</v>
      </c>
      <c r="Z1185" s="46" t="n">
        <f aca="false">IF(ISNUMBER(W1185),A1185-W1185,"")</f>
        <v>83</v>
      </c>
      <c r="AA1185" s="46" t="n">
        <f aca="false">MATCH(A1185,DATAS,0)</f>
        <v>1</v>
      </c>
      <c r="AB1185" s="46" t="n">
        <f aca="false">IF(AND(E1185&gt;0,OR(AND(B1185&gt;=1,B1185&lt;=6),B1185=10)),1,0)</f>
        <v>1</v>
      </c>
      <c r="AC1185" s="46" t="n">
        <f aca="false">IF(AND(E1185&gt;0,B1185=10),1,0)</f>
        <v>0</v>
      </c>
      <c r="AD1185" s="0" t="str">
        <f aca="false">IF(AND(C1184=C1185,AA1184=AA1185-1),AB1184,"")</f>
        <v/>
      </c>
      <c r="AE1185" s="0" t="str">
        <f aca="false">IF(AND(C1184=C1185,AA1184=AA1185-1),AC1184,"")</f>
        <v/>
      </c>
      <c r="AF1185" s="0" t="str">
        <f aca="false">IF(AA1185=1,"",IF(AND(AB1185=1,AD1185&lt;&gt;1),1,0))</f>
        <v/>
      </c>
      <c r="AG1185" s="0" t="str">
        <f aca="false">IF(AA1185=1,"",IF(AND(AC1185=1,AE1185&lt;&gt;1),1,0))</f>
        <v/>
      </c>
      <c r="AH1185" s="51" t="str">
        <f aca="false">IF(AND(E1185&gt;0,AA1185&lt;1,NOT(AND(C1186=C1185,AA1186=AA1185+1))),INDEX(DATAS,AA1185+1),"")</f>
        <v/>
      </c>
      <c r="AI1185" s="51" t="str">
        <f aca="false">IF(AND(AC1185=1,AA1185&lt;1),IF(AND(C1186=C1185,AA1186=AA1185+1),IF(AC1186=1,"",INDEX(DATAS,AA1185+1)),INDEX(DATAS,AA1185+1)),"")</f>
        <v/>
      </c>
    </row>
    <row r="1186" customFormat="false" ht="15" hidden="false" customHeight="false" outlineLevel="0" collapsed="false">
      <c r="A1186" s="51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46" t="s">
        <v>841</v>
      </c>
      <c r="G1186" s="0" t="n">
        <v>34.1</v>
      </c>
      <c r="H1186" s="0" t="n">
        <v>38</v>
      </c>
      <c r="I1186" s="46" t="s">
        <v>161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X1186" s="46" t="n">
        <f aca="false">IF(I1186="Male",0,1)</f>
        <v>1</v>
      </c>
      <c r="Y1186" s="46" t="n">
        <f aca="false">IF(OR(I1186="DNB",I1186="Dry DNB"),1,0)</f>
        <v>0</v>
      </c>
      <c r="Z1186" s="0" t="str">
        <f aca="false">IF(ISNUMBER(W1186),A1186-W1186,"")</f>
        <v/>
      </c>
      <c r="AA1186" s="46" t="n">
        <f aca="false">MATCH(A1186,DATAS,0)</f>
        <v>1</v>
      </c>
      <c r="AB1186" s="46" t="n">
        <f aca="false">IF(AND(E1186&gt;0,OR(AND(B1186&gt;=1,B1186&lt;=6),B1186=10)),1,0)</f>
        <v>1</v>
      </c>
      <c r="AC1186" s="46" t="n">
        <f aca="false">IF(AND(E1186&gt;0,B1186=10),1,0)</f>
        <v>0</v>
      </c>
      <c r="AD1186" s="0" t="str">
        <f aca="false">IF(AND(C1185=C1186,AA1185=AA1186-1),AB1185,"")</f>
        <v/>
      </c>
      <c r="AE1186" s="0" t="str">
        <f aca="false">IF(AND(C1185=C1186,AA1185=AA1186-1),AC1185,"")</f>
        <v/>
      </c>
      <c r="AF1186" s="0" t="str">
        <f aca="false">IF(AA1186=1,"",IF(AND(AB1186=1,AD1186&lt;&gt;1),1,0))</f>
        <v/>
      </c>
      <c r="AG1186" s="0" t="str">
        <f aca="false">IF(AA1186=1,"",IF(AND(AC1186=1,AE1186&lt;&gt;1),1,0))</f>
        <v/>
      </c>
      <c r="AH1186" s="51" t="str">
        <f aca="false">IF(AND(E1186&gt;0,AA1186&lt;1,NOT(AND(C1187=C1186,AA1187=AA1186+1))),INDEX(DATAS,AA1186+1),"")</f>
        <v/>
      </c>
      <c r="AI1186" s="51" t="str">
        <f aca="false">IF(AND(AC1186=1,AA1186&lt;1),IF(AND(C1187=C1186,AA1187=AA1186+1),IF(AC1187=1,"",INDEX(DATAS,AA1186+1)),INDEX(DATAS,AA1186+1)),"")</f>
        <v/>
      </c>
    </row>
    <row r="1187" customFormat="false" ht="15" hidden="false" customHeight="false" outlineLevel="0" collapsed="false">
      <c r="A1187" s="51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46" t="s">
        <v>842</v>
      </c>
      <c r="G1187" s="0" t="n">
        <v>41.8</v>
      </c>
      <c r="H1187" s="0" t="n">
        <v>41</v>
      </c>
      <c r="I1187" s="46" t="s">
        <v>161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X1187" s="46" t="n">
        <f aca="false">IF(I1187="Male",0,1)</f>
        <v>1</v>
      </c>
      <c r="Y1187" s="46" t="n">
        <f aca="false">IF(OR(I1187="DNB",I1187="Dry DNB"),1,0)</f>
        <v>0</v>
      </c>
      <c r="Z1187" s="0" t="str">
        <f aca="false">IF(ISNUMBER(W1187),A1187-W1187,"")</f>
        <v/>
      </c>
      <c r="AA1187" s="46" t="n">
        <f aca="false">MATCH(A1187,DATAS,0)</f>
        <v>1</v>
      </c>
      <c r="AB1187" s="46" t="n">
        <f aca="false">IF(AND(E1187&gt;0,OR(AND(B1187&gt;=1,B1187&lt;=6),B1187=10)),1,0)</f>
        <v>1</v>
      </c>
      <c r="AC1187" s="46" t="n">
        <f aca="false">IF(AND(E1187&gt;0,B1187=10),1,0)</f>
        <v>0</v>
      </c>
      <c r="AD1187" s="0" t="str">
        <f aca="false">IF(AND(C1186=C1187,AA1186=AA1187-1),AB1186,"")</f>
        <v/>
      </c>
      <c r="AE1187" s="0" t="str">
        <f aca="false">IF(AND(C1186=C1187,AA1186=AA1187-1),AC1186,"")</f>
        <v/>
      </c>
      <c r="AF1187" s="0" t="str">
        <f aca="false">IF(AA1187=1,"",IF(AND(AB1187=1,AD1187&lt;&gt;1),1,0))</f>
        <v/>
      </c>
      <c r="AG1187" s="0" t="str">
        <f aca="false">IF(AA1187=1,"",IF(AND(AC1187=1,AE1187&lt;&gt;1),1,0))</f>
        <v/>
      </c>
      <c r="AH1187" s="51" t="str">
        <f aca="false">IF(AND(E1187&gt;0,AA1187&lt;1,NOT(AND(C1188=C1187,AA1188=AA1187+1))),INDEX(DATAS,AA1187+1),"")</f>
        <v/>
      </c>
      <c r="AI1187" s="51" t="str">
        <f aca="false">IF(AND(AC1187=1,AA1187&lt;1),IF(AND(C1188=C1187,AA1188=AA1187+1),IF(AC1188=1,"",INDEX(DATAS,AA1187+1)),INDEX(DATAS,AA1187+1)),"")</f>
        <v/>
      </c>
    </row>
    <row r="1188" customFormat="false" ht="15" hidden="false" customHeight="false" outlineLevel="0" collapsed="false">
      <c r="A1188" s="51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46" t="s">
        <v>842</v>
      </c>
      <c r="G1188" s="0" t="n">
        <v>52.5</v>
      </c>
      <c r="H1188" s="0" t="n">
        <v>51</v>
      </c>
      <c r="I1188" s="46" t="s">
        <v>161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X1188" s="46" t="n">
        <f aca="false">IF(I1188="Male",0,1)</f>
        <v>1</v>
      </c>
      <c r="Y1188" s="46" t="n">
        <f aca="false">IF(OR(I1188="DNB",I1188="Dry DNB"),1,0)</f>
        <v>0</v>
      </c>
      <c r="Z1188" s="0" t="str">
        <f aca="false">IF(ISNUMBER(W1188),A1188-W1188,"")</f>
        <v/>
      </c>
      <c r="AA1188" s="46" t="n">
        <f aca="false">MATCH(A1188,DATAS,0)</f>
        <v>1</v>
      </c>
      <c r="AB1188" s="46" t="n">
        <f aca="false">IF(AND(E1188&gt;0,OR(AND(B1188&gt;=1,B1188&lt;=6),B1188=10)),1,0)</f>
        <v>1</v>
      </c>
      <c r="AC1188" s="46" t="n">
        <f aca="false">IF(AND(E1188&gt;0,B1188=10),1,0)</f>
        <v>0</v>
      </c>
      <c r="AD1188" s="0" t="str">
        <f aca="false">IF(AND(C1187=C1188,AA1187=AA1188-1),AB1187,"")</f>
        <v/>
      </c>
      <c r="AE1188" s="0" t="str">
        <f aca="false">IF(AND(C1187=C1188,AA1187=AA1188-1),AC1187,"")</f>
        <v/>
      </c>
      <c r="AF1188" s="0" t="str">
        <f aca="false">IF(AA1188=1,"",IF(AND(AB1188=1,AD1188&lt;&gt;1),1,0))</f>
        <v/>
      </c>
      <c r="AG1188" s="0" t="str">
        <f aca="false">IF(AA1188=1,"",IF(AND(AC1188=1,AE1188&lt;&gt;1),1,0))</f>
        <v/>
      </c>
      <c r="AH1188" s="51" t="str">
        <f aca="false">IF(AND(E1188&gt;0,AA1188&lt;1,NOT(AND(C1189=C1188,AA1189=AA1188+1))),INDEX(DATAS,AA1188+1),"")</f>
        <v/>
      </c>
      <c r="AI1188" s="51" t="str">
        <f aca="false">IF(AND(AC1188=1,AA1188&lt;1),IF(AND(C1189=C1188,AA1189=AA1188+1),IF(AC1189=1,"",INDEX(DATAS,AA1188+1)),INDEX(DATAS,AA1188+1)),"")</f>
        <v/>
      </c>
    </row>
    <row r="1189" customFormat="false" ht="15" hidden="false" customHeight="false" outlineLevel="0" collapsed="false">
      <c r="A1189" s="51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46" t="s">
        <v>843</v>
      </c>
      <c r="G1189" s="0" t="n">
        <v>39.3</v>
      </c>
      <c r="H1189" s="0" t="n">
        <v>36</v>
      </c>
      <c r="I1189" s="46" t="s">
        <v>181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51" t="n">
        <v>46293</v>
      </c>
      <c r="X1189" s="46" t="n">
        <f aca="false">IF(I1189="Male",0,1)</f>
        <v>1</v>
      </c>
      <c r="Y1189" s="46" t="n">
        <f aca="false">IF(OR(I1189="DNB",I1189="Dry DNB"),1,0)</f>
        <v>0</v>
      </c>
      <c r="Z1189" s="46" t="n">
        <f aca="false">IF(ISNUMBER(W1189),A1189-W1189,"")</f>
        <v>16</v>
      </c>
      <c r="AA1189" s="46" t="n">
        <f aca="false">MATCH(A1189,DATAS,0)</f>
        <v>1</v>
      </c>
      <c r="AB1189" s="46" t="n">
        <f aca="false">IF(AND(E1189&gt;0,OR(AND(B1189&gt;=1,B1189&lt;=6),B1189=10)),1,0)</f>
        <v>1</v>
      </c>
      <c r="AC1189" s="46" t="n">
        <f aca="false">IF(AND(E1189&gt;0,B1189=10),1,0)</f>
        <v>0</v>
      </c>
      <c r="AD1189" s="0" t="str">
        <f aca="false">IF(AND(C1188=C1189,AA1188=AA1189-1),AB1188,"")</f>
        <v/>
      </c>
      <c r="AE1189" s="0" t="str">
        <f aca="false">IF(AND(C1188=C1189,AA1188=AA1189-1),AC1188,"")</f>
        <v/>
      </c>
      <c r="AF1189" s="0" t="str">
        <f aca="false">IF(AA1189=1,"",IF(AND(AB1189=1,AD1189&lt;&gt;1),1,0))</f>
        <v/>
      </c>
      <c r="AG1189" s="0" t="str">
        <f aca="false">IF(AA1189=1,"",IF(AND(AC1189=1,AE1189&lt;&gt;1),1,0))</f>
        <v/>
      </c>
      <c r="AH1189" s="51" t="str">
        <f aca="false">IF(AND(E1189&gt;0,AA1189&lt;1,NOT(AND(C1190=C1189,AA1190=AA1189+1))),INDEX(DATAS,AA1189+1),"")</f>
        <v/>
      </c>
      <c r="AI1189" s="51" t="str">
        <f aca="false">IF(AND(AC1189=1,AA1189&lt;1),IF(AND(C1190=C1189,AA1190=AA1189+1),IF(AC1190=1,"",INDEX(DATAS,AA1189+1)),INDEX(DATAS,AA1189+1)),"")</f>
        <v/>
      </c>
    </row>
    <row r="1190" customFormat="false" ht="15" hidden="false" customHeight="false" outlineLevel="0" collapsed="false">
      <c r="A1190" s="51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46" t="s">
        <v>843</v>
      </c>
      <c r="G1190" s="0" t="n">
        <v>43.6</v>
      </c>
      <c r="H1190" s="0" t="n">
        <v>40</v>
      </c>
      <c r="I1190" s="46" t="s">
        <v>152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51" t="n">
        <v>46156</v>
      </c>
      <c r="X1190" s="46" t="n">
        <f aca="false">IF(I1190="Male",0,1)</f>
        <v>1</v>
      </c>
      <c r="Y1190" s="46" t="n">
        <f aca="false">IF(OR(I1190="DNB",I1190="Dry DNB"),1,0)</f>
        <v>0</v>
      </c>
      <c r="Z1190" s="46" t="n">
        <f aca="false">IF(ISNUMBER(W1190),A1190-W1190,"")</f>
        <v>153</v>
      </c>
      <c r="AA1190" s="46" t="n">
        <f aca="false">MATCH(A1190,DATAS,0)</f>
        <v>1</v>
      </c>
      <c r="AB1190" s="46" t="n">
        <f aca="false">IF(AND(E1190&gt;0,OR(AND(B1190&gt;=1,B1190&lt;=6),B1190=10)),1,0)</f>
        <v>1</v>
      </c>
      <c r="AC1190" s="46" t="n">
        <f aca="false">IF(AND(E1190&gt;0,B1190=10),1,0)</f>
        <v>0</v>
      </c>
      <c r="AD1190" s="0" t="str">
        <f aca="false">IF(AND(C1189=C1190,AA1189=AA1190-1),AB1189,"")</f>
        <v/>
      </c>
      <c r="AE1190" s="0" t="str">
        <f aca="false">IF(AND(C1189=C1190,AA1189=AA1190-1),AC1189,"")</f>
        <v/>
      </c>
      <c r="AF1190" s="0" t="str">
        <f aca="false">IF(AA1190=1,"",IF(AND(AB1190=1,AD1190&lt;&gt;1),1,0))</f>
        <v/>
      </c>
      <c r="AG1190" s="0" t="str">
        <f aca="false">IF(AA1190=1,"",IF(AND(AC1190=1,AE1190&lt;&gt;1),1,0))</f>
        <v/>
      </c>
      <c r="AH1190" s="51" t="str">
        <f aca="false">IF(AND(E1190&gt;0,AA1190&lt;1,NOT(AND(C1191=C1190,AA1191=AA1190+1))),INDEX(DATAS,AA1190+1),"")</f>
        <v/>
      </c>
      <c r="AI1190" s="51" t="str">
        <f aca="false">IF(AND(AC1190=1,AA1190&lt;1),IF(AND(C1191=C1190,AA1191=AA1190+1),IF(AC1191=1,"",INDEX(DATAS,AA1190+1)),INDEX(DATAS,AA1190+1)),"")</f>
        <v/>
      </c>
    </row>
    <row r="1191" customFormat="false" ht="15" hidden="false" customHeight="false" outlineLevel="0" collapsed="false">
      <c r="A1191" s="51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46" t="s">
        <v>844</v>
      </c>
      <c r="G1191" s="0" t="n">
        <v>32.8</v>
      </c>
      <c r="H1191" s="0" t="n">
        <v>29</v>
      </c>
      <c r="I1191" s="46" t="s">
        <v>152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51" t="n">
        <v>46044</v>
      </c>
      <c r="X1191" s="46" t="n">
        <f aca="false">IF(I1191="Male",0,1)</f>
        <v>1</v>
      </c>
      <c r="Y1191" s="46" t="n">
        <f aca="false">IF(OR(I1191="DNB",I1191="Dry DNB"),1,0)</f>
        <v>0</v>
      </c>
      <c r="Z1191" s="46" t="n">
        <f aca="false">IF(ISNUMBER(W1191),A1191-W1191,"")</f>
        <v>265</v>
      </c>
      <c r="AA1191" s="46" t="n">
        <f aca="false">MATCH(A1191,DATAS,0)</f>
        <v>1</v>
      </c>
      <c r="AB1191" s="46" t="n">
        <f aca="false">IF(AND(E1191&gt;0,OR(AND(B1191&gt;=1,B1191&lt;=6),B1191=10)),1,0)</f>
        <v>1</v>
      </c>
      <c r="AC1191" s="46" t="n">
        <f aca="false">IF(AND(E1191&gt;0,B1191=10),1,0)</f>
        <v>0</v>
      </c>
      <c r="AD1191" s="0" t="str">
        <f aca="false">IF(AND(C1190=C1191,AA1190=AA1191-1),AB1190,"")</f>
        <v/>
      </c>
      <c r="AE1191" s="0" t="str">
        <f aca="false">IF(AND(C1190=C1191,AA1190=AA1191-1),AC1190,"")</f>
        <v/>
      </c>
      <c r="AF1191" s="0" t="str">
        <f aca="false">IF(AA1191=1,"",IF(AND(AB1191=1,AD1191&lt;&gt;1),1,0))</f>
        <v/>
      </c>
      <c r="AG1191" s="0" t="str">
        <f aca="false">IF(AA1191=1,"",IF(AND(AC1191=1,AE1191&lt;&gt;1),1,0))</f>
        <v/>
      </c>
      <c r="AH1191" s="51" t="str">
        <f aca="false">IF(AND(E1191&gt;0,AA1191&lt;1,NOT(AND(C1192=C1191,AA1192=AA1191+1))),INDEX(DATAS,AA1191+1),"")</f>
        <v/>
      </c>
      <c r="AI1191" s="51" t="str">
        <f aca="false">IF(AND(AC1191=1,AA1191&lt;1),IF(AND(C1192=C1191,AA1192=AA1191+1),IF(AC1192=1,"",INDEX(DATAS,AA1191+1)),INDEX(DATAS,AA1191+1)),"")</f>
        <v/>
      </c>
    </row>
    <row r="1192" customFormat="false" ht="15" hidden="false" customHeight="false" outlineLevel="0" collapsed="false">
      <c r="A1192" s="51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46" t="s">
        <v>844</v>
      </c>
      <c r="G1192" s="0" t="n">
        <v>39.3</v>
      </c>
      <c r="H1192" s="0" t="n">
        <v>39</v>
      </c>
      <c r="I1192" s="46" t="s">
        <v>152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51" t="n">
        <v>46093</v>
      </c>
      <c r="X1192" s="46" t="n">
        <f aca="false">IF(I1192="Male",0,1)</f>
        <v>1</v>
      </c>
      <c r="Y1192" s="46" t="n">
        <f aca="false">IF(OR(I1192="DNB",I1192="Dry DNB"),1,0)</f>
        <v>0</v>
      </c>
      <c r="Z1192" s="46" t="n">
        <f aca="false">IF(ISNUMBER(W1192),A1192-W1192,"")</f>
        <v>216</v>
      </c>
      <c r="AA1192" s="46" t="n">
        <f aca="false">MATCH(A1192,DATAS,0)</f>
        <v>1</v>
      </c>
      <c r="AB1192" s="46" t="n">
        <f aca="false">IF(AND(E1192&gt;0,OR(AND(B1192&gt;=1,B1192&lt;=6),B1192=10)),1,0)</f>
        <v>1</v>
      </c>
      <c r="AC1192" s="46" t="n">
        <f aca="false">IF(AND(E1192&gt;0,B1192=10),1,0)</f>
        <v>0</v>
      </c>
      <c r="AD1192" s="0" t="str">
        <f aca="false">IF(AND(C1191=C1192,AA1191=AA1192-1),AB1191,"")</f>
        <v/>
      </c>
      <c r="AE1192" s="0" t="str">
        <f aca="false">IF(AND(C1191=C1192,AA1191=AA1192-1),AC1191,"")</f>
        <v/>
      </c>
      <c r="AF1192" s="0" t="str">
        <f aca="false">IF(AA1192=1,"",IF(AND(AB1192=1,AD1192&lt;&gt;1),1,0))</f>
        <v/>
      </c>
      <c r="AG1192" s="0" t="str">
        <f aca="false">IF(AA1192=1,"",IF(AND(AC1192=1,AE1192&lt;&gt;1),1,0))</f>
        <v/>
      </c>
      <c r="AH1192" s="51" t="str">
        <f aca="false">IF(AND(E1192&gt;0,AA1192&lt;1,NOT(AND(C1193=C1192,AA1193=AA1192+1))),INDEX(DATAS,AA1192+1),"")</f>
        <v/>
      </c>
      <c r="AI1192" s="51" t="str">
        <f aca="false">IF(AND(AC1192=1,AA1192&lt;1),IF(AND(C1193=C1192,AA1193=AA1192+1),IF(AC1193=1,"",INDEX(DATAS,AA1192+1)),INDEX(DATAS,AA1192+1)),"")</f>
        <v/>
      </c>
    </row>
    <row r="1193" customFormat="false" ht="15" hidden="false" customHeight="false" outlineLevel="0" collapsed="false">
      <c r="A1193" s="51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46" t="s">
        <v>845</v>
      </c>
      <c r="G1193" s="0" t="n">
        <v>32.6</v>
      </c>
      <c r="H1193" s="0" t="n">
        <v>36</v>
      </c>
      <c r="I1193" s="46" t="s">
        <v>152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51" t="n">
        <v>46142</v>
      </c>
      <c r="X1193" s="46" t="n">
        <f aca="false">IF(I1193="Male",0,1)</f>
        <v>1</v>
      </c>
      <c r="Y1193" s="46" t="n">
        <f aca="false">IF(OR(I1193="DNB",I1193="Dry DNB"),1,0)</f>
        <v>0</v>
      </c>
      <c r="Z1193" s="46" t="n">
        <f aca="false">IF(ISNUMBER(W1193),A1193-W1193,"")</f>
        <v>167</v>
      </c>
      <c r="AA1193" s="46" t="n">
        <f aca="false">MATCH(A1193,DATAS,0)</f>
        <v>1</v>
      </c>
      <c r="AB1193" s="46" t="n">
        <f aca="false">IF(AND(E1193&gt;0,OR(AND(B1193&gt;=1,B1193&lt;=6),B1193=10)),1,0)</f>
        <v>1</v>
      </c>
      <c r="AC1193" s="46" t="n">
        <f aca="false">IF(AND(E1193&gt;0,B1193=10),1,0)</f>
        <v>0</v>
      </c>
      <c r="AD1193" s="0" t="str">
        <f aca="false">IF(AND(C1192=C1193,AA1192=AA1193-1),AB1192,"")</f>
        <v/>
      </c>
      <c r="AE1193" s="0" t="str">
        <f aca="false">IF(AND(C1192=C1193,AA1192=AA1193-1),AC1192,"")</f>
        <v/>
      </c>
      <c r="AF1193" s="0" t="str">
        <f aca="false">IF(AA1193=1,"",IF(AND(AB1193=1,AD1193&lt;&gt;1),1,0))</f>
        <v/>
      </c>
      <c r="AG1193" s="0" t="str">
        <f aca="false">IF(AA1193=1,"",IF(AND(AC1193=1,AE1193&lt;&gt;1),1,0))</f>
        <v/>
      </c>
      <c r="AH1193" s="51" t="str">
        <f aca="false">IF(AND(E1193&gt;0,AA1193&lt;1,NOT(AND(C1194=C1193,AA1194=AA1193+1))),INDEX(DATAS,AA1193+1),"")</f>
        <v/>
      </c>
      <c r="AI1193" s="51" t="str">
        <f aca="false">IF(AND(AC1193=1,AA1193&lt;1),IF(AND(C1194=C1193,AA1194=AA1193+1),IF(AC1194=1,"",INDEX(DATAS,AA1193+1)),INDEX(DATAS,AA1193+1)),"")</f>
        <v/>
      </c>
    </row>
    <row r="1194" customFormat="false" ht="15" hidden="false" customHeight="false" outlineLevel="0" collapsed="false">
      <c r="A1194" s="51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46" t="s">
        <v>845</v>
      </c>
      <c r="G1194" s="0" t="n">
        <v>34.1</v>
      </c>
      <c r="H1194" s="0" t="n">
        <v>24</v>
      </c>
      <c r="I1194" s="46" t="s">
        <v>161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X1194" s="46" t="n">
        <f aca="false">IF(I1194="Male",0,1)</f>
        <v>1</v>
      </c>
      <c r="Y1194" s="46" t="n">
        <f aca="false">IF(OR(I1194="DNB",I1194="Dry DNB"),1,0)</f>
        <v>0</v>
      </c>
      <c r="Z1194" s="0" t="str">
        <f aca="false">IF(ISNUMBER(W1194),A1194-W1194,"")</f>
        <v/>
      </c>
      <c r="AA1194" s="46" t="n">
        <f aca="false">MATCH(A1194,DATAS,0)</f>
        <v>1</v>
      </c>
      <c r="AB1194" s="46" t="n">
        <f aca="false">IF(AND(E1194&gt;0,OR(AND(B1194&gt;=1,B1194&lt;=6),B1194=10)),1,0)</f>
        <v>1</v>
      </c>
      <c r="AC1194" s="46" t="n">
        <f aca="false">IF(AND(E1194&gt;0,B1194=10),1,0)</f>
        <v>0</v>
      </c>
      <c r="AD1194" s="0" t="str">
        <f aca="false">IF(AND(C1193=C1194,AA1193=AA1194-1),AB1193,"")</f>
        <v/>
      </c>
      <c r="AE1194" s="0" t="str">
        <f aca="false">IF(AND(C1193=C1194,AA1193=AA1194-1),AC1193,"")</f>
        <v/>
      </c>
      <c r="AF1194" s="0" t="str">
        <f aca="false">IF(AA1194=1,"",IF(AND(AB1194=1,AD1194&lt;&gt;1),1,0))</f>
        <v/>
      </c>
      <c r="AG1194" s="0" t="str">
        <f aca="false">IF(AA1194=1,"",IF(AND(AC1194=1,AE1194&lt;&gt;1),1,0))</f>
        <v/>
      </c>
      <c r="AH1194" s="51" t="str">
        <f aca="false">IF(AND(E1194&gt;0,AA1194&lt;1,NOT(AND(C1195=C1194,AA1195=AA1194+1))),INDEX(DATAS,AA1194+1),"")</f>
        <v/>
      </c>
      <c r="AI1194" s="51" t="str">
        <f aca="false">IF(AND(AC1194=1,AA1194&lt;1),IF(AND(C1195=C1194,AA1195=AA1194+1),IF(AC1195=1,"",INDEX(DATAS,AA1194+1)),INDEX(DATAS,AA1194+1)),"")</f>
        <v/>
      </c>
    </row>
    <row r="1195" customFormat="false" ht="15" hidden="false" customHeight="false" outlineLevel="0" collapsed="false">
      <c r="A1195" s="51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46" t="s">
        <v>845</v>
      </c>
      <c r="G1195" s="0" t="n">
        <v>37.5</v>
      </c>
      <c r="H1195" s="0" t="n">
        <v>34</v>
      </c>
      <c r="I1195" s="46" t="s">
        <v>181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51" t="n">
        <v>46293</v>
      </c>
      <c r="X1195" s="46" t="n">
        <f aca="false">IF(I1195="Male",0,1)</f>
        <v>1</v>
      </c>
      <c r="Y1195" s="46" t="n">
        <f aca="false">IF(OR(I1195="DNB",I1195="Dry DNB"),1,0)</f>
        <v>0</v>
      </c>
      <c r="Z1195" s="46" t="n">
        <f aca="false">IF(ISNUMBER(W1195),A1195-W1195,"")</f>
        <v>16</v>
      </c>
      <c r="AA1195" s="46" t="n">
        <f aca="false">MATCH(A1195,DATAS,0)</f>
        <v>1</v>
      </c>
      <c r="AB1195" s="46" t="n">
        <f aca="false">IF(AND(E1195&gt;0,OR(AND(B1195&gt;=1,B1195&lt;=6),B1195=10)),1,0)</f>
        <v>1</v>
      </c>
      <c r="AC1195" s="46" t="n">
        <f aca="false">IF(AND(E1195&gt;0,B1195=10),1,0)</f>
        <v>0</v>
      </c>
      <c r="AD1195" s="0" t="str">
        <f aca="false">IF(AND(C1194=C1195,AA1194=AA1195-1),AB1194,"")</f>
        <v/>
      </c>
      <c r="AE1195" s="0" t="str">
        <f aca="false">IF(AND(C1194=C1195,AA1194=AA1195-1),AC1194,"")</f>
        <v/>
      </c>
      <c r="AF1195" s="0" t="str">
        <f aca="false">IF(AA1195=1,"",IF(AND(AB1195=1,AD1195&lt;&gt;1),1,0))</f>
        <v/>
      </c>
      <c r="AG1195" s="0" t="str">
        <f aca="false">IF(AA1195=1,"",IF(AND(AC1195=1,AE1195&lt;&gt;1),1,0))</f>
        <v/>
      </c>
      <c r="AH1195" s="51" t="str">
        <f aca="false">IF(AND(E1195&gt;0,AA1195&lt;1,NOT(AND(C1196=C1195,AA1196=AA1195+1))),INDEX(DATAS,AA1195+1),"")</f>
        <v/>
      </c>
      <c r="AI1195" s="51" t="str">
        <f aca="false">IF(AND(AC1195=1,AA1195&lt;1),IF(AND(C1196=C1195,AA1196=AA1195+1),IF(AC1196=1,"",INDEX(DATAS,AA1195+1)),INDEX(DATAS,AA1195+1)),"")</f>
        <v/>
      </c>
    </row>
    <row r="1196" customFormat="false" ht="15" hidden="false" customHeight="false" outlineLevel="0" collapsed="false">
      <c r="A1196" s="51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46" t="s">
        <v>845</v>
      </c>
      <c r="G1196" s="0" t="n">
        <v>14.3</v>
      </c>
      <c r="H1196" s="0" t="n">
        <v>17</v>
      </c>
      <c r="I1196" s="46" t="s">
        <v>152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51" t="n">
        <v>46177</v>
      </c>
      <c r="X1196" s="46" t="n">
        <f aca="false">IF(I1196="Male",0,1)</f>
        <v>1</v>
      </c>
      <c r="Y1196" s="46" t="n">
        <f aca="false">IF(OR(I1196="DNB",I1196="Dry DNB"),1,0)</f>
        <v>0</v>
      </c>
      <c r="Z1196" s="46" t="n">
        <f aca="false">IF(ISNUMBER(W1196),A1196-W1196,"")</f>
        <v>132</v>
      </c>
      <c r="AA1196" s="46" t="n">
        <f aca="false">MATCH(A1196,DATAS,0)</f>
        <v>1</v>
      </c>
      <c r="AB1196" s="46" t="n">
        <f aca="false">IF(AND(E1196&gt;0,OR(AND(B1196&gt;=1,B1196&lt;=6),B1196=10)),1,0)</f>
        <v>1</v>
      </c>
      <c r="AC1196" s="46" t="n">
        <f aca="false">IF(AND(E1196&gt;0,B1196=10),1,0)</f>
        <v>0</v>
      </c>
      <c r="AD1196" s="0" t="str">
        <f aca="false">IF(AND(C1195=C1196,AA1195=AA1196-1),AB1195,"")</f>
        <v/>
      </c>
      <c r="AE1196" s="0" t="str">
        <f aca="false">IF(AND(C1195=C1196,AA1195=AA1196-1),AC1195,"")</f>
        <v/>
      </c>
      <c r="AF1196" s="0" t="str">
        <f aca="false">IF(AA1196=1,"",IF(AND(AB1196=1,AD1196&lt;&gt;1),1,0))</f>
        <v/>
      </c>
      <c r="AG1196" s="0" t="str">
        <f aca="false">IF(AA1196=1,"",IF(AND(AC1196=1,AE1196&lt;&gt;1),1,0))</f>
        <v/>
      </c>
      <c r="AH1196" s="51" t="str">
        <f aca="false">IF(AND(E1196&gt;0,AA1196&lt;1,NOT(AND(C1197=C1196,AA1197=AA1196+1))),INDEX(DATAS,AA1196+1),"")</f>
        <v/>
      </c>
      <c r="AI1196" s="51" t="str">
        <f aca="false">IF(AND(AC1196=1,AA1196&lt;1),IF(AND(C1197=C1196,AA1197=AA1196+1),IF(AC1197=1,"",INDEX(DATAS,AA1196+1)),INDEX(DATAS,AA1196+1)),"")</f>
        <v/>
      </c>
    </row>
    <row r="1197" customFormat="false" ht="15" hidden="false" customHeight="false" outlineLevel="0" collapsed="false">
      <c r="A1197" s="51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46" t="s">
        <v>846</v>
      </c>
      <c r="G1197" s="0" t="n">
        <v>51.6</v>
      </c>
      <c r="H1197" s="0" t="n">
        <v>48</v>
      </c>
      <c r="I1197" s="46" t="s">
        <v>161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X1197" s="46" t="n">
        <f aca="false">IF(I1197="Male",0,1)</f>
        <v>1</v>
      </c>
      <c r="Y1197" s="46" t="n">
        <f aca="false">IF(OR(I1197="DNB",I1197="Dry DNB"),1,0)</f>
        <v>0</v>
      </c>
      <c r="Z1197" s="0" t="str">
        <f aca="false">IF(ISNUMBER(W1197),A1197-W1197,"")</f>
        <v/>
      </c>
      <c r="AA1197" s="46" t="n">
        <f aca="false">MATCH(A1197,DATAS,0)</f>
        <v>1</v>
      </c>
      <c r="AB1197" s="46" t="n">
        <f aca="false">IF(AND(E1197&gt;0,OR(AND(B1197&gt;=1,B1197&lt;=6),B1197=10)),1,0)</f>
        <v>1</v>
      </c>
      <c r="AC1197" s="46" t="n">
        <f aca="false">IF(AND(E1197&gt;0,B1197=10),1,0)</f>
        <v>0</v>
      </c>
      <c r="AD1197" s="0" t="str">
        <f aca="false">IF(AND(C1196=C1197,AA1196=AA1197-1),AB1196,"")</f>
        <v/>
      </c>
      <c r="AE1197" s="0" t="str">
        <f aca="false">IF(AND(C1196=C1197,AA1196=AA1197-1),AC1196,"")</f>
        <v/>
      </c>
      <c r="AF1197" s="0" t="str">
        <f aca="false">IF(AA1197=1,"",IF(AND(AB1197=1,AD1197&lt;&gt;1),1,0))</f>
        <v/>
      </c>
      <c r="AG1197" s="0" t="str">
        <f aca="false">IF(AA1197=1,"",IF(AND(AC1197=1,AE1197&lt;&gt;1),1,0))</f>
        <v/>
      </c>
      <c r="AH1197" s="51" t="str">
        <f aca="false">IF(AND(E1197&gt;0,AA1197&lt;1,NOT(AND(C1198=C1197,AA1198=AA1197+1))),INDEX(DATAS,AA1197+1),"")</f>
        <v/>
      </c>
      <c r="AI1197" s="51" t="str">
        <f aca="false">IF(AND(AC1197=1,AA1197&lt;1),IF(AND(C1198=C1197,AA1198=AA1197+1),IF(AC1198=1,"",INDEX(DATAS,AA1197+1)),INDEX(DATAS,AA1197+1)),"")</f>
        <v/>
      </c>
    </row>
    <row r="1198" customFormat="false" ht="15" hidden="false" customHeight="false" outlineLevel="0" collapsed="false">
      <c r="A1198" s="51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46" t="s">
        <v>846</v>
      </c>
      <c r="G1198" s="0" t="n">
        <v>32.3</v>
      </c>
      <c r="H1198" s="0" t="n">
        <v>26</v>
      </c>
      <c r="I1198" s="46" t="s">
        <v>161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X1198" s="46" t="n">
        <f aca="false">IF(I1198="Male",0,1)</f>
        <v>1</v>
      </c>
      <c r="Y1198" s="46" t="n">
        <f aca="false">IF(OR(I1198="DNB",I1198="Dry DNB"),1,0)</f>
        <v>0</v>
      </c>
      <c r="Z1198" s="0" t="str">
        <f aca="false">IF(ISNUMBER(W1198),A1198-W1198,"")</f>
        <v/>
      </c>
      <c r="AA1198" s="46" t="n">
        <f aca="false">MATCH(A1198,DATAS,0)</f>
        <v>1</v>
      </c>
      <c r="AB1198" s="46" t="n">
        <f aca="false">IF(AND(E1198&gt;0,OR(AND(B1198&gt;=1,B1198&lt;=6),B1198=10)),1,0)</f>
        <v>1</v>
      </c>
      <c r="AC1198" s="46" t="n">
        <f aca="false">IF(AND(E1198&gt;0,B1198=10),1,0)</f>
        <v>0</v>
      </c>
      <c r="AD1198" s="0" t="str">
        <f aca="false">IF(AND(C1197=C1198,AA1197=AA1198-1),AB1197,"")</f>
        <v/>
      </c>
      <c r="AE1198" s="0" t="str">
        <f aca="false">IF(AND(C1197=C1198,AA1197=AA1198-1),AC1197,"")</f>
        <v/>
      </c>
      <c r="AF1198" s="0" t="str">
        <f aca="false">IF(AA1198=1,"",IF(AND(AB1198=1,AD1198&lt;&gt;1),1,0))</f>
        <v/>
      </c>
      <c r="AG1198" s="0" t="str">
        <f aca="false">IF(AA1198=1,"",IF(AND(AC1198=1,AE1198&lt;&gt;1),1,0))</f>
        <v/>
      </c>
      <c r="AH1198" s="51" t="str">
        <f aca="false">IF(AND(E1198&gt;0,AA1198&lt;1,NOT(AND(C1199=C1198,AA1199=AA1198+1))),INDEX(DATAS,AA1198+1),"")</f>
        <v/>
      </c>
      <c r="AI1198" s="51" t="str">
        <f aca="false">IF(AND(AC1198=1,AA1198&lt;1),IF(AND(C1199=C1198,AA1199=AA1198+1),IF(AC1199=1,"",INDEX(DATAS,AA1198+1)),INDEX(DATAS,AA1198+1)),"")</f>
        <v/>
      </c>
    </row>
    <row r="1199" customFormat="false" ht="15" hidden="false" customHeight="false" outlineLevel="0" collapsed="false">
      <c r="A1199" s="51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46" t="s">
        <v>847</v>
      </c>
      <c r="G1199" s="0" t="n">
        <v>59.2</v>
      </c>
      <c r="H1199" s="0" t="n">
        <v>59</v>
      </c>
      <c r="I1199" s="46" t="s">
        <v>152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51" t="n">
        <v>46184</v>
      </c>
      <c r="X1199" s="46" t="n">
        <f aca="false">IF(I1199="Male",0,1)</f>
        <v>1</v>
      </c>
      <c r="Y1199" s="46" t="n">
        <f aca="false">IF(OR(I1199="DNB",I1199="Dry DNB"),1,0)</f>
        <v>0</v>
      </c>
      <c r="Z1199" s="46" t="n">
        <f aca="false">IF(ISNUMBER(W1199),A1199-W1199,"")</f>
        <v>125</v>
      </c>
      <c r="AA1199" s="46" t="n">
        <f aca="false">MATCH(A1199,DATAS,0)</f>
        <v>1</v>
      </c>
      <c r="AB1199" s="46" t="n">
        <f aca="false">IF(AND(E1199&gt;0,OR(AND(B1199&gt;=1,B1199&lt;=6),B1199=10)),1,0)</f>
        <v>1</v>
      </c>
      <c r="AC1199" s="46" t="n">
        <f aca="false">IF(AND(E1199&gt;0,B1199=10),1,0)</f>
        <v>0</v>
      </c>
      <c r="AD1199" s="0" t="str">
        <f aca="false">IF(AND(C1198=C1199,AA1198=AA1199-1),AB1198,"")</f>
        <v/>
      </c>
      <c r="AE1199" s="0" t="str">
        <f aca="false">IF(AND(C1198=C1199,AA1198=AA1199-1),AC1198,"")</f>
        <v/>
      </c>
      <c r="AF1199" s="0" t="str">
        <f aca="false">IF(AA1199=1,"",IF(AND(AB1199=1,AD1199&lt;&gt;1),1,0))</f>
        <v/>
      </c>
      <c r="AG1199" s="0" t="str">
        <f aca="false">IF(AA1199=1,"",IF(AND(AC1199=1,AE1199&lt;&gt;1),1,0))</f>
        <v/>
      </c>
      <c r="AH1199" s="51" t="str">
        <f aca="false">IF(AND(E1199&gt;0,AA1199&lt;1,NOT(AND(C1200=C1199,AA1200=AA1199+1))),INDEX(DATAS,AA1199+1),"")</f>
        <v/>
      </c>
      <c r="AI1199" s="51" t="str">
        <f aca="false">IF(AND(AC1199=1,AA1199&lt;1),IF(AND(C1200=C1199,AA1200=AA1199+1),IF(AC1200=1,"",INDEX(DATAS,AA1199+1)),INDEX(DATAS,AA1199+1)),"")</f>
        <v/>
      </c>
    </row>
    <row r="1200" customFormat="false" ht="15" hidden="false" customHeight="false" outlineLevel="0" collapsed="false">
      <c r="A1200" s="51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46" t="s">
        <v>848</v>
      </c>
      <c r="G1200" s="0" t="n">
        <v>47.5</v>
      </c>
      <c r="H1200" s="0" t="n">
        <v>47</v>
      </c>
      <c r="I1200" s="46" t="s">
        <v>152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51" t="n">
        <v>46149</v>
      </c>
      <c r="X1200" s="46" t="n">
        <f aca="false">IF(I1200="Male",0,1)</f>
        <v>1</v>
      </c>
      <c r="Y1200" s="46" t="n">
        <f aca="false">IF(OR(I1200="DNB",I1200="Dry DNB"),1,0)</f>
        <v>0</v>
      </c>
      <c r="Z1200" s="46" t="n">
        <f aca="false">IF(ISNUMBER(W1200),A1200-W1200,"")</f>
        <v>160</v>
      </c>
      <c r="AA1200" s="46" t="n">
        <f aca="false">MATCH(A1200,DATAS,0)</f>
        <v>1</v>
      </c>
      <c r="AB1200" s="46" t="n">
        <f aca="false">IF(AND(E1200&gt;0,OR(AND(B1200&gt;=1,B1200&lt;=6),B1200=10)),1,0)</f>
        <v>1</v>
      </c>
      <c r="AC1200" s="46" t="n">
        <f aca="false">IF(AND(E1200&gt;0,B1200=10),1,0)</f>
        <v>0</v>
      </c>
      <c r="AD1200" s="0" t="str">
        <f aca="false">IF(AND(C1199=C1200,AA1199=AA1200-1),AB1199,"")</f>
        <v/>
      </c>
      <c r="AE1200" s="0" t="str">
        <f aca="false">IF(AND(C1199=C1200,AA1199=AA1200-1),AC1199,"")</f>
        <v/>
      </c>
      <c r="AF1200" s="0" t="str">
        <f aca="false">IF(AA1200=1,"",IF(AND(AB1200=1,AD1200&lt;&gt;1),1,0))</f>
        <v/>
      </c>
      <c r="AG1200" s="0" t="str">
        <f aca="false">IF(AA1200=1,"",IF(AND(AC1200=1,AE1200&lt;&gt;1),1,0))</f>
        <v/>
      </c>
      <c r="AH1200" s="51" t="str">
        <f aca="false">IF(AND(E1200&gt;0,AA1200&lt;1,NOT(AND(C1201=C1200,AA1201=AA1200+1))),INDEX(DATAS,AA1200+1),"")</f>
        <v/>
      </c>
      <c r="AI1200" s="51" t="str">
        <f aca="false">IF(AND(AC1200=1,AA1200&lt;1),IF(AND(C1201=C1200,AA1201=AA1200+1),IF(AC1201=1,"",INDEX(DATAS,AA1200+1)),INDEX(DATAS,AA1200+1)),"")</f>
        <v/>
      </c>
    </row>
    <row r="1201" customFormat="false" ht="15" hidden="false" customHeight="false" outlineLevel="0" collapsed="false">
      <c r="A1201" s="51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46" t="s">
        <v>848</v>
      </c>
      <c r="G1201" s="0" t="n">
        <v>41.2</v>
      </c>
      <c r="H1201" s="0" t="n">
        <v>41</v>
      </c>
      <c r="I1201" s="46" t="s">
        <v>152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51" t="n">
        <v>46226</v>
      </c>
      <c r="X1201" s="46" t="n">
        <f aca="false">IF(I1201="Male",0,1)</f>
        <v>1</v>
      </c>
      <c r="Y1201" s="46" t="n">
        <f aca="false">IF(OR(I1201="DNB",I1201="Dry DNB"),1,0)</f>
        <v>0</v>
      </c>
      <c r="Z1201" s="46" t="n">
        <f aca="false">IF(ISNUMBER(W1201),A1201-W1201,"")</f>
        <v>83</v>
      </c>
      <c r="AA1201" s="46" t="n">
        <f aca="false">MATCH(A1201,DATAS,0)</f>
        <v>1</v>
      </c>
      <c r="AB1201" s="46" t="n">
        <f aca="false">IF(AND(E1201&gt;0,OR(AND(B1201&gt;=1,B1201&lt;=6),B1201=10)),1,0)</f>
        <v>1</v>
      </c>
      <c r="AC1201" s="46" t="n">
        <f aca="false">IF(AND(E1201&gt;0,B1201=10),1,0)</f>
        <v>0</v>
      </c>
      <c r="AD1201" s="0" t="str">
        <f aca="false">IF(AND(C1200=C1201,AA1200=AA1201-1),AB1200,"")</f>
        <v/>
      </c>
      <c r="AE1201" s="0" t="str">
        <f aca="false">IF(AND(C1200=C1201,AA1200=AA1201-1),AC1200,"")</f>
        <v/>
      </c>
      <c r="AF1201" s="0" t="str">
        <f aca="false">IF(AA1201=1,"",IF(AND(AB1201=1,AD1201&lt;&gt;1),1,0))</f>
        <v/>
      </c>
      <c r="AG1201" s="0" t="str">
        <f aca="false">IF(AA1201=1,"",IF(AND(AC1201=1,AE1201&lt;&gt;1),1,0))</f>
        <v/>
      </c>
      <c r="AH1201" s="51" t="str">
        <f aca="false">IF(AND(E1201&gt;0,AA1201&lt;1,NOT(AND(C1202=C1201,AA1202=AA1201+1))),INDEX(DATAS,AA1201+1),"")</f>
        <v/>
      </c>
      <c r="AI1201" s="51" t="str">
        <f aca="false">IF(AND(AC1201=1,AA1201&lt;1),IF(AND(C1202=C1201,AA1202=AA1201+1),IF(AC1202=1,"",INDEX(DATAS,AA1201+1)),INDEX(DATAS,AA1201+1)),"")</f>
        <v/>
      </c>
    </row>
    <row r="1202" customFormat="false" ht="15" hidden="false" customHeight="false" outlineLevel="0" collapsed="false">
      <c r="A1202" s="51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46" t="s">
        <v>849</v>
      </c>
      <c r="G1202" s="0" t="n">
        <v>35.2</v>
      </c>
      <c r="H1202" s="0" t="n">
        <v>32</v>
      </c>
      <c r="I1202" s="46" t="s">
        <v>152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51" t="n">
        <v>46161</v>
      </c>
      <c r="X1202" s="46" t="n">
        <f aca="false">IF(I1202="Male",0,1)</f>
        <v>1</v>
      </c>
      <c r="Y1202" s="46" t="n">
        <f aca="false">IF(OR(I1202="DNB",I1202="Dry DNB"),1,0)</f>
        <v>0</v>
      </c>
      <c r="Z1202" s="46" t="n">
        <f aca="false">IF(ISNUMBER(W1202),A1202-W1202,"")</f>
        <v>148</v>
      </c>
      <c r="AA1202" s="46" t="n">
        <f aca="false">MATCH(A1202,DATAS,0)</f>
        <v>1</v>
      </c>
      <c r="AB1202" s="46" t="n">
        <f aca="false">IF(AND(E1202&gt;0,OR(AND(B1202&gt;=1,B1202&lt;=6),B1202=10)),1,0)</f>
        <v>1</v>
      </c>
      <c r="AC1202" s="46" t="n">
        <f aca="false">IF(AND(E1202&gt;0,B1202=10),1,0)</f>
        <v>0</v>
      </c>
      <c r="AD1202" s="0" t="str">
        <f aca="false">IF(AND(C1201=C1202,AA1201=AA1202-1),AB1201,"")</f>
        <v/>
      </c>
      <c r="AE1202" s="0" t="str">
        <f aca="false">IF(AND(C1201=C1202,AA1201=AA1202-1),AC1201,"")</f>
        <v/>
      </c>
      <c r="AF1202" s="0" t="str">
        <f aca="false">IF(AA1202=1,"",IF(AND(AB1202=1,AD1202&lt;&gt;1),1,0))</f>
        <v/>
      </c>
      <c r="AG1202" s="0" t="str">
        <f aca="false">IF(AA1202=1,"",IF(AND(AC1202=1,AE1202&lt;&gt;1),1,0))</f>
        <v/>
      </c>
      <c r="AH1202" s="51" t="str">
        <f aca="false">IF(AND(E1202&gt;0,AA1202&lt;1,NOT(AND(C1203=C1202,AA1203=AA1202+1))),INDEX(DATAS,AA1202+1),"")</f>
        <v/>
      </c>
      <c r="AI1202" s="51" t="str">
        <f aca="false">IF(AND(AC1202=1,AA1202&lt;1),IF(AND(C1203=C1202,AA1203=AA1202+1),IF(AC1203=1,"",INDEX(DATAS,AA1202+1)),INDEX(DATAS,AA1202+1)),"")</f>
        <v/>
      </c>
    </row>
    <row r="1203" customFormat="false" ht="15" hidden="false" customHeight="false" outlineLevel="0" collapsed="false">
      <c r="A1203" s="51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46" t="s">
        <v>849</v>
      </c>
      <c r="G1203" s="0" t="n">
        <v>12.2</v>
      </c>
      <c r="H1203" s="0" t="n">
        <v>34</v>
      </c>
      <c r="I1203" s="46" t="s">
        <v>157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51" t="n">
        <v>46086</v>
      </c>
      <c r="X1203" s="46" t="n">
        <f aca="false">IF(I1203="Male",0,1)</f>
        <v>1</v>
      </c>
      <c r="Y1203" s="46" t="n">
        <f aca="false">IF(OR(I1203="DNB",I1203="Dry DNB"),1,0)</f>
        <v>0</v>
      </c>
      <c r="Z1203" s="46" t="n">
        <f aca="false">IF(ISNUMBER(W1203),A1203-W1203,"")</f>
        <v>223</v>
      </c>
      <c r="AA1203" s="46" t="n">
        <f aca="false">MATCH(A1203,DATAS,0)</f>
        <v>1</v>
      </c>
      <c r="AB1203" s="46" t="n">
        <f aca="false">IF(AND(E1203&gt;0,OR(AND(B1203&gt;=1,B1203&lt;=6),B1203=10)),1,0)</f>
        <v>0</v>
      </c>
      <c r="AC1203" s="46" t="n">
        <f aca="false">IF(AND(E1203&gt;0,B1203=10),1,0)</f>
        <v>0</v>
      </c>
      <c r="AD1203" s="0" t="str">
        <f aca="false">IF(AND(C1202=C1203,AA1202=AA1203-1),AB1202,"")</f>
        <v/>
      </c>
      <c r="AE1203" s="0" t="str">
        <f aca="false">IF(AND(C1202=C1203,AA1202=AA1203-1),AC1202,"")</f>
        <v/>
      </c>
      <c r="AF1203" s="0" t="str">
        <f aca="false">IF(AA1203=1,"",IF(AND(AB1203=1,AD1203&lt;&gt;1),1,0))</f>
        <v/>
      </c>
      <c r="AG1203" s="0" t="str">
        <f aca="false">IF(AA1203=1,"",IF(AND(AC1203=1,AE1203&lt;&gt;1),1,0))</f>
        <v/>
      </c>
      <c r="AH1203" s="51" t="str">
        <f aca="false">IF(AND(E1203&gt;0,AA1203&lt;1,NOT(AND(C1204=C1203,AA1204=AA1203+1))),INDEX(DATAS,AA1203+1),"")</f>
        <v/>
      </c>
      <c r="AI1203" s="51" t="str">
        <f aca="false">IF(AND(AC1203=1,AA1203&lt;1),IF(AND(C1204=C1203,AA1204=AA1203+1),IF(AC1204=1,"",INDEX(DATAS,AA1203+1)),INDEX(DATAS,AA1203+1)),"")</f>
        <v/>
      </c>
    </row>
    <row r="1204" customFormat="false" ht="15" hidden="false" customHeight="false" outlineLevel="0" collapsed="false">
      <c r="A1204" s="51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46" t="s">
        <v>849</v>
      </c>
      <c r="G1204" s="0" t="n">
        <v>52.2</v>
      </c>
      <c r="H1204" s="0" t="n">
        <v>48</v>
      </c>
      <c r="I1204" s="46" t="s">
        <v>152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51" t="n">
        <v>46114</v>
      </c>
      <c r="X1204" s="46" t="n">
        <f aca="false">IF(I1204="Male",0,1)</f>
        <v>1</v>
      </c>
      <c r="Y1204" s="46" t="n">
        <f aca="false">IF(OR(I1204="DNB",I1204="Dry DNB"),1,0)</f>
        <v>0</v>
      </c>
      <c r="Z1204" s="46" t="n">
        <f aca="false">IF(ISNUMBER(W1204),A1204-W1204,"")</f>
        <v>195</v>
      </c>
      <c r="AA1204" s="46" t="n">
        <f aca="false">MATCH(A1204,DATAS,0)</f>
        <v>1</v>
      </c>
      <c r="AB1204" s="46" t="n">
        <f aca="false">IF(AND(E1204&gt;0,OR(AND(B1204&gt;=1,B1204&lt;=6),B1204=10)),1,0)</f>
        <v>1</v>
      </c>
      <c r="AC1204" s="46" t="n">
        <f aca="false">IF(AND(E1204&gt;0,B1204=10),1,0)</f>
        <v>0</v>
      </c>
      <c r="AD1204" s="0" t="str">
        <f aca="false">IF(AND(C1203=C1204,AA1203=AA1204-1),AB1203,"")</f>
        <v/>
      </c>
      <c r="AE1204" s="0" t="str">
        <f aca="false">IF(AND(C1203=C1204,AA1203=AA1204-1),AC1203,"")</f>
        <v/>
      </c>
      <c r="AF1204" s="0" t="str">
        <f aca="false">IF(AA1204=1,"",IF(AND(AB1204=1,AD1204&lt;&gt;1),1,0))</f>
        <v/>
      </c>
      <c r="AG1204" s="0" t="str">
        <f aca="false">IF(AA1204=1,"",IF(AND(AC1204=1,AE1204&lt;&gt;1),1,0))</f>
        <v/>
      </c>
      <c r="AH1204" s="51" t="str">
        <f aca="false">IF(AND(E1204&gt;0,AA1204&lt;1,NOT(AND(C1205=C1204,AA1205=AA1204+1))),INDEX(DATAS,AA1204+1),"")</f>
        <v/>
      </c>
      <c r="AI1204" s="51" t="str">
        <f aca="false">IF(AND(AC1204=1,AA1204&lt;1),IF(AND(C1205=C1204,AA1205=AA1204+1),IF(AC1205=1,"",INDEX(DATAS,AA1204+1)),INDEX(DATAS,AA1204+1)),"")</f>
        <v/>
      </c>
    </row>
    <row r="1205" customFormat="false" ht="15" hidden="false" customHeight="false" outlineLevel="0" collapsed="false">
      <c r="A1205" s="51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46" t="s">
        <v>849</v>
      </c>
      <c r="G1205" s="0" t="n">
        <v>37.4</v>
      </c>
      <c r="H1205" s="0" t="n">
        <v>36</v>
      </c>
      <c r="I1205" s="46" t="s">
        <v>152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51" t="n">
        <v>46247</v>
      </c>
      <c r="X1205" s="46" t="n">
        <f aca="false">IF(I1205="Male",0,1)</f>
        <v>1</v>
      </c>
      <c r="Y1205" s="46" t="n">
        <f aca="false">IF(OR(I1205="DNB",I1205="Dry DNB"),1,0)</f>
        <v>0</v>
      </c>
      <c r="Z1205" s="46" t="n">
        <f aca="false">IF(ISNUMBER(W1205),A1205-W1205,"")</f>
        <v>62</v>
      </c>
      <c r="AA1205" s="46" t="n">
        <f aca="false">MATCH(A1205,DATAS,0)</f>
        <v>1</v>
      </c>
      <c r="AB1205" s="46" t="n">
        <f aca="false">IF(AND(E1205&gt;0,OR(AND(B1205&gt;=1,B1205&lt;=6),B1205=10)),1,0)</f>
        <v>1</v>
      </c>
      <c r="AC1205" s="46" t="n">
        <f aca="false">IF(AND(E1205&gt;0,B1205=10),1,0)</f>
        <v>0</v>
      </c>
      <c r="AD1205" s="0" t="str">
        <f aca="false">IF(AND(C1204=C1205,AA1204=AA1205-1),AB1204,"")</f>
        <v/>
      </c>
      <c r="AE1205" s="0" t="str">
        <f aca="false">IF(AND(C1204=C1205,AA1204=AA1205-1),AC1204,"")</f>
        <v/>
      </c>
      <c r="AF1205" s="0" t="str">
        <f aca="false">IF(AA1205=1,"",IF(AND(AB1205=1,AD1205&lt;&gt;1),1,0))</f>
        <v/>
      </c>
      <c r="AG1205" s="0" t="str">
        <f aca="false">IF(AA1205=1,"",IF(AND(AC1205=1,AE1205&lt;&gt;1),1,0))</f>
        <v/>
      </c>
      <c r="AH1205" s="51" t="str">
        <f aca="false">IF(AND(E1205&gt;0,AA1205&lt;1,NOT(AND(C1206=C1205,AA1206=AA1205+1))),INDEX(DATAS,AA1205+1),"")</f>
        <v/>
      </c>
      <c r="AI1205" s="51" t="str">
        <f aca="false">IF(AND(AC1205=1,AA1205&lt;1),IF(AND(C1206=C1205,AA1206=AA1205+1),IF(AC1206=1,"",INDEX(DATAS,AA1205+1)),INDEX(DATAS,AA1205+1)),"")</f>
        <v/>
      </c>
    </row>
    <row r="1206" customFormat="false" ht="15" hidden="false" customHeight="false" outlineLevel="0" collapsed="false">
      <c r="A1206" s="51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46" t="s">
        <v>849</v>
      </c>
      <c r="G1206" s="0" t="n">
        <v>36</v>
      </c>
      <c r="H1206" s="0" t="n">
        <v>38</v>
      </c>
      <c r="I1206" s="46" t="s">
        <v>152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51" t="n">
        <v>46240</v>
      </c>
      <c r="X1206" s="46" t="n">
        <f aca="false">IF(I1206="Male",0,1)</f>
        <v>1</v>
      </c>
      <c r="Y1206" s="46" t="n">
        <f aca="false">IF(OR(I1206="DNB",I1206="Dry DNB"),1,0)</f>
        <v>0</v>
      </c>
      <c r="Z1206" s="46" t="n">
        <f aca="false">IF(ISNUMBER(W1206),A1206-W1206,"")</f>
        <v>69</v>
      </c>
      <c r="AA1206" s="46" t="n">
        <f aca="false">MATCH(A1206,DATAS,0)</f>
        <v>1</v>
      </c>
      <c r="AB1206" s="46" t="n">
        <f aca="false">IF(AND(E1206&gt;0,OR(AND(B1206&gt;=1,B1206&lt;=6),B1206=10)),1,0)</f>
        <v>1</v>
      </c>
      <c r="AC1206" s="46" t="n">
        <f aca="false">IF(AND(E1206&gt;0,B1206=10),1,0)</f>
        <v>0</v>
      </c>
      <c r="AD1206" s="0" t="str">
        <f aca="false">IF(AND(C1205=C1206,AA1205=AA1206-1),AB1205,"")</f>
        <v/>
      </c>
      <c r="AE1206" s="0" t="str">
        <f aca="false">IF(AND(C1205=C1206,AA1205=AA1206-1),AC1205,"")</f>
        <v/>
      </c>
      <c r="AF1206" s="0" t="str">
        <f aca="false">IF(AA1206=1,"",IF(AND(AB1206=1,AD1206&lt;&gt;1),1,0))</f>
        <v/>
      </c>
      <c r="AG1206" s="0" t="str">
        <f aca="false">IF(AA1206=1,"",IF(AND(AC1206=1,AE1206&lt;&gt;1),1,0))</f>
        <v/>
      </c>
      <c r="AH1206" s="51" t="str">
        <f aca="false">IF(AND(E1206&gt;0,AA1206&lt;1,NOT(AND(C1207=C1206,AA1207=AA1206+1))),INDEX(DATAS,AA1206+1),"")</f>
        <v/>
      </c>
      <c r="AI1206" s="51" t="str">
        <f aca="false">IF(AND(AC1206=1,AA1206&lt;1),IF(AND(C1207=C1206,AA1207=AA1206+1),IF(AC1207=1,"",INDEX(DATAS,AA1206+1)),INDEX(DATAS,AA1206+1)),"")</f>
        <v/>
      </c>
    </row>
    <row r="1207" customFormat="false" ht="15" hidden="false" customHeight="false" outlineLevel="0" collapsed="false">
      <c r="A1207" s="51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46" t="s">
        <v>850</v>
      </c>
      <c r="I1207" s="46" t="s">
        <v>157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51" t="n">
        <v>46079</v>
      </c>
      <c r="X1207" s="46" t="n">
        <f aca="false">IF(I1207="Male",0,1)</f>
        <v>1</v>
      </c>
      <c r="Y1207" s="46" t="n">
        <f aca="false">IF(OR(I1207="DNB",I1207="Dry DNB"),1,0)</f>
        <v>0</v>
      </c>
      <c r="Z1207" s="46" t="n">
        <f aca="false">IF(ISNUMBER(W1207),A1207-W1207,"")</f>
        <v>230</v>
      </c>
      <c r="AA1207" s="46" t="n">
        <f aca="false">MATCH(A1207,DATAS,0)</f>
        <v>1</v>
      </c>
      <c r="AB1207" s="46" t="n">
        <f aca="false">IF(AND(E1207&gt;0,OR(AND(B1207&gt;=1,B1207&lt;=6),B1207=10)),1,0)</f>
        <v>0</v>
      </c>
      <c r="AC1207" s="46" t="n">
        <f aca="false">IF(AND(E1207&gt;0,B1207=10),1,0)</f>
        <v>0</v>
      </c>
      <c r="AD1207" s="0" t="str">
        <f aca="false">IF(AND(C1206=C1207,AA1206=AA1207-1),AB1206,"")</f>
        <v/>
      </c>
      <c r="AE1207" s="0" t="str">
        <f aca="false">IF(AND(C1206=C1207,AA1206=AA1207-1),AC1206,"")</f>
        <v/>
      </c>
      <c r="AF1207" s="0" t="str">
        <f aca="false">IF(AA1207=1,"",IF(AND(AB1207=1,AD1207&lt;&gt;1),1,0))</f>
        <v/>
      </c>
      <c r="AG1207" s="0" t="str">
        <f aca="false">IF(AA1207=1,"",IF(AND(AC1207=1,AE1207&lt;&gt;1),1,0))</f>
        <v/>
      </c>
      <c r="AH1207" s="51" t="str">
        <f aca="false">IF(AND(E1207&gt;0,AA1207&lt;1,NOT(AND(C1208=C1207,AA1208=AA1207+1))),INDEX(DATAS,AA1207+1),"")</f>
        <v/>
      </c>
      <c r="AI1207" s="51" t="str">
        <f aca="false">IF(AND(AC1207=1,AA1207&lt;1),IF(AND(C1208=C1207,AA1208=AA1207+1),IF(AC1208=1,"",INDEX(DATAS,AA1207+1)),INDEX(DATAS,AA1207+1)),"")</f>
        <v/>
      </c>
    </row>
    <row r="1208" customFormat="false" ht="15" hidden="false" customHeight="false" outlineLevel="0" collapsed="false">
      <c r="A1208" s="51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46" t="s">
        <v>851</v>
      </c>
      <c r="G1208" s="0" t="n">
        <v>42.9</v>
      </c>
      <c r="H1208" s="0" t="n">
        <v>43</v>
      </c>
      <c r="I1208" s="46" t="s">
        <v>152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51" t="n">
        <v>46114</v>
      </c>
      <c r="X1208" s="46" t="n">
        <f aca="false">IF(I1208="Male",0,1)</f>
        <v>1</v>
      </c>
      <c r="Y1208" s="46" t="n">
        <f aca="false">IF(OR(I1208="DNB",I1208="Dry DNB"),1,0)</f>
        <v>0</v>
      </c>
      <c r="Z1208" s="46" t="n">
        <f aca="false">IF(ISNUMBER(W1208),A1208-W1208,"")</f>
        <v>195</v>
      </c>
      <c r="AA1208" s="46" t="n">
        <f aca="false">MATCH(A1208,DATAS,0)</f>
        <v>1</v>
      </c>
      <c r="AB1208" s="46" t="n">
        <f aca="false">IF(AND(E1208&gt;0,OR(AND(B1208&gt;=1,B1208&lt;=6),B1208=10)),1,0)</f>
        <v>1</v>
      </c>
      <c r="AC1208" s="46" t="n">
        <f aca="false">IF(AND(E1208&gt;0,B1208=10),1,0)</f>
        <v>0</v>
      </c>
      <c r="AD1208" s="0" t="str">
        <f aca="false">IF(AND(C1207=C1208,AA1207=AA1208-1),AB1207,"")</f>
        <v/>
      </c>
      <c r="AE1208" s="0" t="str">
        <f aca="false">IF(AND(C1207=C1208,AA1207=AA1208-1),AC1207,"")</f>
        <v/>
      </c>
      <c r="AF1208" s="0" t="str">
        <f aca="false">IF(AA1208=1,"",IF(AND(AB1208=1,AD1208&lt;&gt;1),1,0))</f>
        <v/>
      </c>
      <c r="AG1208" s="0" t="str">
        <f aca="false">IF(AA1208=1,"",IF(AND(AC1208=1,AE1208&lt;&gt;1),1,0))</f>
        <v/>
      </c>
      <c r="AH1208" s="51" t="str">
        <f aca="false">IF(AND(E1208&gt;0,AA1208&lt;1,NOT(AND(C1209=C1208,AA1209=AA1208+1))),INDEX(DATAS,AA1208+1),"")</f>
        <v/>
      </c>
      <c r="AI1208" s="51" t="str">
        <f aca="false">IF(AND(AC1208=1,AA1208&lt;1),IF(AND(C1209=C1208,AA1209=AA1208+1),IF(AC1209=1,"",INDEX(DATAS,AA1208+1)),INDEX(DATAS,AA1208+1)),"")</f>
        <v/>
      </c>
    </row>
    <row r="1209" customFormat="false" ht="15" hidden="false" customHeight="false" outlineLevel="0" collapsed="false">
      <c r="A1209" s="51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46" t="s">
        <v>852</v>
      </c>
      <c r="G1209" s="0" t="n">
        <v>11.8</v>
      </c>
      <c r="H1209" s="0" t="n">
        <v>33</v>
      </c>
      <c r="I1209" s="46" t="s">
        <v>157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51" t="n">
        <v>46086</v>
      </c>
      <c r="X1209" s="46" t="n">
        <f aca="false">IF(I1209="Male",0,1)</f>
        <v>1</v>
      </c>
      <c r="Y1209" s="46" t="n">
        <f aca="false">IF(OR(I1209="DNB",I1209="Dry DNB"),1,0)</f>
        <v>0</v>
      </c>
      <c r="Z1209" s="46" t="n">
        <f aca="false">IF(ISNUMBER(W1209),A1209-W1209,"")</f>
        <v>223</v>
      </c>
      <c r="AA1209" s="46" t="n">
        <f aca="false">MATCH(A1209,DATAS,0)</f>
        <v>1</v>
      </c>
      <c r="AB1209" s="46" t="n">
        <f aca="false">IF(AND(E1209&gt;0,OR(AND(B1209&gt;=1,B1209&lt;=6),B1209=10)),1,0)</f>
        <v>0</v>
      </c>
      <c r="AC1209" s="46" t="n">
        <f aca="false">IF(AND(E1209&gt;0,B1209=10),1,0)</f>
        <v>0</v>
      </c>
      <c r="AD1209" s="0" t="str">
        <f aca="false">IF(AND(C1208=C1209,AA1208=AA1209-1),AB1208,"")</f>
        <v/>
      </c>
      <c r="AE1209" s="0" t="str">
        <f aca="false">IF(AND(C1208=C1209,AA1208=AA1209-1),AC1208,"")</f>
        <v/>
      </c>
      <c r="AF1209" s="0" t="str">
        <f aca="false">IF(AA1209=1,"",IF(AND(AB1209=1,AD1209&lt;&gt;1),1,0))</f>
        <v/>
      </c>
      <c r="AG1209" s="0" t="str">
        <f aca="false">IF(AA1209=1,"",IF(AND(AC1209=1,AE1209&lt;&gt;1),1,0))</f>
        <v/>
      </c>
      <c r="AH1209" s="51" t="str">
        <f aca="false">IF(AND(E1209&gt;0,AA1209&lt;1,NOT(AND(C1210=C1209,AA1210=AA1209+1))),INDEX(DATAS,AA1209+1),"")</f>
        <v/>
      </c>
      <c r="AI1209" s="51" t="str">
        <f aca="false">IF(AND(AC1209=1,AA1209&lt;1),IF(AND(C1210=C1209,AA1210=AA1209+1),IF(AC1210=1,"",INDEX(DATAS,AA1209+1)),INDEX(DATAS,AA1209+1)),"")</f>
        <v/>
      </c>
    </row>
    <row r="1210" customFormat="false" ht="15" hidden="false" customHeight="false" outlineLevel="0" collapsed="false">
      <c r="A1210" s="51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46" t="s">
        <v>852</v>
      </c>
      <c r="G1210" s="0" t="n">
        <v>24.6</v>
      </c>
      <c r="H1210" s="0" t="n">
        <v>45</v>
      </c>
      <c r="I1210" s="46" t="s">
        <v>152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51" t="n">
        <v>46159</v>
      </c>
      <c r="X1210" s="46" t="n">
        <f aca="false">IF(I1210="Male",0,1)</f>
        <v>1</v>
      </c>
      <c r="Y1210" s="46" t="n">
        <f aca="false">IF(OR(I1210="DNB",I1210="Dry DNB"),1,0)</f>
        <v>0</v>
      </c>
      <c r="Z1210" s="46" t="n">
        <f aca="false">IF(ISNUMBER(W1210),A1210-W1210,"")</f>
        <v>150</v>
      </c>
      <c r="AA1210" s="46" t="n">
        <f aca="false">MATCH(A1210,DATAS,0)</f>
        <v>1</v>
      </c>
      <c r="AB1210" s="46" t="n">
        <f aca="false">IF(AND(E1210&gt;0,OR(AND(B1210&gt;=1,B1210&lt;=6),B1210=10)),1,0)</f>
        <v>1</v>
      </c>
      <c r="AC1210" s="46" t="n">
        <f aca="false">IF(AND(E1210&gt;0,B1210=10),1,0)</f>
        <v>0</v>
      </c>
      <c r="AD1210" s="0" t="str">
        <f aca="false">IF(AND(C1209=C1210,AA1209=AA1210-1),AB1209,"")</f>
        <v/>
      </c>
      <c r="AE1210" s="0" t="str">
        <f aca="false">IF(AND(C1209=C1210,AA1209=AA1210-1),AC1209,"")</f>
        <v/>
      </c>
      <c r="AF1210" s="0" t="str">
        <f aca="false">IF(AA1210=1,"",IF(AND(AB1210=1,AD1210&lt;&gt;1),1,0))</f>
        <v/>
      </c>
      <c r="AG1210" s="0" t="str">
        <f aca="false">IF(AA1210=1,"",IF(AND(AC1210=1,AE1210&lt;&gt;1),1,0))</f>
        <v/>
      </c>
      <c r="AH1210" s="51" t="str">
        <f aca="false">IF(AND(E1210&gt;0,AA1210&lt;1,NOT(AND(C1211=C1210,AA1211=AA1210+1))),INDEX(DATAS,AA1210+1),"")</f>
        <v/>
      </c>
      <c r="AI1210" s="51" t="str">
        <f aca="false">IF(AND(AC1210=1,AA1210&lt;1),IF(AND(C1211=C1210,AA1211=AA1210+1),IF(AC1211=1,"",INDEX(DATAS,AA1210+1)),INDEX(DATAS,AA1210+1)),"")</f>
        <v/>
      </c>
    </row>
    <row r="1211" customFormat="false" ht="15" hidden="false" customHeight="false" outlineLevel="0" collapsed="false">
      <c r="A1211" s="51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46" t="s">
        <v>852</v>
      </c>
      <c r="H1211" s="0" t="n">
        <v>18</v>
      </c>
      <c r="I1211" s="46" t="s">
        <v>181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51" t="n">
        <v>46282</v>
      </c>
      <c r="X1211" s="46" t="n">
        <f aca="false">IF(I1211="Male",0,1)</f>
        <v>1</v>
      </c>
      <c r="Y1211" s="46" t="n">
        <f aca="false">IF(OR(I1211="DNB",I1211="Dry DNB"),1,0)</f>
        <v>0</v>
      </c>
      <c r="Z1211" s="46" t="n">
        <f aca="false">IF(ISNUMBER(W1211),A1211-W1211,"")</f>
        <v>27</v>
      </c>
      <c r="AA1211" s="46" t="n">
        <f aca="false">MATCH(A1211,DATAS,0)</f>
        <v>1</v>
      </c>
      <c r="AB1211" s="46" t="n">
        <f aca="false">IF(AND(E1211&gt;0,OR(AND(B1211&gt;=1,B1211&lt;=6),B1211=10)),1,0)</f>
        <v>1</v>
      </c>
      <c r="AC1211" s="46" t="n">
        <f aca="false">IF(AND(E1211&gt;0,B1211=10),1,0)</f>
        <v>0</v>
      </c>
      <c r="AD1211" s="0" t="str">
        <f aca="false">IF(AND(C1210=C1211,AA1210=AA1211-1),AB1210,"")</f>
        <v/>
      </c>
      <c r="AE1211" s="0" t="str">
        <f aca="false">IF(AND(C1210=C1211,AA1210=AA1211-1),AC1210,"")</f>
        <v/>
      </c>
      <c r="AF1211" s="0" t="str">
        <f aca="false">IF(AA1211=1,"",IF(AND(AB1211=1,AD1211&lt;&gt;1),1,0))</f>
        <v/>
      </c>
      <c r="AG1211" s="0" t="str">
        <f aca="false">IF(AA1211=1,"",IF(AND(AC1211=1,AE1211&lt;&gt;1),1,0))</f>
        <v/>
      </c>
      <c r="AH1211" s="51" t="str">
        <f aca="false">IF(AND(E1211&gt;0,AA1211&lt;1,NOT(AND(C1212=C1211,AA1212=AA1211+1))),INDEX(DATAS,AA1211+1),"")</f>
        <v/>
      </c>
      <c r="AI1211" s="51" t="str">
        <f aca="false">IF(AND(AC1211=1,AA1211&lt;1),IF(AND(C1212=C1211,AA1212=AA1211+1),IF(AC1212=1,"",INDEX(DATAS,AA1211+1)),INDEX(DATAS,AA1211+1)),"")</f>
        <v/>
      </c>
    </row>
    <row r="1212" customFormat="false" ht="15" hidden="false" customHeight="false" outlineLevel="0" collapsed="false">
      <c r="A1212" s="51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46" t="s">
        <v>852</v>
      </c>
      <c r="G1212" s="0" t="n">
        <v>53.1</v>
      </c>
      <c r="H1212" s="0" t="n">
        <v>50</v>
      </c>
      <c r="I1212" s="46" t="s">
        <v>152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51" t="n">
        <v>46198</v>
      </c>
      <c r="X1212" s="46" t="n">
        <f aca="false">IF(I1212="Male",0,1)</f>
        <v>1</v>
      </c>
      <c r="Y1212" s="46" t="n">
        <f aca="false">IF(OR(I1212="DNB",I1212="Dry DNB"),1,0)</f>
        <v>0</v>
      </c>
      <c r="Z1212" s="46" t="n">
        <f aca="false">IF(ISNUMBER(W1212),A1212-W1212,"")</f>
        <v>111</v>
      </c>
      <c r="AA1212" s="46" t="n">
        <f aca="false">MATCH(A1212,DATAS,0)</f>
        <v>1</v>
      </c>
      <c r="AB1212" s="46" t="n">
        <f aca="false">IF(AND(E1212&gt;0,OR(AND(B1212&gt;=1,B1212&lt;=6),B1212=10)),1,0)</f>
        <v>1</v>
      </c>
      <c r="AC1212" s="46" t="n">
        <f aca="false">IF(AND(E1212&gt;0,B1212=10),1,0)</f>
        <v>0</v>
      </c>
      <c r="AD1212" s="0" t="str">
        <f aca="false">IF(AND(C1211=C1212,AA1211=AA1212-1),AB1211,"")</f>
        <v/>
      </c>
      <c r="AE1212" s="0" t="str">
        <f aca="false">IF(AND(C1211=C1212,AA1211=AA1212-1),AC1211,"")</f>
        <v/>
      </c>
      <c r="AF1212" s="0" t="str">
        <f aca="false">IF(AA1212=1,"",IF(AND(AB1212=1,AD1212&lt;&gt;1),1,0))</f>
        <v/>
      </c>
      <c r="AG1212" s="0" t="str">
        <f aca="false">IF(AA1212=1,"",IF(AND(AC1212=1,AE1212&lt;&gt;1),1,0))</f>
        <v/>
      </c>
      <c r="AH1212" s="51" t="str">
        <f aca="false">IF(AND(E1212&gt;0,AA1212&lt;1,NOT(AND(C1213=C1212,AA1213=AA1212+1))),INDEX(DATAS,AA1212+1),"")</f>
        <v/>
      </c>
      <c r="AI1212" s="51" t="str">
        <f aca="false">IF(AND(AC1212=1,AA1212&lt;1),IF(AND(C1213=C1212,AA1213=AA1212+1),IF(AC1213=1,"",INDEX(DATAS,AA1212+1)),INDEX(DATAS,AA1212+1)),"")</f>
        <v/>
      </c>
    </row>
    <row r="1213" customFormat="false" ht="15" hidden="false" customHeight="false" outlineLevel="0" collapsed="false">
      <c r="A1213" s="51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46" t="s">
        <v>852</v>
      </c>
      <c r="I1213" s="46" t="s">
        <v>157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51" t="n">
        <v>46065</v>
      </c>
      <c r="X1213" s="46" t="n">
        <f aca="false">IF(I1213="Male",0,1)</f>
        <v>1</v>
      </c>
      <c r="Y1213" s="46" t="n">
        <f aca="false">IF(OR(I1213="DNB",I1213="Dry DNB"),1,0)</f>
        <v>0</v>
      </c>
      <c r="Z1213" s="46" t="n">
        <f aca="false">IF(ISNUMBER(W1213),A1213-W1213,"")</f>
        <v>244</v>
      </c>
      <c r="AA1213" s="46" t="n">
        <f aca="false">MATCH(A1213,DATAS,0)</f>
        <v>1</v>
      </c>
      <c r="AB1213" s="46" t="n">
        <f aca="false">IF(AND(E1213&gt;0,OR(AND(B1213&gt;=1,B1213&lt;=6),B1213=10)),1,0)</f>
        <v>0</v>
      </c>
      <c r="AC1213" s="46" t="n">
        <f aca="false">IF(AND(E1213&gt;0,B1213=10),1,0)</f>
        <v>0</v>
      </c>
      <c r="AD1213" s="0" t="str">
        <f aca="false">IF(AND(C1212=C1213,AA1212=AA1213-1),AB1212,"")</f>
        <v/>
      </c>
      <c r="AE1213" s="0" t="str">
        <f aca="false">IF(AND(C1212=C1213,AA1212=AA1213-1),AC1212,"")</f>
        <v/>
      </c>
      <c r="AF1213" s="0" t="str">
        <f aca="false">IF(AA1213=1,"",IF(AND(AB1213=1,AD1213&lt;&gt;1),1,0))</f>
        <v/>
      </c>
      <c r="AG1213" s="0" t="str">
        <f aca="false">IF(AA1213=1,"",IF(AND(AC1213=1,AE1213&lt;&gt;1),1,0))</f>
        <v/>
      </c>
      <c r="AH1213" s="51" t="str">
        <f aca="false">IF(AND(E1213&gt;0,AA1213&lt;1,NOT(AND(C1214=C1213,AA1214=AA1213+1))),INDEX(DATAS,AA1213+1),"")</f>
        <v/>
      </c>
      <c r="AI1213" s="51" t="str">
        <f aca="false">IF(AND(AC1213=1,AA1213&lt;1),IF(AND(C1214=C1213,AA1214=AA1213+1),IF(AC1214=1,"",INDEX(DATAS,AA1213+1)),INDEX(DATAS,AA1213+1)),"")</f>
        <v/>
      </c>
    </row>
    <row r="1214" customFormat="false" ht="15" hidden="false" customHeight="false" outlineLevel="0" collapsed="false">
      <c r="A1214" s="51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46" t="s">
        <v>852</v>
      </c>
      <c r="I1214" s="46" t="s">
        <v>157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51" t="n">
        <v>46046</v>
      </c>
      <c r="X1214" s="46" t="n">
        <f aca="false">IF(I1214="Male",0,1)</f>
        <v>1</v>
      </c>
      <c r="Y1214" s="46" t="n">
        <f aca="false">IF(OR(I1214="DNB",I1214="Dry DNB"),1,0)</f>
        <v>0</v>
      </c>
      <c r="Z1214" s="46" t="n">
        <f aca="false">IF(ISNUMBER(W1214),A1214-W1214,"")</f>
        <v>263</v>
      </c>
      <c r="AA1214" s="46" t="n">
        <f aca="false">MATCH(A1214,DATAS,0)</f>
        <v>1</v>
      </c>
      <c r="AB1214" s="46" t="n">
        <f aca="false">IF(AND(E1214&gt;0,OR(AND(B1214&gt;=1,B1214&lt;=6),B1214=10)),1,0)</f>
        <v>0</v>
      </c>
      <c r="AC1214" s="46" t="n">
        <f aca="false">IF(AND(E1214&gt;0,B1214=10),1,0)</f>
        <v>0</v>
      </c>
      <c r="AD1214" s="0" t="str">
        <f aca="false">IF(AND(C1213=C1214,AA1213=AA1214-1),AB1213,"")</f>
        <v/>
      </c>
      <c r="AE1214" s="0" t="str">
        <f aca="false">IF(AND(C1213=C1214,AA1213=AA1214-1),AC1213,"")</f>
        <v/>
      </c>
      <c r="AF1214" s="0" t="str">
        <f aca="false">IF(AA1214=1,"",IF(AND(AB1214=1,AD1214&lt;&gt;1),1,0))</f>
        <v/>
      </c>
      <c r="AG1214" s="0" t="str">
        <f aca="false">IF(AA1214=1,"",IF(AND(AC1214=1,AE1214&lt;&gt;1),1,0))</f>
        <v/>
      </c>
      <c r="AH1214" s="51" t="str">
        <f aca="false">IF(AND(E1214&gt;0,AA1214&lt;1,NOT(AND(C1215=C1214,AA1215=AA1214+1))),INDEX(DATAS,AA1214+1),"")</f>
        <v/>
      </c>
      <c r="AI1214" s="51" t="str">
        <f aca="false">IF(AND(AC1214=1,AA1214&lt;1),IF(AND(C1215=C1214,AA1215=AA1214+1),IF(AC1215=1,"",INDEX(DATAS,AA1214+1)),INDEX(DATAS,AA1214+1)),"")</f>
        <v/>
      </c>
    </row>
    <row r="1215" customFormat="false" ht="15" hidden="false" customHeight="false" outlineLevel="0" collapsed="false">
      <c r="A1215" s="51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46" t="s">
        <v>853</v>
      </c>
      <c r="G1215" s="0" t="n">
        <v>21.4</v>
      </c>
      <c r="H1215" s="0" t="n">
        <v>18</v>
      </c>
      <c r="I1215" s="46" t="s">
        <v>161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X1215" s="46" t="n">
        <f aca="false">IF(I1215="Male",0,1)</f>
        <v>1</v>
      </c>
      <c r="Y1215" s="46" t="n">
        <f aca="false">IF(OR(I1215="DNB",I1215="Dry DNB"),1,0)</f>
        <v>0</v>
      </c>
      <c r="Z1215" s="0" t="str">
        <f aca="false">IF(ISNUMBER(W1215),A1215-W1215,"")</f>
        <v/>
      </c>
      <c r="AA1215" s="46" t="n">
        <f aca="false">MATCH(A1215,DATAS,0)</f>
        <v>1</v>
      </c>
      <c r="AB1215" s="46" t="n">
        <f aca="false">IF(AND(E1215&gt;0,OR(AND(B1215&gt;=1,B1215&lt;=6),B1215=10)),1,0)</f>
        <v>1</v>
      </c>
      <c r="AC1215" s="46" t="n">
        <f aca="false">IF(AND(E1215&gt;0,B1215=10),1,0)</f>
        <v>0</v>
      </c>
      <c r="AD1215" s="0" t="str">
        <f aca="false">IF(AND(C1214=C1215,AA1214=AA1215-1),AB1214,"")</f>
        <v/>
      </c>
      <c r="AE1215" s="0" t="str">
        <f aca="false">IF(AND(C1214=C1215,AA1214=AA1215-1),AC1214,"")</f>
        <v/>
      </c>
      <c r="AF1215" s="0" t="str">
        <f aca="false">IF(AA1215=1,"",IF(AND(AB1215=1,AD1215&lt;&gt;1),1,0))</f>
        <v/>
      </c>
      <c r="AG1215" s="0" t="str">
        <f aca="false">IF(AA1215=1,"",IF(AND(AC1215=1,AE1215&lt;&gt;1),1,0))</f>
        <v/>
      </c>
      <c r="AH1215" s="51" t="str">
        <f aca="false">IF(AND(E1215&gt;0,AA1215&lt;1,NOT(AND(C1216=C1215,AA1216=AA1215+1))),INDEX(DATAS,AA1215+1),"")</f>
        <v/>
      </c>
      <c r="AI1215" s="51" t="str">
        <f aca="false">IF(AND(AC1215=1,AA1215&lt;1),IF(AND(C1216=C1215,AA1216=AA1215+1),IF(AC1216=1,"",INDEX(DATAS,AA1215+1)),INDEX(DATAS,AA1215+1)),"")</f>
        <v/>
      </c>
    </row>
    <row r="1216" customFormat="false" ht="15" hidden="false" customHeight="false" outlineLevel="0" collapsed="false">
      <c r="A1216" s="51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46" t="s">
        <v>854</v>
      </c>
      <c r="I1216" s="46" t="s">
        <v>157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51" t="n">
        <v>46058</v>
      </c>
      <c r="X1216" s="46" t="n">
        <f aca="false">IF(I1216="Male",0,1)</f>
        <v>1</v>
      </c>
      <c r="Y1216" s="46" t="n">
        <f aca="false">IF(OR(I1216="DNB",I1216="Dry DNB"),1,0)</f>
        <v>0</v>
      </c>
      <c r="Z1216" s="46" t="n">
        <f aca="false">IF(ISNUMBER(W1216),A1216-W1216,"")</f>
        <v>251</v>
      </c>
      <c r="AA1216" s="46" t="n">
        <f aca="false">MATCH(A1216,DATAS,0)</f>
        <v>1</v>
      </c>
      <c r="AB1216" s="46" t="n">
        <f aca="false">IF(AND(E1216&gt;0,OR(AND(B1216&gt;=1,B1216&lt;=6),B1216=10)),1,0)</f>
        <v>0</v>
      </c>
      <c r="AC1216" s="46" t="n">
        <f aca="false">IF(AND(E1216&gt;0,B1216=10),1,0)</f>
        <v>0</v>
      </c>
      <c r="AD1216" s="0" t="str">
        <f aca="false">IF(AND(C1215=C1216,AA1215=AA1216-1),AB1215,"")</f>
        <v/>
      </c>
      <c r="AE1216" s="0" t="str">
        <f aca="false">IF(AND(C1215=C1216,AA1215=AA1216-1),AC1215,"")</f>
        <v/>
      </c>
      <c r="AF1216" s="0" t="str">
        <f aca="false">IF(AA1216=1,"",IF(AND(AB1216=1,AD1216&lt;&gt;1),1,0))</f>
        <v/>
      </c>
      <c r="AG1216" s="0" t="str">
        <f aca="false">IF(AA1216=1,"",IF(AND(AC1216=1,AE1216&lt;&gt;1),1,0))</f>
        <v/>
      </c>
      <c r="AH1216" s="51" t="str">
        <f aca="false">IF(AND(E1216&gt;0,AA1216&lt;1,NOT(AND(C1217=C1216,AA1217=AA1216+1))),INDEX(DATAS,AA1216+1),"")</f>
        <v/>
      </c>
      <c r="AI1216" s="51" t="str">
        <f aca="false">IF(AND(AC1216=1,AA1216&lt;1),IF(AND(C1217=C1216,AA1217=AA1216+1),IF(AC1217=1,"",INDEX(DATAS,AA1216+1)),INDEX(DATAS,AA1216+1)),"")</f>
        <v/>
      </c>
    </row>
    <row r="1217" customFormat="false" ht="15" hidden="false" customHeight="false" outlineLevel="0" collapsed="false">
      <c r="A1217" s="51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46" t="s">
        <v>855</v>
      </c>
      <c r="G1217" s="0" t="n">
        <v>40</v>
      </c>
      <c r="H1217" s="0" t="n">
        <v>40</v>
      </c>
      <c r="I1217" s="46" t="s">
        <v>152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51" t="n">
        <v>46088</v>
      </c>
      <c r="X1217" s="46" t="n">
        <f aca="false">IF(I1217="Male",0,1)</f>
        <v>1</v>
      </c>
      <c r="Y1217" s="46" t="n">
        <f aca="false">IF(OR(I1217="DNB",I1217="Dry DNB"),1,0)</f>
        <v>0</v>
      </c>
      <c r="Z1217" s="46" t="n">
        <f aca="false">IF(ISNUMBER(W1217),A1217-W1217,"")</f>
        <v>221</v>
      </c>
      <c r="AA1217" s="46" t="n">
        <f aca="false">MATCH(A1217,DATAS,0)</f>
        <v>1</v>
      </c>
      <c r="AB1217" s="46" t="n">
        <f aca="false">IF(AND(E1217&gt;0,OR(AND(B1217&gt;=1,B1217&lt;=6),B1217=10)),1,0)</f>
        <v>1</v>
      </c>
      <c r="AC1217" s="46" t="n">
        <f aca="false">IF(AND(E1217&gt;0,B1217=10),1,0)</f>
        <v>0</v>
      </c>
      <c r="AD1217" s="0" t="str">
        <f aca="false">IF(AND(C1216=C1217,AA1216=AA1217-1),AB1216,"")</f>
        <v/>
      </c>
      <c r="AE1217" s="0" t="str">
        <f aca="false">IF(AND(C1216=C1217,AA1216=AA1217-1),AC1216,"")</f>
        <v/>
      </c>
      <c r="AF1217" s="0" t="str">
        <f aca="false">IF(AA1217=1,"",IF(AND(AB1217=1,AD1217&lt;&gt;1),1,0))</f>
        <v/>
      </c>
      <c r="AG1217" s="0" t="str">
        <f aca="false">IF(AA1217=1,"",IF(AND(AC1217=1,AE1217&lt;&gt;1),1,0))</f>
        <v/>
      </c>
      <c r="AH1217" s="51" t="str">
        <f aca="false">IF(AND(E1217&gt;0,AA1217&lt;1,NOT(AND(C1218=C1217,AA1218=AA1217+1))),INDEX(DATAS,AA1217+1),"")</f>
        <v/>
      </c>
      <c r="AI1217" s="51" t="str">
        <f aca="false">IF(AND(AC1217=1,AA1217&lt;1),IF(AND(C1218=C1217,AA1218=AA1217+1),IF(AC1218=1,"",INDEX(DATAS,AA1217+1)),INDEX(DATAS,AA1217+1)),"")</f>
        <v/>
      </c>
    </row>
    <row r="1218" customFormat="false" ht="15" hidden="false" customHeight="false" outlineLevel="0" collapsed="false">
      <c r="A1218" s="51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46" t="s">
        <v>855</v>
      </c>
      <c r="G1218" s="0" t="n">
        <v>45.2</v>
      </c>
      <c r="H1218" s="0" t="n">
        <v>49</v>
      </c>
      <c r="I1218" s="46" t="s">
        <v>152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51" t="n">
        <v>46184</v>
      </c>
      <c r="X1218" s="46" t="n">
        <f aca="false">IF(I1218="Male",0,1)</f>
        <v>1</v>
      </c>
      <c r="Y1218" s="46" t="n">
        <f aca="false">IF(OR(I1218="DNB",I1218="Dry DNB"),1,0)</f>
        <v>0</v>
      </c>
      <c r="Z1218" s="46" t="n">
        <f aca="false">IF(ISNUMBER(W1218),A1218-W1218,"")</f>
        <v>125</v>
      </c>
      <c r="AA1218" s="46" t="n">
        <f aca="false">MATCH(A1218,DATAS,0)</f>
        <v>1</v>
      </c>
      <c r="AB1218" s="46" t="n">
        <f aca="false">IF(AND(E1218&gt;0,OR(AND(B1218&gt;=1,B1218&lt;=6),B1218=10)),1,0)</f>
        <v>1</v>
      </c>
      <c r="AC1218" s="46" t="n">
        <f aca="false">IF(AND(E1218&gt;0,B1218=10),1,0)</f>
        <v>0</v>
      </c>
      <c r="AD1218" s="0" t="str">
        <f aca="false">IF(AND(C1217=C1218,AA1217=AA1218-1),AB1217,"")</f>
        <v/>
      </c>
      <c r="AE1218" s="0" t="str">
        <f aca="false">IF(AND(C1217=C1218,AA1217=AA1218-1),AC1217,"")</f>
        <v/>
      </c>
      <c r="AF1218" s="0" t="str">
        <f aca="false">IF(AA1218=1,"",IF(AND(AB1218=1,AD1218&lt;&gt;1),1,0))</f>
        <v/>
      </c>
      <c r="AG1218" s="0" t="str">
        <f aca="false">IF(AA1218=1,"",IF(AND(AC1218=1,AE1218&lt;&gt;1),1,0))</f>
        <v/>
      </c>
      <c r="AH1218" s="51" t="str">
        <f aca="false">IF(AND(E1218&gt;0,AA1218&lt;1,NOT(AND(C1219=C1218,AA1219=AA1218+1))),INDEX(DATAS,AA1218+1),"")</f>
        <v/>
      </c>
      <c r="AI1218" s="51" t="str">
        <f aca="false">IF(AND(AC1218=1,AA1218&lt;1),IF(AND(C1219=C1218,AA1219=AA1218+1),IF(AC1219=1,"",INDEX(DATAS,AA1218+1)),INDEX(DATAS,AA1218+1)),"")</f>
        <v/>
      </c>
    </row>
    <row r="1219" customFormat="false" ht="15" hidden="false" customHeight="false" outlineLevel="0" collapsed="false">
      <c r="A1219" s="51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46" t="s">
        <v>856</v>
      </c>
      <c r="G1219" s="0" t="n">
        <v>47.7</v>
      </c>
      <c r="H1219" s="0" t="n">
        <v>49</v>
      </c>
      <c r="I1219" s="46" t="s">
        <v>152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51" t="n">
        <v>46156</v>
      </c>
      <c r="X1219" s="46" t="n">
        <f aca="false">IF(I1219="Male",0,1)</f>
        <v>1</v>
      </c>
      <c r="Y1219" s="46" t="n">
        <f aca="false">IF(OR(I1219="DNB",I1219="Dry DNB"),1,0)</f>
        <v>0</v>
      </c>
      <c r="Z1219" s="46" t="n">
        <f aca="false">IF(ISNUMBER(W1219),A1219-W1219,"")</f>
        <v>153</v>
      </c>
      <c r="AA1219" s="46" t="n">
        <f aca="false">MATCH(A1219,DATAS,0)</f>
        <v>1</v>
      </c>
      <c r="AB1219" s="46" t="n">
        <f aca="false">IF(AND(E1219&gt;0,OR(AND(B1219&gt;=1,B1219&lt;=6),B1219=10)),1,0)</f>
        <v>1</v>
      </c>
      <c r="AC1219" s="46" t="n">
        <f aca="false">IF(AND(E1219&gt;0,B1219=10),1,0)</f>
        <v>0</v>
      </c>
      <c r="AD1219" s="0" t="str">
        <f aca="false">IF(AND(C1218=C1219,AA1218=AA1219-1),AB1218,"")</f>
        <v/>
      </c>
      <c r="AE1219" s="0" t="str">
        <f aca="false">IF(AND(C1218=C1219,AA1218=AA1219-1),AC1218,"")</f>
        <v/>
      </c>
      <c r="AF1219" s="0" t="str">
        <f aca="false">IF(AA1219=1,"",IF(AND(AB1219=1,AD1219&lt;&gt;1),1,0))</f>
        <v/>
      </c>
      <c r="AG1219" s="0" t="str">
        <f aca="false">IF(AA1219=1,"",IF(AND(AC1219=1,AE1219&lt;&gt;1),1,0))</f>
        <v/>
      </c>
      <c r="AH1219" s="51" t="str">
        <f aca="false">IF(AND(E1219&gt;0,AA1219&lt;1,NOT(AND(C1220=C1219,AA1220=AA1219+1))),INDEX(DATAS,AA1219+1),"")</f>
        <v/>
      </c>
      <c r="AI1219" s="51" t="str">
        <f aca="false">IF(AND(AC1219=1,AA1219&lt;1),IF(AND(C1220=C1219,AA1220=AA1219+1),IF(AC1220=1,"",INDEX(DATAS,AA1219+1)),INDEX(DATAS,AA1219+1)),"")</f>
        <v/>
      </c>
    </row>
    <row r="1220" customFormat="false" ht="15" hidden="false" customHeight="false" outlineLevel="0" collapsed="false">
      <c r="A1220" s="51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46" t="s">
        <v>856</v>
      </c>
      <c r="H1220" s="0" t="n">
        <v>14</v>
      </c>
      <c r="I1220" s="46" t="s">
        <v>152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51" t="n">
        <v>46128</v>
      </c>
      <c r="X1220" s="46" t="n">
        <f aca="false">IF(I1220="Male",0,1)</f>
        <v>1</v>
      </c>
      <c r="Y1220" s="46" t="n">
        <f aca="false">IF(OR(I1220="DNB",I1220="Dry DNB"),1,0)</f>
        <v>0</v>
      </c>
      <c r="Z1220" s="46" t="n">
        <f aca="false">IF(ISNUMBER(W1220),A1220-W1220,"")</f>
        <v>181</v>
      </c>
      <c r="AA1220" s="46" t="n">
        <f aca="false">MATCH(A1220,DATAS,0)</f>
        <v>1</v>
      </c>
      <c r="AB1220" s="46" t="n">
        <f aca="false">IF(AND(E1220&gt;0,OR(AND(B1220&gt;=1,B1220&lt;=6),B1220=10)),1,0)</f>
        <v>1</v>
      </c>
      <c r="AC1220" s="46" t="n">
        <f aca="false">IF(AND(E1220&gt;0,B1220=10),1,0)</f>
        <v>1</v>
      </c>
      <c r="AD1220" s="0" t="str">
        <f aca="false">IF(AND(C1219=C1220,AA1219=AA1220-1),AB1219,"")</f>
        <v/>
      </c>
      <c r="AE1220" s="0" t="str">
        <f aca="false">IF(AND(C1219=C1220,AA1219=AA1220-1),AC1219,"")</f>
        <v/>
      </c>
      <c r="AF1220" s="0" t="str">
        <f aca="false">IF(AA1220=1,"",IF(AND(AB1220=1,AD1220&lt;&gt;1),1,0))</f>
        <v/>
      </c>
      <c r="AG1220" s="0" t="str">
        <f aca="false">IF(AA1220=1,"",IF(AND(AC1220=1,AE1220&lt;&gt;1),1,0))</f>
        <v/>
      </c>
      <c r="AH1220" s="51" t="str">
        <f aca="false">IF(AND(E1220&gt;0,AA1220&lt;1,NOT(AND(C1221=C1220,AA1221=AA1220+1))),INDEX(DATAS,AA1220+1),"")</f>
        <v/>
      </c>
      <c r="AI1220" s="51" t="str">
        <f aca="false">IF(AND(AC1220=1,AA1220&lt;1),IF(AND(C1221=C1220,AA1221=AA1220+1),IF(AC1221=1,"",INDEX(DATAS,AA1220+1)),INDEX(DATAS,AA1220+1)),"")</f>
        <v/>
      </c>
    </row>
    <row r="1221" customFormat="false" ht="15" hidden="false" customHeight="false" outlineLevel="0" collapsed="false">
      <c r="A1221" s="51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46" t="s">
        <v>856</v>
      </c>
      <c r="G1221" s="0" t="n">
        <v>22.1</v>
      </c>
      <c r="H1221" s="0" t="n">
        <v>18</v>
      </c>
      <c r="I1221" s="46" t="s">
        <v>152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51" t="n">
        <v>46100</v>
      </c>
      <c r="X1221" s="46" t="n">
        <f aca="false">IF(I1221="Male",0,1)</f>
        <v>1</v>
      </c>
      <c r="Y1221" s="46" t="n">
        <f aca="false">IF(OR(I1221="DNB",I1221="Dry DNB"),1,0)</f>
        <v>0</v>
      </c>
      <c r="Z1221" s="46" t="n">
        <f aca="false">IF(ISNUMBER(W1221),A1221-W1221,"")</f>
        <v>209</v>
      </c>
      <c r="AA1221" s="46" t="n">
        <f aca="false">MATCH(A1221,DATAS,0)</f>
        <v>1</v>
      </c>
      <c r="AB1221" s="46" t="n">
        <f aca="false">IF(AND(E1221&gt;0,OR(AND(B1221&gt;=1,B1221&lt;=6),B1221=10)),1,0)</f>
        <v>1</v>
      </c>
      <c r="AC1221" s="46" t="n">
        <f aca="false">IF(AND(E1221&gt;0,B1221=10),1,0)</f>
        <v>0</v>
      </c>
      <c r="AD1221" s="0" t="str">
        <f aca="false">IF(AND(C1220=C1221,AA1220=AA1221-1),AB1220,"")</f>
        <v/>
      </c>
      <c r="AE1221" s="0" t="str">
        <f aca="false">IF(AND(C1220=C1221,AA1220=AA1221-1),AC1220,"")</f>
        <v/>
      </c>
      <c r="AF1221" s="0" t="str">
        <f aca="false">IF(AA1221=1,"",IF(AND(AB1221=1,AD1221&lt;&gt;1),1,0))</f>
        <v/>
      </c>
      <c r="AG1221" s="0" t="str">
        <f aca="false">IF(AA1221=1,"",IF(AND(AC1221=1,AE1221&lt;&gt;1),1,0))</f>
        <v/>
      </c>
      <c r="AH1221" s="51" t="str">
        <f aca="false">IF(AND(E1221&gt;0,AA1221&lt;1,NOT(AND(C1222=C1221,AA1222=AA1221+1))),INDEX(DATAS,AA1221+1),"")</f>
        <v/>
      </c>
      <c r="AI1221" s="51" t="str">
        <f aca="false">IF(AND(AC1221=1,AA1221&lt;1),IF(AND(C1222=C1221,AA1222=AA1221+1),IF(AC1222=1,"",INDEX(DATAS,AA1221+1)),INDEX(DATAS,AA1221+1)),"")</f>
        <v/>
      </c>
    </row>
    <row r="1222" customFormat="false" ht="15" hidden="false" customHeight="false" outlineLevel="0" collapsed="false">
      <c r="A1222" s="51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46" t="s">
        <v>856</v>
      </c>
      <c r="G1222" s="0" t="n">
        <v>34.4</v>
      </c>
      <c r="H1222" s="0" t="n">
        <v>35</v>
      </c>
      <c r="I1222" s="46" t="s">
        <v>152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51" t="n">
        <v>46149</v>
      </c>
      <c r="X1222" s="46" t="n">
        <f aca="false">IF(I1222="Male",0,1)</f>
        <v>1</v>
      </c>
      <c r="Y1222" s="46" t="n">
        <f aca="false">IF(OR(I1222="DNB",I1222="Dry DNB"),1,0)</f>
        <v>0</v>
      </c>
      <c r="Z1222" s="46" t="n">
        <f aca="false">IF(ISNUMBER(W1222),A1222-W1222,"")</f>
        <v>160</v>
      </c>
      <c r="AA1222" s="46" t="n">
        <f aca="false">MATCH(A1222,DATAS,0)</f>
        <v>1</v>
      </c>
      <c r="AB1222" s="46" t="n">
        <f aca="false">IF(AND(E1222&gt;0,OR(AND(B1222&gt;=1,B1222&lt;=6),B1222=10)),1,0)</f>
        <v>1</v>
      </c>
      <c r="AC1222" s="46" t="n">
        <f aca="false">IF(AND(E1222&gt;0,B1222=10),1,0)</f>
        <v>0</v>
      </c>
      <c r="AD1222" s="0" t="str">
        <f aca="false">IF(AND(C1221=C1222,AA1221=AA1222-1),AB1221,"")</f>
        <v/>
      </c>
      <c r="AE1222" s="0" t="str">
        <f aca="false">IF(AND(C1221=C1222,AA1221=AA1222-1),AC1221,"")</f>
        <v/>
      </c>
      <c r="AF1222" s="0" t="str">
        <f aca="false">IF(AA1222=1,"",IF(AND(AB1222=1,AD1222&lt;&gt;1),1,0))</f>
        <v/>
      </c>
      <c r="AG1222" s="0" t="str">
        <f aca="false">IF(AA1222=1,"",IF(AND(AC1222=1,AE1222&lt;&gt;1),1,0))</f>
        <v/>
      </c>
      <c r="AH1222" s="51" t="str">
        <f aca="false">IF(AND(E1222&gt;0,AA1222&lt;1,NOT(AND(C1223=C1222,AA1223=AA1222+1))),INDEX(DATAS,AA1222+1),"")</f>
        <v/>
      </c>
      <c r="AI1222" s="51" t="str">
        <f aca="false">IF(AND(AC1222=1,AA1222&lt;1),IF(AND(C1223=C1222,AA1223=AA1222+1),IF(AC1223=1,"",INDEX(DATAS,AA1222+1)),INDEX(DATAS,AA1222+1)),"")</f>
        <v/>
      </c>
    </row>
    <row r="1223" customFormat="false" ht="15" hidden="false" customHeight="false" outlineLevel="0" collapsed="false">
      <c r="A1223" s="51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46" t="s">
        <v>857</v>
      </c>
      <c r="G1223" s="0" t="n">
        <v>31</v>
      </c>
      <c r="H1223" s="0" t="n">
        <v>31</v>
      </c>
      <c r="I1223" s="46" t="s">
        <v>152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51" t="n">
        <v>46212</v>
      </c>
      <c r="X1223" s="46" t="n">
        <f aca="false">IF(I1223="Male",0,1)</f>
        <v>1</v>
      </c>
      <c r="Y1223" s="46" t="n">
        <f aca="false">IF(OR(I1223="DNB",I1223="Dry DNB"),1,0)</f>
        <v>0</v>
      </c>
      <c r="Z1223" s="46" t="n">
        <f aca="false">IF(ISNUMBER(W1223),A1223-W1223,"")</f>
        <v>97</v>
      </c>
      <c r="AA1223" s="46" t="n">
        <f aca="false">MATCH(A1223,DATAS,0)</f>
        <v>1</v>
      </c>
      <c r="AB1223" s="46" t="n">
        <f aca="false">IF(AND(E1223&gt;0,OR(AND(B1223&gt;=1,B1223&lt;=6),B1223=10)),1,0)</f>
        <v>1</v>
      </c>
      <c r="AC1223" s="46" t="n">
        <f aca="false">IF(AND(E1223&gt;0,B1223=10),1,0)</f>
        <v>1</v>
      </c>
      <c r="AD1223" s="0" t="str">
        <f aca="false">IF(AND(C1222=C1223,AA1222=AA1223-1),AB1222,"")</f>
        <v/>
      </c>
      <c r="AE1223" s="0" t="str">
        <f aca="false">IF(AND(C1222=C1223,AA1222=AA1223-1),AC1222,"")</f>
        <v/>
      </c>
      <c r="AF1223" s="0" t="str">
        <f aca="false">IF(AA1223=1,"",IF(AND(AB1223=1,AD1223&lt;&gt;1),1,0))</f>
        <v/>
      </c>
      <c r="AG1223" s="0" t="str">
        <f aca="false">IF(AA1223=1,"",IF(AND(AC1223=1,AE1223&lt;&gt;1),1,0))</f>
        <v/>
      </c>
      <c r="AH1223" s="51" t="str">
        <f aca="false">IF(AND(E1223&gt;0,AA1223&lt;1,NOT(AND(C1224=C1223,AA1224=AA1223+1))),INDEX(DATAS,AA1223+1),"")</f>
        <v/>
      </c>
      <c r="AI1223" s="51" t="str">
        <f aca="false">IF(AND(AC1223=1,AA1223&lt;1),IF(AND(C1224=C1223,AA1224=AA1223+1),IF(AC1224=1,"",INDEX(DATAS,AA1223+1)),INDEX(DATAS,AA1223+1)),"")</f>
        <v/>
      </c>
    </row>
    <row r="1224" customFormat="false" ht="15" hidden="false" customHeight="false" outlineLevel="0" collapsed="false">
      <c r="A1224" s="51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46" t="s">
        <v>857</v>
      </c>
      <c r="G1224" s="0" t="n">
        <v>37.9</v>
      </c>
      <c r="H1224" s="0" t="n">
        <v>36</v>
      </c>
      <c r="I1224" s="46" t="s">
        <v>152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51" t="n">
        <v>46149</v>
      </c>
      <c r="X1224" s="46" t="n">
        <f aca="false">IF(I1224="Male",0,1)</f>
        <v>1</v>
      </c>
      <c r="Y1224" s="46" t="n">
        <f aca="false">IF(OR(I1224="DNB",I1224="Dry DNB"),1,0)</f>
        <v>0</v>
      </c>
      <c r="Z1224" s="46" t="n">
        <f aca="false">IF(ISNUMBER(W1224),A1224-W1224,"")</f>
        <v>160</v>
      </c>
      <c r="AA1224" s="46" t="n">
        <f aca="false">MATCH(A1224,DATAS,0)</f>
        <v>1</v>
      </c>
      <c r="AB1224" s="46" t="n">
        <f aca="false">IF(AND(E1224&gt;0,OR(AND(B1224&gt;=1,B1224&lt;=6),B1224=10)),1,0)</f>
        <v>1</v>
      </c>
      <c r="AC1224" s="46" t="n">
        <f aca="false">IF(AND(E1224&gt;0,B1224=10),1,0)</f>
        <v>0</v>
      </c>
      <c r="AD1224" s="0" t="str">
        <f aca="false">IF(AND(C1223=C1224,AA1223=AA1224-1),AB1223,"")</f>
        <v/>
      </c>
      <c r="AE1224" s="0" t="str">
        <f aca="false">IF(AND(C1223=C1224,AA1223=AA1224-1),AC1223,"")</f>
        <v/>
      </c>
      <c r="AF1224" s="0" t="str">
        <f aca="false">IF(AA1224=1,"",IF(AND(AB1224=1,AD1224&lt;&gt;1),1,0))</f>
        <v/>
      </c>
      <c r="AG1224" s="0" t="str">
        <f aca="false">IF(AA1224=1,"",IF(AND(AC1224=1,AE1224&lt;&gt;1),1,0))</f>
        <v/>
      </c>
      <c r="AH1224" s="51" t="str">
        <f aca="false">IF(AND(E1224&gt;0,AA1224&lt;1,NOT(AND(C1225=C1224,AA1225=AA1224+1))),INDEX(DATAS,AA1224+1),"")</f>
        <v/>
      </c>
      <c r="AI1224" s="51" t="str">
        <f aca="false">IF(AND(AC1224=1,AA1224&lt;1),IF(AND(C1225=C1224,AA1225=AA1224+1),IF(AC1225=1,"",INDEX(DATAS,AA1224+1)),INDEX(DATAS,AA1224+1)),"")</f>
        <v/>
      </c>
    </row>
    <row r="1225" customFormat="false" ht="15" hidden="false" customHeight="false" outlineLevel="0" collapsed="false">
      <c r="A1225" s="51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46" t="s">
        <v>858</v>
      </c>
      <c r="G1225" s="0" t="n">
        <v>54.6</v>
      </c>
      <c r="H1225" s="0" t="n">
        <v>53</v>
      </c>
      <c r="I1225" s="46" t="s">
        <v>161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X1225" s="46" t="n">
        <f aca="false">IF(I1225="Male",0,1)</f>
        <v>1</v>
      </c>
      <c r="Y1225" s="46" t="n">
        <f aca="false">IF(OR(I1225="DNB",I1225="Dry DNB"),1,0)</f>
        <v>0</v>
      </c>
      <c r="Z1225" s="0" t="str">
        <f aca="false">IF(ISNUMBER(W1225),A1225-W1225,"")</f>
        <v/>
      </c>
      <c r="AA1225" s="46" t="n">
        <f aca="false">MATCH(A1225,DATAS,0)</f>
        <v>1</v>
      </c>
      <c r="AB1225" s="46" t="n">
        <f aca="false">IF(AND(E1225&gt;0,OR(AND(B1225&gt;=1,B1225&lt;=6),B1225=10)),1,0)</f>
        <v>1</v>
      </c>
      <c r="AC1225" s="46" t="n">
        <f aca="false">IF(AND(E1225&gt;0,B1225=10),1,0)</f>
        <v>0</v>
      </c>
      <c r="AD1225" s="0" t="str">
        <f aca="false">IF(AND(C1224=C1225,AA1224=AA1225-1),AB1224,"")</f>
        <v/>
      </c>
      <c r="AE1225" s="0" t="str">
        <f aca="false">IF(AND(C1224=C1225,AA1224=AA1225-1),AC1224,"")</f>
        <v/>
      </c>
      <c r="AF1225" s="0" t="str">
        <f aca="false">IF(AA1225=1,"",IF(AND(AB1225=1,AD1225&lt;&gt;1),1,0))</f>
        <v/>
      </c>
      <c r="AG1225" s="0" t="str">
        <f aca="false">IF(AA1225=1,"",IF(AND(AC1225=1,AE1225&lt;&gt;1),1,0))</f>
        <v/>
      </c>
      <c r="AH1225" s="51" t="str">
        <f aca="false">IF(AND(E1225&gt;0,AA1225&lt;1,NOT(AND(C1226=C1225,AA1226=AA1225+1))),INDEX(DATAS,AA1225+1),"")</f>
        <v/>
      </c>
      <c r="AI1225" s="51" t="str">
        <f aca="false">IF(AND(AC1225=1,AA1225&lt;1),IF(AND(C1226=C1225,AA1226=AA1225+1),IF(AC1226=1,"",INDEX(DATAS,AA1225+1)),INDEX(DATAS,AA1225+1)),"")</f>
        <v/>
      </c>
    </row>
    <row r="1226" customFormat="false" ht="15" hidden="false" customHeight="false" outlineLevel="0" collapsed="false">
      <c r="A1226" s="51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46" t="s">
        <v>858</v>
      </c>
      <c r="I1226" s="46" t="s">
        <v>157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51" t="n">
        <v>46072</v>
      </c>
      <c r="X1226" s="46" t="n">
        <f aca="false">IF(I1226="Male",0,1)</f>
        <v>1</v>
      </c>
      <c r="Y1226" s="46" t="n">
        <f aca="false">IF(OR(I1226="DNB",I1226="Dry DNB"),1,0)</f>
        <v>0</v>
      </c>
      <c r="Z1226" s="46" t="n">
        <f aca="false">IF(ISNUMBER(W1226),A1226-W1226,"")</f>
        <v>237</v>
      </c>
      <c r="AA1226" s="46" t="n">
        <f aca="false">MATCH(A1226,DATAS,0)</f>
        <v>1</v>
      </c>
      <c r="AB1226" s="46" t="n">
        <f aca="false">IF(AND(E1226&gt;0,OR(AND(B1226&gt;=1,B1226&lt;=6),B1226=10)),1,0)</f>
        <v>0</v>
      </c>
      <c r="AC1226" s="46" t="n">
        <f aca="false">IF(AND(E1226&gt;0,B1226=10),1,0)</f>
        <v>0</v>
      </c>
      <c r="AD1226" s="0" t="str">
        <f aca="false">IF(AND(C1225=C1226,AA1225=AA1226-1),AB1225,"")</f>
        <v/>
      </c>
      <c r="AE1226" s="0" t="str">
        <f aca="false">IF(AND(C1225=C1226,AA1225=AA1226-1),AC1225,"")</f>
        <v/>
      </c>
      <c r="AF1226" s="0" t="str">
        <f aca="false">IF(AA1226=1,"",IF(AND(AB1226=1,AD1226&lt;&gt;1),1,0))</f>
        <v/>
      </c>
      <c r="AG1226" s="0" t="str">
        <f aca="false">IF(AA1226=1,"",IF(AND(AC1226=1,AE1226&lt;&gt;1),1,0))</f>
        <v/>
      </c>
      <c r="AH1226" s="51" t="str">
        <f aca="false">IF(AND(E1226&gt;0,AA1226&lt;1,NOT(AND(C1227=C1226,AA1227=AA1226+1))),INDEX(DATAS,AA1226+1),"")</f>
        <v/>
      </c>
      <c r="AI1226" s="51" t="str">
        <f aca="false">IF(AND(AC1226=1,AA1226&lt;1),IF(AND(C1227=C1226,AA1227=AA1226+1),IF(AC1227=1,"",INDEX(DATAS,AA1226+1)),INDEX(DATAS,AA1226+1)),"")</f>
        <v/>
      </c>
    </row>
    <row r="1227" customFormat="false" ht="15" hidden="false" customHeight="false" outlineLevel="0" collapsed="false">
      <c r="A1227" s="51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46" t="s">
        <v>858</v>
      </c>
      <c r="G1227" s="0" t="n">
        <v>57.9</v>
      </c>
      <c r="H1227" s="0" t="n">
        <v>53</v>
      </c>
      <c r="I1227" s="46" t="s">
        <v>161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X1227" s="46" t="n">
        <f aca="false">IF(I1227="Male",0,1)</f>
        <v>1</v>
      </c>
      <c r="Y1227" s="46" t="n">
        <f aca="false">IF(OR(I1227="DNB",I1227="Dry DNB"),1,0)</f>
        <v>0</v>
      </c>
      <c r="Z1227" s="0" t="str">
        <f aca="false">IF(ISNUMBER(W1227),A1227-W1227,"")</f>
        <v/>
      </c>
      <c r="AA1227" s="46" t="n">
        <f aca="false">MATCH(A1227,DATAS,0)</f>
        <v>1</v>
      </c>
      <c r="AB1227" s="46" t="n">
        <f aca="false">IF(AND(E1227&gt;0,OR(AND(B1227&gt;=1,B1227&lt;=6),B1227=10)),1,0)</f>
        <v>1</v>
      </c>
      <c r="AC1227" s="46" t="n">
        <f aca="false">IF(AND(E1227&gt;0,B1227=10),1,0)</f>
        <v>0</v>
      </c>
      <c r="AD1227" s="0" t="str">
        <f aca="false">IF(AND(C1226=C1227,AA1226=AA1227-1),AB1226,"")</f>
        <v/>
      </c>
      <c r="AE1227" s="0" t="str">
        <f aca="false">IF(AND(C1226=C1227,AA1226=AA1227-1),AC1226,"")</f>
        <v/>
      </c>
      <c r="AF1227" s="0" t="str">
        <f aca="false">IF(AA1227=1,"",IF(AND(AB1227=1,AD1227&lt;&gt;1),1,0))</f>
        <v/>
      </c>
      <c r="AG1227" s="0" t="str">
        <f aca="false">IF(AA1227=1,"",IF(AND(AC1227=1,AE1227&lt;&gt;1),1,0))</f>
        <v/>
      </c>
      <c r="AH1227" s="51" t="str">
        <f aca="false">IF(AND(E1227&gt;0,AA1227&lt;1,NOT(AND(C1228=C1227,AA1228=AA1227+1))),INDEX(DATAS,AA1227+1),"")</f>
        <v/>
      </c>
      <c r="AI1227" s="51" t="str">
        <f aca="false">IF(AND(AC1227=1,AA1227&lt;1),IF(AND(C1228=C1227,AA1228=AA1227+1),IF(AC1228=1,"",INDEX(DATAS,AA1227+1)),INDEX(DATAS,AA1227+1)),"")</f>
        <v/>
      </c>
    </row>
    <row r="1228" customFormat="false" ht="15" hidden="false" customHeight="false" outlineLevel="0" collapsed="false">
      <c r="A1228" s="51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46" t="s">
        <v>858</v>
      </c>
      <c r="G1228" s="0" t="n">
        <v>54</v>
      </c>
      <c r="H1228" s="0" t="n">
        <v>54</v>
      </c>
      <c r="I1228" s="46" t="s">
        <v>152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51" t="n">
        <v>46163</v>
      </c>
      <c r="X1228" s="46" t="n">
        <f aca="false">IF(I1228="Male",0,1)</f>
        <v>1</v>
      </c>
      <c r="Y1228" s="46" t="n">
        <f aca="false">IF(OR(I1228="DNB",I1228="Dry DNB"),1,0)</f>
        <v>0</v>
      </c>
      <c r="Z1228" s="46" t="n">
        <f aca="false">IF(ISNUMBER(W1228),A1228-W1228,"")</f>
        <v>146</v>
      </c>
      <c r="AA1228" s="46" t="n">
        <f aca="false">MATCH(A1228,DATAS,0)</f>
        <v>1</v>
      </c>
      <c r="AB1228" s="46" t="n">
        <f aca="false">IF(AND(E1228&gt;0,OR(AND(B1228&gt;=1,B1228&lt;=6),B1228=10)),1,0)</f>
        <v>1</v>
      </c>
      <c r="AC1228" s="46" t="n">
        <f aca="false">IF(AND(E1228&gt;0,B1228=10),1,0)</f>
        <v>0</v>
      </c>
      <c r="AD1228" s="0" t="str">
        <f aca="false">IF(AND(C1227=C1228,AA1227=AA1228-1),AB1227,"")</f>
        <v/>
      </c>
      <c r="AE1228" s="0" t="str">
        <f aca="false">IF(AND(C1227=C1228,AA1227=AA1228-1),AC1227,"")</f>
        <v/>
      </c>
      <c r="AF1228" s="0" t="str">
        <f aca="false">IF(AA1228=1,"",IF(AND(AB1228=1,AD1228&lt;&gt;1),1,0))</f>
        <v/>
      </c>
      <c r="AG1228" s="0" t="str">
        <f aca="false">IF(AA1228=1,"",IF(AND(AC1228=1,AE1228&lt;&gt;1),1,0))</f>
        <v/>
      </c>
      <c r="AH1228" s="51" t="str">
        <f aca="false">IF(AND(E1228&gt;0,AA1228&lt;1,NOT(AND(C1229=C1228,AA1229=AA1228+1))),INDEX(DATAS,AA1228+1),"")</f>
        <v/>
      </c>
      <c r="AI1228" s="51" t="str">
        <f aca="false">IF(AND(AC1228=1,AA1228&lt;1),IF(AND(C1229=C1228,AA1229=AA1228+1),IF(AC1229=1,"",INDEX(DATAS,AA1228+1)),INDEX(DATAS,AA1228+1)),"")</f>
        <v/>
      </c>
    </row>
    <row r="1229" customFormat="false" ht="15" hidden="false" customHeight="false" outlineLevel="0" collapsed="false">
      <c r="A1229" s="51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46" t="s">
        <v>859</v>
      </c>
      <c r="G1229" s="0" t="n">
        <v>51.8</v>
      </c>
      <c r="H1229" s="0" t="n">
        <v>52</v>
      </c>
      <c r="I1229" s="46" t="s">
        <v>181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51" t="n">
        <v>46296</v>
      </c>
      <c r="X1229" s="46" t="n">
        <f aca="false">IF(I1229="Male",0,1)</f>
        <v>1</v>
      </c>
      <c r="Y1229" s="46" t="n">
        <f aca="false">IF(OR(I1229="DNB",I1229="Dry DNB"),1,0)</f>
        <v>0</v>
      </c>
      <c r="Z1229" s="46" t="n">
        <f aca="false">IF(ISNUMBER(W1229),A1229-W1229,"")</f>
        <v>13</v>
      </c>
      <c r="AA1229" s="46" t="n">
        <f aca="false">MATCH(A1229,DATAS,0)</f>
        <v>1</v>
      </c>
      <c r="AB1229" s="46" t="n">
        <f aca="false">IF(AND(E1229&gt;0,OR(AND(B1229&gt;=1,B1229&lt;=6),B1229=10)),1,0)</f>
        <v>1</v>
      </c>
      <c r="AC1229" s="46" t="n">
        <f aca="false">IF(AND(E1229&gt;0,B1229=10),1,0)</f>
        <v>0</v>
      </c>
      <c r="AD1229" s="0" t="str">
        <f aca="false">IF(AND(C1228=C1229,AA1228=AA1229-1),AB1228,"")</f>
        <v/>
      </c>
      <c r="AE1229" s="0" t="str">
        <f aca="false">IF(AND(C1228=C1229,AA1228=AA1229-1),AC1228,"")</f>
        <v/>
      </c>
      <c r="AF1229" s="0" t="str">
        <f aca="false">IF(AA1229=1,"",IF(AND(AB1229=1,AD1229&lt;&gt;1),1,0))</f>
        <v/>
      </c>
      <c r="AG1229" s="0" t="str">
        <f aca="false">IF(AA1229=1,"",IF(AND(AC1229=1,AE1229&lt;&gt;1),1,0))</f>
        <v/>
      </c>
      <c r="AH1229" s="51" t="str">
        <f aca="false">IF(AND(E1229&gt;0,AA1229&lt;1,NOT(AND(C1230=C1229,AA1230=AA1229+1))),INDEX(DATAS,AA1229+1),"")</f>
        <v/>
      </c>
      <c r="AI1229" s="51" t="str">
        <f aca="false">IF(AND(AC1229=1,AA1229&lt;1),IF(AND(C1230=C1229,AA1230=AA1229+1),IF(AC1230=1,"",INDEX(DATAS,AA1229+1)),INDEX(DATAS,AA1229+1)),"")</f>
        <v/>
      </c>
    </row>
    <row r="1230" customFormat="false" ht="15" hidden="false" customHeight="false" outlineLevel="0" collapsed="false">
      <c r="A1230" s="51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46" t="s">
        <v>859</v>
      </c>
      <c r="I1230" s="46" t="s">
        <v>157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51" t="n">
        <v>46067</v>
      </c>
      <c r="X1230" s="46" t="n">
        <f aca="false">IF(I1230="Male",0,1)</f>
        <v>1</v>
      </c>
      <c r="Y1230" s="46" t="n">
        <f aca="false">IF(OR(I1230="DNB",I1230="Dry DNB"),1,0)</f>
        <v>0</v>
      </c>
      <c r="Z1230" s="46" t="n">
        <f aca="false">IF(ISNUMBER(W1230),A1230-W1230,"")</f>
        <v>242</v>
      </c>
      <c r="AA1230" s="46" t="n">
        <f aca="false">MATCH(A1230,DATAS,0)</f>
        <v>1</v>
      </c>
      <c r="AB1230" s="46" t="n">
        <f aca="false">IF(AND(E1230&gt;0,OR(AND(B1230&gt;=1,B1230&lt;=6),B1230=10)),1,0)</f>
        <v>0</v>
      </c>
      <c r="AC1230" s="46" t="n">
        <f aca="false">IF(AND(E1230&gt;0,B1230=10),1,0)</f>
        <v>0</v>
      </c>
      <c r="AD1230" s="0" t="str">
        <f aca="false">IF(AND(C1229=C1230,AA1229=AA1230-1),AB1229,"")</f>
        <v/>
      </c>
      <c r="AE1230" s="0" t="str">
        <f aca="false">IF(AND(C1229=C1230,AA1229=AA1230-1),AC1229,"")</f>
        <v/>
      </c>
      <c r="AF1230" s="0" t="str">
        <f aca="false">IF(AA1230=1,"",IF(AND(AB1230=1,AD1230&lt;&gt;1),1,0))</f>
        <v/>
      </c>
      <c r="AG1230" s="0" t="str">
        <f aca="false">IF(AA1230=1,"",IF(AND(AC1230=1,AE1230&lt;&gt;1),1,0))</f>
        <v/>
      </c>
      <c r="AH1230" s="51" t="str">
        <f aca="false">IF(AND(E1230&gt;0,AA1230&lt;1,NOT(AND(C1231=C1230,AA1231=AA1230+1))),INDEX(DATAS,AA1230+1),"")</f>
        <v/>
      </c>
      <c r="AI1230" s="51" t="str">
        <f aca="false">IF(AND(AC1230=1,AA1230&lt;1),IF(AND(C1231=C1230,AA1231=AA1230+1),IF(AC1231=1,"",INDEX(DATAS,AA1230+1)),INDEX(DATAS,AA1230+1)),"")</f>
        <v/>
      </c>
    </row>
    <row r="1231" customFormat="false" ht="15" hidden="false" customHeight="false" outlineLevel="0" collapsed="false">
      <c r="A1231" s="51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46" t="s">
        <v>859</v>
      </c>
      <c r="I1231" s="46" t="s">
        <v>157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51" t="n">
        <v>46079</v>
      </c>
      <c r="X1231" s="46" t="n">
        <f aca="false">IF(I1231="Male",0,1)</f>
        <v>1</v>
      </c>
      <c r="Y1231" s="46" t="n">
        <f aca="false">IF(OR(I1231="DNB",I1231="Dry DNB"),1,0)</f>
        <v>0</v>
      </c>
      <c r="Z1231" s="46" t="n">
        <f aca="false">IF(ISNUMBER(W1231),A1231-W1231,"")</f>
        <v>230</v>
      </c>
      <c r="AA1231" s="46" t="n">
        <f aca="false">MATCH(A1231,DATAS,0)</f>
        <v>1</v>
      </c>
      <c r="AB1231" s="46" t="n">
        <f aca="false">IF(AND(E1231&gt;0,OR(AND(B1231&gt;=1,B1231&lt;=6),B1231=10)),1,0)</f>
        <v>0</v>
      </c>
      <c r="AC1231" s="46" t="n">
        <f aca="false">IF(AND(E1231&gt;0,B1231=10),1,0)</f>
        <v>0</v>
      </c>
      <c r="AD1231" s="0" t="str">
        <f aca="false">IF(AND(C1230=C1231,AA1230=AA1231-1),AB1230,"")</f>
        <v/>
      </c>
      <c r="AE1231" s="0" t="str">
        <f aca="false">IF(AND(C1230=C1231,AA1230=AA1231-1),AC1230,"")</f>
        <v/>
      </c>
      <c r="AF1231" s="0" t="str">
        <f aca="false">IF(AA1231=1,"",IF(AND(AB1231=1,AD1231&lt;&gt;1),1,0))</f>
        <v/>
      </c>
      <c r="AG1231" s="0" t="str">
        <f aca="false">IF(AA1231=1,"",IF(AND(AC1231=1,AE1231&lt;&gt;1),1,0))</f>
        <v/>
      </c>
      <c r="AH1231" s="51" t="str">
        <f aca="false">IF(AND(E1231&gt;0,AA1231&lt;1,NOT(AND(C1232=C1231,AA1232=AA1231+1))),INDEX(DATAS,AA1231+1),"")</f>
        <v/>
      </c>
      <c r="AI1231" s="51" t="str">
        <f aca="false">IF(AND(AC1231=1,AA1231&lt;1),IF(AND(C1232=C1231,AA1232=AA1231+1),IF(AC1232=1,"",INDEX(DATAS,AA1231+1)),INDEX(DATAS,AA1231+1)),"")</f>
        <v/>
      </c>
    </row>
    <row r="1232" customFormat="false" ht="15" hidden="false" customHeight="false" outlineLevel="0" collapsed="false">
      <c r="A1232" s="51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46" t="s">
        <v>860</v>
      </c>
      <c r="I1232" s="46" t="s">
        <v>157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51" t="n">
        <v>46067</v>
      </c>
      <c r="X1232" s="46" t="n">
        <f aca="false">IF(I1232="Male",0,1)</f>
        <v>1</v>
      </c>
      <c r="Y1232" s="46" t="n">
        <f aca="false">IF(OR(I1232="DNB",I1232="Dry DNB"),1,0)</f>
        <v>0</v>
      </c>
      <c r="Z1232" s="46" t="n">
        <f aca="false">IF(ISNUMBER(W1232),A1232-W1232,"")</f>
        <v>242</v>
      </c>
      <c r="AA1232" s="46" t="n">
        <f aca="false">MATCH(A1232,DATAS,0)</f>
        <v>1</v>
      </c>
      <c r="AB1232" s="46" t="n">
        <f aca="false">IF(AND(E1232&gt;0,OR(AND(B1232&gt;=1,B1232&lt;=6),B1232=10)),1,0)</f>
        <v>0</v>
      </c>
      <c r="AC1232" s="46" t="n">
        <f aca="false">IF(AND(E1232&gt;0,B1232=10),1,0)</f>
        <v>0</v>
      </c>
      <c r="AD1232" s="0" t="str">
        <f aca="false">IF(AND(C1231=C1232,AA1231=AA1232-1),AB1231,"")</f>
        <v/>
      </c>
      <c r="AE1232" s="0" t="str">
        <f aca="false">IF(AND(C1231=C1232,AA1231=AA1232-1),AC1231,"")</f>
        <v/>
      </c>
      <c r="AF1232" s="0" t="str">
        <f aca="false">IF(AA1232=1,"",IF(AND(AB1232=1,AD1232&lt;&gt;1),1,0))</f>
        <v/>
      </c>
      <c r="AG1232" s="0" t="str">
        <f aca="false">IF(AA1232=1,"",IF(AND(AC1232=1,AE1232&lt;&gt;1),1,0))</f>
        <v/>
      </c>
      <c r="AH1232" s="51" t="str">
        <f aca="false">IF(AND(E1232&gt;0,AA1232&lt;1,NOT(AND(C1233=C1232,AA1233=AA1232+1))),INDEX(DATAS,AA1232+1),"")</f>
        <v/>
      </c>
      <c r="AI1232" s="51" t="str">
        <f aca="false">IF(AND(AC1232=1,AA1232&lt;1),IF(AND(C1233=C1232,AA1233=AA1232+1),IF(AC1233=1,"",INDEX(DATAS,AA1232+1)),INDEX(DATAS,AA1232+1)),"")</f>
        <v/>
      </c>
    </row>
    <row r="1233" customFormat="false" ht="15" hidden="false" customHeight="false" outlineLevel="0" collapsed="false">
      <c r="A1233" s="51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46" t="s">
        <v>860</v>
      </c>
      <c r="G1233" s="0" t="n">
        <v>49.9</v>
      </c>
      <c r="H1233" s="0" t="n">
        <v>48</v>
      </c>
      <c r="I1233" s="46" t="s">
        <v>161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X1233" s="46" t="n">
        <f aca="false">IF(I1233="Male",0,1)</f>
        <v>1</v>
      </c>
      <c r="Y1233" s="46" t="n">
        <f aca="false">IF(OR(I1233="DNB",I1233="Dry DNB"),1,0)</f>
        <v>0</v>
      </c>
      <c r="Z1233" s="0" t="str">
        <f aca="false">IF(ISNUMBER(W1233),A1233-W1233,"")</f>
        <v/>
      </c>
      <c r="AA1233" s="46" t="n">
        <f aca="false">MATCH(A1233,DATAS,0)</f>
        <v>1</v>
      </c>
      <c r="AB1233" s="46" t="n">
        <f aca="false">IF(AND(E1233&gt;0,OR(AND(B1233&gt;=1,B1233&lt;=6),B1233=10)),1,0)</f>
        <v>1</v>
      </c>
      <c r="AC1233" s="46" t="n">
        <f aca="false">IF(AND(E1233&gt;0,B1233=10),1,0)</f>
        <v>0</v>
      </c>
      <c r="AD1233" s="0" t="str">
        <f aca="false">IF(AND(C1232=C1233,AA1232=AA1233-1),AB1232,"")</f>
        <v/>
      </c>
      <c r="AE1233" s="0" t="str">
        <f aca="false">IF(AND(C1232=C1233,AA1232=AA1233-1),AC1232,"")</f>
        <v/>
      </c>
      <c r="AF1233" s="0" t="str">
        <f aca="false">IF(AA1233=1,"",IF(AND(AB1233=1,AD1233&lt;&gt;1),1,0))</f>
        <v/>
      </c>
      <c r="AG1233" s="0" t="str">
        <f aca="false">IF(AA1233=1,"",IF(AND(AC1233=1,AE1233&lt;&gt;1),1,0))</f>
        <v/>
      </c>
      <c r="AH1233" s="51" t="str">
        <f aca="false">IF(AND(E1233&gt;0,AA1233&lt;1,NOT(AND(C1234=C1233,AA1234=AA1233+1))),INDEX(DATAS,AA1233+1),"")</f>
        <v/>
      </c>
      <c r="AI1233" s="51" t="str">
        <f aca="false">IF(AND(AC1233=1,AA1233&lt;1),IF(AND(C1234=C1233,AA1234=AA1233+1),IF(AC1234=1,"",INDEX(DATAS,AA1233+1)),INDEX(DATAS,AA1233+1)),"")</f>
        <v/>
      </c>
    </row>
    <row r="1234" customFormat="false" ht="15" hidden="false" customHeight="false" outlineLevel="0" collapsed="false">
      <c r="A1234" s="51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46" t="s">
        <v>860</v>
      </c>
      <c r="G1234" s="0" t="n">
        <v>53</v>
      </c>
      <c r="H1234" s="0" t="n">
        <v>50</v>
      </c>
      <c r="I1234" s="46" t="s">
        <v>181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51" t="n">
        <v>46303</v>
      </c>
      <c r="X1234" s="46" t="n">
        <f aca="false">IF(I1234="Male",0,1)</f>
        <v>1</v>
      </c>
      <c r="Y1234" s="46" t="n">
        <f aca="false">IF(OR(I1234="DNB",I1234="Dry DNB"),1,0)</f>
        <v>0</v>
      </c>
      <c r="Z1234" s="46" t="n">
        <f aca="false">IF(ISNUMBER(W1234),A1234-W1234,"")</f>
        <v>6</v>
      </c>
      <c r="AA1234" s="46" t="n">
        <f aca="false">MATCH(A1234,DATAS,0)</f>
        <v>1</v>
      </c>
      <c r="AB1234" s="46" t="n">
        <f aca="false">IF(AND(E1234&gt;0,OR(AND(B1234&gt;=1,B1234&lt;=6),B1234=10)),1,0)</f>
        <v>1</v>
      </c>
      <c r="AC1234" s="46" t="n">
        <f aca="false">IF(AND(E1234&gt;0,B1234=10),1,0)</f>
        <v>0</v>
      </c>
      <c r="AD1234" s="0" t="str">
        <f aca="false">IF(AND(C1233=C1234,AA1233=AA1234-1),AB1233,"")</f>
        <v/>
      </c>
      <c r="AE1234" s="0" t="str">
        <f aca="false">IF(AND(C1233=C1234,AA1233=AA1234-1),AC1233,"")</f>
        <v/>
      </c>
      <c r="AF1234" s="0" t="str">
        <f aca="false">IF(AA1234=1,"",IF(AND(AB1234=1,AD1234&lt;&gt;1),1,0))</f>
        <v/>
      </c>
      <c r="AG1234" s="0" t="str">
        <f aca="false">IF(AA1234=1,"",IF(AND(AC1234=1,AE1234&lt;&gt;1),1,0))</f>
        <v/>
      </c>
      <c r="AH1234" s="51" t="str">
        <f aca="false">IF(AND(E1234&gt;0,AA1234&lt;1,NOT(AND(C1235=C1234,AA1235=AA1234+1))),INDEX(DATAS,AA1234+1),"")</f>
        <v/>
      </c>
      <c r="AI1234" s="51" t="str">
        <f aca="false">IF(AND(AC1234=1,AA1234&lt;1),IF(AND(C1235=C1234,AA1235=AA1234+1),IF(AC1235=1,"",INDEX(DATAS,AA1234+1)),INDEX(DATAS,AA1234+1)),"")</f>
        <v/>
      </c>
    </row>
    <row r="1235" customFormat="false" ht="15" hidden="false" customHeight="false" outlineLevel="0" collapsed="false">
      <c r="A1235" s="51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46" t="s">
        <v>860</v>
      </c>
      <c r="G1235" s="0" t="n">
        <v>40.4</v>
      </c>
      <c r="H1235" s="0" t="n">
        <v>32</v>
      </c>
      <c r="I1235" s="46" t="s">
        <v>161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X1235" s="46" t="n">
        <f aca="false">IF(I1235="Male",0,1)</f>
        <v>1</v>
      </c>
      <c r="Y1235" s="46" t="n">
        <f aca="false">IF(OR(I1235="DNB",I1235="Dry DNB"),1,0)</f>
        <v>0</v>
      </c>
      <c r="Z1235" s="0" t="str">
        <f aca="false">IF(ISNUMBER(W1235),A1235-W1235,"")</f>
        <v/>
      </c>
      <c r="AA1235" s="46" t="n">
        <f aca="false">MATCH(A1235,DATAS,0)</f>
        <v>1</v>
      </c>
      <c r="AB1235" s="46" t="n">
        <f aca="false">IF(AND(E1235&gt;0,OR(AND(B1235&gt;=1,B1235&lt;=6),B1235=10)),1,0)</f>
        <v>1</v>
      </c>
      <c r="AC1235" s="46" t="n">
        <f aca="false">IF(AND(E1235&gt;0,B1235=10),1,0)</f>
        <v>0</v>
      </c>
      <c r="AD1235" s="0" t="str">
        <f aca="false">IF(AND(C1234=C1235,AA1234=AA1235-1),AB1234,"")</f>
        <v/>
      </c>
      <c r="AE1235" s="0" t="str">
        <f aca="false">IF(AND(C1234=C1235,AA1234=AA1235-1),AC1234,"")</f>
        <v/>
      </c>
      <c r="AF1235" s="0" t="str">
        <f aca="false">IF(AA1235=1,"",IF(AND(AB1235=1,AD1235&lt;&gt;1),1,0))</f>
        <v/>
      </c>
      <c r="AG1235" s="0" t="str">
        <f aca="false">IF(AA1235=1,"",IF(AND(AC1235=1,AE1235&lt;&gt;1),1,0))</f>
        <v/>
      </c>
      <c r="AH1235" s="51" t="str">
        <f aca="false">IF(AND(E1235&gt;0,AA1235&lt;1,NOT(AND(C1236=C1235,AA1236=AA1235+1))),INDEX(DATAS,AA1235+1),"")</f>
        <v/>
      </c>
      <c r="AI1235" s="51" t="str">
        <f aca="false">IF(AND(AC1235=1,AA1235&lt;1),IF(AND(C1236=C1235,AA1236=AA1235+1),IF(AC1236=1,"",INDEX(DATAS,AA1235+1)),INDEX(DATAS,AA1235+1)),"")</f>
        <v/>
      </c>
    </row>
    <row r="1236" customFormat="false" ht="15" hidden="false" customHeight="false" outlineLevel="0" collapsed="false">
      <c r="A1236" s="51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46" t="s">
        <v>861</v>
      </c>
      <c r="G1236" s="0" t="n">
        <v>43.7</v>
      </c>
      <c r="H1236" s="0" t="n">
        <v>43</v>
      </c>
      <c r="I1236" s="46" t="s">
        <v>152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51" t="n">
        <v>46136</v>
      </c>
      <c r="X1236" s="46" t="n">
        <f aca="false">IF(I1236="Male",0,1)</f>
        <v>1</v>
      </c>
      <c r="Y1236" s="46" t="n">
        <f aca="false">IF(OR(I1236="DNB",I1236="Dry DNB"),1,0)</f>
        <v>0</v>
      </c>
      <c r="Z1236" s="46" t="n">
        <f aca="false">IF(ISNUMBER(W1236),A1236-W1236,"")</f>
        <v>173</v>
      </c>
      <c r="AA1236" s="46" t="n">
        <f aca="false">MATCH(A1236,DATAS,0)</f>
        <v>1</v>
      </c>
      <c r="AB1236" s="46" t="n">
        <f aca="false">IF(AND(E1236&gt;0,OR(AND(B1236&gt;=1,B1236&lt;=6),B1236=10)),1,0)</f>
        <v>1</v>
      </c>
      <c r="AC1236" s="46" t="n">
        <f aca="false">IF(AND(E1236&gt;0,B1236=10),1,0)</f>
        <v>0</v>
      </c>
      <c r="AD1236" s="0" t="str">
        <f aca="false">IF(AND(C1235=C1236,AA1235=AA1236-1),AB1235,"")</f>
        <v/>
      </c>
      <c r="AE1236" s="0" t="str">
        <f aca="false">IF(AND(C1235=C1236,AA1235=AA1236-1),AC1235,"")</f>
        <v/>
      </c>
      <c r="AF1236" s="0" t="str">
        <f aca="false">IF(AA1236=1,"",IF(AND(AB1236=1,AD1236&lt;&gt;1),1,0))</f>
        <v/>
      </c>
      <c r="AG1236" s="0" t="str">
        <f aca="false">IF(AA1236=1,"",IF(AND(AC1236=1,AE1236&lt;&gt;1),1,0))</f>
        <v/>
      </c>
      <c r="AH1236" s="51" t="str">
        <f aca="false">IF(AND(E1236&gt;0,AA1236&lt;1,NOT(AND(C1237=C1236,AA1237=AA1236+1))),INDEX(DATAS,AA1236+1),"")</f>
        <v/>
      </c>
      <c r="AI1236" s="51" t="str">
        <f aca="false">IF(AND(AC1236=1,AA1236&lt;1),IF(AND(C1237=C1236,AA1237=AA1236+1),IF(AC1237=1,"",INDEX(DATAS,AA1236+1)),INDEX(DATAS,AA1236+1)),"")</f>
        <v/>
      </c>
    </row>
    <row r="1237" customFormat="false" ht="15" hidden="false" customHeight="false" outlineLevel="0" collapsed="false">
      <c r="A1237" s="51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46" t="s">
        <v>862</v>
      </c>
      <c r="G1237" s="0" t="n">
        <v>15.6</v>
      </c>
      <c r="H1237" s="0" t="n">
        <v>35</v>
      </c>
      <c r="I1237" s="46" t="s">
        <v>157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51" t="n">
        <v>46086</v>
      </c>
      <c r="X1237" s="46" t="n">
        <f aca="false">IF(I1237="Male",0,1)</f>
        <v>1</v>
      </c>
      <c r="Y1237" s="46" t="n">
        <f aca="false">IF(OR(I1237="DNB",I1237="Dry DNB"),1,0)</f>
        <v>0</v>
      </c>
      <c r="Z1237" s="46" t="n">
        <f aca="false">IF(ISNUMBER(W1237),A1237-W1237,"")</f>
        <v>223</v>
      </c>
      <c r="AA1237" s="46" t="n">
        <f aca="false">MATCH(A1237,DATAS,0)</f>
        <v>1</v>
      </c>
      <c r="AB1237" s="46" t="n">
        <f aca="false">IF(AND(E1237&gt;0,OR(AND(B1237&gt;=1,B1237&lt;=6),B1237=10)),1,0)</f>
        <v>0</v>
      </c>
      <c r="AC1237" s="46" t="n">
        <f aca="false">IF(AND(E1237&gt;0,B1237=10),1,0)</f>
        <v>0</v>
      </c>
      <c r="AD1237" s="0" t="str">
        <f aca="false">IF(AND(C1236=C1237,AA1236=AA1237-1),AB1236,"")</f>
        <v/>
      </c>
      <c r="AE1237" s="0" t="str">
        <f aca="false">IF(AND(C1236=C1237,AA1236=AA1237-1),AC1236,"")</f>
        <v/>
      </c>
      <c r="AF1237" s="0" t="str">
        <f aca="false">IF(AA1237=1,"",IF(AND(AB1237=1,AD1237&lt;&gt;1),1,0))</f>
        <v/>
      </c>
      <c r="AG1237" s="0" t="str">
        <f aca="false">IF(AA1237=1,"",IF(AND(AC1237=1,AE1237&lt;&gt;1),1,0))</f>
        <v/>
      </c>
      <c r="AH1237" s="51" t="str">
        <f aca="false">IF(AND(E1237&gt;0,AA1237&lt;1,NOT(AND(C1238=C1237,AA1238=AA1237+1))),INDEX(DATAS,AA1237+1),"")</f>
        <v/>
      </c>
      <c r="AI1237" s="51" t="str">
        <f aca="false">IF(AND(AC1237=1,AA1237&lt;1),IF(AND(C1238=C1237,AA1238=AA1237+1),IF(AC1238=1,"",INDEX(DATAS,AA1237+1)),INDEX(DATAS,AA1237+1)),"")</f>
        <v/>
      </c>
    </row>
    <row r="1238" customFormat="false" ht="15" hidden="false" customHeight="false" outlineLevel="0" collapsed="false">
      <c r="A1238" s="51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46" t="s">
        <v>861</v>
      </c>
      <c r="G1238" s="0" t="n">
        <v>43.3</v>
      </c>
      <c r="H1238" s="0" t="n">
        <v>42</v>
      </c>
      <c r="I1238" s="46" t="s">
        <v>152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51" t="n">
        <v>46146</v>
      </c>
      <c r="X1238" s="46" t="n">
        <f aca="false">IF(I1238="Male",0,1)</f>
        <v>1</v>
      </c>
      <c r="Y1238" s="46" t="n">
        <f aca="false">IF(OR(I1238="DNB",I1238="Dry DNB"),1,0)</f>
        <v>0</v>
      </c>
      <c r="Z1238" s="46" t="n">
        <f aca="false">IF(ISNUMBER(W1238),A1238-W1238,"")</f>
        <v>163</v>
      </c>
      <c r="AA1238" s="46" t="n">
        <f aca="false">MATCH(A1238,DATAS,0)</f>
        <v>1</v>
      </c>
      <c r="AB1238" s="46" t="n">
        <f aca="false">IF(AND(E1238&gt;0,OR(AND(B1238&gt;=1,B1238&lt;=6),B1238=10)),1,0)</f>
        <v>1</v>
      </c>
      <c r="AC1238" s="46" t="n">
        <f aca="false">IF(AND(E1238&gt;0,B1238=10),1,0)</f>
        <v>0</v>
      </c>
      <c r="AD1238" s="0" t="str">
        <f aca="false">IF(AND(C1237=C1238,AA1237=AA1238-1),AB1237,"")</f>
        <v/>
      </c>
      <c r="AE1238" s="0" t="str">
        <f aca="false">IF(AND(C1237=C1238,AA1237=AA1238-1),AC1237,"")</f>
        <v/>
      </c>
      <c r="AF1238" s="0" t="str">
        <f aca="false">IF(AA1238=1,"",IF(AND(AB1238=1,AD1238&lt;&gt;1),1,0))</f>
        <v/>
      </c>
      <c r="AG1238" s="0" t="str">
        <f aca="false">IF(AA1238=1,"",IF(AND(AC1238=1,AE1238&lt;&gt;1),1,0))</f>
        <v/>
      </c>
      <c r="AH1238" s="51" t="str">
        <f aca="false">IF(AND(E1238&gt;0,AA1238&lt;1,NOT(AND(C1239=C1238,AA1239=AA1238+1))),INDEX(DATAS,AA1238+1),"")</f>
        <v/>
      </c>
      <c r="AI1238" s="51" t="str">
        <f aca="false">IF(AND(AC1238=1,AA1238&lt;1),IF(AND(C1239=C1238,AA1239=AA1238+1),IF(AC1239=1,"",INDEX(DATAS,AA1238+1)),INDEX(DATAS,AA1238+1)),"")</f>
        <v/>
      </c>
    </row>
    <row r="1239" customFormat="false" ht="15" hidden="false" customHeight="false" outlineLevel="0" collapsed="false">
      <c r="A1239" s="51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46" t="s">
        <v>861</v>
      </c>
      <c r="I1239" s="46" t="s">
        <v>157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51" t="n">
        <v>46037</v>
      </c>
      <c r="X1239" s="46" t="n">
        <f aca="false">IF(I1239="Male",0,1)</f>
        <v>1</v>
      </c>
      <c r="Y1239" s="46" t="n">
        <f aca="false">IF(OR(I1239="DNB",I1239="Dry DNB"),1,0)</f>
        <v>0</v>
      </c>
      <c r="Z1239" s="46" t="n">
        <f aca="false">IF(ISNUMBER(W1239),A1239-W1239,"")</f>
        <v>272</v>
      </c>
      <c r="AA1239" s="46" t="n">
        <f aca="false">MATCH(A1239,DATAS,0)</f>
        <v>1</v>
      </c>
      <c r="AB1239" s="46" t="n">
        <f aca="false">IF(AND(E1239&gt;0,OR(AND(B1239&gt;=1,B1239&lt;=6),B1239=10)),1,0)</f>
        <v>0</v>
      </c>
      <c r="AC1239" s="46" t="n">
        <f aca="false">IF(AND(E1239&gt;0,B1239=10),1,0)</f>
        <v>0</v>
      </c>
      <c r="AD1239" s="0" t="str">
        <f aca="false">IF(AND(C1238=C1239,AA1238=AA1239-1),AB1238,"")</f>
        <v/>
      </c>
      <c r="AE1239" s="0" t="str">
        <f aca="false">IF(AND(C1238=C1239,AA1238=AA1239-1),AC1238,"")</f>
        <v/>
      </c>
      <c r="AF1239" s="0" t="str">
        <f aca="false">IF(AA1239=1,"",IF(AND(AB1239=1,AD1239&lt;&gt;1),1,0))</f>
        <v/>
      </c>
      <c r="AG1239" s="0" t="str">
        <f aca="false">IF(AA1239=1,"",IF(AND(AC1239=1,AE1239&lt;&gt;1),1,0))</f>
        <v/>
      </c>
      <c r="AH1239" s="51" t="str">
        <f aca="false">IF(AND(E1239&gt;0,AA1239&lt;1,NOT(AND(C1240=C1239,AA1240=AA1239+1))),INDEX(DATAS,AA1239+1),"")</f>
        <v/>
      </c>
      <c r="AI1239" s="51" t="str">
        <f aca="false">IF(AND(AC1239=1,AA1239&lt;1),IF(AND(C1240=C1239,AA1240=AA1239+1),IF(AC1240=1,"",INDEX(DATAS,AA1239+1)),INDEX(DATAS,AA1239+1)),"")</f>
        <v/>
      </c>
    </row>
    <row r="1240" customFormat="false" ht="15" hidden="false" customHeight="false" outlineLevel="0" collapsed="false">
      <c r="A1240" s="51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46" t="s">
        <v>861</v>
      </c>
      <c r="G1240" s="0" t="n">
        <v>45.5</v>
      </c>
      <c r="H1240" s="0" t="n">
        <v>45</v>
      </c>
      <c r="I1240" s="46" t="s">
        <v>152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51" t="n">
        <v>46076</v>
      </c>
      <c r="X1240" s="46" t="n">
        <f aca="false">IF(I1240="Male",0,1)</f>
        <v>1</v>
      </c>
      <c r="Y1240" s="46" t="n">
        <f aca="false">IF(OR(I1240="DNB",I1240="Dry DNB"),1,0)</f>
        <v>0</v>
      </c>
      <c r="Z1240" s="46" t="n">
        <f aca="false">IF(ISNUMBER(W1240),A1240-W1240,"")</f>
        <v>233</v>
      </c>
      <c r="AA1240" s="46" t="n">
        <f aca="false">MATCH(A1240,DATAS,0)</f>
        <v>1</v>
      </c>
      <c r="AB1240" s="46" t="n">
        <f aca="false">IF(AND(E1240&gt;0,OR(AND(B1240&gt;=1,B1240&lt;=6),B1240=10)),1,0)</f>
        <v>1</v>
      </c>
      <c r="AC1240" s="46" t="n">
        <f aca="false">IF(AND(E1240&gt;0,B1240=10),1,0)</f>
        <v>0</v>
      </c>
      <c r="AD1240" s="0" t="str">
        <f aca="false">IF(AND(C1239=C1240,AA1239=AA1240-1),AB1239,"")</f>
        <v/>
      </c>
      <c r="AE1240" s="0" t="str">
        <f aca="false">IF(AND(C1239=C1240,AA1239=AA1240-1),AC1239,"")</f>
        <v/>
      </c>
      <c r="AF1240" s="0" t="str">
        <f aca="false">IF(AA1240=1,"",IF(AND(AB1240=1,AD1240&lt;&gt;1),1,0))</f>
        <v/>
      </c>
      <c r="AG1240" s="0" t="str">
        <f aca="false">IF(AA1240=1,"",IF(AND(AC1240=1,AE1240&lt;&gt;1),1,0))</f>
        <v/>
      </c>
      <c r="AH1240" s="51" t="str">
        <f aca="false">IF(AND(E1240&gt;0,AA1240&lt;1,NOT(AND(C1241=C1240,AA1241=AA1240+1))),INDEX(DATAS,AA1240+1),"")</f>
        <v/>
      </c>
      <c r="AI1240" s="51" t="str">
        <f aca="false">IF(AND(AC1240=1,AA1240&lt;1),IF(AND(C1241=C1240,AA1241=AA1240+1),IF(AC1241=1,"",INDEX(DATAS,AA1240+1)),INDEX(DATAS,AA1240+1)),"")</f>
        <v/>
      </c>
    </row>
    <row r="1241" customFormat="false" ht="15" hidden="false" customHeight="false" outlineLevel="0" collapsed="false">
      <c r="A1241" s="51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46" t="s">
        <v>861</v>
      </c>
      <c r="G1241" s="0" t="n">
        <v>34.4</v>
      </c>
      <c r="H1241" s="0" t="n">
        <v>48</v>
      </c>
      <c r="I1241" s="46" t="s">
        <v>152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51" t="n">
        <v>46166</v>
      </c>
      <c r="X1241" s="46" t="n">
        <f aca="false">IF(I1241="Male",0,1)</f>
        <v>1</v>
      </c>
      <c r="Y1241" s="46" t="n">
        <f aca="false">IF(OR(I1241="DNB",I1241="Dry DNB"),1,0)</f>
        <v>0</v>
      </c>
      <c r="Z1241" s="46" t="n">
        <f aca="false">IF(ISNUMBER(W1241),A1241-W1241,"")</f>
        <v>143</v>
      </c>
      <c r="AA1241" s="46" t="n">
        <f aca="false">MATCH(A1241,DATAS,0)</f>
        <v>1</v>
      </c>
      <c r="AB1241" s="46" t="n">
        <f aca="false">IF(AND(E1241&gt;0,OR(AND(B1241&gt;=1,B1241&lt;=6),B1241=10)),1,0)</f>
        <v>1</v>
      </c>
      <c r="AC1241" s="46" t="n">
        <f aca="false">IF(AND(E1241&gt;0,B1241=10),1,0)</f>
        <v>0</v>
      </c>
      <c r="AD1241" s="0" t="str">
        <f aca="false">IF(AND(C1240=C1241,AA1240=AA1241-1),AB1240,"")</f>
        <v/>
      </c>
      <c r="AE1241" s="0" t="str">
        <f aca="false">IF(AND(C1240=C1241,AA1240=AA1241-1),AC1240,"")</f>
        <v/>
      </c>
      <c r="AF1241" s="0" t="str">
        <f aca="false">IF(AA1241=1,"",IF(AND(AB1241=1,AD1241&lt;&gt;1),1,0))</f>
        <v/>
      </c>
      <c r="AG1241" s="0" t="str">
        <f aca="false">IF(AA1241=1,"",IF(AND(AC1241=1,AE1241&lt;&gt;1),1,0))</f>
        <v/>
      </c>
      <c r="AH1241" s="51" t="str">
        <f aca="false">IF(AND(E1241&gt;0,AA1241&lt;1,NOT(AND(C1242=C1241,AA1242=AA1241+1))),INDEX(DATAS,AA1241+1),"")</f>
        <v/>
      </c>
      <c r="AI1241" s="51" t="str">
        <f aca="false">IF(AND(AC1241=1,AA1241&lt;1),IF(AND(C1242=C1241,AA1242=AA1241+1),IF(AC1242=1,"",INDEX(DATAS,AA1241+1)),INDEX(DATAS,AA1241+1)),"")</f>
        <v/>
      </c>
    </row>
    <row r="1242" customFormat="false" ht="15" hidden="false" customHeight="false" outlineLevel="0" collapsed="false">
      <c r="A1242" s="51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46" t="s">
        <v>861</v>
      </c>
      <c r="G1242" s="0" t="n">
        <v>47.4</v>
      </c>
      <c r="H1242" s="0" t="n">
        <v>43</v>
      </c>
      <c r="I1242" s="46" t="s">
        <v>161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X1242" s="46" t="n">
        <f aca="false">IF(I1242="Male",0,1)</f>
        <v>1</v>
      </c>
      <c r="Y1242" s="46" t="n">
        <f aca="false">IF(OR(I1242="DNB",I1242="Dry DNB"),1,0)</f>
        <v>0</v>
      </c>
      <c r="Z1242" s="0" t="str">
        <f aca="false">IF(ISNUMBER(W1242),A1242-W1242,"")</f>
        <v/>
      </c>
      <c r="AA1242" s="46" t="n">
        <f aca="false">MATCH(A1242,DATAS,0)</f>
        <v>1</v>
      </c>
      <c r="AB1242" s="46" t="n">
        <f aca="false">IF(AND(E1242&gt;0,OR(AND(B1242&gt;=1,B1242&lt;=6),B1242=10)),1,0)</f>
        <v>1</v>
      </c>
      <c r="AC1242" s="46" t="n">
        <f aca="false">IF(AND(E1242&gt;0,B1242=10),1,0)</f>
        <v>0</v>
      </c>
      <c r="AD1242" s="0" t="str">
        <f aca="false">IF(AND(C1241=C1242,AA1241=AA1242-1),AB1241,"")</f>
        <v/>
      </c>
      <c r="AE1242" s="0" t="str">
        <f aca="false">IF(AND(C1241=C1242,AA1241=AA1242-1),AC1241,"")</f>
        <v/>
      </c>
      <c r="AF1242" s="0" t="str">
        <f aca="false">IF(AA1242=1,"",IF(AND(AB1242=1,AD1242&lt;&gt;1),1,0))</f>
        <v/>
      </c>
      <c r="AG1242" s="0" t="str">
        <f aca="false">IF(AA1242=1,"",IF(AND(AC1242=1,AE1242&lt;&gt;1),1,0))</f>
        <v/>
      </c>
      <c r="AH1242" s="51" t="str">
        <f aca="false">IF(AND(E1242&gt;0,AA1242&lt;1,NOT(AND(C1243=C1242,AA1243=AA1242+1))),INDEX(DATAS,AA1242+1),"")</f>
        <v/>
      </c>
      <c r="AI1242" s="51" t="str">
        <f aca="false">IF(AND(AC1242=1,AA1242&lt;1),IF(AND(C1243=C1242,AA1243=AA1242+1),IF(AC1243=1,"",INDEX(DATAS,AA1242+1)),INDEX(DATAS,AA1242+1)),"")</f>
        <v/>
      </c>
    </row>
    <row r="1243" customFormat="false" ht="15" hidden="false" customHeight="false" outlineLevel="0" collapsed="false">
      <c r="A1243" s="51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46" t="s">
        <v>863</v>
      </c>
      <c r="G1243" s="0" t="n">
        <v>45.3</v>
      </c>
      <c r="H1243" s="0" t="n">
        <v>44</v>
      </c>
      <c r="I1243" s="46" t="s">
        <v>152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51" t="n">
        <v>46229</v>
      </c>
      <c r="X1243" s="46" t="n">
        <f aca="false">IF(I1243="Male",0,1)</f>
        <v>1</v>
      </c>
      <c r="Y1243" s="46" t="n">
        <f aca="false">IF(OR(I1243="DNB",I1243="Dry DNB"),1,0)</f>
        <v>0</v>
      </c>
      <c r="Z1243" s="46" t="n">
        <f aca="false">IF(ISNUMBER(W1243),A1243-W1243,"")</f>
        <v>80</v>
      </c>
      <c r="AA1243" s="46" t="n">
        <f aca="false">MATCH(A1243,DATAS,0)</f>
        <v>1</v>
      </c>
      <c r="AB1243" s="46" t="n">
        <f aca="false">IF(AND(E1243&gt;0,OR(AND(B1243&gt;=1,B1243&lt;=6),B1243=10)),1,0)</f>
        <v>1</v>
      </c>
      <c r="AC1243" s="46" t="n">
        <f aca="false">IF(AND(E1243&gt;0,B1243=10),1,0)</f>
        <v>0</v>
      </c>
      <c r="AD1243" s="0" t="str">
        <f aca="false">IF(AND(C1242=C1243,AA1242=AA1243-1),AB1242,"")</f>
        <v/>
      </c>
      <c r="AE1243" s="0" t="str">
        <f aca="false">IF(AND(C1242=C1243,AA1242=AA1243-1),AC1242,"")</f>
        <v/>
      </c>
      <c r="AF1243" s="0" t="str">
        <f aca="false">IF(AA1243=1,"",IF(AND(AB1243=1,AD1243&lt;&gt;1),1,0))</f>
        <v/>
      </c>
      <c r="AG1243" s="0" t="str">
        <f aca="false">IF(AA1243=1,"",IF(AND(AC1243=1,AE1243&lt;&gt;1),1,0))</f>
        <v/>
      </c>
      <c r="AH1243" s="51" t="str">
        <f aca="false">IF(AND(E1243&gt;0,AA1243&lt;1,NOT(AND(C1244=C1243,AA1244=AA1243+1))),INDEX(DATAS,AA1243+1),"")</f>
        <v/>
      </c>
      <c r="AI1243" s="51" t="str">
        <f aca="false">IF(AND(AC1243=1,AA1243&lt;1),IF(AND(C1244=C1243,AA1244=AA1243+1),IF(AC1244=1,"",INDEX(DATAS,AA1243+1)),INDEX(DATAS,AA1243+1)),"")</f>
        <v/>
      </c>
    </row>
    <row r="1244" customFormat="false" ht="15" hidden="false" customHeight="false" outlineLevel="0" collapsed="false">
      <c r="A1244" s="51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46" t="s">
        <v>864</v>
      </c>
      <c r="I1244" s="46" t="s">
        <v>157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51" t="n">
        <v>46072</v>
      </c>
      <c r="X1244" s="46" t="n">
        <f aca="false">IF(I1244="Male",0,1)</f>
        <v>1</v>
      </c>
      <c r="Y1244" s="46" t="n">
        <f aca="false">IF(OR(I1244="DNB",I1244="Dry DNB"),1,0)</f>
        <v>0</v>
      </c>
      <c r="Z1244" s="46" t="n">
        <f aca="false">IF(ISNUMBER(W1244),A1244-W1244,"")</f>
        <v>237</v>
      </c>
      <c r="AA1244" s="46" t="n">
        <f aca="false">MATCH(A1244,DATAS,0)</f>
        <v>1</v>
      </c>
      <c r="AB1244" s="46" t="n">
        <f aca="false">IF(AND(E1244&gt;0,OR(AND(B1244&gt;=1,B1244&lt;=6),B1244=10)),1,0)</f>
        <v>0</v>
      </c>
      <c r="AC1244" s="46" t="n">
        <f aca="false">IF(AND(E1244&gt;0,B1244=10),1,0)</f>
        <v>0</v>
      </c>
      <c r="AD1244" s="0" t="str">
        <f aca="false">IF(AND(C1243=C1244,AA1243=AA1244-1),AB1243,"")</f>
        <v/>
      </c>
      <c r="AE1244" s="0" t="str">
        <f aca="false">IF(AND(C1243=C1244,AA1243=AA1244-1),AC1243,"")</f>
        <v/>
      </c>
      <c r="AF1244" s="0" t="str">
        <f aca="false">IF(AA1244=1,"",IF(AND(AB1244=1,AD1244&lt;&gt;1),1,0))</f>
        <v/>
      </c>
      <c r="AG1244" s="0" t="str">
        <f aca="false">IF(AA1244=1,"",IF(AND(AC1244=1,AE1244&lt;&gt;1),1,0))</f>
        <v/>
      </c>
      <c r="AH1244" s="51" t="str">
        <f aca="false">IF(AND(E1244&gt;0,AA1244&lt;1,NOT(AND(C1245=C1244,AA1245=AA1244+1))),INDEX(DATAS,AA1244+1),"")</f>
        <v/>
      </c>
      <c r="AI1244" s="51" t="str">
        <f aca="false">IF(AND(AC1244=1,AA1244&lt;1),IF(AND(C1245=C1244,AA1245=AA1244+1),IF(AC1245=1,"",INDEX(DATAS,AA1244+1)),INDEX(DATAS,AA1244+1)),"")</f>
        <v/>
      </c>
    </row>
    <row r="1245" customFormat="false" ht="15" hidden="false" customHeight="false" outlineLevel="0" collapsed="false">
      <c r="A1245" s="51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46" t="s">
        <v>864</v>
      </c>
      <c r="G1245" s="0" t="n">
        <v>43.2</v>
      </c>
      <c r="H1245" s="0" t="n">
        <v>42</v>
      </c>
      <c r="I1245" s="46" t="s">
        <v>181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51" t="n">
        <v>46289</v>
      </c>
      <c r="X1245" s="46" t="n">
        <f aca="false">IF(I1245="Male",0,1)</f>
        <v>1</v>
      </c>
      <c r="Y1245" s="46" t="n">
        <f aca="false">IF(OR(I1245="DNB",I1245="Dry DNB"),1,0)</f>
        <v>0</v>
      </c>
      <c r="Z1245" s="46" t="n">
        <f aca="false">IF(ISNUMBER(W1245),A1245-W1245,"")</f>
        <v>20</v>
      </c>
      <c r="AA1245" s="46" t="n">
        <f aca="false">MATCH(A1245,DATAS,0)</f>
        <v>1</v>
      </c>
      <c r="AB1245" s="46" t="n">
        <f aca="false">IF(AND(E1245&gt;0,OR(AND(B1245&gt;=1,B1245&lt;=6),B1245=10)),1,0)</f>
        <v>1</v>
      </c>
      <c r="AC1245" s="46" t="n">
        <f aca="false">IF(AND(E1245&gt;0,B1245=10),1,0)</f>
        <v>0</v>
      </c>
      <c r="AD1245" s="0" t="str">
        <f aca="false">IF(AND(C1244=C1245,AA1244=AA1245-1),AB1244,"")</f>
        <v/>
      </c>
      <c r="AE1245" s="0" t="str">
        <f aca="false">IF(AND(C1244=C1245,AA1244=AA1245-1),AC1244,"")</f>
        <v/>
      </c>
      <c r="AF1245" s="0" t="str">
        <f aca="false">IF(AA1245=1,"",IF(AND(AB1245=1,AD1245&lt;&gt;1),1,0))</f>
        <v/>
      </c>
      <c r="AG1245" s="0" t="str">
        <f aca="false">IF(AA1245=1,"",IF(AND(AC1245=1,AE1245&lt;&gt;1),1,0))</f>
        <v/>
      </c>
      <c r="AH1245" s="51" t="str">
        <f aca="false">IF(AND(E1245&gt;0,AA1245&lt;1,NOT(AND(C1246=C1245,AA1246=AA1245+1))),INDEX(DATAS,AA1245+1),"")</f>
        <v/>
      </c>
      <c r="AI1245" s="51" t="str">
        <f aca="false">IF(AND(AC1245=1,AA1245&lt;1),IF(AND(C1246=C1245,AA1246=AA1245+1),IF(AC1246=1,"",INDEX(DATAS,AA1245+1)),INDEX(DATAS,AA1245+1)),"")</f>
        <v/>
      </c>
    </row>
    <row r="1246" customFormat="false" ht="15" hidden="false" customHeight="false" outlineLevel="0" collapsed="false">
      <c r="A1246" s="51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46" t="s">
        <v>864</v>
      </c>
      <c r="G1246" s="0" t="n">
        <v>42</v>
      </c>
      <c r="H1246" s="0" t="n">
        <v>44</v>
      </c>
      <c r="I1246" s="46" t="s">
        <v>152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51" t="n">
        <v>46115</v>
      </c>
      <c r="X1246" s="46" t="n">
        <f aca="false">IF(I1246="Male",0,1)</f>
        <v>1</v>
      </c>
      <c r="Y1246" s="46" t="n">
        <f aca="false">IF(OR(I1246="DNB",I1246="Dry DNB"),1,0)</f>
        <v>0</v>
      </c>
      <c r="Z1246" s="46" t="n">
        <f aca="false">IF(ISNUMBER(W1246),A1246-W1246,"")</f>
        <v>194</v>
      </c>
      <c r="AA1246" s="46" t="n">
        <f aca="false">MATCH(A1246,DATAS,0)</f>
        <v>1</v>
      </c>
      <c r="AB1246" s="46" t="n">
        <f aca="false">IF(AND(E1246&gt;0,OR(AND(B1246&gt;=1,B1246&lt;=6),B1246=10)),1,0)</f>
        <v>1</v>
      </c>
      <c r="AC1246" s="46" t="n">
        <f aca="false">IF(AND(E1246&gt;0,B1246=10),1,0)</f>
        <v>0</v>
      </c>
      <c r="AD1246" s="0" t="str">
        <f aca="false">IF(AND(C1245=C1246,AA1245=AA1246-1),AB1245,"")</f>
        <v/>
      </c>
      <c r="AE1246" s="0" t="str">
        <f aca="false">IF(AND(C1245=C1246,AA1245=AA1246-1),AC1245,"")</f>
        <v/>
      </c>
      <c r="AF1246" s="0" t="str">
        <f aca="false">IF(AA1246=1,"",IF(AND(AB1246=1,AD1246&lt;&gt;1),1,0))</f>
        <v/>
      </c>
      <c r="AG1246" s="0" t="str">
        <f aca="false">IF(AA1246=1,"",IF(AND(AC1246=1,AE1246&lt;&gt;1),1,0))</f>
        <v/>
      </c>
      <c r="AH1246" s="51" t="str">
        <f aca="false">IF(AND(E1246&gt;0,AA1246&lt;1,NOT(AND(C1247=C1246,AA1247=AA1246+1))),INDEX(DATAS,AA1246+1),"")</f>
        <v/>
      </c>
      <c r="AI1246" s="51" t="str">
        <f aca="false">IF(AND(AC1246=1,AA1246&lt;1),IF(AND(C1247=C1246,AA1247=AA1246+1),IF(AC1247=1,"",INDEX(DATAS,AA1246+1)),INDEX(DATAS,AA1246+1)),"")</f>
        <v/>
      </c>
    </row>
    <row r="1247" customFormat="false" ht="15" hidden="false" customHeight="false" outlineLevel="0" collapsed="false">
      <c r="A1247" s="51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46" t="s">
        <v>864</v>
      </c>
      <c r="G1247" s="0" t="n">
        <v>23.2</v>
      </c>
      <c r="H1247" s="0" t="n">
        <v>23</v>
      </c>
      <c r="I1247" s="46" t="s">
        <v>152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51" t="n">
        <v>46142</v>
      </c>
      <c r="X1247" s="46" t="n">
        <f aca="false">IF(I1247="Male",0,1)</f>
        <v>1</v>
      </c>
      <c r="Y1247" s="46" t="n">
        <f aca="false">IF(OR(I1247="DNB",I1247="Dry DNB"),1,0)</f>
        <v>0</v>
      </c>
      <c r="Z1247" s="46" t="n">
        <f aca="false">IF(ISNUMBER(W1247),A1247-W1247,"")</f>
        <v>167</v>
      </c>
      <c r="AA1247" s="46" t="n">
        <f aca="false">MATCH(A1247,DATAS,0)</f>
        <v>1</v>
      </c>
      <c r="AB1247" s="46" t="n">
        <f aca="false">IF(AND(E1247&gt;0,OR(AND(B1247&gt;=1,B1247&lt;=6),B1247=10)),1,0)</f>
        <v>1</v>
      </c>
      <c r="AC1247" s="46" t="n">
        <f aca="false">IF(AND(E1247&gt;0,B1247=10),1,0)</f>
        <v>0</v>
      </c>
      <c r="AD1247" s="0" t="str">
        <f aca="false">IF(AND(C1246=C1247,AA1246=AA1247-1),AB1246,"")</f>
        <v/>
      </c>
      <c r="AE1247" s="0" t="str">
        <f aca="false">IF(AND(C1246=C1247,AA1246=AA1247-1),AC1246,"")</f>
        <v/>
      </c>
      <c r="AF1247" s="0" t="str">
        <f aca="false">IF(AA1247=1,"",IF(AND(AB1247=1,AD1247&lt;&gt;1),1,0))</f>
        <v/>
      </c>
      <c r="AG1247" s="0" t="str">
        <f aca="false">IF(AA1247=1,"",IF(AND(AC1247=1,AE1247&lt;&gt;1),1,0))</f>
        <v/>
      </c>
      <c r="AH1247" s="51" t="str">
        <f aca="false">IF(AND(E1247&gt;0,AA1247&lt;1,NOT(AND(C1248=C1247,AA1248=AA1247+1))),INDEX(DATAS,AA1247+1),"")</f>
        <v/>
      </c>
      <c r="AI1247" s="51" t="str">
        <f aca="false">IF(AND(AC1247=1,AA1247&lt;1),IF(AND(C1248=C1247,AA1248=AA1247+1),IF(AC1248=1,"",INDEX(DATAS,AA1247+1)),INDEX(DATAS,AA1247+1)),"")</f>
        <v/>
      </c>
    </row>
    <row r="1248" customFormat="false" ht="15" hidden="false" customHeight="false" outlineLevel="0" collapsed="false">
      <c r="A1248" s="51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46" t="s">
        <v>864</v>
      </c>
      <c r="G1248" s="0" t="n">
        <v>10.6</v>
      </c>
      <c r="H1248" s="0" t="n">
        <v>34</v>
      </c>
      <c r="I1248" s="46" t="s">
        <v>157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51" t="n">
        <v>46086</v>
      </c>
      <c r="X1248" s="46" t="n">
        <f aca="false">IF(I1248="Male",0,1)</f>
        <v>1</v>
      </c>
      <c r="Y1248" s="46" t="n">
        <f aca="false">IF(OR(I1248="DNB",I1248="Dry DNB"),1,0)</f>
        <v>0</v>
      </c>
      <c r="Z1248" s="46" t="n">
        <f aca="false">IF(ISNUMBER(W1248),A1248-W1248,"")</f>
        <v>223</v>
      </c>
      <c r="AA1248" s="46" t="n">
        <f aca="false">MATCH(A1248,DATAS,0)</f>
        <v>1</v>
      </c>
      <c r="AB1248" s="46" t="n">
        <f aca="false">IF(AND(E1248&gt;0,OR(AND(B1248&gt;=1,B1248&lt;=6),B1248=10)),1,0)</f>
        <v>0</v>
      </c>
      <c r="AC1248" s="46" t="n">
        <f aca="false">IF(AND(E1248&gt;0,B1248=10),1,0)</f>
        <v>0</v>
      </c>
      <c r="AD1248" s="0" t="str">
        <f aca="false">IF(AND(C1247=C1248,AA1247=AA1248-1),AB1247,"")</f>
        <v/>
      </c>
      <c r="AE1248" s="0" t="str">
        <f aca="false">IF(AND(C1247=C1248,AA1247=AA1248-1),AC1247,"")</f>
        <v/>
      </c>
      <c r="AF1248" s="0" t="str">
        <f aca="false">IF(AA1248=1,"",IF(AND(AB1248=1,AD1248&lt;&gt;1),1,0))</f>
        <v/>
      </c>
      <c r="AG1248" s="0" t="str">
        <f aca="false">IF(AA1248=1,"",IF(AND(AC1248=1,AE1248&lt;&gt;1),1,0))</f>
        <v/>
      </c>
      <c r="AH1248" s="51" t="str">
        <f aca="false">IF(AND(E1248&gt;0,AA1248&lt;1,NOT(AND(C1249=C1248,AA1249=AA1248+1))),INDEX(DATAS,AA1248+1),"")</f>
        <v/>
      </c>
      <c r="AI1248" s="51" t="str">
        <f aca="false">IF(AND(AC1248=1,AA1248&lt;1),IF(AND(C1249=C1248,AA1249=AA1248+1),IF(AC1249=1,"",INDEX(DATAS,AA1248+1)),INDEX(DATAS,AA1248+1)),"")</f>
        <v/>
      </c>
    </row>
    <row r="1249" customFormat="false" ht="15" hidden="false" customHeight="false" outlineLevel="0" collapsed="false">
      <c r="A1249" s="51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46" t="s">
        <v>865</v>
      </c>
      <c r="I1249" s="46" t="s">
        <v>157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51" t="n">
        <v>46037</v>
      </c>
      <c r="X1249" s="46" t="n">
        <f aca="false">IF(I1249="Male",0,1)</f>
        <v>1</v>
      </c>
      <c r="Y1249" s="46" t="n">
        <f aca="false">IF(OR(I1249="DNB",I1249="Dry DNB"),1,0)</f>
        <v>0</v>
      </c>
      <c r="Z1249" s="46" t="n">
        <f aca="false">IF(ISNUMBER(W1249),A1249-W1249,"")</f>
        <v>272</v>
      </c>
      <c r="AA1249" s="46" t="n">
        <f aca="false">MATCH(A1249,DATAS,0)</f>
        <v>1</v>
      </c>
      <c r="AB1249" s="46" t="n">
        <f aca="false">IF(AND(E1249&gt;0,OR(AND(B1249&gt;=1,B1249&lt;=6),B1249=10)),1,0)</f>
        <v>0</v>
      </c>
      <c r="AC1249" s="46" t="n">
        <f aca="false">IF(AND(E1249&gt;0,B1249=10),1,0)</f>
        <v>0</v>
      </c>
      <c r="AD1249" s="0" t="str">
        <f aca="false">IF(AND(C1248=C1249,AA1248=AA1249-1),AB1248,"")</f>
        <v/>
      </c>
      <c r="AE1249" s="0" t="str">
        <f aca="false">IF(AND(C1248=C1249,AA1248=AA1249-1),AC1248,"")</f>
        <v/>
      </c>
      <c r="AF1249" s="0" t="str">
        <f aca="false">IF(AA1249=1,"",IF(AND(AB1249=1,AD1249&lt;&gt;1),1,0))</f>
        <v/>
      </c>
      <c r="AG1249" s="0" t="str">
        <f aca="false">IF(AA1249=1,"",IF(AND(AC1249=1,AE1249&lt;&gt;1),1,0))</f>
        <v/>
      </c>
      <c r="AH1249" s="51" t="str">
        <f aca="false">IF(AND(E1249&gt;0,AA1249&lt;1,NOT(AND(C1250=C1249,AA1250=AA1249+1))),INDEX(DATAS,AA1249+1),"")</f>
        <v/>
      </c>
      <c r="AI1249" s="51" t="str">
        <f aca="false">IF(AND(AC1249=1,AA1249&lt;1),IF(AND(C1250=C1249,AA1250=AA1249+1),IF(AC1250=1,"",INDEX(DATAS,AA1249+1)),INDEX(DATAS,AA1249+1)),"")</f>
        <v/>
      </c>
    </row>
    <row r="1250" customFormat="false" ht="15" hidden="false" customHeight="false" outlineLevel="0" collapsed="false">
      <c r="A1250" s="51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46" t="s">
        <v>865</v>
      </c>
      <c r="G1250" s="0" t="n">
        <v>34</v>
      </c>
      <c r="H1250" s="0" t="n">
        <v>34</v>
      </c>
      <c r="I1250" s="46" t="s">
        <v>152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51" t="n">
        <v>46142</v>
      </c>
      <c r="X1250" s="46" t="n">
        <f aca="false">IF(I1250="Male",0,1)</f>
        <v>1</v>
      </c>
      <c r="Y1250" s="46" t="n">
        <f aca="false">IF(OR(I1250="DNB",I1250="Dry DNB"),1,0)</f>
        <v>0</v>
      </c>
      <c r="Z1250" s="46" t="n">
        <f aca="false">IF(ISNUMBER(W1250),A1250-W1250,"")</f>
        <v>167</v>
      </c>
      <c r="AA1250" s="46" t="n">
        <f aca="false">MATCH(A1250,DATAS,0)</f>
        <v>1</v>
      </c>
      <c r="AB1250" s="46" t="n">
        <f aca="false">IF(AND(E1250&gt;0,OR(AND(B1250&gt;=1,B1250&lt;=6),B1250=10)),1,0)</f>
        <v>1</v>
      </c>
      <c r="AC1250" s="46" t="n">
        <f aca="false">IF(AND(E1250&gt;0,B1250=10),1,0)</f>
        <v>0</v>
      </c>
      <c r="AD1250" s="0" t="str">
        <f aca="false">IF(AND(C1249=C1250,AA1249=AA1250-1),AB1249,"")</f>
        <v/>
      </c>
      <c r="AE1250" s="0" t="str">
        <f aca="false">IF(AND(C1249=C1250,AA1249=AA1250-1),AC1249,"")</f>
        <v/>
      </c>
      <c r="AF1250" s="0" t="str">
        <f aca="false">IF(AA1250=1,"",IF(AND(AB1250=1,AD1250&lt;&gt;1),1,0))</f>
        <v/>
      </c>
      <c r="AG1250" s="0" t="str">
        <f aca="false">IF(AA1250=1,"",IF(AND(AC1250=1,AE1250&lt;&gt;1),1,0))</f>
        <v/>
      </c>
      <c r="AH1250" s="51" t="str">
        <f aca="false">IF(AND(E1250&gt;0,AA1250&lt;1,NOT(AND(C1251=C1250,AA1251=AA1250+1))),INDEX(DATAS,AA1250+1),"")</f>
        <v/>
      </c>
      <c r="AI1250" s="51" t="str">
        <f aca="false">IF(AND(AC1250=1,AA1250&lt;1),IF(AND(C1251=C1250,AA1251=AA1250+1),IF(AC1251=1,"",INDEX(DATAS,AA1250+1)),INDEX(DATAS,AA1250+1)),"")</f>
        <v/>
      </c>
    </row>
    <row r="1251" customFormat="false" ht="15" hidden="false" customHeight="false" outlineLevel="0" collapsed="false">
      <c r="A1251" s="51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46" t="s">
        <v>865</v>
      </c>
      <c r="I1251" s="46" t="s">
        <v>157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51" t="n">
        <v>46072</v>
      </c>
      <c r="X1251" s="46" t="n">
        <f aca="false">IF(I1251="Male",0,1)</f>
        <v>1</v>
      </c>
      <c r="Y1251" s="46" t="n">
        <f aca="false">IF(OR(I1251="DNB",I1251="Dry DNB"),1,0)</f>
        <v>0</v>
      </c>
      <c r="Z1251" s="46" t="n">
        <f aca="false">IF(ISNUMBER(W1251),A1251-W1251,"")</f>
        <v>237</v>
      </c>
      <c r="AA1251" s="46" t="n">
        <f aca="false">MATCH(A1251,DATAS,0)</f>
        <v>1</v>
      </c>
      <c r="AB1251" s="46" t="n">
        <f aca="false">IF(AND(E1251&gt;0,OR(AND(B1251&gt;=1,B1251&lt;=6),B1251=10)),1,0)</f>
        <v>0</v>
      </c>
      <c r="AC1251" s="46" t="n">
        <f aca="false">IF(AND(E1251&gt;0,B1251=10),1,0)</f>
        <v>0</v>
      </c>
      <c r="AD1251" s="0" t="str">
        <f aca="false">IF(AND(C1250=C1251,AA1250=AA1251-1),AB1250,"")</f>
        <v/>
      </c>
      <c r="AE1251" s="0" t="str">
        <f aca="false">IF(AND(C1250=C1251,AA1250=AA1251-1),AC1250,"")</f>
        <v/>
      </c>
      <c r="AF1251" s="0" t="str">
        <f aca="false">IF(AA1251=1,"",IF(AND(AB1251=1,AD1251&lt;&gt;1),1,0))</f>
        <v/>
      </c>
      <c r="AG1251" s="0" t="str">
        <f aca="false">IF(AA1251=1,"",IF(AND(AC1251=1,AE1251&lt;&gt;1),1,0))</f>
        <v/>
      </c>
      <c r="AH1251" s="51" t="str">
        <f aca="false">IF(AND(E1251&gt;0,AA1251&lt;1,NOT(AND(C1252=C1251,AA1252=AA1251+1))),INDEX(DATAS,AA1251+1),"")</f>
        <v/>
      </c>
      <c r="AI1251" s="51" t="str">
        <f aca="false">IF(AND(AC1251=1,AA1251&lt;1),IF(AND(C1252=C1251,AA1252=AA1251+1),IF(AC1252=1,"",INDEX(DATAS,AA1251+1)),INDEX(DATAS,AA1251+1)),"")</f>
        <v/>
      </c>
    </row>
    <row r="1252" customFormat="false" ht="15" hidden="false" customHeight="false" outlineLevel="0" collapsed="false">
      <c r="A1252" s="51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46" t="s">
        <v>865</v>
      </c>
      <c r="G1252" s="0" t="n">
        <v>47.2</v>
      </c>
      <c r="H1252" s="0" t="n">
        <v>46</v>
      </c>
      <c r="I1252" s="46" t="s">
        <v>152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51" t="n">
        <v>46128</v>
      </c>
      <c r="X1252" s="46" t="n">
        <f aca="false">IF(I1252="Male",0,1)</f>
        <v>1</v>
      </c>
      <c r="Y1252" s="46" t="n">
        <f aca="false">IF(OR(I1252="DNB",I1252="Dry DNB"),1,0)</f>
        <v>0</v>
      </c>
      <c r="Z1252" s="46" t="n">
        <f aca="false">IF(ISNUMBER(W1252),A1252-W1252,"")</f>
        <v>181</v>
      </c>
      <c r="AA1252" s="46" t="n">
        <f aca="false">MATCH(A1252,DATAS,0)</f>
        <v>1</v>
      </c>
      <c r="AB1252" s="46" t="n">
        <f aca="false">IF(AND(E1252&gt;0,OR(AND(B1252&gt;=1,B1252&lt;=6),B1252=10)),1,0)</f>
        <v>1</v>
      </c>
      <c r="AC1252" s="46" t="n">
        <f aca="false">IF(AND(E1252&gt;0,B1252=10),1,0)</f>
        <v>0</v>
      </c>
      <c r="AD1252" s="0" t="str">
        <f aca="false">IF(AND(C1251=C1252,AA1251=AA1252-1),AB1251,"")</f>
        <v/>
      </c>
      <c r="AE1252" s="0" t="str">
        <f aca="false">IF(AND(C1251=C1252,AA1251=AA1252-1),AC1251,"")</f>
        <v/>
      </c>
      <c r="AF1252" s="0" t="str">
        <f aca="false">IF(AA1252=1,"",IF(AND(AB1252=1,AD1252&lt;&gt;1),1,0))</f>
        <v/>
      </c>
      <c r="AG1252" s="0" t="str">
        <f aca="false">IF(AA1252=1,"",IF(AND(AC1252=1,AE1252&lt;&gt;1),1,0))</f>
        <v/>
      </c>
      <c r="AH1252" s="51" t="str">
        <f aca="false">IF(AND(E1252&gt;0,AA1252&lt;1,NOT(AND(C1253=C1252,AA1253=AA1252+1))),INDEX(DATAS,AA1252+1),"")</f>
        <v/>
      </c>
      <c r="AI1252" s="51" t="str">
        <f aca="false">IF(AND(AC1252=1,AA1252&lt;1),IF(AND(C1253=C1252,AA1253=AA1252+1),IF(AC1253=1,"",INDEX(DATAS,AA1252+1)),INDEX(DATAS,AA1252+1)),"")</f>
        <v/>
      </c>
    </row>
    <row r="1253" customFormat="false" ht="15" hidden="false" customHeight="false" outlineLevel="0" collapsed="false">
      <c r="A1253" s="51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46" t="s">
        <v>865</v>
      </c>
      <c r="G1253" s="0" t="n">
        <v>59.2</v>
      </c>
      <c r="H1253" s="0" t="n">
        <v>56</v>
      </c>
      <c r="I1253" s="46" t="s">
        <v>152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51" t="n">
        <v>46128</v>
      </c>
      <c r="X1253" s="46" t="n">
        <f aca="false">IF(I1253="Male",0,1)</f>
        <v>1</v>
      </c>
      <c r="Y1253" s="46" t="n">
        <f aca="false">IF(OR(I1253="DNB",I1253="Dry DNB"),1,0)</f>
        <v>0</v>
      </c>
      <c r="Z1253" s="46" t="n">
        <f aca="false">IF(ISNUMBER(W1253),A1253-W1253,"")</f>
        <v>181</v>
      </c>
      <c r="AA1253" s="46" t="n">
        <f aca="false">MATCH(A1253,DATAS,0)</f>
        <v>1</v>
      </c>
      <c r="AB1253" s="46" t="n">
        <f aca="false">IF(AND(E1253&gt;0,OR(AND(B1253&gt;=1,B1253&lt;=6),B1253=10)),1,0)</f>
        <v>1</v>
      </c>
      <c r="AC1253" s="46" t="n">
        <f aca="false">IF(AND(E1253&gt;0,B1253=10),1,0)</f>
        <v>0</v>
      </c>
      <c r="AD1253" s="0" t="str">
        <f aca="false">IF(AND(C1252=C1253,AA1252=AA1253-1),AB1252,"")</f>
        <v/>
      </c>
      <c r="AE1253" s="0" t="str">
        <f aca="false">IF(AND(C1252=C1253,AA1252=AA1253-1),AC1252,"")</f>
        <v/>
      </c>
      <c r="AF1253" s="0" t="str">
        <f aca="false">IF(AA1253=1,"",IF(AND(AB1253=1,AD1253&lt;&gt;1),1,0))</f>
        <v/>
      </c>
      <c r="AG1253" s="0" t="str">
        <f aca="false">IF(AA1253=1,"",IF(AND(AC1253=1,AE1253&lt;&gt;1),1,0))</f>
        <v/>
      </c>
      <c r="AH1253" s="51" t="str">
        <f aca="false">IF(AND(E1253&gt;0,AA1253&lt;1,NOT(AND(C1254=C1253,AA1254=AA1253+1))),INDEX(DATAS,AA1253+1),"")</f>
        <v/>
      </c>
      <c r="AI1253" s="51" t="str">
        <f aca="false">IF(AND(AC1253=1,AA1253&lt;1),IF(AND(C1254=C1253,AA1254=AA1253+1),IF(AC1254=1,"",INDEX(DATAS,AA1253+1)),INDEX(DATAS,AA1253+1)),"")</f>
        <v/>
      </c>
    </row>
    <row r="1254" customFormat="false" ht="15" hidden="false" customHeight="false" outlineLevel="0" collapsed="false">
      <c r="A1254" s="51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46" t="s">
        <v>866</v>
      </c>
      <c r="G1254" s="0" t="n">
        <v>48.4</v>
      </c>
      <c r="H1254" s="0" t="n">
        <v>45</v>
      </c>
      <c r="I1254" s="46" t="s">
        <v>152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51" t="n">
        <v>46226</v>
      </c>
      <c r="X1254" s="46" t="n">
        <f aca="false">IF(I1254="Male",0,1)</f>
        <v>1</v>
      </c>
      <c r="Y1254" s="46" t="n">
        <f aca="false">IF(OR(I1254="DNB",I1254="Dry DNB"),1,0)</f>
        <v>0</v>
      </c>
      <c r="Z1254" s="46" t="n">
        <f aca="false">IF(ISNUMBER(W1254),A1254-W1254,"")</f>
        <v>83</v>
      </c>
      <c r="AA1254" s="46" t="n">
        <f aca="false">MATCH(A1254,DATAS,0)</f>
        <v>1</v>
      </c>
      <c r="AB1254" s="46" t="n">
        <f aca="false">IF(AND(E1254&gt;0,OR(AND(B1254&gt;=1,B1254&lt;=6),B1254=10)),1,0)</f>
        <v>1</v>
      </c>
      <c r="AC1254" s="46" t="n">
        <f aca="false">IF(AND(E1254&gt;0,B1254=10),1,0)</f>
        <v>0</v>
      </c>
      <c r="AD1254" s="0" t="str">
        <f aca="false">IF(AND(C1253=C1254,AA1253=AA1254-1),AB1253,"")</f>
        <v/>
      </c>
      <c r="AE1254" s="0" t="str">
        <f aca="false">IF(AND(C1253=C1254,AA1253=AA1254-1),AC1253,"")</f>
        <v/>
      </c>
      <c r="AF1254" s="0" t="str">
        <f aca="false">IF(AA1254=1,"",IF(AND(AB1254=1,AD1254&lt;&gt;1),1,0))</f>
        <v/>
      </c>
      <c r="AG1254" s="0" t="str">
        <f aca="false">IF(AA1254=1,"",IF(AND(AC1254=1,AE1254&lt;&gt;1),1,0))</f>
        <v/>
      </c>
      <c r="AH1254" s="51" t="str">
        <f aca="false">IF(AND(E1254&gt;0,AA1254&lt;1,NOT(AND(C1255=C1254,AA1255=AA1254+1))),INDEX(DATAS,AA1254+1),"")</f>
        <v/>
      </c>
      <c r="AI1254" s="51" t="str">
        <f aca="false">IF(AND(AC1254=1,AA1254&lt;1),IF(AND(C1255=C1254,AA1255=AA1254+1),IF(AC1255=1,"",INDEX(DATAS,AA1254+1)),INDEX(DATAS,AA1254+1)),"")</f>
        <v/>
      </c>
    </row>
    <row r="1255" customFormat="false" ht="15" hidden="false" customHeight="false" outlineLevel="0" collapsed="false">
      <c r="A1255" s="51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46" t="s">
        <v>863</v>
      </c>
      <c r="G1255" s="0" t="n">
        <v>39.6</v>
      </c>
      <c r="H1255" s="0" t="n">
        <v>39</v>
      </c>
      <c r="I1255" s="46" t="s">
        <v>152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51" t="n">
        <v>46163</v>
      </c>
      <c r="X1255" s="46" t="n">
        <f aca="false">IF(I1255="Male",0,1)</f>
        <v>1</v>
      </c>
      <c r="Y1255" s="46" t="n">
        <f aca="false">IF(OR(I1255="DNB",I1255="Dry DNB"),1,0)</f>
        <v>0</v>
      </c>
      <c r="Z1255" s="46" t="n">
        <f aca="false">IF(ISNUMBER(W1255),A1255-W1255,"")</f>
        <v>146</v>
      </c>
      <c r="AA1255" s="46" t="n">
        <f aca="false">MATCH(A1255,DATAS,0)</f>
        <v>1</v>
      </c>
      <c r="AB1255" s="46" t="n">
        <f aca="false">IF(AND(E1255&gt;0,OR(AND(B1255&gt;=1,B1255&lt;=6),B1255=10)),1,0)</f>
        <v>1</v>
      </c>
      <c r="AC1255" s="46" t="n">
        <f aca="false">IF(AND(E1255&gt;0,B1255=10),1,0)</f>
        <v>0</v>
      </c>
      <c r="AD1255" s="0" t="str">
        <f aca="false">IF(AND(C1254=C1255,AA1254=AA1255-1),AB1254,"")</f>
        <v/>
      </c>
      <c r="AE1255" s="0" t="str">
        <f aca="false">IF(AND(C1254=C1255,AA1254=AA1255-1),AC1254,"")</f>
        <v/>
      </c>
      <c r="AF1255" s="0" t="str">
        <f aca="false">IF(AA1255=1,"",IF(AND(AB1255=1,AD1255&lt;&gt;1),1,0))</f>
        <v/>
      </c>
      <c r="AG1255" s="0" t="str">
        <f aca="false">IF(AA1255=1,"",IF(AND(AC1255=1,AE1255&lt;&gt;1),1,0))</f>
        <v/>
      </c>
      <c r="AH1255" s="51" t="str">
        <f aca="false">IF(AND(E1255&gt;0,AA1255&lt;1,NOT(AND(C1256=C1255,AA1256=AA1255+1))),INDEX(DATAS,AA1255+1),"")</f>
        <v/>
      </c>
      <c r="AI1255" s="51" t="str">
        <f aca="false">IF(AND(AC1255=1,AA1255&lt;1),IF(AND(C1256=C1255,AA1256=AA1255+1),IF(AC1256=1,"",INDEX(DATAS,AA1255+1)),INDEX(DATAS,AA1255+1)),"")</f>
        <v/>
      </c>
    </row>
    <row r="1256" customFormat="false" ht="15" hidden="false" customHeight="false" outlineLevel="0" collapsed="false">
      <c r="A1256" s="51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46" t="s">
        <v>866</v>
      </c>
      <c r="G1256" s="0" t="n">
        <v>51.1</v>
      </c>
      <c r="H1256" s="0" t="n">
        <v>53</v>
      </c>
      <c r="I1256" s="46" t="s">
        <v>152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51" t="n">
        <v>46161</v>
      </c>
      <c r="X1256" s="46" t="n">
        <f aca="false">IF(I1256="Male",0,1)</f>
        <v>1</v>
      </c>
      <c r="Y1256" s="46" t="n">
        <f aca="false">IF(OR(I1256="DNB",I1256="Dry DNB"),1,0)</f>
        <v>0</v>
      </c>
      <c r="Z1256" s="46" t="n">
        <f aca="false">IF(ISNUMBER(W1256),A1256-W1256,"")</f>
        <v>148</v>
      </c>
      <c r="AA1256" s="46" t="n">
        <f aca="false">MATCH(A1256,DATAS,0)</f>
        <v>1</v>
      </c>
      <c r="AB1256" s="46" t="n">
        <f aca="false">IF(AND(E1256&gt;0,OR(AND(B1256&gt;=1,B1256&lt;=6),B1256=10)),1,0)</f>
        <v>1</v>
      </c>
      <c r="AC1256" s="46" t="n">
        <f aca="false">IF(AND(E1256&gt;0,B1256=10),1,0)</f>
        <v>0</v>
      </c>
      <c r="AD1256" s="0" t="str">
        <f aca="false">IF(AND(C1255=C1256,AA1255=AA1256-1),AB1255,"")</f>
        <v/>
      </c>
      <c r="AE1256" s="0" t="str">
        <f aca="false">IF(AND(C1255=C1256,AA1255=AA1256-1),AC1255,"")</f>
        <v/>
      </c>
      <c r="AF1256" s="0" t="str">
        <f aca="false">IF(AA1256=1,"",IF(AND(AB1256=1,AD1256&lt;&gt;1),1,0))</f>
        <v/>
      </c>
      <c r="AG1256" s="0" t="str">
        <f aca="false">IF(AA1256=1,"",IF(AND(AC1256=1,AE1256&lt;&gt;1),1,0))</f>
        <v/>
      </c>
      <c r="AH1256" s="51" t="str">
        <f aca="false">IF(AND(E1256&gt;0,AA1256&lt;1,NOT(AND(C1257=C1256,AA1257=AA1256+1))),INDEX(DATAS,AA1256+1),"")</f>
        <v/>
      </c>
      <c r="AI1256" s="51" t="str">
        <f aca="false">IF(AND(AC1256=1,AA1256&lt;1),IF(AND(C1257=C1256,AA1257=AA1256+1),IF(AC1257=1,"",INDEX(DATAS,AA1256+1)),INDEX(DATAS,AA1256+1)),"")</f>
        <v/>
      </c>
    </row>
    <row r="1257" customFormat="false" ht="15" hidden="false" customHeight="false" outlineLevel="0" collapsed="false">
      <c r="A1257" s="51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46" t="s">
        <v>866</v>
      </c>
      <c r="I1257" s="46" t="s">
        <v>157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51" t="n">
        <v>46072</v>
      </c>
      <c r="X1257" s="46" t="n">
        <f aca="false">IF(I1257="Male",0,1)</f>
        <v>1</v>
      </c>
      <c r="Y1257" s="46" t="n">
        <f aca="false">IF(OR(I1257="DNB",I1257="Dry DNB"),1,0)</f>
        <v>0</v>
      </c>
      <c r="Z1257" s="46" t="n">
        <f aca="false">IF(ISNUMBER(W1257),A1257-W1257,"")</f>
        <v>237</v>
      </c>
      <c r="AA1257" s="46" t="n">
        <f aca="false">MATCH(A1257,DATAS,0)</f>
        <v>1</v>
      </c>
      <c r="AB1257" s="46" t="n">
        <f aca="false">IF(AND(E1257&gt;0,OR(AND(B1257&gt;=1,B1257&lt;=6),B1257=10)),1,0)</f>
        <v>0</v>
      </c>
      <c r="AC1257" s="46" t="n">
        <f aca="false">IF(AND(E1257&gt;0,B1257=10),1,0)</f>
        <v>0</v>
      </c>
      <c r="AD1257" s="0" t="str">
        <f aca="false">IF(AND(C1256=C1257,AA1256=AA1257-1),AB1256,"")</f>
        <v/>
      </c>
      <c r="AE1257" s="0" t="str">
        <f aca="false">IF(AND(C1256=C1257,AA1256=AA1257-1),AC1256,"")</f>
        <v/>
      </c>
      <c r="AF1257" s="0" t="str">
        <f aca="false">IF(AA1257=1,"",IF(AND(AB1257=1,AD1257&lt;&gt;1),1,0))</f>
        <v/>
      </c>
      <c r="AG1257" s="0" t="str">
        <f aca="false">IF(AA1257=1,"",IF(AND(AC1257=1,AE1257&lt;&gt;1),1,0))</f>
        <v/>
      </c>
      <c r="AH1257" s="51" t="str">
        <f aca="false">IF(AND(E1257&gt;0,AA1257&lt;1,NOT(AND(C1258=C1257,AA1258=AA1257+1))),INDEX(DATAS,AA1257+1),"")</f>
        <v/>
      </c>
      <c r="AI1257" s="51" t="str">
        <f aca="false">IF(AND(AC1257=1,AA1257&lt;1),IF(AND(C1258=C1257,AA1258=AA1257+1),IF(AC1258=1,"",INDEX(DATAS,AA1257+1)),INDEX(DATAS,AA1257+1)),"")</f>
        <v/>
      </c>
    </row>
    <row r="1258" customFormat="false" ht="15" hidden="false" customHeight="false" outlineLevel="0" collapsed="false">
      <c r="A1258" s="51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46" t="s">
        <v>867</v>
      </c>
      <c r="G1258" s="0" t="n">
        <v>49.4</v>
      </c>
      <c r="H1258" s="0" t="n">
        <v>50</v>
      </c>
      <c r="I1258" s="46" t="s">
        <v>152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51" t="n">
        <v>46275</v>
      </c>
      <c r="X1258" s="46" t="n">
        <f aca="false">IF(I1258="Male",0,1)</f>
        <v>1</v>
      </c>
      <c r="Y1258" s="46" t="n">
        <f aca="false">IF(OR(I1258="DNB",I1258="Dry DNB"),1,0)</f>
        <v>0</v>
      </c>
      <c r="Z1258" s="46" t="n">
        <f aca="false">IF(ISNUMBER(W1258),A1258-W1258,"")</f>
        <v>34</v>
      </c>
      <c r="AA1258" s="46" t="n">
        <f aca="false">MATCH(A1258,DATAS,0)</f>
        <v>1</v>
      </c>
      <c r="AB1258" s="46" t="n">
        <f aca="false">IF(AND(E1258&gt;0,OR(AND(B1258&gt;=1,B1258&lt;=6),B1258=10)),1,0)</f>
        <v>1</v>
      </c>
      <c r="AC1258" s="46" t="n">
        <f aca="false">IF(AND(E1258&gt;0,B1258=10),1,0)</f>
        <v>0</v>
      </c>
      <c r="AD1258" s="0" t="str">
        <f aca="false">IF(AND(C1257=C1258,AA1257=AA1258-1),AB1257,"")</f>
        <v/>
      </c>
      <c r="AE1258" s="0" t="str">
        <f aca="false">IF(AND(C1257=C1258,AA1257=AA1258-1),AC1257,"")</f>
        <v/>
      </c>
      <c r="AF1258" s="0" t="str">
        <f aca="false">IF(AA1258=1,"",IF(AND(AB1258=1,AD1258&lt;&gt;1),1,0))</f>
        <v/>
      </c>
      <c r="AG1258" s="0" t="str">
        <f aca="false">IF(AA1258=1,"",IF(AND(AC1258=1,AE1258&lt;&gt;1),1,0))</f>
        <v/>
      </c>
      <c r="AH1258" s="51" t="str">
        <f aca="false">IF(AND(E1258&gt;0,AA1258&lt;1,NOT(AND(C1259=C1258,AA1259=AA1258+1))),INDEX(DATAS,AA1258+1),"")</f>
        <v/>
      </c>
      <c r="AI1258" s="51" t="str">
        <f aca="false">IF(AND(AC1258=1,AA1258&lt;1),IF(AND(C1259=C1258,AA1259=AA1258+1),IF(AC1259=1,"",INDEX(DATAS,AA1258+1)),INDEX(DATAS,AA1258+1)),"")</f>
        <v/>
      </c>
    </row>
    <row r="1259" customFormat="false" ht="15" hidden="false" customHeight="false" outlineLevel="0" collapsed="false">
      <c r="A1259" s="51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46" t="s">
        <v>867</v>
      </c>
      <c r="G1259" s="0" t="n">
        <v>51</v>
      </c>
      <c r="H1259" s="0" t="n">
        <v>53</v>
      </c>
      <c r="I1259" s="46" t="s">
        <v>152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51" t="n">
        <v>46275</v>
      </c>
      <c r="X1259" s="46" t="n">
        <f aca="false">IF(I1259="Male",0,1)</f>
        <v>1</v>
      </c>
      <c r="Y1259" s="46" t="n">
        <f aca="false">IF(OR(I1259="DNB",I1259="Dry DNB"),1,0)</f>
        <v>0</v>
      </c>
      <c r="Z1259" s="46" t="n">
        <f aca="false">IF(ISNUMBER(W1259),A1259-W1259,"")</f>
        <v>34</v>
      </c>
      <c r="AA1259" s="46" t="n">
        <f aca="false">MATCH(A1259,DATAS,0)</f>
        <v>1</v>
      </c>
      <c r="AB1259" s="46" t="n">
        <f aca="false">IF(AND(E1259&gt;0,OR(AND(B1259&gt;=1,B1259&lt;=6),B1259=10)),1,0)</f>
        <v>1</v>
      </c>
      <c r="AC1259" s="46" t="n">
        <f aca="false">IF(AND(E1259&gt;0,B1259=10),1,0)</f>
        <v>0</v>
      </c>
      <c r="AD1259" s="0" t="str">
        <f aca="false">IF(AND(C1258=C1259,AA1258=AA1259-1),AB1258,"")</f>
        <v/>
      </c>
      <c r="AE1259" s="0" t="str">
        <f aca="false">IF(AND(C1258=C1259,AA1258=AA1259-1),AC1258,"")</f>
        <v/>
      </c>
      <c r="AF1259" s="0" t="str">
        <f aca="false">IF(AA1259=1,"",IF(AND(AB1259=1,AD1259&lt;&gt;1),1,0))</f>
        <v/>
      </c>
      <c r="AG1259" s="0" t="str">
        <f aca="false">IF(AA1259=1,"",IF(AND(AC1259=1,AE1259&lt;&gt;1),1,0))</f>
        <v/>
      </c>
      <c r="AH1259" s="51" t="str">
        <f aca="false">IF(AND(E1259&gt;0,AA1259&lt;1,NOT(AND(C1260=C1259,AA1260=AA1259+1))),INDEX(DATAS,AA1259+1),"")</f>
        <v/>
      </c>
      <c r="AI1259" s="51" t="str">
        <f aca="false">IF(AND(AC1259=1,AA1259&lt;1),IF(AND(C1260=C1259,AA1260=AA1259+1),IF(AC1260=1,"",INDEX(DATAS,AA1259+1)),INDEX(DATAS,AA1259+1)),"")</f>
        <v/>
      </c>
    </row>
    <row r="1260" customFormat="false" ht="15" hidden="false" customHeight="false" outlineLevel="0" collapsed="false">
      <c r="A1260" s="51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46" t="s">
        <v>867</v>
      </c>
      <c r="G1260" s="0" t="n">
        <v>38.2</v>
      </c>
      <c r="H1260" s="0" t="n">
        <v>38</v>
      </c>
      <c r="I1260" s="46" t="s">
        <v>152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51" t="n">
        <v>46159</v>
      </c>
      <c r="X1260" s="46" t="n">
        <f aca="false">IF(I1260="Male",0,1)</f>
        <v>1</v>
      </c>
      <c r="Y1260" s="46" t="n">
        <f aca="false">IF(OR(I1260="DNB",I1260="Dry DNB"),1,0)</f>
        <v>0</v>
      </c>
      <c r="Z1260" s="46" t="n">
        <f aca="false">IF(ISNUMBER(W1260),A1260-W1260,"")</f>
        <v>150</v>
      </c>
      <c r="AA1260" s="46" t="n">
        <f aca="false">MATCH(A1260,DATAS,0)</f>
        <v>1</v>
      </c>
      <c r="AB1260" s="46" t="n">
        <f aca="false">IF(AND(E1260&gt;0,OR(AND(B1260&gt;=1,B1260&lt;=6),B1260=10)),1,0)</f>
        <v>1</v>
      </c>
      <c r="AC1260" s="46" t="n">
        <f aca="false">IF(AND(E1260&gt;0,B1260=10),1,0)</f>
        <v>0</v>
      </c>
      <c r="AD1260" s="0" t="str">
        <f aca="false">IF(AND(C1259=C1260,AA1259=AA1260-1),AB1259,"")</f>
        <v/>
      </c>
      <c r="AE1260" s="0" t="str">
        <f aca="false">IF(AND(C1259=C1260,AA1259=AA1260-1),AC1259,"")</f>
        <v/>
      </c>
      <c r="AF1260" s="0" t="str">
        <f aca="false">IF(AA1260=1,"",IF(AND(AB1260=1,AD1260&lt;&gt;1),1,0))</f>
        <v/>
      </c>
      <c r="AG1260" s="0" t="str">
        <f aca="false">IF(AA1260=1,"",IF(AND(AC1260=1,AE1260&lt;&gt;1),1,0))</f>
        <v/>
      </c>
      <c r="AH1260" s="51" t="str">
        <f aca="false">IF(AND(E1260&gt;0,AA1260&lt;1,NOT(AND(C1261=C1260,AA1261=AA1260+1))),INDEX(DATAS,AA1260+1),"")</f>
        <v/>
      </c>
      <c r="AI1260" s="51" t="str">
        <f aca="false">IF(AND(AC1260=1,AA1260&lt;1),IF(AND(C1261=C1260,AA1261=AA1260+1),IF(AC1261=1,"",INDEX(DATAS,AA1260+1)),INDEX(DATAS,AA1260+1)),"")</f>
        <v/>
      </c>
    </row>
    <row r="1261" customFormat="false" ht="15" hidden="false" customHeight="false" outlineLevel="0" collapsed="false">
      <c r="A1261" s="51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46" t="s">
        <v>867</v>
      </c>
      <c r="G1261" s="0" t="n">
        <v>61.7</v>
      </c>
      <c r="H1261" s="0" t="n">
        <v>60</v>
      </c>
      <c r="I1261" s="46" t="s">
        <v>189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51" t="n">
        <v>46278</v>
      </c>
      <c r="X1261" s="46" t="n">
        <f aca="false">IF(I1261="Male",0,1)</f>
        <v>1</v>
      </c>
      <c r="Y1261" s="46" t="n">
        <f aca="false">IF(OR(I1261="DNB",I1261="Dry DNB"),1,0)</f>
        <v>0</v>
      </c>
      <c r="Z1261" s="46" t="n">
        <f aca="false">IF(ISNUMBER(W1261),A1261-W1261,"")</f>
        <v>31</v>
      </c>
      <c r="AA1261" s="46" t="n">
        <f aca="false">MATCH(A1261,DATAS,0)</f>
        <v>1</v>
      </c>
      <c r="AB1261" s="46" t="n">
        <f aca="false">IF(AND(E1261&gt;0,OR(AND(B1261&gt;=1,B1261&lt;=6),B1261=10)),1,0)</f>
        <v>1</v>
      </c>
      <c r="AC1261" s="46" t="n">
        <f aca="false">IF(AND(E1261&gt;0,B1261=10),1,0)</f>
        <v>0</v>
      </c>
      <c r="AD1261" s="0" t="str">
        <f aca="false">IF(AND(C1260=C1261,AA1260=AA1261-1),AB1260,"")</f>
        <v/>
      </c>
      <c r="AE1261" s="0" t="str">
        <f aca="false">IF(AND(C1260=C1261,AA1260=AA1261-1),AC1260,"")</f>
        <v/>
      </c>
      <c r="AF1261" s="0" t="str">
        <f aca="false">IF(AA1261=1,"",IF(AND(AB1261=1,AD1261&lt;&gt;1),1,0))</f>
        <v/>
      </c>
      <c r="AG1261" s="0" t="str">
        <f aca="false">IF(AA1261=1,"",IF(AND(AC1261=1,AE1261&lt;&gt;1),1,0))</f>
        <v/>
      </c>
      <c r="AH1261" s="51" t="str">
        <f aca="false">IF(AND(E1261&gt;0,AA1261&lt;1,NOT(AND(C1262=C1261,AA1262=AA1261+1))),INDEX(DATAS,AA1261+1),"")</f>
        <v/>
      </c>
      <c r="AI1261" s="51" t="str">
        <f aca="false">IF(AND(AC1261=1,AA1261&lt;1),IF(AND(C1262=C1261,AA1262=AA1261+1),IF(AC1262=1,"",INDEX(DATAS,AA1261+1)),INDEX(DATAS,AA1261+1)),"")</f>
        <v/>
      </c>
    </row>
    <row r="1262" customFormat="false" ht="15" hidden="false" customHeight="false" outlineLevel="0" collapsed="false">
      <c r="A1262" s="51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46" t="s">
        <v>867</v>
      </c>
      <c r="G1262" s="0" t="n">
        <v>47</v>
      </c>
      <c r="H1262" s="0" t="n">
        <v>41</v>
      </c>
      <c r="I1262" s="46" t="s">
        <v>161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X1262" s="46" t="n">
        <f aca="false">IF(I1262="Male",0,1)</f>
        <v>1</v>
      </c>
      <c r="Y1262" s="46" t="n">
        <f aca="false">IF(OR(I1262="DNB",I1262="Dry DNB"),1,0)</f>
        <v>0</v>
      </c>
      <c r="Z1262" s="0" t="str">
        <f aca="false">IF(ISNUMBER(W1262),A1262-W1262,"")</f>
        <v/>
      </c>
      <c r="AA1262" s="46" t="n">
        <f aca="false">MATCH(A1262,DATAS,0)</f>
        <v>1</v>
      </c>
      <c r="AB1262" s="46" t="n">
        <f aca="false">IF(AND(E1262&gt;0,OR(AND(B1262&gt;=1,B1262&lt;=6),B1262=10)),1,0)</f>
        <v>1</v>
      </c>
      <c r="AC1262" s="46" t="n">
        <f aca="false">IF(AND(E1262&gt;0,B1262=10),1,0)</f>
        <v>0</v>
      </c>
      <c r="AD1262" s="0" t="str">
        <f aca="false">IF(AND(C1261=C1262,AA1261=AA1262-1),AB1261,"")</f>
        <v/>
      </c>
      <c r="AE1262" s="0" t="str">
        <f aca="false">IF(AND(C1261=C1262,AA1261=AA1262-1),AC1261,"")</f>
        <v/>
      </c>
      <c r="AF1262" s="0" t="str">
        <f aca="false">IF(AA1262=1,"",IF(AND(AB1262=1,AD1262&lt;&gt;1),1,0))</f>
        <v/>
      </c>
      <c r="AG1262" s="0" t="str">
        <f aca="false">IF(AA1262=1,"",IF(AND(AC1262=1,AE1262&lt;&gt;1),1,0))</f>
        <v/>
      </c>
      <c r="AH1262" s="51" t="str">
        <f aca="false">IF(AND(E1262&gt;0,AA1262&lt;1,NOT(AND(C1263=C1262,AA1263=AA1262+1))),INDEX(DATAS,AA1262+1),"")</f>
        <v/>
      </c>
      <c r="AI1262" s="51" t="str">
        <f aca="false">IF(AND(AC1262=1,AA1262&lt;1),IF(AND(C1263=C1262,AA1263=AA1262+1),IF(AC1263=1,"",INDEX(DATAS,AA1262+1)),INDEX(DATAS,AA1262+1)),"")</f>
        <v/>
      </c>
    </row>
    <row r="1263" customFormat="false" ht="15" hidden="false" customHeight="false" outlineLevel="0" collapsed="false">
      <c r="A1263" s="51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46" t="s">
        <v>868</v>
      </c>
      <c r="G1263" s="0" t="n">
        <v>44.2</v>
      </c>
      <c r="H1263" s="0" t="n">
        <v>46</v>
      </c>
      <c r="I1263" s="46" t="s">
        <v>152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51" t="n">
        <v>46142</v>
      </c>
      <c r="X1263" s="46" t="n">
        <f aca="false">IF(I1263="Male",0,1)</f>
        <v>1</v>
      </c>
      <c r="Y1263" s="46" t="n">
        <f aca="false">IF(OR(I1263="DNB",I1263="Dry DNB"),1,0)</f>
        <v>0</v>
      </c>
      <c r="Z1263" s="46" t="n">
        <f aca="false">IF(ISNUMBER(W1263),A1263-W1263,"")</f>
        <v>167</v>
      </c>
      <c r="AA1263" s="46" t="n">
        <f aca="false">MATCH(A1263,DATAS,0)</f>
        <v>1</v>
      </c>
      <c r="AB1263" s="46" t="n">
        <f aca="false">IF(AND(E1263&gt;0,OR(AND(B1263&gt;=1,B1263&lt;=6),B1263=10)),1,0)</f>
        <v>1</v>
      </c>
      <c r="AC1263" s="46" t="n">
        <f aca="false">IF(AND(E1263&gt;0,B1263=10),1,0)</f>
        <v>0</v>
      </c>
      <c r="AD1263" s="0" t="str">
        <f aca="false">IF(AND(C1262=C1263,AA1262=AA1263-1),AB1262,"")</f>
        <v/>
      </c>
      <c r="AE1263" s="0" t="str">
        <f aca="false">IF(AND(C1262=C1263,AA1262=AA1263-1),AC1262,"")</f>
        <v/>
      </c>
      <c r="AF1263" s="0" t="str">
        <f aca="false">IF(AA1263=1,"",IF(AND(AB1263=1,AD1263&lt;&gt;1),1,0))</f>
        <v/>
      </c>
      <c r="AG1263" s="0" t="str">
        <f aca="false">IF(AA1263=1,"",IF(AND(AC1263=1,AE1263&lt;&gt;1),1,0))</f>
        <v/>
      </c>
      <c r="AH1263" s="51" t="str">
        <f aca="false">IF(AND(E1263&gt;0,AA1263&lt;1,NOT(AND(C1264=C1263,AA1264=AA1263+1))),INDEX(DATAS,AA1263+1),"")</f>
        <v/>
      </c>
      <c r="AI1263" s="51" t="str">
        <f aca="false">IF(AND(AC1263=1,AA1263&lt;1),IF(AND(C1264=C1263,AA1264=AA1263+1),IF(AC1264=1,"",INDEX(DATAS,AA1263+1)),INDEX(DATAS,AA1263+1)),"")</f>
        <v/>
      </c>
    </row>
    <row r="1264" customFormat="false" ht="15" hidden="false" customHeight="false" outlineLevel="0" collapsed="false">
      <c r="A1264" s="51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46" t="s">
        <v>868</v>
      </c>
      <c r="I1264" s="46" t="s">
        <v>157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51" t="n">
        <v>46037</v>
      </c>
      <c r="X1264" s="46" t="n">
        <f aca="false">IF(I1264="Male",0,1)</f>
        <v>1</v>
      </c>
      <c r="Y1264" s="46" t="n">
        <f aca="false">IF(OR(I1264="DNB",I1264="Dry DNB"),1,0)</f>
        <v>0</v>
      </c>
      <c r="Z1264" s="46" t="n">
        <f aca="false">IF(ISNUMBER(W1264),A1264-W1264,"")</f>
        <v>272</v>
      </c>
      <c r="AA1264" s="46" t="n">
        <f aca="false">MATCH(A1264,DATAS,0)</f>
        <v>1</v>
      </c>
      <c r="AB1264" s="46" t="n">
        <f aca="false">IF(AND(E1264&gt;0,OR(AND(B1264&gt;=1,B1264&lt;=6),B1264=10)),1,0)</f>
        <v>0</v>
      </c>
      <c r="AC1264" s="46" t="n">
        <f aca="false">IF(AND(E1264&gt;0,B1264=10),1,0)</f>
        <v>0</v>
      </c>
      <c r="AD1264" s="0" t="str">
        <f aca="false">IF(AND(C1263=C1264,AA1263=AA1264-1),AB1263,"")</f>
        <v/>
      </c>
      <c r="AE1264" s="0" t="str">
        <f aca="false">IF(AND(C1263=C1264,AA1263=AA1264-1),AC1263,"")</f>
        <v/>
      </c>
      <c r="AF1264" s="0" t="str">
        <f aca="false">IF(AA1264=1,"",IF(AND(AB1264=1,AD1264&lt;&gt;1),1,0))</f>
        <v/>
      </c>
      <c r="AG1264" s="0" t="str">
        <f aca="false">IF(AA1264=1,"",IF(AND(AC1264=1,AE1264&lt;&gt;1),1,0))</f>
        <v/>
      </c>
      <c r="AH1264" s="51" t="str">
        <f aca="false">IF(AND(E1264&gt;0,AA1264&lt;1,NOT(AND(C1265=C1264,AA1265=AA1264+1))),INDEX(DATAS,AA1264+1),"")</f>
        <v/>
      </c>
      <c r="AI1264" s="51" t="str">
        <f aca="false">IF(AND(AC1264=1,AA1264&lt;1),IF(AND(C1265=C1264,AA1265=AA1264+1),IF(AC1265=1,"",INDEX(DATAS,AA1264+1)),INDEX(DATAS,AA1264+1)),"")</f>
        <v/>
      </c>
    </row>
    <row r="1265" customFormat="false" ht="15" hidden="false" customHeight="false" outlineLevel="0" collapsed="false">
      <c r="A1265" s="51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46" t="s">
        <v>868</v>
      </c>
      <c r="G1265" s="0" t="n">
        <v>45.3</v>
      </c>
      <c r="H1265" s="0" t="n">
        <v>43</v>
      </c>
      <c r="I1265" s="46" t="s">
        <v>181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51" t="n">
        <v>46289</v>
      </c>
      <c r="X1265" s="46" t="n">
        <f aca="false">IF(I1265="Male",0,1)</f>
        <v>1</v>
      </c>
      <c r="Y1265" s="46" t="n">
        <f aca="false">IF(OR(I1265="DNB",I1265="Dry DNB"),1,0)</f>
        <v>0</v>
      </c>
      <c r="Z1265" s="46" t="n">
        <f aca="false">IF(ISNUMBER(W1265),A1265-W1265,"")</f>
        <v>20</v>
      </c>
      <c r="AA1265" s="46" t="n">
        <f aca="false">MATCH(A1265,DATAS,0)</f>
        <v>1</v>
      </c>
      <c r="AB1265" s="46" t="n">
        <f aca="false">IF(AND(E1265&gt;0,OR(AND(B1265&gt;=1,B1265&lt;=6),B1265=10)),1,0)</f>
        <v>1</v>
      </c>
      <c r="AC1265" s="46" t="n">
        <f aca="false">IF(AND(E1265&gt;0,B1265=10),1,0)</f>
        <v>0</v>
      </c>
      <c r="AD1265" s="0" t="str">
        <f aca="false">IF(AND(C1264=C1265,AA1264=AA1265-1),AB1264,"")</f>
        <v/>
      </c>
      <c r="AE1265" s="0" t="str">
        <f aca="false">IF(AND(C1264=C1265,AA1264=AA1265-1),AC1264,"")</f>
        <v/>
      </c>
      <c r="AF1265" s="0" t="str">
        <f aca="false">IF(AA1265=1,"",IF(AND(AB1265=1,AD1265&lt;&gt;1),1,0))</f>
        <v/>
      </c>
      <c r="AG1265" s="0" t="str">
        <f aca="false">IF(AA1265=1,"",IF(AND(AC1265=1,AE1265&lt;&gt;1),1,0))</f>
        <v/>
      </c>
      <c r="AH1265" s="51" t="str">
        <f aca="false">IF(AND(E1265&gt;0,AA1265&lt;1,NOT(AND(C1266=C1265,AA1266=AA1265+1))),INDEX(DATAS,AA1265+1),"")</f>
        <v/>
      </c>
      <c r="AI1265" s="51" t="str">
        <f aca="false">IF(AND(AC1265=1,AA1265&lt;1),IF(AND(C1266=C1265,AA1266=AA1265+1),IF(AC1266=1,"",INDEX(DATAS,AA1265+1)),INDEX(DATAS,AA1265+1)),"")</f>
        <v/>
      </c>
    </row>
    <row r="1266" customFormat="false" ht="15" hidden="false" customHeight="false" outlineLevel="0" collapsed="false">
      <c r="A1266" s="51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46" t="s">
        <v>868</v>
      </c>
      <c r="G1266" s="0" t="n">
        <v>57.1</v>
      </c>
      <c r="H1266" s="0" t="n">
        <v>54</v>
      </c>
      <c r="I1266" s="46" t="s">
        <v>152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51" t="n">
        <v>46268</v>
      </c>
      <c r="X1266" s="46" t="n">
        <f aca="false">IF(I1266="Male",0,1)</f>
        <v>1</v>
      </c>
      <c r="Y1266" s="46" t="n">
        <f aca="false">IF(OR(I1266="DNB",I1266="Dry DNB"),1,0)</f>
        <v>0</v>
      </c>
      <c r="Z1266" s="46" t="n">
        <f aca="false">IF(ISNUMBER(W1266),A1266-W1266,"")</f>
        <v>41</v>
      </c>
      <c r="AA1266" s="46" t="n">
        <f aca="false">MATCH(A1266,DATAS,0)</f>
        <v>1</v>
      </c>
      <c r="AB1266" s="46" t="n">
        <f aca="false">IF(AND(E1266&gt;0,OR(AND(B1266&gt;=1,B1266&lt;=6),B1266=10)),1,0)</f>
        <v>1</v>
      </c>
      <c r="AC1266" s="46" t="n">
        <f aca="false">IF(AND(E1266&gt;0,B1266=10),1,0)</f>
        <v>0</v>
      </c>
      <c r="AD1266" s="0" t="str">
        <f aca="false">IF(AND(C1265=C1266,AA1265=AA1266-1),AB1265,"")</f>
        <v/>
      </c>
      <c r="AE1266" s="0" t="str">
        <f aca="false">IF(AND(C1265=C1266,AA1265=AA1266-1),AC1265,"")</f>
        <v/>
      </c>
      <c r="AF1266" s="0" t="str">
        <f aca="false">IF(AA1266=1,"",IF(AND(AB1266=1,AD1266&lt;&gt;1),1,0))</f>
        <v/>
      </c>
      <c r="AG1266" s="0" t="str">
        <f aca="false">IF(AA1266=1,"",IF(AND(AC1266=1,AE1266&lt;&gt;1),1,0))</f>
        <v/>
      </c>
      <c r="AH1266" s="51" t="str">
        <f aca="false">IF(AND(E1266&gt;0,AA1266&lt;1,NOT(AND(C1267=C1266,AA1267=AA1266+1))),INDEX(DATAS,AA1266+1),"")</f>
        <v/>
      </c>
      <c r="AI1266" s="51" t="str">
        <f aca="false">IF(AND(AC1266=1,AA1266&lt;1),IF(AND(C1267=C1266,AA1267=AA1266+1),IF(AC1267=1,"",INDEX(DATAS,AA1266+1)),INDEX(DATAS,AA1266+1)),"")</f>
        <v/>
      </c>
    </row>
    <row r="1267" customFormat="false" ht="15" hidden="false" customHeight="false" outlineLevel="0" collapsed="false">
      <c r="A1267" s="51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46" t="s">
        <v>869</v>
      </c>
      <c r="H1267" s="0" t="n">
        <v>27</v>
      </c>
      <c r="I1267" s="46" t="s">
        <v>152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51" t="n">
        <v>46083</v>
      </c>
      <c r="X1267" s="46" t="n">
        <f aca="false">IF(I1267="Male",0,1)</f>
        <v>1</v>
      </c>
      <c r="Y1267" s="46" t="n">
        <f aca="false">IF(OR(I1267="DNB",I1267="Dry DNB"),1,0)</f>
        <v>0</v>
      </c>
      <c r="Z1267" s="46" t="n">
        <f aca="false">IF(ISNUMBER(W1267),A1267-W1267,"")</f>
        <v>226</v>
      </c>
      <c r="AA1267" s="46" t="n">
        <f aca="false">MATCH(A1267,DATAS,0)</f>
        <v>1</v>
      </c>
      <c r="AB1267" s="46" t="n">
        <f aca="false">IF(AND(E1267&gt;0,OR(AND(B1267&gt;=1,B1267&lt;=6),B1267=10)),1,0)</f>
        <v>1</v>
      </c>
      <c r="AC1267" s="46" t="n">
        <f aca="false">IF(AND(E1267&gt;0,B1267=10),1,0)</f>
        <v>0</v>
      </c>
      <c r="AD1267" s="0" t="str">
        <f aca="false">IF(AND(C1266=C1267,AA1266=AA1267-1),AB1266,"")</f>
        <v/>
      </c>
      <c r="AE1267" s="0" t="str">
        <f aca="false">IF(AND(C1266=C1267,AA1266=AA1267-1),AC1266,"")</f>
        <v/>
      </c>
      <c r="AF1267" s="0" t="str">
        <f aca="false">IF(AA1267=1,"",IF(AND(AB1267=1,AD1267&lt;&gt;1),1,0))</f>
        <v/>
      </c>
      <c r="AG1267" s="0" t="str">
        <f aca="false">IF(AA1267=1,"",IF(AND(AC1267=1,AE1267&lt;&gt;1),1,0))</f>
        <v/>
      </c>
      <c r="AH1267" s="51" t="str">
        <f aca="false">IF(AND(E1267&gt;0,AA1267&lt;1,NOT(AND(C1268=C1267,AA1268=AA1267+1))),INDEX(DATAS,AA1267+1),"")</f>
        <v/>
      </c>
      <c r="AI1267" s="51" t="str">
        <f aca="false">IF(AND(AC1267=1,AA1267&lt;1),IF(AND(C1268=C1267,AA1268=AA1267+1),IF(AC1268=1,"",INDEX(DATAS,AA1267+1)),INDEX(DATAS,AA1267+1)),"")</f>
        <v/>
      </c>
    </row>
    <row r="1268" customFormat="false" ht="15" hidden="false" customHeight="false" outlineLevel="0" collapsed="false">
      <c r="A1268" s="51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46" t="s">
        <v>870</v>
      </c>
      <c r="I1268" s="46" t="s">
        <v>157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51" t="n">
        <v>46065</v>
      </c>
      <c r="X1268" s="46" t="n">
        <f aca="false">IF(I1268="Male",0,1)</f>
        <v>1</v>
      </c>
      <c r="Y1268" s="46" t="n">
        <f aca="false">IF(OR(I1268="DNB",I1268="Dry DNB"),1,0)</f>
        <v>0</v>
      </c>
      <c r="Z1268" s="46" t="n">
        <f aca="false">IF(ISNUMBER(W1268),A1268-W1268,"")</f>
        <v>244</v>
      </c>
      <c r="AA1268" s="46" t="n">
        <f aca="false">MATCH(A1268,DATAS,0)</f>
        <v>1</v>
      </c>
      <c r="AB1268" s="46" t="n">
        <f aca="false">IF(AND(E1268&gt;0,OR(AND(B1268&gt;=1,B1268&lt;=6),B1268=10)),1,0)</f>
        <v>0</v>
      </c>
      <c r="AC1268" s="46" t="n">
        <f aca="false">IF(AND(E1268&gt;0,B1268=10),1,0)</f>
        <v>0</v>
      </c>
      <c r="AD1268" s="0" t="str">
        <f aca="false">IF(AND(C1267=C1268,AA1267=AA1268-1),AB1267,"")</f>
        <v/>
      </c>
      <c r="AE1268" s="0" t="str">
        <f aca="false">IF(AND(C1267=C1268,AA1267=AA1268-1),AC1267,"")</f>
        <v/>
      </c>
      <c r="AF1268" s="0" t="str">
        <f aca="false">IF(AA1268=1,"",IF(AND(AB1268=1,AD1268&lt;&gt;1),1,0))</f>
        <v/>
      </c>
      <c r="AG1268" s="0" t="str">
        <f aca="false">IF(AA1268=1,"",IF(AND(AC1268=1,AE1268&lt;&gt;1),1,0))</f>
        <v/>
      </c>
      <c r="AH1268" s="51" t="str">
        <f aca="false">IF(AND(E1268&gt;0,AA1268&lt;1,NOT(AND(C1269=C1268,AA1269=AA1268+1))),INDEX(DATAS,AA1268+1),"")</f>
        <v/>
      </c>
      <c r="AI1268" s="51" t="str">
        <f aca="false">IF(AND(AC1268=1,AA1268&lt;1),IF(AND(C1269=C1268,AA1269=AA1268+1),IF(AC1269=1,"",INDEX(DATAS,AA1268+1)),INDEX(DATAS,AA1268+1)),"")</f>
        <v/>
      </c>
    </row>
    <row r="1269" customFormat="false" ht="15" hidden="false" customHeight="false" outlineLevel="0" collapsed="false">
      <c r="A1269" s="51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46" t="s">
        <v>870</v>
      </c>
      <c r="G1269" s="0" t="n">
        <v>38.7</v>
      </c>
      <c r="H1269" s="0" t="n">
        <v>39</v>
      </c>
      <c r="I1269" s="46" t="s">
        <v>189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51" t="n">
        <v>46258</v>
      </c>
      <c r="X1269" s="46" t="n">
        <f aca="false">IF(I1269="Male",0,1)</f>
        <v>1</v>
      </c>
      <c r="Y1269" s="46" t="n">
        <f aca="false">IF(OR(I1269="DNB",I1269="Dry DNB"),1,0)</f>
        <v>0</v>
      </c>
      <c r="Z1269" s="46" t="n">
        <f aca="false">IF(ISNUMBER(W1269),A1269-W1269,"")</f>
        <v>51</v>
      </c>
      <c r="AA1269" s="46" t="n">
        <f aca="false">MATCH(A1269,DATAS,0)</f>
        <v>1</v>
      </c>
      <c r="AB1269" s="46" t="n">
        <f aca="false">IF(AND(E1269&gt;0,OR(AND(B1269&gt;=1,B1269&lt;=6),B1269=10)),1,0)</f>
        <v>1</v>
      </c>
      <c r="AC1269" s="46" t="n">
        <f aca="false">IF(AND(E1269&gt;0,B1269=10),1,0)</f>
        <v>0</v>
      </c>
      <c r="AD1269" s="0" t="str">
        <f aca="false">IF(AND(C1268=C1269,AA1268=AA1269-1),AB1268,"")</f>
        <v/>
      </c>
      <c r="AE1269" s="0" t="str">
        <f aca="false">IF(AND(C1268=C1269,AA1268=AA1269-1),AC1268,"")</f>
        <v/>
      </c>
      <c r="AF1269" s="0" t="str">
        <f aca="false">IF(AA1269=1,"",IF(AND(AB1269=1,AD1269&lt;&gt;1),1,0))</f>
        <v/>
      </c>
      <c r="AG1269" s="0" t="str">
        <f aca="false">IF(AA1269=1,"",IF(AND(AC1269=1,AE1269&lt;&gt;1),1,0))</f>
        <v/>
      </c>
      <c r="AH1269" s="51" t="str">
        <f aca="false">IF(AND(E1269&gt;0,AA1269&lt;1,NOT(AND(C1270=C1269,AA1270=AA1269+1))),INDEX(DATAS,AA1269+1),"")</f>
        <v/>
      </c>
      <c r="AI1269" s="51" t="str">
        <f aca="false">IF(AND(AC1269=1,AA1269&lt;1),IF(AND(C1270=C1269,AA1270=AA1269+1),IF(AC1270=1,"",INDEX(DATAS,AA1269+1)),INDEX(DATAS,AA1269+1)),"")</f>
        <v/>
      </c>
    </row>
    <row r="1270" customFormat="false" ht="15" hidden="false" customHeight="false" outlineLevel="0" collapsed="false">
      <c r="A1270" s="51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46" t="s">
        <v>870</v>
      </c>
      <c r="G1270" s="0" t="n">
        <v>39.9</v>
      </c>
      <c r="H1270" s="0" t="n">
        <v>42</v>
      </c>
      <c r="I1270" s="46" t="s">
        <v>152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51" t="n">
        <v>46128</v>
      </c>
      <c r="X1270" s="46" t="n">
        <f aca="false">IF(I1270="Male",0,1)</f>
        <v>1</v>
      </c>
      <c r="Y1270" s="46" t="n">
        <f aca="false">IF(OR(I1270="DNB",I1270="Dry DNB"),1,0)</f>
        <v>0</v>
      </c>
      <c r="Z1270" s="46" t="n">
        <f aca="false">IF(ISNUMBER(W1270),A1270-W1270,"")</f>
        <v>181</v>
      </c>
      <c r="AA1270" s="46" t="n">
        <f aca="false">MATCH(A1270,DATAS,0)</f>
        <v>1</v>
      </c>
      <c r="AB1270" s="46" t="n">
        <f aca="false">IF(AND(E1270&gt;0,OR(AND(B1270&gt;=1,B1270&lt;=6),B1270=10)),1,0)</f>
        <v>1</v>
      </c>
      <c r="AC1270" s="46" t="n">
        <f aca="false">IF(AND(E1270&gt;0,B1270=10),1,0)</f>
        <v>0</v>
      </c>
      <c r="AD1270" s="0" t="str">
        <f aca="false">IF(AND(C1269=C1270,AA1269=AA1270-1),AB1269,"")</f>
        <v/>
      </c>
      <c r="AE1270" s="0" t="str">
        <f aca="false">IF(AND(C1269=C1270,AA1269=AA1270-1),AC1269,"")</f>
        <v/>
      </c>
      <c r="AF1270" s="0" t="str">
        <f aca="false">IF(AA1270=1,"",IF(AND(AB1270=1,AD1270&lt;&gt;1),1,0))</f>
        <v/>
      </c>
      <c r="AG1270" s="0" t="str">
        <f aca="false">IF(AA1270=1,"",IF(AND(AC1270=1,AE1270&lt;&gt;1),1,0))</f>
        <v/>
      </c>
      <c r="AH1270" s="51" t="str">
        <f aca="false">IF(AND(E1270&gt;0,AA1270&lt;1,NOT(AND(C1271=C1270,AA1271=AA1270+1))),INDEX(DATAS,AA1270+1),"")</f>
        <v/>
      </c>
      <c r="AI1270" s="51" t="str">
        <f aca="false">IF(AND(AC1270=1,AA1270&lt;1),IF(AND(C1271=C1270,AA1271=AA1270+1),IF(AC1271=1,"",INDEX(DATAS,AA1270+1)),INDEX(DATAS,AA1270+1)),"")</f>
        <v/>
      </c>
    </row>
    <row r="1271" customFormat="false" ht="15" hidden="false" customHeight="false" outlineLevel="0" collapsed="false">
      <c r="A1271" s="51" t="n">
        <v>46309</v>
      </c>
      <c r="B1271" s="0" t="n">
        <v>8</v>
      </c>
      <c r="C1271" s="0" t="n">
        <v>5345</v>
      </c>
      <c r="E1271" s="0" t="n">
        <v>0</v>
      </c>
      <c r="F1271" s="46" t="s">
        <v>870</v>
      </c>
      <c r="I1271" s="46" t="s">
        <v>152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51" t="n">
        <v>46154</v>
      </c>
      <c r="X1271" s="46" t="n">
        <f aca="false">IF(I1271="Male",0,1)</f>
        <v>1</v>
      </c>
      <c r="Y1271" s="46" t="n">
        <f aca="false">IF(OR(I1271="DNB",I1271="Dry DNB"),1,0)</f>
        <v>0</v>
      </c>
      <c r="Z1271" s="46" t="n">
        <f aca="false">IF(ISNUMBER(W1271),A1271-W1271,"")</f>
        <v>155</v>
      </c>
      <c r="AA1271" s="46" t="n">
        <f aca="false">MATCH(A1271,DATAS,0)</f>
        <v>1</v>
      </c>
      <c r="AB1271" s="46" t="n">
        <f aca="false">IF(AND(E1271&gt;0,OR(AND(B1271&gt;=1,B1271&lt;=6),B1271=10)),1,0)</f>
        <v>0</v>
      </c>
      <c r="AC1271" s="46" t="n">
        <f aca="false">IF(AND(E1271&gt;0,B1271=10),1,0)</f>
        <v>0</v>
      </c>
      <c r="AD1271" s="0" t="str">
        <f aca="false">IF(AND(C1270=C1271,AA1270=AA1271-1),AB1270,"")</f>
        <v/>
      </c>
      <c r="AE1271" s="0" t="str">
        <f aca="false">IF(AND(C1270=C1271,AA1270=AA1271-1),AC1270,"")</f>
        <v/>
      </c>
      <c r="AF1271" s="0" t="str">
        <f aca="false">IF(AA1271=1,"",IF(AND(AB1271=1,AD1271&lt;&gt;1),1,0))</f>
        <v/>
      </c>
      <c r="AG1271" s="0" t="str">
        <f aca="false">IF(AA1271=1,"",IF(AND(AC1271=1,AE1271&lt;&gt;1),1,0))</f>
        <v/>
      </c>
      <c r="AH1271" s="51" t="str">
        <f aca="false">IF(AND(E1271&gt;0,AA1271&lt;1,NOT(AND(C1272=C1271,AA1272=AA1271+1))),INDEX(DATAS,AA1271+1),"")</f>
        <v/>
      </c>
      <c r="AI1271" s="51" t="str">
        <f aca="false">IF(AND(AC1271=1,AA1271&lt;1),IF(AND(C1272=C1271,AA1272=AA1271+1),IF(AC1272=1,"",INDEX(DATAS,AA1271+1)),INDEX(DATAS,AA1271+1)),"")</f>
        <v/>
      </c>
    </row>
    <row r="1272" customFormat="false" ht="15" hidden="false" customHeight="false" outlineLevel="0" collapsed="false">
      <c r="A1272" s="51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46" t="s">
        <v>871</v>
      </c>
      <c r="G1272" s="0" t="n">
        <v>39.6</v>
      </c>
      <c r="H1272" s="0" t="n">
        <v>40</v>
      </c>
      <c r="I1272" s="46" t="s">
        <v>152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51" t="n">
        <v>46226</v>
      </c>
      <c r="X1272" s="46" t="n">
        <f aca="false">IF(I1272="Male",0,1)</f>
        <v>1</v>
      </c>
      <c r="Y1272" s="46" t="n">
        <f aca="false">IF(OR(I1272="DNB",I1272="Dry DNB"),1,0)</f>
        <v>0</v>
      </c>
      <c r="Z1272" s="46" t="n">
        <f aca="false">IF(ISNUMBER(W1272),A1272-W1272,"")</f>
        <v>83</v>
      </c>
      <c r="AA1272" s="46" t="n">
        <f aca="false">MATCH(A1272,DATAS,0)</f>
        <v>1</v>
      </c>
      <c r="AB1272" s="46" t="n">
        <f aca="false">IF(AND(E1272&gt;0,OR(AND(B1272&gt;=1,B1272&lt;=6),B1272=10)),1,0)</f>
        <v>1</v>
      </c>
      <c r="AC1272" s="46" t="n">
        <f aca="false">IF(AND(E1272&gt;0,B1272=10),1,0)</f>
        <v>0</v>
      </c>
      <c r="AD1272" s="0" t="str">
        <f aca="false">IF(AND(C1271=C1272,AA1271=AA1272-1),AB1271,"")</f>
        <v/>
      </c>
      <c r="AE1272" s="0" t="str">
        <f aca="false">IF(AND(C1271=C1272,AA1271=AA1272-1),AC1271,"")</f>
        <v/>
      </c>
      <c r="AF1272" s="0" t="str">
        <f aca="false">IF(AA1272=1,"",IF(AND(AB1272=1,AD1272&lt;&gt;1),1,0))</f>
        <v/>
      </c>
      <c r="AG1272" s="0" t="str">
        <f aca="false">IF(AA1272=1,"",IF(AND(AC1272=1,AE1272&lt;&gt;1),1,0))</f>
        <v/>
      </c>
      <c r="AH1272" s="51" t="str">
        <f aca="false">IF(AND(E1272&gt;0,AA1272&lt;1,NOT(AND(C1273=C1272,AA1273=AA1272+1))),INDEX(DATAS,AA1272+1),"")</f>
        <v/>
      </c>
      <c r="AI1272" s="51" t="str">
        <f aca="false">IF(AND(AC1272=1,AA1272&lt;1),IF(AND(C1273=C1272,AA1273=AA1272+1),IF(AC1273=1,"",INDEX(DATAS,AA1272+1)),INDEX(DATAS,AA1272+1)),"")</f>
        <v/>
      </c>
    </row>
    <row r="1273" customFormat="false" ht="15" hidden="false" customHeight="false" outlineLevel="0" collapsed="false">
      <c r="A1273" s="51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46" t="s">
        <v>871</v>
      </c>
      <c r="I1273" s="46" t="s">
        <v>157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51" t="n">
        <v>46093</v>
      </c>
      <c r="X1273" s="46" t="n">
        <f aca="false">IF(I1273="Male",0,1)</f>
        <v>1</v>
      </c>
      <c r="Y1273" s="46" t="n">
        <f aca="false">IF(OR(I1273="DNB",I1273="Dry DNB"),1,0)</f>
        <v>0</v>
      </c>
      <c r="Z1273" s="46" t="n">
        <f aca="false">IF(ISNUMBER(W1273),A1273-W1273,"")</f>
        <v>216</v>
      </c>
      <c r="AA1273" s="46" t="n">
        <f aca="false">MATCH(A1273,DATAS,0)</f>
        <v>1</v>
      </c>
      <c r="AB1273" s="46" t="n">
        <f aca="false">IF(AND(E1273&gt;0,OR(AND(B1273&gt;=1,B1273&lt;=6),B1273=10)),1,0)</f>
        <v>0</v>
      </c>
      <c r="AC1273" s="46" t="n">
        <f aca="false">IF(AND(E1273&gt;0,B1273=10),1,0)</f>
        <v>0</v>
      </c>
      <c r="AD1273" s="0" t="str">
        <f aca="false">IF(AND(C1272=C1273,AA1272=AA1273-1),AB1272,"")</f>
        <v/>
      </c>
      <c r="AE1273" s="0" t="str">
        <f aca="false">IF(AND(C1272=C1273,AA1272=AA1273-1),AC1272,"")</f>
        <v/>
      </c>
      <c r="AF1273" s="0" t="str">
        <f aca="false">IF(AA1273=1,"",IF(AND(AB1273=1,AD1273&lt;&gt;1),1,0))</f>
        <v/>
      </c>
      <c r="AG1273" s="0" t="str">
        <f aca="false">IF(AA1273=1,"",IF(AND(AC1273=1,AE1273&lt;&gt;1),1,0))</f>
        <v/>
      </c>
      <c r="AH1273" s="51" t="str">
        <f aca="false">IF(AND(E1273&gt;0,AA1273&lt;1,NOT(AND(C1274=C1273,AA1274=AA1273+1))),INDEX(DATAS,AA1273+1),"")</f>
        <v/>
      </c>
      <c r="AI1273" s="51" t="str">
        <f aca="false">IF(AND(AC1273=1,AA1273&lt;1),IF(AND(C1274=C1273,AA1274=AA1273+1),IF(AC1274=1,"",INDEX(DATAS,AA1273+1)),INDEX(DATAS,AA1273+1)),"")</f>
        <v/>
      </c>
    </row>
    <row r="1274" customFormat="false" ht="15" hidden="false" customHeight="false" outlineLevel="0" collapsed="false">
      <c r="A1274" s="51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46" t="s">
        <v>872</v>
      </c>
      <c r="I1274" s="46" t="s">
        <v>157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51" t="n">
        <v>46065</v>
      </c>
      <c r="X1274" s="46" t="n">
        <f aca="false">IF(I1274="Male",0,1)</f>
        <v>1</v>
      </c>
      <c r="Y1274" s="46" t="n">
        <f aca="false">IF(OR(I1274="DNB",I1274="Dry DNB"),1,0)</f>
        <v>0</v>
      </c>
      <c r="Z1274" s="46" t="n">
        <f aca="false">IF(ISNUMBER(W1274),A1274-W1274,"")</f>
        <v>244</v>
      </c>
      <c r="AA1274" s="46" t="n">
        <f aca="false">MATCH(A1274,DATAS,0)</f>
        <v>1</v>
      </c>
      <c r="AB1274" s="46" t="n">
        <f aca="false">IF(AND(E1274&gt;0,OR(AND(B1274&gt;=1,B1274&lt;=6),B1274=10)),1,0)</f>
        <v>0</v>
      </c>
      <c r="AC1274" s="46" t="n">
        <f aca="false">IF(AND(E1274&gt;0,B1274=10),1,0)</f>
        <v>0</v>
      </c>
      <c r="AD1274" s="0" t="str">
        <f aca="false">IF(AND(C1273=C1274,AA1273=AA1274-1),AB1273,"")</f>
        <v/>
      </c>
      <c r="AE1274" s="0" t="str">
        <f aca="false">IF(AND(C1273=C1274,AA1273=AA1274-1),AC1273,"")</f>
        <v/>
      </c>
      <c r="AF1274" s="0" t="str">
        <f aca="false">IF(AA1274=1,"",IF(AND(AB1274=1,AD1274&lt;&gt;1),1,0))</f>
        <v/>
      </c>
      <c r="AG1274" s="0" t="str">
        <f aca="false">IF(AA1274=1,"",IF(AND(AC1274=1,AE1274&lt;&gt;1),1,0))</f>
        <v/>
      </c>
      <c r="AH1274" s="51" t="str">
        <f aca="false">IF(AND(E1274&gt;0,AA1274&lt;1,NOT(AND(C1275=C1274,AA1275=AA1274+1))),INDEX(DATAS,AA1274+1),"")</f>
        <v/>
      </c>
      <c r="AI1274" s="51" t="str">
        <f aca="false">IF(AND(AC1274=1,AA1274&lt;1),IF(AND(C1275=C1274,AA1275=AA1274+1),IF(AC1275=1,"",INDEX(DATAS,AA1274+1)),INDEX(DATAS,AA1274+1)),"")</f>
        <v/>
      </c>
    </row>
    <row r="1275" customFormat="false" ht="15" hidden="false" customHeight="false" outlineLevel="0" collapsed="false">
      <c r="A1275" s="51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46" t="s">
        <v>872</v>
      </c>
      <c r="G1275" s="0" t="n">
        <v>57.1</v>
      </c>
      <c r="H1275" s="0" t="n">
        <v>55</v>
      </c>
      <c r="I1275" s="46" t="s">
        <v>152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51" t="n">
        <v>46191</v>
      </c>
      <c r="X1275" s="46" t="n">
        <f aca="false">IF(I1275="Male",0,1)</f>
        <v>1</v>
      </c>
      <c r="Y1275" s="46" t="n">
        <f aca="false">IF(OR(I1275="DNB",I1275="Dry DNB"),1,0)</f>
        <v>0</v>
      </c>
      <c r="Z1275" s="46" t="n">
        <f aca="false">IF(ISNUMBER(W1275),A1275-W1275,"")</f>
        <v>118</v>
      </c>
      <c r="AA1275" s="46" t="n">
        <f aca="false">MATCH(A1275,DATAS,0)</f>
        <v>1</v>
      </c>
      <c r="AB1275" s="46" t="n">
        <f aca="false">IF(AND(E1275&gt;0,OR(AND(B1275&gt;=1,B1275&lt;=6),B1275=10)),1,0)</f>
        <v>1</v>
      </c>
      <c r="AC1275" s="46" t="n">
        <f aca="false">IF(AND(E1275&gt;0,B1275=10),1,0)</f>
        <v>0</v>
      </c>
      <c r="AD1275" s="0" t="str">
        <f aca="false">IF(AND(C1274=C1275,AA1274=AA1275-1),AB1274,"")</f>
        <v/>
      </c>
      <c r="AE1275" s="0" t="str">
        <f aca="false">IF(AND(C1274=C1275,AA1274=AA1275-1),AC1274,"")</f>
        <v/>
      </c>
      <c r="AF1275" s="0" t="str">
        <f aca="false">IF(AA1275=1,"",IF(AND(AB1275=1,AD1275&lt;&gt;1),1,0))</f>
        <v/>
      </c>
      <c r="AG1275" s="0" t="str">
        <f aca="false">IF(AA1275=1,"",IF(AND(AC1275=1,AE1275&lt;&gt;1),1,0))</f>
        <v/>
      </c>
      <c r="AH1275" s="51" t="str">
        <f aca="false">IF(AND(E1275&gt;0,AA1275&lt;1,NOT(AND(C1276=C1275,AA1276=AA1275+1))),INDEX(DATAS,AA1275+1),"")</f>
        <v/>
      </c>
      <c r="AI1275" s="51" t="str">
        <f aca="false">IF(AND(AC1275=1,AA1275&lt;1),IF(AND(C1276=C1275,AA1276=AA1275+1),IF(AC1276=1,"",INDEX(DATAS,AA1275+1)),INDEX(DATAS,AA1275+1)),"")</f>
        <v/>
      </c>
    </row>
    <row r="1276" customFormat="false" ht="15" hidden="false" customHeight="false" outlineLevel="0" collapsed="false">
      <c r="A1276" s="51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46" t="s">
        <v>873</v>
      </c>
      <c r="G1276" s="0" t="n">
        <v>40.4</v>
      </c>
      <c r="H1276" s="0" t="n">
        <v>35</v>
      </c>
      <c r="I1276" s="46" t="s">
        <v>152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51" t="n">
        <v>46136</v>
      </c>
      <c r="X1276" s="46" t="n">
        <f aca="false">IF(I1276="Male",0,1)</f>
        <v>1</v>
      </c>
      <c r="Y1276" s="46" t="n">
        <f aca="false">IF(OR(I1276="DNB",I1276="Dry DNB"),1,0)</f>
        <v>0</v>
      </c>
      <c r="Z1276" s="46" t="n">
        <f aca="false">IF(ISNUMBER(W1276),A1276-W1276,"")</f>
        <v>173</v>
      </c>
      <c r="AA1276" s="46" t="n">
        <f aca="false">MATCH(A1276,DATAS,0)</f>
        <v>1</v>
      </c>
      <c r="AB1276" s="46" t="n">
        <f aca="false">IF(AND(E1276&gt;0,OR(AND(B1276&gt;=1,B1276&lt;=6),B1276=10)),1,0)</f>
        <v>1</v>
      </c>
      <c r="AC1276" s="46" t="n">
        <f aca="false">IF(AND(E1276&gt;0,B1276=10),1,0)</f>
        <v>0</v>
      </c>
      <c r="AD1276" s="0" t="str">
        <f aca="false">IF(AND(C1275=C1276,AA1275=AA1276-1),AB1275,"")</f>
        <v/>
      </c>
      <c r="AE1276" s="0" t="str">
        <f aca="false">IF(AND(C1275=C1276,AA1275=AA1276-1),AC1275,"")</f>
        <v/>
      </c>
      <c r="AF1276" s="0" t="str">
        <f aca="false">IF(AA1276=1,"",IF(AND(AB1276=1,AD1276&lt;&gt;1),1,0))</f>
        <v/>
      </c>
      <c r="AG1276" s="0" t="str">
        <f aca="false">IF(AA1276=1,"",IF(AND(AC1276=1,AE1276&lt;&gt;1),1,0))</f>
        <v/>
      </c>
      <c r="AH1276" s="51" t="str">
        <f aca="false">IF(AND(E1276&gt;0,AA1276&lt;1,NOT(AND(C1277=C1276,AA1277=AA1276+1))),INDEX(DATAS,AA1276+1),"")</f>
        <v/>
      </c>
      <c r="AI1276" s="51" t="str">
        <f aca="false">IF(AND(AC1276=1,AA1276&lt;1),IF(AND(C1277=C1276,AA1277=AA1276+1),IF(AC1277=1,"",INDEX(DATAS,AA1276+1)),INDEX(DATAS,AA1276+1)),"")</f>
        <v/>
      </c>
    </row>
    <row r="1277" customFormat="false" ht="15" hidden="false" customHeight="false" outlineLevel="0" collapsed="false">
      <c r="A1277" s="51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46" t="s">
        <v>874</v>
      </c>
      <c r="G1277" s="0" t="n">
        <v>37.9</v>
      </c>
      <c r="H1277" s="0" t="n">
        <v>39</v>
      </c>
      <c r="I1277" s="46" t="s">
        <v>152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51" t="n">
        <v>46191</v>
      </c>
      <c r="X1277" s="46" t="n">
        <f aca="false">IF(I1277="Male",0,1)</f>
        <v>1</v>
      </c>
      <c r="Y1277" s="46" t="n">
        <f aca="false">IF(OR(I1277="DNB",I1277="Dry DNB"),1,0)</f>
        <v>0</v>
      </c>
      <c r="Z1277" s="46" t="n">
        <f aca="false">IF(ISNUMBER(W1277),A1277-W1277,"")</f>
        <v>118</v>
      </c>
      <c r="AA1277" s="46" t="n">
        <f aca="false">MATCH(A1277,DATAS,0)</f>
        <v>1</v>
      </c>
      <c r="AB1277" s="46" t="n">
        <f aca="false">IF(AND(E1277&gt;0,OR(AND(B1277&gt;=1,B1277&lt;=6),B1277=10)),1,0)</f>
        <v>1</v>
      </c>
      <c r="AC1277" s="46" t="n">
        <f aca="false">IF(AND(E1277&gt;0,B1277=10),1,0)</f>
        <v>0</v>
      </c>
      <c r="AD1277" s="0" t="str">
        <f aca="false">IF(AND(C1276=C1277,AA1276=AA1277-1),AB1276,"")</f>
        <v/>
      </c>
      <c r="AE1277" s="0" t="str">
        <f aca="false">IF(AND(C1276=C1277,AA1276=AA1277-1),AC1276,"")</f>
        <v/>
      </c>
      <c r="AF1277" s="0" t="str">
        <f aca="false">IF(AA1277=1,"",IF(AND(AB1277=1,AD1277&lt;&gt;1),1,0))</f>
        <v/>
      </c>
      <c r="AG1277" s="0" t="str">
        <f aca="false">IF(AA1277=1,"",IF(AND(AC1277=1,AE1277&lt;&gt;1),1,0))</f>
        <v/>
      </c>
      <c r="AH1277" s="51" t="str">
        <f aca="false">IF(AND(E1277&gt;0,AA1277&lt;1,NOT(AND(C1278=C1277,AA1278=AA1277+1))),INDEX(DATAS,AA1277+1),"")</f>
        <v/>
      </c>
      <c r="AI1277" s="51" t="str">
        <f aca="false">IF(AND(AC1277=1,AA1277&lt;1),IF(AND(C1278=C1277,AA1278=AA1277+1),IF(AC1278=1,"",INDEX(DATAS,AA1277+1)),INDEX(DATAS,AA1277+1)),"")</f>
        <v/>
      </c>
    </row>
    <row r="1278" customFormat="false" ht="15" hidden="false" customHeight="false" outlineLevel="0" collapsed="false">
      <c r="A1278" s="51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46" t="s">
        <v>874</v>
      </c>
      <c r="G1278" s="0" t="n">
        <v>49.5</v>
      </c>
      <c r="H1278" s="0" t="n">
        <v>46</v>
      </c>
      <c r="I1278" s="46" t="s">
        <v>152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51" t="n">
        <v>46159</v>
      </c>
      <c r="X1278" s="46" t="n">
        <f aca="false">IF(I1278="Male",0,1)</f>
        <v>1</v>
      </c>
      <c r="Y1278" s="46" t="n">
        <f aca="false">IF(OR(I1278="DNB",I1278="Dry DNB"),1,0)</f>
        <v>0</v>
      </c>
      <c r="Z1278" s="46" t="n">
        <f aca="false">IF(ISNUMBER(W1278),A1278-W1278,"")</f>
        <v>150</v>
      </c>
      <c r="AA1278" s="46" t="n">
        <f aca="false">MATCH(A1278,DATAS,0)</f>
        <v>1</v>
      </c>
      <c r="AB1278" s="46" t="n">
        <f aca="false">IF(AND(E1278&gt;0,OR(AND(B1278&gt;=1,B1278&lt;=6),B1278=10)),1,0)</f>
        <v>1</v>
      </c>
      <c r="AC1278" s="46" t="n">
        <f aca="false">IF(AND(E1278&gt;0,B1278=10),1,0)</f>
        <v>0</v>
      </c>
      <c r="AD1278" s="0" t="str">
        <f aca="false">IF(AND(C1277=C1278,AA1277=AA1278-1),AB1277,"")</f>
        <v/>
      </c>
      <c r="AE1278" s="0" t="str">
        <f aca="false">IF(AND(C1277=C1278,AA1277=AA1278-1),AC1277,"")</f>
        <v/>
      </c>
      <c r="AF1278" s="0" t="str">
        <f aca="false">IF(AA1278=1,"",IF(AND(AB1278=1,AD1278&lt;&gt;1),1,0))</f>
        <v/>
      </c>
      <c r="AG1278" s="0" t="str">
        <f aca="false">IF(AA1278=1,"",IF(AND(AC1278=1,AE1278&lt;&gt;1),1,0))</f>
        <v/>
      </c>
      <c r="AH1278" s="51" t="str">
        <f aca="false">IF(AND(E1278&gt;0,AA1278&lt;1,NOT(AND(C1279=C1278,AA1279=AA1278+1))),INDEX(DATAS,AA1278+1),"")</f>
        <v/>
      </c>
      <c r="AI1278" s="51" t="str">
        <f aca="false">IF(AND(AC1278=1,AA1278&lt;1),IF(AND(C1279=C1278,AA1279=AA1278+1),IF(AC1279=1,"",INDEX(DATAS,AA1278+1)),INDEX(DATAS,AA1278+1)),"")</f>
        <v/>
      </c>
    </row>
    <row r="1279" customFormat="false" ht="15" hidden="false" customHeight="false" outlineLevel="0" collapsed="false">
      <c r="A1279" s="51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46" t="s">
        <v>874</v>
      </c>
      <c r="G1279" s="0" t="n">
        <v>73.9</v>
      </c>
      <c r="H1279" s="0" t="n">
        <v>75</v>
      </c>
      <c r="I1279" s="46" t="s">
        <v>152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51" t="n">
        <v>46240</v>
      </c>
      <c r="X1279" s="46" t="n">
        <f aca="false">IF(I1279="Male",0,1)</f>
        <v>1</v>
      </c>
      <c r="Y1279" s="46" t="n">
        <f aca="false">IF(OR(I1279="DNB",I1279="Dry DNB"),1,0)</f>
        <v>0</v>
      </c>
      <c r="Z1279" s="46" t="n">
        <f aca="false">IF(ISNUMBER(W1279),A1279-W1279,"")</f>
        <v>69</v>
      </c>
      <c r="AA1279" s="46" t="n">
        <f aca="false">MATCH(A1279,DATAS,0)</f>
        <v>1</v>
      </c>
      <c r="AB1279" s="46" t="n">
        <f aca="false">IF(AND(E1279&gt;0,OR(AND(B1279&gt;=1,B1279&lt;=6),B1279=10)),1,0)</f>
        <v>1</v>
      </c>
      <c r="AC1279" s="46" t="n">
        <f aca="false">IF(AND(E1279&gt;0,B1279=10),1,0)</f>
        <v>0</v>
      </c>
      <c r="AD1279" s="0" t="str">
        <f aca="false">IF(AND(C1278=C1279,AA1278=AA1279-1),AB1278,"")</f>
        <v/>
      </c>
      <c r="AE1279" s="0" t="str">
        <f aca="false">IF(AND(C1278=C1279,AA1278=AA1279-1),AC1278,"")</f>
        <v/>
      </c>
      <c r="AF1279" s="0" t="str">
        <f aca="false">IF(AA1279=1,"",IF(AND(AB1279=1,AD1279&lt;&gt;1),1,0))</f>
        <v/>
      </c>
      <c r="AG1279" s="0" t="str">
        <f aca="false">IF(AA1279=1,"",IF(AND(AC1279=1,AE1279&lt;&gt;1),1,0))</f>
        <v/>
      </c>
      <c r="AH1279" s="51" t="str">
        <f aca="false">IF(AND(E1279&gt;0,AA1279&lt;1,NOT(AND(C1280=C1279,AA1280=AA1279+1))),INDEX(DATAS,AA1279+1),"")</f>
        <v/>
      </c>
      <c r="AI1279" s="51" t="str">
        <f aca="false">IF(AND(AC1279=1,AA1279&lt;1),IF(AND(C1280=C1279,AA1280=AA1279+1),IF(AC1280=1,"",INDEX(DATAS,AA1279+1)),INDEX(DATAS,AA1279+1)),"")</f>
        <v/>
      </c>
    </row>
    <row r="1280" customFormat="false" ht="15" hidden="false" customHeight="false" outlineLevel="0" collapsed="false">
      <c r="A1280" s="51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46" t="s">
        <v>874</v>
      </c>
      <c r="G1280" s="0" t="n">
        <v>34.3</v>
      </c>
      <c r="H1280" s="0" t="n">
        <v>34</v>
      </c>
      <c r="I1280" s="46" t="s">
        <v>189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51" t="n">
        <v>46268</v>
      </c>
      <c r="X1280" s="46" t="n">
        <f aca="false">IF(I1280="Male",0,1)</f>
        <v>1</v>
      </c>
      <c r="Y1280" s="46" t="n">
        <f aca="false">IF(OR(I1280="DNB",I1280="Dry DNB"),1,0)</f>
        <v>0</v>
      </c>
      <c r="Z1280" s="46" t="n">
        <f aca="false">IF(ISNUMBER(W1280),A1280-W1280,"")</f>
        <v>41</v>
      </c>
      <c r="AA1280" s="46" t="n">
        <f aca="false">MATCH(A1280,DATAS,0)</f>
        <v>1</v>
      </c>
      <c r="AB1280" s="46" t="n">
        <f aca="false">IF(AND(E1280&gt;0,OR(AND(B1280&gt;=1,B1280&lt;=6),B1280=10)),1,0)</f>
        <v>1</v>
      </c>
      <c r="AC1280" s="46" t="n">
        <f aca="false">IF(AND(E1280&gt;0,B1280=10),1,0)</f>
        <v>0</v>
      </c>
      <c r="AD1280" s="0" t="str">
        <f aca="false">IF(AND(C1279=C1280,AA1279=AA1280-1),AB1279,"")</f>
        <v/>
      </c>
      <c r="AE1280" s="0" t="str">
        <f aca="false">IF(AND(C1279=C1280,AA1279=AA1280-1),AC1279,"")</f>
        <v/>
      </c>
      <c r="AF1280" s="0" t="str">
        <f aca="false">IF(AA1280=1,"",IF(AND(AB1280=1,AD1280&lt;&gt;1),1,0))</f>
        <v/>
      </c>
      <c r="AG1280" s="0" t="str">
        <f aca="false">IF(AA1280=1,"",IF(AND(AC1280=1,AE1280&lt;&gt;1),1,0))</f>
        <v/>
      </c>
      <c r="AH1280" s="51" t="str">
        <f aca="false">IF(AND(E1280&gt;0,AA1280&lt;1,NOT(AND(C1281=C1280,AA1281=AA1280+1))),INDEX(DATAS,AA1280+1),"")</f>
        <v/>
      </c>
      <c r="AI1280" s="51" t="str">
        <f aca="false">IF(AND(AC1280=1,AA1280&lt;1),IF(AND(C1281=C1280,AA1281=AA1280+1),IF(AC1281=1,"",INDEX(DATAS,AA1280+1)),INDEX(DATAS,AA1280+1)),"")</f>
        <v/>
      </c>
    </row>
    <row r="1281" customFormat="false" ht="15" hidden="false" customHeight="false" outlineLevel="0" collapsed="false">
      <c r="A1281" s="51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46" t="s">
        <v>874</v>
      </c>
      <c r="G1281" s="0" t="n">
        <v>46.7</v>
      </c>
      <c r="H1281" s="0" t="n">
        <v>48</v>
      </c>
      <c r="I1281" s="46" t="s">
        <v>152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51" t="n">
        <v>46093</v>
      </c>
      <c r="X1281" s="46" t="n">
        <f aca="false">IF(I1281="Male",0,1)</f>
        <v>1</v>
      </c>
      <c r="Y1281" s="46" t="n">
        <f aca="false">IF(OR(I1281="DNB",I1281="Dry DNB"),1,0)</f>
        <v>0</v>
      </c>
      <c r="Z1281" s="46" t="n">
        <f aca="false">IF(ISNUMBER(W1281),A1281-W1281,"")</f>
        <v>216</v>
      </c>
      <c r="AA1281" s="46" t="n">
        <f aca="false">MATCH(A1281,DATAS,0)</f>
        <v>1</v>
      </c>
      <c r="AB1281" s="46" t="n">
        <f aca="false">IF(AND(E1281&gt;0,OR(AND(B1281&gt;=1,B1281&lt;=6),B1281=10)),1,0)</f>
        <v>1</v>
      </c>
      <c r="AC1281" s="46" t="n">
        <f aca="false">IF(AND(E1281&gt;0,B1281=10),1,0)</f>
        <v>0</v>
      </c>
      <c r="AD1281" s="0" t="str">
        <f aca="false">IF(AND(C1280=C1281,AA1280=AA1281-1),AB1280,"")</f>
        <v/>
      </c>
      <c r="AE1281" s="0" t="str">
        <f aca="false">IF(AND(C1280=C1281,AA1280=AA1281-1),AC1280,"")</f>
        <v/>
      </c>
      <c r="AF1281" s="0" t="str">
        <f aca="false">IF(AA1281=1,"",IF(AND(AB1281=1,AD1281&lt;&gt;1),1,0))</f>
        <v/>
      </c>
      <c r="AG1281" s="0" t="str">
        <f aca="false">IF(AA1281=1,"",IF(AND(AC1281=1,AE1281&lt;&gt;1),1,0))</f>
        <v/>
      </c>
      <c r="AH1281" s="51" t="str">
        <f aca="false">IF(AND(E1281&gt;0,AA1281&lt;1,NOT(AND(C1282=C1281,AA1282=AA1281+1))),INDEX(DATAS,AA1281+1),"")</f>
        <v/>
      </c>
      <c r="AI1281" s="51" t="str">
        <f aca="false">IF(AND(AC1281=1,AA1281&lt;1),IF(AND(C1282=C1281,AA1282=AA1281+1),IF(AC1282=1,"",INDEX(DATAS,AA1281+1)),INDEX(DATAS,AA1281+1)),"")</f>
        <v/>
      </c>
    </row>
    <row r="1282" customFormat="false" ht="15" hidden="false" customHeight="false" outlineLevel="0" collapsed="false">
      <c r="A1282" s="51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46" t="s">
        <v>875</v>
      </c>
      <c r="G1282" s="0" t="n">
        <v>42.2</v>
      </c>
      <c r="H1282" s="0" t="n">
        <v>41</v>
      </c>
      <c r="I1282" s="46" t="s">
        <v>152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51" t="n">
        <v>46121</v>
      </c>
      <c r="X1282" s="46" t="n">
        <f aca="false">IF(I1282="Male",0,1)</f>
        <v>1</v>
      </c>
      <c r="Y1282" s="46" t="n">
        <f aca="false">IF(OR(I1282="DNB",I1282="Dry DNB"),1,0)</f>
        <v>0</v>
      </c>
      <c r="Z1282" s="46" t="n">
        <f aca="false">IF(ISNUMBER(W1282),A1282-W1282,"")</f>
        <v>188</v>
      </c>
      <c r="AA1282" s="46" t="n">
        <f aca="false">MATCH(A1282,DATAS,0)</f>
        <v>1</v>
      </c>
      <c r="AB1282" s="46" t="n">
        <f aca="false">IF(AND(E1282&gt;0,OR(AND(B1282&gt;=1,B1282&lt;=6),B1282=10)),1,0)</f>
        <v>1</v>
      </c>
      <c r="AC1282" s="46" t="n">
        <f aca="false">IF(AND(E1282&gt;0,B1282=10),1,0)</f>
        <v>0</v>
      </c>
      <c r="AD1282" s="0" t="str">
        <f aca="false">IF(AND(C1281=C1282,AA1281=AA1282-1),AB1281,"")</f>
        <v/>
      </c>
      <c r="AE1282" s="0" t="str">
        <f aca="false">IF(AND(C1281=C1282,AA1281=AA1282-1),AC1281,"")</f>
        <v/>
      </c>
      <c r="AF1282" s="0" t="str">
        <f aca="false">IF(AA1282=1,"",IF(AND(AB1282=1,AD1282&lt;&gt;1),1,0))</f>
        <v/>
      </c>
      <c r="AG1282" s="0" t="str">
        <f aca="false">IF(AA1282=1,"",IF(AND(AC1282=1,AE1282&lt;&gt;1),1,0))</f>
        <v/>
      </c>
      <c r="AH1282" s="51" t="str">
        <f aca="false">IF(AND(E1282&gt;0,AA1282&lt;1,NOT(AND(C1283=C1282,AA1283=AA1282+1))),INDEX(DATAS,AA1282+1),"")</f>
        <v/>
      </c>
      <c r="AI1282" s="51" t="str">
        <f aca="false">IF(AND(AC1282=1,AA1282&lt;1),IF(AND(C1283=C1282,AA1283=AA1282+1),IF(AC1283=1,"",INDEX(DATAS,AA1282+1)),INDEX(DATAS,AA1282+1)),"")</f>
        <v/>
      </c>
    </row>
    <row r="1283" customFormat="false" ht="15" hidden="false" customHeight="false" outlineLevel="0" collapsed="false">
      <c r="A1283" s="51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46" t="s">
        <v>876</v>
      </c>
      <c r="G1283" s="0" t="n">
        <v>37.3</v>
      </c>
      <c r="H1283" s="0" t="n">
        <v>38</v>
      </c>
      <c r="I1283" s="46" t="s">
        <v>189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51" t="n">
        <v>46268</v>
      </c>
      <c r="X1283" s="46" t="n">
        <f aca="false">IF(I1283="Male",0,1)</f>
        <v>1</v>
      </c>
      <c r="Y1283" s="46" t="n">
        <f aca="false">IF(OR(I1283="DNB",I1283="Dry DNB"),1,0)</f>
        <v>0</v>
      </c>
      <c r="Z1283" s="46" t="n">
        <f aca="false">IF(ISNUMBER(W1283),A1283-W1283,"")</f>
        <v>41</v>
      </c>
      <c r="AA1283" s="46" t="n">
        <f aca="false">MATCH(A1283,DATAS,0)</f>
        <v>1</v>
      </c>
      <c r="AB1283" s="46" t="n">
        <f aca="false">IF(AND(E1283&gt;0,OR(AND(B1283&gt;=1,B1283&lt;=6),B1283=10)),1,0)</f>
        <v>1</v>
      </c>
      <c r="AC1283" s="46" t="n">
        <f aca="false">IF(AND(E1283&gt;0,B1283=10),1,0)</f>
        <v>0</v>
      </c>
      <c r="AD1283" s="0" t="str">
        <f aca="false">IF(AND(C1282=C1283,AA1282=AA1283-1),AB1282,"")</f>
        <v/>
      </c>
      <c r="AE1283" s="0" t="str">
        <f aca="false">IF(AND(C1282=C1283,AA1282=AA1283-1),AC1282,"")</f>
        <v/>
      </c>
      <c r="AF1283" s="0" t="str">
        <f aca="false">IF(AA1283=1,"",IF(AND(AB1283=1,AD1283&lt;&gt;1),1,0))</f>
        <v/>
      </c>
      <c r="AG1283" s="0" t="str">
        <f aca="false">IF(AA1283=1,"",IF(AND(AC1283=1,AE1283&lt;&gt;1),1,0))</f>
        <v/>
      </c>
      <c r="AH1283" s="51" t="str">
        <f aca="false">IF(AND(E1283&gt;0,AA1283&lt;1,NOT(AND(C1284=C1283,AA1284=AA1283+1))),INDEX(DATAS,AA1283+1),"")</f>
        <v/>
      </c>
      <c r="AI1283" s="51" t="str">
        <f aca="false">IF(AND(AC1283=1,AA1283&lt;1),IF(AND(C1284=C1283,AA1284=AA1283+1),IF(AC1284=1,"",INDEX(DATAS,AA1283+1)),INDEX(DATAS,AA1283+1)),"")</f>
        <v/>
      </c>
    </row>
    <row r="1284" customFormat="false" ht="15" hidden="false" customHeight="false" outlineLevel="0" collapsed="false">
      <c r="A1284" s="51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46" t="s">
        <v>876</v>
      </c>
      <c r="G1284" s="0" t="n">
        <v>32</v>
      </c>
      <c r="H1284" s="0" t="n">
        <v>29</v>
      </c>
      <c r="I1284" s="46" t="s">
        <v>138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51" t="n">
        <v>46242</v>
      </c>
      <c r="X1284" s="46" t="n">
        <f aca="false">IF(I1284="Male",0,1)</f>
        <v>1</v>
      </c>
      <c r="Y1284" s="46" t="n">
        <f aca="false">IF(OR(I1284="DNB",I1284="Dry DNB"),1,0)</f>
        <v>1</v>
      </c>
      <c r="Z1284" s="46" t="n">
        <f aca="false">IF(ISNUMBER(W1284),A1284-W1284,"")</f>
        <v>67</v>
      </c>
      <c r="AA1284" s="46" t="n">
        <f aca="false">MATCH(A1284,DATAS,0)</f>
        <v>1</v>
      </c>
      <c r="AB1284" s="46" t="n">
        <f aca="false">IF(AND(E1284&gt;0,OR(AND(B1284&gt;=1,B1284&lt;=6),B1284=10)),1,0)</f>
        <v>1</v>
      </c>
      <c r="AC1284" s="46" t="n">
        <f aca="false">IF(AND(E1284&gt;0,B1284=10),1,0)</f>
        <v>0</v>
      </c>
      <c r="AD1284" s="0" t="str">
        <f aca="false">IF(AND(C1283=C1284,AA1283=AA1284-1),AB1283,"")</f>
        <v/>
      </c>
      <c r="AE1284" s="0" t="str">
        <f aca="false">IF(AND(C1283=C1284,AA1283=AA1284-1),AC1283,"")</f>
        <v/>
      </c>
      <c r="AF1284" s="0" t="str">
        <f aca="false">IF(AA1284=1,"",IF(AND(AB1284=1,AD1284&lt;&gt;1),1,0))</f>
        <v/>
      </c>
      <c r="AG1284" s="0" t="str">
        <f aca="false">IF(AA1284=1,"",IF(AND(AC1284=1,AE1284&lt;&gt;1),1,0))</f>
        <v/>
      </c>
      <c r="AH1284" s="51" t="str">
        <f aca="false">IF(AND(E1284&gt;0,AA1284&lt;1,NOT(AND(C1285=C1284,AA1285=AA1284+1))),INDEX(DATAS,AA1284+1),"")</f>
        <v/>
      </c>
      <c r="AI1284" s="51" t="str">
        <f aca="false">IF(AND(AC1284=1,AA1284&lt;1),IF(AND(C1285=C1284,AA1285=AA1284+1),IF(AC1285=1,"",INDEX(DATAS,AA1284+1)),INDEX(DATAS,AA1284+1)),"")</f>
        <v/>
      </c>
    </row>
    <row r="1285" customFormat="false" ht="15" hidden="false" customHeight="false" outlineLevel="0" collapsed="false">
      <c r="A1285" s="51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46" t="s">
        <v>876</v>
      </c>
      <c r="G1285" s="0" t="n">
        <v>44.2</v>
      </c>
      <c r="H1285" s="0" t="n">
        <v>44</v>
      </c>
      <c r="I1285" s="46" t="s">
        <v>152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51" t="n">
        <v>46226</v>
      </c>
      <c r="X1285" s="46" t="n">
        <f aca="false">IF(I1285="Male",0,1)</f>
        <v>1</v>
      </c>
      <c r="Y1285" s="46" t="n">
        <f aca="false">IF(OR(I1285="DNB",I1285="Dry DNB"),1,0)</f>
        <v>0</v>
      </c>
      <c r="Z1285" s="46" t="n">
        <f aca="false">IF(ISNUMBER(W1285),A1285-W1285,"")</f>
        <v>83</v>
      </c>
      <c r="AA1285" s="46" t="n">
        <f aca="false">MATCH(A1285,DATAS,0)</f>
        <v>1</v>
      </c>
      <c r="AB1285" s="46" t="n">
        <f aca="false">IF(AND(E1285&gt;0,OR(AND(B1285&gt;=1,B1285&lt;=6),B1285=10)),1,0)</f>
        <v>1</v>
      </c>
      <c r="AC1285" s="46" t="n">
        <f aca="false">IF(AND(E1285&gt;0,B1285=10),1,0)</f>
        <v>0</v>
      </c>
      <c r="AD1285" s="0" t="str">
        <f aca="false">IF(AND(C1284=C1285,AA1284=AA1285-1),AB1284,"")</f>
        <v/>
      </c>
      <c r="AE1285" s="0" t="str">
        <f aca="false">IF(AND(C1284=C1285,AA1284=AA1285-1),AC1284,"")</f>
        <v/>
      </c>
      <c r="AF1285" s="0" t="str">
        <f aca="false">IF(AA1285=1,"",IF(AND(AB1285=1,AD1285&lt;&gt;1),1,0))</f>
        <v/>
      </c>
      <c r="AG1285" s="0" t="str">
        <f aca="false">IF(AA1285=1,"",IF(AND(AC1285=1,AE1285&lt;&gt;1),1,0))</f>
        <v/>
      </c>
      <c r="AH1285" s="51" t="str">
        <f aca="false">IF(AND(E1285&gt;0,AA1285&lt;1,NOT(AND(C1286=C1285,AA1286=AA1285+1))),INDEX(DATAS,AA1285+1),"")</f>
        <v/>
      </c>
      <c r="AI1285" s="51" t="str">
        <f aca="false">IF(AND(AC1285=1,AA1285&lt;1),IF(AND(C1286=C1285,AA1286=AA1285+1),IF(AC1286=1,"",INDEX(DATAS,AA1285+1)),INDEX(DATAS,AA1285+1)),"")</f>
        <v/>
      </c>
    </row>
    <row r="1286" customFormat="false" ht="15" hidden="false" customHeight="false" outlineLevel="0" collapsed="false">
      <c r="A1286" s="51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46" t="s">
        <v>877</v>
      </c>
      <c r="G1286" s="0" t="n">
        <v>61.9</v>
      </c>
      <c r="H1286" s="0" t="n">
        <v>57</v>
      </c>
      <c r="I1286" s="46" t="s">
        <v>181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51" t="n">
        <v>46307</v>
      </c>
      <c r="X1286" s="46" t="n">
        <f aca="false">IF(I1286="Male",0,1)</f>
        <v>1</v>
      </c>
      <c r="Y1286" s="46" t="n">
        <f aca="false">IF(OR(I1286="DNB",I1286="Dry DNB"),1,0)</f>
        <v>0</v>
      </c>
      <c r="Z1286" s="46" t="n">
        <f aca="false">IF(ISNUMBER(W1286),A1286-W1286,"")</f>
        <v>2</v>
      </c>
      <c r="AA1286" s="46" t="n">
        <f aca="false">MATCH(A1286,DATAS,0)</f>
        <v>1</v>
      </c>
      <c r="AB1286" s="46" t="n">
        <f aca="false">IF(AND(E1286&gt;0,OR(AND(B1286&gt;=1,B1286&lt;=6),B1286=10)),1,0)</f>
        <v>1</v>
      </c>
      <c r="AC1286" s="46" t="n">
        <f aca="false">IF(AND(E1286&gt;0,B1286=10),1,0)</f>
        <v>0</v>
      </c>
      <c r="AD1286" s="0" t="str">
        <f aca="false">IF(AND(C1285=C1286,AA1285=AA1286-1),AB1285,"")</f>
        <v/>
      </c>
      <c r="AE1286" s="0" t="str">
        <f aca="false">IF(AND(C1285=C1286,AA1285=AA1286-1),AC1285,"")</f>
        <v/>
      </c>
      <c r="AF1286" s="0" t="str">
        <f aca="false">IF(AA1286=1,"",IF(AND(AB1286=1,AD1286&lt;&gt;1),1,0))</f>
        <v/>
      </c>
      <c r="AG1286" s="0" t="str">
        <f aca="false">IF(AA1286=1,"",IF(AND(AC1286=1,AE1286&lt;&gt;1),1,0))</f>
        <v/>
      </c>
      <c r="AH1286" s="51" t="str">
        <f aca="false">IF(AND(E1286&gt;0,AA1286&lt;1,NOT(AND(C1287=C1286,AA1287=AA1286+1))),INDEX(DATAS,AA1286+1),"")</f>
        <v/>
      </c>
      <c r="AI1286" s="51" t="str">
        <f aca="false">IF(AND(AC1286=1,AA1286&lt;1),IF(AND(C1287=C1286,AA1287=AA1286+1),IF(AC1287=1,"",INDEX(DATAS,AA1286+1)),INDEX(DATAS,AA1286+1)),"")</f>
        <v/>
      </c>
    </row>
    <row r="1287" customFormat="false" ht="15" hidden="false" customHeight="false" outlineLevel="0" collapsed="false">
      <c r="A1287" s="51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46" t="s">
        <v>877</v>
      </c>
      <c r="G1287" s="0" t="n">
        <v>42.3</v>
      </c>
      <c r="H1287" s="0" t="n">
        <v>42</v>
      </c>
      <c r="I1287" s="46" t="s">
        <v>152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51" t="n">
        <v>46156</v>
      </c>
      <c r="X1287" s="46" t="n">
        <f aca="false">IF(I1287="Male",0,1)</f>
        <v>1</v>
      </c>
      <c r="Y1287" s="46" t="n">
        <f aca="false">IF(OR(I1287="DNB",I1287="Dry DNB"),1,0)</f>
        <v>0</v>
      </c>
      <c r="Z1287" s="46" t="n">
        <f aca="false">IF(ISNUMBER(W1287),A1287-W1287,"")</f>
        <v>153</v>
      </c>
      <c r="AA1287" s="46" t="n">
        <f aca="false">MATCH(A1287,DATAS,0)</f>
        <v>1</v>
      </c>
      <c r="AB1287" s="46" t="n">
        <f aca="false">IF(AND(E1287&gt;0,OR(AND(B1287&gt;=1,B1287&lt;=6),B1287=10)),1,0)</f>
        <v>1</v>
      </c>
      <c r="AC1287" s="46" t="n">
        <f aca="false">IF(AND(E1287&gt;0,B1287=10),1,0)</f>
        <v>0</v>
      </c>
      <c r="AD1287" s="0" t="str">
        <f aca="false">IF(AND(C1286=C1287,AA1286=AA1287-1),AB1286,"")</f>
        <v/>
      </c>
      <c r="AE1287" s="0" t="str">
        <f aca="false">IF(AND(C1286=C1287,AA1286=AA1287-1),AC1286,"")</f>
        <v/>
      </c>
      <c r="AF1287" s="0" t="str">
        <f aca="false">IF(AA1287=1,"",IF(AND(AB1287=1,AD1287&lt;&gt;1),1,0))</f>
        <v/>
      </c>
      <c r="AG1287" s="0" t="str">
        <f aca="false">IF(AA1287=1,"",IF(AND(AC1287=1,AE1287&lt;&gt;1),1,0))</f>
        <v/>
      </c>
      <c r="AH1287" s="51" t="str">
        <f aca="false">IF(AND(E1287&gt;0,AA1287&lt;1,NOT(AND(C1288=C1287,AA1288=AA1287+1))),INDEX(DATAS,AA1287+1),"")</f>
        <v/>
      </c>
      <c r="AI1287" s="51" t="str">
        <f aca="false">IF(AND(AC1287=1,AA1287&lt;1),IF(AND(C1288=C1287,AA1288=AA1287+1),IF(AC1288=1,"",INDEX(DATAS,AA1287+1)),INDEX(DATAS,AA1287+1)),"")</f>
        <v/>
      </c>
    </row>
    <row r="1288" customFormat="false" ht="15" hidden="false" customHeight="false" outlineLevel="0" collapsed="false">
      <c r="A1288" s="51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46" t="s">
        <v>877</v>
      </c>
      <c r="G1288" s="0" t="n">
        <v>50.1</v>
      </c>
      <c r="H1288" s="0" t="n">
        <v>48</v>
      </c>
      <c r="I1288" s="46" t="s">
        <v>181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51" t="n">
        <v>46293</v>
      </c>
      <c r="X1288" s="46" t="n">
        <f aca="false">IF(I1288="Male",0,1)</f>
        <v>1</v>
      </c>
      <c r="Y1288" s="46" t="n">
        <f aca="false">IF(OR(I1288="DNB",I1288="Dry DNB"),1,0)</f>
        <v>0</v>
      </c>
      <c r="Z1288" s="46" t="n">
        <f aca="false">IF(ISNUMBER(W1288),A1288-W1288,"")</f>
        <v>16</v>
      </c>
      <c r="AA1288" s="46" t="n">
        <f aca="false">MATCH(A1288,DATAS,0)</f>
        <v>1</v>
      </c>
      <c r="AB1288" s="46" t="n">
        <f aca="false">IF(AND(E1288&gt;0,OR(AND(B1288&gt;=1,B1288&lt;=6),B1288=10)),1,0)</f>
        <v>1</v>
      </c>
      <c r="AC1288" s="46" t="n">
        <f aca="false">IF(AND(E1288&gt;0,B1288=10),1,0)</f>
        <v>0</v>
      </c>
      <c r="AD1288" s="0" t="str">
        <f aca="false">IF(AND(C1287=C1288,AA1287=AA1288-1),AB1287,"")</f>
        <v/>
      </c>
      <c r="AE1288" s="0" t="str">
        <f aca="false">IF(AND(C1287=C1288,AA1287=AA1288-1),AC1287,"")</f>
        <v/>
      </c>
      <c r="AF1288" s="0" t="str">
        <f aca="false">IF(AA1288=1,"",IF(AND(AB1288=1,AD1288&lt;&gt;1),1,0))</f>
        <v/>
      </c>
      <c r="AG1288" s="0" t="str">
        <f aca="false">IF(AA1288=1,"",IF(AND(AC1288=1,AE1288&lt;&gt;1),1,0))</f>
        <v/>
      </c>
      <c r="AH1288" s="51" t="str">
        <f aca="false">IF(AND(E1288&gt;0,AA1288&lt;1,NOT(AND(C1289=C1288,AA1289=AA1288+1))),INDEX(DATAS,AA1288+1),"")</f>
        <v/>
      </c>
      <c r="AI1288" s="51" t="str">
        <f aca="false">IF(AND(AC1288=1,AA1288&lt;1),IF(AND(C1289=C1288,AA1289=AA1288+1),IF(AC1289=1,"",INDEX(DATAS,AA1288+1)),INDEX(DATAS,AA1288+1)),"")</f>
        <v/>
      </c>
    </row>
    <row r="1289" customFormat="false" ht="15" hidden="false" customHeight="false" outlineLevel="0" collapsed="false">
      <c r="A1289" s="51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46" t="s">
        <v>878</v>
      </c>
      <c r="G1289" s="0" t="n">
        <v>44.9</v>
      </c>
      <c r="H1289" s="0" t="n">
        <v>47</v>
      </c>
      <c r="I1289" s="46" t="s">
        <v>152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51" t="n">
        <v>46163</v>
      </c>
      <c r="X1289" s="46" t="n">
        <f aca="false">IF(I1289="Male",0,1)</f>
        <v>1</v>
      </c>
      <c r="Y1289" s="46" t="n">
        <f aca="false">IF(OR(I1289="DNB",I1289="Dry DNB"),1,0)</f>
        <v>0</v>
      </c>
      <c r="Z1289" s="46" t="n">
        <f aca="false">IF(ISNUMBER(W1289),A1289-W1289,"")</f>
        <v>146</v>
      </c>
      <c r="AA1289" s="46" t="n">
        <f aca="false">MATCH(A1289,DATAS,0)</f>
        <v>1</v>
      </c>
      <c r="AB1289" s="46" t="n">
        <f aca="false">IF(AND(E1289&gt;0,OR(AND(B1289&gt;=1,B1289&lt;=6),B1289=10)),1,0)</f>
        <v>1</v>
      </c>
      <c r="AC1289" s="46" t="n">
        <f aca="false">IF(AND(E1289&gt;0,B1289=10),1,0)</f>
        <v>0</v>
      </c>
      <c r="AD1289" s="0" t="str">
        <f aca="false">IF(AND(C1288=C1289,AA1288=AA1289-1),AB1288,"")</f>
        <v/>
      </c>
      <c r="AE1289" s="0" t="str">
        <f aca="false">IF(AND(C1288=C1289,AA1288=AA1289-1),AC1288,"")</f>
        <v/>
      </c>
      <c r="AF1289" s="0" t="str">
        <f aca="false">IF(AA1289=1,"",IF(AND(AB1289=1,AD1289&lt;&gt;1),1,0))</f>
        <v/>
      </c>
      <c r="AG1289" s="0" t="str">
        <f aca="false">IF(AA1289=1,"",IF(AND(AC1289=1,AE1289&lt;&gt;1),1,0))</f>
        <v/>
      </c>
      <c r="AH1289" s="51" t="str">
        <f aca="false">IF(AND(E1289&gt;0,AA1289&lt;1,NOT(AND(C1290=C1289,AA1290=AA1289+1))),INDEX(DATAS,AA1289+1),"")</f>
        <v/>
      </c>
      <c r="AI1289" s="51" t="str">
        <f aca="false">IF(AND(AC1289=1,AA1289&lt;1),IF(AND(C1290=C1289,AA1290=AA1289+1),IF(AC1290=1,"",INDEX(DATAS,AA1289+1)),INDEX(DATAS,AA1289+1)),"")</f>
        <v/>
      </c>
    </row>
    <row r="1290" customFormat="false" ht="15" hidden="false" customHeight="false" outlineLevel="0" collapsed="false">
      <c r="A1290" s="51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46" t="s">
        <v>879</v>
      </c>
      <c r="G1290" s="0" t="n">
        <v>3.5</v>
      </c>
      <c r="H1290" s="0" t="n">
        <v>28</v>
      </c>
      <c r="I1290" s="46" t="s">
        <v>152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51" t="n">
        <v>46142</v>
      </c>
      <c r="X1290" s="46" t="n">
        <f aca="false">IF(I1290="Male",0,1)</f>
        <v>1</v>
      </c>
      <c r="Y1290" s="46" t="n">
        <f aca="false">IF(OR(I1290="DNB",I1290="Dry DNB"),1,0)</f>
        <v>0</v>
      </c>
      <c r="Z1290" s="46" t="n">
        <f aca="false">IF(ISNUMBER(W1290),A1290-W1290,"")</f>
        <v>167</v>
      </c>
      <c r="AA1290" s="46" t="n">
        <f aca="false">MATCH(A1290,DATAS,0)</f>
        <v>1</v>
      </c>
      <c r="AB1290" s="46" t="n">
        <f aca="false">IF(AND(E1290&gt;0,OR(AND(B1290&gt;=1,B1290&lt;=6),B1290=10)),1,0)</f>
        <v>1</v>
      </c>
      <c r="AC1290" s="46" t="n">
        <f aca="false">IF(AND(E1290&gt;0,B1290=10),1,0)</f>
        <v>0</v>
      </c>
      <c r="AD1290" s="0" t="str">
        <f aca="false">IF(AND(C1289=C1290,AA1289=AA1290-1),AB1289,"")</f>
        <v/>
      </c>
      <c r="AE1290" s="0" t="str">
        <f aca="false">IF(AND(C1289=C1290,AA1289=AA1290-1),AC1289,"")</f>
        <v/>
      </c>
      <c r="AF1290" s="0" t="str">
        <f aca="false">IF(AA1290=1,"",IF(AND(AB1290=1,AD1290&lt;&gt;1),1,0))</f>
        <v/>
      </c>
      <c r="AG1290" s="0" t="str">
        <f aca="false">IF(AA1290=1,"",IF(AND(AC1290=1,AE1290&lt;&gt;1),1,0))</f>
        <v/>
      </c>
      <c r="AH1290" s="51" t="str">
        <f aca="false">IF(AND(E1290&gt;0,AA1290&lt;1,NOT(AND(C1291=C1290,AA1291=AA1290+1))),INDEX(DATAS,AA1290+1),"")</f>
        <v/>
      </c>
      <c r="AI1290" s="51" t="str">
        <f aca="false">IF(AND(AC1290=1,AA1290&lt;1),IF(AND(C1291=C1290,AA1291=AA1290+1),IF(AC1291=1,"",INDEX(DATAS,AA1290+1)),INDEX(DATAS,AA1290+1)),"")</f>
        <v/>
      </c>
    </row>
    <row r="1291" customFormat="false" ht="15" hidden="false" customHeight="false" outlineLevel="0" collapsed="false">
      <c r="A1291" s="51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46" t="s">
        <v>879</v>
      </c>
      <c r="G1291" s="0" t="n">
        <v>42</v>
      </c>
      <c r="H1291" s="0" t="n">
        <v>42</v>
      </c>
      <c r="I1291" s="46" t="s">
        <v>152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51" t="n">
        <v>46160</v>
      </c>
      <c r="X1291" s="46" t="n">
        <f aca="false">IF(I1291="Male",0,1)</f>
        <v>1</v>
      </c>
      <c r="Y1291" s="46" t="n">
        <f aca="false">IF(OR(I1291="DNB",I1291="Dry DNB"),1,0)</f>
        <v>0</v>
      </c>
      <c r="Z1291" s="46" t="n">
        <f aca="false">IF(ISNUMBER(W1291),A1291-W1291,"")</f>
        <v>149</v>
      </c>
      <c r="AA1291" s="46" t="n">
        <f aca="false">MATCH(A1291,DATAS,0)</f>
        <v>1</v>
      </c>
      <c r="AB1291" s="46" t="n">
        <f aca="false">IF(AND(E1291&gt;0,OR(AND(B1291&gt;=1,B1291&lt;=6),B1291=10)),1,0)</f>
        <v>1</v>
      </c>
      <c r="AC1291" s="46" t="n">
        <f aca="false">IF(AND(E1291&gt;0,B1291=10),1,0)</f>
        <v>0</v>
      </c>
      <c r="AD1291" s="0" t="str">
        <f aca="false">IF(AND(C1290=C1291,AA1290=AA1291-1),AB1290,"")</f>
        <v/>
      </c>
      <c r="AE1291" s="0" t="str">
        <f aca="false">IF(AND(C1290=C1291,AA1290=AA1291-1),AC1290,"")</f>
        <v/>
      </c>
      <c r="AF1291" s="0" t="str">
        <f aca="false">IF(AA1291=1,"",IF(AND(AB1291=1,AD1291&lt;&gt;1),1,0))</f>
        <v/>
      </c>
      <c r="AG1291" s="0" t="str">
        <f aca="false">IF(AA1291=1,"",IF(AND(AC1291=1,AE1291&lt;&gt;1),1,0))</f>
        <v/>
      </c>
      <c r="AH1291" s="51" t="str">
        <f aca="false">IF(AND(E1291&gt;0,AA1291&lt;1,NOT(AND(C1292=C1291,AA1292=AA1291+1))),INDEX(DATAS,AA1291+1),"")</f>
        <v/>
      </c>
      <c r="AI1291" s="51" t="str">
        <f aca="false">IF(AND(AC1291=1,AA1291&lt;1),IF(AND(C1292=C1291,AA1292=AA1291+1),IF(AC1292=1,"",INDEX(DATAS,AA1291+1)),INDEX(DATAS,AA1291+1)),"")</f>
        <v/>
      </c>
    </row>
    <row r="1292" customFormat="false" ht="15" hidden="false" customHeight="false" outlineLevel="0" collapsed="false">
      <c r="A1292" s="51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46" t="s">
        <v>880</v>
      </c>
      <c r="G1292" s="0" t="n">
        <v>22.7</v>
      </c>
      <c r="H1292" s="0" t="n">
        <v>26</v>
      </c>
      <c r="I1292" s="46" t="s">
        <v>181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51" t="n">
        <v>46303</v>
      </c>
      <c r="X1292" s="46" t="n">
        <f aca="false">IF(I1292="Male",0,1)</f>
        <v>1</v>
      </c>
      <c r="Y1292" s="46" t="n">
        <f aca="false">IF(OR(I1292="DNB",I1292="Dry DNB"),1,0)</f>
        <v>0</v>
      </c>
      <c r="Z1292" s="46" t="n">
        <f aca="false">IF(ISNUMBER(W1292),A1292-W1292,"")</f>
        <v>6</v>
      </c>
      <c r="AA1292" s="46" t="n">
        <f aca="false">MATCH(A1292,DATAS,0)</f>
        <v>1</v>
      </c>
      <c r="AB1292" s="46" t="n">
        <f aca="false">IF(AND(E1292&gt;0,OR(AND(B1292&gt;=1,B1292&lt;=6),B1292=10)),1,0)</f>
        <v>1</v>
      </c>
      <c r="AC1292" s="46" t="n">
        <f aca="false">IF(AND(E1292&gt;0,B1292=10),1,0)</f>
        <v>0</v>
      </c>
      <c r="AD1292" s="0" t="str">
        <f aca="false">IF(AND(C1291=C1292,AA1291=AA1292-1),AB1291,"")</f>
        <v/>
      </c>
      <c r="AE1292" s="0" t="str">
        <f aca="false">IF(AND(C1291=C1292,AA1291=AA1292-1),AC1291,"")</f>
        <v/>
      </c>
      <c r="AF1292" s="0" t="str">
        <f aca="false">IF(AA1292=1,"",IF(AND(AB1292=1,AD1292&lt;&gt;1),1,0))</f>
        <v/>
      </c>
      <c r="AG1292" s="0" t="str">
        <f aca="false">IF(AA1292=1,"",IF(AND(AC1292=1,AE1292&lt;&gt;1),1,0))</f>
        <v/>
      </c>
      <c r="AH1292" s="51" t="str">
        <f aca="false">IF(AND(E1292&gt;0,AA1292&lt;1,NOT(AND(C1293=C1292,AA1293=AA1292+1))),INDEX(DATAS,AA1292+1),"")</f>
        <v/>
      </c>
      <c r="AI1292" s="51" t="str">
        <f aca="false">IF(AND(AC1292=1,AA1292&lt;1),IF(AND(C1293=C1292,AA1293=AA1292+1),IF(AC1293=1,"",INDEX(DATAS,AA1292+1)),INDEX(DATAS,AA1292+1)),"")</f>
        <v/>
      </c>
    </row>
    <row r="1293" customFormat="false" ht="15" hidden="false" customHeight="false" outlineLevel="0" collapsed="false">
      <c r="A1293" s="51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46" t="s">
        <v>880</v>
      </c>
      <c r="G1293" s="0" t="n">
        <v>46.2</v>
      </c>
      <c r="H1293" s="0" t="n">
        <v>48</v>
      </c>
      <c r="I1293" s="46" t="s">
        <v>152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51" t="n">
        <v>46135</v>
      </c>
      <c r="X1293" s="46" t="n">
        <f aca="false">IF(I1293="Male",0,1)</f>
        <v>1</v>
      </c>
      <c r="Y1293" s="46" t="n">
        <f aca="false">IF(OR(I1293="DNB",I1293="Dry DNB"),1,0)</f>
        <v>0</v>
      </c>
      <c r="Z1293" s="46" t="n">
        <f aca="false">IF(ISNUMBER(W1293),A1293-W1293,"")</f>
        <v>174</v>
      </c>
      <c r="AA1293" s="46" t="n">
        <f aca="false">MATCH(A1293,DATAS,0)</f>
        <v>1</v>
      </c>
      <c r="AB1293" s="46" t="n">
        <f aca="false">IF(AND(E1293&gt;0,OR(AND(B1293&gt;=1,B1293&lt;=6),B1293=10)),1,0)</f>
        <v>1</v>
      </c>
      <c r="AC1293" s="46" t="n">
        <f aca="false">IF(AND(E1293&gt;0,B1293=10),1,0)</f>
        <v>0</v>
      </c>
      <c r="AD1293" s="0" t="str">
        <f aca="false">IF(AND(C1292=C1293,AA1292=AA1293-1),AB1292,"")</f>
        <v/>
      </c>
      <c r="AE1293" s="0" t="str">
        <f aca="false">IF(AND(C1292=C1293,AA1292=AA1293-1),AC1292,"")</f>
        <v/>
      </c>
      <c r="AF1293" s="0" t="str">
        <f aca="false">IF(AA1293=1,"",IF(AND(AB1293=1,AD1293&lt;&gt;1),1,0))</f>
        <v/>
      </c>
      <c r="AG1293" s="0" t="str">
        <f aca="false">IF(AA1293=1,"",IF(AND(AC1293=1,AE1293&lt;&gt;1),1,0))</f>
        <v/>
      </c>
      <c r="AH1293" s="51" t="str">
        <f aca="false">IF(AND(E1293&gt;0,AA1293&lt;1,NOT(AND(C1294=C1293,AA1294=AA1293+1))),INDEX(DATAS,AA1293+1),"")</f>
        <v/>
      </c>
      <c r="AI1293" s="51" t="str">
        <f aca="false">IF(AND(AC1293=1,AA1293&lt;1),IF(AND(C1294=C1293,AA1294=AA1293+1),IF(AC1294=1,"",INDEX(DATAS,AA1293+1)),INDEX(DATAS,AA1293+1)),"")</f>
        <v/>
      </c>
    </row>
    <row r="1294" customFormat="false" ht="15" hidden="false" customHeight="false" outlineLevel="0" collapsed="false">
      <c r="A1294" s="51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46" t="s">
        <v>880</v>
      </c>
      <c r="G1294" s="0" t="n">
        <v>57.9</v>
      </c>
      <c r="H1294" s="0" t="n">
        <v>60</v>
      </c>
      <c r="I1294" s="46" t="s">
        <v>152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51" t="n">
        <v>46194</v>
      </c>
      <c r="X1294" s="46" t="n">
        <f aca="false">IF(I1294="Male",0,1)</f>
        <v>1</v>
      </c>
      <c r="Y1294" s="46" t="n">
        <f aca="false">IF(OR(I1294="DNB",I1294="Dry DNB"),1,0)</f>
        <v>0</v>
      </c>
      <c r="Z1294" s="46" t="n">
        <f aca="false">IF(ISNUMBER(W1294),A1294-W1294,"")</f>
        <v>115</v>
      </c>
      <c r="AA1294" s="46" t="n">
        <f aca="false">MATCH(A1294,DATAS,0)</f>
        <v>1</v>
      </c>
      <c r="AB1294" s="46" t="n">
        <f aca="false">IF(AND(E1294&gt;0,OR(AND(B1294&gt;=1,B1294&lt;=6),B1294=10)),1,0)</f>
        <v>1</v>
      </c>
      <c r="AC1294" s="46" t="n">
        <f aca="false">IF(AND(E1294&gt;0,B1294=10),1,0)</f>
        <v>0</v>
      </c>
      <c r="AD1294" s="0" t="str">
        <f aca="false">IF(AND(C1293=C1294,AA1293=AA1294-1),AB1293,"")</f>
        <v/>
      </c>
      <c r="AE1294" s="0" t="str">
        <f aca="false">IF(AND(C1293=C1294,AA1293=AA1294-1),AC1293,"")</f>
        <v/>
      </c>
      <c r="AF1294" s="0" t="str">
        <f aca="false">IF(AA1294=1,"",IF(AND(AB1294=1,AD1294&lt;&gt;1),1,0))</f>
        <v/>
      </c>
      <c r="AG1294" s="0" t="str">
        <f aca="false">IF(AA1294=1,"",IF(AND(AC1294=1,AE1294&lt;&gt;1),1,0))</f>
        <v/>
      </c>
      <c r="AH1294" s="51" t="str">
        <f aca="false">IF(AND(E1294&gt;0,AA1294&lt;1,NOT(AND(C1295=C1294,AA1295=AA1294+1))),INDEX(DATAS,AA1294+1),"")</f>
        <v/>
      </c>
      <c r="AI1294" s="51" t="str">
        <f aca="false">IF(AND(AC1294=1,AA1294&lt;1),IF(AND(C1295=C1294,AA1295=AA1294+1),IF(AC1295=1,"",INDEX(DATAS,AA1294+1)),INDEX(DATAS,AA1294+1)),"")</f>
        <v/>
      </c>
    </row>
    <row r="1295" customFormat="false" ht="15" hidden="false" customHeight="false" outlineLevel="0" collapsed="false">
      <c r="A1295" s="51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46" t="s">
        <v>881</v>
      </c>
      <c r="G1295" s="0" t="n">
        <v>39.8</v>
      </c>
      <c r="H1295" s="0" t="n">
        <v>36</v>
      </c>
      <c r="I1295" s="46" t="s">
        <v>181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51" t="n">
        <v>46303</v>
      </c>
      <c r="X1295" s="46" t="n">
        <f aca="false">IF(I1295="Male",0,1)</f>
        <v>1</v>
      </c>
      <c r="Y1295" s="46" t="n">
        <f aca="false">IF(OR(I1295="DNB",I1295="Dry DNB"),1,0)</f>
        <v>0</v>
      </c>
      <c r="Z1295" s="46" t="n">
        <f aca="false">IF(ISNUMBER(W1295),A1295-W1295,"")</f>
        <v>6</v>
      </c>
      <c r="AA1295" s="46" t="n">
        <f aca="false">MATCH(A1295,DATAS,0)</f>
        <v>1</v>
      </c>
      <c r="AB1295" s="46" t="n">
        <f aca="false">IF(AND(E1295&gt;0,OR(AND(B1295&gt;=1,B1295&lt;=6),B1295=10)),1,0)</f>
        <v>1</v>
      </c>
      <c r="AC1295" s="46" t="n">
        <f aca="false">IF(AND(E1295&gt;0,B1295=10),1,0)</f>
        <v>0</v>
      </c>
      <c r="AD1295" s="0" t="str">
        <f aca="false">IF(AND(C1294=C1295,AA1294=AA1295-1),AB1294,"")</f>
        <v/>
      </c>
      <c r="AE1295" s="0" t="str">
        <f aca="false">IF(AND(C1294=C1295,AA1294=AA1295-1),AC1294,"")</f>
        <v/>
      </c>
      <c r="AF1295" s="0" t="str">
        <f aca="false">IF(AA1295=1,"",IF(AND(AB1295=1,AD1295&lt;&gt;1),1,0))</f>
        <v/>
      </c>
      <c r="AG1295" s="0" t="str">
        <f aca="false">IF(AA1295=1,"",IF(AND(AC1295=1,AE1295&lt;&gt;1),1,0))</f>
        <v/>
      </c>
      <c r="AH1295" s="51" t="str">
        <f aca="false">IF(AND(E1295&gt;0,AA1295&lt;1,NOT(AND(C1296=C1295,AA1296=AA1295+1))),INDEX(DATAS,AA1295+1),"")</f>
        <v/>
      </c>
      <c r="AI1295" s="51" t="str">
        <f aca="false">IF(AND(AC1295=1,AA1295&lt;1),IF(AND(C1296=C1295,AA1296=AA1295+1),IF(AC1296=1,"",INDEX(DATAS,AA1295+1)),INDEX(DATAS,AA1295+1)),"")</f>
        <v/>
      </c>
    </row>
    <row r="1296" customFormat="false" ht="15" hidden="false" customHeight="false" outlineLevel="0" collapsed="false">
      <c r="A1296" s="51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46" t="s">
        <v>882</v>
      </c>
      <c r="G1296" s="0" t="n">
        <v>49.3</v>
      </c>
      <c r="H1296" s="0" t="n">
        <v>50</v>
      </c>
      <c r="I1296" s="46" t="s">
        <v>152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51" t="n">
        <v>46184</v>
      </c>
      <c r="X1296" s="46" t="n">
        <f aca="false">IF(I1296="Male",0,1)</f>
        <v>1</v>
      </c>
      <c r="Y1296" s="46" t="n">
        <f aca="false">IF(OR(I1296="DNB",I1296="Dry DNB"),1,0)</f>
        <v>0</v>
      </c>
      <c r="Z1296" s="46" t="n">
        <f aca="false">IF(ISNUMBER(W1296),A1296-W1296,"")</f>
        <v>125</v>
      </c>
      <c r="AA1296" s="46" t="n">
        <f aca="false">MATCH(A1296,DATAS,0)</f>
        <v>1</v>
      </c>
      <c r="AB1296" s="46" t="n">
        <f aca="false">IF(AND(E1296&gt;0,OR(AND(B1296&gt;=1,B1296&lt;=6),B1296=10)),1,0)</f>
        <v>1</v>
      </c>
      <c r="AC1296" s="46" t="n">
        <f aca="false">IF(AND(E1296&gt;0,B1296=10),1,0)</f>
        <v>0</v>
      </c>
      <c r="AD1296" s="0" t="str">
        <f aca="false">IF(AND(C1295=C1296,AA1295=AA1296-1),AB1295,"")</f>
        <v/>
      </c>
      <c r="AE1296" s="0" t="str">
        <f aca="false">IF(AND(C1295=C1296,AA1295=AA1296-1),AC1295,"")</f>
        <v/>
      </c>
      <c r="AF1296" s="0" t="str">
        <f aca="false">IF(AA1296=1,"",IF(AND(AB1296=1,AD1296&lt;&gt;1),1,0))</f>
        <v/>
      </c>
      <c r="AG1296" s="0" t="str">
        <f aca="false">IF(AA1296=1,"",IF(AND(AC1296=1,AE1296&lt;&gt;1),1,0))</f>
        <v/>
      </c>
      <c r="AH1296" s="51" t="str">
        <f aca="false">IF(AND(E1296&gt;0,AA1296&lt;1,NOT(AND(C1297=C1296,AA1297=AA1296+1))),INDEX(DATAS,AA1296+1),"")</f>
        <v/>
      </c>
      <c r="AI1296" s="51" t="str">
        <f aca="false">IF(AND(AC1296=1,AA1296&lt;1),IF(AND(C1297=C1296,AA1297=AA1296+1),IF(AC1297=1,"",INDEX(DATAS,AA1296+1)),INDEX(DATAS,AA1296+1)),"")</f>
        <v/>
      </c>
    </row>
    <row r="1297" customFormat="false" ht="15" hidden="false" customHeight="false" outlineLevel="0" collapsed="false">
      <c r="A1297" s="51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46" t="s">
        <v>882</v>
      </c>
      <c r="G1297" s="0" t="n">
        <v>44.4</v>
      </c>
      <c r="H1297" s="0" t="n">
        <v>43</v>
      </c>
      <c r="I1297" s="46" t="s">
        <v>152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51" t="n">
        <v>46177</v>
      </c>
      <c r="X1297" s="46" t="n">
        <f aca="false">IF(I1297="Male",0,1)</f>
        <v>1</v>
      </c>
      <c r="Y1297" s="46" t="n">
        <f aca="false">IF(OR(I1297="DNB",I1297="Dry DNB"),1,0)</f>
        <v>0</v>
      </c>
      <c r="Z1297" s="46" t="n">
        <f aca="false">IF(ISNUMBER(W1297),A1297-W1297,"")</f>
        <v>132</v>
      </c>
      <c r="AA1297" s="46" t="n">
        <f aca="false">MATCH(A1297,DATAS,0)</f>
        <v>1</v>
      </c>
      <c r="AB1297" s="46" t="n">
        <f aca="false">IF(AND(E1297&gt;0,OR(AND(B1297&gt;=1,B1297&lt;=6),B1297=10)),1,0)</f>
        <v>1</v>
      </c>
      <c r="AC1297" s="46" t="n">
        <f aca="false">IF(AND(E1297&gt;0,B1297=10),1,0)</f>
        <v>0</v>
      </c>
      <c r="AD1297" s="0" t="str">
        <f aca="false">IF(AND(C1296=C1297,AA1296=AA1297-1),AB1296,"")</f>
        <v/>
      </c>
      <c r="AE1297" s="0" t="str">
        <f aca="false">IF(AND(C1296=C1297,AA1296=AA1297-1),AC1296,"")</f>
        <v/>
      </c>
      <c r="AF1297" s="0" t="str">
        <f aca="false">IF(AA1297=1,"",IF(AND(AB1297=1,AD1297&lt;&gt;1),1,0))</f>
        <v/>
      </c>
      <c r="AG1297" s="0" t="str">
        <f aca="false">IF(AA1297=1,"",IF(AND(AC1297=1,AE1297&lt;&gt;1),1,0))</f>
        <v/>
      </c>
      <c r="AH1297" s="51" t="str">
        <f aca="false">IF(AND(E1297&gt;0,AA1297&lt;1,NOT(AND(C1298=C1297,AA1298=AA1297+1))),INDEX(DATAS,AA1297+1),"")</f>
        <v/>
      </c>
      <c r="AI1297" s="51" t="str">
        <f aca="false">IF(AND(AC1297=1,AA1297&lt;1),IF(AND(C1298=C1297,AA1298=AA1297+1),IF(AC1298=1,"",INDEX(DATAS,AA1297+1)),INDEX(DATAS,AA1297+1)),"")</f>
        <v/>
      </c>
    </row>
    <row r="1298" customFormat="false" ht="15" hidden="false" customHeight="false" outlineLevel="0" collapsed="false">
      <c r="A1298" s="51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46" t="s">
        <v>883</v>
      </c>
      <c r="G1298" s="0" t="n">
        <v>14.6</v>
      </c>
      <c r="H1298" s="0" t="n">
        <v>16</v>
      </c>
      <c r="I1298" s="46" t="s">
        <v>152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51" t="n">
        <v>46275</v>
      </c>
      <c r="X1298" s="46" t="n">
        <f aca="false">IF(I1298="Male",0,1)</f>
        <v>1</v>
      </c>
      <c r="Y1298" s="46" t="n">
        <f aca="false">IF(OR(I1298="DNB",I1298="Dry DNB"),1,0)</f>
        <v>0</v>
      </c>
      <c r="Z1298" s="46" t="n">
        <f aca="false">IF(ISNUMBER(W1298),A1298-W1298,"")</f>
        <v>34</v>
      </c>
      <c r="AA1298" s="46" t="n">
        <f aca="false">MATCH(A1298,DATAS,0)</f>
        <v>1</v>
      </c>
      <c r="AB1298" s="46" t="n">
        <f aca="false">IF(AND(E1298&gt;0,OR(AND(B1298&gt;=1,B1298&lt;=6),B1298=10)),1,0)</f>
        <v>1</v>
      </c>
      <c r="AC1298" s="46" t="n">
        <f aca="false">IF(AND(E1298&gt;0,B1298=10),1,0)</f>
        <v>1</v>
      </c>
      <c r="AD1298" s="0" t="str">
        <f aca="false">IF(AND(C1297=C1298,AA1297=AA1298-1),AB1297,"")</f>
        <v/>
      </c>
      <c r="AE1298" s="0" t="str">
        <f aca="false">IF(AND(C1297=C1298,AA1297=AA1298-1),AC1297,"")</f>
        <v/>
      </c>
      <c r="AF1298" s="0" t="str">
        <f aca="false">IF(AA1298=1,"",IF(AND(AB1298=1,AD1298&lt;&gt;1),1,0))</f>
        <v/>
      </c>
      <c r="AG1298" s="0" t="str">
        <f aca="false">IF(AA1298=1,"",IF(AND(AC1298=1,AE1298&lt;&gt;1),1,0))</f>
        <v/>
      </c>
      <c r="AH1298" s="51" t="str">
        <f aca="false">IF(AND(E1298&gt;0,AA1298&lt;1,NOT(AND(C1299=C1298,AA1299=AA1298+1))),INDEX(DATAS,AA1298+1),"")</f>
        <v/>
      </c>
      <c r="AI1298" s="51" t="str">
        <f aca="false">IF(AND(AC1298=1,AA1298&lt;1),IF(AND(C1299=C1298,AA1299=AA1298+1),IF(AC1299=1,"",INDEX(DATAS,AA1298+1)),INDEX(DATAS,AA1298+1)),"")</f>
        <v/>
      </c>
    </row>
    <row r="1299" customFormat="false" ht="15" hidden="false" customHeight="false" outlineLevel="0" collapsed="false">
      <c r="A1299" s="51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46" t="s">
        <v>884</v>
      </c>
      <c r="G1299" s="0" t="n">
        <v>43.1</v>
      </c>
      <c r="H1299" s="0" t="n">
        <v>48</v>
      </c>
      <c r="I1299" s="46" t="s">
        <v>152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51" t="n">
        <v>46156</v>
      </c>
      <c r="X1299" s="46" t="n">
        <f aca="false">IF(I1299="Male",0,1)</f>
        <v>1</v>
      </c>
      <c r="Y1299" s="46" t="n">
        <f aca="false">IF(OR(I1299="DNB",I1299="Dry DNB"),1,0)</f>
        <v>0</v>
      </c>
      <c r="Z1299" s="46" t="n">
        <f aca="false">IF(ISNUMBER(W1299),A1299-W1299,"")</f>
        <v>153</v>
      </c>
      <c r="AA1299" s="46" t="n">
        <f aca="false">MATCH(A1299,DATAS,0)</f>
        <v>1</v>
      </c>
      <c r="AB1299" s="46" t="n">
        <f aca="false">IF(AND(E1299&gt;0,OR(AND(B1299&gt;=1,B1299&lt;=6),B1299=10)),1,0)</f>
        <v>1</v>
      </c>
      <c r="AC1299" s="46" t="n">
        <f aca="false">IF(AND(E1299&gt;0,B1299=10),1,0)</f>
        <v>0</v>
      </c>
      <c r="AD1299" s="0" t="str">
        <f aca="false">IF(AND(C1298=C1299,AA1298=AA1299-1),AB1298,"")</f>
        <v/>
      </c>
      <c r="AE1299" s="0" t="str">
        <f aca="false">IF(AND(C1298=C1299,AA1298=AA1299-1),AC1298,"")</f>
        <v/>
      </c>
      <c r="AF1299" s="0" t="str">
        <f aca="false">IF(AA1299=1,"",IF(AND(AB1299=1,AD1299&lt;&gt;1),1,0))</f>
        <v/>
      </c>
      <c r="AG1299" s="0" t="str">
        <f aca="false">IF(AA1299=1,"",IF(AND(AC1299=1,AE1299&lt;&gt;1),1,0))</f>
        <v/>
      </c>
      <c r="AH1299" s="51" t="str">
        <f aca="false">IF(AND(E1299&gt;0,AA1299&lt;1,NOT(AND(C1300=C1299,AA1300=AA1299+1))),INDEX(DATAS,AA1299+1),"")</f>
        <v/>
      </c>
      <c r="AI1299" s="51" t="str">
        <f aca="false">IF(AND(AC1299=1,AA1299&lt;1),IF(AND(C1300=C1299,AA1300=AA1299+1),IF(AC1300=1,"",INDEX(DATAS,AA1299+1)),INDEX(DATAS,AA1299+1)),"")</f>
        <v/>
      </c>
    </row>
    <row r="1300" customFormat="false" ht="15" hidden="false" customHeight="false" outlineLevel="0" collapsed="false">
      <c r="A1300" s="51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46" t="s">
        <v>885</v>
      </c>
      <c r="G1300" s="0" t="n">
        <v>44.2</v>
      </c>
      <c r="H1300" s="0" t="n">
        <v>45</v>
      </c>
      <c r="I1300" s="46" t="s">
        <v>152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51" t="n">
        <v>46100</v>
      </c>
      <c r="X1300" s="46" t="n">
        <f aca="false">IF(I1300="Male",0,1)</f>
        <v>1</v>
      </c>
      <c r="Y1300" s="46" t="n">
        <f aca="false">IF(OR(I1300="DNB",I1300="Dry DNB"),1,0)</f>
        <v>0</v>
      </c>
      <c r="Z1300" s="46" t="n">
        <f aca="false">IF(ISNUMBER(W1300),A1300-W1300,"")</f>
        <v>209</v>
      </c>
      <c r="AA1300" s="46" t="n">
        <f aca="false">MATCH(A1300,DATAS,0)</f>
        <v>1</v>
      </c>
      <c r="AB1300" s="46" t="n">
        <f aca="false">IF(AND(E1300&gt;0,OR(AND(B1300&gt;=1,B1300&lt;=6),B1300=10)),1,0)</f>
        <v>1</v>
      </c>
      <c r="AC1300" s="46" t="n">
        <f aca="false">IF(AND(E1300&gt;0,B1300=10),1,0)</f>
        <v>0</v>
      </c>
      <c r="AD1300" s="0" t="str">
        <f aca="false">IF(AND(C1299=C1300,AA1299=AA1300-1),AB1299,"")</f>
        <v/>
      </c>
      <c r="AE1300" s="0" t="str">
        <f aca="false">IF(AND(C1299=C1300,AA1299=AA1300-1),AC1299,"")</f>
        <v/>
      </c>
      <c r="AF1300" s="0" t="str">
        <f aca="false">IF(AA1300=1,"",IF(AND(AB1300=1,AD1300&lt;&gt;1),1,0))</f>
        <v/>
      </c>
      <c r="AG1300" s="0" t="str">
        <f aca="false">IF(AA1300=1,"",IF(AND(AC1300=1,AE1300&lt;&gt;1),1,0))</f>
        <v/>
      </c>
      <c r="AH1300" s="51" t="str">
        <f aca="false">IF(AND(E1300&gt;0,AA1300&lt;1,NOT(AND(C1301=C1300,AA1301=AA1300+1))),INDEX(DATAS,AA1300+1),"")</f>
        <v/>
      </c>
      <c r="AI1300" s="51" t="str">
        <f aca="false">IF(AND(AC1300=1,AA1300&lt;1),IF(AND(C1301=C1300,AA1301=AA1300+1),IF(AC1301=1,"",INDEX(DATAS,AA1300+1)),INDEX(DATAS,AA1300+1)),"")</f>
        <v/>
      </c>
    </row>
    <row r="1301" customFormat="false" ht="15" hidden="false" customHeight="false" outlineLevel="0" collapsed="false">
      <c r="A1301" s="51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46" t="s">
        <v>884</v>
      </c>
      <c r="G1301" s="0" t="n">
        <v>34</v>
      </c>
      <c r="H1301" s="0" t="n">
        <v>36</v>
      </c>
      <c r="I1301" s="46" t="s">
        <v>181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51" t="n">
        <v>46300</v>
      </c>
      <c r="X1301" s="46" t="n">
        <f aca="false">IF(I1301="Male",0,1)</f>
        <v>1</v>
      </c>
      <c r="Y1301" s="46" t="n">
        <f aca="false">IF(OR(I1301="DNB",I1301="Dry DNB"),1,0)</f>
        <v>0</v>
      </c>
      <c r="Z1301" s="46" t="n">
        <f aca="false">IF(ISNUMBER(W1301),A1301-W1301,"")</f>
        <v>9</v>
      </c>
      <c r="AA1301" s="46" t="n">
        <f aca="false">MATCH(A1301,DATAS,0)</f>
        <v>1</v>
      </c>
      <c r="AB1301" s="46" t="n">
        <f aca="false">IF(AND(E1301&gt;0,OR(AND(B1301&gt;=1,B1301&lt;=6),B1301=10)),1,0)</f>
        <v>1</v>
      </c>
      <c r="AC1301" s="46" t="n">
        <f aca="false">IF(AND(E1301&gt;0,B1301=10),1,0)</f>
        <v>0</v>
      </c>
      <c r="AD1301" s="0" t="str">
        <f aca="false">IF(AND(C1300=C1301,AA1300=AA1301-1),AB1300,"")</f>
        <v/>
      </c>
      <c r="AE1301" s="0" t="str">
        <f aca="false">IF(AND(C1300=C1301,AA1300=AA1301-1),AC1300,"")</f>
        <v/>
      </c>
      <c r="AF1301" s="0" t="str">
        <f aca="false">IF(AA1301=1,"",IF(AND(AB1301=1,AD1301&lt;&gt;1),1,0))</f>
        <v/>
      </c>
      <c r="AG1301" s="0" t="str">
        <f aca="false">IF(AA1301=1,"",IF(AND(AC1301=1,AE1301&lt;&gt;1),1,0))</f>
        <v/>
      </c>
      <c r="AH1301" s="51" t="str">
        <f aca="false">IF(AND(E1301&gt;0,AA1301&lt;1,NOT(AND(C1302=C1301,AA1302=AA1301+1))),INDEX(DATAS,AA1301+1),"")</f>
        <v/>
      </c>
      <c r="AI1301" s="51" t="str">
        <f aca="false">IF(AND(AC1301=1,AA1301&lt;1),IF(AND(C1302=C1301,AA1302=AA1301+1),IF(AC1302=1,"",INDEX(DATAS,AA1301+1)),INDEX(DATAS,AA1301+1)),"")</f>
        <v/>
      </c>
    </row>
    <row r="1302" customFormat="false" ht="15" hidden="false" customHeight="false" outlineLevel="0" collapsed="false">
      <c r="A1302" s="51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46" t="s">
        <v>884</v>
      </c>
      <c r="G1302" s="0" t="n">
        <v>14</v>
      </c>
      <c r="H1302" s="0" t="n">
        <v>42</v>
      </c>
      <c r="I1302" s="46" t="s">
        <v>157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51" t="n">
        <v>46087</v>
      </c>
      <c r="X1302" s="46" t="n">
        <f aca="false">IF(I1302="Male",0,1)</f>
        <v>1</v>
      </c>
      <c r="Y1302" s="46" t="n">
        <f aca="false">IF(OR(I1302="DNB",I1302="Dry DNB"),1,0)</f>
        <v>0</v>
      </c>
      <c r="Z1302" s="46" t="n">
        <f aca="false">IF(ISNUMBER(W1302),A1302-W1302,"")</f>
        <v>222</v>
      </c>
      <c r="AA1302" s="46" t="n">
        <f aca="false">MATCH(A1302,DATAS,0)</f>
        <v>1</v>
      </c>
      <c r="AB1302" s="46" t="n">
        <f aca="false">IF(AND(E1302&gt;0,OR(AND(B1302&gt;=1,B1302&lt;=6),B1302=10)),1,0)</f>
        <v>0</v>
      </c>
      <c r="AC1302" s="46" t="n">
        <f aca="false">IF(AND(E1302&gt;0,B1302=10),1,0)</f>
        <v>0</v>
      </c>
      <c r="AD1302" s="0" t="str">
        <f aca="false">IF(AND(C1301=C1302,AA1301=AA1302-1),AB1301,"")</f>
        <v/>
      </c>
      <c r="AE1302" s="0" t="str">
        <f aca="false">IF(AND(C1301=C1302,AA1301=AA1302-1),AC1301,"")</f>
        <v/>
      </c>
      <c r="AF1302" s="0" t="str">
        <f aca="false">IF(AA1302=1,"",IF(AND(AB1302=1,AD1302&lt;&gt;1),1,0))</f>
        <v/>
      </c>
      <c r="AG1302" s="0" t="str">
        <f aca="false">IF(AA1302=1,"",IF(AND(AC1302=1,AE1302&lt;&gt;1),1,0))</f>
        <v/>
      </c>
      <c r="AH1302" s="51" t="str">
        <f aca="false">IF(AND(E1302&gt;0,AA1302&lt;1,NOT(AND(C1303=C1302,AA1303=AA1302+1))),INDEX(DATAS,AA1302+1),"")</f>
        <v/>
      </c>
      <c r="AI1302" s="51" t="str">
        <f aca="false">IF(AND(AC1302=1,AA1302&lt;1),IF(AND(C1303=C1302,AA1303=AA1302+1),IF(AC1303=1,"",INDEX(DATAS,AA1302+1)),INDEX(DATAS,AA1302+1)),"")</f>
        <v/>
      </c>
    </row>
    <row r="1303" customFormat="false" ht="15" hidden="false" customHeight="false" outlineLevel="0" collapsed="false">
      <c r="A1303" s="51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46" t="s">
        <v>884</v>
      </c>
      <c r="G1303" s="0" t="n">
        <v>38.7</v>
      </c>
      <c r="H1303" s="0" t="n">
        <v>38</v>
      </c>
      <c r="I1303" s="46" t="s">
        <v>152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51" t="n">
        <v>46178</v>
      </c>
      <c r="X1303" s="46" t="n">
        <f aca="false">IF(I1303="Male",0,1)</f>
        <v>1</v>
      </c>
      <c r="Y1303" s="46" t="n">
        <f aca="false">IF(OR(I1303="DNB",I1303="Dry DNB"),1,0)</f>
        <v>0</v>
      </c>
      <c r="Z1303" s="46" t="n">
        <f aca="false">IF(ISNUMBER(W1303),A1303-W1303,"")</f>
        <v>131</v>
      </c>
      <c r="AA1303" s="46" t="n">
        <f aca="false">MATCH(A1303,DATAS,0)</f>
        <v>1</v>
      </c>
      <c r="AB1303" s="46" t="n">
        <f aca="false">IF(AND(E1303&gt;0,OR(AND(B1303&gt;=1,B1303&lt;=6),B1303=10)),1,0)</f>
        <v>1</v>
      </c>
      <c r="AC1303" s="46" t="n">
        <f aca="false">IF(AND(E1303&gt;0,B1303=10),1,0)</f>
        <v>0</v>
      </c>
      <c r="AD1303" s="0" t="str">
        <f aca="false">IF(AND(C1302=C1303,AA1302=AA1303-1),AB1302,"")</f>
        <v/>
      </c>
      <c r="AE1303" s="0" t="str">
        <f aca="false">IF(AND(C1302=C1303,AA1302=AA1303-1),AC1302,"")</f>
        <v/>
      </c>
      <c r="AF1303" s="0" t="str">
        <f aca="false">IF(AA1303=1,"",IF(AND(AB1303=1,AD1303&lt;&gt;1),1,0))</f>
        <v/>
      </c>
      <c r="AG1303" s="0" t="str">
        <f aca="false">IF(AA1303=1,"",IF(AND(AC1303=1,AE1303&lt;&gt;1),1,0))</f>
        <v/>
      </c>
      <c r="AH1303" s="51" t="str">
        <f aca="false">IF(AND(E1303&gt;0,AA1303&lt;1,NOT(AND(C1304=C1303,AA1304=AA1303+1))),INDEX(DATAS,AA1303+1),"")</f>
        <v/>
      </c>
      <c r="AI1303" s="51" t="str">
        <f aca="false">IF(AND(AC1303=1,AA1303&lt;1),IF(AND(C1304=C1303,AA1304=AA1303+1),IF(AC1304=1,"",INDEX(DATAS,AA1303+1)),INDEX(DATAS,AA1303+1)),"")</f>
        <v/>
      </c>
    </row>
    <row r="1304" customFormat="false" ht="15" hidden="false" customHeight="false" outlineLevel="0" collapsed="false">
      <c r="A1304" s="51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46" t="s">
        <v>884</v>
      </c>
      <c r="G1304" s="0" t="n">
        <v>47.8</v>
      </c>
      <c r="H1304" s="0" t="n">
        <v>46</v>
      </c>
      <c r="I1304" s="46" t="s">
        <v>152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51" t="n">
        <v>46168</v>
      </c>
      <c r="X1304" s="46" t="n">
        <f aca="false">IF(I1304="Male",0,1)</f>
        <v>1</v>
      </c>
      <c r="Y1304" s="46" t="n">
        <f aca="false">IF(OR(I1304="DNB",I1304="Dry DNB"),1,0)</f>
        <v>0</v>
      </c>
      <c r="Z1304" s="46" t="n">
        <f aca="false">IF(ISNUMBER(W1304),A1304-W1304,"")</f>
        <v>141</v>
      </c>
      <c r="AA1304" s="46" t="n">
        <f aca="false">MATCH(A1304,DATAS,0)</f>
        <v>1</v>
      </c>
      <c r="AB1304" s="46" t="n">
        <f aca="false">IF(AND(E1304&gt;0,OR(AND(B1304&gt;=1,B1304&lt;=6),B1304=10)),1,0)</f>
        <v>1</v>
      </c>
      <c r="AC1304" s="46" t="n">
        <f aca="false">IF(AND(E1304&gt;0,B1304=10),1,0)</f>
        <v>0</v>
      </c>
      <c r="AD1304" s="0" t="str">
        <f aca="false">IF(AND(C1303=C1304,AA1303=AA1304-1),AB1303,"")</f>
        <v/>
      </c>
      <c r="AE1304" s="0" t="str">
        <f aca="false">IF(AND(C1303=C1304,AA1303=AA1304-1),AC1303,"")</f>
        <v/>
      </c>
      <c r="AF1304" s="0" t="str">
        <f aca="false">IF(AA1304=1,"",IF(AND(AB1304=1,AD1304&lt;&gt;1),1,0))</f>
        <v/>
      </c>
      <c r="AG1304" s="0" t="str">
        <f aca="false">IF(AA1304=1,"",IF(AND(AC1304=1,AE1304&lt;&gt;1),1,0))</f>
        <v/>
      </c>
      <c r="AH1304" s="51" t="str">
        <f aca="false">IF(AND(E1304&gt;0,AA1304&lt;1,NOT(AND(C1305=C1304,AA1305=AA1304+1))),INDEX(DATAS,AA1304+1),"")</f>
        <v/>
      </c>
      <c r="AI1304" s="51" t="str">
        <f aca="false">IF(AND(AC1304=1,AA1304&lt;1),IF(AND(C1305=C1304,AA1305=AA1304+1),IF(AC1305=1,"",INDEX(DATAS,AA1304+1)),INDEX(DATAS,AA1304+1)),"")</f>
        <v/>
      </c>
    </row>
    <row r="1305" customFormat="false" ht="15" hidden="false" customHeight="false" outlineLevel="0" collapsed="false">
      <c r="A1305" s="51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46" t="s">
        <v>884</v>
      </c>
      <c r="G1305" s="0" t="n">
        <v>44.9</v>
      </c>
      <c r="H1305" s="0" t="n">
        <v>40</v>
      </c>
      <c r="I1305" s="46" t="s">
        <v>152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51" t="n">
        <v>46135</v>
      </c>
      <c r="X1305" s="46" t="n">
        <f aca="false">IF(I1305="Male",0,1)</f>
        <v>1</v>
      </c>
      <c r="Y1305" s="46" t="n">
        <f aca="false">IF(OR(I1305="DNB",I1305="Dry DNB"),1,0)</f>
        <v>0</v>
      </c>
      <c r="Z1305" s="46" t="n">
        <f aca="false">IF(ISNUMBER(W1305),A1305-W1305,"")</f>
        <v>174</v>
      </c>
      <c r="AA1305" s="46" t="n">
        <f aca="false">MATCH(A1305,DATAS,0)</f>
        <v>1</v>
      </c>
      <c r="AB1305" s="46" t="n">
        <f aca="false">IF(AND(E1305&gt;0,OR(AND(B1305&gt;=1,B1305&lt;=6),B1305=10)),1,0)</f>
        <v>1</v>
      </c>
      <c r="AC1305" s="46" t="n">
        <f aca="false">IF(AND(E1305&gt;0,B1305=10),1,0)</f>
        <v>0</v>
      </c>
      <c r="AD1305" s="0" t="str">
        <f aca="false">IF(AND(C1304=C1305,AA1304=AA1305-1),AB1304,"")</f>
        <v/>
      </c>
      <c r="AE1305" s="0" t="str">
        <f aca="false">IF(AND(C1304=C1305,AA1304=AA1305-1),AC1304,"")</f>
        <v/>
      </c>
      <c r="AF1305" s="0" t="str">
        <f aca="false">IF(AA1305=1,"",IF(AND(AB1305=1,AD1305&lt;&gt;1),1,0))</f>
        <v/>
      </c>
      <c r="AG1305" s="0" t="str">
        <f aca="false">IF(AA1305=1,"",IF(AND(AC1305=1,AE1305&lt;&gt;1),1,0))</f>
        <v/>
      </c>
      <c r="AH1305" s="51" t="str">
        <f aca="false">IF(AND(E1305&gt;0,AA1305&lt;1,NOT(AND(C1306=C1305,AA1306=AA1305+1))),INDEX(DATAS,AA1305+1),"")</f>
        <v/>
      </c>
      <c r="AI1305" s="51" t="str">
        <f aca="false">IF(AND(AC1305=1,AA1305&lt;1),IF(AND(C1306=C1305,AA1306=AA1305+1),IF(AC1306=1,"",INDEX(DATAS,AA1305+1)),INDEX(DATAS,AA1305+1)),"")</f>
        <v/>
      </c>
    </row>
    <row r="1306" customFormat="false" ht="15" hidden="false" customHeight="false" outlineLevel="0" collapsed="false">
      <c r="A1306" s="51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46" t="s">
        <v>886</v>
      </c>
      <c r="G1306" s="0" t="n">
        <v>33.2</v>
      </c>
      <c r="H1306" s="0" t="n">
        <v>32</v>
      </c>
      <c r="I1306" s="46" t="s">
        <v>181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51" t="n">
        <v>46282</v>
      </c>
      <c r="X1306" s="46" t="n">
        <f aca="false">IF(I1306="Male",0,1)</f>
        <v>1</v>
      </c>
      <c r="Y1306" s="46" t="n">
        <f aca="false">IF(OR(I1306="DNB",I1306="Dry DNB"),1,0)</f>
        <v>0</v>
      </c>
      <c r="Z1306" s="46" t="n">
        <f aca="false">IF(ISNUMBER(W1306),A1306-W1306,"")</f>
        <v>27</v>
      </c>
      <c r="AA1306" s="46" t="n">
        <f aca="false">MATCH(A1306,DATAS,0)</f>
        <v>1</v>
      </c>
      <c r="AB1306" s="46" t="n">
        <f aca="false">IF(AND(E1306&gt;0,OR(AND(B1306&gt;=1,B1306&lt;=6),B1306=10)),1,0)</f>
        <v>1</v>
      </c>
      <c r="AC1306" s="46" t="n">
        <f aca="false">IF(AND(E1306&gt;0,B1306=10),1,0)</f>
        <v>0</v>
      </c>
      <c r="AD1306" s="0" t="str">
        <f aca="false">IF(AND(C1305=C1306,AA1305=AA1306-1),AB1305,"")</f>
        <v/>
      </c>
      <c r="AE1306" s="0" t="str">
        <f aca="false">IF(AND(C1305=C1306,AA1305=AA1306-1),AC1305,"")</f>
        <v/>
      </c>
      <c r="AF1306" s="0" t="str">
        <f aca="false">IF(AA1306=1,"",IF(AND(AB1306=1,AD1306&lt;&gt;1),1,0))</f>
        <v/>
      </c>
      <c r="AG1306" s="0" t="str">
        <f aca="false">IF(AA1306=1,"",IF(AND(AC1306=1,AE1306&lt;&gt;1),1,0))</f>
        <v/>
      </c>
      <c r="AH1306" s="51" t="str">
        <f aca="false">IF(AND(E1306&gt;0,AA1306&lt;1,NOT(AND(C1307=C1306,AA1307=AA1306+1))),INDEX(DATAS,AA1306+1),"")</f>
        <v/>
      </c>
      <c r="AI1306" s="51" t="str">
        <f aca="false">IF(AND(AC1306=1,AA1306&lt;1),IF(AND(C1307=C1306,AA1307=AA1306+1),IF(AC1307=1,"",INDEX(DATAS,AA1306+1)),INDEX(DATAS,AA1306+1)),"")</f>
        <v/>
      </c>
    </row>
    <row r="1307" customFormat="false" ht="15" hidden="false" customHeight="false" outlineLevel="0" collapsed="false">
      <c r="A1307" s="51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46" t="s">
        <v>887</v>
      </c>
      <c r="G1307" s="0" t="n">
        <v>54.7</v>
      </c>
      <c r="H1307" s="0" t="n">
        <v>53</v>
      </c>
      <c r="I1307" s="46" t="s">
        <v>152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51" t="n">
        <v>46240</v>
      </c>
      <c r="X1307" s="46" t="n">
        <f aca="false">IF(I1307="Male",0,1)</f>
        <v>1</v>
      </c>
      <c r="Y1307" s="46" t="n">
        <f aca="false">IF(OR(I1307="DNB",I1307="Dry DNB"),1,0)</f>
        <v>0</v>
      </c>
      <c r="Z1307" s="46" t="n">
        <f aca="false">IF(ISNUMBER(W1307),A1307-W1307,"")</f>
        <v>69</v>
      </c>
      <c r="AA1307" s="46" t="n">
        <f aca="false">MATCH(A1307,DATAS,0)</f>
        <v>1</v>
      </c>
      <c r="AB1307" s="46" t="n">
        <f aca="false">IF(AND(E1307&gt;0,OR(AND(B1307&gt;=1,B1307&lt;=6),B1307=10)),1,0)</f>
        <v>1</v>
      </c>
      <c r="AC1307" s="46" t="n">
        <f aca="false">IF(AND(E1307&gt;0,B1307=10),1,0)</f>
        <v>0</v>
      </c>
      <c r="AD1307" s="0" t="str">
        <f aca="false">IF(AND(C1306=C1307,AA1306=AA1307-1),AB1306,"")</f>
        <v/>
      </c>
      <c r="AE1307" s="0" t="str">
        <f aca="false">IF(AND(C1306=C1307,AA1306=AA1307-1),AC1306,"")</f>
        <v/>
      </c>
      <c r="AF1307" s="0" t="str">
        <f aca="false">IF(AA1307=1,"",IF(AND(AB1307=1,AD1307&lt;&gt;1),1,0))</f>
        <v/>
      </c>
      <c r="AG1307" s="0" t="str">
        <f aca="false">IF(AA1307=1,"",IF(AND(AC1307=1,AE1307&lt;&gt;1),1,0))</f>
        <v/>
      </c>
      <c r="AH1307" s="51" t="str">
        <f aca="false">IF(AND(E1307&gt;0,AA1307&lt;1,NOT(AND(C1308=C1307,AA1308=AA1307+1))),INDEX(DATAS,AA1307+1),"")</f>
        <v/>
      </c>
      <c r="AI1307" s="51" t="str">
        <f aca="false">IF(AND(AC1307=1,AA1307&lt;1),IF(AND(C1308=C1307,AA1308=AA1307+1),IF(AC1308=1,"",INDEX(DATAS,AA1307+1)),INDEX(DATAS,AA1307+1)),"")</f>
        <v/>
      </c>
    </row>
    <row r="1308" customFormat="false" ht="15" hidden="false" customHeight="false" outlineLevel="0" collapsed="false">
      <c r="A1308" s="51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46" t="s">
        <v>888</v>
      </c>
      <c r="G1308" s="0" t="n">
        <v>42</v>
      </c>
      <c r="H1308" s="0" t="n">
        <v>42</v>
      </c>
      <c r="I1308" s="46" t="s">
        <v>152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51" t="n">
        <v>46226</v>
      </c>
      <c r="X1308" s="46" t="n">
        <f aca="false">IF(I1308="Male",0,1)</f>
        <v>1</v>
      </c>
      <c r="Y1308" s="46" t="n">
        <f aca="false">IF(OR(I1308="DNB",I1308="Dry DNB"),1,0)</f>
        <v>0</v>
      </c>
      <c r="Z1308" s="46" t="n">
        <f aca="false">IF(ISNUMBER(W1308),A1308-W1308,"")</f>
        <v>83</v>
      </c>
      <c r="AA1308" s="46" t="n">
        <f aca="false">MATCH(A1308,DATAS,0)</f>
        <v>1</v>
      </c>
      <c r="AB1308" s="46" t="n">
        <f aca="false">IF(AND(E1308&gt;0,OR(AND(B1308&gt;=1,B1308&lt;=6),B1308=10)),1,0)</f>
        <v>1</v>
      </c>
      <c r="AC1308" s="46" t="n">
        <f aca="false">IF(AND(E1308&gt;0,B1308=10),1,0)</f>
        <v>0</v>
      </c>
      <c r="AD1308" s="0" t="str">
        <f aca="false">IF(AND(C1307=C1308,AA1307=AA1308-1),AB1307,"")</f>
        <v/>
      </c>
      <c r="AE1308" s="0" t="str">
        <f aca="false">IF(AND(C1307=C1308,AA1307=AA1308-1),AC1307,"")</f>
        <v/>
      </c>
      <c r="AF1308" s="0" t="str">
        <f aca="false">IF(AA1308=1,"",IF(AND(AB1308=1,AD1308&lt;&gt;1),1,0))</f>
        <v/>
      </c>
      <c r="AG1308" s="0" t="str">
        <f aca="false">IF(AA1308=1,"",IF(AND(AC1308=1,AE1308&lt;&gt;1),1,0))</f>
        <v/>
      </c>
      <c r="AH1308" s="51" t="str">
        <f aca="false">IF(AND(E1308&gt;0,AA1308&lt;1,NOT(AND(C1309=C1308,AA1309=AA1308+1))),INDEX(DATAS,AA1308+1),"")</f>
        <v/>
      </c>
      <c r="AI1308" s="51" t="str">
        <f aca="false">IF(AND(AC1308=1,AA1308&lt;1),IF(AND(C1309=C1308,AA1309=AA1308+1),IF(AC1309=1,"",INDEX(DATAS,AA1308+1)),INDEX(DATAS,AA1308+1)),"")</f>
        <v/>
      </c>
    </row>
    <row r="1309" customFormat="false" ht="15" hidden="false" customHeight="false" outlineLevel="0" collapsed="false">
      <c r="A1309" s="51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46" t="s">
        <v>887</v>
      </c>
      <c r="G1309" s="0" t="n">
        <v>41.6</v>
      </c>
      <c r="H1309" s="0" t="n">
        <v>44</v>
      </c>
      <c r="I1309" s="46" t="s">
        <v>152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51" t="n">
        <v>46177</v>
      </c>
      <c r="X1309" s="46" t="n">
        <f aca="false">IF(I1309="Male",0,1)</f>
        <v>1</v>
      </c>
      <c r="Y1309" s="46" t="n">
        <f aca="false">IF(OR(I1309="DNB",I1309="Dry DNB"),1,0)</f>
        <v>0</v>
      </c>
      <c r="Z1309" s="46" t="n">
        <f aca="false">IF(ISNUMBER(W1309),A1309-W1309,"")</f>
        <v>132</v>
      </c>
      <c r="AA1309" s="46" t="n">
        <f aca="false">MATCH(A1309,DATAS,0)</f>
        <v>1</v>
      </c>
      <c r="AB1309" s="46" t="n">
        <f aca="false">IF(AND(E1309&gt;0,OR(AND(B1309&gt;=1,B1309&lt;=6),B1309=10)),1,0)</f>
        <v>1</v>
      </c>
      <c r="AC1309" s="46" t="n">
        <f aca="false">IF(AND(E1309&gt;0,B1309=10),1,0)</f>
        <v>0</v>
      </c>
      <c r="AD1309" s="0" t="str">
        <f aca="false">IF(AND(C1308=C1309,AA1308=AA1309-1),AB1308,"")</f>
        <v/>
      </c>
      <c r="AE1309" s="0" t="str">
        <f aca="false">IF(AND(C1308=C1309,AA1308=AA1309-1),AC1308,"")</f>
        <v/>
      </c>
      <c r="AF1309" s="0" t="str">
        <f aca="false">IF(AA1309=1,"",IF(AND(AB1309=1,AD1309&lt;&gt;1),1,0))</f>
        <v/>
      </c>
      <c r="AG1309" s="0" t="str">
        <f aca="false">IF(AA1309=1,"",IF(AND(AC1309=1,AE1309&lt;&gt;1),1,0))</f>
        <v/>
      </c>
      <c r="AH1309" s="51" t="str">
        <f aca="false">IF(AND(E1309&gt;0,AA1309&lt;1,NOT(AND(C1310=C1309,AA1310=AA1309+1))),INDEX(DATAS,AA1309+1),"")</f>
        <v/>
      </c>
      <c r="AI1309" s="51" t="str">
        <f aca="false">IF(AND(AC1309=1,AA1309&lt;1),IF(AND(C1310=C1309,AA1310=AA1309+1),IF(AC1310=1,"",INDEX(DATAS,AA1309+1)),INDEX(DATAS,AA1309+1)),"")</f>
        <v/>
      </c>
    </row>
    <row r="1310" customFormat="false" ht="15" hidden="false" customHeight="false" outlineLevel="0" collapsed="false">
      <c r="A1310" s="51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46" t="s">
        <v>887</v>
      </c>
      <c r="I1310" s="46" t="s">
        <v>157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51" t="n">
        <v>46072</v>
      </c>
      <c r="X1310" s="46" t="n">
        <f aca="false">IF(I1310="Male",0,1)</f>
        <v>1</v>
      </c>
      <c r="Y1310" s="46" t="n">
        <f aca="false">IF(OR(I1310="DNB",I1310="Dry DNB"),1,0)</f>
        <v>0</v>
      </c>
      <c r="Z1310" s="46" t="n">
        <f aca="false">IF(ISNUMBER(W1310),A1310-W1310,"")</f>
        <v>237</v>
      </c>
      <c r="AA1310" s="46" t="n">
        <f aca="false">MATCH(A1310,DATAS,0)</f>
        <v>1</v>
      </c>
      <c r="AB1310" s="46" t="n">
        <f aca="false">IF(AND(E1310&gt;0,OR(AND(B1310&gt;=1,B1310&lt;=6),B1310=10)),1,0)</f>
        <v>0</v>
      </c>
      <c r="AC1310" s="46" t="n">
        <f aca="false">IF(AND(E1310&gt;0,B1310=10),1,0)</f>
        <v>0</v>
      </c>
      <c r="AD1310" s="0" t="str">
        <f aca="false">IF(AND(C1309=C1310,AA1309=AA1310-1),AB1309,"")</f>
        <v/>
      </c>
      <c r="AE1310" s="0" t="str">
        <f aca="false">IF(AND(C1309=C1310,AA1309=AA1310-1),AC1309,"")</f>
        <v/>
      </c>
      <c r="AF1310" s="0" t="str">
        <f aca="false">IF(AA1310=1,"",IF(AND(AB1310=1,AD1310&lt;&gt;1),1,0))</f>
        <v/>
      </c>
      <c r="AG1310" s="0" t="str">
        <f aca="false">IF(AA1310=1,"",IF(AND(AC1310=1,AE1310&lt;&gt;1),1,0))</f>
        <v/>
      </c>
      <c r="AH1310" s="51" t="str">
        <f aca="false">IF(AND(E1310&gt;0,AA1310&lt;1,NOT(AND(C1311=C1310,AA1311=AA1310+1))),INDEX(DATAS,AA1310+1),"")</f>
        <v/>
      </c>
      <c r="AI1310" s="51" t="str">
        <f aca="false">IF(AND(AC1310=1,AA1310&lt;1),IF(AND(C1311=C1310,AA1311=AA1310+1),IF(AC1311=1,"",INDEX(DATAS,AA1310+1)),INDEX(DATAS,AA1310+1)),"")</f>
        <v/>
      </c>
    </row>
    <row r="1311" customFormat="false" ht="15" hidden="false" customHeight="false" outlineLevel="0" collapsed="false">
      <c r="A1311" s="51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46" t="s">
        <v>887</v>
      </c>
      <c r="G1311" s="0" t="n">
        <v>48.3</v>
      </c>
      <c r="H1311" s="0" t="n">
        <v>48</v>
      </c>
      <c r="I1311" s="46" t="s">
        <v>152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51" t="n">
        <v>46212</v>
      </c>
      <c r="X1311" s="46" t="n">
        <f aca="false">IF(I1311="Male",0,1)</f>
        <v>1</v>
      </c>
      <c r="Y1311" s="46" t="n">
        <f aca="false">IF(OR(I1311="DNB",I1311="Dry DNB"),1,0)</f>
        <v>0</v>
      </c>
      <c r="Z1311" s="46" t="n">
        <f aca="false">IF(ISNUMBER(W1311),A1311-W1311,"")</f>
        <v>97</v>
      </c>
      <c r="AA1311" s="46" t="n">
        <f aca="false">MATCH(A1311,DATAS,0)</f>
        <v>1</v>
      </c>
      <c r="AB1311" s="46" t="n">
        <f aca="false">IF(AND(E1311&gt;0,OR(AND(B1311&gt;=1,B1311&lt;=6),B1311=10)),1,0)</f>
        <v>1</v>
      </c>
      <c r="AC1311" s="46" t="n">
        <f aca="false">IF(AND(E1311&gt;0,B1311=10),1,0)</f>
        <v>0</v>
      </c>
      <c r="AD1311" s="0" t="str">
        <f aca="false">IF(AND(C1310=C1311,AA1310=AA1311-1),AB1310,"")</f>
        <v/>
      </c>
      <c r="AE1311" s="0" t="str">
        <f aca="false">IF(AND(C1310=C1311,AA1310=AA1311-1),AC1310,"")</f>
        <v/>
      </c>
      <c r="AF1311" s="0" t="str">
        <f aca="false">IF(AA1311=1,"",IF(AND(AB1311=1,AD1311&lt;&gt;1),1,0))</f>
        <v/>
      </c>
      <c r="AG1311" s="0" t="str">
        <f aca="false">IF(AA1311=1,"",IF(AND(AC1311=1,AE1311&lt;&gt;1),1,0))</f>
        <v/>
      </c>
      <c r="AH1311" s="51" t="str">
        <f aca="false">IF(AND(E1311&gt;0,AA1311&lt;1,NOT(AND(C1312=C1311,AA1312=AA1311+1))),INDEX(DATAS,AA1311+1),"")</f>
        <v/>
      </c>
      <c r="AI1311" s="51" t="str">
        <f aca="false">IF(AND(AC1311=1,AA1311&lt;1),IF(AND(C1312=C1311,AA1312=AA1311+1),IF(AC1312=1,"",INDEX(DATAS,AA1311+1)),INDEX(DATAS,AA1311+1)),"")</f>
        <v/>
      </c>
    </row>
    <row r="1312" customFormat="false" ht="15" hidden="false" customHeight="false" outlineLevel="0" collapsed="false">
      <c r="A1312" s="51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46" t="s">
        <v>887</v>
      </c>
      <c r="G1312" s="0" t="n">
        <v>43.8</v>
      </c>
      <c r="H1312" s="0" t="n">
        <v>44</v>
      </c>
      <c r="I1312" s="46" t="s">
        <v>152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51" t="n">
        <v>46093</v>
      </c>
      <c r="X1312" s="46" t="n">
        <f aca="false">IF(I1312="Male",0,1)</f>
        <v>1</v>
      </c>
      <c r="Y1312" s="46" t="n">
        <f aca="false">IF(OR(I1312="DNB",I1312="Dry DNB"),1,0)</f>
        <v>0</v>
      </c>
      <c r="Z1312" s="46" t="n">
        <f aca="false">IF(ISNUMBER(W1312),A1312-W1312,"")</f>
        <v>216</v>
      </c>
      <c r="AA1312" s="46" t="n">
        <f aca="false">MATCH(A1312,DATAS,0)</f>
        <v>1</v>
      </c>
      <c r="AB1312" s="46" t="n">
        <f aca="false">IF(AND(E1312&gt;0,OR(AND(B1312&gt;=1,B1312&lt;=6),B1312=10)),1,0)</f>
        <v>1</v>
      </c>
      <c r="AC1312" s="46" t="n">
        <f aca="false">IF(AND(E1312&gt;0,B1312=10),1,0)</f>
        <v>0</v>
      </c>
      <c r="AD1312" s="0" t="str">
        <f aca="false">IF(AND(C1311=C1312,AA1311=AA1312-1),AB1311,"")</f>
        <v/>
      </c>
      <c r="AE1312" s="0" t="str">
        <f aca="false">IF(AND(C1311=C1312,AA1311=AA1312-1),AC1311,"")</f>
        <v/>
      </c>
      <c r="AF1312" s="0" t="str">
        <f aca="false">IF(AA1312=1,"",IF(AND(AB1312=1,AD1312&lt;&gt;1),1,0))</f>
        <v/>
      </c>
      <c r="AG1312" s="0" t="str">
        <f aca="false">IF(AA1312=1,"",IF(AND(AC1312=1,AE1312&lt;&gt;1),1,0))</f>
        <v/>
      </c>
      <c r="AH1312" s="51" t="str">
        <f aca="false">IF(AND(E1312&gt;0,AA1312&lt;1,NOT(AND(C1313=C1312,AA1313=AA1312+1))),INDEX(DATAS,AA1312+1),"")</f>
        <v/>
      </c>
      <c r="AI1312" s="51" t="str">
        <f aca="false">IF(AND(AC1312=1,AA1312&lt;1),IF(AND(C1313=C1312,AA1313=AA1312+1),IF(AC1313=1,"",INDEX(DATAS,AA1312+1)),INDEX(DATAS,AA1312+1)),"")</f>
        <v/>
      </c>
    </row>
    <row r="1313" customFormat="false" ht="15" hidden="false" customHeight="false" outlineLevel="0" collapsed="false">
      <c r="A1313" s="51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46" t="s">
        <v>888</v>
      </c>
      <c r="G1313" s="0" t="n">
        <v>44.7</v>
      </c>
      <c r="H1313" s="0" t="n">
        <v>42</v>
      </c>
      <c r="I1313" s="46" t="s">
        <v>152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51" t="n">
        <v>46072</v>
      </c>
      <c r="X1313" s="46" t="n">
        <f aca="false">IF(I1313="Male",0,1)</f>
        <v>1</v>
      </c>
      <c r="Y1313" s="46" t="n">
        <f aca="false">IF(OR(I1313="DNB",I1313="Dry DNB"),1,0)</f>
        <v>0</v>
      </c>
      <c r="Z1313" s="46" t="n">
        <f aca="false">IF(ISNUMBER(W1313),A1313-W1313,"")</f>
        <v>237</v>
      </c>
      <c r="AA1313" s="46" t="n">
        <f aca="false">MATCH(A1313,DATAS,0)</f>
        <v>1</v>
      </c>
      <c r="AB1313" s="46" t="n">
        <f aca="false">IF(AND(E1313&gt;0,OR(AND(B1313&gt;=1,B1313&lt;=6),B1313=10)),1,0)</f>
        <v>1</v>
      </c>
      <c r="AC1313" s="46" t="n">
        <f aca="false">IF(AND(E1313&gt;0,B1313=10),1,0)</f>
        <v>0</v>
      </c>
      <c r="AD1313" s="0" t="str">
        <f aca="false">IF(AND(C1312=C1313,AA1312=AA1313-1),AB1312,"")</f>
        <v/>
      </c>
      <c r="AE1313" s="0" t="str">
        <f aca="false">IF(AND(C1312=C1313,AA1312=AA1313-1),AC1312,"")</f>
        <v/>
      </c>
      <c r="AF1313" s="0" t="str">
        <f aca="false">IF(AA1313=1,"",IF(AND(AB1313=1,AD1313&lt;&gt;1),1,0))</f>
        <v/>
      </c>
      <c r="AG1313" s="0" t="str">
        <f aca="false">IF(AA1313=1,"",IF(AND(AC1313=1,AE1313&lt;&gt;1),1,0))</f>
        <v/>
      </c>
      <c r="AH1313" s="51" t="str">
        <f aca="false">IF(AND(E1313&gt;0,AA1313&lt;1,NOT(AND(C1314=C1313,AA1314=AA1313+1))),INDEX(DATAS,AA1313+1),"")</f>
        <v/>
      </c>
      <c r="AI1313" s="51" t="str">
        <f aca="false">IF(AND(AC1313=1,AA1313&lt;1),IF(AND(C1314=C1313,AA1314=AA1313+1),IF(AC1314=1,"",INDEX(DATAS,AA1313+1)),INDEX(DATAS,AA1313+1)),"")</f>
        <v/>
      </c>
    </row>
    <row r="1314" customFormat="false" ht="15" hidden="false" customHeight="false" outlineLevel="0" collapsed="false">
      <c r="A1314" s="51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46" t="s">
        <v>888</v>
      </c>
      <c r="G1314" s="0" t="n">
        <v>11.9</v>
      </c>
      <c r="H1314" s="0" t="n">
        <v>34</v>
      </c>
      <c r="I1314" s="46" t="s">
        <v>157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51" t="n">
        <v>46086</v>
      </c>
      <c r="X1314" s="46" t="n">
        <f aca="false">IF(I1314="Male",0,1)</f>
        <v>1</v>
      </c>
      <c r="Y1314" s="46" t="n">
        <f aca="false">IF(OR(I1314="DNB",I1314="Dry DNB"),1,0)</f>
        <v>0</v>
      </c>
      <c r="Z1314" s="46" t="n">
        <f aca="false">IF(ISNUMBER(W1314),A1314-W1314,"")</f>
        <v>223</v>
      </c>
      <c r="AA1314" s="46" t="n">
        <f aca="false">MATCH(A1314,DATAS,0)</f>
        <v>1</v>
      </c>
      <c r="AB1314" s="46" t="n">
        <f aca="false">IF(AND(E1314&gt;0,OR(AND(B1314&gt;=1,B1314&lt;=6),B1314=10)),1,0)</f>
        <v>0</v>
      </c>
      <c r="AC1314" s="46" t="n">
        <f aca="false">IF(AND(E1314&gt;0,B1314=10),1,0)</f>
        <v>0</v>
      </c>
      <c r="AD1314" s="0" t="str">
        <f aca="false">IF(AND(C1313=C1314,AA1313=AA1314-1),AB1313,"")</f>
        <v/>
      </c>
      <c r="AE1314" s="0" t="str">
        <f aca="false">IF(AND(C1313=C1314,AA1313=AA1314-1),AC1313,"")</f>
        <v/>
      </c>
      <c r="AF1314" s="0" t="str">
        <f aca="false">IF(AA1314=1,"",IF(AND(AB1314=1,AD1314&lt;&gt;1),1,0))</f>
        <v/>
      </c>
      <c r="AG1314" s="0" t="str">
        <f aca="false">IF(AA1314=1,"",IF(AND(AC1314=1,AE1314&lt;&gt;1),1,0))</f>
        <v/>
      </c>
      <c r="AH1314" s="51" t="str">
        <f aca="false">IF(AND(E1314&gt;0,AA1314&lt;1,NOT(AND(C1315=C1314,AA1315=AA1314+1))),INDEX(DATAS,AA1314+1),"")</f>
        <v/>
      </c>
      <c r="AI1314" s="51" t="str">
        <f aca="false">IF(AND(AC1314=1,AA1314&lt;1),IF(AND(C1315=C1314,AA1315=AA1314+1),IF(AC1315=1,"",INDEX(DATAS,AA1314+1)),INDEX(DATAS,AA1314+1)),"")</f>
        <v/>
      </c>
    </row>
    <row r="1315" customFormat="false" ht="15" hidden="false" customHeight="false" outlineLevel="0" collapsed="false">
      <c r="A1315" s="51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46" t="s">
        <v>888</v>
      </c>
      <c r="G1315" s="0" t="n">
        <v>50.1</v>
      </c>
      <c r="H1315" s="0" t="n">
        <v>49</v>
      </c>
      <c r="I1315" s="46" t="s">
        <v>189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51" t="n">
        <v>46275</v>
      </c>
      <c r="X1315" s="46" t="n">
        <f aca="false">IF(I1315="Male",0,1)</f>
        <v>1</v>
      </c>
      <c r="Y1315" s="46" t="n">
        <f aca="false">IF(OR(I1315="DNB",I1315="Dry DNB"),1,0)</f>
        <v>0</v>
      </c>
      <c r="Z1315" s="46" t="n">
        <f aca="false">IF(ISNUMBER(W1315),A1315-W1315,"")</f>
        <v>34</v>
      </c>
      <c r="AA1315" s="46" t="n">
        <f aca="false">MATCH(A1315,DATAS,0)</f>
        <v>1</v>
      </c>
      <c r="AB1315" s="46" t="n">
        <f aca="false">IF(AND(E1315&gt;0,OR(AND(B1315&gt;=1,B1315&lt;=6),B1315=10)),1,0)</f>
        <v>1</v>
      </c>
      <c r="AC1315" s="46" t="n">
        <f aca="false">IF(AND(E1315&gt;0,B1315=10),1,0)</f>
        <v>0</v>
      </c>
      <c r="AD1315" s="0" t="str">
        <f aca="false">IF(AND(C1314=C1315,AA1314=AA1315-1),AB1314,"")</f>
        <v/>
      </c>
      <c r="AE1315" s="0" t="str">
        <f aca="false">IF(AND(C1314=C1315,AA1314=AA1315-1),AC1314,"")</f>
        <v/>
      </c>
      <c r="AF1315" s="0" t="str">
        <f aca="false">IF(AA1315=1,"",IF(AND(AB1315=1,AD1315&lt;&gt;1),1,0))</f>
        <v/>
      </c>
      <c r="AG1315" s="0" t="str">
        <f aca="false">IF(AA1315=1,"",IF(AND(AC1315=1,AE1315&lt;&gt;1),1,0))</f>
        <v/>
      </c>
      <c r="AH1315" s="51" t="str">
        <f aca="false">IF(AND(E1315&gt;0,AA1315&lt;1,NOT(AND(C1316=C1315,AA1316=AA1315+1))),INDEX(DATAS,AA1315+1),"")</f>
        <v/>
      </c>
      <c r="AI1315" s="51" t="str">
        <f aca="false">IF(AND(AC1315=1,AA1315&lt;1),IF(AND(C1316=C1315,AA1316=AA1315+1),IF(AC1316=1,"",INDEX(DATAS,AA1315+1)),INDEX(DATAS,AA1315+1)),"")</f>
        <v/>
      </c>
    </row>
    <row r="1316" customFormat="false" ht="15" hidden="false" customHeight="false" outlineLevel="0" collapsed="false">
      <c r="A1316" s="51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46" t="s">
        <v>889</v>
      </c>
      <c r="G1316" s="0" t="n">
        <v>53.3</v>
      </c>
      <c r="H1316" s="0" t="n">
        <v>49</v>
      </c>
      <c r="I1316" s="46" t="s">
        <v>152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51" t="n">
        <v>46135</v>
      </c>
      <c r="X1316" s="46" t="n">
        <f aca="false">IF(I1316="Male",0,1)</f>
        <v>1</v>
      </c>
      <c r="Y1316" s="46" t="n">
        <f aca="false">IF(OR(I1316="DNB",I1316="Dry DNB"),1,0)</f>
        <v>0</v>
      </c>
      <c r="Z1316" s="46" t="n">
        <f aca="false">IF(ISNUMBER(W1316),A1316-W1316,"")</f>
        <v>174</v>
      </c>
      <c r="AA1316" s="46" t="n">
        <f aca="false">MATCH(A1316,DATAS,0)</f>
        <v>1</v>
      </c>
      <c r="AB1316" s="46" t="n">
        <f aca="false">IF(AND(E1316&gt;0,OR(AND(B1316&gt;=1,B1316&lt;=6),B1316=10)),1,0)</f>
        <v>1</v>
      </c>
      <c r="AC1316" s="46" t="n">
        <f aca="false">IF(AND(E1316&gt;0,B1316=10),1,0)</f>
        <v>0</v>
      </c>
      <c r="AD1316" s="0" t="str">
        <f aca="false">IF(AND(C1315=C1316,AA1315=AA1316-1),AB1315,"")</f>
        <v/>
      </c>
      <c r="AE1316" s="0" t="str">
        <f aca="false">IF(AND(C1315=C1316,AA1315=AA1316-1),AC1315,"")</f>
        <v/>
      </c>
      <c r="AF1316" s="0" t="str">
        <f aca="false">IF(AA1316=1,"",IF(AND(AB1316=1,AD1316&lt;&gt;1),1,0))</f>
        <v/>
      </c>
      <c r="AG1316" s="0" t="str">
        <f aca="false">IF(AA1316=1,"",IF(AND(AC1316=1,AE1316&lt;&gt;1),1,0))</f>
        <v/>
      </c>
      <c r="AH1316" s="51" t="str">
        <f aca="false">IF(AND(E1316&gt;0,AA1316&lt;1,NOT(AND(C1317=C1316,AA1317=AA1316+1))),INDEX(DATAS,AA1316+1),"")</f>
        <v/>
      </c>
      <c r="AI1316" s="51" t="str">
        <f aca="false">IF(AND(AC1316=1,AA1316&lt;1),IF(AND(C1317=C1316,AA1317=AA1316+1),IF(AC1317=1,"",INDEX(DATAS,AA1316+1)),INDEX(DATAS,AA1316+1)),"")</f>
        <v/>
      </c>
    </row>
    <row r="1317" customFormat="false" ht="15" hidden="false" customHeight="false" outlineLevel="0" collapsed="false">
      <c r="A1317" s="51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46" t="s">
        <v>889</v>
      </c>
      <c r="G1317" s="0" t="n">
        <v>36.1</v>
      </c>
      <c r="H1317" s="0" t="n">
        <v>36</v>
      </c>
      <c r="I1317" s="46" t="s">
        <v>152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51" t="n">
        <v>46177</v>
      </c>
      <c r="X1317" s="46" t="n">
        <f aca="false">IF(I1317="Male",0,1)</f>
        <v>1</v>
      </c>
      <c r="Y1317" s="46" t="n">
        <f aca="false">IF(OR(I1317="DNB",I1317="Dry DNB"),1,0)</f>
        <v>0</v>
      </c>
      <c r="Z1317" s="46" t="n">
        <f aca="false">IF(ISNUMBER(W1317),A1317-W1317,"")</f>
        <v>132</v>
      </c>
      <c r="AA1317" s="46" t="n">
        <f aca="false">MATCH(A1317,DATAS,0)</f>
        <v>1</v>
      </c>
      <c r="AB1317" s="46" t="n">
        <f aca="false">IF(AND(E1317&gt;0,OR(AND(B1317&gt;=1,B1317&lt;=6),B1317=10)),1,0)</f>
        <v>1</v>
      </c>
      <c r="AC1317" s="46" t="n">
        <f aca="false">IF(AND(E1317&gt;0,B1317=10),1,0)</f>
        <v>0</v>
      </c>
      <c r="AD1317" s="0" t="str">
        <f aca="false">IF(AND(C1316=C1317,AA1316=AA1317-1),AB1316,"")</f>
        <v/>
      </c>
      <c r="AE1317" s="0" t="str">
        <f aca="false">IF(AND(C1316=C1317,AA1316=AA1317-1),AC1316,"")</f>
        <v/>
      </c>
      <c r="AF1317" s="0" t="str">
        <f aca="false">IF(AA1317=1,"",IF(AND(AB1317=1,AD1317&lt;&gt;1),1,0))</f>
        <v/>
      </c>
      <c r="AG1317" s="0" t="str">
        <f aca="false">IF(AA1317=1,"",IF(AND(AC1317=1,AE1317&lt;&gt;1),1,0))</f>
        <v/>
      </c>
      <c r="AH1317" s="51" t="str">
        <f aca="false">IF(AND(E1317&gt;0,AA1317&lt;1,NOT(AND(C1318=C1317,AA1318=AA1317+1))),INDEX(DATAS,AA1317+1),"")</f>
        <v/>
      </c>
      <c r="AI1317" s="51" t="str">
        <f aca="false">IF(AND(AC1317=1,AA1317&lt;1),IF(AND(C1318=C1317,AA1318=AA1317+1),IF(AC1318=1,"",INDEX(DATAS,AA1317+1)),INDEX(DATAS,AA1317+1)),"")</f>
        <v/>
      </c>
    </row>
    <row r="1318" customFormat="false" ht="15" hidden="false" customHeight="false" outlineLevel="0" collapsed="false">
      <c r="A1318" s="51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46" t="s">
        <v>890</v>
      </c>
      <c r="G1318" s="0" t="n">
        <v>50.6</v>
      </c>
      <c r="H1318" s="0" t="n">
        <v>50</v>
      </c>
      <c r="I1318" s="46" t="s">
        <v>161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X1318" s="46" t="n">
        <f aca="false">IF(I1318="Male",0,1)</f>
        <v>1</v>
      </c>
      <c r="Y1318" s="46" t="n">
        <f aca="false">IF(OR(I1318="DNB",I1318="Dry DNB"),1,0)</f>
        <v>0</v>
      </c>
      <c r="Z1318" s="0" t="str">
        <f aca="false">IF(ISNUMBER(W1318),A1318-W1318,"")</f>
        <v/>
      </c>
      <c r="AA1318" s="46" t="n">
        <f aca="false">MATCH(A1318,DATAS,0)</f>
        <v>1</v>
      </c>
      <c r="AB1318" s="46" t="n">
        <f aca="false">IF(AND(E1318&gt;0,OR(AND(B1318&gt;=1,B1318&lt;=6),B1318=10)),1,0)</f>
        <v>1</v>
      </c>
      <c r="AC1318" s="46" t="n">
        <f aca="false">IF(AND(E1318&gt;0,B1318=10),1,0)</f>
        <v>0</v>
      </c>
      <c r="AD1318" s="0" t="str">
        <f aca="false">IF(AND(C1317=C1318,AA1317=AA1318-1),AB1317,"")</f>
        <v/>
      </c>
      <c r="AE1318" s="0" t="str">
        <f aca="false">IF(AND(C1317=C1318,AA1317=AA1318-1),AC1317,"")</f>
        <v/>
      </c>
      <c r="AF1318" s="0" t="str">
        <f aca="false">IF(AA1318=1,"",IF(AND(AB1318=1,AD1318&lt;&gt;1),1,0))</f>
        <v/>
      </c>
      <c r="AG1318" s="0" t="str">
        <f aca="false">IF(AA1318=1,"",IF(AND(AC1318=1,AE1318&lt;&gt;1),1,0))</f>
        <v/>
      </c>
      <c r="AH1318" s="51" t="str">
        <f aca="false">IF(AND(E1318&gt;0,AA1318&lt;1,NOT(AND(C1319=C1318,AA1319=AA1318+1))),INDEX(DATAS,AA1318+1),"")</f>
        <v/>
      </c>
      <c r="AI1318" s="51" t="str">
        <f aca="false">IF(AND(AC1318=1,AA1318&lt;1),IF(AND(C1319=C1318,AA1319=AA1318+1),IF(AC1319=1,"",INDEX(DATAS,AA1318+1)),INDEX(DATAS,AA1318+1)),"")</f>
        <v/>
      </c>
    </row>
    <row r="1319" customFormat="false" ht="15" hidden="false" customHeight="false" outlineLevel="0" collapsed="false">
      <c r="A1319" s="51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46" t="s">
        <v>891</v>
      </c>
      <c r="G1319" s="0" t="n">
        <v>40.5</v>
      </c>
      <c r="H1319" s="0" t="n">
        <v>42</v>
      </c>
      <c r="I1319" s="46" t="s">
        <v>152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51" t="n">
        <v>46184</v>
      </c>
      <c r="X1319" s="46" t="n">
        <f aca="false">IF(I1319="Male",0,1)</f>
        <v>1</v>
      </c>
      <c r="Y1319" s="46" t="n">
        <f aca="false">IF(OR(I1319="DNB",I1319="Dry DNB"),1,0)</f>
        <v>0</v>
      </c>
      <c r="Z1319" s="46" t="n">
        <f aca="false">IF(ISNUMBER(W1319),A1319-W1319,"")</f>
        <v>125</v>
      </c>
      <c r="AA1319" s="46" t="n">
        <f aca="false">MATCH(A1319,DATAS,0)</f>
        <v>1</v>
      </c>
      <c r="AB1319" s="46" t="n">
        <f aca="false">IF(AND(E1319&gt;0,OR(AND(B1319&gt;=1,B1319&lt;=6),B1319=10)),1,0)</f>
        <v>1</v>
      </c>
      <c r="AC1319" s="46" t="n">
        <f aca="false">IF(AND(E1319&gt;0,B1319=10),1,0)</f>
        <v>0</v>
      </c>
      <c r="AD1319" s="0" t="str">
        <f aca="false">IF(AND(C1318=C1319,AA1318=AA1319-1),AB1318,"")</f>
        <v/>
      </c>
      <c r="AE1319" s="0" t="str">
        <f aca="false">IF(AND(C1318=C1319,AA1318=AA1319-1),AC1318,"")</f>
        <v/>
      </c>
      <c r="AF1319" s="0" t="str">
        <f aca="false">IF(AA1319=1,"",IF(AND(AB1319=1,AD1319&lt;&gt;1),1,0))</f>
        <v/>
      </c>
      <c r="AG1319" s="0" t="str">
        <f aca="false">IF(AA1319=1,"",IF(AND(AC1319=1,AE1319&lt;&gt;1),1,0))</f>
        <v/>
      </c>
      <c r="AH1319" s="51" t="str">
        <f aca="false">IF(AND(E1319&gt;0,AA1319&lt;1,NOT(AND(C1320=C1319,AA1320=AA1319+1))),INDEX(DATAS,AA1319+1),"")</f>
        <v/>
      </c>
      <c r="AI1319" s="51" t="str">
        <f aca="false">IF(AND(AC1319=1,AA1319&lt;1),IF(AND(C1320=C1319,AA1320=AA1319+1),IF(AC1320=1,"",INDEX(DATAS,AA1319+1)),INDEX(DATAS,AA1319+1)),"")</f>
        <v/>
      </c>
    </row>
    <row r="1320" customFormat="false" ht="15" hidden="false" customHeight="false" outlineLevel="0" collapsed="false">
      <c r="A1320" s="51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46" t="s">
        <v>891</v>
      </c>
      <c r="G1320" s="0" t="n">
        <v>40.5</v>
      </c>
      <c r="H1320" s="0" t="n">
        <v>41</v>
      </c>
      <c r="I1320" s="46" t="s">
        <v>152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51" t="n">
        <v>46100</v>
      </c>
      <c r="X1320" s="46" t="n">
        <f aca="false">IF(I1320="Male",0,1)</f>
        <v>1</v>
      </c>
      <c r="Y1320" s="46" t="n">
        <f aca="false">IF(OR(I1320="DNB",I1320="Dry DNB"),1,0)</f>
        <v>0</v>
      </c>
      <c r="Z1320" s="46" t="n">
        <f aca="false">IF(ISNUMBER(W1320),A1320-W1320,"")</f>
        <v>209</v>
      </c>
      <c r="AA1320" s="46" t="n">
        <f aca="false">MATCH(A1320,DATAS,0)</f>
        <v>1</v>
      </c>
      <c r="AB1320" s="46" t="n">
        <f aca="false">IF(AND(E1320&gt;0,OR(AND(B1320&gt;=1,B1320&lt;=6),B1320=10)),1,0)</f>
        <v>1</v>
      </c>
      <c r="AC1320" s="46" t="n">
        <f aca="false">IF(AND(E1320&gt;0,B1320=10),1,0)</f>
        <v>0</v>
      </c>
      <c r="AD1320" s="0" t="str">
        <f aca="false">IF(AND(C1319=C1320,AA1319=AA1320-1),AB1319,"")</f>
        <v/>
      </c>
      <c r="AE1320" s="0" t="str">
        <f aca="false">IF(AND(C1319=C1320,AA1319=AA1320-1),AC1319,"")</f>
        <v/>
      </c>
      <c r="AF1320" s="0" t="str">
        <f aca="false">IF(AA1320=1,"",IF(AND(AB1320=1,AD1320&lt;&gt;1),1,0))</f>
        <v/>
      </c>
      <c r="AG1320" s="0" t="str">
        <f aca="false">IF(AA1320=1,"",IF(AND(AC1320=1,AE1320&lt;&gt;1),1,0))</f>
        <v/>
      </c>
      <c r="AH1320" s="51" t="str">
        <f aca="false">IF(AND(E1320&gt;0,AA1320&lt;1,NOT(AND(C1321=C1320,AA1321=AA1320+1))),INDEX(DATAS,AA1320+1),"")</f>
        <v/>
      </c>
      <c r="AI1320" s="51" t="str">
        <f aca="false">IF(AND(AC1320=1,AA1320&lt;1),IF(AND(C1321=C1320,AA1321=AA1320+1),IF(AC1321=1,"",INDEX(DATAS,AA1320+1)),INDEX(DATAS,AA1320+1)),"")</f>
        <v/>
      </c>
    </row>
    <row r="1321" customFormat="false" ht="15" hidden="false" customHeight="false" outlineLevel="0" collapsed="false">
      <c r="A1321" s="51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46" t="s">
        <v>892</v>
      </c>
      <c r="G1321" s="0" t="n">
        <v>53.5</v>
      </c>
      <c r="H1321" s="0" t="n">
        <v>53</v>
      </c>
      <c r="I1321" s="46" t="s">
        <v>152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51" t="n">
        <v>46142</v>
      </c>
      <c r="X1321" s="46" t="n">
        <f aca="false">IF(I1321="Male",0,1)</f>
        <v>1</v>
      </c>
      <c r="Y1321" s="46" t="n">
        <f aca="false">IF(OR(I1321="DNB",I1321="Dry DNB"),1,0)</f>
        <v>0</v>
      </c>
      <c r="Z1321" s="46" t="n">
        <f aca="false">IF(ISNUMBER(W1321),A1321-W1321,"")</f>
        <v>167</v>
      </c>
      <c r="AA1321" s="46" t="n">
        <f aca="false">MATCH(A1321,DATAS,0)</f>
        <v>1</v>
      </c>
      <c r="AB1321" s="46" t="n">
        <f aca="false">IF(AND(E1321&gt;0,OR(AND(B1321&gt;=1,B1321&lt;=6),B1321=10)),1,0)</f>
        <v>1</v>
      </c>
      <c r="AC1321" s="46" t="n">
        <f aca="false">IF(AND(E1321&gt;0,B1321=10),1,0)</f>
        <v>0</v>
      </c>
      <c r="AD1321" s="0" t="str">
        <f aca="false">IF(AND(C1320=C1321,AA1320=AA1321-1),AB1320,"")</f>
        <v/>
      </c>
      <c r="AE1321" s="0" t="str">
        <f aca="false">IF(AND(C1320=C1321,AA1320=AA1321-1),AC1320,"")</f>
        <v/>
      </c>
      <c r="AF1321" s="0" t="str">
        <f aca="false">IF(AA1321=1,"",IF(AND(AB1321=1,AD1321&lt;&gt;1),1,0))</f>
        <v/>
      </c>
      <c r="AG1321" s="0" t="str">
        <f aca="false">IF(AA1321=1,"",IF(AND(AC1321=1,AE1321&lt;&gt;1),1,0))</f>
        <v/>
      </c>
      <c r="AH1321" s="51" t="str">
        <f aca="false">IF(AND(E1321&gt;0,AA1321&lt;1,NOT(AND(C1322=C1321,AA1322=AA1321+1))),INDEX(DATAS,AA1321+1),"")</f>
        <v/>
      </c>
      <c r="AI1321" s="51" t="str">
        <f aca="false">IF(AND(AC1321=1,AA1321&lt;1),IF(AND(C1322=C1321,AA1322=AA1321+1),IF(AC1322=1,"",INDEX(DATAS,AA1321+1)),INDEX(DATAS,AA1321+1)),"")</f>
        <v/>
      </c>
    </row>
    <row r="1322" customFormat="false" ht="15" hidden="false" customHeight="false" outlineLevel="0" collapsed="false">
      <c r="A1322" s="51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46" t="s">
        <v>892</v>
      </c>
      <c r="I1322" s="46" t="s">
        <v>157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51" t="n">
        <v>46058</v>
      </c>
      <c r="X1322" s="46" t="n">
        <f aca="false">IF(I1322="Male",0,1)</f>
        <v>1</v>
      </c>
      <c r="Y1322" s="46" t="n">
        <f aca="false">IF(OR(I1322="DNB",I1322="Dry DNB"),1,0)</f>
        <v>0</v>
      </c>
      <c r="Z1322" s="46" t="n">
        <f aca="false">IF(ISNUMBER(W1322),A1322-W1322,"")</f>
        <v>251</v>
      </c>
      <c r="AA1322" s="46" t="n">
        <f aca="false">MATCH(A1322,DATAS,0)</f>
        <v>1</v>
      </c>
      <c r="AB1322" s="46" t="n">
        <f aca="false">IF(AND(E1322&gt;0,OR(AND(B1322&gt;=1,B1322&lt;=6),B1322=10)),1,0)</f>
        <v>0</v>
      </c>
      <c r="AC1322" s="46" t="n">
        <f aca="false">IF(AND(E1322&gt;0,B1322=10),1,0)</f>
        <v>0</v>
      </c>
      <c r="AD1322" s="0" t="str">
        <f aca="false">IF(AND(C1321=C1322,AA1321=AA1322-1),AB1321,"")</f>
        <v/>
      </c>
      <c r="AE1322" s="0" t="str">
        <f aca="false">IF(AND(C1321=C1322,AA1321=AA1322-1),AC1321,"")</f>
        <v/>
      </c>
      <c r="AF1322" s="0" t="str">
        <f aca="false">IF(AA1322=1,"",IF(AND(AB1322=1,AD1322&lt;&gt;1),1,0))</f>
        <v/>
      </c>
      <c r="AG1322" s="0" t="str">
        <f aca="false">IF(AA1322=1,"",IF(AND(AC1322=1,AE1322&lt;&gt;1),1,0))</f>
        <v/>
      </c>
      <c r="AH1322" s="51" t="str">
        <f aca="false">IF(AND(E1322&gt;0,AA1322&lt;1,NOT(AND(C1323=C1322,AA1323=AA1322+1))),INDEX(DATAS,AA1322+1),"")</f>
        <v/>
      </c>
      <c r="AI1322" s="51" t="str">
        <f aca="false">IF(AND(AC1322=1,AA1322&lt;1),IF(AND(C1323=C1322,AA1323=AA1322+1),IF(AC1323=1,"",INDEX(DATAS,AA1322+1)),INDEX(DATAS,AA1322+1)),"")</f>
        <v/>
      </c>
    </row>
    <row r="1323" customFormat="false" ht="15" hidden="false" customHeight="false" outlineLevel="0" collapsed="false">
      <c r="A1323" s="51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46" t="s">
        <v>893</v>
      </c>
      <c r="G1323" s="0" t="n">
        <v>44.7</v>
      </c>
      <c r="H1323" s="0" t="n">
        <v>42</v>
      </c>
      <c r="I1323" s="46" t="s">
        <v>189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51" t="n">
        <v>46247</v>
      </c>
      <c r="X1323" s="46" t="n">
        <f aca="false">IF(I1323="Male",0,1)</f>
        <v>1</v>
      </c>
      <c r="Y1323" s="46" t="n">
        <f aca="false">IF(OR(I1323="DNB",I1323="Dry DNB"),1,0)</f>
        <v>0</v>
      </c>
      <c r="Z1323" s="46" t="n">
        <f aca="false">IF(ISNUMBER(W1323),A1323-W1323,"")</f>
        <v>62</v>
      </c>
      <c r="AA1323" s="46" t="n">
        <f aca="false">MATCH(A1323,DATAS,0)</f>
        <v>1</v>
      </c>
      <c r="AB1323" s="46" t="n">
        <f aca="false">IF(AND(E1323&gt;0,OR(AND(B1323&gt;=1,B1323&lt;=6),B1323=10)),1,0)</f>
        <v>1</v>
      </c>
      <c r="AC1323" s="46" t="n">
        <f aca="false">IF(AND(E1323&gt;0,B1323=10),1,0)</f>
        <v>0</v>
      </c>
      <c r="AD1323" s="0" t="str">
        <f aca="false">IF(AND(C1322=C1323,AA1322=AA1323-1),AB1322,"")</f>
        <v/>
      </c>
      <c r="AE1323" s="0" t="str">
        <f aca="false">IF(AND(C1322=C1323,AA1322=AA1323-1),AC1322,"")</f>
        <v/>
      </c>
      <c r="AF1323" s="0" t="str">
        <f aca="false">IF(AA1323=1,"",IF(AND(AB1323=1,AD1323&lt;&gt;1),1,0))</f>
        <v/>
      </c>
      <c r="AG1323" s="0" t="str">
        <f aca="false">IF(AA1323=1,"",IF(AND(AC1323=1,AE1323&lt;&gt;1),1,0))</f>
        <v/>
      </c>
      <c r="AH1323" s="51" t="str">
        <f aca="false">IF(AND(E1323&gt;0,AA1323&lt;1,NOT(AND(C1324=C1323,AA1324=AA1323+1))),INDEX(DATAS,AA1323+1),"")</f>
        <v/>
      </c>
      <c r="AI1323" s="51" t="str">
        <f aca="false">IF(AND(AC1323=1,AA1323&lt;1),IF(AND(C1324=C1323,AA1324=AA1323+1),IF(AC1324=1,"",INDEX(DATAS,AA1323+1)),INDEX(DATAS,AA1323+1)),"")</f>
        <v/>
      </c>
    </row>
    <row r="1324" customFormat="false" ht="15" hidden="false" customHeight="false" outlineLevel="0" collapsed="false">
      <c r="A1324" s="51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46" t="s">
        <v>894</v>
      </c>
      <c r="G1324" s="0" t="n">
        <v>34.4</v>
      </c>
      <c r="H1324" s="0" t="n">
        <v>36</v>
      </c>
      <c r="I1324" s="46" t="s">
        <v>152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51" t="n">
        <v>46191</v>
      </c>
      <c r="X1324" s="46" t="n">
        <f aca="false">IF(I1324="Male",0,1)</f>
        <v>1</v>
      </c>
      <c r="Y1324" s="46" t="n">
        <f aca="false">IF(OR(I1324="DNB",I1324="Dry DNB"),1,0)</f>
        <v>0</v>
      </c>
      <c r="Z1324" s="46" t="n">
        <f aca="false">IF(ISNUMBER(W1324),A1324-W1324,"")</f>
        <v>118</v>
      </c>
      <c r="AA1324" s="46" t="n">
        <f aca="false">MATCH(A1324,DATAS,0)</f>
        <v>1</v>
      </c>
      <c r="AB1324" s="46" t="n">
        <f aca="false">IF(AND(E1324&gt;0,OR(AND(B1324&gt;=1,B1324&lt;=6),B1324=10)),1,0)</f>
        <v>1</v>
      </c>
      <c r="AC1324" s="46" t="n">
        <f aca="false">IF(AND(E1324&gt;0,B1324=10),1,0)</f>
        <v>0</v>
      </c>
      <c r="AD1324" s="0" t="str">
        <f aca="false">IF(AND(C1323=C1324,AA1323=AA1324-1),AB1323,"")</f>
        <v/>
      </c>
      <c r="AE1324" s="0" t="str">
        <f aca="false">IF(AND(C1323=C1324,AA1323=AA1324-1),AC1323,"")</f>
        <v/>
      </c>
      <c r="AF1324" s="0" t="str">
        <f aca="false">IF(AA1324=1,"",IF(AND(AB1324=1,AD1324&lt;&gt;1),1,0))</f>
        <v/>
      </c>
      <c r="AG1324" s="0" t="str">
        <f aca="false">IF(AA1324=1,"",IF(AND(AC1324=1,AE1324&lt;&gt;1),1,0))</f>
        <v/>
      </c>
      <c r="AH1324" s="51" t="str">
        <f aca="false">IF(AND(E1324&gt;0,AA1324&lt;1,NOT(AND(C1325=C1324,AA1325=AA1324+1))),INDEX(DATAS,AA1324+1),"")</f>
        <v/>
      </c>
      <c r="AI1324" s="51" t="str">
        <f aca="false">IF(AND(AC1324=1,AA1324&lt;1),IF(AND(C1325=C1324,AA1325=AA1324+1),IF(AC1325=1,"",INDEX(DATAS,AA1324+1)),INDEX(DATAS,AA1324+1)),"")</f>
        <v/>
      </c>
    </row>
    <row r="1325" customFormat="false" ht="15" hidden="false" customHeight="false" outlineLevel="0" collapsed="false">
      <c r="A1325" s="51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46" t="s">
        <v>894</v>
      </c>
      <c r="G1325" s="0" t="n">
        <v>51.4</v>
      </c>
      <c r="H1325" s="0" t="n">
        <v>51</v>
      </c>
      <c r="I1325" s="46" t="s">
        <v>152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51" t="n">
        <v>46247</v>
      </c>
      <c r="X1325" s="46" t="n">
        <f aca="false">IF(I1325="Male",0,1)</f>
        <v>1</v>
      </c>
      <c r="Y1325" s="46" t="n">
        <f aca="false">IF(OR(I1325="DNB",I1325="Dry DNB"),1,0)</f>
        <v>0</v>
      </c>
      <c r="Z1325" s="46" t="n">
        <f aca="false">IF(ISNUMBER(W1325),A1325-W1325,"")</f>
        <v>62</v>
      </c>
      <c r="AA1325" s="46" t="n">
        <f aca="false">MATCH(A1325,DATAS,0)</f>
        <v>1</v>
      </c>
      <c r="AB1325" s="46" t="n">
        <f aca="false">IF(AND(E1325&gt;0,OR(AND(B1325&gt;=1,B1325&lt;=6),B1325=10)),1,0)</f>
        <v>1</v>
      </c>
      <c r="AC1325" s="46" t="n">
        <f aca="false">IF(AND(E1325&gt;0,B1325=10),1,0)</f>
        <v>0</v>
      </c>
      <c r="AD1325" s="0" t="str">
        <f aca="false">IF(AND(C1324=C1325,AA1324=AA1325-1),AB1324,"")</f>
        <v/>
      </c>
      <c r="AE1325" s="0" t="str">
        <f aca="false">IF(AND(C1324=C1325,AA1324=AA1325-1),AC1324,"")</f>
        <v/>
      </c>
      <c r="AF1325" s="0" t="str">
        <f aca="false">IF(AA1325=1,"",IF(AND(AB1325=1,AD1325&lt;&gt;1),1,0))</f>
        <v/>
      </c>
      <c r="AG1325" s="0" t="str">
        <f aca="false">IF(AA1325=1,"",IF(AND(AC1325=1,AE1325&lt;&gt;1),1,0))</f>
        <v/>
      </c>
      <c r="AH1325" s="51" t="str">
        <f aca="false">IF(AND(E1325&gt;0,AA1325&lt;1,NOT(AND(C1326=C1325,AA1326=AA1325+1))),INDEX(DATAS,AA1325+1),"")</f>
        <v/>
      </c>
      <c r="AI1325" s="51" t="str">
        <f aca="false">IF(AND(AC1325=1,AA1325&lt;1),IF(AND(C1326=C1325,AA1326=AA1325+1),IF(AC1326=1,"",INDEX(DATAS,AA1325+1)),INDEX(DATAS,AA1325+1)),"")</f>
        <v/>
      </c>
    </row>
    <row r="1326" customFormat="false" ht="15" hidden="false" customHeight="false" outlineLevel="0" collapsed="false">
      <c r="A1326" s="51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46" t="s">
        <v>895</v>
      </c>
      <c r="G1326" s="0" t="n">
        <v>39.5</v>
      </c>
      <c r="H1326" s="0" t="n">
        <v>39</v>
      </c>
      <c r="I1326" s="46" t="s">
        <v>152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51" t="n">
        <v>46108</v>
      </c>
      <c r="X1326" s="46" t="n">
        <f aca="false">IF(I1326="Male",0,1)</f>
        <v>1</v>
      </c>
      <c r="Y1326" s="46" t="n">
        <f aca="false">IF(OR(I1326="DNB",I1326="Dry DNB"),1,0)</f>
        <v>0</v>
      </c>
      <c r="Z1326" s="46" t="n">
        <f aca="false">IF(ISNUMBER(W1326),A1326-W1326,"")</f>
        <v>201</v>
      </c>
      <c r="AA1326" s="46" t="n">
        <f aca="false">MATCH(A1326,DATAS,0)</f>
        <v>1</v>
      </c>
      <c r="AB1326" s="46" t="n">
        <f aca="false">IF(AND(E1326&gt;0,OR(AND(B1326&gt;=1,B1326&lt;=6),B1326=10)),1,0)</f>
        <v>1</v>
      </c>
      <c r="AC1326" s="46" t="n">
        <f aca="false">IF(AND(E1326&gt;0,B1326=10),1,0)</f>
        <v>0</v>
      </c>
      <c r="AD1326" s="0" t="str">
        <f aca="false">IF(AND(C1325=C1326,AA1325=AA1326-1),AB1325,"")</f>
        <v/>
      </c>
      <c r="AE1326" s="0" t="str">
        <f aca="false">IF(AND(C1325=C1326,AA1325=AA1326-1),AC1325,"")</f>
        <v/>
      </c>
      <c r="AF1326" s="0" t="str">
        <f aca="false">IF(AA1326=1,"",IF(AND(AB1326=1,AD1326&lt;&gt;1),1,0))</f>
        <v/>
      </c>
      <c r="AG1326" s="0" t="str">
        <f aca="false">IF(AA1326=1,"",IF(AND(AC1326=1,AE1326&lt;&gt;1),1,0))</f>
        <v/>
      </c>
      <c r="AH1326" s="51" t="str">
        <f aca="false">IF(AND(E1326&gt;0,AA1326&lt;1,NOT(AND(C1327=C1326,AA1327=AA1326+1))),INDEX(DATAS,AA1326+1),"")</f>
        <v/>
      </c>
      <c r="AI1326" s="51" t="str">
        <f aca="false">IF(AND(AC1326=1,AA1326&lt;1),IF(AND(C1327=C1326,AA1327=AA1326+1),IF(AC1327=1,"",INDEX(DATAS,AA1326+1)),INDEX(DATAS,AA1326+1)),"")</f>
        <v/>
      </c>
    </row>
    <row r="1327" customFormat="false" ht="15" hidden="false" customHeight="false" outlineLevel="0" collapsed="false">
      <c r="A1327" s="51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46" t="s">
        <v>896</v>
      </c>
      <c r="G1327" s="0" t="n">
        <v>50.6</v>
      </c>
      <c r="H1327" s="0" t="n">
        <v>51</v>
      </c>
      <c r="I1327" s="46" t="s">
        <v>189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51" t="n">
        <v>46263</v>
      </c>
      <c r="X1327" s="46" t="n">
        <f aca="false">IF(I1327="Male",0,1)</f>
        <v>1</v>
      </c>
      <c r="Y1327" s="46" t="n">
        <f aca="false">IF(OR(I1327="DNB",I1327="Dry DNB"),1,0)</f>
        <v>0</v>
      </c>
      <c r="Z1327" s="46" t="n">
        <f aca="false">IF(ISNUMBER(W1327),A1327-W1327,"")</f>
        <v>46</v>
      </c>
      <c r="AA1327" s="46" t="n">
        <f aca="false">MATCH(A1327,DATAS,0)</f>
        <v>1</v>
      </c>
      <c r="AB1327" s="46" t="n">
        <f aca="false">IF(AND(E1327&gt;0,OR(AND(B1327&gt;=1,B1327&lt;=6),B1327=10)),1,0)</f>
        <v>1</v>
      </c>
      <c r="AC1327" s="46" t="n">
        <f aca="false">IF(AND(E1327&gt;0,B1327=10),1,0)</f>
        <v>0</v>
      </c>
      <c r="AD1327" s="0" t="str">
        <f aca="false">IF(AND(C1326=C1327,AA1326=AA1327-1),AB1326,"")</f>
        <v/>
      </c>
      <c r="AE1327" s="0" t="str">
        <f aca="false">IF(AND(C1326=C1327,AA1326=AA1327-1),AC1326,"")</f>
        <v/>
      </c>
      <c r="AF1327" s="0" t="str">
        <f aca="false">IF(AA1327=1,"",IF(AND(AB1327=1,AD1327&lt;&gt;1),1,0))</f>
        <v/>
      </c>
      <c r="AG1327" s="0" t="str">
        <f aca="false">IF(AA1327=1,"",IF(AND(AC1327=1,AE1327&lt;&gt;1),1,0))</f>
        <v/>
      </c>
      <c r="AH1327" s="51" t="str">
        <f aca="false">IF(AND(E1327&gt;0,AA1327&lt;1,NOT(AND(C1328=C1327,AA1328=AA1327+1))),INDEX(DATAS,AA1327+1),"")</f>
        <v/>
      </c>
      <c r="AI1327" s="51" t="str">
        <f aca="false">IF(AND(AC1327=1,AA1327&lt;1),IF(AND(C1328=C1327,AA1328=AA1327+1),IF(AC1328=1,"",INDEX(DATAS,AA1327+1)),INDEX(DATAS,AA1327+1)),"")</f>
        <v/>
      </c>
    </row>
    <row r="1328" customFormat="false" ht="15" hidden="false" customHeight="false" outlineLevel="0" collapsed="false">
      <c r="A1328" s="51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46" t="s">
        <v>897</v>
      </c>
      <c r="G1328" s="0" t="n">
        <v>46.9</v>
      </c>
      <c r="H1328" s="0" t="n">
        <v>47</v>
      </c>
      <c r="I1328" s="46" t="s">
        <v>152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51" t="n">
        <v>46149</v>
      </c>
      <c r="X1328" s="46" t="n">
        <f aca="false">IF(I1328="Male",0,1)</f>
        <v>1</v>
      </c>
      <c r="Y1328" s="46" t="n">
        <f aca="false">IF(OR(I1328="DNB",I1328="Dry DNB"),1,0)</f>
        <v>0</v>
      </c>
      <c r="Z1328" s="46" t="n">
        <f aca="false">IF(ISNUMBER(W1328),A1328-W1328,"")</f>
        <v>160</v>
      </c>
      <c r="AA1328" s="46" t="n">
        <f aca="false">MATCH(A1328,DATAS,0)</f>
        <v>1</v>
      </c>
      <c r="AB1328" s="46" t="n">
        <f aca="false">IF(AND(E1328&gt;0,OR(AND(B1328&gt;=1,B1328&lt;=6),B1328=10)),1,0)</f>
        <v>1</v>
      </c>
      <c r="AC1328" s="46" t="n">
        <f aca="false">IF(AND(E1328&gt;0,B1328=10),1,0)</f>
        <v>0</v>
      </c>
      <c r="AD1328" s="0" t="str">
        <f aca="false">IF(AND(C1327=C1328,AA1327=AA1328-1),AB1327,"")</f>
        <v/>
      </c>
      <c r="AE1328" s="0" t="str">
        <f aca="false">IF(AND(C1327=C1328,AA1327=AA1328-1),AC1327,"")</f>
        <v/>
      </c>
      <c r="AF1328" s="0" t="str">
        <f aca="false">IF(AA1328=1,"",IF(AND(AB1328=1,AD1328&lt;&gt;1),1,0))</f>
        <v/>
      </c>
      <c r="AG1328" s="0" t="str">
        <f aca="false">IF(AA1328=1,"",IF(AND(AC1328=1,AE1328&lt;&gt;1),1,0))</f>
        <v/>
      </c>
      <c r="AH1328" s="51" t="str">
        <f aca="false">IF(AND(E1328&gt;0,AA1328&lt;1,NOT(AND(C1329=C1328,AA1329=AA1328+1))),INDEX(DATAS,AA1328+1),"")</f>
        <v/>
      </c>
      <c r="AI1328" s="51" t="str">
        <f aca="false">IF(AND(AC1328=1,AA1328&lt;1),IF(AND(C1329=C1328,AA1329=AA1328+1),IF(AC1329=1,"",INDEX(DATAS,AA1328+1)),INDEX(DATAS,AA1328+1)),"")</f>
        <v/>
      </c>
    </row>
    <row r="1329" customFormat="false" ht="15" hidden="false" customHeight="false" outlineLevel="0" collapsed="false">
      <c r="A1329" s="51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46" t="s">
        <v>897</v>
      </c>
      <c r="G1329" s="0" t="n">
        <v>60.9</v>
      </c>
      <c r="H1329" s="0" t="n">
        <v>59</v>
      </c>
      <c r="I1329" s="46" t="s">
        <v>152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51" t="n">
        <v>46264</v>
      </c>
      <c r="X1329" s="46" t="n">
        <f aca="false">IF(I1329="Male",0,1)</f>
        <v>1</v>
      </c>
      <c r="Y1329" s="46" t="n">
        <f aca="false">IF(OR(I1329="DNB",I1329="Dry DNB"),1,0)</f>
        <v>0</v>
      </c>
      <c r="Z1329" s="46" t="n">
        <f aca="false">IF(ISNUMBER(W1329),A1329-W1329,"")</f>
        <v>45</v>
      </c>
      <c r="AA1329" s="46" t="n">
        <f aca="false">MATCH(A1329,DATAS,0)</f>
        <v>1</v>
      </c>
      <c r="AB1329" s="46" t="n">
        <f aca="false">IF(AND(E1329&gt;0,OR(AND(B1329&gt;=1,B1329&lt;=6),B1329=10)),1,0)</f>
        <v>1</v>
      </c>
      <c r="AC1329" s="46" t="n">
        <f aca="false">IF(AND(E1329&gt;0,B1329=10),1,0)</f>
        <v>0</v>
      </c>
      <c r="AD1329" s="0" t="str">
        <f aca="false">IF(AND(C1328=C1329,AA1328=AA1329-1),AB1328,"")</f>
        <v/>
      </c>
      <c r="AE1329" s="0" t="str">
        <f aca="false">IF(AND(C1328=C1329,AA1328=AA1329-1),AC1328,"")</f>
        <v/>
      </c>
      <c r="AF1329" s="0" t="str">
        <f aca="false">IF(AA1329=1,"",IF(AND(AB1329=1,AD1329&lt;&gt;1),1,0))</f>
        <v/>
      </c>
      <c r="AG1329" s="0" t="str">
        <f aca="false">IF(AA1329=1,"",IF(AND(AC1329=1,AE1329&lt;&gt;1),1,0))</f>
        <v/>
      </c>
      <c r="AH1329" s="51" t="str">
        <f aca="false">IF(AND(E1329&gt;0,AA1329&lt;1,NOT(AND(C1330=C1329,AA1330=AA1329+1))),INDEX(DATAS,AA1329+1),"")</f>
        <v/>
      </c>
      <c r="AI1329" s="51" t="str">
        <f aca="false">IF(AND(AC1329=1,AA1329&lt;1),IF(AND(C1330=C1329,AA1330=AA1329+1),IF(AC1330=1,"",INDEX(DATAS,AA1329+1)),INDEX(DATAS,AA1329+1)),"")</f>
        <v/>
      </c>
    </row>
    <row r="1330" customFormat="false" ht="15" hidden="false" customHeight="false" outlineLevel="0" collapsed="false">
      <c r="A1330" s="51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46" t="s">
        <v>897</v>
      </c>
      <c r="G1330" s="0" t="n">
        <v>32.4</v>
      </c>
      <c r="H1330" s="0" t="n">
        <v>34</v>
      </c>
      <c r="I1330" s="46" t="s">
        <v>152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X1330" s="46" t="n">
        <f aca="false">IF(I1330="Male",0,1)</f>
        <v>1</v>
      </c>
      <c r="Y1330" s="46" t="n">
        <f aca="false">IF(OR(I1330="DNB",I1330="Dry DNB"),1,0)</f>
        <v>0</v>
      </c>
      <c r="Z1330" s="0" t="str">
        <f aca="false">IF(ISNUMBER(W1330),A1330-W1330,"")</f>
        <v/>
      </c>
      <c r="AA1330" s="46" t="n">
        <f aca="false">MATCH(A1330,DATAS,0)</f>
        <v>1</v>
      </c>
      <c r="AB1330" s="46" t="n">
        <f aca="false">IF(AND(E1330&gt;0,OR(AND(B1330&gt;=1,B1330&lt;=6),B1330=10)),1,0)</f>
        <v>1</v>
      </c>
      <c r="AC1330" s="46" t="n">
        <f aca="false">IF(AND(E1330&gt;0,B1330=10),1,0)</f>
        <v>0</v>
      </c>
      <c r="AD1330" s="0" t="str">
        <f aca="false">IF(AND(C1329=C1330,AA1329=AA1330-1),AB1329,"")</f>
        <v/>
      </c>
      <c r="AE1330" s="0" t="str">
        <f aca="false">IF(AND(C1329=C1330,AA1329=AA1330-1),AC1329,"")</f>
        <v/>
      </c>
      <c r="AF1330" s="0" t="str">
        <f aca="false">IF(AA1330=1,"",IF(AND(AB1330=1,AD1330&lt;&gt;1),1,0))</f>
        <v/>
      </c>
      <c r="AG1330" s="0" t="str">
        <f aca="false">IF(AA1330=1,"",IF(AND(AC1330=1,AE1330&lt;&gt;1),1,0))</f>
        <v/>
      </c>
      <c r="AH1330" s="51" t="str">
        <f aca="false">IF(AND(E1330&gt;0,AA1330&lt;1,NOT(AND(C1331=C1330,AA1331=AA1330+1))),INDEX(DATAS,AA1330+1),"")</f>
        <v/>
      </c>
      <c r="AI1330" s="51" t="str">
        <f aca="false">IF(AND(AC1330=1,AA1330&lt;1),IF(AND(C1331=C1330,AA1331=AA1330+1),IF(AC1331=1,"",INDEX(DATAS,AA1330+1)),INDEX(DATAS,AA1330+1)),"")</f>
        <v/>
      </c>
    </row>
    <row r="1331" customFormat="false" ht="15" hidden="false" customHeight="false" outlineLevel="0" collapsed="false">
      <c r="A1331" s="51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46" t="s">
        <v>897</v>
      </c>
      <c r="G1331" s="0" t="n">
        <v>37.5</v>
      </c>
      <c r="H1331" s="0" t="n">
        <v>40</v>
      </c>
      <c r="I1331" s="46" t="s">
        <v>152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51" t="n">
        <v>46100</v>
      </c>
      <c r="X1331" s="46" t="n">
        <f aca="false">IF(I1331="Male",0,1)</f>
        <v>1</v>
      </c>
      <c r="Y1331" s="46" t="n">
        <f aca="false">IF(OR(I1331="DNB",I1331="Dry DNB"),1,0)</f>
        <v>0</v>
      </c>
      <c r="Z1331" s="46" t="n">
        <f aca="false">IF(ISNUMBER(W1331),A1331-W1331,"")</f>
        <v>209</v>
      </c>
      <c r="AA1331" s="46" t="n">
        <f aca="false">MATCH(A1331,DATAS,0)</f>
        <v>1</v>
      </c>
      <c r="AB1331" s="46" t="n">
        <f aca="false">IF(AND(E1331&gt;0,OR(AND(B1331&gt;=1,B1331&lt;=6),B1331=10)),1,0)</f>
        <v>1</v>
      </c>
      <c r="AC1331" s="46" t="n">
        <f aca="false">IF(AND(E1331&gt;0,B1331=10),1,0)</f>
        <v>0</v>
      </c>
      <c r="AD1331" s="0" t="str">
        <f aca="false">IF(AND(C1330=C1331,AA1330=AA1331-1),AB1330,"")</f>
        <v/>
      </c>
      <c r="AE1331" s="0" t="str">
        <f aca="false">IF(AND(C1330=C1331,AA1330=AA1331-1),AC1330,"")</f>
        <v/>
      </c>
      <c r="AF1331" s="0" t="str">
        <f aca="false">IF(AA1331=1,"",IF(AND(AB1331=1,AD1331&lt;&gt;1),1,0))</f>
        <v/>
      </c>
      <c r="AG1331" s="0" t="str">
        <f aca="false">IF(AA1331=1,"",IF(AND(AC1331=1,AE1331&lt;&gt;1),1,0))</f>
        <v/>
      </c>
      <c r="AH1331" s="51" t="str">
        <f aca="false">IF(AND(E1331&gt;0,AA1331&lt;1,NOT(AND(C1332=C1331,AA1332=AA1331+1))),INDEX(DATAS,AA1331+1),"")</f>
        <v/>
      </c>
      <c r="AI1331" s="51" t="str">
        <f aca="false">IF(AND(AC1331=1,AA1331&lt;1),IF(AND(C1332=C1331,AA1332=AA1331+1),IF(AC1332=1,"",INDEX(DATAS,AA1331+1)),INDEX(DATAS,AA1331+1)),"")</f>
        <v/>
      </c>
    </row>
    <row r="1332" customFormat="false" ht="15" hidden="false" customHeight="false" outlineLevel="0" collapsed="false">
      <c r="A1332" s="51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46" t="s">
        <v>898</v>
      </c>
      <c r="G1332" s="0" t="n">
        <v>44.4</v>
      </c>
      <c r="H1332" s="0" t="n">
        <v>46</v>
      </c>
      <c r="I1332" s="46" t="s">
        <v>152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51" t="n">
        <v>46185</v>
      </c>
      <c r="X1332" s="46" t="n">
        <f aca="false">IF(I1332="Male",0,1)</f>
        <v>1</v>
      </c>
      <c r="Y1332" s="46" t="n">
        <f aca="false">IF(OR(I1332="DNB",I1332="Dry DNB"),1,0)</f>
        <v>0</v>
      </c>
      <c r="Z1332" s="46" t="n">
        <f aca="false">IF(ISNUMBER(W1332),A1332-W1332,"")</f>
        <v>124</v>
      </c>
      <c r="AA1332" s="46" t="n">
        <f aca="false">MATCH(A1332,DATAS,0)</f>
        <v>1</v>
      </c>
      <c r="AB1332" s="46" t="n">
        <f aca="false">IF(AND(E1332&gt;0,OR(AND(B1332&gt;=1,B1332&lt;=6),B1332=10)),1,0)</f>
        <v>1</v>
      </c>
      <c r="AC1332" s="46" t="n">
        <f aca="false">IF(AND(E1332&gt;0,B1332=10),1,0)</f>
        <v>0</v>
      </c>
      <c r="AD1332" s="0" t="str">
        <f aca="false">IF(AND(C1331=C1332,AA1331=AA1332-1),AB1331,"")</f>
        <v/>
      </c>
      <c r="AE1332" s="0" t="str">
        <f aca="false">IF(AND(C1331=C1332,AA1331=AA1332-1),AC1331,"")</f>
        <v/>
      </c>
      <c r="AF1332" s="0" t="str">
        <f aca="false">IF(AA1332=1,"",IF(AND(AB1332=1,AD1332&lt;&gt;1),1,0))</f>
        <v/>
      </c>
      <c r="AG1332" s="0" t="str">
        <f aca="false">IF(AA1332=1,"",IF(AND(AC1332=1,AE1332&lt;&gt;1),1,0))</f>
        <v/>
      </c>
      <c r="AH1332" s="51" t="str">
        <f aca="false">IF(AND(E1332&gt;0,AA1332&lt;1,NOT(AND(C1333=C1332,AA1333=AA1332+1))),INDEX(DATAS,AA1332+1),"")</f>
        <v/>
      </c>
      <c r="AI1332" s="51" t="str">
        <f aca="false">IF(AND(AC1332=1,AA1332&lt;1),IF(AND(C1333=C1332,AA1333=AA1332+1),IF(AC1333=1,"",INDEX(DATAS,AA1332+1)),INDEX(DATAS,AA1332+1)),"")</f>
        <v/>
      </c>
    </row>
    <row r="1333" customFormat="false" ht="15" hidden="false" customHeight="false" outlineLevel="0" collapsed="false">
      <c r="A1333" s="51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46" t="s">
        <v>898</v>
      </c>
      <c r="G1333" s="0" t="n">
        <v>35.3</v>
      </c>
      <c r="H1333" s="0" t="n">
        <v>39</v>
      </c>
      <c r="I1333" s="46" t="s">
        <v>152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51" t="n">
        <v>46177</v>
      </c>
      <c r="X1333" s="46" t="n">
        <f aca="false">IF(I1333="Male",0,1)</f>
        <v>1</v>
      </c>
      <c r="Y1333" s="46" t="n">
        <f aca="false">IF(OR(I1333="DNB",I1333="Dry DNB"),1,0)</f>
        <v>0</v>
      </c>
      <c r="Z1333" s="46" t="n">
        <f aca="false">IF(ISNUMBER(W1333),A1333-W1333,"")</f>
        <v>132</v>
      </c>
      <c r="AA1333" s="46" t="n">
        <f aca="false">MATCH(A1333,DATAS,0)</f>
        <v>1</v>
      </c>
      <c r="AB1333" s="46" t="n">
        <f aca="false">IF(AND(E1333&gt;0,OR(AND(B1333&gt;=1,B1333&lt;=6),B1333=10)),1,0)</f>
        <v>1</v>
      </c>
      <c r="AC1333" s="46" t="n">
        <f aca="false">IF(AND(E1333&gt;0,B1333=10),1,0)</f>
        <v>0</v>
      </c>
      <c r="AD1333" s="0" t="str">
        <f aca="false">IF(AND(C1332=C1333,AA1332=AA1333-1),AB1332,"")</f>
        <v/>
      </c>
      <c r="AE1333" s="0" t="str">
        <f aca="false">IF(AND(C1332=C1333,AA1332=AA1333-1),AC1332,"")</f>
        <v/>
      </c>
      <c r="AF1333" s="0" t="str">
        <f aca="false">IF(AA1333=1,"",IF(AND(AB1333=1,AD1333&lt;&gt;1),1,0))</f>
        <v/>
      </c>
      <c r="AG1333" s="0" t="str">
        <f aca="false">IF(AA1333=1,"",IF(AND(AC1333=1,AE1333&lt;&gt;1),1,0))</f>
        <v/>
      </c>
      <c r="AH1333" s="51" t="str">
        <f aca="false">IF(AND(E1333&gt;0,AA1333&lt;1,NOT(AND(C1334=C1333,AA1334=AA1333+1))),INDEX(DATAS,AA1333+1),"")</f>
        <v/>
      </c>
      <c r="AI1333" s="51" t="str">
        <f aca="false">IF(AND(AC1333=1,AA1333&lt;1),IF(AND(C1334=C1333,AA1334=AA1333+1),IF(AC1334=1,"",INDEX(DATAS,AA1333+1)),INDEX(DATAS,AA1333+1)),"")</f>
        <v/>
      </c>
    </row>
    <row r="1334" customFormat="false" ht="15" hidden="false" customHeight="false" outlineLevel="0" collapsed="false">
      <c r="A1334" s="51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46" t="s">
        <v>898</v>
      </c>
      <c r="I1334" s="46" t="s">
        <v>157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51" t="n">
        <v>46065</v>
      </c>
      <c r="X1334" s="46" t="n">
        <f aca="false">IF(I1334="Male",0,1)</f>
        <v>1</v>
      </c>
      <c r="Y1334" s="46" t="n">
        <f aca="false">IF(OR(I1334="DNB",I1334="Dry DNB"),1,0)</f>
        <v>0</v>
      </c>
      <c r="Z1334" s="46" t="n">
        <f aca="false">IF(ISNUMBER(W1334),A1334-W1334,"")</f>
        <v>244</v>
      </c>
      <c r="AA1334" s="46" t="n">
        <f aca="false">MATCH(A1334,DATAS,0)</f>
        <v>1</v>
      </c>
      <c r="AB1334" s="46" t="n">
        <f aca="false">IF(AND(E1334&gt;0,OR(AND(B1334&gt;=1,B1334&lt;=6),B1334=10)),1,0)</f>
        <v>0</v>
      </c>
      <c r="AC1334" s="46" t="n">
        <f aca="false">IF(AND(E1334&gt;0,B1334=10),1,0)</f>
        <v>0</v>
      </c>
      <c r="AD1334" s="0" t="str">
        <f aca="false">IF(AND(C1333=C1334,AA1333=AA1334-1),AB1333,"")</f>
        <v/>
      </c>
      <c r="AE1334" s="0" t="str">
        <f aca="false">IF(AND(C1333=C1334,AA1333=AA1334-1),AC1333,"")</f>
        <v/>
      </c>
      <c r="AF1334" s="0" t="str">
        <f aca="false">IF(AA1334=1,"",IF(AND(AB1334=1,AD1334&lt;&gt;1),1,0))</f>
        <v/>
      </c>
      <c r="AG1334" s="0" t="str">
        <f aca="false">IF(AA1334=1,"",IF(AND(AC1334=1,AE1334&lt;&gt;1),1,0))</f>
        <v/>
      </c>
      <c r="AH1334" s="51" t="str">
        <f aca="false">IF(AND(E1334&gt;0,AA1334&lt;1,NOT(AND(C1335=C1334,AA1335=AA1334+1))),INDEX(DATAS,AA1334+1),"")</f>
        <v/>
      </c>
      <c r="AI1334" s="51" t="str">
        <f aca="false">IF(AND(AC1334=1,AA1334&lt;1),IF(AND(C1335=C1334,AA1335=AA1334+1),IF(AC1335=1,"",INDEX(DATAS,AA1334+1)),INDEX(DATAS,AA1334+1)),"")</f>
        <v/>
      </c>
    </row>
    <row r="1335" customFormat="false" ht="15" hidden="false" customHeight="false" outlineLevel="0" collapsed="false">
      <c r="A1335" s="51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46" t="s">
        <v>899</v>
      </c>
      <c r="I1335" s="46" t="s">
        <v>157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51" t="n">
        <v>46065</v>
      </c>
      <c r="X1335" s="46" t="n">
        <f aca="false">IF(I1335="Male",0,1)</f>
        <v>1</v>
      </c>
      <c r="Y1335" s="46" t="n">
        <f aca="false">IF(OR(I1335="DNB",I1335="Dry DNB"),1,0)</f>
        <v>0</v>
      </c>
      <c r="Z1335" s="46" t="n">
        <f aca="false">IF(ISNUMBER(W1335),A1335-W1335,"")</f>
        <v>244</v>
      </c>
      <c r="AA1335" s="46" t="n">
        <f aca="false">MATCH(A1335,DATAS,0)</f>
        <v>1</v>
      </c>
      <c r="AB1335" s="46" t="n">
        <f aca="false">IF(AND(E1335&gt;0,OR(AND(B1335&gt;=1,B1335&lt;=6),B1335=10)),1,0)</f>
        <v>0</v>
      </c>
      <c r="AC1335" s="46" t="n">
        <f aca="false">IF(AND(E1335&gt;0,B1335=10),1,0)</f>
        <v>0</v>
      </c>
      <c r="AD1335" s="0" t="str">
        <f aca="false">IF(AND(C1334=C1335,AA1334=AA1335-1),AB1334,"")</f>
        <v/>
      </c>
      <c r="AE1335" s="0" t="str">
        <f aca="false">IF(AND(C1334=C1335,AA1334=AA1335-1),AC1334,"")</f>
        <v/>
      </c>
      <c r="AF1335" s="0" t="str">
        <f aca="false">IF(AA1335=1,"",IF(AND(AB1335=1,AD1335&lt;&gt;1),1,0))</f>
        <v/>
      </c>
      <c r="AG1335" s="0" t="str">
        <f aca="false">IF(AA1335=1,"",IF(AND(AC1335=1,AE1335&lt;&gt;1),1,0))</f>
        <v/>
      </c>
      <c r="AH1335" s="51" t="str">
        <f aca="false">IF(AND(E1335&gt;0,AA1335&lt;1,NOT(AND(C1336=C1335,AA1336=AA1335+1))),INDEX(DATAS,AA1335+1),"")</f>
        <v/>
      </c>
      <c r="AI1335" s="51" t="str">
        <f aca="false">IF(AND(AC1335=1,AA1335&lt;1),IF(AND(C1336=C1335,AA1336=AA1335+1),IF(AC1336=1,"",INDEX(DATAS,AA1335+1)),INDEX(DATAS,AA1335+1)),"")</f>
        <v/>
      </c>
    </row>
    <row r="1336" customFormat="false" ht="15" hidden="false" customHeight="false" outlineLevel="0" collapsed="false">
      <c r="A1336" s="51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46" t="s">
        <v>899</v>
      </c>
      <c r="G1336" s="0" t="n">
        <v>34.9</v>
      </c>
      <c r="H1336" s="0" t="n">
        <v>37</v>
      </c>
      <c r="I1336" s="46" t="s">
        <v>152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51" t="n">
        <v>46268</v>
      </c>
      <c r="X1336" s="46" t="n">
        <f aca="false">IF(I1336="Male",0,1)</f>
        <v>1</v>
      </c>
      <c r="Y1336" s="46" t="n">
        <f aca="false">IF(OR(I1336="DNB",I1336="Dry DNB"),1,0)</f>
        <v>0</v>
      </c>
      <c r="Z1336" s="46" t="n">
        <f aca="false">IF(ISNUMBER(W1336),A1336-W1336,"")</f>
        <v>41</v>
      </c>
      <c r="AA1336" s="46" t="n">
        <f aca="false">MATCH(A1336,DATAS,0)</f>
        <v>1</v>
      </c>
      <c r="AB1336" s="46" t="n">
        <f aca="false">IF(AND(E1336&gt;0,OR(AND(B1336&gt;=1,B1336&lt;=6),B1336=10)),1,0)</f>
        <v>1</v>
      </c>
      <c r="AC1336" s="46" t="n">
        <f aca="false">IF(AND(E1336&gt;0,B1336=10),1,0)</f>
        <v>0</v>
      </c>
      <c r="AD1336" s="0" t="str">
        <f aca="false">IF(AND(C1335=C1336,AA1335=AA1336-1),AB1335,"")</f>
        <v/>
      </c>
      <c r="AE1336" s="0" t="str">
        <f aca="false">IF(AND(C1335=C1336,AA1335=AA1336-1),AC1335,"")</f>
        <v/>
      </c>
      <c r="AF1336" s="0" t="str">
        <f aca="false">IF(AA1336=1,"",IF(AND(AB1336=1,AD1336&lt;&gt;1),1,0))</f>
        <v/>
      </c>
      <c r="AG1336" s="0" t="str">
        <f aca="false">IF(AA1336=1,"",IF(AND(AC1336=1,AE1336&lt;&gt;1),1,0))</f>
        <v/>
      </c>
      <c r="AH1336" s="51" t="str">
        <f aca="false">IF(AND(E1336&gt;0,AA1336&lt;1,NOT(AND(C1337=C1336,AA1337=AA1336+1))),INDEX(DATAS,AA1336+1),"")</f>
        <v/>
      </c>
      <c r="AI1336" s="51" t="str">
        <f aca="false">IF(AND(AC1336=1,AA1336&lt;1),IF(AND(C1337=C1336,AA1337=AA1336+1),IF(AC1337=1,"",INDEX(DATAS,AA1336+1)),INDEX(DATAS,AA1336+1)),"")</f>
        <v/>
      </c>
    </row>
    <row r="1337" customFormat="false" ht="15" hidden="false" customHeight="false" outlineLevel="0" collapsed="false">
      <c r="A1337" s="51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46" t="s">
        <v>900</v>
      </c>
      <c r="G1337" s="0" t="n">
        <v>29.8</v>
      </c>
      <c r="H1337" s="0" t="n">
        <v>32</v>
      </c>
      <c r="I1337" s="46" t="s">
        <v>181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51" t="n">
        <v>46254</v>
      </c>
      <c r="X1337" s="46" t="n">
        <f aca="false">IF(I1337="Male",0,1)</f>
        <v>1</v>
      </c>
      <c r="Y1337" s="46" t="n">
        <f aca="false">IF(OR(I1337="DNB",I1337="Dry DNB"),1,0)</f>
        <v>0</v>
      </c>
      <c r="Z1337" s="46" t="n">
        <f aca="false">IF(ISNUMBER(W1337),A1337-W1337,"")</f>
        <v>55</v>
      </c>
      <c r="AA1337" s="46" t="n">
        <f aca="false">MATCH(A1337,DATAS,0)</f>
        <v>1</v>
      </c>
      <c r="AB1337" s="46" t="n">
        <f aca="false">IF(AND(E1337&gt;0,OR(AND(B1337&gt;=1,B1337&lt;=6),B1337=10)),1,0)</f>
        <v>1</v>
      </c>
      <c r="AC1337" s="46" t="n">
        <f aca="false">IF(AND(E1337&gt;0,B1337=10),1,0)</f>
        <v>0</v>
      </c>
      <c r="AD1337" s="0" t="str">
        <f aca="false">IF(AND(C1336=C1337,AA1336=AA1337-1),AB1336,"")</f>
        <v/>
      </c>
      <c r="AE1337" s="0" t="str">
        <f aca="false">IF(AND(C1336=C1337,AA1336=AA1337-1),AC1336,"")</f>
        <v/>
      </c>
      <c r="AF1337" s="0" t="str">
        <f aca="false">IF(AA1337=1,"",IF(AND(AB1337=1,AD1337&lt;&gt;1),1,0))</f>
        <v/>
      </c>
      <c r="AG1337" s="0" t="str">
        <f aca="false">IF(AA1337=1,"",IF(AND(AC1337=1,AE1337&lt;&gt;1),1,0))</f>
        <v/>
      </c>
      <c r="AH1337" s="51" t="str">
        <f aca="false">IF(AND(E1337&gt;0,AA1337&lt;1,NOT(AND(C1338=C1337,AA1338=AA1337+1))),INDEX(DATAS,AA1337+1),"")</f>
        <v/>
      </c>
      <c r="AI1337" s="51" t="str">
        <f aca="false">IF(AND(AC1337=1,AA1337&lt;1),IF(AND(C1338=C1337,AA1338=AA1337+1),IF(AC1338=1,"",INDEX(DATAS,AA1337+1)),INDEX(DATAS,AA1337+1)),"")</f>
        <v/>
      </c>
    </row>
    <row r="1338" customFormat="false" ht="15" hidden="false" customHeight="false" outlineLevel="0" collapsed="false">
      <c r="A1338" s="51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46" t="s">
        <v>900</v>
      </c>
      <c r="G1338" s="0" t="n">
        <v>29.3</v>
      </c>
      <c r="H1338" s="0" t="n">
        <v>29</v>
      </c>
      <c r="I1338" s="46" t="s">
        <v>152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51" t="n">
        <v>46100</v>
      </c>
      <c r="X1338" s="46" t="n">
        <f aca="false">IF(I1338="Male",0,1)</f>
        <v>1</v>
      </c>
      <c r="Y1338" s="46" t="n">
        <f aca="false">IF(OR(I1338="DNB",I1338="Dry DNB"),1,0)</f>
        <v>0</v>
      </c>
      <c r="Z1338" s="46" t="n">
        <f aca="false">IF(ISNUMBER(W1338),A1338-W1338,"")</f>
        <v>209</v>
      </c>
      <c r="AA1338" s="46" t="n">
        <f aca="false">MATCH(A1338,DATAS,0)</f>
        <v>1</v>
      </c>
      <c r="AB1338" s="46" t="n">
        <f aca="false">IF(AND(E1338&gt;0,OR(AND(B1338&gt;=1,B1338&lt;=6),B1338=10)),1,0)</f>
        <v>1</v>
      </c>
      <c r="AC1338" s="46" t="n">
        <f aca="false">IF(AND(E1338&gt;0,B1338=10),1,0)</f>
        <v>0</v>
      </c>
      <c r="AD1338" s="0" t="str">
        <f aca="false">IF(AND(C1337=C1338,AA1337=AA1338-1),AB1337,"")</f>
        <v/>
      </c>
      <c r="AE1338" s="0" t="str">
        <f aca="false">IF(AND(C1337=C1338,AA1337=AA1338-1),AC1337,"")</f>
        <v/>
      </c>
      <c r="AF1338" s="0" t="str">
        <f aca="false">IF(AA1338=1,"",IF(AND(AB1338=1,AD1338&lt;&gt;1),1,0))</f>
        <v/>
      </c>
      <c r="AG1338" s="0" t="str">
        <f aca="false">IF(AA1338=1,"",IF(AND(AC1338=1,AE1338&lt;&gt;1),1,0))</f>
        <v/>
      </c>
      <c r="AH1338" s="51" t="str">
        <f aca="false">IF(AND(E1338&gt;0,AA1338&lt;1,NOT(AND(C1339=C1338,AA1339=AA1338+1))),INDEX(DATAS,AA1338+1),"")</f>
        <v/>
      </c>
      <c r="AI1338" s="51" t="str">
        <f aca="false">IF(AND(AC1338=1,AA1338&lt;1),IF(AND(C1339=C1338,AA1339=AA1338+1),IF(AC1339=1,"",INDEX(DATAS,AA1338+1)),INDEX(DATAS,AA1338+1)),"")</f>
        <v/>
      </c>
    </row>
    <row r="1339" customFormat="false" ht="15" hidden="false" customHeight="false" outlineLevel="0" collapsed="false">
      <c r="A1339" s="51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46" t="s">
        <v>900</v>
      </c>
      <c r="I1339" s="46" t="s">
        <v>157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51" t="n">
        <v>46079</v>
      </c>
      <c r="X1339" s="46" t="n">
        <f aca="false">IF(I1339="Male",0,1)</f>
        <v>1</v>
      </c>
      <c r="Y1339" s="46" t="n">
        <f aca="false">IF(OR(I1339="DNB",I1339="Dry DNB"),1,0)</f>
        <v>0</v>
      </c>
      <c r="Z1339" s="46" t="n">
        <f aca="false">IF(ISNUMBER(W1339),A1339-W1339,"")</f>
        <v>230</v>
      </c>
      <c r="AA1339" s="46" t="n">
        <f aca="false">MATCH(A1339,DATAS,0)</f>
        <v>1</v>
      </c>
      <c r="AB1339" s="46" t="n">
        <f aca="false">IF(AND(E1339&gt;0,OR(AND(B1339&gt;=1,B1339&lt;=6),B1339=10)),1,0)</f>
        <v>0</v>
      </c>
      <c r="AC1339" s="46" t="n">
        <f aca="false">IF(AND(E1339&gt;0,B1339=10),1,0)</f>
        <v>0</v>
      </c>
      <c r="AD1339" s="0" t="str">
        <f aca="false">IF(AND(C1338=C1339,AA1338=AA1339-1),AB1338,"")</f>
        <v/>
      </c>
      <c r="AE1339" s="0" t="str">
        <f aca="false">IF(AND(C1338=C1339,AA1338=AA1339-1),AC1338,"")</f>
        <v/>
      </c>
      <c r="AF1339" s="0" t="str">
        <f aca="false">IF(AA1339=1,"",IF(AND(AB1339=1,AD1339&lt;&gt;1),1,0))</f>
        <v/>
      </c>
      <c r="AG1339" s="0" t="str">
        <f aca="false">IF(AA1339=1,"",IF(AND(AC1339=1,AE1339&lt;&gt;1),1,0))</f>
        <v/>
      </c>
      <c r="AH1339" s="51" t="str">
        <f aca="false">IF(AND(E1339&gt;0,AA1339&lt;1,NOT(AND(C1340=C1339,AA1340=AA1339+1))),INDEX(DATAS,AA1339+1),"")</f>
        <v/>
      </c>
      <c r="AI1339" s="51" t="str">
        <f aca="false">IF(AND(AC1339=1,AA1339&lt;1),IF(AND(C1340=C1339,AA1340=AA1339+1),IF(AC1340=1,"",INDEX(DATAS,AA1339+1)),INDEX(DATAS,AA1339+1)),"")</f>
        <v/>
      </c>
    </row>
    <row r="1340" customFormat="false" ht="15" hidden="false" customHeight="false" outlineLevel="0" collapsed="false">
      <c r="A1340" s="51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46" t="s">
        <v>900</v>
      </c>
      <c r="G1340" s="0" t="n">
        <v>39.6</v>
      </c>
      <c r="H1340" s="0" t="n">
        <v>39</v>
      </c>
      <c r="I1340" s="46" t="s">
        <v>152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51" t="n">
        <v>46128</v>
      </c>
      <c r="X1340" s="46" t="n">
        <f aca="false">IF(I1340="Male",0,1)</f>
        <v>1</v>
      </c>
      <c r="Y1340" s="46" t="n">
        <f aca="false">IF(OR(I1340="DNB",I1340="Dry DNB"),1,0)</f>
        <v>0</v>
      </c>
      <c r="Z1340" s="46" t="n">
        <f aca="false">IF(ISNUMBER(W1340),A1340-W1340,"")</f>
        <v>181</v>
      </c>
      <c r="AA1340" s="46" t="n">
        <f aca="false">MATCH(A1340,DATAS,0)</f>
        <v>1</v>
      </c>
      <c r="AB1340" s="46" t="n">
        <f aca="false">IF(AND(E1340&gt;0,OR(AND(B1340&gt;=1,B1340&lt;=6),B1340=10)),1,0)</f>
        <v>1</v>
      </c>
      <c r="AC1340" s="46" t="n">
        <f aca="false">IF(AND(E1340&gt;0,B1340=10),1,0)</f>
        <v>0</v>
      </c>
      <c r="AD1340" s="0" t="str">
        <f aca="false">IF(AND(C1339=C1340,AA1339=AA1340-1),AB1339,"")</f>
        <v/>
      </c>
      <c r="AE1340" s="0" t="str">
        <f aca="false">IF(AND(C1339=C1340,AA1339=AA1340-1),AC1339,"")</f>
        <v/>
      </c>
      <c r="AF1340" s="0" t="str">
        <f aca="false">IF(AA1340=1,"",IF(AND(AB1340=1,AD1340&lt;&gt;1),1,0))</f>
        <v/>
      </c>
      <c r="AG1340" s="0" t="str">
        <f aca="false">IF(AA1340=1,"",IF(AND(AC1340=1,AE1340&lt;&gt;1),1,0))</f>
        <v/>
      </c>
      <c r="AH1340" s="51" t="str">
        <f aca="false">IF(AND(E1340&gt;0,AA1340&lt;1,NOT(AND(C1341=C1340,AA1341=AA1340+1))),INDEX(DATAS,AA1340+1),"")</f>
        <v/>
      </c>
      <c r="AI1340" s="51" t="str">
        <f aca="false">IF(AND(AC1340=1,AA1340&lt;1),IF(AND(C1341=C1340,AA1341=AA1340+1),IF(AC1341=1,"",INDEX(DATAS,AA1340+1)),INDEX(DATAS,AA1340+1)),"")</f>
        <v/>
      </c>
    </row>
    <row r="1341" customFormat="false" ht="15" hidden="false" customHeight="false" outlineLevel="0" collapsed="false">
      <c r="A1341" s="51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46" t="s">
        <v>901</v>
      </c>
      <c r="G1341" s="0" t="n">
        <v>32.1</v>
      </c>
      <c r="H1341" s="0" t="n">
        <v>38</v>
      </c>
      <c r="I1341" s="46" t="s">
        <v>152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51" t="n">
        <v>46198</v>
      </c>
      <c r="X1341" s="46" t="n">
        <f aca="false">IF(I1341="Male",0,1)</f>
        <v>1</v>
      </c>
      <c r="Y1341" s="46" t="n">
        <f aca="false">IF(OR(I1341="DNB",I1341="Dry DNB"),1,0)</f>
        <v>0</v>
      </c>
      <c r="Z1341" s="46" t="n">
        <f aca="false">IF(ISNUMBER(W1341),A1341-W1341,"")</f>
        <v>111</v>
      </c>
      <c r="AA1341" s="46" t="n">
        <f aca="false">MATCH(A1341,DATAS,0)</f>
        <v>1</v>
      </c>
      <c r="AB1341" s="46" t="n">
        <f aca="false">IF(AND(E1341&gt;0,OR(AND(B1341&gt;=1,B1341&lt;=6),B1341=10)),1,0)</f>
        <v>1</v>
      </c>
      <c r="AC1341" s="46" t="n">
        <f aca="false">IF(AND(E1341&gt;0,B1341=10),1,0)</f>
        <v>0</v>
      </c>
      <c r="AD1341" s="0" t="str">
        <f aca="false">IF(AND(C1340=C1341,AA1340=AA1341-1),AB1340,"")</f>
        <v/>
      </c>
      <c r="AE1341" s="0" t="str">
        <f aca="false">IF(AND(C1340=C1341,AA1340=AA1341-1),AC1340,"")</f>
        <v/>
      </c>
      <c r="AF1341" s="0" t="str">
        <f aca="false">IF(AA1341=1,"",IF(AND(AB1341=1,AD1341&lt;&gt;1),1,0))</f>
        <v/>
      </c>
      <c r="AG1341" s="0" t="str">
        <f aca="false">IF(AA1341=1,"",IF(AND(AC1341=1,AE1341&lt;&gt;1),1,0))</f>
        <v/>
      </c>
      <c r="AH1341" s="51" t="str">
        <f aca="false">IF(AND(E1341&gt;0,AA1341&lt;1,NOT(AND(C1342=C1341,AA1342=AA1341+1))),INDEX(DATAS,AA1341+1),"")</f>
        <v/>
      </c>
      <c r="AI1341" s="51" t="str">
        <f aca="false">IF(AND(AC1341=1,AA1341&lt;1),IF(AND(C1342=C1341,AA1342=AA1341+1),IF(AC1342=1,"",INDEX(DATAS,AA1341+1)),INDEX(DATAS,AA1341+1)),"")</f>
        <v/>
      </c>
    </row>
    <row r="1342" customFormat="false" ht="15" hidden="false" customHeight="false" outlineLevel="0" collapsed="false">
      <c r="A1342" s="51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46" t="s">
        <v>901</v>
      </c>
      <c r="G1342" s="0" t="n">
        <v>48.4</v>
      </c>
      <c r="H1342" s="0" t="n">
        <v>46</v>
      </c>
      <c r="I1342" s="46" t="s">
        <v>152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51" t="n">
        <v>46191</v>
      </c>
      <c r="X1342" s="46" t="n">
        <f aca="false">IF(I1342="Male",0,1)</f>
        <v>1</v>
      </c>
      <c r="Y1342" s="46" t="n">
        <f aca="false">IF(OR(I1342="DNB",I1342="Dry DNB"),1,0)</f>
        <v>0</v>
      </c>
      <c r="Z1342" s="46" t="n">
        <f aca="false">IF(ISNUMBER(W1342),A1342-W1342,"")</f>
        <v>118</v>
      </c>
      <c r="AA1342" s="46" t="n">
        <f aca="false">MATCH(A1342,DATAS,0)</f>
        <v>1</v>
      </c>
      <c r="AB1342" s="46" t="n">
        <f aca="false">IF(AND(E1342&gt;0,OR(AND(B1342&gt;=1,B1342&lt;=6),B1342=10)),1,0)</f>
        <v>1</v>
      </c>
      <c r="AC1342" s="46" t="n">
        <f aca="false">IF(AND(E1342&gt;0,B1342=10),1,0)</f>
        <v>0</v>
      </c>
      <c r="AD1342" s="0" t="str">
        <f aca="false">IF(AND(C1341=C1342,AA1341=AA1342-1),AB1341,"")</f>
        <v/>
      </c>
      <c r="AE1342" s="0" t="str">
        <f aca="false">IF(AND(C1341=C1342,AA1341=AA1342-1),AC1341,"")</f>
        <v/>
      </c>
      <c r="AF1342" s="0" t="str">
        <f aca="false">IF(AA1342=1,"",IF(AND(AB1342=1,AD1342&lt;&gt;1),1,0))</f>
        <v/>
      </c>
      <c r="AG1342" s="0" t="str">
        <f aca="false">IF(AA1342=1,"",IF(AND(AC1342=1,AE1342&lt;&gt;1),1,0))</f>
        <v/>
      </c>
      <c r="AH1342" s="51" t="str">
        <f aca="false">IF(AND(E1342&gt;0,AA1342&lt;1,NOT(AND(C1343=C1342,AA1343=AA1342+1))),INDEX(DATAS,AA1342+1),"")</f>
        <v/>
      </c>
      <c r="AI1342" s="51" t="str">
        <f aca="false">IF(AND(AC1342=1,AA1342&lt;1),IF(AND(C1343=C1342,AA1343=AA1342+1),IF(AC1343=1,"",INDEX(DATAS,AA1342+1)),INDEX(DATAS,AA1342+1)),"")</f>
        <v/>
      </c>
    </row>
    <row r="1343" customFormat="false" ht="15" hidden="false" customHeight="false" outlineLevel="0" collapsed="false">
      <c r="A1343" s="51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46" t="s">
        <v>901</v>
      </c>
      <c r="G1343" s="0" t="n">
        <v>12.6</v>
      </c>
      <c r="H1343" s="0" t="n">
        <v>37</v>
      </c>
      <c r="I1343" s="46" t="s">
        <v>157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51" t="n">
        <v>46086</v>
      </c>
      <c r="X1343" s="46" t="n">
        <f aca="false">IF(I1343="Male",0,1)</f>
        <v>1</v>
      </c>
      <c r="Y1343" s="46" t="n">
        <f aca="false">IF(OR(I1343="DNB",I1343="Dry DNB"),1,0)</f>
        <v>0</v>
      </c>
      <c r="Z1343" s="46" t="n">
        <f aca="false">IF(ISNUMBER(W1343),A1343-W1343,"")</f>
        <v>223</v>
      </c>
      <c r="AA1343" s="46" t="n">
        <f aca="false">MATCH(A1343,DATAS,0)</f>
        <v>1</v>
      </c>
      <c r="AB1343" s="46" t="n">
        <f aca="false">IF(AND(E1343&gt;0,OR(AND(B1343&gt;=1,B1343&lt;=6),B1343=10)),1,0)</f>
        <v>0</v>
      </c>
      <c r="AC1343" s="46" t="n">
        <f aca="false">IF(AND(E1343&gt;0,B1343=10),1,0)</f>
        <v>0</v>
      </c>
      <c r="AD1343" s="0" t="str">
        <f aca="false">IF(AND(C1342=C1343,AA1342=AA1343-1),AB1342,"")</f>
        <v/>
      </c>
      <c r="AE1343" s="0" t="str">
        <f aca="false">IF(AND(C1342=C1343,AA1342=AA1343-1),AC1342,"")</f>
        <v/>
      </c>
      <c r="AF1343" s="0" t="str">
        <f aca="false">IF(AA1343=1,"",IF(AND(AB1343=1,AD1343&lt;&gt;1),1,0))</f>
        <v/>
      </c>
      <c r="AG1343" s="0" t="str">
        <f aca="false">IF(AA1343=1,"",IF(AND(AC1343=1,AE1343&lt;&gt;1),1,0))</f>
        <v/>
      </c>
      <c r="AH1343" s="51" t="str">
        <f aca="false">IF(AND(E1343&gt;0,AA1343&lt;1,NOT(AND(C1344=C1343,AA1344=AA1343+1))),INDEX(DATAS,AA1343+1),"")</f>
        <v/>
      </c>
      <c r="AI1343" s="51" t="str">
        <f aca="false">IF(AND(AC1343=1,AA1343&lt;1),IF(AND(C1344=C1343,AA1344=AA1343+1),IF(AC1344=1,"",INDEX(DATAS,AA1343+1)),INDEX(DATAS,AA1343+1)),"")</f>
        <v/>
      </c>
    </row>
    <row r="1344" customFormat="false" ht="15" hidden="false" customHeight="false" outlineLevel="0" collapsed="false">
      <c r="A1344" s="51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46" t="s">
        <v>901</v>
      </c>
      <c r="G1344" s="0" t="n">
        <v>40.4</v>
      </c>
      <c r="H1344" s="0" t="n">
        <v>38</v>
      </c>
      <c r="I1344" s="46" t="s">
        <v>152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51" t="n">
        <v>46100</v>
      </c>
      <c r="X1344" s="46" t="n">
        <f aca="false">IF(I1344="Male",0,1)</f>
        <v>1</v>
      </c>
      <c r="Y1344" s="46" t="n">
        <f aca="false">IF(OR(I1344="DNB",I1344="Dry DNB"),1,0)</f>
        <v>0</v>
      </c>
      <c r="Z1344" s="46" t="n">
        <f aca="false">IF(ISNUMBER(W1344),A1344-W1344,"")</f>
        <v>209</v>
      </c>
      <c r="AA1344" s="46" t="n">
        <f aca="false">MATCH(A1344,DATAS,0)</f>
        <v>1</v>
      </c>
      <c r="AB1344" s="46" t="n">
        <f aca="false">IF(AND(E1344&gt;0,OR(AND(B1344&gt;=1,B1344&lt;=6),B1344=10)),1,0)</f>
        <v>1</v>
      </c>
      <c r="AC1344" s="46" t="n">
        <f aca="false">IF(AND(E1344&gt;0,B1344=10),1,0)</f>
        <v>0</v>
      </c>
      <c r="AD1344" s="0" t="str">
        <f aca="false">IF(AND(C1343=C1344,AA1343=AA1344-1),AB1343,"")</f>
        <v/>
      </c>
      <c r="AE1344" s="0" t="str">
        <f aca="false">IF(AND(C1343=C1344,AA1343=AA1344-1),AC1343,"")</f>
        <v/>
      </c>
      <c r="AF1344" s="0" t="str">
        <f aca="false">IF(AA1344=1,"",IF(AND(AB1344=1,AD1344&lt;&gt;1),1,0))</f>
        <v/>
      </c>
      <c r="AG1344" s="0" t="str">
        <f aca="false">IF(AA1344=1,"",IF(AND(AC1344=1,AE1344&lt;&gt;1),1,0))</f>
        <v/>
      </c>
      <c r="AH1344" s="51" t="str">
        <f aca="false">IF(AND(E1344&gt;0,AA1344&lt;1,NOT(AND(C1345=C1344,AA1345=AA1344+1))),INDEX(DATAS,AA1344+1),"")</f>
        <v/>
      </c>
      <c r="AI1344" s="51" t="str">
        <f aca="false">IF(AND(AC1344=1,AA1344&lt;1),IF(AND(C1345=C1344,AA1345=AA1344+1),IF(AC1345=1,"",INDEX(DATAS,AA1344+1)),INDEX(DATAS,AA1344+1)),"")</f>
        <v/>
      </c>
    </row>
    <row r="1345" customFormat="false" ht="15" hidden="false" customHeight="false" outlineLevel="0" collapsed="false">
      <c r="A1345" s="51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46" t="s">
        <v>902</v>
      </c>
      <c r="I1345" s="46" t="s">
        <v>157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51" t="n">
        <v>46072</v>
      </c>
      <c r="X1345" s="46" t="n">
        <f aca="false">IF(I1345="Male",0,1)</f>
        <v>1</v>
      </c>
      <c r="Y1345" s="46" t="n">
        <f aca="false">IF(OR(I1345="DNB",I1345="Dry DNB"),1,0)</f>
        <v>0</v>
      </c>
      <c r="Z1345" s="46" t="n">
        <f aca="false">IF(ISNUMBER(W1345),A1345-W1345,"")</f>
        <v>237</v>
      </c>
      <c r="AA1345" s="46" t="n">
        <f aca="false">MATCH(A1345,DATAS,0)</f>
        <v>1</v>
      </c>
      <c r="AB1345" s="46" t="n">
        <f aca="false">IF(AND(E1345&gt;0,OR(AND(B1345&gt;=1,B1345&lt;=6),B1345=10)),1,0)</f>
        <v>0</v>
      </c>
      <c r="AC1345" s="46" t="n">
        <f aca="false">IF(AND(E1345&gt;0,B1345=10),1,0)</f>
        <v>0</v>
      </c>
      <c r="AD1345" s="0" t="str">
        <f aca="false">IF(AND(C1344=C1345,AA1344=AA1345-1),AB1344,"")</f>
        <v/>
      </c>
      <c r="AE1345" s="0" t="str">
        <f aca="false">IF(AND(C1344=C1345,AA1344=AA1345-1),AC1344,"")</f>
        <v/>
      </c>
      <c r="AF1345" s="0" t="str">
        <f aca="false">IF(AA1345=1,"",IF(AND(AB1345=1,AD1345&lt;&gt;1),1,0))</f>
        <v/>
      </c>
      <c r="AG1345" s="0" t="str">
        <f aca="false">IF(AA1345=1,"",IF(AND(AC1345=1,AE1345&lt;&gt;1),1,0))</f>
        <v/>
      </c>
      <c r="AH1345" s="51" t="str">
        <f aca="false">IF(AND(E1345&gt;0,AA1345&lt;1,NOT(AND(C1346=C1345,AA1346=AA1345+1))),INDEX(DATAS,AA1345+1),"")</f>
        <v/>
      </c>
      <c r="AI1345" s="51" t="str">
        <f aca="false">IF(AND(AC1345=1,AA1345&lt;1),IF(AND(C1346=C1345,AA1346=AA1345+1),IF(AC1346=1,"",INDEX(DATAS,AA1345+1)),INDEX(DATAS,AA1345+1)),"")</f>
        <v/>
      </c>
    </row>
    <row r="1346" customFormat="false" ht="15" hidden="false" customHeight="false" outlineLevel="0" collapsed="false">
      <c r="A1346" s="51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46" t="s">
        <v>902</v>
      </c>
      <c r="G1346" s="0" t="n">
        <v>36.2</v>
      </c>
      <c r="H1346" s="0" t="n">
        <v>50</v>
      </c>
      <c r="I1346" s="46" t="s">
        <v>152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51" t="n">
        <v>46114</v>
      </c>
      <c r="X1346" s="46" t="n">
        <f aca="false">IF(I1346="Male",0,1)</f>
        <v>1</v>
      </c>
      <c r="Y1346" s="46" t="n">
        <f aca="false">IF(OR(I1346="DNB",I1346="Dry DNB"),1,0)</f>
        <v>0</v>
      </c>
      <c r="Z1346" s="46" t="n">
        <f aca="false">IF(ISNUMBER(W1346),A1346-W1346,"")</f>
        <v>195</v>
      </c>
      <c r="AA1346" s="46" t="n">
        <f aca="false">MATCH(A1346,DATAS,0)</f>
        <v>1</v>
      </c>
      <c r="AB1346" s="46" t="n">
        <f aca="false">IF(AND(E1346&gt;0,OR(AND(B1346&gt;=1,B1346&lt;=6),B1346=10)),1,0)</f>
        <v>1</v>
      </c>
      <c r="AC1346" s="46" t="n">
        <f aca="false">IF(AND(E1346&gt;0,B1346=10),1,0)</f>
        <v>0</v>
      </c>
      <c r="AD1346" s="0" t="str">
        <f aca="false">IF(AND(C1345=C1346,AA1345=AA1346-1),AB1345,"")</f>
        <v/>
      </c>
      <c r="AE1346" s="0" t="str">
        <f aca="false">IF(AND(C1345=C1346,AA1345=AA1346-1),AC1345,"")</f>
        <v/>
      </c>
      <c r="AF1346" s="0" t="str">
        <f aca="false">IF(AA1346=1,"",IF(AND(AB1346=1,AD1346&lt;&gt;1),1,0))</f>
        <v/>
      </c>
      <c r="AG1346" s="0" t="str">
        <f aca="false">IF(AA1346=1,"",IF(AND(AC1346=1,AE1346&lt;&gt;1),1,0))</f>
        <v/>
      </c>
      <c r="AH1346" s="51" t="str">
        <f aca="false">IF(AND(E1346&gt;0,AA1346&lt;1,NOT(AND(C1347=C1346,AA1347=AA1346+1))),INDEX(DATAS,AA1346+1),"")</f>
        <v/>
      </c>
      <c r="AI1346" s="51" t="str">
        <f aca="false">IF(AND(AC1346=1,AA1346&lt;1),IF(AND(C1347=C1346,AA1347=AA1346+1),IF(AC1347=1,"",INDEX(DATAS,AA1346+1)),INDEX(DATAS,AA1346+1)),"")</f>
        <v/>
      </c>
    </row>
    <row r="1347" customFormat="false" ht="15" hidden="false" customHeight="false" outlineLevel="0" collapsed="false">
      <c r="A1347" s="51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46" t="s">
        <v>903</v>
      </c>
      <c r="G1347" s="0" t="n">
        <v>45.1</v>
      </c>
      <c r="H1347" s="0" t="n">
        <v>45</v>
      </c>
      <c r="I1347" s="46" t="s">
        <v>152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51" t="n">
        <v>46177</v>
      </c>
      <c r="X1347" s="46" t="n">
        <f aca="false">IF(I1347="Male",0,1)</f>
        <v>1</v>
      </c>
      <c r="Y1347" s="46" t="n">
        <f aca="false">IF(OR(I1347="DNB",I1347="Dry DNB"),1,0)</f>
        <v>0</v>
      </c>
      <c r="Z1347" s="46" t="n">
        <f aca="false">IF(ISNUMBER(W1347),A1347-W1347,"")</f>
        <v>132</v>
      </c>
      <c r="AA1347" s="46" t="n">
        <f aca="false">MATCH(A1347,DATAS,0)</f>
        <v>1</v>
      </c>
      <c r="AB1347" s="46" t="n">
        <f aca="false">IF(AND(E1347&gt;0,OR(AND(B1347&gt;=1,B1347&lt;=6),B1347=10)),1,0)</f>
        <v>1</v>
      </c>
      <c r="AC1347" s="46" t="n">
        <f aca="false">IF(AND(E1347&gt;0,B1347=10),1,0)</f>
        <v>0</v>
      </c>
      <c r="AD1347" s="0" t="str">
        <f aca="false">IF(AND(C1346=C1347,AA1346=AA1347-1),AB1346,"")</f>
        <v/>
      </c>
      <c r="AE1347" s="0" t="str">
        <f aca="false">IF(AND(C1346=C1347,AA1346=AA1347-1),AC1346,"")</f>
        <v/>
      </c>
      <c r="AF1347" s="0" t="str">
        <f aca="false">IF(AA1347=1,"",IF(AND(AB1347=1,AD1347&lt;&gt;1),1,0))</f>
        <v/>
      </c>
      <c r="AG1347" s="0" t="str">
        <f aca="false">IF(AA1347=1,"",IF(AND(AC1347=1,AE1347&lt;&gt;1),1,0))</f>
        <v/>
      </c>
      <c r="AH1347" s="51" t="str">
        <f aca="false">IF(AND(E1347&gt;0,AA1347&lt;1,NOT(AND(C1348=C1347,AA1348=AA1347+1))),INDEX(DATAS,AA1347+1),"")</f>
        <v/>
      </c>
      <c r="AI1347" s="51" t="str">
        <f aca="false">IF(AND(AC1347=1,AA1347&lt;1),IF(AND(C1348=C1347,AA1348=AA1347+1),IF(AC1348=1,"",INDEX(DATAS,AA1347+1)),INDEX(DATAS,AA1347+1)),"")</f>
        <v/>
      </c>
    </row>
    <row r="1348" customFormat="false" ht="15" hidden="false" customHeight="false" outlineLevel="0" collapsed="false">
      <c r="A1348" s="51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46" t="s">
        <v>904</v>
      </c>
      <c r="G1348" s="0" t="n">
        <v>37.1</v>
      </c>
      <c r="H1348" s="0" t="n">
        <v>42</v>
      </c>
      <c r="I1348" s="46" t="s">
        <v>152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51" t="n">
        <v>46135</v>
      </c>
      <c r="X1348" s="46" t="n">
        <f aca="false">IF(I1348="Male",0,1)</f>
        <v>1</v>
      </c>
      <c r="Y1348" s="46" t="n">
        <f aca="false">IF(OR(I1348="DNB",I1348="Dry DNB"),1,0)</f>
        <v>0</v>
      </c>
      <c r="Z1348" s="46" t="n">
        <f aca="false">IF(ISNUMBER(W1348),A1348-W1348,"")</f>
        <v>174</v>
      </c>
      <c r="AA1348" s="46" t="n">
        <f aca="false">MATCH(A1348,DATAS,0)</f>
        <v>1</v>
      </c>
      <c r="AB1348" s="46" t="n">
        <f aca="false">IF(AND(E1348&gt;0,OR(AND(B1348&gt;=1,B1348&lt;=6),B1348=10)),1,0)</f>
        <v>1</v>
      </c>
      <c r="AC1348" s="46" t="n">
        <f aca="false">IF(AND(E1348&gt;0,B1348=10),1,0)</f>
        <v>0</v>
      </c>
      <c r="AD1348" s="0" t="str">
        <f aca="false">IF(AND(C1347=C1348,AA1347=AA1348-1),AB1347,"")</f>
        <v/>
      </c>
      <c r="AE1348" s="0" t="str">
        <f aca="false">IF(AND(C1347=C1348,AA1347=AA1348-1),AC1347,"")</f>
        <v/>
      </c>
      <c r="AF1348" s="0" t="str">
        <f aca="false">IF(AA1348=1,"",IF(AND(AB1348=1,AD1348&lt;&gt;1),1,0))</f>
        <v/>
      </c>
      <c r="AG1348" s="0" t="str">
        <f aca="false">IF(AA1348=1,"",IF(AND(AC1348=1,AE1348&lt;&gt;1),1,0))</f>
        <v/>
      </c>
      <c r="AH1348" s="51" t="str">
        <f aca="false">IF(AND(E1348&gt;0,AA1348&lt;1,NOT(AND(C1349=C1348,AA1349=AA1348+1))),INDEX(DATAS,AA1348+1),"")</f>
        <v/>
      </c>
      <c r="AI1348" s="51" t="str">
        <f aca="false">IF(AND(AC1348=1,AA1348&lt;1),IF(AND(C1349=C1348,AA1349=AA1348+1),IF(AC1349=1,"",INDEX(DATAS,AA1348+1)),INDEX(DATAS,AA1348+1)),"")</f>
        <v/>
      </c>
    </row>
    <row r="1349" customFormat="false" ht="15" hidden="false" customHeight="false" outlineLevel="0" collapsed="false">
      <c r="A1349" s="51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46" t="s">
        <v>904</v>
      </c>
      <c r="G1349" s="0" t="n">
        <v>45.1</v>
      </c>
      <c r="H1349" s="0" t="n">
        <v>46</v>
      </c>
      <c r="I1349" s="46" t="s">
        <v>152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51" t="n">
        <v>46142</v>
      </c>
      <c r="X1349" s="46" t="n">
        <f aca="false">IF(I1349="Male",0,1)</f>
        <v>1</v>
      </c>
      <c r="Y1349" s="46" t="n">
        <f aca="false">IF(OR(I1349="DNB",I1349="Dry DNB"),1,0)</f>
        <v>0</v>
      </c>
      <c r="Z1349" s="46" t="n">
        <f aca="false">IF(ISNUMBER(W1349),A1349-W1349,"")</f>
        <v>167</v>
      </c>
      <c r="AA1349" s="46" t="n">
        <f aca="false">MATCH(A1349,DATAS,0)</f>
        <v>1</v>
      </c>
      <c r="AB1349" s="46" t="n">
        <f aca="false">IF(AND(E1349&gt;0,OR(AND(B1349&gt;=1,B1349&lt;=6),B1349=10)),1,0)</f>
        <v>1</v>
      </c>
      <c r="AC1349" s="46" t="n">
        <f aca="false">IF(AND(E1349&gt;0,B1349=10),1,0)</f>
        <v>0</v>
      </c>
      <c r="AD1349" s="0" t="str">
        <f aca="false">IF(AND(C1348=C1349,AA1348=AA1349-1),AB1348,"")</f>
        <v/>
      </c>
      <c r="AE1349" s="0" t="str">
        <f aca="false">IF(AND(C1348=C1349,AA1348=AA1349-1),AC1348,"")</f>
        <v/>
      </c>
      <c r="AF1349" s="0" t="str">
        <f aca="false">IF(AA1349=1,"",IF(AND(AB1349=1,AD1349&lt;&gt;1),1,0))</f>
        <v/>
      </c>
      <c r="AG1349" s="0" t="str">
        <f aca="false">IF(AA1349=1,"",IF(AND(AC1349=1,AE1349&lt;&gt;1),1,0))</f>
        <v/>
      </c>
      <c r="AH1349" s="51" t="str">
        <f aca="false">IF(AND(E1349&gt;0,AA1349&lt;1,NOT(AND(C1350=C1349,AA1350=AA1349+1))),INDEX(DATAS,AA1349+1),"")</f>
        <v/>
      </c>
      <c r="AI1349" s="51" t="str">
        <f aca="false">IF(AND(AC1349=1,AA1349&lt;1),IF(AND(C1350=C1349,AA1350=AA1349+1),IF(AC1350=1,"",INDEX(DATAS,AA1349+1)),INDEX(DATAS,AA1349+1)),"")</f>
        <v/>
      </c>
    </row>
    <row r="1350" customFormat="false" ht="15" hidden="false" customHeight="false" outlineLevel="0" collapsed="false">
      <c r="A1350" s="51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46" t="s">
        <v>905</v>
      </c>
      <c r="G1350" s="0" t="n">
        <v>45.1</v>
      </c>
      <c r="H1350" s="0" t="n">
        <v>43</v>
      </c>
      <c r="I1350" s="46" t="s">
        <v>152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51" t="n">
        <v>46149</v>
      </c>
      <c r="X1350" s="46" t="n">
        <f aca="false">IF(I1350="Male",0,1)</f>
        <v>1</v>
      </c>
      <c r="Y1350" s="46" t="n">
        <f aca="false">IF(OR(I1350="DNB",I1350="Dry DNB"),1,0)</f>
        <v>0</v>
      </c>
      <c r="Z1350" s="46" t="n">
        <f aca="false">IF(ISNUMBER(W1350),A1350-W1350,"")</f>
        <v>160</v>
      </c>
      <c r="AA1350" s="46" t="n">
        <f aca="false">MATCH(A1350,DATAS,0)</f>
        <v>1</v>
      </c>
      <c r="AB1350" s="46" t="n">
        <f aca="false">IF(AND(E1350&gt;0,OR(AND(B1350&gt;=1,B1350&lt;=6),B1350=10)),1,0)</f>
        <v>1</v>
      </c>
      <c r="AC1350" s="46" t="n">
        <f aca="false">IF(AND(E1350&gt;0,B1350=10),1,0)</f>
        <v>0</v>
      </c>
      <c r="AD1350" s="0" t="str">
        <f aca="false">IF(AND(C1349=C1350,AA1349=AA1350-1),AB1349,"")</f>
        <v/>
      </c>
      <c r="AE1350" s="0" t="str">
        <f aca="false">IF(AND(C1349=C1350,AA1349=AA1350-1),AC1349,"")</f>
        <v/>
      </c>
      <c r="AF1350" s="0" t="str">
        <f aca="false">IF(AA1350=1,"",IF(AND(AB1350=1,AD1350&lt;&gt;1),1,0))</f>
        <v/>
      </c>
      <c r="AG1350" s="0" t="str">
        <f aca="false">IF(AA1350=1,"",IF(AND(AC1350=1,AE1350&lt;&gt;1),1,0))</f>
        <v/>
      </c>
      <c r="AH1350" s="51" t="str">
        <f aca="false">IF(AND(E1350&gt;0,AA1350&lt;1,NOT(AND(C1351=C1350,AA1351=AA1350+1))),INDEX(DATAS,AA1350+1),"")</f>
        <v/>
      </c>
      <c r="AI1350" s="51" t="str">
        <f aca="false">IF(AND(AC1350=1,AA1350&lt;1),IF(AND(C1351=C1350,AA1351=AA1350+1),IF(AC1351=1,"",INDEX(DATAS,AA1350+1)),INDEX(DATAS,AA1350+1)),"")</f>
        <v/>
      </c>
    </row>
    <row r="1351" customFormat="false" ht="15" hidden="false" customHeight="false" outlineLevel="0" collapsed="false">
      <c r="A1351" s="51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46" t="s">
        <v>906</v>
      </c>
      <c r="G1351" s="0" t="n">
        <v>28.2</v>
      </c>
      <c r="H1351" s="0" t="n">
        <v>23</v>
      </c>
      <c r="I1351" s="46" t="s">
        <v>152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51" t="n">
        <v>46136</v>
      </c>
      <c r="X1351" s="46" t="n">
        <f aca="false">IF(I1351="Male",0,1)</f>
        <v>1</v>
      </c>
      <c r="Y1351" s="46" t="n">
        <f aca="false">IF(OR(I1351="DNB",I1351="Dry DNB"),1,0)</f>
        <v>0</v>
      </c>
      <c r="Z1351" s="46" t="n">
        <f aca="false">IF(ISNUMBER(W1351),A1351-W1351,"")</f>
        <v>173</v>
      </c>
      <c r="AA1351" s="46" t="n">
        <f aca="false">MATCH(A1351,DATAS,0)</f>
        <v>1</v>
      </c>
      <c r="AB1351" s="46" t="n">
        <f aca="false">IF(AND(E1351&gt;0,OR(AND(B1351&gt;=1,B1351&lt;=6),B1351=10)),1,0)</f>
        <v>1</v>
      </c>
      <c r="AC1351" s="46" t="n">
        <f aca="false">IF(AND(E1351&gt;0,B1351=10),1,0)</f>
        <v>0</v>
      </c>
      <c r="AD1351" s="0" t="str">
        <f aca="false">IF(AND(C1350=C1351,AA1350=AA1351-1),AB1350,"")</f>
        <v/>
      </c>
      <c r="AE1351" s="0" t="str">
        <f aca="false">IF(AND(C1350=C1351,AA1350=AA1351-1),AC1350,"")</f>
        <v/>
      </c>
      <c r="AF1351" s="0" t="str">
        <f aca="false">IF(AA1351=1,"",IF(AND(AB1351=1,AD1351&lt;&gt;1),1,0))</f>
        <v/>
      </c>
      <c r="AG1351" s="0" t="str">
        <f aca="false">IF(AA1351=1,"",IF(AND(AC1351=1,AE1351&lt;&gt;1),1,0))</f>
        <v/>
      </c>
      <c r="AH1351" s="51" t="str">
        <f aca="false">IF(AND(E1351&gt;0,AA1351&lt;1,NOT(AND(C1352=C1351,AA1352=AA1351+1))),INDEX(DATAS,AA1351+1),"")</f>
        <v/>
      </c>
      <c r="AI1351" s="51" t="str">
        <f aca="false">IF(AND(AC1351=1,AA1351&lt;1),IF(AND(C1352=C1351,AA1352=AA1351+1),IF(AC1352=1,"",INDEX(DATAS,AA1351+1)),INDEX(DATAS,AA1351+1)),"")</f>
        <v/>
      </c>
    </row>
    <row r="1352" customFormat="false" ht="15" hidden="false" customHeight="false" outlineLevel="0" collapsed="false">
      <c r="A1352" s="51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46" t="s">
        <v>906</v>
      </c>
      <c r="G1352" s="0" t="n">
        <v>25.1</v>
      </c>
      <c r="H1352" s="0" t="n">
        <v>27</v>
      </c>
      <c r="I1352" s="46" t="s">
        <v>152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51" t="n">
        <v>46107</v>
      </c>
      <c r="X1352" s="46" t="n">
        <f aca="false">IF(I1352="Male",0,1)</f>
        <v>1</v>
      </c>
      <c r="Y1352" s="46" t="n">
        <f aca="false">IF(OR(I1352="DNB",I1352="Dry DNB"),1,0)</f>
        <v>0</v>
      </c>
      <c r="Z1352" s="46" t="n">
        <f aca="false">IF(ISNUMBER(W1352),A1352-W1352,"")</f>
        <v>202</v>
      </c>
      <c r="AA1352" s="46" t="n">
        <f aca="false">MATCH(A1352,DATAS,0)</f>
        <v>1</v>
      </c>
      <c r="AB1352" s="46" t="n">
        <f aca="false">IF(AND(E1352&gt;0,OR(AND(B1352&gt;=1,B1352&lt;=6),B1352=10)),1,0)</f>
        <v>1</v>
      </c>
      <c r="AC1352" s="46" t="n">
        <f aca="false">IF(AND(E1352&gt;0,B1352=10),1,0)</f>
        <v>0</v>
      </c>
      <c r="AD1352" s="0" t="str">
        <f aca="false">IF(AND(C1351=C1352,AA1351=AA1352-1),AB1351,"")</f>
        <v/>
      </c>
      <c r="AE1352" s="0" t="str">
        <f aca="false">IF(AND(C1351=C1352,AA1351=AA1352-1),AC1351,"")</f>
        <v/>
      </c>
      <c r="AF1352" s="0" t="str">
        <f aca="false">IF(AA1352=1,"",IF(AND(AB1352=1,AD1352&lt;&gt;1),1,0))</f>
        <v/>
      </c>
      <c r="AG1352" s="0" t="str">
        <f aca="false">IF(AA1352=1,"",IF(AND(AC1352=1,AE1352&lt;&gt;1),1,0))</f>
        <v/>
      </c>
      <c r="AH1352" s="51" t="str">
        <f aca="false">IF(AND(E1352&gt;0,AA1352&lt;1,NOT(AND(C1353=C1352,AA1353=AA1352+1))),INDEX(DATAS,AA1352+1),"")</f>
        <v/>
      </c>
      <c r="AI1352" s="51" t="str">
        <f aca="false">IF(AND(AC1352=1,AA1352&lt;1),IF(AND(C1353=C1352,AA1353=AA1352+1),IF(AC1353=1,"",INDEX(DATAS,AA1352+1)),INDEX(DATAS,AA1352+1)),"")</f>
        <v/>
      </c>
    </row>
    <row r="1353" customFormat="false" ht="15" hidden="false" customHeight="false" outlineLevel="0" collapsed="false">
      <c r="A1353" s="51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46" t="s">
        <v>906</v>
      </c>
      <c r="I1353" s="46" t="s">
        <v>157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51" t="n">
        <v>46142</v>
      </c>
      <c r="X1353" s="46" t="n">
        <f aca="false">IF(I1353="Male",0,1)</f>
        <v>1</v>
      </c>
      <c r="Y1353" s="46" t="n">
        <f aca="false">IF(OR(I1353="DNB",I1353="Dry DNB"),1,0)</f>
        <v>0</v>
      </c>
      <c r="Z1353" s="46" t="n">
        <f aca="false">IF(ISNUMBER(W1353),A1353-W1353,"")</f>
        <v>167</v>
      </c>
      <c r="AA1353" s="46" t="n">
        <f aca="false">MATCH(A1353,DATAS,0)</f>
        <v>1</v>
      </c>
      <c r="AB1353" s="46" t="n">
        <f aca="false">IF(AND(E1353&gt;0,OR(AND(B1353&gt;=1,B1353&lt;=6),B1353=10)),1,0)</f>
        <v>0</v>
      </c>
      <c r="AC1353" s="46" t="n">
        <f aca="false">IF(AND(E1353&gt;0,B1353=10),1,0)</f>
        <v>0</v>
      </c>
      <c r="AD1353" s="0" t="str">
        <f aca="false">IF(AND(C1352=C1353,AA1352=AA1353-1),AB1352,"")</f>
        <v/>
      </c>
      <c r="AE1353" s="0" t="str">
        <f aca="false">IF(AND(C1352=C1353,AA1352=AA1353-1),AC1352,"")</f>
        <v/>
      </c>
      <c r="AF1353" s="0" t="str">
        <f aca="false">IF(AA1353=1,"",IF(AND(AB1353=1,AD1353&lt;&gt;1),1,0))</f>
        <v/>
      </c>
      <c r="AG1353" s="0" t="str">
        <f aca="false">IF(AA1353=1,"",IF(AND(AC1353=1,AE1353&lt;&gt;1),1,0))</f>
        <v/>
      </c>
      <c r="AH1353" s="51" t="str">
        <f aca="false">IF(AND(E1353&gt;0,AA1353&lt;1,NOT(AND(C1354=C1353,AA1354=AA1353+1))),INDEX(DATAS,AA1353+1),"")</f>
        <v/>
      </c>
      <c r="AI1353" s="51" t="str">
        <f aca="false">IF(AND(AC1353=1,AA1353&lt;1),IF(AND(C1354=C1353,AA1354=AA1353+1),IF(AC1354=1,"",INDEX(DATAS,AA1353+1)),INDEX(DATAS,AA1353+1)),"")</f>
        <v/>
      </c>
    </row>
    <row r="1354" customFormat="false" ht="15" hidden="false" customHeight="false" outlineLevel="0" collapsed="false">
      <c r="A1354" s="51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46" t="s">
        <v>906</v>
      </c>
      <c r="G1354" s="0" t="n">
        <v>55.3</v>
      </c>
      <c r="H1354" s="0" t="n">
        <v>53</v>
      </c>
      <c r="I1354" s="46" t="s">
        <v>152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51" t="n">
        <v>46261</v>
      </c>
      <c r="X1354" s="46" t="n">
        <f aca="false">IF(I1354="Male",0,1)</f>
        <v>1</v>
      </c>
      <c r="Y1354" s="46" t="n">
        <f aca="false">IF(OR(I1354="DNB",I1354="Dry DNB"),1,0)</f>
        <v>0</v>
      </c>
      <c r="Z1354" s="46" t="n">
        <f aca="false">IF(ISNUMBER(W1354),A1354-W1354,"")</f>
        <v>48</v>
      </c>
      <c r="AA1354" s="46" t="n">
        <f aca="false">MATCH(A1354,DATAS,0)</f>
        <v>1</v>
      </c>
      <c r="AB1354" s="46" t="n">
        <f aca="false">IF(AND(E1354&gt;0,OR(AND(B1354&gt;=1,B1354&lt;=6),B1354=10)),1,0)</f>
        <v>1</v>
      </c>
      <c r="AC1354" s="46" t="n">
        <f aca="false">IF(AND(E1354&gt;0,B1354=10),1,0)</f>
        <v>0</v>
      </c>
      <c r="AD1354" s="0" t="str">
        <f aca="false">IF(AND(C1353=C1354,AA1353=AA1354-1),AB1353,"")</f>
        <v/>
      </c>
      <c r="AE1354" s="0" t="str">
        <f aca="false">IF(AND(C1353=C1354,AA1353=AA1354-1),AC1353,"")</f>
        <v/>
      </c>
      <c r="AF1354" s="0" t="str">
        <f aca="false">IF(AA1354=1,"",IF(AND(AB1354=1,AD1354&lt;&gt;1),1,0))</f>
        <v/>
      </c>
      <c r="AG1354" s="0" t="str">
        <f aca="false">IF(AA1354=1,"",IF(AND(AC1354=1,AE1354&lt;&gt;1),1,0))</f>
        <v/>
      </c>
      <c r="AH1354" s="51" t="str">
        <f aca="false">IF(AND(E1354&gt;0,AA1354&lt;1,NOT(AND(C1355=C1354,AA1355=AA1354+1))),INDEX(DATAS,AA1354+1),"")</f>
        <v/>
      </c>
      <c r="AI1354" s="51" t="str">
        <f aca="false">IF(AND(AC1354=1,AA1354&lt;1),IF(AND(C1355=C1354,AA1355=AA1354+1),IF(AC1355=1,"",INDEX(DATAS,AA1354+1)),INDEX(DATAS,AA1354+1)),"")</f>
        <v/>
      </c>
    </row>
    <row r="1355" customFormat="false" ht="15" hidden="false" customHeight="false" outlineLevel="0" collapsed="false">
      <c r="A1355" s="51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46" t="s">
        <v>907</v>
      </c>
      <c r="G1355" s="0" t="n">
        <v>42.8</v>
      </c>
      <c r="H1355" s="0" t="n">
        <v>40</v>
      </c>
      <c r="I1355" s="46" t="s">
        <v>152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51" t="n">
        <v>46114</v>
      </c>
      <c r="X1355" s="46" t="n">
        <f aca="false">IF(I1355="Male",0,1)</f>
        <v>1</v>
      </c>
      <c r="Y1355" s="46" t="n">
        <f aca="false">IF(OR(I1355="DNB",I1355="Dry DNB"),1,0)</f>
        <v>0</v>
      </c>
      <c r="Z1355" s="46" t="n">
        <f aca="false">IF(ISNUMBER(W1355),A1355-W1355,"")</f>
        <v>195</v>
      </c>
      <c r="AA1355" s="46" t="n">
        <f aca="false">MATCH(A1355,DATAS,0)</f>
        <v>1</v>
      </c>
      <c r="AB1355" s="46" t="n">
        <f aca="false">IF(AND(E1355&gt;0,OR(AND(B1355&gt;=1,B1355&lt;=6),B1355=10)),1,0)</f>
        <v>1</v>
      </c>
      <c r="AC1355" s="46" t="n">
        <f aca="false">IF(AND(E1355&gt;0,B1355=10),1,0)</f>
        <v>0</v>
      </c>
      <c r="AD1355" s="0" t="str">
        <f aca="false">IF(AND(C1354=C1355,AA1354=AA1355-1),AB1354,"")</f>
        <v/>
      </c>
      <c r="AE1355" s="0" t="str">
        <f aca="false">IF(AND(C1354=C1355,AA1354=AA1355-1),AC1354,"")</f>
        <v/>
      </c>
      <c r="AF1355" s="0" t="str">
        <f aca="false">IF(AA1355=1,"",IF(AND(AB1355=1,AD1355&lt;&gt;1),1,0))</f>
        <v/>
      </c>
      <c r="AG1355" s="0" t="str">
        <f aca="false">IF(AA1355=1,"",IF(AND(AC1355=1,AE1355&lt;&gt;1),1,0))</f>
        <v/>
      </c>
      <c r="AH1355" s="51" t="str">
        <f aca="false">IF(AND(E1355&gt;0,AA1355&lt;1,NOT(AND(C1356=C1355,AA1356=AA1355+1))),INDEX(DATAS,AA1355+1),"")</f>
        <v/>
      </c>
      <c r="AI1355" s="51" t="str">
        <f aca="false">IF(AND(AC1355=1,AA1355&lt;1),IF(AND(C1356=C1355,AA1356=AA1355+1),IF(AC1356=1,"",INDEX(DATAS,AA1355+1)),INDEX(DATAS,AA1355+1)),"")</f>
        <v/>
      </c>
    </row>
    <row r="1356" customFormat="false" ht="15" hidden="false" customHeight="false" outlineLevel="0" collapsed="false">
      <c r="A1356" s="51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46" t="s">
        <v>907</v>
      </c>
      <c r="G1356" s="0" t="n">
        <v>46.9</v>
      </c>
      <c r="H1356" s="0" t="n">
        <v>42</v>
      </c>
      <c r="I1356" s="46" t="s">
        <v>152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51" t="n">
        <v>46107</v>
      </c>
      <c r="X1356" s="46" t="n">
        <f aca="false">IF(I1356="Male",0,1)</f>
        <v>1</v>
      </c>
      <c r="Y1356" s="46" t="n">
        <f aca="false">IF(OR(I1356="DNB",I1356="Dry DNB"),1,0)</f>
        <v>0</v>
      </c>
      <c r="Z1356" s="46" t="n">
        <f aca="false">IF(ISNUMBER(W1356),A1356-W1356,"")</f>
        <v>202</v>
      </c>
      <c r="AA1356" s="46" t="n">
        <f aca="false">MATCH(A1356,DATAS,0)</f>
        <v>1</v>
      </c>
      <c r="AB1356" s="46" t="n">
        <f aca="false">IF(AND(E1356&gt;0,OR(AND(B1356&gt;=1,B1356&lt;=6),B1356=10)),1,0)</f>
        <v>1</v>
      </c>
      <c r="AC1356" s="46" t="n">
        <f aca="false">IF(AND(E1356&gt;0,B1356=10),1,0)</f>
        <v>0</v>
      </c>
      <c r="AD1356" s="0" t="str">
        <f aca="false">IF(AND(C1355=C1356,AA1355=AA1356-1),AB1355,"")</f>
        <v/>
      </c>
      <c r="AE1356" s="0" t="str">
        <f aca="false">IF(AND(C1355=C1356,AA1355=AA1356-1),AC1355,"")</f>
        <v/>
      </c>
      <c r="AF1356" s="0" t="str">
        <f aca="false">IF(AA1356=1,"",IF(AND(AB1356=1,AD1356&lt;&gt;1),1,0))</f>
        <v/>
      </c>
      <c r="AG1356" s="0" t="str">
        <f aca="false">IF(AA1356=1,"",IF(AND(AC1356=1,AE1356&lt;&gt;1),1,0))</f>
        <v/>
      </c>
      <c r="AH1356" s="51" t="str">
        <f aca="false">IF(AND(E1356&gt;0,AA1356&lt;1,NOT(AND(C1357=C1356,AA1357=AA1356+1))),INDEX(DATAS,AA1356+1),"")</f>
        <v/>
      </c>
      <c r="AI1356" s="51" t="str">
        <f aca="false">IF(AND(AC1356=1,AA1356&lt;1),IF(AND(C1357=C1356,AA1357=AA1356+1),IF(AC1357=1,"",INDEX(DATAS,AA1356+1)),INDEX(DATAS,AA1356+1)),"")</f>
        <v/>
      </c>
    </row>
    <row r="1357" customFormat="false" ht="15" hidden="false" customHeight="false" outlineLevel="0" collapsed="false">
      <c r="A1357" s="51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46" t="s">
        <v>907</v>
      </c>
      <c r="G1357" s="0" t="n">
        <v>44.3</v>
      </c>
      <c r="H1357" s="0" t="n">
        <v>45</v>
      </c>
      <c r="I1357" s="46" t="s">
        <v>152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51" t="n">
        <v>46114</v>
      </c>
      <c r="X1357" s="46" t="n">
        <f aca="false">IF(I1357="Male",0,1)</f>
        <v>1</v>
      </c>
      <c r="Y1357" s="46" t="n">
        <f aca="false">IF(OR(I1357="DNB",I1357="Dry DNB"),1,0)</f>
        <v>0</v>
      </c>
      <c r="Z1357" s="46" t="n">
        <f aca="false">IF(ISNUMBER(W1357),A1357-W1357,"")</f>
        <v>195</v>
      </c>
      <c r="AA1357" s="46" t="n">
        <f aca="false">MATCH(A1357,DATAS,0)</f>
        <v>1</v>
      </c>
      <c r="AB1357" s="46" t="n">
        <f aca="false">IF(AND(E1357&gt;0,OR(AND(B1357&gt;=1,B1357&lt;=6),B1357=10)),1,0)</f>
        <v>1</v>
      </c>
      <c r="AC1357" s="46" t="n">
        <f aca="false">IF(AND(E1357&gt;0,B1357=10),1,0)</f>
        <v>0</v>
      </c>
      <c r="AD1357" s="0" t="str">
        <f aca="false">IF(AND(C1356=C1357,AA1356=AA1357-1),AB1356,"")</f>
        <v/>
      </c>
      <c r="AE1357" s="0" t="str">
        <f aca="false">IF(AND(C1356=C1357,AA1356=AA1357-1),AC1356,"")</f>
        <v/>
      </c>
      <c r="AF1357" s="0" t="str">
        <f aca="false">IF(AA1357=1,"",IF(AND(AB1357=1,AD1357&lt;&gt;1),1,0))</f>
        <v/>
      </c>
      <c r="AG1357" s="0" t="str">
        <f aca="false">IF(AA1357=1,"",IF(AND(AC1357=1,AE1357&lt;&gt;1),1,0))</f>
        <v/>
      </c>
      <c r="AH1357" s="51" t="str">
        <f aca="false">IF(AND(E1357&gt;0,AA1357&lt;1,NOT(AND(C1358=C1357,AA1358=AA1357+1))),INDEX(DATAS,AA1357+1),"")</f>
        <v/>
      </c>
      <c r="AI1357" s="51" t="str">
        <f aca="false">IF(AND(AC1357=1,AA1357&lt;1),IF(AND(C1358=C1357,AA1358=AA1357+1),IF(AC1358=1,"",INDEX(DATAS,AA1357+1)),INDEX(DATAS,AA1357+1)),"")</f>
        <v/>
      </c>
    </row>
    <row r="1358" customFormat="false" ht="15" hidden="false" customHeight="false" outlineLevel="0" collapsed="false">
      <c r="A1358" s="51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46" t="s">
        <v>908</v>
      </c>
      <c r="G1358" s="0" t="n">
        <v>50.8</v>
      </c>
      <c r="H1358" s="0" t="n">
        <v>48</v>
      </c>
      <c r="I1358" s="46" t="s">
        <v>152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51" t="n">
        <v>46212</v>
      </c>
      <c r="X1358" s="46" t="n">
        <f aca="false">IF(I1358="Male",0,1)</f>
        <v>1</v>
      </c>
      <c r="Y1358" s="46" t="n">
        <f aca="false">IF(OR(I1358="DNB",I1358="Dry DNB"),1,0)</f>
        <v>0</v>
      </c>
      <c r="Z1358" s="46" t="n">
        <f aca="false">IF(ISNUMBER(W1358),A1358-W1358,"")</f>
        <v>97</v>
      </c>
      <c r="AA1358" s="46" t="n">
        <f aca="false">MATCH(A1358,DATAS,0)</f>
        <v>1</v>
      </c>
      <c r="AB1358" s="46" t="n">
        <f aca="false">IF(AND(E1358&gt;0,OR(AND(B1358&gt;=1,B1358&lt;=6),B1358=10)),1,0)</f>
        <v>1</v>
      </c>
      <c r="AC1358" s="46" t="n">
        <f aca="false">IF(AND(E1358&gt;0,B1358=10),1,0)</f>
        <v>0</v>
      </c>
      <c r="AD1358" s="0" t="str">
        <f aca="false">IF(AND(C1357=C1358,AA1357=AA1358-1),AB1357,"")</f>
        <v/>
      </c>
      <c r="AE1358" s="0" t="str">
        <f aca="false">IF(AND(C1357=C1358,AA1357=AA1358-1),AC1357,"")</f>
        <v/>
      </c>
      <c r="AF1358" s="0" t="str">
        <f aca="false">IF(AA1358=1,"",IF(AND(AB1358=1,AD1358&lt;&gt;1),1,0))</f>
        <v/>
      </c>
      <c r="AG1358" s="0" t="str">
        <f aca="false">IF(AA1358=1,"",IF(AND(AC1358=1,AE1358&lt;&gt;1),1,0))</f>
        <v/>
      </c>
      <c r="AH1358" s="51" t="str">
        <f aca="false">IF(AND(E1358&gt;0,AA1358&lt;1,NOT(AND(C1359=C1358,AA1359=AA1358+1))),INDEX(DATAS,AA1358+1),"")</f>
        <v/>
      </c>
      <c r="AI1358" s="51" t="str">
        <f aca="false">IF(AND(AC1358=1,AA1358&lt;1),IF(AND(C1359=C1358,AA1359=AA1358+1),IF(AC1359=1,"",INDEX(DATAS,AA1358+1)),INDEX(DATAS,AA1358+1)),"")</f>
        <v/>
      </c>
    </row>
    <row r="1359" customFormat="false" ht="15" hidden="false" customHeight="false" outlineLevel="0" collapsed="false">
      <c r="A1359" s="51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46" t="s">
        <v>909</v>
      </c>
      <c r="G1359" s="0" t="n">
        <v>41.7</v>
      </c>
      <c r="H1359" s="0" t="n">
        <v>42</v>
      </c>
      <c r="I1359" s="46" t="s">
        <v>152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51" t="n">
        <v>46195</v>
      </c>
      <c r="X1359" s="46" t="n">
        <f aca="false">IF(I1359="Male",0,1)</f>
        <v>1</v>
      </c>
      <c r="Y1359" s="46" t="n">
        <f aca="false">IF(OR(I1359="DNB",I1359="Dry DNB"),1,0)</f>
        <v>0</v>
      </c>
      <c r="Z1359" s="46" t="n">
        <f aca="false">IF(ISNUMBER(W1359),A1359-W1359,"")</f>
        <v>114</v>
      </c>
      <c r="AA1359" s="46" t="n">
        <f aca="false">MATCH(A1359,DATAS,0)</f>
        <v>1</v>
      </c>
      <c r="AB1359" s="46" t="n">
        <f aca="false">IF(AND(E1359&gt;0,OR(AND(B1359&gt;=1,B1359&lt;=6),B1359=10)),1,0)</f>
        <v>1</v>
      </c>
      <c r="AC1359" s="46" t="n">
        <f aca="false">IF(AND(E1359&gt;0,B1359=10),1,0)</f>
        <v>0</v>
      </c>
      <c r="AD1359" s="0" t="str">
        <f aca="false">IF(AND(C1358=C1359,AA1358=AA1359-1),AB1358,"")</f>
        <v/>
      </c>
      <c r="AE1359" s="0" t="str">
        <f aca="false">IF(AND(C1358=C1359,AA1358=AA1359-1),AC1358,"")</f>
        <v/>
      </c>
      <c r="AF1359" s="0" t="str">
        <f aca="false">IF(AA1359=1,"",IF(AND(AB1359=1,AD1359&lt;&gt;1),1,0))</f>
        <v/>
      </c>
      <c r="AG1359" s="0" t="str">
        <f aca="false">IF(AA1359=1,"",IF(AND(AC1359=1,AE1359&lt;&gt;1),1,0))</f>
        <v/>
      </c>
      <c r="AH1359" s="51" t="str">
        <f aca="false">IF(AND(E1359&gt;0,AA1359&lt;1,NOT(AND(C1360=C1359,AA1360=AA1359+1))),INDEX(DATAS,AA1359+1),"")</f>
        <v/>
      </c>
      <c r="AI1359" s="51" t="str">
        <f aca="false">IF(AND(AC1359=1,AA1359&lt;1),IF(AND(C1360=C1359,AA1360=AA1359+1),IF(AC1360=1,"",INDEX(DATAS,AA1359+1)),INDEX(DATAS,AA1359+1)),"")</f>
        <v/>
      </c>
    </row>
    <row r="1360" customFormat="false" ht="15" hidden="false" customHeight="false" outlineLevel="0" collapsed="false">
      <c r="A1360" s="51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46" t="s">
        <v>909</v>
      </c>
      <c r="G1360" s="0" t="n">
        <v>21.1</v>
      </c>
      <c r="H1360" s="0" t="n">
        <v>20</v>
      </c>
      <c r="I1360" s="46" t="s">
        <v>152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51" t="n">
        <v>46139</v>
      </c>
      <c r="X1360" s="46" t="n">
        <f aca="false">IF(I1360="Male",0,1)</f>
        <v>1</v>
      </c>
      <c r="Y1360" s="46" t="n">
        <f aca="false">IF(OR(I1360="DNB",I1360="Dry DNB"),1,0)</f>
        <v>0</v>
      </c>
      <c r="Z1360" s="46" t="n">
        <f aca="false">IF(ISNUMBER(W1360),A1360-W1360,"")</f>
        <v>170</v>
      </c>
      <c r="AA1360" s="46" t="n">
        <f aca="false">MATCH(A1360,DATAS,0)</f>
        <v>1</v>
      </c>
      <c r="AB1360" s="46" t="n">
        <f aca="false">IF(AND(E1360&gt;0,OR(AND(B1360&gt;=1,B1360&lt;=6),B1360=10)),1,0)</f>
        <v>1</v>
      </c>
      <c r="AC1360" s="46" t="n">
        <f aca="false">IF(AND(E1360&gt;0,B1360=10),1,0)</f>
        <v>0</v>
      </c>
      <c r="AD1360" s="0" t="str">
        <f aca="false">IF(AND(C1359=C1360,AA1359=AA1360-1),AB1359,"")</f>
        <v/>
      </c>
      <c r="AE1360" s="0" t="str">
        <f aca="false">IF(AND(C1359=C1360,AA1359=AA1360-1),AC1359,"")</f>
        <v/>
      </c>
      <c r="AF1360" s="0" t="str">
        <f aca="false">IF(AA1360=1,"",IF(AND(AB1360=1,AD1360&lt;&gt;1),1,0))</f>
        <v/>
      </c>
      <c r="AG1360" s="0" t="str">
        <f aca="false">IF(AA1360=1,"",IF(AND(AC1360=1,AE1360&lt;&gt;1),1,0))</f>
        <v/>
      </c>
      <c r="AH1360" s="51" t="str">
        <f aca="false">IF(AND(E1360&gt;0,AA1360&lt;1,NOT(AND(C1361=C1360,AA1361=AA1360+1))),INDEX(DATAS,AA1360+1),"")</f>
        <v/>
      </c>
      <c r="AI1360" s="51" t="str">
        <f aca="false">IF(AND(AC1360=1,AA1360&lt;1),IF(AND(C1361=C1360,AA1361=AA1360+1),IF(AC1361=1,"",INDEX(DATAS,AA1360+1)),INDEX(DATAS,AA1360+1)),"")</f>
        <v/>
      </c>
    </row>
    <row r="1361" customFormat="false" ht="15" hidden="false" customHeight="false" outlineLevel="0" collapsed="false">
      <c r="A1361" s="51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46" t="s">
        <v>909</v>
      </c>
      <c r="G1361" s="0" t="n">
        <v>45.3</v>
      </c>
      <c r="H1361" s="0" t="n">
        <v>49</v>
      </c>
      <c r="I1361" s="46" t="s">
        <v>181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51" t="n">
        <v>46289</v>
      </c>
      <c r="X1361" s="46" t="n">
        <f aca="false">IF(I1361="Male",0,1)</f>
        <v>1</v>
      </c>
      <c r="Y1361" s="46" t="n">
        <f aca="false">IF(OR(I1361="DNB",I1361="Dry DNB"),1,0)</f>
        <v>0</v>
      </c>
      <c r="Z1361" s="46" t="n">
        <f aca="false">IF(ISNUMBER(W1361),A1361-W1361,"")</f>
        <v>20</v>
      </c>
      <c r="AA1361" s="46" t="n">
        <f aca="false">MATCH(A1361,DATAS,0)</f>
        <v>1</v>
      </c>
      <c r="AB1361" s="46" t="n">
        <f aca="false">IF(AND(E1361&gt;0,OR(AND(B1361&gt;=1,B1361&lt;=6),B1361=10)),1,0)</f>
        <v>1</v>
      </c>
      <c r="AC1361" s="46" t="n">
        <f aca="false">IF(AND(E1361&gt;0,B1361=10),1,0)</f>
        <v>0</v>
      </c>
      <c r="AD1361" s="0" t="str">
        <f aca="false">IF(AND(C1360=C1361,AA1360=AA1361-1),AB1360,"")</f>
        <v/>
      </c>
      <c r="AE1361" s="0" t="str">
        <f aca="false">IF(AND(C1360=C1361,AA1360=AA1361-1),AC1360,"")</f>
        <v/>
      </c>
      <c r="AF1361" s="0" t="str">
        <f aca="false">IF(AA1361=1,"",IF(AND(AB1361=1,AD1361&lt;&gt;1),1,0))</f>
        <v/>
      </c>
      <c r="AG1361" s="0" t="str">
        <f aca="false">IF(AA1361=1,"",IF(AND(AC1361=1,AE1361&lt;&gt;1),1,0))</f>
        <v/>
      </c>
      <c r="AH1361" s="51" t="str">
        <f aca="false">IF(AND(E1361&gt;0,AA1361&lt;1,NOT(AND(C1362=C1361,AA1362=AA1361+1))),INDEX(DATAS,AA1361+1),"")</f>
        <v/>
      </c>
      <c r="AI1361" s="51" t="str">
        <f aca="false">IF(AND(AC1361=1,AA1361&lt;1),IF(AND(C1362=C1361,AA1362=AA1361+1),IF(AC1362=1,"",INDEX(DATAS,AA1361+1)),INDEX(DATAS,AA1361+1)),"")</f>
        <v/>
      </c>
    </row>
    <row r="1362" customFormat="false" ht="15" hidden="false" customHeight="false" outlineLevel="0" collapsed="false">
      <c r="A1362" s="51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46" t="s">
        <v>910</v>
      </c>
      <c r="G1362" s="0" t="n">
        <v>45</v>
      </c>
      <c r="H1362" s="0" t="n">
        <v>34</v>
      </c>
      <c r="I1362" s="46" t="s">
        <v>181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51" t="n">
        <v>46303</v>
      </c>
      <c r="X1362" s="46" t="n">
        <f aca="false">IF(I1362="Male",0,1)</f>
        <v>1</v>
      </c>
      <c r="Y1362" s="46" t="n">
        <f aca="false">IF(OR(I1362="DNB",I1362="Dry DNB"),1,0)</f>
        <v>0</v>
      </c>
      <c r="Z1362" s="46" t="n">
        <f aca="false">IF(ISNUMBER(W1362),A1362-W1362,"")</f>
        <v>6</v>
      </c>
      <c r="AA1362" s="46" t="n">
        <f aca="false">MATCH(A1362,DATAS,0)</f>
        <v>1</v>
      </c>
      <c r="AB1362" s="46" t="n">
        <f aca="false">IF(AND(E1362&gt;0,OR(AND(B1362&gt;=1,B1362&lt;=6),B1362=10)),1,0)</f>
        <v>1</v>
      </c>
      <c r="AC1362" s="46" t="n">
        <f aca="false">IF(AND(E1362&gt;0,B1362=10),1,0)</f>
        <v>0</v>
      </c>
      <c r="AD1362" s="0" t="str">
        <f aca="false">IF(AND(C1361=C1362,AA1361=AA1362-1),AB1361,"")</f>
        <v/>
      </c>
      <c r="AE1362" s="0" t="str">
        <f aca="false">IF(AND(C1361=C1362,AA1361=AA1362-1),AC1361,"")</f>
        <v/>
      </c>
      <c r="AF1362" s="0" t="str">
        <f aca="false">IF(AA1362=1,"",IF(AND(AB1362=1,AD1362&lt;&gt;1),1,0))</f>
        <v/>
      </c>
      <c r="AG1362" s="0" t="str">
        <f aca="false">IF(AA1362=1,"",IF(AND(AC1362=1,AE1362&lt;&gt;1),1,0))</f>
        <v/>
      </c>
      <c r="AH1362" s="51" t="str">
        <f aca="false">IF(AND(E1362&gt;0,AA1362&lt;1,NOT(AND(C1363=C1362,AA1363=AA1362+1))),INDEX(DATAS,AA1362+1),"")</f>
        <v/>
      </c>
      <c r="AI1362" s="51" t="str">
        <f aca="false">IF(AND(AC1362=1,AA1362&lt;1),IF(AND(C1363=C1362,AA1363=AA1362+1),IF(AC1363=1,"",INDEX(DATAS,AA1362+1)),INDEX(DATAS,AA1362+1)),"")</f>
        <v/>
      </c>
    </row>
    <row r="1363" customFormat="false" ht="15" hidden="false" customHeight="false" outlineLevel="0" collapsed="false">
      <c r="A1363" s="51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46" t="s">
        <v>911</v>
      </c>
      <c r="G1363" s="0" t="n">
        <v>46.3</v>
      </c>
      <c r="H1363" s="0" t="n">
        <v>47</v>
      </c>
      <c r="I1363" s="46" t="s">
        <v>152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51" t="n">
        <v>46156</v>
      </c>
      <c r="X1363" s="46" t="n">
        <f aca="false">IF(I1363="Male",0,1)</f>
        <v>1</v>
      </c>
      <c r="Y1363" s="46" t="n">
        <f aca="false">IF(OR(I1363="DNB",I1363="Dry DNB"),1,0)</f>
        <v>0</v>
      </c>
      <c r="Z1363" s="46" t="n">
        <f aca="false">IF(ISNUMBER(W1363),A1363-W1363,"")</f>
        <v>153</v>
      </c>
      <c r="AA1363" s="46" t="n">
        <f aca="false">MATCH(A1363,DATAS,0)</f>
        <v>1</v>
      </c>
      <c r="AB1363" s="46" t="n">
        <f aca="false">IF(AND(E1363&gt;0,OR(AND(B1363&gt;=1,B1363&lt;=6),B1363=10)),1,0)</f>
        <v>1</v>
      </c>
      <c r="AC1363" s="46" t="n">
        <f aca="false">IF(AND(E1363&gt;0,B1363=10),1,0)</f>
        <v>0</v>
      </c>
      <c r="AD1363" s="0" t="str">
        <f aca="false">IF(AND(C1362=C1363,AA1362=AA1363-1),AB1362,"")</f>
        <v/>
      </c>
      <c r="AE1363" s="0" t="str">
        <f aca="false">IF(AND(C1362=C1363,AA1362=AA1363-1),AC1362,"")</f>
        <v/>
      </c>
      <c r="AF1363" s="0" t="str">
        <f aca="false">IF(AA1363=1,"",IF(AND(AB1363=1,AD1363&lt;&gt;1),1,0))</f>
        <v/>
      </c>
      <c r="AG1363" s="0" t="str">
        <f aca="false">IF(AA1363=1,"",IF(AND(AC1363=1,AE1363&lt;&gt;1),1,0))</f>
        <v/>
      </c>
      <c r="AH1363" s="51" t="str">
        <f aca="false">IF(AND(E1363&gt;0,AA1363&lt;1,NOT(AND(C1364=C1363,AA1364=AA1363+1))),INDEX(DATAS,AA1363+1),"")</f>
        <v/>
      </c>
      <c r="AI1363" s="51" t="str">
        <f aca="false">IF(AND(AC1363=1,AA1363&lt;1),IF(AND(C1364=C1363,AA1364=AA1363+1),IF(AC1364=1,"",INDEX(DATAS,AA1363+1)),INDEX(DATAS,AA1363+1)),"")</f>
        <v/>
      </c>
    </row>
    <row r="1364" customFormat="false" ht="15" hidden="false" customHeight="false" outlineLevel="0" collapsed="false">
      <c r="A1364" s="51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46" t="s">
        <v>912</v>
      </c>
      <c r="G1364" s="0" t="n">
        <v>23</v>
      </c>
      <c r="H1364" s="0" t="n">
        <v>25</v>
      </c>
      <c r="I1364" s="46" t="s">
        <v>152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51" t="n">
        <v>46205</v>
      </c>
      <c r="X1364" s="46" t="n">
        <f aca="false">IF(I1364="Male",0,1)</f>
        <v>1</v>
      </c>
      <c r="Y1364" s="46" t="n">
        <f aca="false">IF(OR(I1364="DNB",I1364="Dry DNB"),1,0)</f>
        <v>0</v>
      </c>
      <c r="Z1364" s="46" t="n">
        <f aca="false">IF(ISNUMBER(W1364),A1364-W1364,"")</f>
        <v>104</v>
      </c>
      <c r="AA1364" s="46" t="n">
        <f aca="false">MATCH(A1364,DATAS,0)</f>
        <v>1</v>
      </c>
      <c r="AB1364" s="46" t="n">
        <f aca="false">IF(AND(E1364&gt;0,OR(AND(B1364&gt;=1,B1364&lt;=6),B1364=10)),1,0)</f>
        <v>1</v>
      </c>
      <c r="AC1364" s="46" t="n">
        <f aca="false">IF(AND(E1364&gt;0,B1364=10),1,0)</f>
        <v>0</v>
      </c>
      <c r="AD1364" s="0" t="str">
        <f aca="false">IF(AND(C1363=C1364,AA1363=AA1364-1),AB1363,"")</f>
        <v/>
      </c>
      <c r="AE1364" s="0" t="str">
        <f aca="false">IF(AND(C1363=C1364,AA1363=AA1364-1),AC1363,"")</f>
        <v/>
      </c>
      <c r="AF1364" s="0" t="str">
        <f aca="false">IF(AA1364=1,"",IF(AND(AB1364=1,AD1364&lt;&gt;1),1,0))</f>
        <v/>
      </c>
      <c r="AG1364" s="0" t="str">
        <f aca="false">IF(AA1364=1,"",IF(AND(AC1364=1,AE1364&lt;&gt;1),1,0))</f>
        <v/>
      </c>
      <c r="AH1364" s="51" t="str">
        <f aca="false">IF(AND(E1364&gt;0,AA1364&lt;1,NOT(AND(C1365=C1364,AA1365=AA1364+1))),INDEX(DATAS,AA1364+1),"")</f>
        <v/>
      </c>
      <c r="AI1364" s="51" t="str">
        <f aca="false">IF(AND(AC1364=1,AA1364&lt;1),IF(AND(C1365=C1364,AA1365=AA1364+1),IF(AC1365=1,"",INDEX(DATAS,AA1364+1)),INDEX(DATAS,AA1364+1)),"")</f>
        <v/>
      </c>
    </row>
    <row r="1365" customFormat="false" ht="15" hidden="false" customHeight="false" outlineLevel="0" collapsed="false">
      <c r="A1365" s="51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46" t="s">
        <v>912</v>
      </c>
      <c r="G1365" s="0" t="n">
        <v>31.4</v>
      </c>
      <c r="H1365" s="0" t="n">
        <v>31</v>
      </c>
      <c r="I1365" s="46" t="s">
        <v>152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51" t="n">
        <v>46263</v>
      </c>
      <c r="X1365" s="46" t="n">
        <f aca="false">IF(I1365="Male",0,1)</f>
        <v>1</v>
      </c>
      <c r="Y1365" s="46" t="n">
        <f aca="false">IF(OR(I1365="DNB",I1365="Dry DNB"),1,0)</f>
        <v>0</v>
      </c>
      <c r="Z1365" s="46" t="n">
        <f aca="false">IF(ISNUMBER(W1365),A1365-W1365,"")</f>
        <v>46</v>
      </c>
      <c r="AA1365" s="46" t="n">
        <f aca="false">MATCH(A1365,DATAS,0)</f>
        <v>1</v>
      </c>
      <c r="AB1365" s="46" t="n">
        <f aca="false">IF(AND(E1365&gt;0,OR(AND(B1365&gt;=1,B1365&lt;=6),B1365=10)),1,0)</f>
        <v>1</v>
      </c>
      <c r="AC1365" s="46" t="n">
        <f aca="false">IF(AND(E1365&gt;0,B1365=10),1,0)</f>
        <v>0</v>
      </c>
      <c r="AD1365" s="0" t="str">
        <f aca="false">IF(AND(C1364=C1365,AA1364=AA1365-1),AB1364,"")</f>
        <v/>
      </c>
      <c r="AE1365" s="0" t="str">
        <f aca="false">IF(AND(C1364=C1365,AA1364=AA1365-1),AC1364,"")</f>
        <v/>
      </c>
      <c r="AF1365" s="0" t="str">
        <f aca="false">IF(AA1365=1,"",IF(AND(AB1365=1,AD1365&lt;&gt;1),1,0))</f>
        <v/>
      </c>
      <c r="AG1365" s="0" t="str">
        <f aca="false">IF(AA1365=1,"",IF(AND(AC1365=1,AE1365&lt;&gt;1),1,0))</f>
        <v/>
      </c>
      <c r="AH1365" s="51" t="str">
        <f aca="false">IF(AND(E1365&gt;0,AA1365&lt;1,NOT(AND(C1366=C1365,AA1366=AA1365+1))),INDEX(DATAS,AA1365+1),"")</f>
        <v/>
      </c>
      <c r="AI1365" s="51" t="str">
        <f aca="false">IF(AND(AC1365=1,AA1365&lt;1),IF(AND(C1366=C1365,AA1366=AA1365+1),IF(AC1366=1,"",INDEX(DATAS,AA1365+1)),INDEX(DATAS,AA1365+1)),"")</f>
        <v/>
      </c>
    </row>
    <row r="1366" customFormat="false" ht="15" hidden="false" customHeight="false" outlineLevel="0" collapsed="false">
      <c r="A1366" s="51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46" t="s">
        <v>912</v>
      </c>
      <c r="G1366" s="0" t="n">
        <v>43.7</v>
      </c>
      <c r="H1366" s="0" t="n">
        <v>45</v>
      </c>
      <c r="I1366" s="46" t="s">
        <v>152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51" t="n">
        <v>46114</v>
      </c>
      <c r="X1366" s="46" t="n">
        <f aca="false">IF(I1366="Male",0,1)</f>
        <v>1</v>
      </c>
      <c r="Y1366" s="46" t="n">
        <f aca="false">IF(OR(I1366="DNB",I1366="Dry DNB"),1,0)</f>
        <v>0</v>
      </c>
      <c r="Z1366" s="46" t="n">
        <f aca="false">IF(ISNUMBER(W1366),A1366-W1366,"")</f>
        <v>195</v>
      </c>
      <c r="AA1366" s="46" t="n">
        <f aca="false">MATCH(A1366,DATAS,0)</f>
        <v>1</v>
      </c>
      <c r="AB1366" s="46" t="n">
        <f aca="false">IF(AND(E1366&gt;0,OR(AND(B1366&gt;=1,B1366&lt;=6),B1366=10)),1,0)</f>
        <v>1</v>
      </c>
      <c r="AC1366" s="46" t="n">
        <f aca="false">IF(AND(E1366&gt;0,B1366=10),1,0)</f>
        <v>0</v>
      </c>
      <c r="AD1366" s="0" t="str">
        <f aca="false">IF(AND(C1365=C1366,AA1365=AA1366-1),AB1365,"")</f>
        <v/>
      </c>
      <c r="AE1366" s="0" t="str">
        <f aca="false">IF(AND(C1365=C1366,AA1365=AA1366-1),AC1365,"")</f>
        <v/>
      </c>
      <c r="AF1366" s="0" t="str">
        <f aca="false">IF(AA1366=1,"",IF(AND(AB1366=1,AD1366&lt;&gt;1),1,0))</f>
        <v/>
      </c>
      <c r="AG1366" s="0" t="str">
        <f aca="false">IF(AA1366=1,"",IF(AND(AC1366=1,AE1366&lt;&gt;1),1,0))</f>
        <v/>
      </c>
      <c r="AH1366" s="51" t="str">
        <f aca="false">IF(AND(E1366&gt;0,AA1366&lt;1,NOT(AND(C1367=C1366,AA1367=AA1366+1))),INDEX(DATAS,AA1366+1),"")</f>
        <v/>
      </c>
      <c r="AI1366" s="51" t="str">
        <f aca="false">IF(AND(AC1366=1,AA1366&lt;1),IF(AND(C1367=C1366,AA1367=AA1366+1),IF(AC1367=1,"",INDEX(DATAS,AA1366+1)),INDEX(DATAS,AA1366+1)),"")</f>
        <v/>
      </c>
    </row>
    <row r="1367" customFormat="false" ht="15" hidden="false" customHeight="false" outlineLevel="0" collapsed="false">
      <c r="A1367" s="51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46" t="s">
        <v>913</v>
      </c>
      <c r="I1367" s="46" t="s">
        <v>157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51" t="n">
        <v>46079</v>
      </c>
      <c r="X1367" s="46" t="n">
        <f aca="false">IF(I1367="Male",0,1)</f>
        <v>1</v>
      </c>
      <c r="Y1367" s="46" t="n">
        <f aca="false">IF(OR(I1367="DNB",I1367="Dry DNB"),1,0)</f>
        <v>0</v>
      </c>
      <c r="Z1367" s="46" t="n">
        <f aca="false">IF(ISNUMBER(W1367),A1367-W1367,"")</f>
        <v>230</v>
      </c>
      <c r="AA1367" s="46" t="n">
        <f aca="false">MATCH(A1367,DATAS,0)</f>
        <v>1</v>
      </c>
      <c r="AB1367" s="46" t="n">
        <f aca="false">IF(AND(E1367&gt;0,OR(AND(B1367&gt;=1,B1367&lt;=6),B1367=10)),1,0)</f>
        <v>0</v>
      </c>
      <c r="AC1367" s="46" t="n">
        <f aca="false">IF(AND(E1367&gt;0,B1367=10),1,0)</f>
        <v>0</v>
      </c>
      <c r="AD1367" s="0" t="str">
        <f aca="false">IF(AND(C1366=C1367,AA1366=AA1367-1),AB1366,"")</f>
        <v/>
      </c>
      <c r="AE1367" s="0" t="str">
        <f aca="false">IF(AND(C1366=C1367,AA1366=AA1367-1),AC1366,"")</f>
        <v/>
      </c>
      <c r="AF1367" s="0" t="str">
        <f aca="false">IF(AA1367=1,"",IF(AND(AB1367=1,AD1367&lt;&gt;1),1,0))</f>
        <v/>
      </c>
      <c r="AG1367" s="0" t="str">
        <f aca="false">IF(AA1367=1,"",IF(AND(AC1367=1,AE1367&lt;&gt;1),1,0))</f>
        <v/>
      </c>
      <c r="AH1367" s="51" t="str">
        <f aca="false">IF(AND(E1367&gt;0,AA1367&lt;1,NOT(AND(C1368=C1367,AA1368=AA1367+1))),INDEX(DATAS,AA1367+1),"")</f>
        <v/>
      </c>
      <c r="AI1367" s="51" t="str">
        <f aca="false">IF(AND(AC1367=1,AA1367&lt;1),IF(AND(C1368=C1367,AA1368=AA1367+1),IF(AC1368=1,"",INDEX(DATAS,AA1367+1)),INDEX(DATAS,AA1367+1)),"")</f>
        <v/>
      </c>
    </row>
    <row r="1368" customFormat="false" ht="15" hidden="false" customHeight="false" outlineLevel="0" collapsed="false">
      <c r="A1368" s="51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46" t="s">
        <v>914</v>
      </c>
      <c r="G1368" s="0" t="n">
        <v>12.7</v>
      </c>
      <c r="H1368" s="0" t="n">
        <v>30</v>
      </c>
      <c r="I1368" s="46" t="s">
        <v>152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51" t="n">
        <v>46177</v>
      </c>
      <c r="X1368" s="46" t="n">
        <f aca="false">IF(I1368="Male",0,1)</f>
        <v>1</v>
      </c>
      <c r="Y1368" s="46" t="n">
        <f aca="false">IF(OR(I1368="DNB",I1368="Dry DNB"),1,0)</f>
        <v>0</v>
      </c>
      <c r="Z1368" s="46" t="n">
        <f aca="false">IF(ISNUMBER(W1368),A1368-W1368,"")</f>
        <v>132</v>
      </c>
      <c r="AA1368" s="46" t="n">
        <f aca="false">MATCH(A1368,DATAS,0)</f>
        <v>1</v>
      </c>
      <c r="AB1368" s="46" t="n">
        <f aca="false">IF(AND(E1368&gt;0,OR(AND(B1368&gt;=1,B1368&lt;=6),B1368=10)),1,0)</f>
        <v>1</v>
      </c>
      <c r="AC1368" s="46" t="n">
        <f aca="false">IF(AND(E1368&gt;0,B1368=10),1,0)</f>
        <v>1</v>
      </c>
      <c r="AD1368" s="0" t="str">
        <f aca="false">IF(AND(C1367=C1368,AA1367=AA1368-1),AB1367,"")</f>
        <v/>
      </c>
      <c r="AE1368" s="0" t="str">
        <f aca="false">IF(AND(C1367=C1368,AA1367=AA1368-1),AC1367,"")</f>
        <v/>
      </c>
      <c r="AF1368" s="0" t="str">
        <f aca="false">IF(AA1368=1,"",IF(AND(AB1368=1,AD1368&lt;&gt;1),1,0))</f>
        <v/>
      </c>
      <c r="AG1368" s="0" t="str">
        <f aca="false">IF(AA1368=1,"",IF(AND(AC1368=1,AE1368&lt;&gt;1),1,0))</f>
        <v/>
      </c>
      <c r="AH1368" s="51" t="str">
        <f aca="false">IF(AND(E1368&gt;0,AA1368&lt;1,NOT(AND(C1369=C1368,AA1369=AA1368+1))),INDEX(DATAS,AA1368+1),"")</f>
        <v/>
      </c>
      <c r="AI1368" s="51" t="str">
        <f aca="false">IF(AND(AC1368=1,AA1368&lt;1),IF(AND(C1369=C1368,AA1369=AA1368+1),IF(AC1369=1,"",INDEX(DATAS,AA1368+1)),INDEX(DATAS,AA1368+1)),"")</f>
        <v/>
      </c>
    </row>
    <row r="1369" customFormat="false" ht="15" hidden="false" customHeight="false" outlineLevel="0" collapsed="false">
      <c r="A1369" s="51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46" t="s">
        <v>915</v>
      </c>
      <c r="G1369" s="0" t="n">
        <v>43.8</v>
      </c>
      <c r="H1369" s="0" t="n">
        <v>42</v>
      </c>
      <c r="I1369" s="46" t="s">
        <v>152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51" t="n">
        <v>46149</v>
      </c>
      <c r="X1369" s="46" t="n">
        <f aca="false">IF(I1369="Male",0,1)</f>
        <v>1</v>
      </c>
      <c r="Y1369" s="46" t="n">
        <f aca="false">IF(OR(I1369="DNB",I1369="Dry DNB"),1,0)</f>
        <v>0</v>
      </c>
      <c r="Z1369" s="46" t="n">
        <f aca="false">IF(ISNUMBER(W1369),A1369-W1369,"")</f>
        <v>160</v>
      </c>
      <c r="AA1369" s="46" t="n">
        <f aca="false">MATCH(A1369,DATAS,0)</f>
        <v>1</v>
      </c>
      <c r="AB1369" s="46" t="n">
        <f aca="false">IF(AND(E1369&gt;0,OR(AND(B1369&gt;=1,B1369&lt;=6),B1369=10)),1,0)</f>
        <v>1</v>
      </c>
      <c r="AC1369" s="46" t="n">
        <f aca="false">IF(AND(E1369&gt;0,B1369=10),1,0)</f>
        <v>0</v>
      </c>
      <c r="AD1369" s="0" t="str">
        <f aca="false">IF(AND(C1368=C1369,AA1368=AA1369-1),AB1368,"")</f>
        <v/>
      </c>
      <c r="AE1369" s="0" t="str">
        <f aca="false">IF(AND(C1368=C1369,AA1368=AA1369-1),AC1368,"")</f>
        <v/>
      </c>
      <c r="AF1369" s="0" t="str">
        <f aca="false">IF(AA1369=1,"",IF(AND(AB1369=1,AD1369&lt;&gt;1),1,0))</f>
        <v/>
      </c>
      <c r="AG1369" s="0" t="str">
        <f aca="false">IF(AA1369=1,"",IF(AND(AC1369=1,AE1369&lt;&gt;1),1,0))</f>
        <v/>
      </c>
      <c r="AH1369" s="51" t="str">
        <f aca="false">IF(AND(E1369&gt;0,AA1369&lt;1,NOT(AND(C1370=C1369,AA1370=AA1369+1))),INDEX(DATAS,AA1369+1),"")</f>
        <v/>
      </c>
      <c r="AI1369" s="51" t="str">
        <f aca="false">IF(AND(AC1369=1,AA1369&lt;1),IF(AND(C1370=C1369,AA1370=AA1369+1),IF(AC1370=1,"",INDEX(DATAS,AA1369+1)),INDEX(DATAS,AA1369+1)),"")</f>
        <v/>
      </c>
    </row>
    <row r="1370" customFormat="false" ht="15" hidden="false" customHeight="false" outlineLevel="0" collapsed="false">
      <c r="A1370" s="51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46" t="s">
        <v>916</v>
      </c>
      <c r="G1370" s="0" t="n">
        <v>44.4</v>
      </c>
      <c r="H1370" s="0" t="n">
        <v>45</v>
      </c>
      <c r="I1370" s="46" t="s">
        <v>152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51" t="n">
        <v>46170</v>
      </c>
      <c r="X1370" s="46" t="n">
        <f aca="false">IF(I1370="Male",0,1)</f>
        <v>1</v>
      </c>
      <c r="Y1370" s="46" t="n">
        <f aca="false">IF(OR(I1370="DNB",I1370="Dry DNB"),1,0)</f>
        <v>0</v>
      </c>
      <c r="Z1370" s="46" t="n">
        <f aca="false">IF(ISNUMBER(W1370),A1370-W1370,"")</f>
        <v>139</v>
      </c>
      <c r="AA1370" s="46" t="n">
        <f aca="false">MATCH(A1370,DATAS,0)</f>
        <v>1</v>
      </c>
      <c r="AB1370" s="46" t="n">
        <f aca="false">IF(AND(E1370&gt;0,OR(AND(B1370&gt;=1,B1370&lt;=6),B1370=10)),1,0)</f>
        <v>1</v>
      </c>
      <c r="AC1370" s="46" t="n">
        <f aca="false">IF(AND(E1370&gt;0,B1370=10),1,0)</f>
        <v>0</v>
      </c>
      <c r="AD1370" s="0" t="str">
        <f aca="false">IF(AND(C1369=C1370,AA1369=AA1370-1),AB1369,"")</f>
        <v/>
      </c>
      <c r="AE1370" s="0" t="str">
        <f aca="false">IF(AND(C1369=C1370,AA1369=AA1370-1),AC1369,"")</f>
        <v/>
      </c>
      <c r="AF1370" s="0" t="str">
        <f aca="false">IF(AA1370=1,"",IF(AND(AB1370=1,AD1370&lt;&gt;1),1,0))</f>
        <v/>
      </c>
      <c r="AG1370" s="0" t="str">
        <f aca="false">IF(AA1370=1,"",IF(AND(AC1370=1,AE1370&lt;&gt;1),1,0))</f>
        <v/>
      </c>
      <c r="AH1370" s="51" t="str">
        <f aca="false">IF(AND(E1370&gt;0,AA1370&lt;1,NOT(AND(C1371=C1370,AA1371=AA1370+1))),INDEX(DATAS,AA1370+1),"")</f>
        <v/>
      </c>
      <c r="AI1370" s="51" t="str">
        <f aca="false">IF(AND(AC1370=1,AA1370&lt;1),IF(AND(C1371=C1370,AA1371=AA1370+1),IF(AC1371=1,"",INDEX(DATAS,AA1370+1)),INDEX(DATAS,AA1370+1)),"")</f>
        <v/>
      </c>
    </row>
    <row r="1371" customFormat="false" ht="15" hidden="false" customHeight="false" outlineLevel="0" collapsed="false">
      <c r="A1371" s="51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46" t="s">
        <v>917</v>
      </c>
      <c r="G1371" s="0" t="n">
        <v>53.7</v>
      </c>
      <c r="H1371" s="0" t="n">
        <v>55</v>
      </c>
      <c r="I1371" s="46" t="s">
        <v>152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51" t="n">
        <v>46177</v>
      </c>
      <c r="X1371" s="46" t="n">
        <f aca="false">IF(I1371="Male",0,1)</f>
        <v>1</v>
      </c>
      <c r="Y1371" s="46" t="n">
        <f aca="false">IF(OR(I1371="DNB",I1371="Dry DNB"),1,0)</f>
        <v>0</v>
      </c>
      <c r="Z1371" s="46" t="n">
        <f aca="false">IF(ISNUMBER(W1371),A1371-W1371,"")</f>
        <v>132</v>
      </c>
      <c r="AA1371" s="46" t="n">
        <f aca="false">MATCH(A1371,DATAS,0)</f>
        <v>1</v>
      </c>
      <c r="AB1371" s="46" t="n">
        <f aca="false">IF(AND(E1371&gt;0,OR(AND(B1371&gt;=1,B1371&lt;=6),B1371=10)),1,0)</f>
        <v>1</v>
      </c>
      <c r="AC1371" s="46" t="n">
        <f aca="false">IF(AND(E1371&gt;0,B1371=10),1,0)</f>
        <v>0</v>
      </c>
      <c r="AD1371" s="0" t="str">
        <f aca="false">IF(AND(C1370=C1371,AA1370=AA1371-1),AB1370,"")</f>
        <v/>
      </c>
      <c r="AE1371" s="0" t="str">
        <f aca="false">IF(AND(C1370=C1371,AA1370=AA1371-1),AC1370,"")</f>
        <v/>
      </c>
      <c r="AF1371" s="0" t="str">
        <f aca="false">IF(AA1371=1,"",IF(AND(AB1371=1,AD1371&lt;&gt;1),1,0))</f>
        <v/>
      </c>
      <c r="AG1371" s="0" t="str">
        <f aca="false">IF(AA1371=1,"",IF(AND(AC1371=1,AE1371&lt;&gt;1),1,0))</f>
        <v/>
      </c>
      <c r="AH1371" s="51" t="str">
        <f aca="false">IF(AND(E1371&gt;0,AA1371&lt;1,NOT(AND(C1372=C1371,AA1372=AA1371+1))),INDEX(DATAS,AA1371+1),"")</f>
        <v/>
      </c>
      <c r="AI1371" s="51" t="str">
        <f aca="false">IF(AND(AC1371=1,AA1371&lt;1),IF(AND(C1372=C1371,AA1372=AA1371+1),IF(AC1372=1,"",INDEX(DATAS,AA1371+1)),INDEX(DATAS,AA1371+1)),"")</f>
        <v/>
      </c>
    </row>
    <row r="1372" customFormat="false" ht="15" hidden="false" customHeight="false" outlineLevel="0" collapsed="false">
      <c r="A1372" s="51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46" t="s">
        <v>918</v>
      </c>
      <c r="G1372" s="0" t="n">
        <v>42.2</v>
      </c>
      <c r="H1372" s="0" t="n">
        <v>44</v>
      </c>
      <c r="I1372" s="46" t="s">
        <v>152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51" t="n">
        <v>46226</v>
      </c>
      <c r="X1372" s="46" t="n">
        <f aca="false">IF(I1372="Male",0,1)</f>
        <v>1</v>
      </c>
      <c r="Y1372" s="46" t="n">
        <f aca="false">IF(OR(I1372="DNB",I1372="Dry DNB"),1,0)</f>
        <v>0</v>
      </c>
      <c r="Z1372" s="46" t="n">
        <f aca="false">IF(ISNUMBER(W1372),A1372-W1372,"")</f>
        <v>83</v>
      </c>
      <c r="AA1372" s="46" t="n">
        <f aca="false">MATCH(A1372,DATAS,0)</f>
        <v>1</v>
      </c>
      <c r="AB1372" s="46" t="n">
        <f aca="false">IF(AND(E1372&gt;0,OR(AND(B1372&gt;=1,B1372&lt;=6),B1372=10)),1,0)</f>
        <v>1</v>
      </c>
      <c r="AC1372" s="46" t="n">
        <f aca="false">IF(AND(E1372&gt;0,B1372=10),1,0)</f>
        <v>0</v>
      </c>
      <c r="AD1372" s="0" t="str">
        <f aca="false">IF(AND(C1371=C1372,AA1371=AA1372-1),AB1371,"")</f>
        <v/>
      </c>
      <c r="AE1372" s="0" t="str">
        <f aca="false">IF(AND(C1371=C1372,AA1371=AA1372-1),AC1371,"")</f>
        <v/>
      </c>
      <c r="AF1372" s="0" t="str">
        <f aca="false">IF(AA1372=1,"",IF(AND(AB1372=1,AD1372&lt;&gt;1),1,0))</f>
        <v/>
      </c>
      <c r="AG1372" s="0" t="str">
        <f aca="false">IF(AA1372=1,"",IF(AND(AC1372=1,AE1372&lt;&gt;1),1,0))</f>
        <v/>
      </c>
      <c r="AH1372" s="51" t="str">
        <f aca="false">IF(AND(E1372&gt;0,AA1372&lt;1,NOT(AND(C1373=C1372,AA1373=AA1372+1))),INDEX(DATAS,AA1372+1),"")</f>
        <v/>
      </c>
      <c r="AI1372" s="51" t="str">
        <f aca="false">IF(AND(AC1372=1,AA1372&lt;1),IF(AND(C1373=C1372,AA1373=AA1372+1),IF(AC1373=1,"",INDEX(DATAS,AA1372+1)),INDEX(DATAS,AA1372+1)),"")</f>
        <v/>
      </c>
    </row>
    <row r="1373" customFormat="false" ht="15" hidden="false" customHeight="false" outlineLevel="0" collapsed="false">
      <c r="A1373" s="51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46" t="s">
        <v>918</v>
      </c>
      <c r="G1373" s="0" t="n">
        <v>42.2</v>
      </c>
      <c r="H1373" s="0" t="n">
        <v>43</v>
      </c>
      <c r="I1373" s="46" t="s">
        <v>152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51" t="n">
        <v>46156</v>
      </c>
      <c r="X1373" s="46" t="n">
        <f aca="false">IF(I1373="Male",0,1)</f>
        <v>1</v>
      </c>
      <c r="Y1373" s="46" t="n">
        <f aca="false">IF(OR(I1373="DNB",I1373="Dry DNB"),1,0)</f>
        <v>0</v>
      </c>
      <c r="Z1373" s="46" t="n">
        <f aca="false">IF(ISNUMBER(W1373),A1373-W1373,"")</f>
        <v>153</v>
      </c>
      <c r="AA1373" s="46" t="n">
        <f aca="false">MATCH(A1373,DATAS,0)</f>
        <v>1</v>
      </c>
      <c r="AB1373" s="46" t="n">
        <f aca="false">IF(AND(E1373&gt;0,OR(AND(B1373&gt;=1,B1373&lt;=6),B1373=10)),1,0)</f>
        <v>1</v>
      </c>
      <c r="AC1373" s="46" t="n">
        <f aca="false">IF(AND(E1373&gt;0,B1373=10),1,0)</f>
        <v>0</v>
      </c>
      <c r="AD1373" s="0" t="str">
        <f aca="false">IF(AND(C1372=C1373,AA1372=AA1373-1),AB1372,"")</f>
        <v/>
      </c>
      <c r="AE1373" s="0" t="str">
        <f aca="false">IF(AND(C1372=C1373,AA1372=AA1373-1),AC1372,"")</f>
        <v/>
      </c>
      <c r="AF1373" s="0" t="str">
        <f aca="false">IF(AA1373=1,"",IF(AND(AB1373=1,AD1373&lt;&gt;1),1,0))</f>
        <v/>
      </c>
      <c r="AG1373" s="0" t="str">
        <f aca="false">IF(AA1373=1,"",IF(AND(AC1373=1,AE1373&lt;&gt;1),1,0))</f>
        <v/>
      </c>
      <c r="AH1373" s="51" t="str">
        <f aca="false">IF(AND(E1373&gt;0,AA1373&lt;1,NOT(AND(C1374=C1373,AA1374=AA1373+1))),INDEX(DATAS,AA1373+1),"")</f>
        <v/>
      </c>
      <c r="AI1373" s="51" t="str">
        <f aca="false">IF(AND(AC1373=1,AA1373&lt;1),IF(AND(C1374=C1373,AA1374=AA1373+1),IF(AC1374=1,"",INDEX(DATAS,AA1373+1)),INDEX(DATAS,AA1373+1)),"")</f>
        <v/>
      </c>
    </row>
    <row r="1374" customFormat="false" ht="15" hidden="false" customHeight="false" outlineLevel="0" collapsed="false">
      <c r="A1374" s="51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46" t="s">
        <v>919</v>
      </c>
      <c r="G1374" s="0" t="n">
        <v>54.7</v>
      </c>
      <c r="H1374" s="0" t="n">
        <v>53</v>
      </c>
      <c r="I1374" s="46" t="s">
        <v>152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51" t="n">
        <v>46178</v>
      </c>
      <c r="X1374" s="46" t="n">
        <f aca="false">IF(I1374="Male",0,1)</f>
        <v>1</v>
      </c>
      <c r="Y1374" s="46" t="n">
        <f aca="false">IF(OR(I1374="DNB",I1374="Dry DNB"),1,0)</f>
        <v>0</v>
      </c>
      <c r="Z1374" s="46" t="n">
        <f aca="false">IF(ISNUMBER(W1374),A1374-W1374,"")</f>
        <v>131</v>
      </c>
      <c r="AA1374" s="46" t="n">
        <f aca="false">MATCH(A1374,DATAS,0)</f>
        <v>1</v>
      </c>
      <c r="AB1374" s="46" t="n">
        <f aca="false">IF(AND(E1374&gt;0,OR(AND(B1374&gt;=1,B1374&lt;=6),B1374=10)),1,0)</f>
        <v>1</v>
      </c>
      <c r="AC1374" s="46" t="n">
        <f aca="false">IF(AND(E1374&gt;0,B1374=10),1,0)</f>
        <v>0</v>
      </c>
      <c r="AD1374" s="0" t="str">
        <f aca="false">IF(AND(C1373=C1374,AA1373=AA1374-1),AB1373,"")</f>
        <v/>
      </c>
      <c r="AE1374" s="0" t="str">
        <f aca="false">IF(AND(C1373=C1374,AA1373=AA1374-1),AC1373,"")</f>
        <v/>
      </c>
      <c r="AF1374" s="0" t="str">
        <f aca="false">IF(AA1374=1,"",IF(AND(AB1374=1,AD1374&lt;&gt;1),1,0))</f>
        <v/>
      </c>
      <c r="AG1374" s="0" t="str">
        <f aca="false">IF(AA1374=1,"",IF(AND(AC1374=1,AE1374&lt;&gt;1),1,0))</f>
        <v/>
      </c>
      <c r="AH1374" s="51" t="str">
        <f aca="false">IF(AND(E1374&gt;0,AA1374&lt;1,NOT(AND(C1375=C1374,AA1375=AA1374+1))),INDEX(DATAS,AA1374+1),"")</f>
        <v/>
      </c>
      <c r="AI1374" s="51" t="str">
        <f aca="false">IF(AND(AC1374=1,AA1374&lt;1),IF(AND(C1375=C1374,AA1375=AA1374+1),IF(AC1375=1,"",INDEX(DATAS,AA1374+1)),INDEX(DATAS,AA1374+1)),"")</f>
        <v/>
      </c>
    </row>
    <row r="1375" customFormat="false" ht="15" hidden="false" customHeight="false" outlineLevel="0" collapsed="false">
      <c r="A1375" s="51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46" t="s">
        <v>920</v>
      </c>
      <c r="G1375" s="0" t="n">
        <v>48.8</v>
      </c>
      <c r="H1375" s="0" t="n">
        <v>47</v>
      </c>
      <c r="I1375" s="46" t="s">
        <v>181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51" t="n">
        <v>46282</v>
      </c>
      <c r="X1375" s="46" t="n">
        <f aca="false">IF(I1375="Male",0,1)</f>
        <v>1</v>
      </c>
      <c r="Y1375" s="46" t="n">
        <f aca="false">IF(OR(I1375="DNB",I1375="Dry DNB"),1,0)</f>
        <v>0</v>
      </c>
      <c r="Z1375" s="46" t="n">
        <f aca="false">IF(ISNUMBER(W1375),A1375-W1375,"")</f>
        <v>27</v>
      </c>
      <c r="AA1375" s="46" t="n">
        <f aca="false">MATCH(A1375,DATAS,0)</f>
        <v>1</v>
      </c>
      <c r="AB1375" s="46" t="n">
        <f aca="false">IF(AND(E1375&gt;0,OR(AND(B1375&gt;=1,B1375&lt;=6),B1375=10)),1,0)</f>
        <v>1</v>
      </c>
      <c r="AC1375" s="46" t="n">
        <f aca="false">IF(AND(E1375&gt;0,B1375=10),1,0)</f>
        <v>0</v>
      </c>
      <c r="AD1375" s="0" t="str">
        <f aca="false">IF(AND(C1374=C1375,AA1374=AA1375-1),AB1374,"")</f>
        <v/>
      </c>
      <c r="AE1375" s="0" t="str">
        <f aca="false">IF(AND(C1374=C1375,AA1374=AA1375-1),AC1374,"")</f>
        <v/>
      </c>
      <c r="AF1375" s="0" t="str">
        <f aca="false">IF(AA1375=1,"",IF(AND(AB1375=1,AD1375&lt;&gt;1),1,0))</f>
        <v/>
      </c>
      <c r="AG1375" s="0" t="str">
        <f aca="false">IF(AA1375=1,"",IF(AND(AC1375=1,AE1375&lt;&gt;1),1,0))</f>
        <v/>
      </c>
      <c r="AH1375" s="51" t="str">
        <f aca="false">IF(AND(E1375&gt;0,AA1375&lt;1,NOT(AND(C1376=C1375,AA1376=AA1375+1))),INDEX(DATAS,AA1375+1),"")</f>
        <v/>
      </c>
      <c r="AI1375" s="51" t="str">
        <f aca="false">IF(AND(AC1375=1,AA1375&lt;1),IF(AND(C1376=C1375,AA1376=AA1375+1),IF(AC1376=1,"",INDEX(DATAS,AA1375+1)),INDEX(DATAS,AA1375+1)),"")</f>
        <v/>
      </c>
    </row>
    <row r="1376" customFormat="false" ht="15" hidden="false" customHeight="false" outlineLevel="0" collapsed="false">
      <c r="A1376" s="51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46" t="s">
        <v>920</v>
      </c>
      <c r="G1376" s="0" t="n">
        <v>51.6</v>
      </c>
      <c r="H1376" s="0" t="n">
        <v>52</v>
      </c>
      <c r="I1376" s="46" t="s">
        <v>152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51" t="n">
        <v>46142</v>
      </c>
      <c r="X1376" s="46" t="n">
        <f aca="false">IF(I1376="Male",0,1)</f>
        <v>1</v>
      </c>
      <c r="Y1376" s="46" t="n">
        <f aca="false">IF(OR(I1376="DNB",I1376="Dry DNB"),1,0)</f>
        <v>0</v>
      </c>
      <c r="Z1376" s="46" t="n">
        <f aca="false">IF(ISNUMBER(W1376),A1376-W1376,"")</f>
        <v>167</v>
      </c>
      <c r="AA1376" s="46" t="n">
        <f aca="false">MATCH(A1376,DATAS,0)</f>
        <v>1</v>
      </c>
      <c r="AB1376" s="46" t="n">
        <f aca="false">IF(AND(E1376&gt;0,OR(AND(B1376&gt;=1,B1376&lt;=6),B1376=10)),1,0)</f>
        <v>1</v>
      </c>
      <c r="AC1376" s="46" t="n">
        <f aca="false">IF(AND(E1376&gt;0,B1376=10),1,0)</f>
        <v>0</v>
      </c>
      <c r="AD1376" s="0" t="str">
        <f aca="false">IF(AND(C1375=C1376,AA1375=AA1376-1),AB1375,"")</f>
        <v/>
      </c>
      <c r="AE1376" s="0" t="str">
        <f aca="false">IF(AND(C1375=C1376,AA1375=AA1376-1),AC1375,"")</f>
        <v/>
      </c>
      <c r="AF1376" s="0" t="str">
        <f aca="false">IF(AA1376=1,"",IF(AND(AB1376=1,AD1376&lt;&gt;1),1,0))</f>
        <v/>
      </c>
      <c r="AG1376" s="0" t="str">
        <f aca="false">IF(AA1376=1,"",IF(AND(AC1376=1,AE1376&lt;&gt;1),1,0))</f>
        <v/>
      </c>
      <c r="AH1376" s="51" t="str">
        <f aca="false">IF(AND(E1376&gt;0,AA1376&lt;1,NOT(AND(C1377=C1376,AA1377=AA1376+1))),INDEX(DATAS,AA1376+1),"")</f>
        <v/>
      </c>
      <c r="AI1376" s="51" t="str">
        <f aca="false">IF(AND(AC1376=1,AA1376&lt;1),IF(AND(C1377=C1376,AA1377=AA1376+1),IF(AC1377=1,"",INDEX(DATAS,AA1376+1)),INDEX(DATAS,AA1376+1)),"")</f>
        <v/>
      </c>
    </row>
    <row r="1377" customFormat="false" ht="15" hidden="false" customHeight="false" outlineLevel="0" collapsed="false">
      <c r="A1377" s="51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46" t="s">
        <v>920</v>
      </c>
      <c r="G1377" s="0" t="n">
        <v>50.6</v>
      </c>
      <c r="H1377" s="0" t="n">
        <v>52</v>
      </c>
      <c r="I1377" s="46" t="s">
        <v>152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51" t="n">
        <v>46200</v>
      </c>
      <c r="X1377" s="46" t="n">
        <f aca="false">IF(I1377="Male",0,1)</f>
        <v>1</v>
      </c>
      <c r="Y1377" s="46" t="n">
        <f aca="false">IF(OR(I1377="DNB",I1377="Dry DNB"),1,0)</f>
        <v>0</v>
      </c>
      <c r="Z1377" s="46" t="n">
        <f aca="false">IF(ISNUMBER(W1377),A1377-W1377,"")</f>
        <v>109</v>
      </c>
      <c r="AA1377" s="46" t="n">
        <f aca="false">MATCH(A1377,DATAS,0)</f>
        <v>1</v>
      </c>
      <c r="AB1377" s="46" t="n">
        <f aca="false">IF(AND(E1377&gt;0,OR(AND(B1377&gt;=1,B1377&lt;=6),B1377=10)),1,0)</f>
        <v>1</v>
      </c>
      <c r="AC1377" s="46" t="n">
        <f aca="false">IF(AND(E1377&gt;0,B1377=10),1,0)</f>
        <v>0</v>
      </c>
      <c r="AD1377" s="0" t="str">
        <f aca="false">IF(AND(C1376=C1377,AA1376=AA1377-1),AB1376,"")</f>
        <v/>
      </c>
      <c r="AE1377" s="0" t="str">
        <f aca="false">IF(AND(C1376=C1377,AA1376=AA1377-1),AC1376,"")</f>
        <v/>
      </c>
      <c r="AF1377" s="0" t="str">
        <f aca="false">IF(AA1377=1,"",IF(AND(AB1377=1,AD1377&lt;&gt;1),1,0))</f>
        <v/>
      </c>
      <c r="AG1377" s="0" t="str">
        <f aca="false">IF(AA1377=1,"",IF(AND(AC1377=1,AE1377&lt;&gt;1),1,0))</f>
        <v/>
      </c>
      <c r="AH1377" s="51" t="str">
        <f aca="false">IF(AND(E1377&gt;0,AA1377&lt;1,NOT(AND(C1378=C1377,AA1378=AA1377+1))),INDEX(DATAS,AA1377+1),"")</f>
        <v/>
      </c>
      <c r="AI1377" s="51" t="str">
        <f aca="false">IF(AND(AC1377=1,AA1377&lt;1),IF(AND(C1378=C1377,AA1378=AA1377+1),IF(AC1378=1,"",INDEX(DATAS,AA1377+1)),INDEX(DATAS,AA1377+1)),"")</f>
        <v/>
      </c>
    </row>
    <row r="1378" customFormat="false" ht="15" hidden="false" customHeight="false" outlineLevel="0" collapsed="false">
      <c r="A1378" s="51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46" t="s">
        <v>921</v>
      </c>
      <c r="G1378" s="0" t="n">
        <v>38.5</v>
      </c>
      <c r="H1378" s="0" t="n">
        <v>41</v>
      </c>
      <c r="I1378" s="46" t="s">
        <v>152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51" t="n">
        <v>46121</v>
      </c>
      <c r="X1378" s="46" t="n">
        <f aca="false">IF(I1378="Male",0,1)</f>
        <v>1</v>
      </c>
      <c r="Y1378" s="46" t="n">
        <f aca="false">IF(OR(I1378="DNB",I1378="Dry DNB"),1,0)</f>
        <v>0</v>
      </c>
      <c r="Z1378" s="46" t="n">
        <f aca="false">IF(ISNUMBER(W1378),A1378-W1378,"")</f>
        <v>188</v>
      </c>
      <c r="AA1378" s="46" t="n">
        <f aca="false">MATCH(A1378,DATAS,0)</f>
        <v>1</v>
      </c>
      <c r="AB1378" s="46" t="n">
        <f aca="false">IF(AND(E1378&gt;0,OR(AND(B1378&gt;=1,B1378&lt;=6),B1378=10)),1,0)</f>
        <v>1</v>
      </c>
      <c r="AC1378" s="46" t="n">
        <f aca="false">IF(AND(E1378&gt;0,B1378=10),1,0)</f>
        <v>0</v>
      </c>
      <c r="AD1378" s="0" t="str">
        <f aca="false">IF(AND(C1377=C1378,AA1377=AA1378-1),AB1377,"")</f>
        <v/>
      </c>
      <c r="AE1378" s="0" t="str">
        <f aca="false">IF(AND(C1377=C1378,AA1377=AA1378-1),AC1377,"")</f>
        <v/>
      </c>
      <c r="AF1378" s="0" t="str">
        <f aca="false">IF(AA1378=1,"",IF(AND(AB1378=1,AD1378&lt;&gt;1),1,0))</f>
        <v/>
      </c>
      <c r="AG1378" s="0" t="str">
        <f aca="false">IF(AA1378=1,"",IF(AND(AC1378=1,AE1378&lt;&gt;1),1,0))</f>
        <v/>
      </c>
      <c r="AH1378" s="51" t="str">
        <f aca="false">IF(AND(E1378&gt;0,AA1378&lt;1,NOT(AND(C1379=C1378,AA1379=AA1378+1))),INDEX(DATAS,AA1378+1),"")</f>
        <v/>
      </c>
      <c r="AI1378" s="51" t="str">
        <f aca="false">IF(AND(AC1378=1,AA1378&lt;1),IF(AND(C1379=C1378,AA1379=AA1378+1),IF(AC1379=1,"",INDEX(DATAS,AA1378+1)),INDEX(DATAS,AA1378+1)),"")</f>
        <v/>
      </c>
    </row>
    <row r="1379" customFormat="false" ht="15" hidden="false" customHeight="false" outlineLevel="0" collapsed="false">
      <c r="A1379" s="51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46" t="s">
        <v>921</v>
      </c>
      <c r="G1379" s="0" t="n">
        <v>43.7</v>
      </c>
      <c r="H1379" s="0" t="n">
        <v>43</v>
      </c>
      <c r="I1379" s="46" t="s">
        <v>181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51" t="n">
        <v>46291</v>
      </c>
      <c r="X1379" s="46" t="n">
        <f aca="false">IF(I1379="Male",0,1)</f>
        <v>1</v>
      </c>
      <c r="Y1379" s="46" t="n">
        <f aca="false">IF(OR(I1379="DNB",I1379="Dry DNB"),1,0)</f>
        <v>0</v>
      </c>
      <c r="Z1379" s="46" t="n">
        <f aca="false">IF(ISNUMBER(W1379),A1379-W1379,"")</f>
        <v>18</v>
      </c>
      <c r="AA1379" s="46" t="n">
        <f aca="false">MATCH(A1379,DATAS,0)</f>
        <v>1</v>
      </c>
      <c r="AB1379" s="46" t="n">
        <f aca="false">IF(AND(E1379&gt;0,OR(AND(B1379&gt;=1,B1379&lt;=6),B1379=10)),1,0)</f>
        <v>1</v>
      </c>
      <c r="AC1379" s="46" t="n">
        <f aca="false">IF(AND(E1379&gt;0,B1379=10),1,0)</f>
        <v>0</v>
      </c>
      <c r="AD1379" s="0" t="str">
        <f aca="false">IF(AND(C1378=C1379,AA1378=AA1379-1),AB1378,"")</f>
        <v/>
      </c>
      <c r="AE1379" s="0" t="str">
        <f aca="false">IF(AND(C1378=C1379,AA1378=AA1379-1),AC1378,"")</f>
        <v/>
      </c>
      <c r="AF1379" s="0" t="str">
        <f aca="false">IF(AA1379=1,"",IF(AND(AB1379=1,AD1379&lt;&gt;1),1,0))</f>
        <v/>
      </c>
      <c r="AG1379" s="0" t="str">
        <f aca="false">IF(AA1379=1,"",IF(AND(AC1379=1,AE1379&lt;&gt;1),1,0))</f>
        <v/>
      </c>
      <c r="AH1379" s="51" t="str">
        <f aca="false">IF(AND(E1379&gt;0,AA1379&lt;1,NOT(AND(C1380=C1379,AA1380=AA1379+1))),INDEX(DATAS,AA1379+1),"")</f>
        <v/>
      </c>
      <c r="AI1379" s="51" t="str">
        <f aca="false">IF(AND(AC1379=1,AA1379&lt;1),IF(AND(C1380=C1379,AA1380=AA1379+1),IF(AC1380=1,"",INDEX(DATAS,AA1379+1)),INDEX(DATAS,AA1379+1)),"")</f>
        <v/>
      </c>
    </row>
    <row r="1380" customFormat="false" ht="15" hidden="false" customHeight="false" outlineLevel="0" collapsed="false">
      <c r="A1380" s="51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46" t="s">
        <v>921</v>
      </c>
      <c r="G1380" s="0" t="n">
        <v>44.9</v>
      </c>
      <c r="H1380" s="0" t="n">
        <v>46</v>
      </c>
      <c r="I1380" s="46" t="s">
        <v>152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51" t="n">
        <v>46254</v>
      </c>
      <c r="X1380" s="46" t="n">
        <f aca="false">IF(I1380="Male",0,1)</f>
        <v>1</v>
      </c>
      <c r="Y1380" s="46" t="n">
        <f aca="false">IF(OR(I1380="DNB",I1380="Dry DNB"),1,0)</f>
        <v>0</v>
      </c>
      <c r="Z1380" s="46" t="n">
        <f aca="false">IF(ISNUMBER(W1380),A1380-W1380,"")</f>
        <v>55</v>
      </c>
      <c r="AA1380" s="46" t="n">
        <f aca="false">MATCH(A1380,DATAS,0)</f>
        <v>1</v>
      </c>
      <c r="AB1380" s="46" t="n">
        <f aca="false">IF(AND(E1380&gt;0,OR(AND(B1380&gt;=1,B1380&lt;=6),B1380=10)),1,0)</f>
        <v>1</v>
      </c>
      <c r="AC1380" s="46" t="n">
        <f aca="false">IF(AND(E1380&gt;0,B1380=10),1,0)</f>
        <v>0</v>
      </c>
      <c r="AD1380" s="0" t="str">
        <f aca="false">IF(AND(C1379=C1380,AA1379=AA1380-1),AB1379,"")</f>
        <v/>
      </c>
      <c r="AE1380" s="0" t="str">
        <f aca="false">IF(AND(C1379=C1380,AA1379=AA1380-1),AC1379,"")</f>
        <v/>
      </c>
      <c r="AF1380" s="0" t="str">
        <f aca="false">IF(AA1380=1,"",IF(AND(AB1380=1,AD1380&lt;&gt;1),1,0))</f>
        <v/>
      </c>
      <c r="AG1380" s="0" t="str">
        <f aca="false">IF(AA1380=1,"",IF(AND(AC1380=1,AE1380&lt;&gt;1),1,0))</f>
        <v/>
      </c>
      <c r="AH1380" s="51" t="str">
        <f aca="false">IF(AND(E1380&gt;0,AA1380&lt;1,NOT(AND(C1381=C1380,AA1381=AA1380+1))),INDEX(DATAS,AA1380+1),"")</f>
        <v/>
      </c>
      <c r="AI1380" s="51" t="str">
        <f aca="false">IF(AND(AC1380=1,AA1380&lt;1),IF(AND(C1381=C1380,AA1381=AA1380+1),IF(AC1381=1,"",INDEX(DATAS,AA1380+1)),INDEX(DATAS,AA1380+1)),"")</f>
        <v/>
      </c>
    </row>
    <row r="1381" customFormat="false" ht="15" hidden="false" customHeight="false" outlineLevel="0" collapsed="false">
      <c r="A1381" s="51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46" t="s">
        <v>922</v>
      </c>
      <c r="G1381" s="0" t="n">
        <v>40.4</v>
      </c>
      <c r="H1381" s="0" t="n">
        <v>40</v>
      </c>
      <c r="I1381" s="46" t="s">
        <v>152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51" t="n">
        <v>46142</v>
      </c>
      <c r="X1381" s="46" t="n">
        <f aca="false">IF(I1381="Male",0,1)</f>
        <v>1</v>
      </c>
      <c r="Y1381" s="46" t="n">
        <f aca="false">IF(OR(I1381="DNB",I1381="Dry DNB"),1,0)</f>
        <v>0</v>
      </c>
      <c r="Z1381" s="46" t="n">
        <f aca="false">IF(ISNUMBER(W1381),A1381-W1381,"")</f>
        <v>167</v>
      </c>
      <c r="AA1381" s="46" t="n">
        <f aca="false">MATCH(A1381,DATAS,0)</f>
        <v>1</v>
      </c>
      <c r="AB1381" s="46" t="n">
        <f aca="false">IF(AND(E1381&gt;0,OR(AND(B1381&gt;=1,B1381&lt;=6),B1381=10)),1,0)</f>
        <v>1</v>
      </c>
      <c r="AC1381" s="46" t="n">
        <f aca="false">IF(AND(E1381&gt;0,B1381=10),1,0)</f>
        <v>0</v>
      </c>
      <c r="AD1381" s="0" t="str">
        <f aca="false">IF(AND(C1380=C1381,AA1380=AA1381-1),AB1380,"")</f>
        <v/>
      </c>
      <c r="AE1381" s="0" t="str">
        <f aca="false">IF(AND(C1380=C1381,AA1380=AA1381-1),AC1380,"")</f>
        <v/>
      </c>
      <c r="AF1381" s="0" t="str">
        <f aca="false">IF(AA1381=1,"",IF(AND(AB1381=1,AD1381&lt;&gt;1),1,0))</f>
        <v/>
      </c>
      <c r="AG1381" s="0" t="str">
        <f aca="false">IF(AA1381=1,"",IF(AND(AC1381=1,AE1381&lt;&gt;1),1,0))</f>
        <v/>
      </c>
      <c r="AH1381" s="51" t="str">
        <f aca="false">IF(AND(E1381&gt;0,AA1381&lt;1,NOT(AND(C1382=C1381,AA1382=AA1381+1))),INDEX(DATAS,AA1381+1),"")</f>
        <v/>
      </c>
      <c r="AI1381" s="51" t="str">
        <f aca="false">IF(AND(AC1381=1,AA1381&lt;1),IF(AND(C1382=C1381,AA1382=AA1381+1),IF(AC1382=1,"",INDEX(DATAS,AA1381+1)),INDEX(DATAS,AA1381+1)),"")</f>
        <v/>
      </c>
    </row>
    <row r="1382" customFormat="false" ht="15" hidden="false" customHeight="false" outlineLevel="0" collapsed="false">
      <c r="A1382" s="51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46" t="s">
        <v>923</v>
      </c>
      <c r="G1382" s="0" t="n">
        <v>45.9</v>
      </c>
      <c r="H1382" s="0" t="n">
        <v>43</v>
      </c>
      <c r="I1382" s="46" t="s">
        <v>152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51" t="n">
        <v>46121</v>
      </c>
      <c r="X1382" s="46" t="n">
        <f aca="false">IF(I1382="Male",0,1)</f>
        <v>1</v>
      </c>
      <c r="Y1382" s="46" t="n">
        <f aca="false">IF(OR(I1382="DNB",I1382="Dry DNB"),1,0)</f>
        <v>0</v>
      </c>
      <c r="Z1382" s="46" t="n">
        <f aca="false">IF(ISNUMBER(W1382),A1382-W1382,"")</f>
        <v>188</v>
      </c>
      <c r="AA1382" s="46" t="n">
        <f aca="false">MATCH(A1382,DATAS,0)</f>
        <v>1</v>
      </c>
      <c r="AB1382" s="46" t="n">
        <f aca="false">IF(AND(E1382&gt;0,OR(AND(B1382&gt;=1,B1382&lt;=6),B1382=10)),1,0)</f>
        <v>1</v>
      </c>
      <c r="AC1382" s="46" t="n">
        <f aca="false">IF(AND(E1382&gt;0,B1382=10),1,0)</f>
        <v>0</v>
      </c>
      <c r="AD1382" s="0" t="str">
        <f aca="false">IF(AND(C1381=C1382,AA1381=AA1382-1),AB1381,"")</f>
        <v/>
      </c>
      <c r="AE1382" s="0" t="str">
        <f aca="false">IF(AND(C1381=C1382,AA1381=AA1382-1),AC1381,"")</f>
        <v/>
      </c>
      <c r="AF1382" s="0" t="str">
        <f aca="false">IF(AA1382=1,"",IF(AND(AB1382=1,AD1382&lt;&gt;1),1,0))</f>
        <v/>
      </c>
      <c r="AG1382" s="0" t="str">
        <f aca="false">IF(AA1382=1,"",IF(AND(AC1382=1,AE1382&lt;&gt;1),1,0))</f>
        <v/>
      </c>
      <c r="AH1382" s="51" t="str">
        <f aca="false">IF(AND(E1382&gt;0,AA1382&lt;1,NOT(AND(C1383=C1382,AA1383=AA1382+1))),INDEX(DATAS,AA1382+1),"")</f>
        <v/>
      </c>
      <c r="AI1382" s="51" t="str">
        <f aca="false">IF(AND(AC1382=1,AA1382&lt;1),IF(AND(C1383=C1382,AA1383=AA1382+1),IF(AC1383=1,"",INDEX(DATAS,AA1382+1)),INDEX(DATAS,AA1382+1)),"")</f>
        <v/>
      </c>
    </row>
    <row r="1383" customFormat="false" ht="15" hidden="false" customHeight="false" outlineLevel="0" collapsed="false">
      <c r="A1383" s="51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46" t="s">
        <v>923</v>
      </c>
      <c r="G1383" s="0" t="n">
        <v>29.4</v>
      </c>
      <c r="H1383" s="0" t="n">
        <v>24</v>
      </c>
      <c r="I1383" s="46" t="s">
        <v>152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51" t="n">
        <v>46219</v>
      </c>
      <c r="X1383" s="46" t="n">
        <f aca="false">IF(I1383="Male",0,1)</f>
        <v>1</v>
      </c>
      <c r="Y1383" s="46" t="n">
        <f aca="false">IF(OR(I1383="DNB",I1383="Dry DNB"),1,0)</f>
        <v>0</v>
      </c>
      <c r="Z1383" s="46" t="n">
        <f aca="false">IF(ISNUMBER(W1383),A1383-W1383,"")</f>
        <v>90</v>
      </c>
      <c r="AA1383" s="46" t="n">
        <f aca="false">MATCH(A1383,DATAS,0)</f>
        <v>1</v>
      </c>
      <c r="AB1383" s="46" t="n">
        <f aca="false">IF(AND(E1383&gt;0,OR(AND(B1383&gt;=1,B1383&lt;=6),B1383=10)),1,0)</f>
        <v>1</v>
      </c>
      <c r="AC1383" s="46" t="n">
        <f aca="false">IF(AND(E1383&gt;0,B1383=10),1,0)</f>
        <v>0</v>
      </c>
      <c r="AD1383" s="0" t="str">
        <f aca="false">IF(AND(C1382=C1383,AA1382=AA1383-1),AB1382,"")</f>
        <v/>
      </c>
      <c r="AE1383" s="0" t="str">
        <f aca="false">IF(AND(C1382=C1383,AA1382=AA1383-1),AC1382,"")</f>
        <v/>
      </c>
      <c r="AF1383" s="0" t="str">
        <f aca="false">IF(AA1383=1,"",IF(AND(AB1383=1,AD1383&lt;&gt;1),1,0))</f>
        <v/>
      </c>
      <c r="AG1383" s="0" t="str">
        <f aca="false">IF(AA1383=1,"",IF(AND(AC1383=1,AE1383&lt;&gt;1),1,0))</f>
        <v/>
      </c>
      <c r="AH1383" s="51" t="str">
        <f aca="false">IF(AND(E1383&gt;0,AA1383&lt;1,NOT(AND(C1384=C1383,AA1384=AA1383+1))),INDEX(DATAS,AA1383+1),"")</f>
        <v/>
      </c>
      <c r="AI1383" s="51" t="str">
        <f aca="false">IF(AND(AC1383=1,AA1383&lt;1),IF(AND(C1384=C1383,AA1384=AA1383+1),IF(AC1384=1,"",INDEX(DATAS,AA1383+1)),INDEX(DATAS,AA1383+1)),"")</f>
        <v/>
      </c>
    </row>
    <row r="1384" customFormat="false" ht="15" hidden="false" customHeight="false" outlineLevel="0" collapsed="false">
      <c r="A1384" s="51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46" t="s">
        <v>923</v>
      </c>
      <c r="G1384" s="0" t="n">
        <v>54.3</v>
      </c>
      <c r="H1384" s="0" t="n">
        <v>47</v>
      </c>
      <c r="I1384" s="46" t="s">
        <v>152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51" t="n">
        <v>46128</v>
      </c>
      <c r="X1384" s="46" t="n">
        <f aca="false">IF(I1384="Male",0,1)</f>
        <v>1</v>
      </c>
      <c r="Y1384" s="46" t="n">
        <f aca="false">IF(OR(I1384="DNB",I1384="Dry DNB"),1,0)</f>
        <v>0</v>
      </c>
      <c r="Z1384" s="46" t="n">
        <f aca="false">IF(ISNUMBER(W1384),A1384-W1384,"")</f>
        <v>181</v>
      </c>
      <c r="AA1384" s="46" t="n">
        <f aca="false">MATCH(A1384,DATAS,0)</f>
        <v>1</v>
      </c>
      <c r="AB1384" s="46" t="n">
        <f aca="false">IF(AND(E1384&gt;0,OR(AND(B1384&gt;=1,B1384&lt;=6),B1384=10)),1,0)</f>
        <v>1</v>
      </c>
      <c r="AC1384" s="46" t="n">
        <f aca="false">IF(AND(E1384&gt;0,B1384=10),1,0)</f>
        <v>0</v>
      </c>
      <c r="AD1384" s="0" t="str">
        <f aca="false">IF(AND(C1383=C1384,AA1383=AA1384-1),AB1383,"")</f>
        <v/>
      </c>
      <c r="AE1384" s="0" t="str">
        <f aca="false">IF(AND(C1383=C1384,AA1383=AA1384-1),AC1383,"")</f>
        <v/>
      </c>
      <c r="AF1384" s="0" t="str">
        <f aca="false">IF(AA1384=1,"",IF(AND(AB1384=1,AD1384&lt;&gt;1),1,0))</f>
        <v/>
      </c>
      <c r="AG1384" s="0" t="str">
        <f aca="false">IF(AA1384=1,"",IF(AND(AC1384=1,AE1384&lt;&gt;1),1,0))</f>
        <v/>
      </c>
      <c r="AH1384" s="51" t="str">
        <f aca="false">IF(AND(E1384&gt;0,AA1384&lt;1,NOT(AND(C1385=C1384,AA1385=AA1384+1))),INDEX(DATAS,AA1384+1),"")</f>
        <v/>
      </c>
      <c r="AI1384" s="51" t="str">
        <f aca="false">IF(AND(AC1384=1,AA1384&lt;1),IF(AND(C1385=C1384,AA1385=AA1384+1),IF(AC1385=1,"",INDEX(DATAS,AA1384+1)),INDEX(DATAS,AA1384+1)),"")</f>
        <v/>
      </c>
    </row>
    <row r="1385" customFormat="false" ht="15" hidden="false" customHeight="false" outlineLevel="0" collapsed="false">
      <c r="A1385" s="51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46" t="s">
        <v>923</v>
      </c>
      <c r="G1385" s="0" t="n">
        <v>36.5</v>
      </c>
      <c r="H1385" s="0" t="n">
        <v>37</v>
      </c>
      <c r="I1385" s="46" t="s">
        <v>152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51" t="n">
        <v>46184</v>
      </c>
      <c r="X1385" s="46" t="n">
        <f aca="false">IF(I1385="Male",0,1)</f>
        <v>1</v>
      </c>
      <c r="Y1385" s="46" t="n">
        <f aca="false">IF(OR(I1385="DNB",I1385="Dry DNB"),1,0)</f>
        <v>0</v>
      </c>
      <c r="Z1385" s="46" t="n">
        <f aca="false">IF(ISNUMBER(W1385),A1385-W1385,"")</f>
        <v>125</v>
      </c>
      <c r="AA1385" s="46" t="n">
        <f aca="false">MATCH(A1385,DATAS,0)</f>
        <v>1</v>
      </c>
      <c r="AB1385" s="46" t="n">
        <f aca="false">IF(AND(E1385&gt;0,OR(AND(B1385&gt;=1,B1385&lt;=6),B1385=10)),1,0)</f>
        <v>1</v>
      </c>
      <c r="AC1385" s="46" t="n">
        <f aca="false">IF(AND(E1385&gt;0,B1385=10),1,0)</f>
        <v>0</v>
      </c>
      <c r="AD1385" s="0" t="str">
        <f aca="false">IF(AND(C1384=C1385,AA1384=AA1385-1),AB1384,"")</f>
        <v/>
      </c>
      <c r="AE1385" s="0" t="str">
        <f aca="false">IF(AND(C1384=C1385,AA1384=AA1385-1),AC1384,"")</f>
        <v/>
      </c>
      <c r="AF1385" s="0" t="str">
        <f aca="false">IF(AA1385=1,"",IF(AND(AB1385=1,AD1385&lt;&gt;1),1,0))</f>
        <v/>
      </c>
      <c r="AG1385" s="0" t="str">
        <f aca="false">IF(AA1385=1,"",IF(AND(AC1385=1,AE1385&lt;&gt;1),1,0))</f>
        <v/>
      </c>
      <c r="AH1385" s="51" t="str">
        <f aca="false">IF(AND(E1385&gt;0,AA1385&lt;1,NOT(AND(C1386=C1385,AA1386=AA1385+1))),INDEX(DATAS,AA1385+1),"")</f>
        <v/>
      </c>
      <c r="AI1385" s="51" t="str">
        <f aca="false">IF(AND(AC1385=1,AA1385&lt;1),IF(AND(C1386=C1385,AA1386=AA1385+1),IF(AC1386=1,"",INDEX(DATAS,AA1385+1)),INDEX(DATAS,AA1385+1)),"")</f>
        <v/>
      </c>
    </row>
    <row r="1386" customFormat="false" ht="15" hidden="false" customHeight="false" outlineLevel="0" collapsed="false">
      <c r="A1386" s="51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46" t="s">
        <v>924</v>
      </c>
      <c r="G1386" s="0" t="n">
        <v>55.4</v>
      </c>
      <c r="H1386" s="0" t="n">
        <v>57</v>
      </c>
      <c r="I1386" s="46" t="s">
        <v>152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51" t="n">
        <v>46268</v>
      </c>
      <c r="X1386" s="46" t="n">
        <f aca="false">IF(I1386="Male",0,1)</f>
        <v>1</v>
      </c>
      <c r="Y1386" s="46" t="n">
        <f aca="false">IF(OR(I1386="DNB",I1386="Dry DNB"),1,0)</f>
        <v>0</v>
      </c>
      <c r="Z1386" s="46" t="n">
        <f aca="false">IF(ISNUMBER(W1386),A1386-W1386,"")</f>
        <v>41</v>
      </c>
      <c r="AA1386" s="46" t="n">
        <f aca="false">MATCH(A1386,DATAS,0)</f>
        <v>1</v>
      </c>
      <c r="AB1386" s="46" t="n">
        <f aca="false">IF(AND(E1386&gt;0,OR(AND(B1386&gt;=1,B1386&lt;=6),B1386=10)),1,0)</f>
        <v>1</v>
      </c>
      <c r="AC1386" s="46" t="n">
        <f aca="false">IF(AND(E1386&gt;0,B1386=10),1,0)</f>
        <v>0</v>
      </c>
      <c r="AD1386" s="0" t="str">
        <f aca="false">IF(AND(C1385=C1386,AA1385=AA1386-1),AB1385,"")</f>
        <v/>
      </c>
      <c r="AE1386" s="0" t="str">
        <f aca="false">IF(AND(C1385=C1386,AA1385=AA1386-1),AC1385,"")</f>
        <v/>
      </c>
      <c r="AF1386" s="0" t="str">
        <f aca="false">IF(AA1386=1,"",IF(AND(AB1386=1,AD1386&lt;&gt;1),1,0))</f>
        <v/>
      </c>
      <c r="AG1386" s="0" t="str">
        <f aca="false">IF(AA1386=1,"",IF(AND(AC1386=1,AE1386&lt;&gt;1),1,0))</f>
        <v/>
      </c>
      <c r="AH1386" s="51" t="str">
        <f aca="false">IF(AND(E1386&gt;0,AA1386&lt;1,NOT(AND(C1387=C1386,AA1387=AA1386+1))),INDEX(DATAS,AA1386+1),"")</f>
        <v/>
      </c>
      <c r="AI1386" s="51" t="str">
        <f aca="false">IF(AND(AC1386=1,AA1386&lt;1),IF(AND(C1387=C1386,AA1387=AA1386+1),IF(AC1387=1,"",INDEX(DATAS,AA1386+1)),INDEX(DATAS,AA1386+1)),"")</f>
        <v/>
      </c>
    </row>
    <row r="1387" customFormat="false" ht="15" hidden="false" customHeight="false" outlineLevel="0" collapsed="false">
      <c r="A1387" s="51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46" t="s">
        <v>925</v>
      </c>
      <c r="G1387" s="0" t="n">
        <v>47.3</v>
      </c>
      <c r="H1387" s="0" t="n">
        <v>46</v>
      </c>
      <c r="I1387" s="46" t="s">
        <v>152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51" t="n">
        <v>46159</v>
      </c>
      <c r="X1387" s="46" t="n">
        <f aca="false">IF(I1387="Male",0,1)</f>
        <v>1</v>
      </c>
      <c r="Y1387" s="46" t="n">
        <f aca="false">IF(OR(I1387="DNB",I1387="Dry DNB"),1,0)</f>
        <v>0</v>
      </c>
      <c r="Z1387" s="46" t="n">
        <f aca="false">IF(ISNUMBER(W1387),A1387-W1387,"")</f>
        <v>150</v>
      </c>
      <c r="AA1387" s="46" t="n">
        <f aca="false">MATCH(A1387,DATAS,0)</f>
        <v>1</v>
      </c>
      <c r="AB1387" s="46" t="n">
        <f aca="false">IF(AND(E1387&gt;0,OR(AND(B1387&gt;=1,B1387&lt;=6),B1387=10)),1,0)</f>
        <v>1</v>
      </c>
      <c r="AC1387" s="46" t="n">
        <f aca="false">IF(AND(E1387&gt;0,B1387=10),1,0)</f>
        <v>0</v>
      </c>
      <c r="AD1387" s="0" t="str">
        <f aca="false">IF(AND(C1386=C1387,AA1386=AA1387-1),AB1386,"")</f>
        <v/>
      </c>
      <c r="AE1387" s="0" t="str">
        <f aca="false">IF(AND(C1386=C1387,AA1386=AA1387-1),AC1386,"")</f>
        <v/>
      </c>
      <c r="AF1387" s="0" t="str">
        <f aca="false">IF(AA1387=1,"",IF(AND(AB1387=1,AD1387&lt;&gt;1),1,0))</f>
        <v/>
      </c>
      <c r="AG1387" s="0" t="str">
        <f aca="false">IF(AA1387=1,"",IF(AND(AC1387=1,AE1387&lt;&gt;1),1,0))</f>
        <v/>
      </c>
      <c r="AH1387" s="51" t="str">
        <f aca="false">IF(AND(E1387&gt;0,AA1387&lt;1,NOT(AND(C1388=C1387,AA1388=AA1387+1))),INDEX(DATAS,AA1387+1),"")</f>
        <v/>
      </c>
      <c r="AI1387" s="51" t="str">
        <f aca="false">IF(AND(AC1387=1,AA1387&lt;1),IF(AND(C1388=C1387,AA1388=AA1387+1),IF(AC1388=1,"",INDEX(DATAS,AA1387+1)),INDEX(DATAS,AA1387+1)),"")</f>
        <v/>
      </c>
    </row>
    <row r="1388" customFormat="false" ht="15" hidden="false" customHeight="false" outlineLevel="0" collapsed="false">
      <c r="A1388" s="51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46" t="s">
        <v>925</v>
      </c>
      <c r="G1388" s="0" t="n">
        <v>45.1</v>
      </c>
      <c r="H1388" s="0" t="n">
        <v>45</v>
      </c>
      <c r="I1388" s="46" t="s">
        <v>152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51" t="n">
        <v>46170</v>
      </c>
      <c r="X1388" s="46" t="n">
        <f aca="false">IF(I1388="Male",0,1)</f>
        <v>1</v>
      </c>
      <c r="Y1388" s="46" t="n">
        <f aca="false">IF(OR(I1388="DNB",I1388="Dry DNB"),1,0)</f>
        <v>0</v>
      </c>
      <c r="Z1388" s="46" t="n">
        <f aca="false">IF(ISNUMBER(W1388),A1388-W1388,"")</f>
        <v>139</v>
      </c>
      <c r="AA1388" s="46" t="n">
        <f aca="false">MATCH(A1388,DATAS,0)</f>
        <v>1</v>
      </c>
      <c r="AB1388" s="46" t="n">
        <f aca="false">IF(AND(E1388&gt;0,OR(AND(B1388&gt;=1,B1388&lt;=6),B1388=10)),1,0)</f>
        <v>1</v>
      </c>
      <c r="AC1388" s="46" t="n">
        <f aca="false">IF(AND(E1388&gt;0,B1388=10),1,0)</f>
        <v>0</v>
      </c>
      <c r="AD1388" s="0" t="str">
        <f aca="false">IF(AND(C1387=C1388,AA1387=AA1388-1),AB1387,"")</f>
        <v/>
      </c>
      <c r="AE1388" s="0" t="str">
        <f aca="false">IF(AND(C1387=C1388,AA1387=AA1388-1),AC1387,"")</f>
        <v/>
      </c>
      <c r="AF1388" s="0" t="str">
        <f aca="false">IF(AA1388=1,"",IF(AND(AB1388=1,AD1388&lt;&gt;1),1,0))</f>
        <v/>
      </c>
      <c r="AG1388" s="0" t="str">
        <f aca="false">IF(AA1388=1,"",IF(AND(AC1388=1,AE1388&lt;&gt;1),1,0))</f>
        <v/>
      </c>
      <c r="AH1388" s="51" t="str">
        <f aca="false">IF(AND(E1388&gt;0,AA1388&lt;1,NOT(AND(C1389=C1388,AA1389=AA1388+1))),INDEX(DATAS,AA1388+1),"")</f>
        <v/>
      </c>
      <c r="AI1388" s="51" t="str">
        <f aca="false">IF(AND(AC1388=1,AA1388&lt;1),IF(AND(C1389=C1388,AA1389=AA1388+1),IF(AC1389=1,"",INDEX(DATAS,AA1388+1)),INDEX(DATAS,AA1388+1)),"")</f>
        <v/>
      </c>
    </row>
    <row r="1389" customFormat="false" ht="15" hidden="false" customHeight="false" outlineLevel="0" collapsed="false">
      <c r="A1389" s="51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46" t="s">
        <v>926</v>
      </c>
      <c r="G1389" s="0" t="n">
        <v>53</v>
      </c>
      <c r="H1389" s="0" t="n">
        <v>54</v>
      </c>
      <c r="I1389" s="46" t="s">
        <v>152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51" t="n">
        <v>46205</v>
      </c>
      <c r="X1389" s="46" t="n">
        <f aca="false">IF(I1389="Male",0,1)</f>
        <v>1</v>
      </c>
      <c r="Y1389" s="46" t="n">
        <f aca="false">IF(OR(I1389="DNB",I1389="Dry DNB"),1,0)</f>
        <v>0</v>
      </c>
      <c r="Z1389" s="46" t="n">
        <f aca="false">IF(ISNUMBER(W1389),A1389-W1389,"")</f>
        <v>104</v>
      </c>
      <c r="AA1389" s="46" t="n">
        <f aca="false">MATCH(A1389,DATAS,0)</f>
        <v>1</v>
      </c>
      <c r="AB1389" s="46" t="n">
        <f aca="false">IF(AND(E1389&gt;0,OR(AND(B1389&gt;=1,B1389&lt;=6),B1389=10)),1,0)</f>
        <v>1</v>
      </c>
      <c r="AC1389" s="46" t="n">
        <f aca="false">IF(AND(E1389&gt;0,B1389=10),1,0)</f>
        <v>0</v>
      </c>
      <c r="AD1389" s="0" t="str">
        <f aca="false">IF(AND(C1388=C1389,AA1388=AA1389-1),AB1388,"")</f>
        <v/>
      </c>
      <c r="AE1389" s="0" t="str">
        <f aca="false">IF(AND(C1388=C1389,AA1388=AA1389-1),AC1388,"")</f>
        <v/>
      </c>
      <c r="AF1389" s="0" t="str">
        <f aca="false">IF(AA1389=1,"",IF(AND(AB1389=1,AD1389&lt;&gt;1),1,0))</f>
        <v/>
      </c>
      <c r="AG1389" s="0" t="str">
        <f aca="false">IF(AA1389=1,"",IF(AND(AC1389=1,AE1389&lt;&gt;1),1,0))</f>
        <v/>
      </c>
      <c r="AH1389" s="51" t="str">
        <f aca="false">IF(AND(E1389&gt;0,AA1389&lt;1,NOT(AND(C1390=C1389,AA1390=AA1389+1))),INDEX(DATAS,AA1389+1),"")</f>
        <v/>
      </c>
      <c r="AI1389" s="51" t="str">
        <f aca="false">IF(AND(AC1389=1,AA1389&lt;1),IF(AND(C1390=C1389,AA1390=AA1389+1),IF(AC1390=1,"",INDEX(DATAS,AA1389+1)),INDEX(DATAS,AA1389+1)),"")</f>
        <v/>
      </c>
    </row>
    <row r="1390" customFormat="false" ht="15" hidden="false" customHeight="false" outlineLevel="0" collapsed="false">
      <c r="A1390" s="51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46" t="s">
        <v>926</v>
      </c>
      <c r="G1390" s="0" t="n">
        <v>45.5</v>
      </c>
      <c r="H1390" s="0" t="n">
        <v>48</v>
      </c>
      <c r="I1390" s="46" t="s">
        <v>152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51" t="n">
        <v>46184</v>
      </c>
      <c r="X1390" s="46" t="n">
        <f aca="false">IF(I1390="Male",0,1)</f>
        <v>1</v>
      </c>
      <c r="Y1390" s="46" t="n">
        <f aca="false">IF(OR(I1390="DNB",I1390="Dry DNB"),1,0)</f>
        <v>0</v>
      </c>
      <c r="Z1390" s="46" t="n">
        <f aca="false">IF(ISNUMBER(W1390),A1390-W1390,"")</f>
        <v>125</v>
      </c>
      <c r="AA1390" s="46" t="n">
        <f aca="false">MATCH(A1390,DATAS,0)</f>
        <v>1</v>
      </c>
      <c r="AB1390" s="46" t="n">
        <f aca="false">IF(AND(E1390&gt;0,OR(AND(B1390&gt;=1,B1390&lt;=6),B1390=10)),1,0)</f>
        <v>1</v>
      </c>
      <c r="AC1390" s="46" t="n">
        <f aca="false">IF(AND(E1390&gt;0,B1390=10),1,0)</f>
        <v>0</v>
      </c>
      <c r="AD1390" s="0" t="str">
        <f aca="false">IF(AND(C1389=C1390,AA1389=AA1390-1),AB1389,"")</f>
        <v/>
      </c>
      <c r="AE1390" s="0" t="str">
        <f aca="false">IF(AND(C1389=C1390,AA1389=AA1390-1),AC1389,"")</f>
        <v/>
      </c>
      <c r="AF1390" s="0" t="str">
        <f aca="false">IF(AA1390=1,"",IF(AND(AB1390=1,AD1390&lt;&gt;1),1,0))</f>
        <v/>
      </c>
      <c r="AG1390" s="0" t="str">
        <f aca="false">IF(AA1390=1,"",IF(AND(AC1390=1,AE1390&lt;&gt;1),1,0))</f>
        <v/>
      </c>
      <c r="AH1390" s="51" t="str">
        <f aca="false">IF(AND(E1390&gt;0,AA1390&lt;1,NOT(AND(C1391=C1390,AA1391=AA1390+1))),INDEX(DATAS,AA1390+1),"")</f>
        <v/>
      </c>
      <c r="AI1390" s="51" t="str">
        <f aca="false">IF(AND(AC1390=1,AA1390&lt;1),IF(AND(C1391=C1390,AA1391=AA1390+1),IF(AC1391=1,"",INDEX(DATAS,AA1390+1)),INDEX(DATAS,AA1390+1)),"")</f>
        <v/>
      </c>
    </row>
    <row r="1391" customFormat="false" ht="15" hidden="false" customHeight="false" outlineLevel="0" collapsed="false">
      <c r="A1391" s="51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46" t="s">
        <v>926</v>
      </c>
      <c r="G1391" s="0" t="n">
        <v>50.3</v>
      </c>
      <c r="H1391" s="0" t="n">
        <v>50</v>
      </c>
      <c r="I1391" s="46" t="s">
        <v>152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51" t="n">
        <v>46170</v>
      </c>
      <c r="X1391" s="46" t="n">
        <f aca="false">IF(I1391="Male",0,1)</f>
        <v>1</v>
      </c>
      <c r="Y1391" s="46" t="n">
        <f aca="false">IF(OR(I1391="DNB",I1391="Dry DNB"),1,0)</f>
        <v>0</v>
      </c>
      <c r="Z1391" s="46" t="n">
        <f aca="false">IF(ISNUMBER(W1391),A1391-W1391,"")</f>
        <v>139</v>
      </c>
      <c r="AA1391" s="46" t="n">
        <f aca="false">MATCH(A1391,DATAS,0)</f>
        <v>1</v>
      </c>
      <c r="AB1391" s="46" t="n">
        <f aca="false">IF(AND(E1391&gt;0,OR(AND(B1391&gt;=1,B1391&lt;=6),B1391=10)),1,0)</f>
        <v>1</v>
      </c>
      <c r="AC1391" s="46" t="n">
        <f aca="false">IF(AND(E1391&gt;0,B1391=10),1,0)</f>
        <v>0</v>
      </c>
      <c r="AD1391" s="0" t="str">
        <f aca="false">IF(AND(C1390=C1391,AA1390=AA1391-1),AB1390,"")</f>
        <v/>
      </c>
      <c r="AE1391" s="0" t="str">
        <f aca="false">IF(AND(C1390=C1391,AA1390=AA1391-1),AC1390,"")</f>
        <v/>
      </c>
      <c r="AF1391" s="0" t="str">
        <f aca="false">IF(AA1391=1,"",IF(AND(AB1391=1,AD1391&lt;&gt;1),1,0))</f>
        <v/>
      </c>
      <c r="AG1391" s="0" t="str">
        <f aca="false">IF(AA1391=1,"",IF(AND(AC1391=1,AE1391&lt;&gt;1),1,0))</f>
        <v/>
      </c>
      <c r="AH1391" s="51" t="str">
        <f aca="false">IF(AND(E1391&gt;0,AA1391&lt;1,NOT(AND(C1392=C1391,AA1392=AA1391+1))),INDEX(DATAS,AA1391+1),"")</f>
        <v/>
      </c>
      <c r="AI1391" s="51" t="str">
        <f aca="false">IF(AND(AC1391=1,AA1391&lt;1),IF(AND(C1392=C1391,AA1392=AA1391+1),IF(AC1392=1,"",INDEX(DATAS,AA1391+1)),INDEX(DATAS,AA1391+1)),"")</f>
        <v/>
      </c>
    </row>
    <row r="1392" customFormat="false" ht="15" hidden="false" customHeight="false" outlineLevel="0" collapsed="false">
      <c r="A1392" s="51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46" t="s">
        <v>926</v>
      </c>
      <c r="G1392" s="0" t="n">
        <v>46.6</v>
      </c>
      <c r="H1392" s="0" t="n">
        <v>42</v>
      </c>
      <c r="I1392" s="46" t="s">
        <v>152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51" t="n">
        <v>46198</v>
      </c>
      <c r="X1392" s="46" t="n">
        <f aca="false">IF(I1392="Male",0,1)</f>
        <v>1</v>
      </c>
      <c r="Y1392" s="46" t="n">
        <f aca="false">IF(OR(I1392="DNB",I1392="Dry DNB"),1,0)</f>
        <v>0</v>
      </c>
      <c r="Z1392" s="46" t="n">
        <f aca="false">IF(ISNUMBER(W1392),A1392-W1392,"")</f>
        <v>111</v>
      </c>
      <c r="AA1392" s="46" t="n">
        <f aca="false">MATCH(A1392,DATAS,0)</f>
        <v>1</v>
      </c>
      <c r="AB1392" s="46" t="n">
        <f aca="false">IF(AND(E1392&gt;0,OR(AND(B1392&gt;=1,B1392&lt;=6),B1392=10)),1,0)</f>
        <v>1</v>
      </c>
      <c r="AC1392" s="46" t="n">
        <f aca="false">IF(AND(E1392&gt;0,B1392=10),1,0)</f>
        <v>0</v>
      </c>
      <c r="AD1392" s="0" t="str">
        <f aca="false">IF(AND(C1391=C1392,AA1391=AA1392-1),AB1391,"")</f>
        <v/>
      </c>
      <c r="AE1392" s="0" t="str">
        <f aca="false">IF(AND(C1391=C1392,AA1391=AA1392-1),AC1391,"")</f>
        <v/>
      </c>
      <c r="AF1392" s="0" t="str">
        <f aca="false">IF(AA1392=1,"",IF(AND(AB1392=1,AD1392&lt;&gt;1),1,0))</f>
        <v/>
      </c>
      <c r="AG1392" s="0" t="str">
        <f aca="false">IF(AA1392=1,"",IF(AND(AC1392=1,AE1392&lt;&gt;1),1,0))</f>
        <v/>
      </c>
      <c r="AH1392" s="51" t="str">
        <f aca="false">IF(AND(E1392&gt;0,AA1392&lt;1,NOT(AND(C1393=C1392,AA1393=AA1392+1))),INDEX(DATAS,AA1392+1),"")</f>
        <v/>
      </c>
      <c r="AI1392" s="51" t="str">
        <f aca="false">IF(AND(AC1392=1,AA1392&lt;1),IF(AND(C1393=C1392,AA1393=AA1392+1),IF(AC1393=1,"",INDEX(DATAS,AA1392+1)),INDEX(DATAS,AA1392+1)),"")</f>
        <v/>
      </c>
    </row>
    <row r="1393" customFormat="false" ht="15" hidden="false" customHeight="false" outlineLevel="0" collapsed="false">
      <c r="A1393" s="51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46" t="s">
        <v>926</v>
      </c>
      <c r="G1393" s="0" t="n">
        <v>60.3</v>
      </c>
      <c r="H1393" s="0" t="n">
        <v>59</v>
      </c>
      <c r="I1393" s="46" t="s">
        <v>181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51" t="n">
        <v>46296</v>
      </c>
      <c r="X1393" s="46" t="n">
        <f aca="false">IF(I1393="Male",0,1)</f>
        <v>1</v>
      </c>
      <c r="Y1393" s="46" t="n">
        <f aca="false">IF(OR(I1393="DNB",I1393="Dry DNB"),1,0)</f>
        <v>0</v>
      </c>
      <c r="Z1393" s="46" t="n">
        <f aca="false">IF(ISNUMBER(W1393),A1393-W1393,"")</f>
        <v>13</v>
      </c>
      <c r="AA1393" s="46" t="n">
        <f aca="false">MATCH(A1393,DATAS,0)</f>
        <v>1</v>
      </c>
      <c r="AB1393" s="46" t="n">
        <f aca="false">IF(AND(E1393&gt;0,OR(AND(B1393&gt;=1,B1393&lt;=6),B1393=10)),1,0)</f>
        <v>1</v>
      </c>
      <c r="AC1393" s="46" t="n">
        <f aca="false">IF(AND(E1393&gt;0,B1393=10),1,0)</f>
        <v>0</v>
      </c>
      <c r="AD1393" s="0" t="str">
        <f aca="false">IF(AND(C1392=C1393,AA1392=AA1393-1),AB1392,"")</f>
        <v/>
      </c>
      <c r="AE1393" s="0" t="str">
        <f aca="false">IF(AND(C1392=C1393,AA1392=AA1393-1),AC1392,"")</f>
        <v/>
      </c>
      <c r="AF1393" s="0" t="str">
        <f aca="false">IF(AA1393=1,"",IF(AND(AB1393=1,AD1393&lt;&gt;1),1,0))</f>
        <v/>
      </c>
      <c r="AG1393" s="0" t="str">
        <f aca="false">IF(AA1393=1,"",IF(AND(AC1393=1,AE1393&lt;&gt;1),1,0))</f>
        <v/>
      </c>
      <c r="AH1393" s="51" t="str">
        <f aca="false">IF(AND(E1393&gt;0,AA1393&lt;1,NOT(AND(C1394=C1393,AA1394=AA1393+1))),INDEX(DATAS,AA1393+1),"")</f>
        <v/>
      </c>
      <c r="AI1393" s="51" t="str">
        <f aca="false">IF(AND(AC1393=1,AA1393&lt;1),IF(AND(C1394=C1393,AA1394=AA1393+1),IF(AC1394=1,"",INDEX(DATAS,AA1393+1)),INDEX(DATAS,AA1393+1)),"")</f>
        <v/>
      </c>
    </row>
    <row r="1394" customFormat="false" ht="15" hidden="false" customHeight="false" outlineLevel="0" collapsed="false">
      <c r="A1394" s="51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46" t="s">
        <v>927</v>
      </c>
      <c r="G1394" s="0" t="n">
        <v>42.1</v>
      </c>
      <c r="H1394" s="0" t="n">
        <v>42</v>
      </c>
      <c r="I1394" s="46" t="s">
        <v>152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51" t="n">
        <v>46170</v>
      </c>
      <c r="X1394" s="46" t="n">
        <f aca="false">IF(I1394="Male",0,1)</f>
        <v>1</v>
      </c>
      <c r="Y1394" s="46" t="n">
        <f aca="false">IF(OR(I1394="DNB",I1394="Dry DNB"),1,0)</f>
        <v>0</v>
      </c>
      <c r="Z1394" s="46" t="n">
        <f aca="false">IF(ISNUMBER(W1394),A1394-W1394,"")</f>
        <v>139</v>
      </c>
      <c r="AA1394" s="46" t="n">
        <f aca="false">MATCH(A1394,DATAS,0)</f>
        <v>1</v>
      </c>
      <c r="AB1394" s="46" t="n">
        <f aca="false">IF(AND(E1394&gt;0,OR(AND(B1394&gt;=1,B1394&lt;=6),B1394=10)),1,0)</f>
        <v>1</v>
      </c>
      <c r="AC1394" s="46" t="n">
        <f aca="false">IF(AND(E1394&gt;0,B1394=10),1,0)</f>
        <v>0</v>
      </c>
      <c r="AD1394" s="0" t="str">
        <f aca="false">IF(AND(C1393=C1394,AA1393=AA1394-1),AB1393,"")</f>
        <v/>
      </c>
      <c r="AE1394" s="0" t="str">
        <f aca="false">IF(AND(C1393=C1394,AA1393=AA1394-1),AC1393,"")</f>
        <v/>
      </c>
      <c r="AF1394" s="0" t="str">
        <f aca="false">IF(AA1394=1,"",IF(AND(AB1394=1,AD1394&lt;&gt;1),1,0))</f>
        <v/>
      </c>
      <c r="AG1394" s="0" t="str">
        <f aca="false">IF(AA1394=1,"",IF(AND(AC1394=1,AE1394&lt;&gt;1),1,0))</f>
        <v/>
      </c>
      <c r="AH1394" s="51" t="str">
        <f aca="false">IF(AND(E1394&gt;0,AA1394&lt;1,NOT(AND(C1395=C1394,AA1395=AA1394+1))),INDEX(DATAS,AA1394+1),"")</f>
        <v/>
      </c>
      <c r="AI1394" s="51" t="str">
        <f aca="false">IF(AND(AC1394=1,AA1394&lt;1),IF(AND(C1395=C1394,AA1395=AA1394+1),IF(AC1395=1,"",INDEX(DATAS,AA1394+1)),INDEX(DATAS,AA1394+1)),"")</f>
        <v/>
      </c>
    </row>
    <row r="1395" customFormat="false" ht="15" hidden="false" customHeight="false" outlineLevel="0" collapsed="false">
      <c r="A1395" s="51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46" t="s">
        <v>928</v>
      </c>
      <c r="G1395" s="0" t="n">
        <v>27.9</v>
      </c>
      <c r="H1395" s="0" t="n">
        <v>32</v>
      </c>
      <c r="I1395" s="46" t="s">
        <v>152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51" t="n">
        <v>46191</v>
      </c>
      <c r="X1395" s="46" t="n">
        <f aca="false">IF(I1395="Male",0,1)</f>
        <v>1</v>
      </c>
      <c r="Y1395" s="46" t="n">
        <f aca="false">IF(OR(I1395="DNB",I1395="Dry DNB"),1,0)</f>
        <v>0</v>
      </c>
      <c r="Z1395" s="46" t="n">
        <f aca="false">IF(ISNUMBER(W1395),A1395-W1395,"")</f>
        <v>118</v>
      </c>
      <c r="AA1395" s="46" t="n">
        <f aca="false">MATCH(A1395,DATAS,0)</f>
        <v>1</v>
      </c>
      <c r="AB1395" s="46" t="n">
        <f aca="false">IF(AND(E1395&gt;0,OR(AND(B1395&gt;=1,B1395&lt;=6),B1395=10)),1,0)</f>
        <v>1</v>
      </c>
      <c r="AC1395" s="46" t="n">
        <f aca="false">IF(AND(E1395&gt;0,B1395=10),1,0)</f>
        <v>0</v>
      </c>
      <c r="AD1395" s="0" t="str">
        <f aca="false">IF(AND(C1394=C1395,AA1394=AA1395-1),AB1394,"")</f>
        <v/>
      </c>
      <c r="AE1395" s="0" t="str">
        <f aca="false">IF(AND(C1394=C1395,AA1394=AA1395-1),AC1394,"")</f>
        <v/>
      </c>
      <c r="AF1395" s="0" t="str">
        <f aca="false">IF(AA1395=1,"",IF(AND(AB1395=1,AD1395&lt;&gt;1),1,0))</f>
        <v/>
      </c>
      <c r="AG1395" s="0" t="str">
        <f aca="false">IF(AA1395=1,"",IF(AND(AC1395=1,AE1395&lt;&gt;1),1,0))</f>
        <v/>
      </c>
      <c r="AH1395" s="51" t="str">
        <f aca="false">IF(AND(E1395&gt;0,AA1395&lt;1,NOT(AND(C1396=C1395,AA1396=AA1395+1))),INDEX(DATAS,AA1395+1),"")</f>
        <v/>
      </c>
      <c r="AI1395" s="51" t="str">
        <f aca="false">IF(AND(AC1395=1,AA1395&lt;1),IF(AND(C1396=C1395,AA1396=AA1395+1),IF(AC1396=1,"",INDEX(DATAS,AA1395+1)),INDEX(DATAS,AA1395+1)),"")</f>
        <v/>
      </c>
    </row>
    <row r="1396" customFormat="false" ht="15" hidden="false" customHeight="false" outlineLevel="0" collapsed="false">
      <c r="A1396" s="51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46" t="s">
        <v>927</v>
      </c>
      <c r="G1396" s="0" t="n">
        <v>51.7</v>
      </c>
      <c r="H1396" s="0" t="n">
        <v>51</v>
      </c>
      <c r="I1396" s="46" t="s">
        <v>152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51" t="n">
        <v>46226</v>
      </c>
      <c r="X1396" s="46" t="n">
        <f aca="false">IF(I1396="Male",0,1)</f>
        <v>1</v>
      </c>
      <c r="Y1396" s="46" t="n">
        <f aca="false">IF(OR(I1396="DNB",I1396="Dry DNB"),1,0)</f>
        <v>0</v>
      </c>
      <c r="Z1396" s="46" t="n">
        <f aca="false">IF(ISNUMBER(W1396),A1396-W1396,"")</f>
        <v>83</v>
      </c>
      <c r="AA1396" s="46" t="n">
        <f aca="false">MATCH(A1396,DATAS,0)</f>
        <v>1</v>
      </c>
      <c r="AB1396" s="46" t="n">
        <f aca="false">IF(AND(E1396&gt;0,OR(AND(B1396&gt;=1,B1396&lt;=6),B1396=10)),1,0)</f>
        <v>1</v>
      </c>
      <c r="AC1396" s="46" t="n">
        <f aca="false">IF(AND(E1396&gt;0,B1396=10),1,0)</f>
        <v>0</v>
      </c>
      <c r="AD1396" s="0" t="str">
        <f aca="false">IF(AND(C1395=C1396,AA1395=AA1396-1),AB1395,"")</f>
        <v/>
      </c>
      <c r="AE1396" s="0" t="str">
        <f aca="false">IF(AND(C1395=C1396,AA1395=AA1396-1),AC1395,"")</f>
        <v/>
      </c>
      <c r="AF1396" s="0" t="str">
        <f aca="false">IF(AA1396=1,"",IF(AND(AB1396=1,AD1396&lt;&gt;1),1,0))</f>
        <v/>
      </c>
      <c r="AG1396" s="0" t="str">
        <f aca="false">IF(AA1396=1,"",IF(AND(AC1396=1,AE1396&lt;&gt;1),1,0))</f>
        <v/>
      </c>
      <c r="AH1396" s="51" t="str">
        <f aca="false">IF(AND(E1396&gt;0,AA1396&lt;1,NOT(AND(C1397=C1396,AA1397=AA1396+1))),INDEX(DATAS,AA1396+1),"")</f>
        <v/>
      </c>
      <c r="AI1396" s="51" t="str">
        <f aca="false">IF(AND(AC1396=1,AA1396&lt;1),IF(AND(C1397=C1396,AA1397=AA1396+1),IF(AC1397=1,"",INDEX(DATAS,AA1396+1)),INDEX(DATAS,AA1396+1)),"")</f>
        <v/>
      </c>
    </row>
    <row r="1397" customFormat="false" ht="15" hidden="false" customHeight="false" outlineLevel="0" collapsed="false">
      <c r="A1397" s="51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46" t="s">
        <v>927</v>
      </c>
      <c r="G1397" s="0" t="n">
        <v>49.2</v>
      </c>
      <c r="H1397" s="0" t="n">
        <v>45</v>
      </c>
      <c r="I1397" s="46" t="s">
        <v>152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51" t="n">
        <v>46247</v>
      </c>
      <c r="X1397" s="46" t="n">
        <f aca="false">IF(I1397="Male",0,1)</f>
        <v>1</v>
      </c>
      <c r="Y1397" s="46" t="n">
        <f aca="false">IF(OR(I1397="DNB",I1397="Dry DNB"),1,0)</f>
        <v>0</v>
      </c>
      <c r="Z1397" s="46" t="n">
        <f aca="false">IF(ISNUMBER(W1397),A1397-W1397,"")</f>
        <v>62</v>
      </c>
      <c r="AA1397" s="46" t="n">
        <f aca="false">MATCH(A1397,DATAS,0)</f>
        <v>1</v>
      </c>
      <c r="AB1397" s="46" t="n">
        <f aca="false">IF(AND(E1397&gt;0,OR(AND(B1397&gt;=1,B1397&lt;=6),B1397=10)),1,0)</f>
        <v>1</v>
      </c>
      <c r="AC1397" s="46" t="n">
        <f aca="false">IF(AND(E1397&gt;0,B1397=10),1,0)</f>
        <v>0</v>
      </c>
      <c r="AD1397" s="0" t="str">
        <f aca="false">IF(AND(C1396=C1397,AA1396=AA1397-1),AB1396,"")</f>
        <v/>
      </c>
      <c r="AE1397" s="0" t="str">
        <f aca="false">IF(AND(C1396=C1397,AA1396=AA1397-1),AC1396,"")</f>
        <v/>
      </c>
      <c r="AF1397" s="0" t="str">
        <f aca="false">IF(AA1397=1,"",IF(AND(AB1397=1,AD1397&lt;&gt;1),1,0))</f>
        <v/>
      </c>
      <c r="AG1397" s="0" t="str">
        <f aca="false">IF(AA1397=1,"",IF(AND(AC1397=1,AE1397&lt;&gt;1),1,0))</f>
        <v/>
      </c>
      <c r="AH1397" s="51" t="str">
        <f aca="false">IF(AND(E1397&gt;0,AA1397&lt;1,NOT(AND(C1398=C1397,AA1398=AA1397+1))),INDEX(DATAS,AA1397+1),"")</f>
        <v/>
      </c>
      <c r="AI1397" s="51" t="str">
        <f aca="false">IF(AND(AC1397=1,AA1397&lt;1),IF(AND(C1398=C1397,AA1398=AA1397+1),IF(AC1398=1,"",INDEX(DATAS,AA1397+1)),INDEX(DATAS,AA1397+1)),"")</f>
        <v/>
      </c>
    </row>
    <row r="1398" customFormat="false" ht="15" hidden="false" customHeight="false" outlineLevel="0" collapsed="false">
      <c r="A1398" s="51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46" t="s">
        <v>927</v>
      </c>
      <c r="G1398" s="0" t="n">
        <v>35.1</v>
      </c>
      <c r="H1398" s="0" t="n">
        <v>31</v>
      </c>
      <c r="I1398" s="46" t="s">
        <v>152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51" t="n">
        <v>46114</v>
      </c>
      <c r="X1398" s="46" t="n">
        <f aca="false">IF(I1398="Male",0,1)</f>
        <v>1</v>
      </c>
      <c r="Y1398" s="46" t="n">
        <f aca="false">IF(OR(I1398="DNB",I1398="Dry DNB"),1,0)</f>
        <v>0</v>
      </c>
      <c r="Z1398" s="46" t="n">
        <f aca="false">IF(ISNUMBER(W1398),A1398-W1398,"")</f>
        <v>195</v>
      </c>
      <c r="AA1398" s="46" t="n">
        <f aca="false">MATCH(A1398,DATAS,0)</f>
        <v>1</v>
      </c>
      <c r="AB1398" s="46" t="n">
        <f aca="false">IF(AND(E1398&gt;0,OR(AND(B1398&gt;=1,B1398&lt;=6),B1398=10)),1,0)</f>
        <v>1</v>
      </c>
      <c r="AC1398" s="46" t="n">
        <f aca="false">IF(AND(E1398&gt;0,B1398=10),1,0)</f>
        <v>0</v>
      </c>
      <c r="AD1398" s="0" t="str">
        <f aca="false">IF(AND(C1397=C1398,AA1397=AA1398-1),AB1397,"")</f>
        <v/>
      </c>
      <c r="AE1398" s="0" t="str">
        <f aca="false">IF(AND(C1397=C1398,AA1397=AA1398-1),AC1397,"")</f>
        <v/>
      </c>
      <c r="AF1398" s="0" t="str">
        <f aca="false">IF(AA1398=1,"",IF(AND(AB1398=1,AD1398&lt;&gt;1),1,0))</f>
        <v/>
      </c>
      <c r="AG1398" s="0" t="str">
        <f aca="false">IF(AA1398=1,"",IF(AND(AC1398=1,AE1398&lt;&gt;1),1,0))</f>
        <v/>
      </c>
      <c r="AH1398" s="51" t="str">
        <f aca="false">IF(AND(E1398&gt;0,AA1398&lt;1,NOT(AND(C1399=C1398,AA1399=AA1398+1))),INDEX(DATAS,AA1398+1),"")</f>
        <v/>
      </c>
      <c r="AI1398" s="51" t="str">
        <f aca="false">IF(AND(AC1398=1,AA1398&lt;1),IF(AND(C1399=C1398,AA1399=AA1398+1),IF(AC1399=1,"",INDEX(DATAS,AA1398+1)),INDEX(DATAS,AA1398+1)),"")</f>
        <v/>
      </c>
    </row>
    <row r="1399" customFormat="false" ht="15" hidden="false" customHeight="false" outlineLevel="0" collapsed="false">
      <c r="A1399" s="51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46" t="s">
        <v>929</v>
      </c>
      <c r="G1399" s="0" t="n">
        <v>53.1</v>
      </c>
      <c r="H1399" s="0" t="n">
        <v>53</v>
      </c>
      <c r="I1399" s="46" t="s">
        <v>181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51" t="n">
        <v>46303</v>
      </c>
      <c r="X1399" s="46" t="n">
        <f aca="false">IF(I1399="Male",0,1)</f>
        <v>1</v>
      </c>
      <c r="Y1399" s="46" t="n">
        <f aca="false">IF(OR(I1399="DNB",I1399="Dry DNB"),1,0)</f>
        <v>0</v>
      </c>
      <c r="Z1399" s="46" t="n">
        <f aca="false">IF(ISNUMBER(W1399),A1399-W1399,"")</f>
        <v>6</v>
      </c>
      <c r="AA1399" s="46" t="n">
        <f aca="false">MATCH(A1399,DATAS,0)</f>
        <v>1</v>
      </c>
      <c r="AB1399" s="46" t="n">
        <f aca="false">IF(AND(E1399&gt;0,OR(AND(B1399&gt;=1,B1399&lt;=6),B1399=10)),1,0)</f>
        <v>1</v>
      </c>
      <c r="AC1399" s="46" t="n">
        <f aca="false">IF(AND(E1399&gt;0,B1399=10),1,0)</f>
        <v>0</v>
      </c>
      <c r="AD1399" s="0" t="str">
        <f aca="false">IF(AND(C1398=C1399,AA1398=AA1399-1),AB1398,"")</f>
        <v/>
      </c>
      <c r="AE1399" s="0" t="str">
        <f aca="false">IF(AND(C1398=C1399,AA1398=AA1399-1),AC1398,"")</f>
        <v/>
      </c>
      <c r="AF1399" s="0" t="str">
        <f aca="false">IF(AA1399=1,"",IF(AND(AB1399=1,AD1399&lt;&gt;1),1,0))</f>
        <v/>
      </c>
      <c r="AG1399" s="0" t="str">
        <f aca="false">IF(AA1399=1,"",IF(AND(AC1399=1,AE1399&lt;&gt;1),1,0))</f>
        <v/>
      </c>
      <c r="AH1399" s="51" t="str">
        <f aca="false">IF(AND(E1399&gt;0,AA1399&lt;1,NOT(AND(C1400=C1399,AA1400=AA1399+1))),INDEX(DATAS,AA1399+1),"")</f>
        <v/>
      </c>
      <c r="AI1399" s="51" t="str">
        <f aca="false">IF(AND(AC1399=1,AA1399&lt;1),IF(AND(C1400=C1399,AA1400=AA1399+1),IF(AC1400=1,"",INDEX(DATAS,AA1399+1)),INDEX(DATAS,AA1399+1)),"")</f>
        <v/>
      </c>
    </row>
    <row r="1400" customFormat="false" ht="15" hidden="false" customHeight="false" outlineLevel="0" collapsed="false">
      <c r="A1400" s="51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46" t="s">
        <v>929</v>
      </c>
      <c r="G1400" s="0" t="n">
        <v>43.5</v>
      </c>
      <c r="H1400" s="0" t="n">
        <v>43</v>
      </c>
      <c r="I1400" s="46" t="s">
        <v>152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51" t="n">
        <v>46205</v>
      </c>
      <c r="X1400" s="46" t="n">
        <f aca="false">IF(I1400="Male",0,1)</f>
        <v>1</v>
      </c>
      <c r="Y1400" s="46" t="n">
        <f aca="false">IF(OR(I1400="DNB",I1400="Dry DNB"),1,0)</f>
        <v>0</v>
      </c>
      <c r="Z1400" s="46" t="n">
        <f aca="false">IF(ISNUMBER(W1400),A1400-W1400,"")</f>
        <v>104</v>
      </c>
      <c r="AA1400" s="46" t="n">
        <f aca="false">MATCH(A1400,DATAS,0)</f>
        <v>1</v>
      </c>
      <c r="AB1400" s="46" t="n">
        <f aca="false">IF(AND(E1400&gt;0,OR(AND(B1400&gt;=1,B1400&lt;=6),B1400=10)),1,0)</f>
        <v>1</v>
      </c>
      <c r="AC1400" s="46" t="n">
        <f aca="false">IF(AND(E1400&gt;0,B1400=10),1,0)</f>
        <v>0</v>
      </c>
      <c r="AD1400" s="0" t="str">
        <f aca="false">IF(AND(C1399=C1400,AA1399=AA1400-1),AB1399,"")</f>
        <v/>
      </c>
      <c r="AE1400" s="0" t="str">
        <f aca="false">IF(AND(C1399=C1400,AA1399=AA1400-1),AC1399,"")</f>
        <v/>
      </c>
      <c r="AF1400" s="0" t="str">
        <f aca="false">IF(AA1400=1,"",IF(AND(AB1400=1,AD1400&lt;&gt;1),1,0))</f>
        <v/>
      </c>
      <c r="AG1400" s="0" t="str">
        <f aca="false">IF(AA1400=1,"",IF(AND(AC1400=1,AE1400&lt;&gt;1),1,0))</f>
        <v/>
      </c>
      <c r="AH1400" s="51" t="str">
        <f aca="false">IF(AND(E1400&gt;0,AA1400&lt;1,NOT(AND(C1401=C1400,AA1401=AA1400+1))),INDEX(DATAS,AA1400+1),"")</f>
        <v/>
      </c>
      <c r="AI1400" s="51" t="str">
        <f aca="false">IF(AND(AC1400=1,AA1400&lt;1),IF(AND(C1401=C1400,AA1401=AA1400+1),IF(AC1401=1,"",INDEX(DATAS,AA1400+1)),INDEX(DATAS,AA1400+1)),"")</f>
        <v/>
      </c>
    </row>
    <row r="1401" customFormat="false" ht="15" hidden="false" customHeight="false" outlineLevel="0" collapsed="false">
      <c r="A1401" s="51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46" t="s">
        <v>929</v>
      </c>
      <c r="G1401" s="0" t="n">
        <v>57.5</v>
      </c>
      <c r="H1401" s="0" t="n">
        <v>56</v>
      </c>
      <c r="I1401" s="46" t="s">
        <v>189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51" t="n">
        <v>46272</v>
      </c>
      <c r="X1401" s="46" t="n">
        <f aca="false">IF(I1401="Male",0,1)</f>
        <v>1</v>
      </c>
      <c r="Y1401" s="46" t="n">
        <f aca="false">IF(OR(I1401="DNB",I1401="Dry DNB"),1,0)</f>
        <v>0</v>
      </c>
      <c r="Z1401" s="46" t="n">
        <f aca="false">IF(ISNUMBER(W1401),A1401-W1401,"")</f>
        <v>37</v>
      </c>
      <c r="AA1401" s="46" t="n">
        <f aca="false">MATCH(A1401,DATAS,0)</f>
        <v>1</v>
      </c>
      <c r="AB1401" s="46" t="n">
        <f aca="false">IF(AND(E1401&gt;0,OR(AND(B1401&gt;=1,B1401&lt;=6),B1401=10)),1,0)</f>
        <v>1</v>
      </c>
      <c r="AC1401" s="46" t="n">
        <f aca="false">IF(AND(E1401&gt;0,B1401=10),1,0)</f>
        <v>0</v>
      </c>
      <c r="AD1401" s="0" t="str">
        <f aca="false">IF(AND(C1400=C1401,AA1400=AA1401-1),AB1400,"")</f>
        <v/>
      </c>
      <c r="AE1401" s="0" t="str">
        <f aca="false">IF(AND(C1400=C1401,AA1400=AA1401-1),AC1400,"")</f>
        <v/>
      </c>
      <c r="AF1401" s="0" t="str">
        <f aca="false">IF(AA1401=1,"",IF(AND(AB1401=1,AD1401&lt;&gt;1),1,0))</f>
        <v/>
      </c>
      <c r="AG1401" s="0" t="str">
        <f aca="false">IF(AA1401=1,"",IF(AND(AC1401=1,AE1401&lt;&gt;1),1,0))</f>
        <v/>
      </c>
      <c r="AH1401" s="51" t="str">
        <f aca="false">IF(AND(E1401&gt;0,AA1401&lt;1,NOT(AND(C1402=C1401,AA1402=AA1401+1))),INDEX(DATAS,AA1401+1),"")</f>
        <v/>
      </c>
      <c r="AI1401" s="51" t="str">
        <f aca="false">IF(AND(AC1401=1,AA1401&lt;1),IF(AND(C1402=C1401,AA1402=AA1401+1),IF(AC1402=1,"",INDEX(DATAS,AA1401+1)),INDEX(DATAS,AA1401+1)),"")</f>
        <v/>
      </c>
    </row>
    <row r="1402" customFormat="false" ht="15" hidden="false" customHeight="false" outlineLevel="0" collapsed="false">
      <c r="A1402" s="51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46" t="s">
        <v>929</v>
      </c>
      <c r="G1402" s="0" t="n">
        <v>48.5</v>
      </c>
      <c r="H1402" s="0" t="n">
        <v>50</v>
      </c>
      <c r="I1402" s="46" t="s">
        <v>152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51" t="n">
        <v>46114</v>
      </c>
      <c r="X1402" s="46" t="n">
        <f aca="false">IF(I1402="Male",0,1)</f>
        <v>1</v>
      </c>
      <c r="Y1402" s="46" t="n">
        <f aca="false">IF(OR(I1402="DNB",I1402="Dry DNB"),1,0)</f>
        <v>0</v>
      </c>
      <c r="Z1402" s="46" t="n">
        <f aca="false">IF(ISNUMBER(W1402),A1402-W1402,"")</f>
        <v>195</v>
      </c>
      <c r="AA1402" s="46" t="n">
        <f aca="false">MATCH(A1402,DATAS,0)</f>
        <v>1</v>
      </c>
      <c r="AB1402" s="46" t="n">
        <f aca="false">IF(AND(E1402&gt;0,OR(AND(B1402&gt;=1,B1402&lt;=6),B1402=10)),1,0)</f>
        <v>1</v>
      </c>
      <c r="AC1402" s="46" t="n">
        <f aca="false">IF(AND(E1402&gt;0,B1402=10),1,0)</f>
        <v>0</v>
      </c>
      <c r="AD1402" s="0" t="str">
        <f aca="false">IF(AND(C1401=C1402,AA1401=AA1402-1),AB1401,"")</f>
        <v/>
      </c>
      <c r="AE1402" s="0" t="str">
        <f aca="false">IF(AND(C1401=C1402,AA1401=AA1402-1),AC1401,"")</f>
        <v/>
      </c>
      <c r="AF1402" s="0" t="str">
        <f aca="false">IF(AA1402=1,"",IF(AND(AB1402=1,AD1402&lt;&gt;1),1,0))</f>
        <v/>
      </c>
      <c r="AG1402" s="0" t="str">
        <f aca="false">IF(AA1402=1,"",IF(AND(AC1402=1,AE1402&lt;&gt;1),1,0))</f>
        <v/>
      </c>
      <c r="AH1402" s="51" t="str">
        <f aca="false">IF(AND(E1402&gt;0,AA1402&lt;1,NOT(AND(C1403=C1402,AA1403=AA1402+1))),INDEX(DATAS,AA1402+1),"")</f>
        <v/>
      </c>
      <c r="AI1402" s="51" t="str">
        <f aca="false">IF(AND(AC1402=1,AA1402&lt;1),IF(AND(C1403=C1402,AA1403=AA1402+1),IF(AC1403=1,"",INDEX(DATAS,AA1402+1)),INDEX(DATAS,AA1402+1)),"")</f>
        <v/>
      </c>
    </row>
    <row r="1403" customFormat="false" ht="15" hidden="false" customHeight="false" outlineLevel="0" collapsed="false">
      <c r="A1403" s="51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46" t="s">
        <v>928</v>
      </c>
      <c r="G1403" s="0" t="n">
        <v>28.2</v>
      </c>
      <c r="H1403" s="0" t="n">
        <v>32</v>
      </c>
      <c r="I1403" s="46" t="s">
        <v>152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51" t="n">
        <v>46184</v>
      </c>
      <c r="X1403" s="46" t="n">
        <f aca="false">IF(I1403="Male",0,1)</f>
        <v>1</v>
      </c>
      <c r="Y1403" s="46" t="n">
        <f aca="false">IF(OR(I1403="DNB",I1403="Dry DNB"),1,0)</f>
        <v>0</v>
      </c>
      <c r="Z1403" s="46" t="n">
        <f aca="false">IF(ISNUMBER(W1403),A1403-W1403,"")</f>
        <v>125</v>
      </c>
      <c r="AA1403" s="46" t="n">
        <f aca="false">MATCH(A1403,DATAS,0)</f>
        <v>1</v>
      </c>
      <c r="AB1403" s="46" t="n">
        <f aca="false">IF(AND(E1403&gt;0,OR(AND(B1403&gt;=1,B1403&lt;=6),B1403=10)),1,0)</f>
        <v>1</v>
      </c>
      <c r="AC1403" s="46" t="n">
        <f aca="false">IF(AND(E1403&gt;0,B1403=10),1,0)</f>
        <v>0</v>
      </c>
      <c r="AD1403" s="0" t="str">
        <f aca="false">IF(AND(C1402=C1403,AA1402=AA1403-1),AB1402,"")</f>
        <v/>
      </c>
      <c r="AE1403" s="0" t="str">
        <f aca="false">IF(AND(C1402=C1403,AA1402=AA1403-1),AC1402,"")</f>
        <v/>
      </c>
      <c r="AF1403" s="0" t="str">
        <f aca="false">IF(AA1403=1,"",IF(AND(AB1403=1,AD1403&lt;&gt;1),1,0))</f>
        <v/>
      </c>
      <c r="AG1403" s="0" t="str">
        <f aca="false">IF(AA1403=1,"",IF(AND(AC1403=1,AE1403&lt;&gt;1),1,0))</f>
        <v/>
      </c>
      <c r="AH1403" s="51" t="str">
        <f aca="false">IF(AND(E1403&gt;0,AA1403&lt;1,NOT(AND(C1404=C1403,AA1404=AA1403+1))),INDEX(DATAS,AA1403+1),"")</f>
        <v/>
      </c>
      <c r="AI1403" s="51" t="str">
        <f aca="false">IF(AND(AC1403=1,AA1403&lt;1),IF(AND(C1404=C1403,AA1404=AA1403+1),IF(AC1404=1,"",INDEX(DATAS,AA1403+1)),INDEX(DATAS,AA1403+1)),"")</f>
        <v/>
      </c>
    </row>
    <row r="1404" customFormat="false" ht="15" hidden="false" customHeight="false" outlineLevel="0" collapsed="false">
      <c r="A1404" s="51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46" t="s">
        <v>928</v>
      </c>
      <c r="G1404" s="0" t="n">
        <v>52.1</v>
      </c>
      <c r="H1404" s="0" t="n">
        <v>52</v>
      </c>
      <c r="I1404" s="46" t="s">
        <v>181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51" t="n">
        <v>46296</v>
      </c>
      <c r="X1404" s="46" t="n">
        <f aca="false">IF(I1404="Male",0,1)</f>
        <v>1</v>
      </c>
      <c r="Y1404" s="46" t="n">
        <f aca="false">IF(OR(I1404="DNB",I1404="Dry DNB"),1,0)</f>
        <v>0</v>
      </c>
      <c r="Z1404" s="46" t="n">
        <f aca="false">IF(ISNUMBER(W1404),A1404-W1404,"")</f>
        <v>13</v>
      </c>
      <c r="AA1404" s="46" t="n">
        <f aca="false">MATCH(A1404,DATAS,0)</f>
        <v>1</v>
      </c>
      <c r="AB1404" s="46" t="n">
        <f aca="false">IF(AND(E1404&gt;0,OR(AND(B1404&gt;=1,B1404&lt;=6),B1404=10)),1,0)</f>
        <v>1</v>
      </c>
      <c r="AC1404" s="46" t="n">
        <f aca="false">IF(AND(E1404&gt;0,B1404=10),1,0)</f>
        <v>0</v>
      </c>
      <c r="AD1404" s="0" t="str">
        <f aca="false">IF(AND(C1403=C1404,AA1403=AA1404-1),AB1403,"")</f>
        <v/>
      </c>
      <c r="AE1404" s="0" t="str">
        <f aca="false">IF(AND(C1403=C1404,AA1403=AA1404-1),AC1403,"")</f>
        <v/>
      </c>
      <c r="AF1404" s="0" t="str">
        <f aca="false">IF(AA1404=1,"",IF(AND(AB1404=1,AD1404&lt;&gt;1),1,0))</f>
        <v/>
      </c>
      <c r="AG1404" s="0" t="str">
        <f aca="false">IF(AA1404=1,"",IF(AND(AC1404=1,AE1404&lt;&gt;1),1,0))</f>
        <v/>
      </c>
      <c r="AH1404" s="51" t="str">
        <f aca="false">IF(AND(E1404&gt;0,AA1404&lt;1,NOT(AND(C1405=C1404,AA1405=AA1404+1))),INDEX(DATAS,AA1404+1),"")</f>
        <v/>
      </c>
      <c r="AI1404" s="51" t="str">
        <f aca="false">IF(AND(AC1404=1,AA1404&lt;1),IF(AND(C1405=C1404,AA1405=AA1404+1),IF(AC1405=1,"",INDEX(DATAS,AA1404+1)),INDEX(DATAS,AA1404+1)),"")</f>
        <v/>
      </c>
    </row>
    <row r="1405" customFormat="false" ht="15" hidden="false" customHeight="false" outlineLevel="0" collapsed="false">
      <c r="A1405" s="51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46" t="s">
        <v>928</v>
      </c>
      <c r="G1405" s="0" t="n">
        <v>55.5</v>
      </c>
      <c r="H1405" s="0" t="n">
        <v>51</v>
      </c>
      <c r="I1405" s="46" t="s">
        <v>152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51" t="n">
        <v>46178</v>
      </c>
      <c r="X1405" s="46" t="n">
        <f aca="false">IF(I1405="Male",0,1)</f>
        <v>1</v>
      </c>
      <c r="Y1405" s="46" t="n">
        <f aca="false">IF(OR(I1405="DNB",I1405="Dry DNB"),1,0)</f>
        <v>0</v>
      </c>
      <c r="Z1405" s="46" t="n">
        <f aca="false">IF(ISNUMBER(W1405),A1405-W1405,"")</f>
        <v>131</v>
      </c>
      <c r="AA1405" s="46" t="n">
        <f aca="false">MATCH(A1405,DATAS,0)</f>
        <v>1</v>
      </c>
      <c r="AB1405" s="46" t="n">
        <f aca="false">IF(AND(E1405&gt;0,OR(AND(B1405&gt;=1,B1405&lt;=6),B1405=10)),1,0)</f>
        <v>1</v>
      </c>
      <c r="AC1405" s="46" t="n">
        <f aca="false">IF(AND(E1405&gt;0,B1405=10),1,0)</f>
        <v>0</v>
      </c>
      <c r="AD1405" s="0" t="str">
        <f aca="false">IF(AND(C1404=C1405,AA1404=AA1405-1),AB1404,"")</f>
        <v/>
      </c>
      <c r="AE1405" s="0" t="str">
        <f aca="false">IF(AND(C1404=C1405,AA1404=AA1405-1),AC1404,"")</f>
        <v/>
      </c>
      <c r="AF1405" s="0" t="str">
        <f aca="false">IF(AA1405=1,"",IF(AND(AB1405=1,AD1405&lt;&gt;1),1,0))</f>
        <v/>
      </c>
      <c r="AG1405" s="0" t="str">
        <f aca="false">IF(AA1405=1,"",IF(AND(AC1405=1,AE1405&lt;&gt;1),1,0))</f>
        <v/>
      </c>
      <c r="AH1405" s="51" t="str">
        <f aca="false">IF(AND(E1405&gt;0,AA1405&lt;1,NOT(AND(C1406=C1405,AA1406=AA1405+1))),INDEX(DATAS,AA1405+1),"")</f>
        <v/>
      </c>
      <c r="AI1405" s="51" t="str">
        <f aca="false">IF(AND(AC1405=1,AA1405&lt;1),IF(AND(C1406=C1405,AA1406=AA1405+1),IF(AC1406=1,"",INDEX(DATAS,AA1405+1)),INDEX(DATAS,AA1405+1)),"")</f>
        <v/>
      </c>
    </row>
    <row r="1406" customFormat="false" ht="15" hidden="false" customHeight="false" outlineLevel="0" collapsed="false">
      <c r="A1406" s="51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46" t="s">
        <v>928</v>
      </c>
      <c r="G1406" s="0" t="n">
        <v>45.9</v>
      </c>
      <c r="H1406" s="0" t="n">
        <v>45</v>
      </c>
      <c r="I1406" s="46" t="s">
        <v>152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51" t="n">
        <v>46191</v>
      </c>
      <c r="X1406" s="46" t="n">
        <f aca="false">IF(I1406="Male",0,1)</f>
        <v>1</v>
      </c>
      <c r="Y1406" s="46" t="n">
        <f aca="false">IF(OR(I1406="DNB",I1406="Dry DNB"),1,0)</f>
        <v>0</v>
      </c>
      <c r="Z1406" s="46" t="n">
        <f aca="false">IF(ISNUMBER(W1406),A1406-W1406,"")</f>
        <v>118</v>
      </c>
      <c r="AA1406" s="46" t="n">
        <f aca="false">MATCH(A1406,DATAS,0)</f>
        <v>1</v>
      </c>
      <c r="AB1406" s="46" t="n">
        <f aca="false">IF(AND(E1406&gt;0,OR(AND(B1406&gt;=1,B1406&lt;=6),B1406=10)),1,0)</f>
        <v>1</v>
      </c>
      <c r="AC1406" s="46" t="n">
        <f aca="false">IF(AND(E1406&gt;0,B1406=10),1,0)</f>
        <v>0</v>
      </c>
      <c r="AD1406" s="0" t="str">
        <f aca="false">IF(AND(C1405=C1406,AA1405=AA1406-1),AB1405,"")</f>
        <v/>
      </c>
      <c r="AE1406" s="0" t="str">
        <f aca="false">IF(AND(C1405=C1406,AA1405=AA1406-1),AC1405,"")</f>
        <v/>
      </c>
      <c r="AF1406" s="0" t="str">
        <f aca="false">IF(AA1406=1,"",IF(AND(AB1406=1,AD1406&lt;&gt;1),1,0))</f>
        <v/>
      </c>
      <c r="AG1406" s="0" t="str">
        <f aca="false">IF(AA1406=1,"",IF(AND(AC1406=1,AE1406&lt;&gt;1),1,0))</f>
        <v/>
      </c>
      <c r="AH1406" s="51" t="str">
        <f aca="false">IF(AND(E1406&gt;0,AA1406&lt;1,NOT(AND(C1407=C1406,AA1407=AA1406+1))),INDEX(DATAS,AA1406+1),"")</f>
        <v/>
      </c>
      <c r="AI1406" s="51" t="str">
        <f aca="false">IF(AND(AC1406=1,AA1406&lt;1),IF(AND(C1407=C1406,AA1407=AA1406+1),IF(AC1407=1,"",INDEX(DATAS,AA1406+1)),INDEX(DATAS,AA1406+1)),"")</f>
        <v/>
      </c>
    </row>
    <row r="1407" customFormat="false" ht="15" hidden="false" customHeight="false" outlineLevel="0" collapsed="false">
      <c r="A1407" s="51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46" t="s">
        <v>928</v>
      </c>
      <c r="G1407" s="0" t="n">
        <v>48.7</v>
      </c>
      <c r="H1407" s="0" t="n">
        <v>49</v>
      </c>
      <c r="I1407" s="46" t="s">
        <v>152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51" t="n">
        <v>46268</v>
      </c>
      <c r="X1407" s="46" t="n">
        <f aca="false">IF(I1407="Male",0,1)</f>
        <v>1</v>
      </c>
      <c r="Y1407" s="46" t="n">
        <f aca="false">IF(OR(I1407="DNB",I1407="Dry DNB"),1,0)</f>
        <v>0</v>
      </c>
      <c r="Z1407" s="46" t="n">
        <f aca="false">IF(ISNUMBER(W1407),A1407-W1407,"")</f>
        <v>41</v>
      </c>
      <c r="AA1407" s="46" t="n">
        <f aca="false">MATCH(A1407,DATAS,0)</f>
        <v>1</v>
      </c>
      <c r="AB1407" s="46" t="n">
        <f aca="false">IF(AND(E1407&gt;0,OR(AND(B1407&gt;=1,B1407&lt;=6),B1407=10)),1,0)</f>
        <v>1</v>
      </c>
      <c r="AC1407" s="46" t="n">
        <f aca="false">IF(AND(E1407&gt;0,B1407=10),1,0)</f>
        <v>0</v>
      </c>
      <c r="AD1407" s="0" t="str">
        <f aca="false">IF(AND(C1406=C1407,AA1406=AA1407-1),AB1406,"")</f>
        <v/>
      </c>
      <c r="AE1407" s="0" t="str">
        <f aca="false">IF(AND(C1406=C1407,AA1406=AA1407-1),AC1406,"")</f>
        <v/>
      </c>
      <c r="AF1407" s="0" t="str">
        <f aca="false">IF(AA1407=1,"",IF(AND(AB1407=1,AD1407&lt;&gt;1),1,0))</f>
        <v/>
      </c>
      <c r="AG1407" s="0" t="str">
        <f aca="false">IF(AA1407=1,"",IF(AND(AC1407=1,AE1407&lt;&gt;1),1,0))</f>
        <v/>
      </c>
      <c r="AH1407" s="51" t="str">
        <f aca="false">IF(AND(E1407&gt;0,AA1407&lt;1,NOT(AND(C1408=C1407,AA1408=AA1407+1))),INDEX(DATAS,AA1407+1),"")</f>
        <v/>
      </c>
      <c r="AI1407" s="51" t="str">
        <f aca="false">IF(AND(AC1407=1,AA1407&lt;1),IF(AND(C1408=C1407,AA1408=AA1407+1),IF(AC1408=1,"",INDEX(DATAS,AA1407+1)),INDEX(DATAS,AA1407+1)),"")</f>
        <v/>
      </c>
    </row>
    <row r="1408" customFormat="false" ht="15" hidden="false" customHeight="false" outlineLevel="0" collapsed="false">
      <c r="A1408" s="51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46" t="s">
        <v>930</v>
      </c>
      <c r="G1408" s="0" t="n">
        <v>50.1</v>
      </c>
      <c r="H1408" s="0" t="n">
        <v>48</v>
      </c>
      <c r="I1408" s="46" t="s">
        <v>152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51" t="n">
        <v>46205</v>
      </c>
      <c r="X1408" s="46" t="n">
        <f aca="false">IF(I1408="Male",0,1)</f>
        <v>1</v>
      </c>
      <c r="Y1408" s="46" t="n">
        <f aca="false">IF(OR(I1408="DNB",I1408="Dry DNB"),1,0)</f>
        <v>0</v>
      </c>
      <c r="Z1408" s="46" t="n">
        <f aca="false">IF(ISNUMBER(W1408),A1408-W1408,"")</f>
        <v>104</v>
      </c>
      <c r="AA1408" s="46" t="n">
        <f aca="false">MATCH(A1408,DATAS,0)</f>
        <v>1</v>
      </c>
      <c r="AB1408" s="46" t="n">
        <f aca="false">IF(AND(E1408&gt;0,OR(AND(B1408&gt;=1,B1408&lt;=6),B1408=10)),1,0)</f>
        <v>1</v>
      </c>
      <c r="AC1408" s="46" t="n">
        <f aca="false">IF(AND(E1408&gt;0,B1408=10),1,0)</f>
        <v>0</v>
      </c>
      <c r="AD1408" s="0" t="str">
        <f aca="false">IF(AND(C1407=C1408,AA1407=AA1408-1),AB1407,"")</f>
        <v/>
      </c>
      <c r="AE1408" s="0" t="str">
        <f aca="false">IF(AND(C1407=C1408,AA1407=AA1408-1),AC1407,"")</f>
        <v/>
      </c>
      <c r="AF1408" s="0" t="str">
        <f aca="false">IF(AA1408=1,"",IF(AND(AB1408=1,AD1408&lt;&gt;1),1,0))</f>
        <v/>
      </c>
      <c r="AG1408" s="0" t="str">
        <f aca="false">IF(AA1408=1,"",IF(AND(AC1408=1,AE1408&lt;&gt;1),1,0))</f>
        <v/>
      </c>
      <c r="AH1408" s="51" t="str">
        <f aca="false">IF(AND(E1408&gt;0,AA1408&lt;1,NOT(AND(C1409=C1408,AA1409=AA1408+1))),INDEX(DATAS,AA1408+1),"")</f>
        <v/>
      </c>
      <c r="AI1408" s="51" t="str">
        <f aca="false">IF(AND(AC1408=1,AA1408&lt;1),IF(AND(C1409=C1408,AA1409=AA1408+1),IF(AC1409=1,"",INDEX(DATAS,AA1408+1)),INDEX(DATAS,AA1408+1)),"")</f>
        <v/>
      </c>
    </row>
    <row r="1409" customFormat="false" ht="15" hidden="false" customHeight="false" outlineLevel="0" collapsed="false">
      <c r="A1409" s="51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46" t="s">
        <v>931</v>
      </c>
      <c r="G1409" s="0" t="n">
        <v>42.5</v>
      </c>
      <c r="H1409" s="0" t="n">
        <v>42</v>
      </c>
      <c r="I1409" s="46" t="s">
        <v>152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51" t="n">
        <v>46144</v>
      </c>
      <c r="X1409" s="46" t="n">
        <f aca="false">IF(I1409="Male",0,1)</f>
        <v>1</v>
      </c>
      <c r="Y1409" s="46" t="n">
        <f aca="false">IF(OR(I1409="DNB",I1409="Dry DNB"),1,0)</f>
        <v>0</v>
      </c>
      <c r="Z1409" s="46" t="n">
        <f aca="false">IF(ISNUMBER(W1409),A1409-W1409,"")</f>
        <v>165</v>
      </c>
      <c r="AA1409" s="46" t="n">
        <f aca="false">MATCH(A1409,DATAS,0)</f>
        <v>1</v>
      </c>
      <c r="AB1409" s="46" t="n">
        <f aca="false">IF(AND(E1409&gt;0,OR(AND(B1409&gt;=1,B1409&lt;=6),B1409=10)),1,0)</f>
        <v>1</v>
      </c>
      <c r="AC1409" s="46" t="n">
        <f aca="false">IF(AND(E1409&gt;0,B1409=10),1,0)</f>
        <v>0</v>
      </c>
      <c r="AD1409" s="0" t="str">
        <f aca="false">IF(AND(C1408=C1409,AA1408=AA1409-1),AB1408,"")</f>
        <v/>
      </c>
      <c r="AE1409" s="0" t="str">
        <f aca="false">IF(AND(C1408=C1409,AA1408=AA1409-1),AC1408,"")</f>
        <v/>
      </c>
      <c r="AF1409" s="0" t="str">
        <f aca="false">IF(AA1409=1,"",IF(AND(AB1409=1,AD1409&lt;&gt;1),1,0))</f>
        <v/>
      </c>
      <c r="AG1409" s="0" t="str">
        <f aca="false">IF(AA1409=1,"",IF(AND(AC1409=1,AE1409&lt;&gt;1),1,0))</f>
        <v/>
      </c>
      <c r="AH1409" s="51" t="str">
        <f aca="false">IF(AND(E1409&gt;0,AA1409&lt;1,NOT(AND(C1410=C1409,AA1410=AA1409+1))),INDEX(DATAS,AA1409+1),"")</f>
        <v/>
      </c>
      <c r="AI1409" s="51" t="str">
        <f aca="false">IF(AND(AC1409=1,AA1409&lt;1),IF(AND(C1410=C1409,AA1410=AA1409+1),IF(AC1410=1,"",INDEX(DATAS,AA1409+1)),INDEX(DATAS,AA1409+1)),"")</f>
        <v/>
      </c>
    </row>
    <row r="1410" customFormat="false" ht="15" hidden="false" customHeight="false" outlineLevel="0" collapsed="false">
      <c r="A1410" s="51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46" t="s">
        <v>932</v>
      </c>
      <c r="G1410" s="0" t="n">
        <v>57.4</v>
      </c>
      <c r="H1410" s="0" t="n">
        <v>57</v>
      </c>
      <c r="I1410" s="46" t="s">
        <v>152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51" t="n">
        <v>46198</v>
      </c>
      <c r="X1410" s="46" t="n">
        <f aca="false">IF(I1410="Male",0,1)</f>
        <v>1</v>
      </c>
      <c r="Y1410" s="46" t="n">
        <f aca="false">IF(OR(I1410="DNB",I1410="Dry DNB"),1,0)</f>
        <v>0</v>
      </c>
      <c r="Z1410" s="46" t="n">
        <f aca="false">IF(ISNUMBER(W1410),A1410-W1410,"")</f>
        <v>111</v>
      </c>
      <c r="AA1410" s="46" t="n">
        <f aca="false">MATCH(A1410,DATAS,0)</f>
        <v>1</v>
      </c>
      <c r="AB1410" s="46" t="n">
        <f aca="false">IF(AND(E1410&gt;0,OR(AND(B1410&gt;=1,B1410&lt;=6),B1410=10)),1,0)</f>
        <v>1</v>
      </c>
      <c r="AC1410" s="46" t="n">
        <f aca="false">IF(AND(E1410&gt;0,B1410=10),1,0)</f>
        <v>0</v>
      </c>
      <c r="AD1410" s="0" t="str">
        <f aca="false">IF(AND(C1409=C1410,AA1409=AA1410-1),AB1409,"")</f>
        <v/>
      </c>
      <c r="AE1410" s="0" t="str">
        <f aca="false">IF(AND(C1409=C1410,AA1409=AA1410-1),AC1409,"")</f>
        <v/>
      </c>
      <c r="AF1410" s="0" t="str">
        <f aca="false">IF(AA1410=1,"",IF(AND(AB1410=1,AD1410&lt;&gt;1),1,0))</f>
        <v/>
      </c>
      <c r="AG1410" s="0" t="str">
        <f aca="false">IF(AA1410=1,"",IF(AND(AC1410=1,AE1410&lt;&gt;1),1,0))</f>
        <v/>
      </c>
      <c r="AH1410" s="51" t="str">
        <f aca="false">IF(AND(E1410&gt;0,AA1410&lt;1,NOT(AND(C1411=C1410,AA1411=AA1410+1))),INDEX(DATAS,AA1410+1),"")</f>
        <v/>
      </c>
      <c r="AI1410" s="51" t="str">
        <f aca="false">IF(AND(AC1410=1,AA1410&lt;1),IF(AND(C1411=C1410,AA1411=AA1410+1),IF(AC1411=1,"",INDEX(DATAS,AA1410+1)),INDEX(DATAS,AA1410+1)),"")</f>
        <v/>
      </c>
    </row>
    <row r="1411" customFormat="false" ht="15" hidden="false" customHeight="false" outlineLevel="0" collapsed="false">
      <c r="A1411" s="51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46" t="s">
        <v>933</v>
      </c>
      <c r="G1411" s="0" t="n">
        <v>50.5</v>
      </c>
      <c r="H1411" s="0" t="n">
        <v>53</v>
      </c>
      <c r="I1411" s="46" t="s">
        <v>189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51" t="n">
        <v>46256</v>
      </c>
      <c r="X1411" s="46" t="n">
        <f aca="false">IF(I1411="Male",0,1)</f>
        <v>1</v>
      </c>
      <c r="Y1411" s="46" t="n">
        <f aca="false">IF(OR(I1411="DNB",I1411="Dry DNB"),1,0)</f>
        <v>0</v>
      </c>
      <c r="Z1411" s="46" t="n">
        <f aca="false">IF(ISNUMBER(W1411),A1411-W1411,"")</f>
        <v>53</v>
      </c>
      <c r="AA1411" s="46" t="n">
        <f aca="false">MATCH(A1411,DATAS,0)</f>
        <v>1</v>
      </c>
      <c r="AB1411" s="46" t="n">
        <f aca="false">IF(AND(E1411&gt;0,OR(AND(B1411&gt;=1,B1411&lt;=6),B1411=10)),1,0)</f>
        <v>1</v>
      </c>
      <c r="AC1411" s="46" t="n">
        <f aca="false">IF(AND(E1411&gt;0,B1411=10),1,0)</f>
        <v>0</v>
      </c>
      <c r="AD1411" s="0" t="str">
        <f aca="false">IF(AND(C1410=C1411,AA1410=AA1411-1),AB1410,"")</f>
        <v/>
      </c>
      <c r="AE1411" s="0" t="str">
        <f aca="false">IF(AND(C1410=C1411,AA1410=AA1411-1),AC1410,"")</f>
        <v/>
      </c>
      <c r="AF1411" s="0" t="str">
        <f aca="false">IF(AA1411=1,"",IF(AND(AB1411=1,AD1411&lt;&gt;1),1,0))</f>
        <v/>
      </c>
      <c r="AG1411" s="0" t="str">
        <f aca="false">IF(AA1411=1,"",IF(AND(AC1411=1,AE1411&lt;&gt;1),1,0))</f>
        <v/>
      </c>
      <c r="AH1411" s="51" t="str">
        <f aca="false">IF(AND(E1411&gt;0,AA1411&lt;1,NOT(AND(C1412=C1411,AA1412=AA1411+1))),INDEX(DATAS,AA1411+1),"")</f>
        <v/>
      </c>
      <c r="AI1411" s="51" t="str">
        <f aca="false">IF(AND(AC1411=1,AA1411&lt;1),IF(AND(C1412=C1411,AA1412=AA1411+1),IF(AC1412=1,"",INDEX(DATAS,AA1411+1)),INDEX(DATAS,AA1411+1)),"")</f>
        <v/>
      </c>
    </row>
    <row r="1412" customFormat="false" ht="15" hidden="false" customHeight="false" outlineLevel="0" collapsed="false">
      <c r="A1412" s="51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46" t="s">
        <v>933</v>
      </c>
      <c r="G1412" s="0" t="n">
        <v>44.9</v>
      </c>
      <c r="H1412" s="0" t="n">
        <v>49</v>
      </c>
      <c r="I1412" s="46" t="s">
        <v>152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51" t="n">
        <v>46156</v>
      </c>
      <c r="X1412" s="46" t="n">
        <f aca="false">IF(I1412="Male",0,1)</f>
        <v>1</v>
      </c>
      <c r="Y1412" s="46" t="n">
        <f aca="false">IF(OR(I1412="DNB",I1412="Dry DNB"),1,0)</f>
        <v>0</v>
      </c>
      <c r="Z1412" s="46" t="n">
        <f aca="false">IF(ISNUMBER(W1412),A1412-W1412,"")</f>
        <v>153</v>
      </c>
      <c r="AA1412" s="46" t="n">
        <f aca="false">MATCH(A1412,DATAS,0)</f>
        <v>1</v>
      </c>
      <c r="AB1412" s="46" t="n">
        <f aca="false">IF(AND(E1412&gt;0,OR(AND(B1412&gt;=1,B1412&lt;=6),B1412=10)),1,0)</f>
        <v>1</v>
      </c>
      <c r="AC1412" s="46" t="n">
        <f aca="false">IF(AND(E1412&gt;0,B1412=10),1,0)</f>
        <v>0</v>
      </c>
      <c r="AD1412" s="0" t="str">
        <f aca="false">IF(AND(C1411=C1412,AA1411=AA1412-1),AB1411,"")</f>
        <v/>
      </c>
      <c r="AE1412" s="0" t="str">
        <f aca="false">IF(AND(C1411=C1412,AA1411=AA1412-1),AC1411,"")</f>
        <v/>
      </c>
      <c r="AF1412" s="0" t="str">
        <f aca="false">IF(AA1412=1,"",IF(AND(AB1412=1,AD1412&lt;&gt;1),1,0))</f>
        <v/>
      </c>
      <c r="AG1412" s="0" t="str">
        <f aca="false">IF(AA1412=1,"",IF(AND(AC1412=1,AE1412&lt;&gt;1),1,0))</f>
        <v/>
      </c>
      <c r="AH1412" s="51" t="str">
        <f aca="false">IF(AND(E1412&gt;0,AA1412&lt;1,NOT(AND(C1413=C1412,AA1413=AA1412+1))),INDEX(DATAS,AA1412+1),"")</f>
        <v/>
      </c>
      <c r="AI1412" s="51" t="str">
        <f aca="false">IF(AND(AC1412=1,AA1412&lt;1),IF(AND(C1413=C1412,AA1413=AA1412+1),IF(AC1413=1,"",INDEX(DATAS,AA1412+1)),INDEX(DATAS,AA1412+1)),"")</f>
        <v/>
      </c>
    </row>
    <row r="1413" customFormat="false" ht="15" hidden="false" customHeight="false" outlineLevel="0" collapsed="false">
      <c r="A1413" s="51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46" t="s">
        <v>934</v>
      </c>
      <c r="G1413" s="0" t="n">
        <v>54.1</v>
      </c>
      <c r="H1413" s="0" t="n">
        <v>58</v>
      </c>
      <c r="I1413" s="46" t="s">
        <v>152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51" t="n">
        <v>46184</v>
      </c>
      <c r="X1413" s="46" t="n">
        <f aca="false">IF(I1413="Male",0,1)</f>
        <v>1</v>
      </c>
      <c r="Y1413" s="46" t="n">
        <f aca="false">IF(OR(I1413="DNB",I1413="Dry DNB"),1,0)</f>
        <v>0</v>
      </c>
      <c r="Z1413" s="46" t="n">
        <f aca="false">IF(ISNUMBER(W1413),A1413-W1413,"")</f>
        <v>125</v>
      </c>
      <c r="AA1413" s="46" t="n">
        <f aca="false">MATCH(A1413,DATAS,0)</f>
        <v>1</v>
      </c>
      <c r="AB1413" s="46" t="n">
        <f aca="false">IF(AND(E1413&gt;0,OR(AND(B1413&gt;=1,B1413&lt;=6),B1413=10)),1,0)</f>
        <v>1</v>
      </c>
      <c r="AC1413" s="46" t="n">
        <f aca="false">IF(AND(E1413&gt;0,B1413=10),1,0)</f>
        <v>0</v>
      </c>
      <c r="AD1413" s="0" t="str">
        <f aca="false">IF(AND(C1412=C1413,AA1412=AA1413-1),AB1412,"")</f>
        <v/>
      </c>
      <c r="AE1413" s="0" t="str">
        <f aca="false">IF(AND(C1412=C1413,AA1412=AA1413-1),AC1412,"")</f>
        <v/>
      </c>
      <c r="AF1413" s="0" t="str">
        <f aca="false">IF(AA1413=1,"",IF(AND(AB1413=1,AD1413&lt;&gt;1),1,0))</f>
        <v/>
      </c>
      <c r="AG1413" s="0" t="str">
        <f aca="false">IF(AA1413=1,"",IF(AND(AC1413=1,AE1413&lt;&gt;1),1,0))</f>
        <v/>
      </c>
      <c r="AH1413" s="51" t="str">
        <f aca="false">IF(AND(E1413&gt;0,AA1413&lt;1,NOT(AND(C1414=C1413,AA1414=AA1413+1))),INDEX(DATAS,AA1413+1),"")</f>
        <v/>
      </c>
      <c r="AI1413" s="51" t="str">
        <f aca="false">IF(AND(AC1413=1,AA1413&lt;1),IF(AND(C1414=C1413,AA1414=AA1413+1),IF(AC1414=1,"",INDEX(DATAS,AA1413+1)),INDEX(DATAS,AA1413+1)),"")</f>
        <v/>
      </c>
    </row>
    <row r="1414" customFormat="false" ht="15" hidden="false" customHeight="false" outlineLevel="0" collapsed="false">
      <c r="A1414" s="51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46" t="s">
        <v>931</v>
      </c>
      <c r="G1414" s="0" t="n">
        <v>49.5</v>
      </c>
      <c r="H1414" s="0" t="n">
        <v>49</v>
      </c>
      <c r="I1414" s="46" t="s">
        <v>152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51" t="n">
        <v>46135</v>
      </c>
      <c r="X1414" s="46" t="n">
        <f aca="false">IF(I1414="Male",0,1)</f>
        <v>1</v>
      </c>
      <c r="Y1414" s="46" t="n">
        <f aca="false">IF(OR(I1414="DNB",I1414="Dry DNB"),1,0)</f>
        <v>0</v>
      </c>
      <c r="Z1414" s="46" t="n">
        <f aca="false">IF(ISNUMBER(W1414),A1414-W1414,"")</f>
        <v>174</v>
      </c>
      <c r="AA1414" s="46" t="n">
        <f aca="false">MATCH(A1414,DATAS,0)</f>
        <v>1</v>
      </c>
      <c r="AB1414" s="46" t="n">
        <f aca="false">IF(AND(E1414&gt;0,OR(AND(B1414&gt;=1,B1414&lt;=6),B1414=10)),1,0)</f>
        <v>1</v>
      </c>
      <c r="AC1414" s="46" t="n">
        <f aca="false">IF(AND(E1414&gt;0,B1414=10),1,0)</f>
        <v>0</v>
      </c>
      <c r="AD1414" s="0" t="str">
        <f aca="false">IF(AND(C1413=C1414,AA1413=AA1414-1),AB1413,"")</f>
        <v/>
      </c>
      <c r="AE1414" s="0" t="str">
        <f aca="false">IF(AND(C1413=C1414,AA1413=AA1414-1),AC1413,"")</f>
        <v/>
      </c>
      <c r="AF1414" s="0" t="str">
        <f aca="false">IF(AA1414=1,"",IF(AND(AB1414=1,AD1414&lt;&gt;1),1,0))</f>
        <v/>
      </c>
      <c r="AG1414" s="0" t="str">
        <f aca="false">IF(AA1414=1,"",IF(AND(AC1414=1,AE1414&lt;&gt;1),1,0))</f>
        <v/>
      </c>
      <c r="AH1414" s="51" t="str">
        <f aca="false">IF(AND(E1414&gt;0,AA1414&lt;1,NOT(AND(C1415=C1414,AA1415=AA1414+1))),INDEX(DATAS,AA1414+1),"")</f>
        <v/>
      </c>
      <c r="AI1414" s="51" t="str">
        <f aca="false">IF(AND(AC1414=1,AA1414&lt;1),IF(AND(C1415=C1414,AA1415=AA1414+1),IF(AC1415=1,"",INDEX(DATAS,AA1414+1)),INDEX(DATAS,AA1414+1)),"")</f>
        <v/>
      </c>
    </row>
    <row r="1415" customFormat="false" ht="15" hidden="false" customHeight="false" outlineLevel="0" collapsed="false">
      <c r="A1415" s="51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46" t="s">
        <v>931</v>
      </c>
      <c r="G1415" s="0" t="n">
        <v>49.3</v>
      </c>
      <c r="H1415" s="0" t="n">
        <v>48</v>
      </c>
      <c r="I1415" s="46" t="s">
        <v>152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51" t="n">
        <v>46170</v>
      </c>
      <c r="X1415" s="46" t="n">
        <f aca="false">IF(I1415="Male",0,1)</f>
        <v>1</v>
      </c>
      <c r="Y1415" s="46" t="n">
        <f aca="false">IF(OR(I1415="DNB",I1415="Dry DNB"),1,0)</f>
        <v>0</v>
      </c>
      <c r="Z1415" s="46" t="n">
        <f aca="false">IF(ISNUMBER(W1415),A1415-W1415,"")</f>
        <v>139</v>
      </c>
      <c r="AA1415" s="46" t="n">
        <f aca="false">MATCH(A1415,DATAS,0)</f>
        <v>1</v>
      </c>
      <c r="AB1415" s="46" t="n">
        <f aca="false">IF(AND(E1415&gt;0,OR(AND(B1415&gt;=1,B1415&lt;=6),B1415=10)),1,0)</f>
        <v>1</v>
      </c>
      <c r="AC1415" s="46" t="n">
        <f aca="false">IF(AND(E1415&gt;0,B1415=10),1,0)</f>
        <v>0</v>
      </c>
      <c r="AD1415" s="0" t="str">
        <f aca="false">IF(AND(C1414=C1415,AA1414=AA1415-1),AB1414,"")</f>
        <v/>
      </c>
      <c r="AE1415" s="0" t="str">
        <f aca="false">IF(AND(C1414=C1415,AA1414=AA1415-1),AC1414,"")</f>
        <v/>
      </c>
      <c r="AF1415" s="0" t="str">
        <f aca="false">IF(AA1415=1,"",IF(AND(AB1415=1,AD1415&lt;&gt;1),1,0))</f>
        <v/>
      </c>
      <c r="AG1415" s="0" t="str">
        <f aca="false">IF(AA1415=1,"",IF(AND(AC1415=1,AE1415&lt;&gt;1),1,0))</f>
        <v/>
      </c>
      <c r="AH1415" s="51" t="str">
        <f aca="false">IF(AND(E1415&gt;0,AA1415&lt;1,NOT(AND(C1416=C1415,AA1416=AA1415+1))),INDEX(DATAS,AA1415+1),"")</f>
        <v/>
      </c>
      <c r="AI1415" s="51" t="str">
        <f aca="false">IF(AND(AC1415=1,AA1415&lt;1),IF(AND(C1416=C1415,AA1416=AA1415+1),IF(AC1416=1,"",INDEX(DATAS,AA1415+1)),INDEX(DATAS,AA1415+1)),"")</f>
        <v/>
      </c>
    </row>
    <row r="1416" customFormat="false" ht="15" hidden="false" customHeight="false" outlineLevel="0" collapsed="false">
      <c r="A1416" s="51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46" t="s">
        <v>935</v>
      </c>
      <c r="G1416" s="0" t="n">
        <v>40.6</v>
      </c>
      <c r="H1416" s="0" t="n">
        <v>43</v>
      </c>
      <c r="I1416" s="46" t="s">
        <v>152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51" t="n">
        <v>46219</v>
      </c>
      <c r="X1416" s="46" t="n">
        <f aca="false">IF(I1416="Male",0,1)</f>
        <v>1</v>
      </c>
      <c r="Y1416" s="46" t="n">
        <f aca="false">IF(OR(I1416="DNB",I1416="Dry DNB"),1,0)</f>
        <v>0</v>
      </c>
      <c r="Z1416" s="46" t="n">
        <f aca="false">IF(ISNUMBER(W1416),A1416-W1416,"")</f>
        <v>90</v>
      </c>
      <c r="AA1416" s="46" t="n">
        <f aca="false">MATCH(A1416,DATAS,0)</f>
        <v>1</v>
      </c>
      <c r="AB1416" s="46" t="n">
        <f aca="false">IF(AND(E1416&gt;0,OR(AND(B1416&gt;=1,B1416&lt;=6),B1416=10)),1,0)</f>
        <v>1</v>
      </c>
      <c r="AC1416" s="46" t="n">
        <f aca="false">IF(AND(E1416&gt;0,B1416=10),1,0)</f>
        <v>0</v>
      </c>
      <c r="AD1416" s="0" t="str">
        <f aca="false">IF(AND(C1415=C1416,AA1415=AA1416-1),AB1415,"")</f>
        <v/>
      </c>
      <c r="AE1416" s="0" t="str">
        <f aca="false">IF(AND(C1415=C1416,AA1415=AA1416-1),AC1415,"")</f>
        <v/>
      </c>
      <c r="AF1416" s="0" t="str">
        <f aca="false">IF(AA1416=1,"",IF(AND(AB1416=1,AD1416&lt;&gt;1),1,0))</f>
        <v/>
      </c>
      <c r="AG1416" s="0" t="str">
        <f aca="false">IF(AA1416=1,"",IF(AND(AC1416=1,AE1416&lt;&gt;1),1,0))</f>
        <v/>
      </c>
      <c r="AH1416" s="51" t="str">
        <f aca="false">IF(AND(E1416&gt;0,AA1416&lt;1,NOT(AND(C1417=C1416,AA1417=AA1416+1))),INDEX(DATAS,AA1416+1),"")</f>
        <v/>
      </c>
      <c r="AI1416" s="51" t="str">
        <f aca="false">IF(AND(AC1416=1,AA1416&lt;1),IF(AND(C1417=C1416,AA1417=AA1416+1),IF(AC1417=1,"",INDEX(DATAS,AA1416+1)),INDEX(DATAS,AA1416+1)),"")</f>
        <v/>
      </c>
    </row>
    <row r="1417" customFormat="false" ht="15" hidden="false" customHeight="false" outlineLevel="0" collapsed="false">
      <c r="A1417" s="51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46" t="s">
        <v>936</v>
      </c>
      <c r="G1417" s="0" t="n">
        <v>45.7</v>
      </c>
      <c r="H1417" s="0" t="n">
        <v>41</v>
      </c>
      <c r="I1417" s="46" t="s">
        <v>181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51" t="n">
        <v>46303</v>
      </c>
      <c r="X1417" s="46" t="n">
        <f aca="false">IF(I1417="Male",0,1)</f>
        <v>1</v>
      </c>
      <c r="Y1417" s="46" t="n">
        <f aca="false">IF(OR(I1417="DNB",I1417="Dry DNB"),1,0)</f>
        <v>0</v>
      </c>
      <c r="Z1417" s="46" t="n">
        <f aca="false">IF(ISNUMBER(W1417),A1417-W1417,"")</f>
        <v>6</v>
      </c>
      <c r="AA1417" s="46" t="n">
        <f aca="false">MATCH(A1417,DATAS,0)</f>
        <v>1</v>
      </c>
      <c r="AB1417" s="46" t="n">
        <f aca="false">IF(AND(E1417&gt;0,OR(AND(B1417&gt;=1,B1417&lt;=6),B1417=10)),1,0)</f>
        <v>1</v>
      </c>
      <c r="AC1417" s="46" t="n">
        <f aca="false">IF(AND(E1417&gt;0,B1417=10),1,0)</f>
        <v>0</v>
      </c>
      <c r="AD1417" s="0" t="str">
        <f aca="false">IF(AND(C1416=C1417,AA1416=AA1417-1),AB1416,"")</f>
        <v/>
      </c>
      <c r="AE1417" s="0" t="str">
        <f aca="false">IF(AND(C1416=C1417,AA1416=AA1417-1),AC1416,"")</f>
        <v/>
      </c>
      <c r="AF1417" s="0" t="str">
        <f aca="false">IF(AA1417=1,"",IF(AND(AB1417=1,AD1417&lt;&gt;1),1,0))</f>
        <v/>
      </c>
      <c r="AG1417" s="0" t="str">
        <f aca="false">IF(AA1417=1,"",IF(AND(AC1417=1,AE1417&lt;&gt;1),1,0))</f>
        <v/>
      </c>
      <c r="AH1417" s="51" t="str">
        <f aca="false">IF(AND(E1417&gt;0,AA1417&lt;1,NOT(AND(C1418=C1417,AA1418=AA1417+1))),INDEX(DATAS,AA1417+1),"")</f>
        <v/>
      </c>
      <c r="AI1417" s="51" t="str">
        <f aca="false">IF(AND(AC1417=1,AA1417&lt;1),IF(AND(C1418=C1417,AA1418=AA1417+1),IF(AC1418=1,"",INDEX(DATAS,AA1417+1)),INDEX(DATAS,AA1417+1)),"")</f>
        <v/>
      </c>
    </row>
    <row r="1418" customFormat="false" ht="15" hidden="false" customHeight="false" outlineLevel="0" collapsed="false">
      <c r="A1418" s="51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46" t="s">
        <v>936</v>
      </c>
      <c r="G1418" s="0" t="n">
        <v>39.6</v>
      </c>
      <c r="H1418" s="0" t="n">
        <v>41</v>
      </c>
      <c r="I1418" s="46" t="s">
        <v>152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51" t="n">
        <v>46223</v>
      </c>
      <c r="X1418" s="46" t="n">
        <f aca="false">IF(I1418="Male",0,1)</f>
        <v>1</v>
      </c>
      <c r="Y1418" s="46" t="n">
        <f aca="false">IF(OR(I1418="DNB",I1418="Dry DNB"),1,0)</f>
        <v>0</v>
      </c>
      <c r="Z1418" s="46" t="n">
        <f aca="false">IF(ISNUMBER(W1418),A1418-W1418,"")</f>
        <v>86</v>
      </c>
      <c r="AA1418" s="46" t="n">
        <f aca="false">MATCH(A1418,DATAS,0)</f>
        <v>1</v>
      </c>
      <c r="AB1418" s="46" t="n">
        <f aca="false">IF(AND(E1418&gt;0,OR(AND(B1418&gt;=1,B1418&lt;=6),B1418=10)),1,0)</f>
        <v>1</v>
      </c>
      <c r="AC1418" s="46" t="n">
        <f aca="false">IF(AND(E1418&gt;0,B1418=10),1,0)</f>
        <v>0</v>
      </c>
      <c r="AD1418" s="0" t="str">
        <f aca="false">IF(AND(C1417=C1418,AA1417=AA1418-1),AB1417,"")</f>
        <v/>
      </c>
      <c r="AE1418" s="0" t="str">
        <f aca="false">IF(AND(C1417=C1418,AA1417=AA1418-1),AC1417,"")</f>
        <v/>
      </c>
      <c r="AF1418" s="0" t="str">
        <f aca="false">IF(AA1418=1,"",IF(AND(AB1418=1,AD1418&lt;&gt;1),1,0))</f>
        <v/>
      </c>
      <c r="AG1418" s="0" t="str">
        <f aca="false">IF(AA1418=1,"",IF(AND(AC1418=1,AE1418&lt;&gt;1),1,0))</f>
        <v/>
      </c>
      <c r="AH1418" s="51" t="str">
        <f aca="false">IF(AND(E1418&gt;0,AA1418&lt;1,NOT(AND(C1419=C1418,AA1419=AA1418+1))),INDEX(DATAS,AA1418+1),"")</f>
        <v/>
      </c>
      <c r="AI1418" s="51" t="str">
        <f aca="false">IF(AND(AC1418=1,AA1418&lt;1),IF(AND(C1419=C1418,AA1419=AA1418+1),IF(AC1419=1,"",INDEX(DATAS,AA1418+1)),INDEX(DATAS,AA1418+1)),"")</f>
        <v/>
      </c>
    </row>
    <row r="1419" customFormat="false" ht="15" hidden="false" customHeight="false" outlineLevel="0" collapsed="false">
      <c r="A1419" s="51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46" t="s">
        <v>937</v>
      </c>
      <c r="G1419" s="0" t="n">
        <v>55.4</v>
      </c>
      <c r="H1419" s="0" t="n">
        <v>57</v>
      </c>
      <c r="I1419" s="46" t="s">
        <v>152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51" t="n">
        <v>46275</v>
      </c>
      <c r="X1419" s="46" t="n">
        <f aca="false">IF(I1419="Male",0,1)</f>
        <v>1</v>
      </c>
      <c r="Y1419" s="46" t="n">
        <f aca="false">IF(OR(I1419="DNB",I1419="Dry DNB"),1,0)</f>
        <v>0</v>
      </c>
      <c r="Z1419" s="46" t="n">
        <f aca="false">IF(ISNUMBER(W1419),A1419-W1419,"")</f>
        <v>34</v>
      </c>
      <c r="AA1419" s="46" t="n">
        <f aca="false">MATCH(A1419,DATAS,0)</f>
        <v>1</v>
      </c>
      <c r="AB1419" s="46" t="n">
        <f aca="false">IF(AND(E1419&gt;0,OR(AND(B1419&gt;=1,B1419&lt;=6),B1419=10)),1,0)</f>
        <v>1</v>
      </c>
      <c r="AC1419" s="46" t="n">
        <f aca="false">IF(AND(E1419&gt;0,B1419=10),1,0)</f>
        <v>0</v>
      </c>
      <c r="AD1419" s="0" t="str">
        <f aca="false">IF(AND(C1418=C1419,AA1418=AA1419-1),AB1418,"")</f>
        <v/>
      </c>
      <c r="AE1419" s="0" t="str">
        <f aca="false">IF(AND(C1418=C1419,AA1418=AA1419-1),AC1418,"")</f>
        <v/>
      </c>
      <c r="AF1419" s="0" t="str">
        <f aca="false">IF(AA1419=1,"",IF(AND(AB1419=1,AD1419&lt;&gt;1),1,0))</f>
        <v/>
      </c>
      <c r="AG1419" s="0" t="str">
        <f aca="false">IF(AA1419=1,"",IF(AND(AC1419=1,AE1419&lt;&gt;1),1,0))</f>
        <v/>
      </c>
      <c r="AH1419" s="51" t="str">
        <f aca="false">IF(AND(E1419&gt;0,AA1419&lt;1,NOT(AND(C1420=C1419,AA1420=AA1419+1))),INDEX(DATAS,AA1419+1),"")</f>
        <v/>
      </c>
      <c r="AI1419" s="51" t="str">
        <f aca="false">IF(AND(AC1419=1,AA1419&lt;1),IF(AND(C1420=C1419,AA1420=AA1419+1),IF(AC1420=1,"",INDEX(DATAS,AA1419+1)),INDEX(DATAS,AA1419+1)),"")</f>
        <v/>
      </c>
    </row>
    <row r="1420" customFormat="false" ht="15" hidden="false" customHeight="false" outlineLevel="0" collapsed="false">
      <c r="A1420" s="51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46" t="s">
        <v>937</v>
      </c>
      <c r="G1420" s="0" t="n">
        <v>44.7</v>
      </c>
      <c r="H1420" s="0" t="n">
        <v>47</v>
      </c>
      <c r="I1420" s="46" t="s">
        <v>181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51" t="n">
        <v>46303</v>
      </c>
      <c r="X1420" s="46" t="n">
        <f aca="false">IF(I1420="Male",0,1)</f>
        <v>1</v>
      </c>
      <c r="Y1420" s="46" t="n">
        <f aca="false">IF(OR(I1420="DNB",I1420="Dry DNB"),1,0)</f>
        <v>0</v>
      </c>
      <c r="Z1420" s="46" t="n">
        <f aca="false">IF(ISNUMBER(W1420),A1420-W1420,"")</f>
        <v>6</v>
      </c>
      <c r="AA1420" s="46" t="n">
        <f aca="false">MATCH(A1420,DATAS,0)</f>
        <v>1</v>
      </c>
      <c r="AB1420" s="46" t="n">
        <f aca="false">IF(AND(E1420&gt;0,OR(AND(B1420&gt;=1,B1420&lt;=6),B1420=10)),1,0)</f>
        <v>1</v>
      </c>
      <c r="AC1420" s="46" t="n">
        <f aca="false">IF(AND(E1420&gt;0,B1420=10),1,0)</f>
        <v>0</v>
      </c>
      <c r="AD1420" s="0" t="str">
        <f aca="false">IF(AND(C1419=C1420,AA1419=AA1420-1),AB1419,"")</f>
        <v/>
      </c>
      <c r="AE1420" s="0" t="str">
        <f aca="false">IF(AND(C1419=C1420,AA1419=AA1420-1),AC1419,"")</f>
        <v/>
      </c>
      <c r="AF1420" s="0" t="str">
        <f aca="false">IF(AA1420=1,"",IF(AND(AB1420=1,AD1420&lt;&gt;1),1,0))</f>
        <v/>
      </c>
      <c r="AG1420" s="0" t="str">
        <f aca="false">IF(AA1420=1,"",IF(AND(AC1420=1,AE1420&lt;&gt;1),1,0))</f>
        <v/>
      </c>
      <c r="AH1420" s="51" t="str">
        <f aca="false">IF(AND(E1420&gt;0,AA1420&lt;1,NOT(AND(C1421=C1420,AA1421=AA1420+1))),INDEX(DATAS,AA1420+1),"")</f>
        <v/>
      </c>
      <c r="AI1420" s="51" t="str">
        <f aca="false">IF(AND(AC1420=1,AA1420&lt;1),IF(AND(C1421=C1420,AA1421=AA1420+1),IF(AC1421=1,"",INDEX(DATAS,AA1420+1)),INDEX(DATAS,AA1420+1)),"")</f>
        <v/>
      </c>
    </row>
    <row r="1421" customFormat="false" ht="15" hidden="false" customHeight="false" outlineLevel="0" collapsed="false">
      <c r="A1421" s="51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46" t="s">
        <v>938</v>
      </c>
      <c r="G1421" s="0" t="n">
        <v>52.5</v>
      </c>
      <c r="H1421" s="0" t="n">
        <v>51</v>
      </c>
      <c r="I1421" s="46" t="s">
        <v>181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X1421" s="46" t="n">
        <f aca="false">IF(I1421="Male",0,1)</f>
        <v>1</v>
      </c>
      <c r="Y1421" s="46" t="n">
        <f aca="false">IF(OR(I1421="DNB",I1421="Dry DNB"),1,0)</f>
        <v>0</v>
      </c>
      <c r="Z1421" s="0" t="str">
        <f aca="false">IF(ISNUMBER(W1421),A1421-W1421,"")</f>
        <v/>
      </c>
      <c r="AA1421" s="46" t="n">
        <f aca="false">MATCH(A1421,DATAS,0)</f>
        <v>1</v>
      </c>
      <c r="AB1421" s="46" t="n">
        <f aca="false">IF(AND(E1421&gt;0,OR(AND(B1421&gt;=1,B1421&lt;=6),B1421=10)),1,0)</f>
        <v>1</v>
      </c>
      <c r="AC1421" s="46" t="n">
        <f aca="false">IF(AND(E1421&gt;0,B1421=10),1,0)</f>
        <v>0</v>
      </c>
      <c r="AD1421" s="0" t="str">
        <f aca="false">IF(AND(C1420=C1421,AA1420=AA1421-1),AB1420,"")</f>
        <v/>
      </c>
      <c r="AE1421" s="0" t="str">
        <f aca="false">IF(AND(C1420=C1421,AA1420=AA1421-1),AC1420,"")</f>
        <v/>
      </c>
      <c r="AF1421" s="0" t="str">
        <f aca="false">IF(AA1421=1,"",IF(AND(AB1421=1,AD1421&lt;&gt;1),1,0))</f>
        <v/>
      </c>
      <c r="AG1421" s="0" t="str">
        <f aca="false">IF(AA1421=1,"",IF(AND(AC1421=1,AE1421&lt;&gt;1),1,0))</f>
        <v/>
      </c>
      <c r="AH1421" s="51" t="str">
        <f aca="false">IF(AND(E1421&gt;0,AA1421&lt;1,NOT(AND(C1422=C1421,AA1422=AA1421+1))),INDEX(DATAS,AA1421+1),"")</f>
        <v/>
      </c>
      <c r="AI1421" s="51" t="str">
        <f aca="false">IF(AND(AC1421=1,AA1421&lt;1),IF(AND(C1422=C1421,AA1422=AA1421+1),IF(AC1422=1,"",INDEX(DATAS,AA1421+1)),INDEX(DATAS,AA1421+1)),"")</f>
        <v/>
      </c>
    </row>
    <row r="1422" customFormat="false" ht="15" hidden="false" customHeight="false" outlineLevel="0" collapsed="false">
      <c r="A1422" s="51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46" t="s">
        <v>938</v>
      </c>
      <c r="G1422" s="0" t="n">
        <v>43.9</v>
      </c>
      <c r="H1422" s="0" t="n">
        <v>48</v>
      </c>
      <c r="I1422" s="46" t="s">
        <v>152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51" t="n">
        <v>46275</v>
      </c>
      <c r="X1422" s="46" t="n">
        <f aca="false">IF(I1422="Male",0,1)</f>
        <v>1</v>
      </c>
      <c r="Y1422" s="46" t="n">
        <f aca="false">IF(OR(I1422="DNB",I1422="Dry DNB"),1,0)</f>
        <v>0</v>
      </c>
      <c r="Z1422" s="46" t="n">
        <f aca="false">IF(ISNUMBER(W1422),A1422-W1422,"")</f>
        <v>34</v>
      </c>
      <c r="AA1422" s="46" t="n">
        <f aca="false">MATCH(A1422,DATAS,0)</f>
        <v>1</v>
      </c>
      <c r="AB1422" s="46" t="n">
        <f aca="false">IF(AND(E1422&gt;0,OR(AND(B1422&gt;=1,B1422&lt;=6),B1422=10)),1,0)</f>
        <v>1</v>
      </c>
      <c r="AC1422" s="46" t="n">
        <f aca="false">IF(AND(E1422&gt;0,B1422=10),1,0)</f>
        <v>0</v>
      </c>
      <c r="AD1422" s="0" t="str">
        <f aca="false">IF(AND(C1421=C1422,AA1421=AA1422-1),AB1421,"")</f>
        <v/>
      </c>
      <c r="AE1422" s="0" t="str">
        <f aca="false">IF(AND(C1421=C1422,AA1421=AA1422-1),AC1421,"")</f>
        <v/>
      </c>
      <c r="AF1422" s="0" t="str">
        <f aca="false">IF(AA1422=1,"",IF(AND(AB1422=1,AD1422&lt;&gt;1),1,0))</f>
        <v/>
      </c>
      <c r="AG1422" s="0" t="str">
        <f aca="false">IF(AA1422=1,"",IF(AND(AC1422=1,AE1422&lt;&gt;1),1,0))</f>
        <v/>
      </c>
      <c r="AH1422" s="51" t="str">
        <f aca="false">IF(AND(E1422&gt;0,AA1422&lt;1,NOT(AND(C1423=C1422,AA1423=AA1422+1))),INDEX(DATAS,AA1422+1),"")</f>
        <v/>
      </c>
      <c r="AI1422" s="51" t="str">
        <f aca="false">IF(AND(AC1422=1,AA1422&lt;1),IF(AND(C1423=C1422,AA1423=AA1422+1),IF(AC1423=1,"",INDEX(DATAS,AA1422+1)),INDEX(DATAS,AA1422+1)),"")</f>
        <v/>
      </c>
    </row>
    <row r="1423" customFormat="false" ht="15" hidden="false" customHeight="false" outlineLevel="0" collapsed="false">
      <c r="A1423" s="51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46" t="s">
        <v>939</v>
      </c>
      <c r="G1423" s="0" t="n">
        <v>25.3</v>
      </c>
      <c r="H1423" s="0" t="n">
        <v>24</v>
      </c>
      <c r="I1423" s="46" t="s">
        <v>152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51" t="n">
        <v>46240</v>
      </c>
      <c r="X1423" s="46" t="n">
        <f aca="false">IF(I1423="Male",0,1)</f>
        <v>1</v>
      </c>
      <c r="Y1423" s="46" t="n">
        <f aca="false">IF(OR(I1423="DNB",I1423="Dry DNB"),1,0)</f>
        <v>0</v>
      </c>
      <c r="Z1423" s="46" t="n">
        <f aca="false">IF(ISNUMBER(W1423),A1423-W1423,"")</f>
        <v>69</v>
      </c>
      <c r="AA1423" s="46" t="n">
        <f aca="false">MATCH(A1423,DATAS,0)</f>
        <v>1</v>
      </c>
      <c r="AB1423" s="46" t="n">
        <f aca="false">IF(AND(E1423&gt;0,OR(AND(B1423&gt;=1,B1423&lt;=6),B1423=10)),1,0)</f>
        <v>1</v>
      </c>
      <c r="AC1423" s="46" t="n">
        <f aca="false">IF(AND(E1423&gt;0,B1423=10),1,0)</f>
        <v>0</v>
      </c>
      <c r="AD1423" s="0" t="str">
        <f aca="false">IF(AND(C1422=C1423,AA1422=AA1423-1),AB1422,"")</f>
        <v/>
      </c>
      <c r="AE1423" s="0" t="str">
        <f aca="false">IF(AND(C1422=C1423,AA1422=AA1423-1),AC1422,"")</f>
        <v/>
      </c>
      <c r="AF1423" s="0" t="str">
        <f aca="false">IF(AA1423=1,"",IF(AND(AB1423=1,AD1423&lt;&gt;1),1,0))</f>
        <v/>
      </c>
      <c r="AG1423" s="0" t="str">
        <f aca="false">IF(AA1423=1,"",IF(AND(AC1423=1,AE1423&lt;&gt;1),1,0))</f>
        <v/>
      </c>
      <c r="AH1423" s="51" t="str">
        <f aca="false">IF(AND(E1423&gt;0,AA1423&lt;1,NOT(AND(C1424=C1423,AA1424=AA1423+1))),INDEX(DATAS,AA1423+1),"")</f>
        <v/>
      </c>
      <c r="AI1423" s="51" t="str">
        <f aca="false">IF(AND(AC1423=1,AA1423&lt;1),IF(AND(C1424=C1423,AA1424=AA1423+1),IF(AC1424=1,"",INDEX(DATAS,AA1423+1)),INDEX(DATAS,AA1423+1)),"")</f>
        <v/>
      </c>
    </row>
    <row r="1424" customFormat="false" ht="15" hidden="false" customHeight="false" outlineLevel="0" collapsed="false">
      <c r="A1424" s="51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46" t="s">
        <v>940</v>
      </c>
      <c r="G1424" s="0" t="n">
        <v>46.9</v>
      </c>
      <c r="H1424" s="0" t="n">
        <v>47</v>
      </c>
      <c r="I1424" s="46" t="s">
        <v>152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51" t="n">
        <v>46275</v>
      </c>
      <c r="X1424" s="46" t="n">
        <f aca="false">IF(I1424="Male",0,1)</f>
        <v>1</v>
      </c>
      <c r="Y1424" s="46" t="n">
        <f aca="false">IF(OR(I1424="DNB",I1424="Dry DNB"),1,0)</f>
        <v>0</v>
      </c>
      <c r="Z1424" s="46" t="n">
        <f aca="false">IF(ISNUMBER(W1424),A1424-W1424,"")</f>
        <v>34</v>
      </c>
      <c r="AA1424" s="46" t="n">
        <f aca="false">MATCH(A1424,DATAS,0)</f>
        <v>1</v>
      </c>
      <c r="AB1424" s="46" t="n">
        <f aca="false">IF(AND(E1424&gt;0,OR(AND(B1424&gt;=1,B1424&lt;=6),B1424=10)),1,0)</f>
        <v>1</v>
      </c>
      <c r="AC1424" s="46" t="n">
        <f aca="false">IF(AND(E1424&gt;0,B1424=10),1,0)</f>
        <v>0</v>
      </c>
      <c r="AD1424" s="0" t="str">
        <f aca="false">IF(AND(C1423=C1424,AA1423=AA1424-1),AB1423,"")</f>
        <v/>
      </c>
      <c r="AE1424" s="0" t="str">
        <f aca="false">IF(AND(C1423=C1424,AA1423=AA1424-1),AC1423,"")</f>
        <v/>
      </c>
      <c r="AF1424" s="0" t="str">
        <f aca="false">IF(AA1424=1,"",IF(AND(AB1424=1,AD1424&lt;&gt;1),1,0))</f>
        <v/>
      </c>
      <c r="AG1424" s="0" t="str">
        <f aca="false">IF(AA1424=1,"",IF(AND(AC1424=1,AE1424&lt;&gt;1),1,0))</f>
        <v/>
      </c>
      <c r="AH1424" s="51" t="str">
        <f aca="false">IF(AND(E1424&gt;0,AA1424&lt;1,NOT(AND(C1425=C1424,AA1425=AA1424+1))),INDEX(DATAS,AA1424+1),"")</f>
        <v/>
      </c>
      <c r="AI1424" s="51" t="str">
        <f aca="false">IF(AND(AC1424=1,AA1424&lt;1),IF(AND(C1425=C1424,AA1425=AA1424+1),IF(AC1425=1,"",INDEX(DATAS,AA1424+1)),INDEX(DATAS,AA1424+1)),"")</f>
        <v/>
      </c>
    </row>
    <row r="1425" customFormat="false" ht="15" hidden="false" customHeight="false" outlineLevel="0" collapsed="false">
      <c r="A1425" s="51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46" t="s">
        <v>940</v>
      </c>
      <c r="G1425" s="0" t="n">
        <v>54.8</v>
      </c>
      <c r="H1425" s="0" t="n">
        <v>55</v>
      </c>
      <c r="I1425" s="46" t="s">
        <v>152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51" t="n">
        <v>46254</v>
      </c>
      <c r="X1425" s="46" t="n">
        <f aca="false">IF(I1425="Male",0,1)</f>
        <v>1</v>
      </c>
      <c r="Y1425" s="46" t="n">
        <f aca="false">IF(OR(I1425="DNB",I1425="Dry DNB"),1,0)</f>
        <v>0</v>
      </c>
      <c r="Z1425" s="46" t="n">
        <f aca="false">IF(ISNUMBER(W1425),A1425-W1425,"")</f>
        <v>55</v>
      </c>
      <c r="AA1425" s="46" t="n">
        <f aca="false">MATCH(A1425,DATAS,0)</f>
        <v>1</v>
      </c>
      <c r="AB1425" s="46" t="n">
        <f aca="false">IF(AND(E1425&gt;0,OR(AND(B1425&gt;=1,B1425&lt;=6),B1425=10)),1,0)</f>
        <v>1</v>
      </c>
      <c r="AC1425" s="46" t="n">
        <f aca="false">IF(AND(E1425&gt;0,B1425=10),1,0)</f>
        <v>0</v>
      </c>
      <c r="AD1425" s="0" t="str">
        <f aca="false">IF(AND(C1424=C1425,AA1424=AA1425-1),AB1424,"")</f>
        <v/>
      </c>
      <c r="AE1425" s="0" t="str">
        <f aca="false">IF(AND(C1424=C1425,AA1424=AA1425-1),AC1424,"")</f>
        <v/>
      </c>
      <c r="AF1425" s="0" t="str">
        <f aca="false">IF(AA1425=1,"",IF(AND(AB1425=1,AD1425&lt;&gt;1),1,0))</f>
        <v/>
      </c>
      <c r="AG1425" s="0" t="str">
        <f aca="false">IF(AA1425=1,"",IF(AND(AC1425=1,AE1425&lt;&gt;1),1,0))</f>
        <v/>
      </c>
      <c r="AH1425" s="51" t="str">
        <f aca="false">IF(AND(E1425&gt;0,AA1425&lt;1,NOT(AND(C1426=C1425,AA1426=AA1425+1))),INDEX(DATAS,AA1425+1),"")</f>
        <v/>
      </c>
      <c r="AI1425" s="51" t="str">
        <f aca="false">IF(AND(AC1425=1,AA1425&lt;1),IF(AND(C1426=C1425,AA1426=AA1425+1),IF(AC1426=1,"",INDEX(DATAS,AA1425+1)),INDEX(DATAS,AA1425+1)),"")</f>
        <v/>
      </c>
    </row>
    <row r="1426" customFormat="false" ht="15" hidden="false" customHeight="false" outlineLevel="0" collapsed="false">
      <c r="A1426" s="51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46" t="s">
        <v>941</v>
      </c>
      <c r="G1426" s="0" t="n">
        <v>48.5</v>
      </c>
      <c r="H1426" s="0" t="n">
        <v>49</v>
      </c>
      <c r="I1426" s="46" t="s">
        <v>152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51" t="n">
        <v>46142</v>
      </c>
      <c r="X1426" s="46" t="n">
        <f aca="false">IF(I1426="Male",0,1)</f>
        <v>1</v>
      </c>
      <c r="Y1426" s="46" t="n">
        <f aca="false">IF(OR(I1426="DNB",I1426="Dry DNB"),1,0)</f>
        <v>0</v>
      </c>
      <c r="Z1426" s="46" t="n">
        <f aca="false">IF(ISNUMBER(W1426),A1426-W1426,"")</f>
        <v>167</v>
      </c>
      <c r="AA1426" s="46" t="n">
        <f aca="false">MATCH(A1426,DATAS,0)</f>
        <v>1</v>
      </c>
      <c r="AB1426" s="46" t="n">
        <f aca="false">IF(AND(E1426&gt;0,OR(AND(B1426&gt;=1,B1426&lt;=6),B1426=10)),1,0)</f>
        <v>1</v>
      </c>
      <c r="AC1426" s="46" t="n">
        <f aca="false">IF(AND(E1426&gt;0,B1426=10),1,0)</f>
        <v>0</v>
      </c>
      <c r="AD1426" s="0" t="str">
        <f aca="false">IF(AND(C1425=C1426,AA1425=AA1426-1),AB1425,"")</f>
        <v/>
      </c>
      <c r="AE1426" s="0" t="str">
        <f aca="false">IF(AND(C1425=C1426,AA1425=AA1426-1),AC1425,"")</f>
        <v/>
      </c>
      <c r="AF1426" s="0" t="str">
        <f aca="false">IF(AA1426=1,"",IF(AND(AB1426=1,AD1426&lt;&gt;1),1,0))</f>
        <v/>
      </c>
      <c r="AG1426" s="0" t="str">
        <f aca="false">IF(AA1426=1,"",IF(AND(AC1426=1,AE1426&lt;&gt;1),1,0))</f>
        <v/>
      </c>
      <c r="AH1426" s="51" t="str">
        <f aca="false">IF(AND(E1426&gt;0,AA1426&lt;1,NOT(AND(C1427=C1426,AA1427=AA1426+1))),INDEX(DATAS,AA1426+1),"")</f>
        <v/>
      </c>
      <c r="AI1426" s="51" t="str">
        <f aca="false">IF(AND(AC1426=1,AA1426&lt;1),IF(AND(C1427=C1426,AA1427=AA1426+1),IF(AC1427=1,"",INDEX(DATAS,AA1426+1)),INDEX(DATAS,AA1426+1)),"")</f>
        <v/>
      </c>
    </row>
    <row r="1427" customFormat="false" ht="15" hidden="false" customHeight="false" outlineLevel="0" collapsed="false">
      <c r="A1427" s="51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46" t="s">
        <v>941</v>
      </c>
      <c r="G1427" s="0" t="n">
        <v>48.5</v>
      </c>
      <c r="H1427" s="0" t="n">
        <v>49</v>
      </c>
      <c r="I1427" s="46" t="s">
        <v>152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51" t="n">
        <v>46135</v>
      </c>
      <c r="X1427" s="46" t="n">
        <f aca="false">IF(I1427="Male",0,1)</f>
        <v>1</v>
      </c>
      <c r="Y1427" s="46" t="n">
        <f aca="false">IF(OR(I1427="DNB",I1427="Dry DNB"),1,0)</f>
        <v>0</v>
      </c>
      <c r="Z1427" s="46" t="n">
        <f aca="false">IF(ISNUMBER(W1427),A1427-W1427,"")</f>
        <v>174</v>
      </c>
      <c r="AA1427" s="46" t="n">
        <f aca="false">MATCH(A1427,DATAS,0)</f>
        <v>1</v>
      </c>
      <c r="AB1427" s="46" t="n">
        <f aca="false">IF(AND(E1427&gt;0,OR(AND(B1427&gt;=1,B1427&lt;=6),B1427=10)),1,0)</f>
        <v>1</v>
      </c>
      <c r="AC1427" s="46" t="n">
        <f aca="false">IF(AND(E1427&gt;0,B1427=10),1,0)</f>
        <v>0</v>
      </c>
      <c r="AD1427" s="0" t="str">
        <f aca="false">IF(AND(C1426=C1427,AA1426=AA1427-1),AB1426,"")</f>
        <v/>
      </c>
      <c r="AE1427" s="0" t="str">
        <f aca="false">IF(AND(C1426=C1427,AA1426=AA1427-1),AC1426,"")</f>
        <v/>
      </c>
      <c r="AF1427" s="0" t="str">
        <f aca="false">IF(AA1427=1,"",IF(AND(AB1427=1,AD1427&lt;&gt;1),1,0))</f>
        <v/>
      </c>
      <c r="AG1427" s="0" t="str">
        <f aca="false">IF(AA1427=1,"",IF(AND(AC1427=1,AE1427&lt;&gt;1),1,0))</f>
        <v/>
      </c>
      <c r="AH1427" s="51" t="str">
        <f aca="false">IF(AND(E1427&gt;0,AA1427&lt;1,NOT(AND(C1428=C1427,AA1428=AA1427+1))),INDEX(DATAS,AA1427+1),"")</f>
        <v/>
      </c>
      <c r="AI1427" s="51" t="str">
        <f aca="false">IF(AND(AC1427=1,AA1427&lt;1),IF(AND(C1428=C1427,AA1428=AA1427+1),IF(AC1428=1,"",INDEX(DATAS,AA1427+1)),INDEX(DATAS,AA1427+1)),"")</f>
        <v/>
      </c>
    </row>
    <row r="1428" customFormat="false" ht="15" hidden="false" customHeight="false" outlineLevel="0" collapsed="false">
      <c r="A1428" s="51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46" t="s">
        <v>941</v>
      </c>
      <c r="G1428" s="0" t="n">
        <v>39.4</v>
      </c>
      <c r="H1428" s="0" t="n">
        <v>39</v>
      </c>
      <c r="I1428" s="46" t="s">
        <v>152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51" t="n">
        <v>46135</v>
      </c>
      <c r="X1428" s="46" t="n">
        <f aca="false">IF(I1428="Male",0,1)</f>
        <v>1</v>
      </c>
      <c r="Y1428" s="46" t="n">
        <f aca="false">IF(OR(I1428="DNB",I1428="Dry DNB"),1,0)</f>
        <v>0</v>
      </c>
      <c r="Z1428" s="46" t="n">
        <f aca="false">IF(ISNUMBER(W1428),A1428-W1428,"")</f>
        <v>174</v>
      </c>
      <c r="AA1428" s="46" t="n">
        <f aca="false">MATCH(A1428,DATAS,0)</f>
        <v>1</v>
      </c>
      <c r="AB1428" s="46" t="n">
        <f aca="false">IF(AND(E1428&gt;0,OR(AND(B1428&gt;=1,B1428&lt;=6),B1428=10)),1,0)</f>
        <v>1</v>
      </c>
      <c r="AC1428" s="46" t="n">
        <f aca="false">IF(AND(E1428&gt;0,B1428=10),1,0)</f>
        <v>0</v>
      </c>
      <c r="AD1428" s="0" t="str">
        <f aca="false">IF(AND(C1427=C1428,AA1427=AA1428-1),AB1427,"")</f>
        <v/>
      </c>
      <c r="AE1428" s="0" t="str">
        <f aca="false">IF(AND(C1427=C1428,AA1427=AA1428-1),AC1427,"")</f>
        <v/>
      </c>
      <c r="AF1428" s="0" t="str">
        <f aca="false">IF(AA1428=1,"",IF(AND(AB1428=1,AD1428&lt;&gt;1),1,0))</f>
        <v/>
      </c>
      <c r="AG1428" s="0" t="str">
        <f aca="false">IF(AA1428=1,"",IF(AND(AC1428=1,AE1428&lt;&gt;1),1,0))</f>
        <v/>
      </c>
      <c r="AH1428" s="51" t="str">
        <f aca="false">IF(AND(E1428&gt;0,AA1428&lt;1,NOT(AND(C1429=C1428,AA1429=AA1428+1))),INDEX(DATAS,AA1428+1),"")</f>
        <v/>
      </c>
      <c r="AI1428" s="51" t="str">
        <f aca="false">IF(AND(AC1428=1,AA1428&lt;1),IF(AND(C1429=C1428,AA1429=AA1428+1),IF(AC1429=1,"",INDEX(DATAS,AA1428+1)),INDEX(DATAS,AA1428+1)),"")</f>
        <v/>
      </c>
    </row>
    <row r="1429" customFormat="false" ht="15" hidden="false" customHeight="false" outlineLevel="0" collapsed="false">
      <c r="A1429" s="51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46" t="s">
        <v>941</v>
      </c>
      <c r="G1429" s="0" t="n">
        <v>50.4</v>
      </c>
      <c r="H1429" s="0" t="n">
        <v>49</v>
      </c>
      <c r="I1429" s="46" t="s">
        <v>181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51" t="n">
        <v>46303</v>
      </c>
      <c r="X1429" s="46" t="n">
        <f aca="false">IF(I1429="Male",0,1)</f>
        <v>1</v>
      </c>
      <c r="Y1429" s="46" t="n">
        <f aca="false">IF(OR(I1429="DNB",I1429="Dry DNB"),1,0)</f>
        <v>0</v>
      </c>
      <c r="Z1429" s="46" t="n">
        <f aca="false">IF(ISNUMBER(W1429),A1429-W1429,"")</f>
        <v>6</v>
      </c>
      <c r="AA1429" s="46" t="n">
        <f aca="false">MATCH(A1429,DATAS,0)</f>
        <v>1</v>
      </c>
      <c r="AB1429" s="46" t="n">
        <f aca="false">IF(AND(E1429&gt;0,OR(AND(B1429&gt;=1,B1429&lt;=6),B1429=10)),1,0)</f>
        <v>1</v>
      </c>
      <c r="AC1429" s="46" t="n">
        <f aca="false">IF(AND(E1429&gt;0,B1429=10),1,0)</f>
        <v>0</v>
      </c>
      <c r="AD1429" s="0" t="str">
        <f aca="false">IF(AND(C1428=C1429,AA1428=AA1429-1),AB1428,"")</f>
        <v/>
      </c>
      <c r="AE1429" s="0" t="str">
        <f aca="false">IF(AND(C1428=C1429,AA1428=AA1429-1),AC1428,"")</f>
        <v/>
      </c>
      <c r="AF1429" s="0" t="str">
        <f aca="false">IF(AA1429=1,"",IF(AND(AB1429=1,AD1429&lt;&gt;1),1,0))</f>
        <v/>
      </c>
      <c r="AG1429" s="0" t="str">
        <f aca="false">IF(AA1429=1,"",IF(AND(AC1429=1,AE1429&lt;&gt;1),1,0))</f>
        <v/>
      </c>
      <c r="AH1429" s="51" t="str">
        <f aca="false">IF(AND(E1429&gt;0,AA1429&lt;1,NOT(AND(C1430=C1429,AA1430=AA1429+1))),INDEX(DATAS,AA1429+1),"")</f>
        <v/>
      </c>
      <c r="AI1429" s="51" t="str">
        <f aca="false">IF(AND(AC1429=1,AA1429&lt;1),IF(AND(C1430=C1429,AA1430=AA1429+1),IF(AC1430=1,"",INDEX(DATAS,AA1429+1)),INDEX(DATAS,AA1429+1)),"")</f>
        <v/>
      </c>
    </row>
    <row r="1430" customFormat="false" ht="15" hidden="false" customHeight="false" outlineLevel="0" collapsed="false">
      <c r="A1430" s="51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46" t="s">
        <v>941</v>
      </c>
      <c r="G1430" s="0" t="n">
        <v>48.5</v>
      </c>
      <c r="H1430" s="0" t="n">
        <v>49</v>
      </c>
      <c r="I1430" s="46" t="s">
        <v>152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51" t="n">
        <v>46159</v>
      </c>
      <c r="X1430" s="46" t="n">
        <f aca="false">IF(I1430="Male",0,1)</f>
        <v>1</v>
      </c>
      <c r="Y1430" s="46" t="n">
        <f aca="false">IF(OR(I1430="DNB",I1430="Dry DNB"),1,0)</f>
        <v>0</v>
      </c>
      <c r="Z1430" s="46" t="n">
        <f aca="false">IF(ISNUMBER(W1430),A1430-W1430,"")</f>
        <v>150</v>
      </c>
      <c r="AA1430" s="46" t="n">
        <f aca="false">MATCH(A1430,DATAS,0)</f>
        <v>1</v>
      </c>
      <c r="AB1430" s="46" t="n">
        <f aca="false">IF(AND(E1430&gt;0,OR(AND(B1430&gt;=1,B1430&lt;=6),B1430=10)),1,0)</f>
        <v>1</v>
      </c>
      <c r="AC1430" s="46" t="n">
        <f aca="false">IF(AND(E1430&gt;0,B1430=10),1,0)</f>
        <v>0</v>
      </c>
      <c r="AD1430" s="0" t="str">
        <f aca="false">IF(AND(C1429=C1430,AA1429=AA1430-1),AB1429,"")</f>
        <v/>
      </c>
      <c r="AE1430" s="0" t="str">
        <f aca="false">IF(AND(C1429=C1430,AA1429=AA1430-1),AC1429,"")</f>
        <v/>
      </c>
      <c r="AF1430" s="0" t="str">
        <f aca="false">IF(AA1430=1,"",IF(AND(AB1430=1,AD1430&lt;&gt;1),1,0))</f>
        <v/>
      </c>
      <c r="AG1430" s="0" t="str">
        <f aca="false">IF(AA1430=1,"",IF(AND(AC1430=1,AE1430&lt;&gt;1),1,0))</f>
        <v/>
      </c>
      <c r="AH1430" s="51" t="str">
        <f aca="false">IF(AND(E1430&gt;0,AA1430&lt;1,NOT(AND(C1431=C1430,AA1431=AA1430+1))),INDEX(DATAS,AA1430+1),"")</f>
        <v/>
      </c>
      <c r="AI1430" s="51" t="str">
        <f aca="false">IF(AND(AC1430=1,AA1430&lt;1),IF(AND(C1431=C1430,AA1431=AA1430+1),IF(AC1431=1,"",INDEX(DATAS,AA1430+1)),INDEX(DATAS,AA1430+1)),"")</f>
        <v/>
      </c>
    </row>
    <row r="1431" customFormat="false" ht="15" hidden="false" customHeight="false" outlineLevel="0" collapsed="false">
      <c r="A1431" s="51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46" t="s">
        <v>942</v>
      </c>
      <c r="G1431" s="0" t="n">
        <v>24.7</v>
      </c>
      <c r="H1431" s="0" t="n">
        <v>29</v>
      </c>
      <c r="I1431" s="46" t="s">
        <v>152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51" t="n">
        <v>46093</v>
      </c>
      <c r="X1431" s="46" t="n">
        <f aca="false">IF(I1431="Male",0,1)</f>
        <v>1</v>
      </c>
      <c r="Y1431" s="46" t="n">
        <f aca="false">IF(OR(I1431="DNB",I1431="Dry DNB"),1,0)</f>
        <v>0</v>
      </c>
      <c r="Z1431" s="46" t="n">
        <f aca="false">IF(ISNUMBER(W1431),A1431-W1431,"")</f>
        <v>216</v>
      </c>
      <c r="AA1431" s="46" t="n">
        <f aca="false">MATCH(A1431,DATAS,0)</f>
        <v>1</v>
      </c>
      <c r="AB1431" s="46" t="n">
        <f aca="false">IF(AND(E1431&gt;0,OR(AND(B1431&gt;=1,B1431&lt;=6),B1431=10)),1,0)</f>
        <v>1</v>
      </c>
      <c r="AC1431" s="46" t="n">
        <f aca="false">IF(AND(E1431&gt;0,B1431=10),1,0)</f>
        <v>0</v>
      </c>
      <c r="AD1431" s="0" t="str">
        <f aca="false">IF(AND(C1430=C1431,AA1430=AA1431-1),AB1430,"")</f>
        <v/>
      </c>
      <c r="AE1431" s="0" t="str">
        <f aca="false">IF(AND(C1430=C1431,AA1430=AA1431-1),AC1430,"")</f>
        <v/>
      </c>
      <c r="AF1431" s="0" t="str">
        <f aca="false">IF(AA1431=1,"",IF(AND(AB1431=1,AD1431&lt;&gt;1),1,0))</f>
        <v/>
      </c>
      <c r="AG1431" s="0" t="str">
        <f aca="false">IF(AA1431=1,"",IF(AND(AC1431=1,AE1431&lt;&gt;1),1,0))</f>
        <v/>
      </c>
      <c r="AH1431" s="51" t="str">
        <f aca="false">IF(AND(E1431&gt;0,AA1431&lt;1,NOT(AND(C1432=C1431,AA1432=AA1431+1))),INDEX(DATAS,AA1431+1),"")</f>
        <v/>
      </c>
      <c r="AI1431" s="51" t="str">
        <f aca="false">IF(AND(AC1431=1,AA1431&lt;1),IF(AND(C1432=C1431,AA1432=AA1431+1),IF(AC1432=1,"",INDEX(DATAS,AA1431+1)),INDEX(DATAS,AA1431+1)),"")</f>
        <v/>
      </c>
    </row>
    <row r="1432" customFormat="false" ht="15" hidden="false" customHeight="false" outlineLevel="0" collapsed="false">
      <c r="A1432" s="51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46" t="s">
        <v>942</v>
      </c>
      <c r="G1432" s="0" t="n">
        <v>39.3</v>
      </c>
      <c r="H1432" s="0" t="n">
        <v>40</v>
      </c>
      <c r="I1432" s="46" t="s">
        <v>181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X1432" s="46" t="n">
        <f aca="false">IF(I1432="Male",0,1)</f>
        <v>1</v>
      </c>
      <c r="Y1432" s="46" t="n">
        <f aca="false">IF(OR(I1432="DNB",I1432="Dry DNB"),1,0)</f>
        <v>0</v>
      </c>
      <c r="Z1432" s="0" t="str">
        <f aca="false">IF(ISNUMBER(W1432),A1432-W1432,"")</f>
        <v/>
      </c>
      <c r="AA1432" s="46" t="n">
        <f aca="false">MATCH(A1432,DATAS,0)</f>
        <v>1</v>
      </c>
      <c r="AB1432" s="46" t="n">
        <f aca="false">IF(AND(E1432&gt;0,OR(AND(B1432&gt;=1,B1432&lt;=6),B1432=10)),1,0)</f>
        <v>1</v>
      </c>
      <c r="AC1432" s="46" t="n">
        <f aca="false">IF(AND(E1432&gt;0,B1432=10),1,0)</f>
        <v>0</v>
      </c>
      <c r="AD1432" s="0" t="str">
        <f aca="false">IF(AND(C1431=C1432,AA1431=AA1432-1),AB1431,"")</f>
        <v/>
      </c>
      <c r="AE1432" s="0" t="str">
        <f aca="false">IF(AND(C1431=C1432,AA1431=AA1432-1),AC1431,"")</f>
        <v/>
      </c>
      <c r="AF1432" s="0" t="str">
        <f aca="false">IF(AA1432=1,"",IF(AND(AB1432=1,AD1432&lt;&gt;1),1,0))</f>
        <v/>
      </c>
      <c r="AG1432" s="0" t="str">
        <f aca="false">IF(AA1432=1,"",IF(AND(AC1432=1,AE1432&lt;&gt;1),1,0))</f>
        <v/>
      </c>
      <c r="AH1432" s="51" t="str">
        <f aca="false">IF(AND(E1432&gt;0,AA1432&lt;1,NOT(AND(C1433=C1432,AA1433=AA1432+1))),INDEX(DATAS,AA1432+1),"")</f>
        <v/>
      </c>
      <c r="AI1432" s="51" t="str">
        <f aca="false">IF(AND(AC1432=1,AA1432&lt;1),IF(AND(C1433=C1432,AA1433=AA1432+1),IF(AC1433=1,"",INDEX(DATAS,AA1432+1)),INDEX(DATAS,AA1432+1)),"")</f>
        <v/>
      </c>
    </row>
    <row r="1433" customFormat="false" ht="15" hidden="false" customHeight="false" outlineLevel="0" collapsed="false">
      <c r="A1433" s="51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46" t="s">
        <v>942</v>
      </c>
      <c r="G1433" s="0" t="n">
        <v>57.1</v>
      </c>
      <c r="H1433" s="0" t="n">
        <v>53</v>
      </c>
      <c r="I1433" s="46" t="s">
        <v>152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51" t="n">
        <v>46149</v>
      </c>
      <c r="X1433" s="46" t="n">
        <f aca="false">IF(I1433="Male",0,1)</f>
        <v>1</v>
      </c>
      <c r="Y1433" s="46" t="n">
        <f aca="false">IF(OR(I1433="DNB",I1433="Dry DNB"),1,0)</f>
        <v>0</v>
      </c>
      <c r="Z1433" s="46" t="n">
        <f aca="false">IF(ISNUMBER(W1433),A1433-W1433,"")</f>
        <v>160</v>
      </c>
      <c r="AA1433" s="46" t="n">
        <f aca="false">MATCH(A1433,DATAS,0)</f>
        <v>1</v>
      </c>
      <c r="AB1433" s="46" t="n">
        <f aca="false">IF(AND(E1433&gt;0,OR(AND(B1433&gt;=1,B1433&lt;=6),B1433=10)),1,0)</f>
        <v>1</v>
      </c>
      <c r="AC1433" s="46" t="n">
        <f aca="false">IF(AND(E1433&gt;0,B1433=10),1,0)</f>
        <v>0</v>
      </c>
      <c r="AD1433" s="0" t="str">
        <f aca="false">IF(AND(C1432=C1433,AA1432=AA1433-1),AB1432,"")</f>
        <v/>
      </c>
      <c r="AE1433" s="0" t="str">
        <f aca="false">IF(AND(C1432=C1433,AA1432=AA1433-1),AC1432,"")</f>
        <v/>
      </c>
      <c r="AF1433" s="0" t="str">
        <f aca="false">IF(AA1433=1,"",IF(AND(AB1433=1,AD1433&lt;&gt;1),1,0))</f>
        <v/>
      </c>
      <c r="AG1433" s="0" t="str">
        <f aca="false">IF(AA1433=1,"",IF(AND(AC1433=1,AE1433&lt;&gt;1),1,0))</f>
        <v/>
      </c>
      <c r="AH1433" s="51" t="str">
        <f aca="false">IF(AND(E1433&gt;0,AA1433&lt;1,NOT(AND(C1434=C1433,AA1434=AA1433+1))),INDEX(DATAS,AA1433+1),"")</f>
        <v/>
      </c>
      <c r="AI1433" s="51" t="str">
        <f aca="false">IF(AND(AC1433=1,AA1433&lt;1),IF(AND(C1434=C1433,AA1434=AA1433+1),IF(AC1434=1,"",INDEX(DATAS,AA1433+1)),INDEX(DATAS,AA1433+1)),"")</f>
        <v/>
      </c>
    </row>
    <row r="1434" customFormat="false" ht="15" hidden="false" customHeight="false" outlineLevel="0" collapsed="false">
      <c r="A1434" s="51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46" t="s">
        <v>943</v>
      </c>
      <c r="G1434" s="0" t="n">
        <v>17.9</v>
      </c>
      <c r="H1434" s="0" t="n">
        <v>22</v>
      </c>
      <c r="I1434" s="46" t="s">
        <v>181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51" t="n">
        <v>46303</v>
      </c>
      <c r="X1434" s="46" t="n">
        <f aca="false">IF(I1434="Male",0,1)</f>
        <v>1</v>
      </c>
      <c r="Y1434" s="46" t="n">
        <f aca="false">IF(OR(I1434="DNB",I1434="Dry DNB"),1,0)</f>
        <v>0</v>
      </c>
      <c r="Z1434" s="46" t="n">
        <f aca="false">IF(ISNUMBER(W1434),A1434-W1434,"")</f>
        <v>6</v>
      </c>
      <c r="AA1434" s="46" t="n">
        <f aca="false">MATCH(A1434,DATAS,0)</f>
        <v>1</v>
      </c>
      <c r="AB1434" s="46" t="n">
        <f aca="false">IF(AND(E1434&gt;0,OR(AND(B1434&gt;=1,B1434&lt;=6),B1434=10)),1,0)</f>
        <v>1</v>
      </c>
      <c r="AC1434" s="46" t="n">
        <f aca="false">IF(AND(E1434&gt;0,B1434=10),1,0)</f>
        <v>0</v>
      </c>
      <c r="AD1434" s="0" t="str">
        <f aca="false">IF(AND(C1433=C1434,AA1433=AA1434-1),AB1433,"")</f>
        <v/>
      </c>
      <c r="AE1434" s="0" t="str">
        <f aca="false">IF(AND(C1433=C1434,AA1433=AA1434-1),AC1433,"")</f>
        <v/>
      </c>
      <c r="AF1434" s="0" t="str">
        <f aca="false">IF(AA1434=1,"",IF(AND(AB1434=1,AD1434&lt;&gt;1),1,0))</f>
        <v/>
      </c>
      <c r="AG1434" s="0" t="str">
        <f aca="false">IF(AA1434=1,"",IF(AND(AC1434=1,AE1434&lt;&gt;1),1,0))</f>
        <v/>
      </c>
      <c r="AH1434" s="51" t="str">
        <f aca="false">IF(AND(E1434&gt;0,AA1434&lt;1,NOT(AND(C1435=C1434,AA1435=AA1434+1))),INDEX(DATAS,AA1434+1),"")</f>
        <v/>
      </c>
      <c r="AI1434" s="51" t="str">
        <f aca="false">IF(AND(AC1434=1,AA1434&lt;1),IF(AND(C1435=C1434,AA1435=AA1434+1),IF(AC1435=1,"",INDEX(DATAS,AA1434+1)),INDEX(DATAS,AA1434+1)),"")</f>
        <v/>
      </c>
    </row>
    <row r="1435" customFormat="false" ht="15" hidden="false" customHeight="false" outlineLevel="0" collapsed="false">
      <c r="A1435" s="51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46" t="s">
        <v>944</v>
      </c>
      <c r="G1435" s="0" t="n">
        <v>44.8</v>
      </c>
      <c r="H1435" s="0" t="n">
        <v>44</v>
      </c>
      <c r="I1435" s="46" t="s">
        <v>152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51" t="n">
        <v>46198</v>
      </c>
      <c r="X1435" s="46" t="n">
        <f aca="false">IF(I1435="Male",0,1)</f>
        <v>1</v>
      </c>
      <c r="Y1435" s="46" t="n">
        <f aca="false">IF(OR(I1435="DNB",I1435="Dry DNB"),1,0)</f>
        <v>0</v>
      </c>
      <c r="Z1435" s="46" t="n">
        <f aca="false">IF(ISNUMBER(W1435),A1435-W1435,"")</f>
        <v>111</v>
      </c>
      <c r="AA1435" s="46" t="n">
        <f aca="false">MATCH(A1435,DATAS,0)</f>
        <v>1</v>
      </c>
      <c r="AB1435" s="46" t="n">
        <f aca="false">IF(AND(E1435&gt;0,OR(AND(B1435&gt;=1,B1435&lt;=6),B1435=10)),1,0)</f>
        <v>1</v>
      </c>
      <c r="AC1435" s="46" t="n">
        <f aca="false">IF(AND(E1435&gt;0,B1435=10),1,0)</f>
        <v>0</v>
      </c>
      <c r="AD1435" s="0" t="str">
        <f aca="false">IF(AND(C1434=C1435,AA1434=AA1435-1),AB1434,"")</f>
        <v/>
      </c>
      <c r="AE1435" s="0" t="str">
        <f aca="false">IF(AND(C1434=C1435,AA1434=AA1435-1),AC1434,"")</f>
        <v/>
      </c>
      <c r="AF1435" s="0" t="str">
        <f aca="false">IF(AA1435=1,"",IF(AND(AB1435=1,AD1435&lt;&gt;1),1,0))</f>
        <v/>
      </c>
      <c r="AG1435" s="0" t="str">
        <f aca="false">IF(AA1435=1,"",IF(AND(AC1435=1,AE1435&lt;&gt;1),1,0))</f>
        <v/>
      </c>
      <c r="AH1435" s="51" t="str">
        <f aca="false">IF(AND(E1435&gt;0,AA1435&lt;1,NOT(AND(C1436=C1435,AA1436=AA1435+1))),INDEX(DATAS,AA1435+1),"")</f>
        <v/>
      </c>
      <c r="AI1435" s="51" t="str">
        <f aca="false">IF(AND(AC1435=1,AA1435&lt;1),IF(AND(C1436=C1435,AA1436=AA1435+1),IF(AC1436=1,"",INDEX(DATAS,AA1435+1)),INDEX(DATAS,AA1435+1)),"")</f>
        <v/>
      </c>
    </row>
    <row r="1436" customFormat="false" ht="15" hidden="false" customHeight="false" outlineLevel="0" collapsed="false">
      <c r="A1436" s="51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46" t="s">
        <v>944</v>
      </c>
      <c r="G1436" s="0" t="n">
        <v>43.2</v>
      </c>
      <c r="H1436" s="0" t="n">
        <v>46</v>
      </c>
      <c r="I1436" s="46" t="s">
        <v>181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51" t="n">
        <v>46282</v>
      </c>
      <c r="X1436" s="46" t="n">
        <f aca="false">IF(I1436="Male",0,1)</f>
        <v>1</v>
      </c>
      <c r="Y1436" s="46" t="n">
        <f aca="false">IF(OR(I1436="DNB",I1436="Dry DNB"),1,0)</f>
        <v>0</v>
      </c>
      <c r="Z1436" s="46" t="n">
        <f aca="false">IF(ISNUMBER(W1436),A1436-W1436,"")</f>
        <v>27</v>
      </c>
      <c r="AA1436" s="46" t="n">
        <f aca="false">MATCH(A1436,DATAS,0)</f>
        <v>1</v>
      </c>
      <c r="AB1436" s="46" t="n">
        <f aca="false">IF(AND(E1436&gt;0,OR(AND(B1436&gt;=1,B1436&lt;=6),B1436=10)),1,0)</f>
        <v>1</v>
      </c>
      <c r="AC1436" s="46" t="n">
        <f aca="false">IF(AND(E1436&gt;0,B1436=10),1,0)</f>
        <v>0</v>
      </c>
      <c r="AD1436" s="0" t="str">
        <f aca="false">IF(AND(C1435=C1436,AA1435=AA1436-1),AB1435,"")</f>
        <v/>
      </c>
      <c r="AE1436" s="0" t="str">
        <f aca="false">IF(AND(C1435=C1436,AA1435=AA1436-1),AC1435,"")</f>
        <v/>
      </c>
      <c r="AF1436" s="0" t="str">
        <f aca="false">IF(AA1436=1,"",IF(AND(AB1436=1,AD1436&lt;&gt;1),1,0))</f>
        <v/>
      </c>
      <c r="AG1436" s="0" t="str">
        <f aca="false">IF(AA1436=1,"",IF(AND(AC1436=1,AE1436&lt;&gt;1),1,0))</f>
        <v/>
      </c>
      <c r="AH1436" s="51" t="str">
        <f aca="false">IF(AND(E1436&gt;0,AA1436&lt;1,NOT(AND(C1437=C1436,AA1437=AA1436+1))),INDEX(DATAS,AA1436+1),"")</f>
        <v/>
      </c>
      <c r="AI1436" s="51" t="str">
        <f aca="false">IF(AND(AC1436=1,AA1436&lt;1),IF(AND(C1437=C1436,AA1437=AA1436+1),IF(AC1437=1,"",INDEX(DATAS,AA1436+1)),INDEX(DATAS,AA1436+1)),"")</f>
        <v/>
      </c>
    </row>
    <row r="1437" customFormat="false" ht="15" hidden="false" customHeight="false" outlineLevel="0" collapsed="false">
      <c r="A1437" s="51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46" t="s">
        <v>944</v>
      </c>
      <c r="G1437" s="0" t="n">
        <v>52.3</v>
      </c>
      <c r="H1437" s="0" t="n">
        <v>50</v>
      </c>
      <c r="I1437" s="46" t="s">
        <v>152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51" t="n">
        <v>46135</v>
      </c>
      <c r="X1437" s="46" t="n">
        <f aca="false">IF(I1437="Male",0,1)</f>
        <v>1</v>
      </c>
      <c r="Y1437" s="46" t="n">
        <f aca="false">IF(OR(I1437="DNB",I1437="Dry DNB"),1,0)</f>
        <v>0</v>
      </c>
      <c r="Z1437" s="46" t="n">
        <f aca="false">IF(ISNUMBER(W1437),A1437-W1437,"")</f>
        <v>174</v>
      </c>
      <c r="AA1437" s="46" t="n">
        <f aca="false">MATCH(A1437,DATAS,0)</f>
        <v>1</v>
      </c>
      <c r="AB1437" s="46" t="n">
        <f aca="false">IF(AND(E1437&gt;0,OR(AND(B1437&gt;=1,B1437&lt;=6),B1437=10)),1,0)</f>
        <v>1</v>
      </c>
      <c r="AC1437" s="46" t="n">
        <f aca="false">IF(AND(E1437&gt;0,B1437=10),1,0)</f>
        <v>0</v>
      </c>
      <c r="AD1437" s="0" t="str">
        <f aca="false">IF(AND(C1436=C1437,AA1436=AA1437-1),AB1436,"")</f>
        <v/>
      </c>
      <c r="AE1437" s="0" t="str">
        <f aca="false">IF(AND(C1436=C1437,AA1436=AA1437-1),AC1436,"")</f>
        <v/>
      </c>
      <c r="AF1437" s="0" t="str">
        <f aca="false">IF(AA1437=1,"",IF(AND(AB1437=1,AD1437&lt;&gt;1),1,0))</f>
        <v/>
      </c>
      <c r="AG1437" s="0" t="str">
        <f aca="false">IF(AA1437=1,"",IF(AND(AC1437=1,AE1437&lt;&gt;1),1,0))</f>
        <v/>
      </c>
      <c r="AH1437" s="51" t="str">
        <f aca="false">IF(AND(E1437&gt;0,AA1437&lt;1,NOT(AND(C1438=C1437,AA1438=AA1437+1))),INDEX(DATAS,AA1437+1),"")</f>
        <v/>
      </c>
      <c r="AI1437" s="51" t="str">
        <f aca="false">IF(AND(AC1437=1,AA1437&lt;1),IF(AND(C1438=C1437,AA1438=AA1437+1),IF(AC1438=1,"",INDEX(DATAS,AA1437+1)),INDEX(DATAS,AA1437+1)),"")</f>
        <v/>
      </c>
    </row>
    <row r="1438" customFormat="false" ht="15" hidden="false" customHeight="false" outlineLevel="0" collapsed="false">
      <c r="A1438" s="51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46" t="s">
        <v>944</v>
      </c>
      <c r="G1438" s="0" t="n">
        <v>54.9</v>
      </c>
      <c r="H1438" s="0" t="n">
        <v>56</v>
      </c>
      <c r="I1438" s="46" t="s">
        <v>152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51" t="n">
        <v>46261</v>
      </c>
      <c r="X1438" s="46" t="n">
        <f aca="false">IF(I1438="Male",0,1)</f>
        <v>1</v>
      </c>
      <c r="Y1438" s="46" t="n">
        <f aca="false">IF(OR(I1438="DNB",I1438="Dry DNB"),1,0)</f>
        <v>0</v>
      </c>
      <c r="Z1438" s="46" t="n">
        <f aca="false">IF(ISNUMBER(W1438),A1438-W1438,"")</f>
        <v>48</v>
      </c>
      <c r="AA1438" s="46" t="n">
        <f aca="false">MATCH(A1438,DATAS,0)</f>
        <v>1</v>
      </c>
      <c r="AB1438" s="46" t="n">
        <f aca="false">IF(AND(E1438&gt;0,OR(AND(B1438&gt;=1,B1438&lt;=6),B1438=10)),1,0)</f>
        <v>1</v>
      </c>
      <c r="AC1438" s="46" t="n">
        <f aca="false">IF(AND(E1438&gt;0,B1438=10),1,0)</f>
        <v>0</v>
      </c>
      <c r="AD1438" s="0" t="str">
        <f aca="false">IF(AND(C1437=C1438,AA1437=AA1438-1),AB1437,"")</f>
        <v/>
      </c>
      <c r="AE1438" s="0" t="str">
        <f aca="false">IF(AND(C1437=C1438,AA1437=AA1438-1),AC1437,"")</f>
        <v/>
      </c>
      <c r="AF1438" s="0" t="str">
        <f aca="false">IF(AA1438=1,"",IF(AND(AB1438=1,AD1438&lt;&gt;1),1,0))</f>
        <v/>
      </c>
      <c r="AG1438" s="0" t="str">
        <f aca="false">IF(AA1438=1,"",IF(AND(AC1438=1,AE1438&lt;&gt;1),1,0))</f>
        <v/>
      </c>
      <c r="AH1438" s="51" t="str">
        <f aca="false">IF(AND(E1438&gt;0,AA1438&lt;1,NOT(AND(C1439=C1438,AA1439=AA1438+1))),INDEX(DATAS,AA1438+1),"")</f>
        <v/>
      </c>
      <c r="AI1438" s="51" t="str">
        <f aca="false">IF(AND(AC1438=1,AA1438&lt;1),IF(AND(C1439=C1438,AA1439=AA1438+1),IF(AC1439=1,"",INDEX(DATAS,AA1438+1)),INDEX(DATAS,AA1438+1)),"")</f>
        <v/>
      </c>
    </row>
    <row r="1439" customFormat="false" ht="15" hidden="false" customHeight="false" outlineLevel="0" collapsed="false">
      <c r="A1439" s="51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46" t="s">
        <v>944</v>
      </c>
      <c r="G1439" s="0" t="n">
        <v>42.1</v>
      </c>
      <c r="H1439" s="0" t="n">
        <v>42</v>
      </c>
      <c r="I1439" s="46" t="s">
        <v>152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51" t="n">
        <v>46198</v>
      </c>
      <c r="X1439" s="46" t="n">
        <f aca="false">IF(I1439="Male",0,1)</f>
        <v>1</v>
      </c>
      <c r="Y1439" s="46" t="n">
        <f aca="false">IF(OR(I1439="DNB",I1439="Dry DNB"),1,0)</f>
        <v>0</v>
      </c>
      <c r="Z1439" s="46" t="n">
        <f aca="false">IF(ISNUMBER(W1439),A1439-W1439,"")</f>
        <v>111</v>
      </c>
      <c r="AA1439" s="46" t="n">
        <f aca="false">MATCH(A1439,DATAS,0)</f>
        <v>1</v>
      </c>
      <c r="AB1439" s="46" t="n">
        <f aca="false">IF(AND(E1439&gt;0,OR(AND(B1439&gt;=1,B1439&lt;=6),B1439=10)),1,0)</f>
        <v>1</v>
      </c>
      <c r="AC1439" s="46" t="n">
        <f aca="false">IF(AND(E1439&gt;0,B1439=10),1,0)</f>
        <v>0</v>
      </c>
      <c r="AD1439" s="0" t="str">
        <f aca="false">IF(AND(C1438=C1439,AA1438=AA1439-1),AB1438,"")</f>
        <v/>
      </c>
      <c r="AE1439" s="0" t="str">
        <f aca="false">IF(AND(C1438=C1439,AA1438=AA1439-1),AC1438,"")</f>
        <v/>
      </c>
      <c r="AF1439" s="0" t="str">
        <f aca="false">IF(AA1439=1,"",IF(AND(AB1439=1,AD1439&lt;&gt;1),1,0))</f>
        <v/>
      </c>
      <c r="AG1439" s="0" t="str">
        <f aca="false">IF(AA1439=1,"",IF(AND(AC1439=1,AE1439&lt;&gt;1),1,0))</f>
        <v/>
      </c>
      <c r="AH1439" s="51" t="str">
        <f aca="false">IF(AND(E1439&gt;0,AA1439&lt;1,NOT(AND(C1440=C1439,AA1440=AA1439+1))),INDEX(DATAS,AA1439+1),"")</f>
        <v/>
      </c>
      <c r="AI1439" s="51" t="str">
        <f aca="false">IF(AND(AC1439=1,AA1439&lt;1),IF(AND(C1440=C1439,AA1440=AA1439+1),IF(AC1440=1,"",INDEX(DATAS,AA1439+1)),INDEX(DATAS,AA1439+1)),"")</f>
        <v/>
      </c>
    </row>
    <row r="1440" customFormat="false" ht="15" hidden="false" customHeight="false" outlineLevel="0" collapsed="false">
      <c r="A1440" s="51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46" t="s">
        <v>944</v>
      </c>
      <c r="G1440" s="0" t="n">
        <v>52.6</v>
      </c>
      <c r="H1440" s="0" t="n">
        <v>54</v>
      </c>
      <c r="I1440" s="46" t="s">
        <v>181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51" t="n">
        <v>46282</v>
      </c>
      <c r="X1440" s="46" t="n">
        <f aca="false">IF(I1440="Male",0,1)</f>
        <v>1</v>
      </c>
      <c r="Y1440" s="46" t="n">
        <f aca="false">IF(OR(I1440="DNB",I1440="Dry DNB"),1,0)</f>
        <v>0</v>
      </c>
      <c r="Z1440" s="46" t="n">
        <f aca="false">IF(ISNUMBER(W1440),A1440-W1440,"")</f>
        <v>27</v>
      </c>
      <c r="AA1440" s="46" t="n">
        <f aca="false">MATCH(A1440,DATAS,0)</f>
        <v>1</v>
      </c>
      <c r="AB1440" s="46" t="n">
        <f aca="false">IF(AND(E1440&gt;0,OR(AND(B1440&gt;=1,B1440&lt;=6),B1440=10)),1,0)</f>
        <v>1</v>
      </c>
      <c r="AC1440" s="46" t="n">
        <f aca="false">IF(AND(E1440&gt;0,B1440=10),1,0)</f>
        <v>0</v>
      </c>
      <c r="AD1440" s="0" t="str">
        <f aca="false">IF(AND(C1439=C1440,AA1439=AA1440-1),AB1439,"")</f>
        <v/>
      </c>
      <c r="AE1440" s="0" t="str">
        <f aca="false">IF(AND(C1439=C1440,AA1439=AA1440-1),AC1439,"")</f>
        <v/>
      </c>
      <c r="AF1440" s="0" t="str">
        <f aca="false">IF(AA1440=1,"",IF(AND(AB1440=1,AD1440&lt;&gt;1),1,0))</f>
        <v/>
      </c>
      <c r="AG1440" s="0" t="str">
        <f aca="false">IF(AA1440=1,"",IF(AND(AC1440=1,AE1440&lt;&gt;1),1,0))</f>
        <v/>
      </c>
      <c r="AH1440" s="51" t="str">
        <f aca="false">IF(AND(E1440&gt;0,AA1440&lt;1,NOT(AND(C1441=C1440,AA1441=AA1440+1))),INDEX(DATAS,AA1440+1),"")</f>
        <v/>
      </c>
      <c r="AI1440" s="51" t="str">
        <f aca="false">IF(AND(AC1440=1,AA1440&lt;1),IF(AND(C1441=C1440,AA1441=AA1440+1),IF(AC1441=1,"",INDEX(DATAS,AA1440+1)),INDEX(DATAS,AA1440+1)),"")</f>
        <v/>
      </c>
    </row>
    <row r="1441" customFormat="false" ht="15" hidden="false" customHeight="false" outlineLevel="0" collapsed="false">
      <c r="A1441" s="51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46" t="s">
        <v>944</v>
      </c>
      <c r="G1441" s="0" t="n">
        <v>48.9</v>
      </c>
      <c r="H1441" s="0" t="n">
        <v>48</v>
      </c>
      <c r="I1441" s="46" t="s">
        <v>181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51" t="n">
        <v>46307</v>
      </c>
      <c r="X1441" s="46" t="n">
        <f aca="false">IF(I1441="Male",0,1)</f>
        <v>1</v>
      </c>
      <c r="Y1441" s="46" t="n">
        <f aca="false">IF(OR(I1441="DNB",I1441="Dry DNB"),1,0)</f>
        <v>0</v>
      </c>
      <c r="Z1441" s="46" t="n">
        <f aca="false">IF(ISNUMBER(W1441),A1441-W1441,"")</f>
        <v>2</v>
      </c>
      <c r="AA1441" s="46" t="n">
        <f aca="false">MATCH(A1441,DATAS,0)</f>
        <v>1</v>
      </c>
      <c r="AB1441" s="46" t="n">
        <f aca="false">IF(AND(E1441&gt;0,OR(AND(B1441&gt;=1,B1441&lt;=6),B1441=10)),1,0)</f>
        <v>1</v>
      </c>
      <c r="AC1441" s="46" t="n">
        <f aca="false">IF(AND(E1441&gt;0,B1441=10),1,0)</f>
        <v>0</v>
      </c>
      <c r="AD1441" s="0" t="str">
        <f aca="false">IF(AND(C1440=C1441,AA1440=AA1441-1),AB1440,"")</f>
        <v/>
      </c>
      <c r="AE1441" s="0" t="str">
        <f aca="false">IF(AND(C1440=C1441,AA1440=AA1441-1),AC1440,"")</f>
        <v/>
      </c>
      <c r="AF1441" s="0" t="str">
        <f aca="false">IF(AA1441=1,"",IF(AND(AB1441=1,AD1441&lt;&gt;1),1,0))</f>
        <v/>
      </c>
      <c r="AG1441" s="0" t="str">
        <f aca="false">IF(AA1441=1,"",IF(AND(AC1441=1,AE1441&lt;&gt;1),1,0))</f>
        <v/>
      </c>
      <c r="AH1441" s="51" t="str">
        <f aca="false">IF(AND(E1441&gt;0,AA1441&lt;1,NOT(AND(C1442=C1441,AA1442=AA1441+1))),INDEX(DATAS,AA1441+1),"")</f>
        <v/>
      </c>
      <c r="AI1441" s="51" t="str">
        <f aca="false">IF(AND(AC1441=1,AA1441&lt;1),IF(AND(C1442=C1441,AA1442=AA1441+1),IF(AC1442=1,"",INDEX(DATAS,AA1441+1)),INDEX(DATAS,AA1441+1)),"")</f>
        <v/>
      </c>
    </row>
    <row r="1442" customFormat="false" ht="15" hidden="false" customHeight="false" outlineLevel="0" collapsed="false">
      <c r="A1442" s="51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46" t="s">
        <v>944</v>
      </c>
      <c r="G1442" s="0" t="n">
        <v>39.2</v>
      </c>
      <c r="H1442" s="0" t="n">
        <v>44</v>
      </c>
      <c r="I1442" s="46" t="s">
        <v>152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51" t="n">
        <v>46142</v>
      </c>
      <c r="X1442" s="46" t="n">
        <f aca="false">IF(I1442="Male",0,1)</f>
        <v>1</v>
      </c>
      <c r="Y1442" s="46" t="n">
        <f aca="false">IF(OR(I1442="DNB",I1442="Dry DNB"),1,0)</f>
        <v>0</v>
      </c>
      <c r="Z1442" s="46" t="n">
        <f aca="false">IF(ISNUMBER(W1442),A1442-W1442,"")</f>
        <v>167</v>
      </c>
      <c r="AA1442" s="46" t="n">
        <f aca="false">MATCH(A1442,DATAS,0)</f>
        <v>1</v>
      </c>
      <c r="AB1442" s="46" t="n">
        <f aca="false">IF(AND(E1442&gt;0,OR(AND(B1442&gt;=1,B1442&lt;=6),B1442=10)),1,0)</f>
        <v>1</v>
      </c>
      <c r="AC1442" s="46" t="n">
        <f aca="false">IF(AND(E1442&gt;0,B1442=10),1,0)</f>
        <v>0</v>
      </c>
      <c r="AD1442" s="0" t="str">
        <f aca="false">IF(AND(C1441=C1442,AA1441=AA1442-1),AB1441,"")</f>
        <v/>
      </c>
      <c r="AE1442" s="0" t="str">
        <f aca="false">IF(AND(C1441=C1442,AA1441=AA1442-1),AC1441,"")</f>
        <v/>
      </c>
      <c r="AF1442" s="0" t="str">
        <f aca="false">IF(AA1442=1,"",IF(AND(AB1442=1,AD1442&lt;&gt;1),1,0))</f>
        <v/>
      </c>
      <c r="AG1442" s="0" t="str">
        <f aca="false">IF(AA1442=1,"",IF(AND(AC1442=1,AE1442&lt;&gt;1),1,0))</f>
        <v/>
      </c>
      <c r="AH1442" s="51" t="str">
        <f aca="false">IF(AND(E1442&gt;0,AA1442&lt;1,NOT(AND(C1443=C1442,AA1443=AA1442+1))),INDEX(DATAS,AA1442+1),"")</f>
        <v/>
      </c>
      <c r="AI1442" s="51" t="str">
        <f aca="false">IF(AND(AC1442=1,AA1442&lt;1),IF(AND(C1443=C1442,AA1443=AA1442+1),IF(AC1443=1,"",INDEX(DATAS,AA1442+1)),INDEX(DATAS,AA1442+1)),"")</f>
        <v/>
      </c>
    </row>
    <row r="1443" customFormat="false" ht="15" hidden="false" customHeight="false" outlineLevel="0" collapsed="false">
      <c r="A1443" s="51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46" t="s">
        <v>944</v>
      </c>
      <c r="G1443" s="0" t="n">
        <v>34.7</v>
      </c>
      <c r="H1443" s="0" t="n">
        <v>31</v>
      </c>
      <c r="I1443" s="46" t="s">
        <v>181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51" t="n">
        <v>46282</v>
      </c>
      <c r="X1443" s="46" t="n">
        <f aca="false">IF(I1443="Male",0,1)</f>
        <v>1</v>
      </c>
      <c r="Y1443" s="46" t="n">
        <f aca="false">IF(OR(I1443="DNB",I1443="Dry DNB"),1,0)</f>
        <v>0</v>
      </c>
      <c r="Z1443" s="46" t="n">
        <f aca="false">IF(ISNUMBER(W1443),A1443-W1443,"")</f>
        <v>27</v>
      </c>
      <c r="AA1443" s="46" t="n">
        <f aca="false">MATCH(A1443,DATAS,0)</f>
        <v>1</v>
      </c>
      <c r="AB1443" s="46" t="n">
        <f aca="false">IF(AND(E1443&gt;0,OR(AND(B1443&gt;=1,B1443&lt;=6),B1443=10)),1,0)</f>
        <v>1</v>
      </c>
      <c r="AC1443" s="46" t="n">
        <f aca="false">IF(AND(E1443&gt;0,B1443=10),1,0)</f>
        <v>0</v>
      </c>
      <c r="AD1443" s="0" t="str">
        <f aca="false">IF(AND(C1442=C1443,AA1442=AA1443-1),AB1442,"")</f>
        <v/>
      </c>
      <c r="AE1443" s="0" t="str">
        <f aca="false">IF(AND(C1442=C1443,AA1442=AA1443-1),AC1442,"")</f>
        <v/>
      </c>
      <c r="AF1443" s="0" t="str">
        <f aca="false">IF(AA1443=1,"",IF(AND(AB1443=1,AD1443&lt;&gt;1),1,0))</f>
        <v/>
      </c>
      <c r="AG1443" s="0" t="str">
        <f aca="false">IF(AA1443=1,"",IF(AND(AC1443=1,AE1443&lt;&gt;1),1,0))</f>
        <v/>
      </c>
      <c r="AH1443" s="51" t="str">
        <f aca="false">IF(AND(E1443&gt;0,AA1443&lt;1,NOT(AND(C1444=C1443,AA1444=AA1443+1))),INDEX(DATAS,AA1443+1),"")</f>
        <v/>
      </c>
      <c r="AI1443" s="51" t="str">
        <f aca="false">IF(AND(AC1443=1,AA1443&lt;1),IF(AND(C1444=C1443,AA1444=AA1443+1),IF(AC1444=1,"",INDEX(DATAS,AA1443+1)),INDEX(DATAS,AA1443+1)),"")</f>
        <v/>
      </c>
    </row>
    <row r="1444" customFormat="false" ht="15" hidden="false" customHeight="false" outlineLevel="0" collapsed="false">
      <c r="A1444" s="51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46" t="s">
        <v>944</v>
      </c>
      <c r="G1444" s="0" t="n">
        <v>46.1</v>
      </c>
      <c r="H1444" s="0" t="n">
        <v>47</v>
      </c>
      <c r="I1444" s="46" t="s">
        <v>152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51" t="n">
        <v>46247</v>
      </c>
      <c r="X1444" s="46" t="n">
        <f aca="false">IF(I1444="Male",0,1)</f>
        <v>1</v>
      </c>
      <c r="Y1444" s="46" t="n">
        <f aca="false">IF(OR(I1444="DNB",I1444="Dry DNB"),1,0)</f>
        <v>0</v>
      </c>
      <c r="Z1444" s="46" t="n">
        <f aca="false">IF(ISNUMBER(W1444),A1444-W1444,"")</f>
        <v>62</v>
      </c>
      <c r="AA1444" s="46" t="n">
        <f aca="false">MATCH(A1444,DATAS,0)</f>
        <v>1</v>
      </c>
      <c r="AB1444" s="46" t="n">
        <f aca="false">IF(AND(E1444&gt;0,OR(AND(B1444&gt;=1,B1444&lt;=6),B1444=10)),1,0)</f>
        <v>1</v>
      </c>
      <c r="AC1444" s="46" t="n">
        <f aca="false">IF(AND(E1444&gt;0,B1444=10),1,0)</f>
        <v>0</v>
      </c>
      <c r="AD1444" s="0" t="str">
        <f aca="false">IF(AND(C1443=C1444,AA1443=AA1444-1),AB1443,"")</f>
        <v/>
      </c>
      <c r="AE1444" s="0" t="str">
        <f aca="false">IF(AND(C1443=C1444,AA1443=AA1444-1),AC1443,"")</f>
        <v/>
      </c>
      <c r="AF1444" s="0" t="str">
        <f aca="false">IF(AA1444=1,"",IF(AND(AB1444=1,AD1444&lt;&gt;1),1,0))</f>
        <v/>
      </c>
      <c r="AG1444" s="0" t="str">
        <f aca="false">IF(AA1444=1,"",IF(AND(AC1444=1,AE1444&lt;&gt;1),1,0))</f>
        <v/>
      </c>
      <c r="AH1444" s="51" t="str">
        <f aca="false">IF(AND(E1444&gt;0,AA1444&lt;1,NOT(AND(C1445=C1444,AA1445=AA1444+1))),INDEX(DATAS,AA1444+1),"")</f>
        <v/>
      </c>
      <c r="AI1444" s="51" t="str">
        <f aca="false">IF(AND(AC1444=1,AA1444&lt;1),IF(AND(C1445=C1444,AA1445=AA1444+1),IF(AC1445=1,"",INDEX(DATAS,AA1444+1)),INDEX(DATAS,AA1444+1)),"")</f>
        <v/>
      </c>
    </row>
    <row r="1445" customFormat="false" ht="15" hidden="false" customHeight="false" outlineLevel="0" collapsed="false">
      <c r="A1445" s="51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46" t="s">
        <v>945</v>
      </c>
      <c r="G1445" s="0" t="n">
        <v>44</v>
      </c>
      <c r="H1445" s="0" t="n">
        <v>42</v>
      </c>
      <c r="I1445" s="46" t="s">
        <v>152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X1445" s="46" t="n">
        <f aca="false">IF(I1445="Male",0,1)</f>
        <v>1</v>
      </c>
      <c r="Y1445" s="46" t="n">
        <f aca="false">IF(OR(I1445="DNB",I1445="Dry DNB"),1,0)</f>
        <v>0</v>
      </c>
      <c r="Z1445" s="0" t="str">
        <f aca="false">IF(ISNUMBER(W1445),A1445-W1445,"")</f>
        <v/>
      </c>
      <c r="AA1445" s="46" t="n">
        <f aca="false">MATCH(A1445,DATAS,0)</f>
        <v>1</v>
      </c>
      <c r="AB1445" s="46" t="n">
        <f aca="false">IF(AND(E1445&gt;0,OR(AND(B1445&gt;=1,B1445&lt;=6),B1445=10)),1,0)</f>
        <v>1</v>
      </c>
      <c r="AC1445" s="46" t="n">
        <f aca="false">IF(AND(E1445&gt;0,B1445=10),1,0)</f>
        <v>0</v>
      </c>
      <c r="AD1445" s="0" t="str">
        <f aca="false">IF(AND(C1444=C1445,AA1444=AA1445-1),AB1444,"")</f>
        <v/>
      </c>
      <c r="AE1445" s="0" t="str">
        <f aca="false">IF(AND(C1444=C1445,AA1444=AA1445-1),AC1444,"")</f>
        <v/>
      </c>
      <c r="AF1445" s="0" t="str">
        <f aca="false">IF(AA1445=1,"",IF(AND(AB1445=1,AD1445&lt;&gt;1),1,0))</f>
        <v/>
      </c>
      <c r="AG1445" s="0" t="str">
        <f aca="false">IF(AA1445=1,"",IF(AND(AC1445=1,AE1445&lt;&gt;1),1,0))</f>
        <v/>
      </c>
      <c r="AH1445" s="51" t="str">
        <f aca="false">IF(AND(E1445&gt;0,AA1445&lt;1,NOT(AND(C1446=C1445,AA1446=AA1445+1))),INDEX(DATAS,AA1445+1),"")</f>
        <v/>
      </c>
      <c r="AI1445" s="51" t="str">
        <f aca="false">IF(AND(AC1445=1,AA1445&lt;1),IF(AND(C1446=C1445,AA1446=AA1445+1),IF(AC1446=1,"",INDEX(DATAS,AA1445+1)),INDEX(DATAS,AA1445+1)),"")</f>
        <v/>
      </c>
    </row>
    <row r="1446" customFormat="false" ht="15" hidden="false" customHeight="false" outlineLevel="0" collapsed="false">
      <c r="A1446" s="51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46" t="s">
        <v>945</v>
      </c>
      <c r="G1446" s="0" t="n">
        <v>50.9</v>
      </c>
      <c r="H1446" s="0" t="n">
        <v>48</v>
      </c>
      <c r="I1446" s="46" t="s">
        <v>152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51" t="n">
        <v>46212</v>
      </c>
      <c r="X1446" s="46" t="n">
        <f aca="false">IF(I1446="Male",0,1)</f>
        <v>1</v>
      </c>
      <c r="Y1446" s="46" t="n">
        <f aca="false">IF(OR(I1446="DNB",I1446="Dry DNB"),1,0)</f>
        <v>0</v>
      </c>
      <c r="Z1446" s="46" t="n">
        <f aca="false">IF(ISNUMBER(W1446),A1446-W1446,"")</f>
        <v>97</v>
      </c>
      <c r="AA1446" s="46" t="n">
        <f aca="false">MATCH(A1446,DATAS,0)</f>
        <v>1</v>
      </c>
      <c r="AB1446" s="46" t="n">
        <f aca="false">IF(AND(E1446&gt;0,OR(AND(B1446&gt;=1,B1446&lt;=6),B1446=10)),1,0)</f>
        <v>1</v>
      </c>
      <c r="AC1446" s="46" t="n">
        <f aca="false">IF(AND(E1446&gt;0,B1446=10),1,0)</f>
        <v>0</v>
      </c>
      <c r="AD1446" s="0" t="str">
        <f aca="false">IF(AND(C1445=C1446,AA1445=AA1446-1),AB1445,"")</f>
        <v/>
      </c>
      <c r="AE1446" s="0" t="str">
        <f aca="false">IF(AND(C1445=C1446,AA1445=AA1446-1),AC1445,"")</f>
        <v/>
      </c>
      <c r="AF1446" s="0" t="str">
        <f aca="false">IF(AA1446=1,"",IF(AND(AB1446=1,AD1446&lt;&gt;1),1,0))</f>
        <v/>
      </c>
      <c r="AG1446" s="0" t="str">
        <f aca="false">IF(AA1446=1,"",IF(AND(AC1446=1,AE1446&lt;&gt;1),1,0))</f>
        <v/>
      </c>
      <c r="AH1446" s="51" t="str">
        <f aca="false">IF(AND(E1446&gt;0,AA1446&lt;1,NOT(AND(C1447=C1446,AA1447=AA1446+1))),INDEX(DATAS,AA1446+1),"")</f>
        <v/>
      </c>
      <c r="AI1446" s="51" t="str">
        <f aca="false">IF(AND(AC1446=1,AA1446&lt;1),IF(AND(C1447=C1446,AA1447=AA1446+1),IF(AC1447=1,"",INDEX(DATAS,AA1446+1)),INDEX(DATAS,AA1446+1)),"")</f>
        <v/>
      </c>
    </row>
    <row r="1447" customFormat="false" ht="15" hidden="false" customHeight="false" outlineLevel="0" collapsed="false">
      <c r="A1447" s="51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46" t="s">
        <v>945</v>
      </c>
      <c r="G1447" s="0" t="n">
        <v>18.8</v>
      </c>
      <c r="H1447" s="0" t="n">
        <v>25</v>
      </c>
      <c r="I1447" s="46" t="s">
        <v>152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51" t="n">
        <v>46268</v>
      </c>
      <c r="X1447" s="46" t="n">
        <f aca="false">IF(I1447="Male",0,1)</f>
        <v>1</v>
      </c>
      <c r="Y1447" s="46" t="n">
        <f aca="false">IF(OR(I1447="DNB",I1447="Dry DNB"),1,0)</f>
        <v>0</v>
      </c>
      <c r="Z1447" s="46" t="n">
        <f aca="false">IF(ISNUMBER(W1447),A1447-W1447,"")</f>
        <v>41</v>
      </c>
      <c r="AA1447" s="46" t="n">
        <f aca="false">MATCH(A1447,DATAS,0)</f>
        <v>1</v>
      </c>
      <c r="AB1447" s="46" t="n">
        <f aca="false">IF(AND(E1447&gt;0,OR(AND(B1447&gt;=1,B1447&lt;=6),B1447=10)),1,0)</f>
        <v>1</v>
      </c>
      <c r="AC1447" s="46" t="n">
        <f aca="false">IF(AND(E1447&gt;0,B1447=10),1,0)</f>
        <v>1</v>
      </c>
      <c r="AD1447" s="0" t="str">
        <f aca="false">IF(AND(C1446=C1447,AA1446=AA1447-1),AB1446,"")</f>
        <v/>
      </c>
      <c r="AE1447" s="0" t="str">
        <f aca="false">IF(AND(C1446=C1447,AA1446=AA1447-1),AC1446,"")</f>
        <v/>
      </c>
      <c r="AF1447" s="0" t="str">
        <f aca="false">IF(AA1447=1,"",IF(AND(AB1447=1,AD1447&lt;&gt;1),1,0))</f>
        <v/>
      </c>
      <c r="AG1447" s="0" t="str">
        <f aca="false">IF(AA1447=1,"",IF(AND(AC1447=1,AE1447&lt;&gt;1),1,0))</f>
        <v/>
      </c>
      <c r="AH1447" s="51" t="str">
        <f aca="false">IF(AND(E1447&gt;0,AA1447&lt;1,NOT(AND(C1448=C1447,AA1448=AA1447+1))),INDEX(DATAS,AA1447+1),"")</f>
        <v/>
      </c>
      <c r="AI1447" s="51" t="str">
        <f aca="false">IF(AND(AC1447=1,AA1447&lt;1),IF(AND(C1448=C1447,AA1448=AA1447+1),IF(AC1448=1,"",INDEX(DATAS,AA1447+1)),INDEX(DATAS,AA1447+1)),"")</f>
        <v/>
      </c>
    </row>
    <row r="1448" customFormat="false" ht="15" hidden="false" customHeight="false" outlineLevel="0" collapsed="false">
      <c r="A1448" s="51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46" t="s">
        <v>945</v>
      </c>
      <c r="G1448" s="0" t="n">
        <v>39.8</v>
      </c>
      <c r="H1448" s="0" t="n">
        <v>39</v>
      </c>
      <c r="I1448" s="46" t="s">
        <v>152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51" t="n">
        <v>46163</v>
      </c>
      <c r="X1448" s="46" t="n">
        <f aca="false">IF(I1448="Male",0,1)</f>
        <v>1</v>
      </c>
      <c r="Y1448" s="46" t="n">
        <f aca="false">IF(OR(I1448="DNB",I1448="Dry DNB"),1,0)</f>
        <v>0</v>
      </c>
      <c r="Z1448" s="46" t="n">
        <f aca="false">IF(ISNUMBER(W1448),A1448-W1448,"")</f>
        <v>146</v>
      </c>
      <c r="AA1448" s="46" t="n">
        <f aca="false">MATCH(A1448,DATAS,0)</f>
        <v>1</v>
      </c>
      <c r="AB1448" s="46" t="n">
        <f aca="false">IF(AND(E1448&gt;0,OR(AND(B1448&gt;=1,B1448&lt;=6),B1448=10)),1,0)</f>
        <v>1</v>
      </c>
      <c r="AC1448" s="46" t="n">
        <f aca="false">IF(AND(E1448&gt;0,B1448=10),1,0)</f>
        <v>0</v>
      </c>
      <c r="AD1448" s="0" t="str">
        <f aca="false">IF(AND(C1447=C1448,AA1447=AA1448-1),AB1447,"")</f>
        <v/>
      </c>
      <c r="AE1448" s="0" t="str">
        <f aca="false">IF(AND(C1447=C1448,AA1447=AA1448-1),AC1447,"")</f>
        <v/>
      </c>
      <c r="AF1448" s="0" t="str">
        <f aca="false">IF(AA1448=1,"",IF(AND(AB1448=1,AD1448&lt;&gt;1),1,0))</f>
        <v/>
      </c>
      <c r="AG1448" s="0" t="str">
        <f aca="false">IF(AA1448=1,"",IF(AND(AC1448=1,AE1448&lt;&gt;1),1,0))</f>
        <v/>
      </c>
      <c r="AH1448" s="51" t="str">
        <f aca="false">IF(AND(E1448&gt;0,AA1448&lt;1,NOT(AND(C1449=C1448,AA1449=AA1448+1))),INDEX(DATAS,AA1448+1),"")</f>
        <v/>
      </c>
      <c r="AI1448" s="51" t="str">
        <f aca="false">IF(AND(AC1448=1,AA1448&lt;1),IF(AND(C1449=C1448,AA1449=AA1448+1),IF(AC1449=1,"",INDEX(DATAS,AA1448+1)),INDEX(DATAS,AA1448+1)),"")</f>
        <v/>
      </c>
    </row>
    <row r="1449" customFormat="false" ht="15" hidden="false" customHeight="false" outlineLevel="0" collapsed="false">
      <c r="A1449" s="51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46" t="s">
        <v>945</v>
      </c>
      <c r="G1449" s="0" t="n">
        <v>51.5</v>
      </c>
      <c r="H1449" s="0" t="n">
        <v>54</v>
      </c>
      <c r="I1449" s="46" t="s">
        <v>152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51" t="n">
        <v>46213</v>
      </c>
      <c r="X1449" s="46" t="n">
        <f aca="false">IF(I1449="Male",0,1)</f>
        <v>1</v>
      </c>
      <c r="Y1449" s="46" t="n">
        <f aca="false">IF(OR(I1449="DNB",I1449="Dry DNB"),1,0)</f>
        <v>0</v>
      </c>
      <c r="Z1449" s="46" t="n">
        <f aca="false">IF(ISNUMBER(W1449),A1449-W1449,"")</f>
        <v>96</v>
      </c>
      <c r="AA1449" s="46" t="n">
        <f aca="false">MATCH(A1449,DATAS,0)</f>
        <v>1</v>
      </c>
      <c r="AB1449" s="46" t="n">
        <f aca="false">IF(AND(E1449&gt;0,OR(AND(B1449&gt;=1,B1449&lt;=6),B1449=10)),1,0)</f>
        <v>1</v>
      </c>
      <c r="AC1449" s="46" t="n">
        <f aca="false">IF(AND(E1449&gt;0,B1449=10),1,0)</f>
        <v>0</v>
      </c>
      <c r="AD1449" s="0" t="str">
        <f aca="false">IF(AND(C1448=C1449,AA1448=AA1449-1),AB1448,"")</f>
        <v/>
      </c>
      <c r="AE1449" s="0" t="str">
        <f aca="false">IF(AND(C1448=C1449,AA1448=AA1449-1),AC1448,"")</f>
        <v/>
      </c>
      <c r="AF1449" s="0" t="str">
        <f aca="false">IF(AA1449=1,"",IF(AND(AB1449=1,AD1449&lt;&gt;1),1,0))</f>
        <v/>
      </c>
      <c r="AG1449" s="0" t="str">
        <f aca="false">IF(AA1449=1,"",IF(AND(AC1449=1,AE1449&lt;&gt;1),1,0))</f>
        <v/>
      </c>
      <c r="AH1449" s="51" t="str">
        <f aca="false">IF(AND(E1449&gt;0,AA1449&lt;1,NOT(AND(C1450=C1449,AA1450=AA1449+1))),INDEX(DATAS,AA1449+1),"")</f>
        <v/>
      </c>
      <c r="AI1449" s="51" t="str">
        <f aca="false">IF(AND(AC1449=1,AA1449&lt;1),IF(AND(C1450=C1449,AA1450=AA1449+1),IF(AC1450=1,"",INDEX(DATAS,AA1449+1)),INDEX(DATAS,AA1449+1)),"")</f>
        <v/>
      </c>
    </row>
    <row r="1450" customFormat="false" ht="15" hidden="false" customHeight="false" outlineLevel="0" collapsed="false">
      <c r="A1450" s="51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46" t="s">
        <v>945</v>
      </c>
      <c r="G1450" s="0" t="n">
        <v>51.3</v>
      </c>
      <c r="H1450" s="0" t="n">
        <v>48</v>
      </c>
      <c r="I1450" s="46" t="s">
        <v>181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51" t="n">
        <v>46303</v>
      </c>
      <c r="X1450" s="46" t="n">
        <f aca="false">IF(I1450="Male",0,1)</f>
        <v>1</v>
      </c>
      <c r="Y1450" s="46" t="n">
        <f aca="false">IF(OR(I1450="DNB",I1450="Dry DNB"),1,0)</f>
        <v>0</v>
      </c>
      <c r="Z1450" s="46" t="n">
        <f aca="false">IF(ISNUMBER(W1450),A1450-W1450,"")</f>
        <v>6</v>
      </c>
      <c r="AA1450" s="46" t="n">
        <f aca="false">MATCH(A1450,DATAS,0)</f>
        <v>1</v>
      </c>
      <c r="AB1450" s="46" t="n">
        <f aca="false">IF(AND(E1450&gt;0,OR(AND(B1450&gt;=1,B1450&lt;=6),B1450=10)),1,0)</f>
        <v>1</v>
      </c>
      <c r="AC1450" s="46" t="n">
        <f aca="false">IF(AND(E1450&gt;0,B1450=10),1,0)</f>
        <v>0</v>
      </c>
      <c r="AD1450" s="0" t="str">
        <f aca="false">IF(AND(C1449=C1450,AA1449=AA1450-1),AB1449,"")</f>
        <v/>
      </c>
      <c r="AE1450" s="0" t="str">
        <f aca="false">IF(AND(C1449=C1450,AA1449=AA1450-1),AC1449,"")</f>
        <v/>
      </c>
      <c r="AF1450" s="0" t="str">
        <f aca="false">IF(AA1450=1,"",IF(AND(AB1450=1,AD1450&lt;&gt;1),1,0))</f>
        <v/>
      </c>
      <c r="AG1450" s="0" t="str">
        <f aca="false">IF(AA1450=1,"",IF(AND(AC1450=1,AE1450&lt;&gt;1),1,0))</f>
        <v/>
      </c>
      <c r="AH1450" s="51" t="str">
        <f aca="false">IF(AND(E1450&gt;0,AA1450&lt;1,NOT(AND(C1451=C1450,AA1451=AA1450+1))),INDEX(DATAS,AA1450+1),"")</f>
        <v/>
      </c>
      <c r="AI1450" s="51" t="str">
        <f aca="false">IF(AND(AC1450=1,AA1450&lt;1),IF(AND(C1451=C1450,AA1451=AA1450+1),IF(AC1451=1,"",INDEX(DATAS,AA1450+1)),INDEX(DATAS,AA1450+1)),"")</f>
        <v/>
      </c>
    </row>
    <row r="1451" customFormat="false" ht="15" hidden="false" customHeight="false" outlineLevel="0" collapsed="false">
      <c r="A1451" s="51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46" t="s">
        <v>946</v>
      </c>
      <c r="G1451" s="0" t="n">
        <v>32.6</v>
      </c>
      <c r="H1451" s="0" t="n">
        <v>32</v>
      </c>
      <c r="I1451" s="46" t="s">
        <v>152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51" t="n">
        <v>46233</v>
      </c>
      <c r="X1451" s="46" t="n">
        <f aca="false">IF(I1451="Male",0,1)</f>
        <v>1</v>
      </c>
      <c r="Y1451" s="46" t="n">
        <f aca="false">IF(OR(I1451="DNB",I1451="Dry DNB"),1,0)</f>
        <v>0</v>
      </c>
      <c r="Z1451" s="46" t="n">
        <f aca="false">IF(ISNUMBER(W1451),A1451-W1451,"")</f>
        <v>76</v>
      </c>
      <c r="AA1451" s="46" t="n">
        <f aca="false">MATCH(A1451,DATAS,0)</f>
        <v>1</v>
      </c>
      <c r="AB1451" s="46" t="n">
        <f aca="false">IF(AND(E1451&gt;0,OR(AND(B1451&gt;=1,B1451&lt;=6),B1451=10)),1,0)</f>
        <v>1</v>
      </c>
      <c r="AC1451" s="46" t="n">
        <f aca="false">IF(AND(E1451&gt;0,B1451=10),1,0)</f>
        <v>0</v>
      </c>
      <c r="AD1451" s="0" t="str">
        <f aca="false">IF(AND(C1450=C1451,AA1450=AA1451-1),AB1450,"")</f>
        <v/>
      </c>
      <c r="AE1451" s="0" t="str">
        <f aca="false">IF(AND(C1450=C1451,AA1450=AA1451-1),AC1450,"")</f>
        <v/>
      </c>
      <c r="AF1451" s="0" t="str">
        <f aca="false">IF(AA1451=1,"",IF(AND(AB1451=1,AD1451&lt;&gt;1),1,0))</f>
        <v/>
      </c>
      <c r="AG1451" s="0" t="str">
        <f aca="false">IF(AA1451=1,"",IF(AND(AC1451=1,AE1451&lt;&gt;1),1,0))</f>
        <v/>
      </c>
      <c r="AH1451" s="51" t="str">
        <f aca="false">IF(AND(E1451&gt;0,AA1451&lt;1,NOT(AND(C1452=C1451,AA1452=AA1451+1))),INDEX(DATAS,AA1451+1),"")</f>
        <v/>
      </c>
      <c r="AI1451" s="51" t="str">
        <f aca="false">IF(AND(AC1451=1,AA1451&lt;1),IF(AND(C1452=C1451,AA1452=AA1451+1),IF(AC1452=1,"",INDEX(DATAS,AA1451+1)),INDEX(DATAS,AA1451+1)),"")</f>
        <v/>
      </c>
    </row>
    <row r="1452" customFormat="false" ht="15" hidden="false" customHeight="false" outlineLevel="0" collapsed="false">
      <c r="A1452" s="51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46" t="s">
        <v>946</v>
      </c>
      <c r="G1452" s="0" t="n">
        <v>47.4</v>
      </c>
      <c r="H1452" s="0" t="n">
        <v>48</v>
      </c>
      <c r="I1452" s="46" t="s">
        <v>152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51" t="n">
        <v>46212</v>
      </c>
      <c r="X1452" s="46" t="n">
        <f aca="false">IF(I1452="Male",0,1)</f>
        <v>1</v>
      </c>
      <c r="Y1452" s="46" t="n">
        <f aca="false">IF(OR(I1452="DNB",I1452="Dry DNB"),1,0)</f>
        <v>0</v>
      </c>
      <c r="Z1452" s="46" t="n">
        <f aca="false">IF(ISNUMBER(W1452),A1452-W1452,"")</f>
        <v>97</v>
      </c>
      <c r="AA1452" s="46" t="n">
        <f aca="false">MATCH(A1452,DATAS,0)</f>
        <v>1</v>
      </c>
      <c r="AB1452" s="46" t="n">
        <f aca="false">IF(AND(E1452&gt;0,OR(AND(B1452&gt;=1,B1452&lt;=6),B1452=10)),1,0)</f>
        <v>1</v>
      </c>
      <c r="AC1452" s="46" t="n">
        <f aca="false">IF(AND(E1452&gt;0,B1452=10),1,0)</f>
        <v>0</v>
      </c>
      <c r="AD1452" s="0" t="str">
        <f aca="false">IF(AND(C1451=C1452,AA1451=AA1452-1),AB1451,"")</f>
        <v/>
      </c>
      <c r="AE1452" s="0" t="str">
        <f aca="false">IF(AND(C1451=C1452,AA1451=AA1452-1),AC1451,"")</f>
        <v/>
      </c>
      <c r="AF1452" s="0" t="str">
        <f aca="false">IF(AA1452=1,"",IF(AND(AB1452=1,AD1452&lt;&gt;1),1,0))</f>
        <v/>
      </c>
      <c r="AG1452" s="0" t="str">
        <f aca="false">IF(AA1452=1,"",IF(AND(AC1452=1,AE1452&lt;&gt;1),1,0))</f>
        <v/>
      </c>
      <c r="AH1452" s="51" t="str">
        <f aca="false">IF(AND(E1452&gt;0,AA1452&lt;1,NOT(AND(C1453=C1452,AA1453=AA1452+1))),INDEX(DATAS,AA1452+1),"")</f>
        <v/>
      </c>
      <c r="AI1452" s="51" t="str">
        <f aca="false">IF(AND(AC1452=1,AA1452&lt;1),IF(AND(C1453=C1452,AA1453=AA1452+1),IF(AC1453=1,"",INDEX(DATAS,AA1452+1)),INDEX(DATAS,AA1452+1)),"")</f>
        <v/>
      </c>
    </row>
    <row r="1453" customFormat="false" ht="15" hidden="false" customHeight="false" outlineLevel="0" collapsed="false">
      <c r="A1453" s="51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46" t="s">
        <v>946</v>
      </c>
      <c r="G1453" s="0" t="n">
        <v>43.1</v>
      </c>
      <c r="H1453" s="0" t="n">
        <v>43</v>
      </c>
      <c r="I1453" s="46" t="s">
        <v>152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51" t="n">
        <v>46194</v>
      </c>
      <c r="X1453" s="46" t="n">
        <f aca="false">IF(I1453="Male",0,1)</f>
        <v>1</v>
      </c>
      <c r="Y1453" s="46" t="n">
        <f aca="false">IF(OR(I1453="DNB",I1453="Dry DNB"),1,0)</f>
        <v>0</v>
      </c>
      <c r="Z1453" s="46" t="n">
        <f aca="false">IF(ISNUMBER(W1453),A1453-W1453,"")</f>
        <v>115</v>
      </c>
      <c r="AA1453" s="46" t="n">
        <f aca="false">MATCH(A1453,DATAS,0)</f>
        <v>1</v>
      </c>
      <c r="AB1453" s="46" t="n">
        <f aca="false">IF(AND(E1453&gt;0,OR(AND(B1453&gt;=1,B1453&lt;=6),B1453=10)),1,0)</f>
        <v>1</v>
      </c>
      <c r="AC1453" s="46" t="n">
        <f aca="false">IF(AND(E1453&gt;0,B1453=10),1,0)</f>
        <v>0</v>
      </c>
      <c r="AD1453" s="0" t="str">
        <f aca="false">IF(AND(C1452=C1453,AA1452=AA1453-1),AB1452,"")</f>
        <v/>
      </c>
      <c r="AE1453" s="0" t="str">
        <f aca="false">IF(AND(C1452=C1453,AA1452=AA1453-1),AC1452,"")</f>
        <v/>
      </c>
      <c r="AF1453" s="0" t="str">
        <f aca="false">IF(AA1453=1,"",IF(AND(AB1453=1,AD1453&lt;&gt;1),1,0))</f>
        <v/>
      </c>
      <c r="AG1453" s="0" t="str">
        <f aca="false">IF(AA1453=1,"",IF(AND(AC1453=1,AE1453&lt;&gt;1),1,0))</f>
        <v/>
      </c>
      <c r="AH1453" s="51" t="str">
        <f aca="false">IF(AND(E1453&gt;0,AA1453&lt;1,NOT(AND(C1454=C1453,AA1454=AA1453+1))),INDEX(DATAS,AA1453+1),"")</f>
        <v/>
      </c>
      <c r="AI1453" s="51" t="str">
        <f aca="false">IF(AND(AC1453=1,AA1453&lt;1),IF(AND(C1454=C1453,AA1454=AA1453+1),IF(AC1454=1,"",INDEX(DATAS,AA1453+1)),INDEX(DATAS,AA1453+1)),"")</f>
        <v/>
      </c>
    </row>
    <row r="1454" customFormat="false" ht="15" hidden="false" customHeight="false" outlineLevel="0" collapsed="false">
      <c r="A1454" s="51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46" t="s">
        <v>947</v>
      </c>
      <c r="G1454" s="0" t="n">
        <v>53.5</v>
      </c>
      <c r="H1454" s="0" t="n">
        <v>51</v>
      </c>
      <c r="I1454" s="46" t="s">
        <v>152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51" t="n">
        <v>46191</v>
      </c>
      <c r="X1454" s="46" t="n">
        <f aca="false">IF(I1454="Male",0,1)</f>
        <v>1</v>
      </c>
      <c r="Y1454" s="46" t="n">
        <f aca="false">IF(OR(I1454="DNB",I1454="Dry DNB"),1,0)</f>
        <v>0</v>
      </c>
      <c r="Z1454" s="46" t="n">
        <f aca="false">IF(ISNUMBER(W1454),A1454-W1454,"")</f>
        <v>118</v>
      </c>
      <c r="AA1454" s="46" t="n">
        <f aca="false">MATCH(A1454,DATAS,0)</f>
        <v>1</v>
      </c>
      <c r="AB1454" s="46" t="n">
        <f aca="false">IF(AND(E1454&gt;0,OR(AND(B1454&gt;=1,B1454&lt;=6),B1454=10)),1,0)</f>
        <v>1</v>
      </c>
      <c r="AC1454" s="46" t="n">
        <f aca="false">IF(AND(E1454&gt;0,B1454=10),1,0)</f>
        <v>0</v>
      </c>
      <c r="AD1454" s="0" t="str">
        <f aca="false">IF(AND(C1453=C1454,AA1453=AA1454-1),AB1453,"")</f>
        <v/>
      </c>
      <c r="AE1454" s="0" t="str">
        <f aca="false">IF(AND(C1453=C1454,AA1453=AA1454-1),AC1453,"")</f>
        <v/>
      </c>
      <c r="AF1454" s="0" t="str">
        <f aca="false">IF(AA1454=1,"",IF(AND(AB1454=1,AD1454&lt;&gt;1),1,0))</f>
        <v/>
      </c>
      <c r="AG1454" s="0" t="str">
        <f aca="false">IF(AA1454=1,"",IF(AND(AC1454=1,AE1454&lt;&gt;1),1,0))</f>
        <v/>
      </c>
      <c r="AH1454" s="51" t="str">
        <f aca="false">IF(AND(E1454&gt;0,AA1454&lt;1,NOT(AND(C1455=C1454,AA1455=AA1454+1))),INDEX(DATAS,AA1454+1),"")</f>
        <v/>
      </c>
      <c r="AI1454" s="51" t="str">
        <f aca="false">IF(AND(AC1454=1,AA1454&lt;1),IF(AND(C1455=C1454,AA1455=AA1454+1),IF(AC1455=1,"",INDEX(DATAS,AA1454+1)),INDEX(DATAS,AA1454+1)),"")</f>
        <v/>
      </c>
    </row>
    <row r="1455" customFormat="false" ht="15" hidden="false" customHeight="false" outlineLevel="0" collapsed="false">
      <c r="A1455" s="51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46" t="s">
        <v>947</v>
      </c>
      <c r="G1455" s="0" t="n">
        <v>53</v>
      </c>
      <c r="H1455" s="0" t="n">
        <v>51</v>
      </c>
      <c r="I1455" s="46" t="s">
        <v>152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51" t="n">
        <v>46205</v>
      </c>
      <c r="X1455" s="46" t="n">
        <f aca="false">IF(I1455="Male",0,1)</f>
        <v>1</v>
      </c>
      <c r="Y1455" s="46" t="n">
        <f aca="false">IF(OR(I1455="DNB",I1455="Dry DNB"),1,0)</f>
        <v>0</v>
      </c>
      <c r="Z1455" s="46" t="n">
        <f aca="false">IF(ISNUMBER(W1455),A1455-W1455,"")</f>
        <v>104</v>
      </c>
      <c r="AA1455" s="46" t="n">
        <f aca="false">MATCH(A1455,DATAS,0)</f>
        <v>1</v>
      </c>
      <c r="AB1455" s="46" t="n">
        <f aca="false">IF(AND(E1455&gt;0,OR(AND(B1455&gt;=1,B1455&lt;=6),B1455=10)),1,0)</f>
        <v>1</v>
      </c>
      <c r="AC1455" s="46" t="n">
        <f aca="false">IF(AND(E1455&gt;0,B1455=10),1,0)</f>
        <v>0</v>
      </c>
      <c r="AD1455" s="0" t="str">
        <f aca="false">IF(AND(C1454=C1455,AA1454=AA1455-1),AB1454,"")</f>
        <v/>
      </c>
      <c r="AE1455" s="0" t="str">
        <f aca="false">IF(AND(C1454=C1455,AA1454=AA1455-1),AC1454,"")</f>
        <v/>
      </c>
      <c r="AF1455" s="0" t="str">
        <f aca="false">IF(AA1455=1,"",IF(AND(AB1455=1,AD1455&lt;&gt;1),1,0))</f>
        <v/>
      </c>
      <c r="AG1455" s="0" t="str">
        <f aca="false">IF(AA1455=1,"",IF(AND(AC1455=1,AE1455&lt;&gt;1),1,0))</f>
        <v/>
      </c>
      <c r="AH1455" s="51" t="str">
        <f aca="false">IF(AND(E1455&gt;0,AA1455&lt;1,NOT(AND(C1456=C1455,AA1456=AA1455+1))),INDEX(DATAS,AA1455+1),"")</f>
        <v/>
      </c>
      <c r="AI1455" s="51" t="str">
        <f aca="false">IF(AND(AC1455=1,AA1455&lt;1),IF(AND(C1456=C1455,AA1456=AA1455+1),IF(AC1456=1,"",INDEX(DATAS,AA1455+1)),INDEX(DATAS,AA1455+1)),"")</f>
        <v/>
      </c>
    </row>
    <row r="1456" customFormat="false" ht="15" hidden="false" customHeight="false" outlineLevel="0" collapsed="false">
      <c r="A1456" s="51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46" t="s">
        <v>947</v>
      </c>
      <c r="G1456" s="0" t="n">
        <v>49.8</v>
      </c>
      <c r="H1456" s="0" t="n">
        <v>50</v>
      </c>
      <c r="I1456" s="46" t="s">
        <v>152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51" t="n">
        <v>46261</v>
      </c>
      <c r="X1456" s="46" t="n">
        <f aca="false">IF(I1456="Male",0,1)</f>
        <v>1</v>
      </c>
      <c r="Y1456" s="46" t="n">
        <f aca="false">IF(OR(I1456="DNB",I1456="Dry DNB"),1,0)</f>
        <v>0</v>
      </c>
      <c r="Z1456" s="46" t="n">
        <f aca="false">IF(ISNUMBER(W1456),A1456-W1456,"")</f>
        <v>48</v>
      </c>
      <c r="AA1456" s="46" t="n">
        <f aca="false">MATCH(A1456,DATAS,0)</f>
        <v>1</v>
      </c>
      <c r="AB1456" s="46" t="n">
        <f aca="false">IF(AND(E1456&gt;0,OR(AND(B1456&gt;=1,B1456&lt;=6),B1456=10)),1,0)</f>
        <v>1</v>
      </c>
      <c r="AC1456" s="46" t="n">
        <f aca="false">IF(AND(E1456&gt;0,B1456=10),1,0)</f>
        <v>0</v>
      </c>
      <c r="AD1456" s="0" t="str">
        <f aca="false">IF(AND(C1455=C1456,AA1455=AA1456-1),AB1455,"")</f>
        <v/>
      </c>
      <c r="AE1456" s="0" t="str">
        <f aca="false">IF(AND(C1455=C1456,AA1455=AA1456-1),AC1455,"")</f>
        <v/>
      </c>
      <c r="AF1456" s="0" t="str">
        <f aca="false">IF(AA1456=1,"",IF(AND(AB1456=1,AD1456&lt;&gt;1),1,0))</f>
        <v/>
      </c>
      <c r="AG1456" s="0" t="str">
        <f aca="false">IF(AA1456=1,"",IF(AND(AC1456=1,AE1456&lt;&gt;1),1,0))</f>
        <v/>
      </c>
      <c r="AH1456" s="51" t="str">
        <f aca="false">IF(AND(E1456&gt;0,AA1456&lt;1,NOT(AND(C1457=C1456,AA1457=AA1456+1))),INDEX(DATAS,AA1456+1),"")</f>
        <v/>
      </c>
      <c r="AI1456" s="51" t="str">
        <f aca="false">IF(AND(AC1456=1,AA1456&lt;1),IF(AND(C1457=C1456,AA1457=AA1456+1),IF(AC1457=1,"",INDEX(DATAS,AA1456+1)),INDEX(DATAS,AA1456+1)),"")</f>
        <v/>
      </c>
    </row>
    <row r="1457" customFormat="false" ht="15" hidden="false" customHeight="false" outlineLevel="0" collapsed="false">
      <c r="A1457" s="51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46" t="s">
        <v>947</v>
      </c>
      <c r="G1457" s="0" t="n">
        <v>38.7</v>
      </c>
      <c r="H1457" s="0" t="n">
        <v>39</v>
      </c>
      <c r="I1457" s="46" t="s">
        <v>152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51" t="n">
        <v>46184</v>
      </c>
      <c r="X1457" s="46" t="n">
        <f aca="false">IF(I1457="Male",0,1)</f>
        <v>1</v>
      </c>
      <c r="Y1457" s="46" t="n">
        <f aca="false">IF(OR(I1457="DNB",I1457="Dry DNB"),1,0)</f>
        <v>0</v>
      </c>
      <c r="Z1457" s="46" t="n">
        <f aca="false">IF(ISNUMBER(W1457),A1457-W1457,"")</f>
        <v>125</v>
      </c>
      <c r="AA1457" s="46" t="n">
        <f aca="false">MATCH(A1457,DATAS,0)</f>
        <v>1</v>
      </c>
      <c r="AB1457" s="46" t="n">
        <f aca="false">IF(AND(E1457&gt;0,OR(AND(B1457&gt;=1,B1457&lt;=6),B1457=10)),1,0)</f>
        <v>1</v>
      </c>
      <c r="AC1457" s="46" t="n">
        <f aca="false">IF(AND(E1457&gt;0,B1457=10),1,0)</f>
        <v>0</v>
      </c>
      <c r="AD1457" s="0" t="str">
        <f aca="false">IF(AND(C1456=C1457,AA1456=AA1457-1),AB1456,"")</f>
        <v/>
      </c>
      <c r="AE1457" s="0" t="str">
        <f aca="false">IF(AND(C1456=C1457,AA1456=AA1457-1),AC1456,"")</f>
        <v/>
      </c>
      <c r="AF1457" s="0" t="str">
        <f aca="false">IF(AA1457=1,"",IF(AND(AB1457=1,AD1457&lt;&gt;1),1,0))</f>
        <v/>
      </c>
      <c r="AG1457" s="0" t="str">
        <f aca="false">IF(AA1457=1,"",IF(AND(AC1457=1,AE1457&lt;&gt;1),1,0))</f>
        <v/>
      </c>
      <c r="AH1457" s="51" t="str">
        <f aca="false">IF(AND(E1457&gt;0,AA1457&lt;1,NOT(AND(C1458=C1457,AA1458=AA1457+1))),INDEX(DATAS,AA1457+1),"")</f>
        <v/>
      </c>
      <c r="AI1457" s="51" t="str">
        <f aca="false">IF(AND(AC1457=1,AA1457&lt;1),IF(AND(C1458=C1457,AA1458=AA1457+1),IF(AC1458=1,"",INDEX(DATAS,AA1457+1)),INDEX(DATAS,AA1457+1)),"")</f>
        <v/>
      </c>
    </row>
    <row r="1458" customFormat="false" ht="15" hidden="false" customHeight="false" outlineLevel="0" collapsed="false">
      <c r="A1458" s="51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46" t="s">
        <v>947</v>
      </c>
      <c r="G1458" s="0" t="n">
        <v>32</v>
      </c>
      <c r="H1458" s="0" t="n">
        <v>34</v>
      </c>
      <c r="I1458" s="46" t="s">
        <v>152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51" t="n">
        <v>46170</v>
      </c>
      <c r="X1458" s="46" t="n">
        <f aca="false">IF(I1458="Male",0,1)</f>
        <v>1</v>
      </c>
      <c r="Y1458" s="46" t="n">
        <f aca="false">IF(OR(I1458="DNB",I1458="Dry DNB"),1,0)</f>
        <v>0</v>
      </c>
      <c r="Z1458" s="46" t="n">
        <f aca="false">IF(ISNUMBER(W1458),A1458-W1458,"")</f>
        <v>139</v>
      </c>
      <c r="AA1458" s="46" t="n">
        <f aca="false">MATCH(A1458,DATAS,0)</f>
        <v>1</v>
      </c>
      <c r="AB1458" s="46" t="n">
        <f aca="false">IF(AND(E1458&gt;0,OR(AND(B1458&gt;=1,B1458&lt;=6),B1458=10)),1,0)</f>
        <v>1</v>
      </c>
      <c r="AC1458" s="46" t="n">
        <f aca="false">IF(AND(E1458&gt;0,B1458=10),1,0)</f>
        <v>0</v>
      </c>
      <c r="AD1458" s="0" t="str">
        <f aca="false">IF(AND(C1457=C1458,AA1457=AA1458-1),AB1457,"")</f>
        <v/>
      </c>
      <c r="AE1458" s="0" t="str">
        <f aca="false">IF(AND(C1457=C1458,AA1457=AA1458-1),AC1457,"")</f>
        <v/>
      </c>
      <c r="AF1458" s="0" t="str">
        <f aca="false">IF(AA1458=1,"",IF(AND(AB1458=1,AD1458&lt;&gt;1),1,0))</f>
        <v/>
      </c>
      <c r="AG1458" s="0" t="str">
        <f aca="false">IF(AA1458=1,"",IF(AND(AC1458=1,AE1458&lt;&gt;1),1,0))</f>
        <v/>
      </c>
      <c r="AH1458" s="51" t="str">
        <f aca="false">IF(AND(E1458&gt;0,AA1458&lt;1,NOT(AND(C1459=C1458,AA1459=AA1458+1))),INDEX(DATAS,AA1458+1),"")</f>
        <v/>
      </c>
      <c r="AI1458" s="51" t="str">
        <f aca="false">IF(AND(AC1458=1,AA1458&lt;1),IF(AND(C1459=C1458,AA1459=AA1458+1),IF(AC1459=1,"",INDEX(DATAS,AA1458+1)),INDEX(DATAS,AA1458+1)),"")</f>
        <v/>
      </c>
    </row>
    <row r="1459" customFormat="false" ht="15" hidden="false" customHeight="false" outlineLevel="0" collapsed="false">
      <c r="A1459" s="51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46" t="s">
        <v>947</v>
      </c>
      <c r="G1459" s="0" t="n">
        <v>34.4</v>
      </c>
      <c r="H1459" s="0" t="n">
        <v>33</v>
      </c>
      <c r="I1459" s="46" t="s">
        <v>152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51" t="n">
        <v>46179</v>
      </c>
      <c r="X1459" s="46" t="n">
        <f aca="false">IF(I1459="Male",0,1)</f>
        <v>1</v>
      </c>
      <c r="Y1459" s="46" t="n">
        <f aca="false">IF(OR(I1459="DNB",I1459="Dry DNB"),1,0)</f>
        <v>0</v>
      </c>
      <c r="Z1459" s="46" t="n">
        <f aca="false">IF(ISNUMBER(W1459),A1459-W1459,"")</f>
        <v>130</v>
      </c>
      <c r="AA1459" s="46" t="n">
        <f aca="false">MATCH(A1459,DATAS,0)</f>
        <v>1</v>
      </c>
      <c r="AB1459" s="46" t="n">
        <f aca="false">IF(AND(E1459&gt;0,OR(AND(B1459&gt;=1,B1459&lt;=6),B1459=10)),1,0)</f>
        <v>1</v>
      </c>
      <c r="AC1459" s="46" t="n">
        <f aca="false">IF(AND(E1459&gt;0,B1459=10),1,0)</f>
        <v>0</v>
      </c>
      <c r="AD1459" s="0" t="str">
        <f aca="false">IF(AND(C1458=C1459,AA1458=AA1459-1),AB1458,"")</f>
        <v/>
      </c>
      <c r="AE1459" s="0" t="str">
        <f aca="false">IF(AND(C1458=C1459,AA1458=AA1459-1),AC1458,"")</f>
        <v/>
      </c>
      <c r="AF1459" s="0" t="str">
        <f aca="false">IF(AA1459=1,"",IF(AND(AB1459=1,AD1459&lt;&gt;1),1,0))</f>
        <v/>
      </c>
      <c r="AG1459" s="0" t="str">
        <f aca="false">IF(AA1459=1,"",IF(AND(AC1459=1,AE1459&lt;&gt;1),1,0))</f>
        <v/>
      </c>
      <c r="AH1459" s="51" t="str">
        <f aca="false">IF(AND(E1459&gt;0,AA1459&lt;1,NOT(AND(C1460=C1459,AA1460=AA1459+1))),INDEX(DATAS,AA1459+1),"")</f>
        <v/>
      </c>
      <c r="AI1459" s="51" t="str">
        <f aca="false">IF(AND(AC1459=1,AA1459&lt;1),IF(AND(C1460=C1459,AA1460=AA1459+1),IF(AC1460=1,"",INDEX(DATAS,AA1459+1)),INDEX(DATAS,AA1459+1)),"")</f>
        <v/>
      </c>
    </row>
    <row r="1460" customFormat="false" ht="15" hidden="false" customHeight="false" outlineLevel="0" collapsed="false">
      <c r="A1460" s="51" t="n">
        <v>46309</v>
      </c>
      <c r="B1460" s="0" t="n">
        <v>7</v>
      </c>
      <c r="C1460" s="0" t="n">
        <v>5586</v>
      </c>
      <c r="E1460" s="0" t="n">
        <v>0</v>
      </c>
      <c r="F1460" s="46" t="s">
        <v>948</v>
      </c>
      <c r="I1460" s="46" t="s">
        <v>152</v>
      </c>
      <c r="L1460" s="0" t="n">
        <v>224</v>
      </c>
      <c r="U1460" s="0" t="n">
        <v>874</v>
      </c>
      <c r="V1460" s="0" t="n">
        <v>5</v>
      </c>
      <c r="W1460" s="51" t="n">
        <v>46086</v>
      </c>
      <c r="X1460" s="46" t="n">
        <f aca="false">IF(I1460="Male",0,1)</f>
        <v>1</v>
      </c>
      <c r="Y1460" s="46" t="n">
        <f aca="false">IF(OR(I1460="DNB",I1460="Dry DNB"),1,0)</f>
        <v>0</v>
      </c>
      <c r="Z1460" s="46" t="n">
        <f aca="false">IF(ISNUMBER(W1460),A1460-W1460,"")</f>
        <v>223</v>
      </c>
      <c r="AA1460" s="46" t="n">
        <f aca="false">MATCH(A1460,DATAS,0)</f>
        <v>1</v>
      </c>
      <c r="AB1460" s="46" t="n">
        <f aca="false">IF(AND(E1460&gt;0,OR(AND(B1460&gt;=1,B1460&lt;=6),B1460=10)),1,0)</f>
        <v>0</v>
      </c>
      <c r="AC1460" s="46" t="n">
        <f aca="false">IF(AND(E1460&gt;0,B1460=10),1,0)</f>
        <v>0</v>
      </c>
      <c r="AD1460" s="0" t="str">
        <f aca="false">IF(AND(C1459=C1460,AA1459=AA1460-1),AB1459,"")</f>
        <v/>
      </c>
      <c r="AE1460" s="0" t="str">
        <f aca="false">IF(AND(C1459=C1460,AA1459=AA1460-1),AC1459,"")</f>
        <v/>
      </c>
      <c r="AF1460" s="0" t="str">
        <f aca="false">IF(AA1460=1,"",IF(AND(AB1460=1,AD1460&lt;&gt;1),1,0))</f>
        <v/>
      </c>
      <c r="AG1460" s="0" t="str">
        <f aca="false">IF(AA1460=1,"",IF(AND(AC1460=1,AE1460&lt;&gt;1),1,0))</f>
        <v/>
      </c>
      <c r="AH1460" s="51" t="str">
        <f aca="false">IF(AND(E1460&gt;0,AA1460&lt;1,NOT(AND(C1461=C1460,AA1461=AA1460+1))),INDEX(DATAS,AA1460+1),"")</f>
        <v/>
      </c>
      <c r="AI1460" s="51" t="str">
        <f aca="false">IF(AND(AC1460=1,AA1460&lt;1),IF(AND(C1461=C1460,AA1461=AA1460+1),IF(AC1461=1,"",INDEX(DATAS,AA1460+1)),INDEX(DATAS,AA1460+1)),"")</f>
        <v/>
      </c>
    </row>
    <row r="1461" customFormat="false" ht="15" hidden="false" customHeight="false" outlineLevel="0" collapsed="false">
      <c r="A1461" s="51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46" t="s">
        <v>949</v>
      </c>
      <c r="G1461" s="0" t="n">
        <v>37.7</v>
      </c>
      <c r="H1461" s="0" t="n">
        <v>38</v>
      </c>
      <c r="I1461" s="46" t="s">
        <v>152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51" t="n">
        <v>46200</v>
      </c>
      <c r="X1461" s="46" t="n">
        <f aca="false">IF(I1461="Male",0,1)</f>
        <v>1</v>
      </c>
      <c r="Y1461" s="46" t="n">
        <f aca="false">IF(OR(I1461="DNB",I1461="Dry DNB"),1,0)</f>
        <v>0</v>
      </c>
      <c r="Z1461" s="46" t="n">
        <f aca="false">IF(ISNUMBER(W1461),A1461-W1461,"")</f>
        <v>109</v>
      </c>
      <c r="AA1461" s="46" t="n">
        <f aca="false">MATCH(A1461,DATAS,0)</f>
        <v>1</v>
      </c>
      <c r="AB1461" s="46" t="n">
        <f aca="false">IF(AND(E1461&gt;0,OR(AND(B1461&gt;=1,B1461&lt;=6),B1461=10)),1,0)</f>
        <v>1</v>
      </c>
      <c r="AC1461" s="46" t="n">
        <f aca="false">IF(AND(E1461&gt;0,B1461=10),1,0)</f>
        <v>0</v>
      </c>
      <c r="AD1461" s="0" t="str">
        <f aca="false">IF(AND(C1460=C1461,AA1460=AA1461-1),AB1460,"")</f>
        <v/>
      </c>
      <c r="AE1461" s="0" t="str">
        <f aca="false">IF(AND(C1460=C1461,AA1460=AA1461-1),AC1460,"")</f>
        <v/>
      </c>
      <c r="AF1461" s="0" t="str">
        <f aca="false">IF(AA1461=1,"",IF(AND(AB1461=1,AD1461&lt;&gt;1),1,0))</f>
        <v/>
      </c>
      <c r="AG1461" s="0" t="str">
        <f aca="false">IF(AA1461=1,"",IF(AND(AC1461=1,AE1461&lt;&gt;1),1,0))</f>
        <v/>
      </c>
      <c r="AH1461" s="51" t="str">
        <f aca="false">IF(AND(E1461&gt;0,AA1461&lt;1,NOT(AND(C1462=C1461,AA1462=AA1461+1))),INDEX(DATAS,AA1461+1),"")</f>
        <v/>
      </c>
      <c r="AI1461" s="51" t="str">
        <f aca="false">IF(AND(AC1461=1,AA1461&lt;1),IF(AND(C1462=C1461,AA1462=AA1461+1),IF(AC1462=1,"",INDEX(DATAS,AA1461+1)),INDEX(DATAS,AA1461+1)),"")</f>
        <v/>
      </c>
    </row>
    <row r="1462" customFormat="false" ht="15" hidden="false" customHeight="false" outlineLevel="0" collapsed="false">
      <c r="A1462" s="51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46" t="s">
        <v>949</v>
      </c>
      <c r="G1462" s="0" t="n">
        <v>46.1</v>
      </c>
      <c r="H1462" s="0" t="n">
        <v>46</v>
      </c>
      <c r="I1462" s="46" t="s">
        <v>152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51" t="n">
        <v>46198</v>
      </c>
      <c r="X1462" s="46" t="n">
        <f aca="false">IF(I1462="Male",0,1)</f>
        <v>1</v>
      </c>
      <c r="Y1462" s="46" t="n">
        <f aca="false">IF(OR(I1462="DNB",I1462="Dry DNB"),1,0)</f>
        <v>0</v>
      </c>
      <c r="Z1462" s="46" t="n">
        <f aca="false">IF(ISNUMBER(W1462),A1462-W1462,"")</f>
        <v>111</v>
      </c>
      <c r="AA1462" s="46" t="n">
        <f aca="false">MATCH(A1462,DATAS,0)</f>
        <v>1</v>
      </c>
      <c r="AB1462" s="46" t="n">
        <f aca="false">IF(AND(E1462&gt;0,OR(AND(B1462&gt;=1,B1462&lt;=6),B1462=10)),1,0)</f>
        <v>1</v>
      </c>
      <c r="AC1462" s="46" t="n">
        <f aca="false">IF(AND(E1462&gt;0,B1462=10),1,0)</f>
        <v>0</v>
      </c>
      <c r="AD1462" s="0" t="str">
        <f aca="false">IF(AND(C1461=C1462,AA1461=AA1462-1),AB1461,"")</f>
        <v/>
      </c>
      <c r="AE1462" s="0" t="str">
        <f aca="false">IF(AND(C1461=C1462,AA1461=AA1462-1),AC1461,"")</f>
        <v/>
      </c>
      <c r="AF1462" s="0" t="str">
        <f aca="false">IF(AA1462=1,"",IF(AND(AB1462=1,AD1462&lt;&gt;1),1,0))</f>
        <v/>
      </c>
      <c r="AG1462" s="0" t="str">
        <f aca="false">IF(AA1462=1,"",IF(AND(AC1462=1,AE1462&lt;&gt;1),1,0))</f>
        <v/>
      </c>
      <c r="AH1462" s="51" t="str">
        <f aca="false">IF(AND(E1462&gt;0,AA1462&lt;1,NOT(AND(C1463=C1462,AA1463=AA1462+1))),INDEX(DATAS,AA1462+1),"")</f>
        <v/>
      </c>
      <c r="AI1462" s="51" t="str">
        <f aca="false">IF(AND(AC1462=1,AA1462&lt;1),IF(AND(C1463=C1462,AA1463=AA1462+1),IF(AC1463=1,"",INDEX(DATAS,AA1462+1)),INDEX(DATAS,AA1462+1)),"")</f>
        <v/>
      </c>
    </row>
    <row r="1463" customFormat="false" ht="15" hidden="false" customHeight="false" outlineLevel="0" collapsed="false">
      <c r="A1463" s="51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46" t="s">
        <v>950</v>
      </c>
      <c r="G1463" s="0" t="n">
        <v>36.2</v>
      </c>
      <c r="H1463" s="0" t="n">
        <v>37</v>
      </c>
      <c r="I1463" s="46" t="s">
        <v>152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51" t="n">
        <v>46149</v>
      </c>
      <c r="X1463" s="46" t="n">
        <f aca="false">IF(I1463="Male",0,1)</f>
        <v>1</v>
      </c>
      <c r="Y1463" s="46" t="n">
        <f aca="false">IF(OR(I1463="DNB",I1463="Dry DNB"),1,0)</f>
        <v>0</v>
      </c>
      <c r="Z1463" s="46" t="n">
        <f aca="false">IF(ISNUMBER(W1463),A1463-W1463,"")</f>
        <v>160</v>
      </c>
      <c r="AA1463" s="46" t="n">
        <f aca="false">MATCH(A1463,DATAS,0)</f>
        <v>1</v>
      </c>
      <c r="AB1463" s="46" t="n">
        <f aca="false">IF(AND(E1463&gt;0,OR(AND(B1463&gt;=1,B1463&lt;=6),B1463=10)),1,0)</f>
        <v>1</v>
      </c>
      <c r="AC1463" s="46" t="n">
        <f aca="false">IF(AND(E1463&gt;0,B1463=10),1,0)</f>
        <v>0</v>
      </c>
      <c r="AD1463" s="0" t="str">
        <f aca="false">IF(AND(C1462=C1463,AA1462=AA1463-1),AB1462,"")</f>
        <v/>
      </c>
      <c r="AE1463" s="0" t="str">
        <f aca="false">IF(AND(C1462=C1463,AA1462=AA1463-1),AC1462,"")</f>
        <v/>
      </c>
      <c r="AF1463" s="0" t="str">
        <f aca="false">IF(AA1463=1,"",IF(AND(AB1463=1,AD1463&lt;&gt;1),1,0))</f>
        <v/>
      </c>
      <c r="AG1463" s="0" t="str">
        <f aca="false">IF(AA1463=1,"",IF(AND(AC1463=1,AE1463&lt;&gt;1),1,0))</f>
        <v/>
      </c>
      <c r="AH1463" s="51" t="str">
        <f aca="false">IF(AND(E1463&gt;0,AA1463&lt;1,NOT(AND(C1464=C1463,AA1464=AA1463+1))),INDEX(DATAS,AA1463+1),"")</f>
        <v/>
      </c>
      <c r="AI1463" s="51" t="str">
        <f aca="false">IF(AND(AC1463=1,AA1463&lt;1),IF(AND(C1464=C1463,AA1464=AA1463+1),IF(AC1464=1,"",INDEX(DATAS,AA1463+1)),INDEX(DATAS,AA1463+1)),"")</f>
        <v/>
      </c>
    </row>
    <row r="1464" customFormat="false" ht="15" hidden="false" customHeight="false" outlineLevel="0" collapsed="false">
      <c r="A1464" s="51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46" t="s">
        <v>950</v>
      </c>
      <c r="G1464" s="0" t="n">
        <v>33.8</v>
      </c>
      <c r="H1464" s="0" t="n">
        <v>33</v>
      </c>
      <c r="I1464" s="46" t="s">
        <v>181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51" t="n">
        <v>46254</v>
      </c>
      <c r="X1464" s="46" t="n">
        <f aca="false">IF(I1464="Male",0,1)</f>
        <v>1</v>
      </c>
      <c r="Y1464" s="46" t="n">
        <f aca="false">IF(OR(I1464="DNB",I1464="Dry DNB"),1,0)</f>
        <v>0</v>
      </c>
      <c r="Z1464" s="46" t="n">
        <f aca="false">IF(ISNUMBER(W1464),A1464-W1464,"")</f>
        <v>55</v>
      </c>
      <c r="AA1464" s="46" t="n">
        <f aca="false">MATCH(A1464,DATAS,0)</f>
        <v>1</v>
      </c>
      <c r="AB1464" s="46" t="n">
        <f aca="false">IF(AND(E1464&gt;0,OR(AND(B1464&gt;=1,B1464&lt;=6),B1464=10)),1,0)</f>
        <v>1</v>
      </c>
      <c r="AC1464" s="46" t="n">
        <f aca="false">IF(AND(E1464&gt;0,B1464=10),1,0)</f>
        <v>0</v>
      </c>
      <c r="AD1464" s="0" t="str">
        <f aca="false">IF(AND(C1463=C1464,AA1463=AA1464-1),AB1463,"")</f>
        <v/>
      </c>
      <c r="AE1464" s="0" t="str">
        <f aca="false">IF(AND(C1463=C1464,AA1463=AA1464-1),AC1463,"")</f>
        <v/>
      </c>
      <c r="AF1464" s="0" t="str">
        <f aca="false">IF(AA1464=1,"",IF(AND(AB1464=1,AD1464&lt;&gt;1),1,0))</f>
        <v/>
      </c>
      <c r="AG1464" s="0" t="str">
        <f aca="false">IF(AA1464=1,"",IF(AND(AC1464=1,AE1464&lt;&gt;1),1,0))</f>
        <v/>
      </c>
      <c r="AH1464" s="51" t="str">
        <f aca="false">IF(AND(E1464&gt;0,AA1464&lt;1,NOT(AND(C1465=C1464,AA1465=AA1464+1))),INDEX(DATAS,AA1464+1),"")</f>
        <v/>
      </c>
      <c r="AI1464" s="51" t="str">
        <f aca="false">IF(AND(AC1464=1,AA1464&lt;1),IF(AND(C1465=C1464,AA1465=AA1464+1),IF(AC1465=1,"",INDEX(DATAS,AA1464+1)),INDEX(DATAS,AA1464+1)),"")</f>
        <v/>
      </c>
    </row>
    <row r="1465" customFormat="false" ht="15" hidden="false" customHeight="false" outlineLevel="0" collapsed="false">
      <c r="A1465" s="51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46" t="s">
        <v>951</v>
      </c>
      <c r="G1465" s="0" t="n">
        <v>46.9</v>
      </c>
      <c r="H1465" s="0" t="n">
        <v>46</v>
      </c>
      <c r="I1465" s="46" t="s">
        <v>152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51" t="n">
        <v>46205</v>
      </c>
      <c r="X1465" s="46" t="n">
        <f aca="false">IF(I1465="Male",0,1)</f>
        <v>1</v>
      </c>
      <c r="Y1465" s="46" t="n">
        <f aca="false">IF(OR(I1465="DNB",I1465="Dry DNB"),1,0)</f>
        <v>0</v>
      </c>
      <c r="Z1465" s="46" t="n">
        <f aca="false">IF(ISNUMBER(W1465),A1465-W1465,"")</f>
        <v>104</v>
      </c>
      <c r="AA1465" s="46" t="n">
        <f aca="false">MATCH(A1465,DATAS,0)</f>
        <v>1</v>
      </c>
      <c r="AB1465" s="46" t="n">
        <f aca="false">IF(AND(E1465&gt;0,OR(AND(B1465&gt;=1,B1465&lt;=6),B1465=10)),1,0)</f>
        <v>1</v>
      </c>
      <c r="AC1465" s="46" t="n">
        <f aca="false">IF(AND(E1465&gt;0,B1465=10),1,0)</f>
        <v>0</v>
      </c>
      <c r="AD1465" s="0" t="str">
        <f aca="false">IF(AND(C1464=C1465,AA1464=AA1465-1),AB1464,"")</f>
        <v/>
      </c>
      <c r="AE1465" s="0" t="str">
        <f aca="false">IF(AND(C1464=C1465,AA1464=AA1465-1),AC1464,"")</f>
        <v/>
      </c>
      <c r="AF1465" s="0" t="str">
        <f aca="false">IF(AA1465=1,"",IF(AND(AB1465=1,AD1465&lt;&gt;1),1,0))</f>
        <v/>
      </c>
      <c r="AG1465" s="0" t="str">
        <f aca="false">IF(AA1465=1,"",IF(AND(AC1465=1,AE1465&lt;&gt;1),1,0))</f>
        <v/>
      </c>
      <c r="AH1465" s="51" t="str">
        <f aca="false">IF(AND(E1465&gt;0,AA1465&lt;1,NOT(AND(C1466=C1465,AA1466=AA1465+1))),INDEX(DATAS,AA1465+1),"")</f>
        <v/>
      </c>
      <c r="AI1465" s="51" t="str">
        <f aca="false">IF(AND(AC1465=1,AA1465&lt;1),IF(AND(C1466=C1465,AA1466=AA1465+1),IF(AC1466=1,"",INDEX(DATAS,AA1465+1)),INDEX(DATAS,AA1465+1)),"")</f>
        <v/>
      </c>
    </row>
    <row r="1466" customFormat="false" ht="15" hidden="false" customHeight="false" outlineLevel="0" collapsed="false">
      <c r="A1466" s="51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46" t="s">
        <v>951</v>
      </c>
      <c r="H1466" s="0" t="n">
        <v>20</v>
      </c>
      <c r="I1466" s="46" t="s">
        <v>152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X1466" s="46" t="n">
        <f aca="false">IF(I1466="Male",0,1)</f>
        <v>1</v>
      </c>
      <c r="Y1466" s="46" t="n">
        <f aca="false">IF(OR(I1466="DNB",I1466="Dry DNB"),1,0)</f>
        <v>0</v>
      </c>
      <c r="Z1466" s="0" t="str">
        <f aca="false">IF(ISNUMBER(W1466),A1466-W1466,"")</f>
        <v/>
      </c>
      <c r="AA1466" s="46" t="n">
        <f aca="false">MATCH(A1466,DATAS,0)</f>
        <v>1</v>
      </c>
      <c r="AB1466" s="46" t="n">
        <f aca="false">IF(AND(E1466&gt;0,OR(AND(B1466&gt;=1,B1466&lt;=6),B1466=10)),1,0)</f>
        <v>1</v>
      </c>
      <c r="AC1466" s="46" t="n">
        <f aca="false">IF(AND(E1466&gt;0,B1466=10),1,0)</f>
        <v>1</v>
      </c>
      <c r="AD1466" s="0" t="str">
        <f aca="false">IF(AND(C1465=C1466,AA1465=AA1466-1),AB1465,"")</f>
        <v/>
      </c>
      <c r="AE1466" s="0" t="str">
        <f aca="false">IF(AND(C1465=C1466,AA1465=AA1466-1),AC1465,"")</f>
        <v/>
      </c>
      <c r="AF1466" s="0" t="str">
        <f aca="false">IF(AA1466=1,"",IF(AND(AB1466=1,AD1466&lt;&gt;1),1,0))</f>
        <v/>
      </c>
      <c r="AG1466" s="0" t="str">
        <f aca="false">IF(AA1466=1,"",IF(AND(AC1466=1,AE1466&lt;&gt;1),1,0))</f>
        <v/>
      </c>
      <c r="AH1466" s="51" t="str">
        <f aca="false">IF(AND(E1466&gt;0,AA1466&lt;1,NOT(AND(C1467=C1466,AA1467=AA1466+1))),INDEX(DATAS,AA1466+1),"")</f>
        <v/>
      </c>
      <c r="AI1466" s="51" t="str">
        <f aca="false">IF(AND(AC1466=1,AA1466&lt;1),IF(AND(C1467=C1466,AA1467=AA1466+1),IF(AC1467=1,"",INDEX(DATAS,AA1466+1)),INDEX(DATAS,AA1466+1)),"")</f>
        <v/>
      </c>
    </row>
    <row r="1467" customFormat="false" ht="15" hidden="false" customHeight="false" outlineLevel="0" collapsed="false">
      <c r="A1467" s="51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46" t="s">
        <v>951</v>
      </c>
      <c r="G1467" s="0" t="n">
        <v>53.4</v>
      </c>
      <c r="H1467" s="0" t="n">
        <v>53</v>
      </c>
      <c r="I1467" s="46" t="s">
        <v>152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51" t="n">
        <v>46191</v>
      </c>
      <c r="X1467" s="46" t="n">
        <f aca="false">IF(I1467="Male",0,1)</f>
        <v>1</v>
      </c>
      <c r="Y1467" s="46" t="n">
        <f aca="false">IF(OR(I1467="DNB",I1467="Dry DNB"),1,0)</f>
        <v>0</v>
      </c>
      <c r="Z1467" s="46" t="n">
        <f aca="false">IF(ISNUMBER(W1467),A1467-W1467,"")</f>
        <v>118</v>
      </c>
      <c r="AA1467" s="46" t="n">
        <f aca="false">MATCH(A1467,DATAS,0)</f>
        <v>1</v>
      </c>
      <c r="AB1467" s="46" t="n">
        <f aca="false">IF(AND(E1467&gt;0,OR(AND(B1467&gt;=1,B1467&lt;=6),B1467=10)),1,0)</f>
        <v>1</v>
      </c>
      <c r="AC1467" s="46" t="n">
        <f aca="false">IF(AND(E1467&gt;0,B1467=10),1,0)</f>
        <v>0</v>
      </c>
      <c r="AD1467" s="0" t="str">
        <f aca="false">IF(AND(C1466=C1467,AA1466=AA1467-1),AB1466,"")</f>
        <v/>
      </c>
      <c r="AE1467" s="0" t="str">
        <f aca="false">IF(AND(C1466=C1467,AA1466=AA1467-1),AC1466,"")</f>
        <v/>
      </c>
      <c r="AF1467" s="0" t="str">
        <f aca="false">IF(AA1467=1,"",IF(AND(AB1467=1,AD1467&lt;&gt;1),1,0))</f>
        <v/>
      </c>
      <c r="AG1467" s="0" t="str">
        <f aca="false">IF(AA1467=1,"",IF(AND(AC1467=1,AE1467&lt;&gt;1),1,0))</f>
        <v/>
      </c>
      <c r="AH1467" s="51" t="str">
        <f aca="false">IF(AND(E1467&gt;0,AA1467&lt;1,NOT(AND(C1468=C1467,AA1468=AA1467+1))),INDEX(DATAS,AA1467+1),"")</f>
        <v/>
      </c>
      <c r="AI1467" s="51" t="str">
        <f aca="false">IF(AND(AC1467=1,AA1467&lt;1),IF(AND(C1468=C1467,AA1468=AA1467+1),IF(AC1468=1,"",INDEX(DATAS,AA1467+1)),INDEX(DATAS,AA1467+1)),"")</f>
        <v/>
      </c>
    </row>
    <row r="1468" customFormat="false" ht="15" hidden="false" customHeight="false" outlineLevel="0" collapsed="false">
      <c r="A1468" s="51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46" t="s">
        <v>952</v>
      </c>
      <c r="G1468" s="0" t="n">
        <v>45.4</v>
      </c>
      <c r="H1468" s="0" t="n">
        <v>46</v>
      </c>
      <c r="I1468" s="46" t="s">
        <v>152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51" t="n">
        <v>46135</v>
      </c>
      <c r="X1468" s="46" t="n">
        <f aca="false">IF(I1468="Male",0,1)</f>
        <v>1</v>
      </c>
      <c r="Y1468" s="46" t="n">
        <f aca="false">IF(OR(I1468="DNB",I1468="Dry DNB"),1,0)</f>
        <v>0</v>
      </c>
      <c r="Z1468" s="46" t="n">
        <f aca="false">IF(ISNUMBER(W1468),A1468-W1468,"")</f>
        <v>174</v>
      </c>
      <c r="AA1468" s="46" t="n">
        <f aca="false">MATCH(A1468,DATAS,0)</f>
        <v>1</v>
      </c>
      <c r="AB1468" s="46" t="n">
        <f aca="false">IF(AND(E1468&gt;0,OR(AND(B1468&gt;=1,B1468&lt;=6),B1468=10)),1,0)</f>
        <v>1</v>
      </c>
      <c r="AC1468" s="46" t="n">
        <f aca="false">IF(AND(E1468&gt;0,B1468=10),1,0)</f>
        <v>0</v>
      </c>
      <c r="AD1468" s="0" t="str">
        <f aca="false">IF(AND(C1467=C1468,AA1467=AA1468-1),AB1467,"")</f>
        <v/>
      </c>
      <c r="AE1468" s="0" t="str">
        <f aca="false">IF(AND(C1467=C1468,AA1467=AA1468-1),AC1467,"")</f>
        <v/>
      </c>
      <c r="AF1468" s="0" t="str">
        <f aca="false">IF(AA1468=1,"",IF(AND(AB1468=1,AD1468&lt;&gt;1),1,0))</f>
        <v/>
      </c>
      <c r="AG1468" s="0" t="str">
        <f aca="false">IF(AA1468=1,"",IF(AND(AC1468=1,AE1468&lt;&gt;1),1,0))</f>
        <v/>
      </c>
      <c r="AH1468" s="51" t="str">
        <f aca="false">IF(AND(E1468&gt;0,AA1468&lt;1,NOT(AND(C1469=C1468,AA1469=AA1468+1))),INDEX(DATAS,AA1468+1),"")</f>
        <v/>
      </c>
      <c r="AI1468" s="51" t="str">
        <f aca="false">IF(AND(AC1468=1,AA1468&lt;1),IF(AND(C1469=C1468,AA1469=AA1468+1),IF(AC1469=1,"",INDEX(DATAS,AA1468+1)),INDEX(DATAS,AA1468+1)),"")</f>
        <v/>
      </c>
    </row>
    <row r="1469" customFormat="false" ht="15" hidden="false" customHeight="false" outlineLevel="0" collapsed="false">
      <c r="A1469" s="51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46" t="s">
        <v>952</v>
      </c>
      <c r="G1469" s="0" t="n">
        <v>33.4</v>
      </c>
      <c r="H1469" s="0" t="n">
        <v>35</v>
      </c>
      <c r="I1469" s="46" t="s">
        <v>152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51" t="n">
        <v>46254</v>
      </c>
      <c r="X1469" s="46" t="n">
        <f aca="false">IF(I1469="Male",0,1)</f>
        <v>1</v>
      </c>
      <c r="Y1469" s="46" t="n">
        <f aca="false">IF(OR(I1469="DNB",I1469="Dry DNB"),1,0)</f>
        <v>0</v>
      </c>
      <c r="Z1469" s="46" t="n">
        <f aca="false">IF(ISNUMBER(W1469),A1469-W1469,"")</f>
        <v>55</v>
      </c>
      <c r="AA1469" s="46" t="n">
        <f aca="false">MATCH(A1469,DATAS,0)</f>
        <v>1</v>
      </c>
      <c r="AB1469" s="46" t="n">
        <f aca="false">IF(AND(E1469&gt;0,OR(AND(B1469&gt;=1,B1469&lt;=6),B1469=10)),1,0)</f>
        <v>1</v>
      </c>
      <c r="AC1469" s="46" t="n">
        <f aca="false">IF(AND(E1469&gt;0,B1469=10),1,0)</f>
        <v>0</v>
      </c>
      <c r="AD1469" s="0" t="str">
        <f aca="false">IF(AND(C1468=C1469,AA1468=AA1469-1),AB1468,"")</f>
        <v/>
      </c>
      <c r="AE1469" s="0" t="str">
        <f aca="false">IF(AND(C1468=C1469,AA1468=AA1469-1),AC1468,"")</f>
        <v/>
      </c>
      <c r="AF1469" s="0" t="str">
        <f aca="false">IF(AA1469=1,"",IF(AND(AB1469=1,AD1469&lt;&gt;1),1,0))</f>
        <v/>
      </c>
      <c r="AG1469" s="0" t="str">
        <f aca="false">IF(AA1469=1,"",IF(AND(AC1469=1,AE1469&lt;&gt;1),1,0))</f>
        <v/>
      </c>
      <c r="AH1469" s="51" t="str">
        <f aca="false">IF(AND(E1469&gt;0,AA1469&lt;1,NOT(AND(C1470=C1469,AA1470=AA1469+1))),INDEX(DATAS,AA1469+1),"")</f>
        <v/>
      </c>
      <c r="AI1469" s="51" t="str">
        <f aca="false">IF(AND(AC1469=1,AA1469&lt;1),IF(AND(C1470=C1469,AA1470=AA1469+1),IF(AC1470=1,"",INDEX(DATAS,AA1469+1)),INDEX(DATAS,AA1469+1)),"")</f>
        <v/>
      </c>
    </row>
    <row r="1470" customFormat="false" ht="15" hidden="false" customHeight="false" outlineLevel="0" collapsed="false">
      <c r="A1470" s="51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46" t="s">
        <v>953</v>
      </c>
      <c r="G1470" s="0" t="n">
        <v>48.7</v>
      </c>
      <c r="H1470" s="0" t="n">
        <v>48</v>
      </c>
      <c r="I1470" s="46" t="s">
        <v>152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51" t="n">
        <v>46199</v>
      </c>
      <c r="X1470" s="46" t="n">
        <f aca="false">IF(I1470="Male",0,1)</f>
        <v>1</v>
      </c>
      <c r="Y1470" s="46" t="n">
        <f aca="false">IF(OR(I1470="DNB",I1470="Dry DNB"),1,0)</f>
        <v>0</v>
      </c>
      <c r="Z1470" s="46" t="n">
        <f aca="false">IF(ISNUMBER(W1470),A1470-W1470,"")</f>
        <v>110</v>
      </c>
      <c r="AA1470" s="46" t="n">
        <f aca="false">MATCH(A1470,DATAS,0)</f>
        <v>1</v>
      </c>
      <c r="AB1470" s="46" t="n">
        <f aca="false">IF(AND(E1470&gt;0,OR(AND(B1470&gt;=1,B1470&lt;=6),B1470=10)),1,0)</f>
        <v>1</v>
      </c>
      <c r="AC1470" s="46" t="n">
        <f aca="false">IF(AND(E1470&gt;0,B1470=10),1,0)</f>
        <v>0</v>
      </c>
      <c r="AD1470" s="0" t="str">
        <f aca="false">IF(AND(C1469=C1470,AA1469=AA1470-1),AB1469,"")</f>
        <v/>
      </c>
      <c r="AE1470" s="0" t="str">
        <f aca="false">IF(AND(C1469=C1470,AA1469=AA1470-1),AC1469,"")</f>
        <v/>
      </c>
      <c r="AF1470" s="0" t="str">
        <f aca="false">IF(AA1470=1,"",IF(AND(AB1470=1,AD1470&lt;&gt;1),1,0))</f>
        <v/>
      </c>
      <c r="AG1470" s="0" t="str">
        <f aca="false">IF(AA1470=1,"",IF(AND(AC1470=1,AE1470&lt;&gt;1),1,0))</f>
        <v/>
      </c>
      <c r="AH1470" s="51" t="str">
        <f aca="false">IF(AND(E1470&gt;0,AA1470&lt;1,NOT(AND(C1471=C1470,AA1471=AA1470+1))),INDEX(DATAS,AA1470+1),"")</f>
        <v/>
      </c>
      <c r="AI1470" s="51" t="str">
        <f aca="false">IF(AND(AC1470=1,AA1470&lt;1),IF(AND(C1471=C1470,AA1471=AA1470+1),IF(AC1471=1,"",INDEX(DATAS,AA1470+1)),INDEX(DATAS,AA1470+1)),"")</f>
        <v/>
      </c>
    </row>
    <row r="1471" customFormat="false" ht="15" hidden="false" customHeight="false" outlineLevel="0" collapsed="false">
      <c r="A1471" s="51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46" t="s">
        <v>953</v>
      </c>
      <c r="G1471" s="0" t="n">
        <v>45.4</v>
      </c>
      <c r="H1471" s="0" t="n">
        <v>46</v>
      </c>
      <c r="I1471" s="46" t="s">
        <v>181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51" t="n">
        <v>46307</v>
      </c>
      <c r="X1471" s="46" t="n">
        <f aca="false">IF(I1471="Male",0,1)</f>
        <v>1</v>
      </c>
      <c r="Y1471" s="46" t="n">
        <f aca="false">IF(OR(I1471="DNB",I1471="Dry DNB"),1,0)</f>
        <v>0</v>
      </c>
      <c r="Z1471" s="46" t="n">
        <f aca="false">IF(ISNUMBER(W1471),A1471-W1471,"")</f>
        <v>2</v>
      </c>
      <c r="AA1471" s="46" t="n">
        <f aca="false">MATCH(A1471,DATAS,0)</f>
        <v>1</v>
      </c>
      <c r="AB1471" s="46" t="n">
        <f aca="false">IF(AND(E1471&gt;0,OR(AND(B1471&gt;=1,B1471&lt;=6),B1471=10)),1,0)</f>
        <v>1</v>
      </c>
      <c r="AC1471" s="46" t="n">
        <f aca="false">IF(AND(E1471&gt;0,B1471=10),1,0)</f>
        <v>0</v>
      </c>
      <c r="AD1471" s="0" t="str">
        <f aca="false">IF(AND(C1470=C1471,AA1470=AA1471-1),AB1470,"")</f>
        <v/>
      </c>
      <c r="AE1471" s="0" t="str">
        <f aca="false">IF(AND(C1470=C1471,AA1470=AA1471-1),AC1470,"")</f>
        <v/>
      </c>
      <c r="AF1471" s="0" t="str">
        <f aca="false">IF(AA1471=1,"",IF(AND(AB1471=1,AD1471&lt;&gt;1),1,0))</f>
        <v/>
      </c>
      <c r="AG1471" s="0" t="str">
        <f aca="false">IF(AA1471=1,"",IF(AND(AC1471=1,AE1471&lt;&gt;1),1,0))</f>
        <v/>
      </c>
      <c r="AH1471" s="51" t="str">
        <f aca="false">IF(AND(E1471&gt;0,AA1471&lt;1,NOT(AND(C1472=C1471,AA1472=AA1471+1))),INDEX(DATAS,AA1471+1),"")</f>
        <v/>
      </c>
      <c r="AI1471" s="51" t="str">
        <f aca="false">IF(AND(AC1471=1,AA1471&lt;1),IF(AND(C1472=C1471,AA1472=AA1471+1),IF(AC1472=1,"",INDEX(DATAS,AA1471+1)),INDEX(DATAS,AA1471+1)),"")</f>
        <v/>
      </c>
    </row>
    <row r="1472" customFormat="false" ht="15" hidden="false" customHeight="false" outlineLevel="0" collapsed="false">
      <c r="A1472" s="51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46" t="s">
        <v>954</v>
      </c>
      <c r="G1472" s="0" t="n">
        <v>43.4</v>
      </c>
      <c r="H1472" s="0" t="n">
        <v>44</v>
      </c>
      <c r="I1472" s="46" t="s">
        <v>138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51" t="n">
        <v>46263</v>
      </c>
      <c r="X1472" s="46" t="n">
        <f aca="false">IF(I1472="Male",0,1)</f>
        <v>1</v>
      </c>
      <c r="Y1472" s="46" t="n">
        <f aca="false">IF(OR(I1472="DNB",I1472="Dry DNB"),1,0)</f>
        <v>1</v>
      </c>
      <c r="Z1472" s="46" t="n">
        <f aca="false">IF(ISNUMBER(W1472),A1472-W1472,"")</f>
        <v>46</v>
      </c>
      <c r="AA1472" s="46" t="n">
        <f aca="false">MATCH(A1472,DATAS,0)</f>
        <v>1</v>
      </c>
      <c r="AB1472" s="46" t="n">
        <f aca="false">IF(AND(E1472&gt;0,OR(AND(B1472&gt;=1,B1472&lt;=6),B1472=10)),1,0)</f>
        <v>1</v>
      </c>
      <c r="AC1472" s="46" t="n">
        <f aca="false">IF(AND(E1472&gt;0,B1472=10),1,0)</f>
        <v>0</v>
      </c>
      <c r="AD1472" s="0" t="str">
        <f aca="false">IF(AND(C1471=C1472,AA1471=AA1472-1),AB1471,"")</f>
        <v/>
      </c>
      <c r="AE1472" s="0" t="str">
        <f aca="false">IF(AND(C1471=C1472,AA1471=AA1472-1),AC1471,"")</f>
        <v/>
      </c>
      <c r="AF1472" s="0" t="str">
        <f aca="false">IF(AA1472=1,"",IF(AND(AB1472=1,AD1472&lt;&gt;1),1,0))</f>
        <v/>
      </c>
      <c r="AG1472" s="0" t="str">
        <f aca="false">IF(AA1472=1,"",IF(AND(AC1472=1,AE1472&lt;&gt;1),1,0))</f>
        <v/>
      </c>
      <c r="AH1472" s="51" t="str">
        <f aca="false">IF(AND(E1472&gt;0,AA1472&lt;1,NOT(AND(C1473=C1472,AA1473=AA1472+1))),INDEX(DATAS,AA1472+1),"")</f>
        <v/>
      </c>
      <c r="AI1472" s="51" t="str">
        <f aca="false">IF(AND(AC1472=1,AA1472&lt;1),IF(AND(C1473=C1472,AA1473=AA1472+1),IF(AC1473=1,"",INDEX(DATAS,AA1472+1)),INDEX(DATAS,AA1472+1)),"")</f>
        <v/>
      </c>
    </row>
    <row r="1473" customFormat="false" ht="15" hidden="false" customHeight="false" outlineLevel="0" collapsed="false">
      <c r="A1473" s="51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46" t="s">
        <v>955</v>
      </c>
      <c r="G1473" s="0" t="n">
        <v>55.9</v>
      </c>
      <c r="H1473" s="0" t="n">
        <v>55</v>
      </c>
      <c r="I1473" s="46" t="s">
        <v>152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51" t="n">
        <v>46205</v>
      </c>
      <c r="X1473" s="46" t="n">
        <f aca="false">IF(I1473="Male",0,1)</f>
        <v>1</v>
      </c>
      <c r="Y1473" s="46" t="n">
        <f aca="false">IF(OR(I1473="DNB",I1473="Dry DNB"),1,0)</f>
        <v>0</v>
      </c>
      <c r="Z1473" s="46" t="n">
        <f aca="false">IF(ISNUMBER(W1473),A1473-W1473,"")</f>
        <v>104</v>
      </c>
      <c r="AA1473" s="46" t="n">
        <f aca="false">MATCH(A1473,DATAS,0)</f>
        <v>1</v>
      </c>
      <c r="AB1473" s="46" t="n">
        <f aca="false">IF(AND(E1473&gt;0,OR(AND(B1473&gt;=1,B1473&lt;=6),B1473=10)),1,0)</f>
        <v>1</v>
      </c>
      <c r="AC1473" s="46" t="n">
        <f aca="false">IF(AND(E1473&gt;0,B1473=10),1,0)</f>
        <v>0</v>
      </c>
      <c r="AD1473" s="0" t="str">
        <f aca="false">IF(AND(C1472=C1473,AA1472=AA1473-1),AB1472,"")</f>
        <v/>
      </c>
      <c r="AE1473" s="0" t="str">
        <f aca="false">IF(AND(C1472=C1473,AA1472=AA1473-1),AC1472,"")</f>
        <v/>
      </c>
      <c r="AF1473" s="0" t="str">
        <f aca="false">IF(AA1473=1,"",IF(AND(AB1473=1,AD1473&lt;&gt;1),1,0))</f>
        <v/>
      </c>
      <c r="AG1473" s="0" t="str">
        <f aca="false">IF(AA1473=1,"",IF(AND(AC1473=1,AE1473&lt;&gt;1),1,0))</f>
        <v/>
      </c>
      <c r="AH1473" s="51" t="str">
        <f aca="false">IF(AND(E1473&gt;0,AA1473&lt;1,NOT(AND(C1474=C1473,AA1474=AA1473+1))),INDEX(DATAS,AA1473+1),"")</f>
        <v/>
      </c>
      <c r="AI1473" s="51" t="str">
        <f aca="false">IF(AND(AC1473=1,AA1473&lt;1),IF(AND(C1474=C1473,AA1474=AA1473+1),IF(AC1474=1,"",INDEX(DATAS,AA1473+1)),INDEX(DATAS,AA1473+1)),"")</f>
        <v/>
      </c>
    </row>
    <row r="1474" customFormat="false" ht="15" hidden="false" customHeight="false" outlineLevel="0" collapsed="false">
      <c r="A1474" s="51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46" t="s">
        <v>955</v>
      </c>
      <c r="G1474" s="0" t="n">
        <v>48</v>
      </c>
      <c r="H1474" s="0" t="n">
        <v>46</v>
      </c>
      <c r="I1474" s="46" t="s">
        <v>181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51" t="n">
        <v>46303</v>
      </c>
      <c r="X1474" s="46" t="n">
        <f aca="false">IF(I1474="Male",0,1)</f>
        <v>1</v>
      </c>
      <c r="Y1474" s="46" t="n">
        <f aca="false">IF(OR(I1474="DNB",I1474="Dry DNB"),1,0)</f>
        <v>0</v>
      </c>
      <c r="Z1474" s="46" t="n">
        <f aca="false">IF(ISNUMBER(W1474),A1474-W1474,"")</f>
        <v>6</v>
      </c>
      <c r="AA1474" s="46" t="n">
        <f aca="false">MATCH(A1474,DATAS,0)</f>
        <v>1</v>
      </c>
      <c r="AB1474" s="46" t="n">
        <f aca="false">IF(AND(E1474&gt;0,OR(AND(B1474&gt;=1,B1474&lt;=6),B1474=10)),1,0)</f>
        <v>1</v>
      </c>
      <c r="AC1474" s="46" t="n">
        <f aca="false">IF(AND(E1474&gt;0,B1474=10),1,0)</f>
        <v>0</v>
      </c>
      <c r="AD1474" s="0" t="str">
        <f aca="false">IF(AND(C1473=C1474,AA1473=AA1474-1),AB1473,"")</f>
        <v/>
      </c>
      <c r="AE1474" s="0" t="str">
        <f aca="false">IF(AND(C1473=C1474,AA1473=AA1474-1),AC1473,"")</f>
        <v/>
      </c>
      <c r="AF1474" s="0" t="str">
        <f aca="false">IF(AA1474=1,"",IF(AND(AB1474=1,AD1474&lt;&gt;1),1,0))</f>
        <v/>
      </c>
      <c r="AG1474" s="0" t="str">
        <f aca="false">IF(AA1474=1,"",IF(AND(AC1474=1,AE1474&lt;&gt;1),1,0))</f>
        <v/>
      </c>
      <c r="AH1474" s="51" t="str">
        <f aca="false">IF(AND(E1474&gt;0,AA1474&lt;1,NOT(AND(C1475=C1474,AA1475=AA1474+1))),INDEX(DATAS,AA1474+1),"")</f>
        <v/>
      </c>
      <c r="AI1474" s="51" t="str">
        <f aca="false">IF(AND(AC1474=1,AA1474&lt;1),IF(AND(C1475=C1474,AA1475=AA1474+1),IF(AC1475=1,"",INDEX(DATAS,AA1474+1)),INDEX(DATAS,AA1474+1)),"")</f>
        <v/>
      </c>
    </row>
    <row r="1475" customFormat="false" ht="15" hidden="false" customHeight="false" outlineLevel="0" collapsed="false">
      <c r="A1475" s="51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46" t="s">
        <v>955</v>
      </c>
      <c r="G1475" s="0" t="n">
        <v>53.1</v>
      </c>
      <c r="H1475" s="0" t="n">
        <v>51</v>
      </c>
      <c r="I1475" s="46" t="s">
        <v>152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51" t="n">
        <v>46185</v>
      </c>
      <c r="X1475" s="46" t="n">
        <f aca="false">IF(I1475="Male",0,1)</f>
        <v>1</v>
      </c>
      <c r="Y1475" s="46" t="n">
        <f aca="false">IF(OR(I1475="DNB",I1475="Dry DNB"),1,0)</f>
        <v>0</v>
      </c>
      <c r="Z1475" s="46" t="n">
        <f aca="false">IF(ISNUMBER(W1475),A1475-W1475,"")</f>
        <v>124</v>
      </c>
      <c r="AA1475" s="46" t="n">
        <f aca="false">MATCH(A1475,DATAS,0)</f>
        <v>1</v>
      </c>
      <c r="AB1475" s="46" t="n">
        <f aca="false">IF(AND(E1475&gt;0,OR(AND(B1475&gt;=1,B1475&lt;=6),B1475=10)),1,0)</f>
        <v>1</v>
      </c>
      <c r="AC1475" s="46" t="n">
        <f aca="false">IF(AND(E1475&gt;0,B1475=10),1,0)</f>
        <v>0</v>
      </c>
      <c r="AD1475" s="0" t="str">
        <f aca="false">IF(AND(C1474=C1475,AA1474=AA1475-1),AB1474,"")</f>
        <v/>
      </c>
      <c r="AE1475" s="0" t="str">
        <f aca="false">IF(AND(C1474=C1475,AA1474=AA1475-1),AC1474,"")</f>
        <v/>
      </c>
      <c r="AF1475" s="0" t="str">
        <f aca="false">IF(AA1475=1,"",IF(AND(AB1475=1,AD1475&lt;&gt;1),1,0))</f>
        <v/>
      </c>
      <c r="AG1475" s="0" t="str">
        <f aca="false">IF(AA1475=1,"",IF(AND(AC1475=1,AE1475&lt;&gt;1),1,0))</f>
        <v/>
      </c>
      <c r="AH1475" s="51" t="str">
        <f aca="false">IF(AND(E1475&gt;0,AA1475&lt;1,NOT(AND(C1476=C1475,AA1476=AA1475+1))),INDEX(DATAS,AA1475+1),"")</f>
        <v/>
      </c>
      <c r="AI1475" s="51" t="str">
        <f aca="false">IF(AND(AC1475=1,AA1475&lt;1),IF(AND(C1476=C1475,AA1476=AA1475+1),IF(AC1476=1,"",INDEX(DATAS,AA1475+1)),INDEX(DATAS,AA1475+1)),"")</f>
        <v/>
      </c>
    </row>
    <row r="1476" customFormat="false" ht="15" hidden="false" customHeight="false" outlineLevel="0" collapsed="false">
      <c r="A1476" s="51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46" t="s">
        <v>153</v>
      </c>
      <c r="G1476" s="0" t="n">
        <v>52.3</v>
      </c>
      <c r="H1476" s="0" t="n">
        <v>51</v>
      </c>
      <c r="I1476" s="46" t="s">
        <v>152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51" t="n">
        <v>46199</v>
      </c>
      <c r="X1476" s="46" t="n">
        <f aca="false">IF(I1476="Male",0,1)</f>
        <v>1</v>
      </c>
      <c r="Y1476" s="46" t="n">
        <f aca="false">IF(OR(I1476="DNB",I1476="Dry DNB"),1,0)</f>
        <v>0</v>
      </c>
      <c r="Z1476" s="46" t="n">
        <f aca="false">IF(ISNUMBER(W1476),A1476-W1476,"")</f>
        <v>110</v>
      </c>
      <c r="AA1476" s="46" t="n">
        <f aca="false">MATCH(A1476,DATAS,0)</f>
        <v>1</v>
      </c>
      <c r="AB1476" s="46" t="n">
        <f aca="false">IF(AND(E1476&gt;0,OR(AND(B1476&gt;=1,B1476&lt;=6),B1476=10)),1,0)</f>
        <v>1</v>
      </c>
      <c r="AC1476" s="46" t="n">
        <f aca="false">IF(AND(E1476&gt;0,B1476=10),1,0)</f>
        <v>0</v>
      </c>
      <c r="AD1476" s="0" t="str">
        <f aca="false">IF(AND(C1475=C1476,AA1475=AA1476-1),AB1475,"")</f>
        <v/>
      </c>
      <c r="AE1476" s="0" t="str">
        <f aca="false">IF(AND(C1475=C1476,AA1475=AA1476-1),AC1475,"")</f>
        <v/>
      </c>
      <c r="AF1476" s="0" t="str">
        <f aca="false">IF(AA1476=1,"",IF(AND(AB1476=1,AD1476&lt;&gt;1),1,0))</f>
        <v/>
      </c>
      <c r="AG1476" s="0" t="str">
        <f aca="false">IF(AA1476=1,"",IF(AND(AC1476=1,AE1476&lt;&gt;1),1,0))</f>
        <v/>
      </c>
      <c r="AH1476" s="51" t="str">
        <f aca="false">IF(AND(E1476&gt;0,AA1476&lt;1,NOT(AND(C1477=C1476,AA1477=AA1476+1))),INDEX(DATAS,AA1476+1),"")</f>
        <v/>
      </c>
      <c r="AI1476" s="51" t="str">
        <f aca="false">IF(AND(AC1476=1,AA1476&lt;1),IF(AND(C1477=C1476,AA1477=AA1476+1),IF(AC1477=1,"",INDEX(DATAS,AA1476+1)),INDEX(DATAS,AA1476+1)),"")</f>
        <v/>
      </c>
    </row>
    <row r="1477" customFormat="false" ht="15" hidden="false" customHeight="false" outlineLevel="0" collapsed="false">
      <c r="A1477" s="51" t="n">
        <v>46309</v>
      </c>
      <c r="B1477" s="0" t="n">
        <v>8</v>
      </c>
      <c r="C1477" s="0" t="n">
        <v>5606</v>
      </c>
      <c r="E1477" s="0" t="n">
        <v>0</v>
      </c>
      <c r="F1477" s="46" t="s">
        <v>153</v>
      </c>
      <c r="I1477" s="46" t="s">
        <v>152</v>
      </c>
      <c r="L1477" s="0" t="n">
        <v>169</v>
      </c>
      <c r="U1477" s="0" t="n">
        <v>865</v>
      </c>
      <c r="V1477" s="0" t="n">
        <v>11</v>
      </c>
      <c r="W1477" s="51" t="n">
        <v>46141</v>
      </c>
      <c r="X1477" s="46" t="n">
        <f aca="false">IF(I1477="Male",0,1)</f>
        <v>1</v>
      </c>
      <c r="Y1477" s="46" t="n">
        <f aca="false">IF(OR(I1477="DNB",I1477="Dry DNB"),1,0)</f>
        <v>0</v>
      </c>
      <c r="Z1477" s="46" t="n">
        <f aca="false">IF(ISNUMBER(W1477),A1477-W1477,"")</f>
        <v>168</v>
      </c>
      <c r="AA1477" s="46" t="n">
        <f aca="false">MATCH(A1477,DATAS,0)</f>
        <v>1</v>
      </c>
      <c r="AB1477" s="46" t="n">
        <f aca="false">IF(AND(E1477&gt;0,OR(AND(B1477&gt;=1,B1477&lt;=6),B1477=10)),1,0)</f>
        <v>0</v>
      </c>
      <c r="AC1477" s="46" t="n">
        <f aca="false">IF(AND(E1477&gt;0,B1477=10),1,0)</f>
        <v>0</v>
      </c>
      <c r="AD1477" s="0" t="str">
        <f aca="false">IF(AND(C1476=C1477,AA1476=AA1477-1),AB1476,"")</f>
        <v/>
      </c>
      <c r="AE1477" s="0" t="str">
        <f aca="false">IF(AND(C1476=C1477,AA1476=AA1477-1),AC1476,"")</f>
        <v/>
      </c>
      <c r="AF1477" s="0" t="str">
        <f aca="false">IF(AA1477=1,"",IF(AND(AB1477=1,AD1477&lt;&gt;1),1,0))</f>
        <v/>
      </c>
      <c r="AG1477" s="0" t="str">
        <f aca="false">IF(AA1477=1,"",IF(AND(AC1477=1,AE1477&lt;&gt;1),1,0))</f>
        <v/>
      </c>
      <c r="AH1477" s="51" t="str">
        <f aca="false">IF(AND(E1477&gt;0,AA1477&lt;1,NOT(AND(C1478=C1477,AA1478=AA1477+1))),INDEX(DATAS,AA1477+1),"")</f>
        <v/>
      </c>
      <c r="AI1477" s="51" t="str">
        <f aca="false">IF(AND(AC1477=1,AA1477&lt;1),IF(AND(C1478=C1477,AA1478=AA1477+1),IF(AC1478=1,"",INDEX(DATAS,AA1477+1)),INDEX(DATAS,AA1477+1)),"")</f>
        <v/>
      </c>
    </row>
    <row r="1478" customFormat="false" ht="15" hidden="false" customHeight="false" outlineLevel="0" collapsed="false">
      <c r="A1478" s="51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46" t="s">
        <v>956</v>
      </c>
      <c r="G1478" s="0" t="n">
        <v>48.4</v>
      </c>
      <c r="H1478" s="0" t="n">
        <v>52</v>
      </c>
      <c r="I1478" s="46" t="s">
        <v>152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51" t="n">
        <v>46177</v>
      </c>
      <c r="X1478" s="46" t="n">
        <f aca="false">IF(I1478="Male",0,1)</f>
        <v>1</v>
      </c>
      <c r="Y1478" s="46" t="n">
        <f aca="false">IF(OR(I1478="DNB",I1478="Dry DNB"),1,0)</f>
        <v>0</v>
      </c>
      <c r="Z1478" s="46" t="n">
        <f aca="false">IF(ISNUMBER(W1478),A1478-W1478,"")</f>
        <v>132</v>
      </c>
      <c r="AA1478" s="46" t="n">
        <f aca="false">MATCH(A1478,DATAS,0)</f>
        <v>1</v>
      </c>
      <c r="AB1478" s="46" t="n">
        <f aca="false">IF(AND(E1478&gt;0,OR(AND(B1478&gt;=1,B1478&lt;=6),B1478=10)),1,0)</f>
        <v>1</v>
      </c>
      <c r="AC1478" s="46" t="n">
        <f aca="false">IF(AND(E1478&gt;0,B1478=10),1,0)</f>
        <v>0</v>
      </c>
      <c r="AD1478" s="0" t="str">
        <f aca="false">IF(AND(C1477=C1478,AA1477=AA1478-1),AB1477,"")</f>
        <v/>
      </c>
      <c r="AE1478" s="0" t="str">
        <f aca="false">IF(AND(C1477=C1478,AA1477=AA1478-1),AC1477,"")</f>
        <v/>
      </c>
      <c r="AF1478" s="0" t="str">
        <f aca="false">IF(AA1478=1,"",IF(AND(AB1478=1,AD1478&lt;&gt;1),1,0))</f>
        <v/>
      </c>
      <c r="AG1478" s="0" t="str">
        <f aca="false">IF(AA1478=1,"",IF(AND(AC1478=1,AE1478&lt;&gt;1),1,0))</f>
        <v/>
      </c>
      <c r="AH1478" s="51" t="str">
        <f aca="false">IF(AND(E1478&gt;0,AA1478&lt;1,NOT(AND(C1479=C1478,AA1479=AA1478+1))),INDEX(DATAS,AA1478+1),"")</f>
        <v/>
      </c>
      <c r="AI1478" s="51" t="str">
        <f aca="false">IF(AND(AC1478=1,AA1478&lt;1),IF(AND(C1479=C1478,AA1479=AA1478+1),IF(AC1479=1,"",INDEX(DATAS,AA1478+1)),INDEX(DATAS,AA1478+1)),"")</f>
        <v/>
      </c>
    </row>
    <row r="1479" customFormat="false" ht="15" hidden="false" customHeight="false" outlineLevel="0" collapsed="false">
      <c r="A1479" s="51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46" t="s">
        <v>956</v>
      </c>
      <c r="G1479" s="0" t="n">
        <v>38</v>
      </c>
      <c r="H1479" s="0" t="n">
        <v>41</v>
      </c>
      <c r="I1479" s="46" t="s">
        <v>152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51" t="n">
        <v>46170</v>
      </c>
      <c r="X1479" s="46" t="n">
        <f aca="false">IF(I1479="Male",0,1)</f>
        <v>1</v>
      </c>
      <c r="Y1479" s="46" t="n">
        <f aca="false">IF(OR(I1479="DNB",I1479="Dry DNB"),1,0)</f>
        <v>0</v>
      </c>
      <c r="Z1479" s="46" t="n">
        <f aca="false">IF(ISNUMBER(W1479),A1479-W1479,"")</f>
        <v>139</v>
      </c>
      <c r="AA1479" s="46" t="n">
        <f aca="false">MATCH(A1479,DATAS,0)</f>
        <v>1</v>
      </c>
      <c r="AB1479" s="46" t="n">
        <f aca="false">IF(AND(E1479&gt;0,OR(AND(B1479&gt;=1,B1479&lt;=6),B1479=10)),1,0)</f>
        <v>1</v>
      </c>
      <c r="AC1479" s="46" t="n">
        <f aca="false">IF(AND(E1479&gt;0,B1479=10),1,0)</f>
        <v>0</v>
      </c>
      <c r="AD1479" s="0" t="str">
        <f aca="false">IF(AND(C1478=C1479,AA1478=AA1479-1),AB1478,"")</f>
        <v/>
      </c>
      <c r="AE1479" s="0" t="str">
        <f aca="false">IF(AND(C1478=C1479,AA1478=AA1479-1),AC1478,"")</f>
        <v/>
      </c>
      <c r="AF1479" s="0" t="str">
        <f aca="false">IF(AA1479=1,"",IF(AND(AB1479=1,AD1479&lt;&gt;1),1,0))</f>
        <v/>
      </c>
      <c r="AG1479" s="0" t="str">
        <f aca="false">IF(AA1479=1,"",IF(AND(AC1479=1,AE1479&lt;&gt;1),1,0))</f>
        <v/>
      </c>
      <c r="AH1479" s="51" t="str">
        <f aca="false">IF(AND(E1479&gt;0,AA1479&lt;1,NOT(AND(C1480=C1479,AA1480=AA1479+1))),INDEX(DATAS,AA1479+1),"")</f>
        <v/>
      </c>
      <c r="AI1479" s="51" t="str">
        <f aca="false">IF(AND(AC1479=1,AA1479&lt;1),IF(AND(C1480=C1479,AA1480=AA1479+1),IF(AC1480=1,"",INDEX(DATAS,AA1479+1)),INDEX(DATAS,AA1479+1)),"")</f>
        <v/>
      </c>
    </row>
    <row r="1480" customFormat="false" ht="15" hidden="false" customHeight="false" outlineLevel="0" collapsed="false">
      <c r="A1480" s="51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46" t="s">
        <v>956</v>
      </c>
      <c r="G1480" s="0" t="n">
        <v>49.5</v>
      </c>
      <c r="H1480" s="0" t="n">
        <v>48</v>
      </c>
      <c r="I1480" s="46" t="s">
        <v>152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51" t="n">
        <v>46221</v>
      </c>
      <c r="X1480" s="46" t="n">
        <f aca="false">IF(I1480="Male",0,1)</f>
        <v>1</v>
      </c>
      <c r="Y1480" s="46" t="n">
        <f aca="false">IF(OR(I1480="DNB",I1480="Dry DNB"),1,0)</f>
        <v>0</v>
      </c>
      <c r="Z1480" s="46" t="n">
        <f aca="false">IF(ISNUMBER(W1480),A1480-W1480,"")</f>
        <v>88</v>
      </c>
      <c r="AA1480" s="46" t="n">
        <f aca="false">MATCH(A1480,DATAS,0)</f>
        <v>1</v>
      </c>
      <c r="AB1480" s="46" t="n">
        <f aca="false">IF(AND(E1480&gt;0,OR(AND(B1480&gt;=1,B1480&lt;=6),B1480=10)),1,0)</f>
        <v>1</v>
      </c>
      <c r="AC1480" s="46" t="n">
        <f aca="false">IF(AND(E1480&gt;0,B1480=10),1,0)</f>
        <v>0</v>
      </c>
      <c r="AD1480" s="0" t="str">
        <f aca="false">IF(AND(C1479=C1480,AA1479=AA1480-1),AB1479,"")</f>
        <v/>
      </c>
      <c r="AE1480" s="0" t="str">
        <f aca="false">IF(AND(C1479=C1480,AA1479=AA1480-1),AC1479,"")</f>
        <v/>
      </c>
      <c r="AF1480" s="0" t="str">
        <f aca="false">IF(AA1480=1,"",IF(AND(AB1480=1,AD1480&lt;&gt;1),1,0))</f>
        <v/>
      </c>
      <c r="AG1480" s="0" t="str">
        <f aca="false">IF(AA1480=1,"",IF(AND(AC1480=1,AE1480&lt;&gt;1),1,0))</f>
        <v/>
      </c>
      <c r="AH1480" s="51" t="str">
        <f aca="false">IF(AND(E1480&gt;0,AA1480&lt;1,NOT(AND(C1481=C1480,AA1481=AA1480+1))),INDEX(DATAS,AA1480+1),"")</f>
        <v/>
      </c>
      <c r="AI1480" s="51" t="str">
        <f aca="false">IF(AND(AC1480=1,AA1480&lt;1),IF(AND(C1481=C1480,AA1481=AA1480+1),IF(AC1481=1,"",INDEX(DATAS,AA1480+1)),INDEX(DATAS,AA1480+1)),"")</f>
        <v/>
      </c>
    </row>
    <row r="1481" customFormat="false" ht="15" hidden="false" customHeight="false" outlineLevel="0" collapsed="false">
      <c r="A1481" s="51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46" t="s">
        <v>956</v>
      </c>
      <c r="G1481" s="0" t="n">
        <v>52.4</v>
      </c>
      <c r="H1481" s="0" t="n">
        <v>54</v>
      </c>
      <c r="I1481" s="46" t="s">
        <v>152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51" t="n">
        <v>46156</v>
      </c>
      <c r="X1481" s="46" t="n">
        <f aca="false">IF(I1481="Male",0,1)</f>
        <v>1</v>
      </c>
      <c r="Y1481" s="46" t="n">
        <f aca="false">IF(OR(I1481="DNB",I1481="Dry DNB"),1,0)</f>
        <v>0</v>
      </c>
      <c r="Z1481" s="46" t="n">
        <f aca="false">IF(ISNUMBER(W1481),A1481-W1481,"")</f>
        <v>153</v>
      </c>
      <c r="AA1481" s="46" t="n">
        <f aca="false">MATCH(A1481,DATAS,0)</f>
        <v>1</v>
      </c>
      <c r="AB1481" s="46" t="n">
        <f aca="false">IF(AND(E1481&gt;0,OR(AND(B1481&gt;=1,B1481&lt;=6),B1481=10)),1,0)</f>
        <v>1</v>
      </c>
      <c r="AC1481" s="46" t="n">
        <f aca="false">IF(AND(E1481&gt;0,B1481=10),1,0)</f>
        <v>0</v>
      </c>
      <c r="AD1481" s="0" t="str">
        <f aca="false">IF(AND(C1480=C1481,AA1480=AA1481-1),AB1480,"")</f>
        <v/>
      </c>
      <c r="AE1481" s="0" t="str">
        <f aca="false">IF(AND(C1480=C1481,AA1480=AA1481-1),AC1480,"")</f>
        <v/>
      </c>
      <c r="AF1481" s="0" t="str">
        <f aca="false">IF(AA1481=1,"",IF(AND(AB1481=1,AD1481&lt;&gt;1),1,0))</f>
        <v/>
      </c>
      <c r="AG1481" s="0" t="str">
        <f aca="false">IF(AA1481=1,"",IF(AND(AC1481=1,AE1481&lt;&gt;1),1,0))</f>
        <v/>
      </c>
      <c r="AH1481" s="51" t="str">
        <f aca="false">IF(AND(E1481&gt;0,AA1481&lt;1,NOT(AND(C1482=C1481,AA1482=AA1481+1))),INDEX(DATAS,AA1481+1),"")</f>
        <v/>
      </c>
      <c r="AI1481" s="51" t="str">
        <f aca="false">IF(AND(AC1481=1,AA1481&lt;1),IF(AND(C1482=C1481,AA1482=AA1481+1),IF(AC1482=1,"",INDEX(DATAS,AA1481+1)),INDEX(DATAS,AA1481+1)),"")</f>
        <v/>
      </c>
    </row>
    <row r="1482" customFormat="false" ht="15" hidden="false" customHeight="false" outlineLevel="0" collapsed="false">
      <c r="A1482" s="51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46" t="s">
        <v>957</v>
      </c>
      <c r="G1482" s="0" t="n">
        <v>35.2</v>
      </c>
      <c r="H1482" s="0" t="n">
        <v>36</v>
      </c>
      <c r="I1482" s="46" t="s">
        <v>152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51" t="n">
        <v>46219</v>
      </c>
      <c r="X1482" s="46" t="n">
        <f aca="false">IF(I1482="Male",0,1)</f>
        <v>1</v>
      </c>
      <c r="Y1482" s="46" t="n">
        <f aca="false">IF(OR(I1482="DNB",I1482="Dry DNB"),1,0)</f>
        <v>0</v>
      </c>
      <c r="Z1482" s="46" t="n">
        <f aca="false">IF(ISNUMBER(W1482),A1482-W1482,"")</f>
        <v>90</v>
      </c>
      <c r="AA1482" s="46" t="n">
        <f aca="false">MATCH(A1482,DATAS,0)</f>
        <v>1</v>
      </c>
      <c r="AB1482" s="46" t="n">
        <f aca="false">IF(AND(E1482&gt;0,OR(AND(B1482&gt;=1,B1482&lt;=6),B1482=10)),1,0)</f>
        <v>1</v>
      </c>
      <c r="AC1482" s="46" t="n">
        <f aca="false">IF(AND(E1482&gt;0,B1482=10),1,0)</f>
        <v>0</v>
      </c>
      <c r="AD1482" s="0" t="str">
        <f aca="false">IF(AND(C1481=C1482,AA1481=AA1482-1),AB1481,"")</f>
        <v/>
      </c>
      <c r="AE1482" s="0" t="str">
        <f aca="false">IF(AND(C1481=C1482,AA1481=AA1482-1),AC1481,"")</f>
        <v/>
      </c>
      <c r="AF1482" s="0" t="str">
        <f aca="false">IF(AA1482=1,"",IF(AND(AB1482=1,AD1482&lt;&gt;1),1,0))</f>
        <v/>
      </c>
      <c r="AG1482" s="0" t="str">
        <f aca="false">IF(AA1482=1,"",IF(AND(AC1482=1,AE1482&lt;&gt;1),1,0))</f>
        <v/>
      </c>
      <c r="AH1482" s="51" t="str">
        <f aca="false">IF(AND(E1482&gt;0,AA1482&lt;1,NOT(AND(C1483=C1482,AA1483=AA1482+1))),INDEX(DATAS,AA1482+1),"")</f>
        <v/>
      </c>
      <c r="AI1482" s="51" t="str">
        <f aca="false">IF(AND(AC1482=1,AA1482&lt;1),IF(AND(C1483=C1482,AA1483=AA1482+1),IF(AC1483=1,"",INDEX(DATAS,AA1482+1)),INDEX(DATAS,AA1482+1)),"")</f>
        <v/>
      </c>
    </row>
    <row r="1483" customFormat="false" ht="15" hidden="false" customHeight="false" outlineLevel="0" collapsed="false">
      <c r="A1483" s="51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46" t="s">
        <v>957</v>
      </c>
      <c r="G1483" s="0" t="n">
        <v>52.2</v>
      </c>
      <c r="H1483" s="0" t="n">
        <v>52</v>
      </c>
      <c r="I1483" s="46" t="s">
        <v>161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X1483" s="46" t="n">
        <f aca="false">IF(I1483="Male",0,1)</f>
        <v>1</v>
      </c>
      <c r="Y1483" s="46" t="n">
        <f aca="false">IF(OR(I1483="DNB",I1483="Dry DNB"),1,0)</f>
        <v>0</v>
      </c>
      <c r="Z1483" s="0" t="str">
        <f aca="false">IF(ISNUMBER(W1483),A1483-W1483,"")</f>
        <v/>
      </c>
      <c r="AA1483" s="46" t="n">
        <f aca="false">MATCH(A1483,DATAS,0)</f>
        <v>1</v>
      </c>
      <c r="AB1483" s="46" t="n">
        <f aca="false">IF(AND(E1483&gt;0,OR(AND(B1483&gt;=1,B1483&lt;=6),B1483=10)),1,0)</f>
        <v>1</v>
      </c>
      <c r="AC1483" s="46" t="n">
        <f aca="false">IF(AND(E1483&gt;0,B1483=10),1,0)</f>
        <v>0</v>
      </c>
      <c r="AD1483" s="0" t="str">
        <f aca="false">IF(AND(C1482=C1483,AA1482=AA1483-1),AB1482,"")</f>
        <v/>
      </c>
      <c r="AE1483" s="0" t="str">
        <f aca="false">IF(AND(C1482=C1483,AA1482=AA1483-1),AC1482,"")</f>
        <v/>
      </c>
      <c r="AF1483" s="0" t="str">
        <f aca="false">IF(AA1483=1,"",IF(AND(AB1483=1,AD1483&lt;&gt;1),1,0))</f>
        <v/>
      </c>
      <c r="AG1483" s="0" t="str">
        <f aca="false">IF(AA1483=1,"",IF(AND(AC1483=1,AE1483&lt;&gt;1),1,0))</f>
        <v/>
      </c>
      <c r="AH1483" s="51" t="str">
        <f aca="false">IF(AND(E1483&gt;0,AA1483&lt;1,NOT(AND(C1484=C1483,AA1484=AA1483+1))),INDEX(DATAS,AA1483+1),"")</f>
        <v/>
      </c>
      <c r="AI1483" s="51" t="str">
        <f aca="false">IF(AND(AC1483=1,AA1483&lt;1),IF(AND(C1484=C1483,AA1484=AA1483+1),IF(AC1484=1,"",INDEX(DATAS,AA1483+1)),INDEX(DATAS,AA1483+1)),"")</f>
        <v/>
      </c>
    </row>
    <row r="1484" customFormat="false" ht="15" hidden="false" customHeight="false" outlineLevel="0" collapsed="false">
      <c r="A1484" s="51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46" t="s">
        <v>958</v>
      </c>
      <c r="G1484" s="0" t="n">
        <v>35.7</v>
      </c>
      <c r="H1484" s="0" t="n">
        <v>39</v>
      </c>
      <c r="I1484" s="46" t="s">
        <v>152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51" t="n">
        <v>46268</v>
      </c>
      <c r="X1484" s="46" t="n">
        <f aca="false">IF(I1484="Male",0,1)</f>
        <v>1</v>
      </c>
      <c r="Y1484" s="46" t="n">
        <f aca="false">IF(OR(I1484="DNB",I1484="Dry DNB"),1,0)</f>
        <v>0</v>
      </c>
      <c r="Z1484" s="46" t="n">
        <f aca="false">IF(ISNUMBER(W1484),A1484-W1484,"")</f>
        <v>41</v>
      </c>
      <c r="AA1484" s="46" t="n">
        <f aca="false">MATCH(A1484,DATAS,0)</f>
        <v>1</v>
      </c>
      <c r="AB1484" s="46" t="n">
        <f aca="false">IF(AND(E1484&gt;0,OR(AND(B1484&gt;=1,B1484&lt;=6),B1484=10)),1,0)</f>
        <v>1</v>
      </c>
      <c r="AC1484" s="46" t="n">
        <f aca="false">IF(AND(E1484&gt;0,B1484=10),1,0)</f>
        <v>0</v>
      </c>
      <c r="AD1484" s="0" t="str">
        <f aca="false">IF(AND(C1483=C1484,AA1483=AA1484-1),AB1483,"")</f>
        <v/>
      </c>
      <c r="AE1484" s="0" t="str">
        <f aca="false">IF(AND(C1483=C1484,AA1483=AA1484-1),AC1483,"")</f>
        <v/>
      </c>
      <c r="AF1484" s="0" t="str">
        <f aca="false">IF(AA1484=1,"",IF(AND(AB1484=1,AD1484&lt;&gt;1),1,0))</f>
        <v/>
      </c>
      <c r="AG1484" s="0" t="str">
        <f aca="false">IF(AA1484=1,"",IF(AND(AC1484=1,AE1484&lt;&gt;1),1,0))</f>
        <v/>
      </c>
      <c r="AH1484" s="51" t="str">
        <f aca="false">IF(AND(E1484&gt;0,AA1484&lt;1,NOT(AND(C1485=C1484,AA1485=AA1484+1))),INDEX(DATAS,AA1484+1),"")</f>
        <v/>
      </c>
      <c r="AI1484" s="51" t="str">
        <f aca="false">IF(AND(AC1484=1,AA1484&lt;1),IF(AND(C1485=C1484,AA1485=AA1484+1),IF(AC1485=1,"",INDEX(DATAS,AA1484+1)),INDEX(DATAS,AA1484+1)),"")</f>
        <v/>
      </c>
    </row>
    <row r="1485" customFormat="false" ht="15" hidden="false" customHeight="false" outlineLevel="0" collapsed="false">
      <c r="A1485" s="51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46" t="s">
        <v>958</v>
      </c>
      <c r="G1485" s="0" t="n">
        <v>48.9</v>
      </c>
      <c r="H1485" s="0" t="n">
        <v>50</v>
      </c>
      <c r="I1485" s="46" t="s">
        <v>189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51" t="n">
        <v>46275</v>
      </c>
      <c r="X1485" s="46" t="n">
        <f aca="false">IF(I1485="Male",0,1)</f>
        <v>1</v>
      </c>
      <c r="Y1485" s="46" t="n">
        <f aca="false">IF(OR(I1485="DNB",I1485="Dry DNB"),1,0)</f>
        <v>0</v>
      </c>
      <c r="Z1485" s="46" t="n">
        <f aca="false">IF(ISNUMBER(W1485),A1485-W1485,"")</f>
        <v>34</v>
      </c>
      <c r="AA1485" s="46" t="n">
        <f aca="false">MATCH(A1485,DATAS,0)</f>
        <v>1</v>
      </c>
      <c r="AB1485" s="46" t="n">
        <f aca="false">IF(AND(E1485&gt;0,OR(AND(B1485&gt;=1,B1485&lt;=6),B1485=10)),1,0)</f>
        <v>1</v>
      </c>
      <c r="AC1485" s="46" t="n">
        <f aca="false">IF(AND(E1485&gt;0,B1485=10),1,0)</f>
        <v>0</v>
      </c>
      <c r="AD1485" s="0" t="str">
        <f aca="false">IF(AND(C1484=C1485,AA1484=AA1485-1),AB1484,"")</f>
        <v/>
      </c>
      <c r="AE1485" s="0" t="str">
        <f aca="false">IF(AND(C1484=C1485,AA1484=AA1485-1),AC1484,"")</f>
        <v/>
      </c>
      <c r="AF1485" s="0" t="str">
        <f aca="false">IF(AA1485=1,"",IF(AND(AB1485=1,AD1485&lt;&gt;1),1,0))</f>
        <v/>
      </c>
      <c r="AG1485" s="0" t="str">
        <f aca="false">IF(AA1485=1,"",IF(AND(AC1485=1,AE1485&lt;&gt;1),1,0))</f>
        <v/>
      </c>
      <c r="AH1485" s="51" t="str">
        <f aca="false">IF(AND(E1485&gt;0,AA1485&lt;1,NOT(AND(C1486=C1485,AA1486=AA1485+1))),INDEX(DATAS,AA1485+1),"")</f>
        <v/>
      </c>
      <c r="AI1485" s="51" t="str">
        <f aca="false">IF(AND(AC1485=1,AA1485&lt;1),IF(AND(C1486=C1485,AA1486=AA1485+1),IF(AC1486=1,"",INDEX(DATAS,AA1485+1)),INDEX(DATAS,AA1485+1)),"")</f>
        <v/>
      </c>
    </row>
    <row r="1486" customFormat="false" ht="15" hidden="false" customHeight="false" outlineLevel="0" collapsed="false">
      <c r="A1486" s="51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46" t="s">
        <v>957</v>
      </c>
      <c r="G1486" s="0" t="n">
        <v>50.1</v>
      </c>
      <c r="H1486" s="0" t="n">
        <v>51</v>
      </c>
      <c r="I1486" s="46" t="s">
        <v>152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51" t="n">
        <v>46163</v>
      </c>
      <c r="X1486" s="46" t="n">
        <f aca="false">IF(I1486="Male",0,1)</f>
        <v>1</v>
      </c>
      <c r="Y1486" s="46" t="n">
        <f aca="false">IF(OR(I1486="DNB",I1486="Dry DNB"),1,0)</f>
        <v>0</v>
      </c>
      <c r="Z1486" s="46" t="n">
        <f aca="false">IF(ISNUMBER(W1486),A1486-W1486,"")</f>
        <v>146</v>
      </c>
      <c r="AA1486" s="46" t="n">
        <f aca="false">MATCH(A1486,DATAS,0)</f>
        <v>1</v>
      </c>
      <c r="AB1486" s="46" t="n">
        <f aca="false">IF(AND(E1486&gt;0,OR(AND(B1486&gt;=1,B1486&lt;=6),B1486=10)),1,0)</f>
        <v>1</v>
      </c>
      <c r="AC1486" s="46" t="n">
        <f aca="false">IF(AND(E1486&gt;0,B1486=10),1,0)</f>
        <v>0</v>
      </c>
      <c r="AD1486" s="0" t="str">
        <f aca="false">IF(AND(C1485=C1486,AA1485=AA1486-1),AB1485,"")</f>
        <v/>
      </c>
      <c r="AE1486" s="0" t="str">
        <f aca="false">IF(AND(C1485=C1486,AA1485=AA1486-1),AC1485,"")</f>
        <v/>
      </c>
      <c r="AF1486" s="0" t="str">
        <f aca="false">IF(AA1486=1,"",IF(AND(AB1486=1,AD1486&lt;&gt;1),1,0))</f>
        <v/>
      </c>
      <c r="AG1486" s="0" t="str">
        <f aca="false">IF(AA1486=1,"",IF(AND(AC1486=1,AE1486&lt;&gt;1),1,0))</f>
        <v/>
      </c>
      <c r="AH1486" s="51" t="str">
        <f aca="false">IF(AND(E1486&gt;0,AA1486&lt;1,NOT(AND(C1487=C1486,AA1487=AA1486+1))),INDEX(DATAS,AA1486+1),"")</f>
        <v/>
      </c>
      <c r="AI1486" s="51" t="str">
        <f aca="false">IF(AND(AC1486=1,AA1486&lt;1),IF(AND(C1487=C1486,AA1487=AA1486+1),IF(AC1487=1,"",INDEX(DATAS,AA1486+1)),INDEX(DATAS,AA1486+1)),"")</f>
        <v/>
      </c>
    </row>
    <row r="1487" customFormat="false" ht="15" hidden="false" customHeight="false" outlineLevel="0" collapsed="false">
      <c r="A1487" s="51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46" t="s">
        <v>958</v>
      </c>
      <c r="G1487" s="0" t="n">
        <v>42.3</v>
      </c>
      <c r="H1487" s="0" t="n">
        <v>46</v>
      </c>
      <c r="I1487" s="46" t="s">
        <v>152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51" t="n">
        <v>46157</v>
      </c>
      <c r="X1487" s="46" t="n">
        <f aca="false">IF(I1487="Male",0,1)</f>
        <v>1</v>
      </c>
      <c r="Y1487" s="46" t="n">
        <f aca="false">IF(OR(I1487="DNB",I1487="Dry DNB"),1,0)</f>
        <v>0</v>
      </c>
      <c r="Z1487" s="46" t="n">
        <f aca="false">IF(ISNUMBER(W1487),A1487-W1487,"")</f>
        <v>152</v>
      </c>
      <c r="AA1487" s="46" t="n">
        <f aca="false">MATCH(A1487,DATAS,0)</f>
        <v>1</v>
      </c>
      <c r="AB1487" s="46" t="n">
        <f aca="false">IF(AND(E1487&gt;0,OR(AND(B1487&gt;=1,B1487&lt;=6),B1487=10)),1,0)</f>
        <v>1</v>
      </c>
      <c r="AC1487" s="46" t="n">
        <f aca="false">IF(AND(E1487&gt;0,B1487=10),1,0)</f>
        <v>0</v>
      </c>
      <c r="AD1487" s="0" t="str">
        <f aca="false">IF(AND(C1486=C1487,AA1486=AA1487-1),AB1486,"")</f>
        <v/>
      </c>
      <c r="AE1487" s="0" t="str">
        <f aca="false">IF(AND(C1486=C1487,AA1486=AA1487-1),AC1486,"")</f>
        <v/>
      </c>
      <c r="AF1487" s="0" t="str">
        <f aca="false">IF(AA1487=1,"",IF(AND(AB1487=1,AD1487&lt;&gt;1),1,0))</f>
        <v/>
      </c>
      <c r="AG1487" s="0" t="str">
        <f aca="false">IF(AA1487=1,"",IF(AND(AC1487=1,AE1487&lt;&gt;1),1,0))</f>
        <v/>
      </c>
      <c r="AH1487" s="51" t="str">
        <f aca="false">IF(AND(E1487&gt;0,AA1487&lt;1,NOT(AND(C1488=C1487,AA1488=AA1487+1))),INDEX(DATAS,AA1487+1),"")</f>
        <v/>
      </c>
      <c r="AI1487" s="51" t="str">
        <f aca="false">IF(AND(AC1487=1,AA1487&lt;1),IF(AND(C1488=C1487,AA1488=AA1487+1),IF(AC1488=1,"",INDEX(DATAS,AA1487+1)),INDEX(DATAS,AA1487+1)),"")</f>
        <v/>
      </c>
    </row>
    <row r="1488" customFormat="false" ht="15" hidden="false" customHeight="false" outlineLevel="0" collapsed="false">
      <c r="A1488" s="51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46" t="s">
        <v>958</v>
      </c>
      <c r="G1488" s="0" t="n">
        <v>59.3</v>
      </c>
      <c r="H1488" s="0" t="n">
        <v>57</v>
      </c>
      <c r="I1488" s="46" t="s">
        <v>181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51" t="n">
        <v>46305</v>
      </c>
      <c r="X1488" s="46" t="n">
        <f aca="false">IF(I1488="Male",0,1)</f>
        <v>1</v>
      </c>
      <c r="Y1488" s="46" t="n">
        <f aca="false">IF(OR(I1488="DNB",I1488="Dry DNB"),1,0)</f>
        <v>0</v>
      </c>
      <c r="Z1488" s="46" t="n">
        <f aca="false">IF(ISNUMBER(W1488),A1488-W1488,"")</f>
        <v>4</v>
      </c>
      <c r="AA1488" s="46" t="n">
        <f aca="false">MATCH(A1488,DATAS,0)</f>
        <v>1</v>
      </c>
      <c r="AB1488" s="46" t="n">
        <f aca="false">IF(AND(E1488&gt;0,OR(AND(B1488&gt;=1,B1488&lt;=6),B1488=10)),1,0)</f>
        <v>1</v>
      </c>
      <c r="AC1488" s="46" t="n">
        <f aca="false">IF(AND(E1488&gt;0,B1488=10),1,0)</f>
        <v>0</v>
      </c>
      <c r="AD1488" s="0" t="str">
        <f aca="false">IF(AND(C1487=C1488,AA1487=AA1488-1),AB1487,"")</f>
        <v/>
      </c>
      <c r="AE1488" s="0" t="str">
        <f aca="false">IF(AND(C1487=C1488,AA1487=AA1488-1),AC1487,"")</f>
        <v/>
      </c>
      <c r="AF1488" s="0" t="str">
        <f aca="false">IF(AA1488=1,"",IF(AND(AB1488=1,AD1488&lt;&gt;1),1,0))</f>
        <v/>
      </c>
      <c r="AG1488" s="0" t="str">
        <f aca="false">IF(AA1488=1,"",IF(AND(AC1488=1,AE1488&lt;&gt;1),1,0))</f>
        <v/>
      </c>
      <c r="AH1488" s="51" t="str">
        <f aca="false">IF(AND(E1488&gt;0,AA1488&lt;1,NOT(AND(C1489=C1488,AA1489=AA1488+1))),INDEX(DATAS,AA1488+1),"")</f>
        <v/>
      </c>
      <c r="AI1488" s="51" t="str">
        <f aca="false">IF(AND(AC1488=1,AA1488&lt;1),IF(AND(C1489=C1488,AA1489=AA1488+1),IF(AC1489=1,"",INDEX(DATAS,AA1488+1)),INDEX(DATAS,AA1488+1)),"")</f>
        <v/>
      </c>
    </row>
    <row r="1489" customFormat="false" ht="15" hidden="false" customHeight="false" outlineLevel="0" collapsed="false">
      <c r="A1489" s="51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46" t="s">
        <v>958</v>
      </c>
      <c r="G1489" s="0" t="n">
        <v>46.6</v>
      </c>
      <c r="H1489" s="0" t="n">
        <v>47</v>
      </c>
      <c r="I1489" s="46" t="s">
        <v>152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51" t="n">
        <v>46170</v>
      </c>
      <c r="X1489" s="46" t="n">
        <f aca="false">IF(I1489="Male",0,1)</f>
        <v>1</v>
      </c>
      <c r="Y1489" s="46" t="n">
        <f aca="false">IF(OR(I1489="DNB",I1489="Dry DNB"),1,0)</f>
        <v>0</v>
      </c>
      <c r="Z1489" s="46" t="n">
        <f aca="false">IF(ISNUMBER(W1489),A1489-W1489,"")</f>
        <v>139</v>
      </c>
      <c r="AA1489" s="46" t="n">
        <f aca="false">MATCH(A1489,DATAS,0)</f>
        <v>1</v>
      </c>
      <c r="AB1489" s="46" t="n">
        <f aca="false">IF(AND(E1489&gt;0,OR(AND(B1489&gt;=1,B1489&lt;=6),B1489=10)),1,0)</f>
        <v>1</v>
      </c>
      <c r="AC1489" s="46" t="n">
        <f aca="false">IF(AND(E1489&gt;0,B1489=10),1,0)</f>
        <v>0</v>
      </c>
      <c r="AD1489" s="0" t="str">
        <f aca="false">IF(AND(C1488=C1489,AA1488=AA1489-1),AB1488,"")</f>
        <v/>
      </c>
      <c r="AE1489" s="0" t="str">
        <f aca="false">IF(AND(C1488=C1489,AA1488=AA1489-1),AC1488,"")</f>
        <v/>
      </c>
      <c r="AF1489" s="0" t="str">
        <f aca="false">IF(AA1489=1,"",IF(AND(AB1489=1,AD1489&lt;&gt;1),1,0))</f>
        <v/>
      </c>
      <c r="AG1489" s="0" t="str">
        <f aca="false">IF(AA1489=1,"",IF(AND(AC1489=1,AE1489&lt;&gt;1),1,0))</f>
        <v/>
      </c>
      <c r="AH1489" s="51" t="str">
        <f aca="false">IF(AND(E1489&gt;0,AA1489&lt;1,NOT(AND(C1490=C1489,AA1490=AA1489+1))),INDEX(DATAS,AA1489+1),"")</f>
        <v/>
      </c>
      <c r="AI1489" s="51" t="str">
        <f aca="false">IF(AND(AC1489=1,AA1489&lt;1),IF(AND(C1490=C1489,AA1490=AA1489+1),IF(AC1490=1,"",INDEX(DATAS,AA1489+1)),INDEX(DATAS,AA1489+1)),"")</f>
        <v/>
      </c>
    </row>
    <row r="1490" customFormat="false" ht="15" hidden="false" customHeight="false" outlineLevel="0" collapsed="false">
      <c r="A1490" s="51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46" t="s">
        <v>958</v>
      </c>
      <c r="G1490" s="0" t="n">
        <v>25.5</v>
      </c>
      <c r="H1490" s="0" t="n">
        <v>37</v>
      </c>
      <c r="I1490" s="46" t="s">
        <v>189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51" t="n">
        <v>46268</v>
      </c>
      <c r="X1490" s="46" t="n">
        <f aca="false">IF(I1490="Male",0,1)</f>
        <v>1</v>
      </c>
      <c r="Y1490" s="46" t="n">
        <f aca="false">IF(OR(I1490="DNB",I1490="Dry DNB"),1,0)</f>
        <v>0</v>
      </c>
      <c r="Z1490" s="46" t="n">
        <f aca="false">IF(ISNUMBER(W1490),A1490-W1490,"")</f>
        <v>41</v>
      </c>
      <c r="AA1490" s="46" t="n">
        <f aca="false">MATCH(A1490,DATAS,0)</f>
        <v>1</v>
      </c>
      <c r="AB1490" s="46" t="n">
        <f aca="false">IF(AND(E1490&gt;0,OR(AND(B1490&gt;=1,B1490&lt;=6),B1490=10)),1,0)</f>
        <v>1</v>
      </c>
      <c r="AC1490" s="46" t="n">
        <f aca="false">IF(AND(E1490&gt;0,B1490=10),1,0)</f>
        <v>0</v>
      </c>
      <c r="AD1490" s="0" t="str">
        <f aca="false">IF(AND(C1489=C1490,AA1489=AA1490-1),AB1489,"")</f>
        <v/>
      </c>
      <c r="AE1490" s="0" t="str">
        <f aca="false">IF(AND(C1489=C1490,AA1489=AA1490-1),AC1489,"")</f>
        <v/>
      </c>
      <c r="AF1490" s="0" t="str">
        <f aca="false">IF(AA1490=1,"",IF(AND(AB1490=1,AD1490&lt;&gt;1),1,0))</f>
        <v/>
      </c>
      <c r="AG1490" s="0" t="str">
        <f aca="false">IF(AA1490=1,"",IF(AND(AC1490=1,AE1490&lt;&gt;1),1,0))</f>
        <v/>
      </c>
      <c r="AH1490" s="51" t="str">
        <f aca="false">IF(AND(E1490&gt;0,AA1490&lt;1,NOT(AND(C1491=C1490,AA1491=AA1490+1))),INDEX(DATAS,AA1490+1),"")</f>
        <v/>
      </c>
      <c r="AI1490" s="51" t="str">
        <f aca="false">IF(AND(AC1490=1,AA1490&lt;1),IF(AND(C1491=C1490,AA1491=AA1490+1),IF(AC1491=1,"",INDEX(DATAS,AA1490+1)),INDEX(DATAS,AA1490+1)),"")</f>
        <v/>
      </c>
    </row>
    <row r="1491" customFormat="false" ht="15" hidden="false" customHeight="false" outlineLevel="0" collapsed="false">
      <c r="A1491" s="51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46" t="s">
        <v>958</v>
      </c>
      <c r="G1491" s="0" t="n">
        <v>51</v>
      </c>
      <c r="H1491" s="0" t="n">
        <v>50</v>
      </c>
      <c r="I1491" s="46" t="s">
        <v>181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51" t="n">
        <v>46300</v>
      </c>
      <c r="X1491" s="46" t="n">
        <f aca="false">IF(I1491="Male",0,1)</f>
        <v>1</v>
      </c>
      <c r="Y1491" s="46" t="n">
        <f aca="false">IF(OR(I1491="DNB",I1491="Dry DNB"),1,0)</f>
        <v>0</v>
      </c>
      <c r="Z1491" s="46" t="n">
        <f aca="false">IF(ISNUMBER(W1491),A1491-W1491,"")</f>
        <v>9</v>
      </c>
      <c r="AA1491" s="46" t="n">
        <f aca="false">MATCH(A1491,DATAS,0)</f>
        <v>1</v>
      </c>
      <c r="AB1491" s="46" t="n">
        <f aca="false">IF(AND(E1491&gt;0,OR(AND(B1491&gt;=1,B1491&lt;=6),B1491=10)),1,0)</f>
        <v>1</v>
      </c>
      <c r="AC1491" s="46" t="n">
        <f aca="false">IF(AND(E1491&gt;0,B1491=10),1,0)</f>
        <v>0</v>
      </c>
      <c r="AD1491" s="0" t="str">
        <f aca="false">IF(AND(C1490=C1491,AA1490=AA1491-1),AB1490,"")</f>
        <v/>
      </c>
      <c r="AE1491" s="0" t="str">
        <f aca="false">IF(AND(C1490=C1491,AA1490=AA1491-1),AC1490,"")</f>
        <v/>
      </c>
      <c r="AF1491" s="0" t="str">
        <f aca="false">IF(AA1491=1,"",IF(AND(AB1491=1,AD1491&lt;&gt;1),1,0))</f>
        <v/>
      </c>
      <c r="AG1491" s="0" t="str">
        <f aca="false">IF(AA1491=1,"",IF(AND(AC1491=1,AE1491&lt;&gt;1),1,0))</f>
        <v/>
      </c>
      <c r="AH1491" s="51" t="str">
        <f aca="false">IF(AND(E1491&gt;0,AA1491&lt;1,NOT(AND(C1492=C1491,AA1492=AA1491+1))),INDEX(DATAS,AA1491+1),"")</f>
        <v/>
      </c>
      <c r="AI1491" s="51" t="str">
        <f aca="false">IF(AND(AC1491=1,AA1491&lt;1),IF(AND(C1492=C1491,AA1492=AA1491+1),IF(AC1492=1,"",INDEX(DATAS,AA1491+1)),INDEX(DATAS,AA1491+1)),"")</f>
        <v/>
      </c>
    </row>
    <row r="1492" customFormat="false" ht="15" hidden="false" customHeight="false" outlineLevel="0" collapsed="false">
      <c r="A1492" s="51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46" t="s">
        <v>959</v>
      </c>
      <c r="G1492" s="0" t="n">
        <v>52.2</v>
      </c>
      <c r="H1492" s="0" t="n">
        <v>54</v>
      </c>
      <c r="I1492" s="46" t="s">
        <v>152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51" t="n">
        <v>46184</v>
      </c>
      <c r="X1492" s="46" t="n">
        <f aca="false">IF(I1492="Male",0,1)</f>
        <v>1</v>
      </c>
      <c r="Y1492" s="46" t="n">
        <f aca="false">IF(OR(I1492="DNB",I1492="Dry DNB"),1,0)</f>
        <v>0</v>
      </c>
      <c r="Z1492" s="46" t="n">
        <f aca="false">IF(ISNUMBER(W1492),A1492-W1492,"")</f>
        <v>125</v>
      </c>
      <c r="AA1492" s="46" t="n">
        <f aca="false">MATCH(A1492,DATAS,0)</f>
        <v>1</v>
      </c>
      <c r="AB1492" s="46" t="n">
        <f aca="false">IF(AND(E1492&gt;0,OR(AND(B1492&gt;=1,B1492&lt;=6),B1492=10)),1,0)</f>
        <v>1</v>
      </c>
      <c r="AC1492" s="46" t="n">
        <f aca="false">IF(AND(E1492&gt;0,B1492=10),1,0)</f>
        <v>0</v>
      </c>
      <c r="AD1492" s="0" t="str">
        <f aca="false">IF(AND(C1491=C1492,AA1491=AA1492-1),AB1491,"")</f>
        <v/>
      </c>
      <c r="AE1492" s="0" t="str">
        <f aca="false">IF(AND(C1491=C1492,AA1491=AA1492-1),AC1491,"")</f>
        <v/>
      </c>
      <c r="AF1492" s="0" t="str">
        <f aca="false">IF(AA1492=1,"",IF(AND(AB1492=1,AD1492&lt;&gt;1),1,0))</f>
        <v/>
      </c>
      <c r="AG1492" s="0" t="str">
        <f aca="false">IF(AA1492=1,"",IF(AND(AC1492=1,AE1492&lt;&gt;1),1,0))</f>
        <v/>
      </c>
      <c r="AH1492" s="51" t="str">
        <f aca="false">IF(AND(E1492&gt;0,AA1492&lt;1,NOT(AND(C1493=C1492,AA1493=AA1492+1))),INDEX(DATAS,AA1492+1),"")</f>
        <v/>
      </c>
      <c r="AI1492" s="51" t="str">
        <f aca="false">IF(AND(AC1492=1,AA1492&lt;1),IF(AND(C1493=C1492,AA1493=AA1492+1),IF(AC1493=1,"",INDEX(DATAS,AA1492+1)),INDEX(DATAS,AA1492+1)),"")</f>
        <v/>
      </c>
    </row>
    <row r="1493" customFormat="false" ht="15" hidden="false" customHeight="false" outlineLevel="0" collapsed="false">
      <c r="A1493" s="51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46" t="s">
        <v>959</v>
      </c>
      <c r="G1493" s="0" t="n">
        <v>45.1</v>
      </c>
      <c r="H1493" s="0" t="n">
        <v>44</v>
      </c>
      <c r="I1493" s="46" t="s">
        <v>152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51" t="n">
        <v>46149</v>
      </c>
      <c r="X1493" s="46" t="n">
        <f aca="false">IF(I1493="Male",0,1)</f>
        <v>1</v>
      </c>
      <c r="Y1493" s="46" t="n">
        <f aca="false">IF(OR(I1493="DNB",I1493="Dry DNB"),1,0)</f>
        <v>0</v>
      </c>
      <c r="Z1493" s="46" t="n">
        <f aca="false">IF(ISNUMBER(W1493),A1493-W1493,"")</f>
        <v>160</v>
      </c>
      <c r="AA1493" s="46" t="n">
        <f aca="false">MATCH(A1493,DATAS,0)</f>
        <v>1</v>
      </c>
      <c r="AB1493" s="46" t="n">
        <f aca="false">IF(AND(E1493&gt;0,OR(AND(B1493&gt;=1,B1493&lt;=6),B1493=10)),1,0)</f>
        <v>1</v>
      </c>
      <c r="AC1493" s="46" t="n">
        <f aca="false">IF(AND(E1493&gt;0,B1493=10),1,0)</f>
        <v>0</v>
      </c>
      <c r="AD1493" s="0" t="str">
        <f aca="false">IF(AND(C1492=C1493,AA1492=AA1493-1),AB1492,"")</f>
        <v/>
      </c>
      <c r="AE1493" s="0" t="str">
        <f aca="false">IF(AND(C1492=C1493,AA1492=AA1493-1),AC1492,"")</f>
        <v/>
      </c>
      <c r="AF1493" s="0" t="str">
        <f aca="false">IF(AA1493=1,"",IF(AND(AB1493=1,AD1493&lt;&gt;1),1,0))</f>
        <v/>
      </c>
      <c r="AG1493" s="0" t="str">
        <f aca="false">IF(AA1493=1,"",IF(AND(AC1493=1,AE1493&lt;&gt;1),1,0))</f>
        <v/>
      </c>
      <c r="AH1493" s="51" t="str">
        <f aca="false">IF(AND(E1493&gt;0,AA1493&lt;1,NOT(AND(C1494=C1493,AA1494=AA1493+1))),INDEX(DATAS,AA1493+1),"")</f>
        <v/>
      </c>
      <c r="AI1493" s="51" t="str">
        <f aca="false">IF(AND(AC1493=1,AA1493&lt;1),IF(AND(C1494=C1493,AA1494=AA1493+1),IF(AC1494=1,"",INDEX(DATAS,AA1493+1)),INDEX(DATAS,AA1493+1)),"")</f>
        <v/>
      </c>
    </row>
    <row r="1494" customFormat="false" ht="15" hidden="false" customHeight="false" outlineLevel="0" collapsed="false">
      <c r="A1494" s="51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46" t="s">
        <v>959</v>
      </c>
      <c r="G1494" s="0" t="n">
        <v>35</v>
      </c>
      <c r="H1494" s="0" t="n">
        <v>31</v>
      </c>
      <c r="I1494" s="46" t="s">
        <v>152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51" t="n">
        <v>46156</v>
      </c>
      <c r="X1494" s="46" t="n">
        <f aca="false">IF(I1494="Male",0,1)</f>
        <v>1</v>
      </c>
      <c r="Y1494" s="46" t="n">
        <f aca="false">IF(OR(I1494="DNB",I1494="Dry DNB"),1,0)</f>
        <v>0</v>
      </c>
      <c r="Z1494" s="46" t="n">
        <f aca="false">IF(ISNUMBER(W1494),A1494-W1494,"")</f>
        <v>153</v>
      </c>
      <c r="AA1494" s="46" t="n">
        <f aca="false">MATCH(A1494,DATAS,0)</f>
        <v>1</v>
      </c>
      <c r="AB1494" s="46" t="n">
        <f aca="false">IF(AND(E1494&gt;0,OR(AND(B1494&gt;=1,B1494&lt;=6),B1494=10)),1,0)</f>
        <v>1</v>
      </c>
      <c r="AC1494" s="46" t="n">
        <f aca="false">IF(AND(E1494&gt;0,B1494=10),1,0)</f>
        <v>0</v>
      </c>
      <c r="AD1494" s="0" t="str">
        <f aca="false">IF(AND(C1493=C1494,AA1493=AA1494-1),AB1493,"")</f>
        <v/>
      </c>
      <c r="AE1494" s="0" t="str">
        <f aca="false">IF(AND(C1493=C1494,AA1493=AA1494-1),AC1493,"")</f>
        <v/>
      </c>
      <c r="AF1494" s="0" t="str">
        <f aca="false">IF(AA1494=1,"",IF(AND(AB1494=1,AD1494&lt;&gt;1),1,0))</f>
        <v/>
      </c>
      <c r="AG1494" s="0" t="str">
        <f aca="false">IF(AA1494=1,"",IF(AND(AC1494=1,AE1494&lt;&gt;1),1,0))</f>
        <v/>
      </c>
      <c r="AH1494" s="51" t="str">
        <f aca="false">IF(AND(E1494&gt;0,AA1494&lt;1,NOT(AND(C1495=C1494,AA1495=AA1494+1))),INDEX(DATAS,AA1494+1),"")</f>
        <v/>
      </c>
      <c r="AI1494" s="51" t="str">
        <f aca="false">IF(AND(AC1494=1,AA1494&lt;1),IF(AND(C1495=C1494,AA1495=AA1494+1),IF(AC1495=1,"",INDEX(DATAS,AA1494+1)),INDEX(DATAS,AA1494+1)),"")</f>
        <v/>
      </c>
    </row>
    <row r="1495" customFormat="false" ht="15" hidden="false" customHeight="false" outlineLevel="0" collapsed="false">
      <c r="A1495" s="51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46" t="s">
        <v>960</v>
      </c>
      <c r="G1495" s="0" t="n">
        <v>41.8</v>
      </c>
      <c r="H1495" s="0" t="n">
        <v>43</v>
      </c>
      <c r="I1495" s="46" t="s">
        <v>189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51" t="n">
        <v>46275</v>
      </c>
      <c r="X1495" s="46" t="n">
        <f aca="false">IF(I1495="Male",0,1)</f>
        <v>1</v>
      </c>
      <c r="Y1495" s="46" t="n">
        <f aca="false">IF(OR(I1495="DNB",I1495="Dry DNB"),1,0)</f>
        <v>0</v>
      </c>
      <c r="Z1495" s="46" t="n">
        <f aca="false">IF(ISNUMBER(W1495),A1495-W1495,"")</f>
        <v>34</v>
      </c>
      <c r="AA1495" s="46" t="n">
        <f aca="false">MATCH(A1495,DATAS,0)</f>
        <v>1</v>
      </c>
      <c r="AB1495" s="46" t="n">
        <f aca="false">IF(AND(E1495&gt;0,OR(AND(B1495&gt;=1,B1495&lt;=6),B1495=10)),1,0)</f>
        <v>1</v>
      </c>
      <c r="AC1495" s="46" t="n">
        <f aca="false">IF(AND(E1495&gt;0,B1495=10),1,0)</f>
        <v>0</v>
      </c>
      <c r="AD1495" s="0" t="str">
        <f aca="false">IF(AND(C1494=C1495,AA1494=AA1495-1),AB1494,"")</f>
        <v/>
      </c>
      <c r="AE1495" s="0" t="str">
        <f aca="false">IF(AND(C1494=C1495,AA1494=AA1495-1),AC1494,"")</f>
        <v/>
      </c>
      <c r="AF1495" s="0" t="str">
        <f aca="false">IF(AA1495=1,"",IF(AND(AB1495=1,AD1495&lt;&gt;1),1,0))</f>
        <v/>
      </c>
      <c r="AG1495" s="0" t="str">
        <f aca="false">IF(AA1495=1,"",IF(AND(AC1495=1,AE1495&lt;&gt;1),1,0))</f>
        <v/>
      </c>
      <c r="AH1495" s="51" t="str">
        <f aca="false">IF(AND(E1495&gt;0,AA1495&lt;1,NOT(AND(C1496=C1495,AA1496=AA1495+1))),INDEX(DATAS,AA1495+1),"")</f>
        <v/>
      </c>
      <c r="AI1495" s="51" t="str">
        <f aca="false">IF(AND(AC1495=1,AA1495&lt;1),IF(AND(C1496=C1495,AA1496=AA1495+1),IF(AC1496=1,"",INDEX(DATAS,AA1495+1)),INDEX(DATAS,AA1495+1)),"")</f>
        <v/>
      </c>
    </row>
    <row r="1496" customFormat="false" ht="15" hidden="false" customHeight="false" outlineLevel="0" collapsed="false">
      <c r="A1496" s="51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46" t="s">
        <v>960</v>
      </c>
      <c r="G1496" s="0" t="n">
        <v>53.7</v>
      </c>
      <c r="H1496" s="0" t="n">
        <v>54</v>
      </c>
      <c r="I1496" s="46" t="s">
        <v>152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51" t="n">
        <v>46268</v>
      </c>
      <c r="X1496" s="46" t="n">
        <f aca="false">IF(I1496="Male",0,1)</f>
        <v>1</v>
      </c>
      <c r="Y1496" s="46" t="n">
        <f aca="false">IF(OR(I1496="DNB",I1496="Dry DNB"),1,0)</f>
        <v>0</v>
      </c>
      <c r="Z1496" s="46" t="n">
        <f aca="false">IF(ISNUMBER(W1496),A1496-W1496,"")</f>
        <v>41</v>
      </c>
      <c r="AA1496" s="46" t="n">
        <f aca="false">MATCH(A1496,DATAS,0)</f>
        <v>1</v>
      </c>
      <c r="AB1496" s="46" t="n">
        <f aca="false">IF(AND(E1496&gt;0,OR(AND(B1496&gt;=1,B1496&lt;=6),B1496=10)),1,0)</f>
        <v>1</v>
      </c>
      <c r="AC1496" s="46" t="n">
        <f aca="false">IF(AND(E1496&gt;0,B1496=10),1,0)</f>
        <v>0</v>
      </c>
      <c r="AD1496" s="0" t="str">
        <f aca="false">IF(AND(C1495=C1496,AA1495=AA1496-1),AB1495,"")</f>
        <v/>
      </c>
      <c r="AE1496" s="0" t="str">
        <f aca="false">IF(AND(C1495=C1496,AA1495=AA1496-1),AC1495,"")</f>
        <v/>
      </c>
      <c r="AF1496" s="0" t="str">
        <f aca="false">IF(AA1496=1,"",IF(AND(AB1496=1,AD1496&lt;&gt;1),1,0))</f>
        <v/>
      </c>
      <c r="AG1496" s="0" t="str">
        <f aca="false">IF(AA1496=1,"",IF(AND(AC1496=1,AE1496&lt;&gt;1),1,0))</f>
        <v/>
      </c>
      <c r="AH1496" s="51" t="str">
        <f aca="false">IF(AND(E1496&gt;0,AA1496&lt;1,NOT(AND(C1497=C1496,AA1497=AA1496+1))),INDEX(DATAS,AA1496+1),"")</f>
        <v/>
      </c>
      <c r="AI1496" s="51" t="str">
        <f aca="false">IF(AND(AC1496=1,AA1496&lt;1),IF(AND(C1497=C1496,AA1497=AA1496+1),IF(AC1497=1,"",INDEX(DATAS,AA1496+1)),INDEX(DATAS,AA1496+1)),"")</f>
        <v/>
      </c>
    </row>
    <row r="1497" customFormat="false" ht="15" hidden="false" customHeight="false" outlineLevel="0" collapsed="false">
      <c r="A1497" s="51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46" t="s">
        <v>960</v>
      </c>
      <c r="G1497" s="0" t="n">
        <v>44.9</v>
      </c>
      <c r="H1497" s="0" t="n">
        <v>45</v>
      </c>
      <c r="I1497" s="46" t="s">
        <v>152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51" t="n">
        <v>46156</v>
      </c>
      <c r="X1497" s="46" t="n">
        <f aca="false">IF(I1497="Male",0,1)</f>
        <v>1</v>
      </c>
      <c r="Y1497" s="46" t="n">
        <f aca="false">IF(OR(I1497="DNB",I1497="Dry DNB"),1,0)</f>
        <v>0</v>
      </c>
      <c r="Z1497" s="46" t="n">
        <f aca="false">IF(ISNUMBER(W1497),A1497-W1497,"")</f>
        <v>153</v>
      </c>
      <c r="AA1497" s="46" t="n">
        <f aca="false">MATCH(A1497,DATAS,0)</f>
        <v>1</v>
      </c>
      <c r="AB1497" s="46" t="n">
        <f aca="false">IF(AND(E1497&gt;0,OR(AND(B1497&gt;=1,B1497&lt;=6),B1497=10)),1,0)</f>
        <v>1</v>
      </c>
      <c r="AC1497" s="46" t="n">
        <f aca="false">IF(AND(E1497&gt;0,B1497=10),1,0)</f>
        <v>0</v>
      </c>
      <c r="AD1497" s="0" t="str">
        <f aca="false">IF(AND(C1496=C1497,AA1496=AA1497-1),AB1496,"")</f>
        <v/>
      </c>
      <c r="AE1497" s="0" t="str">
        <f aca="false">IF(AND(C1496=C1497,AA1496=AA1497-1),AC1496,"")</f>
        <v/>
      </c>
      <c r="AF1497" s="0" t="str">
        <f aca="false">IF(AA1497=1,"",IF(AND(AB1497=1,AD1497&lt;&gt;1),1,0))</f>
        <v/>
      </c>
      <c r="AG1497" s="0" t="str">
        <f aca="false">IF(AA1497=1,"",IF(AND(AC1497=1,AE1497&lt;&gt;1),1,0))</f>
        <v/>
      </c>
      <c r="AH1497" s="51" t="str">
        <f aca="false">IF(AND(E1497&gt;0,AA1497&lt;1,NOT(AND(C1498=C1497,AA1498=AA1497+1))),INDEX(DATAS,AA1497+1),"")</f>
        <v/>
      </c>
      <c r="AI1497" s="51" t="str">
        <f aca="false">IF(AND(AC1497=1,AA1497&lt;1),IF(AND(C1498=C1497,AA1498=AA1497+1),IF(AC1498=1,"",INDEX(DATAS,AA1497+1)),INDEX(DATAS,AA1497+1)),"")</f>
        <v/>
      </c>
    </row>
    <row r="1498" customFormat="false" ht="15" hidden="false" customHeight="false" outlineLevel="0" collapsed="false">
      <c r="A1498" s="51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46" t="s">
        <v>960</v>
      </c>
      <c r="G1498" s="0" t="n">
        <v>45.5</v>
      </c>
      <c r="H1498" s="0" t="n">
        <v>46</v>
      </c>
      <c r="I1498" s="46" t="s">
        <v>152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51" t="n">
        <v>46261</v>
      </c>
      <c r="X1498" s="46" t="n">
        <f aca="false">IF(I1498="Male",0,1)</f>
        <v>1</v>
      </c>
      <c r="Y1498" s="46" t="n">
        <f aca="false">IF(OR(I1498="DNB",I1498="Dry DNB"),1,0)</f>
        <v>0</v>
      </c>
      <c r="Z1498" s="46" t="n">
        <f aca="false">IF(ISNUMBER(W1498),A1498-W1498,"")</f>
        <v>48</v>
      </c>
      <c r="AA1498" s="46" t="n">
        <f aca="false">MATCH(A1498,DATAS,0)</f>
        <v>1</v>
      </c>
      <c r="AB1498" s="46" t="n">
        <f aca="false">IF(AND(E1498&gt;0,OR(AND(B1498&gt;=1,B1498&lt;=6),B1498=10)),1,0)</f>
        <v>1</v>
      </c>
      <c r="AC1498" s="46" t="n">
        <f aca="false">IF(AND(E1498&gt;0,B1498=10),1,0)</f>
        <v>0</v>
      </c>
      <c r="AD1498" s="0" t="str">
        <f aca="false">IF(AND(C1497=C1498,AA1497=AA1498-1),AB1497,"")</f>
        <v/>
      </c>
      <c r="AE1498" s="0" t="str">
        <f aca="false">IF(AND(C1497=C1498,AA1497=AA1498-1),AC1497,"")</f>
        <v/>
      </c>
      <c r="AF1498" s="0" t="str">
        <f aca="false">IF(AA1498=1,"",IF(AND(AB1498=1,AD1498&lt;&gt;1),1,0))</f>
        <v/>
      </c>
      <c r="AG1498" s="0" t="str">
        <f aca="false">IF(AA1498=1,"",IF(AND(AC1498=1,AE1498&lt;&gt;1),1,0))</f>
        <v/>
      </c>
      <c r="AH1498" s="51" t="str">
        <f aca="false">IF(AND(E1498&gt;0,AA1498&lt;1,NOT(AND(C1499=C1498,AA1499=AA1498+1))),INDEX(DATAS,AA1498+1),"")</f>
        <v/>
      </c>
      <c r="AI1498" s="51" t="str">
        <f aca="false">IF(AND(AC1498=1,AA1498&lt;1),IF(AND(C1499=C1498,AA1499=AA1498+1),IF(AC1499=1,"",INDEX(DATAS,AA1498+1)),INDEX(DATAS,AA1498+1)),"")</f>
        <v/>
      </c>
    </row>
    <row r="1499" customFormat="false" ht="15" hidden="false" customHeight="false" outlineLevel="0" collapsed="false">
      <c r="A1499" s="51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46" t="s">
        <v>961</v>
      </c>
      <c r="G1499" s="0" t="n">
        <v>43.1</v>
      </c>
      <c r="H1499" s="0" t="n">
        <v>42</v>
      </c>
      <c r="I1499" s="46" t="s">
        <v>152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51" t="n">
        <v>46179</v>
      </c>
      <c r="X1499" s="46" t="n">
        <f aca="false">IF(I1499="Male",0,1)</f>
        <v>1</v>
      </c>
      <c r="Y1499" s="46" t="n">
        <f aca="false">IF(OR(I1499="DNB",I1499="Dry DNB"),1,0)</f>
        <v>0</v>
      </c>
      <c r="Z1499" s="46" t="n">
        <f aca="false">IF(ISNUMBER(W1499),A1499-W1499,"")</f>
        <v>130</v>
      </c>
      <c r="AA1499" s="46" t="n">
        <f aca="false">MATCH(A1499,DATAS,0)</f>
        <v>1</v>
      </c>
      <c r="AB1499" s="46" t="n">
        <f aca="false">IF(AND(E1499&gt;0,OR(AND(B1499&gt;=1,B1499&lt;=6),B1499=10)),1,0)</f>
        <v>1</v>
      </c>
      <c r="AC1499" s="46" t="n">
        <f aca="false">IF(AND(E1499&gt;0,B1499=10),1,0)</f>
        <v>0</v>
      </c>
      <c r="AD1499" s="0" t="str">
        <f aca="false">IF(AND(C1498=C1499,AA1498=AA1499-1),AB1498,"")</f>
        <v/>
      </c>
      <c r="AE1499" s="0" t="str">
        <f aca="false">IF(AND(C1498=C1499,AA1498=AA1499-1),AC1498,"")</f>
        <v/>
      </c>
      <c r="AF1499" s="0" t="str">
        <f aca="false">IF(AA1499=1,"",IF(AND(AB1499=1,AD1499&lt;&gt;1),1,0))</f>
        <v/>
      </c>
      <c r="AG1499" s="0" t="str">
        <f aca="false">IF(AA1499=1,"",IF(AND(AC1499=1,AE1499&lt;&gt;1),1,0))</f>
        <v/>
      </c>
      <c r="AH1499" s="51" t="str">
        <f aca="false">IF(AND(E1499&gt;0,AA1499&lt;1,NOT(AND(C1500=C1499,AA1500=AA1499+1))),INDEX(DATAS,AA1499+1),"")</f>
        <v/>
      </c>
      <c r="AI1499" s="51" t="str">
        <f aca="false">IF(AND(AC1499=1,AA1499&lt;1),IF(AND(C1500=C1499,AA1500=AA1499+1),IF(AC1500=1,"",INDEX(DATAS,AA1499+1)),INDEX(DATAS,AA1499+1)),"")</f>
        <v/>
      </c>
    </row>
    <row r="1500" customFormat="false" ht="15" hidden="false" customHeight="false" outlineLevel="0" collapsed="false">
      <c r="A1500" s="51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46" t="s">
        <v>962</v>
      </c>
      <c r="G1500" s="0" t="n">
        <v>38.5</v>
      </c>
      <c r="H1500" s="0" t="n">
        <v>41</v>
      </c>
      <c r="I1500" s="46" t="s">
        <v>152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51" t="n">
        <v>46142</v>
      </c>
      <c r="X1500" s="46" t="n">
        <f aca="false">IF(I1500="Male",0,1)</f>
        <v>1</v>
      </c>
      <c r="Y1500" s="46" t="n">
        <f aca="false">IF(OR(I1500="DNB",I1500="Dry DNB"),1,0)</f>
        <v>0</v>
      </c>
      <c r="Z1500" s="46" t="n">
        <f aca="false">IF(ISNUMBER(W1500),A1500-W1500,"")</f>
        <v>167</v>
      </c>
      <c r="AA1500" s="46" t="n">
        <f aca="false">MATCH(A1500,DATAS,0)</f>
        <v>1</v>
      </c>
      <c r="AB1500" s="46" t="n">
        <f aca="false">IF(AND(E1500&gt;0,OR(AND(B1500&gt;=1,B1500&lt;=6),B1500=10)),1,0)</f>
        <v>1</v>
      </c>
      <c r="AC1500" s="46" t="n">
        <f aca="false">IF(AND(E1500&gt;0,B1500=10),1,0)</f>
        <v>0</v>
      </c>
      <c r="AD1500" s="0" t="str">
        <f aca="false">IF(AND(C1499=C1500,AA1499=AA1500-1),AB1499,"")</f>
        <v/>
      </c>
      <c r="AE1500" s="0" t="str">
        <f aca="false">IF(AND(C1499=C1500,AA1499=AA1500-1),AC1499,"")</f>
        <v/>
      </c>
      <c r="AF1500" s="0" t="str">
        <f aca="false">IF(AA1500=1,"",IF(AND(AB1500=1,AD1500&lt;&gt;1),1,0))</f>
        <v/>
      </c>
      <c r="AG1500" s="0" t="str">
        <f aca="false">IF(AA1500=1,"",IF(AND(AC1500=1,AE1500&lt;&gt;1),1,0))</f>
        <v/>
      </c>
      <c r="AH1500" s="51" t="str">
        <f aca="false">IF(AND(E1500&gt;0,AA1500&lt;1,NOT(AND(C1501=C1500,AA1501=AA1500+1))),INDEX(DATAS,AA1500+1),"")</f>
        <v/>
      </c>
      <c r="AI1500" s="51" t="str">
        <f aca="false">IF(AND(AC1500=1,AA1500&lt;1),IF(AND(C1501=C1500,AA1501=AA1500+1),IF(AC1501=1,"",INDEX(DATAS,AA1500+1)),INDEX(DATAS,AA1500+1)),"")</f>
        <v/>
      </c>
    </row>
    <row r="1501" customFormat="false" ht="15" hidden="false" customHeight="false" outlineLevel="0" collapsed="false">
      <c r="A1501" s="51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46" t="s">
        <v>963</v>
      </c>
      <c r="G1501" s="0" t="n">
        <v>36.7</v>
      </c>
      <c r="H1501" s="0" t="n">
        <v>38</v>
      </c>
      <c r="I1501" s="46" t="s">
        <v>189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51" t="n">
        <v>46268</v>
      </c>
      <c r="X1501" s="46" t="n">
        <f aca="false">IF(I1501="Male",0,1)</f>
        <v>1</v>
      </c>
      <c r="Y1501" s="46" t="n">
        <f aca="false">IF(OR(I1501="DNB",I1501="Dry DNB"),1,0)</f>
        <v>0</v>
      </c>
      <c r="Z1501" s="46" t="n">
        <f aca="false">IF(ISNUMBER(W1501),A1501-W1501,"")</f>
        <v>41</v>
      </c>
      <c r="AA1501" s="46" t="n">
        <f aca="false">MATCH(A1501,DATAS,0)</f>
        <v>1</v>
      </c>
      <c r="AB1501" s="46" t="n">
        <f aca="false">IF(AND(E1501&gt;0,OR(AND(B1501&gt;=1,B1501&lt;=6),B1501=10)),1,0)</f>
        <v>1</v>
      </c>
      <c r="AC1501" s="46" t="n">
        <f aca="false">IF(AND(E1501&gt;0,B1501=10),1,0)</f>
        <v>0</v>
      </c>
      <c r="AD1501" s="0" t="str">
        <f aca="false">IF(AND(C1500=C1501,AA1500=AA1501-1),AB1500,"")</f>
        <v/>
      </c>
      <c r="AE1501" s="0" t="str">
        <f aca="false">IF(AND(C1500=C1501,AA1500=AA1501-1),AC1500,"")</f>
        <v/>
      </c>
      <c r="AF1501" s="0" t="str">
        <f aca="false">IF(AA1501=1,"",IF(AND(AB1501=1,AD1501&lt;&gt;1),1,0))</f>
        <v/>
      </c>
      <c r="AG1501" s="0" t="str">
        <f aca="false">IF(AA1501=1,"",IF(AND(AC1501=1,AE1501&lt;&gt;1),1,0))</f>
        <v/>
      </c>
      <c r="AH1501" s="51" t="str">
        <f aca="false">IF(AND(E1501&gt;0,AA1501&lt;1,NOT(AND(C1502=C1501,AA1502=AA1501+1))),INDEX(DATAS,AA1501+1),"")</f>
        <v/>
      </c>
      <c r="AI1501" s="51" t="str">
        <f aca="false">IF(AND(AC1501=1,AA1501&lt;1),IF(AND(C1502=C1501,AA1502=AA1501+1),IF(AC1502=1,"",INDEX(DATAS,AA1501+1)),INDEX(DATAS,AA1501+1)),"")</f>
        <v/>
      </c>
    </row>
    <row r="1502" customFormat="false" ht="15" hidden="false" customHeight="false" outlineLevel="0" collapsed="false">
      <c r="A1502" s="51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46" t="s">
        <v>963</v>
      </c>
      <c r="G1502" s="0" t="n">
        <v>33.8</v>
      </c>
      <c r="H1502" s="0" t="n">
        <v>34</v>
      </c>
      <c r="I1502" s="46" t="s">
        <v>181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51" t="n">
        <v>46291</v>
      </c>
      <c r="X1502" s="46" t="n">
        <f aca="false">IF(I1502="Male",0,1)</f>
        <v>1</v>
      </c>
      <c r="Y1502" s="46" t="n">
        <f aca="false">IF(OR(I1502="DNB",I1502="Dry DNB"),1,0)</f>
        <v>0</v>
      </c>
      <c r="Z1502" s="46" t="n">
        <f aca="false">IF(ISNUMBER(W1502),A1502-W1502,"")</f>
        <v>18</v>
      </c>
      <c r="AA1502" s="46" t="n">
        <f aca="false">MATCH(A1502,DATAS,0)</f>
        <v>1</v>
      </c>
      <c r="AB1502" s="46" t="n">
        <f aca="false">IF(AND(E1502&gt;0,OR(AND(B1502&gt;=1,B1502&lt;=6),B1502=10)),1,0)</f>
        <v>1</v>
      </c>
      <c r="AC1502" s="46" t="n">
        <f aca="false">IF(AND(E1502&gt;0,B1502=10),1,0)</f>
        <v>0</v>
      </c>
      <c r="AD1502" s="0" t="str">
        <f aca="false">IF(AND(C1501=C1502,AA1501=AA1502-1),AB1501,"")</f>
        <v/>
      </c>
      <c r="AE1502" s="0" t="str">
        <f aca="false">IF(AND(C1501=C1502,AA1501=AA1502-1),AC1501,"")</f>
        <v/>
      </c>
      <c r="AF1502" s="0" t="str">
        <f aca="false">IF(AA1502=1,"",IF(AND(AB1502=1,AD1502&lt;&gt;1),1,0))</f>
        <v/>
      </c>
      <c r="AG1502" s="0" t="str">
        <f aca="false">IF(AA1502=1,"",IF(AND(AC1502=1,AE1502&lt;&gt;1),1,0))</f>
        <v/>
      </c>
      <c r="AH1502" s="51" t="str">
        <f aca="false">IF(AND(E1502&gt;0,AA1502&lt;1,NOT(AND(C1503=C1502,AA1503=AA1502+1))),INDEX(DATAS,AA1502+1),"")</f>
        <v/>
      </c>
      <c r="AI1502" s="51" t="str">
        <f aca="false">IF(AND(AC1502=1,AA1502&lt;1),IF(AND(C1503=C1502,AA1503=AA1502+1),IF(AC1503=1,"",INDEX(DATAS,AA1502+1)),INDEX(DATAS,AA1502+1)),"")</f>
        <v/>
      </c>
    </row>
    <row r="1503" customFormat="false" ht="15" hidden="false" customHeight="false" outlineLevel="0" collapsed="false">
      <c r="A1503" s="51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46" t="s">
        <v>964</v>
      </c>
      <c r="G1503" s="0" t="n">
        <v>46.5</v>
      </c>
      <c r="H1503" s="0" t="n">
        <v>44</v>
      </c>
      <c r="I1503" s="46" t="s">
        <v>189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51" t="n">
        <v>46262</v>
      </c>
      <c r="X1503" s="46" t="n">
        <f aca="false">IF(I1503="Male",0,1)</f>
        <v>1</v>
      </c>
      <c r="Y1503" s="46" t="n">
        <f aca="false">IF(OR(I1503="DNB",I1503="Dry DNB"),1,0)</f>
        <v>0</v>
      </c>
      <c r="Z1503" s="46" t="n">
        <f aca="false">IF(ISNUMBER(W1503),A1503-W1503,"")</f>
        <v>47</v>
      </c>
      <c r="AA1503" s="46" t="n">
        <f aca="false">MATCH(A1503,DATAS,0)</f>
        <v>1</v>
      </c>
      <c r="AB1503" s="46" t="n">
        <f aca="false">IF(AND(E1503&gt;0,OR(AND(B1503&gt;=1,B1503&lt;=6),B1503=10)),1,0)</f>
        <v>1</v>
      </c>
      <c r="AC1503" s="46" t="n">
        <f aca="false">IF(AND(E1503&gt;0,B1503=10),1,0)</f>
        <v>0</v>
      </c>
      <c r="AD1503" s="0" t="str">
        <f aca="false">IF(AND(C1502=C1503,AA1502=AA1503-1),AB1502,"")</f>
        <v/>
      </c>
      <c r="AE1503" s="0" t="str">
        <f aca="false">IF(AND(C1502=C1503,AA1502=AA1503-1),AC1502,"")</f>
        <v/>
      </c>
      <c r="AF1503" s="0" t="str">
        <f aca="false">IF(AA1503=1,"",IF(AND(AB1503=1,AD1503&lt;&gt;1),1,0))</f>
        <v/>
      </c>
      <c r="AG1503" s="0" t="str">
        <f aca="false">IF(AA1503=1,"",IF(AND(AC1503=1,AE1503&lt;&gt;1),1,0))</f>
        <v/>
      </c>
      <c r="AH1503" s="51" t="str">
        <f aca="false">IF(AND(E1503&gt;0,AA1503&lt;1,NOT(AND(C1504=C1503,AA1504=AA1503+1))),INDEX(DATAS,AA1503+1),"")</f>
        <v/>
      </c>
      <c r="AI1503" s="51" t="str">
        <f aca="false">IF(AND(AC1503=1,AA1503&lt;1),IF(AND(C1504=C1503,AA1504=AA1503+1),IF(AC1504=1,"",INDEX(DATAS,AA1503+1)),INDEX(DATAS,AA1503+1)),"")</f>
        <v/>
      </c>
    </row>
    <row r="1504" customFormat="false" ht="15" hidden="false" customHeight="false" outlineLevel="0" collapsed="false">
      <c r="A1504" s="51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46" t="s">
        <v>964</v>
      </c>
      <c r="G1504" s="0" t="n">
        <v>57.5</v>
      </c>
      <c r="H1504" s="0" t="n">
        <v>56</v>
      </c>
      <c r="I1504" s="46" t="s">
        <v>152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51" t="n">
        <v>46214</v>
      </c>
      <c r="X1504" s="46" t="n">
        <f aca="false">IF(I1504="Male",0,1)</f>
        <v>1</v>
      </c>
      <c r="Y1504" s="46" t="n">
        <f aca="false">IF(OR(I1504="DNB",I1504="Dry DNB"),1,0)</f>
        <v>0</v>
      </c>
      <c r="Z1504" s="46" t="n">
        <f aca="false">IF(ISNUMBER(W1504),A1504-W1504,"")</f>
        <v>95</v>
      </c>
      <c r="AA1504" s="46" t="n">
        <f aca="false">MATCH(A1504,DATAS,0)</f>
        <v>1</v>
      </c>
      <c r="AB1504" s="46" t="n">
        <f aca="false">IF(AND(E1504&gt;0,OR(AND(B1504&gt;=1,B1504&lt;=6),B1504=10)),1,0)</f>
        <v>1</v>
      </c>
      <c r="AC1504" s="46" t="n">
        <f aca="false">IF(AND(E1504&gt;0,B1504=10),1,0)</f>
        <v>0</v>
      </c>
      <c r="AD1504" s="0" t="str">
        <f aca="false">IF(AND(C1503=C1504,AA1503=AA1504-1),AB1503,"")</f>
        <v/>
      </c>
      <c r="AE1504" s="0" t="str">
        <f aca="false">IF(AND(C1503=C1504,AA1503=AA1504-1),AC1503,"")</f>
        <v/>
      </c>
      <c r="AF1504" s="0" t="str">
        <f aca="false">IF(AA1504=1,"",IF(AND(AB1504=1,AD1504&lt;&gt;1),1,0))</f>
        <v/>
      </c>
      <c r="AG1504" s="0" t="str">
        <f aca="false">IF(AA1504=1,"",IF(AND(AC1504=1,AE1504&lt;&gt;1),1,0))</f>
        <v/>
      </c>
      <c r="AH1504" s="51" t="str">
        <f aca="false">IF(AND(E1504&gt;0,AA1504&lt;1,NOT(AND(C1505=C1504,AA1505=AA1504+1))),INDEX(DATAS,AA1504+1),"")</f>
        <v/>
      </c>
      <c r="AI1504" s="51" t="str">
        <f aca="false">IF(AND(AC1504=1,AA1504&lt;1),IF(AND(C1505=C1504,AA1505=AA1504+1),IF(AC1505=1,"",INDEX(DATAS,AA1504+1)),INDEX(DATAS,AA1504+1)),"")</f>
        <v/>
      </c>
    </row>
    <row r="1505" customFormat="false" ht="15" hidden="false" customHeight="false" outlineLevel="0" collapsed="false">
      <c r="A1505" s="51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46" t="s">
        <v>964</v>
      </c>
      <c r="G1505" s="0" t="n">
        <v>54.8</v>
      </c>
      <c r="H1505" s="0" t="n">
        <v>53</v>
      </c>
      <c r="I1505" s="46" t="s">
        <v>152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51" t="n">
        <v>46247</v>
      </c>
      <c r="X1505" s="46" t="n">
        <f aca="false">IF(I1505="Male",0,1)</f>
        <v>1</v>
      </c>
      <c r="Y1505" s="46" t="n">
        <f aca="false">IF(OR(I1505="DNB",I1505="Dry DNB"),1,0)</f>
        <v>0</v>
      </c>
      <c r="Z1505" s="46" t="n">
        <f aca="false">IF(ISNUMBER(W1505),A1505-W1505,"")</f>
        <v>62</v>
      </c>
      <c r="AA1505" s="46" t="n">
        <f aca="false">MATCH(A1505,DATAS,0)</f>
        <v>1</v>
      </c>
      <c r="AB1505" s="46" t="n">
        <f aca="false">IF(AND(E1505&gt;0,OR(AND(B1505&gt;=1,B1505&lt;=6),B1505=10)),1,0)</f>
        <v>1</v>
      </c>
      <c r="AC1505" s="46" t="n">
        <f aca="false">IF(AND(E1505&gt;0,B1505=10),1,0)</f>
        <v>0</v>
      </c>
      <c r="AD1505" s="0" t="str">
        <f aca="false">IF(AND(C1504=C1505,AA1504=AA1505-1),AB1504,"")</f>
        <v/>
      </c>
      <c r="AE1505" s="0" t="str">
        <f aca="false">IF(AND(C1504=C1505,AA1504=AA1505-1),AC1504,"")</f>
        <v/>
      </c>
      <c r="AF1505" s="0" t="str">
        <f aca="false">IF(AA1505=1,"",IF(AND(AB1505=1,AD1505&lt;&gt;1),1,0))</f>
        <v/>
      </c>
      <c r="AG1505" s="0" t="str">
        <f aca="false">IF(AA1505=1,"",IF(AND(AC1505=1,AE1505&lt;&gt;1),1,0))</f>
        <v/>
      </c>
      <c r="AH1505" s="51" t="str">
        <f aca="false">IF(AND(E1505&gt;0,AA1505&lt;1,NOT(AND(C1506=C1505,AA1506=AA1505+1))),INDEX(DATAS,AA1505+1),"")</f>
        <v/>
      </c>
      <c r="AI1505" s="51" t="str">
        <f aca="false">IF(AND(AC1505=1,AA1505&lt;1),IF(AND(C1506=C1505,AA1506=AA1505+1),IF(AC1506=1,"",INDEX(DATAS,AA1505+1)),INDEX(DATAS,AA1505+1)),"")</f>
        <v/>
      </c>
    </row>
    <row r="1506" customFormat="false" ht="15" hidden="false" customHeight="false" outlineLevel="0" collapsed="false">
      <c r="A1506" s="51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46" t="s">
        <v>965</v>
      </c>
      <c r="G1506" s="0" t="n">
        <v>27.9</v>
      </c>
      <c r="H1506" s="0" t="n">
        <v>28</v>
      </c>
      <c r="I1506" s="46" t="s">
        <v>181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51" t="n">
        <v>46289</v>
      </c>
      <c r="X1506" s="46" t="n">
        <f aca="false">IF(I1506="Male",0,1)</f>
        <v>1</v>
      </c>
      <c r="Y1506" s="46" t="n">
        <f aca="false">IF(OR(I1506="DNB",I1506="Dry DNB"),1,0)</f>
        <v>0</v>
      </c>
      <c r="Z1506" s="46" t="n">
        <f aca="false">IF(ISNUMBER(W1506),A1506-W1506,"")</f>
        <v>20</v>
      </c>
      <c r="AA1506" s="46" t="n">
        <f aca="false">MATCH(A1506,DATAS,0)</f>
        <v>1</v>
      </c>
      <c r="AB1506" s="46" t="n">
        <f aca="false">IF(AND(E1506&gt;0,OR(AND(B1506&gt;=1,B1506&lt;=6),B1506=10)),1,0)</f>
        <v>1</v>
      </c>
      <c r="AC1506" s="46" t="n">
        <f aca="false">IF(AND(E1506&gt;0,B1506=10),1,0)</f>
        <v>0</v>
      </c>
      <c r="AD1506" s="0" t="str">
        <f aca="false">IF(AND(C1505=C1506,AA1505=AA1506-1),AB1505,"")</f>
        <v/>
      </c>
      <c r="AE1506" s="0" t="str">
        <f aca="false">IF(AND(C1505=C1506,AA1505=AA1506-1),AC1505,"")</f>
        <v/>
      </c>
      <c r="AF1506" s="0" t="str">
        <f aca="false">IF(AA1506=1,"",IF(AND(AB1506=1,AD1506&lt;&gt;1),1,0))</f>
        <v/>
      </c>
      <c r="AG1506" s="0" t="str">
        <f aca="false">IF(AA1506=1,"",IF(AND(AC1506=1,AE1506&lt;&gt;1),1,0))</f>
        <v/>
      </c>
      <c r="AH1506" s="51" t="str">
        <f aca="false">IF(AND(E1506&gt;0,AA1506&lt;1,NOT(AND(C1507=C1506,AA1507=AA1506+1))),INDEX(DATAS,AA1506+1),"")</f>
        <v/>
      </c>
      <c r="AI1506" s="51" t="str">
        <f aca="false">IF(AND(AC1506=1,AA1506&lt;1),IF(AND(C1507=C1506,AA1507=AA1506+1),IF(AC1507=1,"",INDEX(DATAS,AA1506+1)),INDEX(DATAS,AA1506+1)),"")</f>
        <v/>
      </c>
    </row>
    <row r="1507" customFormat="false" ht="15" hidden="false" customHeight="false" outlineLevel="0" collapsed="false">
      <c r="A1507" s="51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46" t="s">
        <v>965</v>
      </c>
      <c r="G1507" s="0" t="n">
        <v>52.4</v>
      </c>
      <c r="H1507" s="0" t="n">
        <v>51</v>
      </c>
      <c r="I1507" s="46" t="s">
        <v>181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51" t="n">
        <v>46296</v>
      </c>
      <c r="X1507" s="46" t="n">
        <f aca="false">IF(I1507="Male",0,1)</f>
        <v>1</v>
      </c>
      <c r="Y1507" s="46" t="n">
        <f aca="false">IF(OR(I1507="DNB",I1507="Dry DNB"),1,0)</f>
        <v>0</v>
      </c>
      <c r="Z1507" s="46" t="n">
        <f aca="false">IF(ISNUMBER(W1507),A1507-W1507,"")</f>
        <v>13</v>
      </c>
      <c r="AA1507" s="46" t="n">
        <f aca="false">MATCH(A1507,DATAS,0)</f>
        <v>1</v>
      </c>
      <c r="AB1507" s="46" t="n">
        <f aca="false">IF(AND(E1507&gt;0,OR(AND(B1507&gt;=1,B1507&lt;=6),B1507=10)),1,0)</f>
        <v>1</v>
      </c>
      <c r="AC1507" s="46" t="n">
        <f aca="false">IF(AND(E1507&gt;0,B1507=10),1,0)</f>
        <v>0</v>
      </c>
      <c r="AD1507" s="0" t="str">
        <f aca="false">IF(AND(C1506=C1507,AA1506=AA1507-1),AB1506,"")</f>
        <v/>
      </c>
      <c r="AE1507" s="0" t="str">
        <f aca="false">IF(AND(C1506=C1507,AA1506=AA1507-1),AC1506,"")</f>
        <v/>
      </c>
      <c r="AF1507" s="0" t="str">
        <f aca="false">IF(AA1507=1,"",IF(AND(AB1507=1,AD1507&lt;&gt;1),1,0))</f>
        <v/>
      </c>
      <c r="AG1507" s="0" t="str">
        <f aca="false">IF(AA1507=1,"",IF(AND(AC1507=1,AE1507&lt;&gt;1),1,0))</f>
        <v/>
      </c>
      <c r="AH1507" s="51" t="str">
        <f aca="false">IF(AND(E1507&gt;0,AA1507&lt;1,NOT(AND(C1508=C1507,AA1508=AA1507+1))),INDEX(DATAS,AA1507+1),"")</f>
        <v/>
      </c>
      <c r="AI1507" s="51" t="str">
        <f aca="false">IF(AND(AC1507=1,AA1507&lt;1),IF(AND(C1508=C1507,AA1508=AA1507+1),IF(AC1508=1,"",INDEX(DATAS,AA1507+1)),INDEX(DATAS,AA1507+1)),"")</f>
        <v/>
      </c>
    </row>
    <row r="1508" customFormat="false" ht="15" hidden="false" customHeight="false" outlineLevel="0" collapsed="false">
      <c r="A1508" s="51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46" t="s">
        <v>965</v>
      </c>
      <c r="G1508" s="0" t="n">
        <v>43.7</v>
      </c>
      <c r="H1508" s="0" t="n">
        <v>47</v>
      </c>
      <c r="I1508" s="46" t="s">
        <v>152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51" t="n">
        <v>46272</v>
      </c>
      <c r="X1508" s="46" t="n">
        <f aca="false">IF(I1508="Male",0,1)</f>
        <v>1</v>
      </c>
      <c r="Y1508" s="46" t="n">
        <f aca="false">IF(OR(I1508="DNB",I1508="Dry DNB"),1,0)</f>
        <v>0</v>
      </c>
      <c r="Z1508" s="46" t="n">
        <f aca="false">IF(ISNUMBER(W1508),A1508-W1508,"")</f>
        <v>37</v>
      </c>
      <c r="AA1508" s="46" t="n">
        <f aca="false">MATCH(A1508,DATAS,0)</f>
        <v>1</v>
      </c>
      <c r="AB1508" s="46" t="n">
        <f aca="false">IF(AND(E1508&gt;0,OR(AND(B1508&gt;=1,B1508&lt;=6),B1508=10)),1,0)</f>
        <v>1</v>
      </c>
      <c r="AC1508" s="46" t="n">
        <f aca="false">IF(AND(E1508&gt;0,B1508=10),1,0)</f>
        <v>0</v>
      </c>
      <c r="AD1508" s="0" t="str">
        <f aca="false">IF(AND(C1507=C1508,AA1507=AA1508-1),AB1507,"")</f>
        <v/>
      </c>
      <c r="AE1508" s="0" t="str">
        <f aca="false">IF(AND(C1507=C1508,AA1507=AA1508-1),AC1507,"")</f>
        <v/>
      </c>
      <c r="AF1508" s="0" t="str">
        <f aca="false">IF(AA1508=1,"",IF(AND(AB1508=1,AD1508&lt;&gt;1),1,0))</f>
        <v/>
      </c>
      <c r="AG1508" s="0" t="str">
        <f aca="false">IF(AA1508=1,"",IF(AND(AC1508=1,AE1508&lt;&gt;1),1,0))</f>
        <v/>
      </c>
      <c r="AH1508" s="51" t="str">
        <f aca="false">IF(AND(E1508&gt;0,AA1508&lt;1,NOT(AND(C1509=C1508,AA1509=AA1508+1))),INDEX(DATAS,AA1508+1),"")</f>
        <v/>
      </c>
      <c r="AI1508" s="51" t="str">
        <f aca="false">IF(AND(AC1508=1,AA1508&lt;1),IF(AND(C1509=C1508,AA1509=AA1508+1),IF(AC1509=1,"",INDEX(DATAS,AA1508+1)),INDEX(DATAS,AA1508+1)),"")</f>
        <v/>
      </c>
    </row>
    <row r="1509" customFormat="false" ht="15" hidden="false" customHeight="false" outlineLevel="0" collapsed="false">
      <c r="A1509" s="51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46" t="s">
        <v>966</v>
      </c>
      <c r="G1509" s="0" t="n">
        <v>33.5</v>
      </c>
      <c r="H1509" s="0" t="n">
        <v>31</v>
      </c>
      <c r="I1509" s="46" t="s">
        <v>152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51" t="n">
        <v>46177</v>
      </c>
      <c r="X1509" s="46" t="n">
        <f aca="false">IF(I1509="Male",0,1)</f>
        <v>1</v>
      </c>
      <c r="Y1509" s="46" t="n">
        <f aca="false">IF(OR(I1509="DNB",I1509="Dry DNB"),1,0)</f>
        <v>0</v>
      </c>
      <c r="Z1509" s="46" t="n">
        <f aca="false">IF(ISNUMBER(W1509),A1509-W1509,"")</f>
        <v>132</v>
      </c>
      <c r="AA1509" s="46" t="n">
        <f aca="false">MATCH(A1509,DATAS,0)</f>
        <v>1</v>
      </c>
      <c r="AB1509" s="46" t="n">
        <f aca="false">IF(AND(E1509&gt;0,OR(AND(B1509&gt;=1,B1509&lt;=6),B1509=10)),1,0)</f>
        <v>1</v>
      </c>
      <c r="AC1509" s="46" t="n">
        <f aca="false">IF(AND(E1509&gt;0,B1509=10),1,0)</f>
        <v>0</v>
      </c>
      <c r="AD1509" s="0" t="str">
        <f aca="false">IF(AND(C1508=C1509,AA1508=AA1509-1),AB1508,"")</f>
        <v/>
      </c>
      <c r="AE1509" s="0" t="str">
        <f aca="false">IF(AND(C1508=C1509,AA1508=AA1509-1),AC1508,"")</f>
        <v/>
      </c>
      <c r="AF1509" s="0" t="str">
        <f aca="false">IF(AA1509=1,"",IF(AND(AB1509=1,AD1509&lt;&gt;1),1,0))</f>
        <v/>
      </c>
      <c r="AG1509" s="0" t="str">
        <f aca="false">IF(AA1509=1,"",IF(AND(AC1509=1,AE1509&lt;&gt;1),1,0))</f>
        <v/>
      </c>
      <c r="AH1509" s="51" t="str">
        <f aca="false">IF(AND(E1509&gt;0,AA1509&lt;1,NOT(AND(C1510=C1509,AA1510=AA1509+1))),INDEX(DATAS,AA1509+1),"")</f>
        <v/>
      </c>
      <c r="AI1509" s="51" t="str">
        <f aca="false">IF(AND(AC1509=1,AA1509&lt;1),IF(AND(C1510=C1509,AA1510=AA1509+1),IF(AC1510=1,"",INDEX(DATAS,AA1509+1)),INDEX(DATAS,AA1509+1)),"")</f>
        <v/>
      </c>
    </row>
    <row r="1510" customFormat="false" ht="15" hidden="false" customHeight="false" outlineLevel="0" collapsed="false">
      <c r="A1510" s="51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46" t="s">
        <v>967</v>
      </c>
      <c r="G1510" s="0" t="n">
        <v>51.6</v>
      </c>
      <c r="H1510" s="0" t="n">
        <v>53</v>
      </c>
      <c r="I1510" s="46" t="s">
        <v>152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51" t="n">
        <v>46177</v>
      </c>
      <c r="X1510" s="46" t="n">
        <f aca="false">IF(I1510="Male",0,1)</f>
        <v>1</v>
      </c>
      <c r="Y1510" s="46" t="n">
        <f aca="false">IF(OR(I1510="DNB",I1510="Dry DNB"),1,0)</f>
        <v>0</v>
      </c>
      <c r="Z1510" s="46" t="n">
        <f aca="false">IF(ISNUMBER(W1510),A1510-W1510,"")</f>
        <v>132</v>
      </c>
      <c r="AA1510" s="46" t="n">
        <f aca="false">MATCH(A1510,DATAS,0)</f>
        <v>1</v>
      </c>
      <c r="AB1510" s="46" t="n">
        <f aca="false">IF(AND(E1510&gt;0,OR(AND(B1510&gt;=1,B1510&lt;=6),B1510=10)),1,0)</f>
        <v>1</v>
      </c>
      <c r="AC1510" s="46" t="n">
        <f aca="false">IF(AND(E1510&gt;0,B1510=10),1,0)</f>
        <v>0</v>
      </c>
      <c r="AD1510" s="0" t="str">
        <f aca="false">IF(AND(C1509=C1510,AA1509=AA1510-1),AB1509,"")</f>
        <v/>
      </c>
      <c r="AE1510" s="0" t="str">
        <f aca="false">IF(AND(C1509=C1510,AA1509=AA1510-1),AC1509,"")</f>
        <v/>
      </c>
      <c r="AF1510" s="0" t="str">
        <f aca="false">IF(AA1510=1,"",IF(AND(AB1510=1,AD1510&lt;&gt;1),1,0))</f>
        <v/>
      </c>
      <c r="AG1510" s="0" t="str">
        <f aca="false">IF(AA1510=1,"",IF(AND(AC1510=1,AE1510&lt;&gt;1),1,0))</f>
        <v/>
      </c>
      <c r="AH1510" s="51" t="str">
        <f aca="false">IF(AND(E1510&gt;0,AA1510&lt;1,NOT(AND(C1511=C1510,AA1511=AA1510+1))),INDEX(DATAS,AA1510+1),"")</f>
        <v/>
      </c>
      <c r="AI1510" s="51" t="str">
        <f aca="false">IF(AND(AC1510=1,AA1510&lt;1),IF(AND(C1511=C1510,AA1511=AA1510+1),IF(AC1511=1,"",INDEX(DATAS,AA1510+1)),INDEX(DATAS,AA1510+1)),"")</f>
        <v/>
      </c>
    </row>
    <row r="1511" customFormat="false" ht="15" hidden="false" customHeight="false" outlineLevel="0" collapsed="false">
      <c r="A1511" s="51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46" t="s">
        <v>967</v>
      </c>
      <c r="G1511" s="0" t="n">
        <v>45.8</v>
      </c>
      <c r="H1511" s="0" t="n">
        <v>42</v>
      </c>
      <c r="I1511" s="46" t="s">
        <v>189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51" t="n">
        <v>46254</v>
      </c>
      <c r="X1511" s="46" t="n">
        <f aca="false">IF(I1511="Male",0,1)</f>
        <v>1</v>
      </c>
      <c r="Y1511" s="46" t="n">
        <f aca="false">IF(OR(I1511="DNB",I1511="Dry DNB"),1,0)</f>
        <v>0</v>
      </c>
      <c r="Z1511" s="46" t="n">
        <f aca="false">IF(ISNUMBER(W1511),A1511-W1511,"")</f>
        <v>55</v>
      </c>
      <c r="AA1511" s="46" t="n">
        <f aca="false">MATCH(A1511,DATAS,0)</f>
        <v>1</v>
      </c>
      <c r="AB1511" s="46" t="n">
        <f aca="false">IF(AND(E1511&gt;0,OR(AND(B1511&gt;=1,B1511&lt;=6),B1511=10)),1,0)</f>
        <v>1</v>
      </c>
      <c r="AC1511" s="46" t="n">
        <f aca="false">IF(AND(E1511&gt;0,B1511=10),1,0)</f>
        <v>0</v>
      </c>
      <c r="AD1511" s="0" t="str">
        <f aca="false">IF(AND(C1510=C1511,AA1510=AA1511-1),AB1510,"")</f>
        <v/>
      </c>
      <c r="AE1511" s="0" t="str">
        <f aca="false">IF(AND(C1510=C1511,AA1510=AA1511-1),AC1510,"")</f>
        <v/>
      </c>
      <c r="AF1511" s="0" t="str">
        <f aca="false">IF(AA1511=1,"",IF(AND(AB1511=1,AD1511&lt;&gt;1),1,0))</f>
        <v/>
      </c>
      <c r="AG1511" s="0" t="str">
        <f aca="false">IF(AA1511=1,"",IF(AND(AC1511=1,AE1511&lt;&gt;1),1,0))</f>
        <v/>
      </c>
      <c r="AH1511" s="51" t="str">
        <f aca="false">IF(AND(E1511&gt;0,AA1511&lt;1,NOT(AND(C1512=C1511,AA1512=AA1511+1))),INDEX(DATAS,AA1511+1),"")</f>
        <v/>
      </c>
      <c r="AI1511" s="51" t="str">
        <f aca="false">IF(AND(AC1511=1,AA1511&lt;1),IF(AND(C1512=C1511,AA1512=AA1511+1),IF(AC1512=1,"",INDEX(DATAS,AA1511+1)),INDEX(DATAS,AA1511+1)),"")</f>
        <v/>
      </c>
    </row>
    <row r="1512" customFormat="false" ht="15" hidden="false" customHeight="false" outlineLevel="0" collapsed="false">
      <c r="A1512" s="51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46" t="s">
        <v>967</v>
      </c>
      <c r="G1512" s="0" t="n">
        <v>40</v>
      </c>
      <c r="H1512" s="0" t="n">
        <v>45</v>
      </c>
      <c r="I1512" s="46" t="s">
        <v>152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51" t="n">
        <v>46233</v>
      </c>
      <c r="X1512" s="46" t="n">
        <f aca="false">IF(I1512="Male",0,1)</f>
        <v>1</v>
      </c>
      <c r="Y1512" s="46" t="n">
        <f aca="false">IF(OR(I1512="DNB",I1512="Dry DNB"),1,0)</f>
        <v>0</v>
      </c>
      <c r="Z1512" s="46" t="n">
        <f aca="false">IF(ISNUMBER(W1512),A1512-W1512,"")</f>
        <v>76</v>
      </c>
      <c r="AA1512" s="46" t="n">
        <f aca="false">MATCH(A1512,DATAS,0)</f>
        <v>1</v>
      </c>
      <c r="AB1512" s="46" t="n">
        <f aca="false">IF(AND(E1512&gt;0,OR(AND(B1512&gt;=1,B1512&lt;=6),B1512=10)),1,0)</f>
        <v>1</v>
      </c>
      <c r="AC1512" s="46" t="n">
        <f aca="false">IF(AND(E1512&gt;0,B1512=10),1,0)</f>
        <v>0</v>
      </c>
      <c r="AD1512" s="0" t="str">
        <f aca="false">IF(AND(C1511=C1512,AA1511=AA1512-1),AB1511,"")</f>
        <v/>
      </c>
      <c r="AE1512" s="0" t="str">
        <f aca="false">IF(AND(C1511=C1512,AA1511=AA1512-1),AC1511,"")</f>
        <v/>
      </c>
      <c r="AF1512" s="0" t="str">
        <f aca="false">IF(AA1512=1,"",IF(AND(AB1512=1,AD1512&lt;&gt;1),1,0))</f>
        <v/>
      </c>
      <c r="AG1512" s="0" t="str">
        <f aca="false">IF(AA1512=1,"",IF(AND(AC1512=1,AE1512&lt;&gt;1),1,0))</f>
        <v/>
      </c>
      <c r="AH1512" s="51" t="str">
        <f aca="false">IF(AND(E1512&gt;0,AA1512&lt;1,NOT(AND(C1513=C1512,AA1513=AA1512+1))),INDEX(DATAS,AA1512+1),"")</f>
        <v/>
      </c>
      <c r="AI1512" s="51" t="str">
        <f aca="false">IF(AND(AC1512=1,AA1512&lt;1),IF(AND(C1513=C1512,AA1513=AA1512+1),IF(AC1513=1,"",INDEX(DATAS,AA1512+1)),INDEX(DATAS,AA1512+1)),"")</f>
        <v/>
      </c>
    </row>
    <row r="1513" customFormat="false" ht="15" hidden="false" customHeight="false" outlineLevel="0" collapsed="false">
      <c r="A1513" s="51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46" t="s">
        <v>967</v>
      </c>
      <c r="G1513" s="0" t="n">
        <v>50.6</v>
      </c>
      <c r="H1513" s="0" t="n">
        <v>52</v>
      </c>
      <c r="I1513" s="46" t="s">
        <v>181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51" t="n">
        <v>46293</v>
      </c>
      <c r="X1513" s="46" t="n">
        <f aca="false">IF(I1513="Male",0,1)</f>
        <v>1</v>
      </c>
      <c r="Y1513" s="46" t="n">
        <f aca="false">IF(OR(I1513="DNB",I1513="Dry DNB"),1,0)</f>
        <v>0</v>
      </c>
      <c r="Z1513" s="46" t="n">
        <f aca="false">IF(ISNUMBER(W1513),A1513-W1513,"")</f>
        <v>16</v>
      </c>
      <c r="AA1513" s="46" t="n">
        <f aca="false">MATCH(A1513,DATAS,0)</f>
        <v>1</v>
      </c>
      <c r="AB1513" s="46" t="n">
        <f aca="false">IF(AND(E1513&gt;0,OR(AND(B1513&gt;=1,B1513&lt;=6),B1513=10)),1,0)</f>
        <v>1</v>
      </c>
      <c r="AC1513" s="46" t="n">
        <f aca="false">IF(AND(E1513&gt;0,B1513=10),1,0)</f>
        <v>0</v>
      </c>
      <c r="AD1513" s="0" t="str">
        <f aca="false">IF(AND(C1512=C1513,AA1512=AA1513-1),AB1512,"")</f>
        <v/>
      </c>
      <c r="AE1513" s="0" t="str">
        <f aca="false">IF(AND(C1512=C1513,AA1512=AA1513-1),AC1512,"")</f>
        <v/>
      </c>
      <c r="AF1513" s="0" t="str">
        <f aca="false">IF(AA1513=1,"",IF(AND(AB1513=1,AD1513&lt;&gt;1),1,0))</f>
        <v/>
      </c>
      <c r="AG1513" s="0" t="str">
        <f aca="false">IF(AA1513=1,"",IF(AND(AC1513=1,AE1513&lt;&gt;1),1,0))</f>
        <v/>
      </c>
      <c r="AH1513" s="51" t="str">
        <f aca="false">IF(AND(E1513&gt;0,AA1513&lt;1,NOT(AND(C1514=C1513,AA1514=AA1513+1))),INDEX(DATAS,AA1513+1),"")</f>
        <v/>
      </c>
      <c r="AI1513" s="51" t="str">
        <f aca="false">IF(AND(AC1513=1,AA1513&lt;1),IF(AND(C1514=C1513,AA1514=AA1513+1),IF(AC1514=1,"",INDEX(DATAS,AA1513+1)),INDEX(DATAS,AA1513+1)),"")</f>
        <v/>
      </c>
    </row>
    <row r="1514" customFormat="false" ht="15" hidden="false" customHeight="false" outlineLevel="0" collapsed="false">
      <c r="A1514" s="51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46" t="s">
        <v>968</v>
      </c>
      <c r="H1514" s="0" t="n">
        <v>27</v>
      </c>
      <c r="I1514" s="46" t="s">
        <v>181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51" t="n">
        <v>46303</v>
      </c>
      <c r="X1514" s="46" t="n">
        <f aca="false">IF(I1514="Male",0,1)</f>
        <v>1</v>
      </c>
      <c r="Y1514" s="46" t="n">
        <f aca="false">IF(OR(I1514="DNB",I1514="Dry DNB"),1,0)</f>
        <v>0</v>
      </c>
      <c r="Z1514" s="46" t="n">
        <f aca="false">IF(ISNUMBER(W1514),A1514-W1514,"")</f>
        <v>6</v>
      </c>
      <c r="AA1514" s="46" t="n">
        <f aca="false">MATCH(A1514,DATAS,0)</f>
        <v>1</v>
      </c>
      <c r="AB1514" s="46" t="n">
        <f aca="false">IF(AND(E1514&gt;0,OR(AND(B1514&gt;=1,B1514&lt;=6),B1514=10)),1,0)</f>
        <v>1</v>
      </c>
      <c r="AC1514" s="46" t="n">
        <f aca="false">IF(AND(E1514&gt;0,B1514=10),1,0)</f>
        <v>0</v>
      </c>
      <c r="AD1514" s="0" t="str">
        <f aca="false">IF(AND(C1513=C1514,AA1513=AA1514-1),AB1513,"")</f>
        <v/>
      </c>
      <c r="AE1514" s="0" t="str">
        <f aca="false">IF(AND(C1513=C1514,AA1513=AA1514-1),AC1513,"")</f>
        <v/>
      </c>
      <c r="AF1514" s="0" t="str">
        <f aca="false">IF(AA1514=1,"",IF(AND(AB1514=1,AD1514&lt;&gt;1),1,0))</f>
        <v/>
      </c>
      <c r="AG1514" s="0" t="str">
        <f aca="false">IF(AA1514=1,"",IF(AND(AC1514=1,AE1514&lt;&gt;1),1,0))</f>
        <v/>
      </c>
      <c r="AH1514" s="51" t="str">
        <f aca="false">IF(AND(E1514&gt;0,AA1514&lt;1,NOT(AND(C1515=C1514,AA1515=AA1514+1))),INDEX(DATAS,AA1514+1),"")</f>
        <v/>
      </c>
      <c r="AI1514" s="51" t="str">
        <f aca="false">IF(AND(AC1514=1,AA1514&lt;1),IF(AND(C1515=C1514,AA1515=AA1514+1),IF(AC1515=1,"",INDEX(DATAS,AA1514+1)),INDEX(DATAS,AA1514+1)),"")</f>
        <v/>
      </c>
    </row>
    <row r="1515" customFormat="false" ht="15" hidden="false" customHeight="false" outlineLevel="0" collapsed="false">
      <c r="A1515" s="51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46" t="s">
        <v>968</v>
      </c>
      <c r="G1515" s="0" t="n">
        <v>37.6</v>
      </c>
      <c r="H1515" s="0" t="n">
        <v>42</v>
      </c>
      <c r="I1515" s="46" t="s">
        <v>152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51" t="n">
        <v>46198</v>
      </c>
      <c r="X1515" s="46" t="n">
        <f aca="false">IF(I1515="Male",0,1)</f>
        <v>1</v>
      </c>
      <c r="Y1515" s="46" t="n">
        <f aca="false">IF(OR(I1515="DNB",I1515="Dry DNB"),1,0)</f>
        <v>0</v>
      </c>
      <c r="Z1515" s="46" t="n">
        <f aca="false">IF(ISNUMBER(W1515),A1515-W1515,"")</f>
        <v>111</v>
      </c>
      <c r="AA1515" s="46" t="n">
        <f aca="false">MATCH(A1515,DATAS,0)</f>
        <v>1</v>
      </c>
      <c r="AB1515" s="46" t="n">
        <f aca="false">IF(AND(E1515&gt;0,OR(AND(B1515&gt;=1,B1515&lt;=6),B1515=10)),1,0)</f>
        <v>1</v>
      </c>
      <c r="AC1515" s="46" t="n">
        <f aca="false">IF(AND(E1515&gt;0,B1515=10),1,0)</f>
        <v>0</v>
      </c>
      <c r="AD1515" s="0" t="str">
        <f aca="false">IF(AND(C1514=C1515,AA1514=AA1515-1),AB1514,"")</f>
        <v/>
      </c>
      <c r="AE1515" s="0" t="str">
        <f aca="false">IF(AND(C1514=C1515,AA1514=AA1515-1),AC1514,"")</f>
        <v/>
      </c>
      <c r="AF1515" s="0" t="str">
        <f aca="false">IF(AA1515=1,"",IF(AND(AB1515=1,AD1515&lt;&gt;1),1,0))</f>
        <v/>
      </c>
      <c r="AG1515" s="0" t="str">
        <f aca="false">IF(AA1515=1,"",IF(AND(AC1515=1,AE1515&lt;&gt;1),1,0))</f>
        <v/>
      </c>
      <c r="AH1515" s="51" t="str">
        <f aca="false">IF(AND(E1515&gt;0,AA1515&lt;1,NOT(AND(C1516=C1515,AA1516=AA1515+1))),INDEX(DATAS,AA1515+1),"")</f>
        <v/>
      </c>
      <c r="AI1515" s="51" t="str">
        <f aca="false">IF(AND(AC1515=1,AA1515&lt;1),IF(AND(C1516=C1515,AA1516=AA1515+1),IF(AC1516=1,"",INDEX(DATAS,AA1515+1)),INDEX(DATAS,AA1515+1)),"")</f>
        <v/>
      </c>
    </row>
    <row r="1516" customFormat="false" ht="15" hidden="false" customHeight="false" outlineLevel="0" collapsed="false">
      <c r="A1516" s="51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46" t="s">
        <v>968</v>
      </c>
      <c r="G1516" s="0" t="n">
        <v>43.9</v>
      </c>
      <c r="H1516" s="0" t="n">
        <v>43</v>
      </c>
      <c r="I1516" s="46" t="s">
        <v>181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51" t="n">
        <v>46289</v>
      </c>
      <c r="X1516" s="46" t="n">
        <f aca="false">IF(I1516="Male",0,1)</f>
        <v>1</v>
      </c>
      <c r="Y1516" s="46" t="n">
        <f aca="false">IF(OR(I1516="DNB",I1516="Dry DNB"),1,0)</f>
        <v>0</v>
      </c>
      <c r="Z1516" s="46" t="n">
        <f aca="false">IF(ISNUMBER(W1516),A1516-W1516,"")</f>
        <v>20</v>
      </c>
      <c r="AA1516" s="46" t="n">
        <f aca="false">MATCH(A1516,DATAS,0)</f>
        <v>1</v>
      </c>
      <c r="AB1516" s="46" t="n">
        <f aca="false">IF(AND(E1516&gt;0,OR(AND(B1516&gt;=1,B1516&lt;=6),B1516=10)),1,0)</f>
        <v>1</v>
      </c>
      <c r="AC1516" s="46" t="n">
        <f aca="false">IF(AND(E1516&gt;0,B1516=10),1,0)</f>
        <v>0</v>
      </c>
      <c r="AD1516" s="0" t="str">
        <f aca="false">IF(AND(C1515=C1516,AA1515=AA1516-1),AB1515,"")</f>
        <v/>
      </c>
      <c r="AE1516" s="0" t="str">
        <f aca="false">IF(AND(C1515=C1516,AA1515=AA1516-1),AC1515,"")</f>
        <v/>
      </c>
      <c r="AF1516" s="0" t="str">
        <f aca="false">IF(AA1516=1,"",IF(AND(AB1516=1,AD1516&lt;&gt;1),1,0))</f>
        <v/>
      </c>
      <c r="AG1516" s="0" t="str">
        <f aca="false">IF(AA1516=1,"",IF(AND(AC1516=1,AE1516&lt;&gt;1),1,0))</f>
        <v/>
      </c>
      <c r="AH1516" s="51" t="str">
        <f aca="false">IF(AND(E1516&gt;0,AA1516&lt;1,NOT(AND(C1517=C1516,AA1517=AA1516+1))),INDEX(DATAS,AA1516+1),"")</f>
        <v/>
      </c>
      <c r="AI1516" s="51" t="str">
        <f aca="false">IF(AND(AC1516=1,AA1516&lt;1),IF(AND(C1517=C1516,AA1517=AA1516+1),IF(AC1517=1,"",INDEX(DATAS,AA1516+1)),INDEX(DATAS,AA1516+1)),"")</f>
        <v/>
      </c>
    </row>
    <row r="1517" customFormat="false" ht="15" hidden="false" customHeight="false" outlineLevel="0" collapsed="false">
      <c r="A1517" s="51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46" t="s">
        <v>969</v>
      </c>
      <c r="G1517" s="0" t="n">
        <v>41.7</v>
      </c>
      <c r="H1517" s="0" t="n">
        <v>40</v>
      </c>
      <c r="I1517" s="46" t="s">
        <v>161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X1517" s="46" t="n">
        <f aca="false">IF(I1517="Male",0,1)</f>
        <v>1</v>
      </c>
      <c r="Y1517" s="46" t="n">
        <f aca="false">IF(OR(I1517="DNB",I1517="Dry DNB"),1,0)</f>
        <v>0</v>
      </c>
      <c r="Z1517" s="0" t="str">
        <f aca="false">IF(ISNUMBER(W1517),A1517-W1517,"")</f>
        <v/>
      </c>
      <c r="AA1517" s="46" t="n">
        <f aca="false">MATCH(A1517,DATAS,0)</f>
        <v>1</v>
      </c>
      <c r="AB1517" s="46" t="n">
        <f aca="false">IF(AND(E1517&gt;0,OR(AND(B1517&gt;=1,B1517&lt;=6),B1517=10)),1,0)</f>
        <v>1</v>
      </c>
      <c r="AC1517" s="46" t="n">
        <f aca="false">IF(AND(E1517&gt;0,B1517=10),1,0)</f>
        <v>0</v>
      </c>
      <c r="AD1517" s="0" t="str">
        <f aca="false">IF(AND(C1516=C1517,AA1516=AA1517-1),AB1516,"")</f>
        <v/>
      </c>
      <c r="AE1517" s="0" t="str">
        <f aca="false">IF(AND(C1516=C1517,AA1516=AA1517-1),AC1516,"")</f>
        <v/>
      </c>
      <c r="AF1517" s="0" t="str">
        <f aca="false">IF(AA1517=1,"",IF(AND(AB1517=1,AD1517&lt;&gt;1),1,0))</f>
        <v/>
      </c>
      <c r="AG1517" s="0" t="str">
        <f aca="false">IF(AA1517=1,"",IF(AND(AC1517=1,AE1517&lt;&gt;1),1,0))</f>
        <v/>
      </c>
      <c r="AH1517" s="51" t="str">
        <f aca="false">IF(AND(E1517&gt;0,AA1517&lt;1,NOT(AND(C1518=C1517,AA1518=AA1517+1))),INDEX(DATAS,AA1517+1),"")</f>
        <v/>
      </c>
      <c r="AI1517" s="51" t="str">
        <f aca="false">IF(AND(AC1517=1,AA1517&lt;1),IF(AND(C1518=C1517,AA1518=AA1517+1),IF(AC1518=1,"",INDEX(DATAS,AA1517+1)),INDEX(DATAS,AA1517+1)),"")</f>
        <v/>
      </c>
    </row>
    <row r="1518" customFormat="false" ht="15" hidden="false" customHeight="false" outlineLevel="0" collapsed="false">
      <c r="A1518" s="51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46" t="s">
        <v>969</v>
      </c>
      <c r="G1518" s="0" t="n">
        <v>44</v>
      </c>
      <c r="H1518" s="0" t="n">
        <v>44</v>
      </c>
      <c r="I1518" s="46" t="s">
        <v>152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51" t="n">
        <v>46178</v>
      </c>
      <c r="X1518" s="46" t="n">
        <f aca="false">IF(I1518="Male",0,1)</f>
        <v>1</v>
      </c>
      <c r="Y1518" s="46" t="n">
        <f aca="false">IF(OR(I1518="DNB",I1518="Dry DNB"),1,0)</f>
        <v>0</v>
      </c>
      <c r="Z1518" s="46" t="n">
        <f aca="false">IF(ISNUMBER(W1518),A1518-W1518,"")</f>
        <v>131</v>
      </c>
      <c r="AA1518" s="46" t="n">
        <f aca="false">MATCH(A1518,DATAS,0)</f>
        <v>1</v>
      </c>
      <c r="AB1518" s="46" t="n">
        <f aca="false">IF(AND(E1518&gt;0,OR(AND(B1518&gt;=1,B1518&lt;=6),B1518=10)),1,0)</f>
        <v>1</v>
      </c>
      <c r="AC1518" s="46" t="n">
        <f aca="false">IF(AND(E1518&gt;0,B1518=10),1,0)</f>
        <v>0</v>
      </c>
      <c r="AD1518" s="0" t="str">
        <f aca="false">IF(AND(C1517=C1518,AA1517=AA1518-1),AB1517,"")</f>
        <v/>
      </c>
      <c r="AE1518" s="0" t="str">
        <f aca="false">IF(AND(C1517=C1518,AA1517=AA1518-1),AC1517,"")</f>
        <v/>
      </c>
      <c r="AF1518" s="0" t="str">
        <f aca="false">IF(AA1518=1,"",IF(AND(AB1518=1,AD1518&lt;&gt;1),1,0))</f>
        <v/>
      </c>
      <c r="AG1518" s="0" t="str">
        <f aca="false">IF(AA1518=1,"",IF(AND(AC1518=1,AE1518&lt;&gt;1),1,0))</f>
        <v/>
      </c>
      <c r="AH1518" s="51" t="str">
        <f aca="false">IF(AND(E1518&gt;0,AA1518&lt;1,NOT(AND(C1519=C1518,AA1519=AA1518+1))),INDEX(DATAS,AA1518+1),"")</f>
        <v/>
      </c>
      <c r="AI1518" s="51" t="str">
        <f aca="false">IF(AND(AC1518=1,AA1518&lt;1),IF(AND(C1519=C1518,AA1519=AA1518+1),IF(AC1519=1,"",INDEX(DATAS,AA1518+1)),INDEX(DATAS,AA1518+1)),"")</f>
        <v/>
      </c>
    </row>
    <row r="1519" customFormat="false" ht="15" hidden="false" customHeight="false" outlineLevel="0" collapsed="false">
      <c r="A1519" s="51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46" t="s">
        <v>969</v>
      </c>
      <c r="G1519" s="0" t="n">
        <v>54.2</v>
      </c>
      <c r="H1519" s="0" t="n">
        <v>54</v>
      </c>
      <c r="I1519" s="46" t="s">
        <v>152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51" t="n">
        <v>46185</v>
      </c>
      <c r="X1519" s="46" t="n">
        <f aca="false">IF(I1519="Male",0,1)</f>
        <v>1</v>
      </c>
      <c r="Y1519" s="46" t="n">
        <f aca="false">IF(OR(I1519="DNB",I1519="Dry DNB"),1,0)</f>
        <v>0</v>
      </c>
      <c r="Z1519" s="46" t="n">
        <f aca="false">IF(ISNUMBER(W1519),A1519-W1519,"")</f>
        <v>124</v>
      </c>
      <c r="AA1519" s="46" t="n">
        <f aca="false">MATCH(A1519,DATAS,0)</f>
        <v>1</v>
      </c>
      <c r="AB1519" s="46" t="n">
        <f aca="false">IF(AND(E1519&gt;0,OR(AND(B1519&gt;=1,B1519&lt;=6),B1519=10)),1,0)</f>
        <v>1</v>
      </c>
      <c r="AC1519" s="46" t="n">
        <f aca="false">IF(AND(E1519&gt;0,B1519=10),1,0)</f>
        <v>0</v>
      </c>
      <c r="AD1519" s="0" t="str">
        <f aca="false">IF(AND(C1518=C1519,AA1518=AA1519-1),AB1518,"")</f>
        <v/>
      </c>
      <c r="AE1519" s="0" t="str">
        <f aca="false">IF(AND(C1518=C1519,AA1518=AA1519-1),AC1518,"")</f>
        <v/>
      </c>
      <c r="AF1519" s="0" t="str">
        <f aca="false">IF(AA1519=1,"",IF(AND(AB1519=1,AD1519&lt;&gt;1),1,0))</f>
        <v/>
      </c>
      <c r="AG1519" s="0" t="str">
        <f aca="false">IF(AA1519=1,"",IF(AND(AC1519=1,AE1519&lt;&gt;1),1,0))</f>
        <v/>
      </c>
      <c r="AH1519" s="51" t="str">
        <f aca="false">IF(AND(E1519&gt;0,AA1519&lt;1,NOT(AND(C1520=C1519,AA1520=AA1519+1))),INDEX(DATAS,AA1519+1),"")</f>
        <v/>
      </c>
      <c r="AI1519" s="51" t="str">
        <f aca="false">IF(AND(AC1519=1,AA1519&lt;1),IF(AND(C1520=C1519,AA1520=AA1519+1),IF(AC1520=1,"",INDEX(DATAS,AA1519+1)),INDEX(DATAS,AA1519+1)),"")</f>
        <v/>
      </c>
    </row>
    <row r="1520" customFormat="false" ht="15" hidden="false" customHeight="false" outlineLevel="0" collapsed="false">
      <c r="A1520" s="51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46" t="s">
        <v>970</v>
      </c>
      <c r="G1520" s="0" t="n">
        <v>66.8</v>
      </c>
      <c r="H1520" s="0" t="n">
        <v>68</v>
      </c>
      <c r="I1520" s="46" t="s">
        <v>189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51" t="n">
        <v>46278</v>
      </c>
      <c r="X1520" s="46" t="n">
        <f aca="false">IF(I1520="Male",0,1)</f>
        <v>1</v>
      </c>
      <c r="Y1520" s="46" t="n">
        <f aca="false">IF(OR(I1520="DNB",I1520="Dry DNB"),1,0)</f>
        <v>0</v>
      </c>
      <c r="Z1520" s="46" t="n">
        <f aca="false">IF(ISNUMBER(W1520),A1520-W1520,"")</f>
        <v>31</v>
      </c>
      <c r="AA1520" s="46" t="n">
        <f aca="false">MATCH(A1520,DATAS,0)</f>
        <v>1</v>
      </c>
      <c r="AB1520" s="46" t="n">
        <f aca="false">IF(AND(E1520&gt;0,OR(AND(B1520&gt;=1,B1520&lt;=6),B1520=10)),1,0)</f>
        <v>1</v>
      </c>
      <c r="AC1520" s="46" t="n">
        <f aca="false">IF(AND(E1520&gt;0,B1520=10),1,0)</f>
        <v>0</v>
      </c>
      <c r="AD1520" s="0" t="str">
        <f aca="false">IF(AND(C1519=C1520,AA1519=AA1520-1),AB1519,"")</f>
        <v/>
      </c>
      <c r="AE1520" s="0" t="str">
        <f aca="false">IF(AND(C1519=C1520,AA1519=AA1520-1),AC1519,"")</f>
        <v/>
      </c>
      <c r="AF1520" s="0" t="str">
        <f aca="false">IF(AA1520=1,"",IF(AND(AB1520=1,AD1520&lt;&gt;1),1,0))</f>
        <v/>
      </c>
      <c r="AG1520" s="0" t="str">
        <f aca="false">IF(AA1520=1,"",IF(AND(AC1520=1,AE1520&lt;&gt;1),1,0))</f>
        <v/>
      </c>
      <c r="AH1520" s="51" t="str">
        <f aca="false">IF(AND(E1520&gt;0,AA1520&lt;1,NOT(AND(C1521=C1520,AA1521=AA1520+1))),INDEX(DATAS,AA1520+1),"")</f>
        <v/>
      </c>
      <c r="AI1520" s="51" t="str">
        <f aca="false">IF(AND(AC1520=1,AA1520&lt;1),IF(AND(C1521=C1520,AA1521=AA1520+1),IF(AC1521=1,"",INDEX(DATAS,AA1520+1)),INDEX(DATAS,AA1520+1)),"")</f>
        <v/>
      </c>
    </row>
    <row r="1521" customFormat="false" ht="15" hidden="false" customHeight="false" outlineLevel="0" collapsed="false">
      <c r="A1521" s="51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46" t="s">
        <v>970</v>
      </c>
      <c r="G1521" s="0" t="n">
        <v>43.8</v>
      </c>
      <c r="H1521" s="0" t="n">
        <v>47</v>
      </c>
      <c r="I1521" s="46" t="s">
        <v>152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51" t="n">
        <v>46163</v>
      </c>
      <c r="X1521" s="46" t="n">
        <f aca="false">IF(I1521="Male",0,1)</f>
        <v>1</v>
      </c>
      <c r="Y1521" s="46" t="n">
        <f aca="false">IF(OR(I1521="DNB",I1521="Dry DNB"),1,0)</f>
        <v>0</v>
      </c>
      <c r="Z1521" s="46" t="n">
        <f aca="false">IF(ISNUMBER(W1521),A1521-W1521,"")</f>
        <v>146</v>
      </c>
      <c r="AA1521" s="46" t="n">
        <f aca="false">MATCH(A1521,DATAS,0)</f>
        <v>1</v>
      </c>
      <c r="AB1521" s="46" t="n">
        <f aca="false">IF(AND(E1521&gt;0,OR(AND(B1521&gt;=1,B1521&lt;=6),B1521=10)),1,0)</f>
        <v>1</v>
      </c>
      <c r="AC1521" s="46" t="n">
        <f aca="false">IF(AND(E1521&gt;0,B1521=10),1,0)</f>
        <v>0</v>
      </c>
      <c r="AD1521" s="0" t="str">
        <f aca="false">IF(AND(C1520=C1521,AA1520=AA1521-1),AB1520,"")</f>
        <v/>
      </c>
      <c r="AE1521" s="0" t="str">
        <f aca="false">IF(AND(C1520=C1521,AA1520=AA1521-1),AC1520,"")</f>
        <v/>
      </c>
      <c r="AF1521" s="0" t="str">
        <f aca="false">IF(AA1521=1,"",IF(AND(AB1521=1,AD1521&lt;&gt;1),1,0))</f>
        <v/>
      </c>
      <c r="AG1521" s="0" t="str">
        <f aca="false">IF(AA1521=1,"",IF(AND(AC1521=1,AE1521&lt;&gt;1),1,0))</f>
        <v/>
      </c>
      <c r="AH1521" s="51" t="str">
        <f aca="false">IF(AND(E1521&gt;0,AA1521&lt;1,NOT(AND(C1522=C1521,AA1522=AA1521+1))),INDEX(DATAS,AA1521+1),"")</f>
        <v/>
      </c>
      <c r="AI1521" s="51" t="str">
        <f aca="false">IF(AND(AC1521=1,AA1521&lt;1),IF(AND(C1522=C1521,AA1522=AA1521+1),IF(AC1522=1,"",INDEX(DATAS,AA1521+1)),INDEX(DATAS,AA1521+1)),"")</f>
        <v/>
      </c>
    </row>
    <row r="1522" customFormat="false" ht="15" hidden="false" customHeight="false" outlineLevel="0" collapsed="false">
      <c r="A1522" s="51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46" t="s">
        <v>971</v>
      </c>
      <c r="G1522" s="0" t="n">
        <v>45.3</v>
      </c>
      <c r="H1522" s="0" t="n">
        <v>49</v>
      </c>
      <c r="I1522" s="46" t="s">
        <v>181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51" t="n">
        <v>46282</v>
      </c>
      <c r="X1522" s="46" t="n">
        <f aca="false">IF(I1522="Male",0,1)</f>
        <v>1</v>
      </c>
      <c r="Y1522" s="46" t="n">
        <f aca="false">IF(OR(I1522="DNB",I1522="Dry DNB"),1,0)</f>
        <v>0</v>
      </c>
      <c r="Z1522" s="46" t="n">
        <f aca="false">IF(ISNUMBER(W1522),A1522-W1522,"")</f>
        <v>27</v>
      </c>
      <c r="AA1522" s="46" t="n">
        <f aca="false">MATCH(A1522,DATAS,0)</f>
        <v>1</v>
      </c>
      <c r="AB1522" s="46" t="n">
        <f aca="false">IF(AND(E1522&gt;0,OR(AND(B1522&gt;=1,B1522&lt;=6),B1522=10)),1,0)</f>
        <v>1</v>
      </c>
      <c r="AC1522" s="46" t="n">
        <f aca="false">IF(AND(E1522&gt;0,B1522=10),1,0)</f>
        <v>0</v>
      </c>
      <c r="AD1522" s="0" t="str">
        <f aca="false">IF(AND(C1521=C1522,AA1521=AA1522-1),AB1521,"")</f>
        <v/>
      </c>
      <c r="AE1522" s="0" t="str">
        <f aca="false">IF(AND(C1521=C1522,AA1521=AA1522-1),AC1521,"")</f>
        <v/>
      </c>
      <c r="AF1522" s="0" t="str">
        <f aca="false">IF(AA1522=1,"",IF(AND(AB1522=1,AD1522&lt;&gt;1),1,0))</f>
        <v/>
      </c>
      <c r="AG1522" s="0" t="str">
        <f aca="false">IF(AA1522=1,"",IF(AND(AC1522=1,AE1522&lt;&gt;1),1,0))</f>
        <v/>
      </c>
      <c r="AH1522" s="51" t="str">
        <f aca="false">IF(AND(E1522&gt;0,AA1522&lt;1,NOT(AND(C1523=C1522,AA1523=AA1522+1))),INDEX(DATAS,AA1522+1),"")</f>
        <v/>
      </c>
      <c r="AI1522" s="51" t="str">
        <f aca="false">IF(AND(AC1522=1,AA1522&lt;1),IF(AND(C1523=C1522,AA1523=AA1522+1),IF(AC1523=1,"",INDEX(DATAS,AA1522+1)),INDEX(DATAS,AA1522+1)),"")</f>
        <v/>
      </c>
    </row>
    <row r="1523" customFormat="false" ht="15" hidden="false" customHeight="false" outlineLevel="0" collapsed="false">
      <c r="A1523" s="51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46" t="s">
        <v>971</v>
      </c>
      <c r="G1523" s="0" t="n">
        <v>54.5</v>
      </c>
      <c r="H1523" s="0" t="n">
        <v>53</v>
      </c>
      <c r="I1523" s="46" t="s">
        <v>152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51" t="n">
        <v>46254</v>
      </c>
      <c r="X1523" s="46" t="n">
        <f aca="false">IF(I1523="Male",0,1)</f>
        <v>1</v>
      </c>
      <c r="Y1523" s="46" t="n">
        <f aca="false">IF(OR(I1523="DNB",I1523="Dry DNB"),1,0)</f>
        <v>0</v>
      </c>
      <c r="Z1523" s="46" t="n">
        <f aca="false">IF(ISNUMBER(W1523),A1523-W1523,"")</f>
        <v>55</v>
      </c>
      <c r="AA1523" s="46" t="n">
        <f aca="false">MATCH(A1523,DATAS,0)</f>
        <v>1</v>
      </c>
      <c r="AB1523" s="46" t="n">
        <f aca="false">IF(AND(E1523&gt;0,OR(AND(B1523&gt;=1,B1523&lt;=6),B1523=10)),1,0)</f>
        <v>1</v>
      </c>
      <c r="AC1523" s="46" t="n">
        <f aca="false">IF(AND(E1523&gt;0,B1523=10),1,0)</f>
        <v>0</v>
      </c>
      <c r="AD1523" s="0" t="str">
        <f aca="false">IF(AND(C1522=C1523,AA1522=AA1523-1),AB1522,"")</f>
        <v/>
      </c>
      <c r="AE1523" s="0" t="str">
        <f aca="false">IF(AND(C1522=C1523,AA1522=AA1523-1),AC1522,"")</f>
        <v/>
      </c>
      <c r="AF1523" s="0" t="str">
        <f aca="false">IF(AA1523=1,"",IF(AND(AB1523=1,AD1523&lt;&gt;1),1,0))</f>
        <v/>
      </c>
      <c r="AG1523" s="0" t="str">
        <f aca="false">IF(AA1523=1,"",IF(AND(AC1523=1,AE1523&lt;&gt;1),1,0))</f>
        <v/>
      </c>
      <c r="AH1523" s="51" t="str">
        <f aca="false">IF(AND(E1523&gt;0,AA1523&lt;1,NOT(AND(C1524=C1523,AA1524=AA1523+1))),INDEX(DATAS,AA1523+1),"")</f>
        <v/>
      </c>
      <c r="AI1523" s="51" t="str">
        <f aca="false">IF(AND(AC1523=1,AA1523&lt;1),IF(AND(C1524=C1523,AA1524=AA1523+1),IF(AC1524=1,"",INDEX(DATAS,AA1523+1)),INDEX(DATAS,AA1523+1)),"")</f>
        <v/>
      </c>
    </row>
    <row r="1524" customFormat="false" ht="15" hidden="false" customHeight="false" outlineLevel="0" collapsed="false">
      <c r="A1524" s="51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46" t="s">
        <v>971</v>
      </c>
      <c r="G1524" s="0" t="n">
        <v>48.5</v>
      </c>
      <c r="H1524" s="0" t="n">
        <v>48</v>
      </c>
      <c r="I1524" s="46" t="s">
        <v>152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51" t="n">
        <v>46170</v>
      </c>
      <c r="X1524" s="46" t="n">
        <f aca="false">IF(I1524="Male",0,1)</f>
        <v>1</v>
      </c>
      <c r="Y1524" s="46" t="n">
        <f aca="false">IF(OR(I1524="DNB",I1524="Dry DNB"),1,0)</f>
        <v>0</v>
      </c>
      <c r="Z1524" s="46" t="n">
        <f aca="false">IF(ISNUMBER(W1524),A1524-W1524,"")</f>
        <v>139</v>
      </c>
      <c r="AA1524" s="46" t="n">
        <f aca="false">MATCH(A1524,DATAS,0)</f>
        <v>1</v>
      </c>
      <c r="AB1524" s="46" t="n">
        <f aca="false">IF(AND(E1524&gt;0,OR(AND(B1524&gt;=1,B1524&lt;=6),B1524=10)),1,0)</f>
        <v>1</v>
      </c>
      <c r="AC1524" s="46" t="n">
        <f aca="false">IF(AND(E1524&gt;0,B1524=10),1,0)</f>
        <v>0</v>
      </c>
      <c r="AD1524" s="0" t="str">
        <f aca="false">IF(AND(C1523=C1524,AA1523=AA1524-1),AB1523,"")</f>
        <v/>
      </c>
      <c r="AE1524" s="0" t="str">
        <f aca="false">IF(AND(C1523=C1524,AA1523=AA1524-1),AC1523,"")</f>
        <v/>
      </c>
      <c r="AF1524" s="0" t="str">
        <f aca="false">IF(AA1524=1,"",IF(AND(AB1524=1,AD1524&lt;&gt;1),1,0))</f>
        <v/>
      </c>
      <c r="AG1524" s="0" t="str">
        <f aca="false">IF(AA1524=1,"",IF(AND(AC1524=1,AE1524&lt;&gt;1),1,0))</f>
        <v/>
      </c>
      <c r="AH1524" s="51" t="str">
        <f aca="false">IF(AND(E1524&gt;0,AA1524&lt;1,NOT(AND(C1525=C1524,AA1525=AA1524+1))),INDEX(DATAS,AA1524+1),"")</f>
        <v/>
      </c>
      <c r="AI1524" s="51" t="str">
        <f aca="false">IF(AND(AC1524=1,AA1524&lt;1),IF(AND(C1525=C1524,AA1525=AA1524+1),IF(AC1525=1,"",INDEX(DATAS,AA1524+1)),INDEX(DATAS,AA1524+1)),"")</f>
        <v/>
      </c>
    </row>
    <row r="1525" customFormat="false" ht="15" hidden="false" customHeight="false" outlineLevel="0" collapsed="false">
      <c r="A1525" s="51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46" t="s">
        <v>971</v>
      </c>
      <c r="G1525" s="0" t="n">
        <v>41.4</v>
      </c>
      <c r="H1525" s="0" t="n">
        <v>44</v>
      </c>
      <c r="I1525" s="46" t="s">
        <v>189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51" t="n">
        <v>46275</v>
      </c>
      <c r="X1525" s="46" t="n">
        <f aca="false">IF(I1525="Male",0,1)</f>
        <v>1</v>
      </c>
      <c r="Y1525" s="46" t="n">
        <f aca="false">IF(OR(I1525="DNB",I1525="Dry DNB"),1,0)</f>
        <v>0</v>
      </c>
      <c r="Z1525" s="46" t="n">
        <f aca="false">IF(ISNUMBER(W1525),A1525-W1525,"")</f>
        <v>34</v>
      </c>
      <c r="AA1525" s="46" t="n">
        <f aca="false">MATCH(A1525,DATAS,0)</f>
        <v>1</v>
      </c>
      <c r="AB1525" s="46" t="n">
        <f aca="false">IF(AND(E1525&gt;0,OR(AND(B1525&gt;=1,B1525&lt;=6),B1525=10)),1,0)</f>
        <v>1</v>
      </c>
      <c r="AC1525" s="46" t="n">
        <f aca="false">IF(AND(E1525&gt;0,B1525=10),1,0)</f>
        <v>0</v>
      </c>
      <c r="AD1525" s="0" t="str">
        <f aca="false">IF(AND(C1524=C1525,AA1524=AA1525-1),AB1524,"")</f>
        <v/>
      </c>
      <c r="AE1525" s="0" t="str">
        <f aca="false">IF(AND(C1524=C1525,AA1524=AA1525-1),AC1524,"")</f>
        <v/>
      </c>
      <c r="AF1525" s="0" t="str">
        <f aca="false">IF(AA1525=1,"",IF(AND(AB1525=1,AD1525&lt;&gt;1),1,0))</f>
        <v/>
      </c>
      <c r="AG1525" s="0" t="str">
        <f aca="false">IF(AA1525=1,"",IF(AND(AC1525=1,AE1525&lt;&gt;1),1,0))</f>
        <v/>
      </c>
      <c r="AH1525" s="51" t="str">
        <f aca="false">IF(AND(E1525&gt;0,AA1525&lt;1,NOT(AND(C1526=C1525,AA1526=AA1525+1))),INDEX(DATAS,AA1525+1),"")</f>
        <v/>
      </c>
      <c r="AI1525" s="51" t="str">
        <f aca="false">IF(AND(AC1525=1,AA1525&lt;1),IF(AND(C1526=C1525,AA1526=AA1525+1),IF(AC1526=1,"",INDEX(DATAS,AA1525+1)),INDEX(DATAS,AA1525+1)),"")</f>
        <v/>
      </c>
    </row>
    <row r="1526" customFormat="false" ht="15" hidden="false" customHeight="false" outlineLevel="0" collapsed="false">
      <c r="A1526" s="51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46" t="s">
        <v>971</v>
      </c>
      <c r="G1526" s="0" t="n">
        <v>18.1</v>
      </c>
      <c r="H1526" s="0" t="n">
        <v>23</v>
      </c>
      <c r="I1526" s="46" t="s">
        <v>181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51" t="n">
        <v>46282</v>
      </c>
      <c r="X1526" s="46" t="n">
        <f aca="false">IF(I1526="Male",0,1)</f>
        <v>1</v>
      </c>
      <c r="Y1526" s="46" t="n">
        <f aca="false">IF(OR(I1526="DNB",I1526="Dry DNB"),1,0)</f>
        <v>0</v>
      </c>
      <c r="Z1526" s="46" t="n">
        <f aca="false">IF(ISNUMBER(W1526),A1526-W1526,"")</f>
        <v>27</v>
      </c>
      <c r="AA1526" s="46" t="n">
        <f aca="false">MATCH(A1526,DATAS,0)</f>
        <v>1</v>
      </c>
      <c r="AB1526" s="46" t="n">
        <f aca="false">IF(AND(E1526&gt;0,OR(AND(B1526&gt;=1,B1526&lt;=6),B1526=10)),1,0)</f>
        <v>1</v>
      </c>
      <c r="AC1526" s="46" t="n">
        <f aca="false">IF(AND(E1526&gt;0,B1526=10),1,0)</f>
        <v>1</v>
      </c>
      <c r="AD1526" s="0" t="str">
        <f aca="false">IF(AND(C1525=C1526,AA1525=AA1526-1),AB1525,"")</f>
        <v/>
      </c>
      <c r="AE1526" s="0" t="str">
        <f aca="false">IF(AND(C1525=C1526,AA1525=AA1526-1),AC1525,"")</f>
        <v/>
      </c>
      <c r="AF1526" s="0" t="str">
        <f aca="false">IF(AA1526=1,"",IF(AND(AB1526=1,AD1526&lt;&gt;1),1,0))</f>
        <v/>
      </c>
      <c r="AG1526" s="0" t="str">
        <f aca="false">IF(AA1526=1,"",IF(AND(AC1526=1,AE1526&lt;&gt;1),1,0))</f>
        <v/>
      </c>
      <c r="AH1526" s="51" t="str">
        <f aca="false">IF(AND(E1526&gt;0,AA1526&lt;1,NOT(AND(C1527=C1526,AA1527=AA1526+1))),INDEX(DATAS,AA1526+1),"")</f>
        <v/>
      </c>
      <c r="AI1526" s="51" t="str">
        <f aca="false">IF(AND(AC1526=1,AA1526&lt;1),IF(AND(C1527=C1526,AA1527=AA1526+1),IF(AC1527=1,"",INDEX(DATAS,AA1526+1)),INDEX(DATAS,AA1526+1)),"")</f>
        <v/>
      </c>
    </row>
    <row r="1527" customFormat="false" ht="15" hidden="false" customHeight="false" outlineLevel="0" collapsed="false">
      <c r="A1527" s="51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46" t="s">
        <v>971</v>
      </c>
      <c r="G1527" s="0" t="n">
        <v>50.5</v>
      </c>
      <c r="H1527" s="0" t="n">
        <v>50</v>
      </c>
      <c r="I1527" s="46" t="s">
        <v>152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51" t="n">
        <v>46240</v>
      </c>
      <c r="X1527" s="46" t="n">
        <f aca="false">IF(I1527="Male",0,1)</f>
        <v>1</v>
      </c>
      <c r="Y1527" s="46" t="n">
        <f aca="false">IF(OR(I1527="DNB",I1527="Dry DNB"),1,0)</f>
        <v>0</v>
      </c>
      <c r="Z1527" s="46" t="n">
        <f aca="false">IF(ISNUMBER(W1527),A1527-W1527,"")</f>
        <v>69</v>
      </c>
      <c r="AA1527" s="46" t="n">
        <f aca="false">MATCH(A1527,DATAS,0)</f>
        <v>1</v>
      </c>
      <c r="AB1527" s="46" t="n">
        <f aca="false">IF(AND(E1527&gt;0,OR(AND(B1527&gt;=1,B1527&lt;=6),B1527=10)),1,0)</f>
        <v>1</v>
      </c>
      <c r="AC1527" s="46" t="n">
        <f aca="false">IF(AND(E1527&gt;0,B1527=10),1,0)</f>
        <v>0</v>
      </c>
      <c r="AD1527" s="0" t="str">
        <f aca="false">IF(AND(C1526=C1527,AA1526=AA1527-1),AB1526,"")</f>
        <v/>
      </c>
      <c r="AE1527" s="0" t="str">
        <f aca="false">IF(AND(C1526=C1527,AA1526=AA1527-1),AC1526,"")</f>
        <v/>
      </c>
      <c r="AF1527" s="0" t="str">
        <f aca="false">IF(AA1527=1,"",IF(AND(AB1527=1,AD1527&lt;&gt;1),1,0))</f>
        <v/>
      </c>
      <c r="AG1527" s="0" t="str">
        <f aca="false">IF(AA1527=1,"",IF(AND(AC1527=1,AE1527&lt;&gt;1),1,0))</f>
        <v/>
      </c>
      <c r="AH1527" s="51" t="str">
        <f aca="false">IF(AND(E1527&gt;0,AA1527&lt;1,NOT(AND(C1528=C1527,AA1528=AA1527+1))),INDEX(DATAS,AA1527+1),"")</f>
        <v/>
      </c>
      <c r="AI1527" s="51" t="str">
        <f aca="false">IF(AND(AC1527=1,AA1527&lt;1),IF(AND(C1528=C1527,AA1528=AA1527+1),IF(AC1528=1,"",INDEX(DATAS,AA1527+1)),INDEX(DATAS,AA1527+1)),"")</f>
        <v/>
      </c>
    </row>
    <row r="1528" customFormat="false" ht="15" hidden="false" customHeight="false" outlineLevel="0" collapsed="false">
      <c r="A1528" s="51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46" t="s">
        <v>971</v>
      </c>
      <c r="G1528" s="0" t="n">
        <v>45.9</v>
      </c>
      <c r="H1528" s="0" t="n">
        <v>42</v>
      </c>
      <c r="I1528" s="46" t="s">
        <v>152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51" t="n">
        <v>46212</v>
      </c>
      <c r="X1528" s="46" t="n">
        <f aca="false">IF(I1528="Male",0,1)</f>
        <v>1</v>
      </c>
      <c r="Y1528" s="46" t="n">
        <f aca="false">IF(OR(I1528="DNB",I1528="Dry DNB"),1,0)</f>
        <v>0</v>
      </c>
      <c r="Z1528" s="46" t="n">
        <f aca="false">IF(ISNUMBER(W1528),A1528-W1528,"")</f>
        <v>97</v>
      </c>
      <c r="AA1528" s="46" t="n">
        <f aca="false">MATCH(A1528,DATAS,0)</f>
        <v>1</v>
      </c>
      <c r="AB1528" s="46" t="n">
        <f aca="false">IF(AND(E1528&gt;0,OR(AND(B1528&gt;=1,B1528&lt;=6),B1528=10)),1,0)</f>
        <v>1</v>
      </c>
      <c r="AC1528" s="46" t="n">
        <f aca="false">IF(AND(E1528&gt;0,B1528=10),1,0)</f>
        <v>0</v>
      </c>
      <c r="AD1528" s="0" t="str">
        <f aca="false">IF(AND(C1527=C1528,AA1527=AA1528-1),AB1527,"")</f>
        <v/>
      </c>
      <c r="AE1528" s="0" t="str">
        <f aca="false">IF(AND(C1527=C1528,AA1527=AA1528-1),AC1527,"")</f>
        <v/>
      </c>
      <c r="AF1528" s="0" t="str">
        <f aca="false">IF(AA1528=1,"",IF(AND(AB1528=1,AD1528&lt;&gt;1),1,0))</f>
        <v/>
      </c>
      <c r="AG1528" s="0" t="str">
        <f aca="false">IF(AA1528=1,"",IF(AND(AC1528=1,AE1528&lt;&gt;1),1,0))</f>
        <v/>
      </c>
      <c r="AH1528" s="51" t="str">
        <f aca="false">IF(AND(E1528&gt;0,AA1528&lt;1,NOT(AND(C1529=C1528,AA1529=AA1528+1))),INDEX(DATAS,AA1528+1),"")</f>
        <v/>
      </c>
      <c r="AI1528" s="51" t="str">
        <f aca="false">IF(AND(AC1528=1,AA1528&lt;1),IF(AND(C1529=C1528,AA1529=AA1528+1),IF(AC1529=1,"",INDEX(DATAS,AA1528+1)),INDEX(DATAS,AA1528+1)),"")</f>
        <v/>
      </c>
    </row>
    <row r="1529" customFormat="false" ht="15" hidden="false" customHeight="false" outlineLevel="0" collapsed="false">
      <c r="A1529" s="51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46" t="s">
        <v>971</v>
      </c>
      <c r="G1529" s="0" t="n">
        <v>41.4</v>
      </c>
      <c r="H1529" s="0" t="n">
        <v>41</v>
      </c>
      <c r="I1529" s="46" t="s">
        <v>152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51" t="n">
        <v>46121</v>
      </c>
      <c r="X1529" s="46" t="n">
        <f aca="false">IF(I1529="Male",0,1)</f>
        <v>1</v>
      </c>
      <c r="Y1529" s="46" t="n">
        <f aca="false">IF(OR(I1529="DNB",I1529="Dry DNB"),1,0)</f>
        <v>0</v>
      </c>
      <c r="Z1529" s="46" t="n">
        <f aca="false">IF(ISNUMBER(W1529),A1529-W1529,"")</f>
        <v>188</v>
      </c>
      <c r="AA1529" s="46" t="n">
        <f aca="false">MATCH(A1529,DATAS,0)</f>
        <v>1</v>
      </c>
      <c r="AB1529" s="46" t="n">
        <f aca="false">IF(AND(E1529&gt;0,OR(AND(B1529&gt;=1,B1529&lt;=6),B1529=10)),1,0)</f>
        <v>1</v>
      </c>
      <c r="AC1529" s="46" t="n">
        <f aca="false">IF(AND(E1529&gt;0,B1529=10),1,0)</f>
        <v>0</v>
      </c>
      <c r="AD1529" s="0" t="str">
        <f aca="false">IF(AND(C1528=C1529,AA1528=AA1529-1),AB1528,"")</f>
        <v/>
      </c>
      <c r="AE1529" s="0" t="str">
        <f aca="false">IF(AND(C1528=C1529,AA1528=AA1529-1),AC1528,"")</f>
        <v/>
      </c>
      <c r="AF1529" s="0" t="str">
        <f aca="false">IF(AA1529=1,"",IF(AND(AB1529=1,AD1529&lt;&gt;1),1,0))</f>
        <v/>
      </c>
      <c r="AG1529" s="0" t="str">
        <f aca="false">IF(AA1529=1,"",IF(AND(AC1529=1,AE1529&lt;&gt;1),1,0))</f>
        <v/>
      </c>
      <c r="AH1529" s="51" t="str">
        <f aca="false">IF(AND(E1529&gt;0,AA1529&lt;1,NOT(AND(C1530=C1529,AA1530=AA1529+1))),INDEX(DATAS,AA1529+1),"")</f>
        <v/>
      </c>
      <c r="AI1529" s="51" t="str">
        <f aca="false">IF(AND(AC1529=1,AA1529&lt;1),IF(AND(C1530=C1529,AA1530=AA1529+1),IF(AC1530=1,"",INDEX(DATAS,AA1529+1)),INDEX(DATAS,AA1529+1)),"")</f>
        <v/>
      </c>
    </row>
    <row r="1530" customFormat="false" ht="15" hidden="false" customHeight="false" outlineLevel="0" collapsed="false">
      <c r="A1530" s="51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46" t="s">
        <v>971</v>
      </c>
      <c r="G1530" s="0" t="n">
        <v>44</v>
      </c>
      <c r="H1530" s="0" t="n">
        <v>43</v>
      </c>
      <c r="I1530" s="46" t="s">
        <v>152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51" t="n">
        <v>46265</v>
      </c>
      <c r="X1530" s="46" t="n">
        <f aca="false">IF(I1530="Male",0,1)</f>
        <v>1</v>
      </c>
      <c r="Y1530" s="46" t="n">
        <f aca="false">IF(OR(I1530="DNB",I1530="Dry DNB"),1,0)</f>
        <v>0</v>
      </c>
      <c r="Z1530" s="46" t="n">
        <f aca="false">IF(ISNUMBER(W1530),A1530-W1530,"")</f>
        <v>44</v>
      </c>
      <c r="AA1530" s="46" t="n">
        <f aca="false">MATCH(A1530,DATAS,0)</f>
        <v>1</v>
      </c>
      <c r="AB1530" s="46" t="n">
        <f aca="false">IF(AND(E1530&gt;0,OR(AND(B1530&gt;=1,B1530&lt;=6),B1530=10)),1,0)</f>
        <v>1</v>
      </c>
      <c r="AC1530" s="46" t="n">
        <f aca="false">IF(AND(E1530&gt;0,B1530=10),1,0)</f>
        <v>0</v>
      </c>
      <c r="AD1530" s="0" t="str">
        <f aca="false">IF(AND(C1529=C1530,AA1529=AA1530-1),AB1529,"")</f>
        <v/>
      </c>
      <c r="AE1530" s="0" t="str">
        <f aca="false">IF(AND(C1529=C1530,AA1529=AA1530-1),AC1529,"")</f>
        <v/>
      </c>
      <c r="AF1530" s="0" t="str">
        <f aca="false">IF(AA1530=1,"",IF(AND(AB1530=1,AD1530&lt;&gt;1),1,0))</f>
        <v/>
      </c>
      <c r="AG1530" s="0" t="str">
        <f aca="false">IF(AA1530=1,"",IF(AND(AC1530=1,AE1530&lt;&gt;1),1,0))</f>
        <v/>
      </c>
      <c r="AH1530" s="51" t="str">
        <f aca="false">IF(AND(E1530&gt;0,AA1530&lt;1,NOT(AND(C1531=C1530,AA1531=AA1530+1))),INDEX(DATAS,AA1530+1),"")</f>
        <v/>
      </c>
      <c r="AI1530" s="51" t="str">
        <f aca="false">IF(AND(AC1530=1,AA1530&lt;1),IF(AND(C1531=C1530,AA1531=AA1530+1),IF(AC1531=1,"",INDEX(DATAS,AA1530+1)),INDEX(DATAS,AA1530+1)),"")</f>
        <v/>
      </c>
    </row>
    <row r="1531" customFormat="false" ht="15" hidden="false" customHeight="false" outlineLevel="0" collapsed="false">
      <c r="A1531" s="51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46" t="s">
        <v>972</v>
      </c>
      <c r="G1531" s="0" t="n">
        <v>47.6</v>
      </c>
      <c r="H1531" s="0" t="n">
        <v>46</v>
      </c>
      <c r="I1531" s="46" t="s">
        <v>152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51" t="n">
        <v>46205</v>
      </c>
      <c r="X1531" s="46" t="n">
        <f aca="false">IF(I1531="Male",0,1)</f>
        <v>1</v>
      </c>
      <c r="Y1531" s="46" t="n">
        <f aca="false">IF(OR(I1531="DNB",I1531="Dry DNB"),1,0)</f>
        <v>0</v>
      </c>
      <c r="Z1531" s="46" t="n">
        <f aca="false">IF(ISNUMBER(W1531),A1531-W1531,"")</f>
        <v>104</v>
      </c>
      <c r="AA1531" s="46" t="n">
        <f aca="false">MATCH(A1531,DATAS,0)</f>
        <v>1</v>
      </c>
      <c r="AB1531" s="46" t="n">
        <f aca="false">IF(AND(E1531&gt;0,OR(AND(B1531&gt;=1,B1531&lt;=6),B1531=10)),1,0)</f>
        <v>1</v>
      </c>
      <c r="AC1531" s="46" t="n">
        <f aca="false">IF(AND(E1531&gt;0,B1531=10),1,0)</f>
        <v>0</v>
      </c>
      <c r="AD1531" s="0" t="str">
        <f aca="false">IF(AND(C1530=C1531,AA1530=AA1531-1),AB1530,"")</f>
        <v/>
      </c>
      <c r="AE1531" s="0" t="str">
        <f aca="false">IF(AND(C1530=C1531,AA1530=AA1531-1),AC1530,"")</f>
        <v/>
      </c>
      <c r="AF1531" s="0" t="str">
        <f aca="false">IF(AA1531=1,"",IF(AND(AB1531=1,AD1531&lt;&gt;1),1,0))</f>
        <v/>
      </c>
      <c r="AG1531" s="0" t="str">
        <f aca="false">IF(AA1531=1,"",IF(AND(AC1531=1,AE1531&lt;&gt;1),1,0))</f>
        <v/>
      </c>
      <c r="AH1531" s="51" t="str">
        <f aca="false">IF(AND(E1531&gt;0,AA1531&lt;1,NOT(AND(C1532=C1531,AA1532=AA1531+1))),INDEX(DATAS,AA1531+1),"")</f>
        <v/>
      </c>
      <c r="AI1531" s="51" t="str">
        <f aca="false">IF(AND(AC1531=1,AA1531&lt;1),IF(AND(C1532=C1531,AA1532=AA1531+1),IF(AC1532=1,"",INDEX(DATAS,AA1531+1)),INDEX(DATAS,AA1531+1)),"")</f>
        <v/>
      </c>
    </row>
    <row r="1532" customFormat="false" ht="15" hidden="false" customHeight="false" outlineLevel="0" collapsed="false">
      <c r="A1532" s="51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46" t="s">
        <v>972</v>
      </c>
      <c r="G1532" s="0" t="n">
        <v>31.5</v>
      </c>
      <c r="H1532" s="0" t="n">
        <v>41</v>
      </c>
      <c r="I1532" s="46" t="s">
        <v>189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51" t="n">
        <v>46275</v>
      </c>
      <c r="X1532" s="46" t="n">
        <f aca="false">IF(I1532="Male",0,1)</f>
        <v>1</v>
      </c>
      <c r="Y1532" s="46" t="n">
        <f aca="false">IF(OR(I1532="DNB",I1532="Dry DNB"),1,0)</f>
        <v>0</v>
      </c>
      <c r="Z1532" s="46" t="n">
        <f aca="false">IF(ISNUMBER(W1532),A1532-W1532,"")</f>
        <v>34</v>
      </c>
      <c r="AA1532" s="46" t="n">
        <f aca="false">MATCH(A1532,DATAS,0)</f>
        <v>1</v>
      </c>
      <c r="AB1532" s="46" t="n">
        <f aca="false">IF(AND(E1532&gt;0,OR(AND(B1532&gt;=1,B1532&lt;=6),B1532=10)),1,0)</f>
        <v>1</v>
      </c>
      <c r="AC1532" s="46" t="n">
        <f aca="false">IF(AND(E1532&gt;0,B1532=10),1,0)</f>
        <v>0</v>
      </c>
      <c r="AD1532" s="0" t="str">
        <f aca="false">IF(AND(C1531=C1532,AA1531=AA1532-1),AB1531,"")</f>
        <v/>
      </c>
      <c r="AE1532" s="0" t="str">
        <f aca="false">IF(AND(C1531=C1532,AA1531=AA1532-1),AC1531,"")</f>
        <v/>
      </c>
      <c r="AF1532" s="0" t="str">
        <f aca="false">IF(AA1532=1,"",IF(AND(AB1532=1,AD1532&lt;&gt;1),1,0))</f>
        <v/>
      </c>
      <c r="AG1532" s="0" t="str">
        <f aca="false">IF(AA1532=1,"",IF(AND(AC1532=1,AE1532&lt;&gt;1),1,0))</f>
        <v/>
      </c>
      <c r="AH1532" s="51" t="str">
        <f aca="false">IF(AND(E1532&gt;0,AA1532&lt;1,NOT(AND(C1533=C1532,AA1533=AA1532+1))),INDEX(DATAS,AA1532+1),"")</f>
        <v/>
      </c>
      <c r="AI1532" s="51" t="str">
        <f aca="false">IF(AND(AC1532=1,AA1532&lt;1),IF(AND(C1533=C1532,AA1533=AA1532+1),IF(AC1533=1,"",INDEX(DATAS,AA1532+1)),INDEX(DATAS,AA1532+1)),"")</f>
        <v/>
      </c>
    </row>
    <row r="1533" customFormat="false" ht="15" hidden="false" customHeight="false" outlineLevel="0" collapsed="false">
      <c r="A1533" s="51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46" t="s">
        <v>972</v>
      </c>
      <c r="G1533" s="0" t="n">
        <v>51.5</v>
      </c>
      <c r="H1533" s="0" t="n">
        <v>52</v>
      </c>
      <c r="I1533" s="46" t="s">
        <v>181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51" t="n">
        <v>46293</v>
      </c>
      <c r="X1533" s="46" t="n">
        <f aca="false">IF(I1533="Male",0,1)</f>
        <v>1</v>
      </c>
      <c r="Y1533" s="46" t="n">
        <f aca="false">IF(OR(I1533="DNB",I1533="Dry DNB"),1,0)</f>
        <v>0</v>
      </c>
      <c r="Z1533" s="46" t="n">
        <f aca="false">IF(ISNUMBER(W1533),A1533-W1533,"")</f>
        <v>16</v>
      </c>
      <c r="AA1533" s="46" t="n">
        <f aca="false">MATCH(A1533,DATAS,0)</f>
        <v>1</v>
      </c>
      <c r="AB1533" s="46" t="n">
        <f aca="false">IF(AND(E1533&gt;0,OR(AND(B1533&gt;=1,B1533&lt;=6),B1533=10)),1,0)</f>
        <v>1</v>
      </c>
      <c r="AC1533" s="46" t="n">
        <f aca="false">IF(AND(E1533&gt;0,B1533=10),1,0)</f>
        <v>0</v>
      </c>
      <c r="AD1533" s="0" t="str">
        <f aca="false">IF(AND(C1532=C1533,AA1532=AA1533-1),AB1532,"")</f>
        <v/>
      </c>
      <c r="AE1533" s="0" t="str">
        <f aca="false">IF(AND(C1532=C1533,AA1532=AA1533-1),AC1532,"")</f>
        <v/>
      </c>
      <c r="AF1533" s="0" t="str">
        <f aca="false">IF(AA1533=1,"",IF(AND(AB1533=1,AD1533&lt;&gt;1),1,0))</f>
        <v/>
      </c>
      <c r="AG1533" s="0" t="str">
        <f aca="false">IF(AA1533=1,"",IF(AND(AC1533=1,AE1533&lt;&gt;1),1,0))</f>
        <v/>
      </c>
      <c r="AH1533" s="51" t="str">
        <f aca="false">IF(AND(E1533&gt;0,AA1533&lt;1,NOT(AND(C1534=C1533,AA1534=AA1533+1))),INDEX(DATAS,AA1533+1),"")</f>
        <v/>
      </c>
      <c r="AI1533" s="51" t="str">
        <f aca="false">IF(AND(AC1533=1,AA1533&lt;1),IF(AND(C1534=C1533,AA1534=AA1533+1),IF(AC1534=1,"",INDEX(DATAS,AA1533+1)),INDEX(DATAS,AA1533+1)),"")</f>
        <v/>
      </c>
    </row>
    <row r="1534" customFormat="false" ht="15" hidden="false" customHeight="false" outlineLevel="0" collapsed="false">
      <c r="A1534" s="51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46" t="s">
        <v>972</v>
      </c>
      <c r="G1534" s="0" t="n">
        <v>44.2</v>
      </c>
      <c r="H1534" s="0" t="n">
        <v>45</v>
      </c>
      <c r="I1534" s="46" t="s">
        <v>161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X1534" s="46" t="n">
        <f aca="false">IF(I1534="Male",0,1)</f>
        <v>1</v>
      </c>
      <c r="Y1534" s="46" t="n">
        <f aca="false">IF(OR(I1534="DNB",I1534="Dry DNB"),1,0)</f>
        <v>0</v>
      </c>
      <c r="Z1534" s="0" t="str">
        <f aca="false">IF(ISNUMBER(W1534),A1534-W1534,"")</f>
        <v/>
      </c>
      <c r="AA1534" s="46" t="n">
        <f aca="false">MATCH(A1534,DATAS,0)</f>
        <v>1</v>
      </c>
      <c r="AB1534" s="46" t="n">
        <f aca="false">IF(AND(E1534&gt;0,OR(AND(B1534&gt;=1,B1534&lt;=6),B1534=10)),1,0)</f>
        <v>1</v>
      </c>
      <c r="AC1534" s="46" t="n">
        <f aca="false">IF(AND(E1534&gt;0,B1534=10),1,0)</f>
        <v>0</v>
      </c>
      <c r="AD1534" s="0" t="str">
        <f aca="false">IF(AND(C1533=C1534,AA1533=AA1534-1),AB1533,"")</f>
        <v/>
      </c>
      <c r="AE1534" s="0" t="str">
        <f aca="false">IF(AND(C1533=C1534,AA1533=AA1534-1),AC1533,"")</f>
        <v/>
      </c>
      <c r="AF1534" s="0" t="str">
        <f aca="false">IF(AA1534=1,"",IF(AND(AB1534=1,AD1534&lt;&gt;1),1,0))</f>
        <v/>
      </c>
      <c r="AG1534" s="0" t="str">
        <f aca="false">IF(AA1534=1,"",IF(AND(AC1534=1,AE1534&lt;&gt;1),1,0))</f>
        <v/>
      </c>
      <c r="AH1534" s="51" t="str">
        <f aca="false">IF(AND(E1534&gt;0,AA1534&lt;1,NOT(AND(C1535=C1534,AA1535=AA1534+1))),INDEX(DATAS,AA1534+1),"")</f>
        <v/>
      </c>
      <c r="AI1534" s="51" t="str">
        <f aca="false">IF(AND(AC1534=1,AA1534&lt;1),IF(AND(C1535=C1534,AA1535=AA1534+1),IF(AC1535=1,"",INDEX(DATAS,AA1534+1)),INDEX(DATAS,AA1534+1)),"")</f>
        <v/>
      </c>
    </row>
    <row r="1535" customFormat="false" ht="15" hidden="false" customHeight="false" outlineLevel="0" collapsed="false">
      <c r="A1535" s="51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46" t="s">
        <v>973</v>
      </c>
      <c r="G1535" s="0" t="n">
        <v>49.1</v>
      </c>
      <c r="H1535" s="0" t="n">
        <v>48</v>
      </c>
      <c r="I1535" s="46" t="s">
        <v>181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51" t="n">
        <v>46296</v>
      </c>
      <c r="X1535" s="46" t="n">
        <f aca="false">IF(I1535="Male",0,1)</f>
        <v>1</v>
      </c>
      <c r="Y1535" s="46" t="n">
        <f aca="false">IF(OR(I1535="DNB",I1535="Dry DNB"),1,0)</f>
        <v>0</v>
      </c>
      <c r="Z1535" s="46" t="n">
        <f aca="false">IF(ISNUMBER(W1535),A1535-W1535,"")</f>
        <v>13</v>
      </c>
      <c r="AA1535" s="46" t="n">
        <f aca="false">MATCH(A1535,DATAS,0)</f>
        <v>1</v>
      </c>
      <c r="AB1535" s="46" t="n">
        <f aca="false">IF(AND(E1535&gt;0,OR(AND(B1535&gt;=1,B1535&lt;=6),B1535=10)),1,0)</f>
        <v>1</v>
      </c>
      <c r="AC1535" s="46" t="n">
        <f aca="false">IF(AND(E1535&gt;0,B1535=10),1,0)</f>
        <v>0</v>
      </c>
      <c r="AD1535" s="0" t="str">
        <f aca="false">IF(AND(C1534=C1535,AA1534=AA1535-1),AB1534,"")</f>
        <v/>
      </c>
      <c r="AE1535" s="0" t="str">
        <f aca="false">IF(AND(C1534=C1535,AA1534=AA1535-1),AC1534,"")</f>
        <v/>
      </c>
      <c r="AF1535" s="0" t="str">
        <f aca="false">IF(AA1535=1,"",IF(AND(AB1535=1,AD1535&lt;&gt;1),1,0))</f>
        <v/>
      </c>
      <c r="AG1535" s="0" t="str">
        <f aca="false">IF(AA1535=1,"",IF(AND(AC1535=1,AE1535&lt;&gt;1),1,0))</f>
        <v/>
      </c>
      <c r="AH1535" s="51" t="str">
        <f aca="false">IF(AND(E1535&gt;0,AA1535&lt;1,NOT(AND(C1536=C1535,AA1536=AA1535+1))),INDEX(DATAS,AA1535+1),"")</f>
        <v/>
      </c>
      <c r="AI1535" s="51" t="str">
        <f aca="false">IF(AND(AC1535=1,AA1535&lt;1),IF(AND(C1536=C1535,AA1536=AA1535+1),IF(AC1536=1,"",INDEX(DATAS,AA1535+1)),INDEX(DATAS,AA1535+1)),"")</f>
        <v/>
      </c>
    </row>
    <row r="1536" customFormat="false" ht="15" hidden="false" customHeight="false" outlineLevel="0" collapsed="false">
      <c r="A1536" s="51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46" t="s">
        <v>973</v>
      </c>
      <c r="G1536" s="0" t="n">
        <v>30.8</v>
      </c>
      <c r="H1536" s="0" t="n">
        <v>32</v>
      </c>
      <c r="I1536" s="46" t="s">
        <v>152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X1536" s="46" t="n">
        <f aca="false">IF(I1536="Male",0,1)</f>
        <v>1</v>
      </c>
      <c r="Y1536" s="46" t="n">
        <f aca="false">IF(OR(I1536="DNB",I1536="Dry DNB"),1,0)</f>
        <v>0</v>
      </c>
      <c r="Z1536" s="0" t="str">
        <f aca="false">IF(ISNUMBER(W1536),A1536-W1536,"")</f>
        <v/>
      </c>
      <c r="AA1536" s="46" t="n">
        <f aca="false">MATCH(A1536,DATAS,0)</f>
        <v>1</v>
      </c>
      <c r="AB1536" s="46" t="n">
        <f aca="false">IF(AND(E1536&gt;0,OR(AND(B1536&gt;=1,B1536&lt;=6),B1536=10)),1,0)</f>
        <v>1</v>
      </c>
      <c r="AC1536" s="46" t="n">
        <f aca="false">IF(AND(E1536&gt;0,B1536=10),1,0)</f>
        <v>0</v>
      </c>
      <c r="AD1536" s="0" t="str">
        <f aca="false">IF(AND(C1535=C1536,AA1535=AA1536-1),AB1535,"")</f>
        <v/>
      </c>
      <c r="AE1536" s="0" t="str">
        <f aca="false">IF(AND(C1535=C1536,AA1535=AA1536-1),AC1535,"")</f>
        <v/>
      </c>
      <c r="AF1536" s="0" t="str">
        <f aca="false">IF(AA1536=1,"",IF(AND(AB1536=1,AD1536&lt;&gt;1),1,0))</f>
        <v/>
      </c>
      <c r="AG1536" s="0" t="str">
        <f aca="false">IF(AA1536=1,"",IF(AND(AC1536=1,AE1536&lt;&gt;1),1,0))</f>
        <v/>
      </c>
      <c r="AH1536" s="51" t="str">
        <f aca="false">IF(AND(E1536&gt;0,AA1536&lt;1,NOT(AND(C1537=C1536,AA1537=AA1536+1))),INDEX(DATAS,AA1536+1),"")</f>
        <v/>
      </c>
      <c r="AI1536" s="51" t="str">
        <f aca="false">IF(AND(AC1536=1,AA1536&lt;1),IF(AND(C1537=C1536,AA1537=AA1536+1),IF(AC1537=1,"",INDEX(DATAS,AA1536+1)),INDEX(DATAS,AA1536+1)),"")</f>
        <v/>
      </c>
    </row>
    <row r="1537" customFormat="false" ht="15" hidden="false" customHeight="false" outlineLevel="0" collapsed="false">
      <c r="A1537" s="51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46" t="s">
        <v>973</v>
      </c>
      <c r="G1537" s="0" t="n">
        <v>45.4</v>
      </c>
      <c r="H1537" s="0" t="n">
        <v>44</v>
      </c>
      <c r="I1537" s="46" t="s">
        <v>152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51" t="n">
        <v>46191</v>
      </c>
      <c r="X1537" s="46" t="n">
        <f aca="false">IF(I1537="Male",0,1)</f>
        <v>1</v>
      </c>
      <c r="Y1537" s="46" t="n">
        <f aca="false">IF(OR(I1537="DNB",I1537="Dry DNB"),1,0)</f>
        <v>0</v>
      </c>
      <c r="Z1537" s="46" t="n">
        <f aca="false">IF(ISNUMBER(W1537),A1537-W1537,"")</f>
        <v>118</v>
      </c>
      <c r="AA1537" s="46" t="n">
        <f aca="false">MATCH(A1537,DATAS,0)</f>
        <v>1</v>
      </c>
      <c r="AB1537" s="46" t="n">
        <f aca="false">IF(AND(E1537&gt;0,OR(AND(B1537&gt;=1,B1537&lt;=6),B1537=10)),1,0)</f>
        <v>1</v>
      </c>
      <c r="AC1537" s="46" t="n">
        <f aca="false">IF(AND(E1537&gt;0,B1537=10),1,0)</f>
        <v>0</v>
      </c>
      <c r="AD1537" s="0" t="str">
        <f aca="false">IF(AND(C1536=C1537,AA1536=AA1537-1),AB1536,"")</f>
        <v/>
      </c>
      <c r="AE1537" s="0" t="str">
        <f aca="false">IF(AND(C1536=C1537,AA1536=AA1537-1),AC1536,"")</f>
        <v/>
      </c>
      <c r="AF1537" s="0" t="str">
        <f aca="false">IF(AA1537=1,"",IF(AND(AB1537=1,AD1537&lt;&gt;1),1,0))</f>
        <v/>
      </c>
      <c r="AG1537" s="0" t="str">
        <f aca="false">IF(AA1537=1,"",IF(AND(AC1537=1,AE1537&lt;&gt;1),1,0))</f>
        <v/>
      </c>
      <c r="AH1537" s="51" t="str">
        <f aca="false">IF(AND(E1537&gt;0,AA1537&lt;1,NOT(AND(C1538=C1537,AA1538=AA1537+1))),INDEX(DATAS,AA1537+1),"")</f>
        <v/>
      </c>
      <c r="AI1537" s="51" t="str">
        <f aca="false">IF(AND(AC1537=1,AA1537&lt;1),IF(AND(C1538=C1537,AA1538=AA1537+1),IF(AC1538=1,"",INDEX(DATAS,AA1537+1)),INDEX(DATAS,AA1537+1)),"")</f>
        <v/>
      </c>
    </row>
    <row r="1538" customFormat="false" ht="15" hidden="false" customHeight="false" outlineLevel="0" collapsed="false">
      <c r="A1538" s="51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46" t="s">
        <v>973</v>
      </c>
      <c r="G1538" s="0" t="n">
        <v>49.7</v>
      </c>
      <c r="H1538" s="0" t="n">
        <v>48</v>
      </c>
      <c r="I1538" s="46" t="s">
        <v>152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51" t="n">
        <v>46261</v>
      </c>
      <c r="X1538" s="46" t="n">
        <f aca="false">IF(I1538="Male",0,1)</f>
        <v>1</v>
      </c>
      <c r="Y1538" s="46" t="n">
        <f aca="false">IF(OR(I1538="DNB",I1538="Dry DNB"),1,0)</f>
        <v>0</v>
      </c>
      <c r="Z1538" s="46" t="n">
        <f aca="false">IF(ISNUMBER(W1538),A1538-W1538,"")</f>
        <v>48</v>
      </c>
      <c r="AA1538" s="46" t="n">
        <f aca="false">MATCH(A1538,DATAS,0)</f>
        <v>1</v>
      </c>
      <c r="AB1538" s="46" t="n">
        <f aca="false">IF(AND(E1538&gt;0,OR(AND(B1538&gt;=1,B1538&lt;=6),B1538=10)),1,0)</f>
        <v>1</v>
      </c>
      <c r="AC1538" s="46" t="n">
        <f aca="false">IF(AND(E1538&gt;0,B1538=10),1,0)</f>
        <v>0</v>
      </c>
      <c r="AD1538" s="0" t="str">
        <f aca="false">IF(AND(C1537=C1538,AA1537=AA1538-1),AB1537,"")</f>
        <v/>
      </c>
      <c r="AE1538" s="0" t="str">
        <f aca="false">IF(AND(C1537=C1538,AA1537=AA1538-1),AC1537,"")</f>
        <v/>
      </c>
      <c r="AF1538" s="0" t="str">
        <f aca="false">IF(AA1538=1,"",IF(AND(AB1538=1,AD1538&lt;&gt;1),1,0))</f>
        <v/>
      </c>
      <c r="AG1538" s="0" t="str">
        <f aca="false">IF(AA1538=1,"",IF(AND(AC1538=1,AE1538&lt;&gt;1),1,0))</f>
        <v/>
      </c>
      <c r="AH1538" s="51" t="str">
        <f aca="false">IF(AND(E1538&gt;0,AA1538&lt;1,NOT(AND(C1539=C1538,AA1539=AA1538+1))),INDEX(DATAS,AA1538+1),"")</f>
        <v/>
      </c>
      <c r="AI1538" s="51" t="str">
        <f aca="false">IF(AND(AC1538=1,AA1538&lt;1),IF(AND(C1539=C1538,AA1539=AA1538+1),IF(AC1539=1,"",INDEX(DATAS,AA1538+1)),INDEX(DATAS,AA1538+1)),"")</f>
        <v/>
      </c>
    </row>
    <row r="1539" customFormat="false" ht="15" hidden="false" customHeight="false" outlineLevel="0" collapsed="false">
      <c r="A1539" s="51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46" t="s">
        <v>973</v>
      </c>
      <c r="G1539" s="0" t="n">
        <v>45.8</v>
      </c>
      <c r="H1539" s="0" t="n">
        <v>47</v>
      </c>
      <c r="I1539" s="46" t="s">
        <v>152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51" t="n">
        <v>46254</v>
      </c>
      <c r="X1539" s="46" t="n">
        <f aca="false">IF(I1539="Male",0,1)</f>
        <v>1</v>
      </c>
      <c r="Y1539" s="46" t="n">
        <f aca="false">IF(OR(I1539="DNB",I1539="Dry DNB"),1,0)</f>
        <v>0</v>
      </c>
      <c r="Z1539" s="46" t="n">
        <f aca="false">IF(ISNUMBER(W1539),A1539-W1539,"")</f>
        <v>55</v>
      </c>
      <c r="AA1539" s="46" t="n">
        <f aca="false">MATCH(A1539,DATAS,0)</f>
        <v>1</v>
      </c>
      <c r="AB1539" s="46" t="n">
        <f aca="false">IF(AND(E1539&gt;0,OR(AND(B1539&gt;=1,B1539&lt;=6),B1539=10)),1,0)</f>
        <v>1</v>
      </c>
      <c r="AC1539" s="46" t="n">
        <f aca="false">IF(AND(E1539&gt;0,B1539=10),1,0)</f>
        <v>0</v>
      </c>
      <c r="AD1539" s="0" t="str">
        <f aca="false">IF(AND(C1538=C1539,AA1538=AA1539-1),AB1538,"")</f>
        <v/>
      </c>
      <c r="AE1539" s="0" t="str">
        <f aca="false">IF(AND(C1538=C1539,AA1538=AA1539-1),AC1538,"")</f>
        <v/>
      </c>
      <c r="AF1539" s="0" t="str">
        <f aca="false">IF(AA1539=1,"",IF(AND(AB1539=1,AD1539&lt;&gt;1),1,0))</f>
        <v/>
      </c>
      <c r="AG1539" s="0" t="str">
        <f aca="false">IF(AA1539=1,"",IF(AND(AC1539=1,AE1539&lt;&gt;1),1,0))</f>
        <v/>
      </c>
      <c r="AH1539" s="51" t="str">
        <f aca="false">IF(AND(E1539&gt;0,AA1539&lt;1,NOT(AND(C1540=C1539,AA1540=AA1539+1))),INDEX(DATAS,AA1539+1),"")</f>
        <v/>
      </c>
      <c r="AI1539" s="51" t="str">
        <f aca="false">IF(AND(AC1539=1,AA1539&lt;1),IF(AND(C1540=C1539,AA1540=AA1539+1),IF(AC1540=1,"",INDEX(DATAS,AA1539+1)),INDEX(DATAS,AA1539+1)),"")</f>
        <v/>
      </c>
    </row>
    <row r="1540" customFormat="false" ht="15" hidden="false" customHeight="false" outlineLevel="0" collapsed="false">
      <c r="A1540" s="51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46" t="s">
        <v>974</v>
      </c>
      <c r="G1540" s="0" t="n">
        <v>27.3</v>
      </c>
      <c r="H1540" s="0" t="n">
        <v>39</v>
      </c>
      <c r="I1540" s="46" t="s">
        <v>152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51" t="n">
        <v>46240</v>
      </c>
      <c r="X1540" s="46" t="n">
        <f aca="false">IF(I1540="Male",0,1)</f>
        <v>1</v>
      </c>
      <c r="Y1540" s="46" t="n">
        <f aca="false">IF(OR(I1540="DNB",I1540="Dry DNB"),1,0)</f>
        <v>0</v>
      </c>
      <c r="Z1540" s="46" t="n">
        <f aca="false">IF(ISNUMBER(W1540),A1540-W1540,"")</f>
        <v>69</v>
      </c>
      <c r="AA1540" s="46" t="n">
        <f aca="false">MATCH(A1540,DATAS,0)</f>
        <v>1</v>
      </c>
      <c r="AB1540" s="46" t="n">
        <f aca="false">IF(AND(E1540&gt;0,OR(AND(B1540&gt;=1,B1540&lt;=6),B1540=10)),1,0)</f>
        <v>1</v>
      </c>
      <c r="AC1540" s="46" t="n">
        <f aca="false">IF(AND(E1540&gt;0,B1540=10),1,0)</f>
        <v>0</v>
      </c>
      <c r="AD1540" s="0" t="str">
        <f aca="false">IF(AND(C1539=C1540,AA1539=AA1540-1),AB1539,"")</f>
        <v/>
      </c>
      <c r="AE1540" s="0" t="str">
        <f aca="false">IF(AND(C1539=C1540,AA1539=AA1540-1),AC1539,"")</f>
        <v/>
      </c>
      <c r="AF1540" s="0" t="str">
        <f aca="false">IF(AA1540=1,"",IF(AND(AB1540=1,AD1540&lt;&gt;1),1,0))</f>
        <v/>
      </c>
      <c r="AG1540" s="0" t="str">
        <f aca="false">IF(AA1540=1,"",IF(AND(AC1540=1,AE1540&lt;&gt;1),1,0))</f>
        <v/>
      </c>
      <c r="AH1540" s="51" t="str">
        <f aca="false">IF(AND(E1540&gt;0,AA1540&lt;1,NOT(AND(C1541=C1540,AA1541=AA1540+1))),INDEX(DATAS,AA1540+1),"")</f>
        <v/>
      </c>
      <c r="AI1540" s="51" t="str">
        <f aca="false">IF(AND(AC1540=1,AA1540&lt;1),IF(AND(C1541=C1540,AA1541=AA1540+1),IF(AC1541=1,"",INDEX(DATAS,AA1540+1)),INDEX(DATAS,AA1540+1)),"")</f>
        <v/>
      </c>
    </row>
    <row r="1541" customFormat="false" ht="15" hidden="false" customHeight="false" outlineLevel="0" collapsed="false">
      <c r="A1541" s="51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46" t="s">
        <v>975</v>
      </c>
      <c r="G1541" s="0" t="n">
        <v>51.5</v>
      </c>
      <c r="H1541" s="0" t="n">
        <v>51</v>
      </c>
      <c r="I1541" s="46" t="s">
        <v>152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51" t="n">
        <v>46178</v>
      </c>
      <c r="X1541" s="46" t="n">
        <f aca="false">IF(I1541="Male",0,1)</f>
        <v>1</v>
      </c>
      <c r="Y1541" s="46" t="n">
        <f aca="false">IF(OR(I1541="DNB",I1541="Dry DNB"),1,0)</f>
        <v>0</v>
      </c>
      <c r="Z1541" s="46" t="n">
        <f aca="false">IF(ISNUMBER(W1541),A1541-W1541,"")</f>
        <v>131</v>
      </c>
      <c r="AA1541" s="46" t="n">
        <f aca="false">MATCH(A1541,DATAS,0)</f>
        <v>1</v>
      </c>
      <c r="AB1541" s="46" t="n">
        <f aca="false">IF(AND(E1541&gt;0,OR(AND(B1541&gt;=1,B1541&lt;=6),B1541=10)),1,0)</f>
        <v>1</v>
      </c>
      <c r="AC1541" s="46" t="n">
        <f aca="false">IF(AND(E1541&gt;0,B1541=10),1,0)</f>
        <v>0</v>
      </c>
      <c r="AD1541" s="0" t="str">
        <f aca="false">IF(AND(C1540=C1541,AA1540=AA1541-1),AB1540,"")</f>
        <v/>
      </c>
      <c r="AE1541" s="0" t="str">
        <f aca="false">IF(AND(C1540=C1541,AA1540=AA1541-1),AC1540,"")</f>
        <v/>
      </c>
      <c r="AF1541" s="0" t="str">
        <f aca="false">IF(AA1541=1,"",IF(AND(AB1541=1,AD1541&lt;&gt;1),1,0))</f>
        <v/>
      </c>
      <c r="AG1541" s="0" t="str">
        <f aca="false">IF(AA1541=1,"",IF(AND(AC1541=1,AE1541&lt;&gt;1),1,0))</f>
        <v/>
      </c>
      <c r="AH1541" s="51" t="str">
        <f aca="false">IF(AND(E1541&gt;0,AA1541&lt;1,NOT(AND(C1542=C1541,AA1542=AA1541+1))),INDEX(DATAS,AA1541+1),"")</f>
        <v/>
      </c>
      <c r="AI1541" s="51" t="str">
        <f aca="false">IF(AND(AC1541=1,AA1541&lt;1),IF(AND(C1542=C1541,AA1542=AA1541+1),IF(AC1542=1,"",INDEX(DATAS,AA1541+1)),INDEX(DATAS,AA1541+1)),"")</f>
        <v/>
      </c>
    </row>
    <row r="1542" customFormat="false" ht="15" hidden="false" customHeight="false" outlineLevel="0" collapsed="false">
      <c r="A1542" s="51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46" t="s">
        <v>976</v>
      </c>
      <c r="G1542" s="0" t="n">
        <v>43.7</v>
      </c>
      <c r="H1542" s="0" t="n">
        <v>39</v>
      </c>
      <c r="I1542" s="46" t="s">
        <v>152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51" t="n">
        <v>46261</v>
      </c>
      <c r="X1542" s="46" t="n">
        <f aca="false">IF(I1542="Male",0,1)</f>
        <v>1</v>
      </c>
      <c r="Y1542" s="46" t="n">
        <f aca="false">IF(OR(I1542="DNB",I1542="Dry DNB"),1,0)</f>
        <v>0</v>
      </c>
      <c r="Z1542" s="46" t="n">
        <f aca="false">IF(ISNUMBER(W1542),A1542-W1542,"")</f>
        <v>48</v>
      </c>
      <c r="AA1542" s="46" t="n">
        <f aca="false">MATCH(A1542,DATAS,0)</f>
        <v>1</v>
      </c>
      <c r="AB1542" s="46" t="n">
        <f aca="false">IF(AND(E1542&gt;0,OR(AND(B1542&gt;=1,B1542&lt;=6),B1542=10)),1,0)</f>
        <v>1</v>
      </c>
      <c r="AC1542" s="46" t="n">
        <f aca="false">IF(AND(E1542&gt;0,B1542=10),1,0)</f>
        <v>0</v>
      </c>
      <c r="AD1542" s="0" t="str">
        <f aca="false">IF(AND(C1541=C1542,AA1541=AA1542-1),AB1541,"")</f>
        <v/>
      </c>
      <c r="AE1542" s="0" t="str">
        <f aca="false">IF(AND(C1541=C1542,AA1541=AA1542-1),AC1541,"")</f>
        <v/>
      </c>
      <c r="AF1542" s="0" t="str">
        <f aca="false">IF(AA1542=1,"",IF(AND(AB1542=1,AD1542&lt;&gt;1),1,0))</f>
        <v/>
      </c>
      <c r="AG1542" s="0" t="str">
        <f aca="false">IF(AA1542=1,"",IF(AND(AC1542=1,AE1542&lt;&gt;1),1,0))</f>
        <v/>
      </c>
      <c r="AH1542" s="51" t="str">
        <f aca="false">IF(AND(E1542&gt;0,AA1542&lt;1,NOT(AND(C1543=C1542,AA1543=AA1542+1))),INDEX(DATAS,AA1542+1),"")</f>
        <v/>
      </c>
      <c r="AI1542" s="51" t="str">
        <f aca="false">IF(AND(AC1542=1,AA1542&lt;1),IF(AND(C1543=C1542,AA1543=AA1542+1),IF(AC1543=1,"",INDEX(DATAS,AA1542+1)),INDEX(DATAS,AA1542+1)),"")</f>
        <v/>
      </c>
    </row>
    <row r="1543" customFormat="false" ht="15" hidden="false" customHeight="false" outlineLevel="0" collapsed="false">
      <c r="A1543" s="51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46" t="s">
        <v>976</v>
      </c>
      <c r="G1543" s="0" t="n">
        <v>30.9</v>
      </c>
      <c r="H1543" s="0" t="n">
        <v>29</v>
      </c>
      <c r="I1543" s="46" t="s">
        <v>189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51" t="n">
        <v>46268</v>
      </c>
      <c r="X1543" s="46" t="n">
        <f aca="false">IF(I1543="Male",0,1)</f>
        <v>1</v>
      </c>
      <c r="Y1543" s="46" t="n">
        <f aca="false">IF(OR(I1543="DNB",I1543="Dry DNB"),1,0)</f>
        <v>0</v>
      </c>
      <c r="Z1543" s="46" t="n">
        <f aca="false">IF(ISNUMBER(W1543),A1543-W1543,"")</f>
        <v>41</v>
      </c>
      <c r="AA1543" s="46" t="n">
        <f aca="false">MATCH(A1543,DATAS,0)</f>
        <v>1</v>
      </c>
      <c r="AB1543" s="46" t="n">
        <f aca="false">IF(AND(E1543&gt;0,OR(AND(B1543&gt;=1,B1543&lt;=6),B1543=10)),1,0)</f>
        <v>1</v>
      </c>
      <c r="AC1543" s="46" t="n">
        <f aca="false">IF(AND(E1543&gt;0,B1543=10),1,0)</f>
        <v>0</v>
      </c>
      <c r="AD1543" s="0" t="str">
        <f aca="false">IF(AND(C1542=C1543,AA1542=AA1543-1),AB1542,"")</f>
        <v/>
      </c>
      <c r="AE1543" s="0" t="str">
        <f aca="false">IF(AND(C1542=C1543,AA1542=AA1543-1),AC1542,"")</f>
        <v/>
      </c>
      <c r="AF1543" s="0" t="str">
        <f aca="false">IF(AA1543=1,"",IF(AND(AB1543=1,AD1543&lt;&gt;1),1,0))</f>
        <v/>
      </c>
      <c r="AG1543" s="0" t="str">
        <f aca="false">IF(AA1543=1,"",IF(AND(AC1543=1,AE1543&lt;&gt;1),1,0))</f>
        <v/>
      </c>
      <c r="AH1543" s="51" t="str">
        <f aca="false">IF(AND(E1543&gt;0,AA1543&lt;1,NOT(AND(C1544=C1543,AA1544=AA1543+1))),INDEX(DATAS,AA1543+1),"")</f>
        <v/>
      </c>
      <c r="AI1543" s="51" t="str">
        <f aca="false">IF(AND(AC1543=1,AA1543&lt;1),IF(AND(C1544=C1543,AA1544=AA1543+1),IF(AC1544=1,"",INDEX(DATAS,AA1543+1)),INDEX(DATAS,AA1543+1)),"")</f>
        <v/>
      </c>
    </row>
    <row r="1544" customFormat="false" ht="15" hidden="false" customHeight="false" outlineLevel="0" collapsed="false">
      <c r="A1544" s="51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46" t="s">
        <v>976</v>
      </c>
      <c r="G1544" s="0" t="n">
        <v>53.6</v>
      </c>
      <c r="H1544" s="0" t="n">
        <v>55</v>
      </c>
      <c r="I1544" s="46" t="s">
        <v>152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51" t="n">
        <v>46185</v>
      </c>
      <c r="X1544" s="46" t="n">
        <f aca="false">IF(I1544="Male",0,1)</f>
        <v>1</v>
      </c>
      <c r="Y1544" s="46" t="n">
        <f aca="false">IF(OR(I1544="DNB",I1544="Dry DNB"),1,0)</f>
        <v>0</v>
      </c>
      <c r="Z1544" s="46" t="n">
        <f aca="false">IF(ISNUMBER(W1544),A1544-W1544,"")</f>
        <v>124</v>
      </c>
      <c r="AA1544" s="46" t="n">
        <f aca="false">MATCH(A1544,DATAS,0)</f>
        <v>1</v>
      </c>
      <c r="AB1544" s="46" t="n">
        <f aca="false">IF(AND(E1544&gt;0,OR(AND(B1544&gt;=1,B1544&lt;=6),B1544=10)),1,0)</f>
        <v>1</v>
      </c>
      <c r="AC1544" s="46" t="n">
        <f aca="false">IF(AND(E1544&gt;0,B1544=10),1,0)</f>
        <v>0</v>
      </c>
      <c r="AD1544" s="0" t="str">
        <f aca="false">IF(AND(C1543=C1544,AA1543=AA1544-1),AB1543,"")</f>
        <v/>
      </c>
      <c r="AE1544" s="0" t="str">
        <f aca="false">IF(AND(C1543=C1544,AA1543=AA1544-1),AC1543,"")</f>
        <v/>
      </c>
      <c r="AF1544" s="0" t="str">
        <f aca="false">IF(AA1544=1,"",IF(AND(AB1544=1,AD1544&lt;&gt;1),1,0))</f>
        <v/>
      </c>
      <c r="AG1544" s="0" t="str">
        <f aca="false">IF(AA1544=1,"",IF(AND(AC1544=1,AE1544&lt;&gt;1),1,0))</f>
        <v/>
      </c>
      <c r="AH1544" s="51" t="str">
        <f aca="false">IF(AND(E1544&gt;0,AA1544&lt;1,NOT(AND(C1545=C1544,AA1545=AA1544+1))),INDEX(DATAS,AA1544+1),"")</f>
        <v/>
      </c>
      <c r="AI1544" s="51" t="str">
        <f aca="false">IF(AND(AC1544=1,AA1544&lt;1),IF(AND(C1545=C1544,AA1545=AA1544+1),IF(AC1545=1,"",INDEX(DATAS,AA1544+1)),INDEX(DATAS,AA1544+1)),"")</f>
        <v/>
      </c>
    </row>
    <row r="1545" customFormat="false" ht="15" hidden="false" customHeight="false" outlineLevel="0" collapsed="false">
      <c r="A1545" s="51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46" t="s">
        <v>977</v>
      </c>
      <c r="G1545" s="0" t="n">
        <v>59.7</v>
      </c>
      <c r="H1545" s="0" t="n">
        <v>59</v>
      </c>
      <c r="I1545" s="46" t="s">
        <v>181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51" t="n">
        <v>46293</v>
      </c>
      <c r="X1545" s="46" t="n">
        <f aca="false">IF(I1545="Male",0,1)</f>
        <v>1</v>
      </c>
      <c r="Y1545" s="46" t="n">
        <f aca="false">IF(OR(I1545="DNB",I1545="Dry DNB"),1,0)</f>
        <v>0</v>
      </c>
      <c r="Z1545" s="46" t="n">
        <f aca="false">IF(ISNUMBER(W1545),A1545-W1545,"")</f>
        <v>16</v>
      </c>
      <c r="AA1545" s="46" t="n">
        <f aca="false">MATCH(A1545,DATAS,0)</f>
        <v>1</v>
      </c>
      <c r="AB1545" s="46" t="n">
        <f aca="false">IF(AND(E1545&gt;0,OR(AND(B1545&gt;=1,B1545&lt;=6),B1545=10)),1,0)</f>
        <v>1</v>
      </c>
      <c r="AC1545" s="46" t="n">
        <f aca="false">IF(AND(E1545&gt;0,B1545=10),1,0)</f>
        <v>0</v>
      </c>
      <c r="AD1545" s="0" t="str">
        <f aca="false">IF(AND(C1544=C1545,AA1544=AA1545-1),AB1544,"")</f>
        <v/>
      </c>
      <c r="AE1545" s="0" t="str">
        <f aca="false">IF(AND(C1544=C1545,AA1544=AA1545-1),AC1544,"")</f>
        <v/>
      </c>
      <c r="AF1545" s="0" t="str">
        <f aca="false">IF(AA1545=1,"",IF(AND(AB1545=1,AD1545&lt;&gt;1),1,0))</f>
        <v/>
      </c>
      <c r="AG1545" s="0" t="str">
        <f aca="false">IF(AA1545=1,"",IF(AND(AC1545=1,AE1545&lt;&gt;1),1,0))</f>
        <v/>
      </c>
      <c r="AH1545" s="51" t="str">
        <f aca="false">IF(AND(E1545&gt;0,AA1545&lt;1,NOT(AND(C1546=C1545,AA1546=AA1545+1))),INDEX(DATAS,AA1545+1),"")</f>
        <v/>
      </c>
      <c r="AI1545" s="51" t="str">
        <f aca="false">IF(AND(AC1545=1,AA1545&lt;1),IF(AND(C1546=C1545,AA1546=AA1545+1),IF(AC1546=1,"",INDEX(DATAS,AA1545+1)),INDEX(DATAS,AA1545+1)),"")</f>
        <v/>
      </c>
    </row>
    <row r="1546" customFormat="false" ht="15" hidden="false" customHeight="false" outlineLevel="0" collapsed="false">
      <c r="A1546" s="51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46" t="s">
        <v>977</v>
      </c>
      <c r="G1546" s="0" t="n">
        <v>51.6</v>
      </c>
      <c r="H1546" s="0" t="n">
        <v>50</v>
      </c>
      <c r="I1546" s="46" t="s">
        <v>189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51" t="n">
        <v>46275</v>
      </c>
      <c r="X1546" s="46" t="n">
        <f aca="false">IF(I1546="Male",0,1)</f>
        <v>1</v>
      </c>
      <c r="Y1546" s="46" t="n">
        <f aca="false">IF(OR(I1546="DNB",I1546="Dry DNB"),1,0)</f>
        <v>0</v>
      </c>
      <c r="Z1546" s="46" t="n">
        <f aca="false">IF(ISNUMBER(W1546),A1546-W1546,"")</f>
        <v>34</v>
      </c>
      <c r="AA1546" s="46" t="n">
        <f aca="false">MATCH(A1546,DATAS,0)</f>
        <v>1</v>
      </c>
      <c r="AB1546" s="46" t="n">
        <f aca="false">IF(AND(E1546&gt;0,OR(AND(B1546&gt;=1,B1546&lt;=6),B1546=10)),1,0)</f>
        <v>1</v>
      </c>
      <c r="AC1546" s="46" t="n">
        <f aca="false">IF(AND(E1546&gt;0,B1546=10),1,0)</f>
        <v>0</v>
      </c>
      <c r="AD1546" s="0" t="str">
        <f aca="false">IF(AND(C1545=C1546,AA1545=AA1546-1),AB1545,"")</f>
        <v/>
      </c>
      <c r="AE1546" s="0" t="str">
        <f aca="false">IF(AND(C1545=C1546,AA1545=AA1546-1),AC1545,"")</f>
        <v/>
      </c>
      <c r="AF1546" s="0" t="str">
        <f aca="false">IF(AA1546=1,"",IF(AND(AB1546=1,AD1546&lt;&gt;1),1,0))</f>
        <v/>
      </c>
      <c r="AG1546" s="0" t="str">
        <f aca="false">IF(AA1546=1,"",IF(AND(AC1546=1,AE1546&lt;&gt;1),1,0))</f>
        <v/>
      </c>
      <c r="AH1546" s="51" t="str">
        <f aca="false">IF(AND(E1546&gt;0,AA1546&lt;1,NOT(AND(C1547=C1546,AA1547=AA1546+1))),INDEX(DATAS,AA1546+1),"")</f>
        <v/>
      </c>
      <c r="AI1546" s="51" t="str">
        <f aca="false">IF(AND(AC1546=1,AA1546&lt;1),IF(AND(C1547=C1546,AA1547=AA1546+1),IF(AC1547=1,"",INDEX(DATAS,AA1546+1)),INDEX(DATAS,AA1546+1)),"")</f>
        <v/>
      </c>
    </row>
    <row r="1547" customFormat="false" ht="15" hidden="false" customHeight="false" outlineLevel="0" collapsed="false">
      <c r="A1547" s="51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46" t="s">
        <v>977</v>
      </c>
      <c r="G1547" s="0" t="n">
        <v>48.1</v>
      </c>
      <c r="H1547" s="0" t="n">
        <v>49</v>
      </c>
      <c r="I1547" s="46" t="s">
        <v>152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51" t="n">
        <v>46184</v>
      </c>
      <c r="X1547" s="46" t="n">
        <f aca="false">IF(I1547="Male",0,1)</f>
        <v>1</v>
      </c>
      <c r="Y1547" s="46" t="n">
        <f aca="false">IF(OR(I1547="DNB",I1547="Dry DNB"),1,0)</f>
        <v>0</v>
      </c>
      <c r="Z1547" s="46" t="n">
        <f aca="false">IF(ISNUMBER(W1547),A1547-W1547,"")</f>
        <v>125</v>
      </c>
      <c r="AA1547" s="46" t="n">
        <f aca="false">MATCH(A1547,DATAS,0)</f>
        <v>1</v>
      </c>
      <c r="AB1547" s="46" t="n">
        <f aca="false">IF(AND(E1547&gt;0,OR(AND(B1547&gt;=1,B1547&lt;=6),B1547=10)),1,0)</f>
        <v>1</v>
      </c>
      <c r="AC1547" s="46" t="n">
        <f aca="false">IF(AND(E1547&gt;0,B1547=10),1,0)</f>
        <v>0</v>
      </c>
      <c r="AD1547" s="0" t="str">
        <f aca="false">IF(AND(C1546=C1547,AA1546=AA1547-1),AB1546,"")</f>
        <v/>
      </c>
      <c r="AE1547" s="0" t="str">
        <f aca="false">IF(AND(C1546=C1547,AA1546=AA1547-1),AC1546,"")</f>
        <v/>
      </c>
      <c r="AF1547" s="0" t="str">
        <f aca="false">IF(AA1547=1,"",IF(AND(AB1547=1,AD1547&lt;&gt;1),1,0))</f>
        <v/>
      </c>
      <c r="AG1547" s="0" t="str">
        <f aca="false">IF(AA1547=1,"",IF(AND(AC1547=1,AE1547&lt;&gt;1),1,0))</f>
        <v/>
      </c>
      <c r="AH1547" s="51" t="str">
        <f aca="false">IF(AND(E1547&gt;0,AA1547&lt;1,NOT(AND(C1548=C1547,AA1548=AA1547+1))),INDEX(DATAS,AA1547+1),"")</f>
        <v/>
      </c>
      <c r="AI1547" s="51" t="str">
        <f aca="false">IF(AND(AC1547=1,AA1547&lt;1),IF(AND(C1548=C1547,AA1548=AA1547+1),IF(AC1548=1,"",INDEX(DATAS,AA1547+1)),INDEX(DATAS,AA1547+1)),"")</f>
        <v/>
      </c>
    </row>
    <row r="1548" customFormat="false" ht="15" hidden="false" customHeight="false" outlineLevel="0" collapsed="false">
      <c r="A1548" s="51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46" t="s">
        <v>977</v>
      </c>
      <c r="G1548" s="0" t="n">
        <v>51.5</v>
      </c>
      <c r="H1548" s="0" t="n">
        <v>48</v>
      </c>
      <c r="I1548" s="46" t="s">
        <v>181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51" t="n">
        <v>46307</v>
      </c>
      <c r="X1548" s="46" t="n">
        <f aca="false">IF(I1548="Male",0,1)</f>
        <v>1</v>
      </c>
      <c r="Y1548" s="46" t="n">
        <f aca="false">IF(OR(I1548="DNB",I1548="Dry DNB"),1,0)</f>
        <v>0</v>
      </c>
      <c r="Z1548" s="46" t="n">
        <f aca="false">IF(ISNUMBER(W1548),A1548-W1548,"")</f>
        <v>2</v>
      </c>
      <c r="AA1548" s="46" t="n">
        <f aca="false">MATCH(A1548,DATAS,0)</f>
        <v>1</v>
      </c>
      <c r="AB1548" s="46" t="n">
        <f aca="false">IF(AND(E1548&gt;0,OR(AND(B1548&gt;=1,B1548&lt;=6),B1548=10)),1,0)</f>
        <v>1</v>
      </c>
      <c r="AC1548" s="46" t="n">
        <f aca="false">IF(AND(E1548&gt;0,B1548=10),1,0)</f>
        <v>0</v>
      </c>
      <c r="AD1548" s="0" t="str">
        <f aca="false">IF(AND(C1547=C1548,AA1547=AA1548-1),AB1547,"")</f>
        <v/>
      </c>
      <c r="AE1548" s="0" t="str">
        <f aca="false">IF(AND(C1547=C1548,AA1547=AA1548-1),AC1547,"")</f>
        <v/>
      </c>
      <c r="AF1548" s="0" t="str">
        <f aca="false">IF(AA1548=1,"",IF(AND(AB1548=1,AD1548&lt;&gt;1),1,0))</f>
        <v/>
      </c>
      <c r="AG1548" s="0" t="str">
        <f aca="false">IF(AA1548=1,"",IF(AND(AC1548=1,AE1548&lt;&gt;1),1,0))</f>
        <v/>
      </c>
      <c r="AH1548" s="51" t="str">
        <f aca="false">IF(AND(E1548&gt;0,AA1548&lt;1,NOT(AND(C1549=C1548,AA1549=AA1548+1))),INDEX(DATAS,AA1548+1),"")</f>
        <v/>
      </c>
      <c r="AI1548" s="51" t="str">
        <f aca="false">IF(AND(AC1548=1,AA1548&lt;1),IF(AND(C1549=C1548,AA1549=AA1548+1),IF(AC1549=1,"",INDEX(DATAS,AA1548+1)),INDEX(DATAS,AA1548+1)),"")</f>
        <v/>
      </c>
    </row>
    <row r="1549" customFormat="false" ht="15" hidden="false" customHeight="false" outlineLevel="0" collapsed="false">
      <c r="A1549" s="51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46" t="s">
        <v>978</v>
      </c>
      <c r="G1549" s="0" t="n">
        <v>56.8</v>
      </c>
      <c r="H1549" s="0" t="n">
        <v>54</v>
      </c>
      <c r="I1549" s="46" t="s">
        <v>152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51" t="n">
        <v>46198</v>
      </c>
      <c r="X1549" s="46" t="n">
        <f aca="false">IF(I1549="Male",0,1)</f>
        <v>1</v>
      </c>
      <c r="Y1549" s="46" t="n">
        <f aca="false">IF(OR(I1549="DNB",I1549="Dry DNB"),1,0)</f>
        <v>0</v>
      </c>
      <c r="Z1549" s="46" t="n">
        <f aca="false">IF(ISNUMBER(W1549),A1549-W1549,"")</f>
        <v>111</v>
      </c>
      <c r="AA1549" s="46" t="n">
        <f aca="false">MATCH(A1549,DATAS,0)</f>
        <v>1</v>
      </c>
      <c r="AB1549" s="46" t="n">
        <f aca="false">IF(AND(E1549&gt;0,OR(AND(B1549&gt;=1,B1549&lt;=6),B1549=10)),1,0)</f>
        <v>1</v>
      </c>
      <c r="AC1549" s="46" t="n">
        <f aca="false">IF(AND(E1549&gt;0,B1549=10),1,0)</f>
        <v>0</v>
      </c>
      <c r="AD1549" s="0" t="str">
        <f aca="false">IF(AND(C1548=C1549,AA1548=AA1549-1),AB1548,"")</f>
        <v/>
      </c>
      <c r="AE1549" s="0" t="str">
        <f aca="false">IF(AND(C1548=C1549,AA1548=AA1549-1),AC1548,"")</f>
        <v/>
      </c>
      <c r="AF1549" s="0" t="str">
        <f aca="false">IF(AA1549=1,"",IF(AND(AB1549=1,AD1549&lt;&gt;1),1,0))</f>
        <v/>
      </c>
      <c r="AG1549" s="0" t="str">
        <f aca="false">IF(AA1549=1,"",IF(AND(AC1549=1,AE1549&lt;&gt;1),1,0))</f>
        <v/>
      </c>
      <c r="AH1549" s="51" t="str">
        <f aca="false">IF(AND(E1549&gt;0,AA1549&lt;1,NOT(AND(C1550=C1549,AA1550=AA1549+1))),INDEX(DATAS,AA1549+1),"")</f>
        <v/>
      </c>
      <c r="AI1549" s="51" t="str">
        <f aca="false">IF(AND(AC1549=1,AA1549&lt;1),IF(AND(C1550=C1549,AA1550=AA1549+1),IF(AC1550=1,"",INDEX(DATAS,AA1549+1)),INDEX(DATAS,AA1549+1)),"")</f>
        <v/>
      </c>
    </row>
    <row r="1550" customFormat="false" ht="15" hidden="false" customHeight="false" outlineLevel="0" collapsed="false">
      <c r="A1550" s="51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46" t="s">
        <v>978</v>
      </c>
      <c r="G1550" s="0" t="n">
        <v>41.7</v>
      </c>
      <c r="H1550" s="0" t="n">
        <v>42</v>
      </c>
      <c r="I1550" s="46" t="s">
        <v>152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51" t="n">
        <v>46261</v>
      </c>
      <c r="X1550" s="46" t="n">
        <f aca="false">IF(I1550="Male",0,1)</f>
        <v>1</v>
      </c>
      <c r="Y1550" s="46" t="n">
        <f aca="false">IF(OR(I1550="DNB",I1550="Dry DNB"),1,0)</f>
        <v>0</v>
      </c>
      <c r="Z1550" s="46" t="n">
        <f aca="false">IF(ISNUMBER(W1550),A1550-W1550,"")</f>
        <v>48</v>
      </c>
      <c r="AA1550" s="46" t="n">
        <f aca="false">MATCH(A1550,DATAS,0)</f>
        <v>1</v>
      </c>
      <c r="AB1550" s="46" t="n">
        <f aca="false">IF(AND(E1550&gt;0,OR(AND(B1550&gt;=1,B1550&lt;=6),B1550=10)),1,0)</f>
        <v>1</v>
      </c>
      <c r="AC1550" s="46" t="n">
        <f aca="false">IF(AND(E1550&gt;0,B1550=10),1,0)</f>
        <v>0</v>
      </c>
      <c r="AD1550" s="0" t="str">
        <f aca="false">IF(AND(C1549=C1550,AA1549=AA1550-1),AB1549,"")</f>
        <v/>
      </c>
      <c r="AE1550" s="0" t="str">
        <f aca="false">IF(AND(C1549=C1550,AA1549=AA1550-1),AC1549,"")</f>
        <v/>
      </c>
      <c r="AF1550" s="0" t="str">
        <f aca="false">IF(AA1550=1,"",IF(AND(AB1550=1,AD1550&lt;&gt;1),1,0))</f>
        <v/>
      </c>
      <c r="AG1550" s="0" t="str">
        <f aca="false">IF(AA1550=1,"",IF(AND(AC1550=1,AE1550&lt;&gt;1),1,0))</f>
        <v/>
      </c>
      <c r="AH1550" s="51" t="str">
        <f aca="false">IF(AND(E1550&gt;0,AA1550&lt;1,NOT(AND(C1551=C1550,AA1551=AA1550+1))),INDEX(DATAS,AA1550+1),"")</f>
        <v/>
      </c>
      <c r="AI1550" s="51" t="str">
        <f aca="false">IF(AND(AC1550=1,AA1550&lt;1),IF(AND(C1551=C1550,AA1551=AA1550+1),IF(AC1551=1,"",INDEX(DATAS,AA1550+1)),INDEX(DATAS,AA1550+1)),"")</f>
        <v/>
      </c>
    </row>
    <row r="1551" customFormat="false" ht="15" hidden="false" customHeight="false" outlineLevel="0" collapsed="false">
      <c r="A1551" s="51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46" t="s">
        <v>979</v>
      </c>
      <c r="G1551" s="0" t="n">
        <v>37.6</v>
      </c>
      <c r="H1551" s="0" t="n">
        <v>39</v>
      </c>
      <c r="I1551" s="46" t="s">
        <v>189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51" t="n">
        <v>46275</v>
      </c>
      <c r="X1551" s="46" t="n">
        <f aca="false">IF(I1551="Male",0,1)</f>
        <v>1</v>
      </c>
      <c r="Y1551" s="46" t="n">
        <f aca="false">IF(OR(I1551="DNB",I1551="Dry DNB"),1,0)</f>
        <v>0</v>
      </c>
      <c r="Z1551" s="46" t="n">
        <f aca="false">IF(ISNUMBER(W1551),A1551-W1551,"")</f>
        <v>34</v>
      </c>
      <c r="AA1551" s="46" t="n">
        <f aca="false">MATCH(A1551,DATAS,0)</f>
        <v>1</v>
      </c>
      <c r="AB1551" s="46" t="n">
        <f aca="false">IF(AND(E1551&gt;0,OR(AND(B1551&gt;=1,B1551&lt;=6),B1551=10)),1,0)</f>
        <v>1</v>
      </c>
      <c r="AC1551" s="46" t="n">
        <f aca="false">IF(AND(E1551&gt;0,B1551=10),1,0)</f>
        <v>0</v>
      </c>
      <c r="AD1551" s="0" t="str">
        <f aca="false">IF(AND(C1550=C1551,AA1550=AA1551-1),AB1550,"")</f>
        <v/>
      </c>
      <c r="AE1551" s="0" t="str">
        <f aca="false">IF(AND(C1550=C1551,AA1550=AA1551-1),AC1550,"")</f>
        <v/>
      </c>
      <c r="AF1551" s="0" t="str">
        <f aca="false">IF(AA1551=1,"",IF(AND(AB1551=1,AD1551&lt;&gt;1),1,0))</f>
        <v/>
      </c>
      <c r="AG1551" s="0" t="str">
        <f aca="false">IF(AA1551=1,"",IF(AND(AC1551=1,AE1551&lt;&gt;1),1,0))</f>
        <v/>
      </c>
      <c r="AH1551" s="51" t="str">
        <f aca="false">IF(AND(E1551&gt;0,AA1551&lt;1,NOT(AND(C1552=C1551,AA1552=AA1551+1))),INDEX(DATAS,AA1551+1),"")</f>
        <v/>
      </c>
      <c r="AI1551" s="51" t="str">
        <f aca="false">IF(AND(AC1551=1,AA1551&lt;1),IF(AND(C1552=C1551,AA1552=AA1551+1),IF(AC1552=1,"",INDEX(DATAS,AA1551+1)),INDEX(DATAS,AA1551+1)),"")</f>
        <v/>
      </c>
    </row>
    <row r="1552" customFormat="false" ht="15" hidden="false" customHeight="false" outlineLevel="0" collapsed="false">
      <c r="A1552" s="51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46" t="s">
        <v>979</v>
      </c>
      <c r="G1552" s="0" t="n">
        <v>43.9</v>
      </c>
      <c r="H1552" s="0" t="n">
        <v>46</v>
      </c>
      <c r="I1552" s="46" t="s">
        <v>181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51" t="n">
        <v>46282</v>
      </c>
      <c r="X1552" s="46" t="n">
        <f aca="false">IF(I1552="Male",0,1)</f>
        <v>1</v>
      </c>
      <c r="Y1552" s="46" t="n">
        <f aca="false">IF(OR(I1552="DNB",I1552="Dry DNB"),1,0)</f>
        <v>0</v>
      </c>
      <c r="Z1552" s="46" t="n">
        <f aca="false">IF(ISNUMBER(W1552),A1552-W1552,"")</f>
        <v>27</v>
      </c>
      <c r="AA1552" s="46" t="n">
        <f aca="false">MATCH(A1552,DATAS,0)</f>
        <v>1</v>
      </c>
      <c r="AB1552" s="46" t="n">
        <f aca="false">IF(AND(E1552&gt;0,OR(AND(B1552&gt;=1,B1552&lt;=6),B1552=10)),1,0)</f>
        <v>1</v>
      </c>
      <c r="AC1552" s="46" t="n">
        <f aca="false">IF(AND(E1552&gt;0,B1552=10),1,0)</f>
        <v>0</v>
      </c>
      <c r="AD1552" s="0" t="str">
        <f aca="false">IF(AND(C1551=C1552,AA1551=AA1552-1),AB1551,"")</f>
        <v/>
      </c>
      <c r="AE1552" s="0" t="str">
        <f aca="false">IF(AND(C1551=C1552,AA1551=AA1552-1),AC1551,"")</f>
        <v/>
      </c>
      <c r="AF1552" s="0" t="str">
        <f aca="false">IF(AA1552=1,"",IF(AND(AB1552=1,AD1552&lt;&gt;1),1,0))</f>
        <v/>
      </c>
      <c r="AG1552" s="0" t="str">
        <f aca="false">IF(AA1552=1,"",IF(AND(AC1552=1,AE1552&lt;&gt;1),1,0))</f>
        <v/>
      </c>
      <c r="AH1552" s="51" t="str">
        <f aca="false">IF(AND(E1552&gt;0,AA1552&lt;1,NOT(AND(C1553=C1552,AA1553=AA1552+1))),INDEX(DATAS,AA1552+1),"")</f>
        <v/>
      </c>
      <c r="AI1552" s="51" t="str">
        <f aca="false">IF(AND(AC1552=1,AA1552&lt;1),IF(AND(C1553=C1552,AA1553=AA1552+1),IF(AC1553=1,"",INDEX(DATAS,AA1552+1)),INDEX(DATAS,AA1552+1)),"")</f>
        <v/>
      </c>
    </row>
    <row r="1553" customFormat="false" ht="15" hidden="false" customHeight="false" outlineLevel="0" collapsed="false">
      <c r="A1553" s="51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46" t="s">
        <v>980</v>
      </c>
      <c r="G1553" s="0" t="n">
        <v>49.5</v>
      </c>
      <c r="H1553" s="0" t="n">
        <v>51</v>
      </c>
      <c r="I1553" s="46" t="s">
        <v>152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51" t="n">
        <v>46178</v>
      </c>
      <c r="X1553" s="46" t="n">
        <f aca="false">IF(I1553="Male",0,1)</f>
        <v>1</v>
      </c>
      <c r="Y1553" s="46" t="n">
        <f aca="false">IF(OR(I1553="DNB",I1553="Dry DNB"),1,0)</f>
        <v>0</v>
      </c>
      <c r="Z1553" s="46" t="n">
        <f aca="false">IF(ISNUMBER(W1553),A1553-W1553,"")</f>
        <v>131</v>
      </c>
      <c r="AA1553" s="46" t="n">
        <f aca="false">MATCH(A1553,DATAS,0)</f>
        <v>1</v>
      </c>
      <c r="AB1553" s="46" t="n">
        <f aca="false">IF(AND(E1553&gt;0,OR(AND(B1553&gt;=1,B1553&lt;=6),B1553=10)),1,0)</f>
        <v>1</v>
      </c>
      <c r="AC1553" s="46" t="n">
        <f aca="false">IF(AND(E1553&gt;0,B1553=10),1,0)</f>
        <v>0</v>
      </c>
      <c r="AD1553" s="0" t="str">
        <f aca="false">IF(AND(C1552=C1553,AA1552=AA1553-1),AB1552,"")</f>
        <v/>
      </c>
      <c r="AE1553" s="0" t="str">
        <f aca="false">IF(AND(C1552=C1553,AA1552=AA1553-1),AC1552,"")</f>
        <v/>
      </c>
      <c r="AF1553" s="0" t="str">
        <f aca="false">IF(AA1553=1,"",IF(AND(AB1553=1,AD1553&lt;&gt;1),1,0))</f>
        <v/>
      </c>
      <c r="AG1553" s="0" t="str">
        <f aca="false">IF(AA1553=1,"",IF(AND(AC1553=1,AE1553&lt;&gt;1),1,0))</f>
        <v/>
      </c>
      <c r="AH1553" s="51" t="str">
        <f aca="false">IF(AND(E1553&gt;0,AA1553&lt;1,NOT(AND(C1554=C1553,AA1554=AA1553+1))),INDEX(DATAS,AA1553+1),"")</f>
        <v/>
      </c>
      <c r="AI1553" s="51" t="str">
        <f aca="false">IF(AND(AC1553=1,AA1553&lt;1),IF(AND(C1554=C1553,AA1554=AA1553+1),IF(AC1554=1,"",INDEX(DATAS,AA1553+1)),INDEX(DATAS,AA1553+1)),"")</f>
        <v/>
      </c>
    </row>
    <row r="1554" customFormat="false" ht="15" hidden="false" customHeight="false" outlineLevel="0" collapsed="false">
      <c r="A1554" s="51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46" t="s">
        <v>981</v>
      </c>
      <c r="G1554" s="0" t="n">
        <v>46.2</v>
      </c>
      <c r="H1554" s="0" t="n">
        <v>45</v>
      </c>
      <c r="I1554" s="46" t="s">
        <v>152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51" t="n">
        <v>46177</v>
      </c>
      <c r="X1554" s="46" t="n">
        <f aca="false">IF(I1554="Male",0,1)</f>
        <v>1</v>
      </c>
      <c r="Y1554" s="46" t="n">
        <f aca="false">IF(OR(I1554="DNB",I1554="Dry DNB"),1,0)</f>
        <v>0</v>
      </c>
      <c r="Z1554" s="46" t="n">
        <f aca="false">IF(ISNUMBER(W1554),A1554-W1554,"")</f>
        <v>132</v>
      </c>
      <c r="AA1554" s="46" t="n">
        <f aca="false">MATCH(A1554,DATAS,0)</f>
        <v>1</v>
      </c>
      <c r="AB1554" s="46" t="n">
        <f aca="false">IF(AND(E1554&gt;0,OR(AND(B1554&gt;=1,B1554&lt;=6),B1554=10)),1,0)</f>
        <v>1</v>
      </c>
      <c r="AC1554" s="46" t="n">
        <f aca="false">IF(AND(E1554&gt;0,B1554=10),1,0)</f>
        <v>0</v>
      </c>
      <c r="AD1554" s="0" t="str">
        <f aca="false">IF(AND(C1553=C1554,AA1553=AA1554-1),AB1553,"")</f>
        <v/>
      </c>
      <c r="AE1554" s="0" t="str">
        <f aca="false">IF(AND(C1553=C1554,AA1553=AA1554-1),AC1553,"")</f>
        <v/>
      </c>
      <c r="AF1554" s="0" t="str">
        <f aca="false">IF(AA1554=1,"",IF(AND(AB1554=1,AD1554&lt;&gt;1),1,0))</f>
        <v/>
      </c>
      <c r="AG1554" s="0" t="str">
        <f aca="false">IF(AA1554=1,"",IF(AND(AC1554=1,AE1554&lt;&gt;1),1,0))</f>
        <v/>
      </c>
      <c r="AH1554" s="51" t="str">
        <f aca="false">IF(AND(E1554&gt;0,AA1554&lt;1,NOT(AND(C1555=C1554,AA1555=AA1554+1))),INDEX(DATAS,AA1554+1),"")</f>
        <v/>
      </c>
      <c r="AI1554" s="51" t="str">
        <f aca="false">IF(AND(AC1554=1,AA1554&lt;1),IF(AND(C1555=C1554,AA1555=AA1554+1),IF(AC1555=1,"",INDEX(DATAS,AA1554+1)),INDEX(DATAS,AA1554+1)),"")</f>
        <v/>
      </c>
    </row>
    <row r="1555" customFormat="false" ht="15" hidden="false" customHeight="false" outlineLevel="0" collapsed="false">
      <c r="A1555" s="51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46" t="s">
        <v>981</v>
      </c>
      <c r="G1555" s="0" t="n">
        <v>53.6</v>
      </c>
      <c r="H1555" s="0" t="n">
        <v>49</v>
      </c>
      <c r="I1555" s="46" t="s">
        <v>181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51" t="n">
        <v>46305</v>
      </c>
      <c r="X1555" s="46" t="n">
        <f aca="false">IF(I1555="Male",0,1)</f>
        <v>1</v>
      </c>
      <c r="Y1555" s="46" t="n">
        <f aca="false">IF(OR(I1555="DNB",I1555="Dry DNB"),1,0)</f>
        <v>0</v>
      </c>
      <c r="Z1555" s="46" t="n">
        <f aca="false">IF(ISNUMBER(W1555),A1555-W1555,"")</f>
        <v>4</v>
      </c>
      <c r="AA1555" s="46" t="n">
        <f aca="false">MATCH(A1555,DATAS,0)</f>
        <v>1</v>
      </c>
      <c r="AB1555" s="46" t="n">
        <f aca="false">IF(AND(E1555&gt;0,OR(AND(B1555&gt;=1,B1555&lt;=6),B1555=10)),1,0)</f>
        <v>1</v>
      </c>
      <c r="AC1555" s="46" t="n">
        <f aca="false">IF(AND(E1555&gt;0,B1555=10),1,0)</f>
        <v>0</v>
      </c>
      <c r="AD1555" s="0" t="str">
        <f aca="false">IF(AND(C1554=C1555,AA1554=AA1555-1),AB1554,"")</f>
        <v/>
      </c>
      <c r="AE1555" s="0" t="str">
        <f aca="false">IF(AND(C1554=C1555,AA1554=AA1555-1),AC1554,"")</f>
        <v/>
      </c>
      <c r="AF1555" s="0" t="str">
        <f aca="false">IF(AA1555=1,"",IF(AND(AB1555=1,AD1555&lt;&gt;1),1,0))</f>
        <v/>
      </c>
      <c r="AG1555" s="0" t="str">
        <f aca="false">IF(AA1555=1,"",IF(AND(AC1555=1,AE1555&lt;&gt;1),1,0))</f>
        <v/>
      </c>
      <c r="AH1555" s="51" t="str">
        <f aca="false">IF(AND(E1555&gt;0,AA1555&lt;1,NOT(AND(C1556=C1555,AA1556=AA1555+1))),INDEX(DATAS,AA1555+1),"")</f>
        <v/>
      </c>
      <c r="AI1555" s="51" t="str">
        <f aca="false">IF(AND(AC1555=1,AA1555&lt;1),IF(AND(C1556=C1555,AA1556=AA1555+1),IF(AC1556=1,"",INDEX(DATAS,AA1555+1)),INDEX(DATAS,AA1555+1)),"")</f>
        <v/>
      </c>
    </row>
    <row r="1556" customFormat="false" ht="15" hidden="false" customHeight="false" outlineLevel="0" collapsed="false">
      <c r="A1556" s="51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46" t="s">
        <v>981</v>
      </c>
      <c r="G1556" s="0" t="n">
        <v>61.1</v>
      </c>
      <c r="H1556" s="0" t="n">
        <v>60</v>
      </c>
      <c r="I1556" s="46" t="s">
        <v>181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51" t="n">
        <v>46303</v>
      </c>
      <c r="X1556" s="46" t="n">
        <f aca="false">IF(I1556="Male",0,1)</f>
        <v>1</v>
      </c>
      <c r="Y1556" s="46" t="n">
        <f aca="false">IF(OR(I1556="DNB",I1556="Dry DNB"),1,0)</f>
        <v>0</v>
      </c>
      <c r="Z1556" s="46" t="n">
        <f aca="false">IF(ISNUMBER(W1556),A1556-W1556,"")</f>
        <v>6</v>
      </c>
      <c r="AA1556" s="46" t="n">
        <f aca="false">MATCH(A1556,DATAS,0)</f>
        <v>1</v>
      </c>
      <c r="AB1556" s="46" t="n">
        <f aca="false">IF(AND(E1556&gt;0,OR(AND(B1556&gt;=1,B1556&lt;=6),B1556=10)),1,0)</f>
        <v>1</v>
      </c>
      <c r="AC1556" s="46" t="n">
        <f aca="false">IF(AND(E1556&gt;0,B1556=10),1,0)</f>
        <v>0</v>
      </c>
      <c r="AD1556" s="0" t="str">
        <f aca="false">IF(AND(C1555=C1556,AA1555=AA1556-1),AB1555,"")</f>
        <v/>
      </c>
      <c r="AE1556" s="0" t="str">
        <f aca="false">IF(AND(C1555=C1556,AA1555=AA1556-1),AC1555,"")</f>
        <v/>
      </c>
      <c r="AF1556" s="0" t="str">
        <f aca="false">IF(AA1556=1,"",IF(AND(AB1556=1,AD1556&lt;&gt;1),1,0))</f>
        <v/>
      </c>
      <c r="AG1556" s="0" t="str">
        <f aca="false">IF(AA1556=1,"",IF(AND(AC1556=1,AE1556&lt;&gt;1),1,0))</f>
        <v/>
      </c>
      <c r="AH1556" s="51" t="str">
        <f aca="false">IF(AND(E1556&gt;0,AA1556&lt;1,NOT(AND(C1557=C1556,AA1557=AA1556+1))),INDEX(DATAS,AA1556+1),"")</f>
        <v/>
      </c>
      <c r="AI1556" s="51" t="str">
        <f aca="false">IF(AND(AC1556=1,AA1556&lt;1),IF(AND(C1557=C1556,AA1557=AA1556+1),IF(AC1557=1,"",INDEX(DATAS,AA1556+1)),INDEX(DATAS,AA1556+1)),"")</f>
        <v/>
      </c>
    </row>
    <row r="1557" customFormat="false" ht="15" hidden="false" customHeight="false" outlineLevel="0" collapsed="false">
      <c r="A1557" s="51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46" t="s">
        <v>981</v>
      </c>
      <c r="G1557" s="0" t="n">
        <v>52.4</v>
      </c>
      <c r="H1557" s="0" t="n">
        <v>54</v>
      </c>
      <c r="I1557" s="46" t="s">
        <v>152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51" t="n">
        <v>46220</v>
      </c>
      <c r="X1557" s="46" t="n">
        <f aca="false">IF(I1557="Male",0,1)</f>
        <v>1</v>
      </c>
      <c r="Y1557" s="46" t="n">
        <f aca="false">IF(OR(I1557="DNB",I1557="Dry DNB"),1,0)</f>
        <v>0</v>
      </c>
      <c r="Z1557" s="46" t="n">
        <f aca="false">IF(ISNUMBER(W1557),A1557-W1557,"")</f>
        <v>89</v>
      </c>
      <c r="AA1557" s="46" t="n">
        <f aca="false">MATCH(A1557,DATAS,0)</f>
        <v>1</v>
      </c>
      <c r="AB1557" s="46" t="n">
        <f aca="false">IF(AND(E1557&gt;0,OR(AND(B1557&gt;=1,B1557&lt;=6),B1557=10)),1,0)</f>
        <v>1</v>
      </c>
      <c r="AC1557" s="46" t="n">
        <f aca="false">IF(AND(E1557&gt;0,B1557=10),1,0)</f>
        <v>0</v>
      </c>
      <c r="AD1557" s="0" t="str">
        <f aca="false">IF(AND(C1556=C1557,AA1556=AA1557-1),AB1556,"")</f>
        <v/>
      </c>
      <c r="AE1557" s="0" t="str">
        <f aca="false">IF(AND(C1556=C1557,AA1556=AA1557-1),AC1556,"")</f>
        <v/>
      </c>
      <c r="AF1557" s="0" t="str">
        <f aca="false">IF(AA1557=1,"",IF(AND(AB1557=1,AD1557&lt;&gt;1),1,0))</f>
        <v/>
      </c>
      <c r="AG1557" s="0" t="str">
        <f aca="false">IF(AA1557=1,"",IF(AND(AC1557=1,AE1557&lt;&gt;1),1,0))</f>
        <v/>
      </c>
      <c r="AH1557" s="51" t="str">
        <f aca="false">IF(AND(E1557&gt;0,AA1557&lt;1,NOT(AND(C1558=C1557,AA1558=AA1557+1))),INDEX(DATAS,AA1557+1),"")</f>
        <v/>
      </c>
      <c r="AI1557" s="51" t="str">
        <f aca="false">IF(AND(AC1557=1,AA1557&lt;1),IF(AND(C1558=C1557,AA1558=AA1557+1),IF(AC1558=1,"",INDEX(DATAS,AA1557+1)),INDEX(DATAS,AA1557+1)),"")</f>
        <v/>
      </c>
    </row>
    <row r="1558" customFormat="false" ht="15" hidden="false" customHeight="false" outlineLevel="0" collapsed="false">
      <c r="A1558" s="51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46" t="s">
        <v>982</v>
      </c>
      <c r="G1558" s="0" t="n">
        <v>55.3</v>
      </c>
      <c r="H1558" s="0" t="n">
        <v>53</v>
      </c>
      <c r="I1558" s="46" t="s">
        <v>152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51" t="n">
        <v>46205</v>
      </c>
      <c r="X1558" s="46" t="n">
        <f aca="false">IF(I1558="Male",0,1)</f>
        <v>1</v>
      </c>
      <c r="Y1558" s="46" t="n">
        <f aca="false">IF(OR(I1558="DNB",I1558="Dry DNB"),1,0)</f>
        <v>0</v>
      </c>
      <c r="Z1558" s="46" t="n">
        <f aca="false">IF(ISNUMBER(W1558),A1558-W1558,"")</f>
        <v>104</v>
      </c>
      <c r="AA1558" s="46" t="n">
        <f aca="false">MATCH(A1558,DATAS,0)</f>
        <v>1</v>
      </c>
      <c r="AB1558" s="46" t="n">
        <f aca="false">IF(AND(E1558&gt;0,OR(AND(B1558&gt;=1,B1558&lt;=6),B1558=10)),1,0)</f>
        <v>1</v>
      </c>
      <c r="AC1558" s="46" t="n">
        <f aca="false">IF(AND(E1558&gt;0,B1558=10),1,0)</f>
        <v>0</v>
      </c>
      <c r="AD1558" s="0" t="str">
        <f aca="false">IF(AND(C1557=C1558,AA1557=AA1558-1),AB1557,"")</f>
        <v/>
      </c>
      <c r="AE1558" s="0" t="str">
        <f aca="false">IF(AND(C1557=C1558,AA1557=AA1558-1),AC1557,"")</f>
        <v/>
      </c>
      <c r="AF1558" s="0" t="str">
        <f aca="false">IF(AA1558=1,"",IF(AND(AB1558=1,AD1558&lt;&gt;1),1,0))</f>
        <v/>
      </c>
      <c r="AG1558" s="0" t="str">
        <f aca="false">IF(AA1558=1,"",IF(AND(AC1558=1,AE1558&lt;&gt;1),1,0))</f>
        <v/>
      </c>
      <c r="AH1558" s="51" t="str">
        <f aca="false">IF(AND(E1558&gt;0,AA1558&lt;1,NOT(AND(C1559=C1558,AA1559=AA1558+1))),INDEX(DATAS,AA1558+1),"")</f>
        <v/>
      </c>
      <c r="AI1558" s="51" t="str">
        <f aca="false">IF(AND(AC1558=1,AA1558&lt;1),IF(AND(C1559=C1558,AA1559=AA1558+1),IF(AC1559=1,"",INDEX(DATAS,AA1558+1)),INDEX(DATAS,AA1558+1)),"")</f>
        <v/>
      </c>
    </row>
    <row r="1559" customFormat="false" ht="15" hidden="false" customHeight="false" outlineLevel="0" collapsed="false">
      <c r="A1559" s="51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46" t="s">
        <v>983</v>
      </c>
      <c r="G1559" s="0" t="n">
        <v>48.9</v>
      </c>
      <c r="H1559" s="0" t="n">
        <v>48</v>
      </c>
      <c r="I1559" s="46" t="s">
        <v>181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51" t="n">
        <v>46289</v>
      </c>
      <c r="X1559" s="46" t="n">
        <f aca="false">IF(I1559="Male",0,1)</f>
        <v>1</v>
      </c>
      <c r="Y1559" s="46" t="n">
        <f aca="false">IF(OR(I1559="DNB",I1559="Dry DNB"),1,0)</f>
        <v>0</v>
      </c>
      <c r="Z1559" s="46" t="n">
        <f aca="false">IF(ISNUMBER(W1559),A1559-W1559,"")</f>
        <v>20</v>
      </c>
      <c r="AA1559" s="46" t="n">
        <f aca="false">MATCH(A1559,DATAS,0)</f>
        <v>1</v>
      </c>
      <c r="AB1559" s="46" t="n">
        <f aca="false">IF(AND(E1559&gt;0,OR(AND(B1559&gt;=1,B1559&lt;=6),B1559=10)),1,0)</f>
        <v>1</v>
      </c>
      <c r="AC1559" s="46" t="n">
        <f aca="false">IF(AND(E1559&gt;0,B1559=10),1,0)</f>
        <v>0</v>
      </c>
      <c r="AD1559" s="0" t="str">
        <f aca="false">IF(AND(C1558=C1559,AA1558=AA1559-1),AB1558,"")</f>
        <v/>
      </c>
      <c r="AE1559" s="0" t="str">
        <f aca="false">IF(AND(C1558=C1559,AA1558=AA1559-1),AC1558,"")</f>
        <v/>
      </c>
      <c r="AF1559" s="0" t="str">
        <f aca="false">IF(AA1559=1,"",IF(AND(AB1559=1,AD1559&lt;&gt;1),1,0))</f>
        <v/>
      </c>
      <c r="AG1559" s="0" t="str">
        <f aca="false">IF(AA1559=1,"",IF(AND(AC1559=1,AE1559&lt;&gt;1),1,0))</f>
        <v/>
      </c>
      <c r="AH1559" s="51" t="str">
        <f aca="false">IF(AND(E1559&gt;0,AA1559&lt;1,NOT(AND(C1560=C1559,AA1560=AA1559+1))),INDEX(DATAS,AA1559+1),"")</f>
        <v/>
      </c>
      <c r="AI1559" s="51" t="str">
        <f aca="false">IF(AND(AC1559=1,AA1559&lt;1),IF(AND(C1560=C1559,AA1560=AA1559+1),IF(AC1560=1,"",INDEX(DATAS,AA1559+1)),INDEX(DATAS,AA1559+1)),"")</f>
        <v/>
      </c>
    </row>
    <row r="1560" customFormat="false" ht="15" hidden="false" customHeight="false" outlineLevel="0" collapsed="false">
      <c r="A1560" s="51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46" t="s">
        <v>984</v>
      </c>
      <c r="G1560" s="0" t="n">
        <v>36.9</v>
      </c>
      <c r="H1560" s="0" t="n">
        <v>36</v>
      </c>
      <c r="I1560" s="46" t="s">
        <v>152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51" t="n">
        <v>46254</v>
      </c>
      <c r="X1560" s="46" t="n">
        <f aca="false">IF(I1560="Male",0,1)</f>
        <v>1</v>
      </c>
      <c r="Y1560" s="46" t="n">
        <f aca="false">IF(OR(I1560="DNB",I1560="Dry DNB"),1,0)</f>
        <v>0</v>
      </c>
      <c r="Z1560" s="46" t="n">
        <f aca="false">IF(ISNUMBER(W1560),A1560-W1560,"")</f>
        <v>55</v>
      </c>
      <c r="AA1560" s="46" t="n">
        <f aca="false">MATCH(A1560,DATAS,0)</f>
        <v>1</v>
      </c>
      <c r="AB1560" s="46" t="n">
        <f aca="false">IF(AND(E1560&gt;0,OR(AND(B1560&gt;=1,B1560&lt;=6),B1560=10)),1,0)</f>
        <v>1</v>
      </c>
      <c r="AC1560" s="46" t="n">
        <f aca="false">IF(AND(E1560&gt;0,B1560=10),1,0)</f>
        <v>0</v>
      </c>
      <c r="AD1560" s="0" t="str">
        <f aca="false">IF(AND(C1559=C1560,AA1559=AA1560-1),AB1559,"")</f>
        <v/>
      </c>
      <c r="AE1560" s="0" t="str">
        <f aca="false">IF(AND(C1559=C1560,AA1559=AA1560-1),AC1559,"")</f>
        <v/>
      </c>
      <c r="AF1560" s="0" t="str">
        <f aca="false">IF(AA1560=1,"",IF(AND(AB1560=1,AD1560&lt;&gt;1),1,0))</f>
        <v/>
      </c>
      <c r="AG1560" s="0" t="str">
        <f aca="false">IF(AA1560=1,"",IF(AND(AC1560=1,AE1560&lt;&gt;1),1,0))</f>
        <v/>
      </c>
      <c r="AH1560" s="51" t="str">
        <f aca="false">IF(AND(E1560&gt;0,AA1560&lt;1,NOT(AND(C1561=C1560,AA1561=AA1560+1))),INDEX(DATAS,AA1560+1),"")</f>
        <v/>
      </c>
      <c r="AI1560" s="51" t="str">
        <f aca="false">IF(AND(AC1560=1,AA1560&lt;1),IF(AND(C1561=C1560,AA1561=AA1560+1),IF(AC1561=1,"",INDEX(DATAS,AA1560+1)),INDEX(DATAS,AA1560+1)),"")</f>
        <v/>
      </c>
    </row>
    <row r="1561" customFormat="false" ht="15" hidden="false" customHeight="false" outlineLevel="0" collapsed="false">
      <c r="A1561" s="51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46" t="s">
        <v>984</v>
      </c>
      <c r="G1561" s="0" t="n">
        <v>52.6</v>
      </c>
      <c r="H1561" s="0" t="n">
        <v>49</v>
      </c>
      <c r="I1561" s="46" t="s">
        <v>152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51" t="n">
        <v>46262</v>
      </c>
      <c r="X1561" s="46" t="n">
        <f aca="false">IF(I1561="Male",0,1)</f>
        <v>1</v>
      </c>
      <c r="Y1561" s="46" t="n">
        <f aca="false">IF(OR(I1561="DNB",I1561="Dry DNB"),1,0)</f>
        <v>0</v>
      </c>
      <c r="Z1561" s="46" t="n">
        <f aca="false">IF(ISNUMBER(W1561),A1561-W1561,"")</f>
        <v>47</v>
      </c>
      <c r="AA1561" s="46" t="n">
        <f aca="false">MATCH(A1561,DATAS,0)</f>
        <v>1</v>
      </c>
      <c r="AB1561" s="46" t="n">
        <f aca="false">IF(AND(E1561&gt;0,OR(AND(B1561&gt;=1,B1561&lt;=6),B1561=10)),1,0)</f>
        <v>1</v>
      </c>
      <c r="AC1561" s="46" t="n">
        <f aca="false">IF(AND(E1561&gt;0,B1561=10),1,0)</f>
        <v>0</v>
      </c>
      <c r="AD1561" s="0" t="str">
        <f aca="false">IF(AND(C1560=C1561,AA1560=AA1561-1),AB1560,"")</f>
        <v/>
      </c>
      <c r="AE1561" s="0" t="str">
        <f aca="false">IF(AND(C1560=C1561,AA1560=AA1561-1),AC1560,"")</f>
        <v/>
      </c>
      <c r="AF1561" s="0" t="str">
        <f aca="false">IF(AA1561=1,"",IF(AND(AB1561=1,AD1561&lt;&gt;1),1,0))</f>
        <v/>
      </c>
      <c r="AG1561" s="0" t="str">
        <f aca="false">IF(AA1561=1,"",IF(AND(AC1561=1,AE1561&lt;&gt;1),1,0))</f>
        <v/>
      </c>
      <c r="AH1561" s="51" t="str">
        <f aca="false">IF(AND(E1561&gt;0,AA1561&lt;1,NOT(AND(C1562=C1561,AA1562=AA1561+1))),INDEX(DATAS,AA1561+1),"")</f>
        <v/>
      </c>
      <c r="AI1561" s="51" t="str">
        <f aca="false">IF(AND(AC1561=1,AA1561&lt;1),IF(AND(C1562=C1561,AA1562=AA1561+1),IF(AC1562=1,"",INDEX(DATAS,AA1561+1)),INDEX(DATAS,AA1561+1)),"")</f>
        <v/>
      </c>
    </row>
    <row r="1562" customFormat="false" ht="15" hidden="false" customHeight="false" outlineLevel="0" collapsed="false">
      <c r="A1562" s="51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46" t="s">
        <v>984</v>
      </c>
      <c r="G1562" s="0" t="n">
        <v>50.8</v>
      </c>
      <c r="H1562" s="0" t="n">
        <v>51</v>
      </c>
      <c r="I1562" s="46" t="s">
        <v>152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51" t="n">
        <v>46275</v>
      </c>
      <c r="X1562" s="46" t="n">
        <f aca="false">IF(I1562="Male",0,1)</f>
        <v>1</v>
      </c>
      <c r="Y1562" s="46" t="n">
        <f aca="false">IF(OR(I1562="DNB",I1562="Dry DNB"),1,0)</f>
        <v>0</v>
      </c>
      <c r="Z1562" s="46" t="n">
        <f aca="false">IF(ISNUMBER(W1562),A1562-W1562,"")</f>
        <v>34</v>
      </c>
      <c r="AA1562" s="46" t="n">
        <f aca="false">MATCH(A1562,DATAS,0)</f>
        <v>1</v>
      </c>
      <c r="AB1562" s="46" t="n">
        <f aca="false">IF(AND(E1562&gt;0,OR(AND(B1562&gt;=1,B1562&lt;=6),B1562=10)),1,0)</f>
        <v>1</v>
      </c>
      <c r="AC1562" s="46" t="n">
        <f aca="false">IF(AND(E1562&gt;0,B1562=10),1,0)</f>
        <v>0</v>
      </c>
      <c r="AD1562" s="0" t="str">
        <f aca="false">IF(AND(C1561=C1562,AA1561=AA1562-1),AB1561,"")</f>
        <v/>
      </c>
      <c r="AE1562" s="0" t="str">
        <f aca="false">IF(AND(C1561=C1562,AA1561=AA1562-1),AC1561,"")</f>
        <v/>
      </c>
      <c r="AF1562" s="0" t="str">
        <f aca="false">IF(AA1562=1,"",IF(AND(AB1562=1,AD1562&lt;&gt;1),1,0))</f>
        <v/>
      </c>
      <c r="AG1562" s="0" t="str">
        <f aca="false">IF(AA1562=1,"",IF(AND(AC1562=1,AE1562&lt;&gt;1),1,0))</f>
        <v/>
      </c>
      <c r="AH1562" s="51" t="str">
        <f aca="false">IF(AND(E1562&gt;0,AA1562&lt;1,NOT(AND(C1563=C1562,AA1563=AA1562+1))),INDEX(DATAS,AA1562+1),"")</f>
        <v/>
      </c>
      <c r="AI1562" s="51" t="str">
        <f aca="false">IF(AND(AC1562=1,AA1562&lt;1),IF(AND(C1563=C1562,AA1563=AA1562+1),IF(AC1563=1,"",INDEX(DATAS,AA1562+1)),INDEX(DATAS,AA1562+1)),"")</f>
        <v/>
      </c>
    </row>
    <row r="1563" customFormat="false" ht="15" hidden="false" customHeight="false" outlineLevel="0" collapsed="false">
      <c r="A1563" s="51" t="n">
        <v>46309</v>
      </c>
      <c r="B1563" s="0" t="n">
        <v>8</v>
      </c>
      <c r="C1563" s="0" t="n">
        <v>5709</v>
      </c>
      <c r="E1563" s="0" t="n">
        <v>0</v>
      </c>
      <c r="F1563" s="46" t="s">
        <v>985</v>
      </c>
      <c r="I1563" s="46" t="s">
        <v>152</v>
      </c>
      <c r="L1563" s="0" t="n">
        <v>147</v>
      </c>
      <c r="U1563" s="0" t="n">
        <v>832</v>
      </c>
      <c r="V1563" s="0" t="n">
        <v>9</v>
      </c>
      <c r="W1563" s="51" t="n">
        <v>46163</v>
      </c>
      <c r="X1563" s="46" t="n">
        <f aca="false">IF(I1563="Male",0,1)</f>
        <v>1</v>
      </c>
      <c r="Y1563" s="46" t="n">
        <f aca="false">IF(OR(I1563="DNB",I1563="Dry DNB"),1,0)</f>
        <v>0</v>
      </c>
      <c r="Z1563" s="46" t="n">
        <f aca="false">IF(ISNUMBER(W1563),A1563-W1563,"")</f>
        <v>146</v>
      </c>
      <c r="AA1563" s="46" t="n">
        <f aca="false">MATCH(A1563,DATAS,0)</f>
        <v>1</v>
      </c>
      <c r="AB1563" s="46" t="n">
        <f aca="false">IF(AND(E1563&gt;0,OR(AND(B1563&gt;=1,B1563&lt;=6),B1563=10)),1,0)</f>
        <v>0</v>
      </c>
      <c r="AC1563" s="46" t="n">
        <f aca="false">IF(AND(E1563&gt;0,B1563=10),1,0)</f>
        <v>0</v>
      </c>
      <c r="AD1563" s="0" t="str">
        <f aca="false">IF(AND(C1562=C1563,AA1562=AA1563-1),AB1562,"")</f>
        <v/>
      </c>
      <c r="AE1563" s="0" t="str">
        <f aca="false">IF(AND(C1562=C1563,AA1562=AA1563-1),AC1562,"")</f>
        <v/>
      </c>
      <c r="AF1563" s="0" t="str">
        <f aca="false">IF(AA1563=1,"",IF(AND(AB1563=1,AD1563&lt;&gt;1),1,0))</f>
        <v/>
      </c>
      <c r="AG1563" s="0" t="str">
        <f aca="false">IF(AA1563=1,"",IF(AND(AC1563=1,AE1563&lt;&gt;1),1,0))</f>
        <v/>
      </c>
      <c r="AH1563" s="51" t="str">
        <f aca="false">IF(AND(E1563&gt;0,AA1563&lt;1,NOT(AND(C1564=C1563,AA1564=AA1563+1))),INDEX(DATAS,AA1563+1),"")</f>
        <v/>
      </c>
      <c r="AI1563" s="51" t="str">
        <f aca="false">IF(AND(AC1563=1,AA1563&lt;1),IF(AND(C1564=C1563,AA1564=AA1563+1),IF(AC1564=1,"",INDEX(DATAS,AA1563+1)),INDEX(DATAS,AA1563+1)),"")</f>
        <v/>
      </c>
    </row>
    <row r="1564" customFormat="false" ht="15" hidden="false" customHeight="false" outlineLevel="0" collapsed="false">
      <c r="A1564" s="51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46" t="s">
        <v>985</v>
      </c>
      <c r="G1564" s="0" t="n">
        <v>47.4</v>
      </c>
      <c r="H1564" s="0" t="n">
        <v>47</v>
      </c>
      <c r="I1564" s="46" t="s">
        <v>152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51" t="n">
        <v>46209</v>
      </c>
      <c r="X1564" s="46" t="n">
        <f aca="false">IF(I1564="Male",0,1)</f>
        <v>1</v>
      </c>
      <c r="Y1564" s="46" t="n">
        <f aca="false">IF(OR(I1564="DNB",I1564="Dry DNB"),1,0)</f>
        <v>0</v>
      </c>
      <c r="Z1564" s="46" t="n">
        <f aca="false">IF(ISNUMBER(W1564),A1564-W1564,"")</f>
        <v>100</v>
      </c>
      <c r="AA1564" s="46" t="n">
        <f aca="false">MATCH(A1564,DATAS,0)</f>
        <v>1</v>
      </c>
      <c r="AB1564" s="46" t="n">
        <f aca="false">IF(AND(E1564&gt;0,OR(AND(B1564&gt;=1,B1564&lt;=6),B1564=10)),1,0)</f>
        <v>1</v>
      </c>
      <c r="AC1564" s="46" t="n">
        <f aca="false">IF(AND(E1564&gt;0,B1564=10),1,0)</f>
        <v>0</v>
      </c>
      <c r="AD1564" s="0" t="str">
        <f aca="false">IF(AND(C1563=C1564,AA1563=AA1564-1),AB1563,"")</f>
        <v/>
      </c>
      <c r="AE1564" s="0" t="str">
        <f aca="false">IF(AND(C1563=C1564,AA1563=AA1564-1),AC1563,"")</f>
        <v/>
      </c>
      <c r="AF1564" s="0" t="str">
        <f aca="false">IF(AA1564=1,"",IF(AND(AB1564=1,AD1564&lt;&gt;1),1,0))</f>
        <v/>
      </c>
      <c r="AG1564" s="0" t="str">
        <f aca="false">IF(AA1564=1,"",IF(AND(AC1564=1,AE1564&lt;&gt;1),1,0))</f>
        <v/>
      </c>
      <c r="AH1564" s="51" t="str">
        <f aca="false">IF(AND(E1564&gt;0,AA1564&lt;1,NOT(AND(C1565=C1564,AA1565=AA1564+1))),INDEX(DATAS,AA1564+1),"")</f>
        <v/>
      </c>
      <c r="AI1564" s="51" t="str">
        <f aca="false">IF(AND(AC1564=1,AA1564&lt;1),IF(AND(C1565=C1564,AA1565=AA1564+1),IF(AC1565=1,"",INDEX(DATAS,AA1564+1)),INDEX(DATAS,AA1564+1)),"")</f>
        <v/>
      </c>
    </row>
    <row r="1565" customFormat="false" ht="15" hidden="false" customHeight="false" outlineLevel="0" collapsed="false">
      <c r="A1565" s="51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46" t="s">
        <v>985</v>
      </c>
      <c r="G1565" s="0" t="n">
        <v>47.8</v>
      </c>
      <c r="H1565" s="0" t="n">
        <v>45</v>
      </c>
      <c r="I1565" s="46" t="s">
        <v>161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X1565" s="46" t="n">
        <f aca="false">IF(I1565="Male",0,1)</f>
        <v>1</v>
      </c>
      <c r="Y1565" s="46" t="n">
        <f aca="false">IF(OR(I1565="DNB",I1565="Dry DNB"),1,0)</f>
        <v>0</v>
      </c>
      <c r="Z1565" s="0" t="str">
        <f aca="false">IF(ISNUMBER(W1565),A1565-W1565,"")</f>
        <v/>
      </c>
      <c r="AA1565" s="46" t="n">
        <f aca="false">MATCH(A1565,DATAS,0)</f>
        <v>1</v>
      </c>
      <c r="AB1565" s="46" t="n">
        <f aca="false">IF(AND(E1565&gt;0,OR(AND(B1565&gt;=1,B1565&lt;=6),B1565=10)),1,0)</f>
        <v>1</v>
      </c>
      <c r="AC1565" s="46" t="n">
        <f aca="false">IF(AND(E1565&gt;0,B1565=10),1,0)</f>
        <v>0</v>
      </c>
      <c r="AD1565" s="0" t="str">
        <f aca="false">IF(AND(C1564=C1565,AA1564=AA1565-1),AB1564,"")</f>
        <v/>
      </c>
      <c r="AE1565" s="0" t="str">
        <f aca="false">IF(AND(C1564=C1565,AA1564=AA1565-1),AC1564,"")</f>
        <v/>
      </c>
      <c r="AF1565" s="0" t="str">
        <f aca="false">IF(AA1565=1,"",IF(AND(AB1565=1,AD1565&lt;&gt;1),1,0))</f>
        <v/>
      </c>
      <c r="AG1565" s="0" t="str">
        <f aca="false">IF(AA1565=1,"",IF(AND(AC1565=1,AE1565&lt;&gt;1),1,0))</f>
        <v/>
      </c>
      <c r="AH1565" s="51" t="str">
        <f aca="false">IF(AND(E1565&gt;0,AA1565&lt;1,NOT(AND(C1566=C1565,AA1566=AA1565+1))),INDEX(DATAS,AA1565+1),"")</f>
        <v/>
      </c>
      <c r="AI1565" s="51" t="str">
        <f aca="false">IF(AND(AC1565=1,AA1565&lt;1),IF(AND(C1566=C1565,AA1566=AA1565+1),IF(AC1566=1,"",INDEX(DATAS,AA1565+1)),INDEX(DATAS,AA1565+1)),"")</f>
        <v/>
      </c>
    </row>
    <row r="1566" customFormat="false" ht="15" hidden="false" customHeight="false" outlineLevel="0" collapsed="false">
      <c r="A1566" s="51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46" t="s">
        <v>986</v>
      </c>
      <c r="G1566" s="0" t="n">
        <v>37.8</v>
      </c>
      <c r="H1566" s="0" t="n">
        <v>37</v>
      </c>
      <c r="I1566" s="46" t="s">
        <v>189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51" t="n">
        <v>46262</v>
      </c>
      <c r="X1566" s="46" t="n">
        <f aca="false">IF(I1566="Male",0,1)</f>
        <v>1</v>
      </c>
      <c r="Y1566" s="46" t="n">
        <f aca="false">IF(OR(I1566="DNB",I1566="Dry DNB"),1,0)</f>
        <v>0</v>
      </c>
      <c r="Z1566" s="46" t="n">
        <f aca="false">IF(ISNUMBER(W1566),A1566-W1566,"")</f>
        <v>47</v>
      </c>
      <c r="AA1566" s="46" t="n">
        <f aca="false">MATCH(A1566,DATAS,0)</f>
        <v>1</v>
      </c>
      <c r="AB1566" s="46" t="n">
        <f aca="false">IF(AND(E1566&gt;0,OR(AND(B1566&gt;=1,B1566&lt;=6),B1566=10)),1,0)</f>
        <v>1</v>
      </c>
      <c r="AC1566" s="46" t="n">
        <f aca="false">IF(AND(E1566&gt;0,B1566=10),1,0)</f>
        <v>0</v>
      </c>
      <c r="AD1566" s="0" t="str">
        <f aca="false">IF(AND(C1565=C1566,AA1565=AA1566-1),AB1565,"")</f>
        <v/>
      </c>
      <c r="AE1566" s="0" t="str">
        <f aca="false">IF(AND(C1565=C1566,AA1565=AA1566-1),AC1565,"")</f>
        <v/>
      </c>
      <c r="AF1566" s="0" t="str">
        <f aca="false">IF(AA1566=1,"",IF(AND(AB1566=1,AD1566&lt;&gt;1),1,0))</f>
        <v/>
      </c>
      <c r="AG1566" s="0" t="str">
        <f aca="false">IF(AA1566=1,"",IF(AND(AC1566=1,AE1566&lt;&gt;1),1,0))</f>
        <v/>
      </c>
      <c r="AH1566" s="51" t="str">
        <f aca="false">IF(AND(E1566&gt;0,AA1566&lt;1,NOT(AND(C1567=C1566,AA1567=AA1566+1))),INDEX(DATAS,AA1566+1),"")</f>
        <v/>
      </c>
      <c r="AI1566" s="51" t="str">
        <f aca="false">IF(AND(AC1566=1,AA1566&lt;1),IF(AND(C1567=C1566,AA1567=AA1566+1),IF(AC1567=1,"",INDEX(DATAS,AA1566+1)),INDEX(DATAS,AA1566+1)),"")</f>
        <v/>
      </c>
    </row>
    <row r="1567" customFormat="false" ht="15" hidden="false" customHeight="false" outlineLevel="0" collapsed="false">
      <c r="A1567" s="51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46" t="s">
        <v>987</v>
      </c>
      <c r="G1567" s="0" t="n">
        <v>56.3</v>
      </c>
      <c r="H1567" s="0" t="n">
        <v>56</v>
      </c>
      <c r="I1567" s="46" t="s">
        <v>152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51" t="n">
        <v>46184</v>
      </c>
      <c r="X1567" s="46" t="n">
        <f aca="false">IF(I1567="Male",0,1)</f>
        <v>1</v>
      </c>
      <c r="Y1567" s="46" t="n">
        <f aca="false">IF(OR(I1567="DNB",I1567="Dry DNB"),1,0)</f>
        <v>0</v>
      </c>
      <c r="Z1567" s="46" t="n">
        <f aca="false">IF(ISNUMBER(W1567),A1567-W1567,"")</f>
        <v>125</v>
      </c>
      <c r="AA1567" s="46" t="n">
        <f aca="false">MATCH(A1567,DATAS,0)</f>
        <v>1</v>
      </c>
      <c r="AB1567" s="46" t="n">
        <f aca="false">IF(AND(E1567&gt;0,OR(AND(B1567&gt;=1,B1567&lt;=6),B1567=10)),1,0)</f>
        <v>1</v>
      </c>
      <c r="AC1567" s="46" t="n">
        <f aca="false">IF(AND(E1567&gt;0,B1567=10),1,0)</f>
        <v>0</v>
      </c>
      <c r="AD1567" s="0" t="str">
        <f aca="false">IF(AND(C1566=C1567,AA1566=AA1567-1),AB1566,"")</f>
        <v/>
      </c>
      <c r="AE1567" s="0" t="str">
        <f aca="false">IF(AND(C1566=C1567,AA1566=AA1567-1),AC1566,"")</f>
        <v/>
      </c>
      <c r="AF1567" s="0" t="str">
        <f aca="false">IF(AA1567=1,"",IF(AND(AB1567=1,AD1567&lt;&gt;1),1,0))</f>
        <v/>
      </c>
      <c r="AG1567" s="0" t="str">
        <f aca="false">IF(AA1567=1,"",IF(AND(AC1567=1,AE1567&lt;&gt;1),1,0))</f>
        <v/>
      </c>
      <c r="AH1567" s="51" t="str">
        <f aca="false">IF(AND(E1567&gt;0,AA1567&lt;1,NOT(AND(C1568=C1567,AA1568=AA1567+1))),INDEX(DATAS,AA1567+1),"")</f>
        <v/>
      </c>
      <c r="AI1567" s="51" t="str">
        <f aca="false">IF(AND(AC1567=1,AA1567&lt;1),IF(AND(C1568=C1567,AA1568=AA1567+1),IF(AC1568=1,"",INDEX(DATAS,AA1567+1)),INDEX(DATAS,AA1567+1)),"")</f>
        <v/>
      </c>
    </row>
    <row r="1568" customFormat="false" ht="15" hidden="false" customHeight="false" outlineLevel="0" collapsed="false">
      <c r="A1568" s="51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46" t="s">
        <v>987</v>
      </c>
      <c r="G1568" s="0" t="n">
        <v>40.6</v>
      </c>
      <c r="H1568" s="0" t="n">
        <v>41</v>
      </c>
      <c r="I1568" s="46" t="s">
        <v>152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51" t="n">
        <v>46268</v>
      </c>
      <c r="X1568" s="46" t="n">
        <f aca="false">IF(I1568="Male",0,1)</f>
        <v>1</v>
      </c>
      <c r="Y1568" s="46" t="n">
        <f aca="false">IF(OR(I1568="DNB",I1568="Dry DNB"),1,0)</f>
        <v>0</v>
      </c>
      <c r="Z1568" s="46" t="n">
        <f aca="false">IF(ISNUMBER(W1568),A1568-W1568,"")</f>
        <v>41</v>
      </c>
      <c r="AA1568" s="46" t="n">
        <f aca="false">MATCH(A1568,DATAS,0)</f>
        <v>1</v>
      </c>
      <c r="AB1568" s="46" t="n">
        <f aca="false">IF(AND(E1568&gt;0,OR(AND(B1568&gt;=1,B1568&lt;=6),B1568=10)),1,0)</f>
        <v>1</v>
      </c>
      <c r="AC1568" s="46" t="n">
        <f aca="false">IF(AND(E1568&gt;0,B1568=10),1,0)</f>
        <v>0</v>
      </c>
      <c r="AD1568" s="0" t="str">
        <f aca="false">IF(AND(C1567=C1568,AA1567=AA1568-1),AB1567,"")</f>
        <v/>
      </c>
      <c r="AE1568" s="0" t="str">
        <f aca="false">IF(AND(C1567=C1568,AA1567=AA1568-1),AC1567,"")</f>
        <v/>
      </c>
      <c r="AF1568" s="0" t="str">
        <f aca="false">IF(AA1568=1,"",IF(AND(AB1568=1,AD1568&lt;&gt;1),1,0))</f>
        <v/>
      </c>
      <c r="AG1568" s="0" t="str">
        <f aca="false">IF(AA1568=1,"",IF(AND(AC1568=1,AE1568&lt;&gt;1),1,0))</f>
        <v/>
      </c>
      <c r="AH1568" s="51" t="str">
        <f aca="false">IF(AND(E1568&gt;0,AA1568&lt;1,NOT(AND(C1569=C1568,AA1569=AA1568+1))),INDEX(DATAS,AA1568+1),"")</f>
        <v/>
      </c>
      <c r="AI1568" s="51" t="str">
        <f aca="false">IF(AND(AC1568=1,AA1568&lt;1),IF(AND(C1569=C1568,AA1569=AA1568+1),IF(AC1569=1,"",INDEX(DATAS,AA1568+1)),INDEX(DATAS,AA1568+1)),"")</f>
        <v/>
      </c>
    </row>
    <row r="1569" customFormat="false" ht="15" hidden="false" customHeight="false" outlineLevel="0" collapsed="false">
      <c r="A1569" s="51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46" t="s">
        <v>988</v>
      </c>
      <c r="G1569" s="0" t="n">
        <v>44.2</v>
      </c>
      <c r="H1569" s="0" t="n">
        <v>42</v>
      </c>
      <c r="I1569" s="46" t="s">
        <v>152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51" t="n">
        <v>46229</v>
      </c>
      <c r="X1569" s="46" t="n">
        <f aca="false">IF(I1569="Male",0,1)</f>
        <v>1</v>
      </c>
      <c r="Y1569" s="46" t="n">
        <f aca="false">IF(OR(I1569="DNB",I1569="Dry DNB"),1,0)</f>
        <v>0</v>
      </c>
      <c r="Z1569" s="46" t="n">
        <f aca="false">IF(ISNUMBER(W1569),A1569-W1569,"")</f>
        <v>80</v>
      </c>
      <c r="AA1569" s="46" t="n">
        <f aca="false">MATCH(A1569,DATAS,0)</f>
        <v>1</v>
      </c>
      <c r="AB1569" s="46" t="n">
        <f aca="false">IF(AND(E1569&gt;0,OR(AND(B1569&gt;=1,B1569&lt;=6),B1569=10)),1,0)</f>
        <v>1</v>
      </c>
      <c r="AC1569" s="46" t="n">
        <f aca="false">IF(AND(E1569&gt;0,B1569=10),1,0)</f>
        <v>0</v>
      </c>
      <c r="AD1569" s="0" t="str">
        <f aca="false">IF(AND(C1568=C1569,AA1568=AA1569-1),AB1568,"")</f>
        <v/>
      </c>
      <c r="AE1569" s="0" t="str">
        <f aca="false">IF(AND(C1568=C1569,AA1568=AA1569-1),AC1568,"")</f>
        <v/>
      </c>
      <c r="AF1569" s="0" t="str">
        <f aca="false">IF(AA1569=1,"",IF(AND(AB1569=1,AD1569&lt;&gt;1),1,0))</f>
        <v/>
      </c>
      <c r="AG1569" s="0" t="str">
        <f aca="false">IF(AA1569=1,"",IF(AND(AC1569=1,AE1569&lt;&gt;1),1,0))</f>
        <v/>
      </c>
      <c r="AH1569" s="51" t="str">
        <f aca="false">IF(AND(E1569&gt;0,AA1569&lt;1,NOT(AND(C1570=C1569,AA1570=AA1569+1))),INDEX(DATAS,AA1569+1),"")</f>
        <v/>
      </c>
      <c r="AI1569" s="51" t="str">
        <f aca="false">IF(AND(AC1569=1,AA1569&lt;1),IF(AND(C1570=C1569,AA1570=AA1569+1),IF(AC1570=1,"",INDEX(DATAS,AA1569+1)),INDEX(DATAS,AA1569+1)),"")</f>
        <v/>
      </c>
    </row>
    <row r="1570" customFormat="false" ht="15" hidden="false" customHeight="false" outlineLevel="0" collapsed="false">
      <c r="A1570" s="51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46" t="s">
        <v>989</v>
      </c>
      <c r="G1570" s="0" t="n">
        <v>49.8</v>
      </c>
      <c r="H1570" s="0" t="n">
        <v>49</v>
      </c>
      <c r="I1570" s="46" t="s">
        <v>152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51" t="n">
        <v>46212</v>
      </c>
      <c r="X1570" s="46" t="n">
        <f aca="false">IF(I1570="Male",0,1)</f>
        <v>1</v>
      </c>
      <c r="Y1570" s="46" t="n">
        <f aca="false">IF(OR(I1570="DNB",I1570="Dry DNB"),1,0)</f>
        <v>0</v>
      </c>
      <c r="Z1570" s="46" t="n">
        <f aca="false">IF(ISNUMBER(W1570),A1570-W1570,"")</f>
        <v>97</v>
      </c>
      <c r="AA1570" s="46" t="n">
        <f aca="false">MATCH(A1570,DATAS,0)</f>
        <v>1</v>
      </c>
      <c r="AB1570" s="46" t="n">
        <f aca="false">IF(AND(E1570&gt;0,OR(AND(B1570&gt;=1,B1570&lt;=6),B1570=10)),1,0)</f>
        <v>1</v>
      </c>
      <c r="AC1570" s="46" t="n">
        <f aca="false">IF(AND(E1570&gt;0,B1570=10),1,0)</f>
        <v>0</v>
      </c>
      <c r="AD1570" s="0" t="str">
        <f aca="false">IF(AND(C1569=C1570,AA1569=AA1570-1),AB1569,"")</f>
        <v/>
      </c>
      <c r="AE1570" s="0" t="str">
        <f aca="false">IF(AND(C1569=C1570,AA1569=AA1570-1),AC1569,"")</f>
        <v/>
      </c>
      <c r="AF1570" s="0" t="str">
        <f aca="false">IF(AA1570=1,"",IF(AND(AB1570=1,AD1570&lt;&gt;1),1,0))</f>
        <v/>
      </c>
      <c r="AG1570" s="0" t="str">
        <f aca="false">IF(AA1570=1,"",IF(AND(AC1570=1,AE1570&lt;&gt;1),1,0))</f>
        <v/>
      </c>
      <c r="AH1570" s="51" t="str">
        <f aca="false">IF(AND(E1570&gt;0,AA1570&lt;1,NOT(AND(C1571=C1570,AA1571=AA1570+1))),INDEX(DATAS,AA1570+1),"")</f>
        <v/>
      </c>
      <c r="AI1570" s="51" t="str">
        <f aca="false">IF(AND(AC1570=1,AA1570&lt;1),IF(AND(C1571=C1570,AA1571=AA1570+1),IF(AC1571=1,"",INDEX(DATAS,AA1570+1)),INDEX(DATAS,AA1570+1)),"")</f>
        <v/>
      </c>
    </row>
    <row r="1571" customFormat="false" ht="15" hidden="false" customHeight="false" outlineLevel="0" collapsed="false">
      <c r="A1571" s="51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46" t="s">
        <v>989</v>
      </c>
      <c r="G1571" s="0" t="n">
        <v>44</v>
      </c>
      <c r="H1571" s="0" t="n">
        <v>46</v>
      </c>
      <c r="I1571" s="46" t="s">
        <v>152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51" t="n">
        <v>46262</v>
      </c>
      <c r="X1571" s="46" t="n">
        <f aca="false">IF(I1571="Male",0,1)</f>
        <v>1</v>
      </c>
      <c r="Y1571" s="46" t="n">
        <f aca="false">IF(OR(I1571="DNB",I1571="Dry DNB"),1,0)</f>
        <v>0</v>
      </c>
      <c r="Z1571" s="46" t="n">
        <f aca="false">IF(ISNUMBER(W1571),A1571-W1571,"")</f>
        <v>47</v>
      </c>
      <c r="AA1571" s="46" t="n">
        <f aca="false">MATCH(A1571,DATAS,0)</f>
        <v>1</v>
      </c>
      <c r="AB1571" s="46" t="n">
        <f aca="false">IF(AND(E1571&gt;0,OR(AND(B1571&gt;=1,B1571&lt;=6),B1571=10)),1,0)</f>
        <v>1</v>
      </c>
      <c r="AC1571" s="46" t="n">
        <f aca="false">IF(AND(E1571&gt;0,B1571=10),1,0)</f>
        <v>0</v>
      </c>
      <c r="AD1571" s="0" t="str">
        <f aca="false">IF(AND(C1570=C1571,AA1570=AA1571-1),AB1570,"")</f>
        <v/>
      </c>
      <c r="AE1571" s="0" t="str">
        <f aca="false">IF(AND(C1570=C1571,AA1570=AA1571-1),AC1570,"")</f>
        <v/>
      </c>
      <c r="AF1571" s="0" t="str">
        <f aca="false">IF(AA1571=1,"",IF(AND(AB1571=1,AD1571&lt;&gt;1),1,0))</f>
        <v/>
      </c>
      <c r="AG1571" s="0" t="str">
        <f aca="false">IF(AA1571=1,"",IF(AND(AC1571=1,AE1571&lt;&gt;1),1,0))</f>
        <v/>
      </c>
      <c r="AH1571" s="51" t="str">
        <f aca="false">IF(AND(E1571&gt;0,AA1571&lt;1,NOT(AND(C1572=C1571,AA1572=AA1571+1))),INDEX(DATAS,AA1571+1),"")</f>
        <v/>
      </c>
      <c r="AI1571" s="51" t="str">
        <f aca="false">IF(AND(AC1571=1,AA1571&lt;1),IF(AND(C1572=C1571,AA1572=AA1571+1),IF(AC1572=1,"",INDEX(DATAS,AA1571+1)),INDEX(DATAS,AA1571+1)),"")</f>
        <v/>
      </c>
    </row>
    <row r="1572" customFormat="false" ht="15" hidden="false" customHeight="false" outlineLevel="0" collapsed="false">
      <c r="A1572" s="51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46" t="s">
        <v>990</v>
      </c>
      <c r="G1572" s="0" t="n">
        <v>44.5</v>
      </c>
      <c r="H1572" s="0" t="n">
        <v>43</v>
      </c>
      <c r="I1572" s="46" t="s">
        <v>189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51" t="n">
        <v>46263</v>
      </c>
      <c r="X1572" s="46" t="n">
        <f aca="false">IF(I1572="Male",0,1)</f>
        <v>1</v>
      </c>
      <c r="Y1572" s="46" t="n">
        <f aca="false">IF(OR(I1572="DNB",I1572="Dry DNB"),1,0)</f>
        <v>0</v>
      </c>
      <c r="Z1572" s="46" t="n">
        <f aca="false">IF(ISNUMBER(W1572),A1572-W1572,"")</f>
        <v>46</v>
      </c>
      <c r="AA1572" s="46" t="n">
        <f aca="false">MATCH(A1572,DATAS,0)</f>
        <v>1</v>
      </c>
      <c r="AB1572" s="46" t="n">
        <f aca="false">IF(AND(E1572&gt;0,OR(AND(B1572&gt;=1,B1572&lt;=6),B1572=10)),1,0)</f>
        <v>1</v>
      </c>
      <c r="AC1572" s="46" t="n">
        <f aca="false">IF(AND(E1572&gt;0,B1572=10),1,0)</f>
        <v>0</v>
      </c>
      <c r="AD1572" s="0" t="str">
        <f aca="false">IF(AND(C1571=C1572,AA1571=AA1572-1),AB1571,"")</f>
        <v/>
      </c>
      <c r="AE1572" s="0" t="str">
        <f aca="false">IF(AND(C1571=C1572,AA1571=AA1572-1),AC1571,"")</f>
        <v/>
      </c>
      <c r="AF1572" s="0" t="str">
        <f aca="false">IF(AA1572=1,"",IF(AND(AB1572=1,AD1572&lt;&gt;1),1,0))</f>
        <v/>
      </c>
      <c r="AG1572" s="0" t="str">
        <f aca="false">IF(AA1572=1,"",IF(AND(AC1572=1,AE1572&lt;&gt;1),1,0))</f>
        <v/>
      </c>
      <c r="AH1572" s="51" t="str">
        <f aca="false">IF(AND(E1572&gt;0,AA1572&lt;1,NOT(AND(C1573=C1572,AA1573=AA1572+1))),INDEX(DATAS,AA1572+1),"")</f>
        <v/>
      </c>
      <c r="AI1572" s="51" t="str">
        <f aca="false">IF(AND(AC1572=1,AA1572&lt;1),IF(AND(C1573=C1572,AA1573=AA1572+1),IF(AC1573=1,"",INDEX(DATAS,AA1572+1)),INDEX(DATAS,AA1572+1)),"")</f>
        <v/>
      </c>
    </row>
    <row r="1573" customFormat="false" ht="15" hidden="false" customHeight="false" outlineLevel="0" collapsed="false">
      <c r="A1573" s="51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46" t="s">
        <v>990</v>
      </c>
      <c r="G1573" s="0" t="n">
        <v>57.7</v>
      </c>
      <c r="H1573" s="0" t="n">
        <v>58</v>
      </c>
      <c r="I1573" s="46" t="s">
        <v>152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51" t="n">
        <v>46268</v>
      </c>
      <c r="X1573" s="46" t="n">
        <f aca="false">IF(I1573="Male",0,1)</f>
        <v>1</v>
      </c>
      <c r="Y1573" s="46" t="n">
        <f aca="false">IF(OR(I1573="DNB",I1573="Dry DNB"),1,0)</f>
        <v>0</v>
      </c>
      <c r="Z1573" s="46" t="n">
        <f aca="false">IF(ISNUMBER(W1573),A1573-W1573,"")</f>
        <v>41</v>
      </c>
      <c r="AA1573" s="46" t="n">
        <f aca="false">MATCH(A1573,DATAS,0)</f>
        <v>1</v>
      </c>
      <c r="AB1573" s="46" t="n">
        <f aca="false">IF(AND(E1573&gt;0,OR(AND(B1573&gt;=1,B1573&lt;=6),B1573=10)),1,0)</f>
        <v>1</v>
      </c>
      <c r="AC1573" s="46" t="n">
        <f aca="false">IF(AND(E1573&gt;0,B1573=10),1,0)</f>
        <v>0</v>
      </c>
      <c r="AD1573" s="0" t="str">
        <f aca="false">IF(AND(C1572=C1573,AA1572=AA1573-1),AB1572,"")</f>
        <v/>
      </c>
      <c r="AE1573" s="0" t="str">
        <f aca="false">IF(AND(C1572=C1573,AA1572=AA1573-1),AC1572,"")</f>
        <v/>
      </c>
      <c r="AF1573" s="0" t="str">
        <f aca="false">IF(AA1573=1,"",IF(AND(AB1573=1,AD1573&lt;&gt;1),1,0))</f>
        <v/>
      </c>
      <c r="AG1573" s="0" t="str">
        <f aca="false">IF(AA1573=1,"",IF(AND(AC1573=1,AE1573&lt;&gt;1),1,0))</f>
        <v/>
      </c>
      <c r="AH1573" s="51" t="str">
        <f aca="false">IF(AND(E1573&gt;0,AA1573&lt;1,NOT(AND(C1574=C1573,AA1574=AA1573+1))),INDEX(DATAS,AA1573+1),"")</f>
        <v/>
      </c>
      <c r="AI1573" s="51" t="str">
        <f aca="false">IF(AND(AC1573=1,AA1573&lt;1),IF(AND(C1574=C1573,AA1574=AA1573+1),IF(AC1574=1,"",INDEX(DATAS,AA1573+1)),INDEX(DATAS,AA1573+1)),"")</f>
        <v/>
      </c>
    </row>
    <row r="1574" customFormat="false" ht="15" hidden="false" customHeight="false" outlineLevel="0" collapsed="false">
      <c r="A1574" s="51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46" t="s">
        <v>991</v>
      </c>
      <c r="G1574" s="0" t="n">
        <v>45.6</v>
      </c>
      <c r="H1574" s="0" t="n">
        <v>46</v>
      </c>
      <c r="I1574" s="46" t="s">
        <v>181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51" t="n">
        <v>46303</v>
      </c>
      <c r="X1574" s="46" t="n">
        <f aca="false">IF(I1574="Male",0,1)</f>
        <v>1</v>
      </c>
      <c r="Y1574" s="46" t="n">
        <f aca="false">IF(OR(I1574="DNB",I1574="Dry DNB"),1,0)</f>
        <v>0</v>
      </c>
      <c r="Z1574" s="46" t="n">
        <f aca="false">IF(ISNUMBER(W1574),A1574-W1574,"")</f>
        <v>6</v>
      </c>
      <c r="AA1574" s="46" t="n">
        <f aca="false">MATCH(A1574,DATAS,0)</f>
        <v>1</v>
      </c>
      <c r="AB1574" s="46" t="n">
        <f aca="false">IF(AND(E1574&gt;0,OR(AND(B1574&gt;=1,B1574&lt;=6),B1574=10)),1,0)</f>
        <v>1</v>
      </c>
      <c r="AC1574" s="46" t="n">
        <f aca="false">IF(AND(E1574&gt;0,B1574=10),1,0)</f>
        <v>0</v>
      </c>
      <c r="AD1574" s="0" t="str">
        <f aca="false">IF(AND(C1573=C1574,AA1573=AA1574-1),AB1573,"")</f>
        <v/>
      </c>
      <c r="AE1574" s="0" t="str">
        <f aca="false">IF(AND(C1573=C1574,AA1573=AA1574-1),AC1573,"")</f>
        <v/>
      </c>
      <c r="AF1574" s="0" t="str">
        <f aca="false">IF(AA1574=1,"",IF(AND(AB1574=1,AD1574&lt;&gt;1),1,0))</f>
        <v/>
      </c>
      <c r="AG1574" s="0" t="str">
        <f aca="false">IF(AA1574=1,"",IF(AND(AC1574=1,AE1574&lt;&gt;1),1,0))</f>
        <v/>
      </c>
      <c r="AH1574" s="51" t="str">
        <f aca="false">IF(AND(E1574&gt;0,AA1574&lt;1,NOT(AND(C1575=C1574,AA1575=AA1574+1))),INDEX(DATAS,AA1574+1),"")</f>
        <v/>
      </c>
      <c r="AI1574" s="51" t="str">
        <f aca="false">IF(AND(AC1574=1,AA1574&lt;1),IF(AND(C1575=C1574,AA1575=AA1574+1),IF(AC1575=1,"",INDEX(DATAS,AA1574+1)),INDEX(DATAS,AA1574+1)),"")</f>
        <v/>
      </c>
    </row>
    <row r="1575" customFormat="false" ht="15" hidden="false" customHeight="false" outlineLevel="0" collapsed="false">
      <c r="A1575" s="51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46" t="s">
        <v>991</v>
      </c>
      <c r="G1575" s="0" t="n">
        <v>49.7</v>
      </c>
      <c r="H1575" s="0" t="n">
        <v>49</v>
      </c>
      <c r="I1575" s="46" t="s">
        <v>152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51" t="n">
        <v>46219</v>
      </c>
      <c r="X1575" s="46" t="n">
        <f aca="false">IF(I1575="Male",0,1)</f>
        <v>1</v>
      </c>
      <c r="Y1575" s="46" t="n">
        <f aca="false">IF(OR(I1575="DNB",I1575="Dry DNB"),1,0)</f>
        <v>0</v>
      </c>
      <c r="Z1575" s="46" t="n">
        <f aca="false">IF(ISNUMBER(W1575),A1575-W1575,"")</f>
        <v>90</v>
      </c>
      <c r="AA1575" s="46" t="n">
        <f aca="false">MATCH(A1575,DATAS,0)</f>
        <v>1</v>
      </c>
      <c r="AB1575" s="46" t="n">
        <f aca="false">IF(AND(E1575&gt;0,OR(AND(B1575&gt;=1,B1575&lt;=6),B1575=10)),1,0)</f>
        <v>1</v>
      </c>
      <c r="AC1575" s="46" t="n">
        <f aca="false">IF(AND(E1575&gt;0,B1575=10),1,0)</f>
        <v>0</v>
      </c>
      <c r="AD1575" s="0" t="str">
        <f aca="false">IF(AND(C1574=C1575,AA1574=AA1575-1),AB1574,"")</f>
        <v/>
      </c>
      <c r="AE1575" s="0" t="str">
        <f aca="false">IF(AND(C1574=C1575,AA1574=AA1575-1),AC1574,"")</f>
        <v/>
      </c>
      <c r="AF1575" s="0" t="str">
        <f aca="false">IF(AA1575=1,"",IF(AND(AB1575=1,AD1575&lt;&gt;1),1,0))</f>
        <v/>
      </c>
      <c r="AG1575" s="0" t="str">
        <f aca="false">IF(AA1575=1,"",IF(AND(AC1575=1,AE1575&lt;&gt;1),1,0))</f>
        <v/>
      </c>
      <c r="AH1575" s="51" t="str">
        <f aca="false">IF(AND(E1575&gt;0,AA1575&lt;1,NOT(AND(C1576=C1575,AA1576=AA1575+1))),INDEX(DATAS,AA1575+1),"")</f>
        <v/>
      </c>
      <c r="AI1575" s="51" t="str">
        <f aca="false">IF(AND(AC1575=1,AA1575&lt;1),IF(AND(C1576=C1575,AA1576=AA1575+1),IF(AC1576=1,"",INDEX(DATAS,AA1575+1)),INDEX(DATAS,AA1575+1)),"")</f>
        <v/>
      </c>
    </row>
    <row r="1576" customFormat="false" ht="15" hidden="false" customHeight="false" outlineLevel="0" collapsed="false">
      <c r="A1576" s="51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46" t="s">
        <v>991</v>
      </c>
      <c r="G1576" s="0" t="n">
        <v>48.8</v>
      </c>
      <c r="H1576" s="0" t="n">
        <v>48</v>
      </c>
      <c r="I1576" s="46" t="s">
        <v>189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51" t="n">
        <v>46262</v>
      </c>
      <c r="X1576" s="46" t="n">
        <f aca="false">IF(I1576="Male",0,1)</f>
        <v>1</v>
      </c>
      <c r="Y1576" s="46" t="n">
        <f aca="false">IF(OR(I1576="DNB",I1576="Dry DNB"),1,0)</f>
        <v>0</v>
      </c>
      <c r="Z1576" s="46" t="n">
        <f aca="false">IF(ISNUMBER(W1576),A1576-W1576,"")</f>
        <v>47</v>
      </c>
      <c r="AA1576" s="46" t="n">
        <f aca="false">MATCH(A1576,DATAS,0)</f>
        <v>1</v>
      </c>
      <c r="AB1576" s="46" t="n">
        <f aca="false">IF(AND(E1576&gt;0,OR(AND(B1576&gt;=1,B1576&lt;=6),B1576=10)),1,0)</f>
        <v>1</v>
      </c>
      <c r="AC1576" s="46" t="n">
        <f aca="false">IF(AND(E1576&gt;0,B1576=10),1,0)</f>
        <v>0</v>
      </c>
      <c r="AD1576" s="0" t="str">
        <f aca="false">IF(AND(C1575=C1576,AA1575=AA1576-1),AB1575,"")</f>
        <v/>
      </c>
      <c r="AE1576" s="0" t="str">
        <f aca="false">IF(AND(C1575=C1576,AA1575=AA1576-1),AC1575,"")</f>
        <v/>
      </c>
      <c r="AF1576" s="0" t="str">
        <f aca="false">IF(AA1576=1,"",IF(AND(AB1576=1,AD1576&lt;&gt;1),1,0))</f>
        <v/>
      </c>
      <c r="AG1576" s="0" t="str">
        <f aca="false">IF(AA1576=1,"",IF(AND(AC1576=1,AE1576&lt;&gt;1),1,0))</f>
        <v/>
      </c>
      <c r="AH1576" s="51" t="str">
        <f aca="false">IF(AND(E1576&gt;0,AA1576&lt;1,NOT(AND(C1577=C1576,AA1577=AA1576+1))),INDEX(DATAS,AA1576+1),"")</f>
        <v/>
      </c>
      <c r="AI1576" s="51" t="str">
        <f aca="false">IF(AND(AC1576=1,AA1576&lt;1),IF(AND(C1577=C1576,AA1577=AA1576+1),IF(AC1577=1,"",INDEX(DATAS,AA1576+1)),INDEX(DATAS,AA1576+1)),"")</f>
        <v/>
      </c>
    </row>
    <row r="1577" customFormat="false" ht="15" hidden="false" customHeight="false" outlineLevel="0" collapsed="false">
      <c r="A1577" s="51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46" t="s">
        <v>992</v>
      </c>
      <c r="G1577" s="0" t="n">
        <v>33.6</v>
      </c>
      <c r="H1577" s="0" t="n">
        <v>33</v>
      </c>
      <c r="I1577" s="46" t="s">
        <v>181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51" t="n">
        <v>46310</v>
      </c>
      <c r="X1577" s="46" t="n">
        <f aca="false">IF(I1577="Male",0,1)</f>
        <v>1</v>
      </c>
      <c r="Y1577" s="46" t="n">
        <f aca="false">IF(OR(I1577="DNB",I1577="Dry DNB"),1,0)</f>
        <v>0</v>
      </c>
      <c r="Z1577" s="46" t="n">
        <f aca="false">IF(ISNUMBER(W1577),A1577-W1577,"")</f>
        <v>-1</v>
      </c>
      <c r="AA1577" s="46" t="n">
        <f aca="false">MATCH(A1577,DATAS,0)</f>
        <v>1</v>
      </c>
      <c r="AB1577" s="46" t="n">
        <f aca="false">IF(AND(E1577&gt;0,OR(AND(B1577&gt;=1,B1577&lt;=6),B1577=10)),1,0)</f>
        <v>1</v>
      </c>
      <c r="AC1577" s="46" t="n">
        <f aca="false">IF(AND(E1577&gt;0,B1577=10),1,0)</f>
        <v>0</v>
      </c>
      <c r="AD1577" s="0" t="str">
        <f aca="false">IF(AND(C1576=C1577,AA1576=AA1577-1),AB1576,"")</f>
        <v/>
      </c>
      <c r="AE1577" s="0" t="str">
        <f aca="false">IF(AND(C1576=C1577,AA1576=AA1577-1),AC1576,"")</f>
        <v/>
      </c>
      <c r="AF1577" s="0" t="str">
        <f aca="false">IF(AA1577=1,"",IF(AND(AB1577=1,AD1577&lt;&gt;1),1,0))</f>
        <v/>
      </c>
      <c r="AG1577" s="0" t="str">
        <f aca="false">IF(AA1577=1,"",IF(AND(AC1577=1,AE1577&lt;&gt;1),1,0))</f>
        <v/>
      </c>
      <c r="AH1577" s="51" t="str">
        <f aca="false">IF(AND(E1577&gt;0,AA1577&lt;1,NOT(AND(C1578=C1577,AA1578=AA1577+1))),INDEX(DATAS,AA1577+1),"")</f>
        <v/>
      </c>
      <c r="AI1577" s="51" t="str">
        <f aca="false">IF(AND(AC1577=1,AA1577&lt;1),IF(AND(C1578=C1577,AA1578=AA1577+1),IF(AC1578=1,"",INDEX(DATAS,AA1577+1)),INDEX(DATAS,AA1577+1)),"")</f>
        <v/>
      </c>
    </row>
    <row r="1578" customFormat="false" ht="15" hidden="false" customHeight="false" outlineLevel="0" collapsed="false">
      <c r="A1578" s="51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46" t="s">
        <v>992</v>
      </c>
      <c r="G1578" s="0" t="n">
        <v>34.8</v>
      </c>
      <c r="H1578" s="0" t="n">
        <v>41</v>
      </c>
      <c r="I1578" s="46" t="s">
        <v>152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51" t="n">
        <v>46192</v>
      </c>
      <c r="X1578" s="46" t="n">
        <f aca="false">IF(I1578="Male",0,1)</f>
        <v>1</v>
      </c>
      <c r="Y1578" s="46" t="n">
        <f aca="false">IF(OR(I1578="DNB",I1578="Dry DNB"),1,0)</f>
        <v>0</v>
      </c>
      <c r="Z1578" s="46" t="n">
        <f aca="false">IF(ISNUMBER(W1578),A1578-W1578,"")</f>
        <v>117</v>
      </c>
      <c r="AA1578" s="46" t="n">
        <f aca="false">MATCH(A1578,DATAS,0)</f>
        <v>1</v>
      </c>
      <c r="AB1578" s="46" t="n">
        <f aca="false">IF(AND(E1578&gt;0,OR(AND(B1578&gt;=1,B1578&lt;=6),B1578=10)),1,0)</f>
        <v>1</v>
      </c>
      <c r="AC1578" s="46" t="n">
        <f aca="false">IF(AND(E1578&gt;0,B1578=10),1,0)</f>
        <v>0</v>
      </c>
      <c r="AD1578" s="0" t="str">
        <f aca="false">IF(AND(C1577=C1578,AA1577=AA1578-1),AB1577,"")</f>
        <v/>
      </c>
      <c r="AE1578" s="0" t="str">
        <f aca="false">IF(AND(C1577=C1578,AA1577=AA1578-1),AC1577,"")</f>
        <v/>
      </c>
      <c r="AF1578" s="0" t="str">
        <f aca="false">IF(AA1578=1,"",IF(AND(AB1578=1,AD1578&lt;&gt;1),1,0))</f>
        <v/>
      </c>
      <c r="AG1578" s="0" t="str">
        <f aca="false">IF(AA1578=1,"",IF(AND(AC1578=1,AE1578&lt;&gt;1),1,0))</f>
        <v/>
      </c>
      <c r="AH1578" s="51" t="str">
        <f aca="false">IF(AND(E1578&gt;0,AA1578&lt;1,NOT(AND(C1579=C1578,AA1579=AA1578+1))),INDEX(DATAS,AA1578+1),"")</f>
        <v/>
      </c>
      <c r="AI1578" s="51" t="str">
        <f aca="false">IF(AND(AC1578=1,AA1578&lt;1),IF(AND(C1579=C1578,AA1579=AA1578+1),IF(AC1579=1,"",INDEX(DATAS,AA1578+1)),INDEX(DATAS,AA1578+1)),"")</f>
        <v/>
      </c>
    </row>
    <row r="1579" customFormat="false" ht="15" hidden="false" customHeight="false" outlineLevel="0" collapsed="false">
      <c r="A1579" s="51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46" t="s">
        <v>992</v>
      </c>
      <c r="G1579" s="0" t="n">
        <v>45.2</v>
      </c>
      <c r="H1579" s="0" t="n">
        <v>45</v>
      </c>
      <c r="I1579" s="46" t="s">
        <v>189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51" t="n">
        <v>46242</v>
      </c>
      <c r="X1579" s="46" t="n">
        <f aca="false">IF(I1579="Male",0,1)</f>
        <v>1</v>
      </c>
      <c r="Y1579" s="46" t="n">
        <f aca="false">IF(OR(I1579="DNB",I1579="Dry DNB"),1,0)</f>
        <v>0</v>
      </c>
      <c r="Z1579" s="46" t="n">
        <f aca="false">IF(ISNUMBER(W1579),A1579-W1579,"")</f>
        <v>67</v>
      </c>
      <c r="AA1579" s="46" t="n">
        <f aca="false">MATCH(A1579,DATAS,0)</f>
        <v>1</v>
      </c>
      <c r="AB1579" s="46" t="n">
        <f aca="false">IF(AND(E1579&gt;0,OR(AND(B1579&gt;=1,B1579&lt;=6),B1579=10)),1,0)</f>
        <v>1</v>
      </c>
      <c r="AC1579" s="46" t="n">
        <f aca="false">IF(AND(E1579&gt;0,B1579=10),1,0)</f>
        <v>0</v>
      </c>
      <c r="AD1579" s="0" t="str">
        <f aca="false">IF(AND(C1578=C1579,AA1578=AA1579-1),AB1578,"")</f>
        <v/>
      </c>
      <c r="AE1579" s="0" t="str">
        <f aca="false">IF(AND(C1578=C1579,AA1578=AA1579-1),AC1578,"")</f>
        <v/>
      </c>
      <c r="AF1579" s="0" t="str">
        <f aca="false">IF(AA1579=1,"",IF(AND(AB1579=1,AD1579&lt;&gt;1),1,0))</f>
        <v/>
      </c>
      <c r="AG1579" s="0" t="str">
        <f aca="false">IF(AA1579=1,"",IF(AND(AC1579=1,AE1579&lt;&gt;1),1,0))</f>
        <v/>
      </c>
      <c r="AH1579" s="51" t="str">
        <f aca="false">IF(AND(E1579&gt;0,AA1579&lt;1,NOT(AND(C1580=C1579,AA1580=AA1579+1))),INDEX(DATAS,AA1579+1),"")</f>
        <v/>
      </c>
      <c r="AI1579" s="51" t="str">
        <f aca="false">IF(AND(AC1579=1,AA1579&lt;1),IF(AND(C1580=C1579,AA1580=AA1579+1),IF(AC1580=1,"",INDEX(DATAS,AA1579+1)),INDEX(DATAS,AA1579+1)),"")</f>
        <v/>
      </c>
    </row>
    <row r="1580" customFormat="false" ht="15" hidden="false" customHeight="false" outlineLevel="0" collapsed="false">
      <c r="A1580" s="51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46" t="s">
        <v>993</v>
      </c>
      <c r="G1580" s="0" t="n">
        <v>49.4</v>
      </c>
      <c r="H1580" s="0" t="n">
        <v>53</v>
      </c>
      <c r="I1580" s="46" t="s">
        <v>181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51" t="n">
        <v>46303</v>
      </c>
      <c r="X1580" s="46" t="n">
        <f aca="false">IF(I1580="Male",0,1)</f>
        <v>1</v>
      </c>
      <c r="Y1580" s="46" t="n">
        <f aca="false">IF(OR(I1580="DNB",I1580="Dry DNB"),1,0)</f>
        <v>0</v>
      </c>
      <c r="Z1580" s="46" t="n">
        <f aca="false">IF(ISNUMBER(W1580),A1580-W1580,"")</f>
        <v>6</v>
      </c>
      <c r="AA1580" s="46" t="n">
        <f aca="false">MATCH(A1580,DATAS,0)</f>
        <v>1</v>
      </c>
      <c r="AB1580" s="46" t="n">
        <f aca="false">IF(AND(E1580&gt;0,OR(AND(B1580&gt;=1,B1580&lt;=6),B1580=10)),1,0)</f>
        <v>1</v>
      </c>
      <c r="AC1580" s="46" t="n">
        <f aca="false">IF(AND(E1580&gt;0,B1580=10),1,0)</f>
        <v>0</v>
      </c>
      <c r="AD1580" s="0" t="str">
        <f aca="false">IF(AND(C1579=C1580,AA1579=AA1580-1),AB1579,"")</f>
        <v/>
      </c>
      <c r="AE1580" s="0" t="str">
        <f aca="false">IF(AND(C1579=C1580,AA1579=AA1580-1),AC1579,"")</f>
        <v/>
      </c>
      <c r="AF1580" s="0" t="str">
        <f aca="false">IF(AA1580=1,"",IF(AND(AB1580=1,AD1580&lt;&gt;1),1,0))</f>
        <v/>
      </c>
      <c r="AG1580" s="0" t="str">
        <f aca="false">IF(AA1580=1,"",IF(AND(AC1580=1,AE1580&lt;&gt;1),1,0))</f>
        <v/>
      </c>
      <c r="AH1580" s="51" t="str">
        <f aca="false">IF(AND(E1580&gt;0,AA1580&lt;1,NOT(AND(C1581=C1580,AA1581=AA1580+1))),INDEX(DATAS,AA1580+1),"")</f>
        <v/>
      </c>
      <c r="AI1580" s="51" t="str">
        <f aca="false">IF(AND(AC1580=1,AA1580&lt;1),IF(AND(C1581=C1580,AA1581=AA1580+1),IF(AC1581=1,"",INDEX(DATAS,AA1580+1)),INDEX(DATAS,AA1580+1)),"")</f>
        <v/>
      </c>
    </row>
    <row r="1581" customFormat="false" ht="15" hidden="false" customHeight="false" outlineLevel="0" collapsed="false">
      <c r="A1581" s="51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46" t="s">
        <v>993</v>
      </c>
      <c r="G1581" s="0" t="n">
        <v>25.2</v>
      </c>
      <c r="H1581" s="0" t="n">
        <v>25</v>
      </c>
      <c r="I1581" s="46" t="s">
        <v>181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51" t="n">
        <v>46296</v>
      </c>
      <c r="X1581" s="46" t="n">
        <f aca="false">IF(I1581="Male",0,1)</f>
        <v>1</v>
      </c>
      <c r="Y1581" s="46" t="n">
        <f aca="false">IF(OR(I1581="DNB",I1581="Dry DNB"),1,0)</f>
        <v>0</v>
      </c>
      <c r="Z1581" s="46" t="n">
        <f aca="false">IF(ISNUMBER(W1581),A1581-W1581,"")</f>
        <v>13</v>
      </c>
      <c r="AA1581" s="46" t="n">
        <f aca="false">MATCH(A1581,DATAS,0)</f>
        <v>1</v>
      </c>
      <c r="AB1581" s="46" t="n">
        <f aca="false">IF(AND(E1581&gt;0,OR(AND(B1581&gt;=1,B1581&lt;=6),B1581=10)),1,0)</f>
        <v>1</v>
      </c>
      <c r="AC1581" s="46" t="n">
        <f aca="false">IF(AND(E1581&gt;0,B1581=10),1,0)</f>
        <v>0</v>
      </c>
      <c r="AD1581" s="0" t="str">
        <f aca="false">IF(AND(C1580=C1581,AA1580=AA1581-1),AB1580,"")</f>
        <v/>
      </c>
      <c r="AE1581" s="0" t="str">
        <f aca="false">IF(AND(C1580=C1581,AA1580=AA1581-1),AC1580,"")</f>
        <v/>
      </c>
      <c r="AF1581" s="0" t="str">
        <f aca="false">IF(AA1581=1,"",IF(AND(AB1581=1,AD1581&lt;&gt;1),1,0))</f>
        <v/>
      </c>
      <c r="AG1581" s="0" t="str">
        <f aca="false">IF(AA1581=1,"",IF(AND(AC1581=1,AE1581&lt;&gt;1),1,0))</f>
        <v/>
      </c>
      <c r="AH1581" s="51" t="str">
        <f aca="false">IF(AND(E1581&gt;0,AA1581&lt;1,NOT(AND(C1582=C1581,AA1582=AA1581+1))),INDEX(DATAS,AA1581+1),"")</f>
        <v/>
      </c>
      <c r="AI1581" s="51" t="str">
        <f aca="false">IF(AND(AC1581=1,AA1581&lt;1),IF(AND(C1582=C1581,AA1582=AA1581+1),IF(AC1582=1,"",INDEX(DATAS,AA1581+1)),INDEX(DATAS,AA1581+1)),"")</f>
        <v/>
      </c>
    </row>
    <row r="1582" customFormat="false" ht="15" hidden="false" customHeight="false" outlineLevel="0" collapsed="false">
      <c r="A1582" s="51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46" t="s">
        <v>994</v>
      </c>
      <c r="G1582" s="0" t="n">
        <v>47.9</v>
      </c>
      <c r="H1582" s="0" t="n">
        <v>48</v>
      </c>
      <c r="I1582" s="46" t="s">
        <v>181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51" t="n">
        <v>46303</v>
      </c>
      <c r="X1582" s="46" t="n">
        <f aca="false">IF(I1582="Male",0,1)</f>
        <v>1</v>
      </c>
      <c r="Y1582" s="46" t="n">
        <f aca="false">IF(OR(I1582="DNB",I1582="Dry DNB"),1,0)</f>
        <v>0</v>
      </c>
      <c r="Z1582" s="46" t="n">
        <f aca="false">IF(ISNUMBER(W1582),A1582-W1582,"")</f>
        <v>6</v>
      </c>
      <c r="AA1582" s="46" t="n">
        <f aca="false">MATCH(A1582,DATAS,0)</f>
        <v>1</v>
      </c>
      <c r="AB1582" s="46" t="n">
        <f aca="false">IF(AND(E1582&gt;0,OR(AND(B1582&gt;=1,B1582&lt;=6),B1582=10)),1,0)</f>
        <v>1</v>
      </c>
      <c r="AC1582" s="46" t="n">
        <f aca="false">IF(AND(E1582&gt;0,B1582=10),1,0)</f>
        <v>0</v>
      </c>
      <c r="AD1582" s="0" t="str">
        <f aca="false">IF(AND(C1581=C1582,AA1581=AA1582-1),AB1581,"")</f>
        <v/>
      </c>
      <c r="AE1582" s="0" t="str">
        <f aca="false">IF(AND(C1581=C1582,AA1581=AA1582-1),AC1581,"")</f>
        <v/>
      </c>
      <c r="AF1582" s="0" t="str">
        <f aca="false">IF(AA1582=1,"",IF(AND(AB1582=1,AD1582&lt;&gt;1),1,0))</f>
        <v/>
      </c>
      <c r="AG1582" s="0" t="str">
        <f aca="false">IF(AA1582=1,"",IF(AND(AC1582=1,AE1582&lt;&gt;1),1,0))</f>
        <v/>
      </c>
      <c r="AH1582" s="51" t="str">
        <f aca="false">IF(AND(E1582&gt;0,AA1582&lt;1,NOT(AND(C1583=C1582,AA1583=AA1582+1))),INDEX(DATAS,AA1582+1),"")</f>
        <v/>
      </c>
      <c r="AI1582" s="51" t="str">
        <f aca="false">IF(AND(AC1582=1,AA1582&lt;1),IF(AND(C1583=C1582,AA1583=AA1582+1),IF(AC1583=1,"",INDEX(DATAS,AA1582+1)),INDEX(DATAS,AA1582+1)),"")</f>
        <v/>
      </c>
    </row>
    <row r="1583" customFormat="false" ht="15" hidden="false" customHeight="false" outlineLevel="0" collapsed="false">
      <c r="A1583" s="51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46" t="s">
        <v>994</v>
      </c>
      <c r="G1583" s="0" t="n">
        <v>54.9</v>
      </c>
      <c r="H1583" s="0" t="n">
        <v>54</v>
      </c>
      <c r="I1583" s="46" t="s">
        <v>152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51" t="n">
        <v>46233</v>
      </c>
      <c r="X1583" s="46" t="n">
        <f aca="false">IF(I1583="Male",0,1)</f>
        <v>1</v>
      </c>
      <c r="Y1583" s="46" t="n">
        <f aca="false">IF(OR(I1583="DNB",I1583="Dry DNB"),1,0)</f>
        <v>0</v>
      </c>
      <c r="Z1583" s="46" t="n">
        <f aca="false">IF(ISNUMBER(W1583),A1583-W1583,"")</f>
        <v>76</v>
      </c>
      <c r="AA1583" s="46" t="n">
        <f aca="false">MATCH(A1583,DATAS,0)</f>
        <v>1</v>
      </c>
      <c r="AB1583" s="46" t="n">
        <f aca="false">IF(AND(E1583&gt;0,OR(AND(B1583&gt;=1,B1583&lt;=6),B1583=10)),1,0)</f>
        <v>1</v>
      </c>
      <c r="AC1583" s="46" t="n">
        <f aca="false">IF(AND(E1583&gt;0,B1583=10),1,0)</f>
        <v>0</v>
      </c>
      <c r="AD1583" s="0" t="str">
        <f aca="false">IF(AND(C1582=C1583,AA1582=AA1583-1),AB1582,"")</f>
        <v/>
      </c>
      <c r="AE1583" s="0" t="str">
        <f aca="false">IF(AND(C1582=C1583,AA1582=AA1583-1),AC1582,"")</f>
        <v/>
      </c>
      <c r="AF1583" s="0" t="str">
        <f aca="false">IF(AA1583=1,"",IF(AND(AB1583=1,AD1583&lt;&gt;1),1,0))</f>
        <v/>
      </c>
      <c r="AG1583" s="0" t="str">
        <f aca="false">IF(AA1583=1,"",IF(AND(AC1583=1,AE1583&lt;&gt;1),1,0))</f>
        <v/>
      </c>
      <c r="AH1583" s="51" t="str">
        <f aca="false">IF(AND(E1583&gt;0,AA1583&lt;1,NOT(AND(C1584=C1583,AA1584=AA1583+1))),INDEX(DATAS,AA1583+1),"")</f>
        <v/>
      </c>
      <c r="AI1583" s="51" t="str">
        <f aca="false">IF(AND(AC1583=1,AA1583&lt;1),IF(AND(C1584=C1583,AA1584=AA1583+1),IF(AC1584=1,"",INDEX(DATAS,AA1583+1)),INDEX(DATAS,AA1583+1)),"")</f>
        <v/>
      </c>
    </row>
    <row r="1584" customFormat="false" ht="15" hidden="false" customHeight="false" outlineLevel="0" collapsed="false">
      <c r="A1584" s="51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46" t="s">
        <v>995</v>
      </c>
      <c r="G1584" s="0" t="n">
        <v>43.1</v>
      </c>
      <c r="H1584" s="0" t="n">
        <v>40</v>
      </c>
      <c r="I1584" s="46" t="s">
        <v>181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51" t="n">
        <v>46258</v>
      </c>
      <c r="X1584" s="46" t="n">
        <f aca="false">IF(I1584="Male",0,1)</f>
        <v>1</v>
      </c>
      <c r="Y1584" s="46" t="n">
        <f aca="false">IF(OR(I1584="DNB",I1584="Dry DNB"),1,0)</f>
        <v>0</v>
      </c>
      <c r="Z1584" s="46" t="n">
        <f aca="false">IF(ISNUMBER(W1584),A1584-W1584,"")</f>
        <v>51</v>
      </c>
      <c r="AA1584" s="46" t="n">
        <f aca="false">MATCH(A1584,DATAS,0)</f>
        <v>1</v>
      </c>
      <c r="AB1584" s="46" t="n">
        <f aca="false">IF(AND(E1584&gt;0,OR(AND(B1584&gt;=1,B1584&lt;=6),B1584=10)),1,0)</f>
        <v>1</v>
      </c>
      <c r="AC1584" s="46" t="n">
        <f aca="false">IF(AND(E1584&gt;0,B1584=10),1,0)</f>
        <v>0</v>
      </c>
      <c r="AD1584" s="0" t="str">
        <f aca="false">IF(AND(C1583=C1584,AA1583=AA1584-1),AB1583,"")</f>
        <v/>
      </c>
      <c r="AE1584" s="0" t="str">
        <f aca="false">IF(AND(C1583=C1584,AA1583=AA1584-1),AC1583,"")</f>
        <v/>
      </c>
      <c r="AF1584" s="0" t="str">
        <f aca="false">IF(AA1584=1,"",IF(AND(AB1584=1,AD1584&lt;&gt;1),1,0))</f>
        <v/>
      </c>
      <c r="AG1584" s="0" t="str">
        <f aca="false">IF(AA1584=1,"",IF(AND(AC1584=1,AE1584&lt;&gt;1),1,0))</f>
        <v/>
      </c>
      <c r="AH1584" s="51" t="str">
        <f aca="false">IF(AND(E1584&gt;0,AA1584&lt;1,NOT(AND(C1585=C1584,AA1585=AA1584+1))),INDEX(DATAS,AA1584+1),"")</f>
        <v/>
      </c>
      <c r="AI1584" s="51" t="str">
        <f aca="false">IF(AND(AC1584=1,AA1584&lt;1),IF(AND(C1585=C1584,AA1585=AA1584+1),IF(AC1585=1,"",INDEX(DATAS,AA1584+1)),INDEX(DATAS,AA1584+1)),"")</f>
        <v/>
      </c>
    </row>
    <row r="1585" customFormat="false" ht="15" hidden="false" customHeight="false" outlineLevel="0" collapsed="false">
      <c r="A1585" s="51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46" t="s">
        <v>995</v>
      </c>
      <c r="G1585" s="0" t="n">
        <v>30.1</v>
      </c>
      <c r="H1585" s="0" t="n">
        <v>26</v>
      </c>
      <c r="I1585" s="46" t="s">
        <v>189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51" t="n">
        <v>46272</v>
      </c>
      <c r="X1585" s="46" t="n">
        <f aca="false">IF(I1585="Male",0,1)</f>
        <v>1</v>
      </c>
      <c r="Y1585" s="46" t="n">
        <f aca="false">IF(OR(I1585="DNB",I1585="Dry DNB"),1,0)</f>
        <v>0</v>
      </c>
      <c r="Z1585" s="46" t="n">
        <f aca="false">IF(ISNUMBER(W1585),A1585-W1585,"")</f>
        <v>37</v>
      </c>
      <c r="AA1585" s="46" t="n">
        <f aca="false">MATCH(A1585,DATAS,0)</f>
        <v>1</v>
      </c>
      <c r="AB1585" s="46" t="n">
        <f aca="false">IF(AND(E1585&gt;0,OR(AND(B1585&gt;=1,B1585&lt;=6),B1585=10)),1,0)</f>
        <v>1</v>
      </c>
      <c r="AC1585" s="46" t="n">
        <f aca="false">IF(AND(E1585&gt;0,B1585=10),1,0)</f>
        <v>0</v>
      </c>
      <c r="AD1585" s="0" t="str">
        <f aca="false">IF(AND(C1584=C1585,AA1584=AA1585-1),AB1584,"")</f>
        <v/>
      </c>
      <c r="AE1585" s="0" t="str">
        <f aca="false">IF(AND(C1584=C1585,AA1584=AA1585-1),AC1584,"")</f>
        <v/>
      </c>
      <c r="AF1585" s="0" t="str">
        <f aca="false">IF(AA1585=1,"",IF(AND(AB1585=1,AD1585&lt;&gt;1),1,0))</f>
        <v/>
      </c>
      <c r="AG1585" s="0" t="str">
        <f aca="false">IF(AA1585=1,"",IF(AND(AC1585=1,AE1585&lt;&gt;1),1,0))</f>
        <v/>
      </c>
      <c r="AH1585" s="51" t="str">
        <f aca="false">IF(AND(E1585&gt;0,AA1585&lt;1,NOT(AND(C1586=C1585,AA1586=AA1585+1))),INDEX(DATAS,AA1585+1),"")</f>
        <v/>
      </c>
      <c r="AI1585" s="51" t="str">
        <f aca="false">IF(AND(AC1585=1,AA1585&lt;1),IF(AND(C1586=C1585,AA1586=AA1585+1),IF(AC1586=1,"",INDEX(DATAS,AA1585+1)),INDEX(DATAS,AA1585+1)),"")</f>
        <v/>
      </c>
    </row>
    <row r="1586" customFormat="false" ht="15" hidden="false" customHeight="false" outlineLevel="0" collapsed="false">
      <c r="A1586" s="51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46" t="s">
        <v>995</v>
      </c>
      <c r="G1586" s="0" t="n">
        <v>42.4</v>
      </c>
      <c r="H1586" s="0" t="n">
        <v>40</v>
      </c>
      <c r="I1586" s="46" t="s">
        <v>152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51" t="n">
        <v>46249</v>
      </c>
      <c r="X1586" s="46" t="n">
        <f aca="false">IF(I1586="Male",0,1)</f>
        <v>1</v>
      </c>
      <c r="Y1586" s="46" t="n">
        <f aca="false">IF(OR(I1586="DNB",I1586="Dry DNB"),1,0)</f>
        <v>0</v>
      </c>
      <c r="Z1586" s="46" t="n">
        <f aca="false">IF(ISNUMBER(W1586),A1586-W1586,"")</f>
        <v>60</v>
      </c>
      <c r="AA1586" s="46" t="n">
        <f aca="false">MATCH(A1586,DATAS,0)</f>
        <v>1</v>
      </c>
      <c r="AB1586" s="46" t="n">
        <f aca="false">IF(AND(E1586&gt;0,OR(AND(B1586&gt;=1,B1586&lt;=6),B1586=10)),1,0)</f>
        <v>1</v>
      </c>
      <c r="AC1586" s="46" t="n">
        <f aca="false">IF(AND(E1586&gt;0,B1586=10),1,0)</f>
        <v>0</v>
      </c>
      <c r="AD1586" s="0" t="str">
        <f aca="false">IF(AND(C1585=C1586,AA1585=AA1586-1),AB1585,"")</f>
        <v/>
      </c>
      <c r="AE1586" s="0" t="str">
        <f aca="false">IF(AND(C1585=C1586,AA1585=AA1586-1),AC1585,"")</f>
        <v/>
      </c>
      <c r="AF1586" s="0" t="str">
        <f aca="false">IF(AA1586=1,"",IF(AND(AB1586=1,AD1586&lt;&gt;1),1,0))</f>
        <v/>
      </c>
      <c r="AG1586" s="0" t="str">
        <f aca="false">IF(AA1586=1,"",IF(AND(AC1586=1,AE1586&lt;&gt;1),1,0))</f>
        <v/>
      </c>
      <c r="AH1586" s="51" t="str">
        <f aca="false">IF(AND(E1586&gt;0,AA1586&lt;1,NOT(AND(C1587=C1586,AA1587=AA1586+1))),INDEX(DATAS,AA1586+1),"")</f>
        <v/>
      </c>
      <c r="AI1586" s="51" t="str">
        <f aca="false">IF(AND(AC1586=1,AA1586&lt;1),IF(AND(C1587=C1586,AA1587=AA1586+1),IF(AC1587=1,"",INDEX(DATAS,AA1586+1)),INDEX(DATAS,AA1586+1)),"")</f>
        <v/>
      </c>
    </row>
    <row r="1587" customFormat="false" ht="15" hidden="false" customHeight="false" outlineLevel="0" collapsed="false">
      <c r="A1587" s="51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46" t="s">
        <v>996</v>
      </c>
      <c r="G1587" s="0" t="n">
        <v>44.3</v>
      </c>
      <c r="H1587" s="0" t="n">
        <v>42</v>
      </c>
      <c r="I1587" s="46" t="s">
        <v>152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51" t="n">
        <v>46221</v>
      </c>
      <c r="X1587" s="46" t="n">
        <f aca="false">IF(I1587="Male",0,1)</f>
        <v>1</v>
      </c>
      <c r="Y1587" s="46" t="n">
        <f aca="false">IF(OR(I1587="DNB",I1587="Dry DNB"),1,0)</f>
        <v>0</v>
      </c>
      <c r="Z1587" s="46" t="n">
        <f aca="false">IF(ISNUMBER(W1587),A1587-W1587,"")</f>
        <v>88</v>
      </c>
      <c r="AA1587" s="46" t="n">
        <f aca="false">MATCH(A1587,DATAS,0)</f>
        <v>1</v>
      </c>
      <c r="AB1587" s="46" t="n">
        <f aca="false">IF(AND(E1587&gt;0,OR(AND(B1587&gt;=1,B1587&lt;=6),B1587=10)),1,0)</f>
        <v>1</v>
      </c>
      <c r="AC1587" s="46" t="n">
        <f aca="false">IF(AND(E1587&gt;0,B1587=10),1,0)</f>
        <v>0</v>
      </c>
      <c r="AD1587" s="0" t="str">
        <f aca="false">IF(AND(C1586=C1587,AA1586=AA1587-1),AB1586,"")</f>
        <v/>
      </c>
      <c r="AE1587" s="0" t="str">
        <f aca="false">IF(AND(C1586=C1587,AA1586=AA1587-1),AC1586,"")</f>
        <v/>
      </c>
      <c r="AF1587" s="0" t="str">
        <f aca="false">IF(AA1587=1,"",IF(AND(AB1587=1,AD1587&lt;&gt;1),1,0))</f>
        <v/>
      </c>
      <c r="AG1587" s="0" t="str">
        <f aca="false">IF(AA1587=1,"",IF(AND(AC1587=1,AE1587&lt;&gt;1),1,0))</f>
        <v/>
      </c>
      <c r="AH1587" s="51" t="str">
        <f aca="false">IF(AND(E1587&gt;0,AA1587&lt;1,NOT(AND(C1588=C1587,AA1588=AA1587+1))),INDEX(DATAS,AA1587+1),"")</f>
        <v/>
      </c>
      <c r="AI1587" s="51" t="str">
        <f aca="false">IF(AND(AC1587=1,AA1587&lt;1),IF(AND(C1588=C1587,AA1588=AA1587+1),IF(AC1588=1,"",INDEX(DATAS,AA1587+1)),INDEX(DATAS,AA1587+1)),"")</f>
        <v/>
      </c>
    </row>
    <row r="1588" customFormat="false" ht="15" hidden="false" customHeight="false" outlineLevel="0" collapsed="false">
      <c r="A1588" s="51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46" t="s">
        <v>997</v>
      </c>
      <c r="I1588" s="46" t="s">
        <v>161</v>
      </c>
      <c r="J1588" s="0" t="n">
        <v>4</v>
      </c>
      <c r="U1588" s="0" t="n">
        <v>816</v>
      </c>
      <c r="V1588" s="0" t="n">
        <v>0</v>
      </c>
      <c r="X1588" s="46" t="n">
        <f aca="false">IF(I1588="Male",0,1)</f>
        <v>1</v>
      </c>
      <c r="Y1588" s="46" t="n">
        <f aca="false">IF(OR(I1588="DNB",I1588="Dry DNB"),1,0)</f>
        <v>0</v>
      </c>
      <c r="Z1588" s="0" t="str">
        <f aca="false">IF(ISNUMBER(W1588),A1588-W1588,"")</f>
        <v/>
      </c>
      <c r="AA1588" s="46" t="n">
        <f aca="false">MATCH(A1588,DATAS,0)</f>
        <v>1</v>
      </c>
      <c r="AB1588" s="46" t="n">
        <f aca="false">IF(AND(E1588&gt;0,OR(AND(B1588&gt;=1,B1588&lt;=6),B1588=10)),1,0)</f>
        <v>1</v>
      </c>
      <c r="AC1588" s="46" t="n">
        <f aca="false">IF(AND(E1588&gt;0,B1588=10),1,0)</f>
        <v>0</v>
      </c>
      <c r="AD1588" s="0" t="str">
        <f aca="false">IF(AND(C1587=C1588,AA1587=AA1588-1),AB1587,"")</f>
        <v/>
      </c>
      <c r="AE1588" s="0" t="str">
        <f aca="false">IF(AND(C1587=C1588,AA1587=AA1588-1),AC1587,"")</f>
        <v/>
      </c>
      <c r="AF1588" s="0" t="str">
        <f aca="false">IF(AA1588=1,"",IF(AND(AB1588=1,AD1588&lt;&gt;1),1,0))</f>
        <v/>
      </c>
      <c r="AG1588" s="0" t="str">
        <f aca="false">IF(AA1588=1,"",IF(AND(AC1588=1,AE1588&lt;&gt;1),1,0))</f>
        <v/>
      </c>
      <c r="AH1588" s="51" t="str">
        <f aca="false">IF(AND(E1588&gt;0,AA1588&lt;1,NOT(AND(C1589=C1588,AA1589=AA1588+1))),INDEX(DATAS,AA1588+1),"")</f>
        <v/>
      </c>
      <c r="AI1588" s="51" t="str">
        <f aca="false">IF(AND(AC1588=1,AA1588&lt;1),IF(AND(C1589=C1588,AA1589=AA1588+1),IF(AC1589=1,"",INDEX(DATAS,AA1588+1)),INDEX(DATAS,AA1588+1)),"")</f>
        <v/>
      </c>
    </row>
    <row r="1589" customFormat="false" ht="15" hidden="false" customHeight="false" outlineLevel="0" collapsed="false">
      <c r="A1589" s="51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46" t="s">
        <v>996</v>
      </c>
      <c r="G1589" s="0" t="n">
        <v>46.9</v>
      </c>
      <c r="H1589" s="0" t="n">
        <v>46</v>
      </c>
      <c r="I1589" s="46" t="s">
        <v>152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51" t="n">
        <v>46234</v>
      </c>
      <c r="X1589" s="46" t="n">
        <f aca="false">IF(I1589="Male",0,1)</f>
        <v>1</v>
      </c>
      <c r="Y1589" s="46" t="n">
        <f aca="false">IF(OR(I1589="DNB",I1589="Dry DNB"),1,0)</f>
        <v>0</v>
      </c>
      <c r="Z1589" s="46" t="n">
        <f aca="false">IF(ISNUMBER(W1589),A1589-W1589,"")</f>
        <v>75</v>
      </c>
      <c r="AA1589" s="46" t="n">
        <f aca="false">MATCH(A1589,DATAS,0)</f>
        <v>1</v>
      </c>
      <c r="AB1589" s="46" t="n">
        <f aca="false">IF(AND(E1589&gt;0,OR(AND(B1589&gt;=1,B1589&lt;=6),B1589=10)),1,0)</f>
        <v>1</v>
      </c>
      <c r="AC1589" s="46" t="n">
        <f aca="false">IF(AND(E1589&gt;0,B1589=10),1,0)</f>
        <v>0</v>
      </c>
      <c r="AD1589" s="0" t="str">
        <f aca="false">IF(AND(C1588=C1589,AA1588=AA1589-1),AB1588,"")</f>
        <v/>
      </c>
      <c r="AE1589" s="0" t="str">
        <f aca="false">IF(AND(C1588=C1589,AA1588=AA1589-1),AC1588,"")</f>
        <v/>
      </c>
      <c r="AF1589" s="0" t="str">
        <f aca="false">IF(AA1589=1,"",IF(AND(AB1589=1,AD1589&lt;&gt;1),1,0))</f>
        <v/>
      </c>
      <c r="AG1589" s="0" t="str">
        <f aca="false">IF(AA1589=1,"",IF(AND(AC1589=1,AE1589&lt;&gt;1),1,0))</f>
        <v/>
      </c>
      <c r="AH1589" s="51" t="str">
        <f aca="false">IF(AND(E1589&gt;0,AA1589&lt;1,NOT(AND(C1590=C1589,AA1590=AA1589+1))),INDEX(DATAS,AA1589+1),"")</f>
        <v/>
      </c>
      <c r="AI1589" s="51" t="str">
        <f aca="false">IF(AND(AC1589=1,AA1589&lt;1),IF(AND(C1590=C1589,AA1590=AA1589+1),IF(AC1590=1,"",INDEX(DATAS,AA1589+1)),INDEX(DATAS,AA1589+1)),"")</f>
        <v/>
      </c>
    </row>
    <row r="1590" customFormat="false" ht="15" hidden="false" customHeight="false" outlineLevel="0" collapsed="false">
      <c r="A1590" s="51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46" t="s">
        <v>996</v>
      </c>
      <c r="G1590" s="0" t="n">
        <v>51</v>
      </c>
      <c r="H1590" s="0" t="n">
        <v>50</v>
      </c>
      <c r="I1590" s="46" t="s">
        <v>152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51" t="n">
        <v>46254</v>
      </c>
      <c r="X1590" s="46" t="n">
        <f aca="false">IF(I1590="Male",0,1)</f>
        <v>1</v>
      </c>
      <c r="Y1590" s="46" t="n">
        <f aca="false">IF(OR(I1590="DNB",I1590="Dry DNB"),1,0)</f>
        <v>0</v>
      </c>
      <c r="Z1590" s="46" t="n">
        <f aca="false">IF(ISNUMBER(W1590),A1590-W1590,"")</f>
        <v>55</v>
      </c>
      <c r="AA1590" s="46" t="n">
        <f aca="false">MATCH(A1590,DATAS,0)</f>
        <v>1</v>
      </c>
      <c r="AB1590" s="46" t="n">
        <f aca="false">IF(AND(E1590&gt;0,OR(AND(B1590&gt;=1,B1590&lt;=6),B1590=10)),1,0)</f>
        <v>1</v>
      </c>
      <c r="AC1590" s="46" t="n">
        <f aca="false">IF(AND(E1590&gt;0,B1590=10),1,0)</f>
        <v>0</v>
      </c>
      <c r="AD1590" s="0" t="str">
        <f aca="false">IF(AND(C1589=C1590,AA1589=AA1590-1),AB1589,"")</f>
        <v/>
      </c>
      <c r="AE1590" s="0" t="str">
        <f aca="false">IF(AND(C1589=C1590,AA1589=AA1590-1),AC1589,"")</f>
        <v/>
      </c>
      <c r="AF1590" s="0" t="str">
        <f aca="false">IF(AA1590=1,"",IF(AND(AB1590=1,AD1590&lt;&gt;1),1,0))</f>
        <v/>
      </c>
      <c r="AG1590" s="0" t="str">
        <f aca="false">IF(AA1590=1,"",IF(AND(AC1590=1,AE1590&lt;&gt;1),1,0))</f>
        <v/>
      </c>
      <c r="AH1590" s="51" t="str">
        <f aca="false">IF(AND(E1590&gt;0,AA1590&lt;1,NOT(AND(C1591=C1590,AA1591=AA1590+1))),INDEX(DATAS,AA1590+1),"")</f>
        <v/>
      </c>
      <c r="AI1590" s="51" t="str">
        <f aca="false">IF(AND(AC1590=1,AA1590&lt;1),IF(AND(C1591=C1590,AA1591=AA1590+1),IF(AC1591=1,"",INDEX(DATAS,AA1590+1)),INDEX(DATAS,AA1590+1)),"")</f>
        <v/>
      </c>
    </row>
    <row r="1591" customFormat="false" ht="15" hidden="false" customHeight="false" outlineLevel="0" collapsed="false">
      <c r="A1591" s="51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46" t="s">
        <v>996</v>
      </c>
      <c r="G1591" s="0" t="n">
        <v>53.4</v>
      </c>
      <c r="H1591" s="0" t="n">
        <v>52</v>
      </c>
      <c r="I1591" s="46" t="s">
        <v>152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51" t="n">
        <v>46229</v>
      </c>
      <c r="X1591" s="46" t="n">
        <f aca="false">IF(I1591="Male",0,1)</f>
        <v>1</v>
      </c>
      <c r="Y1591" s="46" t="n">
        <f aca="false">IF(OR(I1591="DNB",I1591="Dry DNB"),1,0)</f>
        <v>0</v>
      </c>
      <c r="Z1591" s="46" t="n">
        <f aca="false">IF(ISNUMBER(W1591),A1591-W1591,"")</f>
        <v>80</v>
      </c>
      <c r="AA1591" s="46" t="n">
        <f aca="false">MATCH(A1591,DATAS,0)</f>
        <v>1</v>
      </c>
      <c r="AB1591" s="46" t="n">
        <f aca="false">IF(AND(E1591&gt;0,OR(AND(B1591&gt;=1,B1591&lt;=6),B1591=10)),1,0)</f>
        <v>1</v>
      </c>
      <c r="AC1591" s="46" t="n">
        <f aca="false">IF(AND(E1591&gt;0,B1591=10),1,0)</f>
        <v>0</v>
      </c>
      <c r="AD1591" s="0" t="str">
        <f aca="false">IF(AND(C1590=C1591,AA1590=AA1591-1),AB1590,"")</f>
        <v/>
      </c>
      <c r="AE1591" s="0" t="str">
        <f aca="false">IF(AND(C1590=C1591,AA1590=AA1591-1),AC1590,"")</f>
        <v/>
      </c>
      <c r="AF1591" s="0" t="str">
        <f aca="false">IF(AA1591=1,"",IF(AND(AB1591=1,AD1591&lt;&gt;1),1,0))</f>
        <v/>
      </c>
      <c r="AG1591" s="0" t="str">
        <f aca="false">IF(AA1591=1,"",IF(AND(AC1591=1,AE1591&lt;&gt;1),1,0))</f>
        <v/>
      </c>
      <c r="AH1591" s="51" t="str">
        <f aca="false">IF(AND(E1591&gt;0,AA1591&lt;1,NOT(AND(C1592=C1591,AA1592=AA1591+1))),INDEX(DATAS,AA1591+1),"")</f>
        <v/>
      </c>
      <c r="AI1591" s="51" t="str">
        <f aca="false">IF(AND(AC1591=1,AA1591&lt;1),IF(AND(C1592=C1591,AA1592=AA1591+1),IF(AC1592=1,"",INDEX(DATAS,AA1591+1)),INDEX(DATAS,AA1591+1)),"")</f>
        <v/>
      </c>
    </row>
    <row r="1592" customFormat="false" ht="15" hidden="false" customHeight="false" outlineLevel="0" collapsed="false">
      <c r="A1592" s="51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46" t="s">
        <v>998</v>
      </c>
      <c r="G1592" s="0" t="n">
        <v>21.2</v>
      </c>
      <c r="H1592" s="0" t="n">
        <v>21</v>
      </c>
      <c r="I1592" s="46" t="s">
        <v>161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X1592" s="46" t="n">
        <f aca="false">IF(I1592="Male",0,1)</f>
        <v>1</v>
      </c>
      <c r="Y1592" s="46" t="n">
        <f aca="false">IF(OR(I1592="DNB",I1592="Dry DNB"),1,0)</f>
        <v>0</v>
      </c>
      <c r="Z1592" s="0" t="str">
        <f aca="false">IF(ISNUMBER(W1592),A1592-W1592,"")</f>
        <v/>
      </c>
      <c r="AA1592" s="46" t="n">
        <f aca="false">MATCH(A1592,DATAS,0)</f>
        <v>1</v>
      </c>
      <c r="AB1592" s="46" t="n">
        <f aca="false">IF(AND(E1592&gt;0,OR(AND(B1592&gt;=1,B1592&lt;=6),B1592=10)),1,0)</f>
        <v>1</v>
      </c>
      <c r="AC1592" s="46" t="n">
        <f aca="false">IF(AND(E1592&gt;0,B1592=10),1,0)</f>
        <v>0</v>
      </c>
      <c r="AD1592" s="0" t="str">
        <f aca="false">IF(AND(C1591=C1592,AA1591=AA1592-1),AB1591,"")</f>
        <v/>
      </c>
      <c r="AE1592" s="0" t="str">
        <f aca="false">IF(AND(C1591=C1592,AA1591=AA1592-1),AC1591,"")</f>
        <v/>
      </c>
      <c r="AF1592" s="0" t="str">
        <f aca="false">IF(AA1592=1,"",IF(AND(AB1592=1,AD1592&lt;&gt;1),1,0))</f>
        <v/>
      </c>
      <c r="AG1592" s="0" t="str">
        <f aca="false">IF(AA1592=1,"",IF(AND(AC1592=1,AE1592&lt;&gt;1),1,0))</f>
        <v/>
      </c>
      <c r="AH1592" s="51" t="str">
        <f aca="false">IF(AND(E1592&gt;0,AA1592&lt;1,NOT(AND(C1593=C1592,AA1593=AA1592+1))),INDEX(DATAS,AA1592+1),"")</f>
        <v/>
      </c>
      <c r="AI1592" s="51" t="str">
        <f aca="false">IF(AND(AC1592=1,AA1592&lt;1),IF(AND(C1593=C1592,AA1593=AA1592+1),IF(AC1593=1,"",INDEX(DATAS,AA1592+1)),INDEX(DATAS,AA1592+1)),"")</f>
        <v/>
      </c>
    </row>
    <row r="1593" customFormat="false" ht="15" hidden="false" customHeight="false" outlineLevel="0" collapsed="false">
      <c r="A1593" s="51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46" t="s">
        <v>998</v>
      </c>
      <c r="G1593" s="0" t="n">
        <v>47.5</v>
      </c>
      <c r="H1593" s="0" t="n">
        <v>52</v>
      </c>
      <c r="I1593" s="46" t="s">
        <v>181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51" t="n">
        <v>46282</v>
      </c>
      <c r="X1593" s="46" t="n">
        <f aca="false">IF(I1593="Male",0,1)</f>
        <v>1</v>
      </c>
      <c r="Y1593" s="46" t="n">
        <f aca="false">IF(OR(I1593="DNB",I1593="Dry DNB"),1,0)</f>
        <v>0</v>
      </c>
      <c r="Z1593" s="46" t="n">
        <f aca="false">IF(ISNUMBER(W1593),A1593-W1593,"")</f>
        <v>27</v>
      </c>
      <c r="AA1593" s="46" t="n">
        <f aca="false">MATCH(A1593,DATAS,0)</f>
        <v>1</v>
      </c>
      <c r="AB1593" s="46" t="n">
        <f aca="false">IF(AND(E1593&gt;0,OR(AND(B1593&gt;=1,B1593&lt;=6),B1593=10)),1,0)</f>
        <v>1</v>
      </c>
      <c r="AC1593" s="46" t="n">
        <f aca="false">IF(AND(E1593&gt;0,B1593=10),1,0)</f>
        <v>0</v>
      </c>
      <c r="AD1593" s="0" t="str">
        <f aca="false">IF(AND(C1592=C1593,AA1592=AA1593-1),AB1592,"")</f>
        <v/>
      </c>
      <c r="AE1593" s="0" t="str">
        <f aca="false">IF(AND(C1592=C1593,AA1592=AA1593-1),AC1592,"")</f>
        <v/>
      </c>
      <c r="AF1593" s="0" t="str">
        <f aca="false">IF(AA1593=1,"",IF(AND(AB1593=1,AD1593&lt;&gt;1),1,0))</f>
        <v/>
      </c>
      <c r="AG1593" s="0" t="str">
        <f aca="false">IF(AA1593=1,"",IF(AND(AC1593=1,AE1593&lt;&gt;1),1,0))</f>
        <v/>
      </c>
      <c r="AH1593" s="51" t="str">
        <f aca="false">IF(AND(E1593&gt;0,AA1593&lt;1,NOT(AND(C1594=C1593,AA1594=AA1593+1))),INDEX(DATAS,AA1593+1),"")</f>
        <v/>
      </c>
      <c r="AI1593" s="51" t="str">
        <f aca="false">IF(AND(AC1593=1,AA1593&lt;1),IF(AND(C1594=C1593,AA1594=AA1593+1),IF(AC1594=1,"",INDEX(DATAS,AA1593+1)),INDEX(DATAS,AA1593+1)),"")</f>
        <v/>
      </c>
    </row>
    <row r="1594" customFormat="false" ht="15" hidden="false" customHeight="false" outlineLevel="0" collapsed="false">
      <c r="A1594" s="51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46" t="s">
        <v>998</v>
      </c>
      <c r="G1594" s="0" t="n">
        <v>45.1</v>
      </c>
      <c r="H1594" s="0" t="n">
        <v>45</v>
      </c>
      <c r="I1594" s="46" t="s">
        <v>152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51" t="n">
        <v>46275</v>
      </c>
      <c r="X1594" s="46" t="n">
        <f aca="false">IF(I1594="Male",0,1)</f>
        <v>1</v>
      </c>
      <c r="Y1594" s="46" t="n">
        <f aca="false">IF(OR(I1594="DNB",I1594="Dry DNB"),1,0)</f>
        <v>0</v>
      </c>
      <c r="Z1594" s="46" t="n">
        <f aca="false">IF(ISNUMBER(W1594),A1594-W1594,"")</f>
        <v>34</v>
      </c>
      <c r="AA1594" s="46" t="n">
        <f aca="false">MATCH(A1594,DATAS,0)</f>
        <v>1</v>
      </c>
      <c r="AB1594" s="46" t="n">
        <f aca="false">IF(AND(E1594&gt;0,OR(AND(B1594&gt;=1,B1594&lt;=6),B1594=10)),1,0)</f>
        <v>1</v>
      </c>
      <c r="AC1594" s="46" t="n">
        <f aca="false">IF(AND(E1594&gt;0,B1594=10),1,0)</f>
        <v>0</v>
      </c>
      <c r="AD1594" s="0" t="str">
        <f aca="false">IF(AND(C1593=C1594,AA1593=AA1594-1),AB1593,"")</f>
        <v/>
      </c>
      <c r="AE1594" s="0" t="str">
        <f aca="false">IF(AND(C1593=C1594,AA1593=AA1594-1),AC1593,"")</f>
        <v/>
      </c>
      <c r="AF1594" s="0" t="str">
        <f aca="false">IF(AA1594=1,"",IF(AND(AB1594=1,AD1594&lt;&gt;1),1,0))</f>
        <v/>
      </c>
      <c r="AG1594" s="0" t="str">
        <f aca="false">IF(AA1594=1,"",IF(AND(AC1594=1,AE1594&lt;&gt;1),1,0))</f>
        <v/>
      </c>
      <c r="AH1594" s="51" t="str">
        <f aca="false">IF(AND(E1594&gt;0,AA1594&lt;1,NOT(AND(C1595=C1594,AA1595=AA1594+1))),INDEX(DATAS,AA1594+1),"")</f>
        <v/>
      </c>
      <c r="AI1594" s="51" t="str">
        <f aca="false">IF(AND(AC1594=1,AA1594&lt;1),IF(AND(C1595=C1594,AA1595=AA1594+1),IF(AC1595=1,"",INDEX(DATAS,AA1594+1)),INDEX(DATAS,AA1594+1)),"")</f>
        <v/>
      </c>
    </row>
    <row r="1595" customFormat="false" ht="15" hidden="false" customHeight="false" outlineLevel="0" collapsed="false">
      <c r="A1595" s="51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46" t="s">
        <v>999</v>
      </c>
      <c r="G1595" s="0" t="n">
        <v>40.5</v>
      </c>
      <c r="H1595" s="0" t="n">
        <v>41</v>
      </c>
      <c r="I1595" s="46" t="s">
        <v>152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51" t="n">
        <v>46268</v>
      </c>
      <c r="X1595" s="46" t="n">
        <f aca="false">IF(I1595="Male",0,1)</f>
        <v>1</v>
      </c>
      <c r="Y1595" s="46" t="n">
        <f aca="false">IF(OR(I1595="DNB",I1595="Dry DNB"),1,0)</f>
        <v>0</v>
      </c>
      <c r="Z1595" s="46" t="n">
        <f aca="false">IF(ISNUMBER(W1595),A1595-W1595,"")</f>
        <v>41</v>
      </c>
      <c r="AA1595" s="46" t="n">
        <f aca="false">MATCH(A1595,DATAS,0)</f>
        <v>1</v>
      </c>
      <c r="AB1595" s="46" t="n">
        <f aca="false">IF(AND(E1595&gt;0,OR(AND(B1595&gt;=1,B1595&lt;=6),B1595=10)),1,0)</f>
        <v>1</v>
      </c>
      <c r="AC1595" s="46" t="n">
        <f aca="false">IF(AND(E1595&gt;0,B1595=10),1,0)</f>
        <v>0</v>
      </c>
      <c r="AD1595" s="0" t="str">
        <f aca="false">IF(AND(C1594=C1595,AA1594=AA1595-1),AB1594,"")</f>
        <v/>
      </c>
      <c r="AE1595" s="0" t="str">
        <f aca="false">IF(AND(C1594=C1595,AA1594=AA1595-1),AC1594,"")</f>
        <v/>
      </c>
      <c r="AF1595" s="0" t="str">
        <f aca="false">IF(AA1595=1,"",IF(AND(AB1595=1,AD1595&lt;&gt;1),1,0))</f>
        <v/>
      </c>
      <c r="AG1595" s="0" t="str">
        <f aca="false">IF(AA1595=1,"",IF(AND(AC1595=1,AE1595&lt;&gt;1),1,0))</f>
        <v/>
      </c>
      <c r="AH1595" s="51" t="str">
        <f aca="false">IF(AND(E1595&gt;0,AA1595&lt;1,NOT(AND(C1596=C1595,AA1596=AA1595+1))),INDEX(DATAS,AA1595+1),"")</f>
        <v/>
      </c>
      <c r="AI1595" s="51" t="str">
        <f aca="false">IF(AND(AC1595=1,AA1595&lt;1),IF(AND(C1596=C1595,AA1596=AA1595+1),IF(AC1596=1,"",INDEX(DATAS,AA1595+1)),INDEX(DATAS,AA1595+1)),"")</f>
        <v/>
      </c>
    </row>
    <row r="1596" customFormat="false" ht="15" hidden="false" customHeight="false" outlineLevel="0" collapsed="false">
      <c r="A1596" s="51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46" t="s">
        <v>999</v>
      </c>
      <c r="G1596" s="0" t="n">
        <v>27.9</v>
      </c>
      <c r="H1596" s="0" t="n">
        <v>26</v>
      </c>
      <c r="I1596" s="46" t="s">
        <v>181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51" t="n">
        <v>46303</v>
      </c>
      <c r="X1596" s="46" t="n">
        <f aca="false">IF(I1596="Male",0,1)</f>
        <v>1</v>
      </c>
      <c r="Y1596" s="46" t="n">
        <f aca="false">IF(OR(I1596="DNB",I1596="Dry DNB"),1,0)</f>
        <v>0</v>
      </c>
      <c r="Z1596" s="46" t="n">
        <f aca="false">IF(ISNUMBER(W1596),A1596-W1596,"")</f>
        <v>6</v>
      </c>
      <c r="AA1596" s="46" t="n">
        <f aca="false">MATCH(A1596,DATAS,0)</f>
        <v>1</v>
      </c>
      <c r="AB1596" s="46" t="n">
        <f aca="false">IF(AND(E1596&gt;0,OR(AND(B1596&gt;=1,B1596&lt;=6),B1596=10)),1,0)</f>
        <v>1</v>
      </c>
      <c r="AC1596" s="46" t="n">
        <f aca="false">IF(AND(E1596&gt;0,B1596=10),1,0)</f>
        <v>0</v>
      </c>
      <c r="AD1596" s="0" t="str">
        <f aca="false">IF(AND(C1595=C1596,AA1595=AA1596-1),AB1595,"")</f>
        <v/>
      </c>
      <c r="AE1596" s="0" t="str">
        <f aca="false">IF(AND(C1595=C1596,AA1595=AA1596-1),AC1595,"")</f>
        <v/>
      </c>
      <c r="AF1596" s="0" t="str">
        <f aca="false">IF(AA1596=1,"",IF(AND(AB1596=1,AD1596&lt;&gt;1),1,0))</f>
        <v/>
      </c>
      <c r="AG1596" s="0" t="str">
        <f aca="false">IF(AA1596=1,"",IF(AND(AC1596=1,AE1596&lt;&gt;1),1,0))</f>
        <v/>
      </c>
      <c r="AH1596" s="51" t="str">
        <f aca="false">IF(AND(E1596&gt;0,AA1596&lt;1,NOT(AND(C1597=C1596,AA1597=AA1596+1))),INDEX(DATAS,AA1596+1),"")</f>
        <v/>
      </c>
      <c r="AI1596" s="51" t="str">
        <f aca="false">IF(AND(AC1596=1,AA1596&lt;1),IF(AND(C1597=C1596,AA1597=AA1596+1),IF(AC1597=1,"",INDEX(DATAS,AA1596+1)),INDEX(DATAS,AA1596+1)),"")</f>
        <v/>
      </c>
    </row>
    <row r="1597" customFormat="false" ht="15" hidden="false" customHeight="false" outlineLevel="0" collapsed="false">
      <c r="A1597" s="51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46" t="s">
        <v>1000</v>
      </c>
      <c r="G1597" s="0" t="n">
        <v>53.1</v>
      </c>
      <c r="H1597" s="0" t="n">
        <v>54</v>
      </c>
      <c r="I1597" s="46" t="s">
        <v>152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51" t="n">
        <v>46205</v>
      </c>
      <c r="X1597" s="46" t="n">
        <f aca="false">IF(I1597="Male",0,1)</f>
        <v>1</v>
      </c>
      <c r="Y1597" s="46" t="n">
        <f aca="false">IF(OR(I1597="DNB",I1597="Dry DNB"),1,0)</f>
        <v>0</v>
      </c>
      <c r="Z1597" s="46" t="n">
        <f aca="false">IF(ISNUMBER(W1597),A1597-W1597,"")</f>
        <v>104</v>
      </c>
      <c r="AA1597" s="46" t="n">
        <f aca="false">MATCH(A1597,DATAS,0)</f>
        <v>1</v>
      </c>
      <c r="AB1597" s="46" t="n">
        <f aca="false">IF(AND(E1597&gt;0,OR(AND(B1597&gt;=1,B1597&lt;=6),B1597=10)),1,0)</f>
        <v>1</v>
      </c>
      <c r="AC1597" s="46" t="n">
        <f aca="false">IF(AND(E1597&gt;0,B1597=10),1,0)</f>
        <v>0</v>
      </c>
      <c r="AD1597" s="0" t="str">
        <f aca="false">IF(AND(C1596=C1597,AA1596=AA1597-1),AB1596,"")</f>
        <v/>
      </c>
      <c r="AE1597" s="0" t="str">
        <f aca="false">IF(AND(C1596=C1597,AA1596=AA1597-1),AC1596,"")</f>
        <v/>
      </c>
      <c r="AF1597" s="0" t="str">
        <f aca="false">IF(AA1597=1,"",IF(AND(AB1597=1,AD1597&lt;&gt;1),1,0))</f>
        <v/>
      </c>
      <c r="AG1597" s="0" t="str">
        <f aca="false">IF(AA1597=1,"",IF(AND(AC1597=1,AE1597&lt;&gt;1),1,0))</f>
        <v/>
      </c>
      <c r="AH1597" s="51" t="str">
        <f aca="false">IF(AND(E1597&gt;0,AA1597&lt;1,NOT(AND(C1598=C1597,AA1598=AA1597+1))),INDEX(DATAS,AA1597+1),"")</f>
        <v/>
      </c>
      <c r="AI1597" s="51" t="str">
        <f aca="false">IF(AND(AC1597=1,AA1597&lt;1),IF(AND(C1598=C1597,AA1598=AA1597+1),IF(AC1598=1,"",INDEX(DATAS,AA1597+1)),INDEX(DATAS,AA1597+1)),"")</f>
        <v/>
      </c>
    </row>
    <row r="1598" customFormat="false" ht="15" hidden="false" customHeight="false" outlineLevel="0" collapsed="false">
      <c r="A1598" s="51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46" t="s">
        <v>1000</v>
      </c>
      <c r="G1598" s="0" t="n">
        <v>51</v>
      </c>
      <c r="H1598" s="0" t="n">
        <v>52</v>
      </c>
      <c r="I1598" s="46" t="s">
        <v>152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51" t="n">
        <v>46257</v>
      </c>
      <c r="X1598" s="46" t="n">
        <f aca="false">IF(I1598="Male",0,1)</f>
        <v>1</v>
      </c>
      <c r="Y1598" s="46" t="n">
        <f aca="false">IF(OR(I1598="DNB",I1598="Dry DNB"),1,0)</f>
        <v>0</v>
      </c>
      <c r="Z1598" s="46" t="n">
        <f aca="false">IF(ISNUMBER(W1598),A1598-W1598,"")</f>
        <v>52</v>
      </c>
      <c r="AA1598" s="46" t="n">
        <f aca="false">MATCH(A1598,DATAS,0)</f>
        <v>1</v>
      </c>
      <c r="AB1598" s="46" t="n">
        <f aca="false">IF(AND(E1598&gt;0,OR(AND(B1598&gt;=1,B1598&lt;=6),B1598=10)),1,0)</f>
        <v>1</v>
      </c>
      <c r="AC1598" s="46" t="n">
        <f aca="false">IF(AND(E1598&gt;0,B1598=10),1,0)</f>
        <v>0</v>
      </c>
      <c r="AD1598" s="0" t="str">
        <f aca="false">IF(AND(C1597=C1598,AA1597=AA1598-1),AB1597,"")</f>
        <v/>
      </c>
      <c r="AE1598" s="0" t="str">
        <f aca="false">IF(AND(C1597=C1598,AA1597=AA1598-1),AC1597,"")</f>
        <v/>
      </c>
      <c r="AF1598" s="0" t="str">
        <f aca="false">IF(AA1598=1,"",IF(AND(AB1598=1,AD1598&lt;&gt;1),1,0))</f>
        <v/>
      </c>
      <c r="AG1598" s="0" t="str">
        <f aca="false">IF(AA1598=1,"",IF(AND(AC1598=1,AE1598&lt;&gt;1),1,0))</f>
        <v/>
      </c>
      <c r="AH1598" s="51" t="str">
        <f aca="false">IF(AND(E1598&gt;0,AA1598&lt;1,NOT(AND(C1599=C1598,AA1599=AA1598+1))),INDEX(DATAS,AA1598+1),"")</f>
        <v/>
      </c>
      <c r="AI1598" s="51" t="str">
        <f aca="false">IF(AND(AC1598=1,AA1598&lt;1),IF(AND(C1599=C1598,AA1599=AA1598+1),IF(AC1599=1,"",INDEX(DATAS,AA1598+1)),INDEX(DATAS,AA1598+1)),"")</f>
        <v/>
      </c>
    </row>
    <row r="1599" customFormat="false" ht="15" hidden="false" customHeight="false" outlineLevel="0" collapsed="false">
      <c r="A1599" s="51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46" t="s">
        <v>1000</v>
      </c>
      <c r="G1599" s="0" t="n">
        <v>43.4</v>
      </c>
      <c r="H1599" s="0" t="n">
        <v>45</v>
      </c>
      <c r="I1599" s="46" t="s">
        <v>152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51" t="n">
        <v>46254</v>
      </c>
      <c r="X1599" s="46" t="n">
        <f aca="false">IF(I1599="Male",0,1)</f>
        <v>1</v>
      </c>
      <c r="Y1599" s="46" t="n">
        <f aca="false">IF(OR(I1599="DNB",I1599="Dry DNB"),1,0)</f>
        <v>0</v>
      </c>
      <c r="Z1599" s="46" t="n">
        <f aca="false">IF(ISNUMBER(W1599),A1599-W1599,"")</f>
        <v>55</v>
      </c>
      <c r="AA1599" s="46" t="n">
        <f aca="false">MATCH(A1599,DATAS,0)</f>
        <v>1</v>
      </c>
      <c r="AB1599" s="46" t="n">
        <f aca="false">IF(AND(E1599&gt;0,OR(AND(B1599&gt;=1,B1599&lt;=6),B1599=10)),1,0)</f>
        <v>1</v>
      </c>
      <c r="AC1599" s="46" t="n">
        <f aca="false">IF(AND(E1599&gt;0,B1599=10),1,0)</f>
        <v>0</v>
      </c>
      <c r="AD1599" s="0" t="str">
        <f aca="false">IF(AND(C1598=C1599,AA1598=AA1599-1),AB1598,"")</f>
        <v/>
      </c>
      <c r="AE1599" s="0" t="str">
        <f aca="false">IF(AND(C1598=C1599,AA1598=AA1599-1),AC1598,"")</f>
        <v/>
      </c>
      <c r="AF1599" s="0" t="str">
        <f aca="false">IF(AA1599=1,"",IF(AND(AB1599=1,AD1599&lt;&gt;1),1,0))</f>
        <v/>
      </c>
      <c r="AG1599" s="0" t="str">
        <f aca="false">IF(AA1599=1,"",IF(AND(AC1599=1,AE1599&lt;&gt;1),1,0))</f>
        <v/>
      </c>
      <c r="AH1599" s="51" t="str">
        <f aca="false">IF(AND(E1599&gt;0,AA1599&lt;1,NOT(AND(C1600=C1599,AA1600=AA1599+1))),INDEX(DATAS,AA1599+1),"")</f>
        <v/>
      </c>
      <c r="AI1599" s="51" t="str">
        <f aca="false">IF(AND(AC1599=1,AA1599&lt;1),IF(AND(C1600=C1599,AA1600=AA1599+1),IF(AC1600=1,"",INDEX(DATAS,AA1599+1)),INDEX(DATAS,AA1599+1)),"")</f>
        <v/>
      </c>
    </row>
    <row r="1600" customFormat="false" ht="15" hidden="false" customHeight="false" outlineLevel="0" collapsed="false">
      <c r="A1600" s="51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46" t="s">
        <v>1000</v>
      </c>
      <c r="G1600" s="0" t="n">
        <v>50.1</v>
      </c>
      <c r="H1600" s="0" t="n">
        <v>52</v>
      </c>
      <c r="I1600" s="46" t="s">
        <v>181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51" t="n">
        <v>46247</v>
      </c>
      <c r="X1600" s="46" t="n">
        <f aca="false">IF(I1600="Male",0,1)</f>
        <v>1</v>
      </c>
      <c r="Y1600" s="46" t="n">
        <f aca="false">IF(OR(I1600="DNB",I1600="Dry DNB"),1,0)</f>
        <v>0</v>
      </c>
      <c r="Z1600" s="46" t="n">
        <f aca="false">IF(ISNUMBER(W1600),A1600-W1600,"")</f>
        <v>62</v>
      </c>
      <c r="AA1600" s="46" t="n">
        <f aca="false">MATCH(A1600,DATAS,0)</f>
        <v>1</v>
      </c>
      <c r="AB1600" s="46" t="n">
        <f aca="false">IF(AND(E1600&gt;0,OR(AND(B1600&gt;=1,B1600&lt;=6),B1600=10)),1,0)</f>
        <v>1</v>
      </c>
      <c r="AC1600" s="46" t="n">
        <f aca="false">IF(AND(E1600&gt;0,B1600=10),1,0)</f>
        <v>0</v>
      </c>
      <c r="AD1600" s="0" t="str">
        <f aca="false">IF(AND(C1599=C1600,AA1599=AA1600-1),AB1599,"")</f>
        <v/>
      </c>
      <c r="AE1600" s="0" t="str">
        <f aca="false">IF(AND(C1599=C1600,AA1599=AA1600-1),AC1599,"")</f>
        <v/>
      </c>
      <c r="AF1600" s="0" t="str">
        <f aca="false">IF(AA1600=1,"",IF(AND(AB1600=1,AD1600&lt;&gt;1),1,0))</f>
        <v/>
      </c>
      <c r="AG1600" s="0" t="str">
        <f aca="false">IF(AA1600=1,"",IF(AND(AC1600=1,AE1600&lt;&gt;1),1,0))</f>
        <v/>
      </c>
      <c r="AH1600" s="51" t="str">
        <f aca="false">IF(AND(E1600&gt;0,AA1600&lt;1,NOT(AND(C1601=C1600,AA1601=AA1600+1))),INDEX(DATAS,AA1600+1),"")</f>
        <v/>
      </c>
      <c r="AI1600" s="51" t="str">
        <f aca="false">IF(AND(AC1600=1,AA1600&lt;1),IF(AND(C1601=C1600,AA1601=AA1600+1),IF(AC1601=1,"",INDEX(DATAS,AA1600+1)),INDEX(DATAS,AA1600+1)),"")</f>
        <v/>
      </c>
    </row>
    <row r="1601" customFormat="false" ht="15" hidden="false" customHeight="false" outlineLevel="0" collapsed="false">
      <c r="A1601" s="51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46" t="s">
        <v>1001</v>
      </c>
      <c r="G1601" s="0" t="n">
        <v>48.9</v>
      </c>
      <c r="H1601" s="0" t="n">
        <v>49</v>
      </c>
      <c r="I1601" s="46" t="s">
        <v>181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51" t="n">
        <v>46254</v>
      </c>
      <c r="X1601" s="46" t="n">
        <f aca="false">IF(I1601="Male",0,1)</f>
        <v>1</v>
      </c>
      <c r="Y1601" s="46" t="n">
        <f aca="false">IF(OR(I1601="DNB",I1601="Dry DNB"),1,0)</f>
        <v>0</v>
      </c>
      <c r="Z1601" s="46" t="n">
        <f aca="false">IF(ISNUMBER(W1601),A1601-W1601,"")</f>
        <v>55</v>
      </c>
      <c r="AA1601" s="46" t="n">
        <f aca="false">MATCH(A1601,DATAS,0)</f>
        <v>1</v>
      </c>
      <c r="AB1601" s="46" t="n">
        <f aca="false">IF(AND(E1601&gt;0,OR(AND(B1601&gt;=1,B1601&lt;=6),B1601=10)),1,0)</f>
        <v>1</v>
      </c>
      <c r="AC1601" s="46" t="n">
        <f aca="false">IF(AND(E1601&gt;0,B1601=10),1,0)</f>
        <v>0</v>
      </c>
      <c r="AD1601" s="0" t="str">
        <f aca="false">IF(AND(C1600=C1601,AA1600=AA1601-1),AB1600,"")</f>
        <v/>
      </c>
      <c r="AE1601" s="0" t="str">
        <f aca="false">IF(AND(C1600=C1601,AA1600=AA1601-1),AC1600,"")</f>
        <v/>
      </c>
      <c r="AF1601" s="0" t="str">
        <f aca="false">IF(AA1601=1,"",IF(AND(AB1601=1,AD1601&lt;&gt;1),1,0))</f>
        <v/>
      </c>
      <c r="AG1601" s="0" t="str">
        <f aca="false">IF(AA1601=1,"",IF(AND(AC1601=1,AE1601&lt;&gt;1),1,0))</f>
        <v/>
      </c>
      <c r="AH1601" s="51" t="str">
        <f aca="false">IF(AND(E1601&gt;0,AA1601&lt;1,NOT(AND(C1602=C1601,AA1602=AA1601+1))),INDEX(DATAS,AA1601+1),"")</f>
        <v/>
      </c>
      <c r="AI1601" s="51" t="str">
        <f aca="false">IF(AND(AC1601=1,AA1601&lt;1),IF(AND(C1602=C1601,AA1602=AA1601+1),IF(AC1602=1,"",INDEX(DATAS,AA1601+1)),INDEX(DATAS,AA1601+1)),"")</f>
        <v/>
      </c>
    </row>
    <row r="1602" customFormat="false" ht="15" hidden="false" customHeight="false" outlineLevel="0" collapsed="false">
      <c r="A1602" s="51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46" t="s">
        <v>1001</v>
      </c>
      <c r="G1602" s="0" t="n">
        <v>50.9</v>
      </c>
      <c r="H1602" s="0" t="n">
        <v>50</v>
      </c>
      <c r="I1602" s="46" t="s">
        <v>152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51" t="n">
        <v>46268</v>
      </c>
      <c r="X1602" s="46" t="n">
        <f aca="false">IF(I1602="Male",0,1)</f>
        <v>1</v>
      </c>
      <c r="Y1602" s="46" t="n">
        <f aca="false">IF(OR(I1602="DNB",I1602="Dry DNB"),1,0)</f>
        <v>0</v>
      </c>
      <c r="Z1602" s="46" t="n">
        <f aca="false">IF(ISNUMBER(W1602),A1602-W1602,"")</f>
        <v>41</v>
      </c>
      <c r="AA1602" s="46" t="n">
        <f aca="false">MATCH(A1602,DATAS,0)</f>
        <v>1</v>
      </c>
      <c r="AB1602" s="46" t="n">
        <f aca="false">IF(AND(E1602&gt;0,OR(AND(B1602&gt;=1,B1602&lt;=6),B1602=10)),1,0)</f>
        <v>1</v>
      </c>
      <c r="AC1602" s="46" t="n">
        <f aca="false">IF(AND(E1602&gt;0,B1602=10),1,0)</f>
        <v>0</v>
      </c>
      <c r="AD1602" s="0" t="str">
        <f aca="false">IF(AND(C1601=C1602,AA1601=AA1602-1),AB1601,"")</f>
        <v/>
      </c>
      <c r="AE1602" s="0" t="str">
        <f aca="false">IF(AND(C1601=C1602,AA1601=AA1602-1),AC1601,"")</f>
        <v/>
      </c>
      <c r="AF1602" s="0" t="str">
        <f aca="false">IF(AA1602=1,"",IF(AND(AB1602=1,AD1602&lt;&gt;1),1,0))</f>
        <v/>
      </c>
      <c r="AG1602" s="0" t="str">
        <f aca="false">IF(AA1602=1,"",IF(AND(AC1602=1,AE1602&lt;&gt;1),1,0))</f>
        <v/>
      </c>
      <c r="AH1602" s="51" t="str">
        <f aca="false">IF(AND(E1602&gt;0,AA1602&lt;1,NOT(AND(C1603=C1602,AA1603=AA1602+1))),INDEX(DATAS,AA1602+1),"")</f>
        <v/>
      </c>
      <c r="AI1602" s="51" t="str">
        <f aca="false">IF(AND(AC1602=1,AA1602&lt;1),IF(AND(C1603=C1602,AA1603=AA1602+1),IF(AC1603=1,"",INDEX(DATAS,AA1602+1)),INDEX(DATAS,AA1602+1)),"")</f>
        <v/>
      </c>
    </row>
    <row r="1603" customFormat="false" ht="15" hidden="false" customHeight="false" outlineLevel="0" collapsed="false">
      <c r="A1603" s="51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46" t="s">
        <v>1002</v>
      </c>
      <c r="G1603" s="0" t="n">
        <v>46.6</v>
      </c>
      <c r="H1603" s="0" t="n">
        <v>49</v>
      </c>
      <c r="I1603" s="46" t="s">
        <v>152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51" t="n">
        <v>46261</v>
      </c>
      <c r="X1603" s="46" t="n">
        <f aca="false">IF(I1603="Male",0,1)</f>
        <v>1</v>
      </c>
      <c r="Y1603" s="46" t="n">
        <f aca="false">IF(OR(I1603="DNB",I1603="Dry DNB"),1,0)</f>
        <v>0</v>
      </c>
      <c r="Z1603" s="46" t="n">
        <f aca="false">IF(ISNUMBER(W1603),A1603-W1603,"")</f>
        <v>48</v>
      </c>
      <c r="AA1603" s="46" t="n">
        <f aca="false">MATCH(A1603,DATAS,0)</f>
        <v>1</v>
      </c>
      <c r="AB1603" s="46" t="n">
        <f aca="false">IF(AND(E1603&gt;0,OR(AND(B1603&gt;=1,B1603&lt;=6),B1603=10)),1,0)</f>
        <v>1</v>
      </c>
      <c r="AC1603" s="46" t="n">
        <f aca="false">IF(AND(E1603&gt;0,B1603=10),1,0)</f>
        <v>0</v>
      </c>
      <c r="AD1603" s="0" t="str">
        <f aca="false">IF(AND(C1602=C1603,AA1602=AA1603-1),AB1602,"")</f>
        <v/>
      </c>
      <c r="AE1603" s="0" t="str">
        <f aca="false">IF(AND(C1602=C1603,AA1602=AA1603-1),AC1602,"")</f>
        <v/>
      </c>
      <c r="AF1603" s="0" t="str">
        <f aca="false">IF(AA1603=1,"",IF(AND(AB1603=1,AD1603&lt;&gt;1),1,0))</f>
        <v/>
      </c>
      <c r="AG1603" s="0" t="str">
        <f aca="false">IF(AA1603=1,"",IF(AND(AC1603=1,AE1603&lt;&gt;1),1,0))</f>
        <v/>
      </c>
      <c r="AH1603" s="51" t="str">
        <f aca="false">IF(AND(E1603&gt;0,AA1603&lt;1,NOT(AND(C1604=C1603,AA1604=AA1603+1))),INDEX(DATAS,AA1603+1),"")</f>
        <v/>
      </c>
      <c r="AI1603" s="51" t="str">
        <f aca="false">IF(AND(AC1603=1,AA1603&lt;1),IF(AND(C1604=C1603,AA1604=AA1603+1),IF(AC1604=1,"",INDEX(DATAS,AA1603+1)),INDEX(DATAS,AA1603+1)),"")</f>
        <v/>
      </c>
    </row>
    <row r="1604" customFormat="false" ht="15" hidden="false" customHeight="false" outlineLevel="0" collapsed="false">
      <c r="A1604" s="51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46" t="s">
        <v>1002</v>
      </c>
      <c r="G1604" s="0" t="n">
        <v>49</v>
      </c>
      <c r="H1604" s="0" t="n">
        <v>49</v>
      </c>
      <c r="I1604" s="46" t="s">
        <v>181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51" t="n">
        <v>46310</v>
      </c>
      <c r="X1604" s="46" t="n">
        <f aca="false">IF(I1604="Male",0,1)</f>
        <v>1</v>
      </c>
      <c r="Y1604" s="46" t="n">
        <f aca="false">IF(OR(I1604="DNB",I1604="Dry DNB"),1,0)</f>
        <v>0</v>
      </c>
      <c r="Z1604" s="46" t="n">
        <f aca="false">IF(ISNUMBER(W1604),A1604-W1604,"")</f>
        <v>-1</v>
      </c>
      <c r="AA1604" s="46" t="n">
        <f aca="false">MATCH(A1604,DATAS,0)</f>
        <v>1</v>
      </c>
      <c r="AB1604" s="46" t="n">
        <f aca="false">IF(AND(E1604&gt;0,OR(AND(B1604&gt;=1,B1604&lt;=6),B1604=10)),1,0)</f>
        <v>1</v>
      </c>
      <c r="AC1604" s="46" t="n">
        <f aca="false">IF(AND(E1604&gt;0,B1604=10),1,0)</f>
        <v>0</v>
      </c>
      <c r="AD1604" s="0" t="str">
        <f aca="false">IF(AND(C1603=C1604,AA1603=AA1604-1),AB1603,"")</f>
        <v/>
      </c>
      <c r="AE1604" s="0" t="str">
        <f aca="false">IF(AND(C1603=C1604,AA1603=AA1604-1),AC1603,"")</f>
        <v/>
      </c>
      <c r="AF1604" s="0" t="str">
        <f aca="false">IF(AA1604=1,"",IF(AND(AB1604=1,AD1604&lt;&gt;1),1,0))</f>
        <v/>
      </c>
      <c r="AG1604" s="0" t="str">
        <f aca="false">IF(AA1604=1,"",IF(AND(AC1604=1,AE1604&lt;&gt;1),1,0))</f>
        <v/>
      </c>
      <c r="AH1604" s="51" t="str">
        <f aca="false">IF(AND(E1604&gt;0,AA1604&lt;1,NOT(AND(C1605=C1604,AA1605=AA1604+1))),INDEX(DATAS,AA1604+1),"")</f>
        <v/>
      </c>
      <c r="AI1604" s="51" t="str">
        <f aca="false">IF(AND(AC1604=1,AA1604&lt;1),IF(AND(C1605=C1604,AA1605=AA1604+1),IF(AC1605=1,"",INDEX(DATAS,AA1604+1)),INDEX(DATAS,AA1604+1)),"")</f>
        <v/>
      </c>
    </row>
    <row r="1605" customFormat="false" ht="15" hidden="false" customHeight="false" outlineLevel="0" collapsed="false">
      <c r="A1605" s="51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46" t="s">
        <v>1003</v>
      </c>
      <c r="G1605" s="0" t="n">
        <v>59.9</v>
      </c>
      <c r="H1605" s="0" t="n">
        <v>58</v>
      </c>
      <c r="I1605" s="46" t="s">
        <v>152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51" t="n">
        <v>46272</v>
      </c>
      <c r="X1605" s="46" t="n">
        <f aca="false">IF(I1605="Male",0,1)</f>
        <v>1</v>
      </c>
      <c r="Y1605" s="46" t="n">
        <f aca="false">IF(OR(I1605="DNB",I1605="Dry DNB"),1,0)</f>
        <v>0</v>
      </c>
      <c r="Z1605" s="46" t="n">
        <f aca="false">IF(ISNUMBER(W1605),A1605-W1605,"")</f>
        <v>37</v>
      </c>
      <c r="AA1605" s="46" t="n">
        <f aca="false">MATCH(A1605,DATAS,0)</f>
        <v>1</v>
      </c>
      <c r="AB1605" s="46" t="n">
        <f aca="false">IF(AND(E1605&gt;0,OR(AND(B1605&gt;=1,B1605&lt;=6),B1605=10)),1,0)</f>
        <v>1</v>
      </c>
      <c r="AC1605" s="46" t="n">
        <f aca="false">IF(AND(E1605&gt;0,B1605=10),1,0)</f>
        <v>0</v>
      </c>
      <c r="AD1605" s="0" t="str">
        <f aca="false">IF(AND(C1604=C1605,AA1604=AA1605-1),AB1604,"")</f>
        <v/>
      </c>
      <c r="AE1605" s="0" t="str">
        <f aca="false">IF(AND(C1604=C1605,AA1604=AA1605-1),AC1604,"")</f>
        <v/>
      </c>
      <c r="AF1605" s="0" t="str">
        <f aca="false">IF(AA1605=1,"",IF(AND(AB1605=1,AD1605&lt;&gt;1),1,0))</f>
        <v/>
      </c>
      <c r="AG1605" s="0" t="str">
        <f aca="false">IF(AA1605=1,"",IF(AND(AC1605=1,AE1605&lt;&gt;1),1,0))</f>
        <v/>
      </c>
      <c r="AH1605" s="51" t="str">
        <f aca="false">IF(AND(E1605&gt;0,AA1605&lt;1,NOT(AND(C1606=C1605,AA1606=AA1605+1))),INDEX(DATAS,AA1605+1),"")</f>
        <v/>
      </c>
      <c r="AI1605" s="51" t="str">
        <f aca="false">IF(AND(AC1605=1,AA1605&lt;1),IF(AND(C1606=C1605,AA1606=AA1605+1),IF(AC1606=1,"",INDEX(DATAS,AA1605+1)),INDEX(DATAS,AA1605+1)),"")</f>
        <v/>
      </c>
    </row>
    <row r="1606" customFormat="false" ht="15" hidden="false" customHeight="false" outlineLevel="0" collapsed="false">
      <c r="A1606" s="51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46" t="s">
        <v>1003</v>
      </c>
      <c r="G1606" s="0" t="n">
        <v>47.5</v>
      </c>
      <c r="H1606" s="0" t="n">
        <v>49</v>
      </c>
      <c r="I1606" s="46" t="s">
        <v>181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51" t="n">
        <v>46286</v>
      </c>
      <c r="X1606" s="46" t="n">
        <f aca="false">IF(I1606="Male",0,1)</f>
        <v>1</v>
      </c>
      <c r="Y1606" s="46" t="n">
        <f aca="false">IF(OR(I1606="DNB",I1606="Dry DNB"),1,0)</f>
        <v>0</v>
      </c>
      <c r="Z1606" s="46" t="n">
        <f aca="false">IF(ISNUMBER(W1606),A1606-W1606,"")</f>
        <v>23</v>
      </c>
      <c r="AA1606" s="46" t="n">
        <f aca="false">MATCH(A1606,DATAS,0)</f>
        <v>1</v>
      </c>
      <c r="AB1606" s="46" t="n">
        <f aca="false">IF(AND(E1606&gt;0,OR(AND(B1606&gt;=1,B1606&lt;=6),B1606=10)),1,0)</f>
        <v>1</v>
      </c>
      <c r="AC1606" s="46" t="n">
        <f aca="false">IF(AND(E1606&gt;0,B1606=10),1,0)</f>
        <v>0</v>
      </c>
      <c r="AD1606" s="0" t="str">
        <f aca="false">IF(AND(C1605=C1606,AA1605=AA1606-1),AB1605,"")</f>
        <v/>
      </c>
      <c r="AE1606" s="0" t="str">
        <f aca="false">IF(AND(C1605=C1606,AA1605=AA1606-1),AC1605,"")</f>
        <v/>
      </c>
      <c r="AF1606" s="0" t="str">
        <f aca="false">IF(AA1606=1,"",IF(AND(AB1606=1,AD1606&lt;&gt;1),1,0))</f>
        <v/>
      </c>
      <c r="AG1606" s="0" t="str">
        <f aca="false">IF(AA1606=1,"",IF(AND(AC1606=1,AE1606&lt;&gt;1),1,0))</f>
        <v/>
      </c>
      <c r="AH1606" s="51" t="str">
        <f aca="false">IF(AND(E1606&gt;0,AA1606&lt;1,NOT(AND(C1607=C1606,AA1607=AA1606+1))),INDEX(DATAS,AA1606+1),"")</f>
        <v/>
      </c>
      <c r="AI1606" s="51" t="str">
        <f aca="false">IF(AND(AC1606=1,AA1606&lt;1),IF(AND(C1607=C1606,AA1607=AA1606+1),IF(AC1607=1,"",INDEX(DATAS,AA1606+1)),INDEX(DATAS,AA1606+1)),"")</f>
        <v/>
      </c>
    </row>
    <row r="1607" customFormat="false" ht="15" hidden="false" customHeight="false" outlineLevel="0" collapsed="false">
      <c r="A1607" s="51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46" t="s">
        <v>1003</v>
      </c>
      <c r="G1607" s="0" t="n">
        <v>45.8</v>
      </c>
      <c r="H1607" s="0" t="n">
        <v>47</v>
      </c>
      <c r="I1607" s="46" t="s">
        <v>152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51" t="n">
        <v>46268</v>
      </c>
      <c r="X1607" s="46" t="n">
        <f aca="false">IF(I1607="Male",0,1)</f>
        <v>1</v>
      </c>
      <c r="Y1607" s="46" t="n">
        <f aca="false">IF(OR(I1607="DNB",I1607="Dry DNB"),1,0)</f>
        <v>0</v>
      </c>
      <c r="Z1607" s="46" t="n">
        <f aca="false">IF(ISNUMBER(W1607),A1607-W1607,"")</f>
        <v>41</v>
      </c>
      <c r="AA1607" s="46" t="n">
        <f aca="false">MATCH(A1607,DATAS,0)</f>
        <v>1</v>
      </c>
      <c r="AB1607" s="46" t="n">
        <f aca="false">IF(AND(E1607&gt;0,OR(AND(B1607&gt;=1,B1607&lt;=6),B1607=10)),1,0)</f>
        <v>1</v>
      </c>
      <c r="AC1607" s="46" t="n">
        <f aca="false">IF(AND(E1607&gt;0,B1607=10),1,0)</f>
        <v>0</v>
      </c>
      <c r="AD1607" s="0" t="str">
        <f aca="false">IF(AND(C1606=C1607,AA1606=AA1607-1),AB1606,"")</f>
        <v/>
      </c>
      <c r="AE1607" s="0" t="str">
        <f aca="false">IF(AND(C1606=C1607,AA1606=AA1607-1),AC1606,"")</f>
        <v/>
      </c>
      <c r="AF1607" s="0" t="str">
        <f aca="false">IF(AA1607=1,"",IF(AND(AB1607=1,AD1607&lt;&gt;1),1,0))</f>
        <v/>
      </c>
      <c r="AG1607" s="0" t="str">
        <f aca="false">IF(AA1607=1,"",IF(AND(AC1607=1,AE1607&lt;&gt;1),1,0))</f>
        <v/>
      </c>
      <c r="AH1607" s="51" t="str">
        <f aca="false">IF(AND(E1607&gt;0,AA1607&lt;1,NOT(AND(C1608=C1607,AA1608=AA1607+1))),INDEX(DATAS,AA1607+1),"")</f>
        <v/>
      </c>
      <c r="AI1607" s="51" t="str">
        <f aca="false">IF(AND(AC1607=1,AA1607&lt;1),IF(AND(C1608=C1607,AA1608=AA1607+1),IF(AC1608=1,"",INDEX(DATAS,AA1607+1)),INDEX(DATAS,AA1607+1)),"")</f>
        <v/>
      </c>
    </row>
    <row r="1608" customFormat="false" ht="15" hidden="false" customHeight="false" outlineLevel="0" collapsed="false">
      <c r="A1608" s="51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46" t="s">
        <v>1004</v>
      </c>
      <c r="G1608" s="0" t="n">
        <v>37.1</v>
      </c>
      <c r="H1608" s="0" t="n">
        <v>36</v>
      </c>
      <c r="I1608" s="46" t="s">
        <v>152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51" t="n">
        <v>46226</v>
      </c>
      <c r="X1608" s="46" t="n">
        <f aca="false">IF(I1608="Male",0,1)</f>
        <v>1</v>
      </c>
      <c r="Y1608" s="46" t="n">
        <f aca="false">IF(OR(I1608="DNB",I1608="Dry DNB"),1,0)</f>
        <v>0</v>
      </c>
      <c r="Z1608" s="46" t="n">
        <f aca="false">IF(ISNUMBER(W1608),A1608-W1608,"")</f>
        <v>83</v>
      </c>
      <c r="AA1608" s="46" t="n">
        <f aca="false">MATCH(A1608,DATAS,0)</f>
        <v>1</v>
      </c>
      <c r="AB1608" s="46" t="n">
        <f aca="false">IF(AND(E1608&gt;0,OR(AND(B1608&gt;=1,B1608&lt;=6),B1608=10)),1,0)</f>
        <v>1</v>
      </c>
      <c r="AC1608" s="46" t="n">
        <f aca="false">IF(AND(E1608&gt;0,B1608=10),1,0)</f>
        <v>0</v>
      </c>
      <c r="AD1608" s="0" t="str">
        <f aca="false">IF(AND(C1607=C1608,AA1607=AA1608-1),AB1607,"")</f>
        <v/>
      </c>
      <c r="AE1608" s="0" t="str">
        <f aca="false">IF(AND(C1607=C1608,AA1607=AA1608-1),AC1607,"")</f>
        <v/>
      </c>
      <c r="AF1608" s="0" t="str">
        <f aca="false">IF(AA1608=1,"",IF(AND(AB1608=1,AD1608&lt;&gt;1),1,0))</f>
        <v/>
      </c>
      <c r="AG1608" s="0" t="str">
        <f aca="false">IF(AA1608=1,"",IF(AND(AC1608=1,AE1608&lt;&gt;1),1,0))</f>
        <v/>
      </c>
      <c r="AH1608" s="51" t="str">
        <f aca="false">IF(AND(E1608&gt;0,AA1608&lt;1,NOT(AND(C1609=C1608,AA1609=AA1608+1))),INDEX(DATAS,AA1608+1),"")</f>
        <v/>
      </c>
      <c r="AI1608" s="51" t="str">
        <f aca="false">IF(AND(AC1608=1,AA1608&lt;1),IF(AND(C1609=C1608,AA1609=AA1608+1),IF(AC1609=1,"",INDEX(DATAS,AA1608+1)),INDEX(DATAS,AA1608+1)),"")</f>
        <v/>
      </c>
    </row>
    <row r="1609" customFormat="false" ht="15" hidden="false" customHeight="false" outlineLevel="0" collapsed="false">
      <c r="A1609" s="51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46" t="s">
        <v>1004</v>
      </c>
      <c r="G1609" s="0" t="n">
        <v>45.1</v>
      </c>
      <c r="H1609" s="0" t="n">
        <v>44</v>
      </c>
      <c r="I1609" s="46" t="s">
        <v>161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X1609" s="46" t="n">
        <f aca="false">IF(I1609="Male",0,1)</f>
        <v>1</v>
      </c>
      <c r="Y1609" s="46" t="n">
        <f aca="false">IF(OR(I1609="DNB",I1609="Dry DNB"),1,0)</f>
        <v>0</v>
      </c>
      <c r="Z1609" s="0" t="str">
        <f aca="false">IF(ISNUMBER(W1609),A1609-W1609,"")</f>
        <v/>
      </c>
      <c r="AA1609" s="46" t="n">
        <f aca="false">MATCH(A1609,DATAS,0)</f>
        <v>1</v>
      </c>
      <c r="AB1609" s="46" t="n">
        <f aca="false">IF(AND(E1609&gt;0,OR(AND(B1609&gt;=1,B1609&lt;=6),B1609=10)),1,0)</f>
        <v>1</v>
      </c>
      <c r="AC1609" s="46" t="n">
        <f aca="false">IF(AND(E1609&gt;0,B1609=10),1,0)</f>
        <v>0</v>
      </c>
      <c r="AD1609" s="0" t="str">
        <f aca="false">IF(AND(C1608=C1609,AA1608=AA1609-1),AB1608,"")</f>
        <v/>
      </c>
      <c r="AE1609" s="0" t="str">
        <f aca="false">IF(AND(C1608=C1609,AA1608=AA1609-1),AC1608,"")</f>
        <v/>
      </c>
      <c r="AF1609" s="0" t="str">
        <f aca="false">IF(AA1609=1,"",IF(AND(AB1609=1,AD1609&lt;&gt;1),1,0))</f>
        <v/>
      </c>
      <c r="AG1609" s="0" t="str">
        <f aca="false">IF(AA1609=1,"",IF(AND(AC1609=1,AE1609&lt;&gt;1),1,0))</f>
        <v/>
      </c>
      <c r="AH1609" s="51" t="str">
        <f aca="false">IF(AND(E1609&gt;0,AA1609&lt;1,NOT(AND(C1610=C1609,AA1610=AA1609+1))),INDEX(DATAS,AA1609+1),"")</f>
        <v/>
      </c>
      <c r="AI1609" s="51" t="str">
        <f aca="false">IF(AND(AC1609=1,AA1609&lt;1),IF(AND(C1610=C1609,AA1610=AA1609+1),IF(AC1610=1,"",INDEX(DATAS,AA1609+1)),INDEX(DATAS,AA1609+1)),"")</f>
        <v/>
      </c>
    </row>
    <row r="1610" customFormat="false" ht="15" hidden="false" customHeight="false" outlineLevel="0" collapsed="false">
      <c r="A1610" s="51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46" t="s">
        <v>1005</v>
      </c>
      <c r="G1610" s="0" t="n">
        <v>44.4</v>
      </c>
      <c r="H1610" s="0" t="n">
        <v>44</v>
      </c>
      <c r="I1610" s="46" t="s">
        <v>152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51" t="n">
        <v>46275</v>
      </c>
      <c r="X1610" s="46" t="n">
        <f aca="false">IF(I1610="Male",0,1)</f>
        <v>1</v>
      </c>
      <c r="Y1610" s="46" t="n">
        <f aca="false">IF(OR(I1610="DNB",I1610="Dry DNB"),1,0)</f>
        <v>0</v>
      </c>
      <c r="Z1610" s="46" t="n">
        <f aca="false">IF(ISNUMBER(W1610),A1610-W1610,"")</f>
        <v>34</v>
      </c>
      <c r="AA1610" s="46" t="n">
        <f aca="false">MATCH(A1610,DATAS,0)</f>
        <v>1</v>
      </c>
      <c r="AB1610" s="46" t="n">
        <f aca="false">IF(AND(E1610&gt;0,OR(AND(B1610&gt;=1,B1610&lt;=6),B1610=10)),1,0)</f>
        <v>1</v>
      </c>
      <c r="AC1610" s="46" t="n">
        <f aca="false">IF(AND(E1610&gt;0,B1610=10),1,0)</f>
        <v>0</v>
      </c>
      <c r="AD1610" s="0" t="str">
        <f aca="false">IF(AND(C1609=C1610,AA1609=AA1610-1),AB1609,"")</f>
        <v/>
      </c>
      <c r="AE1610" s="0" t="str">
        <f aca="false">IF(AND(C1609=C1610,AA1609=AA1610-1),AC1609,"")</f>
        <v/>
      </c>
      <c r="AF1610" s="0" t="str">
        <f aca="false">IF(AA1610=1,"",IF(AND(AB1610=1,AD1610&lt;&gt;1),1,0))</f>
        <v/>
      </c>
      <c r="AG1610" s="0" t="str">
        <f aca="false">IF(AA1610=1,"",IF(AND(AC1610=1,AE1610&lt;&gt;1),1,0))</f>
        <v/>
      </c>
      <c r="AH1610" s="51" t="str">
        <f aca="false">IF(AND(E1610&gt;0,AA1610&lt;1,NOT(AND(C1611=C1610,AA1611=AA1610+1))),INDEX(DATAS,AA1610+1),"")</f>
        <v/>
      </c>
      <c r="AI1610" s="51" t="str">
        <f aca="false">IF(AND(AC1610=1,AA1610&lt;1),IF(AND(C1611=C1610,AA1611=AA1610+1),IF(AC1611=1,"",INDEX(DATAS,AA1610+1)),INDEX(DATAS,AA1610+1)),"")</f>
        <v/>
      </c>
    </row>
    <row r="1611" customFormat="false" ht="15" hidden="false" customHeight="false" outlineLevel="0" collapsed="false">
      <c r="A1611" s="51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46" t="s">
        <v>1006</v>
      </c>
      <c r="G1611" s="0" t="n">
        <v>47.1</v>
      </c>
      <c r="H1611" s="0" t="n">
        <v>47</v>
      </c>
      <c r="I1611" s="46" t="s">
        <v>152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51" t="n">
        <v>46212</v>
      </c>
      <c r="X1611" s="46" t="n">
        <f aca="false">IF(I1611="Male",0,1)</f>
        <v>1</v>
      </c>
      <c r="Y1611" s="46" t="n">
        <f aca="false">IF(OR(I1611="DNB",I1611="Dry DNB"),1,0)</f>
        <v>0</v>
      </c>
      <c r="Z1611" s="46" t="n">
        <f aca="false">IF(ISNUMBER(W1611),A1611-W1611,"")</f>
        <v>97</v>
      </c>
      <c r="AA1611" s="46" t="n">
        <f aca="false">MATCH(A1611,DATAS,0)</f>
        <v>1</v>
      </c>
      <c r="AB1611" s="46" t="n">
        <f aca="false">IF(AND(E1611&gt;0,OR(AND(B1611&gt;=1,B1611&lt;=6),B1611=10)),1,0)</f>
        <v>1</v>
      </c>
      <c r="AC1611" s="46" t="n">
        <f aca="false">IF(AND(E1611&gt;0,B1611=10),1,0)</f>
        <v>0</v>
      </c>
      <c r="AD1611" s="0" t="str">
        <f aca="false">IF(AND(C1610=C1611,AA1610=AA1611-1),AB1610,"")</f>
        <v/>
      </c>
      <c r="AE1611" s="0" t="str">
        <f aca="false">IF(AND(C1610=C1611,AA1610=AA1611-1),AC1610,"")</f>
        <v/>
      </c>
      <c r="AF1611" s="0" t="str">
        <f aca="false">IF(AA1611=1,"",IF(AND(AB1611=1,AD1611&lt;&gt;1),1,0))</f>
        <v/>
      </c>
      <c r="AG1611" s="0" t="str">
        <f aca="false">IF(AA1611=1,"",IF(AND(AC1611=1,AE1611&lt;&gt;1),1,0))</f>
        <v/>
      </c>
      <c r="AH1611" s="51" t="str">
        <f aca="false">IF(AND(E1611&gt;0,AA1611&lt;1,NOT(AND(C1612=C1611,AA1612=AA1611+1))),INDEX(DATAS,AA1611+1),"")</f>
        <v/>
      </c>
      <c r="AI1611" s="51" t="str">
        <f aca="false">IF(AND(AC1611=1,AA1611&lt;1),IF(AND(C1612=C1611,AA1612=AA1611+1),IF(AC1612=1,"",INDEX(DATAS,AA1611+1)),INDEX(DATAS,AA1611+1)),"")</f>
        <v/>
      </c>
    </row>
    <row r="1612" customFormat="false" ht="15" hidden="false" customHeight="false" outlineLevel="0" collapsed="false">
      <c r="A1612" s="51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46" t="s">
        <v>1006</v>
      </c>
      <c r="G1612" s="0" t="n">
        <v>41.6</v>
      </c>
      <c r="H1612" s="0" t="n">
        <v>41</v>
      </c>
      <c r="I1612" s="46" t="s">
        <v>152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51" t="n">
        <v>46226</v>
      </c>
      <c r="X1612" s="46" t="n">
        <f aca="false">IF(I1612="Male",0,1)</f>
        <v>1</v>
      </c>
      <c r="Y1612" s="46" t="n">
        <f aca="false">IF(OR(I1612="DNB",I1612="Dry DNB"),1,0)</f>
        <v>0</v>
      </c>
      <c r="Z1612" s="46" t="n">
        <f aca="false">IF(ISNUMBER(W1612),A1612-W1612,"")</f>
        <v>83</v>
      </c>
      <c r="AA1612" s="46" t="n">
        <f aca="false">MATCH(A1612,DATAS,0)</f>
        <v>1</v>
      </c>
      <c r="AB1612" s="46" t="n">
        <f aca="false">IF(AND(E1612&gt;0,OR(AND(B1612&gt;=1,B1612&lt;=6),B1612=10)),1,0)</f>
        <v>1</v>
      </c>
      <c r="AC1612" s="46" t="n">
        <f aca="false">IF(AND(E1612&gt;0,B1612=10),1,0)</f>
        <v>0</v>
      </c>
      <c r="AD1612" s="0" t="str">
        <f aca="false">IF(AND(C1611=C1612,AA1611=AA1612-1),AB1611,"")</f>
        <v/>
      </c>
      <c r="AE1612" s="0" t="str">
        <f aca="false">IF(AND(C1611=C1612,AA1611=AA1612-1),AC1611,"")</f>
        <v/>
      </c>
      <c r="AF1612" s="0" t="str">
        <f aca="false">IF(AA1612=1,"",IF(AND(AB1612=1,AD1612&lt;&gt;1),1,0))</f>
        <v/>
      </c>
      <c r="AG1612" s="0" t="str">
        <f aca="false">IF(AA1612=1,"",IF(AND(AC1612=1,AE1612&lt;&gt;1),1,0))</f>
        <v/>
      </c>
      <c r="AH1612" s="51" t="str">
        <f aca="false">IF(AND(E1612&gt;0,AA1612&lt;1,NOT(AND(C1613=C1612,AA1613=AA1612+1))),INDEX(DATAS,AA1612+1),"")</f>
        <v/>
      </c>
      <c r="AI1612" s="51" t="str">
        <f aca="false">IF(AND(AC1612=1,AA1612&lt;1),IF(AND(C1613=C1612,AA1613=AA1612+1),IF(AC1613=1,"",INDEX(DATAS,AA1612+1)),INDEX(DATAS,AA1612+1)),"")</f>
        <v/>
      </c>
    </row>
    <row r="1613" customFormat="false" ht="15" hidden="false" customHeight="false" outlineLevel="0" collapsed="false">
      <c r="A1613" s="51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46" t="s">
        <v>1006</v>
      </c>
      <c r="G1613" s="0" t="n">
        <v>31.5</v>
      </c>
      <c r="H1613" s="0" t="n">
        <v>34</v>
      </c>
      <c r="I1613" s="46" t="s">
        <v>189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51" t="n">
        <v>46268</v>
      </c>
      <c r="X1613" s="46" t="n">
        <f aca="false">IF(I1613="Male",0,1)</f>
        <v>1</v>
      </c>
      <c r="Y1613" s="46" t="n">
        <f aca="false">IF(OR(I1613="DNB",I1613="Dry DNB"),1,0)</f>
        <v>0</v>
      </c>
      <c r="Z1613" s="46" t="n">
        <f aca="false">IF(ISNUMBER(W1613),A1613-W1613,"")</f>
        <v>41</v>
      </c>
      <c r="AA1613" s="46" t="n">
        <f aca="false">MATCH(A1613,DATAS,0)</f>
        <v>1</v>
      </c>
      <c r="AB1613" s="46" t="n">
        <f aca="false">IF(AND(E1613&gt;0,OR(AND(B1613&gt;=1,B1613&lt;=6),B1613=10)),1,0)</f>
        <v>1</v>
      </c>
      <c r="AC1613" s="46" t="n">
        <f aca="false">IF(AND(E1613&gt;0,B1613=10),1,0)</f>
        <v>0</v>
      </c>
      <c r="AD1613" s="0" t="str">
        <f aca="false">IF(AND(C1612=C1613,AA1612=AA1613-1),AB1612,"")</f>
        <v/>
      </c>
      <c r="AE1613" s="0" t="str">
        <f aca="false">IF(AND(C1612=C1613,AA1612=AA1613-1),AC1612,"")</f>
        <v/>
      </c>
      <c r="AF1613" s="0" t="str">
        <f aca="false">IF(AA1613=1,"",IF(AND(AB1613=1,AD1613&lt;&gt;1),1,0))</f>
        <v/>
      </c>
      <c r="AG1613" s="0" t="str">
        <f aca="false">IF(AA1613=1,"",IF(AND(AC1613=1,AE1613&lt;&gt;1),1,0))</f>
        <v/>
      </c>
      <c r="AH1613" s="51" t="str">
        <f aca="false">IF(AND(E1613&gt;0,AA1613&lt;1,NOT(AND(C1614=C1613,AA1614=AA1613+1))),INDEX(DATAS,AA1613+1),"")</f>
        <v/>
      </c>
      <c r="AI1613" s="51" t="str">
        <f aca="false">IF(AND(AC1613=1,AA1613&lt;1),IF(AND(C1614=C1613,AA1614=AA1613+1),IF(AC1614=1,"",INDEX(DATAS,AA1613+1)),INDEX(DATAS,AA1613+1)),"")</f>
        <v/>
      </c>
    </row>
    <row r="1614" customFormat="false" ht="15" hidden="false" customHeight="false" outlineLevel="0" collapsed="false">
      <c r="A1614" s="51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46" t="s">
        <v>1006</v>
      </c>
      <c r="G1614" s="0" t="n">
        <v>41.9</v>
      </c>
      <c r="H1614" s="0" t="n">
        <v>43</v>
      </c>
      <c r="I1614" s="46" t="s">
        <v>181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51" t="n">
        <v>46296</v>
      </c>
      <c r="X1614" s="46" t="n">
        <f aca="false">IF(I1614="Male",0,1)</f>
        <v>1</v>
      </c>
      <c r="Y1614" s="46" t="n">
        <f aca="false">IF(OR(I1614="DNB",I1614="Dry DNB"),1,0)</f>
        <v>0</v>
      </c>
      <c r="Z1614" s="46" t="n">
        <f aca="false">IF(ISNUMBER(W1614),A1614-W1614,"")</f>
        <v>13</v>
      </c>
      <c r="AA1614" s="46" t="n">
        <f aca="false">MATCH(A1614,DATAS,0)</f>
        <v>1</v>
      </c>
      <c r="AB1614" s="46" t="n">
        <f aca="false">IF(AND(E1614&gt;0,OR(AND(B1614&gt;=1,B1614&lt;=6),B1614=10)),1,0)</f>
        <v>1</v>
      </c>
      <c r="AC1614" s="46" t="n">
        <f aca="false">IF(AND(E1614&gt;0,B1614=10),1,0)</f>
        <v>0</v>
      </c>
      <c r="AD1614" s="0" t="str">
        <f aca="false">IF(AND(C1613=C1614,AA1613=AA1614-1),AB1613,"")</f>
        <v/>
      </c>
      <c r="AE1614" s="0" t="str">
        <f aca="false">IF(AND(C1613=C1614,AA1613=AA1614-1),AC1613,"")</f>
        <v/>
      </c>
      <c r="AF1614" s="0" t="str">
        <f aca="false">IF(AA1614=1,"",IF(AND(AB1614=1,AD1614&lt;&gt;1),1,0))</f>
        <v/>
      </c>
      <c r="AG1614" s="0" t="str">
        <f aca="false">IF(AA1614=1,"",IF(AND(AC1614=1,AE1614&lt;&gt;1),1,0))</f>
        <v/>
      </c>
      <c r="AH1614" s="51" t="str">
        <f aca="false">IF(AND(E1614&gt;0,AA1614&lt;1,NOT(AND(C1615=C1614,AA1615=AA1614+1))),INDEX(DATAS,AA1614+1),"")</f>
        <v/>
      </c>
      <c r="AI1614" s="51" t="str">
        <f aca="false">IF(AND(AC1614=1,AA1614&lt;1),IF(AND(C1615=C1614,AA1615=AA1614+1),IF(AC1615=1,"",INDEX(DATAS,AA1614+1)),INDEX(DATAS,AA1614+1)),"")</f>
        <v/>
      </c>
    </row>
    <row r="1615" customFormat="false" ht="15" hidden="false" customHeight="false" outlineLevel="0" collapsed="false">
      <c r="A1615" s="51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46" t="s">
        <v>1007</v>
      </c>
      <c r="G1615" s="0" t="n">
        <v>52.9</v>
      </c>
      <c r="H1615" s="0" t="n">
        <v>47</v>
      </c>
      <c r="I1615" s="46" t="s">
        <v>152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51" t="n">
        <v>46275</v>
      </c>
      <c r="X1615" s="46" t="n">
        <f aca="false">IF(I1615="Male",0,1)</f>
        <v>1</v>
      </c>
      <c r="Y1615" s="46" t="n">
        <f aca="false">IF(OR(I1615="DNB",I1615="Dry DNB"),1,0)</f>
        <v>0</v>
      </c>
      <c r="Z1615" s="46" t="n">
        <f aca="false">IF(ISNUMBER(W1615),A1615-W1615,"")</f>
        <v>34</v>
      </c>
      <c r="AA1615" s="46" t="n">
        <f aca="false">MATCH(A1615,DATAS,0)</f>
        <v>1</v>
      </c>
      <c r="AB1615" s="46" t="n">
        <f aca="false">IF(AND(E1615&gt;0,OR(AND(B1615&gt;=1,B1615&lt;=6),B1615=10)),1,0)</f>
        <v>1</v>
      </c>
      <c r="AC1615" s="46" t="n">
        <f aca="false">IF(AND(E1615&gt;0,B1615=10),1,0)</f>
        <v>0</v>
      </c>
      <c r="AD1615" s="0" t="str">
        <f aca="false">IF(AND(C1614=C1615,AA1614=AA1615-1),AB1614,"")</f>
        <v/>
      </c>
      <c r="AE1615" s="0" t="str">
        <f aca="false">IF(AND(C1614=C1615,AA1614=AA1615-1),AC1614,"")</f>
        <v/>
      </c>
      <c r="AF1615" s="0" t="str">
        <f aca="false">IF(AA1615=1,"",IF(AND(AB1615=1,AD1615&lt;&gt;1),1,0))</f>
        <v/>
      </c>
      <c r="AG1615" s="0" t="str">
        <f aca="false">IF(AA1615=1,"",IF(AND(AC1615=1,AE1615&lt;&gt;1),1,0))</f>
        <v/>
      </c>
      <c r="AH1615" s="51" t="str">
        <f aca="false">IF(AND(E1615&gt;0,AA1615&lt;1,NOT(AND(C1616=C1615,AA1616=AA1615+1))),INDEX(DATAS,AA1615+1),"")</f>
        <v/>
      </c>
      <c r="AI1615" s="51" t="str">
        <f aca="false">IF(AND(AC1615=1,AA1615&lt;1),IF(AND(C1616=C1615,AA1616=AA1615+1),IF(AC1616=1,"",INDEX(DATAS,AA1615+1)),INDEX(DATAS,AA1615+1)),"")</f>
        <v/>
      </c>
    </row>
    <row r="1616" customFormat="false" ht="15" hidden="false" customHeight="false" outlineLevel="0" collapsed="false">
      <c r="A1616" s="51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46" t="s">
        <v>1007</v>
      </c>
      <c r="G1616" s="0" t="n">
        <v>44.1</v>
      </c>
      <c r="H1616" s="0" t="n">
        <v>43</v>
      </c>
      <c r="I1616" s="46" t="s">
        <v>152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51" t="n">
        <v>46247</v>
      </c>
      <c r="X1616" s="46" t="n">
        <f aca="false">IF(I1616="Male",0,1)</f>
        <v>1</v>
      </c>
      <c r="Y1616" s="46" t="n">
        <f aca="false">IF(OR(I1616="DNB",I1616="Dry DNB"),1,0)</f>
        <v>0</v>
      </c>
      <c r="Z1616" s="46" t="n">
        <f aca="false">IF(ISNUMBER(W1616),A1616-W1616,"")</f>
        <v>62</v>
      </c>
      <c r="AA1616" s="46" t="n">
        <f aca="false">MATCH(A1616,DATAS,0)</f>
        <v>1</v>
      </c>
      <c r="AB1616" s="46" t="n">
        <f aca="false">IF(AND(E1616&gt;0,OR(AND(B1616&gt;=1,B1616&lt;=6),B1616=10)),1,0)</f>
        <v>1</v>
      </c>
      <c r="AC1616" s="46" t="n">
        <f aca="false">IF(AND(E1616&gt;0,B1616=10),1,0)</f>
        <v>0</v>
      </c>
      <c r="AD1616" s="0" t="str">
        <f aca="false">IF(AND(C1615=C1616,AA1615=AA1616-1),AB1615,"")</f>
        <v/>
      </c>
      <c r="AE1616" s="0" t="str">
        <f aca="false">IF(AND(C1615=C1616,AA1615=AA1616-1),AC1615,"")</f>
        <v/>
      </c>
      <c r="AF1616" s="0" t="str">
        <f aca="false">IF(AA1616=1,"",IF(AND(AB1616=1,AD1616&lt;&gt;1),1,0))</f>
        <v/>
      </c>
      <c r="AG1616" s="0" t="str">
        <f aca="false">IF(AA1616=1,"",IF(AND(AC1616=1,AE1616&lt;&gt;1),1,0))</f>
        <v/>
      </c>
      <c r="AH1616" s="51" t="str">
        <f aca="false">IF(AND(E1616&gt;0,AA1616&lt;1,NOT(AND(C1617=C1616,AA1617=AA1616+1))),INDEX(DATAS,AA1616+1),"")</f>
        <v/>
      </c>
      <c r="AI1616" s="51" t="str">
        <f aca="false">IF(AND(AC1616=1,AA1616&lt;1),IF(AND(C1617=C1616,AA1617=AA1616+1),IF(AC1617=1,"",INDEX(DATAS,AA1616+1)),INDEX(DATAS,AA1616+1)),"")</f>
        <v/>
      </c>
    </row>
    <row r="1617" customFormat="false" ht="15" hidden="false" customHeight="false" outlineLevel="0" collapsed="false">
      <c r="A1617" s="51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46" t="s">
        <v>1007</v>
      </c>
      <c r="G1617" s="0" t="n">
        <v>50.3</v>
      </c>
      <c r="H1617" s="0" t="n">
        <v>49</v>
      </c>
      <c r="I1617" s="46" t="s">
        <v>181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51" t="n">
        <v>46296</v>
      </c>
      <c r="X1617" s="46" t="n">
        <f aca="false">IF(I1617="Male",0,1)</f>
        <v>1</v>
      </c>
      <c r="Y1617" s="46" t="n">
        <f aca="false">IF(OR(I1617="DNB",I1617="Dry DNB"),1,0)</f>
        <v>0</v>
      </c>
      <c r="Z1617" s="46" t="n">
        <f aca="false">IF(ISNUMBER(W1617),A1617-W1617,"")</f>
        <v>13</v>
      </c>
      <c r="AA1617" s="46" t="n">
        <f aca="false">MATCH(A1617,DATAS,0)</f>
        <v>1</v>
      </c>
      <c r="AB1617" s="46" t="n">
        <f aca="false">IF(AND(E1617&gt;0,OR(AND(B1617&gt;=1,B1617&lt;=6),B1617=10)),1,0)</f>
        <v>1</v>
      </c>
      <c r="AC1617" s="46" t="n">
        <f aca="false">IF(AND(E1617&gt;0,B1617=10),1,0)</f>
        <v>0</v>
      </c>
      <c r="AD1617" s="0" t="str">
        <f aca="false">IF(AND(C1616=C1617,AA1616=AA1617-1),AB1616,"")</f>
        <v/>
      </c>
      <c r="AE1617" s="0" t="str">
        <f aca="false">IF(AND(C1616=C1617,AA1616=AA1617-1),AC1616,"")</f>
        <v/>
      </c>
      <c r="AF1617" s="0" t="str">
        <f aca="false">IF(AA1617=1,"",IF(AND(AB1617=1,AD1617&lt;&gt;1),1,0))</f>
        <v/>
      </c>
      <c r="AG1617" s="0" t="str">
        <f aca="false">IF(AA1617=1,"",IF(AND(AC1617=1,AE1617&lt;&gt;1),1,0))</f>
        <v/>
      </c>
      <c r="AH1617" s="51" t="str">
        <f aca="false">IF(AND(E1617&gt;0,AA1617&lt;1,NOT(AND(C1618=C1617,AA1618=AA1617+1))),INDEX(DATAS,AA1617+1),"")</f>
        <v/>
      </c>
      <c r="AI1617" s="51" t="str">
        <f aca="false">IF(AND(AC1617=1,AA1617&lt;1),IF(AND(C1618=C1617,AA1618=AA1617+1),IF(AC1618=1,"",INDEX(DATAS,AA1617+1)),INDEX(DATAS,AA1617+1)),"")</f>
        <v/>
      </c>
    </row>
    <row r="1618" customFormat="false" ht="15" hidden="false" customHeight="false" outlineLevel="0" collapsed="false">
      <c r="A1618" s="51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46" t="s">
        <v>1008</v>
      </c>
      <c r="G1618" s="0" t="n">
        <v>37.8</v>
      </c>
      <c r="H1618" s="0" t="n">
        <v>36</v>
      </c>
      <c r="I1618" s="46" t="s">
        <v>181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51" t="n">
        <v>46296</v>
      </c>
      <c r="X1618" s="46" t="n">
        <f aca="false">IF(I1618="Male",0,1)</f>
        <v>1</v>
      </c>
      <c r="Y1618" s="46" t="n">
        <f aca="false">IF(OR(I1618="DNB",I1618="Dry DNB"),1,0)</f>
        <v>0</v>
      </c>
      <c r="Z1618" s="46" t="n">
        <f aca="false">IF(ISNUMBER(W1618),A1618-W1618,"")</f>
        <v>13</v>
      </c>
      <c r="AA1618" s="46" t="n">
        <f aca="false">MATCH(A1618,DATAS,0)</f>
        <v>1</v>
      </c>
      <c r="AB1618" s="46" t="n">
        <f aca="false">IF(AND(E1618&gt;0,OR(AND(B1618&gt;=1,B1618&lt;=6),B1618=10)),1,0)</f>
        <v>1</v>
      </c>
      <c r="AC1618" s="46" t="n">
        <f aca="false">IF(AND(E1618&gt;0,B1618=10),1,0)</f>
        <v>0</v>
      </c>
      <c r="AD1618" s="0" t="str">
        <f aca="false">IF(AND(C1617=C1618,AA1617=AA1618-1),AB1617,"")</f>
        <v/>
      </c>
      <c r="AE1618" s="0" t="str">
        <f aca="false">IF(AND(C1617=C1618,AA1617=AA1618-1),AC1617,"")</f>
        <v/>
      </c>
      <c r="AF1618" s="0" t="str">
        <f aca="false">IF(AA1618=1,"",IF(AND(AB1618=1,AD1618&lt;&gt;1),1,0))</f>
        <v/>
      </c>
      <c r="AG1618" s="0" t="str">
        <f aca="false">IF(AA1618=1,"",IF(AND(AC1618=1,AE1618&lt;&gt;1),1,0))</f>
        <v/>
      </c>
      <c r="AH1618" s="51" t="str">
        <f aca="false">IF(AND(E1618&gt;0,AA1618&lt;1,NOT(AND(C1619=C1618,AA1619=AA1618+1))),INDEX(DATAS,AA1618+1),"")</f>
        <v/>
      </c>
      <c r="AI1618" s="51" t="str">
        <f aca="false">IF(AND(AC1618=1,AA1618&lt;1),IF(AND(C1619=C1618,AA1619=AA1618+1),IF(AC1619=1,"",INDEX(DATAS,AA1618+1)),INDEX(DATAS,AA1618+1)),"")</f>
        <v/>
      </c>
    </row>
    <row r="1619" customFormat="false" ht="15" hidden="false" customHeight="false" outlineLevel="0" collapsed="false">
      <c r="A1619" s="51" t="n">
        <v>46309</v>
      </c>
      <c r="B1619" s="0" t="n">
        <v>11</v>
      </c>
      <c r="C1619" s="0" t="n">
        <v>5772</v>
      </c>
      <c r="E1619" s="0" t="n">
        <v>0</v>
      </c>
      <c r="F1619" s="46" t="s">
        <v>1008</v>
      </c>
      <c r="I1619" s="46" t="s">
        <v>181</v>
      </c>
      <c r="U1619" s="0" t="n">
        <v>801</v>
      </c>
      <c r="V1619" s="0" t="n">
        <v>13</v>
      </c>
      <c r="W1619" s="51" t="n">
        <v>46296</v>
      </c>
      <c r="X1619" s="46" t="n">
        <f aca="false">IF(I1619="Male",0,1)</f>
        <v>1</v>
      </c>
      <c r="Y1619" s="46" t="n">
        <f aca="false">IF(OR(I1619="DNB",I1619="Dry DNB"),1,0)</f>
        <v>0</v>
      </c>
      <c r="Z1619" s="46" t="n">
        <f aca="false">IF(ISNUMBER(W1619),A1619-W1619,"")</f>
        <v>13</v>
      </c>
      <c r="AA1619" s="46" t="n">
        <f aca="false">MATCH(A1619,DATAS,0)</f>
        <v>1</v>
      </c>
      <c r="AB1619" s="46" t="n">
        <f aca="false">IF(AND(E1619&gt;0,OR(AND(B1619&gt;=1,B1619&lt;=6),B1619=10)),1,0)</f>
        <v>0</v>
      </c>
      <c r="AC1619" s="46" t="n">
        <f aca="false">IF(AND(E1619&gt;0,B1619=10),1,0)</f>
        <v>0</v>
      </c>
      <c r="AD1619" s="0" t="str">
        <f aca="false">IF(AND(C1618=C1619,AA1618=AA1619-1),AB1618,"")</f>
        <v/>
      </c>
      <c r="AE1619" s="0" t="str">
        <f aca="false">IF(AND(C1618=C1619,AA1618=AA1619-1),AC1618,"")</f>
        <v/>
      </c>
      <c r="AF1619" s="0" t="str">
        <f aca="false">IF(AA1619=1,"",IF(AND(AB1619=1,AD1619&lt;&gt;1),1,0))</f>
        <v/>
      </c>
      <c r="AG1619" s="0" t="str">
        <f aca="false">IF(AA1619=1,"",IF(AND(AC1619=1,AE1619&lt;&gt;1),1,0))</f>
        <v/>
      </c>
      <c r="AH1619" s="51" t="str">
        <f aca="false">IF(AND(E1619&gt;0,AA1619&lt;1,NOT(AND(C1620=C1619,AA1620=AA1619+1))),INDEX(DATAS,AA1619+1),"")</f>
        <v/>
      </c>
      <c r="AI1619" s="51" t="str">
        <f aca="false">IF(AND(AC1619=1,AA1619&lt;1),IF(AND(C1620=C1619,AA1620=AA1619+1),IF(AC1620=1,"",INDEX(DATAS,AA1619+1)),INDEX(DATAS,AA1619+1)),"")</f>
        <v/>
      </c>
    </row>
    <row r="1620" customFormat="false" ht="15" hidden="false" customHeight="false" outlineLevel="0" collapsed="false">
      <c r="A1620" s="51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46" t="s">
        <v>1008</v>
      </c>
      <c r="G1620" s="0" t="n">
        <v>50.6</v>
      </c>
      <c r="H1620" s="0" t="n">
        <v>49</v>
      </c>
      <c r="I1620" s="46" t="s">
        <v>152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51" t="n">
        <v>46212</v>
      </c>
      <c r="X1620" s="46" t="n">
        <f aca="false">IF(I1620="Male",0,1)</f>
        <v>1</v>
      </c>
      <c r="Y1620" s="46" t="n">
        <f aca="false">IF(OR(I1620="DNB",I1620="Dry DNB"),1,0)</f>
        <v>0</v>
      </c>
      <c r="Z1620" s="46" t="n">
        <f aca="false">IF(ISNUMBER(W1620),A1620-W1620,"")</f>
        <v>97</v>
      </c>
      <c r="AA1620" s="46" t="n">
        <f aca="false">MATCH(A1620,DATAS,0)</f>
        <v>1</v>
      </c>
      <c r="AB1620" s="46" t="n">
        <f aca="false">IF(AND(E1620&gt;0,OR(AND(B1620&gt;=1,B1620&lt;=6),B1620=10)),1,0)</f>
        <v>1</v>
      </c>
      <c r="AC1620" s="46" t="n">
        <f aca="false">IF(AND(E1620&gt;0,B1620=10),1,0)</f>
        <v>0</v>
      </c>
      <c r="AD1620" s="0" t="str">
        <f aca="false">IF(AND(C1619=C1620,AA1619=AA1620-1),AB1619,"")</f>
        <v/>
      </c>
      <c r="AE1620" s="0" t="str">
        <f aca="false">IF(AND(C1619=C1620,AA1619=AA1620-1),AC1619,"")</f>
        <v/>
      </c>
      <c r="AF1620" s="0" t="str">
        <f aca="false">IF(AA1620=1,"",IF(AND(AB1620=1,AD1620&lt;&gt;1),1,0))</f>
        <v/>
      </c>
      <c r="AG1620" s="0" t="str">
        <f aca="false">IF(AA1620=1,"",IF(AND(AC1620=1,AE1620&lt;&gt;1),1,0))</f>
        <v/>
      </c>
      <c r="AH1620" s="51" t="str">
        <f aca="false">IF(AND(E1620&gt;0,AA1620&lt;1,NOT(AND(C1621=C1620,AA1621=AA1620+1))),INDEX(DATAS,AA1620+1),"")</f>
        <v/>
      </c>
      <c r="AI1620" s="51" t="str">
        <f aca="false">IF(AND(AC1620=1,AA1620&lt;1),IF(AND(C1621=C1620,AA1621=AA1620+1),IF(AC1621=1,"",INDEX(DATAS,AA1620+1)),INDEX(DATAS,AA1620+1)),"")</f>
        <v/>
      </c>
    </row>
    <row r="1621" customFormat="false" ht="15" hidden="false" customHeight="false" outlineLevel="0" collapsed="false">
      <c r="A1621" s="51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46" t="s">
        <v>1008</v>
      </c>
      <c r="G1621" s="0" t="n">
        <v>51.5</v>
      </c>
      <c r="H1621" s="0" t="n">
        <v>52</v>
      </c>
      <c r="I1621" s="46" t="s">
        <v>152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51" t="n">
        <v>46247</v>
      </c>
      <c r="X1621" s="46" t="n">
        <f aca="false">IF(I1621="Male",0,1)</f>
        <v>1</v>
      </c>
      <c r="Y1621" s="46" t="n">
        <f aca="false">IF(OR(I1621="DNB",I1621="Dry DNB"),1,0)</f>
        <v>0</v>
      </c>
      <c r="Z1621" s="46" t="n">
        <f aca="false">IF(ISNUMBER(W1621),A1621-W1621,"")</f>
        <v>62</v>
      </c>
      <c r="AA1621" s="46" t="n">
        <f aca="false">MATCH(A1621,DATAS,0)</f>
        <v>1</v>
      </c>
      <c r="AB1621" s="46" t="n">
        <f aca="false">IF(AND(E1621&gt;0,OR(AND(B1621&gt;=1,B1621&lt;=6),B1621=10)),1,0)</f>
        <v>1</v>
      </c>
      <c r="AC1621" s="46" t="n">
        <f aca="false">IF(AND(E1621&gt;0,B1621=10),1,0)</f>
        <v>0</v>
      </c>
      <c r="AD1621" s="0" t="str">
        <f aca="false">IF(AND(C1620=C1621,AA1620=AA1621-1),AB1620,"")</f>
        <v/>
      </c>
      <c r="AE1621" s="0" t="str">
        <f aca="false">IF(AND(C1620=C1621,AA1620=AA1621-1),AC1620,"")</f>
        <v/>
      </c>
      <c r="AF1621" s="0" t="str">
        <f aca="false">IF(AA1621=1,"",IF(AND(AB1621=1,AD1621&lt;&gt;1),1,0))</f>
        <v/>
      </c>
      <c r="AG1621" s="0" t="str">
        <f aca="false">IF(AA1621=1,"",IF(AND(AC1621=1,AE1621&lt;&gt;1),1,0))</f>
        <v/>
      </c>
      <c r="AH1621" s="51" t="str">
        <f aca="false">IF(AND(E1621&gt;0,AA1621&lt;1,NOT(AND(C1622=C1621,AA1622=AA1621+1))),INDEX(DATAS,AA1621+1),"")</f>
        <v/>
      </c>
      <c r="AI1621" s="51" t="str">
        <f aca="false">IF(AND(AC1621=1,AA1621&lt;1),IF(AND(C1622=C1621,AA1622=AA1621+1),IF(AC1622=1,"",INDEX(DATAS,AA1621+1)),INDEX(DATAS,AA1621+1)),"")</f>
        <v/>
      </c>
    </row>
    <row r="1622" customFormat="false" ht="15" hidden="false" customHeight="false" outlineLevel="0" collapsed="false">
      <c r="A1622" s="51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46" t="s">
        <v>1008</v>
      </c>
      <c r="G1622" s="0" t="n">
        <v>42.3</v>
      </c>
      <c r="H1622" s="0" t="n">
        <v>39</v>
      </c>
      <c r="I1622" s="46" t="s">
        <v>161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X1622" s="46" t="n">
        <f aca="false">IF(I1622="Male",0,1)</f>
        <v>1</v>
      </c>
      <c r="Y1622" s="46" t="n">
        <f aca="false">IF(OR(I1622="DNB",I1622="Dry DNB"),1,0)</f>
        <v>0</v>
      </c>
      <c r="Z1622" s="0" t="str">
        <f aca="false">IF(ISNUMBER(W1622),A1622-W1622,"")</f>
        <v/>
      </c>
      <c r="AA1622" s="46" t="n">
        <f aca="false">MATCH(A1622,DATAS,0)</f>
        <v>1</v>
      </c>
      <c r="AB1622" s="46" t="n">
        <f aca="false">IF(AND(E1622&gt;0,OR(AND(B1622&gt;=1,B1622&lt;=6),B1622=10)),1,0)</f>
        <v>1</v>
      </c>
      <c r="AC1622" s="46" t="n">
        <f aca="false">IF(AND(E1622&gt;0,B1622=10),1,0)</f>
        <v>0</v>
      </c>
      <c r="AD1622" s="0" t="str">
        <f aca="false">IF(AND(C1621=C1622,AA1621=AA1622-1),AB1621,"")</f>
        <v/>
      </c>
      <c r="AE1622" s="0" t="str">
        <f aca="false">IF(AND(C1621=C1622,AA1621=AA1622-1),AC1621,"")</f>
        <v/>
      </c>
      <c r="AF1622" s="0" t="str">
        <f aca="false">IF(AA1622=1,"",IF(AND(AB1622=1,AD1622&lt;&gt;1),1,0))</f>
        <v/>
      </c>
      <c r="AG1622" s="0" t="str">
        <f aca="false">IF(AA1622=1,"",IF(AND(AC1622=1,AE1622&lt;&gt;1),1,0))</f>
        <v/>
      </c>
      <c r="AH1622" s="51" t="str">
        <f aca="false">IF(AND(E1622&gt;0,AA1622&lt;1,NOT(AND(C1623=C1622,AA1623=AA1622+1))),INDEX(DATAS,AA1622+1),"")</f>
        <v/>
      </c>
      <c r="AI1622" s="51" t="str">
        <f aca="false">IF(AND(AC1622=1,AA1622&lt;1),IF(AND(C1623=C1622,AA1623=AA1622+1),IF(AC1623=1,"",INDEX(DATAS,AA1622+1)),INDEX(DATAS,AA1622+1)),"")</f>
        <v/>
      </c>
    </row>
    <row r="1623" customFormat="false" ht="15" hidden="false" customHeight="false" outlineLevel="0" collapsed="false">
      <c r="A1623" s="51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46" t="s">
        <v>1008</v>
      </c>
      <c r="G1623" s="0" t="n">
        <v>60.6</v>
      </c>
      <c r="H1623" s="0" t="n">
        <v>59</v>
      </c>
      <c r="I1623" s="46" t="s">
        <v>152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51" t="n">
        <v>46254</v>
      </c>
      <c r="X1623" s="46" t="n">
        <f aca="false">IF(I1623="Male",0,1)</f>
        <v>1</v>
      </c>
      <c r="Y1623" s="46" t="n">
        <f aca="false">IF(OR(I1623="DNB",I1623="Dry DNB"),1,0)</f>
        <v>0</v>
      </c>
      <c r="Z1623" s="46" t="n">
        <f aca="false">IF(ISNUMBER(W1623),A1623-W1623,"")</f>
        <v>55</v>
      </c>
      <c r="AA1623" s="46" t="n">
        <f aca="false">MATCH(A1623,DATAS,0)</f>
        <v>1</v>
      </c>
      <c r="AB1623" s="46" t="n">
        <f aca="false">IF(AND(E1623&gt;0,OR(AND(B1623&gt;=1,B1623&lt;=6),B1623=10)),1,0)</f>
        <v>1</v>
      </c>
      <c r="AC1623" s="46" t="n">
        <f aca="false">IF(AND(E1623&gt;0,B1623=10),1,0)</f>
        <v>0</v>
      </c>
      <c r="AD1623" s="0" t="str">
        <f aca="false">IF(AND(C1622=C1623,AA1622=AA1623-1),AB1622,"")</f>
        <v/>
      </c>
      <c r="AE1623" s="0" t="str">
        <f aca="false">IF(AND(C1622=C1623,AA1622=AA1623-1),AC1622,"")</f>
        <v/>
      </c>
      <c r="AF1623" s="0" t="str">
        <f aca="false">IF(AA1623=1,"",IF(AND(AB1623=1,AD1623&lt;&gt;1),1,0))</f>
        <v/>
      </c>
      <c r="AG1623" s="0" t="str">
        <f aca="false">IF(AA1623=1,"",IF(AND(AC1623=1,AE1623&lt;&gt;1),1,0))</f>
        <v/>
      </c>
      <c r="AH1623" s="51" t="str">
        <f aca="false">IF(AND(E1623&gt;0,AA1623&lt;1,NOT(AND(C1624=C1623,AA1624=AA1623+1))),INDEX(DATAS,AA1623+1),"")</f>
        <v/>
      </c>
      <c r="AI1623" s="51" t="str">
        <f aca="false">IF(AND(AC1623=1,AA1623&lt;1),IF(AND(C1624=C1623,AA1624=AA1623+1),IF(AC1624=1,"",INDEX(DATAS,AA1623+1)),INDEX(DATAS,AA1623+1)),"")</f>
        <v/>
      </c>
    </row>
    <row r="1624" customFormat="false" ht="15" hidden="false" customHeight="false" outlineLevel="0" collapsed="false">
      <c r="A1624" s="51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46" t="s">
        <v>1008</v>
      </c>
      <c r="G1624" s="0" t="n">
        <v>53.7</v>
      </c>
      <c r="H1624" s="0" t="n">
        <v>54</v>
      </c>
      <c r="I1624" s="46" t="s">
        <v>181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51" t="n">
        <v>46296</v>
      </c>
      <c r="X1624" s="46" t="n">
        <f aca="false">IF(I1624="Male",0,1)</f>
        <v>1</v>
      </c>
      <c r="Y1624" s="46" t="n">
        <f aca="false">IF(OR(I1624="DNB",I1624="Dry DNB"),1,0)</f>
        <v>0</v>
      </c>
      <c r="Z1624" s="46" t="n">
        <f aca="false">IF(ISNUMBER(W1624),A1624-W1624,"")</f>
        <v>13</v>
      </c>
      <c r="AA1624" s="46" t="n">
        <f aca="false">MATCH(A1624,DATAS,0)</f>
        <v>1</v>
      </c>
      <c r="AB1624" s="46" t="n">
        <f aca="false">IF(AND(E1624&gt;0,OR(AND(B1624&gt;=1,B1624&lt;=6),B1624=10)),1,0)</f>
        <v>1</v>
      </c>
      <c r="AC1624" s="46" t="n">
        <f aca="false">IF(AND(E1624&gt;0,B1624=10),1,0)</f>
        <v>0</v>
      </c>
      <c r="AD1624" s="0" t="str">
        <f aca="false">IF(AND(C1623=C1624,AA1623=AA1624-1),AB1623,"")</f>
        <v/>
      </c>
      <c r="AE1624" s="0" t="str">
        <f aca="false">IF(AND(C1623=C1624,AA1623=AA1624-1),AC1623,"")</f>
        <v/>
      </c>
      <c r="AF1624" s="0" t="str">
        <f aca="false">IF(AA1624=1,"",IF(AND(AB1624=1,AD1624&lt;&gt;1),1,0))</f>
        <v/>
      </c>
      <c r="AG1624" s="0" t="str">
        <f aca="false">IF(AA1624=1,"",IF(AND(AC1624=1,AE1624&lt;&gt;1),1,0))</f>
        <v/>
      </c>
      <c r="AH1624" s="51" t="str">
        <f aca="false">IF(AND(E1624&gt;0,AA1624&lt;1,NOT(AND(C1625=C1624,AA1625=AA1624+1))),INDEX(DATAS,AA1624+1),"")</f>
        <v/>
      </c>
      <c r="AI1624" s="51" t="str">
        <f aca="false">IF(AND(AC1624=1,AA1624&lt;1),IF(AND(C1625=C1624,AA1625=AA1624+1),IF(AC1625=1,"",INDEX(DATAS,AA1624+1)),INDEX(DATAS,AA1624+1)),"")</f>
        <v/>
      </c>
    </row>
    <row r="1625" customFormat="false" ht="15" hidden="false" customHeight="false" outlineLevel="0" collapsed="false">
      <c r="A1625" s="51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46" t="s">
        <v>1008</v>
      </c>
      <c r="G1625" s="0" t="n">
        <v>43.7</v>
      </c>
      <c r="H1625" s="0" t="n">
        <v>41</v>
      </c>
      <c r="I1625" s="46" t="s">
        <v>152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51" t="n">
        <v>46275</v>
      </c>
      <c r="X1625" s="46" t="n">
        <f aca="false">IF(I1625="Male",0,1)</f>
        <v>1</v>
      </c>
      <c r="Y1625" s="46" t="n">
        <f aca="false">IF(OR(I1625="DNB",I1625="Dry DNB"),1,0)</f>
        <v>0</v>
      </c>
      <c r="Z1625" s="46" t="n">
        <f aca="false">IF(ISNUMBER(W1625),A1625-W1625,"")</f>
        <v>34</v>
      </c>
      <c r="AA1625" s="46" t="n">
        <f aca="false">MATCH(A1625,DATAS,0)</f>
        <v>1</v>
      </c>
      <c r="AB1625" s="46" t="n">
        <f aca="false">IF(AND(E1625&gt;0,OR(AND(B1625&gt;=1,B1625&lt;=6),B1625=10)),1,0)</f>
        <v>1</v>
      </c>
      <c r="AC1625" s="46" t="n">
        <f aca="false">IF(AND(E1625&gt;0,B1625=10),1,0)</f>
        <v>0</v>
      </c>
      <c r="AD1625" s="0" t="str">
        <f aca="false">IF(AND(C1624=C1625,AA1624=AA1625-1),AB1624,"")</f>
        <v/>
      </c>
      <c r="AE1625" s="0" t="str">
        <f aca="false">IF(AND(C1624=C1625,AA1624=AA1625-1),AC1624,"")</f>
        <v/>
      </c>
      <c r="AF1625" s="0" t="str">
        <f aca="false">IF(AA1625=1,"",IF(AND(AB1625=1,AD1625&lt;&gt;1),1,0))</f>
        <v/>
      </c>
      <c r="AG1625" s="0" t="str">
        <f aca="false">IF(AA1625=1,"",IF(AND(AC1625=1,AE1625&lt;&gt;1),1,0))</f>
        <v/>
      </c>
      <c r="AH1625" s="51" t="str">
        <f aca="false">IF(AND(E1625&gt;0,AA1625&lt;1,NOT(AND(C1626=C1625,AA1626=AA1625+1))),INDEX(DATAS,AA1625+1),"")</f>
        <v/>
      </c>
      <c r="AI1625" s="51" t="str">
        <f aca="false">IF(AND(AC1625=1,AA1625&lt;1),IF(AND(C1626=C1625,AA1626=AA1625+1),IF(AC1626=1,"",INDEX(DATAS,AA1625+1)),INDEX(DATAS,AA1625+1)),"")</f>
        <v/>
      </c>
    </row>
    <row r="1626" customFormat="false" ht="15" hidden="false" customHeight="false" outlineLevel="0" collapsed="false">
      <c r="A1626" s="51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46" t="s">
        <v>1009</v>
      </c>
      <c r="G1626" s="0" t="n">
        <v>48.8</v>
      </c>
      <c r="H1626" s="0" t="n">
        <v>53</v>
      </c>
      <c r="I1626" s="46" t="s">
        <v>152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51" t="n">
        <v>46240</v>
      </c>
      <c r="X1626" s="46" t="n">
        <f aca="false">IF(I1626="Male",0,1)</f>
        <v>1</v>
      </c>
      <c r="Y1626" s="46" t="n">
        <f aca="false">IF(OR(I1626="DNB",I1626="Dry DNB"),1,0)</f>
        <v>0</v>
      </c>
      <c r="Z1626" s="46" t="n">
        <f aca="false">IF(ISNUMBER(W1626),A1626-W1626,"")</f>
        <v>69</v>
      </c>
      <c r="AA1626" s="46" t="n">
        <f aca="false">MATCH(A1626,DATAS,0)</f>
        <v>1</v>
      </c>
      <c r="AB1626" s="46" t="n">
        <f aca="false">IF(AND(E1626&gt;0,OR(AND(B1626&gt;=1,B1626&lt;=6),B1626=10)),1,0)</f>
        <v>1</v>
      </c>
      <c r="AC1626" s="46" t="n">
        <f aca="false">IF(AND(E1626&gt;0,B1626=10),1,0)</f>
        <v>0</v>
      </c>
      <c r="AD1626" s="0" t="str">
        <f aca="false">IF(AND(C1625=C1626,AA1625=AA1626-1),AB1625,"")</f>
        <v/>
      </c>
      <c r="AE1626" s="0" t="str">
        <f aca="false">IF(AND(C1625=C1626,AA1625=AA1626-1),AC1625,"")</f>
        <v/>
      </c>
      <c r="AF1626" s="0" t="str">
        <f aca="false">IF(AA1626=1,"",IF(AND(AB1626=1,AD1626&lt;&gt;1),1,0))</f>
        <v/>
      </c>
      <c r="AG1626" s="0" t="str">
        <f aca="false">IF(AA1626=1,"",IF(AND(AC1626=1,AE1626&lt;&gt;1),1,0))</f>
        <v/>
      </c>
      <c r="AH1626" s="51" t="str">
        <f aca="false">IF(AND(E1626&gt;0,AA1626&lt;1,NOT(AND(C1627=C1626,AA1627=AA1626+1))),INDEX(DATAS,AA1626+1),"")</f>
        <v/>
      </c>
      <c r="AI1626" s="51" t="str">
        <f aca="false">IF(AND(AC1626=1,AA1626&lt;1),IF(AND(C1627=C1626,AA1627=AA1626+1),IF(AC1627=1,"",INDEX(DATAS,AA1626+1)),INDEX(DATAS,AA1626+1)),"")</f>
        <v/>
      </c>
    </row>
    <row r="1627" customFormat="false" ht="15" hidden="false" customHeight="false" outlineLevel="0" collapsed="false">
      <c r="A1627" s="51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46" t="s">
        <v>1009</v>
      </c>
      <c r="G1627" s="0" t="n">
        <v>51.9</v>
      </c>
      <c r="H1627" s="0" t="n">
        <v>51</v>
      </c>
      <c r="I1627" s="46" t="s">
        <v>152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51" t="n">
        <v>46233</v>
      </c>
      <c r="X1627" s="46" t="n">
        <f aca="false">IF(I1627="Male",0,1)</f>
        <v>1</v>
      </c>
      <c r="Y1627" s="46" t="n">
        <f aca="false">IF(OR(I1627="DNB",I1627="Dry DNB"),1,0)</f>
        <v>0</v>
      </c>
      <c r="Z1627" s="46" t="n">
        <f aca="false">IF(ISNUMBER(W1627),A1627-W1627,"")</f>
        <v>76</v>
      </c>
      <c r="AA1627" s="46" t="n">
        <f aca="false">MATCH(A1627,DATAS,0)</f>
        <v>1</v>
      </c>
      <c r="AB1627" s="46" t="n">
        <f aca="false">IF(AND(E1627&gt;0,OR(AND(B1627&gt;=1,B1627&lt;=6),B1627=10)),1,0)</f>
        <v>1</v>
      </c>
      <c r="AC1627" s="46" t="n">
        <f aca="false">IF(AND(E1627&gt;0,B1627=10),1,0)</f>
        <v>0</v>
      </c>
      <c r="AD1627" s="0" t="str">
        <f aca="false">IF(AND(C1626=C1627,AA1626=AA1627-1),AB1626,"")</f>
        <v/>
      </c>
      <c r="AE1627" s="0" t="str">
        <f aca="false">IF(AND(C1626=C1627,AA1626=AA1627-1),AC1626,"")</f>
        <v/>
      </c>
      <c r="AF1627" s="0" t="str">
        <f aca="false">IF(AA1627=1,"",IF(AND(AB1627=1,AD1627&lt;&gt;1),1,0))</f>
        <v/>
      </c>
      <c r="AG1627" s="0" t="str">
        <f aca="false">IF(AA1627=1,"",IF(AND(AC1627=1,AE1627&lt;&gt;1),1,0))</f>
        <v/>
      </c>
      <c r="AH1627" s="51" t="str">
        <f aca="false">IF(AND(E1627&gt;0,AA1627&lt;1,NOT(AND(C1628=C1627,AA1628=AA1627+1))),INDEX(DATAS,AA1627+1),"")</f>
        <v/>
      </c>
      <c r="AI1627" s="51" t="str">
        <f aca="false">IF(AND(AC1627=1,AA1627&lt;1),IF(AND(C1628=C1627,AA1628=AA1627+1),IF(AC1628=1,"",INDEX(DATAS,AA1627+1)),INDEX(DATAS,AA1627+1)),"")</f>
        <v/>
      </c>
    </row>
    <row r="1628" customFormat="false" ht="15" hidden="false" customHeight="false" outlineLevel="0" collapsed="false">
      <c r="A1628" s="51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46" t="s">
        <v>1010</v>
      </c>
      <c r="G1628" s="0" t="n">
        <v>50</v>
      </c>
      <c r="H1628" s="0" t="n">
        <v>51</v>
      </c>
      <c r="I1628" s="46" t="s">
        <v>181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51" t="n">
        <v>46282</v>
      </c>
      <c r="X1628" s="46" t="n">
        <f aca="false">IF(I1628="Male",0,1)</f>
        <v>1</v>
      </c>
      <c r="Y1628" s="46" t="n">
        <f aca="false">IF(OR(I1628="DNB",I1628="Dry DNB"),1,0)</f>
        <v>0</v>
      </c>
      <c r="Z1628" s="46" t="n">
        <f aca="false">IF(ISNUMBER(W1628),A1628-W1628,"")</f>
        <v>27</v>
      </c>
      <c r="AA1628" s="46" t="n">
        <f aca="false">MATCH(A1628,DATAS,0)</f>
        <v>1</v>
      </c>
      <c r="AB1628" s="46" t="n">
        <f aca="false">IF(AND(E1628&gt;0,OR(AND(B1628&gt;=1,B1628&lt;=6),B1628=10)),1,0)</f>
        <v>1</v>
      </c>
      <c r="AC1628" s="46" t="n">
        <f aca="false">IF(AND(E1628&gt;0,B1628=10),1,0)</f>
        <v>0</v>
      </c>
      <c r="AD1628" s="0" t="str">
        <f aca="false">IF(AND(C1627=C1628,AA1627=AA1628-1),AB1627,"")</f>
        <v/>
      </c>
      <c r="AE1628" s="0" t="str">
        <f aca="false">IF(AND(C1627=C1628,AA1627=AA1628-1),AC1627,"")</f>
        <v/>
      </c>
      <c r="AF1628" s="0" t="str">
        <f aca="false">IF(AA1628=1,"",IF(AND(AB1628=1,AD1628&lt;&gt;1),1,0))</f>
        <v/>
      </c>
      <c r="AG1628" s="0" t="str">
        <f aca="false">IF(AA1628=1,"",IF(AND(AC1628=1,AE1628&lt;&gt;1),1,0))</f>
        <v/>
      </c>
      <c r="AH1628" s="51" t="str">
        <f aca="false">IF(AND(E1628&gt;0,AA1628&lt;1,NOT(AND(C1629=C1628,AA1629=AA1628+1))),INDEX(DATAS,AA1628+1),"")</f>
        <v/>
      </c>
      <c r="AI1628" s="51" t="str">
        <f aca="false">IF(AND(AC1628=1,AA1628&lt;1),IF(AND(C1629=C1628,AA1629=AA1628+1),IF(AC1629=1,"",INDEX(DATAS,AA1628+1)),INDEX(DATAS,AA1628+1)),"")</f>
        <v/>
      </c>
    </row>
    <row r="1629" customFormat="false" ht="15" hidden="false" customHeight="false" outlineLevel="0" collapsed="false">
      <c r="A1629" s="51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46" t="s">
        <v>1010</v>
      </c>
      <c r="G1629" s="0" t="n">
        <v>47</v>
      </c>
      <c r="H1629" s="0" t="n">
        <v>47</v>
      </c>
      <c r="I1629" s="46" t="s">
        <v>152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51" t="n">
        <v>46219</v>
      </c>
      <c r="X1629" s="46" t="n">
        <f aca="false">IF(I1629="Male",0,1)</f>
        <v>1</v>
      </c>
      <c r="Y1629" s="46" t="n">
        <f aca="false">IF(OR(I1629="DNB",I1629="Dry DNB"),1,0)</f>
        <v>0</v>
      </c>
      <c r="Z1629" s="46" t="n">
        <f aca="false">IF(ISNUMBER(W1629),A1629-W1629,"")</f>
        <v>90</v>
      </c>
      <c r="AA1629" s="46" t="n">
        <f aca="false">MATCH(A1629,DATAS,0)</f>
        <v>1</v>
      </c>
      <c r="AB1629" s="46" t="n">
        <f aca="false">IF(AND(E1629&gt;0,OR(AND(B1629&gt;=1,B1629&lt;=6),B1629=10)),1,0)</f>
        <v>1</v>
      </c>
      <c r="AC1629" s="46" t="n">
        <f aca="false">IF(AND(E1629&gt;0,B1629=10),1,0)</f>
        <v>0</v>
      </c>
      <c r="AD1629" s="0" t="str">
        <f aca="false">IF(AND(C1628=C1629,AA1628=AA1629-1),AB1628,"")</f>
        <v/>
      </c>
      <c r="AE1629" s="0" t="str">
        <f aca="false">IF(AND(C1628=C1629,AA1628=AA1629-1),AC1628,"")</f>
        <v/>
      </c>
      <c r="AF1629" s="0" t="str">
        <f aca="false">IF(AA1629=1,"",IF(AND(AB1629=1,AD1629&lt;&gt;1),1,0))</f>
        <v/>
      </c>
      <c r="AG1629" s="0" t="str">
        <f aca="false">IF(AA1629=1,"",IF(AND(AC1629=1,AE1629&lt;&gt;1),1,0))</f>
        <v/>
      </c>
      <c r="AH1629" s="51" t="str">
        <f aca="false">IF(AND(E1629&gt;0,AA1629&lt;1,NOT(AND(C1630=C1629,AA1630=AA1629+1))),INDEX(DATAS,AA1629+1),"")</f>
        <v/>
      </c>
      <c r="AI1629" s="51" t="str">
        <f aca="false">IF(AND(AC1629=1,AA1629&lt;1),IF(AND(C1630=C1629,AA1630=AA1629+1),IF(AC1630=1,"",INDEX(DATAS,AA1629+1)),INDEX(DATAS,AA1629+1)),"")</f>
        <v/>
      </c>
    </row>
    <row r="1630" customFormat="false" ht="15" hidden="false" customHeight="false" outlineLevel="0" collapsed="false">
      <c r="A1630" s="51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46" t="s">
        <v>1010</v>
      </c>
      <c r="G1630" s="0" t="n">
        <v>43.2</v>
      </c>
      <c r="H1630" s="0" t="n">
        <v>40</v>
      </c>
      <c r="I1630" s="46" t="s">
        <v>161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X1630" s="46" t="n">
        <f aca="false">IF(I1630="Male",0,1)</f>
        <v>1</v>
      </c>
      <c r="Y1630" s="46" t="n">
        <f aca="false">IF(OR(I1630="DNB",I1630="Dry DNB"),1,0)</f>
        <v>0</v>
      </c>
      <c r="Z1630" s="0" t="str">
        <f aca="false">IF(ISNUMBER(W1630),A1630-W1630,"")</f>
        <v/>
      </c>
      <c r="AA1630" s="46" t="n">
        <f aca="false">MATCH(A1630,DATAS,0)</f>
        <v>1</v>
      </c>
      <c r="AB1630" s="46" t="n">
        <f aca="false">IF(AND(E1630&gt;0,OR(AND(B1630&gt;=1,B1630&lt;=6),B1630=10)),1,0)</f>
        <v>1</v>
      </c>
      <c r="AC1630" s="46" t="n">
        <f aca="false">IF(AND(E1630&gt;0,B1630=10),1,0)</f>
        <v>0</v>
      </c>
      <c r="AD1630" s="0" t="str">
        <f aca="false">IF(AND(C1629=C1630,AA1629=AA1630-1),AB1629,"")</f>
        <v/>
      </c>
      <c r="AE1630" s="0" t="str">
        <f aca="false">IF(AND(C1629=C1630,AA1629=AA1630-1),AC1629,"")</f>
        <v/>
      </c>
      <c r="AF1630" s="0" t="str">
        <f aca="false">IF(AA1630=1,"",IF(AND(AB1630=1,AD1630&lt;&gt;1),1,0))</f>
        <v/>
      </c>
      <c r="AG1630" s="0" t="str">
        <f aca="false">IF(AA1630=1,"",IF(AND(AC1630=1,AE1630&lt;&gt;1),1,0))</f>
        <v/>
      </c>
      <c r="AH1630" s="51" t="str">
        <f aca="false">IF(AND(E1630&gt;0,AA1630&lt;1,NOT(AND(C1631=C1630,AA1631=AA1630+1))),INDEX(DATAS,AA1630+1),"")</f>
        <v/>
      </c>
      <c r="AI1630" s="51" t="str">
        <f aca="false">IF(AND(AC1630=1,AA1630&lt;1),IF(AND(C1631=C1630,AA1631=AA1630+1),IF(AC1631=1,"",INDEX(DATAS,AA1630+1)),INDEX(DATAS,AA1630+1)),"")</f>
        <v/>
      </c>
    </row>
    <row r="1631" customFormat="false" ht="15" hidden="false" customHeight="false" outlineLevel="0" collapsed="false">
      <c r="A1631" s="51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46" t="s">
        <v>1010</v>
      </c>
      <c r="G1631" s="0" t="n">
        <v>43.5</v>
      </c>
      <c r="H1631" s="0" t="n">
        <v>49</v>
      </c>
      <c r="I1631" s="46" t="s">
        <v>181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51" t="n">
        <v>46310</v>
      </c>
      <c r="X1631" s="46" t="n">
        <f aca="false">IF(I1631="Male",0,1)</f>
        <v>1</v>
      </c>
      <c r="Y1631" s="46" t="n">
        <f aca="false">IF(OR(I1631="DNB",I1631="Dry DNB"),1,0)</f>
        <v>0</v>
      </c>
      <c r="Z1631" s="46" t="n">
        <f aca="false">IF(ISNUMBER(W1631),A1631-W1631,"")</f>
        <v>-1</v>
      </c>
      <c r="AA1631" s="46" t="n">
        <f aca="false">MATCH(A1631,DATAS,0)</f>
        <v>1</v>
      </c>
      <c r="AB1631" s="46" t="n">
        <f aca="false">IF(AND(E1631&gt;0,OR(AND(B1631&gt;=1,B1631&lt;=6),B1631=10)),1,0)</f>
        <v>1</v>
      </c>
      <c r="AC1631" s="46" t="n">
        <f aca="false">IF(AND(E1631&gt;0,B1631=10),1,0)</f>
        <v>0</v>
      </c>
      <c r="AD1631" s="0" t="str">
        <f aca="false">IF(AND(C1630=C1631,AA1630=AA1631-1),AB1630,"")</f>
        <v/>
      </c>
      <c r="AE1631" s="0" t="str">
        <f aca="false">IF(AND(C1630=C1631,AA1630=AA1631-1),AC1630,"")</f>
        <v/>
      </c>
      <c r="AF1631" s="0" t="str">
        <f aca="false">IF(AA1631=1,"",IF(AND(AB1631=1,AD1631&lt;&gt;1),1,0))</f>
        <v/>
      </c>
      <c r="AG1631" s="0" t="str">
        <f aca="false">IF(AA1631=1,"",IF(AND(AC1631=1,AE1631&lt;&gt;1),1,0))</f>
        <v/>
      </c>
      <c r="AH1631" s="51" t="str">
        <f aca="false">IF(AND(E1631&gt;0,AA1631&lt;1,NOT(AND(C1632=C1631,AA1632=AA1631+1))),INDEX(DATAS,AA1631+1),"")</f>
        <v/>
      </c>
      <c r="AI1631" s="51" t="str">
        <f aca="false">IF(AND(AC1631=1,AA1631&lt;1),IF(AND(C1632=C1631,AA1632=AA1631+1),IF(AC1632=1,"",INDEX(DATAS,AA1631+1)),INDEX(DATAS,AA1631+1)),"")</f>
        <v/>
      </c>
    </row>
    <row r="1632" customFormat="false" ht="15" hidden="false" customHeight="false" outlineLevel="0" collapsed="false">
      <c r="A1632" s="51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46" t="s">
        <v>1010</v>
      </c>
      <c r="G1632" s="0" t="n">
        <v>27.9</v>
      </c>
      <c r="H1632" s="0" t="n">
        <v>32</v>
      </c>
      <c r="I1632" s="46" t="s">
        <v>152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51" t="n">
        <v>46163</v>
      </c>
      <c r="X1632" s="46" t="n">
        <f aca="false">IF(I1632="Male",0,1)</f>
        <v>1</v>
      </c>
      <c r="Y1632" s="46" t="n">
        <f aca="false">IF(OR(I1632="DNB",I1632="Dry DNB"),1,0)</f>
        <v>0</v>
      </c>
      <c r="Z1632" s="46" t="n">
        <f aca="false">IF(ISNUMBER(W1632),A1632-W1632,"")</f>
        <v>146</v>
      </c>
      <c r="AA1632" s="46" t="n">
        <f aca="false">MATCH(A1632,DATAS,0)</f>
        <v>1</v>
      </c>
      <c r="AB1632" s="46" t="n">
        <f aca="false">IF(AND(E1632&gt;0,OR(AND(B1632&gt;=1,B1632&lt;=6),B1632=10)),1,0)</f>
        <v>1</v>
      </c>
      <c r="AC1632" s="46" t="n">
        <f aca="false">IF(AND(E1632&gt;0,B1632=10),1,0)</f>
        <v>0</v>
      </c>
      <c r="AD1632" s="0" t="str">
        <f aca="false">IF(AND(C1631=C1632,AA1631=AA1632-1),AB1631,"")</f>
        <v/>
      </c>
      <c r="AE1632" s="0" t="str">
        <f aca="false">IF(AND(C1631=C1632,AA1631=AA1632-1),AC1631,"")</f>
        <v/>
      </c>
      <c r="AF1632" s="0" t="str">
        <f aca="false">IF(AA1632=1,"",IF(AND(AB1632=1,AD1632&lt;&gt;1),1,0))</f>
        <v/>
      </c>
      <c r="AG1632" s="0" t="str">
        <f aca="false">IF(AA1632=1,"",IF(AND(AC1632=1,AE1632&lt;&gt;1),1,0))</f>
        <v/>
      </c>
      <c r="AH1632" s="51" t="str">
        <f aca="false">IF(AND(E1632&gt;0,AA1632&lt;1,NOT(AND(C1633=C1632,AA1633=AA1632+1))),INDEX(DATAS,AA1632+1),"")</f>
        <v/>
      </c>
      <c r="AI1632" s="51" t="str">
        <f aca="false">IF(AND(AC1632=1,AA1632&lt;1),IF(AND(C1633=C1632,AA1633=AA1632+1),IF(AC1633=1,"",INDEX(DATAS,AA1632+1)),INDEX(DATAS,AA1632+1)),"")</f>
        <v/>
      </c>
    </row>
    <row r="1633" customFormat="false" ht="15" hidden="false" customHeight="false" outlineLevel="0" collapsed="false">
      <c r="A1633" s="51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46" t="s">
        <v>1010</v>
      </c>
      <c r="G1633" s="0" t="n">
        <v>46.4</v>
      </c>
      <c r="H1633" s="0" t="n">
        <v>45</v>
      </c>
      <c r="I1633" s="46" t="s">
        <v>181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51" t="n">
        <v>46289</v>
      </c>
      <c r="X1633" s="46" t="n">
        <f aca="false">IF(I1633="Male",0,1)</f>
        <v>1</v>
      </c>
      <c r="Y1633" s="46" t="n">
        <f aca="false">IF(OR(I1633="DNB",I1633="Dry DNB"),1,0)</f>
        <v>0</v>
      </c>
      <c r="Z1633" s="46" t="n">
        <f aca="false">IF(ISNUMBER(W1633),A1633-W1633,"")</f>
        <v>20</v>
      </c>
      <c r="AA1633" s="46" t="n">
        <f aca="false">MATCH(A1633,DATAS,0)</f>
        <v>1</v>
      </c>
      <c r="AB1633" s="46" t="n">
        <f aca="false">IF(AND(E1633&gt;0,OR(AND(B1633&gt;=1,B1633&lt;=6),B1633=10)),1,0)</f>
        <v>1</v>
      </c>
      <c r="AC1633" s="46" t="n">
        <f aca="false">IF(AND(E1633&gt;0,B1633=10),1,0)</f>
        <v>0</v>
      </c>
      <c r="AD1633" s="0" t="str">
        <f aca="false">IF(AND(C1632=C1633,AA1632=AA1633-1),AB1632,"")</f>
        <v/>
      </c>
      <c r="AE1633" s="0" t="str">
        <f aca="false">IF(AND(C1632=C1633,AA1632=AA1633-1),AC1632,"")</f>
        <v/>
      </c>
      <c r="AF1633" s="0" t="str">
        <f aca="false">IF(AA1633=1,"",IF(AND(AB1633=1,AD1633&lt;&gt;1),1,0))</f>
        <v/>
      </c>
      <c r="AG1633" s="0" t="str">
        <f aca="false">IF(AA1633=1,"",IF(AND(AC1633=1,AE1633&lt;&gt;1),1,0))</f>
        <v/>
      </c>
      <c r="AH1633" s="51" t="str">
        <f aca="false">IF(AND(E1633&gt;0,AA1633&lt;1,NOT(AND(C1634=C1633,AA1634=AA1633+1))),INDEX(DATAS,AA1633+1),"")</f>
        <v/>
      </c>
      <c r="AI1633" s="51" t="str">
        <f aca="false">IF(AND(AC1633=1,AA1633&lt;1),IF(AND(C1634=C1633,AA1634=AA1633+1),IF(AC1634=1,"",INDEX(DATAS,AA1633+1)),INDEX(DATAS,AA1633+1)),"")</f>
        <v/>
      </c>
    </row>
    <row r="1634" customFormat="false" ht="15" hidden="false" customHeight="false" outlineLevel="0" collapsed="false">
      <c r="A1634" s="51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46" t="s">
        <v>1011</v>
      </c>
      <c r="G1634" s="0" t="n">
        <v>43.2</v>
      </c>
      <c r="H1634" s="0" t="n">
        <v>43</v>
      </c>
      <c r="I1634" s="46" t="s">
        <v>152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51" t="n">
        <v>46254</v>
      </c>
      <c r="X1634" s="46" t="n">
        <f aca="false">IF(I1634="Male",0,1)</f>
        <v>1</v>
      </c>
      <c r="Y1634" s="46" t="n">
        <f aca="false">IF(OR(I1634="DNB",I1634="Dry DNB"),1,0)</f>
        <v>0</v>
      </c>
      <c r="Z1634" s="46" t="n">
        <f aca="false">IF(ISNUMBER(W1634),A1634-W1634,"")</f>
        <v>55</v>
      </c>
      <c r="AA1634" s="46" t="n">
        <f aca="false">MATCH(A1634,DATAS,0)</f>
        <v>1</v>
      </c>
      <c r="AB1634" s="46" t="n">
        <f aca="false">IF(AND(E1634&gt;0,OR(AND(B1634&gt;=1,B1634&lt;=6),B1634=10)),1,0)</f>
        <v>1</v>
      </c>
      <c r="AC1634" s="46" t="n">
        <f aca="false">IF(AND(E1634&gt;0,B1634=10),1,0)</f>
        <v>0</v>
      </c>
      <c r="AD1634" s="0" t="str">
        <f aca="false">IF(AND(C1633=C1634,AA1633=AA1634-1),AB1633,"")</f>
        <v/>
      </c>
      <c r="AE1634" s="0" t="str">
        <f aca="false">IF(AND(C1633=C1634,AA1633=AA1634-1),AC1633,"")</f>
        <v/>
      </c>
      <c r="AF1634" s="0" t="str">
        <f aca="false">IF(AA1634=1,"",IF(AND(AB1634=1,AD1634&lt;&gt;1),1,0))</f>
        <v/>
      </c>
      <c r="AG1634" s="0" t="str">
        <f aca="false">IF(AA1634=1,"",IF(AND(AC1634=1,AE1634&lt;&gt;1),1,0))</f>
        <v/>
      </c>
      <c r="AH1634" s="51" t="str">
        <f aca="false">IF(AND(E1634&gt;0,AA1634&lt;1,NOT(AND(C1635=C1634,AA1635=AA1634+1))),INDEX(DATAS,AA1634+1),"")</f>
        <v/>
      </c>
      <c r="AI1634" s="51" t="str">
        <f aca="false">IF(AND(AC1634=1,AA1634&lt;1),IF(AND(C1635=C1634,AA1635=AA1634+1),IF(AC1635=1,"",INDEX(DATAS,AA1634+1)),INDEX(DATAS,AA1634+1)),"")</f>
        <v/>
      </c>
    </row>
    <row r="1635" customFormat="false" ht="15" hidden="false" customHeight="false" outlineLevel="0" collapsed="false">
      <c r="A1635" s="51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46" t="s">
        <v>1012</v>
      </c>
      <c r="I1635" s="46" t="s">
        <v>181</v>
      </c>
      <c r="J1635" s="0" t="n">
        <v>23</v>
      </c>
      <c r="K1635" s="0" t="n">
        <v>16</v>
      </c>
      <c r="U1635" s="0" t="n">
        <v>795</v>
      </c>
      <c r="V1635" s="0" t="n">
        <v>1</v>
      </c>
      <c r="X1635" s="46" t="n">
        <f aca="false">IF(I1635="Male",0,1)</f>
        <v>1</v>
      </c>
      <c r="Y1635" s="46" t="n">
        <f aca="false">IF(OR(I1635="DNB",I1635="Dry DNB"),1,0)</f>
        <v>0</v>
      </c>
      <c r="Z1635" s="0" t="str">
        <f aca="false">IF(ISNUMBER(W1635),A1635-W1635,"")</f>
        <v/>
      </c>
      <c r="AA1635" s="46" t="n">
        <f aca="false">MATCH(A1635,DATAS,0)</f>
        <v>1</v>
      </c>
      <c r="AB1635" s="46" t="n">
        <f aca="false">IF(AND(E1635&gt;0,OR(AND(B1635&gt;=1,B1635&lt;=6),B1635=10)),1,0)</f>
        <v>1</v>
      </c>
      <c r="AC1635" s="46" t="n">
        <f aca="false">IF(AND(E1635&gt;0,B1635=10),1,0)</f>
        <v>1</v>
      </c>
      <c r="AD1635" s="0" t="str">
        <f aca="false">IF(AND(C1634=C1635,AA1634=AA1635-1),AB1634,"")</f>
        <v/>
      </c>
      <c r="AE1635" s="0" t="str">
        <f aca="false">IF(AND(C1634=C1635,AA1634=AA1635-1),AC1634,"")</f>
        <v/>
      </c>
      <c r="AF1635" s="0" t="str">
        <f aca="false">IF(AA1635=1,"",IF(AND(AB1635=1,AD1635&lt;&gt;1),1,0))</f>
        <v/>
      </c>
      <c r="AG1635" s="0" t="str">
        <f aca="false">IF(AA1635=1,"",IF(AND(AC1635=1,AE1635&lt;&gt;1),1,0))</f>
        <v/>
      </c>
      <c r="AH1635" s="51" t="str">
        <f aca="false">IF(AND(E1635&gt;0,AA1635&lt;1,NOT(AND(C1636=C1635,AA1636=AA1635+1))),INDEX(DATAS,AA1635+1),"")</f>
        <v/>
      </c>
      <c r="AI1635" s="51" t="str">
        <f aca="false">IF(AND(AC1635=1,AA1635&lt;1),IF(AND(C1636=C1635,AA1636=AA1635+1),IF(AC1636=1,"",INDEX(DATAS,AA1635+1)),INDEX(DATAS,AA1635+1)),"")</f>
        <v/>
      </c>
    </row>
    <row r="1636" customFormat="false" ht="15" hidden="false" customHeight="false" outlineLevel="0" collapsed="false">
      <c r="A1636" s="51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46" t="s">
        <v>1012</v>
      </c>
      <c r="G1636" s="0" t="n">
        <v>47.2</v>
      </c>
      <c r="H1636" s="0" t="n">
        <v>50</v>
      </c>
      <c r="I1636" s="46" t="s">
        <v>161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X1636" s="46" t="n">
        <f aca="false">IF(I1636="Male",0,1)</f>
        <v>1</v>
      </c>
      <c r="Y1636" s="46" t="n">
        <f aca="false">IF(OR(I1636="DNB",I1636="Dry DNB"),1,0)</f>
        <v>0</v>
      </c>
      <c r="Z1636" s="0" t="str">
        <f aca="false">IF(ISNUMBER(W1636),A1636-W1636,"")</f>
        <v/>
      </c>
      <c r="AA1636" s="46" t="n">
        <f aca="false">MATCH(A1636,DATAS,0)</f>
        <v>1</v>
      </c>
      <c r="AB1636" s="46" t="n">
        <f aca="false">IF(AND(E1636&gt;0,OR(AND(B1636&gt;=1,B1636&lt;=6),B1636=10)),1,0)</f>
        <v>1</v>
      </c>
      <c r="AC1636" s="46" t="n">
        <f aca="false">IF(AND(E1636&gt;0,B1636=10),1,0)</f>
        <v>0</v>
      </c>
      <c r="AD1636" s="0" t="str">
        <f aca="false">IF(AND(C1635=C1636,AA1635=AA1636-1),AB1635,"")</f>
        <v/>
      </c>
      <c r="AE1636" s="0" t="str">
        <f aca="false">IF(AND(C1635=C1636,AA1635=AA1636-1),AC1635,"")</f>
        <v/>
      </c>
      <c r="AF1636" s="0" t="str">
        <f aca="false">IF(AA1636=1,"",IF(AND(AB1636=1,AD1636&lt;&gt;1),1,0))</f>
        <v/>
      </c>
      <c r="AG1636" s="0" t="str">
        <f aca="false">IF(AA1636=1,"",IF(AND(AC1636=1,AE1636&lt;&gt;1),1,0))</f>
        <v/>
      </c>
      <c r="AH1636" s="51" t="str">
        <f aca="false">IF(AND(E1636&gt;0,AA1636&lt;1,NOT(AND(C1637=C1636,AA1637=AA1636+1))),INDEX(DATAS,AA1636+1),"")</f>
        <v/>
      </c>
      <c r="AI1636" s="51" t="str">
        <f aca="false">IF(AND(AC1636=1,AA1636&lt;1),IF(AND(C1637=C1636,AA1637=AA1636+1),IF(AC1637=1,"",INDEX(DATAS,AA1636+1)),INDEX(DATAS,AA1636+1)),"")</f>
        <v/>
      </c>
    </row>
    <row r="1637" customFormat="false" ht="15" hidden="false" customHeight="false" outlineLevel="0" collapsed="false">
      <c r="A1637" s="51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46" t="s">
        <v>1012</v>
      </c>
      <c r="G1637" s="0" t="n">
        <v>58.1</v>
      </c>
      <c r="H1637" s="0" t="n">
        <v>59</v>
      </c>
      <c r="I1637" s="46" t="s">
        <v>189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51" t="n">
        <v>46278</v>
      </c>
      <c r="X1637" s="46" t="n">
        <f aca="false">IF(I1637="Male",0,1)</f>
        <v>1</v>
      </c>
      <c r="Y1637" s="46" t="n">
        <f aca="false">IF(OR(I1637="DNB",I1637="Dry DNB"),1,0)</f>
        <v>0</v>
      </c>
      <c r="Z1637" s="46" t="n">
        <f aca="false">IF(ISNUMBER(W1637),A1637-W1637,"")</f>
        <v>31</v>
      </c>
      <c r="AA1637" s="46" t="n">
        <f aca="false">MATCH(A1637,DATAS,0)</f>
        <v>1</v>
      </c>
      <c r="AB1637" s="46" t="n">
        <f aca="false">IF(AND(E1637&gt;0,OR(AND(B1637&gt;=1,B1637&lt;=6),B1637=10)),1,0)</f>
        <v>1</v>
      </c>
      <c r="AC1637" s="46" t="n">
        <f aca="false">IF(AND(E1637&gt;0,B1637=10),1,0)</f>
        <v>0</v>
      </c>
      <c r="AD1637" s="0" t="str">
        <f aca="false">IF(AND(C1636=C1637,AA1636=AA1637-1),AB1636,"")</f>
        <v/>
      </c>
      <c r="AE1637" s="0" t="str">
        <f aca="false">IF(AND(C1636=C1637,AA1636=AA1637-1),AC1636,"")</f>
        <v/>
      </c>
      <c r="AF1637" s="0" t="str">
        <f aca="false">IF(AA1637=1,"",IF(AND(AB1637=1,AD1637&lt;&gt;1),1,0))</f>
        <v/>
      </c>
      <c r="AG1637" s="0" t="str">
        <f aca="false">IF(AA1637=1,"",IF(AND(AC1637=1,AE1637&lt;&gt;1),1,0))</f>
        <v/>
      </c>
      <c r="AH1637" s="51" t="str">
        <f aca="false">IF(AND(E1637&gt;0,AA1637&lt;1,NOT(AND(C1638=C1637,AA1638=AA1637+1))),INDEX(DATAS,AA1637+1),"")</f>
        <v/>
      </c>
      <c r="AI1637" s="51" t="str">
        <f aca="false">IF(AND(AC1637=1,AA1637&lt;1),IF(AND(C1638=C1637,AA1638=AA1637+1),IF(AC1638=1,"",INDEX(DATAS,AA1637+1)),INDEX(DATAS,AA1637+1)),"")</f>
        <v/>
      </c>
    </row>
    <row r="1638" customFormat="false" ht="15" hidden="false" customHeight="false" outlineLevel="0" collapsed="false">
      <c r="A1638" s="51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46" t="s">
        <v>1012</v>
      </c>
      <c r="G1638" s="0" t="n">
        <v>50.3</v>
      </c>
      <c r="H1638" s="0" t="n">
        <v>52</v>
      </c>
      <c r="I1638" s="46" t="s">
        <v>189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51" t="n">
        <v>46268</v>
      </c>
      <c r="X1638" s="46" t="n">
        <f aca="false">IF(I1638="Male",0,1)</f>
        <v>1</v>
      </c>
      <c r="Y1638" s="46" t="n">
        <f aca="false">IF(OR(I1638="DNB",I1638="Dry DNB"),1,0)</f>
        <v>0</v>
      </c>
      <c r="Z1638" s="46" t="n">
        <f aca="false">IF(ISNUMBER(W1638),A1638-W1638,"")</f>
        <v>41</v>
      </c>
      <c r="AA1638" s="46" t="n">
        <f aca="false">MATCH(A1638,DATAS,0)</f>
        <v>1</v>
      </c>
      <c r="AB1638" s="46" t="n">
        <f aca="false">IF(AND(E1638&gt;0,OR(AND(B1638&gt;=1,B1638&lt;=6),B1638=10)),1,0)</f>
        <v>1</v>
      </c>
      <c r="AC1638" s="46" t="n">
        <f aca="false">IF(AND(E1638&gt;0,B1638=10),1,0)</f>
        <v>0</v>
      </c>
      <c r="AD1638" s="0" t="str">
        <f aca="false">IF(AND(C1637=C1638,AA1637=AA1638-1),AB1637,"")</f>
        <v/>
      </c>
      <c r="AE1638" s="0" t="str">
        <f aca="false">IF(AND(C1637=C1638,AA1637=AA1638-1),AC1637,"")</f>
        <v/>
      </c>
      <c r="AF1638" s="0" t="str">
        <f aca="false">IF(AA1638=1,"",IF(AND(AB1638=1,AD1638&lt;&gt;1),1,0))</f>
        <v/>
      </c>
      <c r="AG1638" s="0" t="str">
        <f aca="false">IF(AA1638=1,"",IF(AND(AC1638=1,AE1638&lt;&gt;1),1,0))</f>
        <v/>
      </c>
      <c r="AH1638" s="51" t="str">
        <f aca="false">IF(AND(E1638&gt;0,AA1638&lt;1,NOT(AND(C1639=C1638,AA1639=AA1638+1))),INDEX(DATAS,AA1638+1),"")</f>
        <v/>
      </c>
      <c r="AI1638" s="51" t="str">
        <f aca="false">IF(AND(AC1638=1,AA1638&lt;1),IF(AND(C1639=C1638,AA1639=AA1638+1),IF(AC1639=1,"",INDEX(DATAS,AA1638+1)),INDEX(DATAS,AA1638+1)),"")</f>
        <v/>
      </c>
    </row>
    <row r="1639" customFormat="false" ht="15" hidden="false" customHeight="false" outlineLevel="0" collapsed="false">
      <c r="A1639" s="51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46" t="s">
        <v>1012</v>
      </c>
      <c r="G1639" s="0" t="n">
        <v>55.9</v>
      </c>
      <c r="H1639" s="0" t="n">
        <v>54</v>
      </c>
      <c r="I1639" s="46" t="s">
        <v>152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51" t="n">
        <v>46240</v>
      </c>
      <c r="X1639" s="46" t="n">
        <f aca="false">IF(I1639="Male",0,1)</f>
        <v>1</v>
      </c>
      <c r="Y1639" s="46" t="n">
        <f aca="false">IF(OR(I1639="DNB",I1639="Dry DNB"),1,0)</f>
        <v>0</v>
      </c>
      <c r="Z1639" s="46" t="n">
        <f aca="false">IF(ISNUMBER(W1639),A1639-W1639,"")</f>
        <v>69</v>
      </c>
      <c r="AA1639" s="46" t="n">
        <f aca="false">MATCH(A1639,DATAS,0)</f>
        <v>1</v>
      </c>
      <c r="AB1639" s="46" t="n">
        <f aca="false">IF(AND(E1639&gt;0,OR(AND(B1639&gt;=1,B1639&lt;=6),B1639=10)),1,0)</f>
        <v>1</v>
      </c>
      <c r="AC1639" s="46" t="n">
        <f aca="false">IF(AND(E1639&gt;0,B1639=10),1,0)</f>
        <v>0</v>
      </c>
      <c r="AD1639" s="0" t="str">
        <f aca="false">IF(AND(C1638=C1639,AA1638=AA1639-1),AB1638,"")</f>
        <v/>
      </c>
      <c r="AE1639" s="0" t="str">
        <f aca="false">IF(AND(C1638=C1639,AA1638=AA1639-1),AC1638,"")</f>
        <v/>
      </c>
      <c r="AF1639" s="0" t="str">
        <f aca="false">IF(AA1639=1,"",IF(AND(AB1639=1,AD1639&lt;&gt;1),1,0))</f>
        <v/>
      </c>
      <c r="AG1639" s="0" t="str">
        <f aca="false">IF(AA1639=1,"",IF(AND(AC1639=1,AE1639&lt;&gt;1),1,0))</f>
        <v/>
      </c>
      <c r="AH1639" s="51" t="str">
        <f aca="false">IF(AND(E1639&gt;0,AA1639&lt;1,NOT(AND(C1640=C1639,AA1640=AA1639+1))),INDEX(DATAS,AA1639+1),"")</f>
        <v/>
      </c>
      <c r="AI1639" s="51" t="str">
        <f aca="false">IF(AND(AC1639=1,AA1639&lt;1),IF(AND(C1640=C1639,AA1640=AA1639+1),IF(AC1640=1,"",INDEX(DATAS,AA1639+1)),INDEX(DATAS,AA1639+1)),"")</f>
        <v/>
      </c>
    </row>
    <row r="1640" customFormat="false" ht="15" hidden="false" customHeight="false" outlineLevel="0" collapsed="false">
      <c r="A1640" s="51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46" t="s">
        <v>1012</v>
      </c>
      <c r="G1640" s="0" t="n">
        <v>49</v>
      </c>
      <c r="H1640" s="0" t="n">
        <v>48</v>
      </c>
      <c r="I1640" s="46" t="s">
        <v>181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51" t="n">
        <v>46261</v>
      </c>
      <c r="X1640" s="46" t="n">
        <f aca="false">IF(I1640="Male",0,1)</f>
        <v>1</v>
      </c>
      <c r="Y1640" s="46" t="n">
        <f aca="false">IF(OR(I1640="DNB",I1640="Dry DNB"),1,0)</f>
        <v>0</v>
      </c>
      <c r="Z1640" s="46" t="n">
        <f aca="false">IF(ISNUMBER(W1640),A1640-W1640,"")</f>
        <v>48</v>
      </c>
      <c r="AA1640" s="46" t="n">
        <f aca="false">MATCH(A1640,DATAS,0)</f>
        <v>1</v>
      </c>
      <c r="AB1640" s="46" t="n">
        <f aca="false">IF(AND(E1640&gt;0,OR(AND(B1640&gt;=1,B1640&lt;=6),B1640=10)),1,0)</f>
        <v>1</v>
      </c>
      <c r="AC1640" s="46" t="n">
        <f aca="false">IF(AND(E1640&gt;0,B1640=10),1,0)</f>
        <v>0</v>
      </c>
      <c r="AD1640" s="0" t="str">
        <f aca="false">IF(AND(C1639=C1640,AA1639=AA1640-1),AB1639,"")</f>
        <v/>
      </c>
      <c r="AE1640" s="0" t="str">
        <f aca="false">IF(AND(C1639=C1640,AA1639=AA1640-1),AC1639,"")</f>
        <v/>
      </c>
      <c r="AF1640" s="0" t="str">
        <f aca="false">IF(AA1640=1,"",IF(AND(AB1640=1,AD1640&lt;&gt;1),1,0))</f>
        <v/>
      </c>
      <c r="AG1640" s="0" t="str">
        <f aca="false">IF(AA1640=1,"",IF(AND(AC1640=1,AE1640&lt;&gt;1),1,0))</f>
        <v/>
      </c>
      <c r="AH1640" s="51" t="str">
        <f aca="false">IF(AND(E1640&gt;0,AA1640&lt;1,NOT(AND(C1641=C1640,AA1641=AA1640+1))),INDEX(DATAS,AA1640+1),"")</f>
        <v/>
      </c>
      <c r="AI1640" s="51" t="str">
        <f aca="false">IF(AND(AC1640=1,AA1640&lt;1),IF(AND(C1641=C1640,AA1641=AA1640+1),IF(AC1641=1,"",INDEX(DATAS,AA1640+1)),INDEX(DATAS,AA1640+1)),"")</f>
        <v/>
      </c>
    </row>
    <row r="1641" customFormat="false" ht="15" hidden="false" customHeight="false" outlineLevel="0" collapsed="false">
      <c r="A1641" s="51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46" t="s">
        <v>1012</v>
      </c>
      <c r="G1641" s="0" t="n">
        <v>57.9</v>
      </c>
      <c r="H1641" s="0" t="n">
        <v>54</v>
      </c>
      <c r="I1641" s="46" t="s">
        <v>181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51" t="n">
        <v>46303</v>
      </c>
      <c r="X1641" s="46" t="n">
        <f aca="false">IF(I1641="Male",0,1)</f>
        <v>1</v>
      </c>
      <c r="Y1641" s="46" t="n">
        <f aca="false">IF(OR(I1641="DNB",I1641="Dry DNB"),1,0)</f>
        <v>0</v>
      </c>
      <c r="Z1641" s="46" t="n">
        <f aca="false">IF(ISNUMBER(W1641),A1641-W1641,"")</f>
        <v>6</v>
      </c>
      <c r="AA1641" s="46" t="n">
        <f aca="false">MATCH(A1641,DATAS,0)</f>
        <v>1</v>
      </c>
      <c r="AB1641" s="46" t="n">
        <f aca="false">IF(AND(E1641&gt;0,OR(AND(B1641&gt;=1,B1641&lt;=6),B1641=10)),1,0)</f>
        <v>1</v>
      </c>
      <c r="AC1641" s="46" t="n">
        <f aca="false">IF(AND(E1641&gt;0,B1641=10),1,0)</f>
        <v>0</v>
      </c>
      <c r="AD1641" s="0" t="str">
        <f aca="false">IF(AND(C1640=C1641,AA1640=AA1641-1),AB1640,"")</f>
        <v/>
      </c>
      <c r="AE1641" s="0" t="str">
        <f aca="false">IF(AND(C1640=C1641,AA1640=AA1641-1),AC1640,"")</f>
        <v/>
      </c>
      <c r="AF1641" s="0" t="str">
        <f aca="false">IF(AA1641=1,"",IF(AND(AB1641=1,AD1641&lt;&gt;1),1,0))</f>
        <v/>
      </c>
      <c r="AG1641" s="0" t="str">
        <f aca="false">IF(AA1641=1,"",IF(AND(AC1641=1,AE1641&lt;&gt;1),1,0))</f>
        <v/>
      </c>
      <c r="AH1641" s="51" t="str">
        <f aca="false">IF(AND(E1641&gt;0,AA1641&lt;1,NOT(AND(C1642=C1641,AA1642=AA1641+1))),INDEX(DATAS,AA1641+1),"")</f>
        <v/>
      </c>
      <c r="AI1641" s="51" t="str">
        <f aca="false">IF(AND(AC1641=1,AA1641&lt;1),IF(AND(C1642=C1641,AA1642=AA1641+1),IF(AC1642=1,"",INDEX(DATAS,AA1641+1)),INDEX(DATAS,AA1641+1)),"")</f>
        <v/>
      </c>
    </row>
    <row r="1642" customFormat="false" ht="15" hidden="false" customHeight="false" outlineLevel="0" collapsed="false">
      <c r="A1642" s="51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46" t="s">
        <v>1012</v>
      </c>
      <c r="G1642" s="0" t="n">
        <v>51.9</v>
      </c>
      <c r="H1642" s="0" t="n">
        <v>51</v>
      </c>
      <c r="I1642" s="46" t="s">
        <v>189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51" t="n">
        <v>46275</v>
      </c>
      <c r="X1642" s="46" t="n">
        <f aca="false">IF(I1642="Male",0,1)</f>
        <v>1</v>
      </c>
      <c r="Y1642" s="46" t="n">
        <f aca="false">IF(OR(I1642="DNB",I1642="Dry DNB"),1,0)</f>
        <v>0</v>
      </c>
      <c r="Z1642" s="46" t="n">
        <f aca="false">IF(ISNUMBER(W1642),A1642-W1642,"")</f>
        <v>34</v>
      </c>
      <c r="AA1642" s="46" t="n">
        <f aca="false">MATCH(A1642,DATAS,0)</f>
        <v>1</v>
      </c>
      <c r="AB1642" s="46" t="n">
        <f aca="false">IF(AND(E1642&gt;0,OR(AND(B1642&gt;=1,B1642&lt;=6),B1642=10)),1,0)</f>
        <v>1</v>
      </c>
      <c r="AC1642" s="46" t="n">
        <f aca="false">IF(AND(E1642&gt;0,B1642=10),1,0)</f>
        <v>0</v>
      </c>
      <c r="AD1642" s="0" t="str">
        <f aca="false">IF(AND(C1641=C1642,AA1641=AA1642-1),AB1641,"")</f>
        <v/>
      </c>
      <c r="AE1642" s="0" t="str">
        <f aca="false">IF(AND(C1641=C1642,AA1641=AA1642-1),AC1641,"")</f>
        <v/>
      </c>
      <c r="AF1642" s="0" t="str">
        <f aca="false">IF(AA1642=1,"",IF(AND(AB1642=1,AD1642&lt;&gt;1),1,0))</f>
        <v/>
      </c>
      <c r="AG1642" s="0" t="str">
        <f aca="false">IF(AA1642=1,"",IF(AND(AC1642=1,AE1642&lt;&gt;1),1,0))</f>
        <v/>
      </c>
      <c r="AH1642" s="51" t="str">
        <f aca="false">IF(AND(E1642&gt;0,AA1642&lt;1,NOT(AND(C1643=C1642,AA1643=AA1642+1))),INDEX(DATAS,AA1642+1),"")</f>
        <v/>
      </c>
      <c r="AI1642" s="51" t="str">
        <f aca="false">IF(AND(AC1642=1,AA1642&lt;1),IF(AND(C1643=C1642,AA1643=AA1642+1),IF(AC1643=1,"",INDEX(DATAS,AA1642+1)),INDEX(DATAS,AA1642+1)),"")</f>
        <v/>
      </c>
    </row>
    <row r="1643" customFormat="false" ht="15" hidden="false" customHeight="false" outlineLevel="0" collapsed="false">
      <c r="A1643" s="51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46" t="s">
        <v>1012</v>
      </c>
      <c r="G1643" s="0" t="n">
        <v>53.2</v>
      </c>
      <c r="H1643" s="0" t="n">
        <v>54</v>
      </c>
      <c r="I1643" s="46" t="s">
        <v>189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51" t="n">
        <v>46268</v>
      </c>
      <c r="X1643" s="46" t="n">
        <f aca="false">IF(I1643="Male",0,1)</f>
        <v>1</v>
      </c>
      <c r="Y1643" s="46" t="n">
        <f aca="false">IF(OR(I1643="DNB",I1643="Dry DNB"),1,0)</f>
        <v>0</v>
      </c>
      <c r="Z1643" s="46" t="n">
        <f aca="false">IF(ISNUMBER(W1643),A1643-W1643,"")</f>
        <v>41</v>
      </c>
      <c r="AA1643" s="46" t="n">
        <f aca="false">MATCH(A1643,DATAS,0)</f>
        <v>1</v>
      </c>
      <c r="AB1643" s="46" t="n">
        <f aca="false">IF(AND(E1643&gt;0,OR(AND(B1643&gt;=1,B1643&lt;=6),B1643=10)),1,0)</f>
        <v>1</v>
      </c>
      <c r="AC1643" s="46" t="n">
        <f aca="false">IF(AND(E1643&gt;0,B1643=10),1,0)</f>
        <v>0</v>
      </c>
      <c r="AD1643" s="0" t="str">
        <f aca="false">IF(AND(C1642=C1643,AA1642=AA1643-1),AB1642,"")</f>
        <v/>
      </c>
      <c r="AE1643" s="0" t="str">
        <f aca="false">IF(AND(C1642=C1643,AA1642=AA1643-1),AC1642,"")</f>
        <v/>
      </c>
      <c r="AF1643" s="0" t="str">
        <f aca="false">IF(AA1643=1,"",IF(AND(AB1643=1,AD1643&lt;&gt;1),1,0))</f>
        <v/>
      </c>
      <c r="AG1643" s="0" t="str">
        <f aca="false">IF(AA1643=1,"",IF(AND(AC1643=1,AE1643&lt;&gt;1),1,0))</f>
        <v/>
      </c>
      <c r="AH1643" s="51" t="str">
        <f aca="false">IF(AND(E1643&gt;0,AA1643&lt;1,NOT(AND(C1644=C1643,AA1644=AA1643+1))),INDEX(DATAS,AA1643+1),"")</f>
        <v/>
      </c>
      <c r="AI1643" s="51" t="str">
        <f aca="false">IF(AND(AC1643=1,AA1643&lt;1),IF(AND(C1644=C1643,AA1644=AA1643+1),IF(AC1644=1,"",INDEX(DATAS,AA1643+1)),INDEX(DATAS,AA1643+1)),"")</f>
        <v/>
      </c>
    </row>
    <row r="1644" customFormat="false" ht="15" hidden="false" customHeight="false" outlineLevel="0" collapsed="false">
      <c r="A1644" s="51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46" t="s">
        <v>1013</v>
      </c>
      <c r="G1644" s="0" t="n">
        <v>58.1</v>
      </c>
      <c r="H1644" s="0" t="n">
        <v>56</v>
      </c>
      <c r="I1644" s="46" t="s">
        <v>181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51" t="n">
        <v>46296</v>
      </c>
      <c r="X1644" s="46" t="n">
        <f aca="false">IF(I1644="Male",0,1)</f>
        <v>1</v>
      </c>
      <c r="Y1644" s="46" t="n">
        <f aca="false">IF(OR(I1644="DNB",I1644="Dry DNB"),1,0)</f>
        <v>0</v>
      </c>
      <c r="Z1644" s="46" t="n">
        <f aca="false">IF(ISNUMBER(W1644),A1644-W1644,"")</f>
        <v>13</v>
      </c>
      <c r="AA1644" s="46" t="n">
        <f aca="false">MATCH(A1644,DATAS,0)</f>
        <v>1</v>
      </c>
      <c r="AB1644" s="46" t="n">
        <f aca="false">IF(AND(E1644&gt;0,OR(AND(B1644&gt;=1,B1644&lt;=6),B1644=10)),1,0)</f>
        <v>1</v>
      </c>
      <c r="AC1644" s="46" t="n">
        <f aca="false">IF(AND(E1644&gt;0,B1644=10),1,0)</f>
        <v>0</v>
      </c>
      <c r="AD1644" s="0" t="str">
        <f aca="false">IF(AND(C1643=C1644,AA1643=AA1644-1),AB1643,"")</f>
        <v/>
      </c>
      <c r="AE1644" s="0" t="str">
        <f aca="false">IF(AND(C1643=C1644,AA1643=AA1644-1),AC1643,"")</f>
        <v/>
      </c>
      <c r="AF1644" s="0" t="str">
        <f aca="false">IF(AA1644=1,"",IF(AND(AB1644=1,AD1644&lt;&gt;1),1,0))</f>
        <v/>
      </c>
      <c r="AG1644" s="0" t="str">
        <f aca="false">IF(AA1644=1,"",IF(AND(AC1644=1,AE1644&lt;&gt;1),1,0))</f>
        <v/>
      </c>
      <c r="AH1644" s="51" t="str">
        <f aca="false">IF(AND(E1644&gt;0,AA1644&lt;1,NOT(AND(C1645=C1644,AA1645=AA1644+1))),INDEX(DATAS,AA1644+1),"")</f>
        <v/>
      </c>
      <c r="AI1644" s="51" t="str">
        <f aca="false">IF(AND(AC1644=1,AA1644&lt;1),IF(AND(C1645=C1644,AA1645=AA1644+1),IF(AC1645=1,"",INDEX(DATAS,AA1644+1)),INDEX(DATAS,AA1644+1)),"")</f>
        <v/>
      </c>
    </row>
    <row r="1645" customFormat="false" ht="15" hidden="false" customHeight="false" outlineLevel="0" collapsed="false">
      <c r="A1645" s="51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46" t="s">
        <v>1014</v>
      </c>
      <c r="G1645" s="0" t="n">
        <v>44.5</v>
      </c>
      <c r="H1645" s="0" t="n">
        <v>42</v>
      </c>
      <c r="I1645" s="46" t="s">
        <v>152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51" t="n">
        <v>46263</v>
      </c>
      <c r="X1645" s="46" t="n">
        <f aca="false">IF(I1645="Male",0,1)</f>
        <v>1</v>
      </c>
      <c r="Y1645" s="46" t="n">
        <f aca="false">IF(OR(I1645="DNB",I1645="Dry DNB"),1,0)</f>
        <v>0</v>
      </c>
      <c r="Z1645" s="46" t="n">
        <f aca="false">IF(ISNUMBER(W1645),A1645-W1645,"")</f>
        <v>46</v>
      </c>
      <c r="AA1645" s="46" t="n">
        <f aca="false">MATCH(A1645,DATAS,0)</f>
        <v>1</v>
      </c>
      <c r="AB1645" s="46" t="n">
        <f aca="false">IF(AND(E1645&gt;0,OR(AND(B1645&gt;=1,B1645&lt;=6),B1645=10)),1,0)</f>
        <v>1</v>
      </c>
      <c r="AC1645" s="46" t="n">
        <f aca="false">IF(AND(E1645&gt;0,B1645=10),1,0)</f>
        <v>0</v>
      </c>
      <c r="AD1645" s="0" t="str">
        <f aca="false">IF(AND(C1644=C1645,AA1644=AA1645-1),AB1644,"")</f>
        <v/>
      </c>
      <c r="AE1645" s="0" t="str">
        <f aca="false">IF(AND(C1644=C1645,AA1644=AA1645-1),AC1644,"")</f>
        <v/>
      </c>
      <c r="AF1645" s="0" t="str">
        <f aca="false">IF(AA1645=1,"",IF(AND(AB1645=1,AD1645&lt;&gt;1),1,0))</f>
        <v/>
      </c>
      <c r="AG1645" s="0" t="str">
        <f aca="false">IF(AA1645=1,"",IF(AND(AC1645=1,AE1645&lt;&gt;1),1,0))</f>
        <v/>
      </c>
      <c r="AH1645" s="51" t="str">
        <f aca="false">IF(AND(E1645&gt;0,AA1645&lt;1,NOT(AND(C1646=C1645,AA1646=AA1645+1))),INDEX(DATAS,AA1645+1),"")</f>
        <v/>
      </c>
      <c r="AI1645" s="51" t="str">
        <f aca="false">IF(AND(AC1645=1,AA1645&lt;1),IF(AND(C1646=C1645,AA1646=AA1645+1),IF(AC1646=1,"",INDEX(DATAS,AA1645+1)),INDEX(DATAS,AA1645+1)),"")</f>
        <v/>
      </c>
    </row>
    <row r="1646" customFormat="false" ht="15" hidden="false" customHeight="false" outlineLevel="0" collapsed="false">
      <c r="A1646" s="51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46" t="s">
        <v>1014</v>
      </c>
      <c r="G1646" s="0" t="n">
        <v>53.3</v>
      </c>
      <c r="H1646" s="0" t="n">
        <v>52</v>
      </c>
      <c r="I1646" s="46" t="s">
        <v>181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51" t="n">
        <v>46289</v>
      </c>
      <c r="X1646" s="46" t="n">
        <f aca="false">IF(I1646="Male",0,1)</f>
        <v>1</v>
      </c>
      <c r="Y1646" s="46" t="n">
        <f aca="false">IF(OR(I1646="DNB",I1646="Dry DNB"),1,0)</f>
        <v>0</v>
      </c>
      <c r="Z1646" s="46" t="n">
        <f aca="false">IF(ISNUMBER(W1646),A1646-W1646,"")</f>
        <v>20</v>
      </c>
      <c r="AA1646" s="46" t="n">
        <f aca="false">MATCH(A1646,DATAS,0)</f>
        <v>1</v>
      </c>
      <c r="AB1646" s="46" t="n">
        <f aca="false">IF(AND(E1646&gt;0,OR(AND(B1646&gt;=1,B1646&lt;=6),B1646=10)),1,0)</f>
        <v>1</v>
      </c>
      <c r="AC1646" s="46" t="n">
        <f aca="false">IF(AND(E1646&gt;0,B1646=10),1,0)</f>
        <v>0</v>
      </c>
      <c r="AD1646" s="0" t="str">
        <f aca="false">IF(AND(C1645=C1646,AA1645=AA1646-1),AB1645,"")</f>
        <v/>
      </c>
      <c r="AE1646" s="0" t="str">
        <f aca="false">IF(AND(C1645=C1646,AA1645=AA1646-1),AC1645,"")</f>
        <v/>
      </c>
      <c r="AF1646" s="0" t="str">
        <f aca="false">IF(AA1646=1,"",IF(AND(AB1646=1,AD1646&lt;&gt;1),1,0))</f>
        <v/>
      </c>
      <c r="AG1646" s="0" t="str">
        <f aca="false">IF(AA1646=1,"",IF(AND(AC1646=1,AE1646&lt;&gt;1),1,0))</f>
        <v/>
      </c>
      <c r="AH1646" s="51" t="str">
        <f aca="false">IF(AND(E1646&gt;0,AA1646&lt;1,NOT(AND(C1647=C1646,AA1647=AA1646+1))),INDEX(DATAS,AA1646+1),"")</f>
        <v/>
      </c>
      <c r="AI1646" s="51" t="str">
        <f aca="false">IF(AND(AC1646=1,AA1646&lt;1),IF(AND(C1647=C1646,AA1647=AA1646+1),IF(AC1647=1,"",INDEX(DATAS,AA1646+1)),INDEX(DATAS,AA1646+1)),"")</f>
        <v/>
      </c>
    </row>
    <row r="1647" customFormat="false" ht="15" hidden="false" customHeight="false" outlineLevel="0" collapsed="false">
      <c r="A1647" s="51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46" t="s">
        <v>1014</v>
      </c>
      <c r="G1647" s="0" t="n">
        <v>24.9</v>
      </c>
      <c r="H1647" s="0" t="n">
        <v>27</v>
      </c>
      <c r="I1647" s="46" t="s">
        <v>181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51" t="n">
        <v>46284</v>
      </c>
      <c r="X1647" s="46" t="n">
        <f aca="false">IF(I1647="Male",0,1)</f>
        <v>1</v>
      </c>
      <c r="Y1647" s="46" t="n">
        <f aca="false">IF(OR(I1647="DNB",I1647="Dry DNB"),1,0)</f>
        <v>0</v>
      </c>
      <c r="Z1647" s="46" t="n">
        <f aca="false">IF(ISNUMBER(W1647),A1647-W1647,"")</f>
        <v>25</v>
      </c>
      <c r="AA1647" s="46" t="n">
        <f aca="false">MATCH(A1647,DATAS,0)</f>
        <v>1</v>
      </c>
      <c r="AB1647" s="46" t="n">
        <f aca="false">IF(AND(E1647&gt;0,OR(AND(B1647&gt;=1,B1647&lt;=6),B1647=10)),1,0)</f>
        <v>1</v>
      </c>
      <c r="AC1647" s="46" t="n">
        <f aca="false">IF(AND(E1647&gt;0,B1647=10),1,0)</f>
        <v>0</v>
      </c>
      <c r="AD1647" s="0" t="str">
        <f aca="false">IF(AND(C1646=C1647,AA1646=AA1647-1),AB1646,"")</f>
        <v/>
      </c>
      <c r="AE1647" s="0" t="str">
        <f aca="false">IF(AND(C1646=C1647,AA1646=AA1647-1),AC1646,"")</f>
        <v/>
      </c>
      <c r="AF1647" s="0" t="str">
        <f aca="false">IF(AA1647=1,"",IF(AND(AB1647=1,AD1647&lt;&gt;1),1,0))</f>
        <v/>
      </c>
      <c r="AG1647" s="0" t="str">
        <f aca="false">IF(AA1647=1,"",IF(AND(AC1647=1,AE1647&lt;&gt;1),1,0))</f>
        <v/>
      </c>
      <c r="AH1647" s="51" t="str">
        <f aca="false">IF(AND(E1647&gt;0,AA1647&lt;1,NOT(AND(C1648=C1647,AA1648=AA1647+1))),INDEX(DATAS,AA1647+1),"")</f>
        <v/>
      </c>
      <c r="AI1647" s="51" t="str">
        <f aca="false">IF(AND(AC1647=1,AA1647&lt;1),IF(AND(C1648=C1647,AA1648=AA1647+1),IF(AC1648=1,"",INDEX(DATAS,AA1647+1)),INDEX(DATAS,AA1647+1)),"")</f>
        <v/>
      </c>
    </row>
    <row r="1648" customFormat="false" ht="15" hidden="false" customHeight="false" outlineLevel="0" collapsed="false">
      <c r="A1648" s="51" t="n">
        <v>46309</v>
      </c>
      <c r="B1648" s="0" t="n">
        <v>7</v>
      </c>
      <c r="C1648" s="0" t="n">
        <v>5807</v>
      </c>
      <c r="E1648" s="0" t="n">
        <v>0</v>
      </c>
      <c r="F1648" s="46" t="s">
        <v>1015</v>
      </c>
      <c r="I1648" s="46" t="s">
        <v>152</v>
      </c>
      <c r="L1648" s="0" t="n">
        <v>196</v>
      </c>
      <c r="U1648" s="0" t="n">
        <v>792</v>
      </c>
      <c r="V1648" s="0" t="n">
        <v>5</v>
      </c>
      <c r="W1648" s="51" t="n">
        <v>46114</v>
      </c>
      <c r="X1648" s="46" t="n">
        <f aca="false">IF(I1648="Male",0,1)</f>
        <v>1</v>
      </c>
      <c r="Y1648" s="46" t="n">
        <f aca="false">IF(OR(I1648="DNB",I1648="Dry DNB"),1,0)</f>
        <v>0</v>
      </c>
      <c r="Z1648" s="46" t="n">
        <f aca="false">IF(ISNUMBER(W1648),A1648-W1648,"")</f>
        <v>195</v>
      </c>
      <c r="AA1648" s="46" t="n">
        <f aca="false">MATCH(A1648,DATAS,0)</f>
        <v>1</v>
      </c>
      <c r="AB1648" s="46" t="n">
        <f aca="false">IF(AND(E1648&gt;0,OR(AND(B1648&gt;=1,B1648&lt;=6),B1648=10)),1,0)</f>
        <v>0</v>
      </c>
      <c r="AC1648" s="46" t="n">
        <f aca="false">IF(AND(E1648&gt;0,B1648=10),1,0)</f>
        <v>0</v>
      </c>
      <c r="AD1648" s="0" t="str">
        <f aca="false">IF(AND(C1647=C1648,AA1647=AA1648-1),AB1647,"")</f>
        <v/>
      </c>
      <c r="AE1648" s="0" t="str">
        <f aca="false">IF(AND(C1647=C1648,AA1647=AA1648-1),AC1647,"")</f>
        <v/>
      </c>
      <c r="AF1648" s="0" t="str">
        <f aca="false">IF(AA1648=1,"",IF(AND(AB1648=1,AD1648&lt;&gt;1),1,0))</f>
        <v/>
      </c>
      <c r="AG1648" s="0" t="str">
        <f aca="false">IF(AA1648=1,"",IF(AND(AC1648=1,AE1648&lt;&gt;1),1,0))</f>
        <v/>
      </c>
      <c r="AH1648" s="51" t="str">
        <f aca="false">IF(AND(E1648&gt;0,AA1648&lt;1,NOT(AND(C1649=C1648,AA1649=AA1648+1))),INDEX(DATAS,AA1648+1),"")</f>
        <v/>
      </c>
      <c r="AI1648" s="51" t="str">
        <f aca="false">IF(AND(AC1648=1,AA1648&lt;1),IF(AND(C1649=C1648,AA1649=AA1648+1),IF(AC1649=1,"",INDEX(DATAS,AA1648+1)),INDEX(DATAS,AA1648+1)),"")</f>
        <v/>
      </c>
    </row>
    <row r="1649" customFormat="false" ht="15" hidden="false" customHeight="false" outlineLevel="0" collapsed="false">
      <c r="A1649" s="51" t="n">
        <v>46309</v>
      </c>
      <c r="B1649" s="0" t="n">
        <v>14</v>
      </c>
      <c r="C1649" s="0" t="n">
        <v>5808</v>
      </c>
      <c r="E1649" s="0" t="n">
        <v>0</v>
      </c>
      <c r="F1649" s="46" t="s">
        <v>1015</v>
      </c>
      <c r="I1649" s="46" t="s">
        <v>152</v>
      </c>
      <c r="L1649" s="0" t="n">
        <v>266</v>
      </c>
      <c r="U1649" s="0" t="n">
        <v>792</v>
      </c>
      <c r="V1649" s="0" t="n">
        <v>4</v>
      </c>
      <c r="W1649" s="51" t="n">
        <v>46044</v>
      </c>
      <c r="X1649" s="46" t="n">
        <f aca="false">IF(I1649="Male",0,1)</f>
        <v>1</v>
      </c>
      <c r="Y1649" s="46" t="n">
        <f aca="false">IF(OR(I1649="DNB",I1649="Dry DNB"),1,0)</f>
        <v>0</v>
      </c>
      <c r="Z1649" s="46" t="n">
        <f aca="false">IF(ISNUMBER(W1649),A1649-W1649,"")</f>
        <v>265</v>
      </c>
      <c r="AA1649" s="46" t="n">
        <f aca="false">MATCH(A1649,DATAS,0)</f>
        <v>1</v>
      </c>
      <c r="AB1649" s="46" t="n">
        <f aca="false">IF(AND(E1649&gt;0,OR(AND(B1649&gt;=1,B1649&lt;=6),B1649=10)),1,0)</f>
        <v>0</v>
      </c>
      <c r="AC1649" s="46" t="n">
        <f aca="false">IF(AND(E1649&gt;0,B1649=10),1,0)</f>
        <v>0</v>
      </c>
      <c r="AD1649" s="0" t="str">
        <f aca="false">IF(AND(C1648=C1649,AA1648=AA1649-1),AB1648,"")</f>
        <v/>
      </c>
      <c r="AE1649" s="0" t="str">
        <f aca="false">IF(AND(C1648=C1649,AA1648=AA1649-1),AC1648,"")</f>
        <v/>
      </c>
      <c r="AF1649" s="0" t="str">
        <f aca="false">IF(AA1649=1,"",IF(AND(AB1649=1,AD1649&lt;&gt;1),1,0))</f>
        <v/>
      </c>
      <c r="AG1649" s="0" t="str">
        <f aca="false">IF(AA1649=1,"",IF(AND(AC1649=1,AE1649&lt;&gt;1),1,0))</f>
        <v/>
      </c>
      <c r="AH1649" s="51" t="str">
        <f aca="false">IF(AND(E1649&gt;0,AA1649&lt;1,NOT(AND(C1650=C1649,AA1650=AA1649+1))),INDEX(DATAS,AA1649+1),"")</f>
        <v/>
      </c>
      <c r="AI1649" s="51" t="str">
        <f aca="false">IF(AND(AC1649=1,AA1649&lt;1),IF(AND(C1650=C1649,AA1650=AA1649+1),IF(AC1650=1,"",INDEX(DATAS,AA1649+1)),INDEX(DATAS,AA1649+1)),"")</f>
        <v/>
      </c>
    </row>
    <row r="1650" customFormat="false" ht="15" hidden="false" customHeight="false" outlineLevel="0" collapsed="false">
      <c r="A1650" s="51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46" t="s">
        <v>1015</v>
      </c>
      <c r="G1650" s="0" t="n">
        <v>46.9</v>
      </c>
      <c r="H1650" s="0" t="n">
        <v>44</v>
      </c>
      <c r="I1650" s="46" t="s">
        <v>181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51" t="n">
        <v>46310</v>
      </c>
      <c r="X1650" s="46" t="n">
        <f aca="false">IF(I1650="Male",0,1)</f>
        <v>1</v>
      </c>
      <c r="Y1650" s="46" t="n">
        <f aca="false">IF(OR(I1650="DNB",I1650="Dry DNB"),1,0)</f>
        <v>0</v>
      </c>
      <c r="Z1650" s="46" t="n">
        <f aca="false">IF(ISNUMBER(W1650),A1650-W1650,"")</f>
        <v>-1</v>
      </c>
      <c r="AA1650" s="46" t="n">
        <f aca="false">MATCH(A1650,DATAS,0)</f>
        <v>1</v>
      </c>
      <c r="AB1650" s="46" t="n">
        <f aca="false">IF(AND(E1650&gt;0,OR(AND(B1650&gt;=1,B1650&lt;=6),B1650=10)),1,0)</f>
        <v>1</v>
      </c>
      <c r="AC1650" s="46" t="n">
        <f aca="false">IF(AND(E1650&gt;0,B1650=10),1,0)</f>
        <v>0</v>
      </c>
      <c r="AD1650" s="0" t="str">
        <f aca="false">IF(AND(C1649=C1650,AA1649=AA1650-1),AB1649,"")</f>
        <v/>
      </c>
      <c r="AE1650" s="0" t="str">
        <f aca="false">IF(AND(C1649=C1650,AA1649=AA1650-1),AC1649,"")</f>
        <v/>
      </c>
      <c r="AF1650" s="0" t="str">
        <f aca="false">IF(AA1650=1,"",IF(AND(AB1650=1,AD1650&lt;&gt;1),1,0))</f>
        <v/>
      </c>
      <c r="AG1650" s="0" t="str">
        <f aca="false">IF(AA1650=1,"",IF(AND(AC1650=1,AE1650&lt;&gt;1),1,0))</f>
        <v/>
      </c>
      <c r="AH1650" s="51" t="str">
        <f aca="false">IF(AND(E1650&gt;0,AA1650&lt;1,NOT(AND(C1651=C1650,AA1651=AA1650+1))),INDEX(DATAS,AA1650+1),"")</f>
        <v/>
      </c>
      <c r="AI1650" s="51" t="str">
        <f aca="false">IF(AND(AC1650=1,AA1650&lt;1),IF(AND(C1651=C1650,AA1651=AA1650+1),IF(AC1651=1,"",INDEX(DATAS,AA1650+1)),INDEX(DATAS,AA1650+1)),"")</f>
        <v/>
      </c>
    </row>
    <row r="1651" customFormat="false" ht="15" hidden="false" customHeight="false" outlineLevel="0" collapsed="false">
      <c r="A1651" s="51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46" t="s">
        <v>1016</v>
      </c>
      <c r="G1651" s="0" t="n">
        <v>46</v>
      </c>
      <c r="H1651" s="0" t="n">
        <v>44</v>
      </c>
      <c r="I1651" s="46" t="s">
        <v>152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51" t="n">
        <v>46275</v>
      </c>
      <c r="X1651" s="46" t="n">
        <f aca="false">IF(I1651="Male",0,1)</f>
        <v>1</v>
      </c>
      <c r="Y1651" s="46" t="n">
        <f aca="false">IF(OR(I1651="DNB",I1651="Dry DNB"),1,0)</f>
        <v>0</v>
      </c>
      <c r="Z1651" s="46" t="n">
        <f aca="false">IF(ISNUMBER(W1651),A1651-W1651,"")</f>
        <v>34</v>
      </c>
      <c r="AA1651" s="46" t="n">
        <f aca="false">MATCH(A1651,DATAS,0)</f>
        <v>1</v>
      </c>
      <c r="AB1651" s="46" t="n">
        <f aca="false">IF(AND(E1651&gt;0,OR(AND(B1651&gt;=1,B1651&lt;=6),B1651=10)),1,0)</f>
        <v>1</v>
      </c>
      <c r="AC1651" s="46" t="n">
        <f aca="false">IF(AND(E1651&gt;0,B1651=10),1,0)</f>
        <v>0</v>
      </c>
      <c r="AD1651" s="0" t="str">
        <f aca="false">IF(AND(C1650=C1651,AA1650=AA1651-1),AB1650,"")</f>
        <v/>
      </c>
      <c r="AE1651" s="0" t="str">
        <f aca="false">IF(AND(C1650=C1651,AA1650=AA1651-1),AC1650,"")</f>
        <v/>
      </c>
      <c r="AF1651" s="0" t="str">
        <f aca="false">IF(AA1651=1,"",IF(AND(AB1651=1,AD1651&lt;&gt;1),1,0))</f>
        <v/>
      </c>
      <c r="AG1651" s="0" t="str">
        <f aca="false">IF(AA1651=1,"",IF(AND(AC1651=1,AE1651&lt;&gt;1),1,0))</f>
        <v/>
      </c>
      <c r="AH1651" s="51" t="str">
        <f aca="false">IF(AND(E1651&gt;0,AA1651&lt;1,NOT(AND(C1652=C1651,AA1652=AA1651+1))),INDEX(DATAS,AA1651+1),"")</f>
        <v/>
      </c>
      <c r="AI1651" s="51" t="str">
        <f aca="false">IF(AND(AC1651=1,AA1651&lt;1),IF(AND(C1652=C1651,AA1652=AA1651+1),IF(AC1652=1,"",INDEX(DATAS,AA1651+1)),INDEX(DATAS,AA1651+1)),"")</f>
        <v/>
      </c>
    </row>
    <row r="1652" customFormat="false" ht="15" hidden="false" customHeight="false" outlineLevel="0" collapsed="false">
      <c r="A1652" s="51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46" t="s">
        <v>1016</v>
      </c>
      <c r="G1652" s="0" t="n">
        <v>55.5</v>
      </c>
      <c r="H1652" s="0" t="n">
        <v>56</v>
      </c>
      <c r="I1652" s="46" t="s">
        <v>152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51" t="n">
        <v>46268</v>
      </c>
      <c r="X1652" s="46" t="n">
        <f aca="false">IF(I1652="Male",0,1)</f>
        <v>1</v>
      </c>
      <c r="Y1652" s="46" t="n">
        <f aca="false">IF(OR(I1652="DNB",I1652="Dry DNB"),1,0)</f>
        <v>0</v>
      </c>
      <c r="Z1652" s="46" t="n">
        <f aca="false">IF(ISNUMBER(W1652),A1652-W1652,"")</f>
        <v>41</v>
      </c>
      <c r="AA1652" s="46" t="n">
        <f aca="false">MATCH(A1652,DATAS,0)</f>
        <v>1</v>
      </c>
      <c r="AB1652" s="46" t="n">
        <f aca="false">IF(AND(E1652&gt;0,OR(AND(B1652&gt;=1,B1652&lt;=6),B1652=10)),1,0)</f>
        <v>1</v>
      </c>
      <c r="AC1652" s="46" t="n">
        <f aca="false">IF(AND(E1652&gt;0,B1652=10),1,0)</f>
        <v>0</v>
      </c>
      <c r="AD1652" s="0" t="str">
        <f aca="false">IF(AND(C1651=C1652,AA1651=AA1652-1),AB1651,"")</f>
        <v/>
      </c>
      <c r="AE1652" s="0" t="str">
        <f aca="false">IF(AND(C1651=C1652,AA1651=AA1652-1),AC1651,"")</f>
        <v/>
      </c>
      <c r="AF1652" s="0" t="str">
        <f aca="false">IF(AA1652=1,"",IF(AND(AB1652=1,AD1652&lt;&gt;1),1,0))</f>
        <v/>
      </c>
      <c r="AG1652" s="0" t="str">
        <f aca="false">IF(AA1652=1,"",IF(AND(AC1652=1,AE1652&lt;&gt;1),1,0))</f>
        <v/>
      </c>
      <c r="AH1652" s="51" t="str">
        <f aca="false">IF(AND(E1652&gt;0,AA1652&lt;1,NOT(AND(C1653=C1652,AA1653=AA1652+1))),INDEX(DATAS,AA1652+1),"")</f>
        <v/>
      </c>
      <c r="AI1652" s="51" t="str">
        <f aca="false">IF(AND(AC1652=1,AA1652&lt;1),IF(AND(C1653=C1652,AA1653=AA1652+1),IF(AC1653=1,"",INDEX(DATAS,AA1652+1)),INDEX(DATAS,AA1652+1)),"")</f>
        <v/>
      </c>
    </row>
    <row r="1653" customFormat="false" ht="15" hidden="false" customHeight="false" outlineLevel="0" collapsed="false">
      <c r="A1653" s="51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46" t="s">
        <v>1016</v>
      </c>
      <c r="G1653" s="0" t="n">
        <v>63.7</v>
      </c>
      <c r="H1653" s="0" t="n">
        <v>62</v>
      </c>
      <c r="I1653" s="46" t="s">
        <v>152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51" t="n">
        <v>46261</v>
      </c>
      <c r="X1653" s="46" t="n">
        <f aca="false">IF(I1653="Male",0,1)</f>
        <v>1</v>
      </c>
      <c r="Y1653" s="46" t="n">
        <f aca="false">IF(OR(I1653="DNB",I1653="Dry DNB"),1,0)</f>
        <v>0</v>
      </c>
      <c r="Z1653" s="46" t="n">
        <f aca="false">IF(ISNUMBER(W1653),A1653-W1653,"")</f>
        <v>48</v>
      </c>
      <c r="AA1653" s="46" t="n">
        <f aca="false">MATCH(A1653,DATAS,0)</f>
        <v>1</v>
      </c>
      <c r="AB1653" s="46" t="n">
        <f aca="false">IF(AND(E1653&gt;0,OR(AND(B1653&gt;=1,B1653&lt;=6),B1653=10)),1,0)</f>
        <v>1</v>
      </c>
      <c r="AC1653" s="46" t="n">
        <f aca="false">IF(AND(E1653&gt;0,B1653=10),1,0)</f>
        <v>0</v>
      </c>
      <c r="AD1653" s="0" t="str">
        <f aca="false">IF(AND(C1652=C1653,AA1652=AA1653-1),AB1652,"")</f>
        <v/>
      </c>
      <c r="AE1653" s="0" t="str">
        <f aca="false">IF(AND(C1652=C1653,AA1652=AA1653-1),AC1652,"")</f>
        <v/>
      </c>
      <c r="AF1653" s="0" t="str">
        <f aca="false">IF(AA1653=1,"",IF(AND(AB1653=1,AD1653&lt;&gt;1),1,0))</f>
        <v/>
      </c>
      <c r="AG1653" s="0" t="str">
        <f aca="false">IF(AA1653=1,"",IF(AND(AC1653=1,AE1653&lt;&gt;1),1,0))</f>
        <v/>
      </c>
      <c r="AH1653" s="51" t="str">
        <f aca="false">IF(AND(E1653&gt;0,AA1653&lt;1,NOT(AND(C1654=C1653,AA1654=AA1653+1))),INDEX(DATAS,AA1653+1),"")</f>
        <v/>
      </c>
      <c r="AI1653" s="51" t="str">
        <f aca="false">IF(AND(AC1653=1,AA1653&lt;1),IF(AND(C1654=C1653,AA1654=AA1653+1),IF(AC1654=1,"",INDEX(DATAS,AA1653+1)),INDEX(DATAS,AA1653+1)),"")</f>
        <v/>
      </c>
    </row>
    <row r="1654" customFormat="false" ht="15" hidden="false" customHeight="false" outlineLevel="0" collapsed="false">
      <c r="A1654" s="51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46" t="s">
        <v>1016</v>
      </c>
      <c r="G1654" s="0" t="n">
        <v>52.9</v>
      </c>
      <c r="H1654" s="0" t="n">
        <v>54</v>
      </c>
      <c r="I1654" s="46" t="s">
        <v>152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51" t="n">
        <v>46247</v>
      </c>
      <c r="X1654" s="46" t="n">
        <f aca="false">IF(I1654="Male",0,1)</f>
        <v>1</v>
      </c>
      <c r="Y1654" s="46" t="n">
        <f aca="false">IF(OR(I1654="DNB",I1654="Dry DNB"),1,0)</f>
        <v>0</v>
      </c>
      <c r="Z1654" s="46" t="n">
        <f aca="false">IF(ISNUMBER(W1654),A1654-W1654,"")</f>
        <v>62</v>
      </c>
      <c r="AA1654" s="46" t="n">
        <f aca="false">MATCH(A1654,DATAS,0)</f>
        <v>1</v>
      </c>
      <c r="AB1654" s="46" t="n">
        <f aca="false">IF(AND(E1654&gt;0,OR(AND(B1654&gt;=1,B1654&lt;=6),B1654=10)),1,0)</f>
        <v>1</v>
      </c>
      <c r="AC1654" s="46" t="n">
        <f aca="false">IF(AND(E1654&gt;0,B1654=10),1,0)</f>
        <v>0</v>
      </c>
      <c r="AD1654" s="0" t="str">
        <f aca="false">IF(AND(C1653=C1654,AA1653=AA1654-1),AB1653,"")</f>
        <v/>
      </c>
      <c r="AE1654" s="0" t="str">
        <f aca="false">IF(AND(C1653=C1654,AA1653=AA1654-1),AC1653,"")</f>
        <v/>
      </c>
      <c r="AF1654" s="0" t="str">
        <f aca="false">IF(AA1654=1,"",IF(AND(AB1654=1,AD1654&lt;&gt;1),1,0))</f>
        <v/>
      </c>
      <c r="AG1654" s="0" t="str">
        <f aca="false">IF(AA1654=1,"",IF(AND(AC1654=1,AE1654&lt;&gt;1),1,0))</f>
        <v/>
      </c>
      <c r="AH1654" s="51" t="str">
        <f aca="false">IF(AND(E1654&gt;0,AA1654&lt;1,NOT(AND(C1655=C1654,AA1655=AA1654+1))),INDEX(DATAS,AA1654+1),"")</f>
        <v/>
      </c>
      <c r="AI1654" s="51" t="str">
        <f aca="false">IF(AND(AC1654=1,AA1654&lt;1),IF(AND(C1655=C1654,AA1655=AA1654+1),IF(AC1655=1,"",INDEX(DATAS,AA1654+1)),INDEX(DATAS,AA1654+1)),"")</f>
        <v/>
      </c>
    </row>
    <row r="1655" customFormat="false" ht="15" hidden="false" customHeight="false" outlineLevel="0" collapsed="false">
      <c r="A1655" s="51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46" t="s">
        <v>1017</v>
      </c>
      <c r="G1655" s="0" t="n">
        <v>48.6</v>
      </c>
      <c r="H1655" s="0" t="n">
        <v>53</v>
      </c>
      <c r="I1655" s="46" t="s">
        <v>181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51" t="n">
        <v>46310</v>
      </c>
      <c r="X1655" s="46" t="n">
        <f aca="false">IF(I1655="Male",0,1)</f>
        <v>1</v>
      </c>
      <c r="Y1655" s="46" t="n">
        <f aca="false">IF(OR(I1655="DNB",I1655="Dry DNB"),1,0)</f>
        <v>0</v>
      </c>
      <c r="Z1655" s="46" t="n">
        <f aca="false">IF(ISNUMBER(W1655),A1655-W1655,"")</f>
        <v>-1</v>
      </c>
      <c r="AA1655" s="46" t="n">
        <f aca="false">MATCH(A1655,DATAS,0)</f>
        <v>1</v>
      </c>
      <c r="AB1655" s="46" t="n">
        <f aca="false">IF(AND(E1655&gt;0,OR(AND(B1655&gt;=1,B1655&lt;=6),B1655=10)),1,0)</f>
        <v>1</v>
      </c>
      <c r="AC1655" s="46" t="n">
        <f aca="false">IF(AND(E1655&gt;0,B1655=10),1,0)</f>
        <v>0</v>
      </c>
      <c r="AD1655" s="0" t="str">
        <f aca="false">IF(AND(C1654=C1655,AA1654=AA1655-1),AB1654,"")</f>
        <v/>
      </c>
      <c r="AE1655" s="0" t="str">
        <f aca="false">IF(AND(C1654=C1655,AA1654=AA1655-1),AC1654,"")</f>
        <v/>
      </c>
      <c r="AF1655" s="0" t="str">
        <f aca="false">IF(AA1655=1,"",IF(AND(AB1655=1,AD1655&lt;&gt;1),1,0))</f>
        <v/>
      </c>
      <c r="AG1655" s="0" t="str">
        <f aca="false">IF(AA1655=1,"",IF(AND(AC1655=1,AE1655&lt;&gt;1),1,0))</f>
        <v/>
      </c>
      <c r="AH1655" s="51" t="str">
        <f aca="false">IF(AND(E1655&gt;0,AA1655&lt;1,NOT(AND(C1656=C1655,AA1656=AA1655+1))),INDEX(DATAS,AA1655+1),"")</f>
        <v/>
      </c>
      <c r="AI1655" s="51" t="str">
        <f aca="false">IF(AND(AC1655=1,AA1655&lt;1),IF(AND(C1656=C1655,AA1656=AA1655+1),IF(AC1656=1,"",INDEX(DATAS,AA1655+1)),INDEX(DATAS,AA1655+1)),"")</f>
        <v/>
      </c>
    </row>
    <row r="1656" customFormat="false" ht="15" hidden="false" customHeight="false" outlineLevel="0" collapsed="false">
      <c r="A1656" s="51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46" t="s">
        <v>1017</v>
      </c>
      <c r="G1656" s="0" t="n">
        <v>31.7</v>
      </c>
      <c r="H1656" s="0" t="n">
        <v>29</v>
      </c>
      <c r="I1656" s="46" t="s">
        <v>161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X1656" s="46" t="n">
        <f aca="false">IF(I1656="Male",0,1)</f>
        <v>1</v>
      </c>
      <c r="Y1656" s="46" t="n">
        <f aca="false">IF(OR(I1656="DNB",I1656="Dry DNB"),1,0)</f>
        <v>0</v>
      </c>
      <c r="Z1656" s="0" t="str">
        <f aca="false">IF(ISNUMBER(W1656),A1656-W1656,"")</f>
        <v/>
      </c>
      <c r="AA1656" s="46" t="n">
        <f aca="false">MATCH(A1656,DATAS,0)</f>
        <v>1</v>
      </c>
      <c r="AB1656" s="46" t="n">
        <f aca="false">IF(AND(E1656&gt;0,OR(AND(B1656&gt;=1,B1656&lt;=6),B1656=10)),1,0)</f>
        <v>1</v>
      </c>
      <c r="AC1656" s="46" t="n">
        <f aca="false">IF(AND(E1656&gt;0,B1656=10),1,0)</f>
        <v>0</v>
      </c>
      <c r="AD1656" s="0" t="str">
        <f aca="false">IF(AND(C1655=C1656,AA1655=AA1656-1),AB1655,"")</f>
        <v/>
      </c>
      <c r="AE1656" s="0" t="str">
        <f aca="false">IF(AND(C1655=C1656,AA1655=AA1656-1),AC1655,"")</f>
        <v/>
      </c>
      <c r="AF1656" s="0" t="str">
        <f aca="false">IF(AA1656=1,"",IF(AND(AB1656=1,AD1656&lt;&gt;1),1,0))</f>
        <v/>
      </c>
      <c r="AG1656" s="0" t="str">
        <f aca="false">IF(AA1656=1,"",IF(AND(AC1656=1,AE1656&lt;&gt;1),1,0))</f>
        <v/>
      </c>
      <c r="AH1656" s="51" t="str">
        <f aca="false">IF(AND(E1656&gt;0,AA1656&lt;1,NOT(AND(C1657=C1656,AA1657=AA1656+1))),INDEX(DATAS,AA1656+1),"")</f>
        <v/>
      </c>
      <c r="AI1656" s="51" t="str">
        <f aca="false">IF(AND(AC1656=1,AA1656&lt;1),IF(AND(C1657=C1656,AA1657=AA1656+1),IF(AC1657=1,"",INDEX(DATAS,AA1656+1)),INDEX(DATAS,AA1656+1)),"")</f>
        <v/>
      </c>
    </row>
    <row r="1657" customFormat="false" ht="15" hidden="false" customHeight="false" outlineLevel="0" collapsed="false">
      <c r="A1657" s="51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46" t="s">
        <v>1018</v>
      </c>
      <c r="G1657" s="0" t="n">
        <v>20</v>
      </c>
      <c r="H1657" s="0" t="n">
        <v>17</v>
      </c>
      <c r="I1657" s="46" t="s">
        <v>161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X1657" s="46" t="n">
        <f aca="false">IF(I1657="Male",0,1)</f>
        <v>1</v>
      </c>
      <c r="Y1657" s="46" t="n">
        <f aca="false">IF(OR(I1657="DNB",I1657="Dry DNB"),1,0)</f>
        <v>0</v>
      </c>
      <c r="Z1657" s="0" t="str">
        <f aca="false">IF(ISNUMBER(W1657),A1657-W1657,"")</f>
        <v/>
      </c>
      <c r="AA1657" s="46" t="n">
        <f aca="false">MATCH(A1657,DATAS,0)</f>
        <v>1</v>
      </c>
      <c r="AB1657" s="46" t="n">
        <f aca="false">IF(AND(E1657&gt;0,OR(AND(B1657&gt;=1,B1657&lt;=6),B1657=10)),1,0)</f>
        <v>1</v>
      </c>
      <c r="AC1657" s="46" t="n">
        <f aca="false">IF(AND(E1657&gt;0,B1657=10),1,0)</f>
        <v>0</v>
      </c>
      <c r="AD1657" s="0" t="str">
        <f aca="false">IF(AND(C1656=C1657,AA1656=AA1657-1),AB1656,"")</f>
        <v/>
      </c>
      <c r="AE1657" s="0" t="str">
        <f aca="false">IF(AND(C1656=C1657,AA1656=AA1657-1),AC1656,"")</f>
        <v/>
      </c>
      <c r="AF1657" s="0" t="str">
        <f aca="false">IF(AA1657=1,"",IF(AND(AB1657=1,AD1657&lt;&gt;1),1,0))</f>
        <v/>
      </c>
      <c r="AG1657" s="0" t="str">
        <f aca="false">IF(AA1657=1,"",IF(AND(AC1657=1,AE1657&lt;&gt;1),1,0))</f>
        <v/>
      </c>
      <c r="AH1657" s="51" t="str">
        <f aca="false">IF(AND(E1657&gt;0,AA1657&lt;1,NOT(AND(C1658=C1657,AA1658=AA1657+1))),INDEX(DATAS,AA1657+1),"")</f>
        <v/>
      </c>
      <c r="AI1657" s="51" t="str">
        <f aca="false">IF(AND(AC1657=1,AA1657&lt;1),IF(AND(C1658=C1657,AA1658=AA1657+1),IF(AC1658=1,"",INDEX(DATAS,AA1657+1)),INDEX(DATAS,AA1657+1)),"")</f>
        <v/>
      </c>
    </row>
    <row r="1658" customFormat="false" ht="15" hidden="false" customHeight="false" outlineLevel="0" collapsed="false">
      <c r="A1658" s="51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46" t="s">
        <v>1018</v>
      </c>
      <c r="I1658" s="46" t="s">
        <v>161</v>
      </c>
      <c r="J1658" s="0" t="n">
        <v>15</v>
      </c>
      <c r="U1658" s="0" t="n">
        <v>788</v>
      </c>
      <c r="V1658" s="0" t="n">
        <v>0</v>
      </c>
      <c r="X1658" s="46" t="n">
        <f aca="false">IF(I1658="Male",0,1)</f>
        <v>1</v>
      </c>
      <c r="Y1658" s="46" t="n">
        <f aca="false">IF(OR(I1658="DNB",I1658="Dry DNB"),1,0)</f>
        <v>0</v>
      </c>
      <c r="Z1658" s="0" t="str">
        <f aca="false">IF(ISNUMBER(W1658),A1658-W1658,"")</f>
        <v/>
      </c>
      <c r="AA1658" s="46" t="n">
        <f aca="false">MATCH(A1658,DATAS,0)</f>
        <v>1</v>
      </c>
      <c r="AB1658" s="46" t="n">
        <f aca="false">IF(AND(E1658&gt;0,OR(AND(B1658&gt;=1,B1658&lt;=6),B1658=10)),1,0)</f>
        <v>1</v>
      </c>
      <c r="AC1658" s="46" t="n">
        <f aca="false">IF(AND(E1658&gt;0,B1658=10),1,0)</f>
        <v>1</v>
      </c>
      <c r="AD1658" s="0" t="str">
        <f aca="false">IF(AND(C1657=C1658,AA1657=AA1658-1),AB1657,"")</f>
        <v/>
      </c>
      <c r="AE1658" s="0" t="str">
        <f aca="false">IF(AND(C1657=C1658,AA1657=AA1658-1),AC1657,"")</f>
        <v/>
      </c>
      <c r="AF1658" s="0" t="str">
        <f aca="false">IF(AA1658=1,"",IF(AND(AB1658=1,AD1658&lt;&gt;1),1,0))</f>
        <v/>
      </c>
      <c r="AG1658" s="0" t="str">
        <f aca="false">IF(AA1658=1,"",IF(AND(AC1658=1,AE1658&lt;&gt;1),1,0))</f>
        <v/>
      </c>
      <c r="AH1658" s="51" t="str">
        <f aca="false">IF(AND(E1658&gt;0,AA1658&lt;1,NOT(AND(C1659=C1658,AA1659=AA1658+1))),INDEX(DATAS,AA1658+1),"")</f>
        <v/>
      </c>
      <c r="AI1658" s="51" t="str">
        <f aca="false">IF(AND(AC1658=1,AA1658&lt;1),IF(AND(C1659=C1658,AA1659=AA1658+1),IF(AC1659=1,"",INDEX(DATAS,AA1658+1)),INDEX(DATAS,AA1658+1)),"")</f>
        <v/>
      </c>
    </row>
    <row r="1659" customFormat="false" ht="15" hidden="false" customHeight="false" outlineLevel="0" collapsed="false">
      <c r="A1659" s="51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46" t="s">
        <v>1019</v>
      </c>
      <c r="G1659" s="0" t="n">
        <v>48.4</v>
      </c>
      <c r="H1659" s="0" t="n">
        <v>49</v>
      </c>
      <c r="I1659" s="46" t="s">
        <v>181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51" t="n">
        <v>46296</v>
      </c>
      <c r="X1659" s="46" t="n">
        <f aca="false">IF(I1659="Male",0,1)</f>
        <v>1</v>
      </c>
      <c r="Y1659" s="46" t="n">
        <f aca="false">IF(OR(I1659="DNB",I1659="Dry DNB"),1,0)</f>
        <v>0</v>
      </c>
      <c r="Z1659" s="46" t="n">
        <f aca="false">IF(ISNUMBER(W1659),A1659-W1659,"")</f>
        <v>13</v>
      </c>
      <c r="AA1659" s="46" t="n">
        <f aca="false">MATCH(A1659,DATAS,0)</f>
        <v>1</v>
      </c>
      <c r="AB1659" s="46" t="n">
        <f aca="false">IF(AND(E1659&gt;0,OR(AND(B1659&gt;=1,B1659&lt;=6),B1659=10)),1,0)</f>
        <v>1</v>
      </c>
      <c r="AC1659" s="46" t="n">
        <f aca="false">IF(AND(E1659&gt;0,B1659=10),1,0)</f>
        <v>0</v>
      </c>
      <c r="AD1659" s="0" t="str">
        <f aca="false">IF(AND(C1658=C1659,AA1658=AA1659-1),AB1658,"")</f>
        <v/>
      </c>
      <c r="AE1659" s="0" t="str">
        <f aca="false">IF(AND(C1658=C1659,AA1658=AA1659-1),AC1658,"")</f>
        <v/>
      </c>
      <c r="AF1659" s="0" t="str">
        <f aca="false">IF(AA1659=1,"",IF(AND(AB1659=1,AD1659&lt;&gt;1),1,0))</f>
        <v/>
      </c>
      <c r="AG1659" s="0" t="str">
        <f aca="false">IF(AA1659=1,"",IF(AND(AC1659=1,AE1659&lt;&gt;1),1,0))</f>
        <v/>
      </c>
      <c r="AH1659" s="51" t="str">
        <f aca="false">IF(AND(E1659&gt;0,AA1659&lt;1,NOT(AND(C1660=C1659,AA1660=AA1659+1))),INDEX(DATAS,AA1659+1),"")</f>
        <v/>
      </c>
      <c r="AI1659" s="51" t="str">
        <f aca="false">IF(AND(AC1659=1,AA1659&lt;1),IF(AND(C1660=C1659,AA1660=AA1659+1),IF(AC1660=1,"",INDEX(DATAS,AA1659+1)),INDEX(DATAS,AA1659+1)),"")</f>
        <v/>
      </c>
    </row>
    <row r="1660" customFormat="false" ht="15" hidden="false" customHeight="false" outlineLevel="0" collapsed="false">
      <c r="A1660" s="51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46" t="s">
        <v>1019</v>
      </c>
      <c r="G1660" s="0" t="n">
        <v>50.5</v>
      </c>
      <c r="H1660" s="0" t="n">
        <v>50</v>
      </c>
      <c r="I1660" s="46" t="s">
        <v>152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51" t="n">
        <v>46275</v>
      </c>
      <c r="X1660" s="46" t="n">
        <f aca="false">IF(I1660="Male",0,1)</f>
        <v>1</v>
      </c>
      <c r="Y1660" s="46" t="n">
        <f aca="false">IF(OR(I1660="DNB",I1660="Dry DNB"),1,0)</f>
        <v>0</v>
      </c>
      <c r="Z1660" s="46" t="n">
        <f aca="false">IF(ISNUMBER(W1660),A1660-W1660,"")</f>
        <v>34</v>
      </c>
      <c r="AA1660" s="46" t="n">
        <f aca="false">MATCH(A1660,DATAS,0)</f>
        <v>1</v>
      </c>
      <c r="AB1660" s="46" t="n">
        <f aca="false">IF(AND(E1660&gt;0,OR(AND(B1660&gt;=1,B1660&lt;=6),B1660=10)),1,0)</f>
        <v>1</v>
      </c>
      <c r="AC1660" s="46" t="n">
        <f aca="false">IF(AND(E1660&gt;0,B1660=10),1,0)</f>
        <v>0</v>
      </c>
      <c r="AD1660" s="0" t="str">
        <f aca="false">IF(AND(C1659=C1660,AA1659=AA1660-1),AB1659,"")</f>
        <v/>
      </c>
      <c r="AE1660" s="0" t="str">
        <f aca="false">IF(AND(C1659=C1660,AA1659=AA1660-1),AC1659,"")</f>
        <v/>
      </c>
      <c r="AF1660" s="0" t="str">
        <f aca="false">IF(AA1660=1,"",IF(AND(AB1660=1,AD1660&lt;&gt;1),1,0))</f>
        <v/>
      </c>
      <c r="AG1660" s="0" t="str">
        <f aca="false">IF(AA1660=1,"",IF(AND(AC1660=1,AE1660&lt;&gt;1),1,0))</f>
        <v/>
      </c>
      <c r="AH1660" s="51" t="str">
        <f aca="false">IF(AND(E1660&gt;0,AA1660&lt;1,NOT(AND(C1661=C1660,AA1661=AA1660+1))),INDEX(DATAS,AA1660+1),"")</f>
        <v/>
      </c>
      <c r="AI1660" s="51" t="str">
        <f aca="false">IF(AND(AC1660=1,AA1660&lt;1),IF(AND(C1661=C1660,AA1661=AA1660+1),IF(AC1661=1,"",INDEX(DATAS,AA1660+1)),INDEX(DATAS,AA1660+1)),"")</f>
        <v/>
      </c>
    </row>
    <row r="1661" customFormat="false" ht="15" hidden="false" customHeight="false" outlineLevel="0" collapsed="false">
      <c r="A1661" s="51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46" t="s">
        <v>1019</v>
      </c>
      <c r="G1661" s="0" t="n">
        <v>47.7</v>
      </c>
      <c r="H1661" s="0" t="n">
        <v>49</v>
      </c>
      <c r="I1661" s="46" t="s">
        <v>181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51" t="n">
        <v>46291</v>
      </c>
      <c r="X1661" s="46" t="n">
        <f aca="false">IF(I1661="Male",0,1)</f>
        <v>1</v>
      </c>
      <c r="Y1661" s="46" t="n">
        <f aca="false">IF(OR(I1661="DNB",I1661="Dry DNB"),1,0)</f>
        <v>0</v>
      </c>
      <c r="Z1661" s="46" t="n">
        <f aca="false">IF(ISNUMBER(W1661),A1661-W1661,"")</f>
        <v>18</v>
      </c>
      <c r="AA1661" s="46" t="n">
        <f aca="false">MATCH(A1661,DATAS,0)</f>
        <v>1</v>
      </c>
      <c r="AB1661" s="46" t="n">
        <f aca="false">IF(AND(E1661&gt;0,OR(AND(B1661&gt;=1,B1661&lt;=6),B1661=10)),1,0)</f>
        <v>1</v>
      </c>
      <c r="AC1661" s="46" t="n">
        <f aca="false">IF(AND(E1661&gt;0,B1661=10),1,0)</f>
        <v>0</v>
      </c>
      <c r="AD1661" s="0" t="str">
        <f aca="false">IF(AND(C1660=C1661,AA1660=AA1661-1),AB1660,"")</f>
        <v/>
      </c>
      <c r="AE1661" s="0" t="str">
        <f aca="false">IF(AND(C1660=C1661,AA1660=AA1661-1),AC1660,"")</f>
        <v/>
      </c>
      <c r="AF1661" s="0" t="str">
        <f aca="false">IF(AA1661=1,"",IF(AND(AB1661=1,AD1661&lt;&gt;1),1,0))</f>
        <v/>
      </c>
      <c r="AG1661" s="0" t="str">
        <f aca="false">IF(AA1661=1,"",IF(AND(AC1661=1,AE1661&lt;&gt;1),1,0))</f>
        <v/>
      </c>
      <c r="AH1661" s="51" t="str">
        <f aca="false">IF(AND(E1661&gt;0,AA1661&lt;1,NOT(AND(C1662=C1661,AA1662=AA1661+1))),INDEX(DATAS,AA1661+1),"")</f>
        <v/>
      </c>
      <c r="AI1661" s="51" t="str">
        <f aca="false">IF(AND(AC1661=1,AA1661&lt;1),IF(AND(C1662=C1661,AA1662=AA1661+1),IF(AC1662=1,"",INDEX(DATAS,AA1661+1)),INDEX(DATAS,AA1661+1)),"")</f>
        <v/>
      </c>
    </row>
    <row r="1662" customFormat="false" ht="15" hidden="false" customHeight="false" outlineLevel="0" collapsed="false">
      <c r="A1662" s="51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46" t="s">
        <v>1020</v>
      </c>
      <c r="G1662" s="0" t="n">
        <v>56.1</v>
      </c>
      <c r="H1662" s="0" t="n">
        <v>55</v>
      </c>
      <c r="I1662" s="46" t="s">
        <v>181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51" t="n">
        <v>46310</v>
      </c>
      <c r="X1662" s="46" t="n">
        <f aca="false">IF(I1662="Male",0,1)</f>
        <v>1</v>
      </c>
      <c r="Y1662" s="46" t="n">
        <f aca="false">IF(OR(I1662="DNB",I1662="Dry DNB"),1,0)</f>
        <v>0</v>
      </c>
      <c r="Z1662" s="46" t="n">
        <f aca="false">IF(ISNUMBER(W1662),A1662-W1662,"")</f>
        <v>-1</v>
      </c>
      <c r="AA1662" s="46" t="n">
        <f aca="false">MATCH(A1662,DATAS,0)</f>
        <v>1</v>
      </c>
      <c r="AB1662" s="46" t="n">
        <f aca="false">IF(AND(E1662&gt;0,OR(AND(B1662&gt;=1,B1662&lt;=6),B1662=10)),1,0)</f>
        <v>1</v>
      </c>
      <c r="AC1662" s="46" t="n">
        <f aca="false">IF(AND(E1662&gt;0,B1662=10),1,0)</f>
        <v>0</v>
      </c>
      <c r="AD1662" s="0" t="str">
        <f aca="false">IF(AND(C1661=C1662,AA1661=AA1662-1),AB1661,"")</f>
        <v/>
      </c>
      <c r="AE1662" s="0" t="str">
        <f aca="false">IF(AND(C1661=C1662,AA1661=AA1662-1),AC1661,"")</f>
        <v/>
      </c>
      <c r="AF1662" s="0" t="str">
        <f aca="false">IF(AA1662=1,"",IF(AND(AB1662=1,AD1662&lt;&gt;1),1,0))</f>
        <v/>
      </c>
      <c r="AG1662" s="0" t="str">
        <f aca="false">IF(AA1662=1,"",IF(AND(AC1662=1,AE1662&lt;&gt;1),1,0))</f>
        <v/>
      </c>
      <c r="AH1662" s="51" t="str">
        <f aca="false">IF(AND(E1662&gt;0,AA1662&lt;1,NOT(AND(C1663=C1662,AA1663=AA1662+1))),INDEX(DATAS,AA1662+1),"")</f>
        <v/>
      </c>
      <c r="AI1662" s="51" t="str">
        <f aca="false">IF(AND(AC1662=1,AA1662&lt;1),IF(AND(C1663=C1662,AA1663=AA1662+1),IF(AC1663=1,"",INDEX(DATAS,AA1662+1)),INDEX(DATAS,AA1662+1)),"")</f>
        <v/>
      </c>
    </row>
    <row r="1663" customFormat="false" ht="15" hidden="false" customHeight="false" outlineLevel="0" collapsed="false">
      <c r="A1663" s="51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46" t="s">
        <v>1021</v>
      </c>
      <c r="G1663" s="0" t="n">
        <v>47.7</v>
      </c>
      <c r="H1663" s="0" t="n">
        <v>49</v>
      </c>
      <c r="I1663" s="46" t="s">
        <v>152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51" t="n">
        <v>46198</v>
      </c>
      <c r="X1663" s="46" t="n">
        <f aca="false">IF(I1663="Male",0,1)</f>
        <v>1</v>
      </c>
      <c r="Y1663" s="46" t="n">
        <f aca="false">IF(OR(I1663="DNB",I1663="Dry DNB"),1,0)</f>
        <v>0</v>
      </c>
      <c r="Z1663" s="46" t="n">
        <f aca="false">IF(ISNUMBER(W1663),A1663-W1663,"")</f>
        <v>111</v>
      </c>
      <c r="AA1663" s="46" t="n">
        <f aca="false">MATCH(A1663,DATAS,0)</f>
        <v>1</v>
      </c>
      <c r="AB1663" s="46" t="n">
        <f aca="false">IF(AND(E1663&gt;0,OR(AND(B1663&gt;=1,B1663&lt;=6),B1663=10)),1,0)</f>
        <v>1</v>
      </c>
      <c r="AC1663" s="46" t="n">
        <f aca="false">IF(AND(E1663&gt;0,B1663=10),1,0)</f>
        <v>0</v>
      </c>
      <c r="AD1663" s="0" t="str">
        <f aca="false">IF(AND(C1662=C1663,AA1662=AA1663-1),AB1662,"")</f>
        <v/>
      </c>
      <c r="AE1663" s="0" t="str">
        <f aca="false">IF(AND(C1662=C1663,AA1662=AA1663-1),AC1662,"")</f>
        <v/>
      </c>
      <c r="AF1663" s="0" t="str">
        <f aca="false">IF(AA1663=1,"",IF(AND(AB1663=1,AD1663&lt;&gt;1),1,0))</f>
        <v/>
      </c>
      <c r="AG1663" s="0" t="str">
        <f aca="false">IF(AA1663=1,"",IF(AND(AC1663=1,AE1663&lt;&gt;1),1,0))</f>
        <v/>
      </c>
      <c r="AH1663" s="51" t="str">
        <f aca="false">IF(AND(E1663&gt;0,AA1663&lt;1,NOT(AND(C1664=C1663,AA1664=AA1663+1))),INDEX(DATAS,AA1663+1),"")</f>
        <v/>
      </c>
      <c r="AI1663" s="51" t="str">
        <f aca="false">IF(AND(AC1663=1,AA1663&lt;1),IF(AND(C1664=C1663,AA1664=AA1663+1),IF(AC1664=1,"",INDEX(DATAS,AA1663+1)),INDEX(DATAS,AA1663+1)),"")</f>
        <v/>
      </c>
    </row>
    <row r="1664" customFormat="false" ht="15" hidden="false" customHeight="false" outlineLevel="0" collapsed="false">
      <c r="A1664" s="51" t="n">
        <v>46309</v>
      </c>
      <c r="B1664" s="0" t="n">
        <v>7</v>
      </c>
      <c r="C1664" s="0" t="n">
        <v>5827</v>
      </c>
      <c r="E1664" s="0" t="n">
        <v>0</v>
      </c>
      <c r="F1664" s="46" t="s">
        <v>1021</v>
      </c>
      <c r="I1664" s="46" t="s">
        <v>152</v>
      </c>
      <c r="L1664" s="0" t="n">
        <v>252</v>
      </c>
      <c r="U1664" s="0" t="n">
        <v>782</v>
      </c>
      <c r="V1664" s="0" t="n">
        <v>8</v>
      </c>
      <c r="W1664" s="51" t="n">
        <v>46058</v>
      </c>
      <c r="X1664" s="46" t="n">
        <f aca="false">IF(I1664="Male",0,1)</f>
        <v>1</v>
      </c>
      <c r="Y1664" s="46" t="n">
        <f aca="false">IF(OR(I1664="DNB",I1664="Dry DNB"),1,0)</f>
        <v>0</v>
      </c>
      <c r="Z1664" s="46" t="n">
        <f aca="false">IF(ISNUMBER(W1664),A1664-W1664,"")</f>
        <v>251</v>
      </c>
      <c r="AA1664" s="46" t="n">
        <f aca="false">MATCH(A1664,DATAS,0)</f>
        <v>1</v>
      </c>
      <c r="AB1664" s="46" t="n">
        <f aca="false">IF(AND(E1664&gt;0,OR(AND(B1664&gt;=1,B1664&lt;=6),B1664=10)),1,0)</f>
        <v>0</v>
      </c>
      <c r="AC1664" s="46" t="n">
        <f aca="false">IF(AND(E1664&gt;0,B1664=10),1,0)</f>
        <v>0</v>
      </c>
      <c r="AD1664" s="0" t="str">
        <f aca="false">IF(AND(C1663=C1664,AA1663=AA1664-1),AB1663,"")</f>
        <v/>
      </c>
      <c r="AE1664" s="0" t="str">
        <f aca="false">IF(AND(C1663=C1664,AA1663=AA1664-1),AC1663,"")</f>
        <v/>
      </c>
      <c r="AF1664" s="0" t="str">
        <f aca="false">IF(AA1664=1,"",IF(AND(AB1664=1,AD1664&lt;&gt;1),1,0))</f>
        <v/>
      </c>
      <c r="AG1664" s="0" t="str">
        <f aca="false">IF(AA1664=1,"",IF(AND(AC1664=1,AE1664&lt;&gt;1),1,0))</f>
        <v/>
      </c>
      <c r="AH1664" s="51" t="str">
        <f aca="false">IF(AND(E1664&gt;0,AA1664&lt;1,NOT(AND(C1665=C1664,AA1665=AA1664+1))),INDEX(DATAS,AA1664+1),"")</f>
        <v/>
      </c>
      <c r="AI1664" s="51" t="str">
        <f aca="false">IF(AND(AC1664=1,AA1664&lt;1),IF(AND(C1665=C1664,AA1665=AA1664+1),IF(AC1665=1,"",INDEX(DATAS,AA1664+1)),INDEX(DATAS,AA1664+1)),"")</f>
        <v/>
      </c>
    </row>
    <row r="1665" customFormat="false" ht="15" hidden="false" customHeight="false" outlineLevel="0" collapsed="false">
      <c r="A1665" s="51" t="n">
        <v>46309</v>
      </c>
      <c r="B1665" s="0" t="n">
        <v>14</v>
      </c>
      <c r="C1665" s="0" t="n">
        <v>5828</v>
      </c>
      <c r="E1665" s="0" t="n">
        <v>0</v>
      </c>
      <c r="F1665" s="46" t="s">
        <v>1021</v>
      </c>
      <c r="I1665" s="46" t="s">
        <v>152</v>
      </c>
      <c r="L1665" s="0" t="n">
        <v>266</v>
      </c>
      <c r="U1665" s="0" t="n">
        <v>782</v>
      </c>
      <c r="V1665" s="0" t="n">
        <v>3</v>
      </c>
      <c r="W1665" s="51" t="n">
        <v>46044</v>
      </c>
      <c r="X1665" s="46" t="n">
        <f aca="false">IF(I1665="Male",0,1)</f>
        <v>1</v>
      </c>
      <c r="Y1665" s="46" t="n">
        <f aca="false">IF(OR(I1665="DNB",I1665="Dry DNB"),1,0)</f>
        <v>0</v>
      </c>
      <c r="Z1665" s="46" t="n">
        <f aca="false">IF(ISNUMBER(W1665),A1665-W1665,"")</f>
        <v>265</v>
      </c>
      <c r="AA1665" s="46" t="n">
        <f aca="false">MATCH(A1665,DATAS,0)</f>
        <v>1</v>
      </c>
      <c r="AB1665" s="46" t="n">
        <f aca="false">IF(AND(E1665&gt;0,OR(AND(B1665&gt;=1,B1665&lt;=6),B1665=10)),1,0)</f>
        <v>0</v>
      </c>
      <c r="AC1665" s="46" t="n">
        <f aca="false">IF(AND(E1665&gt;0,B1665=10),1,0)</f>
        <v>0</v>
      </c>
      <c r="AD1665" s="0" t="str">
        <f aca="false">IF(AND(C1664=C1665,AA1664=AA1665-1),AB1664,"")</f>
        <v/>
      </c>
      <c r="AE1665" s="0" t="str">
        <f aca="false">IF(AND(C1664=C1665,AA1664=AA1665-1),AC1664,"")</f>
        <v/>
      </c>
      <c r="AF1665" s="0" t="str">
        <f aca="false">IF(AA1665=1,"",IF(AND(AB1665=1,AD1665&lt;&gt;1),1,0))</f>
        <v/>
      </c>
      <c r="AG1665" s="0" t="str">
        <f aca="false">IF(AA1665=1,"",IF(AND(AC1665=1,AE1665&lt;&gt;1),1,0))</f>
        <v/>
      </c>
      <c r="AH1665" s="51" t="str">
        <f aca="false">IF(AND(E1665&gt;0,AA1665&lt;1,NOT(AND(C1666=C1665,AA1666=AA1665+1))),INDEX(DATAS,AA1665+1),"")</f>
        <v/>
      </c>
      <c r="AI1665" s="51" t="str">
        <f aca="false">IF(AND(AC1665=1,AA1665&lt;1),IF(AND(C1666=C1665,AA1666=AA1665+1),IF(AC1666=1,"",INDEX(DATAS,AA1665+1)),INDEX(DATAS,AA1665+1)),"")</f>
        <v/>
      </c>
    </row>
    <row r="1666" customFormat="false" ht="15" hidden="false" customHeight="false" outlineLevel="0" collapsed="false">
      <c r="A1666" s="51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46" t="s">
        <v>1022</v>
      </c>
      <c r="G1666" s="0" t="n">
        <v>32</v>
      </c>
      <c r="H1666" s="0" t="n">
        <v>38</v>
      </c>
      <c r="I1666" s="46" t="s">
        <v>189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51" t="n">
        <v>46268</v>
      </c>
      <c r="X1666" s="46" t="n">
        <f aca="false">IF(I1666="Male",0,1)</f>
        <v>1</v>
      </c>
      <c r="Y1666" s="46" t="n">
        <f aca="false">IF(OR(I1666="DNB",I1666="Dry DNB"),1,0)</f>
        <v>0</v>
      </c>
      <c r="Z1666" s="46" t="n">
        <f aca="false">IF(ISNUMBER(W1666),A1666-W1666,"")</f>
        <v>41</v>
      </c>
      <c r="AA1666" s="46" t="n">
        <f aca="false">MATCH(A1666,DATAS,0)</f>
        <v>1</v>
      </c>
      <c r="AB1666" s="46" t="n">
        <f aca="false">IF(AND(E1666&gt;0,OR(AND(B1666&gt;=1,B1666&lt;=6),B1666=10)),1,0)</f>
        <v>1</v>
      </c>
      <c r="AC1666" s="46" t="n">
        <f aca="false">IF(AND(E1666&gt;0,B1666=10),1,0)</f>
        <v>0</v>
      </c>
      <c r="AD1666" s="0" t="str">
        <f aca="false">IF(AND(C1665=C1666,AA1665=AA1666-1),AB1665,"")</f>
        <v/>
      </c>
      <c r="AE1666" s="0" t="str">
        <f aca="false">IF(AND(C1665=C1666,AA1665=AA1666-1),AC1665,"")</f>
        <v/>
      </c>
      <c r="AF1666" s="0" t="str">
        <f aca="false">IF(AA1666=1,"",IF(AND(AB1666=1,AD1666&lt;&gt;1),1,0))</f>
        <v/>
      </c>
      <c r="AG1666" s="0" t="str">
        <f aca="false">IF(AA1666=1,"",IF(AND(AC1666=1,AE1666&lt;&gt;1),1,0))</f>
        <v/>
      </c>
      <c r="AH1666" s="51" t="str">
        <f aca="false">IF(AND(E1666&gt;0,AA1666&lt;1,NOT(AND(C1667=C1666,AA1667=AA1666+1))),INDEX(DATAS,AA1666+1),"")</f>
        <v/>
      </c>
      <c r="AI1666" s="51" t="str">
        <f aca="false">IF(AND(AC1666=1,AA1666&lt;1),IF(AND(C1667=C1666,AA1667=AA1666+1),IF(AC1667=1,"",INDEX(DATAS,AA1666+1)),INDEX(DATAS,AA1666+1)),"")</f>
        <v/>
      </c>
    </row>
    <row r="1667" customFormat="false" ht="15" hidden="false" customHeight="false" outlineLevel="0" collapsed="false">
      <c r="A1667" s="51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46" t="s">
        <v>1022</v>
      </c>
      <c r="G1667" s="0" t="n">
        <v>27.5</v>
      </c>
      <c r="H1667" s="0" t="n">
        <v>32</v>
      </c>
      <c r="I1667" s="46" t="s">
        <v>181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51" t="n">
        <v>46296</v>
      </c>
      <c r="X1667" s="46" t="n">
        <f aca="false">IF(I1667="Male",0,1)</f>
        <v>1</v>
      </c>
      <c r="Y1667" s="46" t="n">
        <f aca="false">IF(OR(I1667="DNB",I1667="Dry DNB"),1,0)</f>
        <v>0</v>
      </c>
      <c r="Z1667" s="46" t="n">
        <f aca="false">IF(ISNUMBER(W1667),A1667-W1667,"")</f>
        <v>13</v>
      </c>
      <c r="AA1667" s="46" t="n">
        <f aca="false">MATCH(A1667,DATAS,0)</f>
        <v>1</v>
      </c>
      <c r="AB1667" s="46" t="n">
        <f aca="false">IF(AND(E1667&gt;0,OR(AND(B1667&gt;=1,B1667&lt;=6),B1667=10)),1,0)</f>
        <v>1</v>
      </c>
      <c r="AC1667" s="46" t="n">
        <f aca="false">IF(AND(E1667&gt;0,B1667=10),1,0)</f>
        <v>1</v>
      </c>
      <c r="AD1667" s="0" t="str">
        <f aca="false">IF(AND(C1666=C1667,AA1666=AA1667-1),AB1666,"")</f>
        <v/>
      </c>
      <c r="AE1667" s="0" t="str">
        <f aca="false">IF(AND(C1666=C1667,AA1666=AA1667-1),AC1666,"")</f>
        <v/>
      </c>
      <c r="AF1667" s="0" t="str">
        <f aca="false">IF(AA1667=1,"",IF(AND(AB1667=1,AD1667&lt;&gt;1),1,0))</f>
        <v/>
      </c>
      <c r="AG1667" s="0" t="str">
        <f aca="false">IF(AA1667=1,"",IF(AND(AC1667=1,AE1667&lt;&gt;1),1,0))</f>
        <v/>
      </c>
      <c r="AH1667" s="51" t="str">
        <f aca="false">IF(AND(E1667&gt;0,AA1667&lt;1,NOT(AND(C1668=C1667,AA1668=AA1667+1))),INDEX(DATAS,AA1667+1),"")</f>
        <v/>
      </c>
      <c r="AI1667" s="51" t="str">
        <f aca="false">IF(AND(AC1667=1,AA1667&lt;1),IF(AND(C1668=C1667,AA1668=AA1667+1),IF(AC1668=1,"",INDEX(DATAS,AA1667+1)),INDEX(DATAS,AA1667+1)),"")</f>
        <v/>
      </c>
    </row>
    <row r="1668" customFormat="false" ht="15" hidden="false" customHeight="false" outlineLevel="0" collapsed="false">
      <c r="A1668" s="51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46" t="s">
        <v>1022</v>
      </c>
      <c r="G1668" s="0" t="n">
        <v>56.7</v>
      </c>
      <c r="H1668" s="0" t="n">
        <v>57</v>
      </c>
      <c r="I1668" s="46" t="s">
        <v>181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51" t="n">
        <v>46289</v>
      </c>
      <c r="X1668" s="46" t="n">
        <f aca="false">IF(I1668="Male",0,1)</f>
        <v>1</v>
      </c>
      <c r="Y1668" s="46" t="n">
        <f aca="false">IF(OR(I1668="DNB",I1668="Dry DNB"),1,0)</f>
        <v>0</v>
      </c>
      <c r="Z1668" s="46" t="n">
        <f aca="false">IF(ISNUMBER(W1668),A1668-W1668,"")</f>
        <v>20</v>
      </c>
      <c r="AA1668" s="46" t="n">
        <f aca="false">MATCH(A1668,DATAS,0)</f>
        <v>1</v>
      </c>
      <c r="AB1668" s="46" t="n">
        <f aca="false">IF(AND(E1668&gt;0,OR(AND(B1668&gt;=1,B1668&lt;=6),B1668=10)),1,0)</f>
        <v>1</v>
      </c>
      <c r="AC1668" s="46" t="n">
        <f aca="false">IF(AND(E1668&gt;0,B1668=10),1,0)</f>
        <v>0</v>
      </c>
      <c r="AD1668" s="0" t="str">
        <f aca="false">IF(AND(C1667=C1668,AA1667=AA1668-1),AB1667,"")</f>
        <v/>
      </c>
      <c r="AE1668" s="0" t="str">
        <f aca="false">IF(AND(C1667=C1668,AA1667=AA1668-1),AC1667,"")</f>
        <v/>
      </c>
      <c r="AF1668" s="0" t="str">
        <f aca="false">IF(AA1668=1,"",IF(AND(AB1668=1,AD1668&lt;&gt;1),1,0))</f>
        <v/>
      </c>
      <c r="AG1668" s="0" t="str">
        <f aca="false">IF(AA1668=1,"",IF(AND(AC1668=1,AE1668&lt;&gt;1),1,0))</f>
        <v/>
      </c>
      <c r="AH1668" s="51" t="str">
        <f aca="false">IF(AND(E1668&gt;0,AA1668&lt;1,NOT(AND(C1669=C1668,AA1669=AA1668+1))),INDEX(DATAS,AA1668+1),"")</f>
        <v/>
      </c>
      <c r="AI1668" s="51" t="str">
        <f aca="false">IF(AND(AC1668=1,AA1668&lt;1),IF(AND(C1669=C1668,AA1669=AA1668+1),IF(AC1669=1,"",INDEX(DATAS,AA1668+1)),INDEX(DATAS,AA1668+1)),"")</f>
        <v/>
      </c>
    </row>
    <row r="1669" customFormat="false" ht="15" hidden="false" customHeight="false" outlineLevel="0" collapsed="false">
      <c r="A1669" s="51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46" t="s">
        <v>1023</v>
      </c>
      <c r="G1669" s="0" t="n">
        <v>31.1</v>
      </c>
      <c r="H1669" s="0" t="n">
        <v>41</v>
      </c>
      <c r="I1669" s="46" t="s">
        <v>152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51" t="n">
        <v>46268</v>
      </c>
      <c r="X1669" s="46" t="n">
        <f aca="false">IF(I1669="Male",0,1)</f>
        <v>1</v>
      </c>
      <c r="Y1669" s="46" t="n">
        <f aca="false">IF(OR(I1669="DNB",I1669="Dry DNB"),1,0)</f>
        <v>0</v>
      </c>
      <c r="Z1669" s="46" t="n">
        <f aca="false">IF(ISNUMBER(W1669),A1669-W1669,"")</f>
        <v>41</v>
      </c>
      <c r="AA1669" s="46" t="n">
        <f aca="false">MATCH(A1669,DATAS,0)</f>
        <v>1</v>
      </c>
      <c r="AB1669" s="46" t="n">
        <f aca="false">IF(AND(E1669&gt;0,OR(AND(B1669&gt;=1,B1669&lt;=6),B1669=10)),1,0)</f>
        <v>1</v>
      </c>
      <c r="AC1669" s="46" t="n">
        <f aca="false">IF(AND(E1669&gt;0,B1669=10),1,0)</f>
        <v>0</v>
      </c>
      <c r="AD1669" s="0" t="str">
        <f aca="false">IF(AND(C1668=C1669,AA1668=AA1669-1),AB1668,"")</f>
        <v/>
      </c>
      <c r="AE1669" s="0" t="str">
        <f aca="false">IF(AND(C1668=C1669,AA1668=AA1669-1),AC1668,"")</f>
        <v/>
      </c>
      <c r="AF1669" s="0" t="str">
        <f aca="false">IF(AA1669=1,"",IF(AND(AB1669=1,AD1669&lt;&gt;1),1,0))</f>
        <v/>
      </c>
      <c r="AG1669" s="0" t="str">
        <f aca="false">IF(AA1669=1,"",IF(AND(AC1669=1,AE1669&lt;&gt;1),1,0))</f>
        <v/>
      </c>
      <c r="AH1669" s="51" t="str">
        <f aca="false">IF(AND(E1669&gt;0,AA1669&lt;1,NOT(AND(C1670=C1669,AA1670=AA1669+1))),INDEX(DATAS,AA1669+1),"")</f>
        <v/>
      </c>
      <c r="AI1669" s="51" t="str">
        <f aca="false">IF(AND(AC1669=1,AA1669&lt;1),IF(AND(C1670=C1669,AA1670=AA1669+1),IF(AC1670=1,"",INDEX(DATAS,AA1669+1)),INDEX(DATAS,AA1669+1)),"")</f>
        <v/>
      </c>
    </row>
    <row r="1670" customFormat="false" ht="15" hidden="false" customHeight="false" outlineLevel="0" collapsed="false">
      <c r="A1670" s="51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46" t="s">
        <v>1023</v>
      </c>
      <c r="G1670" s="0" t="n">
        <v>43.7</v>
      </c>
      <c r="H1670" s="0" t="n">
        <v>45</v>
      </c>
      <c r="I1670" s="46" t="s">
        <v>189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51" t="n">
        <v>46264</v>
      </c>
      <c r="X1670" s="46" t="n">
        <f aca="false">IF(I1670="Male",0,1)</f>
        <v>1</v>
      </c>
      <c r="Y1670" s="46" t="n">
        <f aca="false">IF(OR(I1670="DNB",I1670="Dry DNB"),1,0)</f>
        <v>0</v>
      </c>
      <c r="Z1670" s="46" t="n">
        <f aca="false">IF(ISNUMBER(W1670),A1670-W1670,"")</f>
        <v>45</v>
      </c>
      <c r="AA1670" s="46" t="n">
        <f aca="false">MATCH(A1670,DATAS,0)</f>
        <v>1</v>
      </c>
      <c r="AB1670" s="46" t="n">
        <f aca="false">IF(AND(E1670&gt;0,OR(AND(B1670&gt;=1,B1670&lt;=6),B1670=10)),1,0)</f>
        <v>1</v>
      </c>
      <c r="AC1670" s="46" t="n">
        <f aca="false">IF(AND(E1670&gt;0,B1670=10),1,0)</f>
        <v>0</v>
      </c>
      <c r="AD1670" s="0" t="str">
        <f aca="false">IF(AND(C1669=C1670,AA1669=AA1670-1),AB1669,"")</f>
        <v/>
      </c>
      <c r="AE1670" s="0" t="str">
        <f aca="false">IF(AND(C1669=C1670,AA1669=AA1670-1),AC1669,"")</f>
        <v/>
      </c>
      <c r="AF1670" s="0" t="str">
        <f aca="false">IF(AA1670=1,"",IF(AND(AB1670=1,AD1670&lt;&gt;1),1,0))</f>
        <v/>
      </c>
      <c r="AG1670" s="0" t="str">
        <f aca="false">IF(AA1670=1,"",IF(AND(AC1670=1,AE1670&lt;&gt;1),1,0))</f>
        <v/>
      </c>
      <c r="AH1670" s="51" t="str">
        <f aca="false">IF(AND(E1670&gt;0,AA1670&lt;1,NOT(AND(C1671=C1670,AA1671=AA1670+1))),INDEX(DATAS,AA1670+1),"")</f>
        <v/>
      </c>
      <c r="AI1670" s="51" t="str">
        <f aca="false">IF(AND(AC1670=1,AA1670&lt;1),IF(AND(C1671=C1670,AA1671=AA1670+1),IF(AC1671=1,"",INDEX(DATAS,AA1670+1)),INDEX(DATAS,AA1670+1)),"")</f>
        <v/>
      </c>
    </row>
    <row r="1671" customFormat="false" ht="15" hidden="false" customHeight="false" outlineLevel="0" collapsed="false">
      <c r="A1671" s="51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46" t="s">
        <v>1024</v>
      </c>
      <c r="G1671" s="0" t="n">
        <v>59.5</v>
      </c>
      <c r="H1671" s="0" t="n">
        <v>58</v>
      </c>
      <c r="I1671" s="46" t="s">
        <v>152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51" t="n">
        <v>46261</v>
      </c>
      <c r="X1671" s="46" t="n">
        <f aca="false">IF(I1671="Male",0,1)</f>
        <v>1</v>
      </c>
      <c r="Y1671" s="46" t="n">
        <f aca="false">IF(OR(I1671="DNB",I1671="Dry DNB"),1,0)</f>
        <v>0</v>
      </c>
      <c r="Z1671" s="46" t="n">
        <f aca="false">IF(ISNUMBER(W1671),A1671-W1671,"")</f>
        <v>48</v>
      </c>
      <c r="AA1671" s="46" t="n">
        <f aca="false">MATCH(A1671,DATAS,0)</f>
        <v>1</v>
      </c>
      <c r="AB1671" s="46" t="n">
        <f aca="false">IF(AND(E1671&gt;0,OR(AND(B1671&gt;=1,B1671&lt;=6),B1671=10)),1,0)</f>
        <v>1</v>
      </c>
      <c r="AC1671" s="46" t="n">
        <f aca="false">IF(AND(E1671&gt;0,B1671=10),1,0)</f>
        <v>0</v>
      </c>
      <c r="AD1671" s="0" t="str">
        <f aca="false">IF(AND(C1670=C1671,AA1670=AA1671-1),AB1670,"")</f>
        <v/>
      </c>
      <c r="AE1671" s="0" t="str">
        <f aca="false">IF(AND(C1670=C1671,AA1670=AA1671-1),AC1670,"")</f>
        <v/>
      </c>
      <c r="AF1671" s="0" t="str">
        <f aca="false">IF(AA1671=1,"",IF(AND(AB1671=1,AD1671&lt;&gt;1),1,0))</f>
        <v/>
      </c>
      <c r="AG1671" s="0" t="str">
        <f aca="false">IF(AA1671=1,"",IF(AND(AC1671=1,AE1671&lt;&gt;1),1,0))</f>
        <v/>
      </c>
      <c r="AH1671" s="51" t="str">
        <f aca="false">IF(AND(E1671&gt;0,AA1671&lt;1,NOT(AND(C1672=C1671,AA1672=AA1671+1))),INDEX(DATAS,AA1671+1),"")</f>
        <v/>
      </c>
      <c r="AI1671" s="51" t="str">
        <f aca="false">IF(AND(AC1671=1,AA1671&lt;1),IF(AND(C1672=C1671,AA1672=AA1671+1),IF(AC1672=1,"",INDEX(DATAS,AA1671+1)),INDEX(DATAS,AA1671+1)),"")</f>
        <v/>
      </c>
    </row>
    <row r="1672" customFormat="false" ht="15" hidden="false" customHeight="false" outlineLevel="0" collapsed="false">
      <c r="A1672" s="51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46" t="s">
        <v>1025</v>
      </c>
      <c r="G1672" s="0" t="n">
        <v>62.6</v>
      </c>
      <c r="H1672" s="0" t="n">
        <v>62</v>
      </c>
      <c r="I1672" s="46" t="s">
        <v>181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51" t="n">
        <v>46296</v>
      </c>
      <c r="X1672" s="46" t="n">
        <f aca="false">IF(I1672="Male",0,1)</f>
        <v>1</v>
      </c>
      <c r="Y1672" s="46" t="n">
        <f aca="false">IF(OR(I1672="DNB",I1672="Dry DNB"),1,0)</f>
        <v>0</v>
      </c>
      <c r="Z1672" s="46" t="n">
        <f aca="false">IF(ISNUMBER(W1672),A1672-W1672,"")</f>
        <v>13</v>
      </c>
      <c r="AA1672" s="46" t="n">
        <f aca="false">MATCH(A1672,DATAS,0)</f>
        <v>1</v>
      </c>
      <c r="AB1672" s="46" t="n">
        <f aca="false">IF(AND(E1672&gt;0,OR(AND(B1672&gt;=1,B1672&lt;=6),B1672=10)),1,0)</f>
        <v>1</v>
      </c>
      <c r="AC1672" s="46" t="n">
        <f aca="false">IF(AND(E1672&gt;0,B1672=10),1,0)</f>
        <v>0</v>
      </c>
      <c r="AD1672" s="0" t="str">
        <f aca="false">IF(AND(C1671=C1672,AA1671=AA1672-1),AB1671,"")</f>
        <v/>
      </c>
      <c r="AE1672" s="0" t="str">
        <f aca="false">IF(AND(C1671=C1672,AA1671=AA1672-1),AC1671,"")</f>
        <v/>
      </c>
      <c r="AF1672" s="0" t="str">
        <f aca="false">IF(AA1672=1,"",IF(AND(AB1672=1,AD1672&lt;&gt;1),1,0))</f>
        <v/>
      </c>
      <c r="AG1672" s="0" t="str">
        <f aca="false">IF(AA1672=1,"",IF(AND(AC1672=1,AE1672&lt;&gt;1),1,0))</f>
        <v/>
      </c>
      <c r="AH1672" s="51" t="str">
        <f aca="false">IF(AND(E1672&gt;0,AA1672&lt;1,NOT(AND(C1673=C1672,AA1673=AA1672+1))),INDEX(DATAS,AA1672+1),"")</f>
        <v/>
      </c>
      <c r="AI1672" s="51" t="str">
        <f aca="false">IF(AND(AC1672=1,AA1672&lt;1),IF(AND(C1673=C1672,AA1673=AA1672+1),IF(AC1673=1,"",INDEX(DATAS,AA1672+1)),INDEX(DATAS,AA1672+1)),"")</f>
        <v/>
      </c>
    </row>
    <row r="1673" customFormat="false" ht="15" hidden="false" customHeight="false" outlineLevel="0" collapsed="false">
      <c r="A1673" s="51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46" t="s">
        <v>1025</v>
      </c>
      <c r="G1673" s="0" t="n">
        <v>49.1</v>
      </c>
      <c r="H1673" s="0" t="n">
        <v>47</v>
      </c>
      <c r="I1673" s="46" t="s">
        <v>181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51" t="n">
        <v>46297</v>
      </c>
      <c r="X1673" s="46" t="n">
        <f aca="false">IF(I1673="Male",0,1)</f>
        <v>1</v>
      </c>
      <c r="Y1673" s="46" t="n">
        <f aca="false">IF(OR(I1673="DNB",I1673="Dry DNB"),1,0)</f>
        <v>0</v>
      </c>
      <c r="Z1673" s="46" t="n">
        <f aca="false">IF(ISNUMBER(W1673),A1673-W1673,"")</f>
        <v>12</v>
      </c>
      <c r="AA1673" s="46" t="n">
        <f aca="false">MATCH(A1673,DATAS,0)</f>
        <v>1</v>
      </c>
      <c r="AB1673" s="46" t="n">
        <f aca="false">IF(AND(E1673&gt;0,OR(AND(B1673&gt;=1,B1673&lt;=6),B1673=10)),1,0)</f>
        <v>1</v>
      </c>
      <c r="AC1673" s="46" t="n">
        <f aca="false">IF(AND(E1673&gt;0,B1673=10),1,0)</f>
        <v>0</v>
      </c>
      <c r="AD1673" s="0" t="str">
        <f aca="false">IF(AND(C1672=C1673,AA1672=AA1673-1),AB1672,"")</f>
        <v/>
      </c>
      <c r="AE1673" s="0" t="str">
        <f aca="false">IF(AND(C1672=C1673,AA1672=AA1673-1),AC1672,"")</f>
        <v/>
      </c>
      <c r="AF1673" s="0" t="str">
        <f aca="false">IF(AA1673=1,"",IF(AND(AB1673=1,AD1673&lt;&gt;1),1,0))</f>
        <v/>
      </c>
      <c r="AG1673" s="0" t="str">
        <f aca="false">IF(AA1673=1,"",IF(AND(AC1673=1,AE1673&lt;&gt;1),1,0))</f>
        <v/>
      </c>
      <c r="AH1673" s="51" t="str">
        <f aca="false">IF(AND(E1673&gt;0,AA1673&lt;1,NOT(AND(C1674=C1673,AA1674=AA1673+1))),INDEX(DATAS,AA1673+1),"")</f>
        <v/>
      </c>
      <c r="AI1673" s="51" t="str">
        <f aca="false">IF(AND(AC1673=1,AA1673&lt;1),IF(AND(C1674=C1673,AA1674=AA1673+1),IF(AC1674=1,"",INDEX(DATAS,AA1673+1)),INDEX(DATAS,AA1673+1)),"")</f>
        <v/>
      </c>
    </row>
    <row r="1674" customFormat="false" ht="15" hidden="false" customHeight="false" outlineLevel="0" collapsed="false">
      <c r="A1674" s="51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46" t="s">
        <v>1025</v>
      </c>
      <c r="G1674" s="0" t="n">
        <v>58.1</v>
      </c>
      <c r="H1674" s="0" t="n">
        <v>57</v>
      </c>
      <c r="I1674" s="46" t="s">
        <v>181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51" t="n">
        <v>46289</v>
      </c>
      <c r="X1674" s="46" t="n">
        <f aca="false">IF(I1674="Male",0,1)</f>
        <v>1</v>
      </c>
      <c r="Y1674" s="46" t="n">
        <f aca="false">IF(OR(I1674="DNB",I1674="Dry DNB"),1,0)</f>
        <v>0</v>
      </c>
      <c r="Z1674" s="46" t="n">
        <f aca="false">IF(ISNUMBER(W1674),A1674-W1674,"")</f>
        <v>20</v>
      </c>
      <c r="AA1674" s="46" t="n">
        <f aca="false">MATCH(A1674,DATAS,0)</f>
        <v>1</v>
      </c>
      <c r="AB1674" s="46" t="n">
        <f aca="false">IF(AND(E1674&gt;0,OR(AND(B1674&gt;=1,B1674&lt;=6),B1674=10)),1,0)</f>
        <v>1</v>
      </c>
      <c r="AC1674" s="46" t="n">
        <f aca="false">IF(AND(E1674&gt;0,B1674=10),1,0)</f>
        <v>0</v>
      </c>
      <c r="AD1674" s="0" t="str">
        <f aca="false">IF(AND(C1673=C1674,AA1673=AA1674-1),AB1673,"")</f>
        <v/>
      </c>
      <c r="AE1674" s="0" t="str">
        <f aca="false">IF(AND(C1673=C1674,AA1673=AA1674-1),AC1673,"")</f>
        <v/>
      </c>
      <c r="AF1674" s="0" t="str">
        <f aca="false">IF(AA1674=1,"",IF(AND(AB1674=1,AD1674&lt;&gt;1),1,0))</f>
        <v/>
      </c>
      <c r="AG1674" s="0" t="str">
        <f aca="false">IF(AA1674=1,"",IF(AND(AC1674=1,AE1674&lt;&gt;1),1,0))</f>
        <v/>
      </c>
      <c r="AH1674" s="51" t="str">
        <f aca="false">IF(AND(E1674&gt;0,AA1674&lt;1,NOT(AND(C1675=C1674,AA1675=AA1674+1))),INDEX(DATAS,AA1674+1),"")</f>
        <v/>
      </c>
      <c r="AI1674" s="51" t="str">
        <f aca="false">IF(AND(AC1674=1,AA1674&lt;1),IF(AND(C1675=C1674,AA1675=AA1674+1),IF(AC1675=1,"",INDEX(DATAS,AA1674+1)),INDEX(DATAS,AA1674+1)),"")</f>
        <v/>
      </c>
    </row>
    <row r="1675" customFormat="false" ht="15" hidden="false" customHeight="false" outlineLevel="0" collapsed="false">
      <c r="A1675" s="51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46" t="s">
        <v>1025</v>
      </c>
      <c r="G1675" s="0" t="n">
        <v>53</v>
      </c>
      <c r="H1675" s="0" t="n">
        <v>59</v>
      </c>
      <c r="I1675" s="46" t="s">
        <v>181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51" t="n">
        <v>46296</v>
      </c>
      <c r="X1675" s="46" t="n">
        <f aca="false">IF(I1675="Male",0,1)</f>
        <v>1</v>
      </c>
      <c r="Y1675" s="46" t="n">
        <f aca="false">IF(OR(I1675="DNB",I1675="Dry DNB"),1,0)</f>
        <v>0</v>
      </c>
      <c r="Z1675" s="46" t="n">
        <f aca="false">IF(ISNUMBER(W1675),A1675-W1675,"")</f>
        <v>13</v>
      </c>
      <c r="AA1675" s="46" t="n">
        <f aca="false">MATCH(A1675,DATAS,0)</f>
        <v>1</v>
      </c>
      <c r="AB1675" s="46" t="n">
        <f aca="false">IF(AND(E1675&gt;0,OR(AND(B1675&gt;=1,B1675&lt;=6),B1675=10)),1,0)</f>
        <v>1</v>
      </c>
      <c r="AC1675" s="46" t="n">
        <f aca="false">IF(AND(E1675&gt;0,B1675=10),1,0)</f>
        <v>0</v>
      </c>
      <c r="AD1675" s="0" t="str">
        <f aca="false">IF(AND(C1674=C1675,AA1674=AA1675-1),AB1674,"")</f>
        <v/>
      </c>
      <c r="AE1675" s="0" t="str">
        <f aca="false">IF(AND(C1674=C1675,AA1674=AA1675-1),AC1674,"")</f>
        <v/>
      </c>
      <c r="AF1675" s="0" t="str">
        <f aca="false">IF(AA1675=1,"",IF(AND(AB1675=1,AD1675&lt;&gt;1),1,0))</f>
        <v/>
      </c>
      <c r="AG1675" s="0" t="str">
        <f aca="false">IF(AA1675=1,"",IF(AND(AC1675=1,AE1675&lt;&gt;1),1,0))</f>
        <v/>
      </c>
      <c r="AH1675" s="51" t="str">
        <f aca="false">IF(AND(E1675&gt;0,AA1675&lt;1,NOT(AND(C1676=C1675,AA1676=AA1675+1))),INDEX(DATAS,AA1675+1),"")</f>
        <v/>
      </c>
      <c r="AI1675" s="51" t="str">
        <f aca="false">IF(AND(AC1675=1,AA1675&lt;1),IF(AND(C1676=C1675,AA1676=AA1675+1),IF(AC1676=1,"",INDEX(DATAS,AA1675+1)),INDEX(DATAS,AA1675+1)),"")</f>
        <v/>
      </c>
    </row>
    <row r="1676" customFormat="false" ht="15" hidden="false" customHeight="false" outlineLevel="0" collapsed="false">
      <c r="A1676" s="51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46" t="s">
        <v>1026</v>
      </c>
      <c r="G1676" s="0" t="n">
        <v>38.9</v>
      </c>
      <c r="H1676" s="0" t="n">
        <v>46</v>
      </c>
      <c r="I1676" s="46" t="s">
        <v>189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51" t="n">
        <v>46268</v>
      </c>
      <c r="X1676" s="46" t="n">
        <f aca="false">IF(I1676="Male",0,1)</f>
        <v>1</v>
      </c>
      <c r="Y1676" s="46" t="n">
        <f aca="false">IF(OR(I1676="DNB",I1676="Dry DNB"),1,0)</f>
        <v>0</v>
      </c>
      <c r="Z1676" s="46" t="n">
        <f aca="false">IF(ISNUMBER(W1676),A1676-W1676,"")</f>
        <v>41</v>
      </c>
      <c r="AA1676" s="46" t="n">
        <f aca="false">MATCH(A1676,DATAS,0)</f>
        <v>1</v>
      </c>
      <c r="AB1676" s="46" t="n">
        <f aca="false">IF(AND(E1676&gt;0,OR(AND(B1676&gt;=1,B1676&lt;=6),B1676=10)),1,0)</f>
        <v>1</v>
      </c>
      <c r="AC1676" s="46" t="n">
        <f aca="false">IF(AND(E1676&gt;0,B1676=10),1,0)</f>
        <v>0</v>
      </c>
      <c r="AD1676" s="0" t="str">
        <f aca="false">IF(AND(C1675=C1676,AA1675=AA1676-1),AB1675,"")</f>
        <v/>
      </c>
      <c r="AE1676" s="0" t="str">
        <f aca="false">IF(AND(C1675=C1676,AA1675=AA1676-1),AC1675,"")</f>
        <v/>
      </c>
      <c r="AF1676" s="0" t="str">
        <f aca="false">IF(AA1676=1,"",IF(AND(AB1676=1,AD1676&lt;&gt;1),1,0))</f>
        <v/>
      </c>
      <c r="AG1676" s="0" t="str">
        <f aca="false">IF(AA1676=1,"",IF(AND(AC1676=1,AE1676&lt;&gt;1),1,0))</f>
        <v/>
      </c>
      <c r="AH1676" s="51" t="str">
        <f aca="false">IF(AND(E1676&gt;0,AA1676&lt;1,NOT(AND(C1677=C1676,AA1677=AA1676+1))),INDEX(DATAS,AA1676+1),"")</f>
        <v/>
      </c>
      <c r="AI1676" s="51" t="str">
        <f aca="false">IF(AND(AC1676=1,AA1676&lt;1),IF(AND(C1677=C1676,AA1677=AA1676+1),IF(AC1677=1,"",INDEX(DATAS,AA1676+1)),INDEX(DATAS,AA1676+1)),"")</f>
        <v/>
      </c>
    </row>
    <row r="1677" customFormat="false" ht="15" hidden="false" customHeight="false" outlineLevel="0" collapsed="false">
      <c r="A1677" s="51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46" t="s">
        <v>1026</v>
      </c>
      <c r="G1677" s="0" t="n">
        <v>50.3</v>
      </c>
      <c r="H1677" s="0" t="n">
        <v>50</v>
      </c>
      <c r="I1677" s="46" t="s">
        <v>152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51" t="n">
        <v>46261</v>
      </c>
      <c r="X1677" s="46" t="n">
        <f aca="false">IF(I1677="Male",0,1)</f>
        <v>1</v>
      </c>
      <c r="Y1677" s="46" t="n">
        <f aca="false">IF(OR(I1677="DNB",I1677="Dry DNB"),1,0)</f>
        <v>0</v>
      </c>
      <c r="Z1677" s="46" t="n">
        <f aca="false">IF(ISNUMBER(W1677),A1677-W1677,"")</f>
        <v>48</v>
      </c>
      <c r="AA1677" s="46" t="n">
        <f aca="false">MATCH(A1677,DATAS,0)</f>
        <v>1</v>
      </c>
      <c r="AB1677" s="46" t="n">
        <f aca="false">IF(AND(E1677&gt;0,OR(AND(B1677&gt;=1,B1677&lt;=6),B1677=10)),1,0)</f>
        <v>1</v>
      </c>
      <c r="AC1677" s="46" t="n">
        <f aca="false">IF(AND(E1677&gt;0,B1677=10),1,0)</f>
        <v>0</v>
      </c>
      <c r="AD1677" s="0" t="str">
        <f aca="false">IF(AND(C1676=C1677,AA1676=AA1677-1),AB1676,"")</f>
        <v/>
      </c>
      <c r="AE1677" s="0" t="str">
        <f aca="false">IF(AND(C1676=C1677,AA1676=AA1677-1),AC1676,"")</f>
        <v/>
      </c>
      <c r="AF1677" s="0" t="str">
        <f aca="false">IF(AA1677=1,"",IF(AND(AB1677=1,AD1677&lt;&gt;1),1,0))</f>
        <v/>
      </c>
      <c r="AG1677" s="0" t="str">
        <f aca="false">IF(AA1677=1,"",IF(AND(AC1677=1,AE1677&lt;&gt;1),1,0))</f>
        <v/>
      </c>
      <c r="AH1677" s="51" t="str">
        <f aca="false">IF(AND(E1677&gt;0,AA1677&lt;1,NOT(AND(C1678=C1677,AA1678=AA1677+1))),INDEX(DATAS,AA1677+1),"")</f>
        <v/>
      </c>
      <c r="AI1677" s="51" t="str">
        <f aca="false">IF(AND(AC1677=1,AA1677&lt;1),IF(AND(C1678=C1677,AA1678=AA1677+1),IF(AC1678=1,"",INDEX(DATAS,AA1677+1)),INDEX(DATAS,AA1677+1)),"")</f>
        <v/>
      </c>
    </row>
    <row r="1678" customFormat="false" ht="15" hidden="false" customHeight="false" outlineLevel="0" collapsed="false">
      <c r="A1678" s="51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46" t="s">
        <v>1026</v>
      </c>
      <c r="G1678" s="0" t="n">
        <v>47.5</v>
      </c>
      <c r="H1678" s="0" t="n">
        <v>46</v>
      </c>
      <c r="I1678" s="46" t="s">
        <v>161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X1678" s="46" t="n">
        <f aca="false">IF(I1678="Male",0,1)</f>
        <v>1</v>
      </c>
      <c r="Y1678" s="46" t="n">
        <f aca="false">IF(OR(I1678="DNB",I1678="Dry DNB"),1,0)</f>
        <v>0</v>
      </c>
      <c r="Z1678" s="0" t="str">
        <f aca="false">IF(ISNUMBER(W1678),A1678-W1678,"")</f>
        <v/>
      </c>
      <c r="AA1678" s="46" t="n">
        <f aca="false">MATCH(A1678,DATAS,0)</f>
        <v>1</v>
      </c>
      <c r="AB1678" s="46" t="n">
        <f aca="false">IF(AND(E1678&gt;0,OR(AND(B1678&gt;=1,B1678&lt;=6),B1678=10)),1,0)</f>
        <v>1</v>
      </c>
      <c r="AC1678" s="46" t="n">
        <f aca="false">IF(AND(E1678&gt;0,B1678=10),1,0)</f>
        <v>0</v>
      </c>
      <c r="AD1678" s="0" t="str">
        <f aca="false">IF(AND(C1677=C1678,AA1677=AA1678-1),AB1677,"")</f>
        <v/>
      </c>
      <c r="AE1678" s="0" t="str">
        <f aca="false">IF(AND(C1677=C1678,AA1677=AA1678-1),AC1677,"")</f>
        <v/>
      </c>
      <c r="AF1678" s="0" t="str">
        <f aca="false">IF(AA1678=1,"",IF(AND(AB1678=1,AD1678&lt;&gt;1),1,0))</f>
        <v/>
      </c>
      <c r="AG1678" s="0" t="str">
        <f aca="false">IF(AA1678=1,"",IF(AND(AC1678=1,AE1678&lt;&gt;1),1,0))</f>
        <v/>
      </c>
      <c r="AH1678" s="51" t="str">
        <f aca="false">IF(AND(E1678&gt;0,AA1678&lt;1,NOT(AND(C1679=C1678,AA1679=AA1678+1))),INDEX(DATAS,AA1678+1),"")</f>
        <v/>
      </c>
      <c r="AI1678" s="51" t="str">
        <f aca="false">IF(AND(AC1678=1,AA1678&lt;1),IF(AND(C1679=C1678,AA1679=AA1678+1),IF(AC1679=1,"",INDEX(DATAS,AA1678+1)),INDEX(DATAS,AA1678+1)),"")</f>
        <v/>
      </c>
    </row>
    <row r="1679" customFormat="false" ht="15" hidden="false" customHeight="false" outlineLevel="0" collapsed="false">
      <c r="A1679" s="51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46" t="s">
        <v>1026</v>
      </c>
      <c r="G1679" s="0" t="n">
        <v>45.6</v>
      </c>
      <c r="H1679" s="0" t="n">
        <v>44</v>
      </c>
      <c r="I1679" s="46" t="s">
        <v>181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51" t="n">
        <v>46282</v>
      </c>
      <c r="X1679" s="46" t="n">
        <f aca="false">IF(I1679="Male",0,1)</f>
        <v>1</v>
      </c>
      <c r="Y1679" s="46" t="n">
        <f aca="false">IF(OR(I1679="DNB",I1679="Dry DNB"),1,0)</f>
        <v>0</v>
      </c>
      <c r="Z1679" s="46" t="n">
        <f aca="false">IF(ISNUMBER(W1679),A1679-W1679,"")</f>
        <v>27</v>
      </c>
      <c r="AA1679" s="46" t="n">
        <f aca="false">MATCH(A1679,DATAS,0)</f>
        <v>1</v>
      </c>
      <c r="AB1679" s="46" t="n">
        <f aca="false">IF(AND(E1679&gt;0,OR(AND(B1679&gt;=1,B1679&lt;=6),B1679=10)),1,0)</f>
        <v>1</v>
      </c>
      <c r="AC1679" s="46" t="n">
        <f aca="false">IF(AND(E1679&gt;0,B1679=10),1,0)</f>
        <v>0</v>
      </c>
      <c r="AD1679" s="0" t="str">
        <f aca="false">IF(AND(C1678=C1679,AA1678=AA1679-1),AB1678,"")</f>
        <v/>
      </c>
      <c r="AE1679" s="0" t="str">
        <f aca="false">IF(AND(C1678=C1679,AA1678=AA1679-1),AC1678,"")</f>
        <v/>
      </c>
      <c r="AF1679" s="0" t="str">
        <f aca="false">IF(AA1679=1,"",IF(AND(AB1679=1,AD1679&lt;&gt;1),1,0))</f>
        <v/>
      </c>
      <c r="AG1679" s="0" t="str">
        <f aca="false">IF(AA1679=1,"",IF(AND(AC1679=1,AE1679&lt;&gt;1),1,0))</f>
        <v/>
      </c>
      <c r="AH1679" s="51" t="str">
        <f aca="false">IF(AND(E1679&gt;0,AA1679&lt;1,NOT(AND(C1680=C1679,AA1680=AA1679+1))),INDEX(DATAS,AA1679+1),"")</f>
        <v/>
      </c>
      <c r="AI1679" s="51" t="str">
        <f aca="false">IF(AND(AC1679=1,AA1679&lt;1),IF(AND(C1680=C1679,AA1680=AA1679+1),IF(AC1680=1,"",INDEX(DATAS,AA1679+1)),INDEX(DATAS,AA1679+1)),"")</f>
        <v/>
      </c>
    </row>
    <row r="1680" customFormat="false" ht="15" hidden="false" customHeight="false" outlineLevel="0" collapsed="false">
      <c r="A1680" s="51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46" t="s">
        <v>1027</v>
      </c>
      <c r="G1680" s="0" t="n">
        <v>57.8</v>
      </c>
      <c r="H1680" s="0" t="n">
        <v>56</v>
      </c>
      <c r="I1680" s="46" t="s">
        <v>152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51" t="n">
        <v>46278</v>
      </c>
      <c r="X1680" s="46" t="n">
        <f aca="false">IF(I1680="Male",0,1)</f>
        <v>1</v>
      </c>
      <c r="Y1680" s="46" t="n">
        <f aca="false">IF(OR(I1680="DNB",I1680="Dry DNB"),1,0)</f>
        <v>0</v>
      </c>
      <c r="Z1680" s="46" t="n">
        <f aca="false">IF(ISNUMBER(W1680),A1680-W1680,"")</f>
        <v>31</v>
      </c>
      <c r="AA1680" s="46" t="n">
        <f aca="false">MATCH(A1680,DATAS,0)</f>
        <v>1</v>
      </c>
      <c r="AB1680" s="46" t="n">
        <f aca="false">IF(AND(E1680&gt;0,OR(AND(B1680&gt;=1,B1680&lt;=6),B1680=10)),1,0)</f>
        <v>1</v>
      </c>
      <c r="AC1680" s="46" t="n">
        <f aca="false">IF(AND(E1680&gt;0,B1680=10),1,0)</f>
        <v>0</v>
      </c>
      <c r="AD1680" s="0" t="str">
        <f aca="false">IF(AND(C1679=C1680,AA1679=AA1680-1),AB1679,"")</f>
        <v/>
      </c>
      <c r="AE1680" s="0" t="str">
        <f aca="false">IF(AND(C1679=C1680,AA1679=AA1680-1),AC1679,"")</f>
        <v/>
      </c>
      <c r="AF1680" s="0" t="str">
        <f aca="false">IF(AA1680=1,"",IF(AND(AB1680=1,AD1680&lt;&gt;1),1,0))</f>
        <v/>
      </c>
      <c r="AG1680" s="0" t="str">
        <f aca="false">IF(AA1680=1,"",IF(AND(AC1680=1,AE1680&lt;&gt;1),1,0))</f>
        <v/>
      </c>
      <c r="AH1680" s="51" t="str">
        <f aca="false">IF(AND(E1680&gt;0,AA1680&lt;1,NOT(AND(C1681=C1680,AA1681=AA1680+1))),INDEX(DATAS,AA1680+1),"")</f>
        <v/>
      </c>
      <c r="AI1680" s="51" t="str">
        <f aca="false">IF(AND(AC1680=1,AA1680&lt;1),IF(AND(C1681=C1680,AA1681=AA1680+1),IF(AC1681=1,"",INDEX(DATAS,AA1680+1)),INDEX(DATAS,AA1680+1)),"")</f>
        <v/>
      </c>
    </row>
    <row r="1681" customFormat="false" ht="15" hidden="false" customHeight="false" outlineLevel="0" collapsed="false">
      <c r="A1681" s="51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46" t="s">
        <v>1028</v>
      </c>
      <c r="G1681" s="0" t="n">
        <v>46</v>
      </c>
      <c r="H1681" s="0" t="n">
        <v>48</v>
      </c>
      <c r="I1681" s="46" t="s">
        <v>189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51" t="n">
        <v>46275</v>
      </c>
      <c r="X1681" s="46" t="n">
        <f aca="false">IF(I1681="Male",0,1)</f>
        <v>1</v>
      </c>
      <c r="Y1681" s="46" t="n">
        <f aca="false">IF(OR(I1681="DNB",I1681="Dry DNB"),1,0)</f>
        <v>0</v>
      </c>
      <c r="Z1681" s="46" t="n">
        <f aca="false">IF(ISNUMBER(W1681),A1681-W1681,"")</f>
        <v>34</v>
      </c>
      <c r="AA1681" s="46" t="n">
        <f aca="false">MATCH(A1681,DATAS,0)</f>
        <v>1</v>
      </c>
      <c r="AB1681" s="46" t="n">
        <f aca="false">IF(AND(E1681&gt;0,OR(AND(B1681&gt;=1,B1681&lt;=6),B1681=10)),1,0)</f>
        <v>1</v>
      </c>
      <c r="AC1681" s="46" t="n">
        <f aca="false">IF(AND(E1681&gt;0,B1681=10),1,0)</f>
        <v>0</v>
      </c>
      <c r="AD1681" s="0" t="str">
        <f aca="false">IF(AND(C1680=C1681,AA1680=AA1681-1),AB1680,"")</f>
        <v/>
      </c>
      <c r="AE1681" s="0" t="str">
        <f aca="false">IF(AND(C1680=C1681,AA1680=AA1681-1),AC1680,"")</f>
        <v/>
      </c>
      <c r="AF1681" s="0" t="str">
        <f aca="false">IF(AA1681=1,"",IF(AND(AB1681=1,AD1681&lt;&gt;1),1,0))</f>
        <v/>
      </c>
      <c r="AG1681" s="0" t="str">
        <f aca="false">IF(AA1681=1,"",IF(AND(AC1681=1,AE1681&lt;&gt;1),1,0))</f>
        <v/>
      </c>
      <c r="AH1681" s="51" t="str">
        <f aca="false">IF(AND(E1681&gt;0,AA1681&lt;1,NOT(AND(C1682=C1681,AA1682=AA1681+1))),INDEX(DATAS,AA1681+1),"")</f>
        <v/>
      </c>
      <c r="AI1681" s="51" t="str">
        <f aca="false">IF(AND(AC1681=1,AA1681&lt;1),IF(AND(C1682=C1681,AA1682=AA1681+1),IF(AC1682=1,"",INDEX(DATAS,AA1681+1)),INDEX(DATAS,AA1681+1)),"")</f>
        <v/>
      </c>
    </row>
    <row r="1682" customFormat="false" ht="15" hidden="false" customHeight="false" outlineLevel="0" collapsed="false">
      <c r="A1682" s="51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46" t="s">
        <v>1028</v>
      </c>
      <c r="G1682" s="0" t="n">
        <v>50.8</v>
      </c>
      <c r="H1682" s="0" t="n">
        <v>51</v>
      </c>
      <c r="I1682" s="46" t="s">
        <v>161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X1682" s="46" t="n">
        <f aca="false">IF(I1682="Male",0,1)</f>
        <v>1</v>
      </c>
      <c r="Y1682" s="46" t="n">
        <f aca="false">IF(OR(I1682="DNB",I1682="Dry DNB"),1,0)</f>
        <v>0</v>
      </c>
      <c r="Z1682" s="0" t="str">
        <f aca="false">IF(ISNUMBER(W1682),A1682-W1682,"")</f>
        <v/>
      </c>
      <c r="AA1682" s="46" t="n">
        <f aca="false">MATCH(A1682,DATAS,0)</f>
        <v>1</v>
      </c>
      <c r="AB1682" s="46" t="n">
        <f aca="false">IF(AND(E1682&gt;0,OR(AND(B1682&gt;=1,B1682&lt;=6),B1682=10)),1,0)</f>
        <v>1</v>
      </c>
      <c r="AC1682" s="46" t="n">
        <f aca="false">IF(AND(E1682&gt;0,B1682=10),1,0)</f>
        <v>0</v>
      </c>
      <c r="AD1682" s="0" t="str">
        <f aca="false">IF(AND(C1681=C1682,AA1681=AA1682-1),AB1681,"")</f>
        <v/>
      </c>
      <c r="AE1682" s="0" t="str">
        <f aca="false">IF(AND(C1681=C1682,AA1681=AA1682-1),AC1681,"")</f>
        <v/>
      </c>
      <c r="AF1682" s="0" t="str">
        <f aca="false">IF(AA1682=1,"",IF(AND(AB1682=1,AD1682&lt;&gt;1),1,0))</f>
        <v/>
      </c>
      <c r="AG1682" s="0" t="str">
        <f aca="false">IF(AA1682=1,"",IF(AND(AC1682=1,AE1682&lt;&gt;1),1,0))</f>
        <v/>
      </c>
      <c r="AH1682" s="51" t="str">
        <f aca="false">IF(AND(E1682&gt;0,AA1682&lt;1,NOT(AND(C1683=C1682,AA1683=AA1682+1))),INDEX(DATAS,AA1682+1),"")</f>
        <v/>
      </c>
      <c r="AI1682" s="51" t="str">
        <f aca="false">IF(AND(AC1682=1,AA1682&lt;1),IF(AND(C1683=C1682,AA1683=AA1682+1),IF(AC1683=1,"",INDEX(DATAS,AA1682+1)),INDEX(DATAS,AA1682+1)),"")</f>
        <v/>
      </c>
    </row>
    <row r="1683" customFormat="false" ht="15" hidden="false" customHeight="false" outlineLevel="0" collapsed="false">
      <c r="A1683" s="51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46" t="s">
        <v>1029</v>
      </c>
      <c r="G1683" s="0" t="n">
        <v>42.6</v>
      </c>
      <c r="H1683" s="0" t="n">
        <v>37</v>
      </c>
      <c r="I1683" s="46" t="s">
        <v>152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51" t="n">
        <v>46254</v>
      </c>
      <c r="X1683" s="46" t="n">
        <f aca="false">IF(I1683="Male",0,1)</f>
        <v>1</v>
      </c>
      <c r="Y1683" s="46" t="n">
        <f aca="false">IF(OR(I1683="DNB",I1683="Dry DNB"),1,0)</f>
        <v>0</v>
      </c>
      <c r="Z1683" s="46" t="n">
        <f aca="false">IF(ISNUMBER(W1683),A1683-W1683,"")</f>
        <v>55</v>
      </c>
      <c r="AA1683" s="46" t="n">
        <f aca="false">MATCH(A1683,DATAS,0)</f>
        <v>1</v>
      </c>
      <c r="AB1683" s="46" t="n">
        <f aca="false">IF(AND(E1683&gt;0,OR(AND(B1683&gt;=1,B1683&lt;=6),B1683=10)),1,0)</f>
        <v>1</v>
      </c>
      <c r="AC1683" s="46" t="n">
        <f aca="false">IF(AND(E1683&gt;0,B1683=10),1,0)</f>
        <v>0</v>
      </c>
      <c r="AD1683" s="0" t="str">
        <f aca="false">IF(AND(C1682=C1683,AA1682=AA1683-1),AB1682,"")</f>
        <v/>
      </c>
      <c r="AE1683" s="0" t="str">
        <f aca="false">IF(AND(C1682=C1683,AA1682=AA1683-1),AC1682,"")</f>
        <v/>
      </c>
      <c r="AF1683" s="0" t="str">
        <f aca="false">IF(AA1683=1,"",IF(AND(AB1683=1,AD1683&lt;&gt;1),1,0))</f>
        <v/>
      </c>
      <c r="AG1683" s="0" t="str">
        <f aca="false">IF(AA1683=1,"",IF(AND(AC1683=1,AE1683&lt;&gt;1),1,0))</f>
        <v/>
      </c>
      <c r="AH1683" s="51" t="str">
        <f aca="false">IF(AND(E1683&gt;0,AA1683&lt;1,NOT(AND(C1684=C1683,AA1684=AA1683+1))),INDEX(DATAS,AA1683+1),"")</f>
        <v/>
      </c>
      <c r="AI1683" s="51" t="str">
        <f aca="false">IF(AND(AC1683=1,AA1683&lt;1),IF(AND(C1684=C1683,AA1684=AA1683+1),IF(AC1684=1,"",INDEX(DATAS,AA1683+1)),INDEX(DATAS,AA1683+1)),"")</f>
        <v/>
      </c>
    </row>
    <row r="1684" customFormat="false" ht="15" hidden="false" customHeight="false" outlineLevel="0" collapsed="false">
      <c r="A1684" s="51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46" t="s">
        <v>1029</v>
      </c>
      <c r="G1684" s="0" t="n">
        <v>46.9</v>
      </c>
      <c r="H1684" s="0" t="n">
        <v>48</v>
      </c>
      <c r="I1684" s="46" t="s">
        <v>152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51" t="n">
        <v>46275</v>
      </c>
      <c r="X1684" s="46" t="n">
        <f aca="false">IF(I1684="Male",0,1)</f>
        <v>1</v>
      </c>
      <c r="Y1684" s="46" t="n">
        <f aca="false">IF(OR(I1684="DNB",I1684="Dry DNB"),1,0)</f>
        <v>0</v>
      </c>
      <c r="Z1684" s="46" t="n">
        <f aca="false">IF(ISNUMBER(W1684),A1684-W1684,"")</f>
        <v>34</v>
      </c>
      <c r="AA1684" s="46" t="n">
        <f aca="false">MATCH(A1684,DATAS,0)</f>
        <v>1</v>
      </c>
      <c r="AB1684" s="46" t="n">
        <f aca="false">IF(AND(E1684&gt;0,OR(AND(B1684&gt;=1,B1684&lt;=6),B1684=10)),1,0)</f>
        <v>1</v>
      </c>
      <c r="AC1684" s="46" t="n">
        <f aca="false">IF(AND(E1684&gt;0,B1684=10),1,0)</f>
        <v>0</v>
      </c>
      <c r="AD1684" s="0" t="str">
        <f aca="false">IF(AND(C1683=C1684,AA1683=AA1684-1),AB1683,"")</f>
        <v/>
      </c>
      <c r="AE1684" s="0" t="str">
        <f aca="false">IF(AND(C1683=C1684,AA1683=AA1684-1),AC1683,"")</f>
        <v/>
      </c>
      <c r="AF1684" s="0" t="str">
        <f aca="false">IF(AA1684=1,"",IF(AND(AB1684=1,AD1684&lt;&gt;1),1,0))</f>
        <v/>
      </c>
      <c r="AG1684" s="0" t="str">
        <f aca="false">IF(AA1684=1,"",IF(AND(AC1684=1,AE1684&lt;&gt;1),1,0))</f>
        <v/>
      </c>
      <c r="AH1684" s="51" t="str">
        <f aca="false">IF(AND(E1684&gt;0,AA1684&lt;1,NOT(AND(C1685=C1684,AA1685=AA1684+1))),INDEX(DATAS,AA1684+1),"")</f>
        <v/>
      </c>
      <c r="AI1684" s="51" t="str">
        <f aca="false">IF(AND(AC1684=1,AA1684&lt;1),IF(AND(C1685=C1684,AA1685=AA1684+1),IF(AC1685=1,"",INDEX(DATAS,AA1684+1)),INDEX(DATAS,AA1684+1)),"")</f>
        <v/>
      </c>
    </row>
    <row r="1685" customFormat="false" ht="15" hidden="false" customHeight="false" outlineLevel="0" collapsed="false">
      <c r="A1685" s="51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46" t="s">
        <v>1029</v>
      </c>
      <c r="G1685" s="0" t="n">
        <v>54</v>
      </c>
      <c r="H1685" s="0" t="n">
        <v>51</v>
      </c>
      <c r="I1685" s="46" t="s">
        <v>152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51" t="n">
        <v>46240</v>
      </c>
      <c r="X1685" s="46" t="n">
        <f aca="false">IF(I1685="Male",0,1)</f>
        <v>1</v>
      </c>
      <c r="Y1685" s="46" t="n">
        <f aca="false">IF(OR(I1685="DNB",I1685="Dry DNB"),1,0)</f>
        <v>0</v>
      </c>
      <c r="Z1685" s="46" t="n">
        <f aca="false">IF(ISNUMBER(W1685),A1685-W1685,"")</f>
        <v>69</v>
      </c>
      <c r="AA1685" s="46" t="n">
        <f aca="false">MATCH(A1685,DATAS,0)</f>
        <v>1</v>
      </c>
      <c r="AB1685" s="46" t="n">
        <f aca="false">IF(AND(E1685&gt;0,OR(AND(B1685&gt;=1,B1685&lt;=6),B1685=10)),1,0)</f>
        <v>1</v>
      </c>
      <c r="AC1685" s="46" t="n">
        <f aca="false">IF(AND(E1685&gt;0,B1685=10),1,0)</f>
        <v>0</v>
      </c>
      <c r="AD1685" s="0" t="str">
        <f aca="false">IF(AND(C1684=C1685,AA1684=AA1685-1),AB1684,"")</f>
        <v/>
      </c>
      <c r="AE1685" s="0" t="str">
        <f aca="false">IF(AND(C1684=C1685,AA1684=AA1685-1),AC1684,"")</f>
        <v/>
      </c>
      <c r="AF1685" s="0" t="str">
        <f aca="false">IF(AA1685=1,"",IF(AND(AB1685=1,AD1685&lt;&gt;1),1,0))</f>
        <v/>
      </c>
      <c r="AG1685" s="0" t="str">
        <f aca="false">IF(AA1685=1,"",IF(AND(AC1685=1,AE1685&lt;&gt;1),1,0))</f>
        <v/>
      </c>
      <c r="AH1685" s="51" t="str">
        <f aca="false">IF(AND(E1685&gt;0,AA1685&lt;1,NOT(AND(C1686=C1685,AA1686=AA1685+1))),INDEX(DATAS,AA1685+1),"")</f>
        <v/>
      </c>
      <c r="AI1685" s="51" t="str">
        <f aca="false">IF(AND(AC1685=1,AA1685&lt;1),IF(AND(C1686=C1685,AA1686=AA1685+1),IF(AC1686=1,"",INDEX(DATAS,AA1685+1)),INDEX(DATAS,AA1685+1)),"")</f>
        <v/>
      </c>
    </row>
    <row r="1686" customFormat="false" ht="15" hidden="false" customHeight="false" outlineLevel="0" collapsed="false">
      <c r="A1686" s="51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46" t="s">
        <v>1030</v>
      </c>
      <c r="G1686" s="0" t="n">
        <v>57.3</v>
      </c>
      <c r="H1686" s="0" t="n">
        <v>55</v>
      </c>
      <c r="I1686" s="46" t="s">
        <v>152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51" t="n">
        <v>46240</v>
      </c>
      <c r="X1686" s="46" t="n">
        <f aca="false">IF(I1686="Male",0,1)</f>
        <v>1</v>
      </c>
      <c r="Y1686" s="46" t="n">
        <f aca="false">IF(OR(I1686="DNB",I1686="Dry DNB"),1,0)</f>
        <v>0</v>
      </c>
      <c r="Z1686" s="46" t="n">
        <f aca="false">IF(ISNUMBER(W1686),A1686-W1686,"")</f>
        <v>69</v>
      </c>
      <c r="AA1686" s="46" t="n">
        <f aca="false">MATCH(A1686,DATAS,0)</f>
        <v>1</v>
      </c>
      <c r="AB1686" s="46" t="n">
        <f aca="false">IF(AND(E1686&gt;0,OR(AND(B1686&gt;=1,B1686&lt;=6),B1686=10)),1,0)</f>
        <v>1</v>
      </c>
      <c r="AC1686" s="46" t="n">
        <f aca="false">IF(AND(E1686&gt;0,B1686=10),1,0)</f>
        <v>0</v>
      </c>
      <c r="AD1686" s="0" t="str">
        <f aca="false">IF(AND(C1685=C1686,AA1685=AA1686-1),AB1685,"")</f>
        <v/>
      </c>
      <c r="AE1686" s="0" t="str">
        <f aca="false">IF(AND(C1685=C1686,AA1685=AA1686-1),AC1685,"")</f>
        <v/>
      </c>
      <c r="AF1686" s="0" t="str">
        <f aca="false">IF(AA1686=1,"",IF(AND(AB1686=1,AD1686&lt;&gt;1),1,0))</f>
        <v/>
      </c>
      <c r="AG1686" s="0" t="str">
        <f aca="false">IF(AA1686=1,"",IF(AND(AC1686=1,AE1686&lt;&gt;1),1,0))</f>
        <v/>
      </c>
      <c r="AH1686" s="51" t="str">
        <f aca="false">IF(AND(E1686&gt;0,AA1686&lt;1,NOT(AND(C1687=C1686,AA1687=AA1686+1))),INDEX(DATAS,AA1686+1),"")</f>
        <v/>
      </c>
      <c r="AI1686" s="51" t="str">
        <f aca="false">IF(AND(AC1686=1,AA1686&lt;1),IF(AND(C1687=C1686,AA1687=AA1686+1),IF(AC1687=1,"",INDEX(DATAS,AA1686+1)),INDEX(DATAS,AA1686+1)),"")</f>
        <v/>
      </c>
    </row>
    <row r="1687" customFormat="false" ht="15" hidden="false" customHeight="false" outlineLevel="0" collapsed="false">
      <c r="A1687" s="51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46" t="s">
        <v>1030</v>
      </c>
      <c r="G1687" s="0" t="n">
        <v>51.5</v>
      </c>
      <c r="H1687" s="0" t="n">
        <v>51</v>
      </c>
      <c r="I1687" s="46" t="s">
        <v>152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51" t="n">
        <v>46268</v>
      </c>
      <c r="X1687" s="46" t="n">
        <f aca="false">IF(I1687="Male",0,1)</f>
        <v>1</v>
      </c>
      <c r="Y1687" s="46" t="n">
        <f aca="false">IF(OR(I1687="DNB",I1687="Dry DNB"),1,0)</f>
        <v>0</v>
      </c>
      <c r="Z1687" s="46" t="n">
        <f aca="false">IF(ISNUMBER(W1687),A1687-W1687,"")</f>
        <v>41</v>
      </c>
      <c r="AA1687" s="46" t="n">
        <f aca="false">MATCH(A1687,DATAS,0)</f>
        <v>1</v>
      </c>
      <c r="AB1687" s="46" t="n">
        <f aca="false">IF(AND(E1687&gt;0,OR(AND(B1687&gt;=1,B1687&lt;=6),B1687=10)),1,0)</f>
        <v>1</v>
      </c>
      <c r="AC1687" s="46" t="n">
        <f aca="false">IF(AND(E1687&gt;0,B1687=10),1,0)</f>
        <v>0</v>
      </c>
      <c r="AD1687" s="0" t="str">
        <f aca="false">IF(AND(C1686=C1687,AA1686=AA1687-1),AB1686,"")</f>
        <v/>
      </c>
      <c r="AE1687" s="0" t="str">
        <f aca="false">IF(AND(C1686=C1687,AA1686=AA1687-1),AC1686,"")</f>
        <v/>
      </c>
      <c r="AF1687" s="0" t="str">
        <f aca="false">IF(AA1687=1,"",IF(AND(AB1687=1,AD1687&lt;&gt;1),1,0))</f>
        <v/>
      </c>
      <c r="AG1687" s="0" t="str">
        <f aca="false">IF(AA1687=1,"",IF(AND(AC1687=1,AE1687&lt;&gt;1),1,0))</f>
        <v/>
      </c>
      <c r="AH1687" s="51" t="str">
        <f aca="false">IF(AND(E1687&gt;0,AA1687&lt;1,NOT(AND(C1688=C1687,AA1688=AA1687+1))),INDEX(DATAS,AA1687+1),"")</f>
        <v/>
      </c>
      <c r="AI1687" s="51" t="str">
        <f aca="false">IF(AND(AC1687=1,AA1687&lt;1),IF(AND(C1688=C1687,AA1688=AA1687+1),IF(AC1688=1,"",INDEX(DATAS,AA1687+1)),INDEX(DATAS,AA1687+1)),"")</f>
        <v/>
      </c>
    </row>
    <row r="1688" customFormat="false" ht="15" hidden="false" customHeight="false" outlineLevel="0" collapsed="false">
      <c r="A1688" s="51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46" t="s">
        <v>1031</v>
      </c>
      <c r="G1688" s="0" t="n">
        <v>15.7</v>
      </c>
      <c r="H1688" s="0" t="n">
        <v>15</v>
      </c>
      <c r="I1688" s="46" t="s">
        <v>161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X1688" s="46" t="n">
        <f aca="false">IF(I1688="Male",0,1)</f>
        <v>1</v>
      </c>
      <c r="Y1688" s="46" t="n">
        <f aca="false">IF(OR(I1688="DNB",I1688="Dry DNB"),1,0)</f>
        <v>0</v>
      </c>
      <c r="Z1688" s="0" t="str">
        <f aca="false">IF(ISNUMBER(W1688),A1688-W1688,"")</f>
        <v/>
      </c>
      <c r="AA1688" s="46" t="n">
        <f aca="false">MATCH(A1688,DATAS,0)</f>
        <v>1</v>
      </c>
      <c r="AB1688" s="46" t="n">
        <f aca="false">IF(AND(E1688&gt;0,OR(AND(B1688&gt;=1,B1688&lt;=6),B1688=10)),1,0)</f>
        <v>1</v>
      </c>
      <c r="AC1688" s="46" t="n">
        <f aca="false">IF(AND(E1688&gt;0,B1688=10),1,0)</f>
        <v>0</v>
      </c>
      <c r="AD1688" s="0" t="str">
        <f aca="false">IF(AND(C1687=C1688,AA1687=AA1688-1),AB1687,"")</f>
        <v/>
      </c>
      <c r="AE1688" s="0" t="str">
        <f aca="false">IF(AND(C1687=C1688,AA1687=AA1688-1),AC1687,"")</f>
        <v/>
      </c>
      <c r="AF1688" s="0" t="str">
        <f aca="false">IF(AA1688=1,"",IF(AND(AB1688=1,AD1688&lt;&gt;1),1,0))</f>
        <v/>
      </c>
      <c r="AG1688" s="0" t="str">
        <f aca="false">IF(AA1688=1,"",IF(AND(AC1688=1,AE1688&lt;&gt;1),1,0))</f>
        <v/>
      </c>
      <c r="AH1688" s="51" t="str">
        <f aca="false">IF(AND(E1688&gt;0,AA1688&lt;1,NOT(AND(C1689=C1688,AA1689=AA1688+1))),INDEX(DATAS,AA1688+1),"")</f>
        <v/>
      </c>
      <c r="AI1688" s="51" t="str">
        <f aca="false">IF(AND(AC1688=1,AA1688&lt;1),IF(AND(C1689=C1688,AA1689=AA1688+1),IF(AC1689=1,"",INDEX(DATAS,AA1688+1)),INDEX(DATAS,AA1688+1)),"")</f>
        <v/>
      </c>
    </row>
    <row r="1689" customFormat="false" ht="15" hidden="false" customHeight="false" outlineLevel="0" collapsed="false">
      <c r="A1689" s="51" t="n">
        <v>46309</v>
      </c>
      <c r="B1689" s="0" t="n">
        <v>7</v>
      </c>
      <c r="C1689" s="0" t="n">
        <v>5859</v>
      </c>
      <c r="E1689" s="0" t="n">
        <v>0</v>
      </c>
      <c r="F1689" s="46" t="s">
        <v>1031</v>
      </c>
      <c r="I1689" s="46" t="s">
        <v>152</v>
      </c>
      <c r="L1689" s="0" t="n">
        <v>171</v>
      </c>
      <c r="U1689" s="0" t="n">
        <v>771</v>
      </c>
      <c r="V1689" s="0" t="n">
        <v>2</v>
      </c>
      <c r="W1689" s="51" t="n">
        <v>46139</v>
      </c>
      <c r="X1689" s="46" t="n">
        <f aca="false">IF(I1689="Male",0,1)</f>
        <v>1</v>
      </c>
      <c r="Y1689" s="46" t="n">
        <f aca="false">IF(OR(I1689="DNB",I1689="Dry DNB"),1,0)</f>
        <v>0</v>
      </c>
      <c r="Z1689" s="46" t="n">
        <f aca="false">IF(ISNUMBER(W1689),A1689-W1689,"")</f>
        <v>170</v>
      </c>
      <c r="AA1689" s="46" t="n">
        <f aca="false">MATCH(A1689,DATAS,0)</f>
        <v>1</v>
      </c>
      <c r="AB1689" s="46" t="n">
        <f aca="false">IF(AND(E1689&gt;0,OR(AND(B1689&gt;=1,B1689&lt;=6),B1689=10)),1,0)</f>
        <v>0</v>
      </c>
      <c r="AC1689" s="46" t="n">
        <f aca="false">IF(AND(E1689&gt;0,B1689=10),1,0)</f>
        <v>0</v>
      </c>
      <c r="AD1689" s="0" t="str">
        <f aca="false">IF(AND(C1688=C1689,AA1688=AA1689-1),AB1688,"")</f>
        <v/>
      </c>
      <c r="AE1689" s="0" t="str">
        <f aca="false">IF(AND(C1688=C1689,AA1688=AA1689-1),AC1688,"")</f>
        <v/>
      </c>
      <c r="AF1689" s="0" t="str">
        <f aca="false">IF(AA1689=1,"",IF(AND(AB1689=1,AD1689&lt;&gt;1),1,0))</f>
        <v/>
      </c>
      <c r="AG1689" s="0" t="str">
        <f aca="false">IF(AA1689=1,"",IF(AND(AC1689=1,AE1689&lt;&gt;1),1,0))</f>
        <v/>
      </c>
      <c r="AH1689" s="51" t="str">
        <f aca="false">IF(AND(E1689&gt;0,AA1689&lt;1,NOT(AND(C1690=C1689,AA1690=AA1689+1))),INDEX(DATAS,AA1689+1),"")</f>
        <v/>
      </c>
      <c r="AI1689" s="51" t="str">
        <f aca="false">IF(AND(AC1689=1,AA1689&lt;1),IF(AND(C1690=C1689,AA1690=AA1689+1),IF(AC1690=1,"",INDEX(DATAS,AA1689+1)),INDEX(DATAS,AA1689+1)),"")</f>
        <v/>
      </c>
    </row>
    <row r="1690" customFormat="false" ht="15" hidden="false" customHeight="false" outlineLevel="0" collapsed="false">
      <c r="A1690" s="51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46" t="s">
        <v>1032</v>
      </c>
      <c r="G1690" s="0" t="n">
        <v>22.8</v>
      </c>
      <c r="H1690" s="0" t="n">
        <v>22</v>
      </c>
      <c r="I1690" s="46" t="s">
        <v>152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51" t="n">
        <v>46268</v>
      </c>
      <c r="X1690" s="46" t="n">
        <f aca="false">IF(I1690="Male",0,1)</f>
        <v>1</v>
      </c>
      <c r="Y1690" s="46" t="n">
        <f aca="false">IF(OR(I1690="DNB",I1690="Dry DNB"),1,0)</f>
        <v>0</v>
      </c>
      <c r="Z1690" s="46" t="n">
        <f aca="false">IF(ISNUMBER(W1690),A1690-W1690,"")</f>
        <v>41</v>
      </c>
      <c r="AA1690" s="46" t="n">
        <f aca="false">MATCH(A1690,DATAS,0)</f>
        <v>1</v>
      </c>
      <c r="AB1690" s="46" t="n">
        <f aca="false">IF(AND(E1690&gt;0,OR(AND(B1690&gt;=1,B1690&lt;=6),B1690=10)),1,0)</f>
        <v>1</v>
      </c>
      <c r="AC1690" s="46" t="n">
        <f aca="false">IF(AND(E1690&gt;0,B1690=10),1,0)</f>
        <v>0</v>
      </c>
      <c r="AD1690" s="0" t="str">
        <f aca="false">IF(AND(C1689=C1690,AA1689=AA1690-1),AB1689,"")</f>
        <v/>
      </c>
      <c r="AE1690" s="0" t="str">
        <f aca="false">IF(AND(C1689=C1690,AA1689=AA1690-1),AC1689,"")</f>
        <v/>
      </c>
      <c r="AF1690" s="0" t="str">
        <f aca="false">IF(AA1690=1,"",IF(AND(AB1690=1,AD1690&lt;&gt;1),1,0))</f>
        <v/>
      </c>
      <c r="AG1690" s="0" t="str">
        <f aca="false">IF(AA1690=1,"",IF(AND(AC1690=1,AE1690&lt;&gt;1),1,0))</f>
        <v/>
      </c>
      <c r="AH1690" s="51" t="str">
        <f aca="false">IF(AND(E1690&gt;0,AA1690&lt;1,NOT(AND(C1691=C1690,AA1691=AA1690+1))),INDEX(DATAS,AA1690+1),"")</f>
        <v/>
      </c>
      <c r="AI1690" s="51" t="str">
        <f aca="false">IF(AND(AC1690=1,AA1690&lt;1),IF(AND(C1691=C1690,AA1691=AA1690+1),IF(AC1691=1,"",INDEX(DATAS,AA1690+1)),INDEX(DATAS,AA1690+1)),"")</f>
        <v/>
      </c>
    </row>
    <row r="1691" customFormat="false" ht="15" hidden="false" customHeight="false" outlineLevel="0" collapsed="false">
      <c r="A1691" s="51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46" t="s">
        <v>1033</v>
      </c>
      <c r="G1691" s="0" t="n">
        <v>51.6</v>
      </c>
      <c r="H1691" s="0" t="n">
        <v>50</v>
      </c>
      <c r="I1691" s="46" t="s">
        <v>152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51" t="n">
        <v>46267</v>
      </c>
      <c r="X1691" s="46" t="n">
        <f aca="false">IF(I1691="Male",0,1)</f>
        <v>1</v>
      </c>
      <c r="Y1691" s="46" t="n">
        <f aca="false">IF(OR(I1691="DNB",I1691="Dry DNB"),1,0)</f>
        <v>0</v>
      </c>
      <c r="Z1691" s="46" t="n">
        <f aca="false">IF(ISNUMBER(W1691),A1691-W1691,"")</f>
        <v>42</v>
      </c>
      <c r="AA1691" s="46" t="n">
        <f aca="false">MATCH(A1691,DATAS,0)</f>
        <v>1</v>
      </c>
      <c r="AB1691" s="46" t="n">
        <f aca="false">IF(AND(E1691&gt;0,OR(AND(B1691&gt;=1,B1691&lt;=6),B1691=10)),1,0)</f>
        <v>1</v>
      </c>
      <c r="AC1691" s="46" t="n">
        <f aca="false">IF(AND(E1691&gt;0,B1691=10),1,0)</f>
        <v>0</v>
      </c>
      <c r="AD1691" s="0" t="str">
        <f aca="false">IF(AND(C1690=C1691,AA1690=AA1691-1),AB1690,"")</f>
        <v/>
      </c>
      <c r="AE1691" s="0" t="str">
        <f aca="false">IF(AND(C1690=C1691,AA1690=AA1691-1),AC1690,"")</f>
        <v/>
      </c>
      <c r="AF1691" s="0" t="str">
        <f aca="false">IF(AA1691=1,"",IF(AND(AB1691=1,AD1691&lt;&gt;1),1,0))</f>
        <v/>
      </c>
      <c r="AG1691" s="0" t="str">
        <f aca="false">IF(AA1691=1,"",IF(AND(AC1691=1,AE1691&lt;&gt;1),1,0))</f>
        <v/>
      </c>
      <c r="AH1691" s="51" t="str">
        <f aca="false">IF(AND(E1691&gt;0,AA1691&lt;1,NOT(AND(C1692=C1691,AA1692=AA1691+1))),INDEX(DATAS,AA1691+1),"")</f>
        <v/>
      </c>
      <c r="AI1691" s="51" t="str">
        <f aca="false">IF(AND(AC1691=1,AA1691&lt;1),IF(AND(C1692=C1691,AA1692=AA1691+1),IF(AC1692=1,"",INDEX(DATAS,AA1691+1)),INDEX(DATAS,AA1691+1)),"")</f>
        <v/>
      </c>
    </row>
    <row r="1692" customFormat="false" ht="15" hidden="false" customHeight="false" outlineLevel="0" collapsed="false">
      <c r="A1692" s="51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46" t="s">
        <v>1034</v>
      </c>
      <c r="G1692" s="0" t="n">
        <v>50</v>
      </c>
      <c r="H1692" s="0" t="n">
        <v>47</v>
      </c>
      <c r="I1692" s="46" t="s">
        <v>161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X1692" s="46" t="n">
        <f aca="false">IF(I1692="Male",0,1)</f>
        <v>1</v>
      </c>
      <c r="Y1692" s="46" t="n">
        <f aca="false">IF(OR(I1692="DNB",I1692="Dry DNB"),1,0)</f>
        <v>0</v>
      </c>
      <c r="Z1692" s="0" t="str">
        <f aca="false">IF(ISNUMBER(W1692),A1692-W1692,"")</f>
        <v/>
      </c>
      <c r="AA1692" s="46" t="n">
        <f aca="false">MATCH(A1692,DATAS,0)</f>
        <v>1</v>
      </c>
      <c r="AB1692" s="46" t="n">
        <f aca="false">IF(AND(E1692&gt;0,OR(AND(B1692&gt;=1,B1692&lt;=6),B1692=10)),1,0)</f>
        <v>1</v>
      </c>
      <c r="AC1692" s="46" t="n">
        <f aca="false">IF(AND(E1692&gt;0,B1692=10),1,0)</f>
        <v>0</v>
      </c>
      <c r="AD1692" s="0" t="str">
        <f aca="false">IF(AND(C1691=C1692,AA1691=AA1692-1),AB1691,"")</f>
        <v/>
      </c>
      <c r="AE1692" s="0" t="str">
        <f aca="false">IF(AND(C1691=C1692,AA1691=AA1692-1),AC1691,"")</f>
        <v/>
      </c>
      <c r="AF1692" s="0" t="str">
        <f aca="false">IF(AA1692=1,"",IF(AND(AB1692=1,AD1692&lt;&gt;1),1,0))</f>
        <v/>
      </c>
      <c r="AG1692" s="0" t="str">
        <f aca="false">IF(AA1692=1,"",IF(AND(AC1692=1,AE1692&lt;&gt;1),1,0))</f>
        <v/>
      </c>
      <c r="AH1692" s="51" t="str">
        <f aca="false">IF(AND(E1692&gt;0,AA1692&lt;1,NOT(AND(C1693=C1692,AA1693=AA1692+1))),INDEX(DATAS,AA1692+1),"")</f>
        <v/>
      </c>
      <c r="AI1692" s="51" t="str">
        <f aca="false">IF(AND(AC1692=1,AA1692&lt;1),IF(AND(C1693=C1692,AA1693=AA1692+1),IF(AC1693=1,"",INDEX(DATAS,AA1692+1)),INDEX(DATAS,AA1692+1)),"")</f>
        <v/>
      </c>
    </row>
    <row r="1693" customFormat="false" ht="15" hidden="false" customHeight="false" outlineLevel="0" collapsed="false">
      <c r="A1693" s="51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46" t="s">
        <v>1034</v>
      </c>
      <c r="G1693" s="0" t="n">
        <v>44</v>
      </c>
      <c r="H1693" s="0" t="n">
        <v>43</v>
      </c>
      <c r="I1693" s="46" t="s">
        <v>161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X1693" s="46" t="n">
        <f aca="false">IF(I1693="Male",0,1)</f>
        <v>1</v>
      </c>
      <c r="Y1693" s="46" t="n">
        <f aca="false">IF(OR(I1693="DNB",I1693="Dry DNB"),1,0)</f>
        <v>0</v>
      </c>
      <c r="Z1693" s="0" t="str">
        <f aca="false">IF(ISNUMBER(W1693),A1693-W1693,"")</f>
        <v/>
      </c>
      <c r="AA1693" s="46" t="n">
        <f aca="false">MATCH(A1693,DATAS,0)</f>
        <v>1</v>
      </c>
      <c r="AB1693" s="46" t="n">
        <f aca="false">IF(AND(E1693&gt;0,OR(AND(B1693&gt;=1,B1693&lt;=6),B1693=10)),1,0)</f>
        <v>1</v>
      </c>
      <c r="AC1693" s="46" t="n">
        <f aca="false">IF(AND(E1693&gt;0,B1693=10),1,0)</f>
        <v>0</v>
      </c>
      <c r="AD1693" s="0" t="str">
        <f aca="false">IF(AND(C1692=C1693,AA1692=AA1693-1),AB1692,"")</f>
        <v/>
      </c>
      <c r="AE1693" s="0" t="str">
        <f aca="false">IF(AND(C1692=C1693,AA1692=AA1693-1),AC1692,"")</f>
        <v/>
      </c>
      <c r="AF1693" s="0" t="str">
        <f aca="false">IF(AA1693=1,"",IF(AND(AB1693=1,AD1693&lt;&gt;1),1,0))</f>
        <v/>
      </c>
      <c r="AG1693" s="0" t="str">
        <f aca="false">IF(AA1693=1,"",IF(AND(AC1693=1,AE1693&lt;&gt;1),1,0))</f>
        <v/>
      </c>
      <c r="AH1693" s="51" t="str">
        <f aca="false">IF(AND(E1693&gt;0,AA1693&lt;1,NOT(AND(C1694=C1693,AA1694=AA1693+1))),INDEX(DATAS,AA1693+1),"")</f>
        <v/>
      </c>
      <c r="AI1693" s="51" t="str">
        <f aca="false">IF(AND(AC1693=1,AA1693&lt;1),IF(AND(C1694=C1693,AA1694=AA1693+1),IF(AC1694=1,"",INDEX(DATAS,AA1693+1)),INDEX(DATAS,AA1693+1)),"")</f>
        <v/>
      </c>
    </row>
    <row r="1694" customFormat="false" ht="15" hidden="false" customHeight="false" outlineLevel="0" collapsed="false">
      <c r="A1694" s="51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46" t="s">
        <v>1034</v>
      </c>
      <c r="G1694" s="0" t="n">
        <v>42.3</v>
      </c>
      <c r="H1694" s="0" t="n">
        <v>41</v>
      </c>
      <c r="I1694" s="46" t="s">
        <v>152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51" t="n">
        <v>46268</v>
      </c>
      <c r="X1694" s="46" t="n">
        <f aca="false">IF(I1694="Male",0,1)</f>
        <v>1</v>
      </c>
      <c r="Y1694" s="46" t="n">
        <f aca="false">IF(OR(I1694="DNB",I1694="Dry DNB"),1,0)</f>
        <v>0</v>
      </c>
      <c r="Z1694" s="46" t="n">
        <f aca="false">IF(ISNUMBER(W1694),A1694-W1694,"")</f>
        <v>41</v>
      </c>
      <c r="AA1694" s="46" t="n">
        <f aca="false">MATCH(A1694,DATAS,0)</f>
        <v>1</v>
      </c>
      <c r="AB1694" s="46" t="n">
        <f aca="false">IF(AND(E1694&gt;0,OR(AND(B1694&gt;=1,B1694&lt;=6),B1694=10)),1,0)</f>
        <v>1</v>
      </c>
      <c r="AC1694" s="46" t="n">
        <f aca="false">IF(AND(E1694&gt;0,B1694=10),1,0)</f>
        <v>0</v>
      </c>
      <c r="AD1694" s="0" t="str">
        <f aca="false">IF(AND(C1693=C1694,AA1693=AA1694-1),AB1693,"")</f>
        <v/>
      </c>
      <c r="AE1694" s="0" t="str">
        <f aca="false">IF(AND(C1693=C1694,AA1693=AA1694-1),AC1693,"")</f>
        <v/>
      </c>
      <c r="AF1694" s="0" t="str">
        <f aca="false">IF(AA1694=1,"",IF(AND(AB1694=1,AD1694&lt;&gt;1),1,0))</f>
        <v/>
      </c>
      <c r="AG1694" s="0" t="str">
        <f aca="false">IF(AA1694=1,"",IF(AND(AC1694=1,AE1694&lt;&gt;1),1,0))</f>
        <v/>
      </c>
      <c r="AH1694" s="51" t="str">
        <f aca="false">IF(AND(E1694&gt;0,AA1694&lt;1,NOT(AND(C1695=C1694,AA1695=AA1694+1))),INDEX(DATAS,AA1694+1),"")</f>
        <v/>
      </c>
      <c r="AI1694" s="51" t="str">
        <f aca="false">IF(AND(AC1694=1,AA1694&lt;1),IF(AND(C1695=C1694,AA1695=AA1694+1),IF(AC1695=1,"",INDEX(DATAS,AA1694+1)),INDEX(DATAS,AA1694+1)),"")</f>
        <v/>
      </c>
    </row>
    <row r="1695" customFormat="false" ht="15" hidden="false" customHeight="false" outlineLevel="0" collapsed="false">
      <c r="A1695" s="51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46" t="s">
        <v>1034</v>
      </c>
      <c r="G1695" s="0" t="n">
        <v>36.8</v>
      </c>
      <c r="H1695" s="0" t="n">
        <v>31</v>
      </c>
      <c r="I1695" s="46" t="s">
        <v>161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X1695" s="46" t="n">
        <f aca="false">IF(I1695="Male",0,1)</f>
        <v>1</v>
      </c>
      <c r="Y1695" s="46" t="n">
        <f aca="false">IF(OR(I1695="DNB",I1695="Dry DNB"),1,0)</f>
        <v>0</v>
      </c>
      <c r="Z1695" s="0" t="str">
        <f aca="false">IF(ISNUMBER(W1695),A1695-W1695,"")</f>
        <v/>
      </c>
      <c r="AA1695" s="46" t="n">
        <f aca="false">MATCH(A1695,DATAS,0)</f>
        <v>1</v>
      </c>
      <c r="AB1695" s="46" t="n">
        <f aca="false">IF(AND(E1695&gt;0,OR(AND(B1695&gt;=1,B1695&lt;=6),B1695=10)),1,0)</f>
        <v>1</v>
      </c>
      <c r="AC1695" s="46" t="n">
        <f aca="false">IF(AND(E1695&gt;0,B1695=10),1,0)</f>
        <v>0</v>
      </c>
      <c r="AD1695" s="0" t="str">
        <f aca="false">IF(AND(C1694=C1695,AA1694=AA1695-1),AB1694,"")</f>
        <v/>
      </c>
      <c r="AE1695" s="0" t="str">
        <f aca="false">IF(AND(C1694=C1695,AA1694=AA1695-1),AC1694,"")</f>
        <v/>
      </c>
      <c r="AF1695" s="0" t="str">
        <f aca="false">IF(AA1695=1,"",IF(AND(AB1695=1,AD1695&lt;&gt;1),1,0))</f>
        <v/>
      </c>
      <c r="AG1695" s="0" t="str">
        <f aca="false">IF(AA1695=1,"",IF(AND(AC1695=1,AE1695&lt;&gt;1),1,0))</f>
        <v/>
      </c>
      <c r="AH1695" s="51" t="str">
        <f aca="false">IF(AND(E1695&gt;0,AA1695&lt;1,NOT(AND(C1696=C1695,AA1696=AA1695+1))),INDEX(DATAS,AA1695+1),"")</f>
        <v/>
      </c>
      <c r="AI1695" s="51" t="str">
        <f aca="false">IF(AND(AC1695=1,AA1695&lt;1),IF(AND(C1696=C1695,AA1696=AA1695+1),IF(AC1696=1,"",INDEX(DATAS,AA1695+1)),INDEX(DATAS,AA1695+1)),"")</f>
        <v/>
      </c>
    </row>
    <row r="1696" customFormat="false" ht="15" hidden="false" customHeight="false" outlineLevel="0" collapsed="false">
      <c r="A1696" s="51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46" t="s">
        <v>1035</v>
      </c>
      <c r="G1696" s="0" t="n">
        <v>52.7</v>
      </c>
      <c r="H1696" s="0" t="n">
        <v>45</v>
      </c>
      <c r="I1696" s="46" t="s">
        <v>181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51" t="n">
        <v>46303</v>
      </c>
      <c r="X1696" s="46" t="n">
        <f aca="false">IF(I1696="Male",0,1)</f>
        <v>1</v>
      </c>
      <c r="Y1696" s="46" t="n">
        <f aca="false">IF(OR(I1696="DNB",I1696="Dry DNB"),1,0)</f>
        <v>0</v>
      </c>
      <c r="Z1696" s="46" t="n">
        <f aca="false">IF(ISNUMBER(W1696),A1696-W1696,"")</f>
        <v>6</v>
      </c>
      <c r="AA1696" s="46" t="n">
        <f aca="false">MATCH(A1696,DATAS,0)</f>
        <v>1</v>
      </c>
      <c r="AB1696" s="46" t="n">
        <f aca="false">IF(AND(E1696&gt;0,OR(AND(B1696&gt;=1,B1696&lt;=6),B1696=10)),1,0)</f>
        <v>1</v>
      </c>
      <c r="AC1696" s="46" t="n">
        <f aca="false">IF(AND(E1696&gt;0,B1696=10),1,0)</f>
        <v>0</v>
      </c>
      <c r="AD1696" s="0" t="str">
        <f aca="false">IF(AND(C1695=C1696,AA1695=AA1696-1),AB1695,"")</f>
        <v/>
      </c>
      <c r="AE1696" s="0" t="str">
        <f aca="false">IF(AND(C1695=C1696,AA1695=AA1696-1),AC1695,"")</f>
        <v/>
      </c>
      <c r="AF1696" s="0" t="str">
        <f aca="false">IF(AA1696=1,"",IF(AND(AB1696=1,AD1696&lt;&gt;1),1,0))</f>
        <v/>
      </c>
      <c r="AG1696" s="0" t="str">
        <f aca="false">IF(AA1696=1,"",IF(AND(AC1696=1,AE1696&lt;&gt;1),1,0))</f>
        <v/>
      </c>
      <c r="AH1696" s="51" t="str">
        <f aca="false">IF(AND(E1696&gt;0,AA1696&lt;1,NOT(AND(C1697=C1696,AA1697=AA1696+1))),INDEX(DATAS,AA1696+1),"")</f>
        <v/>
      </c>
      <c r="AI1696" s="51" t="str">
        <f aca="false">IF(AND(AC1696=1,AA1696&lt;1),IF(AND(C1697=C1696,AA1697=AA1696+1),IF(AC1697=1,"",INDEX(DATAS,AA1696+1)),INDEX(DATAS,AA1696+1)),"")</f>
        <v/>
      </c>
    </row>
    <row r="1697" customFormat="false" ht="15" hidden="false" customHeight="false" outlineLevel="0" collapsed="false">
      <c r="A1697" s="51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46" t="s">
        <v>1035</v>
      </c>
      <c r="G1697" s="0" t="n">
        <v>45.3</v>
      </c>
      <c r="H1697" s="0" t="n">
        <v>44</v>
      </c>
      <c r="I1697" s="46" t="s">
        <v>181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51" t="n">
        <v>46310</v>
      </c>
      <c r="X1697" s="46" t="n">
        <f aca="false">IF(I1697="Male",0,1)</f>
        <v>1</v>
      </c>
      <c r="Y1697" s="46" t="n">
        <f aca="false">IF(OR(I1697="DNB",I1697="Dry DNB"),1,0)</f>
        <v>0</v>
      </c>
      <c r="Z1697" s="46" t="n">
        <f aca="false">IF(ISNUMBER(W1697),A1697-W1697,"")</f>
        <v>-1</v>
      </c>
      <c r="AA1697" s="46" t="n">
        <f aca="false">MATCH(A1697,DATAS,0)</f>
        <v>1</v>
      </c>
      <c r="AB1697" s="46" t="n">
        <f aca="false">IF(AND(E1697&gt;0,OR(AND(B1697&gt;=1,B1697&lt;=6),B1697=10)),1,0)</f>
        <v>1</v>
      </c>
      <c r="AC1697" s="46" t="n">
        <f aca="false">IF(AND(E1697&gt;0,B1697=10),1,0)</f>
        <v>0</v>
      </c>
      <c r="AD1697" s="0" t="str">
        <f aca="false">IF(AND(C1696=C1697,AA1696=AA1697-1),AB1696,"")</f>
        <v/>
      </c>
      <c r="AE1697" s="0" t="str">
        <f aca="false">IF(AND(C1696=C1697,AA1696=AA1697-1),AC1696,"")</f>
        <v/>
      </c>
      <c r="AF1697" s="0" t="str">
        <f aca="false">IF(AA1697=1,"",IF(AND(AB1697=1,AD1697&lt;&gt;1),1,0))</f>
        <v/>
      </c>
      <c r="AG1697" s="0" t="str">
        <f aca="false">IF(AA1697=1,"",IF(AND(AC1697=1,AE1697&lt;&gt;1),1,0))</f>
        <v/>
      </c>
      <c r="AH1697" s="51" t="str">
        <f aca="false">IF(AND(E1697&gt;0,AA1697&lt;1,NOT(AND(C1698=C1697,AA1698=AA1697+1))),INDEX(DATAS,AA1697+1),"")</f>
        <v/>
      </c>
      <c r="AI1697" s="51" t="str">
        <f aca="false">IF(AND(AC1697=1,AA1697&lt;1),IF(AND(C1698=C1697,AA1698=AA1697+1),IF(AC1698=1,"",INDEX(DATAS,AA1697+1)),INDEX(DATAS,AA1697+1)),"")</f>
        <v/>
      </c>
    </row>
    <row r="1698" customFormat="false" ht="15" hidden="false" customHeight="false" outlineLevel="0" collapsed="false">
      <c r="A1698" s="51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46" t="s">
        <v>1036</v>
      </c>
      <c r="G1698" s="0" t="n">
        <v>50.2</v>
      </c>
      <c r="H1698" s="0" t="n">
        <v>53</v>
      </c>
      <c r="I1698" s="46" t="s">
        <v>161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X1698" s="46" t="n">
        <f aca="false">IF(I1698="Male",0,1)</f>
        <v>1</v>
      </c>
      <c r="Y1698" s="46" t="n">
        <f aca="false">IF(OR(I1698="DNB",I1698="Dry DNB"),1,0)</f>
        <v>0</v>
      </c>
      <c r="Z1698" s="0" t="str">
        <f aca="false">IF(ISNUMBER(W1698),A1698-W1698,"")</f>
        <v/>
      </c>
      <c r="AA1698" s="46" t="n">
        <f aca="false">MATCH(A1698,DATAS,0)</f>
        <v>1</v>
      </c>
      <c r="AB1698" s="46" t="n">
        <f aca="false">IF(AND(E1698&gt;0,OR(AND(B1698&gt;=1,B1698&lt;=6),B1698=10)),1,0)</f>
        <v>1</v>
      </c>
      <c r="AC1698" s="46" t="n">
        <f aca="false">IF(AND(E1698&gt;0,B1698=10),1,0)</f>
        <v>0</v>
      </c>
      <c r="AD1698" s="0" t="str">
        <f aca="false">IF(AND(C1697=C1698,AA1697=AA1698-1),AB1697,"")</f>
        <v/>
      </c>
      <c r="AE1698" s="0" t="str">
        <f aca="false">IF(AND(C1697=C1698,AA1697=AA1698-1),AC1697,"")</f>
        <v/>
      </c>
      <c r="AF1698" s="0" t="str">
        <f aca="false">IF(AA1698=1,"",IF(AND(AB1698=1,AD1698&lt;&gt;1),1,0))</f>
        <v/>
      </c>
      <c r="AG1698" s="0" t="str">
        <f aca="false">IF(AA1698=1,"",IF(AND(AC1698=1,AE1698&lt;&gt;1),1,0))</f>
        <v/>
      </c>
      <c r="AH1698" s="51" t="str">
        <f aca="false">IF(AND(E1698&gt;0,AA1698&lt;1,NOT(AND(C1699=C1698,AA1699=AA1698+1))),INDEX(DATAS,AA1698+1),"")</f>
        <v/>
      </c>
      <c r="AI1698" s="51" t="str">
        <f aca="false">IF(AND(AC1698=1,AA1698&lt;1),IF(AND(C1699=C1698,AA1699=AA1698+1),IF(AC1699=1,"",INDEX(DATAS,AA1698+1)),INDEX(DATAS,AA1698+1)),"")</f>
        <v/>
      </c>
    </row>
    <row r="1699" customFormat="false" ht="15" hidden="false" customHeight="false" outlineLevel="0" collapsed="false">
      <c r="A1699" s="51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46" t="s">
        <v>1036</v>
      </c>
      <c r="G1699" s="0" t="n">
        <v>39.8</v>
      </c>
      <c r="H1699" s="0" t="n">
        <v>38</v>
      </c>
      <c r="I1699" s="46" t="s">
        <v>161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X1699" s="46" t="n">
        <f aca="false">IF(I1699="Male",0,1)</f>
        <v>1</v>
      </c>
      <c r="Y1699" s="46" t="n">
        <f aca="false">IF(OR(I1699="DNB",I1699="Dry DNB"),1,0)</f>
        <v>0</v>
      </c>
      <c r="Z1699" s="0" t="str">
        <f aca="false">IF(ISNUMBER(W1699),A1699-W1699,"")</f>
        <v/>
      </c>
      <c r="AA1699" s="46" t="n">
        <f aca="false">MATCH(A1699,DATAS,0)</f>
        <v>1</v>
      </c>
      <c r="AB1699" s="46" t="n">
        <f aca="false">IF(AND(E1699&gt;0,OR(AND(B1699&gt;=1,B1699&lt;=6),B1699=10)),1,0)</f>
        <v>1</v>
      </c>
      <c r="AC1699" s="46" t="n">
        <f aca="false">IF(AND(E1699&gt;0,B1699=10),1,0)</f>
        <v>0</v>
      </c>
      <c r="AD1699" s="0" t="str">
        <f aca="false">IF(AND(C1698=C1699,AA1698=AA1699-1),AB1698,"")</f>
        <v/>
      </c>
      <c r="AE1699" s="0" t="str">
        <f aca="false">IF(AND(C1698=C1699,AA1698=AA1699-1),AC1698,"")</f>
        <v/>
      </c>
      <c r="AF1699" s="0" t="str">
        <f aca="false">IF(AA1699=1,"",IF(AND(AB1699=1,AD1699&lt;&gt;1),1,0))</f>
        <v/>
      </c>
      <c r="AG1699" s="0" t="str">
        <f aca="false">IF(AA1699=1,"",IF(AND(AC1699=1,AE1699&lt;&gt;1),1,0))</f>
        <v/>
      </c>
      <c r="AH1699" s="51" t="str">
        <f aca="false">IF(AND(E1699&gt;0,AA1699&lt;1,NOT(AND(C1700=C1699,AA1700=AA1699+1))),INDEX(DATAS,AA1699+1),"")</f>
        <v/>
      </c>
      <c r="AI1699" s="51" t="str">
        <f aca="false">IF(AND(AC1699=1,AA1699&lt;1),IF(AND(C1700=C1699,AA1700=AA1699+1),IF(AC1700=1,"",INDEX(DATAS,AA1699+1)),INDEX(DATAS,AA1699+1)),"")</f>
        <v/>
      </c>
    </row>
    <row r="1700" customFormat="false" ht="15" hidden="false" customHeight="false" outlineLevel="0" collapsed="false">
      <c r="A1700" s="51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46" t="s">
        <v>1036</v>
      </c>
      <c r="G1700" s="0" t="n">
        <v>48.1</v>
      </c>
      <c r="H1700" s="0" t="n">
        <v>51</v>
      </c>
      <c r="I1700" s="46" t="s">
        <v>181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51" t="n">
        <v>46296</v>
      </c>
      <c r="X1700" s="46" t="n">
        <f aca="false">IF(I1700="Male",0,1)</f>
        <v>1</v>
      </c>
      <c r="Y1700" s="46" t="n">
        <f aca="false">IF(OR(I1700="DNB",I1700="Dry DNB"),1,0)</f>
        <v>0</v>
      </c>
      <c r="Z1700" s="46" t="n">
        <f aca="false">IF(ISNUMBER(W1700),A1700-W1700,"")</f>
        <v>13</v>
      </c>
      <c r="AA1700" s="46" t="n">
        <f aca="false">MATCH(A1700,DATAS,0)</f>
        <v>1</v>
      </c>
      <c r="AB1700" s="46" t="n">
        <f aca="false">IF(AND(E1700&gt;0,OR(AND(B1700&gt;=1,B1700&lt;=6),B1700=10)),1,0)</f>
        <v>1</v>
      </c>
      <c r="AC1700" s="46" t="n">
        <f aca="false">IF(AND(E1700&gt;0,B1700=10),1,0)</f>
        <v>0</v>
      </c>
      <c r="AD1700" s="0" t="str">
        <f aca="false">IF(AND(C1699=C1700,AA1699=AA1700-1),AB1699,"")</f>
        <v/>
      </c>
      <c r="AE1700" s="0" t="str">
        <f aca="false">IF(AND(C1699=C1700,AA1699=AA1700-1),AC1699,"")</f>
        <v/>
      </c>
      <c r="AF1700" s="0" t="str">
        <f aca="false">IF(AA1700=1,"",IF(AND(AB1700=1,AD1700&lt;&gt;1),1,0))</f>
        <v/>
      </c>
      <c r="AG1700" s="0" t="str">
        <f aca="false">IF(AA1700=1,"",IF(AND(AC1700=1,AE1700&lt;&gt;1),1,0))</f>
        <v/>
      </c>
      <c r="AH1700" s="51" t="str">
        <f aca="false">IF(AND(E1700&gt;0,AA1700&lt;1,NOT(AND(C1701=C1700,AA1701=AA1700+1))),INDEX(DATAS,AA1700+1),"")</f>
        <v/>
      </c>
      <c r="AI1700" s="51" t="str">
        <f aca="false">IF(AND(AC1700=1,AA1700&lt;1),IF(AND(C1701=C1700,AA1701=AA1700+1),IF(AC1701=1,"",INDEX(DATAS,AA1700+1)),INDEX(DATAS,AA1700+1)),"")</f>
        <v/>
      </c>
    </row>
    <row r="1701" customFormat="false" ht="15" hidden="false" customHeight="false" outlineLevel="0" collapsed="false">
      <c r="A1701" s="51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46" t="s">
        <v>1036</v>
      </c>
      <c r="G1701" s="0" t="n">
        <v>60.5</v>
      </c>
      <c r="H1701" s="0" t="n">
        <v>61</v>
      </c>
      <c r="I1701" s="46" t="s">
        <v>152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51" t="n">
        <v>46268</v>
      </c>
      <c r="X1701" s="46" t="n">
        <f aca="false">IF(I1701="Male",0,1)</f>
        <v>1</v>
      </c>
      <c r="Y1701" s="46" t="n">
        <f aca="false">IF(OR(I1701="DNB",I1701="Dry DNB"),1,0)</f>
        <v>0</v>
      </c>
      <c r="Z1701" s="46" t="n">
        <f aca="false">IF(ISNUMBER(W1701),A1701-W1701,"")</f>
        <v>41</v>
      </c>
      <c r="AA1701" s="46" t="n">
        <f aca="false">MATCH(A1701,DATAS,0)</f>
        <v>1</v>
      </c>
      <c r="AB1701" s="46" t="n">
        <f aca="false">IF(AND(E1701&gt;0,OR(AND(B1701&gt;=1,B1701&lt;=6),B1701=10)),1,0)</f>
        <v>1</v>
      </c>
      <c r="AC1701" s="46" t="n">
        <f aca="false">IF(AND(E1701&gt;0,B1701=10),1,0)</f>
        <v>0</v>
      </c>
      <c r="AD1701" s="0" t="str">
        <f aca="false">IF(AND(C1700=C1701,AA1700=AA1701-1),AB1700,"")</f>
        <v/>
      </c>
      <c r="AE1701" s="0" t="str">
        <f aca="false">IF(AND(C1700=C1701,AA1700=AA1701-1),AC1700,"")</f>
        <v/>
      </c>
      <c r="AF1701" s="0" t="str">
        <f aca="false">IF(AA1701=1,"",IF(AND(AB1701=1,AD1701&lt;&gt;1),1,0))</f>
        <v/>
      </c>
      <c r="AG1701" s="0" t="str">
        <f aca="false">IF(AA1701=1,"",IF(AND(AC1701=1,AE1701&lt;&gt;1),1,0))</f>
        <v/>
      </c>
      <c r="AH1701" s="51" t="str">
        <f aca="false">IF(AND(E1701&gt;0,AA1701&lt;1,NOT(AND(C1702=C1701,AA1702=AA1701+1))),INDEX(DATAS,AA1701+1),"")</f>
        <v/>
      </c>
      <c r="AI1701" s="51" t="str">
        <f aca="false">IF(AND(AC1701=1,AA1701&lt;1),IF(AND(C1702=C1701,AA1702=AA1701+1),IF(AC1702=1,"",INDEX(DATAS,AA1701+1)),INDEX(DATAS,AA1701+1)),"")</f>
        <v/>
      </c>
    </row>
    <row r="1702" customFormat="false" ht="15" hidden="false" customHeight="false" outlineLevel="0" collapsed="false">
      <c r="A1702" s="51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46" t="s">
        <v>1037</v>
      </c>
      <c r="G1702" s="0" t="n">
        <v>76.6</v>
      </c>
      <c r="H1702" s="0" t="n">
        <v>71</v>
      </c>
      <c r="I1702" s="46" t="s">
        <v>181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51" t="n">
        <v>46282</v>
      </c>
      <c r="X1702" s="46" t="n">
        <f aca="false">IF(I1702="Male",0,1)</f>
        <v>1</v>
      </c>
      <c r="Y1702" s="46" t="n">
        <f aca="false">IF(OR(I1702="DNB",I1702="Dry DNB"),1,0)</f>
        <v>0</v>
      </c>
      <c r="Z1702" s="46" t="n">
        <f aca="false">IF(ISNUMBER(W1702),A1702-W1702,"")</f>
        <v>27</v>
      </c>
      <c r="AA1702" s="46" t="n">
        <f aca="false">MATCH(A1702,DATAS,0)</f>
        <v>1</v>
      </c>
      <c r="AB1702" s="46" t="n">
        <f aca="false">IF(AND(E1702&gt;0,OR(AND(B1702&gt;=1,B1702&lt;=6),B1702=10)),1,0)</f>
        <v>1</v>
      </c>
      <c r="AC1702" s="46" t="n">
        <f aca="false">IF(AND(E1702&gt;0,B1702=10),1,0)</f>
        <v>0</v>
      </c>
      <c r="AD1702" s="0" t="str">
        <f aca="false">IF(AND(C1701=C1702,AA1701=AA1702-1),AB1701,"")</f>
        <v/>
      </c>
      <c r="AE1702" s="0" t="str">
        <f aca="false">IF(AND(C1701=C1702,AA1701=AA1702-1),AC1701,"")</f>
        <v/>
      </c>
      <c r="AF1702" s="0" t="str">
        <f aca="false">IF(AA1702=1,"",IF(AND(AB1702=1,AD1702&lt;&gt;1),1,0))</f>
        <v/>
      </c>
      <c r="AG1702" s="0" t="str">
        <f aca="false">IF(AA1702=1,"",IF(AND(AC1702=1,AE1702&lt;&gt;1),1,0))</f>
        <v/>
      </c>
      <c r="AH1702" s="51" t="str">
        <f aca="false">IF(AND(E1702&gt;0,AA1702&lt;1,NOT(AND(C1703=C1702,AA1703=AA1702+1))),INDEX(DATAS,AA1702+1),"")</f>
        <v/>
      </c>
      <c r="AI1702" s="51" t="str">
        <f aca="false">IF(AND(AC1702=1,AA1702&lt;1),IF(AND(C1703=C1702,AA1703=AA1702+1),IF(AC1703=1,"",INDEX(DATAS,AA1702+1)),INDEX(DATAS,AA1702+1)),"")</f>
        <v/>
      </c>
    </row>
    <row r="1703" customFormat="false" ht="15" hidden="false" customHeight="false" outlineLevel="0" collapsed="false">
      <c r="A1703" s="51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46" t="s">
        <v>1037</v>
      </c>
      <c r="G1703" s="0" t="n">
        <v>48.4</v>
      </c>
      <c r="H1703" s="0" t="n">
        <v>51</v>
      </c>
      <c r="I1703" s="46" t="s">
        <v>161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X1703" s="46" t="n">
        <f aca="false">IF(I1703="Male",0,1)</f>
        <v>1</v>
      </c>
      <c r="Y1703" s="46" t="n">
        <f aca="false">IF(OR(I1703="DNB",I1703="Dry DNB"),1,0)</f>
        <v>0</v>
      </c>
      <c r="Z1703" s="0" t="str">
        <f aca="false">IF(ISNUMBER(W1703),A1703-W1703,"")</f>
        <v/>
      </c>
      <c r="AA1703" s="46" t="n">
        <f aca="false">MATCH(A1703,DATAS,0)</f>
        <v>1</v>
      </c>
      <c r="AB1703" s="46" t="n">
        <f aca="false">IF(AND(E1703&gt;0,OR(AND(B1703&gt;=1,B1703&lt;=6),B1703=10)),1,0)</f>
        <v>1</v>
      </c>
      <c r="AC1703" s="46" t="n">
        <f aca="false">IF(AND(E1703&gt;0,B1703=10),1,0)</f>
        <v>0</v>
      </c>
      <c r="AD1703" s="0" t="str">
        <f aca="false">IF(AND(C1702=C1703,AA1702=AA1703-1),AB1702,"")</f>
        <v/>
      </c>
      <c r="AE1703" s="0" t="str">
        <f aca="false">IF(AND(C1702=C1703,AA1702=AA1703-1),AC1702,"")</f>
        <v/>
      </c>
      <c r="AF1703" s="0" t="str">
        <f aca="false">IF(AA1703=1,"",IF(AND(AB1703=1,AD1703&lt;&gt;1),1,0))</f>
        <v/>
      </c>
      <c r="AG1703" s="0" t="str">
        <f aca="false">IF(AA1703=1,"",IF(AND(AC1703=1,AE1703&lt;&gt;1),1,0))</f>
        <v/>
      </c>
      <c r="AH1703" s="51" t="str">
        <f aca="false">IF(AND(E1703&gt;0,AA1703&lt;1,NOT(AND(C1704=C1703,AA1704=AA1703+1))),INDEX(DATAS,AA1703+1),"")</f>
        <v/>
      </c>
      <c r="AI1703" s="51" t="str">
        <f aca="false">IF(AND(AC1703=1,AA1703&lt;1),IF(AND(C1704=C1703,AA1704=AA1703+1),IF(AC1704=1,"",INDEX(DATAS,AA1703+1)),INDEX(DATAS,AA1703+1)),"")</f>
        <v/>
      </c>
    </row>
    <row r="1704" customFormat="false" ht="15" hidden="false" customHeight="false" outlineLevel="0" collapsed="false">
      <c r="A1704" s="51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46" t="s">
        <v>1038</v>
      </c>
      <c r="G1704" s="0" t="n">
        <v>27.8</v>
      </c>
      <c r="H1704" s="0" t="n">
        <v>25</v>
      </c>
      <c r="I1704" s="46" t="s">
        <v>181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51" t="n">
        <v>46303</v>
      </c>
      <c r="X1704" s="46" t="n">
        <f aca="false">IF(I1704="Male",0,1)</f>
        <v>1</v>
      </c>
      <c r="Y1704" s="46" t="n">
        <f aca="false">IF(OR(I1704="DNB",I1704="Dry DNB"),1,0)</f>
        <v>0</v>
      </c>
      <c r="Z1704" s="46" t="n">
        <f aca="false">IF(ISNUMBER(W1704),A1704-W1704,"")</f>
        <v>6</v>
      </c>
      <c r="AA1704" s="46" t="n">
        <f aca="false">MATCH(A1704,DATAS,0)</f>
        <v>1</v>
      </c>
      <c r="AB1704" s="46" t="n">
        <f aca="false">IF(AND(E1704&gt;0,OR(AND(B1704&gt;=1,B1704&lt;=6),B1704=10)),1,0)</f>
        <v>1</v>
      </c>
      <c r="AC1704" s="46" t="n">
        <f aca="false">IF(AND(E1704&gt;0,B1704=10),1,0)</f>
        <v>0</v>
      </c>
      <c r="AD1704" s="0" t="str">
        <f aca="false">IF(AND(C1703=C1704,AA1703=AA1704-1),AB1703,"")</f>
        <v/>
      </c>
      <c r="AE1704" s="0" t="str">
        <f aca="false">IF(AND(C1703=C1704,AA1703=AA1704-1),AC1703,"")</f>
        <v/>
      </c>
      <c r="AF1704" s="0" t="str">
        <f aca="false">IF(AA1704=1,"",IF(AND(AB1704=1,AD1704&lt;&gt;1),1,0))</f>
        <v/>
      </c>
      <c r="AG1704" s="0" t="str">
        <f aca="false">IF(AA1704=1,"",IF(AND(AC1704=1,AE1704&lt;&gt;1),1,0))</f>
        <v/>
      </c>
      <c r="AH1704" s="51" t="str">
        <f aca="false">IF(AND(E1704&gt;0,AA1704&lt;1,NOT(AND(C1705=C1704,AA1705=AA1704+1))),INDEX(DATAS,AA1704+1),"")</f>
        <v/>
      </c>
      <c r="AI1704" s="51" t="str">
        <f aca="false">IF(AND(AC1704=1,AA1704&lt;1),IF(AND(C1705=C1704,AA1705=AA1704+1),IF(AC1705=1,"",INDEX(DATAS,AA1704+1)),INDEX(DATAS,AA1704+1)),"")</f>
        <v/>
      </c>
    </row>
    <row r="1705" customFormat="false" ht="15" hidden="false" customHeight="false" outlineLevel="0" collapsed="false">
      <c r="A1705" s="51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46" t="s">
        <v>1039</v>
      </c>
      <c r="G1705" s="0" t="n">
        <v>42.1</v>
      </c>
      <c r="H1705" s="0" t="n">
        <v>49</v>
      </c>
      <c r="I1705" s="46" t="s">
        <v>181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51" t="n">
        <v>46310</v>
      </c>
      <c r="X1705" s="46" t="n">
        <f aca="false">IF(I1705="Male",0,1)</f>
        <v>1</v>
      </c>
      <c r="Y1705" s="46" t="n">
        <f aca="false">IF(OR(I1705="DNB",I1705="Dry DNB"),1,0)</f>
        <v>0</v>
      </c>
      <c r="Z1705" s="46" t="n">
        <f aca="false">IF(ISNUMBER(W1705),A1705-W1705,"")</f>
        <v>-1</v>
      </c>
      <c r="AA1705" s="46" t="n">
        <f aca="false">MATCH(A1705,DATAS,0)</f>
        <v>1</v>
      </c>
      <c r="AB1705" s="46" t="n">
        <f aca="false">IF(AND(E1705&gt;0,OR(AND(B1705&gt;=1,B1705&lt;=6),B1705=10)),1,0)</f>
        <v>1</v>
      </c>
      <c r="AC1705" s="46" t="n">
        <f aca="false">IF(AND(E1705&gt;0,B1705=10),1,0)</f>
        <v>0</v>
      </c>
      <c r="AD1705" s="0" t="str">
        <f aca="false">IF(AND(C1704=C1705,AA1704=AA1705-1),AB1704,"")</f>
        <v/>
      </c>
      <c r="AE1705" s="0" t="str">
        <f aca="false">IF(AND(C1704=C1705,AA1704=AA1705-1),AC1704,"")</f>
        <v/>
      </c>
      <c r="AF1705" s="0" t="str">
        <f aca="false">IF(AA1705=1,"",IF(AND(AB1705=1,AD1705&lt;&gt;1),1,0))</f>
        <v/>
      </c>
      <c r="AG1705" s="0" t="str">
        <f aca="false">IF(AA1705=1,"",IF(AND(AC1705=1,AE1705&lt;&gt;1),1,0))</f>
        <v/>
      </c>
      <c r="AH1705" s="51" t="str">
        <f aca="false">IF(AND(E1705&gt;0,AA1705&lt;1,NOT(AND(C1706=C1705,AA1706=AA1705+1))),INDEX(DATAS,AA1705+1),"")</f>
        <v/>
      </c>
      <c r="AI1705" s="51" t="str">
        <f aca="false">IF(AND(AC1705=1,AA1705&lt;1),IF(AND(C1706=C1705,AA1706=AA1705+1),IF(AC1706=1,"",INDEX(DATAS,AA1705+1)),INDEX(DATAS,AA1705+1)),"")</f>
        <v/>
      </c>
    </row>
    <row r="1706" customFormat="false" ht="15" hidden="false" customHeight="false" outlineLevel="0" collapsed="false">
      <c r="A1706" s="51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46" t="s">
        <v>1039</v>
      </c>
      <c r="G1706" s="0" t="n">
        <v>38.4</v>
      </c>
      <c r="H1706" s="0" t="n">
        <v>38</v>
      </c>
      <c r="I1706" s="46" t="s">
        <v>181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51" t="n">
        <v>46300</v>
      </c>
      <c r="X1706" s="46" t="n">
        <f aca="false">IF(I1706="Male",0,1)</f>
        <v>1</v>
      </c>
      <c r="Y1706" s="46" t="n">
        <f aca="false">IF(OR(I1706="DNB",I1706="Dry DNB"),1,0)</f>
        <v>0</v>
      </c>
      <c r="Z1706" s="46" t="n">
        <f aca="false">IF(ISNUMBER(W1706),A1706-W1706,"")</f>
        <v>9</v>
      </c>
      <c r="AA1706" s="46" t="n">
        <f aca="false">MATCH(A1706,DATAS,0)</f>
        <v>1</v>
      </c>
      <c r="AB1706" s="46" t="n">
        <f aca="false">IF(AND(E1706&gt;0,OR(AND(B1706&gt;=1,B1706&lt;=6),B1706=10)),1,0)</f>
        <v>1</v>
      </c>
      <c r="AC1706" s="46" t="n">
        <f aca="false">IF(AND(E1706&gt;0,B1706=10),1,0)</f>
        <v>0</v>
      </c>
      <c r="AD1706" s="0" t="str">
        <f aca="false">IF(AND(C1705=C1706,AA1705=AA1706-1),AB1705,"")</f>
        <v/>
      </c>
      <c r="AE1706" s="0" t="str">
        <f aca="false">IF(AND(C1705=C1706,AA1705=AA1706-1),AC1705,"")</f>
        <v/>
      </c>
      <c r="AF1706" s="0" t="str">
        <f aca="false">IF(AA1706=1,"",IF(AND(AB1706=1,AD1706&lt;&gt;1),1,0))</f>
        <v/>
      </c>
      <c r="AG1706" s="0" t="str">
        <f aca="false">IF(AA1706=1,"",IF(AND(AC1706=1,AE1706&lt;&gt;1),1,0))</f>
        <v/>
      </c>
      <c r="AH1706" s="51" t="str">
        <f aca="false">IF(AND(E1706&gt;0,AA1706&lt;1,NOT(AND(C1707=C1706,AA1707=AA1706+1))),INDEX(DATAS,AA1706+1),"")</f>
        <v/>
      </c>
      <c r="AI1706" s="51" t="str">
        <f aca="false">IF(AND(AC1706=1,AA1706&lt;1),IF(AND(C1707=C1706,AA1707=AA1706+1),IF(AC1707=1,"",INDEX(DATAS,AA1706+1)),INDEX(DATAS,AA1706+1)),"")</f>
        <v/>
      </c>
    </row>
    <row r="1707" customFormat="false" ht="15" hidden="false" customHeight="false" outlineLevel="0" collapsed="false">
      <c r="A1707" s="51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46" t="s">
        <v>1039</v>
      </c>
      <c r="G1707" s="0" t="n">
        <v>40.7</v>
      </c>
      <c r="H1707" s="0" t="n">
        <v>41</v>
      </c>
      <c r="I1707" s="46" t="s">
        <v>152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51" t="n">
        <v>46247</v>
      </c>
      <c r="X1707" s="46" t="n">
        <f aca="false">IF(I1707="Male",0,1)</f>
        <v>1</v>
      </c>
      <c r="Y1707" s="46" t="n">
        <f aca="false">IF(OR(I1707="DNB",I1707="Dry DNB"),1,0)</f>
        <v>0</v>
      </c>
      <c r="Z1707" s="46" t="n">
        <f aca="false">IF(ISNUMBER(W1707),A1707-W1707,"")</f>
        <v>62</v>
      </c>
      <c r="AA1707" s="46" t="n">
        <f aca="false">MATCH(A1707,DATAS,0)</f>
        <v>1</v>
      </c>
      <c r="AB1707" s="46" t="n">
        <f aca="false">IF(AND(E1707&gt;0,OR(AND(B1707&gt;=1,B1707&lt;=6),B1707=10)),1,0)</f>
        <v>1</v>
      </c>
      <c r="AC1707" s="46" t="n">
        <f aca="false">IF(AND(E1707&gt;0,B1707=10),1,0)</f>
        <v>0</v>
      </c>
      <c r="AD1707" s="0" t="str">
        <f aca="false">IF(AND(C1706=C1707,AA1706=AA1707-1),AB1706,"")</f>
        <v/>
      </c>
      <c r="AE1707" s="0" t="str">
        <f aca="false">IF(AND(C1706=C1707,AA1706=AA1707-1),AC1706,"")</f>
        <v/>
      </c>
      <c r="AF1707" s="0" t="str">
        <f aca="false">IF(AA1707=1,"",IF(AND(AB1707=1,AD1707&lt;&gt;1),1,0))</f>
        <v/>
      </c>
      <c r="AG1707" s="0" t="str">
        <f aca="false">IF(AA1707=1,"",IF(AND(AC1707=1,AE1707&lt;&gt;1),1,0))</f>
        <v/>
      </c>
      <c r="AH1707" s="51" t="str">
        <f aca="false">IF(AND(E1707&gt;0,AA1707&lt;1,NOT(AND(C1708=C1707,AA1708=AA1707+1))),INDEX(DATAS,AA1707+1),"")</f>
        <v/>
      </c>
      <c r="AI1707" s="51" t="str">
        <f aca="false">IF(AND(AC1707=1,AA1707&lt;1),IF(AND(C1708=C1707,AA1708=AA1707+1),IF(AC1708=1,"",INDEX(DATAS,AA1707+1)),INDEX(DATAS,AA1707+1)),"")</f>
        <v/>
      </c>
    </row>
    <row r="1708" customFormat="false" ht="15" hidden="false" customHeight="false" outlineLevel="0" collapsed="false">
      <c r="A1708" s="51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46" t="s">
        <v>1039</v>
      </c>
      <c r="G1708" s="0" t="n">
        <v>42.6</v>
      </c>
      <c r="H1708" s="0" t="n">
        <v>42</v>
      </c>
      <c r="I1708" s="46" t="s">
        <v>152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51" t="n">
        <v>46254</v>
      </c>
      <c r="X1708" s="46" t="n">
        <f aca="false">IF(I1708="Male",0,1)</f>
        <v>1</v>
      </c>
      <c r="Y1708" s="46" t="n">
        <f aca="false">IF(OR(I1708="DNB",I1708="Dry DNB"),1,0)</f>
        <v>0</v>
      </c>
      <c r="Z1708" s="46" t="n">
        <f aca="false">IF(ISNUMBER(W1708),A1708-W1708,"")</f>
        <v>55</v>
      </c>
      <c r="AA1708" s="46" t="n">
        <f aca="false">MATCH(A1708,DATAS,0)</f>
        <v>1</v>
      </c>
      <c r="AB1708" s="46" t="n">
        <f aca="false">IF(AND(E1708&gt;0,OR(AND(B1708&gt;=1,B1708&lt;=6),B1708=10)),1,0)</f>
        <v>1</v>
      </c>
      <c r="AC1708" s="46" t="n">
        <f aca="false">IF(AND(E1708&gt;0,B1708=10),1,0)</f>
        <v>0</v>
      </c>
      <c r="AD1708" s="0" t="str">
        <f aca="false">IF(AND(C1707=C1708,AA1707=AA1708-1),AB1707,"")</f>
        <v/>
      </c>
      <c r="AE1708" s="0" t="str">
        <f aca="false">IF(AND(C1707=C1708,AA1707=AA1708-1),AC1707,"")</f>
        <v/>
      </c>
      <c r="AF1708" s="0" t="str">
        <f aca="false">IF(AA1708=1,"",IF(AND(AB1708=1,AD1708&lt;&gt;1),1,0))</f>
        <v/>
      </c>
      <c r="AG1708" s="0" t="str">
        <f aca="false">IF(AA1708=1,"",IF(AND(AC1708=1,AE1708&lt;&gt;1),1,0))</f>
        <v/>
      </c>
      <c r="AH1708" s="51" t="str">
        <f aca="false">IF(AND(E1708&gt;0,AA1708&lt;1,NOT(AND(C1709=C1708,AA1709=AA1708+1))),INDEX(DATAS,AA1708+1),"")</f>
        <v/>
      </c>
      <c r="AI1708" s="51" t="str">
        <f aca="false">IF(AND(AC1708=1,AA1708&lt;1),IF(AND(C1709=C1708,AA1709=AA1708+1),IF(AC1709=1,"",INDEX(DATAS,AA1708+1)),INDEX(DATAS,AA1708+1)),"")</f>
        <v/>
      </c>
    </row>
    <row r="1709" customFormat="false" ht="15" hidden="false" customHeight="false" outlineLevel="0" collapsed="false">
      <c r="A1709" s="51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46" t="s">
        <v>1040</v>
      </c>
      <c r="G1709" s="0" t="n">
        <v>33.3</v>
      </c>
      <c r="H1709" s="0" t="n">
        <v>34</v>
      </c>
      <c r="I1709" s="46" t="s">
        <v>181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51" t="n">
        <v>46289</v>
      </c>
      <c r="X1709" s="46" t="n">
        <f aca="false">IF(I1709="Male",0,1)</f>
        <v>1</v>
      </c>
      <c r="Y1709" s="46" t="n">
        <f aca="false">IF(OR(I1709="DNB",I1709="Dry DNB"),1,0)</f>
        <v>0</v>
      </c>
      <c r="Z1709" s="46" t="n">
        <f aca="false">IF(ISNUMBER(W1709),A1709-W1709,"")</f>
        <v>20</v>
      </c>
      <c r="AA1709" s="46" t="n">
        <f aca="false">MATCH(A1709,DATAS,0)</f>
        <v>1</v>
      </c>
      <c r="AB1709" s="46" t="n">
        <f aca="false">IF(AND(E1709&gt;0,OR(AND(B1709&gt;=1,B1709&lt;=6),B1709=10)),1,0)</f>
        <v>1</v>
      </c>
      <c r="AC1709" s="46" t="n">
        <f aca="false">IF(AND(E1709&gt;0,B1709=10),1,0)</f>
        <v>0</v>
      </c>
      <c r="AD1709" s="0" t="str">
        <f aca="false">IF(AND(C1708=C1709,AA1708=AA1709-1),AB1708,"")</f>
        <v/>
      </c>
      <c r="AE1709" s="0" t="str">
        <f aca="false">IF(AND(C1708=C1709,AA1708=AA1709-1),AC1708,"")</f>
        <v/>
      </c>
      <c r="AF1709" s="0" t="str">
        <f aca="false">IF(AA1709=1,"",IF(AND(AB1709=1,AD1709&lt;&gt;1),1,0))</f>
        <v/>
      </c>
      <c r="AG1709" s="0" t="str">
        <f aca="false">IF(AA1709=1,"",IF(AND(AC1709=1,AE1709&lt;&gt;1),1,0))</f>
        <v/>
      </c>
      <c r="AH1709" s="51" t="str">
        <f aca="false">IF(AND(E1709&gt;0,AA1709&lt;1,NOT(AND(C1710=C1709,AA1710=AA1709+1))),INDEX(DATAS,AA1709+1),"")</f>
        <v/>
      </c>
      <c r="AI1709" s="51" t="str">
        <f aca="false">IF(AND(AC1709=1,AA1709&lt;1),IF(AND(C1710=C1709,AA1710=AA1709+1),IF(AC1710=1,"",INDEX(DATAS,AA1709+1)),INDEX(DATAS,AA1709+1)),"")</f>
        <v/>
      </c>
    </row>
    <row r="1710" customFormat="false" ht="15" hidden="false" customHeight="false" outlineLevel="0" collapsed="false">
      <c r="A1710" s="51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46" t="s">
        <v>1040</v>
      </c>
      <c r="G1710" s="0" t="n">
        <v>49.1</v>
      </c>
      <c r="H1710" s="0" t="n">
        <v>52</v>
      </c>
      <c r="I1710" s="46" t="s">
        <v>152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51" t="n">
        <v>46268</v>
      </c>
      <c r="X1710" s="46" t="n">
        <f aca="false">IF(I1710="Male",0,1)</f>
        <v>1</v>
      </c>
      <c r="Y1710" s="46" t="n">
        <f aca="false">IF(OR(I1710="DNB",I1710="Dry DNB"),1,0)</f>
        <v>0</v>
      </c>
      <c r="Z1710" s="46" t="n">
        <f aca="false">IF(ISNUMBER(W1710),A1710-W1710,"")</f>
        <v>41</v>
      </c>
      <c r="AA1710" s="46" t="n">
        <f aca="false">MATCH(A1710,DATAS,0)</f>
        <v>1</v>
      </c>
      <c r="AB1710" s="46" t="n">
        <f aca="false">IF(AND(E1710&gt;0,OR(AND(B1710&gt;=1,B1710&lt;=6),B1710=10)),1,0)</f>
        <v>1</v>
      </c>
      <c r="AC1710" s="46" t="n">
        <f aca="false">IF(AND(E1710&gt;0,B1710=10),1,0)</f>
        <v>0</v>
      </c>
      <c r="AD1710" s="0" t="str">
        <f aca="false">IF(AND(C1709=C1710,AA1709=AA1710-1),AB1709,"")</f>
        <v/>
      </c>
      <c r="AE1710" s="0" t="str">
        <f aca="false">IF(AND(C1709=C1710,AA1709=AA1710-1),AC1709,"")</f>
        <v/>
      </c>
      <c r="AF1710" s="0" t="str">
        <f aca="false">IF(AA1710=1,"",IF(AND(AB1710=1,AD1710&lt;&gt;1),1,0))</f>
        <v/>
      </c>
      <c r="AG1710" s="0" t="str">
        <f aca="false">IF(AA1710=1,"",IF(AND(AC1710=1,AE1710&lt;&gt;1),1,0))</f>
        <v/>
      </c>
      <c r="AH1710" s="51" t="str">
        <f aca="false">IF(AND(E1710&gt;0,AA1710&lt;1,NOT(AND(C1711=C1710,AA1711=AA1710+1))),INDEX(DATAS,AA1710+1),"")</f>
        <v/>
      </c>
      <c r="AI1710" s="51" t="str">
        <f aca="false">IF(AND(AC1710=1,AA1710&lt;1),IF(AND(C1711=C1710,AA1711=AA1710+1),IF(AC1711=1,"",INDEX(DATAS,AA1710+1)),INDEX(DATAS,AA1710+1)),"")</f>
        <v/>
      </c>
    </row>
    <row r="1711" customFormat="false" ht="15" hidden="false" customHeight="false" outlineLevel="0" collapsed="false">
      <c r="A1711" s="51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46" t="s">
        <v>154</v>
      </c>
      <c r="G1711" s="0" t="n">
        <v>36.6</v>
      </c>
      <c r="H1711" s="0" t="n">
        <v>35</v>
      </c>
      <c r="I1711" s="46" t="s">
        <v>161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X1711" s="46" t="n">
        <f aca="false">IF(I1711="Male",0,1)</f>
        <v>1</v>
      </c>
      <c r="Y1711" s="46" t="n">
        <f aca="false">IF(OR(I1711="DNB",I1711="Dry DNB"),1,0)</f>
        <v>0</v>
      </c>
      <c r="Z1711" s="0" t="str">
        <f aca="false">IF(ISNUMBER(W1711),A1711-W1711,"")</f>
        <v/>
      </c>
      <c r="AA1711" s="46" t="n">
        <f aca="false">MATCH(A1711,DATAS,0)</f>
        <v>1</v>
      </c>
      <c r="AB1711" s="46" t="n">
        <f aca="false">IF(AND(E1711&gt;0,OR(AND(B1711&gt;=1,B1711&lt;=6),B1711=10)),1,0)</f>
        <v>1</v>
      </c>
      <c r="AC1711" s="46" t="n">
        <f aca="false">IF(AND(E1711&gt;0,B1711=10),1,0)</f>
        <v>0</v>
      </c>
      <c r="AD1711" s="0" t="str">
        <f aca="false">IF(AND(C1710=C1711,AA1710=AA1711-1),AB1710,"")</f>
        <v/>
      </c>
      <c r="AE1711" s="0" t="str">
        <f aca="false">IF(AND(C1710=C1711,AA1710=AA1711-1),AC1710,"")</f>
        <v/>
      </c>
      <c r="AF1711" s="0" t="str">
        <f aca="false">IF(AA1711=1,"",IF(AND(AB1711=1,AD1711&lt;&gt;1),1,0))</f>
        <v/>
      </c>
      <c r="AG1711" s="0" t="str">
        <f aca="false">IF(AA1711=1,"",IF(AND(AC1711=1,AE1711&lt;&gt;1),1,0))</f>
        <v/>
      </c>
      <c r="AH1711" s="51" t="str">
        <f aca="false">IF(AND(E1711&gt;0,AA1711&lt;1,NOT(AND(C1712=C1711,AA1712=AA1711+1))),INDEX(DATAS,AA1711+1),"")</f>
        <v/>
      </c>
      <c r="AI1711" s="51" t="str">
        <f aca="false">IF(AND(AC1711=1,AA1711&lt;1),IF(AND(C1712=C1711,AA1712=AA1711+1),IF(AC1712=1,"",INDEX(DATAS,AA1711+1)),INDEX(DATAS,AA1711+1)),"")</f>
        <v/>
      </c>
    </row>
    <row r="1712" customFormat="false" ht="15" hidden="false" customHeight="false" outlineLevel="0" collapsed="false">
      <c r="A1712" s="51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46" t="s">
        <v>154</v>
      </c>
      <c r="G1712" s="0" t="n">
        <v>18.1</v>
      </c>
      <c r="H1712" s="0" t="n">
        <v>21</v>
      </c>
      <c r="I1712" s="46" t="s">
        <v>161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X1712" s="46" t="n">
        <f aca="false">IF(I1712="Male",0,1)</f>
        <v>1</v>
      </c>
      <c r="Y1712" s="46" t="n">
        <f aca="false">IF(OR(I1712="DNB",I1712="Dry DNB"),1,0)</f>
        <v>0</v>
      </c>
      <c r="Z1712" s="0" t="str">
        <f aca="false">IF(ISNUMBER(W1712),A1712-W1712,"")</f>
        <v/>
      </c>
      <c r="AA1712" s="46" t="n">
        <f aca="false">MATCH(A1712,DATAS,0)</f>
        <v>1</v>
      </c>
      <c r="AB1712" s="46" t="n">
        <f aca="false">IF(AND(E1712&gt;0,OR(AND(B1712&gt;=1,B1712&lt;=6),B1712=10)),1,0)</f>
        <v>1</v>
      </c>
      <c r="AC1712" s="46" t="n">
        <f aca="false">IF(AND(E1712&gt;0,B1712=10),1,0)</f>
        <v>0</v>
      </c>
      <c r="AD1712" s="0" t="str">
        <f aca="false">IF(AND(C1711=C1712,AA1711=AA1712-1),AB1711,"")</f>
        <v/>
      </c>
      <c r="AE1712" s="0" t="str">
        <f aca="false">IF(AND(C1711=C1712,AA1711=AA1712-1),AC1711,"")</f>
        <v/>
      </c>
      <c r="AF1712" s="0" t="str">
        <f aca="false">IF(AA1712=1,"",IF(AND(AB1712=1,AD1712&lt;&gt;1),1,0))</f>
        <v/>
      </c>
      <c r="AG1712" s="0" t="str">
        <f aca="false">IF(AA1712=1,"",IF(AND(AC1712=1,AE1712&lt;&gt;1),1,0))</f>
        <v/>
      </c>
      <c r="AH1712" s="51" t="str">
        <f aca="false">IF(AND(E1712&gt;0,AA1712&lt;1,NOT(AND(C1713=C1712,AA1713=AA1712+1))),INDEX(DATAS,AA1712+1),"")</f>
        <v/>
      </c>
      <c r="AI1712" s="51" t="str">
        <f aca="false">IF(AND(AC1712=1,AA1712&lt;1),IF(AND(C1713=C1712,AA1713=AA1712+1),IF(AC1713=1,"",INDEX(DATAS,AA1712+1)),INDEX(DATAS,AA1712+1)),"")</f>
        <v/>
      </c>
    </row>
    <row r="1713" customFormat="false" ht="15" hidden="false" customHeight="false" outlineLevel="0" collapsed="false">
      <c r="A1713" s="51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46" t="s">
        <v>1041</v>
      </c>
      <c r="G1713" s="0" t="n">
        <v>46.8</v>
      </c>
      <c r="H1713" s="0" t="n">
        <v>46</v>
      </c>
      <c r="I1713" s="46" t="s">
        <v>181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51" t="n">
        <v>46303</v>
      </c>
      <c r="X1713" s="46" t="n">
        <f aca="false">IF(I1713="Male",0,1)</f>
        <v>1</v>
      </c>
      <c r="Y1713" s="46" t="n">
        <f aca="false">IF(OR(I1713="DNB",I1713="Dry DNB"),1,0)</f>
        <v>0</v>
      </c>
      <c r="Z1713" s="46" t="n">
        <f aca="false">IF(ISNUMBER(W1713),A1713-W1713,"")</f>
        <v>6</v>
      </c>
      <c r="AA1713" s="46" t="n">
        <f aca="false">MATCH(A1713,DATAS,0)</f>
        <v>1</v>
      </c>
      <c r="AB1713" s="46" t="n">
        <f aca="false">IF(AND(E1713&gt;0,OR(AND(B1713&gt;=1,B1713&lt;=6),B1713=10)),1,0)</f>
        <v>1</v>
      </c>
      <c r="AC1713" s="46" t="n">
        <f aca="false">IF(AND(E1713&gt;0,B1713=10),1,0)</f>
        <v>0</v>
      </c>
      <c r="AD1713" s="0" t="str">
        <f aca="false">IF(AND(C1712=C1713,AA1712=AA1713-1),AB1712,"")</f>
        <v/>
      </c>
      <c r="AE1713" s="0" t="str">
        <f aca="false">IF(AND(C1712=C1713,AA1712=AA1713-1),AC1712,"")</f>
        <v/>
      </c>
      <c r="AF1713" s="0" t="str">
        <f aca="false">IF(AA1713=1,"",IF(AND(AB1713=1,AD1713&lt;&gt;1),1,0))</f>
        <v/>
      </c>
      <c r="AG1713" s="0" t="str">
        <f aca="false">IF(AA1713=1,"",IF(AND(AC1713=1,AE1713&lt;&gt;1),1,0))</f>
        <v/>
      </c>
      <c r="AH1713" s="51" t="str">
        <f aca="false">IF(AND(E1713&gt;0,AA1713&lt;1,NOT(AND(C1714=C1713,AA1714=AA1713+1))),INDEX(DATAS,AA1713+1),"")</f>
        <v/>
      </c>
      <c r="AI1713" s="51" t="str">
        <f aca="false">IF(AND(AC1713=1,AA1713&lt;1),IF(AND(C1714=C1713,AA1714=AA1713+1),IF(AC1714=1,"",INDEX(DATAS,AA1713+1)),INDEX(DATAS,AA1713+1)),"")</f>
        <v/>
      </c>
    </row>
    <row r="1714" customFormat="false" ht="15" hidden="false" customHeight="false" outlineLevel="0" collapsed="false">
      <c r="A1714" s="51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46" t="s">
        <v>1041</v>
      </c>
      <c r="G1714" s="0" t="n">
        <v>47.3</v>
      </c>
      <c r="H1714" s="0" t="n">
        <v>44</v>
      </c>
      <c r="I1714" s="46" t="s">
        <v>161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X1714" s="46" t="n">
        <f aca="false">IF(I1714="Male",0,1)</f>
        <v>1</v>
      </c>
      <c r="Y1714" s="46" t="n">
        <f aca="false">IF(OR(I1714="DNB",I1714="Dry DNB"),1,0)</f>
        <v>0</v>
      </c>
      <c r="Z1714" s="0" t="str">
        <f aca="false">IF(ISNUMBER(W1714),A1714-W1714,"")</f>
        <v/>
      </c>
      <c r="AA1714" s="46" t="n">
        <f aca="false">MATCH(A1714,DATAS,0)</f>
        <v>1</v>
      </c>
      <c r="AB1714" s="46" t="n">
        <f aca="false">IF(AND(E1714&gt;0,OR(AND(B1714&gt;=1,B1714&lt;=6),B1714=10)),1,0)</f>
        <v>1</v>
      </c>
      <c r="AC1714" s="46" t="n">
        <f aca="false">IF(AND(E1714&gt;0,B1714=10),1,0)</f>
        <v>0</v>
      </c>
      <c r="AD1714" s="0" t="str">
        <f aca="false">IF(AND(C1713=C1714,AA1713=AA1714-1),AB1713,"")</f>
        <v/>
      </c>
      <c r="AE1714" s="0" t="str">
        <f aca="false">IF(AND(C1713=C1714,AA1713=AA1714-1),AC1713,"")</f>
        <v/>
      </c>
      <c r="AF1714" s="0" t="str">
        <f aca="false">IF(AA1714=1,"",IF(AND(AB1714=1,AD1714&lt;&gt;1),1,0))</f>
        <v/>
      </c>
      <c r="AG1714" s="0" t="str">
        <f aca="false">IF(AA1714=1,"",IF(AND(AC1714=1,AE1714&lt;&gt;1),1,0))</f>
        <v/>
      </c>
      <c r="AH1714" s="51" t="str">
        <f aca="false">IF(AND(E1714&gt;0,AA1714&lt;1,NOT(AND(C1715=C1714,AA1715=AA1714+1))),INDEX(DATAS,AA1714+1),"")</f>
        <v/>
      </c>
      <c r="AI1714" s="51" t="str">
        <f aca="false">IF(AND(AC1714=1,AA1714&lt;1),IF(AND(C1715=C1714,AA1715=AA1714+1),IF(AC1715=1,"",INDEX(DATAS,AA1714+1)),INDEX(DATAS,AA1714+1)),"")</f>
        <v/>
      </c>
    </row>
    <row r="1715" customFormat="false" ht="15" hidden="false" customHeight="false" outlineLevel="0" collapsed="false">
      <c r="A1715" s="51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46" t="s">
        <v>1041</v>
      </c>
      <c r="G1715" s="0" t="n">
        <v>18.5</v>
      </c>
      <c r="H1715" s="0" t="n">
        <v>19</v>
      </c>
      <c r="I1715" s="46" t="s">
        <v>181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51" t="n">
        <v>46301</v>
      </c>
      <c r="X1715" s="46" t="n">
        <f aca="false">IF(I1715="Male",0,1)</f>
        <v>1</v>
      </c>
      <c r="Y1715" s="46" t="n">
        <f aca="false">IF(OR(I1715="DNB",I1715="Dry DNB"),1,0)</f>
        <v>0</v>
      </c>
      <c r="Z1715" s="46" t="n">
        <f aca="false">IF(ISNUMBER(W1715),A1715-W1715,"")</f>
        <v>8</v>
      </c>
      <c r="AA1715" s="46" t="n">
        <f aca="false">MATCH(A1715,DATAS,0)</f>
        <v>1</v>
      </c>
      <c r="AB1715" s="46" t="n">
        <f aca="false">IF(AND(E1715&gt;0,OR(AND(B1715&gt;=1,B1715&lt;=6),B1715=10)),1,0)</f>
        <v>1</v>
      </c>
      <c r="AC1715" s="46" t="n">
        <f aca="false">IF(AND(E1715&gt;0,B1715=10),1,0)</f>
        <v>0</v>
      </c>
      <c r="AD1715" s="0" t="str">
        <f aca="false">IF(AND(C1714=C1715,AA1714=AA1715-1),AB1714,"")</f>
        <v/>
      </c>
      <c r="AE1715" s="0" t="str">
        <f aca="false">IF(AND(C1714=C1715,AA1714=AA1715-1),AC1714,"")</f>
        <v/>
      </c>
      <c r="AF1715" s="0" t="str">
        <f aca="false">IF(AA1715=1,"",IF(AND(AB1715=1,AD1715&lt;&gt;1),1,0))</f>
        <v/>
      </c>
      <c r="AG1715" s="0" t="str">
        <f aca="false">IF(AA1715=1,"",IF(AND(AC1715=1,AE1715&lt;&gt;1),1,0))</f>
        <v/>
      </c>
      <c r="AH1715" s="51" t="str">
        <f aca="false">IF(AND(E1715&gt;0,AA1715&lt;1,NOT(AND(C1716=C1715,AA1716=AA1715+1))),INDEX(DATAS,AA1715+1),"")</f>
        <v/>
      </c>
      <c r="AI1715" s="51" t="str">
        <f aca="false">IF(AND(AC1715=1,AA1715&lt;1),IF(AND(C1716=C1715,AA1716=AA1715+1),IF(AC1716=1,"",INDEX(DATAS,AA1715+1)),INDEX(DATAS,AA1715+1)),"")</f>
        <v/>
      </c>
    </row>
    <row r="1716" customFormat="false" ht="15" hidden="false" customHeight="false" outlineLevel="0" collapsed="false">
      <c r="A1716" s="51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46" t="s">
        <v>1041</v>
      </c>
      <c r="G1716" s="0" t="n">
        <v>51.5</v>
      </c>
      <c r="H1716" s="0" t="n">
        <v>51</v>
      </c>
      <c r="I1716" s="46" t="s">
        <v>181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51" t="n">
        <v>46296</v>
      </c>
      <c r="X1716" s="46" t="n">
        <f aca="false">IF(I1716="Male",0,1)</f>
        <v>1</v>
      </c>
      <c r="Y1716" s="46" t="n">
        <f aca="false">IF(OR(I1716="DNB",I1716="Dry DNB"),1,0)</f>
        <v>0</v>
      </c>
      <c r="Z1716" s="46" t="n">
        <f aca="false">IF(ISNUMBER(W1716),A1716-W1716,"")</f>
        <v>13</v>
      </c>
      <c r="AA1716" s="46" t="n">
        <f aca="false">MATCH(A1716,DATAS,0)</f>
        <v>1</v>
      </c>
      <c r="AB1716" s="46" t="n">
        <f aca="false">IF(AND(E1716&gt;0,OR(AND(B1716&gt;=1,B1716&lt;=6),B1716=10)),1,0)</f>
        <v>1</v>
      </c>
      <c r="AC1716" s="46" t="n">
        <f aca="false">IF(AND(E1716&gt;0,B1716=10),1,0)</f>
        <v>0</v>
      </c>
      <c r="AD1716" s="0" t="str">
        <f aca="false">IF(AND(C1715=C1716,AA1715=AA1716-1),AB1715,"")</f>
        <v/>
      </c>
      <c r="AE1716" s="0" t="str">
        <f aca="false">IF(AND(C1715=C1716,AA1715=AA1716-1),AC1715,"")</f>
        <v/>
      </c>
      <c r="AF1716" s="0" t="str">
        <f aca="false">IF(AA1716=1,"",IF(AND(AB1716=1,AD1716&lt;&gt;1),1,0))</f>
        <v/>
      </c>
      <c r="AG1716" s="0" t="str">
        <f aca="false">IF(AA1716=1,"",IF(AND(AC1716=1,AE1716&lt;&gt;1),1,0))</f>
        <v/>
      </c>
      <c r="AH1716" s="51" t="str">
        <f aca="false">IF(AND(E1716&gt;0,AA1716&lt;1,NOT(AND(C1717=C1716,AA1717=AA1716+1))),INDEX(DATAS,AA1716+1),"")</f>
        <v/>
      </c>
      <c r="AI1716" s="51" t="str">
        <f aca="false">IF(AND(AC1716=1,AA1716&lt;1),IF(AND(C1717=C1716,AA1717=AA1716+1),IF(AC1717=1,"",INDEX(DATAS,AA1716+1)),INDEX(DATAS,AA1716+1)),"")</f>
        <v/>
      </c>
    </row>
    <row r="1717" customFormat="false" ht="15" hidden="false" customHeight="false" outlineLevel="0" collapsed="false">
      <c r="A1717" s="51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46" t="s">
        <v>1041</v>
      </c>
      <c r="G1717" s="0" t="n">
        <v>51</v>
      </c>
      <c r="H1717" s="0" t="n">
        <v>49</v>
      </c>
      <c r="I1717" s="46" t="s">
        <v>161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X1717" s="46" t="n">
        <f aca="false">IF(I1717="Male",0,1)</f>
        <v>1</v>
      </c>
      <c r="Y1717" s="46" t="n">
        <f aca="false">IF(OR(I1717="DNB",I1717="Dry DNB"),1,0)</f>
        <v>0</v>
      </c>
      <c r="Z1717" s="0" t="str">
        <f aca="false">IF(ISNUMBER(W1717),A1717-W1717,"")</f>
        <v/>
      </c>
      <c r="AA1717" s="46" t="n">
        <f aca="false">MATCH(A1717,DATAS,0)</f>
        <v>1</v>
      </c>
      <c r="AB1717" s="46" t="n">
        <f aca="false">IF(AND(E1717&gt;0,OR(AND(B1717&gt;=1,B1717&lt;=6),B1717=10)),1,0)</f>
        <v>1</v>
      </c>
      <c r="AC1717" s="46" t="n">
        <f aca="false">IF(AND(E1717&gt;0,B1717=10),1,0)</f>
        <v>0</v>
      </c>
      <c r="AD1717" s="0" t="str">
        <f aca="false">IF(AND(C1716=C1717,AA1716=AA1717-1),AB1716,"")</f>
        <v/>
      </c>
      <c r="AE1717" s="0" t="str">
        <f aca="false">IF(AND(C1716=C1717,AA1716=AA1717-1),AC1716,"")</f>
        <v/>
      </c>
      <c r="AF1717" s="0" t="str">
        <f aca="false">IF(AA1717=1,"",IF(AND(AB1717=1,AD1717&lt;&gt;1),1,0))</f>
        <v/>
      </c>
      <c r="AG1717" s="0" t="str">
        <f aca="false">IF(AA1717=1,"",IF(AND(AC1717=1,AE1717&lt;&gt;1),1,0))</f>
        <v/>
      </c>
      <c r="AH1717" s="51" t="str">
        <f aca="false">IF(AND(E1717&gt;0,AA1717&lt;1,NOT(AND(C1718=C1717,AA1718=AA1717+1))),INDEX(DATAS,AA1717+1),"")</f>
        <v/>
      </c>
      <c r="AI1717" s="51" t="str">
        <f aca="false">IF(AND(AC1717=1,AA1717&lt;1),IF(AND(C1718=C1717,AA1718=AA1717+1),IF(AC1718=1,"",INDEX(DATAS,AA1717+1)),INDEX(DATAS,AA1717+1)),"")</f>
        <v/>
      </c>
    </row>
    <row r="1718" customFormat="false" ht="15" hidden="false" customHeight="false" outlineLevel="0" collapsed="false">
      <c r="A1718" s="51" t="n">
        <v>46309</v>
      </c>
      <c r="B1718" s="0" t="n">
        <v>8</v>
      </c>
      <c r="C1718" s="0" t="n">
        <v>5895</v>
      </c>
      <c r="E1718" s="0" t="n">
        <v>0</v>
      </c>
      <c r="F1718" s="46" t="s">
        <v>1041</v>
      </c>
      <c r="I1718" s="46" t="s">
        <v>152</v>
      </c>
      <c r="L1718" s="0" t="n">
        <v>226</v>
      </c>
      <c r="U1718" s="0" t="n">
        <v>756</v>
      </c>
      <c r="V1718" s="0" t="n">
        <v>2</v>
      </c>
      <c r="W1718" s="51" t="n">
        <v>46084</v>
      </c>
      <c r="X1718" s="46" t="n">
        <f aca="false">IF(I1718="Male",0,1)</f>
        <v>1</v>
      </c>
      <c r="Y1718" s="46" t="n">
        <f aca="false">IF(OR(I1718="DNB",I1718="Dry DNB"),1,0)</f>
        <v>0</v>
      </c>
      <c r="Z1718" s="46" t="n">
        <f aca="false">IF(ISNUMBER(W1718),A1718-W1718,"")</f>
        <v>225</v>
      </c>
      <c r="AA1718" s="46" t="n">
        <f aca="false">MATCH(A1718,DATAS,0)</f>
        <v>1</v>
      </c>
      <c r="AB1718" s="46" t="n">
        <f aca="false">IF(AND(E1718&gt;0,OR(AND(B1718&gt;=1,B1718&lt;=6),B1718=10)),1,0)</f>
        <v>0</v>
      </c>
      <c r="AC1718" s="46" t="n">
        <f aca="false">IF(AND(E1718&gt;0,B1718=10),1,0)</f>
        <v>0</v>
      </c>
      <c r="AD1718" s="0" t="str">
        <f aca="false">IF(AND(C1717=C1718,AA1717=AA1718-1),AB1717,"")</f>
        <v/>
      </c>
      <c r="AE1718" s="0" t="str">
        <f aca="false">IF(AND(C1717=C1718,AA1717=AA1718-1),AC1717,"")</f>
        <v/>
      </c>
      <c r="AF1718" s="0" t="str">
        <f aca="false">IF(AA1718=1,"",IF(AND(AB1718=1,AD1718&lt;&gt;1),1,0))</f>
        <v/>
      </c>
      <c r="AG1718" s="0" t="str">
        <f aca="false">IF(AA1718=1,"",IF(AND(AC1718=1,AE1718&lt;&gt;1),1,0))</f>
        <v/>
      </c>
      <c r="AH1718" s="51" t="str">
        <f aca="false">IF(AND(E1718&gt;0,AA1718&lt;1,NOT(AND(C1719=C1718,AA1719=AA1718+1))),INDEX(DATAS,AA1718+1),"")</f>
        <v/>
      </c>
      <c r="AI1718" s="51" t="str">
        <f aca="false">IF(AND(AC1718=1,AA1718&lt;1),IF(AND(C1719=C1718,AA1719=AA1718+1),IF(AC1719=1,"",INDEX(DATAS,AA1718+1)),INDEX(DATAS,AA1718+1)),"")</f>
        <v/>
      </c>
    </row>
    <row r="1719" customFormat="false" ht="15" hidden="false" customHeight="false" outlineLevel="0" collapsed="false">
      <c r="A1719" s="51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46" t="s">
        <v>1041</v>
      </c>
      <c r="G1719" s="0" t="n">
        <v>3.6</v>
      </c>
      <c r="H1719" s="0" t="n">
        <v>8</v>
      </c>
      <c r="I1719" s="46" t="s">
        <v>181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51" t="n">
        <v>46289</v>
      </c>
      <c r="X1719" s="46" t="n">
        <f aca="false">IF(I1719="Male",0,1)</f>
        <v>1</v>
      </c>
      <c r="Y1719" s="46" t="n">
        <f aca="false">IF(OR(I1719="DNB",I1719="Dry DNB"),1,0)</f>
        <v>0</v>
      </c>
      <c r="Z1719" s="46" t="n">
        <f aca="false">IF(ISNUMBER(W1719),A1719-W1719,"")</f>
        <v>20</v>
      </c>
      <c r="AA1719" s="46" t="n">
        <f aca="false">MATCH(A1719,DATAS,0)</f>
        <v>1</v>
      </c>
      <c r="AB1719" s="46" t="n">
        <f aca="false">IF(AND(E1719&gt;0,OR(AND(B1719&gt;=1,B1719&lt;=6),B1719=10)),1,0)</f>
        <v>1</v>
      </c>
      <c r="AC1719" s="46" t="n">
        <f aca="false">IF(AND(E1719&gt;0,B1719=10),1,0)</f>
        <v>1</v>
      </c>
      <c r="AD1719" s="0" t="str">
        <f aca="false">IF(AND(C1718=C1719,AA1718=AA1719-1),AB1718,"")</f>
        <v/>
      </c>
      <c r="AE1719" s="0" t="str">
        <f aca="false">IF(AND(C1718=C1719,AA1718=AA1719-1),AC1718,"")</f>
        <v/>
      </c>
      <c r="AF1719" s="0" t="str">
        <f aca="false">IF(AA1719=1,"",IF(AND(AB1719=1,AD1719&lt;&gt;1),1,0))</f>
        <v/>
      </c>
      <c r="AG1719" s="0" t="str">
        <f aca="false">IF(AA1719=1,"",IF(AND(AC1719=1,AE1719&lt;&gt;1),1,0))</f>
        <v/>
      </c>
      <c r="AH1719" s="51" t="str">
        <f aca="false">IF(AND(E1719&gt;0,AA1719&lt;1,NOT(AND(C1720=C1719,AA1720=AA1719+1))),INDEX(DATAS,AA1719+1),"")</f>
        <v/>
      </c>
      <c r="AI1719" s="51" t="str">
        <f aca="false">IF(AND(AC1719=1,AA1719&lt;1),IF(AND(C1720=C1719,AA1720=AA1719+1),IF(AC1720=1,"",INDEX(DATAS,AA1719+1)),INDEX(DATAS,AA1719+1)),"")</f>
        <v/>
      </c>
    </row>
    <row r="1720" customFormat="false" ht="15" hidden="false" customHeight="false" outlineLevel="0" collapsed="false">
      <c r="A1720" s="51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46" t="s">
        <v>1041</v>
      </c>
      <c r="G1720" s="0" t="n">
        <v>50.2</v>
      </c>
      <c r="H1720" s="0" t="n">
        <v>47</v>
      </c>
      <c r="I1720" s="46" t="s">
        <v>189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51" t="n">
        <v>46268</v>
      </c>
      <c r="X1720" s="46" t="n">
        <f aca="false">IF(I1720="Male",0,1)</f>
        <v>1</v>
      </c>
      <c r="Y1720" s="46" t="n">
        <f aca="false">IF(OR(I1720="DNB",I1720="Dry DNB"),1,0)</f>
        <v>0</v>
      </c>
      <c r="Z1720" s="46" t="n">
        <f aca="false">IF(ISNUMBER(W1720),A1720-W1720,"")</f>
        <v>41</v>
      </c>
      <c r="AA1720" s="46" t="n">
        <f aca="false">MATCH(A1720,DATAS,0)</f>
        <v>1</v>
      </c>
      <c r="AB1720" s="46" t="n">
        <f aca="false">IF(AND(E1720&gt;0,OR(AND(B1720&gt;=1,B1720&lt;=6),B1720=10)),1,0)</f>
        <v>1</v>
      </c>
      <c r="AC1720" s="46" t="n">
        <f aca="false">IF(AND(E1720&gt;0,B1720=10),1,0)</f>
        <v>0</v>
      </c>
      <c r="AD1720" s="0" t="str">
        <f aca="false">IF(AND(C1719=C1720,AA1719=AA1720-1),AB1719,"")</f>
        <v/>
      </c>
      <c r="AE1720" s="0" t="str">
        <f aca="false">IF(AND(C1719=C1720,AA1719=AA1720-1),AC1719,"")</f>
        <v/>
      </c>
      <c r="AF1720" s="0" t="str">
        <f aca="false">IF(AA1720=1,"",IF(AND(AB1720=1,AD1720&lt;&gt;1),1,0))</f>
        <v/>
      </c>
      <c r="AG1720" s="0" t="str">
        <f aca="false">IF(AA1720=1,"",IF(AND(AC1720=1,AE1720&lt;&gt;1),1,0))</f>
        <v/>
      </c>
      <c r="AH1720" s="51" t="str">
        <f aca="false">IF(AND(E1720&gt;0,AA1720&lt;1,NOT(AND(C1721=C1720,AA1721=AA1720+1))),INDEX(DATAS,AA1720+1),"")</f>
        <v/>
      </c>
      <c r="AI1720" s="51" t="str">
        <f aca="false">IF(AND(AC1720=1,AA1720&lt;1),IF(AND(C1721=C1720,AA1721=AA1720+1),IF(AC1721=1,"",INDEX(DATAS,AA1720+1)),INDEX(DATAS,AA1720+1)),"")</f>
        <v/>
      </c>
    </row>
    <row r="1721" customFormat="false" ht="15" hidden="false" customHeight="false" outlineLevel="0" collapsed="false">
      <c r="A1721" s="51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46" t="s">
        <v>1042</v>
      </c>
      <c r="G1721" s="0" t="n">
        <v>58.5</v>
      </c>
      <c r="H1721" s="0" t="n">
        <v>55</v>
      </c>
      <c r="I1721" s="46" t="s">
        <v>181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51" t="n">
        <v>46303</v>
      </c>
      <c r="X1721" s="46" t="n">
        <f aca="false">IF(I1721="Male",0,1)</f>
        <v>1</v>
      </c>
      <c r="Y1721" s="46" t="n">
        <f aca="false">IF(OR(I1721="DNB",I1721="Dry DNB"),1,0)</f>
        <v>0</v>
      </c>
      <c r="Z1721" s="46" t="n">
        <f aca="false">IF(ISNUMBER(W1721),A1721-W1721,"")</f>
        <v>6</v>
      </c>
      <c r="AA1721" s="46" t="n">
        <f aca="false">MATCH(A1721,DATAS,0)</f>
        <v>1</v>
      </c>
      <c r="AB1721" s="46" t="n">
        <f aca="false">IF(AND(E1721&gt;0,OR(AND(B1721&gt;=1,B1721&lt;=6),B1721=10)),1,0)</f>
        <v>1</v>
      </c>
      <c r="AC1721" s="46" t="n">
        <f aca="false">IF(AND(E1721&gt;0,B1721=10),1,0)</f>
        <v>0</v>
      </c>
      <c r="AD1721" s="0" t="str">
        <f aca="false">IF(AND(C1720=C1721,AA1720=AA1721-1),AB1720,"")</f>
        <v/>
      </c>
      <c r="AE1721" s="0" t="str">
        <f aca="false">IF(AND(C1720=C1721,AA1720=AA1721-1),AC1720,"")</f>
        <v/>
      </c>
      <c r="AF1721" s="0" t="str">
        <f aca="false">IF(AA1721=1,"",IF(AND(AB1721=1,AD1721&lt;&gt;1),1,0))</f>
        <v/>
      </c>
      <c r="AG1721" s="0" t="str">
        <f aca="false">IF(AA1721=1,"",IF(AND(AC1721=1,AE1721&lt;&gt;1),1,0))</f>
        <v/>
      </c>
      <c r="AH1721" s="51" t="str">
        <f aca="false">IF(AND(E1721&gt;0,AA1721&lt;1,NOT(AND(C1722=C1721,AA1722=AA1721+1))),INDEX(DATAS,AA1721+1),"")</f>
        <v/>
      </c>
      <c r="AI1721" s="51" t="str">
        <f aca="false">IF(AND(AC1721=1,AA1721&lt;1),IF(AND(C1722=C1721,AA1722=AA1721+1),IF(AC1722=1,"",INDEX(DATAS,AA1721+1)),INDEX(DATAS,AA1721+1)),"")</f>
        <v/>
      </c>
    </row>
    <row r="1722" customFormat="false" ht="15" hidden="false" customHeight="false" outlineLevel="0" collapsed="false">
      <c r="A1722" s="51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46" t="s">
        <v>1042</v>
      </c>
      <c r="I1722" s="46" t="s">
        <v>161</v>
      </c>
      <c r="J1722" s="0" t="n">
        <v>37</v>
      </c>
      <c r="U1722" s="0" t="n">
        <v>755</v>
      </c>
      <c r="V1722" s="0" t="n">
        <v>0</v>
      </c>
      <c r="X1722" s="46" t="n">
        <f aca="false">IF(I1722="Male",0,1)</f>
        <v>1</v>
      </c>
      <c r="Y1722" s="46" t="n">
        <f aca="false">IF(OR(I1722="DNB",I1722="Dry DNB"),1,0)</f>
        <v>0</v>
      </c>
      <c r="Z1722" s="0" t="str">
        <f aca="false">IF(ISNUMBER(W1722),A1722-W1722,"")</f>
        <v/>
      </c>
      <c r="AA1722" s="46" t="n">
        <f aca="false">MATCH(A1722,DATAS,0)</f>
        <v>1</v>
      </c>
      <c r="AB1722" s="46" t="n">
        <f aca="false">IF(AND(E1722&gt;0,OR(AND(B1722&gt;=1,B1722&lt;=6),B1722=10)),1,0)</f>
        <v>1</v>
      </c>
      <c r="AC1722" s="46" t="n">
        <f aca="false">IF(AND(E1722&gt;0,B1722=10),1,0)</f>
        <v>0</v>
      </c>
      <c r="AD1722" s="0" t="str">
        <f aca="false">IF(AND(C1721=C1722,AA1721=AA1722-1),AB1721,"")</f>
        <v/>
      </c>
      <c r="AE1722" s="0" t="str">
        <f aca="false">IF(AND(C1721=C1722,AA1721=AA1722-1),AC1721,"")</f>
        <v/>
      </c>
      <c r="AF1722" s="0" t="str">
        <f aca="false">IF(AA1722=1,"",IF(AND(AB1722=1,AD1722&lt;&gt;1),1,0))</f>
        <v/>
      </c>
      <c r="AG1722" s="0" t="str">
        <f aca="false">IF(AA1722=1,"",IF(AND(AC1722=1,AE1722&lt;&gt;1),1,0))</f>
        <v/>
      </c>
      <c r="AH1722" s="51" t="str">
        <f aca="false">IF(AND(E1722&gt;0,AA1722&lt;1,NOT(AND(C1723=C1722,AA1723=AA1722+1))),INDEX(DATAS,AA1722+1),"")</f>
        <v/>
      </c>
      <c r="AI1722" s="51" t="str">
        <f aca="false">IF(AND(AC1722=1,AA1722&lt;1),IF(AND(C1723=C1722,AA1723=AA1722+1),IF(AC1723=1,"",INDEX(DATAS,AA1722+1)),INDEX(DATAS,AA1722+1)),"")</f>
        <v/>
      </c>
    </row>
    <row r="1723" customFormat="false" ht="15" hidden="false" customHeight="false" outlineLevel="0" collapsed="false">
      <c r="A1723" s="51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46" t="s">
        <v>1043</v>
      </c>
      <c r="G1723" s="0" t="n">
        <v>34.5</v>
      </c>
      <c r="H1723" s="0" t="n">
        <v>35</v>
      </c>
      <c r="I1723" s="46" t="s">
        <v>161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X1723" s="46" t="n">
        <f aca="false">IF(I1723="Male",0,1)</f>
        <v>1</v>
      </c>
      <c r="Y1723" s="46" t="n">
        <f aca="false">IF(OR(I1723="DNB",I1723="Dry DNB"),1,0)</f>
        <v>0</v>
      </c>
      <c r="Z1723" s="0" t="str">
        <f aca="false">IF(ISNUMBER(W1723),A1723-W1723,"")</f>
        <v/>
      </c>
      <c r="AA1723" s="46" t="n">
        <f aca="false">MATCH(A1723,DATAS,0)</f>
        <v>1</v>
      </c>
      <c r="AB1723" s="46" t="n">
        <f aca="false">IF(AND(E1723&gt;0,OR(AND(B1723&gt;=1,B1723&lt;=6),B1723=10)),1,0)</f>
        <v>1</v>
      </c>
      <c r="AC1723" s="46" t="n">
        <f aca="false">IF(AND(E1723&gt;0,B1723=10),1,0)</f>
        <v>0</v>
      </c>
      <c r="AD1723" s="0" t="str">
        <f aca="false">IF(AND(C1722=C1723,AA1722=AA1723-1),AB1722,"")</f>
        <v/>
      </c>
      <c r="AE1723" s="0" t="str">
        <f aca="false">IF(AND(C1722=C1723,AA1722=AA1723-1),AC1722,"")</f>
        <v/>
      </c>
      <c r="AF1723" s="0" t="str">
        <f aca="false">IF(AA1723=1,"",IF(AND(AB1723=1,AD1723&lt;&gt;1),1,0))</f>
        <v/>
      </c>
      <c r="AG1723" s="0" t="str">
        <f aca="false">IF(AA1723=1,"",IF(AND(AC1723=1,AE1723&lt;&gt;1),1,0))</f>
        <v/>
      </c>
      <c r="AH1723" s="51" t="str">
        <f aca="false">IF(AND(E1723&gt;0,AA1723&lt;1,NOT(AND(C1724=C1723,AA1724=AA1723+1))),INDEX(DATAS,AA1723+1),"")</f>
        <v/>
      </c>
      <c r="AI1723" s="51" t="str">
        <f aca="false">IF(AND(AC1723=1,AA1723&lt;1),IF(AND(C1724=C1723,AA1724=AA1723+1),IF(AC1724=1,"",INDEX(DATAS,AA1723+1)),INDEX(DATAS,AA1723+1)),"")</f>
        <v/>
      </c>
    </row>
    <row r="1724" customFormat="false" ht="15" hidden="false" customHeight="false" outlineLevel="0" collapsed="false">
      <c r="A1724" s="51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46" t="s">
        <v>1043</v>
      </c>
      <c r="G1724" s="0" t="n">
        <v>47.7</v>
      </c>
      <c r="H1724" s="0" t="n">
        <v>49</v>
      </c>
      <c r="I1724" s="46" t="s">
        <v>152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51" t="n">
        <v>46268</v>
      </c>
      <c r="X1724" s="46" t="n">
        <f aca="false">IF(I1724="Male",0,1)</f>
        <v>1</v>
      </c>
      <c r="Y1724" s="46" t="n">
        <f aca="false">IF(OR(I1724="DNB",I1724="Dry DNB"),1,0)</f>
        <v>0</v>
      </c>
      <c r="Z1724" s="46" t="n">
        <f aca="false">IF(ISNUMBER(W1724),A1724-W1724,"")</f>
        <v>41</v>
      </c>
      <c r="AA1724" s="46" t="n">
        <f aca="false">MATCH(A1724,DATAS,0)</f>
        <v>1</v>
      </c>
      <c r="AB1724" s="46" t="n">
        <f aca="false">IF(AND(E1724&gt;0,OR(AND(B1724&gt;=1,B1724&lt;=6),B1724=10)),1,0)</f>
        <v>1</v>
      </c>
      <c r="AC1724" s="46" t="n">
        <f aca="false">IF(AND(E1724&gt;0,B1724=10),1,0)</f>
        <v>0</v>
      </c>
      <c r="AD1724" s="0" t="str">
        <f aca="false">IF(AND(C1723=C1724,AA1723=AA1724-1),AB1723,"")</f>
        <v/>
      </c>
      <c r="AE1724" s="0" t="str">
        <f aca="false">IF(AND(C1723=C1724,AA1723=AA1724-1),AC1723,"")</f>
        <v/>
      </c>
      <c r="AF1724" s="0" t="str">
        <f aca="false">IF(AA1724=1,"",IF(AND(AB1724=1,AD1724&lt;&gt;1),1,0))</f>
        <v/>
      </c>
      <c r="AG1724" s="0" t="str">
        <f aca="false">IF(AA1724=1,"",IF(AND(AC1724=1,AE1724&lt;&gt;1),1,0))</f>
        <v/>
      </c>
      <c r="AH1724" s="51" t="str">
        <f aca="false">IF(AND(E1724&gt;0,AA1724&lt;1,NOT(AND(C1725=C1724,AA1725=AA1724+1))),INDEX(DATAS,AA1724+1),"")</f>
        <v/>
      </c>
      <c r="AI1724" s="51" t="str">
        <f aca="false">IF(AND(AC1724=1,AA1724&lt;1),IF(AND(C1725=C1724,AA1725=AA1724+1),IF(AC1725=1,"",INDEX(DATAS,AA1724+1)),INDEX(DATAS,AA1724+1)),"")</f>
        <v/>
      </c>
    </row>
    <row r="1725" customFormat="false" ht="15" hidden="false" customHeight="false" outlineLevel="0" collapsed="false">
      <c r="A1725" s="51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46" t="s">
        <v>1043</v>
      </c>
      <c r="G1725" s="0" t="n">
        <v>49.1</v>
      </c>
      <c r="H1725" s="0" t="n">
        <v>46</v>
      </c>
      <c r="I1725" s="46" t="s">
        <v>181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51" t="n">
        <v>46296</v>
      </c>
      <c r="X1725" s="46" t="n">
        <f aca="false">IF(I1725="Male",0,1)</f>
        <v>1</v>
      </c>
      <c r="Y1725" s="46" t="n">
        <f aca="false">IF(OR(I1725="DNB",I1725="Dry DNB"),1,0)</f>
        <v>0</v>
      </c>
      <c r="Z1725" s="46" t="n">
        <f aca="false">IF(ISNUMBER(W1725),A1725-W1725,"")</f>
        <v>13</v>
      </c>
      <c r="AA1725" s="46" t="n">
        <f aca="false">MATCH(A1725,DATAS,0)</f>
        <v>1</v>
      </c>
      <c r="AB1725" s="46" t="n">
        <f aca="false">IF(AND(E1725&gt;0,OR(AND(B1725&gt;=1,B1725&lt;=6),B1725=10)),1,0)</f>
        <v>1</v>
      </c>
      <c r="AC1725" s="46" t="n">
        <f aca="false">IF(AND(E1725&gt;0,B1725=10),1,0)</f>
        <v>0</v>
      </c>
      <c r="AD1725" s="0" t="str">
        <f aca="false">IF(AND(C1724=C1725,AA1724=AA1725-1),AB1724,"")</f>
        <v/>
      </c>
      <c r="AE1725" s="0" t="str">
        <f aca="false">IF(AND(C1724=C1725,AA1724=AA1725-1),AC1724,"")</f>
        <v/>
      </c>
      <c r="AF1725" s="0" t="str">
        <f aca="false">IF(AA1725=1,"",IF(AND(AB1725=1,AD1725&lt;&gt;1),1,0))</f>
        <v/>
      </c>
      <c r="AG1725" s="0" t="str">
        <f aca="false">IF(AA1725=1,"",IF(AND(AC1725=1,AE1725&lt;&gt;1),1,0))</f>
        <v/>
      </c>
      <c r="AH1725" s="51" t="str">
        <f aca="false">IF(AND(E1725&gt;0,AA1725&lt;1,NOT(AND(C1726=C1725,AA1726=AA1725+1))),INDEX(DATAS,AA1725+1),"")</f>
        <v/>
      </c>
      <c r="AI1725" s="51" t="str">
        <f aca="false">IF(AND(AC1725=1,AA1725&lt;1),IF(AND(C1726=C1725,AA1726=AA1725+1),IF(AC1726=1,"",INDEX(DATAS,AA1725+1)),INDEX(DATAS,AA1725+1)),"")</f>
        <v/>
      </c>
    </row>
    <row r="1726" customFormat="false" ht="15" hidden="false" customHeight="false" outlineLevel="0" collapsed="false">
      <c r="A1726" s="51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46" t="s">
        <v>1043</v>
      </c>
      <c r="G1726" s="0" t="n">
        <v>22.2</v>
      </c>
      <c r="H1726" s="0" t="n">
        <v>25</v>
      </c>
      <c r="I1726" s="46" t="s">
        <v>161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X1726" s="46" t="n">
        <f aca="false">IF(I1726="Male",0,1)</f>
        <v>1</v>
      </c>
      <c r="Y1726" s="46" t="n">
        <f aca="false">IF(OR(I1726="DNB",I1726="Dry DNB"),1,0)</f>
        <v>0</v>
      </c>
      <c r="Z1726" s="0" t="str">
        <f aca="false">IF(ISNUMBER(W1726),A1726-W1726,"")</f>
        <v/>
      </c>
      <c r="AA1726" s="46" t="n">
        <f aca="false">MATCH(A1726,DATAS,0)</f>
        <v>1</v>
      </c>
      <c r="AB1726" s="46" t="n">
        <f aca="false">IF(AND(E1726&gt;0,OR(AND(B1726&gt;=1,B1726&lt;=6),B1726=10)),1,0)</f>
        <v>1</v>
      </c>
      <c r="AC1726" s="46" t="n">
        <f aca="false">IF(AND(E1726&gt;0,B1726=10),1,0)</f>
        <v>0</v>
      </c>
      <c r="AD1726" s="0" t="str">
        <f aca="false">IF(AND(C1725=C1726,AA1725=AA1726-1),AB1725,"")</f>
        <v/>
      </c>
      <c r="AE1726" s="0" t="str">
        <f aca="false">IF(AND(C1725=C1726,AA1725=AA1726-1),AC1725,"")</f>
        <v/>
      </c>
      <c r="AF1726" s="0" t="str">
        <f aca="false">IF(AA1726=1,"",IF(AND(AB1726=1,AD1726&lt;&gt;1),1,0))</f>
        <v/>
      </c>
      <c r="AG1726" s="0" t="str">
        <f aca="false">IF(AA1726=1,"",IF(AND(AC1726=1,AE1726&lt;&gt;1),1,0))</f>
        <v/>
      </c>
      <c r="AH1726" s="51" t="str">
        <f aca="false">IF(AND(E1726&gt;0,AA1726&lt;1,NOT(AND(C1727=C1726,AA1727=AA1726+1))),INDEX(DATAS,AA1726+1),"")</f>
        <v/>
      </c>
      <c r="AI1726" s="51" t="str">
        <f aca="false">IF(AND(AC1726=1,AA1726&lt;1),IF(AND(C1727=C1726,AA1727=AA1726+1),IF(AC1727=1,"",INDEX(DATAS,AA1726+1)),INDEX(DATAS,AA1726+1)),"")</f>
        <v/>
      </c>
    </row>
    <row r="1727" customFormat="false" ht="15" hidden="false" customHeight="false" outlineLevel="0" collapsed="false">
      <c r="A1727" s="51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46" t="s">
        <v>1043</v>
      </c>
      <c r="G1727" s="0" t="n">
        <v>45.4</v>
      </c>
      <c r="H1727" s="0" t="n">
        <v>40</v>
      </c>
      <c r="I1727" s="46" t="s">
        <v>181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51" t="n">
        <v>46296</v>
      </c>
      <c r="X1727" s="46" t="n">
        <f aca="false">IF(I1727="Male",0,1)</f>
        <v>1</v>
      </c>
      <c r="Y1727" s="46" t="n">
        <f aca="false">IF(OR(I1727="DNB",I1727="Dry DNB"),1,0)</f>
        <v>0</v>
      </c>
      <c r="Z1727" s="46" t="n">
        <f aca="false">IF(ISNUMBER(W1727),A1727-W1727,"")</f>
        <v>13</v>
      </c>
      <c r="AA1727" s="46" t="n">
        <f aca="false">MATCH(A1727,DATAS,0)</f>
        <v>1</v>
      </c>
      <c r="AB1727" s="46" t="n">
        <f aca="false">IF(AND(E1727&gt;0,OR(AND(B1727&gt;=1,B1727&lt;=6),B1727=10)),1,0)</f>
        <v>1</v>
      </c>
      <c r="AC1727" s="46" t="n">
        <f aca="false">IF(AND(E1727&gt;0,B1727=10),1,0)</f>
        <v>0</v>
      </c>
      <c r="AD1727" s="0" t="str">
        <f aca="false">IF(AND(C1726=C1727,AA1726=AA1727-1),AB1726,"")</f>
        <v/>
      </c>
      <c r="AE1727" s="0" t="str">
        <f aca="false">IF(AND(C1726=C1727,AA1726=AA1727-1),AC1726,"")</f>
        <v/>
      </c>
      <c r="AF1727" s="0" t="str">
        <f aca="false">IF(AA1727=1,"",IF(AND(AB1727=1,AD1727&lt;&gt;1),1,0))</f>
        <v/>
      </c>
      <c r="AG1727" s="0" t="str">
        <f aca="false">IF(AA1727=1,"",IF(AND(AC1727=1,AE1727&lt;&gt;1),1,0))</f>
        <v/>
      </c>
      <c r="AH1727" s="51" t="str">
        <f aca="false">IF(AND(E1727&gt;0,AA1727&lt;1,NOT(AND(C1728=C1727,AA1728=AA1727+1))),INDEX(DATAS,AA1727+1),"")</f>
        <v/>
      </c>
      <c r="AI1727" s="51" t="str">
        <f aca="false">IF(AND(AC1727=1,AA1727&lt;1),IF(AND(C1728=C1727,AA1728=AA1727+1),IF(AC1728=1,"",INDEX(DATAS,AA1727+1)),INDEX(DATAS,AA1727+1)),"")</f>
        <v/>
      </c>
    </row>
    <row r="1728" customFormat="false" ht="15" hidden="false" customHeight="false" outlineLevel="0" collapsed="false">
      <c r="A1728" s="51" t="n">
        <v>46309</v>
      </c>
      <c r="B1728" s="0" t="n">
        <v>9</v>
      </c>
      <c r="C1728" s="0" t="n">
        <v>5906</v>
      </c>
      <c r="E1728" s="0" t="n">
        <v>0</v>
      </c>
      <c r="F1728" s="46" t="s">
        <v>1043</v>
      </c>
      <c r="I1728" s="46" t="s">
        <v>152</v>
      </c>
      <c r="L1728" s="0" t="n">
        <v>273</v>
      </c>
      <c r="U1728" s="0" t="n">
        <v>754</v>
      </c>
      <c r="V1728" s="0" t="n">
        <v>4</v>
      </c>
      <c r="W1728" s="51" t="n">
        <v>46037</v>
      </c>
      <c r="X1728" s="46" t="n">
        <f aca="false">IF(I1728="Male",0,1)</f>
        <v>1</v>
      </c>
      <c r="Y1728" s="46" t="n">
        <f aca="false">IF(OR(I1728="DNB",I1728="Dry DNB"),1,0)</f>
        <v>0</v>
      </c>
      <c r="Z1728" s="46" t="n">
        <f aca="false">IF(ISNUMBER(W1728),A1728-W1728,"")</f>
        <v>272</v>
      </c>
      <c r="AA1728" s="46" t="n">
        <f aca="false">MATCH(A1728,DATAS,0)</f>
        <v>1</v>
      </c>
      <c r="AB1728" s="46" t="n">
        <f aca="false">IF(AND(E1728&gt;0,OR(AND(B1728&gt;=1,B1728&lt;=6),B1728=10)),1,0)</f>
        <v>0</v>
      </c>
      <c r="AC1728" s="46" t="n">
        <f aca="false">IF(AND(E1728&gt;0,B1728=10),1,0)</f>
        <v>0</v>
      </c>
      <c r="AD1728" s="0" t="str">
        <f aca="false">IF(AND(C1727=C1728,AA1727=AA1728-1),AB1727,"")</f>
        <v/>
      </c>
      <c r="AE1728" s="0" t="str">
        <f aca="false">IF(AND(C1727=C1728,AA1727=AA1728-1),AC1727,"")</f>
        <v/>
      </c>
      <c r="AF1728" s="0" t="str">
        <f aca="false">IF(AA1728=1,"",IF(AND(AB1728=1,AD1728&lt;&gt;1),1,0))</f>
        <v/>
      </c>
      <c r="AG1728" s="0" t="str">
        <f aca="false">IF(AA1728=1,"",IF(AND(AC1728=1,AE1728&lt;&gt;1),1,0))</f>
        <v/>
      </c>
      <c r="AH1728" s="51" t="str">
        <f aca="false">IF(AND(E1728&gt;0,AA1728&lt;1,NOT(AND(C1729=C1728,AA1729=AA1728+1))),INDEX(DATAS,AA1728+1),"")</f>
        <v/>
      </c>
      <c r="AI1728" s="51" t="str">
        <f aca="false">IF(AND(AC1728=1,AA1728&lt;1),IF(AND(C1729=C1728,AA1729=AA1728+1),IF(AC1729=1,"",INDEX(DATAS,AA1728+1)),INDEX(DATAS,AA1728+1)),"")</f>
        <v/>
      </c>
    </row>
    <row r="1729" customFormat="false" ht="15" hidden="false" customHeight="false" outlineLevel="0" collapsed="false">
      <c r="A1729" s="51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46" t="s">
        <v>1044</v>
      </c>
      <c r="G1729" s="0" t="n">
        <v>33.3</v>
      </c>
      <c r="H1729" s="0" t="n">
        <v>37</v>
      </c>
      <c r="I1729" s="46" t="s">
        <v>161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X1729" s="46" t="n">
        <f aca="false">IF(I1729="Male",0,1)</f>
        <v>1</v>
      </c>
      <c r="Y1729" s="46" t="n">
        <f aca="false">IF(OR(I1729="DNB",I1729="Dry DNB"),1,0)</f>
        <v>0</v>
      </c>
      <c r="Z1729" s="0" t="str">
        <f aca="false">IF(ISNUMBER(W1729),A1729-W1729,"")</f>
        <v/>
      </c>
      <c r="AA1729" s="46" t="n">
        <f aca="false">MATCH(A1729,DATAS,0)</f>
        <v>1</v>
      </c>
      <c r="AB1729" s="46" t="n">
        <f aca="false">IF(AND(E1729&gt;0,OR(AND(B1729&gt;=1,B1729&lt;=6),B1729=10)),1,0)</f>
        <v>1</v>
      </c>
      <c r="AC1729" s="46" t="n">
        <f aca="false">IF(AND(E1729&gt;0,B1729=10),1,0)</f>
        <v>0</v>
      </c>
      <c r="AD1729" s="0" t="str">
        <f aca="false">IF(AND(C1728=C1729,AA1728=AA1729-1),AB1728,"")</f>
        <v/>
      </c>
      <c r="AE1729" s="0" t="str">
        <f aca="false">IF(AND(C1728=C1729,AA1728=AA1729-1),AC1728,"")</f>
        <v/>
      </c>
      <c r="AF1729" s="0" t="str">
        <f aca="false">IF(AA1729=1,"",IF(AND(AB1729=1,AD1729&lt;&gt;1),1,0))</f>
        <v/>
      </c>
      <c r="AG1729" s="0" t="str">
        <f aca="false">IF(AA1729=1,"",IF(AND(AC1729=1,AE1729&lt;&gt;1),1,0))</f>
        <v/>
      </c>
      <c r="AH1729" s="51" t="str">
        <f aca="false">IF(AND(E1729&gt;0,AA1729&lt;1,NOT(AND(C1730=C1729,AA1730=AA1729+1))),INDEX(DATAS,AA1729+1),"")</f>
        <v/>
      </c>
      <c r="AI1729" s="51" t="str">
        <f aca="false">IF(AND(AC1729=1,AA1729&lt;1),IF(AND(C1730=C1729,AA1730=AA1729+1),IF(AC1730=1,"",INDEX(DATAS,AA1729+1)),INDEX(DATAS,AA1729+1)),"")</f>
        <v/>
      </c>
    </row>
    <row r="1730" customFormat="false" ht="15" hidden="false" customHeight="false" outlineLevel="0" collapsed="false">
      <c r="A1730" s="51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46" t="s">
        <v>1044</v>
      </c>
      <c r="G1730" s="0" t="n">
        <v>30.8</v>
      </c>
      <c r="H1730" s="0" t="n">
        <v>36</v>
      </c>
      <c r="I1730" s="46" t="s">
        <v>152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51" t="n">
        <v>46261</v>
      </c>
      <c r="X1730" s="46" t="n">
        <f aca="false">IF(I1730="Male",0,1)</f>
        <v>1</v>
      </c>
      <c r="Y1730" s="46" t="n">
        <f aca="false">IF(OR(I1730="DNB",I1730="Dry DNB"),1,0)</f>
        <v>0</v>
      </c>
      <c r="Z1730" s="46" t="n">
        <f aca="false">IF(ISNUMBER(W1730),A1730-W1730,"")</f>
        <v>48</v>
      </c>
      <c r="AA1730" s="46" t="n">
        <f aca="false">MATCH(A1730,DATAS,0)</f>
        <v>1</v>
      </c>
      <c r="AB1730" s="46" t="n">
        <f aca="false">IF(AND(E1730&gt;0,OR(AND(B1730&gt;=1,B1730&lt;=6),B1730=10)),1,0)</f>
        <v>1</v>
      </c>
      <c r="AC1730" s="46" t="n">
        <f aca="false">IF(AND(E1730&gt;0,B1730=10),1,0)</f>
        <v>0</v>
      </c>
      <c r="AD1730" s="0" t="str">
        <f aca="false">IF(AND(C1729=C1730,AA1729=AA1730-1),AB1729,"")</f>
        <v/>
      </c>
      <c r="AE1730" s="0" t="str">
        <f aca="false">IF(AND(C1729=C1730,AA1729=AA1730-1),AC1729,"")</f>
        <v/>
      </c>
      <c r="AF1730" s="0" t="str">
        <f aca="false">IF(AA1730=1,"",IF(AND(AB1730=1,AD1730&lt;&gt;1),1,0))</f>
        <v/>
      </c>
      <c r="AG1730" s="0" t="str">
        <f aca="false">IF(AA1730=1,"",IF(AND(AC1730=1,AE1730&lt;&gt;1),1,0))</f>
        <v/>
      </c>
      <c r="AH1730" s="51" t="str">
        <f aca="false">IF(AND(E1730&gt;0,AA1730&lt;1,NOT(AND(C1731=C1730,AA1731=AA1730+1))),INDEX(DATAS,AA1730+1),"")</f>
        <v/>
      </c>
      <c r="AI1730" s="51" t="str">
        <f aca="false">IF(AND(AC1730=1,AA1730&lt;1),IF(AND(C1731=C1730,AA1731=AA1730+1),IF(AC1731=1,"",INDEX(DATAS,AA1730+1)),INDEX(DATAS,AA1730+1)),"")</f>
        <v/>
      </c>
    </row>
    <row r="1731" customFormat="false" ht="15" hidden="false" customHeight="false" outlineLevel="0" collapsed="false">
      <c r="A1731" s="51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46" t="s">
        <v>1044</v>
      </c>
      <c r="G1731" s="0" t="n">
        <v>37.1</v>
      </c>
      <c r="H1731" s="0" t="n">
        <v>35</v>
      </c>
      <c r="I1731" s="46" t="s">
        <v>181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51" t="n">
        <v>46310</v>
      </c>
      <c r="X1731" s="46" t="n">
        <f aca="false">IF(I1731="Male",0,1)</f>
        <v>1</v>
      </c>
      <c r="Y1731" s="46" t="n">
        <f aca="false">IF(OR(I1731="DNB",I1731="Dry DNB"),1,0)</f>
        <v>0</v>
      </c>
      <c r="Z1731" s="46" t="n">
        <f aca="false">IF(ISNUMBER(W1731),A1731-W1731,"")</f>
        <v>-1</v>
      </c>
      <c r="AA1731" s="46" t="n">
        <f aca="false">MATCH(A1731,DATAS,0)</f>
        <v>1</v>
      </c>
      <c r="AB1731" s="46" t="n">
        <f aca="false">IF(AND(E1731&gt;0,OR(AND(B1731&gt;=1,B1731&lt;=6),B1731=10)),1,0)</f>
        <v>1</v>
      </c>
      <c r="AC1731" s="46" t="n">
        <f aca="false">IF(AND(E1731&gt;0,B1731=10),1,0)</f>
        <v>0</v>
      </c>
      <c r="AD1731" s="0" t="str">
        <f aca="false">IF(AND(C1730=C1731,AA1730=AA1731-1),AB1730,"")</f>
        <v/>
      </c>
      <c r="AE1731" s="0" t="str">
        <f aca="false">IF(AND(C1730=C1731,AA1730=AA1731-1),AC1730,"")</f>
        <v/>
      </c>
      <c r="AF1731" s="0" t="str">
        <f aca="false">IF(AA1731=1,"",IF(AND(AB1731=1,AD1731&lt;&gt;1),1,0))</f>
        <v/>
      </c>
      <c r="AG1731" s="0" t="str">
        <f aca="false">IF(AA1731=1,"",IF(AND(AC1731=1,AE1731&lt;&gt;1),1,0))</f>
        <v/>
      </c>
      <c r="AH1731" s="51" t="str">
        <f aca="false">IF(AND(E1731&gt;0,AA1731&lt;1,NOT(AND(C1732=C1731,AA1732=AA1731+1))),INDEX(DATAS,AA1731+1),"")</f>
        <v/>
      </c>
      <c r="AI1731" s="51" t="str">
        <f aca="false">IF(AND(AC1731=1,AA1731&lt;1),IF(AND(C1732=C1731,AA1732=AA1731+1),IF(AC1732=1,"",INDEX(DATAS,AA1731+1)),INDEX(DATAS,AA1731+1)),"")</f>
        <v/>
      </c>
    </row>
    <row r="1732" customFormat="false" ht="15" hidden="false" customHeight="false" outlineLevel="0" collapsed="false">
      <c r="A1732" s="51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46" t="s">
        <v>1044</v>
      </c>
      <c r="G1732" s="0" t="n">
        <v>33.5</v>
      </c>
      <c r="H1732" s="0" t="n">
        <v>39</v>
      </c>
      <c r="I1732" s="46" t="s">
        <v>161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X1732" s="46" t="n">
        <f aca="false">IF(I1732="Male",0,1)</f>
        <v>1</v>
      </c>
      <c r="Y1732" s="46" t="n">
        <f aca="false">IF(OR(I1732="DNB",I1732="Dry DNB"),1,0)</f>
        <v>0</v>
      </c>
      <c r="Z1732" s="0" t="str">
        <f aca="false">IF(ISNUMBER(W1732),A1732-W1732,"")</f>
        <v/>
      </c>
      <c r="AA1732" s="46" t="n">
        <f aca="false">MATCH(A1732,DATAS,0)</f>
        <v>1</v>
      </c>
      <c r="AB1732" s="46" t="n">
        <f aca="false">IF(AND(E1732&gt;0,OR(AND(B1732&gt;=1,B1732&lt;=6),B1732=10)),1,0)</f>
        <v>1</v>
      </c>
      <c r="AC1732" s="46" t="n">
        <f aca="false">IF(AND(E1732&gt;0,B1732=10),1,0)</f>
        <v>0</v>
      </c>
      <c r="AD1732" s="0" t="str">
        <f aca="false">IF(AND(C1731=C1732,AA1731=AA1732-1),AB1731,"")</f>
        <v/>
      </c>
      <c r="AE1732" s="0" t="str">
        <f aca="false">IF(AND(C1731=C1732,AA1731=AA1732-1),AC1731,"")</f>
        <v/>
      </c>
      <c r="AF1732" s="0" t="str">
        <f aca="false">IF(AA1732=1,"",IF(AND(AB1732=1,AD1732&lt;&gt;1),1,0))</f>
        <v/>
      </c>
      <c r="AG1732" s="0" t="str">
        <f aca="false">IF(AA1732=1,"",IF(AND(AC1732=1,AE1732&lt;&gt;1),1,0))</f>
        <v/>
      </c>
      <c r="AH1732" s="51" t="str">
        <f aca="false">IF(AND(E1732&gt;0,AA1732&lt;1,NOT(AND(C1733=C1732,AA1733=AA1732+1))),INDEX(DATAS,AA1732+1),"")</f>
        <v/>
      </c>
      <c r="AI1732" s="51" t="str">
        <f aca="false">IF(AND(AC1732=1,AA1732&lt;1),IF(AND(C1733=C1732,AA1733=AA1732+1),IF(AC1733=1,"",INDEX(DATAS,AA1732+1)),INDEX(DATAS,AA1732+1)),"")</f>
        <v/>
      </c>
    </row>
    <row r="1733" customFormat="false" ht="15" hidden="false" customHeight="false" outlineLevel="0" collapsed="false">
      <c r="A1733" s="51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46" t="s">
        <v>1045</v>
      </c>
      <c r="G1733" s="0" t="n">
        <v>46.4</v>
      </c>
      <c r="H1733" s="0" t="n">
        <v>40</v>
      </c>
      <c r="I1733" s="46" t="s">
        <v>181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51" t="n">
        <v>46307</v>
      </c>
      <c r="X1733" s="46" t="n">
        <f aca="false">IF(I1733="Male",0,1)</f>
        <v>1</v>
      </c>
      <c r="Y1733" s="46" t="n">
        <f aca="false">IF(OR(I1733="DNB",I1733="Dry DNB"),1,0)</f>
        <v>0</v>
      </c>
      <c r="Z1733" s="46" t="n">
        <f aca="false">IF(ISNUMBER(W1733),A1733-W1733,"")</f>
        <v>2</v>
      </c>
      <c r="AA1733" s="46" t="n">
        <f aca="false">MATCH(A1733,DATAS,0)</f>
        <v>1</v>
      </c>
      <c r="AB1733" s="46" t="n">
        <f aca="false">IF(AND(E1733&gt;0,OR(AND(B1733&gt;=1,B1733&lt;=6),B1733=10)),1,0)</f>
        <v>1</v>
      </c>
      <c r="AC1733" s="46" t="n">
        <f aca="false">IF(AND(E1733&gt;0,B1733=10),1,0)</f>
        <v>0</v>
      </c>
      <c r="AD1733" s="0" t="str">
        <f aca="false">IF(AND(C1732=C1733,AA1732=AA1733-1),AB1732,"")</f>
        <v/>
      </c>
      <c r="AE1733" s="0" t="str">
        <f aca="false">IF(AND(C1732=C1733,AA1732=AA1733-1),AC1732,"")</f>
        <v/>
      </c>
      <c r="AF1733" s="0" t="str">
        <f aca="false">IF(AA1733=1,"",IF(AND(AB1733=1,AD1733&lt;&gt;1),1,0))</f>
        <v/>
      </c>
      <c r="AG1733" s="0" t="str">
        <f aca="false">IF(AA1733=1,"",IF(AND(AC1733=1,AE1733&lt;&gt;1),1,0))</f>
        <v/>
      </c>
      <c r="AH1733" s="51" t="str">
        <f aca="false">IF(AND(E1733&gt;0,AA1733&lt;1,NOT(AND(C1734=C1733,AA1734=AA1733+1))),INDEX(DATAS,AA1733+1),"")</f>
        <v/>
      </c>
      <c r="AI1733" s="51" t="str">
        <f aca="false">IF(AND(AC1733=1,AA1733&lt;1),IF(AND(C1734=C1733,AA1734=AA1733+1),IF(AC1734=1,"",INDEX(DATAS,AA1733+1)),INDEX(DATAS,AA1733+1)),"")</f>
        <v/>
      </c>
    </row>
    <row r="1734" customFormat="false" ht="15" hidden="false" customHeight="false" outlineLevel="0" collapsed="false">
      <c r="A1734" s="51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46" t="s">
        <v>1045</v>
      </c>
      <c r="G1734" s="0" t="n">
        <v>66.6</v>
      </c>
      <c r="H1734" s="0" t="n">
        <v>66</v>
      </c>
      <c r="I1734" s="46" t="s">
        <v>181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51" t="n">
        <v>46289</v>
      </c>
      <c r="X1734" s="46" t="n">
        <f aca="false">IF(I1734="Male",0,1)</f>
        <v>1</v>
      </c>
      <c r="Y1734" s="46" t="n">
        <f aca="false">IF(OR(I1734="DNB",I1734="Dry DNB"),1,0)</f>
        <v>0</v>
      </c>
      <c r="Z1734" s="46" t="n">
        <f aca="false">IF(ISNUMBER(W1734),A1734-W1734,"")</f>
        <v>20</v>
      </c>
      <c r="AA1734" s="46" t="n">
        <f aca="false">MATCH(A1734,DATAS,0)</f>
        <v>1</v>
      </c>
      <c r="AB1734" s="46" t="n">
        <f aca="false">IF(AND(E1734&gt;0,OR(AND(B1734&gt;=1,B1734&lt;=6),B1734=10)),1,0)</f>
        <v>1</v>
      </c>
      <c r="AC1734" s="46" t="n">
        <f aca="false">IF(AND(E1734&gt;0,B1734=10),1,0)</f>
        <v>0</v>
      </c>
      <c r="AD1734" s="0" t="str">
        <f aca="false">IF(AND(C1733=C1734,AA1733=AA1734-1),AB1733,"")</f>
        <v/>
      </c>
      <c r="AE1734" s="0" t="str">
        <f aca="false">IF(AND(C1733=C1734,AA1733=AA1734-1),AC1733,"")</f>
        <v/>
      </c>
      <c r="AF1734" s="0" t="str">
        <f aca="false">IF(AA1734=1,"",IF(AND(AB1734=1,AD1734&lt;&gt;1),1,0))</f>
        <v/>
      </c>
      <c r="AG1734" s="0" t="str">
        <f aca="false">IF(AA1734=1,"",IF(AND(AC1734=1,AE1734&lt;&gt;1),1,0))</f>
        <v/>
      </c>
      <c r="AH1734" s="51" t="str">
        <f aca="false">IF(AND(E1734&gt;0,AA1734&lt;1,NOT(AND(C1735=C1734,AA1735=AA1734+1))),INDEX(DATAS,AA1734+1),"")</f>
        <v/>
      </c>
      <c r="AI1734" s="51" t="str">
        <f aca="false">IF(AND(AC1734=1,AA1734&lt;1),IF(AND(C1735=C1734,AA1735=AA1734+1),IF(AC1735=1,"",INDEX(DATAS,AA1734+1)),INDEX(DATAS,AA1734+1)),"")</f>
        <v/>
      </c>
    </row>
    <row r="1735" customFormat="false" ht="15" hidden="false" customHeight="false" outlineLevel="0" collapsed="false">
      <c r="A1735" s="51" t="n">
        <v>46309</v>
      </c>
      <c r="B1735" s="0" t="n">
        <v>8</v>
      </c>
      <c r="C1735" s="0" t="n">
        <v>5915</v>
      </c>
      <c r="E1735" s="0" t="n">
        <v>0</v>
      </c>
      <c r="F1735" s="46" t="s">
        <v>1046</v>
      </c>
      <c r="I1735" s="46" t="s">
        <v>152</v>
      </c>
      <c r="L1735" s="0" t="n">
        <v>126</v>
      </c>
      <c r="U1735" s="0" t="n">
        <v>750</v>
      </c>
      <c r="V1735" s="0" t="n">
        <v>6</v>
      </c>
      <c r="W1735" s="51" t="n">
        <v>46184</v>
      </c>
      <c r="X1735" s="46" t="n">
        <f aca="false">IF(I1735="Male",0,1)</f>
        <v>1</v>
      </c>
      <c r="Y1735" s="46" t="n">
        <f aca="false">IF(OR(I1735="DNB",I1735="Dry DNB"),1,0)</f>
        <v>0</v>
      </c>
      <c r="Z1735" s="46" t="n">
        <f aca="false">IF(ISNUMBER(W1735),A1735-W1735,"")</f>
        <v>125</v>
      </c>
      <c r="AA1735" s="46" t="n">
        <f aca="false">MATCH(A1735,DATAS,0)</f>
        <v>1</v>
      </c>
      <c r="AB1735" s="46" t="n">
        <f aca="false">IF(AND(E1735&gt;0,OR(AND(B1735&gt;=1,B1735&lt;=6),B1735=10)),1,0)</f>
        <v>0</v>
      </c>
      <c r="AC1735" s="46" t="n">
        <f aca="false">IF(AND(E1735&gt;0,B1735=10),1,0)</f>
        <v>0</v>
      </c>
      <c r="AD1735" s="0" t="str">
        <f aca="false">IF(AND(C1734=C1735,AA1734=AA1735-1),AB1734,"")</f>
        <v/>
      </c>
      <c r="AE1735" s="0" t="str">
        <f aca="false">IF(AND(C1734=C1735,AA1734=AA1735-1),AC1734,"")</f>
        <v/>
      </c>
      <c r="AF1735" s="0" t="str">
        <f aca="false">IF(AA1735=1,"",IF(AND(AB1735=1,AD1735&lt;&gt;1),1,0))</f>
        <v/>
      </c>
      <c r="AG1735" s="0" t="str">
        <f aca="false">IF(AA1735=1,"",IF(AND(AC1735=1,AE1735&lt;&gt;1),1,0))</f>
        <v/>
      </c>
      <c r="AH1735" s="51" t="str">
        <f aca="false">IF(AND(E1735&gt;0,AA1735&lt;1,NOT(AND(C1736=C1735,AA1736=AA1735+1))),INDEX(DATAS,AA1735+1),"")</f>
        <v/>
      </c>
      <c r="AI1735" s="51" t="str">
        <f aca="false">IF(AND(AC1735=1,AA1735&lt;1),IF(AND(C1736=C1735,AA1736=AA1735+1),IF(AC1736=1,"",INDEX(DATAS,AA1735+1)),INDEX(DATAS,AA1735+1)),"")</f>
        <v/>
      </c>
    </row>
    <row r="1736" customFormat="false" ht="15" hidden="false" customHeight="false" outlineLevel="0" collapsed="false">
      <c r="A1736" s="51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46" t="s">
        <v>1047</v>
      </c>
      <c r="G1736" s="0" t="n">
        <v>28.2</v>
      </c>
      <c r="H1736" s="0" t="n">
        <v>23</v>
      </c>
      <c r="I1736" s="46" t="s">
        <v>161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X1736" s="46" t="n">
        <f aca="false">IF(I1736="Male",0,1)</f>
        <v>1</v>
      </c>
      <c r="Y1736" s="46" t="n">
        <f aca="false">IF(OR(I1736="DNB",I1736="Dry DNB"),1,0)</f>
        <v>0</v>
      </c>
      <c r="Z1736" s="0" t="str">
        <f aca="false">IF(ISNUMBER(W1736),A1736-W1736,"")</f>
        <v/>
      </c>
      <c r="AA1736" s="46" t="n">
        <f aca="false">MATCH(A1736,DATAS,0)</f>
        <v>1</v>
      </c>
      <c r="AB1736" s="46" t="n">
        <f aca="false">IF(AND(E1736&gt;0,OR(AND(B1736&gt;=1,B1736&lt;=6),B1736=10)),1,0)</f>
        <v>1</v>
      </c>
      <c r="AC1736" s="46" t="n">
        <f aca="false">IF(AND(E1736&gt;0,B1736=10),1,0)</f>
        <v>0</v>
      </c>
      <c r="AD1736" s="0" t="str">
        <f aca="false">IF(AND(C1735=C1736,AA1735=AA1736-1),AB1735,"")</f>
        <v/>
      </c>
      <c r="AE1736" s="0" t="str">
        <f aca="false">IF(AND(C1735=C1736,AA1735=AA1736-1),AC1735,"")</f>
        <v/>
      </c>
      <c r="AF1736" s="0" t="str">
        <f aca="false">IF(AA1736=1,"",IF(AND(AB1736=1,AD1736&lt;&gt;1),1,0))</f>
        <v/>
      </c>
      <c r="AG1736" s="0" t="str">
        <f aca="false">IF(AA1736=1,"",IF(AND(AC1736=1,AE1736&lt;&gt;1),1,0))</f>
        <v/>
      </c>
      <c r="AH1736" s="51" t="str">
        <f aca="false">IF(AND(E1736&gt;0,AA1736&lt;1,NOT(AND(C1737=C1736,AA1737=AA1736+1))),INDEX(DATAS,AA1736+1),"")</f>
        <v/>
      </c>
      <c r="AI1736" s="51" t="str">
        <f aca="false">IF(AND(AC1736=1,AA1736&lt;1),IF(AND(C1737=C1736,AA1737=AA1736+1),IF(AC1737=1,"",INDEX(DATAS,AA1736+1)),INDEX(DATAS,AA1736+1)),"")</f>
        <v/>
      </c>
    </row>
    <row r="1737" customFormat="false" ht="15" hidden="false" customHeight="false" outlineLevel="0" collapsed="false">
      <c r="A1737" s="51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46" t="s">
        <v>1047</v>
      </c>
      <c r="G1737" s="0" t="n">
        <v>42.7</v>
      </c>
      <c r="H1737" s="0" t="n">
        <v>42</v>
      </c>
      <c r="I1737" s="46" t="s">
        <v>181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51" t="n">
        <v>46303</v>
      </c>
      <c r="X1737" s="46" t="n">
        <f aca="false">IF(I1737="Male",0,1)</f>
        <v>1</v>
      </c>
      <c r="Y1737" s="46" t="n">
        <f aca="false">IF(OR(I1737="DNB",I1737="Dry DNB"),1,0)</f>
        <v>0</v>
      </c>
      <c r="Z1737" s="46" t="n">
        <f aca="false">IF(ISNUMBER(W1737),A1737-W1737,"")</f>
        <v>6</v>
      </c>
      <c r="AA1737" s="46" t="n">
        <f aca="false">MATCH(A1737,DATAS,0)</f>
        <v>1</v>
      </c>
      <c r="AB1737" s="46" t="n">
        <f aca="false">IF(AND(E1737&gt;0,OR(AND(B1737&gt;=1,B1737&lt;=6),B1737=10)),1,0)</f>
        <v>1</v>
      </c>
      <c r="AC1737" s="46" t="n">
        <f aca="false">IF(AND(E1737&gt;0,B1737=10),1,0)</f>
        <v>0</v>
      </c>
      <c r="AD1737" s="0" t="str">
        <f aca="false">IF(AND(C1736=C1737,AA1736=AA1737-1),AB1736,"")</f>
        <v/>
      </c>
      <c r="AE1737" s="0" t="str">
        <f aca="false">IF(AND(C1736=C1737,AA1736=AA1737-1),AC1736,"")</f>
        <v/>
      </c>
      <c r="AF1737" s="0" t="str">
        <f aca="false">IF(AA1737=1,"",IF(AND(AB1737=1,AD1737&lt;&gt;1),1,0))</f>
        <v/>
      </c>
      <c r="AG1737" s="0" t="str">
        <f aca="false">IF(AA1737=1,"",IF(AND(AC1737=1,AE1737&lt;&gt;1),1,0))</f>
        <v/>
      </c>
      <c r="AH1737" s="51" t="str">
        <f aca="false">IF(AND(E1737&gt;0,AA1737&lt;1,NOT(AND(C1738=C1737,AA1738=AA1737+1))),INDEX(DATAS,AA1737+1),"")</f>
        <v/>
      </c>
      <c r="AI1737" s="51" t="str">
        <f aca="false">IF(AND(AC1737=1,AA1737&lt;1),IF(AND(C1738=C1737,AA1738=AA1737+1),IF(AC1738=1,"",INDEX(DATAS,AA1737+1)),INDEX(DATAS,AA1737+1)),"")</f>
        <v/>
      </c>
    </row>
    <row r="1738" customFormat="false" ht="15" hidden="false" customHeight="false" outlineLevel="0" collapsed="false">
      <c r="A1738" s="51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46" t="s">
        <v>1047</v>
      </c>
      <c r="G1738" s="0" t="n">
        <v>39.9</v>
      </c>
      <c r="H1738" s="0" t="n">
        <v>38</v>
      </c>
      <c r="I1738" s="46" t="s">
        <v>161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X1738" s="46" t="n">
        <f aca="false">IF(I1738="Male",0,1)</f>
        <v>1</v>
      </c>
      <c r="Y1738" s="46" t="n">
        <f aca="false">IF(OR(I1738="DNB",I1738="Dry DNB"),1,0)</f>
        <v>0</v>
      </c>
      <c r="Z1738" s="0" t="str">
        <f aca="false">IF(ISNUMBER(W1738),A1738-W1738,"")</f>
        <v/>
      </c>
      <c r="AA1738" s="46" t="n">
        <f aca="false">MATCH(A1738,DATAS,0)</f>
        <v>1</v>
      </c>
      <c r="AB1738" s="46" t="n">
        <f aca="false">IF(AND(E1738&gt;0,OR(AND(B1738&gt;=1,B1738&lt;=6),B1738=10)),1,0)</f>
        <v>1</v>
      </c>
      <c r="AC1738" s="46" t="n">
        <f aca="false">IF(AND(E1738&gt;0,B1738=10),1,0)</f>
        <v>0</v>
      </c>
      <c r="AD1738" s="0" t="str">
        <f aca="false">IF(AND(C1737=C1738,AA1737=AA1738-1),AB1737,"")</f>
        <v/>
      </c>
      <c r="AE1738" s="0" t="str">
        <f aca="false">IF(AND(C1737=C1738,AA1737=AA1738-1),AC1737,"")</f>
        <v/>
      </c>
      <c r="AF1738" s="0" t="str">
        <f aca="false">IF(AA1738=1,"",IF(AND(AB1738=1,AD1738&lt;&gt;1),1,0))</f>
        <v/>
      </c>
      <c r="AG1738" s="0" t="str">
        <f aca="false">IF(AA1738=1,"",IF(AND(AC1738=1,AE1738&lt;&gt;1),1,0))</f>
        <v/>
      </c>
      <c r="AH1738" s="51" t="str">
        <f aca="false">IF(AND(E1738&gt;0,AA1738&lt;1,NOT(AND(C1739=C1738,AA1739=AA1738+1))),INDEX(DATAS,AA1738+1),"")</f>
        <v/>
      </c>
      <c r="AI1738" s="51" t="str">
        <f aca="false">IF(AND(AC1738=1,AA1738&lt;1),IF(AND(C1739=C1738,AA1739=AA1738+1),IF(AC1739=1,"",INDEX(DATAS,AA1738+1)),INDEX(DATAS,AA1738+1)),"")</f>
        <v/>
      </c>
    </row>
    <row r="1739" customFormat="false" ht="15" hidden="false" customHeight="false" outlineLevel="0" collapsed="false">
      <c r="A1739" s="51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46" t="s">
        <v>1047</v>
      </c>
      <c r="G1739" s="0" t="n">
        <v>40.9</v>
      </c>
      <c r="H1739" s="0" t="n">
        <v>38</v>
      </c>
      <c r="I1739" s="46" t="s">
        <v>152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51" t="n">
        <v>46275</v>
      </c>
      <c r="X1739" s="46" t="n">
        <f aca="false">IF(I1739="Male",0,1)</f>
        <v>1</v>
      </c>
      <c r="Y1739" s="46" t="n">
        <f aca="false">IF(OR(I1739="DNB",I1739="Dry DNB"),1,0)</f>
        <v>0</v>
      </c>
      <c r="Z1739" s="46" t="n">
        <f aca="false">IF(ISNUMBER(W1739),A1739-W1739,"")</f>
        <v>34</v>
      </c>
      <c r="AA1739" s="46" t="n">
        <f aca="false">MATCH(A1739,DATAS,0)</f>
        <v>1</v>
      </c>
      <c r="AB1739" s="46" t="n">
        <f aca="false">IF(AND(E1739&gt;0,OR(AND(B1739&gt;=1,B1739&lt;=6),B1739=10)),1,0)</f>
        <v>1</v>
      </c>
      <c r="AC1739" s="46" t="n">
        <f aca="false">IF(AND(E1739&gt;0,B1739=10),1,0)</f>
        <v>0</v>
      </c>
      <c r="AD1739" s="0" t="str">
        <f aca="false">IF(AND(C1738=C1739,AA1738=AA1739-1),AB1738,"")</f>
        <v/>
      </c>
      <c r="AE1739" s="0" t="str">
        <f aca="false">IF(AND(C1738=C1739,AA1738=AA1739-1),AC1738,"")</f>
        <v/>
      </c>
      <c r="AF1739" s="0" t="str">
        <f aca="false">IF(AA1739=1,"",IF(AND(AB1739=1,AD1739&lt;&gt;1),1,0))</f>
        <v/>
      </c>
      <c r="AG1739" s="0" t="str">
        <f aca="false">IF(AA1739=1,"",IF(AND(AC1739=1,AE1739&lt;&gt;1),1,0))</f>
        <v/>
      </c>
      <c r="AH1739" s="51" t="str">
        <f aca="false">IF(AND(E1739&gt;0,AA1739&lt;1,NOT(AND(C1740=C1739,AA1740=AA1739+1))),INDEX(DATAS,AA1739+1),"")</f>
        <v/>
      </c>
      <c r="AI1739" s="51" t="str">
        <f aca="false">IF(AND(AC1739=1,AA1739&lt;1),IF(AND(C1740=C1739,AA1740=AA1739+1),IF(AC1740=1,"",INDEX(DATAS,AA1739+1)),INDEX(DATAS,AA1739+1)),"")</f>
        <v/>
      </c>
    </row>
    <row r="1740" customFormat="false" ht="15" hidden="false" customHeight="false" outlineLevel="0" collapsed="false">
      <c r="A1740" s="51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46" t="s">
        <v>1048</v>
      </c>
      <c r="G1740" s="0" t="n">
        <v>44.6</v>
      </c>
      <c r="H1740" s="0" t="n">
        <v>43</v>
      </c>
      <c r="I1740" s="46" t="s">
        <v>152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51" t="n">
        <v>46275</v>
      </c>
      <c r="X1740" s="46" t="n">
        <f aca="false">IF(I1740="Male",0,1)</f>
        <v>1</v>
      </c>
      <c r="Y1740" s="46" t="n">
        <f aca="false">IF(OR(I1740="DNB",I1740="Dry DNB"),1,0)</f>
        <v>0</v>
      </c>
      <c r="Z1740" s="46" t="n">
        <f aca="false">IF(ISNUMBER(W1740),A1740-W1740,"")</f>
        <v>34</v>
      </c>
      <c r="AA1740" s="46" t="n">
        <f aca="false">MATCH(A1740,DATAS,0)</f>
        <v>1</v>
      </c>
      <c r="AB1740" s="46" t="n">
        <f aca="false">IF(AND(E1740&gt;0,OR(AND(B1740&gt;=1,B1740&lt;=6),B1740=10)),1,0)</f>
        <v>1</v>
      </c>
      <c r="AC1740" s="46" t="n">
        <f aca="false">IF(AND(E1740&gt;0,B1740=10),1,0)</f>
        <v>0</v>
      </c>
      <c r="AD1740" s="0" t="str">
        <f aca="false">IF(AND(C1739=C1740,AA1739=AA1740-1),AB1739,"")</f>
        <v/>
      </c>
      <c r="AE1740" s="0" t="str">
        <f aca="false">IF(AND(C1739=C1740,AA1739=AA1740-1),AC1739,"")</f>
        <v/>
      </c>
      <c r="AF1740" s="0" t="str">
        <f aca="false">IF(AA1740=1,"",IF(AND(AB1740=1,AD1740&lt;&gt;1),1,0))</f>
        <v/>
      </c>
      <c r="AG1740" s="0" t="str">
        <f aca="false">IF(AA1740=1,"",IF(AND(AC1740=1,AE1740&lt;&gt;1),1,0))</f>
        <v/>
      </c>
      <c r="AH1740" s="51" t="str">
        <f aca="false">IF(AND(E1740&gt;0,AA1740&lt;1,NOT(AND(C1741=C1740,AA1741=AA1740+1))),INDEX(DATAS,AA1740+1),"")</f>
        <v/>
      </c>
      <c r="AI1740" s="51" t="str">
        <f aca="false">IF(AND(AC1740=1,AA1740&lt;1),IF(AND(C1741=C1740,AA1741=AA1740+1),IF(AC1741=1,"",INDEX(DATAS,AA1740+1)),INDEX(DATAS,AA1740+1)),"")</f>
        <v/>
      </c>
    </row>
    <row r="1741" customFormat="false" ht="15" hidden="false" customHeight="false" outlineLevel="0" collapsed="false">
      <c r="A1741" s="51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46" t="s">
        <v>1048</v>
      </c>
      <c r="G1741" s="0" t="n">
        <v>50.5</v>
      </c>
      <c r="H1741" s="0" t="n">
        <v>50</v>
      </c>
      <c r="I1741" s="46" t="s">
        <v>181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51" t="n">
        <v>46300</v>
      </c>
      <c r="X1741" s="46" t="n">
        <f aca="false">IF(I1741="Male",0,1)</f>
        <v>1</v>
      </c>
      <c r="Y1741" s="46" t="n">
        <f aca="false">IF(OR(I1741="DNB",I1741="Dry DNB"),1,0)</f>
        <v>0</v>
      </c>
      <c r="Z1741" s="46" t="n">
        <f aca="false">IF(ISNUMBER(W1741),A1741-W1741,"")</f>
        <v>9</v>
      </c>
      <c r="AA1741" s="46" t="n">
        <f aca="false">MATCH(A1741,DATAS,0)</f>
        <v>1</v>
      </c>
      <c r="AB1741" s="46" t="n">
        <f aca="false">IF(AND(E1741&gt;0,OR(AND(B1741&gt;=1,B1741&lt;=6),B1741=10)),1,0)</f>
        <v>1</v>
      </c>
      <c r="AC1741" s="46" t="n">
        <f aca="false">IF(AND(E1741&gt;0,B1741=10),1,0)</f>
        <v>0</v>
      </c>
      <c r="AD1741" s="0" t="str">
        <f aca="false">IF(AND(C1740=C1741,AA1740=AA1741-1),AB1740,"")</f>
        <v/>
      </c>
      <c r="AE1741" s="0" t="str">
        <f aca="false">IF(AND(C1740=C1741,AA1740=AA1741-1),AC1740,"")</f>
        <v/>
      </c>
      <c r="AF1741" s="0" t="str">
        <f aca="false">IF(AA1741=1,"",IF(AND(AB1741=1,AD1741&lt;&gt;1),1,0))</f>
        <v/>
      </c>
      <c r="AG1741" s="0" t="str">
        <f aca="false">IF(AA1741=1,"",IF(AND(AC1741=1,AE1741&lt;&gt;1),1,0))</f>
        <v/>
      </c>
      <c r="AH1741" s="51" t="str">
        <f aca="false">IF(AND(E1741&gt;0,AA1741&lt;1,NOT(AND(C1742=C1741,AA1742=AA1741+1))),INDEX(DATAS,AA1741+1),"")</f>
        <v/>
      </c>
      <c r="AI1741" s="51" t="str">
        <f aca="false">IF(AND(AC1741=1,AA1741&lt;1),IF(AND(C1742=C1741,AA1742=AA1741+1),IF(AC1742=1,"",INDEX(DATAS,AA1741+1)),INDEX(DATAS,AA1741+1)),"")</f>
        <v/>
      </c>
    </row>
    <row r="1742" customFormat="false" ht="15" hidden="false" customHeight="false" outlineLevel="0" collapsed="false">
      <c r="A1742" s="51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46" t="s">
        <v>1049</v>
      </c>
      <c r="G1742" s="0" t="n">
        <v>51.1</v>
      </c>
      <c r="H1742" s="0" t="n">
        <v>31</v>
      </c>
      <c r="I1742" s="46" t="s">
        <v>152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51" t="n">
        <v>46275</v>
      </c>
      <c r="X1742" s="46" t="n">
        <f aca="false">IF(I1742="Male",0,1)</f>
        <v>1</v>
      </c>
      <c r="Y1742" s="46" t="n">
        <f aca="false">IF(OR(I1742="DNB",I1742="Dry DNB"),1,0)</f>
        <v>0</v>
      </c>
      <c r="Z1742" s="46" t="n">
        <f aca="false">IF(ISNUMBER(W1742),A1742-W1742,"")</f>
        <v>34</v>
      </c>
      <c r="AA1742" s="46" t="n">
        <f aca="false">MATCH(A1742,DATAS,0)</f>
        <v>1</v>
      </c>
      <c r="AB1742" s="46" t="n">
        <f aca="false">IF(AND(E1742&gt;0,OR(AND(B1742&gt;=1,B1742&lt;=6),B1742=10)),1,0)</f>
        <v>1</v>
      </c>
      <c r="AC1742" s="46" t="n">
        <f aca="false">IF(AND(E1742&gt;0,B1742=10),1,0)</f>
        <v>0</v>
      </c>
      <c r="AD1742" s="0" t="str">
        <f aca="false">IF(AND(C1741=C1742,AA1741=AA1742-1),AB1741,"")</f>
        <v/>
      </c>
      <c r="AE1742" s="0" t="str">
        <f aca="false">IF(AND(C1741=C1742,AA1741=AA1742-1),AC1741,"")</f>
        <v/>
      </c>
      <c r="AF1742" s="0" t="str">
        <f aca="false">IF(AA1742=1,"",IF(AND(AB1742=1,AD1742&lt;&gt;1),1,0))</f>
        <v/>
      </c>
      <c r="AG1742" s="0" t="str">
        <f aca="false">IF(AA1742=1,"",IF(AND(AC1742=1,AE1742&lt;&gt;1),1,0))</f>
        <v/>
      </c>
      <c r="AH1742" s="51" t="str">
        <f aca="false">IF(AND(E1742&gt;0,AA1742&lt;1,NOT(AND(C1743=C1742,AA1743=AA1742+1))),INDEX(DATAS,AA1742+1),"")</f>
        <v/>
      </c>
      <c r="AI1742" s="51" t="str">
        <f aca="false">IF(AND(AC1742=1,AA1742&lt;1),IF(AND(C1743=C1742,AA1743=AA1742+1),IF(AC1743=1,"",INDEX(DATAS,AA1742+1)),INDEX(DATAS,AA1742+1)),"")</f>
        <v/>
      </c>
    </row>
    <row r="1743" customFormat="false" ht="15" hidden="false" customHeight="false" outlineLevel="0" collapsed="false">
      <c r="A1743" s="51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46" t="s">
        <v>1050</v>
      </c>
      <c r="G1743" s="0" t="n">
        <v>52.8</v>
      </c>
      <c r="H1743" s="0" t="n">
        <v>52</v>
      </c>
      <c r="I1743" s="46" t="s">
        <v>181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51" t="n">
        <v>46303</v>
      </c>
      <c r="X1743" s="46" t="n">
        <f aca="false">IF(I1743="Male",0,1)</f>
        <v>1</v>
      </c>
      <c r="Y1743" s="46" t="n">
        <f aca="false">IF(OR(I1743="DNB",I1743="Dry DNB"),1,0)</f>
        <v>0</v>
      </c>
      <c r="Z1743" s="46" t="n">
        <f aca="false">IF(ISNUMBER(W1743),A1743-W1743,"")</f>
        <v>6</v>
      </c>
      <c r="AA1743" s="46" t="n">
        <f aca="false">MATCH(A1743,DATAS,0)</f>
        <v>1</v>
      </c>
      <c r="AB1743" s="46" t="n">
        <f aca="false">IF(AND(E1743&gt;0,OR(AND(B1743&gt;=1,B1743&lt;=6),B1743=10)),1,0)</f>
        <v>1</v>
      </c>
      <c r="AC1743" s="46" t="n">
        <f aca="false">IF(AND(E1743&gt;0,B1743=10),1,0)</f>
        <v>0</v>
      </c>
      <c r="AD1743" s="0" t="str">
        <f aca="false">IF(AND(C1742=C1743,AA1742=AA1743-1),AB1742,"")</f>
        <v/>
      </c>
      <c r="AE1743" s="0" t="str">
        <f aca="false">IF(AND(C1742=C1743,AA1742=AA1743-1),AC1742,"")</f>
        <v/>
      </c>
      <c r="AF1743" s="0" t="str">
        <f aca="false">IF(AA1743=1,"",IF(AND(AB1743=1,AD1743&lt;&gt;1),1,0))</f>
        <v/>
      </c>
      <c r="AG1743" s="0" t="str">
        <f aca="false">IF(AA1743=1,"",IF(AND(AC1743=1,AE1743&lt;&gt;1),1,0))</f>
        <v/>
      </c>
      <c r="AH1743" s="51" t="str">
        <f aca="false">IF(AND(E1743&gt;0,AA1743&lt;1,NOT(AND(C1744=C1743,AA1744=AA1743+1))),INDEX(DATAS,AA1743+1),"")</f>
        <v/>
      </c>
      <c r="AI1743" s="51" t="str">
        <f aca="false">IF(AND(AC1743=1,AA1743&lt;1),IF(AND(C1744=C1743,AA1744=AA1743+1),IF(AC1744=1,"",INDEX(DATAS,AA1743+1)),INDEX(DATAS,AA1743+1)),"")</f>
        <v/>
      </c>
    </row>
    <row r="1744" customFormat="false" ht="15" hidden="false" customHeight="false" outlineLevel="0" collapsed="false">
      <c r="A1744" s="51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46" t="s">
        <v>1050</v>
      </c>
      <c r="G1744" s="0" t="n">
        <v>51.6</v>
      </c>
      <c r="H1744" s="0" t="n">
        <v>52</v>
      </c>
      <c r="I1744" s="46" t="s">
        <v>181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51" t="n">
        <v>46310</v>
      </c>
      <c r="X1744" s="46" t="n">
        <f aca="false">IF(I1744="Male",0,1)</f>
        <v>1</v>
      </c>
      <c r="Y1744" s="46" t="n">
        <f aca="false">IF(OR(I1744="DNB",I1744="Dry DNB"),1,0)</f>
        <v>0</v>
      </c>
      <c r="Z1744" s="46" t="n">
        <f aca="false">IF(ISNUMBER(W1744),A1744-W1744,"")</f>
        <v>-1</v>
      </c>
      <c r="AA1744" s="46" t="n">
        <f aca="false">MATCH(A1744,DATAS,0)</f>
        <v>1</v>
      </c>
      <c r="AB1744" s="46" t="n">
        <f aca="false">IF(AND(E1744&gt;0,OR(AND(B1744&gt;=1,B1744&lt;=6),B1744=10)),1,0)</f>
        <v>1</v>
      </c>
      <c r="AC1744" s="46" t="n">
        <f aca="false">IF(AND(E1744&gt;0,B1744=10),1,0)</f>
        <v>0</v>
      </c>
      <c r="AD1744" s="0" t="str">
        <f aca="false">IF(AND(C1743=C1744,AA1743=AA1744-1),AB1743,"")</f>
        <v/>
      </c>
      <c r="AE1744" s="0" t="str">
        <f aca="false">IF(AND(C1743=C1744,AA1743=AA1744-1),AC1743,"")</f>
        <v/>
      </c>
      <c r="AF1744" s="0" t="str">
        <f aca="false">IF(AA1744=1,"",IF(AND(AB1744=1,AD1744&lt;&gt;1),1,0))</f>
        <v/>
      </c>
      <c r="AG1744" s="0" t="str">
        <f aca="false">IF(AA1744=1,"",IF(AND(AC1744=1,AE1744&lt;&gt;1),1,0))</f>
        <v/>
      </c>
      <c r="AH1744" s="51" t="str">
        <f aca="false">IF(AND(E1744&gt;0,AA1744&lt;1,NOT(AND(C1745=C1744,AA1745=AA1744+1))),INDEX(DATAS,AA1744+1),"")</f>
        <v/>
      </c>
      <c r="AI1744" s="51" t="str">
        <f aca="false">IF(AND(AC1744=1,AA1744&lt;1),IF(AND(C1745=C1744,AA1745=AA1744+1),IF(AC1745=1,"",INDEX(DATAS,AA1744+1)),INDEX(DATAS,AA1744+1)),"")</f>
        <v/>
      </c>
    </row>
    <row r="1745" customFormat="false" ht="15" hidden="false" customHeight="false" outlineLevel="0" collapsed="false">
      <c r="A1745" s="51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46" t="s">
        <v>1050</v>
      </c>
      <c r="G1745" s="0" t="n">
        <v>33.6</v>
      </c>
      <c r="H1745" s="0" t="n">
        <v>33</v>
      </c>
      <c r="I1745" s="46" t="s">
        <v>152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51" t="n">
        <v>46254</v>
      </c>
      <c r="X1745" s="46" t="n">
        <f aca="false">IF(I1745="Male",0,1)</f>
        <v>1</v>
      </c>
      <c r="Y1745" s="46" t="n">
        <f aca="false">IF(OR(I1745="DNB",I1745="Dry DNB"),1,0)</f>
        <v>0</v>
      </c>
      <c r="Z1745" s="46" t="n">
        <f aca="false">IF(ISNUMBER(W1745),A1745-W1745,"")</f>
        <v>55</v>
      </c>
      <c r="AA1745" s="46" t="n">
        <f aca="false">MATCH(A1745,DATAS,0)</f>
        <v>1</v>
      </c>
      <c r="AB1745" s="46" t="n">
        <f aca="false">IF(AND(E1745&gt;0,OR(AND(B1745&gt;=1,B1745&lt;=6),B1745=10)),1,0)</f>
        <v>1</v>
      </c>
      <c r="AC1745" s="46" t="n">
        <f aca="false">IF(AND(E1745&gt;0,B1745=10),1,0)</f>
        <v>0</v>
      </c>
      <c r="AD1745" s="0" t="str">
        <f aca="false">IF(AND(C1744=C1745,AA1744=AA1745-1),AB1744,"")</f>
        <v/>
      </c>
      <c r="AE1745" s="0" t="str">
        <f aca="false">IF(AND(C1744=C1745,AA1744=AA1745-1),AC1744,"")</f>
        <v/>
      </c>
      <c r="AF1745" s="0" t="str">
        <f aca="false">IF(AA1745=1,"",IF(AND(AB1745=1,AD1745&lt;&gt;1),1,0))</f>
        <v/>
      </c>
      <c r="AG1745" s="0" t="str">
        <f aca="false">IF(AA1745=1,"",IF(AND(AC1745=1,AE1745&lt;&gt;1),1,0))</f>
        <v/>
      </c>
      <c r="AH1745" s="51" t="str">
        <f aca="false">IF(AND(E1745&gt;0,AA1745&lt;1,NOT(AND(C1746=C1745,AA1746=AA1745+1))),INDEX(DATAS,AA1745+1),"")</f>
        <v/>
      </c>
      <c r="AI1745" s="51" t="str">
        <f aca="false">IF(AND(AC1745=1,AA1745&lt;1),IF(AND(C1746=C1745,AA1746=AA1745+1),IF(AC1746=1,"",INDEX(DATAS,AA1745+1)),INDEX(DATAS,AA1745+1)),"")</f>
        <v/>
      </c>
    </row>
    <row r="1746" customFormat="false" ht="15" hidden="false" customHeight="false" outlineLevel="0" collapsed="false">
      <c r="A1746" s="51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46" t="s">
        <v>1050</v>
      </c>
      <c r="G1746" s="0" t="n">
        <v>50.9</v>
      </c>
      <c r="H1746" s="0" t="n">
        <v>48</v>
      </c>
      <c r="I1746" s="46" t="s">
        <v>181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51" t="n">
        <v>46289</v>
      </c>
      <c r="X1746" s="46" t="n">
        <f aca="false">IF(I1746="Male",0,1)</f>
        <v>1</v>
      </c>
      <c r="Y1746" s="46" t="n">
        <f aca="false">IF(OR(I1746="DNB",I1746="Dry DNB"),1,0)</f>
        <v>0</v>
      </c>
      <c r="Z1746" s="46" t="n">
        <f aca="false">IF(ISNUMBER(W1746),A1746-W1746,"")</f>
        <v>20</v>
      </c>
      <c r="AA1746" s="46" t="n">
        <f aca="false">MATCH(A1746,DATAS,0)</f>
        <v>1</v>
      </c>
      <c r="AB1746" s="46" t="n">
        <f aca="false">IF(AND(E1746&gt;0,OR(AND(B1746&gt;=1,B1746&lt;=6),B1746=10)),1,0)</f>
        <v>1</v>
      </c>
      <c r="AC1746" s="46" t="n">
        <f aca="false">IF(AND(E1746&gt;0,B1746=10),1,0)</f>
        <v>0</v>
      </c>
      <c r="AD1746" s="0" t="str">
        <f aca="false">IF(AND(C1745=C1746,AA1745=AA1746-1),AB1745,"")</f>
        <v/>
      </c>
      <c r="AE1746" s="0" t="str">
        <f aca="false">IF(AND(C1745=C1746,AA1745=AA1746-1),AC1745,"")</f>
        <v/>
      </c>
      <c r="AF1746" s="0" t="str">
        <f aca="false">IF(AA1746=1,"",IF(AND(AB1746=1,AD1746&lt;&gt;1),1,0))</f>
        <v/>
      </c>
      <c r="AG1746" s="0" t="str">
        <f aca="false">IF(AA1746=1,"",IF(AND(AC1746=1,AE1746&lt;&gt;1),1,0))</f>
        <v/>
      </c>
      <c r="AH1746" s="51" t="str">
        <f aca="false">IF(AND(E1746&gt;0,AA1746&lt;1,NOT(AND(C1747=C1746,AA1747=AA1746+1))),INDEX(DATAS,AA1746+1),"")</f>
        <v/>
      </c>
      <c r="AI1746" s="51" t="str">
        <f aca="false">IF(AND(AC1746=1,AA1746&lt;1),IF(AND(C1747=C1746,AA1747=AA1746+1),IF(AC1747=1,"",INDEX(DATAS,AA1746+1)),INDEX(DATAS,AA1746+1)),"")</f>
        <v/>
      </c>
    </row>
    <row r="1747" customFormat="false" ht="15" hidden="false" customHeight="false" outlineLevel="0" collapsed="false">
      <c r="A1747" s="51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46" t="s">
        <v>1051</v>
      </c>
      <c r="G1747" s="0" t="n">
        <v>47.3</v>
      </c>
      <c r="H1747" s="0" t="n">
        <v>52</v>
      </c>
      <c r="I1747" s="46" t="s">
        <v>181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51" t="n">
        <v>46303</v>
      </c>
      <c r="X1747" s="46" t="n">
        <f aca="false">IF(I1747="Male",0,1)</f>
        <v>1</v>
      </c>
      <c r="Y1747" s="46" t="n">
        <f aca="false">IF(OR(I1747="DNB",I1747="Dry DNB"),1,0)</f>
        <v>0</v>
      </c>
      <c r="Z1747" s="46" t="n">
        <f aca="false">IF(ISNUMBER(W1747),A1747-W1747,"")</f>
        <v>6</v>
      </c>
      <c r="AA1747" s="46" t="n">
        <f aca="false">MATCH(A1747,DATAS,0)</f>
        <v>1</v>
      </c>
      <c r="AB1747" s="46" t="n">
        <f aca="false">IF(AND(E1747&gt;0,OR(AND(B1747&gt;=1,B1747&lt;=6),B1747=10)),1,0)</f>
        <v>1</v>
      </c>
      <c r="AC1747" s="46" t="n">
        <f aca="false">IF(AND(E1747&gt;0,B1747=10),1,0)</f>
        <v>0</v>
      </c>
      <c r="AD1747" s="0" t="str">
        <f aca="false">IF(AND(C1746=C1747,AA1746=AA1747-1),AB1746,"")</f>
        <v/>
      </c>
      <c r="AE1747" s="0" t="str">
        <f aca="false">IF(AND(C1746=C1747,AA1746=AA1747-1),AC1746,"")</f>
        <v/>
      </c>
      <c r="AF1747" s="0" t="str">
        <f aca="false">IF(AA1747=1,"",IF(AND(AB1747=1,AD1747&lt;&gt;1),1,0))</f>
        <v/>
      </c>
      <c r="AG1747" s="0" t="str">
        <f aca="false">IF(AA1747=1,"",IF(AND(AC1747=1,AE1747&lt;&gt;1),1,0))</f>
        <v/>
      </c>
      <c r="AH1747" s="51" t="str">
        <f aca="false">IF(AND(E1747&gt;0,AA1747&lt;1,NOT(AND(C1748=C1747,AA1748=AA1747+1))),INDEX(DATAS,AA1747+1),"")</f>
        <v/>
      </c>
      <c r="AI1747" s="51" t="str">
        <f aca="false">IF(AND(AC1747=1,AA1747&lt;1),IF(AND(C1748=C1747,AA1748=AA1747+1),IF(AC1748=1,"",INDEX(DATAS,AA1747+1)),INDEX(DATAS,AA1747+1)),"")</f>
        <v/>
      </c>
    </row>
    <row r="1748" customFormat="false" ht="15" hidden="false" customHeight="false" outlineLevel="0" collapsed="false">
      <c r="A1748" s="51" t="n">
        <v>46309</v>
      </c>
      <c r="B1748" s="0" t="n">
        <v>14</v>
      </c>
      <c r="C1748" s="0" t="n">
        <v>5928</v>
      </c>
      <c r="E1748" s="0" t="n">
        <v>0</v>
      </c>
      <c r="F1748" s="46" t="s">
        <v>1051</v>
      </c>
      <c r="I1748" s="46" t="s">
        <v>152</v>
      </c>
      <c r="L1748" s="0" t="n">
        <v>266</v>
      </c>
      <c r="U1748" s="0" t="n">
        <v>743</v>
      </c>
      <c r="V1748" s="0" t="n">
        <v>4</v>
      </c>
      <c r="W1748" s="51" t="n">
        <v>46044</v>
      </c>
      <c r="X1748" s="46" t="n">
        <f aca="false">IF(I1748="Male",0,1)</f>
        <v>1</v>
      </c>
      <c r="Y1748" s="46" t="n">
        <f aca="false">IF(OR(I1748="DNB",I1748="Dry DNB"),1,0)</f>
        <v>0</v>
      </c>
      <c r="Z1748" s="46" t="n">
        <f aca="false">IF(ISNUMBER(W1748),A1748-W1748,"")</f>
        <v>265</v>
      </c>
      <c r="AA1748" s="46" t="n">
        <f aca="false">MATCH(A1748,DATAS,0)</f>
        <v>1</v>
      </c>
      <c r="AB1748" s="46" t="n">
        <f aca="false">IF(AND(E1748&gt;0,OR(AND(B1748&gt;=1,B1748&lt;=6),B1748=10)),1,0)</f>
        <v>0</v>
      </c>
      <c r="AC1748" s="46" t="n">
        <f aca="false">IF(AND(E1748&gt;0,B1748=10),1,0)</f>
        <v>0</v>
      </c>
      <c r="AD1748" s="0" t="str">
        <f aca="false">IF(AND(C1747=C1748,AA1747=AA1748-1),AB1747,"")</f>
        <v/>
      </c>
      <c r="AE1748" s="0" t="str">
        <f aca="false">IF(AND(C1747=C1748,AA1747=AA1748-1),AC1747,"")</f>
        <v/>
      </c>
      <c r="AF1748" s="0" t="str">
        <f aca="false">IF(AA1748=1,"",IF(AND(AB1748=1,AD1748&lt;&gt;1),1,0))</f>
        <v/>
      </c>
      <c r="AG1748" s="0" t="str">
        <f aca="false">IF(AA1748=1,"",IF(AND(AC1748=1,AE1748&lt;&gt;1),1,0))</f>
        <v/>
      </c>
      <c r="AH1748" s="51" t="str">
        <f aca="false">IF(AND(E1748&gt;0,AA1748&lt;1,NOT(AND(C1749=C1748,AA1749=AA1748+1))),INDEX(DATAS,AA1748+1),"")</f>
        <v/>
      </c>
      <c r="AI1748" s="51" t="str">
        <f aca="false">IF(AND(AC1748=1,AA1748&lt;1),IF(AND(C1749=C1748,AA1749=AA1748+1),IF(AC1749=1,"",INDEX(DATAS,AA1748+1)),INDEX(DATAS,AA1748+1)),"")</f>
        <v/>
      </c>
    </row>
    <row r="1749" customFormat="false" ht="15" hidden="false" customHeight="false" outlineLevel="0" collapsed="false">
      <c r="A1749" s="51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46" t="s">
        <v>1052</v>
      </c>
      <c r="G1749" s="0" t="n">
        <v>52.1</v>
      </c>
      <c r="H1749" s="0" t="n">
        <v>50</v>
      </c>
      <c r="I1749" s="46" t="s">
        <v>152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51" t="n">
        <v>46275</v>
      </c>
      <c r="X1749" s="46" t="n">
        <f aca="false">IF(I1749="Male",0,1)</f>
        <v>1</v>
      </c>
      <c r="Y1749" s="46" t="n">
        <f aca="false">IF(OR(I1749="DNB",I1749="Dry DNB"),1,0)</f>
        <v>0</v>
      </c>
      <c r="Z1749" s="46" t="n">
        <f aca="false">IF(ISNUMBER(W1749),A1749-W1749,"")</f>
        <v>34</v>
      </c>
      <c r="AA1749" s="46" t="n">
        <f aca="false">MATCH(A1749,DATAS,0)</f>
        <v>1</v>
      </c>
      <c r="AB1749" s="46" t="n">
        <f aca="false">IF(AND(E1749&gt;0,OR(AND(B1749&gt;=1,B1749&lt;=6),B1749=10)),1,0)</f>
        <v>1</v>
      </c>
      <c r="AC1749" s="46" t="n">
        <f aca="false">IF(AND(E1749&gt;0,B1749=10),1,0)</f>
        <v>0</v>
      </c>
      <c r="AD1749" s="0" t="str">
        <f aca="false">IF(AND(C1748=C1749,AA1748=AA1749-1),AB1748,"")</f>
        <v/>
      </c>
      <c r="AE1749" s="0" t="str">
        <f aca="false">IF(AND(C1748=C1749,AA1748=AA1749-1),AC1748,"")</f>
        <v/>
      </c>
      <c r="AF1749" s="0" t="str">
        <f aca="false">IF(AA1749=1,"",IF(AND(AB1749=1,AD1749&lt;&gt;1),1,0))</f>
        <v/>
      </c>
      <c r="AG1749" s="0" t="str">
        <f aca="false">IF(AA1749=1,"",IF(AND(AC1749=1,AE1749&lt;&gt;1),1,0))</f>
        <v/>
      </c>
      <c r="AH1749" s="51" t="str">
        <f aca="false">IF(AND(E1749&gt;0,AA1749&lt;1,NOT(AND(C1750=C1749,AA1750=AA1749+1))),INDEX(DATAS,AA1749+1),"")</f>
        <v/>
      </c>
      <c r="AI1749" s="51" t="str">
        <f aca="false">IF(AND(AC1749=1,AA1749&lt;1),IF(AND(C1750=C1749,AA1750=AA1749+1),IF(AC1750=1,"",INDEX(DATAS,AA1749+1)),INDEX(DATAS,AA1749+1)),"")</f>
        <v/>
      </c>
    </row>
    <row r="1750" customFormat="false" ht="15" hidden="false" customHeight="false" outlineLevel="0" collapsed="false">
      <c r="A1750" s="51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46" t="s">
        <v>1053</v>
      </c>
      <c r="G1750" s="0" t="n">
        <v>53.3</v>
      </c>
      <c r="H1750" s="0" t="n">
        <v>47</v>
      </c>
      <c r="I1750" s="46" t="s">
        <v>181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51" t="n">
        <v>46310</v>
      </c>
      <c r="X1750" s="46" t="n">
        <f aca="false">IF(I1750="Male",0,1)</f>
        <v>1</v>
      </c>
      <c r="Y1750" s="46" t="n">
        <f aca="false">IF(OR(I1750="DNB",I1750="Dry DNB"),1,0)</f>
        <v>0</v>
      </c>
      <c r="Z1750" s="46" t="n">
        <f aca="false">IF(ISNUMBER(W1750),A1750-W1750,"")</f>
        <v>-1</v>
      </c>
      <c r="AA1750" s="46" t="n">
        <f aca="false">MATCH(A1750,DATAS,0)</f>
        <v>1</v>
      </c>
      <c r="AB1750" s="46" t="n">
        <f aca="false">IF(AND(E1750&gt;0,OR(AND(B1750&gt;=1,B1750&lt;=6),B1750=10)),1,0)</f>
        <v>1</v>
      </c>
      <c r="AC1750" s="46" t="n">
        <f aca="false">IF(AND(E1750&gt;0,B1750=10),1,0)</f>
        <v>0</v>
      </c>
      <c r="AD1750" s="0" t="str">
        <f aca="false">IF(AND(C1749=C1750,AA1749=AA1750-1),AB1749,"")</f>
        <v/>
      </c>
      <c r="AE1750" s="0" t="str">
        <f aca="false">IF(AND(C1749=C1750,AA1749=AA1750-1),AC1749,"")</f>
        <v/>
      </c>
      <c r="AF1750" s="0" t="str">
        <f aca="false">IF(AA1750=1,"",IF(AND(AB1750=1,AD1750&lt;&gt;1),1,0))</f>
        <v/>
      </c>
      <c r="AG1750" s="0" t="str">
        <f aca="false">IF(AA1750=1,"",IF(AND(AC1750=1,AE1750&lt;&gt;1),1,0))</f>
        <v/>
      </c>
      <c r="AH1750" s="51" t="str">
        <f aca="false">IF(AND(E1750&gt;0,AA1750&lt;1,NOT(AND(C1751=C1750,AA1751=AA1750+1))),INDEX(DATAS,AA1750+1),"")</f>
        <v/>
      </c>
      <c r="AI1750" s="51" t="str">
        <f aca="false">IF(AND(AC1750=1,AA1750&lt;1),IF(AND(C1751=C1750,AA1751=AA1750+1),IF(AC1751=1,"",INDEX(DATAS,AA1750+1)),INDEX(DATAS,AA1750+1)),"")</f>
        <v/>
      </c>
    </row>
    <row r="1751" customFormat="false" ht="15" hidden="false" customHeight="false" outlineLevel="0" collapsed="false">
      <c r="A1751" s="51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46" t="s">
        <v>1053</v>
      </c>
      <c r="G1751" s="0" t="n">
        <v>55</v>
      </c>
      <c r="H1751" s="0" t="n">
        <v>54</v>
      </c>
      <c r="I1751" s="46" t="s">
        <v>181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51" t="n">
        <v>46305</v>
      </c>
      <c r="X1751" s="46" t="n">
        <f aca="false">IF(I1751="Male",0,1)</f>
        <v>1</v>
      </c>
      <c r="Y1751" s="46" t="n">
        <f aca="false">IF(OR(I1751="DNB",I1751="Dry DNB"),1,0)</f>
        <v>0</v>
      </c>
      <c r="Z1751" s="46" t="n">
        <f aca="false">IF(ISNUMBER(W1751),A1751-W1751,"")</f>
        <v>4</v>
      </c>
      <c r="AA1751" s="46" t="n">
        <f aca="false">MATCH(A1751,DATAS,0)</f>
        <v>1</v>
      </c>
      <c r="AB1751" s="46" t="n">
        <f aca="false">IF(AND(E1751&gt;0,OR(AND(B1751&gt;=1,B1751&lt;=6),B1751=10)),1,0)</f>
        <v>1</v>
      </c>
      <c r="AC1751" s="46" t="n">
        <f aca="false">IF(AND(E1751&gt;0,B1751=10),1,0)</f>
        <v>0</v>
      </c>
      <c r="AD1751" s="0" t="str">
        <f aca="false">IF(AND(C1750=C1751,AA1750=AA1751-1),AB1750,"")</f>
        <v/>
      </c>
      <c r="AE1751" s="0" t="str">
        <f aca="false">IF(AND(C1750=C1751,AA1750=AA1751-1),AC1750,"")</f>
        <v/>
      </c>
      <c r="AF1751" s="0" t="str">
        <f aca="false">IF(AA1751=1,"",IF(AND(AB1751=1,AD1751&lt;&gt;1),1,0))</f>
        <v/>
      </c>
      <c r="AG1751" s="0" t="str">
        <f aca="false">IF(AA1751=1,"",IF(AND(AC1751=1,AE1751&lt;&gt;1),1,0))</f>
        <v/>
      </c>
      <c r="AH1751" s="51" t="str">
        <f aca="false">IF(AND(E1751&gt;0,AA1751&lt;1,NOT(AND(C1752=C1751,AA1752=AA1751+1))),INDEX(DATAS,AA1751+1),"")</f>
        <v/>
      </c>
      <c r="AI1751" s="51" t="str">
        <f aca="false">IF(AND(AC1751=1,AA1751&lt;1),IF(AND(C1752=C1751,AA1752=AA1751+1),IF(AC1752=1,"",INDEX(DATAS,AA1751+1)),INDEX(DATAS,AA1751+1)),"")</f>
        <v/>
      </c>
    </row>
    <row r="1752" customFormat="false" ht="15" hidden="false" customHeight="false" outlineLevel="0" collapsed="false">
      <c r="A1752" s="51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46" t="s">
        <v>1053</v>
      </c>
      <c r="G1752" s="0" t="n">
        <v>47.8</v>
      </c>
      <c r="H1752" s="0" t="n">
        <v>46</v>
      </c>
      <c r="I1752" s="46" t="s">
        <v>181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51" t="n">
        <v>46303</v>
      </c>
      <c r="X1752" s="46" t="n">
        <f aca="false">IF(I1752="Male",0,1)</f>
        <v>1</v>
      </c>
      <c r="Y1752" s="46" t="n">
        <f aca="false">IF(OR(I1752="DNB",I1752="Dry DNB"),1,0)</f>
        <v>0</v>
      </c>
      <c r="Z1752" s="46" t="n">
        <f aca="false">IF(ISNUMBER(W1752),A1752-W1752,"")</f>
        <v>6</v>
      </c>
      <c r="AA1752" s="46" t="n">
        <f aca="false">MATCH(A1752,DATAS,0)</f>
        <v>1</v>
      </c>
      <c r="AB1752" s="46" t="n">
        <f aca="false">IF(AND(E1752&gt;0,OR(AND(B1752&gt;=1,B1752&lt;=6),B1752=10)),1,0)</f>
        <v>1</v>
      </c>
      <c r="AC1752" s="46" t="n">
        <f aca="false">IF(AND(E1752&gt;0,B1752=10),1,0)</f>
        <v>0</v>
      </c>
      <c r="AD1752" s="0" t="str">
        <f aca="false">IF(AND(C1751=C1752,AA1751=AA1752-1),AB1751,"")</f>
        <v/>
      </c>
      <c r="AE1752" s="0" t="str">
        <f aca="false">IF(AND(C1751=C1752,AA1751=AA1752-1),AC1751,"")</f>
        <v/>
      </c>
      <c r="AF1752" s="0" t="str">
        <f aca="false">IF(AA1752=1,"",IF(AND(AB1752=1,AD1752&lt;&gt;1),1,0))</f>
        <v/>
      </c>
      <c r="AG1752" s="0" t="str">
        <f aca="false">IF(AA1752=1,"",IF(AND(AC1752=1,AE1752&lt;&gt;1),1,0))</f>
        <v/>
      </c>
      <c r="AH1752" s="51" t="str">
        <f aca="false">IF(AND(E1752&gt;0,AA1752&lt;1,NOT(AND(C1753=C1752,AA1753=AA1752+1))),INDEX(DATAS,AA1752+1),"")</f>
        <v/>
      </c>
      <c r="AI1752" s="51" t="str">
        <f aca="false">IF(AND(AC1752=1,AA1752&lt;1),IF(AND(C1753=C1752,AA1753=AA1752+1),IF(AC1753=1,"",INDEX(DATAS,AA1752+1)),INDEX(DATAS,AA1752+1)),"")</f>
        <v/>
      </c>
    </row>
    <row r="1753" customFormat="false" ht="15" hidden="false" customHeight="false" outlineLevel="0" collapsed="false">
      <c r="A1753" s="51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46" t="s">
        <v>1054</v>
      </c>
      <c r="G1753" s="0" t="n">
        <v>42</v>
      </c>
      <c r="H1753" s="0" t="n">
        <v>38</v>
      </c>
      <c r="I1753" s="46" t="s">
        <v>161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X1753" s="46" t="n">
        <f aca="false">IF(I1753="Male",0,1)</f>
        <v>1</v>
      </c>
      <c r="Y1753" s="46" t="n">
        <f aca="false">IF(OR(I1753="DNB",I1753="Dry DNB"),1,0)</f>
        <v>0</v>
      </c>
      <c r="Z1753" s="0" t="str">
        <f aca="false">IF(ISNUMBER(W1753),A1753-W1753,"")</f>
        <v/>
      </c>
      <c r="AA1753" s="46" t="n">
        <f aca="false">MATCH(A1753,DATAS,0)</f>
        <v>1</v>
      </c>
      <c r="AB1753" s="46" t="n">
        <f aca="false">IF(AND(E1753&gt;0,OR(AND(B1753&gt;=1,B1753&lt;=6),B1753=10)),1,0)</f>
        <v>1</v>
      </c>
      <c r="AC1753" s="46" t="n">
        <f aca="false">IF(AND(E1753&gt;0,B1753=10),1,0)</f>
        <v>0</v>
      </c>
      <c r="AD1753" s="0" t="str">
        <f aca="false">IF(AND(C1752=C1753,AA1752=AA1753-1),AB1752,"")</f>
        <v/>
      </c>
      <c r="AE1753" s="0" t="str">
        <f aca="false">IF(AND(C1752=C1753,AA1752=AA1753-1),AC1752,"")</f>
        <v/>
      </c>
      <c r="AF1753" s="0" t="str">
        <f aca="false">IF(AA1753=1,"",IF(AND(AB1753=1,AD1753&lt;&gt;1),1,0))</f>
        <v/>
      </c>
      <c r="AG1753" s="0" t="str">
        <f aca="false">IF(AA1753=1,"",IF(AND(AC1753=1,AE1753&lt;&gt;1),1,0))</f>
        <v/>
      </c>
      <c r="AH1753" s="51" t="str">
        <f aca="false">IF(AND(E1753&gt;0,AA1753&lt;1,NOT(AND(C1754=C1753,AA1754=AA1753+1))),INDEX(DATAS,AA1753+1),"")</f>
        <v/>
      </c>
      <c r="AI1753" s="51" t="str">
        <f aca="false">IF(AND(AC1753=1,AA1753&lt;1),IF(AND(C1754=C1753,AA1754=AA1753+1),IF(AC1754=1,"",INDEX(DATAS,AA1753+1)),INDEX(DATAS,AA1753+1)),"")</f>
        <v/>
      </c>
    </row>
    <row r="1754" customFormat="false" ht="15" hidden="false" customHeight="false" outlineLevel="0" collapsed="false">
      <c r="A1754" s="51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46" t="s">
        <v>1054</v>
      </c>
      <c r="G1754" s="0" t="n">
        <v>34.3</v>
      </c>
      <c r="H1754" s="0" t="n">
        <v>37</v>
      </c>
      <c r="I1754" s="46" t="s">
        <v>161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X1754" s="46" t="n">
        <f aca="false">IF(I1754="Male",0,1)</f>
        <v>1</v>
      </c>
      <c r="Y1754" s="46" t="n">
        <f aca="false">IF(OR(I1754="DNB",I1754="Dry DNB"),1,0)</f>
        <v>0</v>
      </c>
      <c r="Z1754" s="0" t="str">
        <f aca="false">IF(ISNUMBER(W1754),A1754-W1754,"")</f>
        <v/>
      </c>
      <c r="AA1754" s="46" t="n">
        <f aca="false">MATCH(A1754,DATAS,0)</f>
        <v>1</v>
      </c>
      <c r="AB1754" s="46" t="n">
        <f aca="false">IF(AND(E1754&gt;0,OR(AND(B1754&gt;=1,B1754&lt;=6),B1754=10)),1,0)</f>
        <v>1</v>
      </c>
      <c r="AC1754" s="46" t="n">
        <f aca="false">IF(AND(E1754&gt;0,B1754=10),1,0)</f>
        <v>0</v>
      </c>
      <c r="AD1754" s="0" t="str">
        <f aca="false">IF(AND(C1753=C1754,AA1753=AA1754-1),AB1753,"")</f>
        <v/>
      </c>
      <c r="AE1754" s="0" t="str">
        <f aca="false">IF(AND(C1753=C1754,AA1753=AA1754-1),AC1753,"")</f>
        <v/>
      </c>
      <c r="AF1754" s="0" t="str">
        <f aca="false">IF(AA1754=1,"",IF(AND(AB1754=1,AD1754&lt;&gt;1),1,0))</f>
        <v/>
      </c>
      <c r="AG1754" s="0" t="str">
        <f aca="false">IF(AA1754=1,"",IF(AND(AC1754=1,AE1754&lt;&gt;1),1,0))</f>
        <v/>
      </c>
      <c r="AH1754" s="51" t="str">
        <f aca="false">IF(AND(E1754&gt;0,AA1754&lt;1,NOT(AND(C1755=C1754,AA1755=AA1754+1))),INDEX(DATAS,AA1754+1),"")</f>
        <v/>
      </c>
      <c r="AI1754" s="51" t="str">
        <f aca="false">IF(AND(AC1754=1,AA1754&lt;1),IF(AND(C1755=C1754,AA1755=AA1754+1),IF(AC1755=1,"",INDEX(DATAS,AA1754+1)),INDEX(DATAS,AA1754+1)),"")</f>
        <v/>
      </c>
    </row>
    <row r="1755" customFormat="false" ht="15" hidden="false" customHeight="false" outlineLevel="0" collapsed="false">
      <c r="A1755" s="51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46" t="s">
        <v>1054</v>
      </c>
      <c r="I1755" s="46" t="s">
        <v>161</v>
      </c>
      <c r="J1755" s="0" t="n">
        <v>46</v>
      </c>
      <c r="U1755" s="0" t="n">
        <v>740</v>
      </c>
      <c r="V1755" s="0" t="n">
        <v>0</v>
      </c>
      <c r="X1755" s="46" t="n">
        <f aca="false">IF(I1755="Male",0,1)</f>
        <v>1</v>
      </c>
      <c r="Y1755" s="46" t="n">
        <f aca="false">IF(OR(I1755="DNB",I1755="Dry DNB"),1,0)</f>
        <v>0</v>
      </c>
      <c r="Z1755" s="0" t="str">
        <f aca="false">IF(ISNUMBER(W1755),A1755-W1755,"")</f>
        <v/>
      </c>
      <c r="AA1755" s="46" t="n">
        <f aca="false">MATCH(A1755,DATAS,0)</f>
        <v>1</v>
      </c>
      <c r="AB1755" s="46" t="n">
        <f aca="false">IF(AND(E1755&gt;0,OR(AND(B1755&gt;=1,B1755&lt;=6),B1755=10)),1,0)</f>
        <v>1</v>
      </c>
      <c r="AC1755" s="46" t="n">
        <f aca="false">IF(AND(E1755&gt;0,B1755=10),1,0)</f>
        <v>0</v>
      </c>
      <c r="AD1755" s="0" t="str">
        <f aca="false">IF(AND(C1754=C1755,AA1754=AA1755-1),AB1754,"")</f>
        <v/>
      </c>
      <c r="AE1755" s="0" t="str">
        <f aca="false">IF(AND(C1754=C1755,AA1754=AA1755-1),AC1754,"")</f>
        <v/>
      </c>
      <c r="AF1755" s="0" t="str">
        <f aca="false">IF(AA1755=1,"",IF(AND(AB1755=1,AD1755&lt;&gt;1),1,0))</f>
        <v/>
      </c>
      <c r="AG1755" s="0" t="str">
        <f aca="false">IF(AA1755=1,"",IF(AND(AC1755=1,AE1755&lt;&gt;1),1,0))</f>
        <v/>
      </c>
      <c r="AH1755" s="51" t="str">
        <f aca="false">IF(AND(E1755&gt;0,AA1755&lt;1,NOT(AND(C1756=C1755,AA1756=AA1755+1))),INDEX(DATAS,AA1755+1),"")</f>
        <v/>
      </c>
      <c r="AI1755" s="51" t="str">
        <f aca="false">IF(AND(AC1755=1,AA1755&lt;1),IF(AND(C1756=C1755,AA1756=AA1755+1),IF(AC1756=1,"",INDEX(DATAS,AA1755+1)),INDEX(DATAS,AA1755+1)),"")</f>
        <v/>
      </c>
    </row>
    <row r="1756" customFormat="false" ht="15" hidden="false" customHeight="false" outlineLevel="0" collapsed="false">
      <c r="A1756" s="51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46" t="s">
        <v>1055</v>
      </c>
      <c r="G1756" s="0" t="n">
        <v>55.4</v>
      </c>
      <c r="H1756" s="0" t="n">
        <v>57</v>
      </c>
      <c r="I1756" s="46" t="s">
        <v>181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51" t="n">
        <v>46282</v>
      </c>
      <c r="X1756" s="46" t="n">
        <f aca="false">IF(I1756="Male",0,1)</f>
        <v>1</v>
      </c>
      <c r="Y1756" s="46" t="n">
        <f aca="false">IF(OR(I1756="DNB",I1756="Dry DNB"),1,0)</f>
        <v>0</v>
      </c>
      <c r="Z1756" s="46" t="n">
        <f aca="false">IF(ISNUMBER(W1756),A1756-W1756,"")</f>
        <v>27</v>
      </c>
      <c r="AA1756" s="46" t="n">
        <f aca="false">MATCH(A1756,DATAS,0)</f>
        <v>1</v>
      </c>
      <c r="AB1756" s="46" t="n">
        <f aca="false">IF(AND(E1756&gt;0,OR(AND(B1756&gt;=1,B1756&lt;=6),B1756=10)),1,0)</f>
        <v>1</v>
      </c>
      <c r="AC1756" s="46" t="n">
        <f aca="false">IF(AND(E1756&gt;0,B1756=10),1,0)</f>
        <v>0</v>
      </c>
      <c r="AD1756" s="0" t="str">
        <f aca="false">IF(AND(C1755=C1756,AA1755=AA1756-1),AB1755,"")</f>
        <v/>
      </c>
      <c r="AE1756" s="0" t="str">
        <f aca="false">IF(AND(C1755=C1756,AA1755=AA1756-1),AC1755,"")</f>
        <v/>
      </c>
      <c r="AF1756" s="0" t="str">
        <f aca="false">IF(AA1756=1,"",IF(AND(AB1756=1,AD1756&lt;&gt;1),1,0))</f>
        <v/>
      </c>
      <c r="AG1756" s="0" t="str">
        <f aca="false">IF(AA1756=1,"",IF(AND(AC1756=1,AE1756&lt;&gt;1),1,0))</f>
        <v/>
      </c>
      <c r="AH1756" s="51" t="str">
        <f aca="false">IF(AND(E1756&gt;0,AA1756&lt;1,NOT(AND(C1757=C1756,AA1757=AA1756+1))),INDEX(DATAS,AA1756+1),"")</f>
        <v/>
      </c>
      <c r="AI1756" s="51" t="str">
        <f aca="false">IF(AND(AC1756=1,AA1756&lt;1),IF(AND(C1757=C1756,AA1757=AA1756+1),IF(AC1757=1,"",INDEX(DATAS,AA1756+1)),INDEX(DATAS,AA1756+1)),"")</f>
        <v/>
      </c>
    </row>
    <row r="1757" customFormat="false" ht="15" hidden="false" customHeight="false" outlineLevel="0" collapsed="false">
      <c r="A1757" s="51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46" t="s">
        <v>1056</v>
      </c>
      <c r="G1757" s="0" t="n">
        <v>39.1</v>
      </c>
      <c r="H1757" s="0" t="n">
        <v>42</v>
      </c>
      <c r="I1757" s="46" t="s">
        <v>181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51" t="n">
        <v>46310</v>
      </c>
      <c r="X1757" s="46" t="n">
        <f aca="false">IF(I1757="Male",0,1)</f>
        <v>1</v>
      </c>
      <c r="Y1757" s="46" t="n">
        <f aca="false">IF(OR(I1757="DNB",I1757="Dry DNB"),1,0)</f>
        <v>0</v>
      </c>
      <c r="Z1757" s="46" t="n">
        <f aca="false">IF(ISNUMBER(W1757),A1757-W1757,"")</f>
        <v>-1</v>
      </c>
      <c r="AA1757" s="46" t="n">
        <f aca="false">MATCH(A1757,DATAS,0)</f>
        <v>1</v>
      </c>
      <c r="AB1757" s="46" t="n">
        <f aca="false">IF(AND(E1757&gt;0,OR(AND(B1757&gt;=1,B1757&lt;=6),B1757=10)),1,0)</f>
        <v>1</v>
      </c>
      <c r="AC1757" s="46" t="n">
        <f aca="false">IF(AND(E1757&gt;0,B1757=10),1,0)</f>
        <v>0</v>
      </c>
      <c r="AD1757" s="0" t="str">
        <f aca="false">IF(AND(C1756=C1757,AA1756=AA1757-1),AB1756,"")</f>
        <v/>
      </c>
      <c r="AE1757" s="0" t="str">
        <f aca="false">IF(AND(C1756=C1757,AA1756=AA1757-1),AC1756,"")</f>
        <v/>
      </c>
      <c r="AF1757" s="0" t="str">
        <f aca="false">IF(AA1757=1,"",IF(AND(AB1757=1,AD1757&lt;&gt;1),1,0))</f>
        <v/>
      </c>
      <c r="AG1757" s="0" t="str">
        <f aca="false">IF(AA1757=1,"",IF(AND(AC1757=1,AE1757&lt;&gt;1),1,0))</f>
        <v/>
      </c>
      <c r="AH1757" s="51" t="str">
        <f aca="false">IF(AND(E1757&gt;0,AA1757&lt;1,NOT(AND(C1758=C1757,AA1758=AA1757+1))),INDEX(DATAS,AA1757+1),"")</f>
        <v/>
      </c>
      <c r="AI1757" s="51" t="str">
        <f aca="false">IF(AND(AC1757=1,AA1757&lt;1),IF(AND(C1758=C1757,AA1758=AA1757+1),IF(AC1758=1,"",INDEX(DATAS,AA1757+1)),INDEX(DATAS,AA1757+1)),"")</f>
        <v/>
      </c>
    </row>
    <row r="1758" customFormat="false" ht="15" hidden="false" customHeight="false" outlineLevel="0" collapsed="false">
      <c r="A1758" s="51" t="n">
        <v>46309</v>
      </c>
      <c r="B1758" s="0" t="n">
        <v>8</v>
      </c>
      <c r="C1758" s="0" t="n">
        <v>5942</v>
      </c>
      <c r="E1758" s="0" t="n">
        <v>0</v>
      </c>
      <c r="F1758" s="46" t="s">
        <v>1057</v>
      </c>
      <c r="I1758" s="46" t="s">
        <v>152</v>
      </c>
      <c r="L1758" s="0" t="n">
        <v>91</v>
      </c>
      <c r="U1758" s="0" t="n">
        <v>738</v>
      </c>
      <c r="V1758" s="0" t="n">
        <v>10</v>
      </c>
      <c r="W1758" s="51" t="n">
        <v>46219</v>
      </c>
      <c r="X1758" s="46" t="n">
        <f aca="false">IF(I1758="Male",0,1)</f>
        <v>1</v>
      </c>
      <c r="Y1758" s="46" t="n">
        <f aca="false">IF(OR(I1758="DNB",I1758="Dry DNB"),1,0)</f>
        <v>0</v>
      </c>
      <c r="Z1758" s="46" t="n">
        <f aca="false">IF(ISNUMBER(W1758),A1758-W1758,"")</f>
        <v>90</v>
      </c>
      <c r="AA1758" s="46" t="n">
        <f aca="false">MATCH(A1758,DATAS,0)</f>
        <v>1</v>
      </c>
      <c r="AB1758" s="46" t="n">
        <f aca="false">IF(AND(E1758&gt;0,OR(AND(B1758&gt;=1,B1758&lt;=6),B1758=10)),1,0)</f>
        <v>0</v>
      </c>
      <c r="AC1758" s="46" t="n">
        <f aca="false">IF(AND(E1758&gt;0,B1758=10),1,0)</f>
        <v>0</v>
      </c>
      <c r="AD1758" s="0" t="str">
        <f aca="false">IF(AND(C1757=C1758,AA1757=AA1758-1),AB1757,"")</f>
        <v/>
      </c>
      <c r="AE1758" s="0" t="str">
        <f aca="false">IF(AND(C1757=C1758,AA1757=AA1758-1),AC1757,"")</f>
        <v/>
      </c>
      <c r="AF1758" s="0" t="str">
        <f aca="false">IF(AA1758=1,"",IF(AND(AB1758=1,AD1758&lt;&gt;1),1,0))</f>
        <v/>
      </c>
      <c r="AG1758" s="0" t="str">
        <f aca="false">IF(AA1758=1,"",IF(AND(AC1758=1,AE1758&lt;&gt;1),1,0))</f>
        <v/>
      </c>
      <c r="AH1758" s="51" t="str">
        <f aca="false">IF(AND(E1758&gt;0,AA1758&lt;1,NOT(AND(C1759=C1758,AA1759=AA1758+1))),INDEX(DATAS,AA1758+1),"")</f>
        <v/>
      </c>
      <c r="AI1758" s="51" t="str">
        <f aca="false">IF(AND(AC1758=1,AA1758&lt;1),IF(AND(C1759=C1758,AA1759=AA1758+1),IF(AC1759=1,"",INDEX(DATAS,AA1758+1)),INDEX(DATAS,AA1758+1)),"")</f>
        <v/>
      </c>
    </row>
    <row r="1759" customFormat="false" ht="15" hidden="false" customHeight="false" outlineLevel="0" collapsed="false">
      <c r="A1759" s="51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46" t="s">
        <v>1057</v>
      </c>
      <c r="G1759" s="0" t="n">
        <v>53.7</v>
      </c>
      <c r="H1759" s="0" t="n">
        <v>57</v>
      </c>
      <c r="I1759" s="46" t="s">
        <v>189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51" t="n">
        <v>46276</v>
      </c>
      <c r="X1759" s="46" t="n">
        <f aca="false">IF(I1759="Male",0,1)</f>
        <v>1</v>
      </c>
      <c r="Y1759" s="46" t="n">
        <f aca="false">IF(OR(I1759="DNB",I1759="Dry DNB"),1,0)</f>
        <v>0</v>
      </c>
      <c r="Z1759" s="46" t="n">
        <f aca="false">IF(ISNUMBER(W1759),A1759-W1759,"")</f>
        <v>33</v>
      </c>
      <c r="AA1759" s="46" t="n">
        <f aca="false">MATCH(A1759,DATAS,0)</f>
        <v>1</v>
      </c>
      <c r="AB1759" s="46" t="n">
        <f aca="false">IF(AND(E1759&gt;0,OR(AND(B1759&gt;=1,B1759&lt;=6),B1759=10)),1,0)</f>
        <v>1</v>
      </c>
      <c r="AC1759" s="46" t="n">
        <f aca="false">IF(AND(E1759&gt;0,B1759=10),1,0)</f>
        <v>0</v>
      </c>
      <c r="AD1759" s="0" t="str">
        <f aca="false">IF(AND(C1758=C1759,AA1758=AA1759-1),AB1758,"")</f>
        <v/>
      </c>
      <c r="AE1759" s="0" t="str">
        <f aca="false">IF(AND(C1758=C1759,AA1758=AA1759-1),AC1758,"")</f>
        <v/>
      </c>
      <c r="AF1759" s="0" t="str">
        <f aca="false">IF(AA1759=1,"",IF(AND(AB1759=1,AD1759&lt;&gt;1),1,0))</f>
        <v/>
      </c>
      <c r="AG1759" s="0" t="str">
        <f aca="false">IF(AA1759=1,"",IF(AND(AC1759=1,AE1759&lt;&gt;1),1,0))</f>
        <v/>
      </c>
      <c r="AH1759" s="51" t="str">
        <f aca="false">IF(AND(E1759&gt;0,AA1759&lt;1,NOT(AND(C1760=C1759,AA1760=AA1759+1))),INDEX(DATAS,AA1759+1),"")</f>
        <v/>
      </c>
      <c r="AI1759" s="51" t="str">
        <f aca="false">IF(AND(AC1759=1,AA1759&lt;1),IF(AND(C1760=C1759,AA1760=AA1759+1),IF(AC1760=1,"",INDEX(DATAS,AA1759+1)),INDEX(DATAS,AA1759+1)),"")</f>
        <v/>
      </c>
    </row>
    <row r="1760" customFormat="false" ht="15" hidden="false" customHeight="false" outlineLevel="0" collapsed="false">
      <c r="A1760" s="51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46" t="s">
        <v>1057</v>
      </c>
      <c r="G1760" s="0" t="n">
        <v>43.2</v>
      </c>
      <c r="H1760" s="0" t="n">
        <v>45</v>
      </c>
      <c r="I1760" s="46" t="s">
        <v>161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X1760" s="46" t="n">
        <f aca="false">IF(I1760="Male",0,1)</f>
        <v>1</v>
      </c>
      <c r="Y1760" s="46" t="n">
        <f aca="false">IF(OR(I1760="DNB",I1760="Dry DNB"),1,0)</f>
        <v>0</v>
      </c>
      <c r="Z1760" s="0" t="str">
        <f aca="false">IF(ISNUMBER(W1760),A1760-W1760,"")</f>
        <v/>
      </c>
      <c r="AA1760" s="46" t="n">
        <f aca="false">MATCH(A1760,DATAS,0)</f>
        <v>1</v>
      </c>
      <c r="AB1760" s="46" t="n">
        <f aca="false">IF(AND(E1760&gt;0,OR(AND(B1760&gt;=1,B1760&lt;=6),B1760=10)),1,0)</f>
        <v>1</v>
      </c>
      <c r="AC1760" s="46" t="n">
        <f aca="false">IF(AND(E1760&gt;0,B1760=10),1,0)</f>
        <v>0</v>
      </c>
      <c r="AD1760" s="0" t="str">
        <f aca="false">IF(AND(C1759=C1760,AA1759=AA1760-1),AB1759,"")</f>
        <v/>
      </c>
      <c r="AE1760" s="0" t="str">
        <f aca="false">IF(AND(C1759=C1760,AA1759=AA1760-1),AC1759,"")</f>
        <v/>
      </c>
      <c r="AF1760" s="0" t="str">
        <f aca="false">IF(AA1760=1,"",IF(AND(AB1760=1,AD1760&lt;&gt;1),1,0))</f>
        <v/>
      </c>
      <c r="AG1760" s="0" t="str">
        <f aca="false">IF(AA1760=1,"",IF(AND(AC1760=1,AE1760&lt;&gt;1),1,0))</f>
        <v/>
      </c>
      <c r="AH1760" s="51" t="str">
        <f aca="false">IF(AND(E1760&gt;0,AA1760&lt;1,NOT(AND(C1761=C1760,AA1761=AA1760+1))),INDEX(DATAS,AA1760+1),"")</f>
        <v/>
      </c>
      <c r="AI1760" s="51" t="str">
        <f aca="false">IF(AND(AC1760=1,AA1760&lt;1),IF(AND(C1761=C1760,AA1761=AA1760+1),IF(AC1761=1,"",INDEX(DATAS,AA1760+1)),INDEX(DATAS,AA1760+1)),"")</f>
        <v/>
      </c>
    </row>
    <row r="1761" customFormat="false" ht="15" hidden="false" customHeight="false" outlineLevel="0" collapsed="false">
      <c r="A1761" s="51" t="n">
        <v>46309</v>
      </c>
      <c r="B1761" s="0" t="n">
        <v>9</v>
      </c>
      <c r="C1761" s="0" t="n">
        <v>5945</v>
      </c>
      <c r="E1761" s="0" t="n">
        <v>0</v>
      </c>
      <c r="F1761" s="46" t="s">
        <v>1058</v>
      </c>
      <c r="I1761" s="46" t="s">
        <v>152</v>
      </c>
      <c r="L1761" s="0" t="n">
        <v>258</v>
      </c>
      <c r="U1761" s="0" t="n">
        <v>737</v>
      </c>
      <c r="V1761" s="0" t="n">
        <v>4</v>
      </c>
      <c r="W1761" s="51" t="n">
        <v>46052</v>
      </c>
      <c r="X1761" s="46" t="n">
        <f aca="false">IF(I1761="Male",0,1)</f>
        <v>1</v>
      </c>
      <c r="Y1761" s="46" t="n">
        <f aca="false">IF(OR(I1761="DNB",I1761="Dry DNB"),1,0)</f>
        <v>0</v>
      </c>
      <c r="Z1761" s="46" t="n">
        <f aca="false">IF(ISNUMBER(W1761),A1761-W1761,"")</f>
        <v>257</v>
      </c>
      <c r="AA1761" s="46" t="n">
        <f aca="false">MATCH(A1761,DATAS,0)</f>
        <v>1</v>
      </c>
      <c r="AB1761" s="46" t="n">
        <f aca="false">IF(AND(E1761&gt;0,OR(AND(B1761&gt;=1,B1761&lt;=6),B1761=10)),1,0)</f>
        <v>0</v>
      </c>
      <c r="AC1761" s="46" t="n">
        <f aca="false">IF(AND(E1761&gt;0,B1761=10),1,0)</f>
        <v>0</v>
      </c>
      <c r="AD1761" s="0" t="str">
        <f aca="false">IF(AND(C1760=C1761,AA1760=AA1761-1),AB1760,"")</f>
        <v/>
      </c>
      <c r="AE1761" s="0" t="str">
        <f aca="false">IF(AND(C1760=C1761,AA1760=AA1761-1),AC1760,"")</f>
        <v/>
      </c>
      <c r="AF1761" s="0" t="str">
        <f aca="false">IF(AA1761=1,"",IF(AND(AB1761=1,AD1761&lt;&gt;1),1,0))</f>
        <v/>
      </c>
      <c r="AG1761" s="0" t="str">
        <f aca="false">IF(AA1761=1,"",IF(AND(AC1761=1,AE1761&lt;&gt;1),1,0))</f>
        <v/>
      </c>
      <c r="AH1761" s="51" t="str">
        <f aca="false">IF(AND(E1761&gt;0,AA1761&lt;1,NOT(AND(C1762=C1761,AA1762=AA1761+1))),INDEX(DATAS,AA1761+1),"")</f>
        <v/>
      </c>
      <c r="AI1761" s="51" t="str">
        <f aca="false">IF(AND(AC1761=1,AA1761&lt;1),IF(AND(C1762=C1761,AA1762=AA1761+1),IF(AC1762=1,"",INDEX(DATAS,AA1761+1)),INDEX(DATAS,AA1761+1)),"")</f>
        <v/>
      </c>
    </row>
    <row r="1762" customFormat="false" ht="15" hidden="false" customHeight="false" outlineLevel="0" collapsed="false">
      <c r="A1762" s="51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46" t="s">
        <v>1058</v>
      </c>
      <c r="G1762" s="0" t="n">
        <v>37.5</v>
      </c>
      <c r="H1762" s="0" t="n">
        <v>45</v>
      </c>
      <c r="I1762" s="46" t="s">
        <v>181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51" t="n">
        <v>46310</v>
      </c>
      <c r="X1762" s="46" t="n">
        <f aca="false">IF(I1762="Male",0,1)</f>
        <v>1</v>
      </c>
      <c r="Y1762" s="46" t="n">
        <f aca="false">IF(OR(I1762="DNB",I1762="Dry DNB"),1,0)</f>
        <v>0</v>
      </c>
      <c r="Z1762" s="46" t="n">
        <f aca="false">IF(ISNUMBER(W1762),A1762-W1762,"")</f>
        <v>-1</v>
      </c>
      <c r="AA1762" s="46" t="n">
        <f aca="false">MATCH(A1762,DATAS,0)</f>
        <v>1</v>
      </c>
      <c r="AB1762" s="46" t="n">
        <f aca="false">IF(AND(E1762&gt;0,OR(AND(B1762&gt;=1,B1762&lt;=6),B1762=10)),1,0)</f>
        <v>1</v>
      </c>
      <c r="AC1762" s="46" t="n">
        <f aca="false">IF(AND(E1762&gt;0,B1762=10),1,0)</f>
        <v>0</v>
      </c>
      <c r="AD1762" s="0" t="str">
        <f aca="false">IF(AND(C1761=C1762,AA1761=AA1762-1),AB1761,"")</f>
        <v/>
      </c>
      <c r="AE1762" s="0" t="str">
        <f aca="false">IF(AND(C1761=C1762,AA1761=AA1762-1),AC1761,"")</f>
        <v/>
      </c>
      <c r="AF1762" s="0" t="str">
        <f aca="false">IF(AA1762=1,"",IF(AND(AB1762=1,AD1762&lt;&gt;1),1,0))</f>
        <v/>
      </c>
      <c r="AG1762" s="0" t="str">
        <f aca="false">IF(AA1762=1,"",IF(AND(AC1762=1,AE1762&lt;&gt;1),1,0))</f>
        <v/>
      </c>
      <c r="AH1762" s="51" t="str">
        <f aca="false">IF(AND(E1762&gt;0,AA1762&lt;1,NOT(AND(C1763=C1762,AA1763=AA1762+1))),INDEX(DATAS,AA1762+1),"")</f>
        <v/>
      </c>
      <c r="AI1762" s="51" t="str">
        <f aca="false">IF(AND(AC1762=1,AA1762&lt;1),IF(AND(C1763=C1762,AA1763=AA1762+1),IF(AC1763=1,"",INDEX(DATAS,AA1762+1)),INDEX(DATAS,AA1762+1)),"")</f>
        <v/>
      </c>
    </row>
    <row r="1763" customFormat="false" ht="15" hidden="false" customHeight="false" outlineLevel="0" collapsed="false">
      <c r="A1763" s="51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46" t="s">
        <v>1058</v>
      </c>
      <c r="G1763" s="0" t="n">
        <v>39.9</v>
      </c>
      <c r="H1763" s="0" t="n">
        <v>38</v>
      </c>
      <c r="I1763" s="46" t="s">
        <v>189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51" t="n">
        <v>46275</v>
      </c>
      <c r="X1763" s="46" t="n">
        <f aca="false">IF(I1763="Male",0,1)</f>
        <v>1</v>
      </c>
      <c r="Y1763" s="46" t="n">
        <f aca="false">IF(OR(I1763="DNB",I1763="Dry DNB"),1,0)</f>
        <v>0</v>
      </c>
      <c r="Z1763" s="46" t="n">
        <f aca="false">IF(ISNUMBER(W1763),A1763-W1763,"")</f>
        <v>34</v>
      </c>
      <c r="AA1763" s="46" t="n">
        <f aca="false">MATCH(A1763,DATAS,0)</f>
        <v>1</v>
      </c>
      <c r="AB1763" s="46" t="n">
        <f aca="false">IF(AND(E1763&gt;0,OR(AND(B1763&gt;=1,B1763&lt;=6),B1763=10)),1,0)</f>
        <v>1</v>
      </c>
      <c r="AC1763" s="46" t="n">
        <f aca="false">IF(AND(E1763&gt;0,B1763=10),1,0)</f>
        <v>0</v>
      </c>
      <c r="AD1763" s="0" t="str">
        <f aca="false">IF(AND(C1762=C1763,AA1762=AA1763-1),AB1762,"")</f>
        <v/>
      </c>
      <c r="AE1763" s="0" t="str">
        <f aca="false">IF(AND(C1762=C1763,AA1762=AA1763-1),AC1762,"")</f>
        <v/>
      </c>
      <c r="AF1763" s="0" t="str">
        <f aca="false">IF(AA1763=1,"",IF(AND(AB1763=1,AD1763&lt;&gt;1),1,0))</f>
        <v/>
      </c>
      <c r="AG1763" s="0" t="str">
        <f aca="false">IF(AA1763=1,"",IF(AND(AC1763=1,AE1763&lt;&gt;1),1,0))</f>
        <v/>
      </c>
      <c r="AH1763" s="51" t="str">
        <f aca="false">IF(AND(E1763&gt;0,AA1763&lt;1,NOT(AND(C1764=C1763,AA1764=AA1763+1))),INDEX(DATAS,AA1763+1),"")</f>
        <v/>
      </c>
      <c r="AI1763" s="51" t="str">
        <f aca="false">IF(AND(AC1763=1,AA1763&lt;1),IF(AND(C1764=C1763,AA1764=AA1763+1),IF(AC1764=1,"",INDEX(DATAS,AA1763+1)),INDEX(DATAS,AA1763+1)),"")</f>
        <v/>
      </c>
    </row>
    <row r="1764" customFormat="false" ht="15" hidden="false" customHeight="false" outlineLevel="0" collapsed="false">
      <c r="A1764" s="51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46" t="s">
        <v>1058</v>
      </c>
      <c r="G1764" s="0" t="n">
        <v>33.4</v>
      </c>
      <c r="H1764" s="0" t="n">
        <v>39</v>
      </c>
      <c r="I1764" s="46" t="s">
        <v>181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51" t="n">
        <v>46303</v>
      </c>
      <c r="X1764" s="46" t="n">
        <f aca="false">IF(I1764="Male",0,1)</f>
        <v>1</v>
      </c>
      <c r="Y1764" s="46" t="n">
        <f aca="false">IF(OR(I1764="DNB",I1764="Dry DNB"),1,0)</f>
        <v>0</v>
      </c>
      <c r="Z1764" s="46" t="n">
        <f aca="false">IF(ISNUMBER(W1764),A1764-W1764,"")</f>
        <v>6</v>
      </c>
      <c r="AA1764" s="46" t="n">
        <f aca="false">MATCH(A1764,DATAS,0)</f>
        <v>1</v>
      </c>
      <c r="AB1764" s="46" t="n">
        <f aca="false">IF(AND(E1764&gt;0,OR(AND(B1764&gt;=1,B1764&lt;=6),B1764=10)),1,0)</f>
        <v>1</v>
      </c>
      <c r="AC1764" s="46" t="n">
        <f aca="false">IF(AND(E1764&gt;0,B1764=10),1,0)</f>
        <v>0</v>
      </c>
      <c r="AD1764" s="0" t="str">
        <f aca="false">IF(AND(C1763=C1764,AA1763=AA1764-1),AB1763,"")</f>
        <v/>
      </c>
      <c r="AE1764" s="0" t="str">
        <f aca="false">IF(AND(C1763=C1764,AA1763=AA1764-1),AC1763,"")</f>
        <v/>
      </c>
      <c r="AF1764" s="0" t="str">
        <f aca="false">IF(AA1764=1,"",IF(AND(AB1764=1,AD1764&lt;&gt;1),1,0))</f>
        <v/>
      </c>
      <c r="AG1764" s="0" t="str">
        <f aca="false">IF(AA1764=1,"",IF(AND(AC1764=1,AE1764&lt;&gt;1),1,0))</f>
        <v/>
      </c>
      <c r="AH1764" s="51" t="str">
        <f aca="false">IF(AND(E1764&gt;0,AA1764&lt;1,NOT(AND(C1765=C1764,AA1765=AA1764+1))),INDEX(DATAS,AA1764+1),"")</f>
        <v/>
      </c>
      <c r="AI1764" s="51" t="str">
        <f aca="false">IF(AND(AC1764=1,AA1764&lt;1),IF(AND(C1765=C1764,AA1765=AA1764+1),IF(AC1765=1,"",INDEX(DATAS,AA1764+1)),INDEX(DATAS,AA1764+1)),"")</f>
        <v/>
      </c>
    </row>
    <row r="1765" customFormat="false" ht="15" hidden="false" customHeight="false" outlineLevel="0" collapsed="false">
      <c r="A1765" s="51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46" t="s">
        <v>1058</v>
      </c>
      <c r="I1765" s="46" t="s">
        <v>161</v>
      </c>
      <c r="J1765" s="0" t="n">
        <v>1</v>
      </c>
      <c r="U1765" s="0" t="n">
        <v>737</v>
      </c>
      <c r="V1765" s="0" t="n">
        <v>0</v>
      </c>
      <c r="X1765" s="46" t="n">
        <f aca="false">IF(I1765="Male",0,1)</f>
        <v>1</v>
      </c>
      <c r="Y1765" s="46" t="n">
        <f aca="false">IF(OR(I1765="DNB",I1765="Dry DNB"),1,0)</f>
        <v>0</v>
      </c>
      <c r="Z1765" s="0" t="str">
        <f aca="false">IF(ISNUMBER(W1765),A1765-W1765,"")</f>
        <v/>
      </c>
      <c r="AA1765" s="46" t="n">
        <f aca="false">MATCH(A1765,DATAS,0)</f>
        <v>1</v>
      </c>
      <c r="AB1765" s="46" t="n">
        <f aca="false">IF(AND(E1765&gt;0,OR(AND(B1765&gt;=1,B1765&lt;=6),B1765=10)),1,0)</f>
        <v>1</v>
      </c>
      <c r="AC1765" s="46" t="n">
        <f aca="false">IF(AND(E1765&gt;0,B1765=10),1,0)</f>
        <v>0</v>
      </c>
      <c r="AD1765" s="0" t="str">
        <f aca="false">IF(AND(C1764=C1765,AA1764=AA1765-1),AB1764,"")</f>
        <v/>
      </c>
      <c r="AE1765" s="0" t="str">
        <f aca="false">IF(AND(C1764=C1765,AA1764=AA1765-1),AC1764,"")</f>
        <v/>
      </c>
      <c r="AF1765" s="0" t="str">
        <f aca="false">IF(AA1765=1,"",IF(AND(AB1765=1,AD1765&lt;&gt;1),1,0))</f>
        <v/>
      </c>
      <c r="AG1765" s="0" t="str">
        <f aca="false">IF(AA1765=1,"",IF(AND(AC1765=1,AE1765&lt;&gt;1),1,0))</f>
        <v/>
      </c>
      <c r="AH1765" s="51" t="str">
        <f aca="false">IF(AND(E1765&gt;0,AA1765&lt;1,NOT(AND(C1766=C1765,AA1766=AA1765+1))),INDEX(DATAS,AA1765+1),"")</f>
        <v/>
      </c>
      <c r="AI1765" s="51" t="str">
        <f aca="false">IF(AND(AC1765=1,AA1765&lt;1),IF(AND(C1766=C1765,AA1766=AA1765+1),IF(AC1766=1,"",INDEX(DATAS,AA1765+1)),INDEX(DATAS,AA1765+1)),"")</f>
        <v/>
      </c>
    </row>
    <row r="1766" customFormat="false" ht="15" hidden="false" customHeight="false" outlineLevel="0" collapsed="false">
      <c r="A1766" s="51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46" t="s">
        <v>1055</v>
      </c>
      <c r="G1766" s="0" t="n">
        <v>61.4</v>
      </c>
      <c r="H1766" s="0" t="n">
        <v>62</v>
      </c>
      <c r="I1766" s="46" t="s">
        <v>161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X1766" s="46" t="n">
        <f aca="false">IF(I1766="Male",0,1)</f>
        <v>1</v>
      </c>
      <c r="Y1766" s="46" t="n">
        <f aca="false">IF(OR(I1766="DNB",I1766="Dry DNB"),1,0)</f>
        <v>0</v>
      </c>
      <c r="Z1766" s="0" t="str">
        <f aca="false">IF(ISNUMBER(W1766),A1766-W1766,"")</f>
        <v/>
      </c>
      <c r="AA1766" s="46" t="n">
        <f aca="false">MATCH(A1766,DATAS,0)</f>
        <v>1</v>
      </c>
      <c r="AB1766" s="46" t="n">
        <f aca="false">IF(AND(E1766&gt;0,OR(AND(B1766&gt;=1,B1766&lt;=6),B1766=10)),1,0)</f>
        <v>1</v>
      </c>
      <c r="AC1766" s="46" t="n">
        <f aca="false">IF(AND(E1766&gt;0,B1766=10),1,0)</f>
        <v>0</v>
      </c>
      <c r="AD1766" s="0" t="str">
        <f aca="false">IF(AND(C1765=C1766,AA1765=AA1766-1),AB1765,"")</f>
        <v/>
      </c>
      <c r="AE1766" s="0" t="str">
        <f aca="false">IF(AND(C1765=C1766,AA1765=AA1766-1),AC1765,"")</f>
        <v/>
      </c>
      <c r="AF1766" s="0" t="str">
        <f aca="false">IF(AA1766=1,"",IF(AND(AB1766=1,AD1766&lt;&gt;1),1,0))</f>
        <v/>
      </c>
      <c r="AG1766" s="0" t="str">
        <f aca="false">IF(AA1766=1,"",IF(AND(AC1766=1,AE1766&lt;&gt;1),1,0))</f>
        <v/>
      </c>
      <c r="AH1766" s="51" t="str">
        <f aca="false">IF(AND(E1766&gt;0,AA1766&lt;1,NOT(AND(C1767=C1766,AA1767=AA1766+1))),INDEX(DATAS,AA1766+1),"")</f>
        <v/>
      </c>
      <c r="AI1766" s="51" t="str">
        <f aca="false">IF(AND(AC1766=1,AA1766&lt;1),IF(AND(C1767=C1766,AA1767=AA1766+1),IF(AC1767=1,"",INDEX(DATAS,AA1766+1)),INDEX(DATAS,AA1766+1)),"")</f>
        <v/>
      </c>
    </row>
    <row r="1767" customFormat="false" ht="15" hidden="false" customHeight="false" outlineLevel="0" collapsed="false">
      <c r="A1767" s="51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46" t="s">
        <v>1059</v>
      </c>
      <c r="G1767" s="0" t="n">
        <v>45.9</v>
      </c>
      <c r="H1767" s="0" t="n">
        <v>50</v>
      </c>
      <c r="I1767" s="46" t="s">
        <v>189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X1767" s="46" t="n">
        <f aca="false">IF(I1767="Male",0,1)</f>
        <v>1</v>
      </c>
      <c r="Y1767" s="46" t="n">
        <f aca="false">IF(OR(I1767="DNB",I1767="Dry DNB"),1,0)</f>
        <v>0</v>
      </c>
      <c r="Z1767" s="0" t="str">
        <f aca="false">IF(ISNUMBER(W1767),A1767-W1767,"")</f>
        <v/>
      </c>
      <c r="AA1767" s="46" t="n">
        <f aca="false">MATCH(A1767,DATAS,0)</f>
        <v>1</v>
      </c>
      <c r="AB1767" s="46" t="n">
        <f aca="false">IF(AND(E1767&gt;0,OR(AND(B1767&gt;=1,B1767&lt;=6),B1767=10)),1,0)</f>
        <v>1</v>
      </c>
      <c r="AC1767" s="46" t="n">
        <f aca="false">IF(AND(E1767&gt;0,B1767=10),1,0)</f>
        <v>0</v>
      </c>
      <c r="AD1767" s="0" t="str">
        <f aca="false">IF(AND(C1766=C1767,AA1766=AA1767-1),AB1766,"")</f>
        <v/>
      </c>
      <c r="AE1767" s="0" t="str">
        <f aca="false">IF(AND(C1766=C1767,AA1766=AA1767-1),AC1766,"")</f>
        <v/>
      </c>
      <c r="AF1767" s="0" t="str">
        <f aca="false">IF(AA1767=1,"",IF(AND(AB1767=1,AD1767&lt;&gt;1),1,0))</f>
        <v/>
      </c>
      <c r="AG1767" s="0" t="str">
        <f aca="false">IF(AA1767=1,"",IF(AND(AC1767=1,AE1767&lt;&gt;1),1,0))</f>
        <v/>
      </c>
      <c r="AH1767" s="51" t="str">
        <f aca="false">IF(AND(E1767&gt;0,AA1767&lt;1,NOT(AND(C1768=C1767,AA1768=AA1767+1))),INDEX(DATAS,AA1767+1),"")</f>
        <v/>
      </c>
      <c r="AI1767" s="51" t="str">
        <f aca="false">IF(AND(AC1767=1,AA1767&lt;1),IF(AND(C1768=C1767,AA1768=AA1767+1),IF(AC1768=1,"",INDEX(DATAS,AA1767+1)),INDEX(DATAS,AA1767+1)),"")</f>
        <v/>
      </c>
    </row>
    <row r="1768" customFormat="false" ht="15" hidden="false" customHeight="false" outlineLevel="0" collapsed="false">
      <c r="A1768" s="51" t="n">
        <v>46309</v>
      </c>
      <c r="B1768" s="0" t="n">
        <v>8</v>
      </c>
      <c r="C1768" s="0" t="n">
        <v>5956</v>
      </c>
      <c r="E1768" s="0" t="n">
        <v>0</v>
      </c>
      <c r="F1768" s="46" t="s">
        <v>1059</v>
      </c>
      <c r="I1768" s="46" t="s">
        <v>152</v>
      </c>
      <c r="L1768" s="0" t="n">
        <v>152</v>
      </c>
      <c r="U1768" s="0" t="n">
        <v>735</v>
      </c>
      <c r="V1768" s="0" t="n">
        <v>4</v>
      </c>
      <c r="W1768" s="51" t="n">
        <v>46158</v>
      </c>
      <c r="X1768" s="46" t="n">
        <f aca="false">IF(I1768="Male",0,1)</f>
        <v>1</v>
      </c>
      <c r="Y1768" s="46" t="n">
        <f aca="false">IF(OR(I1768="DNB",I1768="Dry DNB"),1,0)</f>
        <v>0</v>
      </c>
      <c r="Z1768" s="46" t="n">
        <f aca="false">IF(ISNUMBER(W1768),A1768-W1768,"")</f>
        <v>151</v>
      </c>
      <c r="AA1768" s="46" t="n">
        <f aca="false">MATCH(A1768,DATAS,0)</f>
        <v>1</v>
      </c>
      <c r="AB1768" s="46" t="n">
        <f aca="false">IF(AND(E1768&gt;0,OR(AND(B1768&gt;=1,B1768&lt;=6),B1768=10)),1,0)</f>
        <v>0</v>
      </c>
      <c r="AC1768" s="46" t="n">
        <f aca="false">IF(AND(E1768&gt;0,B1768=10),1,0)</f>
        <v>0</v>
      </c>
      <c r="AD1768" s="0" t="str">
        <f aca="false">IF(AND(C1767=C1768,AA1767=AA1768-1),AB1767,"")</f>
        <v/>
      </c>
      <c r="AE1768" s="0" t="str">
        <f aca="false">IF(AND(C1767=C1768,AA1767=AA1768-1),AC1767,"")</f>
        <v/>
      </c>
      <c r="AF1768" s="0" t="str">
        <f aca="false">IF(AA1768=1,"",IF(AND(AB1768=1,AD1768&lt;&gt;1),1,0))</f>
        <v/>
      </c>
      <c r="AG1768" s="0" t="str">
        <f aca="false">IF(AA1768=1,"",IF(AND(AC1768=1,AE1768&lt;&gt;1),1,0))</f>
        <v/>
      </c>
      <c r="AH1768" s="51" t="str">
        <f aca="false">IF(AND(E1768&gt;0,AA1768&lt;1,NOT(AND(C1769=C1768,AA1769=AA1768+1))),INDEX(DATAS,AA1768+1),"")</f>
        <v/>
      </c>
      <c r="AI1768" s="51" t="str">
        <f aca="false">IF(AND(AC1768=1,AA1768&lt;1),IF(AND(C1769=C1768,AA1769=AA1768+1),IF(AC1769=1,"",INDEX(DATAS,AA1768+1)),INDEX(DATAS,AA1768+1)),"")</f>
        <v/>
      </c>
    </row>
    <row r="1769" customFormat="false" ht="15" hidden="false" customHeight="false" outlineLevel="0" collapsed="false">
      <c r="A1769" s="51" t="n">
        <v>46309</v>
      </c>
      <c r="B1769" s="0" t="n">
        <v>13</v>
      </c>
      <c r="C1769" s="0" t="n">
        <v>5957</v>
      </c>
      <c r="E1769" s="0" t="n">
        <v>0</v>
      </c>
      <c r="F1769" s="46" t="s">
        <v>1059</v>
      </c>
      <c r="I1769" s="46" t="s">
        <v>189</v>
      </c>
      <c r="U1769" s="0" t="n">
        <v>735</v>
      </c>
      <c r="V1769" s="0" t="n">
        <v>0</v>
      </c>
      <c r="X1769" s="46" t="n">
        <f aca="false">IF(I1769="Male",0,1)</f>
        <v>1</v>
      </c>
      <c r="Y1769" s="46" t="n">
        <f aca="false">IF(OR(I1769="DNB",I1769="Dry DNB"),1,0)</f>
        <v>0</v>
      </c>
      <c r="Z1769" s="0" t="str">
        <f aca="false">IF(ISNUMBER(W1769),A1769-W1769,"")</f>
        <v/>
      </c>
      <c r="AA1769" s="46" t="n">
        <f aca="false">MATCH(A1769,DATAS,0)</f>
        <v>1</v>
      </c>
      <c r="AB1769" s="46" t="n">
        <f aca="false">IF(AND(E1769&gt;0,OR(AND(B1769&gt;=1,B1769&lt;=6),B1769=10)),1,0)</f>
        <v>0</v>
      </c>
      <c r="AC1769" s="46" t="n">
        <f aca="false">IF(AND(E1769&gt;0,B1769=10),1,0)</f>
        <v>0</v>
      </c>
      <c r="AD1769" s="0" t="str">
        <f aca="false">IF(AND(C1768=C1769,AA1768=AA1769-1),AB1768,"")</f>
        <v/>
      </c>
      <c r="AE1769" s="0" t="str">
        <f aca="false">IF(AND(C1768=C1769,AA1768=AA1769-1),AC1768,"")</f>
        <v/>
      </c>
      <c r="AF1769" s="0" t="str">
        <f aca="false">IF(AA1769=1,"",IF(AND(AB1769=1,AD1769&lt;&gt;1),1,0))</f>
        <v/>
      </c>
      <c r="AG1769" s="0" t="str">
        <f aca="false">IF(AA1769=1,"",IF(AND(AC1769=1,AE1769&lt;&gt;1),1,0))</f>
        <v/>
      </c>
      <c r="AH1769" s="51" t="str">
        <f aca="false">IF(AND(E1769&gt;0,AA1769&lt;1,NOT(AND(C1770=C1769,AA1770=AA1769+1))),INDEX(DATAS,AA1769+1),"")</f>
        <v/>
      </c>
      <c r="AI1769" s="51" t="str">
        <f aca="false">IF(AND(AC1769=1,AA1769&lt;1),IF(AND(C1770=C1769,AA1770=AA1769+1),IF(AC1770=1,"",INDEX(DATAS,AA1769+1)),INDEX(DATAS,AA1769+1)),"")</f>
        <v/>
      </c>
    </row>
    <row r="1770" customFormat="false" ht="15" hidden="false" customHeight="false" outlineLevel="0" collapsed="false">
      <c r="A1770" s="51" t="n">
        <v>46309</v>
      </c>
      <c r="B1770" s="0" t="n">
        <v>8</v>
      </c>
      <c r="C1770" s="0" t="n">
        <v>5958</v>
      </c>
      <c r="E1770" s="0" t="n">
        <v>0</v>
      </c>
      <c r="F1770" s="46" t="s">
        <v>1059</v>
      </c>
      <c r="I1770" s="46" t="s">
        <v>152</v>
      </c>
      <c r="L1770" s="0" t="n">
        <v>63</v>
      </c>
      <c r="U1770" s="0" t="n">
        <v>735</v>
      </c>
      <c r="V1770" s="0" t="n">
        <v>12</v>
      </c>
      <c r="W1770" s="51" t="n">
        <v>46247</v>
      </c>
      <c r="X1770" s="46" t="n">
        <f aca="false">IF(I1770="Male",0,1)</f>
        <v>1</v>
      </c>
      <c r="Y1770" s="46" t="n">
        <f aca="false">IF(OR(I1770="DNB",I1770="Dry DNB"),1,0)</f>
        <v>0</v>
      </c>
      <c r="Z1770" s="46" t="n">
        <f aca="false">IF(ISNUMBER(W1770),A1770-W1770,"")</f>
        <v>62</v>
      </c>
      <c r="AA1770" s="46" t="n">
        <f aca="false">MATCH(A1770,DATAS,0)</f>
        <v>1</v>
      </c>
      <c r="AB1770" s="46" t="n">
        <f aca="false">IF(AND(E1770&gt;0,OR(AND(B1770&gt;=1,B1770&lt;=6),B1770=10)),1,0)</f>
        <v>0</v>
      </c>
      <c r="AC1770" s="46" t="n">
        <f aca="false">IF(AND(E1770&gt;0,B1770=10),1,0)</f>
        <v>0</v>
      </c>
      <c r="AD1770" s="0" t="str">
        <f aca="false">IF(AND(C1769=C1770,AA1769=AA1770-1),AB1769,"")</f>
        <v/>
      </c>
      <c r="AE1770" s="0" t="str">
        <f aca="false">IF(AND(C1769=C1770,AA1769=AA1770-1),AC1769,"")</f>
        <v/>
      </c>
      <c r="AF1770" s="0" t="str">
        <f aca="false">IF(AA1770=1,"",IF(AND(AB1770=1,AD1770&lt;&gt;1),1,0))</f>
        <v/>
      </c>
      <c r="AG1770" s="0" t="str">
        <f aca="false">IF(AA1770=1,"",IF(AND(AC1770=1,AE1770&lt;&gt;1),1,0))</f>
        <v/>
      </c>
      <c r="AH1770" s="51" t="str">
        <f aca="false">IF(AND(E1770&gt;0,AA1770&lt;1,NOT(AND(C1771=C1770,AA1771=AA1770+1))),INDEX(DATAS,AA1770+1),"")</f>
        <v/>
      </c>
      <c r="AI1770" s="51" t="str">
        <f aca="false">IF(AND(AC1770=1,AA1770&lt;1),IF(AND(C1771=C1770,AA1771=AA1770+1),IF(AC1771=1,"",INDEX(DATAS,AA1770+1)),INDEX(DATAS,AA1770+1)),"")</f>
        <v/>
      </c>
    </row>
    <row r="1771" customFormat="false" ht="15" hidden="false" customHeight="false" outlineLevel="0" collapsed="false">
      <c r="A1771" s="51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46" t="s">
        <v>1059</v>
      </c>
      <c r="G1771" s="0" t="n">
        <v>56.7</v>
      </c>
      <c r="H1771" s="0" t="n">
        <v>57</v>
      </c>
      <c r="I1771" s="46" t="s">
        <v>181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51" t="n">
        <v>46307</v>
      </c>
      <c r="X1771" s="46" t="n">
        <f aca="false">IF(I1771="Male",0,1)</f>
        <v>1</v>
      </c>
      <c r="Y1771" s="46" t="n">
        <f aca="false">IF(OR(I1771="DNB",I1771="Dry DNB"),1,0)</f>
        <v>0</v>
      </c>
      <c r="Z1771" s="46" t="n">
        <f aca="false">IF(ISNUMBER(W1771),A1771-W1771,"")</f>
        <v>2</v>
      </c>
      <c r="AA1771" s="46" t="n">
        <f aca="false">MATCH(A1771,DATAS,0)</f>
        <v>1</v>
      </c>
      <c r="AB1771" s="46" t="n">
        <f aca="false">IF(AND(E1771&gt;0,OR(AND(B1771&gt;=1,B1771&lt;=6),B1771=10)),1,0)</f>
        <v>1</v>
      </c>
      <c r="AC1771" s="46" t="n">
        <f aca="false">IF(AND(E1771&gt;0,B1771=10),1,0)</f>
        <v>0</v>
      </c>
      <c r="AD1771" s="0" t="str">
        <f aca="false">IF(AND(C1770=C1771,AA1770=AA1771-1),AB1770,"")</f>
        <v/>
      </c>
      <c r="AE1771" s="0" t="str">
        <f aca="false">IF(AND(C1770=C1771,AA1770=AA1771-1),AC1770,"")</f>
        <v/>
      </c>
      <c r="AF1771" s="0" t="str">
        <f aca="false">IF(AA1771=1,"",IF(AND(AB1771=1,AD1771&lt;&gt;1),1,0))</f>
        <v/>
      </c>
      <c r="AG1771" s="0" t="str">
        <f aca="false">IF(AA1771=1,"",IF(AND(AC1771=1,AE1771&lt;&gt;1),1,0))</f>
        <v/>
      </c>
      <c r="AH1771" s="51" t="str">
        <f aca="false">IF(AND(E1771&gt;0,AA1771&lt;1,NOT(AND(C1772=C1771,AA1772=AA1771+1))),INDEX(DATAS,AA1771+1),"")</f>
        <v/>
      </c>
      <c r="AI1771" s="51" t="str">
        <f aca="false">IF(AND(AC1771=1,AA1771&lt;1),IF(AND(C1772=C1771,AA1772=AA1771+1),IF(AC1772=1,"",INDEX(DATAS,AA1771+1)),INDEX(DATAS,AA1771+1)),"")</f>
        <v/>
      </c>
    </row>
    <row r="1772" customFormat="false" ht="15" hidden="false" customHeight="false" outlineLevel="0" collapsed="false">
      <c r="A1772" s="51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46" t="s">
        <v>1060</v>
      </c>
      <c r="G1772" s="0" t="n">
        <v>52</v>
      </c>
      <c r="H1772" s="0" t="n">
        <v>50</v>
      </c>
      <c r="I1772" s="46" t="s">
        <v>161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X1772" s="46" t="n">
        <f aca="false">IF(I1772="Male",0,1)</f>
        <v>1</v>
      </c>
      <c r="Y1772" s="46" t="n">
        <f aca="false">IF(OR(I1772="DNB",I1772="Dry DNB"),1,0)</f>
        <v>0</v>
      </c>
      <c r="Z1772" s="0" t="str">
        <f aca="false">IF(ISNUMBER(W1772),A1772-W1772,"")</f>
        <v/>
      </c>
      <c r="AA1772" s="46" t="n">
        <f aca="false">MATCH(A1772,DATAS,0)</f>
        <v>1</v>
      </c>
      <c r="AB1772" s="46" t="n">
        <f aca="false">IF(AND(E1772&gt;0,OR(AND(B1772&gt;=1,B1772&lt;=6),B1772=10)),1,0)</f>
        <v>1</v>
      </c>
      <c r="AC1772" s="46" t="n">
        <f aca="false">IF(AND(E1772&gt;0,B1772=10),1,0)</f>
        <v>0</v>
      </c>
      <c r="AD1772" s="0" t="str">
        <f aca="false">IF(AND(C1771=C1772,AA1771=AA1772-1),AB1771,"")</f>
        <v/>
      </c>
      <c r="AE1772" s="0" t="str">
        <f aca="false">IF(AND(C1771=C1772,AA1771=AA1772-1),AC1771,"")</f>
        <v/>
      </c>
      <c r="AF1772" s="0" t="str">
        <f aca="false">IF(AA1772=1,"",IF(AND(AB1772=1,AD1772&lt;&gt;1),1,0))</f>
        <v/>
      </c>
      <c r="AG1772" s="0" t="str">
        <f aca="false">IF(AA1772=1,"",IF(AND(AC1772=1,AE1772&lt;&gt;1),1,0))</f>
        <v/>
      </c>
      <c r="AH1772" s="51" t="str">
        <f aca="false">IF(AND(E1772&gt;0,AA1772&lt;1,NOT(AND(C1773=C1772,AA1773=AA1772+1))),INDEX(DATAS,AA1772+1),"")</f>
        <v/>
      </c>
      <c r="AI1772" s="51" t="str">
        <f aca="false">IF(AND(AC1772=1,AA1772&lt;1),IF(AND(C1773=C1772,AA1773=AA1772+1),IF(AC1773=1,"",INDEX(DATAS,AA1772+1)),INDEX(DATAS,AA1772+1)),"")</f>
        <v/>
      </c>
    </row>
    <row r="1773" customFormat="false" ht="15" hidden="false" customHeight="false" outlineLevel="0" collapsed="false">
      <c r="A1773" s="51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46" t="s">
        <v>1060</v>
      </c>
      <c r="G1773" s="0" t="n">
        <v>46.4</v>
      </c>
      <c r="H1773" s="0" t="n">
        <v>47</v>
      </c>
      <c r="I1773" s="46" t="s">
        <v>161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X1773" s="46" t="n">
        <f aca="false">IF(I1773="Male",0,1)</f>
        <v>1</v>
      </c>
      <c r="Y1773" s="46" t="n">
        <f aca="false">IF(OR(I1773="DNB",I1773="Dry DNB"),1,0)</f>
        <v>0</v>
      </c>
      <c r="Z1773" s="0" t="str">
        <f aca="false">IF(ISNUMBER(W1773),A1773-W1773,"")</f>
        <v/>
      </c>
      <c r="AA1773" s="46" t="n">
        <f aca="false">MATCH(A1773,DATAS,0)</f>
        <v>1</v>
      </c>
      <c r="AB1773" s="46" t="n">
        <f aca="false">IF(AND(E1773&gt;0,OR(AND(B1773&gt;=1,B1773&lt;=6),B1773=10)),1,0)</f>
        <v>1</v>
      </c>
      <c r="AC1773" s="46" t="n">
        <f aca="false">IF(AND(E1773&gt;0,B1773=10),1,0)</f>
        <v>0</v>
      </c>
      <c r="AD1773" s="0" t="str">
        <f aca="false">IF(AND(C1772=C1773,AA1772=AA1773-1),AB1772,"")</f>
        <v/>
      </c>
      <c r="AE1773" s="0" t="str">
        <f aca="false">IF(AND(C1772=C1773,AA1772=AA1773-1),AC1772,"")</f>
        <v/>
      </c>
      <c r="AF1773" s="0" t="str">
        <f aca="false">IF(AA1773=1,"",IF(AND(AB1773=1,AD1773&lt;&gt;1),1,0))</f>
        <v/>
      </c>
      <c r="AG1773" s="0" t="str">
        <f aca="false">IF(AA1773=1,"",IF(AND(AC1773=1,AE1773&lt;&gt;1),1,0))</f>
        <v/>
      </c>
      <c r="AH1773" s="51" t="str">
        <f aca="false">IF(AND(E1773&gt;0,AA1773&lt;1,NOT(AND(C1774=C1773,AA1774=AA1773+1))),INDEX(DATAS,AA1773+1),"")</f>
        <v/>
      </c>
      <c r="AI1773" s="51" t="str">
        <f aca="false">IF(AND(AC1773=1,AA1773&lt;1),IF(AND(C1774=C1773,AA1774=AA1773+1),IF(AC1774=1,"",INDEX(DATAS,AA1773+1)),INDEX(DATAS,AA1773+1)),"")</f>
        <v/>
      </c>
    </row>
    <row r="1774" customFormat="false" ht="15" hidden="false" customHeight="false" outlineLevel="0" collapsed="false">
      <c r="A1774" s="51" t="n">
        <v>46309</v>
      </c>
      <c r="B1774" s="0" t="n">
        <v>14</v>
      </c>
      <c r="C1774" s="0" t="n">
        <v>5962</v>
      </c>
      <c r="E1774" s="0" t="n">
        <v>0</v>
      </c>
      <c r="F1774" s="46" t="s">
        <v>1060</v>
      </c>
      <c r="I1774" s="46" t="s">
        <v>152</v>
      </c>
      <c r="L1774" s="0" t="n">
        <v>259</v>
      </c>
      <c r="U1774" s="0" t="n">
        <v>734</v>
      </c>
      <c r="V1774" s="0" t="n">
        <v>4</v>
      </c>
      <c r="W1774" s="51" t="n">
        <v>46051</v>
      </c>
      <c r="X1774" s="46" t="n">
        <f aca="false">IF(I1774="Male",0,1)</f>
        <v>1</v>
      </c>
      <c r="Y1774" s="46" t="n">
        <f aca="false">IF(OR(I1774="DNB",I1774="Dry DNB"),1,0)</f>
        <v>0</v>
      </c>
      <c r="Z1774" s="46" t="n">
        <f aca="false">IF(ISNUMBER(W1774),A1774-W1774,"")</f>
        <v>258</v>
      </c>
      <c r="AA1774" s="46" t="n">
        <f aca="false">MATCH(A1774,DATAS,0)</f>
        <v>1</v>
      </c>
      <c r="AB1774" s="46" t="n">
        <f aca="false">IF(AND(E1774&gt;0,OR(AND(B1774&gt;=1,B1774&lt;=6),B1774=10)),1,0)</f>
        <v>0</v>
      </c>
      <c r="AC1774" s="46" t="n">
        <f aca="false">IF(AND(E1774&gt;0,B1774=10),1,0)</f>
        <v>0</v>
      </c>
      <c r="AD1774" s="0" t="str">
        <f aca="false">IF(AND(C1773=C1774,AA1773=AA1774-1),AB1773,"")</f>
        <v/>
      </c>
      <c r="AE1774" s="0" t="str">
        <f aca="false">IF(AND(C1773=C1774,AA1773=AA1774-1),AC1773,"")</f>
        <v/>
      </c>
      <c r="AF1774" s="0" t="str">
        <f aca="false">IF(AA1774=1,"",IF(AND(AB1774=1,AD1774&lt;&gt;1),1,0))</f>
        <v/>
      </c>
      <c r="AG1774" s="0" t="str">
        <f aca="false">IF(AA1774=1,"",IF(AND(AC1774=1,AE1774&lt;&gt;1),1,0))</f>
        <v/>
      </c>
      <c r="AH1774" s="51" t="str">
        <f aca="false">IF(AND(E1774&gt;0,AA1774&lt;1,NOT(AND(C1775=C1774,AA1775=AA1774+1))),INDEX(DATAS,AA1774+1),"")</f>
        <v/>
      </c>
      <c r="AI1774" s="51" t="str">
        <f aca="false">IF(AND(AC1774=1,AA1774&lt;1),IF(AND(C1775=C1774,AA1775=AA1774+1),IF(AC1775=1,"",INDEX(DATAS,AA1774+1)),INDEX(DATAS,AA1774+1)),"")</f>
        <v/>
      </c>
    </row>
    <row r="1775" customFormat="false" ht="15" hidden="false" customHeight="false" outlineLevel="0" collapsed="false">
      <c r="A1775" s="51" t="n">
        <v>46309</v>
      </c>
      <c r="B1775" s="0" t="n">
        <v>8</v>
      </c>
      <c r="C1775" s="0" t="n">
        <v>5963</v>
      </c>
      <c r="E1775" s="0" t="n">
        <v>0</v>
      </c>
      <c r="F1775" s="46" t="s">
        <v>1060</v>
      </c>
      <c r="I1775" s="46" t="s">
        <v>152</v>
      </c>
      <c r="L1775" s="0" t="n">
        <v>205</v>
      </c>
      <c r="U1775" s="0" t="n">
        <v>734</v>
      </c>
      <c r="V1775" s="0" t="n">
        <v>7</v>
      </c>
      <c r="W1775" s="51" t="n">
        <v>46105</v>
      </c>
      <c r="X1775" s="46" t="n">
        <f aca="false">IF(I1775="Male",0,1)</f>
        <v>1</v>
      </c>
      <c r="Y1775" s="46" t="n">
        <f aca="false">IF(OR(I1775="DNB",I1775="Dry DNB"),1,0)</f>
        <v>0</v>
      </c>
      <c r="Z1775" s="46" t="n">
        <f aca="false">IF(ISNUMBER(W1775),A1775-W1775,"")</f>
        <v>204</v>
      </c>
      <c r="AA1775" s="46" t="n">
        <f aca="false">MATCH(A1775,DATAS,0)</f>
        <v>1</v>
      </c>
      <c r="AB1775" s="46" t="n">
        <f aca="false">IF(AND(E1775&gt;0,OR(AND(B1775&gt;=1,B1775&lt;=6),B1775=10)),1,0)</f>
        <v>0</v>
      </c>
      <c r="AC1775" s="46" t="n">
        <f aca="false">IF(AND(E1775&gt;0,B1775=10),1,0)</f>
        <v>0</v>
      </c>
      <c r="AD1775" s="0" t="str">
        <f aca="false">IF(AND(C1774=C1775,AA1774=AA1775-1),AB1774,"")</f>
        <v/>
      </c>
      <c r="AE1775" s="0" t="str">
        <f aca="false">IF(AND(C1774=C1775,AA1774=AA1775-1),AC1774,"")</f>
        <v/>
      </c>
      <c r="AF1775" s="0" t="str">
        <f aca="false">IF(AA1775=1,"",IF(AND(AB1775=1,AD1775&lt;&gt;1),1,0))</f>
        <v/>
      </c>
      <c r="AG1775" s="0" t="str">
        <f aca="false">IF(AA1775=1,"",IF(AND(AC1775=1,AE1775&lt;&gt;1),1,0))</f>
        <v/>
      </c>
      <c r="AH1775" s="51" t="str">
        <f aca="false">IF(AND(E1775&gt;0,AA1775&lt;1,NOT(AND(C1776=C1775,AA1776=AA1775+1))),INDEX(DATAS,AA1775+1),"")</f>
        <v/>
      </c>
      <c r="AI1775" s="51" t="str">
        <f aca="false">IF(AND(AC1775=1,AA1775&lt;1),IF(AND(C1776=C1775,AA1776=AA1775+1),IF(AC1776=1,"",INDEX(DATAS,AA1775+1)),INDEX(DATAS,AA1775+1)),"")</f>
        <v/>
      </c>
    </row>
    <row r="1776" customFormat="false" ht="15" hidden="false" customHeight="false" outlineLevel="0" collapsed="false">
      <c r="A1776" s="51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46" t="s">
        <v>1061</v>
      </c>
      <c r="G1776" s="0" t="n">
        <v>33.3</v>
      </c>
      <c r="H1776" s="0" t="n">
        <v>33</v>
      </c>
      <c r="I1776" s="46" t="s">
        <v>161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X1776" s="46" t="n">
        <f aca="false">IF(I1776="Male",0,1)</f>
        <v>1</v>
      </c>
      <c r="Y1776" s="46" t="n">
        <f aca="false">IF(OR(I1776="DNB",I1776="Dry DNB"),1,0)</f>
        <v>0</v>
      </c>
      <c r="Z1776" s="0" t="str">
        <f aca="false">IF(ISNUMBER(W1776),A1776-W1776,"")</f>
        <v/>
      </c>
      <c r="AA1776" s="46" t="n">
        <f aca="false">MATCH(A1776,DATAS,0)</f>
        <v>1</v>
      </c>
      <c r="AB1776" s="46" t="n">
        <f aca="false">IF(AND(E1776&gt;0,OR(AND(B1776&gt;=1,B1776&lt;=6),B1776=10)),1,0)</f>
        <v>1</v>
      </c>
      <c r="AC1776" s="46" t="n">
        <f aca="false">IF(AND(E1776&gt;0,B1776=10),1,0)</f>
        <v>0</v>
      </c>
      <c r="AD1776" s="0" t="str">
        <f aca="false">IF(AND(C1775=C1776,AA1775=AA1776-1),AB1775,"")</f>
        <v/>
      </c>
      <c r="AE1776" s="0" t="str">
        <f aca="false">IF(AND(C1775=C1776,AA1775=AA1776-1),AC1775,"")</f>
        <v/>
      </c>
      <c r="AF1776" s="0" t="str">
        <f aca="false">IF(AA1776=1,"",IF(AND(AB1776=1,AD1776&lt;&gt;1),1,0))</f>
        <v/>
      </c>
      <c r="AG1776" s="0" t="str">
        <f aca="false">IF(AA1776=1,"",IF(AND(AC1776=1,AE1776&lt;&gt;1),1,0))</f>
        <v/>
      </c>
      <c r="AH1776" s="51" t="str">
        <f aca="false">IF(AND(E1776&gt;0,AA1776&lt;1,NOT(AND(C1777=C1776,AA1777=AA1776+1))),INDEX(DATAS,AA1776+1),"")</f>
        <v/>
      </c>
      <c r="AI1776" s="51" t="str">
        <f aca="false">IF(AND(AC1776=1,AA1776&lt;1),IF(AND(C1777=C1776,AA1777=AA1776+1),IF(AC1777=1,"",INDEX(DATAS,AA1776+1)),INDEX(DATAS,AA1776+1)),"")</f>
        <v/>
      </c>
    </row>
    <row r="1777" customFormat="false" ht="15" hidden="false" customHeight="false" outlineLevel="0" collapsed="false">
      <c r="A1777" s="51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46" t="s">
        <v>1062</v>
      </c>
      <c r="G1777" s="0" t="n">
        <v>52.3</v>
      </c>
      <c r="H1777" s="0" t="n">
        <v>56</v>
      </c>
      <c r="I1777" s="46" t="s">
        <v>181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51" t="n">
        <v>46296</v>
      </c>
      <c r="X1777" s="46" t="n">
        <f aca="false">IF(I1777="Male",0,1)</f>
        <v>1</v>
      </c>
      <c r="Y1777" s="46" t="n">
        <f aca="false">IF(OR(I1777="DNB",I1777="Dry DNB"),1,0)</f>
        <v>0</v>
      </c>
      <c r="Z1777" s="46" t="n">
        <f aca="false">IF(ISNUMBER(W1777),A1777-W1777,"")</f>
        <v>13</v>
      </c>
      <c r="AA1777" s="46" t="n">
        <f aca="false">MATCH(A1777,DATAS,0)</f>
        <v>1</v>
      </c>
      <c r="AB1777" s="46" t="n">
        <f aca="false">IF(AND(E1777&gt;0,OR(AND(B1777&gt;=1,B1777&lt;=6),B1777=10)),1,0)</f>
        <v>1</v>
      </c>
      <c r="AC1777" s="46" t="n">
        <f aca="false">IF(AND(E1777&gt;0,B1777=10),1,0)</f>
        <v>0</v>
      </c>
      <c r="AD1777" s="0" t="str">
        <f aca="false">IF(AND(C1776=C1777,AA1776=AA1777-1),AB1776,"")</f>
        <v/>
      </c>
      <c r="AE1777" s="0" t="str">
        <f aca="false">IF(AND(C1776=C1777,AA1776=AA1777-1),AC1776,"")</f>
        <v/>
      </c>
      <c r="AF1777" s="0" t="str">
        <f aca="false">IF(AA1777=1,"",IF(AND(AB1777=1,AD1777&lt;&gt;1),1,0))</f>
        <v/>
      </c>
      <c r="AG1777" s="0" t="str">
        <f aca="false">IF(AA1777=1,"",IF(AND(AC1777=1,AE1777&lt;&gt;1),1,0))</f>
        <v/>
      </c>
      <c r="AH1777" s="51" t="str">
        <f aca="false">IF(AND(E1777&gt;0,AA1777&lt;1,NOT(AND(C1778=C1777,AA1778=AA1777+1))),INDEX(DATAS,AA1777+1),"")</f>
        <v/>
      </c>
      <c r="AI1777" s="51" t="str">
        <f aca="false">IF(AND(AC1777=1,AA1777&lt;1),IF(AND(C1778=C1777,AA1778=AA1777+1),IF(AC1778=1,"",INDEX(DATAS,AA1777+1)),INDEX(DATAS,AA1777+1)),"")</f>
        <v/>
      </c>
    </row>
    <row r="1778" customFormat="false" ht="15" hidden="false" customHeight="false" outlineLevel="0" collapsed="false">
      <c r="A1778" s="51" t="n">
        <v>46309</v>
      </c>
      <c r="B1778" s="0" t="n">
        <v>7</v>
      </c>
      <c r="C1778" s="0" t="n">
        <v>5968</v>
      </c>
      <c r="E1778" s="0" t="n">
        <v>0</v>
      </c>
      <c r="F1778" s="46" t="s">
        <v>1062</v>
      </c>
      <c r="I1778" s="46" t="s">
        <v>152</v>
      </c>
      <c r="L1778" s="0" t="n">
        <v>182</v>
      </c>
      <c r="U1778" s="0" t="n">
        <v>732</v>
      </c>
      <c r="V1778" s="0" t="n">
        <v>2</v>
      </c>
      <c r="W1778" s="51" t="n">
        <v>46128</v>
      </c>
      <c r="X1778" s="46" t="n">
        <f aca="false">IF(I1778="Male",0,1)</f>
        <v>1</v>
      </c>
      <c r="Y1778" s="46" t="n">
        <f aca="false">IF(OR(I1778="DNB",I1778="Dry DNB"),1,0)</f>
        <v>0</v>
      </c>
      <c r="Z1778" s="46" t="n">
        <f aca="false">IF(ISNUMBER(W1778),A1778-W1778,"")</f>
        <v>181</v>
      </c>
      <c r="AA1778" s="46" t="n">
        <f aca="false">MATCH(A1778,DATAS,0)</f>
        <v>1</v>
      </c>
      <c r="AB1778" s="46" t="n">
        <f aca="false">IF(AND(E1778&gt;0,OR(AND(B1778&gt;=1,B1778&lt;=6),B1778=10)),1,0)</f>
        <v>0</v>
      </c>
      <c r="AC1778" s="46" t="n">
        <f aca="false">IF(AND(E1778&gt;0,B1778=10),1,0)</f>
        <v>0</v>
      </c>
      <c r="AD1778" s="0" t="str">
        <f aca="false">IF(AND(C1777=C1778,AA1777=AA1778-1),AB1777,"")</f>
        <v/>
      </c>
      <c r="AE1778" s="0" t="str">
        <f aca="false">IF(AND(C1777=C1778,AA1777=AA1778-1),AC1777,"")</f>
        <v/>
      </c>
      <c r="AF1778" s="0" t="str">
        <f aca="false">IF(AA1778=1,"",IF(AND(AB1778=1,AD1778&lt;&gt;1),1,0))</f>
        <v/>
      </c>
      <c r="AG1778" s="0" t="str">
        <f aca="false">IF(AA1778=1,"",IF(AND(AC1778=1,AE1778&lt;&gt;1),1,0))</f>
        <v/>
      </c>
      <c r="AH1778" s="51" t="str">
        <f aca="false">IF(AND(E1778&gt;0,AA1778&lt;1,NOT(AND(C1779=C1778,AA1779=AA1778+1))),INDEX(DATAS,AA1778+1),"")</f>
        <v/>
      </c>
      <c r="AI1778" s="51" t="str">
        <f aca="false">IF(AND(AC1778=1,AA1778&lt;1),IF(AND(C1779=C1778,AA1779=AA1778+1),IF(AC1779=1,"",INDEX(DATAS,AA1778+1)),INDEX(DATAS,AA1778+1)),"")</f>
        <v/>
      </c>
    </row>
    <row r="1779" customFormat="false" ht="15" hidden="false" customHeight="false" outlineLevel="0" collapsed="false">
      <c r="A1779" s="51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46" t="s">
        <v>1063</v>
      </c>
      <c r="G1779" s="0" t="n">
        <v>21.6</v>
      </c>
      <c r="H1779" s="0" t="n">
        <v>20</v>
      </c>
      <c r="I1779" s="46" t="s">
        <v>161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X1779" s="46" t="n">
        <f aca="false">IF(I1779="Male",0,1)</f>
        <v>1</v>
      </c>
      <c r="Y1779" s="46" t="n">
        <f aca="false">IF(OR(I1779="DNB",I1779="Dry DNB"),1,0)</f>
        <v>0</v>
      </c>
      <c r="Z1779" s="0" t="str">
        <f aca="false">IF(ISNUMBER(W1779),A1779-W1779,"")</f>
        <v/>
      </c>
      <c r="AA1779" s="46" t="n">
        <f aca="false">MATCH(A1779,DATAS,0)</f>
        <v>1</v>
      </c>
      <c r="AB1779" s="46" t="n">
        <f aca="false">IF(AND(E1779&gt;0,OR(AND(B1779&gt;=1,B1779&lt;=6),B1779=10)),1,0)</f>
        <v>1</v>
      </c>
      <c r="AC1779" s="46" t="n">
        <f aca="false">IF(AND(E1779&gt;0,B1779=10),1,0)</f>
        <v>0</v>
      </c>
      <c r="AD1779" s="0" t="str">
        <f aca="false">IF(AND(C1778=C1779,AA1778=AA1779-1),AB1778,"")</f>
        <v/>
      </c>
      <c r="AE1779" s="0" t="str">
        <f aca="false">IF(AND(C1778=C1779,AA1778=AA1779-1),AC1778,"")</f>
        <v/>
      </c>
      <c r="AF1779" s="0" t="str">
        <f aca="false">IF(AA1779=1,"",IF(AND(AB1779=1,AD1779&lt;&gt;1),1,0))</f>
        <v/>
      </c>
      <c r="AG1779" s="0" t="str">
        <f aca="false">IF(AA1779=1,"",IF(AND(AC1779=1,AE1779&lt;&gt;1),1,0))</f>
        <v/>
      </c>
      <c r="AH1779" s="51" t="str">
        <f aca="false">IF(AND(E1779&gt;0,AA1779&lt;1,NOT(AND(C1780=C1779,AA1780=AA1779+1))),INDEX(DATAS,AA1779+1),"")</f>
        <v/>
      </c>
      <c r="AI1779" s="51" t="str">
        <f aca="false">IF(AND(AC1779=1,AA1779&lt;1),IF(AND(C1780=C1779,AA1780=AA1779+1),IF(AC1780=1,"",INDEX(DATAS,AA1779+1)),INDEX(DATAS,AA1779+1)),"")</f>
        <v/>
      </c>
    </row>
    <row r="1780" customFormat="false" ht="15" hidden="false" customHeight="false" outlineLevel="0" collapsed="false">
      <c r="A1780" s="51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46" t="s">
        <v>1064</v>
      </c>
      <c r="G1780" s="0" t="n">
        <v>59.8</v>
      </c>
      <c r="H1780" s="0" t="n">
        <v>58</v>
      </c>
      <c r="I1780" s="46" t="s">
        <v>152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51" t="n">
        <v>46275</v>
      </c>
      <c r="X1780" s="46" t="n">
        <f aca="false">IF(I1780="Male",0,1)</f>
        <v>1</v>
      </c>
      <c r="Y1780" s="46" t="n">
        <f aca="false">IF(OR(I1780="DNB",I1780="Dry DNB"),1,0)</f>
        <v>0</v>
      </c>
      <c r="Z1780" s="46" t="n">
        <f aca="false">IF(ISNUMBER(W1780),A1780-W1780,"")</f>
        <v>34</v>
      </c>
      <c r="AA1780" s="46" t="n">
        <f aca="false">MATCH(A1780,DATAS,0)</f>
        <v>1</v>
      </c>
      <c r="AB1780" s="46" t="n">
        <f aca="false">IF(AND(E1780&gt;0,OR(AND(B1780&gt;=1,B1780&lt;=6),B1780=10)),1,0)</f>
        <v>1</v>
      </c>
      <c r="AC1780" s="46" t="n">
        <f aca="false">IF(AND(E1780&gt;0,B1780=10),1,0)</f>
        <v>0</v>
      </c>
      <c r="AD1780" s="0" t="str">
        <f aca="false">IF(AND(C1779=C1780,AA1779=AA1780-1),AB1779,"")</f>
        <v/>
      </c>
      <c r="AE1780" s="0" t="str">
        <f aca="false">IF(AND(C1779=C1780,AA1779=AA1780-1),AC1779,"")</f>
        <v/>
      </c>
      <c r="AF1780" s="0" t="str">
        <f aca="false">IF(AA1780=1,"",IF(AND(AB1780=1,AD1780&lt;&gt;1),1,0))</f>
        <v/>
      </c>
      <c r="AG1780" s="0" t="str">
        <f aca="false">IF(AA1780=1,"",IF(AND(AC1780=1,AE1780&lt;&gt;1),1,0))</f>
        <v/>
      </c>
      <c r="AH1780" s="51" t="str">
        <f aca="false">IF(AND(E1780&gt;0,AA1780&lt;1,NOT(AND(C1781=C1780,AA1781=AA1780+1))),INDEX(DATAS,AA1780+1),"")</f>
        <v/>
      </c>
      <c r="AI1780" s="51" t="str">
        <f aca="false">IF(AND(AC1780=1,AA1780&lt;1),IF(AND(C1781=C1780,AA1781=AA1780+1),IF(AC1781=1,"",INDEX(DATAS,AA1780+1)),INDEX(DATAS,AA1780+1)),"")</f>
        <v/>
      </c>
    </row>
    <row r="1781" customFormat="false" ht="15" hidden="false" customHeight="false" outlineLevel="0" collapsed="false">
      <c r="A1781" s="51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46" t="s">
        <v>1064</v>
      </c>
      <c r="G1781" s="0" t="n">
        <v>51.8</v>
      </c>
      <c r="H1781" s="0" t="n">
        <v>54</v>
      </c>
      <c r="I1781" s="46" t="s">
        <v>181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51" t="n">
        <v>46282</v>
      </c>
      <c r="X1781" s="46" t="n">
        <f aca="false">IF(I1781="Male",0,1)</f>
        <v>1</v>
      </c>
      <c r="Y1781" s="46" t="n">
        <f aca="false">IF(OR(I1781="DNB",I1781="Dry DNB"),1,0)</f>
        <v>0</v>
      </c>
      <c r="Z1781" s="46" t="n">
        <f aca="false">IF(ISNUMBER(W1781),A1781-W1781,"")</f>
        <v>27</v>
      </c>
      <c r="AA1781" s="46" t="n">
        <f aca="false">MATCH(A1781,DATAS,0)</f>
        <v>1</v>
      </c>
      <c r="AB1781" s="46" t="n">
        <f aca="false">IF(AND(E1781&gt;0,OR(AND(B1781&gt;=1,B1781&lt;=6),B1781=10)),1,0)</f>
        <v>1</v>
      </c>
      <c r="AC1781" s="46" t="n">
        <f aca="false">IF(AND(E1781&gt;0,B1781=10),1,0)</f>
        <v>0</v>
      </c>
      <c r="AD1781" s="0" t="str">
        <f aca="false">IF(AND(C1780=C1781,AA1780=AA1781-1),AB1780,"")</f>
        <v/>
      </c>
      <c r="AE1781" s="0" t="str">
        <f aca="false">IF(AND(C1780=C1781,AA1780=AA1781-1),AC1780,"")</f>
        <v/>
      </c>
      <c r="AF1781" s="0" t="str">
        <f aca="false">IF(AA1781=1,"",IF(AND(AB1781=1,AD1781&lt;&gt;1),1,0))</f>
        <v/>
      </c>
      <c r="AG1781" s="0" t="str">
        <f aca="false">IF(AA1781=1,"",IF(AND(AC1781=1,AE1781&lt;&gt;1),1,0))</f>
        <v/>
      </c>
      <c r="AH1781" s="51" t="str">
        <f aca="false">IF(AND(E1781&gt;0,AA1781&lt;1,NOT(AND(C1782=C1781,AA1782=AA1781+1))),INDEX(DATAS,AA1781+1),"")</f>
        <v/>
      </c>
      <c r="AI1781" s="51" t="str">
        <f aca="false">IF(AND(AC1781=1,AA1781&lt;1),IF(AND(C1782=C1781,AA1782=AA1781+1),IF(AC1782=1,"",INDEX(DATAS,AA1781+1)),INDEX(DATAS,AA1781+1)),"")</f>
        <v/>
      </c>
    </row>
    <row r="1782" customFormat="false" ht="15" hidden="false" customHeight="false" outlineLevel="0" collapsed="false">
      <c r="A1782" s="51" t="n">
        <v>46309</v>
      </c>
      <c r="B1782" s="0" t="n">
        <v>14</v>
      </c>
      <c r="C1782" s="0" t="n">
        <v>5974</v>
      </c>
      <c r="E1782" s="0" t="n">
        <v>0</v>
      </c>
      <c r="F1782" s="46" t="s">
        <v>1064</v>
      </c>
      <c r="I1782" s="46" t="s">
        <v>152</v>
      </c>
      <c r="L1782" s="0" t="n">
        <v>274</v>
      </c>
      <c r="U1782" s="0" t="n">
        <v>730</v>
      </c>
      <c r="V1782" s="0" t="n">
        <v>4</v>
      </c>
      <c r="W1782" s="51" t="n">
        <v>46036</v>
      </c>
      <c r="X1782" s="46" t="n">
        <f aca="false">IF(I1782="Male",0,1)</f>
        <v>1</v>
      </c>
      <c r="Y1782" s="46" t="n">
        <f aca="false">IF(OR(I1782="DNB",I1782="Dry DNB"),1,0)</f>
        <v>0</v>
      </c>
      <c r="Z1782" s="46" t="n">
        <f aca="false">IF(ISNUMBER(W1782),A1782-W1782,"")</f>
        <v>273</v>
      </c>
      <c r="AA1782" s="46" t="n">
        <f aca="false">MATCH(A1782,DATAS,0)</f>
        <v>1</v>
      </c>
      <c r="AB1782" s="46" t="n">
        <f aca="false">IF(AND(E1782&gt;0,OR(AND(B1782&gt;=1,B1782&lt;=6),B1782=10)),1,0)</f>
        <v>0</v>
      </c>
      <c r="AC1782" s="46" t="n">
        <f aca="false">IF(AND(E1782&gt;0,B1782=10),1,0)</f>
        <v>0</v>
      </c>
      <c r="AD1782" s="0" t="str">
        <f aca="false">IF(AND(C1781=C1782,AA1781=AA1782-1),AB1781,"")</f>
        <v/>
      </c>
      <c r="AE1782" s="0" t="str">
        <f aca="false">IF(AND(C1781=C1782,AA1781=AA1782-1),AC1781,"")</f>
        <v/>
      </c>
      <c r="AF1782" s="0" t="str">
        <f aca="false">IF(AA1782=1,"",IF(AND(AB1782=1,AD1782&lt;&gt;1),1,0))</f>
        <v/>
      </c>
      <c r="AG1782" s="0" t="str">
        <f aca="false">IF(AA1782=1,"",IF(AND(AC1782=1,AE1782&lt;&gt;1),1,0))</f>
        <v/>
      </c>
      <c r="AH1782" s="51" t="str">
        <f aca="false">IF(AND(E1782&gt;0,AA1782&lt;1,NOT(AND(C1783=C1782,AA1783=AA1782+1))),INDEX(DATAS,AA1782+1),"")</f>
        <v/>
      </c>
      <c r="AI1782" s="51" t="str">
        <f aca="false">IF(AND(AC1782=1,AA1782&lt;1),IF(AND(C1783=C1782,AA1783=AA1782+1),IF(AC1783=1,"",INDEX(DATAS,AA1782+1)),INDEX(DATAS,AA1782+1)),"")</f>
        <v/>
      </c>
    </row>
    <row r="1783" customFormat="false" ht="15" hidden="false" customHeight="false" outlineLevel="0" collapsed="false">
      <c r="A1783" s="51" t="n">
        <v>46309</v>
      </c>
      <c r="B1783" s="0" t="n">
        <v>11</v>
      </c>
      <c r="C1783" s="0" t="n">
        <v>5976</v>
      </c>
      <c r="E1783" s="0" t="n">
        <v>0</v>
      </c>
      <c r="F1783" s="46" t="s">
        <v>1065</v>
      </c>
      <c r="I1783" s="46" t="s">
        <v>189</v>
      </c>
      <c r="U1783" s="0" t="n">
        <v>729</v>
      </c>
      <c r="V1783" s="0" t="n">
        <v>10</v>
      </c>
      <c r="W1783" s="51" t="n">
        <v>46233</v>
      </c>
      <c r="X1783" s="46" t="n">
        <f aca="false">IF(I1783="Male",0,1)</f>
        <v>1</v>
      </c>
      <c r="Y1783" s="46" t="n">
        <f aca="false">IF(OR(I1783="DNB",I1783="Dry DNB"),1,0)</f>
        <v>0</v>
      </c>
      <c r="Z1783" s="46" t="n">
        <f aca="false">IF(ISNUMBER(W1783),A1783-W1783,"")</f>
        <v>76</v>
      </c>
      <c r="AA1783" s="46" t="n">
        <f aca="false">MATCH(A1783,DATAS,0)</f>
        <v>1</v>
      </c>
      <c r="AB1783" s="46" t="n">
        <f aca="false">IF(AND(E1783&gt;0,OR(AND(B1783&gt;=1,B1783&lt;=6),B1783=10)),1,0)</f>
        <v>0</v>
      </c>
      <c r="AC1783" s="46" t="n">
        <f aca="false">IF(AND(E1783&gt;0,B1783=10),1,0)</f>
        <v>0</v>
      </c>
      <c r="AD1783" s="0" t="str">
        <f aca="false">IF(AND(C1782=C1783,AA1782=AA1783-1),AB1782,"")</f>
        <v/>
      </c>
      <c r="AE1783" s="0" t="str">
        <f aca="false">IF(AND(C1782=C1783,AA1782=AA1783-1),AC1782,"")</f>
        <v/>
      </c>
      <c r="AF1783" s="0" t="str">
        <f aca="false">IF(AA1783=1,"",IF(AND(AB1783=1,AD1783&lt;&gt;1),1,0))</f>
        <v/>
      </c>
      <c r="AG1783" s="0" t="str">
        <f aca="false">IF(AA1783=1,"",IF(AND(AC1783=1,AE1783&lt;&gt;1),1,0))</f>
        <v/>
      </c>
      <c r="AH1783" s="51" t="str">
        <f aca="false">IF(AND(E1783&gt;0,AA1783&lt;1,NOT(AND(C1784=C1783,AA1784=AA1783+1))),INDEX(DATAS,AA1783+1),"")</f>
        <v/>
      </c>
      <c r="AI1783" s="51" t="str">
        <f aca="false">IF(AND(AC1783=1,AA1783&lt;1),IF(AND(C1784=C1783,AA1784=AA1783+1),IF(AC1784=1,"",INDEX(DATAS,AA1783+1)),INDEX(DATAS,AA1783+1)),"")</f>
        <v/>
      </c>
    </row>
    <row r="1784" customFormat="false" ht="15" hidden="false" customHeight="false" outlineLevel="0" collapsed="false">
      <c r="A1784" s="51" t="n">
        <v>46309</v>
      </c>
      <c r="B1784" s="0" t="n">
        <v>8</v>
      </c>
      <c r="C1784" s="0" t="n">
        <v>5978</v>
      </c>
      <c r="E1784" s="0" t="n">
        <v>0</v>
      </c>
      <c r="F1784" s="46" t="s">
        <v>1065</v>
      </c>
      <c r="I1784" s="46" t="s">
        <v>152</v>
      </c>
      <c r="L1784" s="0" t="n">
        <v>219</v>
      </c>
      <c r="U1784" s="0" t="n">
        <v>729</v>
      </c>
      <c r="V1784" s="0" t="n">
        <v>5</v>
      </c>
      <c r="W1784" s="51" t="n">
        <v>46091</v>
      </c>
      <c r="X1784" s="46" t="n">
        <f aca="false">IF(I1784="Male",0,1)</f>
        <v>1</v>
      </c>
      <c r="Y1784" s="46" t="n">
        <f aca="false">IF(OR(I1784="DNB",I1784="Dry DNB"),1,0)</f>
        <v>0</v>
      </c>
      <c r="Z1784" s="46" t="n">
        <f aca="false">IF(ISNUMBER(W1784),A1784-W1784,"")</f>
        <v>218</v>
      </c>
      <c r="AA1784" s="46" t="n">
        <f aca="false">MATCH(A1784,DATAS,0)</f>
        <v>1</v>
      </c>
      <c r="AB1784" s="46" t="n">
        <f aca="false">IF(AND(E1784&gt;0,OR(AND(B1784&gt;=1,B1784&lt;=6),B1784=10)),1,0)</f>
        <v>0</v>
      </c>
      <c r="AC1784" s="46" t="n">
        <f aca="false">IF(AND(E1784&gt;0,B1784=10),1,0)</f>
        <v>0</v>
      </c>
      <c r="AD1784" s="0" t="str">
        <f aca="false">IF(AND(C1783=C1784,AA1783=AA1784-1),AB1783,"")</f>
        <v/>
      </c>
      <c r="AE1784" s="0" t="str">
        <f aca="false">IF(AND(C1783=C1784,AA1783=AA1784-1),AC1783,"")</f>
        <v/>
      </c>
      <c r="AF1784" s="0" t="str">
        <f aca="false">IF(AA1784=1,"",IF(AND(AB1784=1,AD1784&lt;&gt;1),1,0))</f>
        <v/>
      </c>
      <c r="AG1784" s="0" t="str">
        <f aca="false">IF(AA1784=1,"",IF(AND(AC1784=1,AE1784&lt;&gt;1),1,0))</f>
        <v/>
      </c>
      <c r="AH1784" s="51" t="str">
        <f aca="false">IF(AND(E1784&gt;0,AA1784&lt;1,NOT(AND(C1785=C1784,AA1785=AA1784+1))),INDEX(DATAS,AA1784+1),"")</f>
        <v/>
      </c>
      <c r="AI1784" s="51" t="str">
        <f aca="false">IF(AND(AC1784=1,AA1784&lt;1),IF(AND(C1785=C1784,AA1785=AA1784+1),IF(AC1785=1,"",INDEX(DATAS,AA1784+1)),INDEX(DATAS,AA1784+1)),"")</f>
        <v/>
      </c>
    </row>
    <row r="1785" customFormat="false" ht="15" hidden="false" customHeight="false" outlineLevel="0" collapsed="false">
      <c r="A1785" s="51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46" t="s">
        <v>1066</v>
      </c>
      <c r="H1785" s="0" t="n">
        <v>20</v>
      </c>
      <c r="I1785" s="46" t="s">
        <v>181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51" t="n">
        <v>46310</v>
      </c>
      <c r="X1785" s="46" t="n">
        <f aca="false">IF(I1785="Male",0,1)</f>
        <v>1</v>
      </c>
      <c r="Y1785" s="46" t="n">
        <f aca="false">IF(OR(I1785="DNB",I1785="Dry DNB"),1,0)</f>
        <v>0</v>
      </c>
      <c r="Z1785" s="46" t="n">
        <f aca="false">IF(ISNUMBER(W1785),A1785-W1785,"")</f>
        <v>-1</v>
      </c>
      <c r="AA1785" s="46" t="n">
        <f aca="false">MATCH(A1785,DATAS,0)</f>
        <v>1</v>
      </c>
      <c r="AB1785" s="46" t="n">
        <f aca="false">IF(AND(E1785&gt;0,OR(AND(B1785&gt;=1,B1785&lt;=6),B1785=10)),1,0)</f>
        <v>1</v>
      </c>
      <c r="AC1785" s="46" t="n">
        <f aca="false">IF(AND(E1785&gt;0,B1785=10),1,0)</f>
        <v>0</v>
      </c>
      <c r="AD1785" s="0" t="str">
        <f aca="false">IF(AND(C1784=C1785,AA1784=AA1785-1),AB1784,"")</f>
        <v/>
      </c>
      <c r="AE1785" s="0" t="str">
        <f aca="false">IF(AND(C1784=C1785,AA1784=AA1785-1),AC1784,"")</f>
        <v/>
      </c>
      <c r="AF1785" s="0" t="str">
        <f aca="false">IF(AA1785=1,"",IF(AND(AB1785=1,AD1785&lt;&gt;1),1,0))</f>
        <v/>
      </c>
      <c r="AG1785" s="0" t="str">
        <f aca="false">IF(AA1785=1,"",IF(AND(AC1785=1,AE1785&lt;&gt;1),1,0))</f>
        <v/>
      </c>
      <c r="AH1785" s="51" t="str">
        <f aca="false">IF(AND(E1785&gt;0,AA1785&lt;1,NOT(AND(C1786=C1785,AA1786=AA1785+1))),INDEX(DATAS,AA1785+1),"")</f>
        <v/>
      </c>
      <c r="AI1785" s="51" t="str">
        <f aca="false">IF(AND(AC1785=1,AA1785&lt;1),IF(AND(C1786=C1785,AA1786=AA1785+1),IF(AC1786=1,"",INDEX(DATAS,AA1785+1)),INDEX(DATAS,AA1785+1)),"")</f>
        <v/>
      </c>
    </row>
    <row r="1786" customFormat="false" ht="15" hidden="false" customHeight="false" outlineLevel="0" collapsed="false">
      <c r="A1786" s="51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46" t="s">
        <v>1066</v>
      </c>
      <c r="G1786" s="0" t="n">
        <v>43.9</v>
      </c>
      <c r="H1786" s="0" t="n">
        <v>49</v>
      </c>
      <c r="I1786" s="46" t="s">
        <v>161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X1786" s="46" t="n">
        <f aca="false">IF(I1786="Male",0,1)</f>
        <v>1</v>
      </c>
      <c r="Y1786" s="46" t="n">
        <f aca="false">IF(OR(I1786="DNB",I1786="Dry DNB"),1,0)</f>
        <v>0</v>
      </c>
      <c r="Z1786" s="0" t="str">
        <f aca="false">IF(ISNUMBER(W1786),A1786-W1786,"")</f>
        <v/>
      </c>
      <c r="AA1786" s="46" t="n">
        <f aca="false">MATCH(A1786,DATAS,0)</f>
        <v>1</v>
      </c>
      <c r="AB1786" s="46" t="n">
        <f aca="false">IF(AND(E1786&gt;0,OR(AND(B1786&gt;=1,B1786&lt;=6),B1786=10)),1,0)</f>
        <v>1</v>
      </c>
      <c r="AC1786" s="46" t="n">
        <f aca="false">IF(AND(E1786&gt;0,B1786=10),1,0)</f>
        <v>0</v>
      </c>
      <c r="AD1786" s="0" t="str">
        <f aca="false">IF(AND(C1785=C1786,AA1785=AA1786-1),AB1785,"")</f>
        <v/>
      </c>
      <c r="AE1786" s="0" t="str">
        <f aca="false">IF(AND(C1785=C1786,AA1785=AA1786-1),AC1785,"")</f>
        <v/>
      </c>
      <c r="AF1786" s="0" t="str">
        <f aca="false">IF(AA1786=1,"",IF(AND(AB1786=1,AD1786&lt;&gt;1),1,0))</f>
        <v/>
      </c>
      <c r="AG1786" s="0" t="str">
        <f aca="false">IF(AA1786=1,"",IF(AND(AC1786=1,AE1786&lt;&gt;1),1,0))</f>
        <v/>
      </c>
      <c r="AH1786" s="51" t="str">
        <f aca="false">IF(AND(E1786&gt;0,AA1786&lt;1,NOT(AND(C1787=C1786,AA1787=AA1786+1))),INDEX(DATAS,AA1786+1),"")</f>
        <v/>
      </c>
      <c r="AI1786" s="51" t="str">
        <f aca="false">IF(AND(AC1786=1,AA1786&lt;1),IF(AND(C1787=C1786,AA1787=AA1786+1),IF(AC1787=1,"",INDEX(DATAS,AA1786+1)),INDEX(DATAS,AA1786+1)),"")</f>
        <v/>
      </c>
    </row>
    <row r="1787" customFormat="false" ht="15" hidden="false" customHeight="false" outlineLevel="0" collapsed="false">
      <c r="A1787" s="51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46" t="s">
        <v>1067</v>
      </c>
      <c r="G1787" s="0" t="n">
        <v>50.8</v>
      </c>
      <c r="H1787" s="0" t="n">
        <v>47</v>
      </c>
      <c r="I1787" s="46" t="s">
        <v>189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51" t="n">
        <v>46275</v>
      </c>
      <c r="X1787" s="46" t="n">
        <f aca="false">IF(I1787="Male",0,1)</f>
        <v>1</v>
      </c>
      <c r="Y1787" s="46" t="n">
        <f aca="false">IF(OR(I1787="DNB",I1787="Dry DNB"),1,0)</f>
        <v>0</v>
      </c>
      <c r="Z1787" s="46" t="n">
        <f aca="false">IF(ISNUMBER(W1787),A1787-W1787,"")</f>
        <v>34</v>
      </c>
      <c r="AA1787" s="46" t="n">
        <f aca="false">MATCH(A1787,DATAS,0)</f>
        <v>1</v>
      </c>
      <c r="AB1787" s="46" t="n">
        <f aca="false">IF(AND(E1787&gt;0,OR(AND(B1787&gt;=1,B1787&lt;=6),B1787=10)),1,0)</f>
        <v>1</v>
      </c>
      <c r="AC1787" s="46" t="n">
        <f aca="false">IF(AND(E1787&gt;0,B1787=10),1,0)</f>
        <v>0</v>
      </c>
      <c r="AD1787" s="0" t="str">
        <f aca="false">IF(AND(C1786=C1787,AA1786=AA1787-1),AB1786,"")</f>
        <v/>
      </c>
      <c r="AE1787" s="0" t="str">
        <f aca="false">IF(AND(C1786=C1787,AA1786=AA1787-1),AC1786,"")</f>
        <v/>
      </c>
      <c r="AF1787" s="0" t="str">
        <f aca="false">IF(AA1787=1,"",IF(AND(AB1787=1,AD1787&lt;&gt;1),1,0))</f>
        <v/>
      </c>
      <c r="AG1787" s="0" t="str">
        <f aca="false">IF(AA1787=1,"",IF(AND(AC1787=1,AE1787&lt;&gt;1),1,0))</f>
        <v/>
      </c>
      <c r="AH1787" s="51" t="str">
        <f aca="false">IF(AND(E1787&gt;0,AA1787&lt;1,NOT(AND(C1788=C1787,AA1788=AA1787+1))),INDEX(DATAS,AA1787+1),"")</f>
        <v/>
      </c>
      <c r="AI1787" s="51" t="str">
        <f aca="false">IF(AND(AC1787=1,AA1787&lt;1),IF(AND(C1788=C1787,AA1788=AA1787+1),IF(AC1788=1,"",INDEX(DATAS,AA1787+1)),INDEX(DATAS,AA1787+1)),"")</f>
        <v/>
      </c>
    </row>
    <row r="1788" customFormat="false" ht="15" hidden="false" customHeight="false" outlineLevel="0" collapsed="false">
      <c r="A1788" s="51" t="n">
        <v>46309</v>
      </c>
      <c r="B1788" s="0" t="n">
        <v>7</v>
      </c>
      <c r="C1788" s="0" t="n">
        <v>5984</v>
      </c>
      <c r="E1788" s="0" t="n">
        <v>0</v>
      </c>
      <c r="F1788" s="46" t="s">
        <v>1067</v>
      </c>
      <c r="I1788" s="46" t="s">
        <v>152</v>
      </c>
      <c r="L1788" s="0" t="n">
        <v>203</v>
      </c>
      <c r="U1788" s="0" t="n">
        <v>727</v>
      </c>
      <c r="V1788" s="0" t="n">
        <v>5</v>
      </c>
      <c r="W1788" s="51" t="n">
        <v>46107</v>
      </c>
      <c r="X1788" s="46" t="n">
        <f aca="false">IF(I1788="Male",0,1)</f>
        <v>1</v>
      </c>
      <c r="Y1788" s="46" t="n">
        <f aca="false">IF(OR(I1788="DNB",I1788="Dry DNB"),1,0)</f>
        <v>0</v>
      </c>
      <c r="Z1788" s="46" t="n">
        <f aca="false">IF(ISNUMBER(W1788),A1788-W1788,"")</f>
        <v>202</v>
      </c>
      <c r="AA1788" s="46" t="n">
        <f aca="false">MATCH(A1788,DATAS,0)</f>
        <v>1</v>
      </c>
      <c r="AB1788" s="46" t="n">
        <f aca="false">IF(AND(E1788&gt;0,OR(AND(B1788&gt;=1,B1788&lt;=6),B1788=10)),1,0)</f>
        <v>0</v>
      </c>
      <c r="AC1788" s="46" t="n">
        <f aca="false">IF(AND(E1788&gt;0,B1788=10),1,0)</f>
        <v>0</v>
      </c>
      <c r="AD1788" s="0" t="str">
        <f aca="false">IF(AND(C1787=C1788,AA1787=AA1788-1),AB1787,"")</f>
        <v/>
      </c>
      <c r="AE1788" s="0" t="str">
        <f aca="false">IF(AND(C1787=C1788,AA1787=AA1788-1),AC1787,"")</f>
        <v/>
      </c>
      <c r="AF1788" s="0" t="str">
        <f aca="false">IF(AA1788=1,"",IF(AND(AB1788=1,AD1788&lt;&gt;1),1,0))</f>
        <v/>
      </c>
      <c r="AG1788" s="0" t="str">
        <f aca="false">IF(AA1788=1,"",IF(AND(AC1788=1,AE1788&lt;&gt;1),1,0))</f>
        <v/>
      </c>
      <c r="AH1788" s="51" t="str">
        <f aca="false">IF(AND(E1788&gt;0,AA1788&lt;1,NOT(AND(C1789=C1788,AA1789=AA1788+1))),INDEX(DATAS,AA1788+1),"")</f>
        <v/>
      </c>
      <c r="AI1788" s="51" t="str">
        <f aca="false">IF(AND(AC1788=1,AA1788&lt;1),IF(AND(C1789=C1788,AA1789=AA1788+1),IF(AC1789=1,"",INDEX(DATAS,AA1788+1)),INDEX(DATAS,AA1788+1)),"")</f>
        <v/>
      </c>
    </row>
    <row r="1789" customFormat="false" ht="15" hidden="false" customHeight="false" outlineLevel="0" collapsed="false">
      <c r="A1789" s="51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46" t="s">
        <v>1067</v>
      </c>
      <c r="G1789" s="0" t="n">
        <v>39.7</v>
      </c>
      <c r="H1789" s="0" t="n">
        <v>40</v>
      </c>
      <c r="I1789" s="46" t="s">
        <v>152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51" t="n">
        <v>46275</v>
      </c>
      <c r="X1789" s="46" t="n">
        <f aca="false">IF(I1789="Male",0,1)</f>
        <v>1</v>
      </c>
      <c r="Y1789" s="46" t="n">
        <f aca="false">IF(OR(I1789="DNB",I1789="Dry DNB"),1,0)</f>
        <v>0</v>
      </c>
      <c r="Z1789" s="46" t="n">
        <f aca="false">IF(ISNUMBER(W1789),A1789-W1789,"")</f>
        <v>34</v>
      </c>
      <c r="AA1789" s="46" t="n">
        <f aca="false">MATCH(A1789,DATAS,0)</f>
        <v>1</v>
      </c>
      <c r="AB1789" s="46" t="n">
        <f aca="false">IF(AND(E1789&gt;0,OR(AND(B1789&gt;=1,B1789&lt;=6),B1789=10)),1,0)</f>
        <v>1</v>
      </c>
      <c r="AC1789" s="46" t="n">
        <f aca="false">IF(AND(E1789&gt;0,B1789=10),1,0)</f>
        <v>0</v>
      </c>
      <c r="AD1789" s="0" t="str">
        <f aca="false">IF(AND(C1788=C1789,AA1788=AA1789-1),AB1788,"")</f>
        <v/>
      </c>
      <c r="AE1789" s="0" t="str">
        <f aca="false">IF(AND(C1788=C1789,AA1788=AA1789-1),AC1788,"")</f>
        <v/>
      </c>
      <c r="AF1789" s="0" t="str">
        <f aca="false">IF(AA1789=1,"",IF(AND(AB1789=1,AD1789&lt;&gt;1),1,0))</f>
        <v/>
      </c>
      <c r="AG1789" s="0" t="str">
        <f aca="false">IF(AA1789=1,"",IF(AND(AC1789=1,AE1789&lt;&gt;1),1,0))</f>
        <v/>
      </c>
      <c r="AH1789" s="51" t="str">
        <f aca="false">IF(AND(E1789&gt;0,AA1789&lt;1,NOT(AND(C1790=C1789,AA1790=AA1789+1))),INDEX(DATAS,AA1789+1),"")</f>
        <v/>
      </c>
      <c r="AI1789" s="51" t="str">
        <f aca="false">IF(AND(AC1789=1,AA1789&lt;1),IF(AND(C1790=C1789,AA1790=AA1789+1),IF(AC1790=1,"",INDEX(DATAS,AA1789+1)),INDEX(DATAS,AA1789+1)),"")</f>
        <v/>
      </c>
    </row>
    <row r="1790" customFormat="false" ht="15" hidden="false" customHeight="false" outlineLevel="0" collapsed="false">
      <c r="A1790" s="51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46" t="s">
        <v>1067</v>
      </c>
      <c r="G1790" s="0" t="n">
        <v>44.2</v>
      </c>
      <c r="H1790" s="0" t="n">
        <v>43</v>
      </c>
      <c r="I1790" s="46" t="s">
        <v>152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51" t="n">
        <v>46275</v>
      </c>
      <c r="X1790" s="46" t="n">
        <f aca="false">IF(I1790="Male",0,1)</f>
        <v>1</v>
      </c>
      <c r="Y1790" s="46" t="n">
        <f aca="false">IF(OR(I1790="DNB",I1790="Dry DNB"),1,0)</f>
        <v>0</v>
      </c>
      <c r="Z1790" s="46" t="n">
        <f aca="false">IF(ISNUMBER(W1790),A1790-W1790,"")</f>
        <v>34</v>
      </c>
      <c r="AA1790" s="46" t="n">
        <f aca="false">MATCH(A1790,DATAS,0)</f>
        <v>1</v>
      </c>
      <c r="AB1790" s="46" t="n">
        <f aca="false">IF(AND(E1790&gt;0,OR(AND(B1790&gt;=1,B1790&lt;=6),B1790=10)),1,0)</f>
        <v>1</v>
      </c>
      <c r="AC1790" s="46" t="n">
        <f aca="false">IF(AND(E1790&gt;0,B1790=10),1,0)</f>
        <v>0</v>
      </c>
      <c r="AD1790" s="0" t="str">
        <f aca="false">IF(AND(C1789=C1790,AA1789=AA1790-1),AB1789,"")</f>
        <v/>
      </c>
      <c r="AE1790" s="0" t="str">
        <f aca="false">IF(AND(C1789=C1790,AA1789=AA1790-1),AC1789,"")</f>
        <v/>
      </c>
      <c r="AF1790" s="0" t="str">
        <f aca="false">IF(AA1790=1,"",IF(AND(AB1790=1,AD1790&lt;&gt;1),1,0))</f>
        <v/>
      </c>
      <c r="AG1790" s="0" t="str">
        <f aca="false">IF(AA1790=1,"",IF(AND(AC1790=1,AE1790&lt;&gt;1),1,0))</f>
        <v/>
      </c>
      <c r="AH1790" s="51" t="str">
        <f aca="false">IF(AND(E1790&gt;0,AA1790&lt;1,NOT(AND(C1791=C1790,AA1791=AA1790+1))),INDEX(DATAS,AA1790+1),"")</f>
        <v/>
      </c>
      <c r="AI1790" s="51" t="str">
        <f aca="false">IF(AND(AC1790=1,AA1790&lt;1),IF(AND(C1791=C1790,AA1791=AA1790+1),IF(AC1791=1,"",INDEX(DATAS,AA1790+1)),INDEX(DATAS,AA1790+1)),"")</f>
        <v/>
      </c>
    </row>
    <row r="1791" customFormat="false" ht="15" hidden="false" customHeight="false" outlineLevel="0" collapsed="false">
      <c r="A1791" s="51" t="n">
        <v>46309</v>
      </c>
      <c r="B1791" s="0" t="n">
        <v>14</v>
      </c>
      <c r="C1791" s="0" t="n">
        <v>5987</v>
      </c>
      <c r="E1791" s="0" t="n">
        <v>0</v>
      </c>
      <c r="F1791" s="46" t="s">
        <v>1068</v>
      </c>
      <c r="I1791" s="46" t="s">
        <v>152</v>
      </c>
      <c r="L1791" s="0" t="n">
        <v>266</v>
      </c>
      <c r="U1791" s="0" t="n">
        <v>726</v>
      </c>
      <c r="V1791" s="0" t="n">
        <v>3</v>
      </c>
      <c r="W1791" s="51" t="n">
        <v>46044</v>
      </c>
      <c r="X1791" s="46" t="n">
        <f aca="false">IF(I1791="Male",0,1)</f>
        <v>1</v>
      </c>
      <c r="Y1791" s="46" t="n">
        <f aca="false">IF(OR(I1791="DNB",I1791="Dry DNB"),1,0)</f>
        <v>0</v>
      </c>
      <c r="Z1791" s="46" t="n">
        <f aca="false">IF(ISNUMBER(W1791),A1791-W1791,"")</f>
        <v>265</v>
      </c>
      <c r="AA1791" s="46" t="n">
        <f aca="false">MATCH(A1791,DATAS,0)</f>
        <v>1</v>
      </c>
      <c r="AB1791" s="46" t="n">
        <f aca="false">IF(AND(E1791&gt;0,OR(AND(B1791&gt;=1,B1791&lt;=6),B1791=10)),1,0)</f>
        <v>0</v>
      </c>
      <c r="AC1791" s="46" t="n">
        <f aca="false">IF(AND(E1791&gt;0,B1791=10),1,0)</f>
        <v>0</v>
      </c>
      <c r="AD1791" s="0" t="str">
        <f aca="false">IF(AND(C1790=C1791,AA1790=AA1791-1),AB1790,"")</f>
        <v/>
      </c>
      <c r="AE1791" s="0" t="str">
        <f aca="false">IF(AND(C1790=C1791,AA1790=AA1791-1),AC1790,"")</f>
        <v/>
      </c>
      <c r="AF1791" s="0" t="str">
        <f aca="false">IF(AA1791=1,"",IF(AND(AB1791=1,AD1791&lt;&gt;1),1,0))</f>
        <v/>
      </c>
      <c r="AG1791" s="0" t="str">
        <f aca="false">IF(AA1791=1,"",IF(AND(AC1791=1,AE1791&lt;&gt;1),1,0))</f>
        <v/>
      </c>
      <c r="AH1791" s="51" t="str">
        <f aca="false">IF(AND(E1791&gt;0,AA1791&lt;1,NOT(AND(C1792=C1791,AA1792=AA1791+1))),INDEX(DATAS,AA1791+1),"")</f>
        <v/>
      </c>
      <c r="AI1791" s="51" t="str">
        <f aca="false">IF(AND(AC1791=1,AA1791&lt;1),IF(AND(C1792=C1791,AA1792=AA1791+1),IF(AC1792=1,"",INDEX(DATAS,AA1791+1)),INDEX(DATAS,AA1791+1)),"")</f>
        <v/>
      </c>
    </row>
    <row r="1792" customFormat="false" ht="15" hidden="false" customHeight="false" outlineLevel="0" collapsed="false">
      <c r="A1792" s="51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46" t="s">
        <v>1068</v>
      </c>
      <c r="G1792" s="0" t="n">
        <v>40.8</v>
      </c>
      <c r="H1792" s="0" t="n">
        <v>48</v>
      </c>
      <c r="I1792" s="46" t="s">
        <v>181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51" t="n">
        <v>46275</v>
      </c>
      <c r="X1792" s="46" t="n">
        <f aca="false">IF(I1792="Male",0,1)</f>
        <v>1</v>
      </c>
      <c r="Y1792" s="46" t="n">
        <f aca="false">IF(OR(I1792="DNB",I1792="Dry DNB"),1,0)</f>
        <v>0</v>
      </c>
      <c r="Z1792" s="46" t="n">
        <f aca="false">IF(ISNUMBER(W1792),A1792-W1792,"")</f>
        <v>34</v>
      </c>
      <c r="AA1792" s="46" t="n">
        <f aca="false">MATCH(A1792,DATAS,0)</f>
        <v>1</v>
      </c>
      <c r="AB1792" s="46" t="n">
        <f aca="false">IF(AND(E1792&gt;0,OR(AND(B1792&gt;=1,B1792&lt;=6),B1792=10)),1,0)</f>
        <v>1</v>
      </c>
      <c r="AC1792" s="46" t="n">
        <f aca="false">IF(AND(E1792&gt;0,B1792=10),1,0)</f>
        <v>0</v>
      </c>
      <c r="AD1792" s="0" t="str">
        <f aca="false">IF(AND(C1791=C1792,AA1791=AA1792-1),AB1791,"")</f>
        <v/>
      </c>
      <c r="AE1792" s="0" t="str">
        <f aca="false">IF(AND(C1791=C1792,AA1791=AA1792-1),AC1791,"")</f>
        <v/>
      </c>
      <c r="AF1792" s="0" t="str">
        <f aca="false">IF(AA1792=1,"",IF(AND(AB1792=1,AD1792&lt;&gt;1),1,0))</f>
        <v/>
      </c>
      <c r="AG1792" s="0" t="str">
        <f aca="false">IF(AA1792=1,"",IF(AND(AC1792=1,AE1792&lt;&gt;1),1,0))</f>
        <v/>
      </c>
      <c r="AH1792" s="51" t="str">
        <f aca="false">IF(AND(E1792&gt;0,AA1792&lt;1,NOT(AND(C1793=C1792,AA1793=AA1792+1))),INDEX(DATAS,AA1792+1),"")</f>
        <v/>
      </c>
      <c r="AI1792" s="51" t="str">
        <f aca="false">IF(AND(AC1792=1,AA1792&lt;1),IF(AND(C1793=C1792,AA1793=AA1792+1),IF(AC1793=1,"",INDEX(DATAS,AA1792+1)),INDEX(DATAS,AA1792+1)),"")</f>
        <v/>
      </c>
    </row>
    <row r="1793" customFormat="false" ht="15" hidden="false" customHeight="false" outlineLevel="0" collapsed="false">
      <c r="A1793" s="51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46" t="s">
        <v>1069</v>
      </c>
      <c r="G1793" s="0" t="n">
        <v>46</v>
      </c>
      <c r="H1793" s="0" t="n">
        <v>44</v>
      </c>
      <c r="I1793" s="46" t="s">
        <v>161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X1793" s="46" t="n">
        <f aca="false">IF(I1793="Male",0,1)</f>
        <v>1</v>
      </c>
      <c r="Y1793" s="46" t="n">
        <f aca="false">IF(OR(I1793="DNB",I1793="Dry DNB"),1,0)</f>
        <v>0</v>
      </c>
      <c r="Z1793" s="0" t="str">
        <f aca="false">IF(ISNUMBER(W1793),A1793-W1793,"")</f>
        <v/>
      </c>
      <c r="AA1793" s="46" t="n">
        <f aca="false">MATCH(A1793,DATAS,0)</f>
        <v>1</v>
      </c>
      <c r="AB1793" s="46" t="n">
        <f aca="false">IF(AND(E1793&gt;0,OR(AND(B1793&gt;=1,B1793&lt;=6),B1793=10)),1,0)</f>
        <v>1</v>
      </c>
      <c r="AC1793" s="46" t="n">
        <f aca="false">IF(AND(E1793&gt;0,B1793=10),1,0)</f>
        <v>0</v>
      </c>
      <c r="AD1793" s="0" t="str">
        <f aca="false">IF(AND(C1792=C1793,AA1792=AA1793-1),AB1792,"")</f>
        <v/>
      </c>
      <c r="AE1793" s="0" t="str">
        <f aca="false">IF(AND(C1792=C1793,AA1792=AA1793-1),AC1792,"")</f>
        <v/>
      </c>
      <c r="AF1793" s="0" t="str">
        <f aca="false">IF(AA1793=1,"",IF(AND(AB1793=1,AD1793&lt;&gt;1),1,0))</f>
        <v/>
      </c>
      <c r="AG1793" s="0" t="str">
        <f aca="false">IF(AA1793=1,"",IF(AND(AC1793=1,AE1793&lt;&gt;1),1,0))</f>
        <v/>
      </c>
      <c r="AH1793" s="51" t="str">
        <f aca="false">IF(AND(E1793&gt;0,AA1793&lt;1,NOT(AND(C1794=C1793,AA1794=AA1793+1))),INDEX(DATAS,AA1793+1),"")</f>
        <v/>
      </c>
      <c r="AI1793" s="51" t="str">
        <f aca="false">IF(AND(AC1793=1,AA1793&lt;1),IF(AND(C1794=C1793,AA1794=AA1793+1),IF(AC1794=1,"",INDEX(DATAS,AA1793+1)),INDEX(DATAS,AA1793+1)),"")</f>
        <v/>
      </c>
    </row>
    <row r="1794" customFormat="false" ht="15" hidden="false" customHeight="false" outlineLevel="0" collapsed="false">
      <c r="A1794" s="51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46" t="s">
        <v>1069</v>
      </c>
      <c r="G1794" s="0" t="n">
        <v>56.2</v>
      </c>
      <c r="H1794" s="0" t="n">
        <v>57</v>
      </c>
      <c r="I1794" s="46" t="s">
        <v>181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51" t="n">
        <v>46282</v>
      </c>
      <c r="X1794" s="46" t="n">
        <f aca="false">IF(I1794="Male",0,1)</f>
        <v>1</v>
      </c>
      <c r="Y1794" s="46" t="n">
        <f aca="false">IF(OR(I1794="DNB",I1794="Dry DNB"),1,0)</f>
        <v>0</v>
      </c>
      <c r="Z1794" s="46" t="n">
        <f aca="false">IF(ISNUMBER(W1794),A1794-W1794,"")</f>
        <v>27</v>
      </c>
      <c r="AA1794" s="46" t="n">
        <f aca="false">MATCH(A1794,DATAS,0)</f>
        <v>1</v>
      </c>
      <c r="AB1794" s="46" t="n">
        <f aca="false">IF(AND(E1794&gt;0,OR(AND(B1794&gt;=1,B1794&lt;=6),B1794=10)),1,0)</f>
        <v>1</v>
      </c>
      <c r="AC1794" s="46" t="n">
        <f aca="false">IF(AND(E1794&gt;0,B1794=10),1,0)</f>
        <v>0</v>
      </c>
      <c r="AD1794" s="0" t="str">
        <f aca="false">IF(AND(C1793=C1794,AA1793=AA1794-1),AB1793,"")</f>
        <v/>
      </c>
      <c r="AE1794" s="0" t="str">
        <f aca="false">IF(AND(C1793=C1794,AA1793=AA1794-1),AC1793,"")</f>
        <v/>
      </c>
      <c r="AF1794" s="0" t="str">
        <f aca="false">IF(AA1794=1,"",IF(AND(AB1794=1,AD1794&lt;&gt;1),1,0))</f>
        <v/>
      </c>
      <c r="AG1794" s="0" t="str">
        <f aca="false">IF(AA1794=1,"",IF(AND(AC1794=1,AE1794&lt;&gt;1),1,0))</f>
        <v/>
      </c>
      <c r="AH1794" s="51" t="str">
        <f aca="false">IF(AND(E1794&gt;0,AA1794&lt;1,NOT(AND(C1795=C1794,AA1795=AA1794+1))),INDEX(DATAS,AA1794+1),"")</f>
        <v/>
      </c>
      <c r="AI1794" s="51" t="str">
        <f aca="false">IF(AND(AC1794=1,AA1794&lt;1),IF(AND(C1795=C1794,AA1795=AA1794+1),IF(AC1795=1,"",INDEX(DATAS,AA1794+1)),INDEX(DATAS,AA1794+1)),"")</f>
        <v/>
      </c>
    </row>
    <row r="1795" customFormat="false" ht="15" hidden="false" customHeight="false" outlineLevel="0" collapsed="false">
      <c r="A1795" s="51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46" t="s">
        <v>1069</v>
      </c>
      <c r="G1795" s="0" t="n">
        <v>46.9</v>
      </c>
      <c r="H1795" s="0" t="n">
        <v>44</v>
      </c>
      <c r="I1795" s="46" t="s">
        <v>181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51" t="n">
        <v>46310</v>
      </c>
      <c r="X1795" s="46" t="n">
        <f aca="false">IF(I1795="Male",0,1)</f>
        <v>1</v>
      </c>
      <c r="Y1795" s="46" t="n">
        <f aca="false">IF(OR(I1795="DNB",I1795="Dry DNB"),1,0)</f>
        <v>0</v>
      </c>
      <c r="Z1795" s="46" t="n">
        <f aca="false">IF(ISNUMBER(W1795),A1795-W1795,"")</f>
        <v>-1</v>
      </c>
      <c r="AA1795" s="46" t="n">
        <f aca="false">MATCH(A1795,DATAS,0)</f>
        <v>1</v>
      </c>
      <c r="AB1795" s="46" t="n">
        <f aca="false">IF(AND(E1795&gt;0,OR(AND(B1795&gt;=1,B1795&lt;=6),B1795=10)),1,0)</f>
        <v>1</v>
      </c>
      <c r="AC1795" s="46" t="n">
        <f aca="false">IF(AND(E1795&gt;0,B1795=10),1,0)</f>
        <v>0</v>
      </c>
      <c r="AD1795" s="0" t="str">
        <f aca="false">IF(AND(C1794=C1795,AA1794=AA1795-1),AB1794,"")</f>
        <v/>
      </c>
      <c r="AE1795" s="0" t="str">
        <f aca="false">IF(AND(C1794=C1795,AA1794=AA1795-1),AC1794,"")</f>
        <v/>
      </c>
      <c r="AF1795" s="0" t="str">
        <f aca="false">IF(AA1795=1,"",IF(AND(AB1795=1,AD1795&lt;&gt;1),1,0))</f>
        <v/>
      </c>
      <c r="AG1795" s="0" t="str">
        <f aca="false">IF(AA1795=1,"",IF(AND(AC1795=1,AE1795&lt;&gt;1),1,0))</f>
        <v/>
      </c>
      <c r="AH1795" s="51" t="str">
        <f aca="false">IF(AND(E1795&gt;0,AA1795&lt;1,NOT(AND(C1796=C1795,AA1796=AA1795+1))),INDEX(DATAS,AA1795+1),"")</f>
        <v/>
      </c>
      <c r="AI1795" s="51" t="str">
        <f aca="false">IF(AND(AC1795=1,AA1795&lt;1),IF(AND(C1796=C1795,AA1796=AA1795+1),IF(AC1796=1,"",INDEX(DATAS,AA1795+1)),INDEX(DATAS,AA1795+1)),"")</f>
        <v/>
      </c>
    </row>
    <row r="1796" customFormat="false" ht="15" hidden="false" customHeight="false" outlineLevel="0" collapsed="false">
      <c r="A1796" s="51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46" t="s">
        <v>1069</v>
      </c>
      <c r="G1796" s="0" t="n">
        <v>42.5</v>
      </c>
      <c r="H1796" s="0" t="n">
        <v>40</v>
      </c>
      <c r="I1796" s="46" t="s">
        <v>161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X1796" s="46" t="n">
        <f aca="false">IF(I1796="Male",0,1)</f>
        <v>1</v>
      </c>
      <c r="Y1796" s="46" t="n">
        <f aca="false">IF(OR(I1796="DNB",I1796="Dry DNB"),1,0)</f>
        <v>0</v>
      </c>
      <c r="Z1796" s="0" t="str">
        <f aca="false">IF(ISNUMBER(W1796),A1796-W1796,"")</f>
        <v/>
      </c>
      <c r="AA1796" s="46" t="n">
        <f aca="false">MATCH(A1796,DATAS,0)</f>
        <v>1</v>
      </c>
      <c r="AB1796" s="46" t="n">
        <f aca="false">IF(AND(E1796&gt;0,OR(AND(B1796&gt;=1,B1796&lt;=6),B1796=10)),1,0)</f>
        <v>1</v>
      </c>
      <c r="AC1796" s="46" t="n">
        <f aca="false">IF(AND(E1796&gt;0,B1796=10),1,0)</f>
        <v>0</v>
      </c>
      <c r="AD1796" s="0" t="str">
        <f aca="false">IF(AND(C1795=C1796,AA1795=AA1796-1),AB1795,"")</f>
        <v/>
      </c>
      <c r="AE1796" s="0" t="str">
        <f aca="false">IF(AND(C1795=C1796,AA1795=AA1796-1),AC1795,"")</f>
        <v/>
      </c>
      <c r="AF1796" s="0" t="str">
        <f aca="false">IF(AA1796=1,"",IF(AND(AB1796=1,AD1796&lt;&gt;1),1,0))</f>
        <v/>
      </c>
      <c r="AG1796" s="0" t="str">
        <f aca="false">IF(AA1796=1,"",IF(AND(AC1796=1,AE1796&lt;&gt;1),1,0))</f>
        <v/>
      </c>
      <c r="AH1796" s="51" t="str">
        <f aca="false">IF(AND(E1796&gt;0,AA1796&lt;1,NOT(AND(C1797=C1796,AA1797=AA1796+1))),INDEX(DATAS,AA1796+1),"")</f>
        <v/>
      </c>
      <c r="AI1796" s="51" t="str">
        <f aca="false">IF(AND(AC1796=1,AA1796&lt;1),IF(AND(C1797=C1796,AA1797=AA1796+1),IF(AC1797=1,"",INDEX(DATAS,AA1796+1)),INDEX(DATAS,AA1796+1)),"")</f>
        <v/>
      </c>
    </row>
    <row r="1797" customFormat="false" ht="15" hidden="false" customHeight="false" outlineLevel="0" collapsed="false">
      <c r="A1797" s="51" t="n">
        <v>46309</v>
      </c>
      <c r="B1797" s="0" t="n">
        <v>11</v>
      </c>
      <c r="C1797" s="0" t="n">
        <v>5996</v>
      </c>
      <c r="E1797" s="0" t="n">
        <v>0</v>
      </c>
      <c r="F1797" s="46" t="s">
        <v>1070</v>
      </c>
      <c r="I1797" s="46" t="s">
        <v>181</v>
      </c>
      <c r="U1797" s="0" t="n">
        <v>723</v>
      </c>
      <c r="V1797" s="0" t="n">
        <v>12</v>
      </c>
      <c r="W1797" s="51" t="n">
        <v>46300</v>
      </c>
      <c r="X1797" s="46" t="n">
        <f aca="false">IF(I1797="Male",0,1)</f>
        <v>1</v>
      </c>
      <c r="Y1797" s="46" t="n">
        <f aca="false">IF(OR(I1797="DNB",I1797="Dry DNB"),1,0)</f>
        <v>0</v>
      </c>
      <c r="Z1797" s="46" t="n">
        <f aca="false">IF(ISNUMBER(W1797),A1797-W1797,"")</f>
        <v>9</v>
      </c>
      <c r="AA1797" s="46" t="n">
        <f aca="false">MATCH(A1797,DATAS,0)</f>
        <v>1</v>
      </c>
      <c r="AB1797" s="46" t="n">
        <f aca="false">IF(AND(E1797&gt;0,OR(AND(B1797&gt;=1,B1797&lt;=6),B1797=10)),1,0)</f>
        <v>0</v>
      </c>
      <c r="AC1797" s="46" t="n">
        <f aca="false">IF(AND(E1797&gt;0,B1797=10),1,0)</f>
        <v>0</v>
      </c>
      <c r="AD1797" s="0" t="str">
        <f aca="false">IF(AND(C1796=C1797,AA1796=AA1797-1),AB1796,"")</f>
        <v/>
      </c>
      <c r="AE1797" s="0" t="str">
        <f aca="false">IF(AND(C1796=C1797,AA1796=AA1797-1),AC1796,"")</f>
        <v/>
      </c>
      <c r="AF1797" s="0" t="str">
        <f aca="false">IF(AA1797=1,"",IF(AND(AB1797=1,AD1797&lt;&gt;1),1,0))</f>
        <v/>
      </c>
      <c r="AG1797" s="0" t="str">
        <f aca="false">IF(AA1797=1,"",IF(AND(AC1797=1,AE1797&lt;&gt;1),1,0))</f>
        <v/>
      </c>
      <c r="AH1797" s="51" t="str">
        <f aca="false">IF(AND(E1797&gt;0,AA1797&lt;1,NOT(AND(C1798=C1797,AA1798=AA1797+1))),INDEX(DATAS,AA1797+1),"")</f>
        <v/>
      </c>
      <c r="AI1797" s="51" t="str">
        <f aca="false">IF(AND(AC1797=1,AA1797&lt;1),IF(AND(C1798=C1797,AA1798=AA1797+1),IF(AC1798=1,"",INDEX(DATAS,AA1797+1)),INDEX(DATAS,AA1797+1)),"")</f>
        <v/>
      </c>
    </row>
    <row r="1798" customFormat="false" ht="15" hidden="false" customHeight="false" outlineLevel="0" collapsed="false">
      <c r="A1798" s="51" t="n">
        <v>46309</v>
      </c>
      <c r="B1798" s="0" t="n">
        <v>8</v>
      </c>
      <c r="C1798" s="0" t="n">
        <v>5997</v>
      </c>
      <c r="E1798" s="0" t="n">
        <v>0</v>
      </c>
      <c r="F1798" s="46" t="s">
        <v>1070</v>
      </c>
      <c r="I1798" s="46" t="s">
        <v>152</v>
      </c>
      <c r="L1798" s="0" t="n">
        <v>126</v>
      </c>
      <c r="U1798" s="0" t="n">
        <v>723</v>
      </c>
      <c r="V1798" s="0" t="n">
        <v>7</v>
      </c>
      <c r="W1798" s="51" t="n">
        <v>46184</v>
      </c>
      <c r="X1798" s="46" t="n">
        <f aca="false">IF(I1798="Male",0,1)</f>
        <v>1</v>
      </c>
      <c r="Y1798" s="46" t="n">
        <f aca="false">IF(OR(I1798="DNB",I1798="Dry DNB"),1,0)</f>
        <v>0</v>
      </c>
      <c r="Z1798" s="46" t="n">
        <f aca="false">IF(ISNUMBER(W1798),A1798-W1798,"")</f>
        <v>125</v>
      </c>
      <c r="AA1798" s="46" t="n">
        <f aca="false">MATCH(A1798,DATAS,0)</f>
        <v>1</v>
      </c>
      <c r="AB1798" s="46" t="n">
        <f aca="false">IF(AND(E1798&gt;0,OR(AND(B1798&gt;=1,B1798&lt;=6),B1798=10)),1,0)</f>
        <v>0</v>
      </c>
      <c r="AC1798" s="46" t="n">
        <f aca="false">IF(AND(E1798&gt;0,B1798=10),1,0)</f>
        <v>0</v>
      </c>
      <c r="AD1798" s="0" t="str">
        <f aca="false">IF(AND(C1797=C1798,AA1797=AA1798-1),AB1797,"")</f>
        <v/>
      </c>
      <c r="AE1798" s="0" t="str">
        <f aca="false">IF(AND(C1797=C1798,AA1797=AA1798-1),AC1797,"")</f>
        <v/>
      </c>
      <c r="AF1798" s="0" t="str">
        <f aca="false">IF(AA1798=1,"",IF(AND(AB1798=1,AD1798&lt;&gt;1),1,0))</f>
        <v/>
      </c>
      <c r="AG1798" s="0" t="str">
        <f aca="false">IF(AA1798=1,"",IF(AND(AC1798=1,AE1798&lt;&gt;1),1,0))</f>
        <v/>
      </c>
      <c r="AH1798" s="51" t="str">
        <f aca="false">IF(AND(E1798&gt;0,AA1798&lt;1,NOT(AND(C1799=C1798,AA1799=AA1798+1))),INDEX(DATAS,AA1798+1),"")</f>
        <v/>
      </c>
      <c r="AI1798" s="51" t="str">
        <f aca="false">IF(AND(AC1798=1,AA1798&lt;1),IF(AND(C1799=C1798,AA1799=AA1798+1),IF(AC1799=1,"",INDEX(DATAS,AA1798+1)),INDEX(DATAS,AA1798+1)),"")</f>
        <v/>
      </c>
    </row>
    <row r="1799" customFormat="false" ht="15" hidden="false" customHeight="false" outlineLevel="0" collapsed="false">
      <c r="A1799" s="51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46" t="s">
        <v>1070</v>
      </c>
      <c r="G1799" s="0" t="n">
        <v>45.9</v>
      </c>
      <c r="H1799" s="0" t="n">
        <v>47</v>
      </c>
      <c r="I1799" s="46" t="s">
        <v>181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51" t="n">
        <v>46310</v>
      </c>
      <c r="X1799" s="46" t="n">
        <f aca="false">IF(I1799="Male",0,1)</f>
        <v>1</v>
      </c>
      <c r="Y1799" s="46" t="n">
        <f aca="false">IF(OR(I1799="DNB",I1799="Dry DNB"),1,0)</f>
        <v>0</v>
      </c>
      <c r="Z1799" s="46" t="n">
        <f aca="false">IF(ISNUMBER(W1799),A1799-W1799,"")</f>
        <v>-1</v>
      </c>
      <c r="AA1799" s="46" t="n">
        <f aca="false">MATCH(A1799,DATAS,0)</f>
        <v>1</v>
      </c>
      <c r="AB1799" s="46" t="n">
        <f aca="false">IF(AND(E1799&gt;0,OR(AND(B1799&gt;=1,B1799&lt;=6),B1799=10)),1,0)</f>
        <v>1</v>
      </c>
      <c r="AC1799" s="46" t="n">
        <f aca="false">IF(AND(E1799&gt;0,B1799=10),1,0)</f>
        <v>0</v>
      </c>
      <c r="AD1799" s="0" t="str">
        <f aca="false">IF(AND(C1798=C1799,AA1798=AA1799-1),AB1798,"")</f>
        <v/>
      </c>
      <c r="AE1799" s="0" t="str">
        <f aca="false">IF(AND(C1798=C1799,AA1798=AA1799-1),AC1798,"")</f>
        <v/>
      </c>
      <c r="AF1799" s="0" t="str">
        <f aca="false">IF(AA1799=1,"",IF(AND(AB1799=1,AD1799&lt;&gt;1),1,0))</f>
        <v/>
      </c>
      <c r="AG1799" s="0" t="str">
        <f aca="false">IF(AA1799=1,"",IF(AND(AC1799=1,AE1799&lt;&gt;1),1,0))</f>
        <v/>
      </c>
      <c r="AH1799" s="51" t="str">
        <f aca="false">IF(AND(E1799&gt;0,AA1799&lt;1,NOT(AND(C1800=C1799,AA1800=AA1799+1))),INDEX(DATAS,AA1799+1),"")</f>
        <v/>
      </c>
      <c r="AI1799" s="51" t="str">
        <f aca="false">IF(AND(AC1799=1,AA1799&lt;1),IF(AND(C1800=C1799,AA1800=AA1799+1),IF(AC1800=1,"",INDEX(DATAS,AA1799+1)),INDEX(DATAS,AA1799+1)),"")</f>
        <v/>
      </c>
    </row>
    <row r="1800" customFormat="false" ht="15" hidden="false" customHeight="false" outlineLevel="0" collapsed="false">
      <c r="A1800" s="51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46" t="s">
        <v>1071</v>
      </c>
      <c r="G1800" s="0" t="n">
        <v>49.4</v>
      </c>
      <c r="H1800" s="0" t="n">
        <v>50</v>
      </c>
      <c r="I1800" s="46" t="s">
        <v>181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51" t="n">
        <v>46289</v>
      </c>
      <c r="X1800" s="46" t="n">
        <f aca="false">IF(I1800="Male",0,1)</f>
        <v>1</v>
      </c>
      <c r="Y1800" s="46" t="n">
        <f aca="false">IF(OR(I1800="DNB",I1800="Dry DNB"),1,0)</f>
        <v>0</v>
      </c>
      <c r="Z1800" s="46" t="n">
        <f aca="false">IF(ISNUMBER(W1800),A1800-W1800,"")</f>
        <v>20</v>
      </c>
      <c r="AA1800" s="46" t="n">
        <f aca="false">MATCH(A1800,DATAS,0)</f>
        <v>1</v>
      </c>
      <c r="AB1800" s="46" t="n">
        <f aca="false">IF(AND(E1800&gt;0,OR(AND(B1800&gt;=1,B1800&lt;=6),B1800=10)),1,0)</f>
        <v>1</v>
      </c>
      <c r="AC1800" s="46" t="n">
        <f aca="false">IF(AND(E1800&gt;0,B1800=10),1,0)</f>
        <v>0</v>
      </c>
      <c r="AD1800" s="0" t="str">
        <f aca="false">IF(AND(C1799=C1800,AA1799=AA1800-1),AB1799,"")</f>
        <v/>
      </c>
      <c r="AE1800" s="0" t="str">
        <f aca="false">IF(AND(C1799=C1800,AA1799=AA1800-1),AC1799,"")</f>
        <v/>
      </c>
      <c r="AF1800" s="0" t="str">
        <f aca="false">IF(AA1800=1,"",IF(AND(AB1800=1,AD1800&lt;&gt;1),1,0))</f>
        <v/>
      </c>
      <c r="AG1800" s="0" t="str">
        <f aca="false">IF(AA1800=1,"",IF(AND(AC1800=1,AE1800&lt;&gt;1),1,0))</f>
        <v/>
      </c>
      <c r="AH1800" s="51" t="str">
        <f aca="false">IF(AND(E1800&gt;0,AA1800&lt;1,NOT(AND(C1801=C1800,AA1801=AA1800+1))),INDEX(DATAS,AA1800+1),"")</f>
        <v/>
      </c>
      <c r="AI1800" s="51" t="str">
        <f aca="false">IF(AND(AC1800=1,AA1800&lt;1),IF(AND(C1801=C1800,AA1801=AA1800+1),IF(AC1801=1,"",INDEX(DATAS,AA1800+1)),INDEX(DATAS,AA1800+1)),"")</f>
        <v/>
      </c>
    </row>
    <row r="1801" customFormat="false" ht="15" hidden="false" customHeight="false" outlineLevel="0" collapsed="false">
      <c r="A1801" s="51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46" t="s">
        <v>1072</v>
      </c>
      <c r="G1801" s="0" t="n">
        <v>51.4</v>
      </c>
      <c r="H1801" s="0" t="n">
        <v>46</v>
      </c>
      <c r="I1801" s="46" t="s">
        <v>161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X1801" s="46" t="n">
        <f aca="false">IF(I1801="Male",0,1)</f>
        <v>1</v>
      </c>
      <c r="Y1801" s="46" t="n">
        <f aca="false">IF(OR(I1801="DNB",I1801="Dry DNB"),1,0)</f>
        <v>0</v>
      </c>
      <c r="Z1801" s="0" t="str">
        <f aca="false">IF(ISNUMBER(W1801),A1801-W1801,"")</f>
        <v/>
      </c>
      <c r="AA1801" s="46" t="n">
        <f aca="false">MATCH(A1801,DATAS,0)</f>
        <v>1</v>
      </c>
      <c r="AB1801" s="46" t="n">
        <f aca="false">IF(AND(E1801&gt;0,OR(AND(B1801&gt;=1,B1801&lt;=6),B1801=10)),1,0)</f>
        <v>1</v>
      </c>
      <c r="AC1801" s="46" t="n">
        <f aca="false">IF(AND(E1801&gt;0,B1801=10),1,0)</f>
        <v>0</v>
      </c>
      <c r="AD1801" s="0" t="str">
        <f aca="false">IF(AND(C1800=C1801,AA1800=AA1801-1),AB1800,"")</f>
        <v/>
      </c>
      <c r="AE1801" s="0" t="str">
        <f aca="false">IF(AND(C1800=C1801,AA1800=AA1801-1),AC1800,"")</f>
        <v/>
      </c>
      <c r="AF1801" s="0" t="str">
        <f aca="false">IF(AA1801=1,"",IF(AND(AB1801=1,AD1801&lt;&gt;1),1,0))</f>
        <v/>
      </c>
      <c r="AG1801" s="0" t="str">
        <f aca="false">IF(AA1801=1,"",IF(AND(AC1801=1,AE1801&lt;&gt;1),1,0))</f>
        <v/>
      </c>
      <c r="AH1801" s="51" t="str">
        <f aca="false">IF(AND(E1801&gt;0,AA1801&lt;1,NOT(AND(C1802=C1801,AA1802=AA1801+1))),INDEX(DATAS,AA1801+1),"")</f>
        <v/>
      </c>
      <c r="AI1801" s="51" t="str">
        <f aca="false">IF(AND(AC1801=1,AA1801&lt;1),IF(AND(C1802=C1801,AA1802=AA1801+1),IF(AC1802=1,"",INDEX(DATAS,AA1801+1)),INDEX(DATAS,AA1801+1)),"")</f>
        <v/>
      </c>
    </row>
    <row r="1802" customFormat="false" ht="15" hidden="false" customHeight="false" outlineLevel="0" collapsed="false">
      <c r="A1802" s="51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46" t="s">
        <v>1072</v>
      </c>
      <c r="G1802" s="0" t="n">
        <v>47.1</v>
      </c>
      <c r="H1802" s="0" t="n">
        <v>50</v>
      </c>
      <c r="I1802" s="46" t="s">
        <v>161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X1802" s="46" t="n">
        <f aca="false">IF(I1802="Male",0,1)</f>
        <v>1</v>
      </c>
      <c r="Y1802" s="46" t="n">
        <f aca="false">IF(OR(I1802="DNB",I1802="Dry DNB"),1,0)</f>
        <v>0</v>
      </c>
      <c r="Z1802" s="0" t="str">
        <f aca="false">IF(ISNUMBER(W1802),A1802-W1802,"")</f>
        <v/>
      </c>
      <c r="AA1802" s="46" t="n">
        <f aca="false">MATCH(A1802,DATAS,0)</f>
        <v>1</v>
      </c>
      <c r="AB1802" s="46" t="n">
        <f aca="false">IF(AND(E1802&gt;0,OR(AND(B1802&gt;=1,B1802&lt;=6),B1802=10)),1,0)</f>
        <v>1</v>
      </c>
      <c r="AC1802" s="46" t="n">
        <f aca="false">IF(AND(E1802&gt;0,B1802=10),1,0)</f>
        <v>0</v>
      </c>
      <c r="AD1802" s="0" t="str">
        <f aca="false">IF(AND(C1801=C1802,AA1801=AA1802-1),AB1801,"")</f>
        <v/>
      </c>
      <c r="AE1802" s="0" t="str">
        <f aca="false">IF(AND(C1801=C1802,AA1801=AA1802-1),AC1801,"")</f>
        <v/>
      </c>
      <c r="AF1802" s="0" t="str">
        <f aca="false">IF(AA1802=1,"",IF(AND(AB1802=1,AD1802&lt;&gt;1),1,0))</f>
        <v/>
      </c>
      <c r="AG1802" s="0" t="str">
        <f aca="false">IF(AA1802=1,"",IF(AND(AC1802=1,AE1802&lt;&gt;1),1,0))</f>
        <v/>
      </c>
      <c r="AH1802" s="51" t="str">
        <f aca="false">IF(AND(E1802&gt;0,AA1802&lt;1,NOT(AND(C1803=C1802,AA1803=AA1802+1))),INDEX(DATAS,AA1802+1),"")</f>
        <v/>
      </c>
      <c r="AI1802" s="51" t="str">
        <f aca="false">IF(AND(AC1802=1,AA1802&lt;1),IF(AND(C1803=C1802,AA1803=AA1802+1),IF(AC1803=1,"",INDEX(DATAS,AA1802+1)),INDEX(DATAS,AA1802+1)),"")</f>
        <v/>
      </c>
    </row>
    <row r="1803" customFormat="false" ht="15" hidden="false" customHeight="false" outlineLevel="0" collapsed="false">
      <c r="A1803" s="51" t="n">
        <v>46309</v>
      </c>
      <c r="B1803" s="0" t="n">
        <v>8</v>
      </c>
      <c r="C1803" s="0" t="n">
        <v>6005</v>
      </c>
      <c r="E1803" s="0" t="n">
        <v>0</v>
      </c>
      <c r="F1803" s="46" t="s">
        <v>1072</v>
      </c>
      <c r="I1803" s="46" t="s">
        <v>152</v>
      </c>
      <c r="L1803" s="0" t="n">
        <v>35</v>
      </c>
      <c r="U1803" s="0" t="n">
        <v>720</v>
      </c>
      <c r="V1803" s="0" t="n">
        <v>7</v>
      </c>
      <c r="W1803" s="51" t="n">
        <v>46275</v>
      </c>
      <c r="X1803" s="46" t="n">
        <f aca="false">IF(I1803="Male",0,1)</f>
        <v>1</v>
      </c>
      <c r="Y1803" s="46" t="n">
        <f aca="false">IF(OR(I1803="DNB",I1803="Dry DNB"),1,0)</f>
        <v>0</v>
      </c>
      <c r="Z1803" s="46" t="n">
        <f aca="false">IF(ISNUMBER(W1803),A1803-W1803,"")</f>
        <v>34</v>
      </c>
      <c r="AA1803" s="46" t="n">
        <f aca="false">MATCH(A1803,DATAS,0)</f>
        <v>1</v>
      </c>
      <c r="AB1803" s="46" t="n">
        <f aca="false">IF(AND(E1803&gt;0,OR(AND(B1803&gt;=1,B1803&lt;=6),B1803=10)),1,0)</f>
        <v>0</v>
      </c>
      <c r="AC1803" s="46" t="n">
        <f aca="false">IF(AND(E1803&gt;0,B1803=10),1,0)</f>
        <v>0</v>
      </c>
      <c r="AD1803" s="0" t="str">
        <f aca="false">IF(AND(C1802=C1803,AA1802=AA1803-1),AB1802,"")</f>
        <v/>
      </c>
      <c r="AE1803" s="0" t="str">
        <f aca="false">IF(AND(C1802=C1803,AA1802=AA1803-1),AC1802,"")</f>
        <v/>
      </c>
      <c r="AF1803" s="0" t="str">
        <f aca="false">IF(AA1803=1,"",IF(AND(AB1803=1,AD1803&lt;&gt;1),1,0))</f>
        <v/>
      </c>
      <c r="AG1803" s="0" t="str">
        <f aca="false">IF(AA1803=1,"",IF(AND(AC1803=1,AE1803&lt;&gt;1),1,0))</f>
        <v/>
      </c>
      <c r="AH1803" s="51" t="str">
        <f aca="false">IF(AND(E1803&gt;0,AA1803&lt;1,NOT(AND(C1804=C1803,AA1804=AA1803+1))),INDEX(DATAS,AA1803+1),"")</f>
        <v/>
      </c>
      <c r="AI1803" s="51" t="str">
        <f aca="false">IF(AND(AC1803=1,AA1803&lt;1),IF(AND(C1804=C1803,AA1804=AA1803+1),IF(AC1804=1,"",INDEX(DATAS,AA1803+1)),INDEX(DATAS,AA1803+1)),"")</f>
        <v/>
      </c>
    </row>
    <row r="1804" customFormat="false" ht="15" hidden="false" customHeight="false" outlineLevel="0" collapsed="false">
      <c r="A1804" s="51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46" t="s">
        <v>1073</v>
      </c>
      <c r="I1804" s="46" t="s">
        <v>161</v>
      </c>
      <c r="J1804" s="0" t="n">
        <v>35</v>
      </c>
      <c r="U1804" s="0" t="n">
        <v>719</v>
      </c>
      <c r="V1804" s="0" t="n">
        <v>0</v>
      </c>
      <c r="X1804" s="46" t="n">
        <f aca="false">IF(I1804="Male",0,1)</f>
        <v>1</v>
      </c>
      <c r="Y1804" s="46" t="n">
        <f aca="false">IF(OR(I1804="DNB",I1804="Dry DNB"),1,0)</f>
        <v>0</v>
      </c>
      <c r="Z1804" s="0" t="str">
        <f aca="false">IF(ISNUMBER(W1804),A1804-W1804,"")</f>
        <v/>
      </c>
      <c r="AA1804" s="46" t="n">
        <f aca="false">MATCH(A1804,DATAS,0)</f>
        <v>1</v>
      </c>
      <c r="AB1804" s="46" t="n">
        <f aca="false">IF(AND(E1804&gt;0,OR(AND(B1804&gt;=1,B1804&lt;=6),B1804=10)),1,0)</f>
        <v>1</v>
      </c>
      <c r="AC1804" s="46" t="n">
        <f aca="false">IF(AND(E1804&gt;0,B1804=10),1,0)</f>
        <v>0</v>
      </c>
      <c r="AD1804" s="0" t="str">
        <f aca="false">IF(AND(C1803=C1804,AA1803=AA1804-1),AB1803,"")</f>
        <v/>
      </c>
      <c r="AE1804" s="0" t="str">
        <f aca="false">IF(AND(C1803=C1804,AA1803=AA1804-1),AC1803,"")</f>
        <v/>
      </c>
      <c r="AF1804" s="0" t="str">
        <f aca="false">IF(AA1804=1,"",IF(AND(AB1804=1,AD1804&lt;&gt;1),1,0))</f>
        <v/>
      </c>
      <c r="AG1804" s="0" t="str">
        <f aca="false">IF(AA1804=1,"",IF(AND(AC1804=1,AE1804&lt;&gt;1),1,0))</f>
        <v/>
      </c>
      <c r="AH1804" s="51" t="str">
        <f aca="false">IF(AND(E1804&gt;0,AA1804&lt;1,NOT(AND(C1805=C1804,AA1805=AA1804+1))),INDEX(DATAS,AA1804+1),"")</f>
        <v/>
      </c>
      <c r="AI1804" s="51" t="str">
        <f aca="false">IF(AND(AC1804=1,AA1804&lt;1),IF(AND(C1805=C1804,AA1805=AA1804+1),IF(AC1805=1,"",INDEX(DATAS,AA1804+1)),INDEX(DATAS,AA1804+1)),"")</f>
        <v/>
      </c>
    </row>
    <row r="1805" customFormat="false" ht="15" hidden="false" customHeight="false" outlineLevel="0" collapsed="false">
      <c r="A1805" s="51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46" t="s">
        <v>1073</v>
      </c>
      <c r="G1805" s="0" t="n">
        <v>49.1</v>
      </c>
      <c r="H1805" s="0" t="n">
        <v>49</v>
      </c>
      <c r="I1805" s="46" t="s">
        <v>161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X1805" s="46" t="n">
        <f aca="false">IF(I1805="Male",0,1)</f>
        <v>1</v>
      </c>
      <c r="Y1805" s="46" t="n">
        <f aca="false">IF(OR(I1805="DNB",I1805="Dry DNB"),1,0)</f>
        <v>0</v>
      </c>
      <c r="Z1805" s="0" t="str">
        <f aca="false">IF(ISNUMBER(W1805),A1805-W1805,"")</f>
        <v/>
      </c>
      <c r="AA1805" s="46" t="n">
        <f aca="false">MATCH(A1805,DATAS,0)</f>
        <v>1</v>
      </c>
      <c r="AB1805" s="46" t="n">
        <f aca="false">IF(AND(E1805&gt;0,OR(AND(B1805&gt;=1,B1805&lt;=6),B1805=10)),1,0)</f>
        <v>1</v>
      </c>
      <c r="AC1805" s="46" t="n">
        <f aca="false">IF(AND(E1805&gt;0,B1805=10),1,0)</f>
        <v>0</v>
      </c>
      <c r="AD1805" s="0" t="str">
        <f aca="false">IF(AND(C1804=C1805,AA1804=AA1805-1),AB1804,"")</f>
        <v/>
      </c>
      <c r="AE1805" s="0" t="str">
        <f aca="false">IF(AND(C1804=C1805,AA1804=AA1805-1),AC1804,"")</f>
        <v/>
      </c>
      <c r="AF1805" s="0" t="str">
        <f aca="false">IF(AA1805=1,"",IF(AND(AB1805=1,AD1805&lt;&gt;1),1,0))</f>
        <v/>
      </c>
      <c r="AG1805" s="0" t="str">
        <f aca="false">IF(AA1805=1,"",IF(AND(AC1805=1,AE1805&lt;&gt;1),1,0))</f>
        <v/>
      </c>
      <c r="AH1805" s="51" t="str">
        <f aca="false">IF(AND(E1805&gt;0,AA1805&lt;1,NOT(AND(C1806=C1805,AA1806=AA1805+1))),INDEX(DATAS,AA1805+1),"")</f>
        <v/>
      </c>
      <c r="AI1805" s="51" t="str">
        <f aca="false">IF(AND(AC1805=1,AA1805&lt;1),IF(AND(C1806=C1805,AA1806=AA1805+1),IF(AC1806=1,"",INDEX(DATAS,AA1805+1)),INDEX(DATAS,AA1805+1)),"")</f>
        <v/>
      </c>
    </row>
    <row r="1806" customFormat="false" ht="15" hidden="false" customHeight="false" outlineLevel="0" collapsed="false">
      <c r="A1806" s="51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46" t="s">
        <v>1074</v>
      </c>
      <c r="G1806" s="0" t="n">
        <v>52.3</v>
      </c>
      <c r="H1806" s="0" t="n">
        <v>51</v>
      </c>
      <c r="I1806" s="46" t="s">
        <v>181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51" t="n">
        <v>46296</v>
      </c>
      <c r="X1806" s="46" t="n">
        <f aca="false">IF(I1806="Male",0,1)</f>
        <v>1</v>
      </c>
      <c r="Y1806" s="46" t="n">
        <f aca="false">IF(OR(I1806="DNB",I1806="Dry DNB"),1,0)</f>
        <v>0</v>
      </c>
      <c r="Z1806" s="46" t="n">
        <f aca="false">IF(ISNUMBER(W1806),A1806-W1806,"")</f>
        <v>13</v>
      </c>
      <c r="AA1806" s="46" t="n">
        <f aca="false">MATCH(A1806,DATAS,0)</f>
        <v>1</v>
      </c>
      <c r="AB1806" s="46" t="n">
        <f aca="false">IF(AND(E1806&gt;0,OR(AND(B1806&gt;=1,B1806&lt;=6),B1806=10)),1,0)</f>
        <v>1</v>
      </c>
      <c r="AC1806" s="46" t="n">
        <f aca="false">IF(AND(E1806&gt;0,B1806=10),1,0)</f>
        <v>0</v>
      </c>
      <c r="AD1806" s="0" t="str">
        <f aca="false">IF(AND(C1805=C1806,AA1805=AA1806-1),AB1805,"")</f>
        <v/>
      </c>
      <c r="AE1806" s="0" t="str">
        <f aca="false">IF(AND(C1805=C1806,AA1805=AA1806-1),AC1805,"")</f>
        <v/>
      </c>
      <c r="AF1806" s="0" t="str">
        <f aca="false">IF(AA1806=1,"",IF(AND(AB1806=1,AD1806&lt;&gt;1),1,0))</f>
        <v/>
      </c>
      <c r="AG1806" s="0" t="str">
        <f aca="false">IF(AA1806=1,"",IF(AND(AC1806=1,AE1806&lt;&gt;1),1,0))</f>
        <v/>
      </c>
      <c r="AH1806" s="51" t="str">
        <f aca="false">IF(AND(E1806&gt;0,AA1806&lt;1,NOT(AND(C1807=C1806,AA1807=AA1806+1))),INDEX(DATAS,AA1806+1),"")</f>
        <v/>
      </c>
      <c r="AI1806" s="51" t="str">
        <f aca="false">IF(AND(AC1806=1,AA1806&lt;1),IF(AND(C1807=C1806,AA1807=AA1806+1),IF(AC1807=1,"",INDEX(DATAS,AA1806+1)),INDEX(DATAS,AA1806+1)),"")</f>
        <v/>
      </c>
    </row>
    <row r="1807" customFormat="false" ht="15" hidden="false" customHeight="false" outlineLevel="0" collapsed="false">
      <c r="A1807" s="51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46" t="s">
        <v>1074</v>
      </c>
      <c r="G1807" s="0" t="n">
        <v>24.4</v>
      </c>
      <c r="H1807" s="0" t="n">
        <v>28</v>
      </c>
      <c r="I1807" s="46" t="s">
        <v>161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X1807" s="46" t="n">
        <f aca="false">IF(I1807="Male",0,1)</f>
        <v>1</v>
      </c>
      <c r="Y1807" s="46" t="n">
        <f aca="false">IF(OR(I1807="DNB",I1807="Dry DNB"),1,0)</f>
        <v>0</v>
      </c>
      <c r="Z1807" s="0" t="str">
        <f aca="false">IF(ISNUMBER(W1807),A1807-W1807,"")</f>
        <v/>
      </c>
      <c r="AA1807" s="46" t="n">
        <f aca="false">MATCH(A1807,DATAS,0)</f>
        <v>1</v>
      </c>
      <c r="AB1807" s="46" t="n">
        <f aca="false">IF(AND(E1807&gt;0,OR(AND(B1807&gt;=1,B1807&lt;=6),B1807=10)),1,0)</f>
        <v>1</v>
      </c>
      <c r="AC1807" s="46" t="n">
        <f aca="false">IF(AND(E1807&gt;0,B1807=10),1,0)</f>
        <v>0</v>
      </c>
      <c r="AD1807" s="0" t="str">
        <f aca="false">IF(AND(C1806=C1807,AA1806=AA1807-1),AB1806,"")</f>
        <v/>
      </c>
      <c r="AE1807" s="0" t="str">
        <f aca="false">IF(AND(C1806=C1807,AA1806=AA1807-1),AC1806,"")</f>
        <v/>
      </c>
      <c r="AF1807" s="0" t="str">
        <f aca="false">IF(AA1807=1,"",IF(AND(AB1807=1,AD1807&lt;&gt;1),1,0))</f>
        <v/>
      </c>
      <c r="AG1807" s="0" t="str">
        <f aca="false">IF(AA1807=1,"",IF(AND(AC1807=1,AE1807&lt;&gt;1),1,0))</f>
        <v/>
      </c>
      <c r="AH1807" s="51" t="str">
        <f aca="false">IF(AND(E1807&gt;0,AA1807&lt;1,NOT(AND(C1808=C1807,AA1808=AA1807+1))),INDEX(DATAS,AA1807+1),"")</f>
        <v/>
      </c>
      <c r="AI1807" s="51" t="str">
        <f aca="false">IF(AND(AC1807=1,AA1807&lt;1),IF(AND(C1808=C1807,AA1808=AA1807+1),IF(AC1808=1,"",INDEX(DATAS,AA1807+1)),INDEX(DATAS,AA1807+1)),"")</f>
        <v/>
      </c>
    </row>
    <row r="1808" customFormat="false" ht="15" hidden="false" customHeight="false" outlineLevel="0" collapsed="false">
      <c r="A1808" s="51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46" t="s">
        <v>1074</v>
      </c>
      <c r="G1808" s="0" t="n">
        <v>49</v>
      </c>
      <c r="H1808" s="0" t="n">
        <v>44</v>
      </c>
      <c r="I1808" s="46" t="s">
        <v>181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51" t="n">
        <v>46303</v>
      </c>
      <c r="X1808" s="46" t="n">
        <f aca="false">IF(I1808="Male",0,1)</f>
        <v>1</v>
      </c>
      <c r="Y1808" s="46" t="n">
        <f aca="false">IF(OR(I1808="DNB",I1808="Dry DNB"),1,0)</f>
        <v>0</v>
      </c>
      <c r="Z1808" s="46" t="n">
        <f aca="false">IF(ISNUMBER(W1808),A1808-W1808,"")</f>
        <v>6</v>
      </c>
      <c r="AA1808" s="46" t="n">
        <f aca="false">MATCH(A1808,DATAS,0)</f>
        <v>1</v>
      </c>
      <c r="AB1808" s="46" t="n">
        <f aca="false">IF(AND(E1808&gt;0,OR(AND(B1808&gt;=1,B1808&lt;=6),B1808=10)),1,0)</f>
        <v>1</v>
      </c>
      <c r="AC1808" s="46" t="n">
        <f aca="false">IF(AND(E1808&gt;0,B1808=10),1,0)</f>
        <v>0</v>
      </c>
      <c r="AD1808" s="0" t="str">
        <f aca="false">IF(AND(C1807=C1808,AA1807=AA1808-1),AB1807,"")</f>
        <v/>
      </c>
      <c r="AE1808" s="0" t="str">
        <f aca="false">IF(AND(C1807=C1808,AA1807=AA1808-1),AC1807,"")</f>
        <v/>
      </c>
      <c r="AF1808" s="0" t="str">
        <f aca="false">IF(AA1808=1,"",IF(AND(AB1808=1,AD1808&lt;&gt;1),1,0))</f>
        <v/>
      </c>
      <c r="AG1808" s="0" t="str">
        <f aca="false">IF(AA1808=1,"",IF(AND(AC1808=1,AE1808&lt;&gt;1),1,0))</f>
        <v/>
      </c>
      <c r="AH1808" s="51" t="str">
        <f aca="false">IF(AND(E1808&gt;0,AA1808&lt;1,NOT(AND(C1809=C1808,AA1809=AA1808+1))),INDEX(DATAS,AA1808+1),"")</f>
        <v/>
      </c>
      <c r="AI1808" s="51" t="str">
        <f aca="false">IF(AND(AC1808=1,AA1808&lt;1),IF(AND(C1809=C1808,AA1809=AA1808+1),IF(AC1809=1,"",INDEX(DATAS,AA1808+1)),INDEX(DATAS,AA1808+1)),"")</f>
        <v/>
      </c>
    </row>
    <row r="1809" customFormat="false" ht="15" hidden="false" customHeight="false" outlineLevel="0" collapsed="false">
      <c r="A1809" s="51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46" t="s">
        <v>1075</v>
      </c>
      <c r="G1809" s="0" t="n">
        <v>53.4</v>
      </c>
      <c r="H1809" s="0" t="n">
        <v>51</v>
      </c>
      <c r="I1809" s="46" t="s">
        <v>161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X1809" s="46" t="n">
        <f aca="false">IF(I1809="Male",0,1)</f>
        <v>1</v>
      </c>
      <c r="Y1809" s="46" t="n">
        <f aca="false">IF(OR(I1809="DNB",I1809="Dry DNB"),1,0)</f>
        <v>0</v>
      </c>
      <c r="Z1809" s="0" t="str">
        <f aca="false">IF(ISNUMBER(W1809),A1809-W1809,"")</f>
        <v/>
      </c>
      <c r="AA1809" s="46" t="n">
        <f aca="false">MATCH(A1809,DATAS,0)</f>
        <v>1</v>
      </c>
      <c r="AB1809" s="46" t="n">
        <f aca="false">IF(AND(E1809&gt;0,OR(AND(B1809&gt;=1,B1809&lt;=6),B1809=10)),1,0)</f>
        <v>1</v>
      </c>
      <c r="AC1809" s="46" t="n">
        <f aca="false">IF(AND(E1809&gt;0,B1809=10),1,0)</f>
        <v>0</v>
      </c>
      <c r="AD1809" s="0" t="str">
        <f aca="false">IF(AND(C1808=C1809,AA1808=AA1809-1),AB1808,"")</f>
        <v/>
      </c>
      <c r="AE1809" s="0" t="str">
        <f aca="false">IF(AND(C1808=C1809,AA1808=AA1809-1),AC1808,"")</f>
        <v/>
      </c>
      <c r="AF1809" s="0" t="str">
        <f aca="false">IF(AA1809=1,"",IF(AND(AB1809=1,AD1809&lt;&gt;1),1,0))</f>
        <v/>
      </c>
      <c r="AG1809" s="0" t="str">
        <f aca="false">IF(AA1809=1,"",IF(AND(AC1809=1,AE1809&lt;&gt;1),1,0))</f>
        <v/>
      </c>
      <c r="AH1809" s="51" t="str">
        <f aca="false">IF(AND(E1809&gt;0,AA1809&lt;1,NOT(AND(C1810=C1809,AA1810=AA1809+1))),INDEX(DATAS,AA1809+1),"")</f>
        <v/>
      </c>
      <c r="AI1809" s="51" t="str">
        <f aca="false">IF(AND(AC1809=1,AA1809&lt;1),IF(AND(C1810=C1809,AA1810=AA1809+1),IF(AC1810=1,"",INDEX(DATAS,AA1809+1)),INDEX(DATAS,AA1809+1)),"")</f>
        <v/>
      </c>
    </row>
    <row r="1810" customFormat="false" ht="15" hidden="false" customHeight="false" outlineLevel="0" collapsed="false">
      <c r="A1810" s="51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46" t="s">
        <v>1075</v>
      </c>
      <c r="G1810" s="0" t="n">
        <v>38.7</v>
      </c>
      <c r="H1810" s="0" t="n">
        <v>38</v>
      </c>
      <c r="I1810" s="46" t="s">
        <v>161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X1810" s="46" t="n">
        <f aca="false">IF(I1810="Male",0,1)</f>
        <v>1</v>
      </c>
      <c r="Y1810" s="46" t="n">
        <f aca="false">IF(OR(I1810="DNB",I1810="Dry DNB"),1,0)</f>
        <v>0</v>
      </c>
      <c r="Z1810" s="0" t="str">
        <f aca="false">IF(ISNUMBER(W1810),A1810-W1810,"")</f>
        <v/>
      </c>
      <c r="AA1810" s="46" t="n">
        <f aca="false">MATCH(A1810,DATAS,0)</f>
        <v>1</v>
      </c>
      <c r="AB1810" s="46" t="n">
        <f aca="false">IF(AND(E1810&gt;0,OR(AND(B1810&gt;=1,B1810&lt;=6),B1810=10)),1,0)</f>
        <v>1</v>
      </c>
      <c r="AC1810" s="46" t="n">
        <f aca="false">IF(AND(E1810&gt;0,B1810=10),1,0)</f>
        <v>0</v>
      </c>
      <c r="AD1810" s="0" t="str">
        <f aca="false">IF(AND(C1809=C1810,AA1809=AA1810-1),AB1809,"")</f>
        <v/>
      </c>
      <c r="AE1810" s="0" t="str">
        <f aca="false">IF(AND(C1809=C1810,AA1809=AA1810-1),AC1809,"")</f>
        <v/>
      </c>
      <c r="AF1810" s="0" t="str">
        <f aca="false">IF(AA1810=1,"",IF(AND(AB1810=1,AD1810&lt;&gt;1),1,0))</f>
        <v/>
      </c>
      <c r="AG1810" s="0" t="str">
        <f aca="false">IF(AA1810=1,"",IF(AND(AC1810=1,AE1810&lt;&gt;1),1,0))</f>
        <v/>
      </c>
      <c r="AH1810" s="51" t="str">
        <f aca="false">IF(AND(E1810&gt;0,AA1810&lt;1,NOT(AND(C1811=C1810,AA1811=AA1810+1))),INDEX(DATAS,AA1810+1),"")</f>
        <v/>
      </c>
      <c r="AI1810" s="51" t="str">
        <f aca="false">IF(AND(AC1810=1,AA1810&lt;1),IF(AND(C1811=C1810,AA1811=AA1810+1),IF(AC1811=1,"",INDEX(DATAS,AA1810+1)),INDEX(DATAS,AA1810+1)),"")</f>
        <v/>
      </c>
    </row>
    <row r="1811" customFormat="false" ht="15" hidden="false" customHeight="false" outlineLevel="0" collapsed="false">
      <c r="A1811" s="51" t="n">
        <v>46309</v>
      </c>
      <c r="B1811" s="0" t="n">
        <v>14</v>
      </c>
      <c r="C1811" s="0" t="n">
        <v>6015</v>
      </c>
      <c r="E1811" s="0" t="n">
        <v>0</v>
      </c>
      <c r="F1811" s="46" t="s">
        <v>1075</v>
      </c>
      <c r="I1811" s="46" t="s">
        <v>152</v>
      </c>
      <c r="L1811" s="0" t="n">
        <v>255</v>
      </c>
      <c r="U1811" s="0" t="n">
        <v>715</v>
      </c>
      <c r="V1811" s="0" t="n">
        <v>4</v>
      </c>
      <c r="W1811" s="51" t="n">
        <v>46055</v>
      </c>
      <c r="X1811" s="46" t="n">
        <f aca="false">IF(I1811="Male",0,1)</f>
        <v>1</v>
      </c>
      <c r="Y1811" s="46" t="n">
        <f aca="false">IF(OR(I1811="DNB",I1811="Dry DNB"),1,0)</f>
        <v>0</v>
      </c>
      <c r="Z1811" s="46" t="n">
        <f aca="false">IF(ISNUMBER(W1811),A1811-W1811,"")</f>
        <v>254</v>
      </c>
      <c r="AA1811" s="46" t="n">
        <f aca="false">MATCH(A1811,DATAS,0)</f>
        <v>1</v>
      </c>
      <c r="AB1811" s="46" t="n">
        <f aca="false">IF(AND(E1811&gt;0,OR(AND(B1811&gt;=1,B1811&lt;=6),B1811=10)),1,0)</f>
        <v>0</v>
      </c>
      <c r="AC1811" s="46" t="n">
        <f aca="false">IF(AND(E1811&gt;0,B1811=10),1,0)</f>
        <v>0</v>
      </c>
      <c r="AD1811" s="0" t="str">
        <f aca="false">IF(AND(C1810=C1811,AA1810=AA1811-1),AB1810,"")</f>
        <v/>
      </c>
      <c r="AE1811" s="0" t="str">
        <f aca="false">IF(AND(C1810=C1811,AA1810=AA1811-1),AC1810,"")</f>
        <v/>
      </c>
      <c r="AF1811" s="0" t="str">
        <f aca="false">IF(AA1811=1,"",IF(AND(AB1811=1,AD1811&lt;&gt;1),1,0))</f>
        <v/>
      </c>
      <c r="AG1811" s="0" t="str">
        <f aca="false">IF(AA1811=1,"",IF(AND(AC1811=1,AE1811&lt;&gt;1),1,0))</f>
        <v/>
      </c>
      <c r="AH1811" s="51" t="str">
        <f aca="false">IF(AND(E1811&gt;0,AA1811&lt;1,NOT(AND(C1812=C1811,AA1812=AA1811+1))),INDEX(DATAS,AA1811+1),"")</f>
        <v/>
      </c>
      <c r="AI1811" s="51" t="str">
        <f aca="false">IF(AND(AC1811=1,AA1811&lt;1),IF(AND(C1812=C1811,AA1812=AA1811+1),IF(AC1812=1,"",INDEX(DATAS,AA1811+1)),INDEX(DATAS,AA1811+1)),"")</f>
        <v/>
      </c>
    </row>
    <row r="1812" customFormat="false" ht="15" hidden="false" customHeight="false" outlineLevel="0" collapsed="false">
      <c r="A1812" s="51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46" t="s">
        <v>1075</v>
      </c>
      <c r="G1812" s="0" t="n">
        <v>35.7</v>
      </c>
      <c r="H1812" s="0" t="n">
        <v>34</v>
      </c>
      <c r="I1812" s="46" t="s">
        <v>161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X1812" s="46" t="n">
        <f aca="false">IF(I1812="Male",0,1)</f>
        <v>1</v>
      </c>
      <c r="Y1812" s="46" t="n">
        <f aca="false">IF(OR(I1812="DNB",I1812="Dry DNB"),1,0)</f>
        <v>0</v>
      </c>
      <c r="Z1812" s="0" t="str">
        <f aca="false">IF(ISNUMBER(W1812),A1812-W1812,"")</f>
        <v/>
      </c>
      <c r="AA1812" s="46" t="n">
        <f aca="false">MATCH(A1812,DATAS,0)</f>
        <v>1</v>
      </c>
      <c r="AB1812" s="46" t="n">
        <f aca="false">IF(AND(E1812&gt;0,OR(AND(B1812&gt;=1,B1812&lt;=6),B1812=10)),1,0)</f>
        <v>1</v>
      </c>
      <c r="AC1812" s="46" t="n">
        <f aca="false">IF(AND(E1812&gt;0,B1812=10),1,0)</f>
        <v>0</v>
      </c>
      <c r="AD1812" s="0" t="str">
        <f aca="false">IF(AND(C1811=C1812,AA1811=AA1812-1),AB1811,"")</f>
        <v/>
      </c>
      <c r="AE1812" s="0" t="str">
        <f aca="false">IF(AND(C1811=C1812,AA1811=AA1812-1),AC1811,"")</f>
        <v/>
      </c>
      <c r="AF1812" s="0" t="str">
        <f aca="false">IF(AA1812=1,"",IF(AND(AB1812=1,AD1812&lt;&gt;1),1,0))</f>
        <v/>
      </c>
      <c r="AG1812" s="0" t="str">
        <f aca="false">IF(AA1812=1,"",IF(AND(AC1812=1,AE1812&lt;&gt;1),1,0))</f>
        <v/>
      </c>
      <c r="AH1812" s="51" t="str">
        <f aca="false">IF(AND(E1812&gt;0,AA1812&lt;1,NOT(AND(C1813=C1812,AA1813=AA1812+1))),INDEX(DATAS,AA1812+1),"")</f>
        <v/>
      </c>
      <c r="AI1812" s="51" t="str">
        <f aca="false">IF(AND(AC1812=1,AA1812&lt;1),IF(AND(C1813=C1812,AA1813=AA1812+1),IF(AC1813=1,"",INDEX(DATAS,AA1812+1)),INDEX(DATAS,AA1812+1)),"")</f>
        <v/>
      </c>
    </row>
    <row r="1813" customFormat="false" ht="15" hidden="false" customHeight="false" outlineLevel="0" collapsed="false">
      <c r="A1813" s="51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46" t="s">
        <v>1075</v>
      </c>
      <c r="G1813" s="0" t="n">
        <v>41.8</v>
      </c>
      <c r="H1813" s="0" t="n">
        <v>45</v>
      </c>
      <c r="I1813" s="46" t="s">
        <v>161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X1813" s="46" t="n">
        <f aca="false">IF(I1813="Male",0,1)</f>
        <v>1</v>
      </c>
      <c r="Y1813" s="46" t="n">
        <f aca="false">IF(OR(I1813="DNB",I1813="Dry DNB"),1,0)</f>
        <v>0</v>
      </c>
      <c r="Z1813" s="0" t="str">
        <f aca="false">IF(ISNUMBER(W1813),A1813-W1813,"")</f>
        <v/>
      </c>
      <c r="AA1813" s="46" t="n">
        <f aca="false">MATCH(A1813,DATAS,0)</f>
        <v>1</v>
      </c>
      <c r="AB1813" s="46" t="n">
        <f aca="false">IF(AND(E1813&gt;0,OR(AND(B1813&gt;=1,B1813&lt;=6),B1813=10)),1,0)</f>
        <v>1</v>
      </c>
      <c r="AC1813" s="46" t="n">
        <f aca="false">IF(AND(E1813&gt;0,B1813=10),1,0)</f>
        <v>0</v>
      </c>
      <c r="AD1813" s="0" t="str">
        <f aca="false">IF(AND(C1812=C1813,AA1812=AA1813-1),AB1812,"")</f>
        <v/>
      </c>
      <c r="AE1813" s="0" t="str">
        <f aca="false">IF(AND(C1812=C1813,AA1812=AA1813-1),AC1812,"")</f>
        <v/>
      </c>
      <c r="AF1813" s="0" t="str">
        <f aca="false">IF(AA1813=1,"",IF(AND(AB1813=1,AD1813&lt;&gt;1),1,0))</f>
        <v/>
      </c>
      <c r="AG1813" s="0" t="str">
        <f aca="false">IF(AA1813=1,"",IF(AND(AC1813=1,AE1813&lt;&gt;1),1,0))</f>
        <v/>
      </c>
      <c r="AH1813" s="51" t="str">
        <f aca="false">IF(AND(E1813&gt;0,AA1813&lt;1,NOT(AND(C1814=C1813,AA1814=AA1813+1))),INDEX(DATAS,AA1813+1),"")</f>
        <v/>
      </c>
      <c r="AI1813" s="51" t="str">
        <f aca="false">IF(AND(AC1813=1,AA1813&lt;1),IF(AND(C1814=C1813,AA1814=AA1813+1),IF(AC1814=1,"",INDEX(DATAS,AA1813+1)),INDEX(DATAS,AA1813+1)),"")</f>
        <v/>
      </c>
    </row>
    <row r="1814" customFormat="false" ht="15" hidden="false" customHeight="false" outlineLevel="0" collapsed="false">
      <c r="A1814" s="51" t="n">
        <v>46309</v>
      </c>
      <c r="B1814" s="0" t="n">
        <v>14</v>
      </c>
      <c r="C1814" s="0" t="n">
        <v>6021</v>
      </c>
      <c r="E1814" s="0" t="n">
        <v>0</v>
      </c>
      <c r="F1814" s="46" t="s">
        <v>1076</v>
      </c>
      <c r="I1814" s="46" t="s">
        <v>152</v>
      </c>
      <c r="L1814" s="0" t="n">
        <v>260</v>
      </c>
      <c r="U1814" s="0" t="n">
        <v>714</v>
      </c>
      <c r="V1814" s="0" t="n">
        <v>4</v>
      </c>
      <c r="W1814" s="51" t="n">
        <v>46050</v>
      </c>
      <c r="X1814" s="46" t="n">
        <f aca="false">IF(I1814="Male",0,1)</f>
        <v>1</v>
      </c>
      <c r="Y1814" s="46" t="n">
        <f aca="false">IF(OR(I1814="DNB",I1814="Dry DNB"),1,0)</f>
        <v>0</v>
      </c>
      <c r="Z1814" s="46" t="n">
        <f aca="false">IF(ISNUMBER(W1814),A1814-W1814,"")</f>
        <v>259</v>
      </c>
      <c r="AA1814" s="46" t="n">
        <f aca="false">MATCH(A1814,DATAS,0)</f>
        <v>1</v>
      </c>
      <c r="AB1814" s="46" t="n">
        <f aca="false">IF(AND(E1814&gt;0,OR(AND(B1814&gt;=1,B1814&lt;=6),B1814=10)),1,0)</f>
        <v>0</v>
      </c>
      <c r="AC1814" s="46" t="n">
        <f aca="false">IF(AND(E1814&gt;0,B1814=10),1,0)</f>
        <v>0</v>
      </c>
      <c r="AD1814" s="0" t="str">
        <f aca="false">IF(AND(C1813=C1814,AA1813=AA1814-1),AB1813,"")</f>
        <v/>
      </c>
      <c r="AE1814" s="0" t="str">
        <f aca="false">IF(AND(C1813=C1814,AA1813=AA1814-1),AC1813,"")</f>
        <v/>
      </c>
      <c r="AF1814" s="0" t="str">
        <f aca="false">IF(AA1814=1,"",IF(AND(AB1814=1,AD1814&lt;&gt;1),1,0))</f>
        <v/>
      </c>
      <c r="AG1814" s="0" t="str">
        <f aca="false">IF(AA1814=1,"",IF(AND(AC1814=1,AE1814&lt;&gt;1),1,0))</f>
        <v/>
      </c>
      <c r="AH1814" s="51" t="str">
        <f aca="false">IF(AND(E1814&gt;0,AA1814&lt;1,NOT(AND(C1815=C1814,AA1815=AA1814+1))),INDEX(DATAS,AA1814+1),"")</f>
        <v/>
      </c>
      <c r="AI1814" s="51" t="str">
        <f aca="false">IF(AND(AC1814=1,AA1814&lt;1),IF(AND(C1815=C1814,AA1815=AA1814+1),IF(AC1815=1,"",INDEX(DATAS,AA1814+1)),INDEX(DATAS,AA1814+1)),"")</f>
        <v/>
      </c>
    </row>
    <row r="1815" customFormat="false" ht="15" hidden="false" customHeight="false" outlineLevel="0" collapsed="false">
      <c r="A1815" s="51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46" t="s">
        <v>1077</v>
      </c>
      <c r="G1815" s="0" t="n">
        <v>47.4</v>
      </c>
      <c r="H1815" s="0" t="n">
        <v>48</v>
      </c>
      <c r="I1815" s="46" t="s">
        <v>161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X1815" s="46" t="n">
        <f aca="false">IF(I1815="Male",0,1)</f>
        <v>1</v>
      </c>
      <c r="Y1815" s="46" t="n">
        <f aca="false">IF(OR(I1815="DNB",I1815="Dry DNB"),1,0)</f>
        <v>0</v>
      </c>
      <c r="Z1815" s="0" t="str">
        <f aca="false">IF(ISNUMBER(W1815),A1815-W1815,"")</f>
        <v/>
      </c>
      <c r="AA1815" s="46" t="n">
        <f aca="false">MATCH(A1815,DATAS,0)</f>
        <v>1</v>
      </c>
      <c r="AB1815" s="46" t="n">
        <f aca="false">IF(AND(E1815&gt;0,OR(AND(B1815&gt;=1,B1815&lt;=6),B1815=10)),1,0)</f>
        <v>1</v>
      </c>
      <c r="AC1815" s="46" t="n">
        <f aca="false">IF(AND(E1815&gt;0,B1815=10),1,0)</f>
        <v>0</v>
      </c>
      <c r="AD1815" s="0" t="str">
        <f aca="false">IF(AND(C1814=C1815,AA1814=AA1815-1),AB1814,"")</f>
        <v/>
      </c>
      <c r="AE1815" s="0" t="str">
        <f aca="false">IF(AND(C1814=C1815,AA1814=AA1815-1),AC1814,"")</f>
        <v/>
      </c>
      <c r="AF1815" s="0" t="str">
        <f aca="false">IF(AA1815=1,"",IF(AND(AB1815=1,AD1815&lt;&gt;1),1,0))</f>
        <v/>
      </c>
      <c r="AG1815" s="0" t="str">
        <f aca="false">IF(AA1815=1,"",IF(AND(AC1815=1,AE1815&lt;&gt;1),1,0))</f>
        <v/>
      </c>
      <c r="AH1815" s="51" t="str">
        <f aca="false">IF(AND(E1815&gt;0,AA1815&lt;1,NOT(AND(C1816=C1815,AA1816=AA1815+1))),INDEX(DATAS,AA1815+1),"")</f>
        <v/>
      </c>
      <c r="AI1815" s="51" t="str">
        <f aca="false">IF(AND(AC1815=1,AA1815&lt;1),IF(AND(C1816=C1815,AA1816=AA1815+1),IF(AC1816=1,"",INDEX(DATAS,AA1815+1)),INDEX(DATAS,AA1815+1)),"")</f>
        <v/>
      </c>
    </row>
    <row r="1816" customFormat="false" ht="15" hidden="false" customHeight="false" outlineLevel="0" collapsed="false">
      <c r="A1816" s="51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46" t="s">
        <v>1078</v>
      </c>
      <c r="G1816" s="0" t="n">
        <v>43</v>
      </c>
      <c r="H1816" s="0" t="n">
        <v>42</v>
      </c>
      <c r="I1816" s="46" t="s">
        <v>181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51" t="n">
        <v>46310</v>
      </c>
      <c r="X1816" s="46" t="n">
        <f aca="false">IF(I1816="Male",0,1)</f>
        <v>1</v>
      </c>
      <c r="Y1816" s="46" t="n">
        <f aca="false">IF(OR(I1816="DNB",I1816="Dry DNB"),1,0)</f>
        <v>0</v>
      </c>
      <c r="Z1816" s="46" t="n">
        <f aca="false">IF(ISNUMBER(W1816),A1816-W1816,"")</f>
        <v>-1</v>
      </c>
      <c r="AA1816" s="46" t="n">
        <f aca="false">MATCH(A1816,DATAS,0)</f>
        <v>1</v>
      </c>
      <c r="AB1816" s="46" t="n">
        <f aca="false">IF(AND(E1816&gt;0,OR(AND(B1816&gt;=1,B1816&lt;=6),B1816=10)),1,0)</f>
        <v>1</v>
      </c>
      <c r="AC1816" s="46" t="n">
        <f aca="false">IF(AND(E1816&gt;0,B1816=10),1,0)</f>
        <v>0</v>
      </c>
      <c r="AD1816" s="0" t="str">
        <f aca="false">IF(AND(C1815=C1816,AA1815=AA1816-1),AB1815,"")</f>
        <v/>
      </c>
      <c r="AE1816" s="0" t="str">
        <f aca="false">IF(AND(C1815=C1816,AA1815=AA1816-1),AC1815,"")</f>
        <v/>
      </c>
      <c r="AF1816" s="0" t="str">
        <f aca="false">IF(AA1816=1,"",IF(AND(AB1816=1,AD1816&lt;&gt;1),1,0))</f>
        <v/>
      </c>
      <c r="AG1816" s="0" t="str">
        <f aca="false">IF(AA1816=1,"",IF(AND(AC1816=1,AE1816&lt;&gt;1),1,0))</f>
        <v/>
      </c>
      <c r="AH1816" s="51" t="str">
        <f aca="false">IF(AND(E1816&gt;0,AA1816&lt;1,NOT(AND(C1817=C1816,AA1817=AA1816+1))),INDEX(DATAS,AA1816+1),"")</f>
        <v/>
      </c>
      <c r="AI1816" s="51" t="str">
        <f aca="false">IF(AND(AC1816=1,AA1816&lt;1),IF(AND(C1817=C1816,AA1817=AA1816+1),IF(AC1817=1,"",INDEX(DATAS,AA1816+1)),INDEX(DATAS,AA1816+1)),"")</f>
        <v/>
      </c>
    </row>
    <row r="1817" customFormat="false" ht="15" hidden="false" customHeight="false" outlineLevel="0" collapsed="false">
      <c r="A1817" s="51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46" t="s">
        <v>1078</v>
      </c>
      <c r="G1817" s="0" t="n">
        <v>46.2</v>
      </c>
      <c r="H1817" s="0" t="n">
        <v>42</v>
      </c>
      <c r="I1817" s="46" t="s">
        <v>181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51" t="n">
        <v>46310</v>
      </c>
      <c r="X1817" s="46" t="n">
        <f aca="false">IF(I1817="Male",0,1)</f>
        <v>1</v>
      </c>
      <c r="Y1817" s="46" t="n">
        <f aca="false">IF(OR(I1817="DNB",I1817="Dry DNB"),1,0)</f>
        <v>0</v>
      </c>
      <c r="Z1817" s="46" t="n">
        <f aca="false">IF(ISNUMBER(W1817),A1817-W1817,"")</f>
        <v>-1</v>
      </c>
      <c r="AA1817" s="46" t="n">
        <f aca="false">MATCH(A1817,DATAS,0)</f>
        <v>1</v>
      </c>
      <c r="AB1817" s="46" t="n">
        <f aca="false">IF(AND(E1817&gt;0,OR(AND(B1817&gt;=1,B1817&lt;=6),B1817=10)),1,0)</f>
        <v>1</v>
      </c>
      <c r="AC1817" s="46" t="n">
        <f aca="false">IF(AND(E1817&gt;0,B1817=10),1,0)</f>
        <v>0</v>
      </c>
      <c r="AD1817" s="0" t="str">
        <f aca="false">IF(AND(C1816=C1817,AA1816=AA1817-1),AB1816,"")</f>
        <v/>
      </c>
      <c r="AE1817" s="0" t="str">
        <f aca="false">IF(AND(C1816=C1817,AA1816=AA1817-1),AC1816,"")</f>
        <v/>
      </c>
      <c r="AF1817" s="0" t="str">
        <f aca="false">IF(AA1817=1,"",IF(AND(AB1817=1,AD1817&lt;&gt;1),1,0))</f>
        <v/>
      </c>
      <c r="AG1817" s="0" t="str">
        <f aca="false">IF(AA1817=1,"",IF(AND(AC1817=1,AE1817&lt;&gt;1),1,0))</f>
        <v/>
      </c>
      <c r="AH1817" s="51" t="str">
        <f aca="false">IF(AND(E1817&gt;0,AA1817&lt;1,NOT(AND(C1818=C1817,AA1818=AA1817+1))),INDEX(DATAS,AA1817+1),"")</f>
        <v/>
      </c>
      <c r="AI1817" s="51" t="str">
        <f aca="false">IF(AND(AC1817=1,AA1817&lt;1),IF(AND(C1818=C1817,AA1818=AA1817+1),IF(AC1818=1,"",INDEX(DATAS,AA1817+1)),INDEX(DATAS,AA1817+1)),"")</f>
        <v/>
      </c>
    </row>
    <row r="1818" customFormat="false" ht="15" hidden="false" customHeight="false" outlineLevel="0" collapsed="false">
      <c r="A1818" s="51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46" t="s">
        <v>1078</v>
      </c>
      <c r="G1818" s="0" t="n">
        <v>57.9</v>
      </c>
      <c r="H1818" s="0" t="n">
        <v>55</v>
      </c>
      <c r="I1818" s="46" t="s">
        <v>181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51" t="n">
        <v>46303</v>
      </c>
      <c r="X1818" s="46" t="n">
        <f aca="false">IF(I1818="Male",0,1)</f>
        <v>1</v>
      </c>
      <c r="Y1818" s="46" t="n">
        <f aca="false">IF(OR(I1818="DNB",I1818="Dry DNB"),1,0)</f>
        <v>0</v>
      </c>
      <c r="Z1818" s="46" t="n">
        <f aca="false">IF(ISNUMBER(W1818),A1818-W1818,"")</f>
        <v>6</v>
      </c>
      <c r="AA1818" s="46" t="n">
        <f aca="false">MATCH(A1818,DATAS,0)</f>
        <v>1</v>
      </c>
      <c r="AB1818" s="46" t="n">
        <f aca="false">IF(AND(E1818&gt;0,OR(AND(B1818&gt;=1,B1818&lt;=6),B1818=10)),1,0)</f>
        <v>1</v>
      </c>
      <c r="AC1818" s="46" t="n">
        <f aca="false">IF(AND(E1818&gt;0,B1818=10),1,0)</f>
        <v>0</v>
      </c>
      <c r="AD1818" s="0" t="str">
        <f aca="false">IF(AND(C1817=C1818,AA1817=AA1818-1),AB1817,"")</f>
        <v/>
      </c>
      <c r="AE1818" s="0" t="str">
        <f aca="false">IF(AND(C1817=C1818,AA1817=AA1818-1),AC1817,"")</f>
        <v/>
      </c>
      <c r="AF1818" s="0" t="str">
        <f aca="false">IF(AA1818=1,"",IF(AND(AB1818=1,AD1818&lt;&gt;1),1,0))</f>
        <v/>
      </c>
      <c r="AG1818" s="0" t="str">
        <f aca="false">IF(AA1818=1,"",IF(AND(AC1818=1,AE1818&lt;&gt;1),1,0))</f>
        <v/>
      </c>
      <c r="AH1818" s="51" t="str">
        <f aca="false">IF(AND(E1818&gt;0,AA1818&lt;1,NOT(AND(C1819=C1818,AA1819=AA1818+1))),INDEX(DATAS,AA1818+1),"")</f>
        <v/>
      </c>
      <c r="AI1818" s="51" t="str">
        <f aca="false">IF(AND(AC1818=1,AA1818&lt;1),IF(AND(C1819=C1818,AA1819=AA1818+1),IF(AC1819=1,"",INDEX(DATAS,AA1818+1)),INDEX(DATAS,AA1818+1)),"")</f>
        <v/>
      </c>
    </row>
    <row r="1819" customFormat="false" ht="15" hidden="false" customHeight="false" outlineLevel="0" collapsed="false">
      <c r="A1819" s="51" t="n">
        <v>46309</v>
      </c>
      <c r="B1819" s="0" t="n">
        <v>8</v>
      </c>
      <c r="C1819" s="0" t="n">
        <v>6028</v>
      </c>
      <c r="E1819" s="0" t="n">
        <v>0</v>
      </c>
      <c r="F1819" s="46" t="s">
        <v>1078</v>
      </c>
      <c r="I1819" s="46" t="s">
        <v>152</v>
      </c>
      <c r="L1819" s="0" t="n">
        <v>42</v>
      </c>
      <c r="U1819" s="0" t="n">
        <v>712</v>
      </c>
      <c r="V1819" s="0" t="n">
        <v>5</v>
      </c>
      <c r="W1819" s="51" t="n">
        <v>46268</v>
      </c>
      <c r="X1819" s="46" t="n">
        <f aca="false">IF(I1819="Male",0,1)</f>
        <v>1</v>
      </c>
      <c r="Y1819" s="46" t="n">
        <f aca="false">IF(OR(I1819="DNB",I1819="Dry DNB"),1,0)</f>
        <v>0</v>
      </c>
      <c r="Z1819" s="46" t="n">
        <f aca="false">IF(ISNUMBER(W1819),A1819-W1819,"")</f>
        <v>41</v>
      </c>
      <c r="AA1819" s="46" t="n">
        <f aca="false">MATCH(A1819,DATAS,0)</f>
        <v>1</v>
      </c>
      <c r="AB1819" s="46" t="n">
        <f aca="false">IF(AND(E1819&gt;0,OR(AND(B1819&gt;=1,B1819&lt;=6),B1819=10)),1,0)</f>
        <v>0</v>
      </c>
      <c r="AC1819" s="46" t="n">
        <f aca="false">IF(AND(E1819&gt;0,B1819=10),1,0)</f>
        <v>0</v>
      </c>
      <c r="AD1819" s="0" t="str">
        <f aca="false">IF(AND(C1818=C1819,AA1818=AA1819-1),AB1818,"")</f>
        <v/>
      </c>
      <c r="AE1819" s="0" t="str">
        <f aca="false">IF(AND(C1818=C1819,AA1818=AA1819-1),AC1818,"")</f>
        <v/>
      </c>
      <c r="AF1819" s="0" t="str">
        <f aca="false">IF(AA1819=1,"",IF(AND(AB1819=1,AD1819&lt;&gt;1),1,0))</f>
        <v/>
      </c>
      <c r="AG1819" s="0" t="str">
        <f aca="false">IF(AA1819=1,"",IF(AND(AC1819=1,AE1819&lt;&gt;1),1,0))</f>
        <v/>
      </c>
      <c r="AH1819" s="51" t="str">
        <f aca="false">IF(AND(E1819&gt;0,AA1819&lt;1,NOT(AND(C1820=C1819,AA1820=AA1819+1))),INDEX(DATAS,AA1819+1),"")</f>
        <v/>
      </c>
      <c r="AI1819" s="51" t="str">
        <f aca="false">IF(AND(AC1819=1,AA1819&lt;1),IF(AND(C1820=C1819,AA1820=AA1819+1),IF(AC1820=1,"",INDEX(DATAS,AA1819+1)),INDEX(DATAS,AA1819+1)),"")</f>
        <v/>
      </c>
    </row>
    <row r="1820" customFormat="false" ht="15" hidden="false" customHeight="false" outlineLevel="0" collapsed="false">
      <c r="A1820" s="51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46" t="s">
        <v>1079</v>
      </c>
      <c r="G1820" s="0" t="n">
        <v>33.1</v>
      </c>
      <c r="H1820" s="0" t="n">
        <v>30</v>
      </c>
      <c r="I1820" s="46" t="s">
        <v>161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X1820" s="46" t="n">
        <f aca="false">IF(I1820="Male",0,1)</f>
        <v>1</v>
      </c>
      <c r="Y1820" s="46" t="n">
        <f aca="false">IF(OR(I1820="DNB",I1820="Dry DNB"),1,0)</f>
        <v>0</v>
      </c>
      <c r="Z1820" s="0" t="str">
        <f aca="false">IF(ISNUMBER(W1820),A1820-W1820,"")</f>
        <v/>
      </c>
      <c r="AA1820" s="46" t="n">
        <f aca="false">MATCH(A1820,DATAS,0)</f>
        <v>1</v>
      </c>
      <c r="AB1820" s="46" t="n">
        <f aca="false">IF(AND(E1820&gt;0,OR(AND(B1820&gt;=1,B1820&lt;=6),B1820=10)),1,0)</f>
        <v>1</v>
      </c>
      <c r="AC1820" s="46" t="n">
        <f aca="false">IF(AND(E1820&gt;0,B1820=10),1,0)</f>
        <v>0</v>
      </c>
      <c r="AD1820" s="0" t="str">
        <f aca="false">IF(AND(C1819=C1820,AA1819=AA1820-1),AB1819,"")</f>
        <v/>
      </c>
      <c r="AE1820" s="0" t="str">
        <f aca="false">IF(AND(C1819=C1820,AA1819=AA1820-1),AC1819,"")</f>
        <v/>
      </c>
      <c r="AF1820" s="0" t="str">
        <f aca="false">IF(AA1820=1,"",IF(AND(AB1820=1,AD1820&lt;&gt;1),1,0))</f>
        <v/>
      </c>
      <c r="AG1820" s="0" t="str">
        <f aca="false">IF(AA1820=1,"",IF(AND(AC1820=1,AE1820&lt;&gt;1),1,0))</f>
        <v/>
      </c>
      <c r="AH1820" s="51" t="str">
        <f aca="false">IF(AND(E1820&gt;0,AA1820&lt;1,NOT(AND(C1821=C1820,AA1821=AA1820+1))),INDEX(DATAS,AA1820+1),"")</f>
        <v/>
      </c>
      <c r="AI1820" s="51" t="str">
        <f aca="false">IF(AND(AC1820=1,AA1820&lt;1),IF(AND(C1821=C1820,AA1821=AA1820+1),IF(AC1821=1,"",INDEX(DATAS,AA1820+1)),INDEX(DATAS,AA1820+1)),"")</f>
        <v/>
      </c>
    </row>
    <row r="1821" customFormat="false" ht="15" hidden="false" customHeight="false" outlineLevel="0" collapsed="false">
      <c r="A1821" s="51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46" t="s">
        <v>1079</v>
      </c>
      <c r="G1821" s="0" t="n">
        <v>48.9</v>
      </c>
      <c r="H1821" s="0" t="n">
        <v>47</v>
      </c>
      <c r="I1821" s="46" t="s">
        <v>161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X1821" s="46" t="n">
        <f aca="false">IF(I1821="Male",0,1)</f>
        <v>1</v>
      </c>
      <c r="Y1821" s="46" t="n">
        <f aca="false">IF(OR(I1821="DNB",I1821="Dry DNB"),1,0)</f>
        <v>0</v>
      </c>
      <c r="Z1821" s="0" t="str">
        <f aca="false">IF(ISNUMBER(W1821),A1821-W1821,"")</f>
        <v/>
      </c>
      <c r="AA1821" s="46" t="n">
        <f aca="false">MATCH(A1821,DATAS,0)</f>
        <v>1</v>
      </c>
      <c r="AB1821" s="46" t="n">
        <f aca="false">IF(AND(E1821&gt;0,OR(AND(B1821&gt;=1,B1821&lt;=6),B1821=10)),1,0)</f>
        <v>1</v>
      </c>
      <c r="AC1821" s="46" t="n">
        <f aca="false">IF(AND(E1821&gt;0,B1821=10),1,0)</f>
        <v>0</v>
      </c>
      <c r="AD1821" s="0" t="str">
        <f aca="false">IF(AND(C1820=C1821,AA1820=AA1821-1),AB1820,"")</f>
        <v/>
      </c>
      <c r="AE1821" s="0" t="str">
        <f aca="false">IF(AND(C1820=C1821,AA1820=AA1821-1),AC1820,"")</f>
        <v/>
      </c>
      <c r="AF1821" s="0" t="str">
        <f aca="false">IF(AA1821=1,"",IF(AND(AB1821=1,AD1821&lt;&gt;1),1,0))</f>
        <v/>
      </c>
      <c r="AG1821" s="0" t="str">
        <f aca="false">IF(AA1821=1,"",IF(AND(AC1821=1,AE1821&lt;&gt;1),1,0))</f>
        <v/>
      </c>
      <c r="AH1821" s="51" t="str">
        <f aca="false">IF(AND(E1821&gt;0,AA1821&lt;1,NOT(AND(C1822=C1821,AA1822=AA1821+1))),INDEX(DATAS,AA1821+1),"")</f>
        <v/>
      </c>
      <c r="AI1821" s="51" t="str">
        <f aca="false">IF(AND(AC1821=1,AA1821&lt;1),IF(AND(C1822=C1821,AA1822=AA1821+1),IF(AC1822=1,"",INDEX(DATAS,AA1821+1)),INDEX(DATAS,AA1821+1)),"")</f>
        <v/>
      </c>
    </row>
    <row r="1822" customFormat="false" ht="15" hidden="false" customHeight="false" outlineLevel="0" collapsed="false">
      <c r="A1822" s="51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46" t="s">
        <v>1080</v>
      </c>
      <c r="G1822" s="0" t="n">
        <v>34.2</v>
      </c>
      <c r="H1822" s="0" t="n">
        <v>36</v>
      </c>
      <c r="I1822" s="46" t="s">
        <v>181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51" t="n">
        <v>46310</v>
      </c>
      <c r="X1822" s="46" t="n">
        <f aca="false">IF(I1822="Male",0,1)</f>
        <v>1</v>
      </c>
      <c r="Y1822" s="46" t="n">
        <f aca="false">IF(OR(I1822="DNB",I1822="Dry DNB"),1,0)</f>
        <v>0</v>
      </c>
      <c r="Z1822" s="46" t="n">
        <f aca="false">IF(ISNUMBER(W1822),A1822-W1822,"")</f>
        <v>-1</v>
      </c>
      <c r="AA1822" s="46" t="n">
        <f aca="false">MATCH(A1822,DATAS,0)</f>
        <v>1</v>
      </c>
      <c r="AB1822" s="46" t="n">
        <f aca="false">IF(AND(E1822&gt;0,OR(AND(B1822&gt;=1,B1822&lt;=6),B1822=10)),1,0)</f>
        <v>1</v>
      </c>
      <c r="AC1822" s="46" t="n">
        <f aca="false">IF(AND(E1822&gt;0,B1822=10),1,0)</f>
        <v>0</v>
      </c>
      <c r="AD1822" s="0" t="str">
        <f aca="false">IF(AND(C1821=C1822,AA1821=AA1822-1),AB1821,"")</f>
        <v/>
      </c>
      <c r="AE1822" s="0" t="str">
        <f aca="false">IF(AND(C1821=C1822,AA1821=AA1822-1),AC1821,"")</f>
        <v/>
      </c>
      <c r="AF1822" s="0" t="str">
        <f aca="false">IF(AA1822=1,"",IF(AND(AB1822=1,AD1822&lt;&gt;1),1,0))</f>
        <v/>
      </c>
      <c r="AG1822" s="0" t="str">
        <f aca="false">IF(AA1822=1,"",IF(AND(AC1822=1,AE1822&lt;&gt;1),1,0))</f>
        <v/>
      </c>
      <c r="AH1822" s="51" t="str">
        <f aca="false">IF(AND(E1822&gt;0,AA1822&lt;1,NOT(AND(C1823=C1822,AA1823=AA1822+1))),INDEX(DATAS,AA1822+1),"")</f>
        <v/>
      </c>
      <c r="AI1822" s="51" t="str">
        <f aca="false">IF(AND(AC1822=1,AA1822&lt;1),IF(AND(C1823=C1822,AA1823=AA1822+1),IF(AC1823=1,"",INDEX(DATAS,AA1822+1)),INDEX(DATAS,AA1822+1)),"")</f>
        <v/>
      </c>
    </row>
    <row r="1823" customFormat="false" ht="15" hidden="false" customHeight="false" outlineLevel="0" collapsed="false">
      <c r="A1823" s="51" t="n">
        <v>46309</v>
      </c>
      <c r="B1823" s="0" t="n">
        <v>8</v>
      </c>
      <c r="C1823" s="0" t="n">
        <v>6034</v>
      </c>
      <c r="E1823" s="0" t="n">
        <v>0</v>
      </c>
      <c r="F1823" s="46" t="s">
        <v>1080</v>
      </c>
      <c r="I1823" s="46" t="s">
        <v>152</v>
      </c>
      <c r="L1823" s="0" t="n">
        <v>224</v>
      </c>
      <c r="U1823" s="0" t="n">
        <v>708</v>
      </c>
      <c r="V1823" s="0" t="n">
        <v>4</v>
      </c>
      <c r="W1823" s="51" t="n">
        <v>46086</v>
      </c>
      <c r="X1823" s="46" t="n">
        <f aca="false">IF(I1823="Male",0,1)</f>
        <v>1</v>
      </c>
      <c r="Y1823" s="46" t="n">
        <f aca="false">IF(OR(I1823="DNB",I1823="Dry DNB"),1,0)</f>
        <v>0</v>
      </c>
      <c r="Z1823" s="46" t="n">
        <f aca="false">IF(ISNUMBER(W1823),A1823-W1823,"")</f>
        <v>223</v>
      </c>
      <c r="AA1823" s="46" t="n">
        <f aca="false">MATCH(A1823,DATAS,0)</f>
        <v>1</v>
      </c>
      <c r="AB1823" s="46" t="n">
        <f aca="false">IF(AND(E1823&gt;0,OR(AND(B1823&gt;=1,B1823&lt;=6),B1823=10)),1,0)</f>
        <v>0</v>
      </c>
      <c r="AC1823" s="46" t="n">
        <f aca="false">IF(AND(E1823&gt;0,B1823=10),1,0)</f>
        <v>0</v>
      </c>
      <c r="AD1823" s="0" t="str">
        <f aca="false">IF(AND(C1822=C1823,AA1822=AA1823-1),AB1822,"")</f>
        <v/>
      </c>
      <c r="AE1823" s="0" t="str">
        <f aca="false">IF(AND(C1822=C1823,AA1822=AA1823-1),AC1822,"")</f>
        <v/>
      </c>
      <c r="AF1823" s="0" t="str">
        <f aca="false">IF(AA1823=1,"",IF(AND(AB1823=1,AD1823&lt;&gt;1),1,0))</f>
        <v/>
      </c>
      <c r="AG1823" s="0" t="str">
        <f aca="false">IF(AA1823=1,"",IF(AND(AC1823=1,AE1823&lt;&gt;1),1,0))</f>
        <v/>
      </c>
      <c r="AH1823" s="51" t="str">
        <f aca="false">IF(AND(E1823&gt;0,AA1823&lt;1,NOT(AND(C1824=C1823,AA1824=AA1823+1))),INDEX(DATAS,AA1823+1),"")</f>
        <v/>
      </c>
      <c r="AI1823" s="51" t="str">
        <f aca="false">IF(AND(AC1823=1,AA1823&lt;1),IF(AND(C1824=C1823,AA1824=AA1823+1),IF(AC1824=1,"",INDEX(DATAS,AA1823+1)),INDEX(DATAS,AA1823+1)),"")</f>
        <v/>
      </c>
    </row>
    <row r="1824" customFormat="false" ht="15" hidden="false" customHeight="false" outlineLevel="0" collapsed="false">
      <c r="A1824" s="51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46" t="s">
        <v>1080</v>
      </c>
      <c r="G1824" s="0" t="n">
        <v>48.3</v>
      </c>
      <c r="H1824" s="0" t="n">
        <v>47</v>
      </c>
      <c r="I1824" s="46" t="s">
        <v>161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X1824" s="46" t="n">
        <f aca="false">IF(I1824="Male",0,1)</f>
        <v>1</v>
      </c>
      <c r="Y1824" s="46" t="n">
        <f aca="false">IF(OR(I1824="DNB",I1824="Dry DNB"),1,0)</f>
        <v>0</v>
      </c>
      <c r="Z1824" s="0" t="str">
        <f aca="false">IF(ISNUMBER(W1824),A1824-W1824,"")</f>
        <v/>
      </c>
      <c r="AA1824" s="46" t="n">
        <f aca="false">MATCH(A1824,DATAS,0)</f>
        <v>1</v>
      </c>
      <c r="AB1824" s="46" t="n">
        <f aca="false">IF(AND(E1824&gt;0,OR(AND(B1824&gt;=1,B1824&lt;=6),B1824=10)),1,0)</f>
        <v>1</v>
      </c>
      <c r="AC1824" s="46" t="n">
        <f aca="false">IF(AND(E1824&gt;0,B1824=10),1,0)</f>
        <v>0</v>
      </c>
      <c r="AD1824" s="0" t="str">
        <f aca="false">IF(AND(C1823=C1824,AA1823=AA1824-1),AB1823,"")</f>
        <v/>
      </c>
      <c r="AE1824" s="0" t="str">
        <f aca="false">IF(AND(C1823=C1824,AA1823=AA1824-1),AC1823,"")</f>
        <v/>
      </c>
      <c r="AF1824" s="0" t="str">
        <f aca="false">IF(AA1824=1,"",IF(AND(AB1824=1,AD1824&lt;&gt;1),1,0))</f>
        <v/>
      </c>
      <c r="AG1824" s="0" t="str">
        <f aca="false">IF(AA1824=1,"",IF(AND(AC1824=1,AE1824&lt;&gt;1),1,0))</f>
        <v/>
      </c>
      <c r="AH1824" s="51" t="str">
        <f aca="false">IF(AND(E1824&gt;0,AA1824&lt;1,NOT(AND(C1825=C1824,AA1825=AA1824+1))),INDEX(DATAS,AA1824+1),"")</f>
        <v/>
      </c>
      <c r="AI1824" s="51" t="str">
        <f aca="false">IF(AND(AC1824=1,AA1824&lt;1),IF(AND(C1825=C1824,AA1825=AA1824+1),IF(AC1825=1,"",INDEX(DATAS,AA1824+1)),INDEX(DATAS,AA1824+1)),"")</f>
        <v/>
      </c>
    </row>
    <row r="1825" customFormat="false" ht="15" hidden="false" customHeight="false" outlineLevel="0" collapsed="false">
      <c r="A1825" s="51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46" t="s">
        <v>1080</v>
      </c>
      <c r="G1825" s="0" t="n">
        <v>47.1</v>
      </c>
      <c r="H1825" s="0" t="n">
        <v>47</v>
      </c>
      <c r="I1825" s="46" t="s">
        <v>161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X1825" s="46" t="n">
        <f aca="false">IF(I1825="Male",0,1)</f>
        <v>1</v>
      </c>
      <c r="Y1825" s="46" t="n">
        <f aca="false">IF(OR(I1825="DNB",I1825="Dry DNB"),1,0)</f>
        <v>0</v>
      </c>
      <c r="Z1825" s="0" t="str">
        <f aca="false">IF(ISNUMBER(W1825),A1825-W1825,"")</f>
        <v/>
      </c>
      <c r="AA1825" s="46" t="n">
        <f aca="false">MATCH(A1825,DATAS,0)</f>
        <v>1</v>
      </c>
      <c r="AB1825" s="46" t="n">
        <f aca="false">IF(AND(E1825&gt;0,OR(AND(B1825&gt;=1,B1825&lt;=6),B1825=10)),1,0)</f>
        <v>1</v>
      </c>
      <c r="AC1825" s="46" t="n">
        <f aca="false">IF(AND(E1825&gt;0,B1825=10),1,0)</f>
        <v>0</v>
      </c>
      <c r="AD1825" s="0" t="str">
        <f aca="false">IF(AND(C1824=C1825,AA1824=AA1825-1),AB1824,"")</f>
        <v/>
      </c>
      <c r="AE1825" s="0" t="str">
        <f aca="false">IF(AND(C1824=C1825,AA1824=AA1825-1),AC1824,"")</f>
        <v/>
      </c>
      <c r="AF1825" s="0" t="str">
        <f aca="false">IF(AA1825=1,"",IF(AND(AB1825=1,AD1825&lt;&gt;1),1,0))</f>
        <v/>
      </c>
      <c r="AG1825" s="0" t="str">
        <f aca="false">IF(AA1825=1,"",IF(AND(AC1825=1,AE1825&lt;&gt;1),1,0))</f>
        <v/>
      </c>
      <c r="AH1825" s="51" t="str">
        <f aca="false">IF(AND(E1825&gt;0,AA1825&lt;1,NOT(AND(C1826=C1825,AA1826=AA1825+1))),INDEX(DATAS,AA1825+1),"")</f>
        <v/>
      </c>
      <c r="AI1825" s="51" t="str">
        <f aca="false">IF(AND(AC1825=1,AA1825&lt;1),IF(AND(C1826=C1825,AA1826=AA1825+1),IF(AC1826=1,"",INDEX(DATAS,AA1825+1)),INDEX(DATAS,AA1825+1)),"")</f>
        <v/>
      </c>
    </row>
    <row r="1826" customFormat="false" ht="15" hidden="false" customHeight="false" outlineLevel="0" collapsed="false">
      <c r="A1826" s="51" t="n">
        <v>46309</v>
      </c>
      <c r="B1826" s="0" t="n">
        <v>7</v>
      </c>
      <c r="C1826" s="0" t="n">
        <v>6038</v>
      </c>
      <c r="E1826" s="0" t="n">
        <v>0</v>
      </c>
      <c r="F1826" s="46" t="s">
        <v>1081</v>
      </c>
      <c r="I1826" s="46" t="s">
        <v>152</v>
      </c>
      <c r="L1826" s="0" t="n">
        <v>128</v>
      </c>
      <c r="U1826" s="0" t="n">
        <v>707</v>
      </c>
      <c r="V1826" s="0" t="n">
        <v>8</v>
      </c>
      <c r="W1826" s="51" t="n">
        <v>46182</v>
      </c>
      <c r="X1826" s="46" t="n">
        <f aca="false">IF(I1826="Male",0,1)</f>
        <v>1</v>
      </c>
      <c r="Y1826" s="46" t="n">
        <f aca="false">IF(OR(I1826="DNB",I1826="Dry DNB"),1,0)</f>
        <v>0</v>
      </c>
      <c r="Z1826" s="46" t="n">
        <f aca="false">IF(ISNUMBER(W1826),A1826-W1826,"")</f>
        <v>127</v>
      </c>
      <c r="AA1826" s="46" t="n">
        <f aca="false">MATCH(A1826,DATAS,0)</f>
        <v>1</v>
      </c>
      <c r="AB1826" s="46" t="n">
        <f aca="false">IF(AND(E1826&gt;0,OR(AND(B1826&gt;=1,B1826&lt;=6),B1826=10)),1,0)</f>
        <v>0</v>
      </c>
      <c r="AC1826" s="46" t="n">
        <f aca="false">IF(AND(E1826&gt;0,B1826=10),1,0)</f>
        <v>0</v>
      </c>
      <c r="AD1826" s="0" t="str">
        <f aca="false">IF(AND(C1825=C1826,AA1825=AA1826-1),AB1825,"")</f>
        <v/>
      </c>
      <c r="AE1826" s="0" t="str">
        <f aca="false">IF(AND(C1825=C1826,AA1825=AA1826-1),AC1825,"")</f>
        <v/>
      </c>
      <c r="AF1826" s="0" t="str">
        <f aca="false">IF(AA1826=1,"",IF(AND(AB1826=1,AD1826&lt;&gt;1),1,0))</f>
        <v/>
      </c>
      <c r="AG1826" s="0" t="str">
        <f aca="false">IF(AA1826=1,"",IF(AND(AC1826=1,AE1826&lt;&gt;1),1,0))</f>
        <v/>
      </c>
      <c r="AH1826" s="51" t="str">
        <f aca="false">IF(AND(E1826&gt;0,AA1826&lt;1,NOT(AND(C1827=C1826,AA1827=AA1826+1))),INDEX(DATAS,AA1826+1),"")</f>
        <v/>
      </c>
      <c r="AI1826" s="51" t="str">
        <f aca="false">IF(AND(AC1826=1,AA1826&lt;1),IF(AND(C1827=C1826,AA1827=AA1826+1),IF(AC1827=1,"",INDEX(DATAS,AA1826+1)),INDEX(DATAS,AA1826+1)),"")</f>
        <v/>
      </c>
    </row>
    <row r="1827" customFormat="false" ht="15" hidden="false" customHeight="false" outlineLevel="0" collapsed="false">
      <c r="A1827" s="51" t="n">
        <v>46309</v>
      </c>
      <c r="B1827" s="0" t="n">
        <v>7</v>
      </c>
      <c r="C1827" s="0" t="n">
        <v>6039</v>
      </c>
      <c r="E1827" s="0" t="n">
        <v>0</v>
      </c>
      <c r="F1827" s="46" t="s">
        <v>1082</v>
      </c>
      <c r="I1827" s="46" t="s">
        <v>152</v>
      </c>
      <c r="L1827" s="0" t="n">
        <v>215</v>
      </c>
      <c r="U1827" s="0" t="n">
        <v>706</v>
      </c>
      <c r="V1827" s="0" t="n">
        <v>4</v>
      </c>
      <c r="W1827" s="51" t="n">
        <v>46095</v>
      </c>
      <c r="X1827" s="46" t="n">
        <f aca="false">IF(I1827="Male",0,1)</f>
        <v>1</v>
      </c>
      <c r="Y1827" s="46" t="n">
        <f aca="false">IF(OR(I1827="DNB",I1827="Dry DNB"),1,0)</f>
        <v>0</v>
      </c>
      <c r="Z1827" s="46" t="n">
        <f aca="false">IF(ISNUMBER(W1827),A1827-W1827,"")</f>
        <v>214</v>
      </c>
      <c r="AA1827" s="46" t="n">
        <f aca="false">MATCH(A1827,DATAS,0)</f>
        <v>1</v>
      </c>
      <c r="AB1827" s="46" t="n">
        <f aca="false">IF(AND(E1827&gt;0,OR(AND(B1827&gt;=1,B1827&lt;=6),B1827=10)),1,0)</f>
        <v>0</v>
      </c>
      <c r="AC1827" s="46" t="n">
        <f aca="false">IF(AND(E1827&gt;0,B1827=10),1,0)</f>
        <v>0</v>
      </c>
      <c r="AD1827" s="0" t="str">
        <f aca="false">IF(AND(C1826=C1827,AA1826=AA1827-1),AB1826,"")</f>
        <v/>
      </c>
      <c r="AE1827" s="0" t="str">
        <f aca="false">IF(AND(C1826=C1827,AA1826=AA1827-1),AC1826,"")</f>
        <v/>
      </c>
      <c r="AF1827" s="0" t="str">
        <f aca="false">IF(AA1827=1,"",IF(AND(AB1827=1,AD1827&lt;&gt;1),1,0))</f>
        <v/>
      </c>
      <c r="AG1827" s="0" t="str">
        <f aca="false">IF(AA1827=1,"",IF(AND(AC1827=1,AE1827&lt;&gt;1),1,0))</f>
        <v/>
      </c>
      <c r="AH1827" s="51" t="str">
        <f aca="false">IF(AND(E1827&gt;0,AA1827&lt;1,NOT(AND(C1828=C1827,AA1828=AA1827+1))),INDEX(DATAS,AA1827+1),"")</f>
        <v/>
      </c>
      <c r="AI1827" s="51" t="str">
        <f aca="false">IF(AND(AC1827=1,AA1827&lt;1),IF(AND(C1828=C1827,AA1828=AA1827+1),IF(AC1828=1,"",INDEX(DATAS,AA1827+1)),INDEX(DATAS,AA1827+1)),"")</f>
        <v/>
      </c>
    </row>
    <row r="1828" customFormat="false" ht="15" hidden="false" customHeight="false" outlineLevel="0" collapsed="false">
      <c r="A1828" s="51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46" t="s">
        <v>1082</v>
      </c>
      <c r="G1828" s="0" t="n">
        <v>44.1</v>
      </c>
      <c r="H1828" s="0" t="n">
        <v>49</v>
      </c>
      <c r="I1828" s="46" t="s">
        <v>161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X1828" s="46" t="n">
        <f aca="false">IF(I1828="Male",0,1)</f>
        <v>1</v>
      </c>
      <c r="Y1828" s="46" t="n">
        <f aca="false">IF(OR(I1828="DNB",I1828="Dry DNB"),1,0)</f>
        <v>0</v>
      </c>
      <c r="Z1828" s="0" t="str">
        <f aca="false">IF(ISNUMBER(W1828),A1828-W1828,"")</f>
        <v/>
      </c>
      <c r="AA1828" s="46" t="n">
        <f aca="false">MATCH(A1828,DATAS,0)</f>
        <v>1</v>
      </c>
      <c r="AB1828" s="46" t="n">
        <f aca="false">IF(AND(E1828&gt;0,OR(AND(B1828&gt;=1,B1828&lt;=6),B1828=10)),1,0)</f>
        <v>1</v>
      </c>
      <c r="AC1828" s="46" t="n">
        <f aca="false">IF(AND(E1828&gt;0,B1828=10),1,0)</f>
        <v>0</v>
      </c>
      <c r="AD1828" s="0" t="str">
        <f aca="false">IF(AND(C1827=C1828,AA1827=AA1828-1),AB1827,"")</f>
        <v/>
      </c>
      <c r="AE1828" s="0" t="str">
        <f aca="false">IF(AND(C1827=C1828,AA1827=AA1828-1),AC1827,"")</f>
        <v/>
      </c>
      <c r="AF1828" s="0" t="str">
        <f aca="false">IF(AA1828=1,"",IF(AND(AB1828=1,AD1828&lt;&gt;1),1,0))</f>
        <v/>
      </c>
      <c r="AG1828" s="0" t="str">
        <f aca="false">IF(AA1828=1,"",IF(AND(AC1828=1,AE1828&lt;&gt;1),1,0))</f>
        <v/>
      </c>
      <c r="AH1828" s="51" t="str">
        <f aca="false">IF(AND(E1828&gt;0,AA1828&lt;1,NOT(AND(C1829=C1828,AA1829=AA1828+1))),INDEX(DATAS,AA1828+1),"")</f>
        <v/>
      </c>
      <c r="AI1828" s="51" t="str">
        <f aca="false">IF(AND(AC1828=1,AA1828&lt;1),IF(AND(C1829=C1828,AA1829=AA1828+1),IF(AC1829=1,"",INDEX(DATAS,AA1828+1)),INDEX(DATAS,AA1828+1)),"")</f>
        <v/>
      </c>
    </row>
    <row r="1829" customFormat="false" ht="15" hidden="false" customHeight="false" outlineLevel="0" collapsed="false">
      <c r="A1829" s="51" t="n">
        <v>46309</v>
      </c>
      <c r="B1829" s="0" t="n">
        <v>7</v>
      </c>
      <c r="C1829" s="0" t="n">
        <v>6041</v>
      </c>
      <c r="E1829" s="0" t="n">
        <v>0</v>
      </c>
      <c r="F1829" s="46" t="s">
        <v>1083</v>
      </c>
      <c r="I1829" s="46" t="s">
        <v>152</v>
      </c>
      <c r="L1829" s="0" t="n">
        <v>231</v>
      </c>
      <c r="U1829" s="0" t="n">
        <v>705</v>
      </c>
      <c r="V1829" s="0" t="n">
        <v>3</v>
      </c>
      <c r="W1829" s="51" t="n">
        <v>46079</v>
      </c>
      <c r="X1829" s="46" t="n">
        <f aca="false">IF(I1829="Male",0,1)</f>
        <v>1</v>
      </c>
      <c r="Y1829" s="46" t="n">
        <f aca="false">IF(OR(I1829="DNB",I1829="Dry DNB"),1,0)</f>
        <v>0</v>
      </c>
      <c r="Z1829" s="46" t="n">
        <f aca="false">IF(ISNUMBER(W1829),A1829-W1829,"")</f>
        <v>230</v>
      </c>
      <c r="AA1829" s="46" t="n">
        <f aca="false">MATCH(A1829,DATAS,0)</f>
        <v>1</v>
      </c>
      <c r="AB1829" s="46" t="n">
        <f aca="false">IF(AND(E1829&gt;0,OR(AND(B1829&gt;=1,B1829&lt;=6),B1829=10)),1,0)</f>
        <v>0</v>
      </c>
      <c r="AC1829" s="46" t="n">
        <f aca="false">IF(AND(E1829&gt;0,B1829=10),1,0)</f>
        <v>0</v>
      </c>
      <c r="AD1829" s="0" t="str">
        <f aca="false">IF(AND(C1828=C1829,AA1828=AA1829-1),AB1828,"")</f>
        <v/>
      </c>
      <c r="AE1829" s="0" t="str">
        <f aca="false">IF(AND(C1828=C1829,AA1828=AA1829-1),AC1828,"")</f>
        <v/>
      </c>
      <c r="AF1829" s="0" t="str">
        <f aca="false">IF(AA1829=1,"",IF(AND(AB1829=1,AD1829&lt;&gt;1),1,0))</f>
        <v/>
      </c>
      <c r="AG1829" s="0" t="str">
        <f aca="false">IF(AA1829=1,"",IF(AND(AC1829=1,AE1829&lt;&gt;1),1,0))</f>
        <v/>
      </c>
      <c r="AH1829" s="51" t="str">
        <f aca="false">IF(AND(E1829&gt;0,AA1829&lt;1,NOT(AND(C1830=C1829,AA1830=AA1829+1))),INDEX(DATAS,AA1829+1),"")</f>
        <v/>
      </c>
      <c r="AI1829" s="51" t="str">
        <f aca="false">IF(AND(AC1829=1,AA1829&lt;1),IF(AND(C1830=C1829,AA1830=AA1829+1),IF(AC1830=1,"",INDEX(DATAS,AA1829+1)),INDEX(DATAS,AA1829+1)),"")</f>
        <v/>
      </c>
    </row>
    <row r="1830" customFormat="false" ht="15" hidden="false" customHeight="false" outlineLevel="0" collapsed="false">
      <c r="A1830" s="51" t="n">
        <v>46309</v>
      </c>
      <c r="B1830" s="0" t="n">
        <v>14</v>
      </c>
      <c r="C1830" s="0" t="n">
        <v>6042</v>
      </c>
      <c r="E1830" s="0" t="n">
        <v>0</v>
      </c>
      <c r="F1830" s="46" t="s">
        <v>1083</v>
      </c>
      <c r="I1830" s="46" t="s">
        <v>152</v>
      </c>
      <c r="L1830" s="0" t="n">
        <v>256</v>
      </c>
      <c r="U1830" s="0" t="n">
        <v>705</v>
      </c>
      <c r="V1830" s="0" t="n">
        <v>1</v>
      </c>
      <c r="W1830" s="51" t="n">
        <v>46054</v>
      </c>
      <c r="X1830" s="46" t="n">
        <f aca="false">IF(I1830="Male",0,1)</f>
        <v>1</v>
      </c>
      <c r="Y1830" s="46" t="n">
        <f aca="false">IF(OR(I1830="DNB",I1830="Dry DNB"),1,0)</f>
        <v>0</v>
      </c>
      <c r="Z1830" s="46" t="n">
        <f aca="false">IF(ISNUMBER(W1830),A1830-W1830,"")</f>
        <v>255</v>
      </c>
      <c r="AA1830" s="46" t="n">
        <f aca="false">MATCH(A1830,DATAS,0)</f>
        <v>1</v>
      </c>
      <c r="AB1830" s="46" t="n">
        <f aca="false">IF(AND(E1830&gt;0,OR(AND(B1830&gt;=1,B1830&lt;=6),B1830=10)),1,0)</f>
        <v>0</v>
      </c>
      <c r="AC1830" s="46" t="n">
        <f aca="false">IF(AND(E1830&gt;0,B1830=10),1,0)</f>
        <v>0</v>
      </c>
      <c r="AD1830" s="0" t="str">
        <f aca="false">IF(AND(C1829=C1830,AA1829=AA1830-1),AB1829,"")</f>
        <v/>
      </c>
      <c r="AE1830" s="0" t="str">
        <f aca="false">IF(AND(C1829=C1830,AA1829=AA1830-1),AC1829,"")</f>
        <v/>
      </c>
      <c r="AF1830" s="0" t="str">
        <f aca="false">IF(AA1830=1,"",IF(AND(AB1830=1,AD1830&lt;&gt;1),1,0))</f>
        <v/>
      </c>
      <c r="AG1830" s="0" t="str">
        <f aca="false">IF(AA1830=1,"",IF(AND(AC1830=1,AE1830&lt;&gt;1),1,0))</f>
        <v/>
      </c>
      <c r="AH1830" s="51" t="str">
        <f aca="false">IF(AND(E1830&gt;0,AA1830&lt;1,NOT(AND(C1831=C1830,AA1831=AA1830+1))),INDEX(DATAS,AA1830+1),"")</f>
        <v/>
      </c>
      <c r="AI1830" s="51" t="str">
        <f aca="false">IF(AND(AC1830=1,AA1830&lt;1),IF(AND(C1831=C1830,AA1831=AA1830+1),IF(AC1831=1,"",INDEX(DATAS,AA1830+1)),INDEX(DATAS,AA1830+1)),"")</f>
        <v/>
      </c>
    </row>
    <row r="1831" customFormat="false" ht="15" hidden="false" customHeight="false" outlineLevel="0" collapsed="false">
      <c r="A1831" s="51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46" t="s">
        <v>1083</v>
      </c>
      <c r="G1831" s="0" t="n">
        <v>35.4</v>
      </c>
      <c r="H1831" s="0" t="n">
        <v>35</v>
      </c>
      <c r="I1831" s="46" t="s">
        <v>181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51" t="n">
        <v>46303</v>
      </c>
      <c r="X1831" s="46" t="n">
        <f aca="false">IF(I1831="Male",0,1)</f>
        <v>1</v>
      </c>
      <c r="Y1831" s="46" t="n">
        <f aca="false">IF(OR(I1831="DNB",I1831="Dry DNB"),1,0)</f>
        <v>0</v>
      </c>
      <c r="Z1831" s="46" t="n">
        <f aca="false">IF(ISNUMBER(W1831),A1831-W1831,"")</f>
        <v>6</v>
      </c>
      <c r="AA1831" s="46" t="n">
        <f aca="false">MATCH(A1831,DATAS,0)</f>
        <v>1</v>
      </c>
      <c r="AB1831" s="46" t="n">
        <f aca="false">IF(AND(E1831&gt;0,OR(AND(B1831&gt;=1,B1831&lt;=6),B1831=10)),1,0)</f>
        <v>1</v>
      </c>
      <c r="AC1831" s="46" t="n">
        <f aca="false">IF(AND(E1831&gt;0,B1831=10),1,0)</f>
        <v>0</v>
      </c>
      <c r="AD1831" s="0" t="str">
        <f aca="false">IF(AND(C1830=C1831,AA1830=AA1831-1),AB1830,"")</f>
        <v/>
      </c>
      <c r="AE1831" s="0" t="str">
        <f aca="false">IF(AND(C1830=C1831,AA1830=AA1831-1),AC1830,"")</f>
        <v/>
      </c>
      <c r="AF1831" s="0" t="str">
        <f aca="false">IF(AA1831=1,"",IF(AND(AB1831=1,AD1831&lt;&gt;1),1,0))</f>
        <v/>
      </c>
      <c r="AG1831" s="0" t="str">
        <f aca="false">IF(AA1831=1,"",IF(AND(AC1831=1,AE1831&lt;&gt;1),1,0))</f>
        <v/>
      </c>
      <c r="AH1831" s="51" t="str">
        <f aca="false">IF(AND(E1831&gt;0,AA1831&lt;1,NOT(AND(C1832=C1831,AA1832=AA1831+1))),INDEX(DATAS,AA1831+1),"")</f>
        <v/>
      </c>
      <c r="AI1831" s="51" t="str">
        <f aca="false">IF(AND(AC1831=1,AA1831&lt;1),IF(AND(C1832=C1831,AA1832=AA1831+1),IF(AC1832=1,"",INDEX(DATAS,AA1831+1)),INDEX(DATAS,AA1831+1)),"")</f>
        <v/>
      </c>
    </row>
    <row r="1832" customFormat="false" ht="15" hidden="false" customHeight="false" outlineLevel="0" collapsed="false">
      <c r="A1832" s="51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46" t="s">
        <v>1084</v>
      </c>
      <c r="G1832" s="0" t="n">
        <v>38.4</v>
      </c>
      <c r="H1832" s="0" t="n">
        <v>36</v>
      </c>
      <c r="I1832" s="46" t="s">
        <v>161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X1832" s="46" t="n">
        <f aca="false">IF(I1832="Male",0,1)</f>
        <v>1</v>
      </c>
      <c r="Y1832" s="46" t="n">
        <f aca="false">IF(OR(I1832="DNB",I1832="Dry DNB"),1,0)</f>
        <v>0</v>
      </c>
      <c r="Z1832" s="0" t="str">
        <f aca="false">IF(ISNUMBER(W1832),A1832-W1832,"")</f>
        <v/>
      </c>
      <c r="AA1832" s="46" t="n">
        <f aca="false">MATCH(A1832,DATAS,0)</f>
        <v>1</v>
      </c>
      <c r="AB1832" s="46" t="n">
        <f aca="false">IF(AND(E1832&gt;0,OR(AND(B1832&gt;=1,B1832&lt;=6),B1832=10)),1,0)</f>
        <v>1</v>
      </c>
      <c r="AC1832" s="46" t="n">
        <f aca="false">IF(AND(E1832&gt;0,B1832=10),1,0)</f>
        <v>0</v>
      </c>
      <c r="AD1832" s="0" t="str">
        <f aca="false">IF(AND(C1831=C1832,AA1831=AA1832-1),AB1831,"")</f>
        <v/>
      </c>
      <c r="AE1832" s="0" t="str">
        <f aca="false">IF(AND(C1831=C1832,AA1831=AA1832-1),AC1831,"")</f>
        <v/>
      </c>
      <c r="AF1832" s="0" t="str">
        <f aca="false">IF(AA1832=1,"",IF(AND(AB1832=1,AD1832&lt;&gt;1),1,0))</f>
        <v/>
      </c>
      <c r="AG1832" s="0" t="str">
        <f aca="false">IF(AA1832=1,"",IF(AND(AC1832=1,AE1832&lt;&gt;1),1,0))</f>
        <v/>
      </c>
      <c r="AH1832" s="51" t="str">
        <f aca="false">IF(AND(E1832&gt;0,AA1832&lt;1,NOT(AND(C1833=C1832,AA1833=AA1832+1))),INDEX(DATAS,AA1832+1),"")</f>
        <v/>
      </c>
      <c r="AI1832" s="51" t="str">
        <f aca="false">IF(AND(AC1832=1,AA1832&lt;1),IF(AND(C1833=C1832,AA1833=AA1832+1),IF(AC1833=1,"",INDEX(DATAS,AA1832+1)),INDEX(DATAS,AA1832+1)),"")</f>
        <v/>
      </c>
    </row>
    <row r="1833" customFormat="false" ht="15" hidden="false" customHeight="false" outlineLevel="0" collapsed="false">
      <c r="A1833" s="51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46" t="s">
        <v>1084</v>
      </c>
      <c r="G1833" s="0" t="n">
        <v>44.2</v>
      </c>
      <c r="H1833" s="0" t="n">
        <v>41</v>
      </c>
      <c r="I1833" s="46" t="s">
        <v>161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X1833" s="46" t="n">
        <f aca="false">IF(I1833="Male",0,1)</f>
        <v>1</v>
      </c>
      <c r="Y1833" s="46" t="n">
        <f aca="false">IF(OR(I1833="DNB",I1833="Dry DNB"),1,0)</f>
        <v>0</v>
      </c>
      <c r="Z1833" s="0" t="str">
        <f aca="false">IF(ISNUMBER(W1833),A1833-W1833,"")</f>
        <v/>
      </c>
      <c r="AA1833" s="46" t="n">
        <f aca="false">MATCH(A1833,DATAS,0)</f>
        <v>1</v>
      </c>
      <c r="AB1833" s="46" t="n">
        <f aca="false">IF(AND(E1833&gt;0,OR(AND(B1833&gt;=1,B1833&lt;=6),B1833=10)),1,0)</f>
        <v>1</v>
      </c>
      <c r="AC1833" s="46" t="n">
        <f aca="false">IF(AND(E1833&gt;0,B1833=10),1,0)</f>
        <v>0</v>
      </c>
      <c r="AD1833" s="0" t="str">
        <f aca="false">IF(AND(C1832=C1833,AA1832=AA1833-1),AB1832,"")</f>
        <v/>
      </c>
      <c r="AE1833" s="0" t="str">
        <f aca="false">IF(AND(C1832=C1833,AA1832=AA1833-1),AC1832,"")</f>
        <v/>
      </c>
      <c r="AF1833" s="0" t="str">
        <f aca="false">IF(AA1833=1,"",IF(AND(AB1833=1,AD1833&lt;&gt;1),1,0))</f>
        <v/>
      </c>
      <c r="AG1833" s="0" t="str">
        <f aca="false">IF(AA1833=1,"",IF(AND(AC1833=1,AE1833&lt;&gt;1),1,0))</f>
        <v/>
      </c>
      <c r="AH1833" s="51" t="str">
        <f aca="false">IF(AND(E1833&gt;0,AA1833&lt;1,NOT(AND(C1834=C1833,AA1834=AA1833+1))),INDEX(DATAS,AA1833+1),"")</f>
        <v/>
      </c>
      <c r="AI1833" s="51" t="str">
        <f aca="false">IF(AND(AC1833=1,AA1833&lt;1),IF(AND(C1834=C1833,AA1834=AA1833+1),IF(AC1834=1,"",INDEX(DATAS,AA1833+1)),INDEX(DATAS,AA1833+1)),"")</f>
        <v/>
      </c>
    </row>
    <row r="1834" customFormat="false" ht="15" hidden="false" customHeight="false" outlineLevel="0" collapsed="false">
      <c r="A1834" s="51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46" t="s">
        <v>1085</v>
      </c>
      <c r="G1834" s="0" t="n">
        <v>37</v>
      </c>
      <c r="H1834" s="0" t="n">
        <v>42</v>
      </c>
      <c r="I1834" s="46" t="s">
        <v>161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X1834" s="46" t="n">
        <f aca="false">IF(I1834="Male",0,1)</f>
        <v>1</v>
      </c>
      <c r="Y1834" s="46" t="n">
        <f aca="false">IF(OR(I1834="DNB",I1834="Dry DNB"),1,0)</f>
        <v>0</v>
      </c>
      <c r="Z1834" s="0" t="str">
        <f aca="false">IF(ISNUMBER(W1834),A1834-W1834,"")</f>
        <v/>
      </c>
      <c r="AA1834" s="46" t="n">
        <f aca="false">MATCH(A1834,DATAS,0)</f>
        <v>1</v>
      </c>
      <c r="AB1834" s="46" t="n">
        <f aca="false">IF(AND(E1834&gt;0,OR(AND(B1834&gt;=1,B1834&lt;=6),B1834=10)),1,0)</f>
        <v>1</v>
      </c>
      <c r="AC1834" s="46" t="n">
        <f aca="false">IF(AND(E1834&gt;0,B1834=10),1,0)</f>
        <v>0</v>
      </c>
      <c r="AD1834" s="0" t="str">
        <f aca="false">IF(AND(C1833=C1834,AA1833=AA1834-1),AB1833,"")</f>
        <v/>
      </c>
      <c r="AE1834" s="0" t="str">
        <f aca="false">IF(AND(C1833=C1834,AA1833=AA1834-1),AC1833,"")</f>
        <v/>
      </c>
      <c r="AF1834" s="0" t="str">
        <f aca="false">IF(AA1834=1,"",IF(AND(AB1834=1,AD1834&lt;&gt;1),1,0))</f>
        <v/>
      </c>
      <c r="AG1834" s="0" t="str">
        <f aca="false">IF(AA1834=1,"",IF(AND(AC1834=1,AE1834&lt;&gt;1),1,0))</f>
        <v/>
      </c>
      <c r="AH1834" s="51" t="str">
        <f aca="false">IF(AND(E1834&gt;0,AA1834&lt;1,NOT(AND(C1835=C1834,AA1835=AA1834+1))),INDEX(DATAS,AA1834+1),"")</f>
        <v/>
      </c>
      <c r="AI1834" s="51" t="str">
        <f aca="false">IF(AND(AC1834=1,AA1834&lt;1),IF(AND(C1835=C1834,AA1835=AA1834+1),IF(AC1835=1,"",INDEX(DATAS,AA1834+1)),INDEX(DATAS,AA1834+1)),"")</f>
        <v/>
      </c>
    </row>
    <row r="1835" customFormat="false" ht="15" hidden="false" customHeight="false" outlineLevel="0" collapsed="false">
      <c r="A1835" s="51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46" t="s">
        <v>1085</v>
      </c>
      <c r="G1835" s="0" t="n">
        <v>41.9</v>
      </c>
      <c r="H1835" s="0" t="n">
        <v>40</v>
      </c>
      <c r="I1835" s="46" t="s">
        <v>161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X1835" s="46" t="n">
        <f aca="false">IF(I1835="Male",0,1)</f>
        <v>1</v>
      </c>
      <c r="Y1835" s="46" t="n">
        <f aca="false">IF(OR(I1835="DNB",I1835="Dry DNB"),1,0)</f>
        <v>0</v>
      </c>
      <c r="Z1835" s="0" t="str">
        <f aca="false">IF(ISNUMBER(W1835),A1835-W1835,"")</f>
        <v/>
      </c>
      <c r="AA1835" s="46" t="n">
        <f aca="false">MATCH(A1835,DATAS,0)</f>
        <v>1</v>
      </c>
      <c r="AB1835" s="46" t="n">
        <f aca="false">IF(AND(E1835&gt;0,OR(AND(B1835&gt;=1,B1835&lt;=6),B1835=10)),1,0)</f>
        <v>1</v>
      </c>
      <c r="AC1835" s="46" t="n">
        <f aca="false">IF(AND(E1835&gt;0,B1835=10),1,0)</f>
        <v>0</v>
      </c>
      <c r="AD1835" s="0" t="str">
        <f aca="false">IF(AND(C1834=C1835,AA1834=AA1835-1),AB1834,"")</f>
        <v/>
      </c>
      <c r="AE1835" s="0" t="str">
        <f aca="false">IF(AND(C1834=C1835,AA1834=AA1835-1),AC1834,"")</f>
        <v/>
      </c>
      <c r="AF1835" s="0" t="str">
        <f aca="false">IF(AA1835=1,"",IF(AND(AB1835=1,AD1835&lt;&gt;1),1,0))</f>
        <v/>
      </c>
      <c r="AG1835" s="0" t="str">
        <f aca="false">IF(AA1835=1,"",IF(AND(AC1835=1,AE1835&lt;&gt;1),1,0))</f>
        <v/>
      </c>
      <c r="AH1835" s="51" t="str">
        <f aca="false">IF(AND(E1835&gt;0,AA1835&lt;1,NOT(AND(C1836=C1835,AA1836=AA1835+1))),INDEX(DATAS,AA1835+1),"")</f>
        <v/>
      </c>
      <c r="AI1835" s="51" t="str">
        <f aca="false">IF(AND(AC1835=1,AA1835&lt;1),IF(AND(C1836=C1835,AA1836=AA1835+1),IF(AC1836=1,"",INDEX(DATAS,AA1835+1)),INDEX(DATAS,AA1835+1)),"")</f>
        <v/>
      </c>
    </row>
    <row r="1836" customFormat="false" ht="15" hidden="false" customHeight="false" outlineLevel="0" collapsed="false">
      <c r="A1836" s="51" t="n">
        <v>46309</v>
      </c>
      <c r="B1836" s="0" t="n">
        <v>8</v>
      </c>
      <c r="C1836" s="0" t="n">
        <v>6050</v>
      </c>
      <c r="E1836" s="0" t="n">
        <v>0</v>
      </c>
      <c r="F1836" s="46" t="s">
        <v>1085</v>
      </c>
      <c r="I1836" s="46" t="s">
        <v>152</v>
      </c>
      <c r="L1836" s="0" t="n">
        <v>182</v>
      </c>
      <c r="U1836" s="0" t="n">
        <v>703</v>
      </c>
      <c r="V1836" s="0" t="n">
        <v>4</v>
      </c>
      <c r="W1836" s="51" t="n">
        <v>46128</v>
      </c>
      <c r="X1836" s="46" t="n">
        <f aca="false">IF(I1836="Male",0,1)</f>
        <v>1</v>
      </c>
      <c r="Y1836" s="46" t="n">
        <f aca="false">IF(OR(I1836="DNB",I1836="Dry DNB"),1,0)</f>
        <v>0</v>
      </c>
      <c r="Z1836" s="46" t="n">
        <f aca="false">IF(ISNUMBER(W1836),A1836-W1836,"")</f>
        <v>181</v>
      </c>
      <c r="AA1836" s="46" t="n">
        <f aca="false">MATCH(A1836,DATAS,0)</f>
        <v>1</v>
      </c>
      <c r="AB1836" s="46" t="n">
        <f aca="false">IF(AND(E1836&gt;0,OR(AND(B1836&gt;=1,B1836&lt;=6),B1836=10)),1,0)</f>
        <v>0</v>
      </c>
      <c r="AC1836" s="46" t="n">
        <f aca="false">IF(AND(E1836&gt;0,B1836=10),1,0)</f>
        <v>0</v>
      </c>
      <c r="AD1836" s="0" t="str">
        <f aca="false">IF(AND(C1835=C1836,AA1835=AA1836-1),AB1835,"")</f>
        <v/>
      </c>
      <c r="AE1836" s="0" t="str">
        <f aca="false">IF(AND(C1835=C1836,AA1835=AA1836-1),AC1835,"")</f>
        <v/>
      </c>
      <c r="AF1836" s="0" t="str">
        <f aca="false">IF(AA1836=1,"",IF(AND(AB1836=1,AD1836&lt;&gt;1),1,0))</f>
        <v/>
      </c>
      <c r="AG1836" s="0" t="str">
        <f aca="false">IF(AA1836=1,"",IF(AND(AC1836=1,AE1836&lt;&gt;1),1,0))</f>
        <v/>
      </c>
      <c r="AH1836" s="51" t="str">
        <f aca="false">IF(AND(E1836&gt;0,AA1836&lt;1,NOT(AND(C1837=C1836,AA1837=AA1836+1))),INDEX(DATAS,AA1836+1),"")</f>
        <v/>
      </c>
      <c r="AI1836" s="51" t="str">
        <f aca="false">IF(AND(AC1836=1,AA1836&lt;1),IF(AND(C1837=C1836,AA1837=AA1836+1),IF(AC1837=1,"",INDEX(DATAS,AA1836+1)),INDEX(DATAS,AA1836+1)),"")</f>
        <v/>
      </c>
    </row>
    <row r="1837" customFormat="false" ht="15" hidden="false" customHeight="false" outlineLevel="0" collapsed="false">
      <c r="A1837" s="51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46" t="s">
        <v>1086</v>
      </c>
      <c r="H1837" s="0" t="n">
        <v>17</v>
      </c>
      <c r="I1837" s="46" t="s">
        <v>161</v>
      </c>
      <c r="J1837" s="0" t="n">
        <v>3</v>
      </c>
      <c r="U1837" s="0" t="n">
        <v>702</v>
      </c>
      <c r="V1837" s="0" t="n">
        <v>0</v>
      </c>
      <c r="X1837" s="46" t="n">
        <f aca="false">IF(I1837="Male",0,1)</f>
        <v>1</v>
      </c>
      <c r="Y1837" s="46" t="n">
        <f aca="false">IF(OR(I1837="DNB",I1837="Dry DNB"),1,0)</f>
        <v>0</v>
      </c>
      <c r="Z1837" s="0" t="str">
        <f aca="false">IF(ISNUMBER(W1837),A1837-W1837,"")</f>
        <v/>
      </c>
      <c r="AA1837" s="46" t="n">
        <f aca="false">MATCH(A1837,DATAS,0)</f>
        <v>1</v>
      </c>
      <c r="AB1837" s="46" t="n">
        <f aca="false">IF(AND(E1837&gt;0,OR(AND(B1837&gt;=1,B1837&lt;=6),B1837=10)),1,0)</f>
        <v>1</v>
      </c>
      <c r="AC1837" s="46" t="n">
        <f aca="false">IF(AND(E1837&gt;0,B1837=10),1,0)</f>
        <v>0</v>
      </c>
      <c r="AD1837" s="0" t="str">
        <f aca="false">IF(AND(C1836=C1837,AA1836=AA1837-1),AB1836,"")</f>
        <v/>
      </c>
      <c r="AE1837" s="0" t="str">
        <f aca="false">IF(AND(C1836=C1837,AA1836=AA1837-1),AC1836,"")</f>
        <v/>
      </c>
      <c r="AF1837" s="0" t="str">
        <f aca="false">IF(AA1837=1,"",IF(AND(AB1837=1,AD1837&lt;&gt;1),1,0))</f>
        <v/>
      </c>
      <c r="AG1837" s="0" t="str">
        <f aca="false">IF(AA1837=1,"",IF(AND(AC1837=1,AE1837&lt;&gt;1),1,0))</f>
        <v/>
      </c>
      <c r="AH1837" s="51" t="str">
        <f aca="false">IF(AND(E1837&gt;0,AA1837&lt;1,NOT(AND(C1838=C1837,AA1838=AA1837+1))),INDEX(DATAS,AA1837+1),"")</f>
        <v/>
      </c>
      <c r="AI1837" s="51" t="str">
        <f aca="false">IF(AND(AC1837=1,AA1837&lt;1),IF(AND(C1838=C1837,AA1838=AA1837+1),IF(AC1838=1,"",INDEX(DATAS,AA1837+1)),INDEX(DATAS,AA1837+1)),"")</f>
        <v/>
      </c>
    </row>
    <row r="1838" customFormat="false" ht="15" hidden="false" customHeight="false" outlineLevel="0" collapsed="false">
      <c r="A1838" s="51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46" t="s">
        <v>1086</v>
      </c>
      <c r="G1838" s="0" t="n">
        <v>42.3</v>
      </c>
      <c r="H1838" s="0" t="n">
        <v>44</v>
      </c>
      <c r="I1838" s="46" t="s">
        <v>161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X1838" s="46" t="n">
        <f aca="false">IF(I1838="Male",0,1)</f>
        <v>1</v>
      </c>
      <c r="Y1838" s="46" t="n">
        <f aca="false">IF(OR(I1838="DNB",I1838="Dry DNB"),1,0)</f>
        <v>0</v>
      </c>
      <c r="Z1838" s="0" t="str">
        <f aca="false">IF(ISNUMBER(W1838),A1838-W1838,"")</f>
        <v/>
      </c>
      <c r="AA1838" s="46" t="n">
        <f aca="false">MATCH(A1838,DATAS,0)</f>
        <v>1</v>
      </c>
      <c r="AB1838" s="46" t="n">
        <f aca="false">IF(AND(E1838&gt;0,OR(AND(B1838&gt;=1,B1838&lt;=6),B1838=10)),1,0)</f>
        <v>1</v>
      </c>
      <c r="AC1838" s="46" t="n">
        <f aca="false">IF(AND(E1838&gt;0,B1838=10),1,0)</f>
        <v>0</v>
      </c>
      <c r="AD1838" s="0" t="str">
        <f aca="false">IF(AND(C1837=C1838,AA1837=AA1838-1),AB1837,"")</f>
        <v/>
      </c>
      <c r="AE1838" s="0" t="str">
        <f aca="false">IF(AND(C1837=C1838,AA1837=AA1838-1),AC1837,"")</f>
        <v/>
      </c>
      <c r="AF1838" s="0" t="str">
        <f aca="false">IF(AA1838=1,"",IF(AND(AB1838=1,AD1838&lt;&gt;1),1,0))</f>
        <v/>
      </c>
      <c r="AG1838" s="0" t="str">
        <f aca="false">IF(AA1838=1,"",IF(AND(AC1838=1,AE1838&lt;&gt;1),1,0))</f>
        <v/>
      </c>
      <c r="AH1838" s="51" t="str">
        <f aca="false">IF(AND(E1838&gt;0,AA1838&lt;1,NOT(AND(C1839=C1838,AA1839=AA1838+1))),INDEX(DATAS,AA1838+1),"")</f>
        <v/>
      </c>
      <c r="AI1838" s="51" t="str">
        <f aca="false">IF(AND(AC1838=1,AA1838&lt;1),IF(AND(C1839=C1838,AA1839=AA1838+1),IF(AC1839=1,"",INDEX(DATAS,AA1838+1)),INDEX(DATAS,AA1838+1)),"")</f>
        <v/>
      </c>
    </row>
    <row r="1839" customFormat="false" ht="15" hidden="false" customHeight="false" outlineLevel="0" collapsed="false">
      <c r="A1839" s="51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46" t="s">
        <v>1087</v>
      </c>
      <c r="G1839" s="0" t="n">
        <v>46.1</v>
      </c>
      <c r="H1839" s="0" t="n">
        <v>47</v>
      </c>
      <c r="I1839" s="46" t="s">
        <v>161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X1839" s="46" t="n">
        <f aca="false">IF(I1839="Male",0,1)</f>
        <v>1</v>
      </c>
      <c r="Y1839" s="46" t="n">
        <f aca="false">IF(OR(I1839="DNB",I1839="Dry DNB"),1,0)</f>
        <v>0</v>
      </c>
      <c r="Z1839" s="0" t="str">
        <f aca="false">IF(ISNUMBER(W1839),A1839-W1839,"")</f>
        <v/>
      </c>
      <c r="AA1839" s="46" t="n">
        <f aca="false">MATCH(A1839,DATAS,0)</f>
        <v>1</v>
      </c>
      <c r="AB1839" s="46" t="n">
        <f aca="false">IF(AND(E1839&gt;0,OR(AND(B1839&gt;=1,B1839&lt;=6),B1839=10)),1,0)</f>
        <v>1</v>
      </c>
      <c r="AC1839" s="46" t="n">
        <f aca="false">IF(AND(E1839&gt;0,B1839=10),1,0)</f>
        <v>0</v>
      </c>
      <c r="AD1839" s="0" t="str">
        <f aca="false">IF(AND(C1838=C1839,AA1838=AA1839-1),AB1838,"")</f>
        <v/>
      </c>
      <c r="AE1839" s="0" t="str">
        <f aca="false">IF(AND(C1838=C1839,AA1838=AA1839-1),AC1838,"")</f>
        <v/>
      </c>
      <c r="AF1839" s="0" t="str">
        <f aca="false">IF(AA1839=1,"",IF(AND(AB1839=1,AD1839&lt;&gt;1),1,0))</f>
        <v/>
      </c>
      <c r="AG1839" s="0" t="str">
        <f aca="false">IF(AA1839=1,"",IF(AND(AC1839=1,AE1839&lt;&gt;1),1,0))</f>
        <v/>
      </c>
      <c r="AH1839" s="51" t="str">
        <f aca="false">IF(AND(E1839&gt;0,AA1839&lt;1,NOT(AND(C1840=C1839,AA1840=AA1839+1))),INDEX(DATAS,AA1839+1),"")</f>
        <v/>
      </c>
      <c r="AI1839" s="51" t="str">
        <f aca="false">IF(AND(AC1839=1,AA1839&lt;1),IF(AND(C1840=C1839,AA1840=AA1839+1),IF(AC1840=1,"",INDEX(DATAS,AA1839+1)),INDEX(DATAS,AA1839+1)),"")</f>
        <v/>
      </c>
    </row>
    <row r="1840" customFormat="false" ht="15" hidden="false" customHeight="false" outlineLevel="0" collapsed="false">
      <c r="A1840" s="51" t="n">
        <v>46309</v>
      </c>
      <c r="B1840" s="0" t="n">
        <v>7</v>
      </c>
      <c r="C1840" s="0" t="n">
        <v>6054</v>
      </c>
      <c r="E1840" s="0" t="n">
        <v>0</v>
      </c>
      <c r="F1840" s="46" t="s">
        <v>1087</v>
      </c>
      <c r="I1840" s="46" t="s">
        <v>152</v>
      </c>
      <c r="L1840" s="0" t="n">
        <v>177</v>
      </c>
      <c r="U1840" s="0" t="n">
        <v>701</v>
      </c>
      <c r="V1840" s="0" t="n">
        <v>7</v>
      </c>
      <c r="W1840" s="51" t="n">
        <v>46133</v>
      </c>
      <c r="X1840" s="46" t="n">
        <f aca="false">IF(I1840="Male",0,1)</f>
        <v>1</v>
      </c>
      <c r="Y1840" s="46" t="n">
        <f aca="false">IF(OR(I1840="DNB",I1840="Dry DNB"),1,0)</f>
        <v>0</v>
      </c>
      <c r="Z1840" s="46" t="n">
        <f aca="false">IF(ISNUMBER(W1840),A1840-W1840,"")</f>
        <v>176</v>
      </c>
      <c r="AA1840" s="46" t="n">
        <f aca="false">MATCH(A1840,DATAS,0)</f>
        <v>1</v>
      </c>
      <c r="AB1840" s="46" t="n">
        <f aca="false">IF(AND(E1840&gt;0,OR(AND(B1840&gt;=1,B1840&lt;=6),B1840=10)),1,0)</f>
        <v>0</v>
      </c>
      <c r="AC1840" s="46" t="n">
        <f aca="false">IF(AND(E1840&gt;0,B1840=10),1,0)</f>
        <v>0</v>
      </c>
      <c r="AD1840" s="0" t="str">
        <f aca="false">IF(AND(C1839=C1840,AA1839=AA1840-1),AB1839,"")</f>
        <v/>
      </c>
      <c r="AE1840" s="0" t="str">
        <f aca="false">IF(AND(C1839=C1840,AA1839=AA1840-1),AC1839,"")</f>
        <v/>
      </c>
      <c r="AF1840" s="0" t="str">
        <f aca="false">IF(AA1840=1,"",IF(AND(AB1840=1,AD1840&lt;&gt;1),1,0))</f>
        <v/>
      </c>
      <c r="AG1840" s="0" t="str">
        <f aca="false">IF(AA1840=1,"",IF(AND(AC1840=1,AE1840&lt;&gt;1),1,0))</f>
        <v/>
      </c>
      <c r="AH1840" s="51" t="str">
        <f aca="false">IF(AND(E1840&gt;0,AA1840&lt;1,NOT(AND(C1841=C1840,AA1841=AA1840+1))),INDEX(DATAS,AA1840+1),"")</f>
        <v/>
      </c>
      <c r="AI1840" s="51" t="str">
        <f aca="false">IF(AND(AC1840=1,AA1840&lt;1),IF(AND(C1841=C1840,AA1841=AA1840+1),IF(AC1841=1,"",INDEX(DATAS,AA1840+1)),INDEX(DATAS,AA1840+1)),"")</f>
        <v/>
      </c>
    </row>
    <row r="1841" customFormat="false" ht="15" hidden="false" customHeight="false" outlineLevel="0" collapsed="false">
      <c r="A1841" s="51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46" t="s">
        <v>1087</v>
      </c>
      <c r="G1841" s="0" t="n">
        <v>45.7</v>
      </c>
      <c r="H1841" s="0" t="n">
        <v>47</v>
      </c>
      <c r="I1841" s="46" t="s">
        <v>181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51" t="n">
        <v>46310</v>
      </c>
      <c r="X1841" s="46" t="n">
        <f aca="false">IF(I1841="Male",0,1)</f>
        <v>1</v>
      </c>
      <c r="Y1841" s="46" t="n">
        <f aca="false">IF(OR(I1841="DNB",I1841="Dry DNB"),1,0)</f>
        <v>0</v>
      </c>
      <c r="Z1841" s="46" t="n">
        <f aca="false">IF(ISNUMBER(W1841),A1841-W1841,"")</f>
        <v>-1</v>
      </c>
      <c r="AA1841" s="46" t="n">
        <f aca="false">MATCH(A1841,DATAS,0)</f>
        <v>1</v>
      </c>
      <c r="AB1841" s="46" t="n">
        <f aca="false">IF(AND(E1841&gt;0,OR(AND(B1841&gt;=1,B1841&lt;=6),B1841=10)),1,0)</f>
        <v>1</v>
      </c>
      <c r="AC1841" s="46" t="n">
        <f aca="false">IF(AND(E1841&gt;0,B1841=10),1,0)</f>
        <v>0</v>
      </c>
      <c r="AD1841" s="0" t="str">
        <f aca="false">IF(AND(C1840=C1841,AA1840=AA1841-1),AB1840,"")</f>
        <v/>
      </c>
      <c r="AE1841" s="0" t="str">
        <f aca="false">IF(AND(C1840=C1841,AA1840=AA1841-1),AC1840,"")</f>
        <v/>
      </c>
      <c r="AF1841" s="0" t="str">
        <f aca="false">IF(AA1841=1,"",IF(AND(AB1841=1,AD1841&lt;&gt;1),1,0))</f>
        <v/>
      </c>
      <c r="AG1841" s="0" t="str">
        <f aca="false">IF(AA1841=1,"",IF(AND(AC1841=1,AE1841&lt;&gt;1),1,0))</f>
        <v/>
      </c>
      <c r="AH1841" s="51" t="str">
        <f aca="false">IF(AND(E1841&gt;0,AA1841&lt;1,NOT(AND(C1842=C1841,AA1842=AA1841+1))),INDEX(DATAS,AA1841+1),"")</f>
        <v/>
      </c>
      <c r="AI1841" s="51" t="str">
        <f aca="false">IF(AND(AC1841=1,AA1841&lt;1),IF(AND(C1842=C1841,AA1842=AA1841+1),IF(AC1842=1,"",INDEX(DATAS,AA1841+1)),INDEX(DATAS,AA1841+1)),"")</f>
        <v/>
      </c>
    </row>
    <row r="1842" customFormat="false" ht="15" hidden="false" customHeight="false" outlineLevel="0" collapsed="false">
      <c r="A1842" s="51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46" t="s">
        <v>1087</v>
      </c>
      <c r="G1842" s="0" t="n">
        <v>41.2</v>
      </c>
      <c r="H1842" s="0" t="n">
        <v>36</v>
      </c>
      <c r="I1842" s="46" t="s">
        <v>161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X1842" s="46" t="n">
        <f aca="false">IF(I1842="Male",0,1)</f>
        <v>1</v>
      </c>
      <c r="Y1842" s="46" t="n">
        <f aca="false">IF(OR(I1842="DNB",I1842="Dry DNB"),1,0)</f>
        <v>0</v>
      </c>
      <c r="Z1842" s="0" t="str">
        <f aca="false">IF(ISNUMBER(W1842),A1842-W1842,"")</f>
        <v/>
      </c>
      <c r="AA1842" s="46" t="n">
        <f aca="false">MATCH(A1842,DATAS,0)</f>
        <v>1</v>
      </c>
      <c r="AB1842" s="46" t="n">
        <f aca="false">IF(AND(E1842&gt;0,OR(AND(B1842&gt;=1,B1842&lt;=6),B1842=10)),1,0)</f>
        <v>1</v>
      </c>
      <c r="AC1842" s="46" t="n">
        <f aca="false">IF(AND(E1842&gt;0,B1842=10),1,0)</f>
        <v>0</v>
      </c>
      <c r="AD1842" s="0" t="str">
        <f aca="false">IF(AND(C1841=C1842,AA1841=AA1842-1),AB1841,"")</f>
        <v/>
      </c>
      <c r="AE1842" s="0" t="str">
        <f aca="false">IF(AND(C1841=C1842,AA1841=AA1842-1),AC1841,"")</f>
        <v/>
      </c>
      <c r="AF1842" s="0" t="str">
        <f aca="false">IF(AA1842=1,"",IF(AND(AB1842=1,AD1842&lt;&gt;1),1,0))</f>
        <v/>
      </c>
      <c r="AG1842" s="0" t="str">
        <f aca="false">IF(AA1842=1,"",IF(AND(AC1842=1,AE1842&lt;&gt;1),1,0))</f>
        <v/>
      </c>
      <c r="AH1842" s="51" t="str">
        <f aca="false">IF(AND(E1842&gt;0,AA1842&lt;1,NOT(AND(C1843=C1842,AA1843=AA1842+1))),INDEX(DATAS,AA1842+1),"")</f>
        <v/>
      </c>
      <c r="AI1842" s="51" t="str">
        <f aca="false">IF(AND(AC1842=1,AA1842&lt;1),IF(AND(C1843=C1842,AA1843=AA1842+1),IF(AC1843=1,"",INDEX(DATAS,AA1842+1)),INDEX(DATAS,AA1842+1)),"")</f>
        <v/>
      </c>
    </row>
    <row r="1843" customFormat="false" ht="15" hidden="false" customHeight="false" outlineLevel="0" collapsed="false">
      <c r="A1843" s="51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46" t="s">
        <v>1087</v>
      </c>
      <c r="G1843" s="0" t="n">
        <v>28.9</v>
      </c>
      <c r="H1843" s="0" t="n">
        <v>27</v>
      </c>
      <c r="I1843" s="46" t="s">
        <v>161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X1843" s="46" t="n">
        <f aca="false">IF(I1843="Male",0,1)</f>
        <v>1</v>
      </c>
      <c r="Y1843" s="46" t="n">
        <f aca="false">IF(OR(I1843="DNB",I1843="Dry DNB"),1,0)</f>
        <v>0</v>
      </c>
      <c r="Z1843" s="0" t="str">
        <f aca="false">IF(ISNUMBER(W1843),A1843-W1843,"")</f>
        <v/>
      </c>
      <c r="AA1843" s="46" t="n">
        <f aca="false">MATCH(A1843,DATAS,0)</f>
        <v>1</v>
      </c>
      <c r="AB1843" s="46" t="n">
        <f aca="false">IF(AND(E1843&gt;0,OR(AND(B1843&gt;=1,B1843&lt;=6),B1843=10)),1,0)</f>
        <v>1</v>
      </c>
      <c r="AC1843" s="46" t="n">
        <f aca="false">IF(AND(E1843&gt;0,B1843=10),1,0)</f>
        <v>0</v>
      </c>
      <c r="AD1843" s="0" t="str">
        <f aca="false">IF(AND(C1842=C1843,AA1842=AA1843-1),AB1842,"")</f>
        <v/>
      </c>
      <c r="AE1843" s="0" t="str">
        <f aca="false">IF(AND(C1842=C1843,AA1842=AA1843-1),AC1842,"")</f>
        <v/>
      </c>
      <c r="AF1843" s="0" t="str">
        <f aca="false">IF(AA1843=1,"",IF(AND(AB1843=1,AD1843&lt;&gt;1),1,0))</f>
        <v/>
      </c>
      <c r="AG1843" s="0" t="str">
        <f aca="false">IF(AA1843=1,"",IF(AND(AC1843=1,AE1843&lt;&gt;1),1,0))</f>
        <v/>
      </c>
      <c r="AH1843" s="51" t="str">
        <f aca="false">IF(AND(E1843&gt;0,AA1843&lt;1,NOT(AND(C1844=C1843,AA1844=AA1843+1))),INDEX(DATAS,AA1843+1),"")</f>
        <v/>
      </c>
      <c r="AI1843" s="51" t="str">
        <f aca="false">IF(AND(AC1843=1,AA1843&lt;1),IF(AND(C1844=C1843,AA1844=AA1843+1),IF(AC1844=1,"",INDEX(DATAS,AA1843+1)),INDEX(DATAS,AA1843+1)),"")</f>
        <v/>
      </c>
    </row>
    <row r="1844" customFormat="false" ht="15" hidden="false" customHeight="false" outlineLevel="0" collapsed="false">
      <c r="A1844" s="51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46" t="s">
        <v>1087</v>
      </c>
      <c r="G1844" s="0" t="n">
        <v>50.9</v>
      </c>
      <c r="H1844" s="0" t="n">
        <v>52</v>
      </c>
      <c r="I1844" s="46" t="s">
        <v>161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X1844" s="46" t="n">
        <f aca="false">IF(I1844="Male",0,1)</f>
        <v>1</v>
      </c>
      <c r="Y1844" s="46" t="n">
        <f aca="false">IF(OR(I1844="DNB",I1844="Dry DNB"),1,0)</f>
        <v>0</v>
      </c>
      <c r="Z1844" s="0" t="str">
        <f aca="false">IF(ISNUMBER(W1844),A1844-W1844,"")</f>
        <v/>
      </c>
      <c r="AA1844" s="46" t="n">
        <f aca="false">MATCH(A1844,DATAS,0)</f>
        <v>1</v>
      </c>
      <c r="AB1844" s="46" t="n">
        <f aca="false">IF(AND(E1844&gt;0,OR(AND(B1844&gt;=1,B1844&lt;=6),B1844=10)),1,0)</f>
        <v>1</v>
      </c>
      <c r="AC1844" s="46" t="n">
        <f aca="false">IF(AND(E1844&gt;0,B1844=10),1,0)</f>
        <v>0</v>
      </c>
      <c r="AD1844" s="0" t="str">
        <f aca="false">IF(AND(C1843=C1844,AA1843=AA1844-1),AB1843,"")</f>
        <v/>
      </c>
      <c r="AE1844" s="0" t="str">
        <f aca="false">IF(AND(C1843=C1844,AA1843=AA1844-1),AC1843,"")</f>
        <v/>
      </c>
      <c r="AF1844" s="0" t="str">
        <f aca="false">IF(AA1844=1,"",IF(AND(AB1844=1,AD1844&lt;&gt;1),1,0))</f>
        <v/>
      </c>
      <c r="AG1844" s="0" t="str">
        <f aca="false">IF(AA1844=1,"",IF(AND(AC1844=1,AE1844&lt;&gt;1),1,0))</f>
        <v/>
      </c>
      <c r="AH1844" s="51" t="str">
        <f aca="false">IF(AND(E1844&gt;0,AA1844&lt;1,NOT(AND(C1845=C1844,AA1845=AA1844+1))),INDEX(DATAS,AA1844+1),"")</f>
        <v/>
      </c>
      <c r="AI1844" s="51" t="str">
        <f aca="false">IF(AND(AC1844=1,AA1844&lt;1),IF(AND(C1845=C1844,AA1845=AA1844+1),IF(AC1845=1,"",INDEX(DATAS,AA1844+1)),INDEX(DATAS,AA1844+1)),"")</f>
        <v/>
      </c>
    </row>
    <row r="1845" customFormat="false" ht="15" hidden="false" customHeight="false" outlineLevel="0" collapsed="false">
      <c r="A1845" s="51" t="n">
        <v>46309</v>
      </c>
      <c r="B1845" s="0" t="n">
        <v>14</v>
      </c>
      <c r="C1845" s="0" t="n">
        <v>6060</v>
      </c>
      <c r="E1845" s="0" t="n">
        <v>0</v>
      </c>
      <c r="F1845" s="46" t="s">
        <v>1088</v>
      </c>
      <c r="I1845" s="46" t="s">
        <v>152</v>
      </c>
      <c r="L1845" s="0" t="n">
        <v>273</v>
      </c>
      <c r="U1845" s="0" t="n">
        <v>700</v>
      </c>
      <c r="V1845" s="0" t="n">
        <v>3</v>
      </c>
      <c r="W1845" s="51" t="n">
        <v>46037</v>
      </c>
      <c r="X1845" s="46" t="n">
        <f aca="false">IF(I1845="Male",0,1)</f>
        <v>1</v>
      </c>
      <c r="Y1845" s="46" t="n">
        <f aca="false">IF(OR(I1845="DNB",I1845="Dry DNB"),1,0)</f>
        <v>0</v>
      </c>
      <c r="Z1845" s="46" t="n">
        <f aca="false">IF(ISNUMBER(W1845),A1845-W1845,"")</f>
        <v>272</v>
      </c>
      <c r="AA1845" s="46" t="n">
        <f aca="false">MATCH(A1845,DATAS,0)</f>
        <v>1</v>
      </c>
      <c r="AB1845" s="46" t="n">
        <f aca="false">IF(AND(E1845&gt;0,OR(AND(B1845&gt;=1,B1845&lt;=6),B1845=10)),1,0)</f>
        <v>0</v>
      </c>
      <c r="AC1845" s="46" t="n">
        <f aca="false">IF(AND(E1845&gt;0,B1845=10),1,0)</f>
        <v>0</v>
      </c>
      <c r="AD1845" s="0" t="str">
        <f aca="false">IF(AND(C1844=C1845,AA1844=AA1845-1),AB1844,"")</f>
        <v/>
      </c>
      <c r="AE1845" s="0" t="str">
        <f aca="false">IF(AND(C1844=C1845,AA1844=AA1845-1),AC1844,"")</f>
        <v/>
      </c>
      <c r="AF1845" s="0" t="str">
        <f aca="false">IF(AA1845=1,"",IF(AND(AB1845=1,AD1845&lt;&gt;1),1,0))</f>
        <v/>
      </c>
      <c r="AG1845" s="0" t="str">
        <f aca="false">IF(AA1845=1,"",IF(AND(AC1845=1,AE1845&lt;&gt;1),1,0))</f>
        <v/>
      </c>
      <c r="AH1845" s="51" t="str">
        <f aca="false">IF(AND(E1845&gt;0,AA1845&lt;1,NOT(AND(C1846=C1845,AA1846=AA1845+1))),INDEX(DATAS,AA1845+1),"")</f>
        <v/>
      </c>
      <c r="AI1845" s="51" t="str">
        <f aca="false">IF(AND(AC1845=1,AA1845&lt;1),IF(AND(C1846=C1845,AA1846=AA1845+1),IF(AC1846=1,"",INDEX(DATAS,AA1845+1)),INDEX(DATAS,AA1845+1)),"")</f>
        <v/>
      </c>
    </row>
    <row r="1846" customFormat="false" ht="15" hidden="false" customHeight="false" outlineLevel="0" collapsed="false">
      <c r="A1846" s="51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46" t="s">
        <v>1089</v>
      </c>
      <c r="G1846" s="0" t="n">
        <v>37.2</v>
      </c>
      <c r="H1846" s="0" t="n">
        <v>38</v>
      </c>
      <c r="I1846" s="46" t="s">
        <v>181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51" t="n">
        <v>46310</v>
      </c>
      <c r="X1846" s="46" t="n">
        <f aca="false">IF(I1846="Male",0,1)</f>
        <v>1</v>
      </c>
      <c r="Y1846" s="46" t="n">
        <f aca="false">IF(OR(I1846="DNB",I1846="Dry DNB"),1,0)</f>
        <v>0</v>
      </c>
      <c r="Z1846" s="46" t="n">
        <f aca="false">IF(ISNUMBER(W1846),A1846-W1846,"")</f>
        <v>-1</v>
      </c>
      <c r="AA1846" s="46" t="n">
        <f aca="false">MATCH(A1846,DATAS,0)</f>
        <v>1</v>
      </c>
      <c r="AB1846" s="46" t="n">
        <f aca="false">IF(AND(E1846&gt;0,OR(AND(B1846&gt;=1,B1846&lt;=6),B1846=10)),1,0)</f>
        <v>1</v>
      </c>
      <c r="AC1846" s="46" t="n">
        <f aca="false">IF(AND(E1846&gt;0,B1846=10),1,0)</f>
        <v>0</v>
      </c>
      <c r="AD1846" s="0" t="str">
        <f aca="false">IF(AND(C1845=C1846,AA1845=AA1846-1),AB1845,"")</f>
        <v/>
      </c>
      <c r="AE1846" s="0" t="str">
        <f aca="false">IF(AND(C1845=C1846,AA1845=AA1846-1),AC1845,"")</f>
        <v/>
      </c>
      <c r="AF1846" s="0" t="str">
        <f aca="false">IF(AA1846=1,"",IF(AND(AB1846=1,AD1846&lt;&gt;1),1,0))</f>
        <v/>
      </c>
      <c r="AG1846" s="0" t="str">
        <f aca="false">IF(AA1846=1,"",IF(AND(AC1846=1,AE1846&lt;&gt;1),1,0))</f>
        <v/>
      </c>
      <c r="AH1846" s="51" t="str">
        <f aca="false">IF(AND(E1846&gt;0,AA1846&lt;1,NOT(AND(C1847=C1846,AA1847=AA1846+1))),INDEX(DATAS,AA1846+1),"")</f>
        <v/>
      </c>
      <c r="AI1846" s="51" t="str">
        <f aca="false">IF(AND(AC1846=1,AA1846&lt;1),IF(AND(C1847=C1846,AA1847=AA1846+1),IF(AC1847=1,"",INDEX(DATAS,AA1846+1)),INDEX(DATAS,AA1846+1)),"")</f>
        <v/>
      </c>
    </row>
    <row r="1847" customFormat="false" ht="15" hidden="false" customHeight="false" outlineLevel="0" collapsed="false">
      <c r="A1847" s="51" t="n">
        <v>46309</v>
      </c>
      <c r="B1847" s="0" t="n">
        <v>14</v>
      </c>
      <c r="C1847" s="0" t="n">
        <v>6063</v>
      </c>
      <c r="E1847" s="0" t="n">
        <v>0</v>
      </c>
      <c r="F1847" s="46" t="s">
        <v>1089</v>
      </c>
      <c r="I1847" s="46" t="s">
        <v>152</v>
      </c>
      <c r="L1847" s="0" t="n">
        <v>259</v>
      </c>
      <c r="U1847" s="0" t="n">
        <v>699</v>
      </c>
      <c r="V1847" s="0" t="n">
        <v>4</v>
      </c>
      <c r="W1847" s="51" t="n">
        <v>46051</v>
      </c>
      <c r="X1847" s="46" t="n">
        <f aca="false">IF(I1847="Male",0,1)</f>
        <v>1</v>
      </c>
      <c r="Y1847" s="46" t="n">
        <f aca="false">IF(OR(I1847="DNB",I1847="Dry DNB"),1,0)</f>
        <v>0</v>
      </c>
      <c r="Z1847" s="46" t="n">
        <f aca="false">IF(ISNUMBER(W1847),A1847-W1847,"")</f>
        <v>258</v>
      </c>
      <c r="AA1847" s="46" t="n">
        <f aca="false">MATCH(A1847,DATAS,0)</f>
        <v>1</v>
      </c>
      <c r="AB1847" s="46" t="n">
        <f aca="false">IF(AND(E1847&gt;0,OR(AND(B1847&gt;=1,B1847&lt;=6),B1847=10)),1,0)</f>
        <v>0</v>
      </c>
      <c r="AC1847" s="46" t="n">
        <f aca="false">IF(AND(E1847&gt;0,B1847=10),1,0)</f>
        <v>0</v>
      </c>
      <c r="AD1847" s="0" t="str">
        <f aca="false">IF(AND(C1846=C1847,AA1846=AA1847-1),AB1846,"")</f>
        <v/>
      </c>
      <c r="AE1847" s="0" t="str">
        <f aca="false">IF(AND(C1846=C1847,AA1846=AA1847-1),AC1846,"")</f>
        <v/>
      </c>
      <c r="AF1847" s="0" t="str">
        <f aca="false">IF(AA1847=1,"",IF(AND(AB1847=1,AD1847&lt;&gt;1),1,0))</f>
        <v/>
      </c>
      <c r="AG1847" s="0" t="str">
        <f aca="false">IF(AA1847=1,"",IF(AND(AC1847=1,AE1847&lt;&gt;1),1,0))</f>
        <v/>
      </c>
      <c r="AH1847" s="51" t="str">
        <f aca="false">IF(AND(E1847&gt;0,AA1847&lt;1,NOT(AND(C1848=C1847,AA1848=AA1847+1))),INDEX(DATAS,AA1847+1),"")</f>
        <v/>
      </c>
      <c r="AI1847" s="51" t="str">
        <f aca="false">IF(AND(AC1847=1,AA1847&lt;1),IF(AND(C1848=C1847,AA1848=AA1847+1),IF(AC1848=1,"",INDEX(DATAS,AA1847+1)),INDEX(DATAS,AA1847+1)),"")</f>
        <v/>
      </c>
    </row>
    <row r="1848" customFormat="false" ht="15" hidden="false" customHeight="false" outlineLevel="0" collapsed="false">
      <c r="A1848" s="51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46" t="s">
        <v>1089</v>
      </c>
      <c r="G1848" s="0" t="n">
        <v>48.4</v>
      </c>
      <c r="H1848" s="0" t="n">
        <v>46</v>
      </c>
      <c r="I1848" s="46" t="s">
        <v>161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X1848" s="46" t="n">
        <f aca="false">IF(I1848="Male",0,1)</f>
        <v>1</v>
      </c>
      <c r="Y1848" s="46" t="n">
        <f aca="false">IF(OR(I1848="DNB",I1848="Dry DNB"),1,0)</f>
        <v>0</v>
      </c>
      <c r="Z1848" s="0" t="str">
        <f aca="false">IF(ISNUMBER(W1848),A1848-W1848,"")</f>
        <v/>
      </c>
      <c r="AA1848" s="46" t="n">
        <f aca="false">MATCH(A1848,DATAS,0)</f>
        <v>1</v>
      </c>
      <c r="AB1848" s="46" t="n">
        <f aca="false">IF(AND(E1848&gt;0,OR(AND(B1848&gt;=1,B1848&lt;=6),B1848=10)),1,0)</f>
        <v>1</v>
      </c>
      <c r="AC1848" s="46" t="n">
        <f aca="false">IF(AND(E1848&gt;0,B1848=10),1,0)</f>
        <v>0</v>
      </c>
      <c r="AD1848" s="0" t="str">
        <f aca="false">IF(AND(C1847=C1848,AA1847=AA1848-1),AB1847,"")</f>
        <v/>
      </c>
      <c r="AE1848" s="0" t="str">
        <f aca="false">IF(AND(C1847=C1848,AA1847=AA1848-1),AC1847,"")</f>
        <v/>
      </c>
      <c r="AF1848" s="0" t="str">
        <f aca="false">IF(AA1848=1,"",IF(AND(AB1848=1,AD1848&lt;&gt;1),1,0))</f>
        <v/>
      </c>
      <c r="AG1848" s="0" t="str">
        <f aca="false">IF(AA1848=1,"",IF(AND(AC1848=1,AE1848&lt;&gt;1),1,0))</f>
        <v/>
      </c>
      <c r="AH1848" s="51" t="str">
        <f aca="false">IF(AND(E1848&gt;0,AA1848&lt;1,NOT(AND(C1849=C1848,AA1849=AA1848+1))),INDEX(DATAS,AA1848+1),"")</f>
        <v/>
      </c>
      <c r="AI1848" s="51" t="str">
        <f aca="false">IF(AND(AC1848=1,AA1848&lt;1),IF(AND(C1849=C1848,AA1849=AA1848+1),IF(AC1849=1,"",INDEX(DATAS,AA1848+1)),INDEX(DATAS,AA1848+1)),"")</f>
        <v/>
      </c>
    </row>
    <row r="1849" customFormat="false" ht="15" hidden="false" customHeight="false" outlineLevel="0" collapsed="false">
      <c r="A1849" s="51" t="n">
        <v>46309</v>
      </c>
      <c r="B1849" s="0" t="n">
        <v>8</v>
      </c>
      <c r="C1849" s="0" t="n">
        <v>6065</v>
      </c>
      <c r="E1849" s="0" t="n">
        <v>0</v>
      </c>
      <c r="F1849" s="46" t="s">
        <v>1089</v>
      </c>
      <c r="I1849" s="46" t="s">
        <v>152</v>
      </c>
      <c r="L1849" s="0" t="n">
        <v>178</v>
      </c>
      <c r="U1849" s="0" t="n">
        <v>699</v>
      </c>
      <c r="V1849" s="0" t="n">
        <v>2</v>
      </c>
      <c r="W1849" s="51" t="n">
        <v>46132</v>
      </c>
      <c r="X1849" s="46" t="n">
        <f aca="false">IF(I1849="Male",0,1)</f>
        <v>1</v>
      </c>
      <c r="Y1849" s="46" t="n">
        <f aca="false">IF(OR(I1849="DNB",I1849="Dry DNB"),1,0)</f>
        <v>0</v>
      </c>
      <c r="Z1849" s="46" t="n">
        <f aca="false">IF(ISNUMBER(W1849),A1849-W1849,"")</f>
        <v>177</v>
      </c>
      <c r="AA1849" s="46" t="n">
        <f aca="false">MATCH(A1849,DATAS,0)</f>
        <v>1</v>
      </c>
      <c r="AB1849" s="46" t="n">
        <f aca="false">IF(AND(E1849&gt;0,OR(AND(B1849&gt;=1,B1849&lt;=6),B1849=10)),1,0)</f>
        <v>0</v>
      </c>
      <c r="AC1849" s="46" t="n">
        <f aca="false">IF(AND(E1849&gt;0,B1849=10),1,0)</f>
        <v>0</v>
      </c>
      <c r="AD1849" s="0" t="str">
        <f aca="false">IF(AND(C1848=C1849,AA1848=AA1849-1),AB1848,"")</f>
        <v/>
      </c>
      <c r="AE1849" s="0" t="str">
        <f aca="false">IF(AND(C1848=C1849,AA1848=AA1849-1),AC1848,"")</f>
        <v/>
      </c>
      <c r="AF1849" s="0" t="str">
        <f aca="false">IF(AA1849=1,"",IF(AND(AB1849=1,AD1849&lt;&gt;1),1,0))</f>
        <v/>
      </c>
      <c r="AG1849" s="0" t="str">
        <f aca="false">IF(AA1849=1,"",IF(AND(AC1849=1,AE1849&lt;&gt;1),1,0))</f>
        <v/>
      </c>
      <c r="AH1849" s="51" t="str">
        <f aca="false">IF(AND(E1849&gt;0,AA1849&lt;1,NOT(AND(C1850=C1849,AA1850=AA1849+1))),INDEX(DATAS,AA1849+1),"")</f>
        <v/>
      </c>
      <c r="AI1849" s="51" t="str">
        <f aca="false">IF(AND(AC1849=1,AA1849&lt;1),IF(AND(C1850=C1849,AA1850=AA1849+1),IF(AC1850=1,"",INDEX(DATAS,AA1849+1)),INDEX(DATAS,AA1849+1)),"")</f>
        <v/>
      </c>
    </row>
    <row r="1850" customFormat="false" ht="15" hidden="false" customHeight="false" outlineLevel="0" collapsed="false">
      <c r="A1850" s="51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46" t="s">
        <v>1089</v>
      </c>
      <c r="G1850" s="0" t="n">
        <v>48.1</v>
      </c>
      <c r="H1850" s="0" t="n">
        <v>47</v>
      </c>
      <c r="I1850" s="46" t="s">
        <v>161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X1850" s="46" t="n">
        <f aca="false">IF(I1850="Male",0,1)</f>
        <v>1</v>
      </c>
      <c r="Y1850" s="46" t="n">
        <f aca="false">IF(OR(I1850="DNB",I1850="Dry DNB"),1,0)</f>
        <v>0</v>
      </c>
      <c r="Z1850" s="0" t="str">
        <f aca="false">IF(ISNUMBER(W1850),A1850-W1850,"")</f>
        <v/>
      </c>
      <c r="AA1850" s="46" t="n">
        <f aca="false">MATCH(A1850,DATAS,0)</f>
        <v>1</v>
      </c>
      <c r="AB1850" s="46" t="n">
        <f aca="false">IF(AND(E1850&gt;0,OR(AND(B1850&gt;=1,B1850&lt;=6),B1850=10)),1,0)</f>
        <v>1</v>
      </c>
      <c r="AC1850" s="46" t="n">
        <f aca="false">IF(AND(E1850&gt;0,B1850=10),1,0)</f>
        <v>0</v>
      </c>
      <c r="AD1850" s="0" t="str">
        <f aca="false">IF(AND(C1849=C1850,AA1849=AA1850-1),AB1849,"")</f>
        <v/>
      </c>
      <c r="AE1850" s="0" t="str">
        <f aca="false">IF(AND(C1849=C1850,AA1849=AA1850-1),AC1849,"")</f>
        <v/>
      </c>
      <c r="AF1850" s="0" t="str">
        <f aca="false">IF(AA1850=1,"",IF(AND(AB1850=1,AD1850&lt;&gt;1),1,0))</f>
        <v/>
      </c>
      <c r="AG1850" s="0" t="str">
        <f aca="false">IF(AA1850=1,"",IF(AND(AC1850=1,AE1850&lt;&gt;1),1,0))</f>
        <v/>
      </c>
      <c r="AH1850" s="51" t="str">
        <f aca="false">IF(AND(E1850&gt;0,AA1850&lt;1,NOT(AND(C1851=C1850,AA1851=AA1850+1))),INDEX(DATAS,AA1850+1),"")</f>
        <v/>
      </c>
      <c r="AI1850" s="51" t="str">
        <f aca="false">IF(AND(AC1850=1,AA1850&lt;1),IF(AND(C1851=C1850,AA1851=AA1850+1),IF(AC1851=1,"",INDEX(DATAS,AA1850+1)),INDEX(DATAS,AA1850+1)),"")</f>
        <v/>
      </c>
    </row>
    <row r="1851" customFormat="false" ht="15" hidden="false" customHeight="false" outlineLevel="0" collapsed="false">
      <c r="A1851" s="51" t="n">
        <v>46309</v>
      </c>
      <c r="B1851" s="0" t="n">
        <v>8</v>
      </c>
      <c r="C1851" s="0" t="n">
        <v>6067</v>
      </c>
      <c r="E1851" s="0" t="n">
        <v>0</v>
      </c>
      <c r="F1851" s="46" t="s">
        <v>1089</v>
      </c>
      <c r="I1851" s="46" t="s">
        <v>152</v>
      </c>
      <c r="L1851" s="0" t="n">
        <v>219</v>
      </c>
      <c r="U1851" s="0" t="n">
        <v>699</v>
      </c>
      <c r="V1851" s="0" t="n">
        <v>5</v>
      </c>
      <c r="W1851" s="51" t="n">
        <v>46091</v>
      </c>
      <c r="X1851" s="46" t="n">
        <f aca="false">IF(I1851="Male",0,1)</f>
        <v>1</v>
      </c>
      <c r="Y1851" s="46" t="n">
        <f aca="false">IF(OR(I1851="DNB",I1851="Dry DNB"),1,0)</f>
        <v>0</v>
      </c>
      <c r="Z1851" s="46" t="n">
        <f aca="false">IF(ISNUMBER(W1851),A1851-W1851,"")</f>
        <v>218</v>
      </c>
      <c r="AA1851" s="46" t="n">
        <f aca="false">MATCH(A1851,DATAS,0)</f>
        <v>1</v>
      </c>
      <c r="AB1851" s="46" t="n">
        <f aca="false">IF(AND(E1851&gt;0,OR(AND(B1851&gt;=1,B1851&lt;=6),B1851=10)),1,0)</f>
        <v>0</v>
      </c>
      <c r="AC1851" s="46" t="n">
        <f aca="false">IF(AND(E1851&gt;0,B1851=10),1,0)</f>
        <v>0</v>
      </c>
      <c r="AD1851" s="0" t="str">
        <f aca="false">IF(AND(C1850=C1851,AA1850=AA1851-1),AB1850,"")</f>
        <v/>
      </c>
      <c r="AE1851" s="0" t="str">
        <f aca="false">IF(AND(C1850=C1851,AA1850=AA1851-1),AC1850,"")</f>
        <v/>
      </c>
      <c r="AF1851" s="0" t="str">
        <f aca="false">IF(AA1851=1,"",IF(AND(AB1851=1,AD1851&lt;&gt;1),1,0))</f>
        <v/>
      </c>
      <c r="AG1851" s="0" t="str">
        <f aca="false">IF(AA1851=1,"",IF(AND(AC1851=1,AE1851&lt;&gt;1),1,0))</f>
        <v/>
      </c>
      <c r="AH1851" s="51" t="str">
        <f aca="false">IF(AND(E1851&gt;0,AA1851&lt;1,NOT(AND(C1852=C1851,AA1852=AA1851+1))),INDEX(DATAS,AA1851+1),"")</f>
        <v/>
      </c>
      <c r="AI1851" s="51" t="str">
        <f aca="false">IF(AND(AC1851=1,AA1851&lt;1),IF(AND(C1852=C1851,AA1852=AA1851+1),IF(AC1852=1,"",INDEX(DATAS,AA1851+1)),INDEX(DATAS,AA1851+1)),"")</f>
        <v/>
      </c>
    </row>
    <row r="1852" customFormat="false" ht="15" hidden="false" customHeight="false" outlineLevel="0" collapsed="false">
      <c r="A1852" s="51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46" t="s">
        <v>1090</v>
      </c>
      <c r="G1852" s="0" t="n">
        <v>35.2</v>
      </c>
      <c r="H1852" s="0" t="n">
        <v>30</v>
      </c>
      <c r="I1852" s="46" t="s">
        <v>161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X1852" s="46" t="n">
        <f aca="false">IF(I1852="Male",0,1)</f>
        <v>1</v>
      </c>
      <c r="Y1852" s="46" t="n">
        <f aca="false">IF(OR(I1852="DNB",I1852="Dry DNB"),1,0)</f>
        <v>0</v>
      </c>
      <c r="Z1852" s="0" t="str">
        <f aca="false">IF(ISNUMBER(W1852),A1852-W1852,"")</f>
        <v/>
      </c>
      <c r="AA1852" s="46" t="n">
        <f aca="false">MATCH(A1852,DATAS,0)</f>
        <v>1</v>
      </c>
      <c r="AB1852" s="46" t="n">
        <f aca="false">IF(AND(E1852&gt;0,OR(AND(B1852&gt;=1,B1852&lt;=6),B1852=10)),1,0)</f>
        <v>1</v>
      </c>
      <c r="AC1852" s="46" t="n">
        <f aca="false">IF(AND(E1852&gt;0,B1852=10),1,0)</f>
        <v>0</v>
      </c>
      <c r="AD1852" s="0" t="str">
        <f aca="false">IF(AND(C1851=C1852,AA1851=AA1852-1),AB1851,"")</f>
        <v/>
      </c>
      <c r="AE1852" s="0" t="str">
        <f aca="false">IF(AND(C1851=C1852,AA1851=AA1852-1),AC1851,"")</f>
        <v/>
      </c>
      <c r="AF1852" s="0" t="str">
        <f aca="false">IF(AA1852=1,"",IF(AND(AB1852=1,AD1852&lt;&gt;1),1,0))</f>
        <v/>
      </c>
      <c r="AG1852" s="0" t="str">
        <f aca="false">IF(AA1852=1,"",IF(AND(AC1852=1,AE1852&lt;&gt;1),1,0))</f>
        <v/>
      </c>
      <c r="AH1852" s="51" t="str">
        <f aca="false">IF(AND(E1852&gt;0,AA1852&lt;1,NOT(AND(C1853=C1852,AA1853=AA1852+1))),INDEX(DATAS,AA1852+1),"")</f>
        <v/>
      </c>
      <c r="AI1852" s="51" t="str">
        <f aca="false">IF(AND(AC1852=1,AA1852&lt;1),IF(AND(C1853=C1852,AA1853=AA1852+1),IF(AC1853=1,"",INDEX(DATAS,AA1852+1)),INDEX(DATAS,AA1852+1)),"")</f>
        <v/>
      </c>
    </row>
    <row r="1853" customFormat="false" ht="15" hidden="false" customHeight="false" outlineLevel="0" collapsed="false">
      <c r="A1853" s="51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46" t="s">
        <v>1090</v>
      </c>
      <c r="G1853" s="0" t="n">
        <v>51.4</v>
      </c>
      <c r="H1853" s="0" t="n">
        <v>49</v>
      </c>
      <c r="I1853" s="46" t="s">
        <v>161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X1853" s="46" t="n">
        <f aca="false">IF(I1853="Male",0,1)</f>
        <v>1</v>
      </c>
      <c r="Y1853" s="46" t="n">
        <f aca="false">IF(OR(I1853="DNB",I1853="Dry DNB"),1,0)</f>
        <v>0</v>
      </c>
      <c r="Z1853" s="0" t="str">
        <f aca="false">IF(ISNUMBER(W1853),A1853-W1853,"")</f>
        <v/>
      </c>
      <c r="AA1853" s="46" t="n">
        <f aca="false">MATCH(A1853,DATAS,0)</f>
        <v>1</v>
      </c>
      <c r="AB1853" s="46" t="n">
        <f aca="false">IF(AND(E1853&gt;0,OR(AND(B1853&gt;=1,B1853&lt;=6),B1853=10)),1,0)</f>
        <v>1</v>
      </c>
      <c r="AC1853" s="46" t="n">
        <f aca="false">IF(AND(E1853&gt;0,B1853=10),1,0)</f>
        <v>0</v>
      </c>
      <c r="AD1853" s="0" t="str">
        <f aca="false">IF(AND(C1852=C1853,AA1852=AA1853-1),AB1852,"")</f>
        <v/>
      </c>
      <c r="AE1853" s="0" t="str">
        <f aca="false">IF(AND(C1852=C1853,AA1852=AA1853-1),AC1852,"")</f>
        <v/>
      </c>
      <c r="AF1853" s="0" t="str">
        <f aca="false">IF(AA1853=1,"",IF(AND(AB1853=1,AD1853&lt;&gt;1),1,0))</f>
        <v/>
      </c>
      <c r="AG1853" s="0" t="str">
        <f aca="false">IF(AA1853=1,"",IF(AND(AC1853=1,AE1853&lt;&gt;1),1,0))</f>
        <v/>
      </c>
      <c r="AH1853" s="51" t="str">
        <f aca="false">IF(AND(E1853&gt;0,AA1853&lt;1,NOT(AND(C1854=C1853,AA1854=AA1853+1))),INDEX(DATAS,AA1853+1),"")</f>
        <v/>
      </c>
      <c r="AI1853" s="51" t="str">
        <f aca="false">IF(AND(AC1853=1,AA1853&lt;1),IF(AND(C1854=C1853,AA1854=AA1853+1),IF(AC1854=1,"",INDEX(DATAS,AA1853+1)),INDEX(DATAS,AA1853+1)),"")</f>
        <v/>
      </c>
    </row>
    <row r="1854" customFormat="false" ht="15" hidden="false" customHeight="false" outlineLevel="0" collapsed="false">
      <c r="A1854" s="51" t="n">
        <v>46309</v>
      </c>
      <c r="B1854" s="0" t="n">
        <v>8</v>
      </c>
      <c r="C1854" s="0" t="n">
        <v>6072</v>
      </c>
      <c r="E1854" s="0" t="n">
        <v>0</v>
      </c>
      <c r="F1854" s="46" t="s">
        <v>1091</v>
      </c>
      <c r="I1854" s="46" t="s">
        <v>152</v>
      </c>
      <c r="L1854" s="0" t="n">
        <v>252</v>
      </c>
      <c r="U1854" s="0" t="n">
        <v>697</v>
      </c>
      <c r="V1854" s="0" t="n">
        <v>5</v>
      </c>
      <c r="W1854" s="51" t="n">
        <v>46058</v>
      </c>
      <c r="X1854" s="46" t="n">
        <f aca="false">IF(I1854="Male",0,1)</f>
        <v>1</v>
      </c>
      <c r="Y1854" s="46" t="n">
        <f aca="false">IF(OR(I1854="DNB",I1854="Dry DNB"),1,0)</f>
        <v>0</v>
      </c>
      <c r="Z1854" s="46" t="n">
        <f aca="false">IF(ISNUMBER(W1854),A1854-W1854,"")</f>
        <v>251</v>
      </c>
      <c r="AA1854" s="46" t="n">
        <f aca="false">MATCH(A1854,DATAS,0)</f>
        <v>1</v>
      </c>
      <c r="AB1854" s="46" t="n">
        <f aca="false">IF(AND(E1854&gt;0,OR(AND(B1854&gt;=1,B1854&lt;=6),B1854=10)),1,0)</f>
        <v>0</v>
      </c>
      <c r="AC1854" s="46" t="n">
        <f aca="false">IF(AND(E1854&gt;0,B1854=10),1,0)</f>
        <v>0</v>
      </c>
      <c r="AD1854" s="0" t="str">
        <f aca="false">IF(AND(C1853=C1854,AA1853=AA1854-1),AB1853,"")</f>
        <v/>
      </c>
      <c r="AE1854" s="0" t="str">
        <f aca="false">IF(AND(C1853=C1854,AA1853=AA1854-1),AC1853,"")</f>
        <v/>
      </c>
      <c r="AF1854" s="0" t="str">
        <f aca="false">IF(AA1854=1,"",IF(AND(AB1854=1,AD1854&lt;&gt;1),1,0))</f>
        <v/>
      </c>
      <c r="AG1854" s="0" t="str">
        <f aca="false">IF(AA1854=1,"",IF(AND(AC1854=1,AE1854&lt;&gt;1),1,0))</f>
        <v/>
      </c>
      <c r="AH1854" s="51" t="str">
        <f aca="false">IF(AND(E1854&gt;0,AA1854&lt;1,NOT(AND(C1855=C1854,AA1855=AA1854+1))),INDEX(DATAS,AA1854+1),"")</f>
        <v/>
      </c>
      <c r="AI1854" s="51" t="str">
        <f aca="false">IF(AND(AC1854=1,AA1854&lt;1),IF(AND(C1855=C1854,AA1855=AA1854+1),IF(AC1855=1,"",INDEX(DATAS,AA1854+1)),INDEX(DATAS,AA1854+1)),"")</f>
        <v/>
      </c>
    </row>
    <row r="1855" customFormat="false" ht="15" hidden="false" customHeight="false" outlineLevel="0" collapsed="false">
      <c r="A1855" s="51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46" t="s">
        <v>1091</v>
      </c>
      <c r="G1855" s="0" t="n">
        <v>45.1</v>
      </c>
      <c r="H1855" s="0" t="n">
        <v>43</v>
      </c>
      <c r="I1855" s="46" t="s">
        <v>161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X1855" s="46" t="n">
        <f aca="false">IF(I1855="Male",0,1)</f>
        <v>1</v>
      </c>
      <c r="Y1855" s="46" t="n">
        <f aca="false">IF(OR(I1855="DNB",I1855="Dry DNB"),1,0)</f>
        <v>0</v>
      </c>
      <c r="Z1855" s="0" t="str">
        <f aca="false">IF(ISNUMBER(W1855),A1855-W1855,"")</f>
        <v/>
      </c>
      <c r="AA1855" s="46" t="n">
        <f aca="false">MATCH(A1855,DATAS,0)</f>
        <v>1</v>
      </c>
      <c r="AB1855" s="46" t="n">
        <f aca="false">IF(AND(E1855&gt;0,OR(AND(B1855&gt;=1,B1855&lt;=6),B1855=10)),1,0)</f>
        <v>1</v>
      </c>
      <c r="AC1855" s="46" t="n">
        <f aca="false">IF(AND(E1855&gt;0,B1855=10),1,0)</f>
        <v>0</v>
      </c>
      <c r="AD1855" s="0" t="str">
        <f aca="false">IF(AND(C1854=C1855,AA1854=AA1855-1),AB1854,"")</f>
        <v/>
      </c>
      <c r="AE1855" s="0" t="str">
        <f aca="false">IF(AND(C1854=C1855,AA1854=AA1855-1),AC1854,"")</f>
        <v/>
      </c>
      <c r="AF1855" s="0" t="str">
        <f aca="false">IF(AA1855=1,"",IF(AND(AB1855=1,AD1855&lt;&gt;1),1,0))</f>
        <v/>
      </c>
      <c r="AG1855" s="0" t="str">
        <f aca="false">IF(AA1855=1,"",IF(AND(AC1855=1,AE1855&lt;&gt;1),1,0))</f>
        <v/>
      </c>
      <c r="AH1855" s="51" t="str">
        <f aca="false">IF(AND(E1855&gt;0,AA1855&lt;1,NOT(AND(C1856=C1855,AA1856=AA1855+1))),INDEX(DATAS,AA1855+1),"")</f>
        <v/>
      </c>
      <c r="AI1855" s="51" t="str">
        <f aca="false">IF(AND(AC1855=1,AA1855&lt;1),IF(AND(C1856=C1855,AA1856=AA1855+1),IF(AC1856=1,"",INDEX(DATAS,AA1855+1)),INDEX(DATAS,AA1855+1)),"")</f>
        <v/>
      </c>
    </row>
    <row r="1856" customFormat="false" ht="15" hidden="false" customHeight="false" outlineLevel="0" collapsed="false">
      <c r="A1856" s="51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46" t="s">
        <v>1092</v>
      </c>
      <c r="G1856" s="0" t="n">
        <v>44.7</v>
      </c>
      <c r="H1856" s="0" t="n">
        <v>44</v>
      </c>
      <c r="I1856" s="46" t="s">
        <v>161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X1856" s="46" t="n">
        <f aca="false">IF(I1856="Male",0,1)</f>
        <v>1</v>
      </c>
      <c r="Y1856" s="46" t="n">
        <f aca="false">IF(OR(I1856="DNB",I1856="Dry DNB"),1,0)</f>
        <v>0</v>
      </c>
      <c r="Z1856" s="0" t="str">
        <f aca="false">IF(ISNUMBER(W1856),A1856-W1856,"")</f>
        <v/>
      </c>
      <c r="AA1856" s="46" t="n">
        <f aca="false">MATCH(A1856,DATAS,0)</f>
        <v>1</v>
      </c>
      <c r="AB1856" s="46" t="n">
        <f aca="false">IF(AND(E1856&gt;0,OR(AND(B1856&gt;=1,B1856&lt;=6),B1856=10)),1,0)</f>
        <v>1</v>
      </c>
      <c r="AC1856" s="46" t="n">
        <f aca="false">IF(AND(E1856&gt;0,B1856=10),1,0)</f>
        <v>0</v>
      </c>
      <c r="AD1856" s="0" t="str">
        <f aca="false">IF(AND(C1855=C1856,AA1855=AA1856-1),AB1855,"")</f>
        <v/>
      </c>
      <c r="AE1856" s="0" t="str">
        <f aca="false">IF(AND(C1855=C1856,AA1855=AA1856-1),AC1855,"")</f>
        <v/>
      </c>
      <c r="AF1856" s="0" t="str">
        <f aca="false">IF(AA1856=1,"",IF(AND(AB1856=1,AD1856&lt;&gt;1),1,0))</f>
        <v/>
      </c>
      <c r="AG1856" s="0" t="str">
        <f aca="false">IF(AA1856=1,"",IF(AND(AC1856=1,AE1856&lt;&gt;1),1,0))</f>
        <v/>
      </c>
      <c r="AH1856" s="51" t="str">
        <f aca="false">IF(AND(E1856&gt;0,AA1856&lt;1,NOT(AND(C1857=C1856,AA1857=AA1856+1))),INDEX(DATAS,AA1856+1),"")</f>
        <v/>
      </c>
      <c r="AI1856" s="51" t="str">
        <f aca="false">IF(AND(AC1856=1,AA1856&lt;1),IF(AND(C1857=C1856,AA1857=AA1856+1),IF(AC1857=1,"",INDEX(DATAS,AA1856+1)),INDEX(DATAS,AA1856+1)),"")</f>
        <v/>
      </c>
    </row>
    <row r="1857" customFormat="false" ht="15" hidden="false" customHeight="false" outlineLevel="0" collapsed="false">
      <c r="A1857" s="51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46" t="s">
        <v>1093</v>
      </c>
      <c r="G1857" s="0" t="n">
        <v>61.2</v>
      </c>
      <c r="H1857" s="0" t="n">
        <v>60</v>
      </c>
      <c r="I1857" s="46" t="s">
        <v>161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X1857" s="46" t="n">
        <f aca="false">IF(I1857="Male",0,1)</f>
        <v>1</v>
      </c>
      <c r="Y1857" s="46" t="n">
        <f aca="false">IF(OR(I1857="DNB",I1857="Dry DNB"),1,0)</f>
        <v>0</v>
      </c>
      <c r="Z1857" s="0" t="str">
        <f aca="false">IF(ISNUMBER(W1857),A1857-W1857,"")</f>
        <v/>
      </c>
      <c r="AA1857" s="46" t="n">
        <f aca="false">MATCH(A1857,DATAS,0)</f>
        <v>1</v>
      </c>
      <c r="AB1857" s="46" t="n">
        <f aca="false">IF(AND(E1857&gt;0,OR(AND(B1857&gt;=1,B1857&lt;=6),B1857=10)),1,0)</f>
        <v>1</v>
      </c>
      <c r="AC1857" s="46" t="n">
        <f aca="false">IF(AND(E1857&gt;0,B1857=10),1,0)</f>
        <v>0</v>
      </c>
      <c r="AD1857" s="0" t="str">
        <f aca="false">IF(AND(C1856=C1857,AA1856=AA1857-1),AB1856,"")</f>
        <v/>
      </c>
      <c r="AE1857" s="0" t="str">
        <f aca="false">IF(AND(C1856=C1857,AA1856=AA1857-1),AC1856,"")</f>
        <v/>
      </c>
      <c r="AF1857" s="0" t="str">
        <f aca="false">IF(AA1857=1,"",IF(AND(AB1857=1,AD1857&lt;&gt;1),1,0))</f>
        <v/>
      </c>
      <c r="AG1857" s="0" t="str">
        <f aca="false">IF(AA1857=1,"",IF(AND(AC1857=1,AE1857&lt;&gt;1),1,0))</f>
        <v/>
      </c>
      <c r="AH1857" s="51" t="str">
        <f aca="false">IF(AND(E1857&gt;0,AA1857&lt;1,NOT(AND(C1858=C1857,AA1858=AA1857+1))),INDEX(DATAS,AA1857+1),"")</f>
        <v/>
      </c>
      <c r="AI1857" s="51" t="str">
        <f aca="false">IF(AND(AC1857=1,AA1857&lt;1),IF(AND(C1858=C1857,AA1858=AA1857+1),IF(AC1858=1,"",INDEX(DATAS,AA1857+1)),INDEX(DATAS,AA1857+1)),"")</f>
        <v/>
      </c>
    </row>
    <row r="1858" customFormat="false" ht="15" hidden="false" customHeight="false" outlineLevel="0" collapsed="false">
      <c r="A1858" s="51" t="n">
        <v>46309</v>
      </c>
      <c r="B1858" s="0" t="n">
        <v>7</v>
      </c>
      <c r="C1858" s="0" t="n">
        <v>6077</v>
      </c>
      <c r="E1858" s="0" t="n">
        <v>0</v>
      </c>
      <c r="F1858" s="46" t="s">
        <v>1093</v>
      </c>
      <c r="I1858" s="46" t="s">
        <v>152</v>
      </c>
      <c r="L1858" s="0" t="n">
        <v>246</v>
      </c>
      <c r="U1858" s="0" t="n">
        <v>694</v>
      </c>
      <c r="V1858" s="0" t="n">
        <v>2</v>
      </c>
      <c r="W1858" s="51" t="n">
        <v>46064</v>
      </c>
      <c r="X1858" s="46" t="n">
        <f aca="false">IF(I1858="Male",0,1)</f>
        <v>1</v>
      </c>
      <c r="Y1858" s="46" t="n">
        <f aca="false">IF(OR(I1858="DNB",I1858="Dry DNB"),1,0)</f>
        <v>0</v>
      </c>
      <c r="Z1858" s="46" t="n">
        <f aca="false">IF(ISNUMBER(W1858),A1858-W1858,"")</f>
        <v>245</v>
      </c>
      <c r="AA1858" s="46" t="n">
        <f aca="false">MATCH(A1858,DATAS,0)</f>
        <v>1</v>
      </c>
      <c r="AB1858" s="46" t="n">
        <f aca="false">IF(AND(E1858&gt;0,OR(AND(B1858&gt;=1,B1858&lt;=6),B1858=10)),1,0)</f>
        <v>0</v>
      </c>
      <c r="AC1858" s="46" t="n">
        <f aca="false">IF(AND(E1858&gt;0,B1858=10),1,0)</f>
        <v>0</v>
      </c>
      <c r="AD1858" s="0" t="str">
        <f aca="false">IF(AND(C1857=C1858,AA1857=AA1858-1),AB1857,"")</f>
        <v/>
      </c>
      <c r="AE1858" s="0" t="str">
        <f aca="false">IF(AND(C1857=C1858,AA1857=AA1858-1),AC1857,"")</f>
        <v/>
      </c>
      <c r="AF1858" s="0" t="str">
        <f aca="false">IF(AA1858=1,"",IF(AND(AB1858=1,AD1858&lt;&gt;1),1,0))</f>
        <v/>
      </c>
      <c r="AG1858" s="0" t="str">
        <f aca="false">IF(AA1858=1,"",IF(AND(AC1858=1,AE1858&lt;&gt;1),1,0))</f>
        <v/>
      </c>
      <c r="AH1858" s="51" t="str">
        <f aca="false">IF(AND(E1858&gt;0,AA1858&lt;1,NOT(AND(C1859=C1858,AA1859=AA1858+1))),INDEX(DATAS,AA1858+1),"")</f>
        <v/>
      </c>
      <c r="AI1858" s="51" t="str">
        <f aca="false">IF(AND(AC1858=1,AA1858&lt;1),IF(AND(C1859=C1858,AA1859=AA1858+1),IF(AC1859=1,"",INDEX(DATAS,AA1858+1)),INDEX(DATAS,AA1858+1)),"")</f>
        <v/>
      </c>
    </row>
    <row r="1859" customFormat="false" ht="15" hidden="false" customHeight="false" outlineLevel="0" collapsed="false">
      <c r="A1859" s="51" t="n">
        <v>46309</v>
      </c>
      <c r="B1859" s="0" t="n">
        <v>8</v>
      </c>
      <c r="C1859" s="0" t="n">
        <v>6080</v>
      </c>
      <c r="E1859" s="0" t="n">
        <v>0</v>
      </c>
      <c r="F1859" s="46" t="s">
        <v>1094</v>
      </c>
      <c r="I1859" s="46" t="s">
        <v>152</v>
      </c>
      <c r="L1859" s="0" t="n">
        <v>147</v>
      </c>
      <c r="U1859" s="0" t="n">
        <v>693</v>
      </c>
      <c r="V1859" s="0" t="n">
        <v>7</v>
      </c>
      <c r="W1859" s="51" t="n">
        <v>46163</v>
      </c>
      <c r="X1859" s="46" t="n">
        <f aca="false">IF(I1859="Male",0,1)</f>
        <v>1</v>
      </c>
      <c r="Y1859" s="46" t="n">
        <f aca="false">IF(OR(I1859="DNB",I1859="Dry DNB"),1,0)</f>
        <v>0</v>
      </c>
      <c r="Z1859" s="46" t="n">
        <f aca="false">IF(ISNUMBER(W1859),A1859-W1859,"")</f>
        <v>146</v>
      </c>
      <c r="AA1859" s="46" t="n">
        <f aca="false">MATCH(A1859,DATAS,0)</f>
        <v>1</v>
      </c>
      <c r="AB1859" s="46" t="n">
        <f aca="false">IF(AND(E1859&gt;0,OR(AND(B1859&gt;=1,B1859&lt;=6),B1859=10)),1,0)</f>
        <v>0</v>
      </c>
      <c r="AC1859" s="46" t="n">
        <f aca="false">IF(AND(E1859&gt;0,B1859=10),1,0)</f>
        <v>0</v>
      </c>
      <c r="AD1859" s="0" t="str">
        <f aca="false">IF(AND(C1858=C1859,AA1858=AA1859-1),AB1858,"")</f>
        <v/>
      </c>
      <c r="AE1859" s="0" t="str">
        <f aca="false">IF(AND(C1858=C1859,AA1858=AA1859-1),AC1858,"")</f>
        <v/>
      </c>
      <c r="AF1859" s="0" t="str">
        <f aca="false">IF(AA1859=1,"",IF(AND(AB1859=1,AD1859&lt;&gt;1),1,0))</f>
        <v/>
      </c>
      <c r="AG1859" s="0" t="str">
        <f aca="false">IF(AA1859=1,"",IF(AND(AC1859=1,AE1859&lt;&gt;1),1,0))</f>
        <v/>
      </c>
      <c r="AH1859" s="51" t="str">
        <f aca="false">IF(AND(E1859&gt;0,AA1859&lt;1,NOT(AND(C1860=C1859,AA1860=AA1859+1))),INDEX(DATAS,AA1859+1),"")</f>
        <v/>
      </c>
      <c r="AI1859" s="51" t="str">
        <f aca="false">IF(AND(AC1859=1,AA1859&lt;1),IF(AND(C1860=C1859,AA1860=AA1859+1),IF(AC1860=1,"",INDEX(DATAS,AA1859+1)),INDEX(DATAS,AA1859+1)),"")</f>
        <v/>
      </c>
    </row>
    <row r="1860" customFormat="false" ht="15" hidden="false" customHeight="false" outlineLevel="0" collapsed="false">
      <c r="A1860" s="51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46" t="s">
        <v>1095</v>
      </c>
      <c r="G1860" s="0" t="n">
        <v>45.8</v>
      </c>
      <c r="H1860" s="0" t="n">
        <v>45</v>
      </c>
      <c r="I1860" s="46" t="s">
        <v>161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X1860" s="46" t="n">
        <f aca="false">IF(I1860="Male",0,1)</f>
        <v>1</v>
      </c>
      <c r="Y1860" s="46" t="n">
        <f aca="false">IF(OR(I1860="DNB",I1860="Dry DNB"),1,0)</f>
        <v>0</v>
      </c>
      <c r="Z1860" s="0" t="str">
        <f aca="false">IF(ISNUMBER(W1860),A1860-W1860,"")</f>
        <v/>
      </c>
      <c r="AA1860" s="46" t="n">
        <f aca="false">MATCH(A1860,DATAS,0)</f>
        <v>1</v>
      </c>
      <c r="AB1860" s="46" t="n">
        <f aca="false">IF(AND(E1860&gt;0,OR(AND(B1860&gt;=1,B1860&lt;=6),B1860=10)),1,0)</f>
        <v>1</v>
      </c>
      <c r="AC1860" s="46" t="n">
        <f aca="false">IF(AND(E1860&gt;0,B1860=10),1,0)</f>
        <v>0</v>
      </c>
      <c r="AD1860" s="0" t="str">
        <f aca="false">IF(AND(C1859=C1860,AA1859=AA1860-1),AB1859,"")</f>
        <v/>
      </c>
      <c r="AE1860" s="0" t="str">
        <f aca="false">IF(AND(C1859=C1860,AA1859=AA1860-1),AC1859,"")</f>
        <v/>
      </c>
      <c r="AF1860" s="0" t="str">
        <f aca="false">IF(AA1860=1,"",IF(AND(AB1860=1,AD1860&lt;&gt;1),1,0))</f>
        <v/>
      </c>
      <c r="AG1860" s="0" t="str">
        <f aca="false">IF(AA1860=1,"",IF(AND(AC1860=1,AE1860&lt;&gt;1),1,0))</f>
        <v/>
      </c>
      <c r="AH1860" s="51" t="str">
        <f aca="false">IF(AND(E1860&gt;0,AA1860&lt;1,NOT(AND(C1861=C1860,AA1861=AA1860+1))),INDEX(DATAS,AA1860+1),"")</f>
        <v/>
      </c>
      <c r="AI1860" s="51" t="str">
        <f aca="false">IF(AND(AC1860=1,AA1860&lt;1),IF(AND(C1861=C1860,AA1861=AA1860+1),IF(AC1861=1,"",INDEX(DATAS,AA1860+1)),INDEX(DATAS,AA1860+1)),"")</f>
        <v/>
      </c>
    </row>
    <row r="1861" customFormat="false" ht="15" hidden="false" customHeight="false" outlineLevel="0" collapsed="false">
      <c r="A1861" s="51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46" t="s">
        <v>1095</v>
      </c>
      <c r="G1861" s="0" t="n">
        <v>37.7</v>
      </c>
      <c r="H1861" s="0" t="n">
        <v>36</v>
      </c>
      <c r="I1861" s="46" t="s">
        <v>161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X1861" s="46" t="n">
        <f aca="false">IF(I1861="Male",0,1)</f>
        <v>1</v>
      </c>
      <c r="Y1861" s="46" t="n">
        <f aca="false">IF(OR(I1861="DNB",I1861="Dry DNB"),1,0)</f>
        <v>0</v>
      </c>
      <c r="Z1861" s="0" t="str">
        <f aca="false">IF(ISNUMBER(W1861),A1861-W1861,"")</f>
        <v/>
      </c>
      <c r="AA1861" s="46" t="n">
        <f aca="false">MATCH(A1861,DATAS,0)</f>
        <v>1</v>
      </c>
      <c r="AB1861" s="46" t="n">
        <f aca="false">IF(AND(E1861&gt;0,OR(AND(B1861&gt;=1,B1861&lt;=6),B1861=10)),1,0)</f>
        <v>1</v>
      </c>
      <c r="AC1861" s="46" t="n">
        <f aca="false">IF(AND(E1861&gt;0,B1861=10),1,0)</f>
        <v>0</v>
      </c>
      <c r="AD1861" s="0" t="str">
        <f aca="false">IF(AND(C1860=C1861,AA1860=AA1861-1),AB1860,"")</f>
        <v/>
      </c>
      <c r="AE1861" s="0" t="str">
        <f aca="false">IF(AND(C1860=C1861,AA1860=AA1861-1),AC1860,"")</f>
        <v/>
      </c>
      <c r="AF1861" s="0" t="str">
        <f aca="false">IF(AA1861=1,"",IF(AND(AB1861=1,AD1861&lt;&gt;1),1,0))</f>
        <v/>
      </c>
      <c r="AG1861" s="0" t="str">
        <f aca="false">IF(AA1861=1,"",IF(AND(AC1861=1,AE1861&lt;&gt;1),1,0))</f>
        <v/>
      </c>
      <c r="AH1861" s="51" t="str">
        <f aca="false">IF(AND(E1861&gt;0,AA1861&lt;1,NOT(AND(C1862=C1861,AA1862=AA1861+1))),INDEX(DATAS,AA1861+1),"")</f>
        <v/>
      </c>
      <c r="AI1861" s="51" t="str">
        <f aca="false">IF(AND(AC1861=1,AA1861&lt;1),IF(AND(C1862=C1861,AA1862=AA1861+1),IF(AC1862=1,"",INDEX(DATAS,AA1861+1)),INDEX(DATAS,AA1861+1)),"")</f>
        <v/>
      </c>
    </row>
    <row r="1862" customFormat="false" ht="15" hidden="false" customHeight="false" outlineLevel="0" collapsed="false">
      <c r="A1862" s="51" t="n">
        <v>46309</v>
      </c>
      <c r="B1862" s="0" t="n">
        <v>8</v>
      </c>
      <c r="C1862" s="0" t="n">
        <v>6083</v>
      </c>
      <c r="E1862" s="0" t="n">
        <v>0</v>
      </c>
      <c r="F1862" s="46" t="s">
        <v>1096</v>
      </c>
      <c r="I1862" s="46" t="s">
        <v>152</v>
      </c>
      <c r="L1862" s="0" t="n">
        <v>235</v>
      </c>
      <c r="U1862" s="0" t="n">
        <v>691</v>
      </c>
      <c r="V1862" s="0" t="n">
        <v>3</v>
      </c>
      <c r="W1862" s="51" t="n">
        <v>46075</v>
      </c>
      <c r="X1862" s="46" t="n">
        <f aca="false">IF(I1862="Male",0,1)</f>
        <v>1</v>
      </c>
      <c r="Y1862" s="46" t="n">
        <f aca="false">IF(OR(I1862="DNB",I1862="Dry DNB"),1,0)</f>
        <v>0</v>
      </c>
      <c r="Z1862" s="46" t="n">
        <f aca="false">IF(ISNUMBER(W1862),A1862-W1862,"")</f>
        <v>234</v>
      </c>
      <c r="AA1862" s="46" t="n">
        <f aca="false">MATCH(A1862,DATAS,0)</f>
        <v>1</v>
      </c>
      <c r="AB1862" s="46" t="n">
        <f aca="false">IF(AND(E1862&gt;0,OR(AND(B1862&gt;=1,B1862&lt;=6),B1862=10)),1,0)</f>
        <v>0</v>
      </c>
      <c r="AC1862" s="46" t="n">
        <f aca="false">IF(AND(E1862&gt;0,B1862=10),1,0)</f>
        <v>0</v>
      </c>
      <c r="AD1862" s="0" t="str">
        <f aca="false">IF(AND(C1861=C1862,AA1861=AA1862-1),AB1861,"")</f>
        <v/>
      </c>
      <c r="AE1862" s="0" t="str">
        <f aca="false">IF(AND(C1861=C1862,AA1861=AA1862-1),AC1861,"")</f>
        <v/>
      </c>
      <c r="AF1862" s="0" t="str">
        <f aca="false">IF(AA1862=1,"",IF(AND(AB1862=1,AD1862&lt;&gt;1),1,0))</f>
        <v/>
      </c>
      <c r="AG1862" s="0" t="str">
        <f aca="false">IF(AA1862=1,"",IF(AND(AC1862=1,AE1862&lt;&gt;1),1,0))</f>
        <v/>
      </c>
      <c r="AH1862" s="51" t="str">
        <f aca="false">IF(AND(E1862&gt;0,AA1862&lt;1,NOT(AND(C1863=C1862,AA1863=AA1862+1))),INDEX(DATAS,AA1862+1),"")</f>
        <v/>
      </c>
      <c r="AI1862" s="51" t="str">
        <f aca="false">IF(AND(AC1862=1,AA1862&lt;1),IF(AND(C1863=C1862,AA1863=AA1862+1),IF(AC1863=1,"",INDEX(DATAS,AA1862+1)),INDEX(DATAS,AA1862+1)),"")</f>
        <v/>
      </c>
    </row>
    <row r="1863" customFormat="false" ht="15" hidden="false" customHeight="false" outlineLevel="0" collapsed="false">
      <c r="A1863" s="51" t="n">
        <v>46309</v>
      </c>
      <c r="B1863" s="0" t="n">
        <v>8</v>
      </c>
      <c r="C1863" s="0" t="n">
        <v>6085</v>
      </c>
      <c r="E1863" s="0" t="n">
        <v>0</v>
      </c>
      <c r="F1863" s="46" t="s">
        <v>1096</v>
      </c>
      <c r="I1863" s="46" t="s">
        <v>152</v>
      </c>
      <c r="L1863" s="0" t="n">
        <v>154</v>
      </c>
      <c r="U1863" s="0" t="n">
        <v>691</v>
      </c>
      <c r="V1863" s="0" t="n">
        <v>8</v>
      </c>
      <c r="W1863" s="51" t="n">
        <v>46156</v>
      </c>
      <c r="X1863" s="46" t="n">
        <f aca="false">IF(I1863="Male",0,1)</f>
        <v>1</v>
      </c>
      <c r="Y1863" s="46" t="n">
        <f aca="false">IF(OR(I1863="DNB",I1863="Dry DNB"),1,0)</f>
        <v>0</v>
      </c>
      <c r="Z1863" s="46" t="n">
        <f aca="false">IF(ISNUMBER(W1863),A1863-W1863,"")</f>
        <v>153</v>
      </c>
      <c r="AA1863" s="46" t="n">
        <f aca="false">MATCH(A1863,DATAS,0)</f>
        <v>1</v>
      </c>
      <c r="AB1863" s="46" t="n">
        <f aca="false">IF(AND(E1863&gt;0,OR(AND(B1863&gt;=1,B1863&lt;=6),B1863=10)),1,0)</f>
        <v>0</v>
      </c>
      <c r="AC1863" s="46" t="n">
        <f aca="false">IF(AND(E1863&gt;0,B1863=10),1,0)</f>
        <v>0</v>
      </c>
      <c r="AD1863" s="0" t="str">
        <f aca="false">IF(AND(C1862=C1863,AA1862=AA1863-1),AB1862,"")</f>
        <v/>
      </c>
      <c r="AE1863" s="0" t="str">
        <f aca="false">IF(AND(C1862=C1863,AA1862=AA1863-1),AC1862,"")</f>
        <v/>
      </c>
      <c r="AF1863" s="0" t="str">
        <f aca="false">IF(AA1863=1,"",IF(AND(AB1863=1,AD1863&lt;&gt;1),1,0))</f>
        <v/>
      </c>
      <c r="AG1863" s="0" t="str">
        <f aca="false">IF(AA1863=1,"",IF(AND(AC1863=1,AE1863&lt;&gt;1),1,0))</f>
        <v/>
      </c>
      <c r="AH1863" s="51" t="str">
        <f aca="false">IF(AND(E1863&gt;0,AA1863&lt;1,NOT(AND(C1864=C1863,AA1864=AA1863+1))),INDEX(DATAS,AA1863+1),"")</f>
        <v/>
      </c>
      <c r="AI1863" s="51" t="str">
        <f aca="false">IF(AND(AC1863=1,AA1863&lt;1),IF(AND(C1864=C1863,AA1864=AA1863+1),IF(AC1864=1,"",INDEX(DATAS,AA1863+1)),INDEX(DATAS,AA1863+1)),"")</f>
        <v/>
      </c>
    </row>
    <row r="1864" customFormat="false" ht="15" hidden="false" customHeight="false" outlineLevel="0" collapsed="false">
      <c r="A1864" s="51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46" t="s">
        <v>1096</v>
      </c>
      <c r="G1864" s="0" t="n">
        <v>59.4</v>
      </c>
      <c r="H1864" s="0" t="n">
        <v>54</v>
      </c>
      <c r="I1864" s="46" t="s">
        <v>161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X1864" s="46" t="n">
        <f aca="false">IF(I1864="Male",0,1)</f>
        <v>1</v>
      </c>
      <c r="Y1864" s="46" t="n">
        <f aca="false">IF(OR(I1864="DNB",I1864="Dry DNB"),1,0)</f>
        <v>0</v>
      </c>
      <c r="Z1864" s="0" t="str">
        <f aca="false">IF(ISNUMBER(W1864),A1864-W1864,"")</f>
        <v/>
      </c>
      <c r="AA1864" s="46" t="n">
        <f aca="false">MATCH(A1864,DATAS,0)</f>
        <v>1</v>
      </c>
      <c r="AB1864" s="46" t="n">
        <f aca="false">IF(AND(E1864&gt;0,OR(AND(B1864&gt;=1,B1864&lt;=6),B1864=10)),1,0)</f>
        <v>1</v>
      </c>
      <c r="AC1864" s="46" t="n">
        <f aca="false">IF(AND(E1864&gt;0,B1864=10),1,0)</f>
        <v>0</v>
      </c>
      <c r="AD1864" s="0" t="str">
        <f aca="false">IF(AND(C1863=C1864,AA1863=AA1864-1),AB1863,"")</f>
        <v/>
      </c>
      <c r="AE1864" s="0" t="str">
        <f aca="false">IF(AND(C1863=C1864,AA1863=AA1864-1),AC1863,"")</f>
        <v/>
      </c>
      <c r="AF1864" s="0" t="str">
        <f aca="false">IF(AA1864=1,"",IF(AND(AB1864=1,AD1864&lt;&gt;1),1,0))</f>
        <v/>
      </c>
      <c r="AG1864" s="0" t="str">
        <f aca="false">IF(AA1864=1,"",IF(AND(AC1864=1,AE1864&lt;&gt;1),1,0))</f>
        <v/>
      </c>
      <c r="AH1864" s="51" t="str">
        <f aca="false">IF(AND(E1864&gt;0,AA1864&lt;1,NOT(AND(C1865=C1864,AA1865=AA1864+1))),INDEX(DATAS,AA1864+1),"")</f>
        <v/>
      </c>
      <c r="AI1864" s="51" t="str">
        <f aca="false">IF(AND(AC1864=1,AA1864&lt;1),IF(AND(C1865=C1864,AA1865=AA1864+1),IF(AC1865=1,"",INDEX(DATAS,AA1864+1)),INDEX(DATAS,AA1864+1)),"")</f>
        <v/>
      </c>
    </row>
    <row r="1865" customFormat="false" ht="15" hidden="false" customHeight="false" outlineLevel="0" collapsed="false">
      <c r="A1865" s="51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46" t="s">
        <v>1096</v>
      </c>
      <c r="I1865" s="46" t="s">
        <v>161</v>
      </c>
      <c r="J1865" s="0" t="n">
        <v>2</v>
      </c>
      <c r="U1865" s="0" t="n">
        <v>691</v>
      </c>
      <c r="V1865" s="0" t="n">
        <v>0</v>
      </c>
      <c r="X1865" s="46" t="n">
        <f aca="false">IF(I1865="Male",0,1)</f>
        <v>1</v>
      </c>
      <c r="Y1865" s="46" t="n">
        <f aca="false">IF(OR(I1865="DNB",I1865="Dry DNB"),1,0)</f>
        <v>0</v>
      </c>
      <c r="Z1865" s="0" t="str">
        <f aca="false">IF(ISNUMBER(W1865),A1865-W1865,"")</f>
        <v/>
      </c>
      <c r="AA1865" s="46" t="n">
        <f aca="false">MATCH(A1865,DATAS,0)</f>
        <v>1</v>
      </c>
      <c r="AB1865" s="46" t="n">
        <f aca="false">IF(AND(E1865&gt;0,OR(AND(B1865&gt;=1,B1865&lt;=6),B1865=10)),1,0)</f>
        <v>1</v>
      </c>
      <c r="AC1865" s="46" t="n">
        <f aca="false">IF(AND(E1865&gt;0,B1865=10),1,0)</f>
        <v>0</v>
      </c>
      <c r="AD1865" s="0" t="str">
        <f aca="false">IF(AND(C1864=C1865,AA1864=AA1865-1),AB1864,"")</f>
        <v/>
      </c>
      <c r="AE1865" s="0" t="str">
        <f aca="false">IF(AND(C1864=C1865,AA1864=AA1865-1),AC1864,"")</f>
        <v/>
      </c>
      <c r="AF1865" s="0" t="str">
        <f aca="false">IF(AA1865=1,"",IF(AND(AB1865=1,AD1865&lt;&gt;1),1,0))</f>
        <v/>
      </c>
      <c r="AG1865" s="0" t="str">
        <f aca="false">IF(AA1865=1,"",IF(AND(AC1865=1,AE1865&lt;&gt;1),1,0))</f>
        <v/>
      </c>
      <c r="AH1865" s="51" t="str">
        <f aca="false">IF(AND(E1865&gt;0,AA1865&lt;1,NOT(AND(C1866=C1865,AA1866=AA1865+1))),INDEX(DATAS,AA1865+1),"")</f>
        <v/>
      </c>
      <c r="AI1865" s="51" t="str">
        <f aca="false">IF(AND(AC1865=1,AA1865&lt;1),IF(AND(C1866=C1865,AA1866=AA1865+1),IF(AC1866=1,"",INDEX(DATAS,AA1865+1)),INDEX(DATAS,AA1865+1)),"")</f>
        <v/>
      </c>
    </row>
    <row r="1866" customFormat="false" ht="15" hidden="false" customHeight="false" outlineLevel="0" collapsed="false">
      <c r="A1866" s="51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46" t="s">
        <v>1097</v>
      </c>
      <c r="G1866" s="0" t="n">
        <v>51.1</v>
      </c>
      <c r="H1866" s="0" t="n">
        <v>48</v>
      </c>
      <c r="I1866" s="46" t="s">
        <v>161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X1866" s="46" t="n">
        <f aca="false">IF(I1866="Male",0,1)</f>
        <v>1</v>
      </c>
      <c r="Y1866" s="46" t="n">
        <f aca="false">IF(OR(I1866="DNB",I1866="Dry DNB"),1,0)</f>
        <v>0</v>
      </c>
      <c r="Z1866" s="0" t="str">
        <f aca="false">IF(ISNUMBER(W1866),A1866-W1866,"")</f>
        <v/>
      </c>
      <c r="AA1866" s="46" t="n">
        <f aca="false">MATCH(A1866,DATAS,0)</f>
        <v>1</v>
      </c>
      <c r="AB1866" s="46" t="n">
        <f aca="false">IF(AND(E1866&gt;0,OR(AND(B1866&gt;=1,B1866&lt;=6),B1866=10)),1,0)</f>
        <v>1</v>
      </c>
      <c r="AC1866" s="46" t="n">
        <f aca="false">IF(AND(E1866&gt;0,B1866=10),1,0)</f>
        <v>0</v>
      </c>
      <c r="AD1866" s="0" t="str">
        <f aca="false">IF(AND(C1865=C1866,AA1865=AA1866-1),AB1865,"")</f>
        <v/>
      </c>
      <c r="AE1866" s="0" t="str">
        <f aca="false">IF(AND(C1865=C1866,AA1865=AA1866-1),AC1865,"")</f>
        <v/>
      </c>
      <c r="AF1866" s="0" t="str">
        <f aca="false">IF(AA1866=1,"",IF(AND(AB1866=1,AD1866&lt;&gt;1),1,0))</f>
        <v/>
      </c>
      <c r="AG1866" s="0" t="str">
        <f aca="false">IF(AA1866=1,"",IF(AND(AC1866=1,AE1866&lt;&gt;1),1,0))</f>
        <v/>
      </c>
      <c r="AH1866" s="51" t="str">
        <f aca="false">IF(AND(E1866&gt;0,AA1866&lt;1,NOT(AND(C1867=C1866,AA1867=AA1866+1))),INDEX(DATAS,AA1866+1),"")</f>
        <v/>
      </c>
      <c r="AI1866" s="51" t="str">
        <f aca="false">IF(AND(AC1866=1,AA1866&lt;1),IF(AND(C1867=C1866,AA1867=AA1866+1),IF(AC1867=1,"",INDEX(DATAS,AA1866+1)),INDEX(DATAS,AA1866+1)),"")</f>
        <v/>
      </c>
    </row>
    <row r="1867" customFormat="false" ht="15" hidden="false" customHeight="false" outlineLevel="0" collapsed="false">
      <c r="A1867" s="51" t="n">
        <v>46309</v>
      </c>
      <c r="B1867" s="0" t="n">
        <v>8</v>
      </c>
      <c r="C1867" s="0" t="n">
        <v>6089</v>
      </c>
      <c r="E1867" s="0" t="n">
        <v>0</v>
      </c>
      <c r="F1867" s="46" t="s">
        <v>1098</v>
      </c>
      <c r="I1867" s="46" t="s">
        <v>152</v>
      </c>
      <c r="L1867" s="0" t="n">
        <v>169</v>
      </c>
      <c r="U1867" s="0" t="n">
        <v>689</v>
      </c>
      <c r="V1867" s="0" t="n">
        <v>8</v>
      </c>
      <c r="W1867" s="51" t="n">
        <v>46141</v>
      </c>
      <c r="X1867" s="46" t="n">
        <f aca="false">IF(I1867="Male",0,1)</f>
        <v>1</v>
      </c>
      <c r="Y1867" s="46" t="n">
        <f aca="false">IF(OR(I1867="DNB",I1867="Dry DNB"),1,0)</f>
        <v>0</v>
      </c>
      <c r="Z1867" s="46" t="n">
        <f aca="false">IF(ISNUMBER(W1867),A1867-W1867,"")</f>
        <v>168</v>
      </c>
      <c r="AA1867" s="46" t="n">
        <f aca="false">MATCH(A1867,DATAS,0)</f>
        <v>1</v>
      </c>
      <c r="AB1867" s="46" t="n">
        <f aca="false">IF(AND(E1867&gt;0,OR(AND(B1867&gt;=1,B1867&lt;=6),B1867=10)),1,0)</f>
        <v>0</v>
      </c>
      <c r="AC1867" s="46" t="n">
        <f aca="false">IF(AND(E1867&gt;0,B1867=10),1,0)</f>
        <v>0</v>
      </c>
      <c r="AD1867" s="0" t="str">
        <f aca="false">IF(AND(C1866=C1867,AA1866=AA1867-1),AB1866,"")</f>
        <v/>
      </c>
      <c r="AE1867" s="0" t="str">
        <f aca="false">IF(AND(C1866=C1867,AA1866=AA1867-1),AC1866,"")</f>
        <v/>
      </c>
      <c r="AF1867" s="0" t="str">
        <f aca="false">IF(AA1867=1,"",IF(AND(AB1867=1,AD1867&lt;&gt;1),1,0))</f>
        <v/>
      </c>
      <c r="AG1867" s="0" t="str">
        <f aca="false">IF(AA1867=1,"",IF(AND(AC1867=1,AE1867&lt;&gt;1),1,0))</f>
        <v/>
      </c>
      <c r="AH1867" s="51" t="str">
        <f aca="false">IF(AND(E1867&gt;0,AA1867&lt;1,NOT(AND(C1868=C1867,AA1868=AA1867+1))),INDEX(DATAS,AA1867+1),"")</f>
        <v/>
      </c>
      <c r="AI1867" s="51" t="str">
        <f aca="false">IF(AND(AC1867=1,AA1867&lt;1),IF(AND(C1868=C1867,AA1868=AA1867+1),IF(AC1868=1,"",INDEX(DATAS,AA1867+1)),INDEX(DATAS,AA1867+1)),"")</f>
        <v/>
      </c>
    </row>
    <row r="1868" customFormat="false" ht="15" hidden="false" customHeight="false" outlineLevel="0" collapsed="false">
      <c r="A1868" s="51" t="n">
        <v>46309</v>
      </c>
      <c r="B1868" s="0" t="n">
        <v>7</v>
      </c>
      <c r="C1868" s="0" t="n">
        <v>6090</v>
      </c>
      <c r="E1868" s="0" t="n">
        <v>0</v>
      </c>
      <c r="F1868" s="46" t="s">
        <v>1099</v>
      </c>
      <c r="I1868" s="46" t="s">
        <v>152</v>
      </c>
      <c r="L1868" s="0" t="n">
        <v>214</v>
      </c>
      <c r="U1868" s="0" t="n">
        <v>687</v>
      </c>
      <c r="V1868" s="0" t="n">
        <v>5</v>
      </c>
      <c r="W1868" s="51" t="n">
        <v>46096</v>
      </c>
      <c r="X1868" s="46" t="n">
        <f aca="false">IF(I1868="Male",0,1)</f>
        <v>1</v>
      </c>
      <c r="Y1868" s="46" t="n">
        <f aca="false">IF(OR(I1868="DNB",I1868="Dry DNB"),1,0)</f>
        <v>0</v>
      </c>
      <c r="Z1868" s="46" t="n">
        <f aca="false">IF(ISNUMBER(W1868),A1868-W1868,"")</f>
        <v>213</v>
      </c>
      <c r="AA1868" s="46" t="n">
        <f aca="false">MATCH(A1868,DATAS,0)</f>
        <v>1</v>
      </c>
      <c r="AB1868" s="46" t="n">
        <f aca="false">IF(AND(E1868&gt;0,OR(AND(B1868&gt;=1,B1868&lt;=6),B1868=10)),1,0)</f>
        <v>0</v>
      </c>
      <c r="AC1868" s="46" t="n">
        <f aca="false">IF(AND(E1868&gt;0,B1868=10),1,0)</f>
        <v>0</v>
      </c>
      <c r="AD1868" s="0" t="str">
        <f aca="false">IF(AND(C1867=C1868,AA1867=AA1868-1),AB1867,"")</f>
        <v/>
      </c>
      <c r="AE1868" s="0" t="str">
        <f aca="false">IF(AND(C1867=C1868,AA1867=AA1868-1),AC1867,"")</f>
        <v/>
      </c>
      <c r="AF1868" s="0" t="str">
        <f aca="false">IF(AA1868=1,"",IF(AND(AB1868=1,AD1868&lt;&gt;1),1,0))</f>
        <v/>
      </c>
      <c r="AG1868" s="0" t="str">
        <f aca="false">IF(AA1868=1,"",IF(AND(AC1868=1,AE1868&lt;&gt;1),1,0))</f>
        <v/>
      </c>
      <c r="AH1868" s="51" t="str">
        <f aca="false">IF(AND(E1868&gt;0,AA1868&lt;1,NOT(AND(C1869=C1868,AA1869=AA1868+1))),INDEX(DATAS,AA1868+1),"")</f>
        <v/>
      </c>
      <c r="AI1868" s="51" t="str">
        <f aca="false">IF(AND(AC1868=1,AA1868&lt;1),IF(AND(C1869=C1868,AA1869=AA1868+1),IF(AC1869=1,"",INDEX(DATAS,AA1868+1)),INDEX(DATAS,AA1868+1)),"")</f>
        <v/>
      </c>
    </row>
    <row r="1869" customFormat="false" ht="15" hidden="false" customHeight="false" outlineLevel="0" collapsed="false">
      <c r="A1869" s="51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46" t="s">
        <v>1100</v>
      </c>
      <c r="G1869" s="0" t="n">
        <v>37</v>
      </c>
      <c r="H1869" s="0" t="n">
        <v>31</v>
      </c>
      <c r="I1869" s="46" t="s">
        <v>161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X1869" s="46" t="n">
        <f aca="false">IF(I1869="Male",0,1)</f>
        <v>1</v>
      </c>
      <c r="Y1869" s="46" t="n">
        <f aca="false">IF(OR(I1869="DNB",I1869="Dry DNB"),1,0)</f>
        <v>0</v>
      </c>
      <c r="Z1869" s="0" t="str">
        <f aca="false">IF(ISNUMBER(W1869),A1869-W1869,"")</f>
        <v/>
      </c>
      <c r="AA1869" s="46" t="n">
        <f aca="false">MATCH(A1869,DATAS,0)</f>
        <v>1</v>
      </c>
      <c r="AB1869" s="46" t="n">
        <f aca="false">IF(AND(E1869&gt;0,OR(AND(B1869&gt;=1,B1869&lt;=6),B1869=10)),1,0)</f>
        <v>1</v>
      </c>
      <c r="AC1869" s="46" t="n">
        <f aca="false">IF(AND(E1869&gt;0,B1869=10),1,0)</f>
        <v>0</v>
      </c>
      <c r="AD1869" s="0" t="str">
        <f aca="false">IF(AND(C1868=C1869,AA1868=AA1869-1),AB1868,"")</f>
        <v/>
      </c>
      <c r="AE1869" s="0" t="str">
        <f aca="false">IF(AND(C1868=C1869,AA1868=AA1869-1),AC1868,"")</f>
        <v/>
      </c>
      <c r="AF1869" s="0" t="str">
        <f aca="false">IF(AA1869=1,"",IF(AND(AB1869=1,AD1869&lt;&gt;1),1,0))</f>
        <v/>
      </c>
      <c r="AG1869" s="0" t="str">
        <f aca="false">IF(AA1869=1,"",IF(AND(AC1869=1,AE1869&lt;&gt;1),1,0))</f>
        <v/>
      </c>
      <c r="AH1869" s="51" t="str">
        <f aca="false">IF(AND(E1869&gt;0,AA1869&lt;1,NOT(AND(C1870=C1869,AA1870=AA1869+1))),INDEX(DATAS,AA1869+1),"")</f>
        <v/>
      </c>
      <c r="AI1869" s="51" t="str">
        <f aca="false">IF(AND(AC1869=1,AA1869&lt;1),IF(AND(C1870=C1869,AA1870=AA1869+1),IF(AC1870=1,"",INDEX(DATAS,AA1869+1)),INDEX(DATAS,AA1869+1)),"")</f>
        <v/>
      </c>
    </row>
    <row r="1870" customFormat="false" ht="15" hidden="false" customHeight="false" outlineLevel="0" collapsed="false">
      <c r="A1870" s="51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46" t="s">
        <v>1100</v>
      </c>
      <c r="G1870" s="0" t="n">
        <v>40.1</v>
      </c>
      <c r="H1870" s="0" t="n">
        <v>37</v>
      </c>
      <c r="I1870" s="46" t="s">
        <v>161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X1870" s="46" t="n">
        <f aca="false">IF(I1870="Male",0,1)</f>
        <v>1</v>
      </c>
      <c r="Y1870" s="46" t="n">
        <f aca="false">IF(OR(I1870="DNB",I1870="Dry DNB"),1,0)</f>
        <v>0</v>
      </c>
      <c r="Z1870" s="0" t="str">
        <f aca="false">IF(ISNUMBER(W1870),A1870-W1870,"")</f>
        <v/>
      </c>
      <c r="AA1870" s="46" t="n">
        <f aca="false">MATCH(A1870,DATAS,0)</f>
        <v>1</v>
      </c>
      <c r="AB1870" s="46" t="n">
        <f aca="false">IF(AND(E1870&gt;0,OR(AND(B1870&gt;=1,B1870&lt;=6),B1870=10)),1,0)</f>
        <v>1</v>
      </c>
      <c r="AC1870" s="46" t="n">
        <f aca="false">IF(AND(E1870&gt;0,B1870=10),1,0)</f>
        <v>0</v>
      </c>
      <c r="AD1870" s="0" t="str">
        <f aca="false">IF(AND(C1869=C1870,AA1869=AA1870-1),AB1869,"")</f>
        <v/>
      </c>
      <c r="AE1870" s="0" t="str">
        <f aca="false">IF(AND(C1869=C1870,AA1869=AA1870-1),AC1869,"")</f>
        <v/>
      </c>
      <c r="AF1870" s="0" t="str">
        <f aca="false">IF(AA1870=1,"",IF(AND(AB1870=1,AD1870&lt;&gt;1),1,0))</f>
        <v/>
      </c>
      <c r="AG1870" s="0" t="str">
        <f aca="false">IF(AA1870=1,"",IF(AND(AC1870=1,AE1870&lt;&gt;1),1,0))</f>
        <v/>
      </c>
      <c r="AH1870" s="51" t="str">
        <f aca="false">IF(AND(E1870&gt;0,AA1870&lt;1,NOT(AND(C1871=C1870,AA1871=AA1870+1))),INDEX(DATAS,AA1870+1),"")</f>
        <v/>
      </c>
      <c r="AI1870" s="51" t="str">
        <f aca="false">IF(AND(AC1870=1,AA1870&lt;1),IF(AND(C1871=C1870,AA1871=AA1870+1),IF(AC1871=1,"",INDEX(DATAS,AA1870+1)),INDEX(DATAS,AA1870+1)),"")</f>
        <v/>
      </c>
    </row>
    <row r="1871" customFormat="false" ht="15" hidden="false" customHeight="false" outlineLevel="0" collapsed="false">
      <c r="A1871" s="51" t="n">
        <v>46309</v>
      </c>
      <c r="B1871" s="0" t="n">
        <v>14</v>
      </c>
      <c r="C1871" s="0" t="n">
        <v>6096</v>
      </c>
      <c r="E1871" s="0" t="n">
        <v>0</v>
      </c>
      <c r="F1871" s="46" t="s">
        <v>1101</v>
      </c>
      <c r="I1871" s="46" t="s">
        <v>152</v>
      </c>
      <c r="L1871" s="0" t="n">
        <v>259</v>
      </c>
      <c r="U1871" s="0" t="n">
        <v>685</v>
      </c>
      <c r="V1871" s="0" t="n">
        <v>2</v>
      </c>
      <c r="W1871" s="51" t="n">
        <v>46051</v>
      </c>
      <c r="X1871" s="46" t="n">
        <f aca="false">IF(I1871="Male",0,1)</f>
        <v>1</v>
      </c>
      <c r="Y1871" s="46" t="n">
        <f aca="false">IF(OR(I1871="DNB",I1871="Dry DNB"),1,0)</f>
        <v>0</v>
      </c>
      <c r="Z1871" s="46" t="n">
        <f aca="false">IF(ISNUMBER(W1871),A1871-W1871,"")</f>
        <v>258</v>
      </c>
      <c r="AA1871" s="46" t="n">
        <f aca="false">MATCH(A1871,DATAS,0)</f>
        <v>1</v>
      </c>
      <c r="AB1871" s="46" t="n">
        <f aca="false">IF(AND(E1871&gt;0,OR(AND(B1871&gt;=1,B1871&lt;=6),B1871=10)),1,0)</f>
        <v>0</v>
      </c>
      <c r="AC1871" s="46" t="n">
        <f aca="false">IF(AND(E1871&gt;0,B1871=10),1,0)</f>
        <v>0</v>
      </c>
      <c r="AD1871" s="0" t="str">
        <f aca="false">IF(AND(C1870=C1871,AA1870=AA1871-1),AB1870,"")</f>
        <v/>
      </c>
      <c r="AE1871" s="0" t="str">
        <f aca="false">IF(AND(C1870=C1871,AA1870=AA1871-1),AC1870,"")</f>
        <v/>
      </c>
      <c r="AF1871" s="0" t="str">
        <f aca="false">IF(AA1871=1,"",IF(AND(AB1871=1,AD1871&lt;&gt;1),1,0))</f>
        <v/>
      </c>
      <c r="AG1871" s="0" t="str">
        <f aca="false">IF(AA1871=1,"",IF(AND(AC1871=1,AE1871&lt;&gt;1),1,0))</f>
        <v/>
      </c>
      <c r="AH1871" s="51" t="str">
        <f aca="false">IF(AND(E1871&gt;0,AA1871&lt;1,NOT(AND(C1872=C1871,AA1872=AA1871+1))),INDEX(DATAS,AA1871+1),"")</f>
        <v/>
      </c>
      <c r="AI1871" s="51" t="str">
        <f aca="false">IF(AND(AC1871=1,AA1871&lt;1),IF(AND(C1872=C1871,AA1872=AA1871+1),IF(AC1872=1,"",INDEX(DATAS,AA1871+1)),INDEX(DATAS,AA1871+1)),"")</f>
        <v/>
      </c>
    </row>
    <row r="1872" customFormat="false" ht="15" hidden="false" customHeight="false" outlineLevel="0" collapsed="false">
      <c r="A1872" s="51" t="n">
        <v>46309</v>
      </c>
      <c r="B1872" s="0" t="n">
        <v>14</v>
      </c>
      <c r="C1872" s="0" t="n">
        <v>6098</v>
      </c>
      <c r="E1872" s="0" t="n">
        <v>0</v>
      </c>
      <c r="F1872" s="46" t="s">
        <v>1102</v>
      </c>
      <c r="I1872" s="46" t="s">
        <v>152</v>
      </c>
      <c r="L1872" s="0" t="n">
        <v>265</v>
      </c>
      <c r="U1872" s="0" t="n">
        <v>684</v>
      </c>
      <c r="V1872" s="0" t="n">
        <v>3</v>
      </c>
      <c r="W1872" s="51" t="n">
        <v>46045</v>
      </c>
      <c r="X1872" s="46" t="n">
        <f aca="false">IF(I1872="Male",0,1)</f>
        <v>1</v>
      </c>
      <c r="Y1872" s="46" t="n">
        <f aca="false">IF(OR(I1872="DNB",I1872="Dry DNB"),1,0)</f>
        <v>0</v>
      </c>
      <c r="Z1872" s="46" t="n">
        <f aca="false">IF(ISNUMBER(W1872),A1872-W1872,"")</f>
        <v>264</v>
      </c>
      <c r="AA1872" s="46" t="n">
        <f aca="false">MATCH(A1872,DATAS,0)</f>
        <v>1</v>
      </c>
      <c r="AB1872" s="46" t="n">
        <f aca="false">IF(AND(E1872&gt;0,OR(AND(B1872&gt;=1,B1872&lt;=6),B1872=10)),1,0)</f>
        <v>0</v>
      </c>
      <c r="AC1872" s="46" t="n">
        <f aca="false">IF(AND(E1872&gt;0,B1872=10),1,0)</f>
        <v>0</v>
      </c>
      <c r="AD1872" s="0" t="str">
        <f aca="false">IF(AND(C1871=C1872,AA1871=AA1872-1),AB1871,"")</f>
        <v/>
      </c>
      <c r="AE1872" s="0" t="str">
        <f aca="false">IF(AND(C1871=C1872,AA1871=AA1872-1),AC1871,"")</f>
        <v/>
      </c>
      <c r="AF1872" s="0" t="str">
        <f aca="false">IF(AA1872=1,"",IF(AND(AB1872=1,AD1872&lt;&gt;1),1,0))</f>
        <v/>
      </c>
      <c r="AG1872" s="0" t="str">
        <f aca="false">IF(AA1872=1,"",IF(AND(AC1872=1,AE1872&lt;&gt;1),1,0))</f>
        <v/>
      </c>
      <c r="AH1872" s="51" t="str">
        <f aca="false">IF(AND(E1872&gt;0,AA1872&lt;1,NOT(AND(C1873=C1872,AA1873=AA1872+1))),INDEX(DATAS,AA1872+1),"")</f>
        <v/>
      </c>
      <c r="AI1872" s="51" t="str">
        <f aca="false">IF(AND(AC1872=1,AA1872&lt;1),IF(AND(C1873=C1872,AA1873=AA1872+1),IF(AC1873=1,"",INDEX(DATAS,AA1872+1)),INDEX(DATAS,AA1872+1)),"")</f>
        <v/>
      </c>
    </row>
    <row r="1873" customFormat="false" ht="15" hidden="false" customHeight="false" outlineLevel="0" collapsed="false">
      <c r="A1873" s="51" t="n">
        <v>46309</v>
      </c>
      <c r="B1873" s="0" t="n">
        <v>14</v>
      </c>
      <c r="C1873" s="0" t="n">
        <v>6099</v>
      </c>
      <c r="E1873" s="0" t="n">
        <v>0</v>
      </c>
      <c r="F1873" s="46" t="s">
        <v>1103</v>
      </c>
      <c r="I1873" s="46" t="s">
        <v>152</v>
      </c>
      <c r="L1873" s="0" t="n">
        <v>266</v>
      </c>
      <c r="U1873" s="0" t="n">
        <v>682</v>
      </c>
      <c r="V1873" s="0" t="n">
        <v>2</v>
      </c>
      <c r="W1873" s="51" t="n">
        <v>46044</v>
      </c>
      <c r="X1873" s="46" t="n">
        <f aca="false">IF(I1873="Male",0,1)</f>
        <v>1</v>
      </c>
      <c r="Y1873" s="46" t="n">
        <f aca="false">IF(OR(I1873="DNB",I1873="Dry DNB"),1,0)</f>
        <v>0</v>
      </c>
      <c r="Z1873" s="46" t="n">
        <f aca="false">IF(ISNUMBER(W1873),A1873-W1873,"")</f>
        <v>265</v>
      </c>
      <c r="AA1873" s="46" t="n">
        <f aca="false">MATCH(A1873,DATAS,0)</f>
        <v>1</v>
      </c>
      <c r="AB1873" s="46" t="n">
        <f aca="false">IF(AND(E1873&gt;0,OR(AND(B1873&gt;=1,B1873&lt;=6),B1873=10)),1,0)</f>
        <v>0</v>
      </c>
      <c r="AC1873" s="46" t="n">
        <f aca="false">IF(AND(E1873&gt;0,B1873=10),1,0)</f>
        <v>0</v>
      </c>
      <c r="AD1873" s="0" t="str">
        <f aca="false">IF(AND(C1872=C1873,AA1872=AA1873-1),AB1872,"")</f>
        <v/>
      </c>
      <c r="AE1873" s="0" t="str">
        <f aca="false">IF(AND(C1872=C1873,AA1872=AA1873-1),AC1872,"")</f>
        <v/>
      </c>
      <c r="AF1873" s="0" t="str">
        <f aca="false">IF(AA1873=1,"",IF(AND(AB1873=1,AD1873&lt;&gt;1),1,0))</f>
        <v/>
      </c>
      <c r="AG1873" s="0" t="str">
        <f aca="false">IF(AA1873=1,"",IF(AND(AC1873=1,AE1873&lt;&gt;1),1,0))</f>
        <v/>
      </c>
      <c r="AH1873" s="51" t="str">
        <f aca="false">IF(AND(E1873&gt;0,AA1873&lt;1,NOT(AND(C1874=C1873,AA1874=AA1873+1))),INDEX(DATAS,AA1873+1),"")</f>
        <v/>
      </c>
      <c r="AI1873" s="51" t="str">
        <f aca="false">IF(AND(AC1873=1,AA1873&lt;1),IF(AND(C1874=C1873,AA1874=AA1873+1),IF(AC1874=1,"",INDEX(DATAS,AA1873+1)),INDEX(DATAS,AA1873+1)),"")</f>
        <v/>
      </c>
    </row>
    <row r="1874" customFormat="false" ht="15" hidden="false" customHeight="false" outlineLevel="0" collapsed="false">
      <c r="A1874" s="51" t="n">
        <v>46309</v>
      </c>
      <c r="B1874" s="0" t="n">
        <v>7</v>
      </c>
      <c r="C1874" s="0" t="n">
        <v>6100</v>
      </c>
      <c r="E1874" s="0" t="n">
        <v>0</v>
      </c>
      <c r="F1874" s="46" t="s">
        <v>1104</v>
      </c>
      <c r="I1874" s="46" t="s">
        <v>152</v>
      </c>
      <c r="L1874" s="0" t="n">
        <v>246</v>
      </c>
      <c r="U1874" s="0" t="n">
        <v>681</v>
      </c>
      <c r="V1874" s="0" t="n">
        <v>3</v>
      </c>
      <c r="W1874" s="51" t="n">
        <v>46064</v>
      </c>
      <c r="X1874" s="46" t="n">
        <f aca="false">IF(I1874="Male",0,1)</f>
        <v>1</v>
      </c>
      <c r="Y1874" s="46" t="n">
        <f aca="false">IF(OR(I1874="DNB",I1874="Dry DNB"),1,0)</f>
        <v>0</v>
      </c>
      <c r="Z1874" s="46" t="n">
        <f aca="false">IF(ISNUMBER(W1874),A1874-W1874,"")</f>
        <v>245</v>
      </c>
      <c r="AA1874" s="46" t="n">
        <f aca="false">MATCH(A1874,DATAS,0)</f>
        <v>1</v>
      </c>
      <c r="AB1874" s="46" t="n">
        <f aca="false">IF(AND(E1874&gt;0,OR(AND(B1874&gt;=1,B1874&lt;=6),B1874=10)),1,0)</f>
        <v>0</v>
      </c>
      <c r="AC1874" s="46" t="n">
        <f aca="false">IF(AND(E1874&gt;0,B1874=10),1,0)</f>
        <v>0</v>
      </c>
      <c r="AD1874" s="0" t="str">
        <f aca="false">IF(AND(C1873=C1874,AA1873=AA1874-1),AB1873,"")</f>
        <v/>
      </c>
      <c r="AE1874" s="0" t="str">
        <f aca="false">IF(AND(C1873=C1874,AA1873=AA1874-1),AC1873,"")</f>
        <v/>
      </c>
      <c r="AF1874" s="0" t="str">
        <f aca="false">IF(AA1874=1,"",IF(AND(AB1874=1,AD1874&lt;&gt;1),1,0))</f>
        <v/>
      </c>
      <c r="AG1874" s="0" t="str">
        <f aca="false">IF(AA1874=1,"",IF(AND(AC1874=1,AE1874&lt;&gt;1),1,0))</f>
        <v/>
      </c>
      <c r="AH1874" s="51" t="str">
        <f aca="false">IF(AND(E1874&gt;0,AA1874&lt;1,NOT(AND(C1875=C1874,AA1875=AA1874+1))),INDEX(DATAS,AA1874+1),"")</f>
        <v/>
      </c>
      <c r="AI1874" s="51" t="str">
        <f aca="false">IF(AND(AC1874=1,AA1874&lt;1),IF(AND(C1875=C1874,AA1875=AA1874+1),IF(AC1875=1,"",INDEX(DATAS,AA1874+1)),INDEX(DATAS,AA1874+1)),"")</f>
        <v/>
      </c>
    </row>
    <row r="1875" customFormat="false" ht="15" hidden="false" customHeight="false" outlineLevel="0" collapsed="false">
      <c r="A1875" s="51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46" t="s">
        <v>1105</v>
      </c>
      <c r="G1875" s="0" t="n">
        <v>51.4</v>
      </c>
      <c r="H1875" s="0" t="n">
        <v>49</v>
      </c>
      <c r="I1875" s="46" t="s">
        <v>161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X1875" s="46" t="n">
        <f aca="false">IF(I1875="Male",0,1)</f>
        <v>1</v>
      </c>
      <c r="Y1875" s="46" t="n">
        <f aca="false">IF(OR(I1875="DNB",I1875="Dry DNB"),1,0)</f>
        <v>0</v>
      </c>
      <c r="Z1875" s="0" t="str">
        <f aca="false">IF(ISNUMBER(W1875),A1875-W1875,"")</f>
        <v/>
      </c>
      <c r="AA1875" s="46" t="n">
        <f aca="false">MATCH(A1875,DATAS,0)</f>
        <v>1</v>
      </c>
      <c r="AB1875" s="46" t="n">
        <f aca="false">IF(AND(E1875&gt;0,OR(AND(B1875&gt;=1,B1875&lt;=6),B1875=10)),1,0)</f>
        <v>1</v>
      </c>
      <c r="AC1875" s="46" t="n">
        <f aca="false">IF(AND(E1875&gt;0,B1875=10),1,0)</f>
        <v>0</v>
      </c>
      <c r="AD1875" s="0" t="str">
        <f aca="false">IF(AND(C1874=C1875,AA1874=AA1875-1),AB1874,"")</f>
        <v/>
      </c>
      <c r="AE1875" s="0" t="str">
        <f aca="false">IF(AND(C1874=C1875,AA1874=AA1875-1),AC1874,"")</f>
        <v/>
      </c>
      <c r="AF1875" s="0" t="str">
        <f aca="false">IF(AA1875=1,"",IF(AND(AB1875=1,AD1875&lt;&gt;1),1,0))</f>
        <v/>
      </c>
      <c r="AG1875" s="0" t="str">
        <f aca="false">IF(AA1875=1,"",IF(AND(AC1875=1,AE1875&lt;&gt;1),1,0))</f>
        <v/>
      </c>
      <c r="AH1875" s="51" t="str">
        <f aca="false">IF(AND(E1875&gt;0,AA1875&lt;1,NOT(AND(C1876=C1875,AA1876=AA1875+1))),INDEX(DATAS,AA1875+1),"")</f>
        <v/>
      </c>
      <c r="AI1875" s="51" t="str">
        <f aca="false">IF(AND(AC1875=1,AA1875&lt;1),IF(AND(C1876=C1875,AA1876=AA1875+1),IF(AC1876=1,"",INDEX(DATAS,AA1875+1)),INDEX(DATAS,AA1875+1)),"")</f>
        <v/>
      </c>
    </row>
    <row r="1876" customFormat="false" ht="15" hidden="false" customHeight="false" outlineLevel="0" collapsed="false">
      <c r="A1876" s="51" t="n">
        <v>46309</v>
      </c>
      <c r="B1876" s="0" t="n">
        <v>7</v>
      </c>
      <c r="C1876" s="0" t="n">
        <v>6103</v>
      </c>
      <c r="E1876" s="0" t="n">
        <v>0</v>
      </c>
      <c r="F1876" s="46" t="s">
        <v>1106</v>
      </c>
      <c r="I1876" s="46" t="s">
        <v>152</v>
      </c>
      <c r="L1876" s="0" t="n">
        <v>192</v>
      </c>
      <c r="U1876" s="0" t="n">
        <v>678</v>
      </c>
      <c r="V1876" s="0" t="n">
        <v>4</v>
      </c>
      <c r="W1876" s="51" t="n">
        <v>46118</v>
      </c>
      <c r="X1876" s="46" t="n">
        <f aca="false">IF(I1876="Male",0,1)</f>
        <v>1</v>
      </c>
      <c r="Y1876" s="46" t="n">
        <f aca="false">IF(OR(I1876="DNB",I1876="Dry DNB"),1,0)</f>
        <v>0</v>
      </c>
      <c r="Z1876" s="46" t="n">
        <f aca="false">IF(ISNUMBER(W1876),A1876-W1876,"")</f>
        <v>191</v>
      </c>
      <c r="AA1876" s="46" t="n">
        <f aca="false">MATCH(A1876,DATAS,0)</f>
        <v>1</v>
      </c>
      <c r="AB1876" s="46" t="n">
        <f aca="false">IF(AND(E1876&gt;0,OR(AND(B1876&gt;=1,B1876&lt;=6),B1876=10)),1,0)</f>
        <v>0</v>
      </c>
      <c r="AC1876" s="46" t="n">
        <f aca="false">IF(AND(E1876&gt;0,B1876=10),1,0)</f>
        <v>0</v>
      </c>
      <c r="AD1876" s="0" t="str">
        <f aca="false">IF(AND(C1875=C1876,AA1875=AA1876-1),AB1875,"")</f>
        <v/>
      </c>
      <c r="AE1876" s="0" t="str">
        <f aca="false">IF(AND(C1875=C1876,AA1875=AA1876-1),AC1875,"")</f>
        <v/>
      </c>
      <c r="AF1876" s="0" t="str">
        <f aca="false">IF(AA1876=1,"",IF(AND(AB1876=1,AD1876&lt;&gt;1),1,0))</f>
        <v/>
      </c>
      <c r="AG1876" s="0" t="str">
        <f aca="false">IF(AA1876=1,"",IF(AND(AC1876=1,AE1876&lt;&gt;1),1,0))</f>
        <v/>
      </c>
      <c r="AH1876" s="51" t="str">
        <f aca="false">IF(AND(E1876&gt;0,AA1876&lt;1,NOT(AND(C1877=C1876,AA1877=AA1876+1))),INDEX(DATAS,AA1876+1),"")</f>
        <v/>
      </c>
      <c r="AI1876" s="51" t="str">
        <f aca="false">IF(AND(AC1876=1,AA1876&lt;1),IF(AND(C1877=C1876,AA1877=AA1876+1),IF(AC1877=1,"",INDEX(DATAS,AA1876+1)),INDEX(DATAS,AA1876+1)),"")</f>
        <v/>
      </c>
    </row>
    <row r="1877" customFormat="false" ht="15" hidden="false" customHeight="false" outlineLevel="0" collapsed="false">
      <c r="A1877" s="51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46" t="s">
        <v>1106</v>
      </c>
      <c r="G1877" s="0" t="n">
        <v>49.4</v>
      </c>
      <c r="H1877" s="0" t="n">
        <v>50</v>
      </c>
      <c r="I1877" s="46" t="s">
        <v>161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X1877" s="46" t="n">
        <f aca="false">IF(I1877="Male",0,1)</f>
        <v>1</v>
      </c>
      <c r="Y1877" s="46" t="n">
        <f aca="false">IF(OR(I1877="DNB",I1877="Dry DNB"),1,0)</f>
        <v>0</v>
      </c>
      <c r="Z1877" s="0" t="str">
        <f aca="false">IF(ISNUMBER(W1877),A1877-W1877,"")</f>
        <v/>
      </c>
      <c r="AA1877" s="46" t="n">
        <f aca="false">MATCH(A1877,DATAS,0)</f>
        <v>1</v>
      </c>
      <c r="AB1877" s="46" t="n">
        <f aca="false">IF(AND(E1877&gt;0,OR(AND(B1877&gt;=1,B1877&lt;=6),B1877=10)),1,0)</f>
        <v>1</v>
      </c>
      <c r="AC1877" s="46" t="n">
        <f aca="false">IF(AND(E1877&gt;0,B1877=10),1,0)</f>
        <v>0</v>
      </c>
      <c r="AD1877" s="0" t="str">
        <f aca="false">IF(AND(C1876=C1877,AA1876=AA1877-1),AB1876,"")</f>
        <v/>
      </c>
      <c r="AE1877" s="0" t="str">
        <f aca="false">IF(AND(C1876=C1877,AA1876=AA1877-1),AC1876,"")</f>
        <v/>
      </c>
      <c r="AF1877" s="0" t="str">
        <f aca="false">IF(AA1877=1,"",IF(AND(AB1877=1,AD1877&lt;&gt;1),1,0))</f>
        <v/>
      </c>
      <c r="AG1877" s="0" t="str">
        <f aca="false">IF(AA1877=1,"",IF(AND(AC1877=1,AE1877&lt;&gt;1),1,0))</f>
        <v/>
      </c>
      <c r="AH1877" s="51" t="str">
        <f aca="false">IF(AND(E1877&gt;0,AA1877&lt;1,NOT(AND(C1878=C1877,AA1878=AA1877+1))),INDEX(DATAS,AA1877+1),"")</f>
        <v/>
      </c>
      <c r="AI1877" s="51" t="str">
        <f aca="false">IF(AND(AC1877=1,AA1877&lt;1),IF(AND(C1878=C1877,AA1878=AA1877+1),IF(AC1878=1,"",INDEX(DATAS,AA1877+1)),INDEX(DATAS,AA1877+1)),"")</f>
        <v/>
      </c>
    </row>
    <row r="1878" customFormat="false" ht="15" hidden="false" customHeight="false" outlineLevel="0" collapsed="false">
      <c r="A1878" s="51" t="n">
        <v>46309</v>
      </c>
      <c r="B1878" s="0" t="n">
        <v>7</v>
      </c>
      <c r="C1878" s="0" t="n">
        <v>6106</v>
      </c>
      <c r="E1878" s="0" t="n">
        <v>0</v>
      </c>
      <c r="F1878" s="46" t="s">
        <v>1107</v>
      </c>
      <c r="I1878" s="46" t="s">
        <v>152</v>
      </c>
      <c r="L1878" s="0" t="n">
        <v>219</v>
      </c>
      <c r="U1878" s="0" t="n">
        <v>677</v>
      </c>
      <c r="V1878" s="0" t="n">
        <v>4</v>
      </c>
      <c r="W1878" s="51" t="n">
        <v>46091</v>
      </c>
      <c r="X1878" s="46" t="n">
        <f aca="false">IF(I1878="Male",0,1)</f>
        <v>1</v>
      </c>
      <c r="Y1878" s="46" t="n">
        <f aca="false">IF(OR(I1878="DNB",I1878="Dry DNB"),1,0)</f>
        <v>0</v>
      </c>
      <c r="Z1878" s="46" t="n">
        <f aca="false">IF(ISNUMBER(W1878),A1878-W1878,"")</f>
        <v>218</v>
      </c>
      <c r="AA1878" s="46" t="n">
        <f aca="false">MATCH(A1878,DATAS,0)</f>
        <v>1</v>
      </c>
      <c r="AB1878" s="46" t="n">
        <f aca="false">IF(AND(E1878&gt;0,OR(AND(B1878&gt;=1,B1878&lt;=6),B1878=10)),1,0)</f>
        <v>0</v>
      </c>
      <c r="AC1878" s="46" t="n">
        <f aca="false">IF(AND(E1878&gt;0,B1878=10),1,0)</f>
        <v>0</v>
      </c>
      <c r="AD1878" s="0" t="str">
        <f aca="false">IF(AND(C1877=C1878,AA1877=AA1878-1),AB1877,"")</f>
        <v/>
      </c>
      <c r="AE1878" s="0" t="str">
        <f aca="false">IF(AND(C1877=C1878,AA1877=AA1878-1),AC1877,"")</f>
        <v/>
      </c>
      <c r="AF1878" s="0" t="str">
        <f aca="false">IF(AA1878=1,"",IF(AND(AB1878=1,AD1878&lt;&gt;1),1,0))</f>
        <v/>
      </c>
      <c r="AG1878" s="0" t="str">
        <f aca="false">IF(AA1878=1,"",IF(AND(AC1878=1,AE1878&lt;&gt;1),1,0))</f>
        <v/>
      </c>
      <c r="AH1878" s="51" t="str">
        <f aca="false">IF(AND(E1878&gt;0,AA1878&lt;1,NOT(AND(C1879=C1878,AA1879=AA1878+1))),INDEX(DATAS,AA1878+1),"")</f>
        <v/>
      </c>
      <c r="AI1878" s="51" t="str">
        <f aca="false">IF(AND(AC1878=1,AA1878&lt;1),IF(AND(C1879=C1878,AA1879=AA1878+1),IF(AC1879=1,"",INDEX(DATAS,AA1878+1)),INDEX(DATAS,AA1878+1)),"")</f>
        <v/>
      </c>
    </row>
    <row r="1879" customFormat="false" ht="15" hidden="false" customHeight="false" outlineLevel="0" collapsed="false">
      <c r="A1879" s="51" t="n">
        <v>46309</v>
      </c>
      <c r="B1879" s="0" t="n">
        <v>7</v>
      </c>
      <c r="C1879" s="0" t="n">
        <v>6107</v>
      </c>
      <c r="E1879" s="0" t="n">
        <v>0</v>
      </c>
      <c r="F1879" s="46" t="s">
        <v>1107</v>
      </c>
      <c r="I1879" s="46" t="s">
        <v>152</v>
      </c>
      <c r="L1879" s="0" t="n">
        <v>231</v>
      </c>
      <c r="U1879" s="0" t="n">
        <v>677</v>
      </c>
      <c r="V1879" s="0" t="n">
        <v>2</v>
      </c>
      <c r="W1879" s="51" t="n">
        <v>46079</v>
      </c>
      <c r="X1879" s="46" t="n">
        <f aca="false">IF(I1879="Male",0,1)</f>
        <v>1</v>
      </c>
      <c r="Y1879" s="46" t="n">
        <f aca="false">IF(OR(I1879="DNB",I1879="Dry DNB"),1,0)</f>
        <v>0</v>
      </c>
      <c r="Z1879" s="46" t="n">
        <f aca="false">IF(ISNUMBER(W1879),A1879-W1879,"")</f>
        <v>230</v>
      </c>
      <c r="AA1879" s="46" t="n">
        <f aca="false">MATCH(A1879,DATAS,0)</f>
        <v>1</v>
      </c>
      <c r="AB1879" s="46" t="n">
        <f aca="false">IF(AND(E1879&gt;0,OR(AND(B1879&gt;=1,B1879&lt;=6),B1879=10)),1,0)</f>
        <v>0</v>
      </c>
      <c r="AC1879" s="46" t="n">
        <f aca="false">IF(AND(E1879&gt;0,B1879=10),1,0)</f>
        <v>0</v>
      </c>
      <c r="AD1879" s="0" t="str">
        <f aca="false">IF(AND(C1878=C1879,AA1878=AA1879-1),AB1878,"")</f>
        <v/>
      </c>
      <c r="AE1879" s="0" t="str">
        <f aca="false">IF(AND(C1878=C1879,AA1878=AA1879-1),AC1878,"")</f>
        <v/>
      </c>
      <c r="AF1879" s="0" t="str">
        <f aca="false">IF(AA1879=1,"",IF(AND(AB1879=1,AD1879&lt;&gt;1),1,0))</f>
        <v/>
      </c>
      <c r="AG1879" s="0" t="str">
        <f aca="false">IF(AA1879=1,"",IF(AND(AC1879=1,AE1879&lt;&gt;1),1,0))</f>
        <v/>
      </c>
      <c r="AH1879" s="51" t="str">
        <f aca="false">IF(AND(E1879&gt;0,AA1879&lt;1,NOT(AND(C1880=C1879,AA1880=AA1879+1))),INDEX(DATAS,AA1879+1),"")</f>
        <v/>
      </c>
      <c r="AI1879" s="51" t="str">
        <f aca="false">IF(AND(AC1879=1,AA1879&lt;1),IF(AND(C1880=C1879,AA1880=AA1879+1),IF(AC1880=1,"",INDEX(DATAS,AA1879+1)),INDEX(DATAS,AA1879+1)),"")</f>
        <v/>
      </c>
    </row>
    <row r="1880" customFormat="false" ht="15" hidden="false" customHeight="false" outlineLevel="0" collapsed="false">
      <c r="A1880" s="51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46" t="s">
        <v>1107</v>
      </c>
      <c r="G1880" s="0" t="n">
        <v>33.8</v>
      </c>
      <c r="H1880" s="0" t="n">
        <v>31</v>
      </c>
      <c r="I1880" s="46" t="s">
        <v>161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X1880" s="46" t="n">
        <f aca="false">IF(I1880="Male",0,1)</f>
        <v>1</v>
      </c>
      <c r="Y1880" s="46" t="n">
        <f aca="false">IF(OR(I1880="DNB",I1880="Dry DNB"),1,0)</f>
        <v>0</v>
      </c>
      <c r="Z1880" s="0" t="str">
        <f aca="false">IF(ISNUMBER(W1880),A1880-W1880,"")</f>
        <v/>
      </c>
      <c r="AA1880" s="46" t="n">
        <f aca="false">MATCH(A1880,DATAS,0)</f>
        <v>1</v>
      </c>
      <c r="AB1880" s="46" t="n">
        <f aca="false">IF(AND(E1880&gt;0,OR(AND(B1880&gt;=1,B1880&lt;=6),B1880=10)),1,0)</f>
        <v>1</v>
      </c>
      <c r="AC1880" s="46" t="n">
        <f aca="false">IF(AND(E1880&gt;0,B1880=10),1,0)</f>
        <v>0</v>
      </c>
      <c r="AD1880" s="0" t="str">
        <f aca="false">IF(AND(C1879=C1880,AA1879=AA1880-1),AB1879,"")</f>
        <v/>
      </c>
      <c r="AE1880" s="0" t="str">
        <f aca="false">IF(AND(C1879=C1880,AA1879=AA1880-1),AC1879,"")</f>
        <v/>
      </c>
      <c r="AF1880" s="0" t="str">
        <f aca="false">IF(AA1880=1,"",IF(AND(AB1880=1,AD1880&lt;&gt;1),1,0))</f>
        <v/>
      </c>
      <c r="AG1880" s="0" t="str">
        <f aca="false">IF(AA1880=1,"",IF(AND(AC1880=1,AE1880&lt;&gt;1),1,0))</f>
        <v/>
      </c>
      <c r="AH1880" s="51" t="str">
        <f aca="false">IF(AND(E1880&gt;0,AA1880&lt;1,NOT(AND(C1881=C1880,AA1881=AA1880+1))),INDEX(DATAS,AA1880+1),"")</f>
        <v/>
      </c>
      <c r="AI1880" s="51" t="str">
        <f aca="false">IF(AND(AC1880=1,AA1880&lt;1),IF(AND(C1881=C1880,AA1881=AA1880+1),IF(AC1881=1,"",INDEX(DATAS,AA1880+1)),INDEX(DATAS,AA1880+1)),"")</f>
        <v/>
      </c>
    </row>
    <row r="1881" customFormat="false" ht="15" hidden="false" customHeight="false" outlineLevel="0" collapsed="false">
      <c r="A1881" s="51" t="n">
        <v>46309</v>
      </c>
      <c r="B1881" s="0" t="n">
        <v>7</v>
      </c>
      <c r="C1881" s="0" t="n">
        <v>6109</v>
      </c>
      <c r="E1881" s="0" t="n">
        <v>0</v>
      </c>
      <c r="F1881" s="46" t="s">
        <v>1108</v>
      </c>
      <c r="I1881" s="46" t="s">
        <v>152</v>
      </c>
      <c r="L1881" s="0" t="n">
        <v>253</v>
      </c>
      <c r="U1881" s="0" t="n">
        <v>676</v>
      </c>
      <c r="V1881" s="0" t="n">
        <v>3</v>
      </c>
      <c r="W1881" s="51" t="n">
        <v>46057</v>
      </c>
      <c r="X1881" s="46" t="n">
        <f aca="false">IF(I1881="Male",0,1)</f>
        <v>1</v>
      </c>
      <c r="Y1881" s="46" t="n">
        <f aca="false">IF(OR(I1881="DNB",I1881="Dry DNB"),1,0)</f>
        <v>0</v>
      </c>
      <c r="Z1881" s="46" t="n">
        <f aca="false">IF(ISNUMBER(W1881),A1881-W1881,"")</f>
        <v>252</v>
      </c>
      <c r="AA1881" s="46" t="n">
        <f aca="false">MATCH(A1881,DATAS,0)</f>
        <v>1</v>
      </c>
      <c r="AB1881" s="46" t="n">
        <f aca="false">IF(AND(E1881&gt;0,OR(AND(B1881&gt;=1,B1881&lt;=6),B1881=10)),1,0)</f>
        <v>0</v>
      </c>
      <c r="AC1881" s="46" t="n">
        <f aca="false">IF(AND(E1881&gt;0,B1881=10),1,0)</f>
        <v>0</v>
      </c>
      <c r="AD1881" s="0" t="str">
        <f aca="false">IF(AND(C1880=C1881,AA1880=AA1881-1),AB1880,"")</f>
        <v/>
      </c>
      <c r="AE1881" s="0" t="str">
        <f aca="false">IF(AND(C1880=C1881,AA1880=AA1881-1),AC1880,"")</f>
        <v/>
      </c>
      <c r="AF1881" s="0" t="str">
        <f aca="false">IF(AA1881=1,"",IF(AND(AB1881=1,AD1881&lt;&gt;1),1,0))</f>
        <v/>
      </c>
      <c r="AG1881" s="0" t="str">
        <f aca="false">IF(AA1881=1,"",IF(AND(AC1881=1,AE1881&lt;&gt;1),1,0))</f>
        <v/>
      </c>
      <c r="AH1881" s="51" t="str">
        <f aca="false">IF(AND(E1881&gt;0,AA1881&lt;1,NOT(AND(C1882=C1881,AA1882=AA1881+1))),INDEX(DATAS,AA1881+1),"")</f>
        <v/>
      </c>
      <c r="AI1881" s="51" t="str">
        <f aca="false">IF(AND(AC1881=1,AA1881&lt;1),IF(AND(C1882=C1881,AA1882=AA1881+1),IF(AC1882=1,"",INDEX(DATAS,AA1881+1)),INDEX(DATAS,AA1881+1)),"")</f>
        <v/>
      </c>
    </row>
    <row r="1882" customFormat="false" ht="15" hidden="false" customHeight="false" outlineLevel="0" collapsed="false">
      <c r="A1882" s="51" t="n">
        <v>46309</v>
      </c>
      <c r="B1882" s="0" t="n">
        <v>8</v>
      </c>
      <c r="C1882" s="0" t="n">
        <v>6110</v>
      </c>
      <c r="E1882" s="0" t="n">
        <v>0</v>
      </c>
      <c r="F1882" s="46" t="s">
        <v>1108</v>
      </c>
      <c r="I1882" s="46" t="s">
        <v>152</v>
      </c>
      <c r="L1882" s="0" t="n">
        <v>273</v>
      </c>
      <c r="U1882" s="0" t="n">
        <v>676</v>
      </c>
      <c r="V1882" s="0" t="n">
        <v>2</v>
      </c>
      <c r="W1882" s="51" t="n">
        <v>46037</v>
      </c>
      <c r="X1882" s="46" t="n">
        <f aca="false">IF(I1882="Male",0,1)</f>
        <v>1</v>
      </c>
      <c r="Y1882" s="46" t="n">
        <f aca="false">IF(OR(I1882="DNB",I1882="Dry DNB"),1,0)</f>
        <v>0</v>
      </c>
      <c r="Z1882" s="46" t="n">
        <f aca="false">IF(ISNUMBER(W1882),A1882-W1882,"")</f>
        <v>272</v>
      </c>
      <c r="AA1882" s="46" t="n">
        <f aca="false">MATCH(A1882,DATAS,0)</f>
        <v>1</v>
      </c>
      <c r="AB1882" s="46" t="n">
        <f aca="false">IF(AND(E1882&gt;0,OR(AND(B1882&gt;=1,B1882&lt;=6),B1882=10)),1,0)</f>
        <v>0</v>
      </c>
      <c r="AC1882" s="46" t="n">
        <f aca="false">IF(AND(E1882&gt;0,B1882=10),1,0)</f>
        <v>0</v>
      </c>
      <c r="AD1882" s="0" t="str">
        <f aca="false">IF(AND(C1881=C1882,AA1881=AA1882-1),AB1881,"")</f>
        <v/>
      </c>
      <c r="AE1882" s="0" t="str">
        <f aca="false">IF(AND(C1881=C1882,AA1881=AA1882-1),AC1881,"")</f>
        <v/>
      </c>
      <c r="AF1882" s="0" t="str">
        <f aca="false">IF(AA1882=1,"",IF(AND(AB1882=1,AD1882&lt;&gt;1),1,0))</f>
        <v/>
      </c>
      <c r="AG1882" s="0" t="str">
        <f aca="false">IF(AA1882=1,"",IF(AND(AC1882=1,AE1882&lt;&gt;1),1,0))</f>
        <v/>
      </c>
      <c r="AH1882" s="51" t="str">
        <f aca="false">IF(AND(E1882&gt;0,AA1882&lt;1,NOT(AND(C1883=C1882,AA1883=AA1882+1))),INDEX(DATAS,AA1882+1),"")</f>
        <v/>
      </c>
      <c r="AI1882" s="51" t="str">
        <f aca="false">IF(AND(AC1882=1,AA1882&lt;1),IF(AND(C1883=C1882,AA1883=AA1882+1),IF(AC1883=1,"",INDEX(DATAS,AA1882+1)),INDEX(DATAS,AA1882+1)),"")</f>
        <v/>
      </c>
    </row>
    <row r="1883" customFormat="false" ht="15" hidden="false" customHeight="false" outlineLevel="0" collapsed="false">
      <c r="A1883" s="51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46" t="s">
        <v>1108</v>
      </c>
      <c r="G1883" s="0" t="n">
        <v>41</v>
      </c>
      <c r="H1883" s="0" t="n">
        <v>38</v>
      </c>
      <c r="I1883" s="46" t="s">
        <v>161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X1883" s="46" t="n">
        <f aca="false">IF(I1883="Male",0,1)</f>
        <v>1</v>
      </c>
      <c r="Y1883" s="46" t="n">
        <f aca="false">IF(OR(I1883="DNB",I1883="Dry DNB"),1,0)</f>
        <v>0</v>
      </c>
      <c r="Z1883" s="0" t="str">
        <f aca="false">IF(ISNUMBER(W1883),A1883-W1883,"")</f>
        <v/>
      </c>
      <c r="AA1883" s="46" t="n">
        <f aca="false">MATCH(A1883,DATAS,0)</f>
        <v>1</v>
      </c>
      <c r="AB1883" s="46" t="n">
        <f aca="false">IF(AND(E1883&gt;0,OR(AND(B1883&gt;=1,B1883&lt;=6),B1883=10)),1,0)</f>
        <v>1</v>
      </c>
      <c r="AC1883" s="46" t="n">
        <f aca="false">IF(AND(E1883&gt;0,B1883=10),1,0)</f>
        <v>0</v>
      </c>
      <c r="AD1883" s="0" t="str">
        <f aca="false">IF(AND(C1882=C1883,AA1882=AA1883-1),AB1882,"")</f>
        <v/>
      </c>
      <c r="AE1883" s="0" t="str">
        <f aca="false">IF(AND(C1882=C1883,AA1882=AA1883-1),AC1882,"")</f>
        <v/>
      </c>
      <c r="AF1883" s="0" t="str">
        <f aca="false">IF(AA1883=1,"",IF(AND(AB1883=1,AD1883&lt;&gt;1),1,0))</f>
        <v/>
      </c>
      <c r="AG1883" s="0" t="str">
        <f aca="false">IF(AA1883=1,"",IF(AND(AC1883=1,AE1883&lt;&gt;1),1,0))</f>
        <v/>
      </c>
      <c r="AH1883" s="51" t="str">
        <f aca="false">IF(AND(E1883&gt;0,AA1883&lt;1,NOT(AND(C1884=C1883,AA1884=AA1883+1))),INDEX(DATAS,AA1883+1),"")</f>
        <v/>
      </c>
      <c r="AI1883" s="51" t="str">
        <f aca="false">IF(AND(AC1883=1,AA1883&lt;1),IF(AND(C1884=C1883,AA1884=AA1883+1),IF(AC1884=1,"",INDEX(DATAS,AA1883+1)),INDEX(DATAS,AA1883+1)),"")</f>
        <v/>
      </c>
    </row>
    <row r="1884" customFormat="false" ht="15" hidden="false" customHeight="false" outlineLevel="0" collapsed="false">
      <c r="A1884" s="51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46" t="s">
        <v>1108</v>
      </c>
      <c r="G1884" s="0" t="n">
        <v>26.1</v>
      </c>
      <c r="H1884" s="0" t="n">
        <v>24</v>
      </c>
      <c r="I1884" s="46" t="s">
        <v>161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X1884" s="46" t="n">
        <f aca="false">IF(I1884="Male",0,1)</f>
        <v>1</v>
      </c>
      <c r="Y1884" s="46" t="n">
        <f aca="false">IF(OR(I1884="DNB",I1884="Dry DNB"),1,0)</f>
        <v>0</v>
      </c>
      <c r="Z1884" s="0" t="str">
        <f aca="false">IF(ISNUMBER(W1884),A1884-W1884,"")</f>
        <v/>
      </c>
      <c r="AA1884" s="46" t="n">
        <f aca="false">MATCH(A1884,DATAS,0)</f>
        <v>1</v>
      </c>
      <c r="AB1884" s="46" t="n">
        <f aca="false">IF(AND(E1884&gt;0,OR(AND(B1884&gt;=1,B1884&lt;=6),B1884=10)),1,0)</f>
        <v>1</v>
      </c>
      <c r="AC1884" s="46" t="n">
        <f aca="false">IF(AND(E1884&gt;0,B1884=10),1,0)</f>
        <v>0</v>
      </c>
      <c r="AD1884" s="0" t="str">
        <f aca="false">IF(AND(C1883=C1884,AA1883=AA1884-1),AB1883,"")</f>
        <v/>
      </c>
      <c r="AE1884" s="0" t="str">
        <f aca="false">IF(AND(C1883=C1884,AA1883=AA1884-1),AC1883,"")</f>
        <v/>
      </c>
      <c r="AF1884" s="0" t="str">
        <f aca="false">IF(AA1884=1,"",IF(AND(AB1884=1,AD1884&lt;&gt;1),1,0))</f>
        <v/>
      </c>
      <c r="AG1884" s="0" t="str">
        <f aca="false">IF(AA1884=1,"",IF(AND(AC1884=1,AE1884&lt;&gt;1),1,0))</f>
        <v/>
      </c>
      <c r="AH1884" s="51" t="str">
        <f aca="false">IF(AND(E1884&gt;0,AA1884&lt;1,NOT(AND(C1885=C1884,AA1885=AA1884+1))),INDEX(DATAS,AA1884+1),"")</f>
        <v/>
      </c>
      <c r="AI1884" s="51" t="str">
        <f aca="false">IF(AND(AC1884=1,AA1884&lt;1),IF(AND(C1885=C1884,AA1885=AA1884+1),IF(AC1885=1,"",INDEX(DATAS,AA1884+1)),INDEX(DATAS,AA1884+1)),"")</f>
        <v/>
      </c>
    </row>
    <row r="1885" customFormat="false" ht="15" hidden="false" customHeight="false" outlineLevel="0" collapsed="false">
      <c r="A1885" s="51" t="n">
        <v>46309</v>
      </c>
      <c r="B1885" s="0" t="n">
        <v>8</v>
      </c>
      <c r="C1885" s="0" t="n">
        <v>6113</v>
      </c>
      <c r="E1885" s="0" t="n">
        <v>0</v>
      </c>
      <c r="F1885" s="46" t="s">
        <v>1109</v>
      </c>
      <c r="I1885" s="46" t="s">
        <v>152</v>
      </c>
      <c r="L1885" s="0" t="n">
        <v>246</v>
      </c>
      <c r="U1885" s="0" t="n">
        <v>675</v>
      </c>
      <c r="V1885" s="0" t="n">
        <v>4</v>
      </c>
      <c r="W1885" s="51" t="n">
        <v>46064</v>
      </c>
      <c r="X1885" s="46" t="n">
        <f aca="false">IF(I1885="Male",0,1)</f>
        <v>1</v>
      </c>
      <c r="Y1885" s="46" t="n">
        <f aca="false">IF(OR(I1885="DNB",I1885="Dry DNB"),1,0)</f>
        <v>0</v>
      </c>
      <c r="Z1885" s="46" t="n">
        <f aca="false">IF(ISNUMBER(W1885),A1885-W1885,"")</f>
        <v>245</v>
      </c>
      <c r="AA1885" s="46" t="n">
        <f aca="false">MATCH(A1885,DATAS,0)</f>
        <v>1</v>
      </c>
      <c r="AB1885" s="46" t="n">
        <f aca="false">IF(AND(E1885&gt;0,OR(AND(B1885&gt;=1,B1885&lt;=6),B1885=10)),1,0)</f>
        <v>0</v>
      </c>
      <c r="AC1885" s="46" t="n">
        <f aca="false">IF(AND(E1885&gt;0,B1885=10),1,0)</f>
        <v>0</v>
      </c>
      <c r="AD1885" s="0" t="str">
        <f aca="false">IF(AND(C1884=C1885,AA1884=AA1885-1),AB1884,"")</f>
        <v/>
      </c>
      <c r="AE1885" s="0" t="str">
        <f aca="false">IF(AND(C1884=C1885,AA1884=AA1885-1),AC1884,"")</f>
        <v/>
      </c>
      <c r="AF1885" s="0" t="str">
        <f aca="false">IF(AA1885=1,"",IF(AND(AB1885=1,AD1885&lt;&gt;1),1,0))</f>
        <v/>
      </c>
      <c r="AG1885" s="0" t="str">
        <f aca="false">IF(AA1885=1,"",IF(AND(AC1885=1,AE1885&lt;&gt;1),1,0))</f>
        <v/>
      </c>
      <c r="AH1885" s="51" t="str">
        <f aca="false">IF(AND(E1885&gt;0,AA1885&lt;1,NOT(AND(C1886=C1885,AA1886=AA1885+1))),INDEX(DATAS,AA1885+1),"")</f>
        <v/>
      </c>
      <c r="AI1885" s="51" t="str">
        <f aca="false">IF(AND(AC1885=1,AA1885&lt;1),IF(AND(C1886=C1885,AA1886=AA1885+1),IF(AC1886=1,"",INDEX(DATAS,AA1885+1)),INDEX(DATAS,AA1885+1)),"")</f>
        <v/>
      </c>
    </row>
    <row r="1886" customFormat="false" ht="15" hidden="false" customHeight="false" outlineLevel="0" collapsed="false">
      <c r="A1886" s="51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46" t="s">
        <v>1109</v>
      </c>
      <c r="G1886" s="0" t="n">
        <v>37.3</v>
      </c>
      <c r="H1886" s="0" t="n">
        <v>36</v>
      </c>
      <c r="I1886" s="46" t="s">
        <v>161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X1886" s="46" t="n">
        <f aca="false">IF(I1886="Male",0,1)</f>
        <v>1</v>
      </c>
      <c r="Y1886" s="46" t="n">
        <f aca="false">IF(OR(I1886="DNB",I1886="Dry DNB"),1,0)</f>
        <v>0</v>
      </c>
      <c r="Z1886" s="0" t="str">
        <f aca="false">IF(ISNUMBER(W1886),A1886-W1886,"")</f>
        <v/>
      </c>
      <c r="AA1886" s="46" t="n">
        <f aca="false">MATCH(A1886,DATAS,0)</f>
        <v>1</v>
      </c>
      <c r="AB1886" s="46" t="n">
        <f aca="false">IF(AND(E1886&gt;0,OR(AND(B1886&gt;=1,B1886&lt;=6),B1886=10)),1,0)</f>
        <v>1</v>
      </c>
      <c r="AC1886" s="46" t="n">
        <f aca="false">IF(AND(E1886&gt;0,B1886=10),1,0)</f>
        <v>0</v>
      </c>
      <c r="AD1886" s="0" t="str">
        <f aca="false">IF(AND(C1885=C1886,AA1885=AA1886-1),AB1885,"")</f>
        <v/>
      </c>
      <c r="AE1886" s="0" t="str">
        <f aca="false">IF(AND(C1885=C1886,AA1885=AA1886-1),AC1885,"")</f>
        <v/>
      </c>
      <c r="AF1886" s="0" t="str">
        <f aca="false">IF(AA1886=1,"",IF(AND(AB1886=1,AD1886&lt;&gt;1),1,0))</f>
        <v/>
      </c>
      <c r="AG1886" s="0" t="str">
        <f aca="false">IF(AA1886=1,"",IF(AND(AC1886=1,AE1886&lt;&gt;1),1,0))</f>
        <v/>
      </c>
      <c r="AH1886" s="51" t="str">
        <f aca="false">IF(AND(E1886&gt;0,AA1886&lt;1,NOT(AND(C1887=C1886,AA1887=AA1886+1))),INDEX(DATAS,AA1886+1),"")</f>
        <v/>
      </c>
      <c r="AI1886" s="51" t="str">
        <f aca="false">IF(AND(AC1886=1,AA1886&lt;1),IF(AND(C1887=C1886,AA1887=AA1886+1),IF(AC1887=1,"",INDEX(DATAS,AA1886+1)),INDEX(DATAS,AA1886+1)),"")</f>
        <v/>
      </c>
    </row>
    <row r="1887" customFormat="false" ht="15" hidden="false" customHeight="false" outlineLevel="0" collapsed="false">
      <c r="A1887" s="51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46" t="s">
        <v>1110</v>
      </c>
      <c r="G1887" s="0" t="n">
        <v>29.6</v>
      </c>
      <c r="H1887" s="0" t="n">
        <v>28</v>
      </c>
      <c r="I1887" s="46" t="s">
        <v>161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X1887" s="46" t="n">
        <f aca="false">IF(I1887="Male",0,1)</f>
        <v>1</v>
      </c>
      <c r="Y1887" s="46" t="n">
        <f aca="false">IF(OR(I1887="DNB",I1887="Dry DNB"),1,0)</f>
        <v>0</v>
      </c>
      <c r="Z1887" s="0" t="str">
        <f aca="false">IF(ISNUMBER(W1887),A1887-W1887,"")</f>
        <v/>
      </c>
      <c r="AA1887" s="46" t="n">
        <f aca="false">MATCH(A1887,DATAS,0)</f>
        <v>1</v>
      </c>
      <c r="AB1887" s="46" t="n">
        <f aca="false">IF(AND(E1887&gt;0,OR(AND(B1887&gt;=1,B1887&lt;=6),B1887=10)),1,0)</f>
        <v>1</v>
      </c>
      <c r="AC1887" s="46" t="n">
        <f aca="false">IF(AND(E1887&gt;0,B1887=10),1,0)</f>
        <v>0</v>
      </c>
      <c r="AD1887" s="0" t="str">
        <f aca="false">IF(AND(C1886=C1887,AA1886=AA1887-1),AB1886,"")</f>
        <v/>
      </c>
      <c r="AE1887" s="0" t="str">
        <f aca="false">IF(AND(C1886=C1887,AA1886=AA1887-1),AC1886,"")</f>
        <v/>
      </c>
      <c r="AF1887" s="0" t="str">
        <f aca="false">IF(AA1887=1,"",IF(AND(AB1887=1,AD1887&lt;&gt;1),1,0))</f>
        <v/>
      </c>
      <c r="AG1887" s="0" t="str">
        <f aca="false">IF(AA1887=1,"",IF(AND(AC1887=1,AE1887&lt;&gt;1),1,0))</f>
        <v/>
      </c>
      <c r="AH1887" s="51" t="str">
        <f aca="false">IF(AND(E1887&gt;0,AA1887&lt;1,NOT(AND(C1888=C1887,AA1888=AA1887+1))),INDEX(DATAS,AA1887+1),"")</f>
        <v/>
      </c>
      <c r="AI1887" s="51" t="str">
        <f aca="false">IF(AND(AC1887=1,AA1887&lt;1),IF(AND(C1888=C1887,AA1888=AA1887+1),IF(AC1888=1,"",INDEX(DATAS,AA1887+1)),INDEX(DATAS,AA1887+1)),"")</f>
        <v/>
      </c>
    </row>
    <row r="1888" customFormat="false" ht="15" hidden="false" customHeight="false" outlineLevel="0" collapsed="false">
      <c r="A1888" s="51" t="n">
        <v>46309</v>
      </c>
      <c r="B1888" s="0" t="n">
        <v>7</v>
      </c>
      <c r="C1888" s="0" t="n">
        <v>6117</v>
      </c>
      <c r="E1888" s="0" t="n">
        <v>0</v>
      </c>
      <c r="F1888" s="46" t="s">
        <v>1110</v>
      </c>
      <c r="I1888" s="46" t="s">
        <v>152</v>
      </c>
      <c r="L1888" s="0" t="n">
        <v>248</v>
      </c>
      <c r="U1888" s="0" t="n">
        <v>673</v>
      </c>
      <c r="V1888" s="0" t="n">
        <v>3</v>
      </c>
      <c r="W1888" s="51" t="n">
        <v>46062</v>
      </c>
      <c r="X1888" s="46" t="n">
        <f aca="false">IF(I1888="Male",0,1)</f>
        <v>1</v>
      </c>
      <c r="Y1888" s="46" t="n">
        <f aca="false">IF(OR(I1888="DNB",I1888="Dry DNB"),1,0)</f>
        <v>0</v>
      </c>
      <c r="Z1888" s="46" t="n">
        <f aca="false">IF(ISNUMBER(W1888),A1888-W1888,"")</f>
        <v>247</v>
      </c>
      <c r="AA1888" s="46" t="n">
        <f aca="false">MATCH(A1888,DATAS,0)</f>
        <v>1</v>
      </c>
      <c r="AB1888" s="46" t="n">
        <f aca="false">IF(AND(E1888&gt;0,OR(AND(B1888&gt;=1,B1888&lt;=6),B1888=10)),1,0)</f>
        <v>0</v>
      </c>
      <c r="AC1888" s="46" t="n">
        <f aca="false">IF(AND(E1888&gt;0,B1888=10),1,0)</f>
        <v>0</v>
      </c>
      <c r="AD1888" s="0" t="str">
        <f aca="false">IF(AND(C1887=C1888,AA1887=AA1888-1),AB1887,"")</f>
        <v/>
      </c>
      <c r="AE1888" s="0" t="str">
        <f aca="false">IF(AND(C1887=C1888,AA1887=AA1888-1),AC1887,"")</f>
        <v/>
      </c>
      <c r="AF1888" s="0" t="str">
        <f aca="false">IF(AA1888=1,"",IF(AND(AB1888=1,AD1888&lt;&gt;1),1,0))</f>
        <v/>
      </c>
      <c r="AG1888" s="0" t="str">
        <f aca="false">IF(AA1888=1,"",IF(AND(AC1888=1,AE1888&lt;&gt;1),1,0))</f>
        <v/>
      </c>
      <c r="AH1888" s="51" t="str">
        <f aca="false">IF(AND(E1888&gt;0,AA1888&lt;1,NOT(AND(C1889=C1888,AA1889=AA1888+1))),INDEX(DATAS,AA1888+1),"")</f>
        <v/>
      </c>
      <c r="AI1888" s="51" t="str">
        <f aca="false">IF(AND(AC1888=1,AA1888&lt;1),IF(AND(C1889=C1888,AA1889=AA1888+1),IF(AC1889=1,"",INDEX(DATAS,AA1888+1)),INDEX(DATAS,AA1888+1)),"")</f>
        <v/>
      </c>
    </row>
    <row r="1889" customFormat="false" ht="15" hidden="false" customHeight="false" outlineLevel="0" collapsed="false">
      <c r="A1889" s="51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46" t="s">
        <v>1110</v>
      </c>
      <c r="G1889" s="0" t="n">
        <v>28.2</v>
      </c>
      <c r="H1889" s="0" t="n">
        <v>34</v>
      </c>
      <c r="I1889" s="46" t="s">
        <v>161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X1889" s="46" t="n">
        <f aca="false">IF(I1889="Male",0,1)</f>
        <v>1</v>
      </c>
      <c r="Y1889" s="46" t="n">
        <f aca="false">IF(OR(I1889="DNB",I1889="Dry DNB"),1,0)</f>
        <v>0</v>
      </c>
      <c r="Z1889" s="0" t="str">
        <f aca="false">IF(ISNUMBER(W1889),A1889-W1889,"")</f>
        <v/>
      </c>
      <c r="AA1889" s="46" t="n">
        <f aca="false">MATCH(A1889,DATAS,0)</f>
        <v>1</v>
      </c>
      <c r="AB1889" s="46" t="n">
        <f aca="false">IF(AND(E1889&gt;0,OR(AND(B1889&gt;=1,B1889&lt;=6),B1889=10)),1,0)</f>
        <v>1</v>
      </c>
      <c r="AC1889" s="46" t="n">
        <f aca="false">IF(AND(E1889&gt;0,B1889=10),1,0)</f>
        <v>1</v>
      </c>
      <c r="AD1889" s="0" t="str">
        <f aca="false">IF(AND(C1888=C1889,AA1888=AA1889-1),AB1888,"")</f>
        <v/>
      </c>
      <c r="AE1889" s="0" t="str">
        <f aca="false">IF(AND(C1888=C1889,AA1888=AA1889-1),AC1888,"")</f>
        <v/>
      </c>
      <c r="AF1889" s="0" t="str">
        <f aca="false">IF(AA1889=1,"",IF(AND(AB1889=1,AD1889&lt;&gt;1),1,0))</f>
        <v/>
      </c>
      <c r="AG1889" s="0" t="str">
        <f aca="false">IF(AA1889=1,"",IF(AND(AC1889=1,AE1889&lt;&gt;1),1,0))</f>
        <v/>
      </c>
      <c r="AH1889" s="51" t="str">
        <f aca="false">IF(AND(E1889&gt;0,AA1889&lt;1,NOT(AND(C1890=C1889,AA1890=AA1889+1))),INDEX(DATAS,AA1889+1),"")</f>
        <v/>
      </c>
      <c r="AI1889" s="51" t="str">
        <f aca="false">IF(AND(AC1889=1,AA1889&lt;1),IF(AND(C1890=C1889,AA1890=AA1889+1),IF(AC1890=1,"",INDEX(DATAS,AA1889+1)),INDEX(DATAS,AA1889+1)),"")</f>
        <v/>
      </c>
    </row>
    <row r="1890" customFormat="false" ht="15" hidden="false" customHeight="false" outlineLevel="0" collapsed="false">
      <c r="A1890" s="51" t="n">
        <v>46309</v>
      </c>
      <c r="B1890" s="0" t="n">
        <v>14</v>
      </c>
      <c r="C1890" s="0" t="n">
        <v>6120</v>
      </c>
      <c r="E1890" s="0" t="n">
        <v>0</v>
      </c>
      <c r="F1890" s="46" t="s">
        <v>1111</v>
      </c>
      <c r="I1890" s="46" t="s">
        <v>152</v>
      </c>
      <c r="L1890" s="0" t="n">
        <v>262</v>
      </c>
      <c r="U1890" s="0" t="n">
        <v>672</v>
      </c>
      <c r="V1890" s="0" t="n">
        <v>3</v>
      </c>
      <c r="W1890" s="51" t="n">
        <v>46048</v>
      </c>
      <c r="X1890" s="46" t="n">
        <f aca="false">IF(I1890="Male",0,1)</f>
        <v>1</v>
      </c>
      <c r="Y1890" s="46" t="n">
        <f aca="false">IF(OR(I1890="DNB",I1890="Dry DNB"),1,0)</f>
        <v>0</v>
      </c>
      <c r="Z1890" s="46" t="n">
        <f aca="false">IF(ISNUMBER(W1890),A1890-W1890,"")</f>
        <v>261</v>
      </c>
      <c r="AA1890" s="46" t="n">
        <f aca="false">MATCH(A1890,DATAS,0)</f>
        <v>1</v>
      </c>
      <c r="AB1890" s="46" t="n">
        <f aca="false">IF(AND(E1890&gt;0,OR(AND(B1890&gt;=1,B1890&lt;=6),B1890=10)),1,0)</f>
        <v>0</v>
      </c>
      <c r="AC1890" s="46" t="n">
        <f aca="false">IF(AND(E1890&gt;0,B1890=10),1,0)</f>
        <v>0</v>
      </c>
      <c r="AD1890" s="0" t="str">
        <f aca="false">IF(AND(C1889=C1890,AA1889=AA1890-1),AB1889,"")</f>
        <v/>
      </c>
      <c r="AE1890" s="0" t="str">
        <f aca="false">IF(AND(C1889=C1890,AA1889=AA1890-1),AC1889,"")</f>
        <v/>
      </c>
      <c r="AF1890" s="0" t="str">
        <f aca="false">IF(AA1890=1,"",IF(AND(AB1890=1,AD1890&lt;&gt;1),1,0))</f>
        <v/>
      </c>
      <c r="AG1890" s="0" t="str">
        <f aca="false">IF(AA1890=1,"",IF(AND(AC1890=1,AE1890&lt;&gt;1),1,0))</f>
        <v/>
      </c>
      <c r="AH1890" s="51" t="str">
        <f aca="false">IF(AND(E1890&gt;0,AA1890&lt;1,NOT(AND(C1891=C1890,AA1891=AA1890+1))),INDEX(DATAS,AA1890+1),"")</f>
        <v/>
      </c>
      <c r="AI1890" s="51" t="str">
        <f aca="false">IF(AND(AC1890=1,AA1890&lt;1),IF(AND(C1891=C1890,AA1891=AA1890+1),IF(AC1891=1,"",INDEX(DATAS,AA1890+1)),INDEX(DATAS,AA1890+1)),"")</f>
        <v/>
      </c>
    </row>
    <row r="1891" customFormat="false" ht="15" hidden="false" customHeight="false" outlineLevel="0" collapsed="false">
      <c r="A1891" s="51" t="n">
        <v>46309</v>
      </c>
      <c r="B1891" s="0" t="n">
        <v>8</v>
      </c>
      <c r="C1891" s="0" t="n">
        <v>6121</v>
      </c>
      <c r="E1891" s="0" t="n">
        <v>0</v>
      </c>
      <c r="F1891" s="46" t="s">
        <v>1111</v>
      </c>
      <c r="I1891" s="46" t="s">
        <v>152</v>
      </c>
      <c r="L1891" s="0" t="n">
        <v>112</v>
      </c>
      <c r="U1891" s="0" t="n">
        <v>672</v>
      </c>
      <c r="V1891" s="0" t="n">
        <v>5</v>
      </c>
      <c r="W1891" s="51" t="n">
        <v>46198</v>
      </c>
      <c r="X1891" s="46" t="n">
        <f aca="false">IF(I1891="Male",0,1)</f>
        <v>1</v>
      </c>
      <c r="Y1891" s="46" t="n">
        <f aca="false">IF(OR(I1891="DNB",I1891="Dry DNB"),1,0)</f>
        <v>0</v>
      </c>
      <c r="Z1891" s="46" t="n">
        <f aca="false">IF(ISNUMBER(W1891),A1891-W1891,"")</f>
        <v>111</v>
      </c>
      <c r="AA1891" s="46" t="n">
        <f aca="false">MATCH(A1891,DATAS,0)</f>
        <v>1</v>
      </c>
      <c r="AB1891" s="46" t="n">
        <f aca="false">IF(AND(E1891&gt;0,OR(AND(B1891&gt;=1,B1891&lt;=6),B1891=10)),1,0)</f>
        <v>0</v>
      </c>
      <c r="AC1891" s="46" t="n">
        <f aca="false">IF(AND(E1891&gt;0,B1891=10),1,0)</f>
        <v>0</v>
      </c>
      <c r="AD1891" s="0" t="str">
        <f aca="false">IF(AND(C1890=C1891,AA1890=AA1891-1),AB1890,"")</f>
        <v/>
      </c>
      <c r="AE1891" s="0" t="str">
        <f aca="false">IF(AND(C1890=C1891,AA1890=AA1891-1),AC1890,"")</f>
        <v/>
      </c>
      <c r="AF1891" s="0" t="str">
        <f aca="false">IF(AA1891=1,"",IF(AND(AB1891=1,AD1891&lt;&gt;1),1,0))</f>
        <v/>
      </c>
      <c r="AG1891" s="0" t="str">
        <f aca="false">IF(AA1891=1,"",IF(AND(AC1891=1,AE1891&lt;&gt;1),1,0))</f>
        <v/>
      </c>
      <c r="AH1891" s="51" t="str">
        <f aca="false">IF(AND(E1891&gt;0,AA1891&lt;1,NOT(AND(C1892=C1891,AA1892=AA1891+1))),INDEX(DATAS,AA1891+1),"")</f>
        <v/>
      </c>
      <c r="AI1891" s="51" t="str">
        <f aca="false">IF(AND(AC1891=1,AA1891&lt;1),IF(AND(C1892=C1891,AA1892=AA1891+1),IF(AC1892=1,"",INDEX(DATAS,AA1891+1)),INDEX(DATAS,AA1891+1)),"")</f>
        <v/>
      </c>
    </row>
    <row r="1892" customFormat="false" ht="15" hidden="false" customHeight="false" outlineLevel="0" collapsed="false">
      <c r="A1892" s="51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46" t="s">
        <v>1111</v>
      </c>
      <c r="G1892" s="0" t="n">
        <v>34.9</v>
      </c>
      <c r="H1892" s="0" t="n">
        <v>37</v>
      </c>
      <c r="I1892" s="46" t="s">
        <v>161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X1892" s="46" t="n">
        <f aca="false">IF(I1892="Male",0,1)</f>
        <v>1</v>
      </c>
      <c r="Y1892" s="46" t="n">
        <f aca="false">IF(OR(I1892="DNB",I1892="Dry DNB"),1,0)</f>
        <v>0</v>
      </c>
      <c r="Z1892" s="0" t="str">
        <f aca="false">IF(ISNUMBER(W1892),A1892-W1892,"")</f>
        <v/>
      </c>
      <c r="AA1892" s="46" t="n">
        <f aca="false">MATCH(A1892,DATAS,0)</f>
        <v>1</v>
      </c>
      <c r="AB1892" s="46" t="n">
        <f aca="false">IF(AND(E1892&gt;0,OR(AND(B1892&gt;=1,B1892&lt;=6),B1892=10)),1,0)</f>
        <v>1</v>
      </c>
      <c r="AC1892" s="46" t="n">
        <f aca="false">IF(AND(E1892&gt;0,B1892=10),1,0)</f>
        <v>0</v>
      </c>
      <c r="AD1892" s="0" t="str">
        <f aca="false">IF(AND(C1891=C1892,AA1891=AA1892-1),AB1891,"")</f>
        <v/>
      </c>
      <c r="AE1892" s="0" t="str">
        <f aca="false">IF(AND(C1891=C1892,AA1891=AA1892-1),AC1891,"")</f>
        <v/>
      </c>
      <c r="AF1892" s="0" t="str">
        <f aca="false">IF(AA1892=1,"",IF(AND(AB1892=1,AD1892&lt;&gt;1),1,0))</f>
        <v/>
      </c>
      <c r="AG1892" s="0" t="str">
        <f aca="false">IF(AA1892=1,"",IF(AND(AC1892=1,AE1892&lt;&gt;1),1,0))</f>
        <v/>
      </c>
      <c r="AH1892" s="51" t="str">
        <f aca="false">IF(AND(E1892&gt;0,AA1892&lt;1,NOT(AND(C1893=C1892,AA1893=AA1892+1))),INDEX(DATAS,AA1892+1),"")</f>
        <v/>
      </c>
      <c r="AI1892" s="51" t="str">
        <f aca="false">IF(AND(AC1892=1,AA1892&lt;1),IF(AND(C1893=C1892,AA1893=AA1892+1),IF(AC1893=1,"",INDEX(DATAS,AA1892+1)),INDEX(DATAS,AA1892+1)),"")</f>
        <v/>
      </c>
    </row>
    <row r="1893" customFormat="false" ht="15" hidden="false" customHeight="false" outlineLevel="0" collapsed="false">
      <c r="A1893" s="51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46" t="s">
        <v>1111</v>
      </c>
      <c r="G1893" s="0" t="n">
        <v>42.1</v>
      </c>
      <c r="H1893" s="0" t="n">
        <v>42</v>
      </c>
      <c r="I1893" s="46" t="s">
        <v>161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X1893" s="46" t="n">
        <f aca="false">IF(I1893="Male",0,1)</f>
        <v>1</v>
      </c>
      <c r="Y1893" s="46" t="n">
        <f aca="false">IF(OR(I1893="DNB",I1893="Dry DNB"),1,0)</f>
        <v>0</v>
      </c>
      <c r="Z1893" s="0" t="str">
        <f aca="false">IF(ISNUMBER(W1893),A1893-W1893,"")</f>
        <v/>
      </c>
      <c r="AA1893" s="46" t="n">
        <f aca="false">MATCH(A1893,DATAS,0)</f>
        <v>1</v>
      </c>
      <c r="AB1893" s="46" t="n">
        <f aca="false">IF(AND(E1893&gt;0,OR(AND(B1893&gt;=1,B1893&lt;=6),B1893=10)),1,0)</f>
        <v>1</v>
      </c>
      <c r="AC1893" s="46" t="n">
        <f aca="false">IF(AND(E1893&gt;0,B1893=10),1,0)</f>
        <v>0</v>
      </c>
      <c r="AD1893" s="0" t="str">
        <f aca="false">IF(AND(C1892=C1893,AA1892=AA1893-1),AB1892,"")</f>
        <v/>
      </c>
      <c r="AE1893" s="0" t="str">
        <f aca="false">IF(AND(C1892=C1893,AA1892=AA1893-1),AC1892,"")</f>
        <v/>
      </c>
      <c r="AF1893" s="0" t="str">
        <f aca="false">IF(AA1893=1,"",IF(AND(AB1893=1,AD1893&lt;&gt;1),1,0))</f>
        <v/>
      </c>
      <c r="AG1893" s="0" t="str">
        <f aca="false">IF(AA1893=1,"",IF(AND(AC1893=1,AE1893&lt;&gt;1),1,0))</f>
        <v/>
      </c>
      <c r="AH1893" s="51" t="str">
        <f aca="false">IF(AND(E1893&gt;0,AA1893&lt;1,NOT(AND(C1894=C1893,AA1894=AA1893+1))),INDEX(DATAS,AA1893+1),"")</f>
        <v/>
      </c>
      <c r="AI1893" s="51" t="str">
        <f aca="false">IF(AND(AC1893=1,AA1893&lt;1),IF(AND(C1894=C1893,AA1894=AA1893+1),IF(AC1894=1,"",INDEX(DATAS,AA1893+1)),INDEX(DATAS,AA1893+1)),"")</f>
        <v/>
      </c>
    </row>
    <row r="1894" customFormat="false" ht="15" hidden="false" customHeight="false" outlineLevel="0" collapsed="false">
      <c r="A1894" s="51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46" t="s">
        <v>1112</v>
      </c>
      <c r="G1894" s="0" t="n">
        <v>41.4</v>
      </c>
      <c r="H1894" s="0" t="n">
        <v>39</v>
      </c>
      <c r="I1894" s="46" t="s">
        <v>161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X1894" s="46" t="n">
        <f aca="false">IF(I1894="Male",0,1)</f>
        <v>1</v>
      </c>
      <c r="Y1894" s="46" t="n">
        <f aca="false">IF(OR(I1894="DNB",I1894="Dry DNB"),1,0)</f>
        <v>0</v>
      </c>
      <c r="Z1894" s="0" t="str">
        <f aca="false">IF(ISNUMBER(W1894),A1894-W1894,"")</f>
        <v/>
      </c>
      <c r="AA1894" s="46" t="n">
        <f aca="false">MATCH(A1894,DATAS,0)</f>
        <v>1</v>
      </c>
      <c r="AB1894" s="46" t="n">
        <f aca="false">IF(AND(E1894&gt;0,OR(AND(B1894&gt;=1,B1894&lt;=6),B1894=10)),1,0)</f>
        <v>1</v>
      </c>
      <c r="AC1894" s="46" t="n">
        <f aca="false">IF(AND(E1894&gt;0,B1894=10),1,0)</f>
        <v>0</v>
      </c>
      <c r="AD1894" s="0" t="str">
        <f aca="false">IF(AND(C1893=C1894,AA1893=AA1894-1),AB1893,"")</f>
        <v/>
      </c>
      <c r="AE1894" s="0" t="str">
        <f aca="false">IF(AND(C1893=C1894,AA1893=AA1894-1),AC1893,"")</f>
        <v/>
      </c>
      <c r="AF1894" s="0" t="str">
        <f aca="false">IF(AA1894=1,"",IF(AND(AB1894=1,AD1894&lt;&gt;1),1,0))</f>
        <v/>
      </c>
      <c r="AG1894" s="0" t="str">
        <f aca="false">IF(AA1894=1,"",IF(AND(AC1894=1,AE1894&lt;&gt;1),1,0))</f>
        <v/>
      </c>
      <c r="AH1894" s="51" t="str">
        <f aca="false">IF(AND(E1894&gt;0,AA1894&lt;1,NOT(AND(C1895=C1894,AA1895=AA1894+1))),INDEX(DATAS,AA1894+1),"")</f>
        <v/>
      </c>
      <c r="AI1894" s="51" t="str">
        <f aca="false">IF(AND(AC1894=1,AA1894&lt;1),IF(AND(C1895=C1894,AA1895=AA1894+1),IF(AC1895=1,"",INDEX(DATAS,AA1894+1)),INDEX(DATAS,AA1894+1)),"")</f>
        <v/>
      </c>
    </row>
    <row r="1895" customFormat="false" ht="15" hidden="false" customHeight="false" outlineLevel="0" collapsed="false">
      <c r="A1895" s="51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46" t="s">
        <v>1112</v>
      </c>
      <c r="G1895" s="0" t="n">
        <v>39.9</v>
      </c>
      <c r="H1895" s="0" t="n">
        <v>40</v>
      </c>
      <c r="I1895" s="46" t="s">
        <v>161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X1895" s="46" t="n">
        <f aca="false">IF(I1895="Male",0,1)</f>
        <v>1</v>
      </c>
      <c r="Y1895" s="46" t="n">
        <f aca="false">IF(OR(I1895="DNB",I1895="Dry DNB"),1,0)</f>
        <v>0</v>
      </c>
      <c r="Z1895" s="0" t="str">
        <f aca="false">IF(ISNUMBER(W1895),A1895-W1895,"")</f>
        <v/>
      </c>
      <c r="AA1895" s="46" t="n">
        <f aca="false">MATCH(A1895,DATAS,0)</f>
        <v>1</v>
      </c>
      <c r="AB1895" s="46" t="n">
        <f aca="false">IF(AND(E1895&gt;0,OR(AND(B1895&gt;=1,B1895&lt;=6),B1895=10)),1,0)</f>
        <v>1</v>
      </c>
      <c r="AC1895" s="46" t="n">
        <f aca="false">IF(AND(E1895&gt;0,B1895=10),1,0)</f>
        <v>0</v>
      </c>
      <c r="AD1895" s="0" t="str">
        <f aca="false">IF(AND(C1894=C1895,AA1894=AA1895-1),AB1894,"")</f>
        <v/>
      </c>
      <c r="AE1895" s="0" t="str">
        <f aca="false">IF(AND(C1894=C1895,AA1894=AA1895-1),AC1894,"")</f>
        <v/>
      </c>
      <c r="AF1895" s="0" t="str">
        <f aca="false">IF(AA1895=1,"",IF(AND(AB1895=1,AD1895&lt;&gt;1),1,0))</f>
        <v/>
      </c>
      <c r="AG1895" s="0" t="str">
        <f aca="false">IF(AA1895=1,"",IF(AND(AC1895=1,AE1895&lt;&gt;1),1,0))</f>
        <v/>
      </c>
      <c r="AH1895" s="51" t="str">
        <f aca="false">IF(AND(E1895&gt;0,AA1895&lt;1,NOT(AND(C1896=C1895,AA1896=AA1895+1))),INDEX(DATAS,AA1895+1),"")</f>
        <v/>
      </c>
      <c r="AI1895" s="51" t="str">
        <f aca="false">IF(AND(AC1895=1,AA1895&lt;1),IF(AND(C1896=C1895,AA1896=AA1895+1),IF(AC1896=1,"",INDEX(DATAS,AA1895+1)),INDEX(DATAS,AA1895+1)),"")</f>
        <v/>
      </c>
    </row>
    <row r="1896" customFormat="false" ht="15" hidden="false" customHeight="false" outlineLevel="0" collapsed="false">
      <c r="A1896" s="51" t="n">
        <v>46309</v>
      </c>
      <c r="B1896" s="0" t="n">
        <v>7</v>
      </c>
      <c r="C1896" s="0" t="n">
        <v>6126</v>
      </c>
      <c r="E1896" s="0" t="n">
        <v>0</v>
      </c>
      <c r="F1896" s="46" t="s">
        <v>1112</v>
      </c>
      <c r="I1896" s="46" t="s">
        <v>152</v>
      </c>
      <c r="L1896" s="0" t="n">
        <v>243</v>
      </c>
      <c r="U1896" s="0" t="n">
        <v>671</v>
      </c>
      <c r="V1896" s="0" t="n">
        <v>3</v>
      </c>
      <c r="W1896" s="51" t="n">
        <v>46067</v>
      </c>
      <c r="X1896" s="46" t="n">
        <f aca="false">IF(I1896="Male",0,1)</f>
        <v>1</v>
      </c>
      <c r="Y1896" s="46" t="n">
        <f aca="false">IF(OR(I1896="DNB",I1896="Dry DNB"),1,0)</f>
        <v>0</v>
      </c>
      <c r="Z1896" s="46" t="n">
        <f aca="false">IF(ISNUMBER(W1896),A1896-W1896,"")</f>
        <v>242</v>
      </c>
      <c r="AA1896" s="46" t="n">
        <f aca="false">MATCH(A1896,DATAS,0)</f>
        <v>1</v>
      </c>
      <c r="AB1896" s="46" t="n">
        <f aca="false">IF(AND(E1896&gt;0,OR(AND(B1896&gt;=1,B1896&lt;=6),B1896=10)),1,0)</f>
        <v>0</v>
      </c>
      <c r="AC1896" s="46" t="n">
        <f aca="false">IF(AND(E1896&gt;0,B1896=10),1,0)</f>
        <v>0</v>
      </c>
      <c r="AD1896" s="0" t="str">
        <f aca="false">IF(AND(C1895=C1896,AA1895=AA1896-1),AB1895,"")</f>
        <v/>
      </c>
      <c r="AE1896" s="0" t="str">
        <f aca="false">IF(AND(C1895=C1896,AA1895=AA1896-1),AC1895,"")</f>
        <v/>
      </c>
      <c r="AF1896" s="0" t="str">
        <f aca="false">IF(AA1896=1,"",IF(AND(AB1896=1,AD1896&lt;&gt;1),1,0))</f>
        <v/>
      </c>
      <c r="AG1896" s="0" t="str">
        <f aca="false">IF(AA1896=1,"",IF(AND(AC1896=1,AE1896&lt;&gt;1),1,0))</f>
        <v/>
      </c>
      <c r="AH1896" s="51" t="str">
        <f aca="false">IF(AND(E1896&gt;0,AA1896&lt;1,NOT(AND(C1897=C1896,AA1897=AA1896+1))),INDEX(DATAS,AA1896+1),"")</f>
        <v/>
      </c>
      <c r="AI1896" s="51" t="str">
        <f aca="false">IF(AND(AC1896=1,AA1896&lt;1),IF(AND(C1897=C1896,AA1897=AA1896+1),IF(AC1897=1,"",INDEX(DATAS,AA1896+1)),INDEX(DATAS,AA1896+1)),"")</f>
        <v/>
      </c>
    </row>
    <row r="1897" customFormat="false" ht="15" hidden="false" customHeight="false" outlineLevel="0" collapsed="false">
      <c r="A1897" s="51" t="n">
        <v>46309</v>
      </c>
      <c r="B1897" s="0" t="n">
        <v>8</v>
      </c>
      <c r="C1897" s="0" t="n">
        <v>6127</v>
      </c>
      <c r="E1897" s="0" t="n">
        <v>0</v>
      </c>
      <c r="F1897" s="46" t="s">
        <v>1112</v>
      </c>
      <c r="I1897" s="46" t="s">
        <v>152</v>
      </c>
      <c r="L1897" s="0" t="n">
        <v>119</v>
      </c>
      <c r="U1897" s="0" t="n">
        <v>671</v>
      </c>
      <c r="V1897" s="0" t="n">
        <v>7</v>
      </c>
      <c r="W1897" s="51" t="n">
        <v>46191</v>
      </c>
      <c r="X1897" s="46" t="n">
        <f aca="false">IF(I1897="Male",0,1)</f>
        <v>1</v>
      </c>
      <c r="Y1897" s="46" t="n">
        <f aca="false">IF(OR(I1897="DNB",I1897="Dry DNB"),1,0)</f>
        <v>0</v>
      </c>
      <c r="Z1897" s="46" t="n">
        <f aca="false">IF(ISNUMBER(W1897),A1897-W1897,"")</f>
        <v>118</v>
      </c>
      <c r="AA1897" s="46" t="n">
        <f aca="false">MATCH(A1897,DATAS,0)</f>
        <v>1</v>
      </c>
      <c r="AB1897" s="46" t="n">
        <f aca="false">IF(AND(E1897&gt;0,OR(AND(B1897&gt;=1,B1897&lt;=6),B1897=10)),1,0)</f>
        <v>0</v>
      </c>
      <c r="AC1897" s="46" t="n">
        <f aca="false">IF(AND(E1897&gt;0,B1897=10),1,0)</f>
        <v>0</v>
      </c>
      <c r="AD1897" s="0" t="str">
        <f aca="false">IF(AND(C1896=C1897,AA1896=AA1897-1),AB1896,"")</f>
        <v/>
      </c>
      <c r="AE1897" s="0" t="str">
        <f aca="false">IF(AND(C1896=C1897,AA1896=AA1897-1),AC1896,"")</f>
        <v/>
      </c>
      <c r="AF1897" s="0" t="str">
        <f aca="false">IF(AA1897=1,"",IF(AND(AB1897=1,AD1897&lt;&gt;1),1,0))</f>
        <v/>
      </c>
      <c r="AG1897" s="0" t="str">
        <f aca="false">IF(AA1897=1,"",IF(AND(AC1897=1,AE1897&lt;&gt;1),1,0))</f>
        <v/>
      </c>
      <c r="AH1897" s="51" t="str">
        <f aca="false">IF(AND(E1897&gt;0,AA1897&lt;1,NOT(AND(C1898=C1897,AA1898=AA1897+1))),INDEX(DATAS,AA1897+1),"")</f>
        <v/>
      </c>
      <c r="AI1897" s="51" t="str">
        <f aca="false">IF(AND(AC1897=1,AA1897&lt;1),IF(AND(C1898=C1897,AA1898=AA1897+1),IF(AC1898=1,"",INDEX(DATAS,AA1897+1)),INDEX(DATAS,AA1897+1)),"")</f>
        <v/>
      </c>
    </row>
    <row r="1898" customFormat="false" ht="15" hidden="false" customHeight="false" outlineLevel="0" collapsed="false">
      <c r="A1898" s="51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46" t="s">
        <v>1113</v>
      </c>
      <c r="G1898" s="0" t="n">
        <v>42.6</v>
      </c>
      <c r="H1898" s="0" t="n">
        <v>39</v>
      </c>
      <c r="I1898" s="46" t="s">
        <v>161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X1898" s="46" t="n">
        <f aca="false">IF(I1898="Male",0,1)</f>
        <v>1</v>
      </c>
      <c r="Y1898" s="46" t="n">
        <f aca="false">IF(OR(I1898="DNB",I1898="Dry DNB"),1,0)</f>
        <v>0</v>
      </c>
      <c r="Z1898" s="0" t="str">
        <f aca="false">IF(ISNUMBER(W1898),A1898-W1898,"")</f>
        <v/>
      </c>
      <c r="AA1898" s="46" t="n">
        <f aca="false">MATCH(A1898,DATAS,0)</f>
        <v>1</v>
      </c>
      <c r="AB1898" s="46" t="n">
        <f aca="false">IF(AND(E1898&gt;0,OR(AND(B1898&gt;=1,B1898&lt;=6),B1898=10)),1,0)</f>
        <v>1</v>
      </c>
      <c r="AC1898" s="46" t="n">
        <f aca="false">IF(AND(E1898&gt;0,B1898=10),1,0)</f>
        <v>0</v>
      </c>
      <c r="AD1898" s="0" t="str">
        <f aca="false">IF(AND(C1897=C1898,AA1897=AA1898-1),AB1897,"")</f>
        <v/>
      </c>
      <c r="AE1898" s="0" t="str">
        <f aca="false">IF(AND(C1897=C1898,AA1897=AA1898-1),AC1897,"")</f>
        <v/>
      </c>
      <c r="AF1898" s="0" t="str">
        <f aca="false">IF(AA1898=1,"",IF(AND(AB1898=1,AD1898&lt;&gt;1),1,0))</f>
        <v/>
      </c>
      <c r="AG1898" s="0" t="str">
        <f aca="false">IF(AA1898=1,"",IF(AND(AC1898=1,AE1898&lt;&gt;1),1,0))</f>
        <v/>
      </c>
      <c r="AH1898" s="51" t="str">
        <f aca="false">IF(AND(E1898&gt;0,AA1898&lt;1,NOT(AND(C1899=C1898,AA1899=AA1898+1))),INDEX(DATAS,AA1898+1),"")</f>
        <v/>
      </c>
      <c r="AI1898" s="51" t="str">
        <f aca="false">IF(AND(AC1898=1,AA1898&lt;1),IF(AND(C1899=C1898,AA1899=AA1898+1),IF(AC1899=1,"",INDEX(DATAS,AA1898+1)),INDEX(DATAS,AA1898+1)),"")</f>
        <v/>
      </c>
    </row>
    <row r="1899" customFormat="false" ht="15" hidden="false" customHeight="false" outlineLevel="0" collapsed="false">
      <c r="A1899" s="51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46" t="s">
        <v>1113</v>
      </c>
      <c r="G1899" s="0" t="n">
        <v>34.5</v>
      </c>
      <c r="H1899" s="0" t="n">
        <v>34</v>
      </c>
      <c r="I1899" s="46" t="s">
        <v>161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X1899" s="46" t="n">
        <f aca="false">IF(I1899="Male",0,1)</f>
        <v>1</v>
      </c>
      <c r="Y1899" s="46" t="n">
        <f aca="false">IF(OR(I1899="DNB",I1899="Dry DNB"),1,0)</f>
        <v>0</v>
      </c>
      <c r="Z1899" s="0" t="str">
        <f aca="false">IF(ISNUMBER(W1899),A1899-W1899,"")</f>
        <v/>
      </c>
      <c r="AA1899" s="46" t="n">
        <f aca="false">MATCH(A1899,DATAS,0)</f>
        <v>1</v>
      </c>
      <c r="AB1899" s="46" t="n">
        <f aca="false">IF(AND(E1899&gt;0,OR(AND(B1899&gt;=1,B1899&lt;=6),B1899=10)),1,0)</f>
        <v>1</v>
      </c>
      <c r="AC1899" s="46" t="n">
        <f aca="false">IF(AND(E1899&gt;0,B1899=10),1,0)</f>
        <v>0</v>
      </c>
      <c r="AD1899" s="0" t="str">
        <f aca="false">IF(AND(C1898=C1899,AA1898=AA1899-1),AB1898,"")</f>
        <v/>
      </c>
      <c r="AE1899" s="0" t="str">
        <f aca="false">IF(AND(C1898=C1899,AA1898=AA1899-1),AC1898,"")</f>
        <v/>
      </c>
      <c r="AF1899" s="0" t="str">
        <f aca="false">IF(AA1899=1,"",IF(AND(AB1899=1,AD1899&lt;&gt;1),1,0))</f>
        <v/>
      </c>
      <c r="AG1899" s="0" t="str">
        <f aca="false">IF(AA1899=1,"",IF(AND(AC1899=1,AE1899&lt;&gt;1),1,0))</f>
        <v/>
      </c>
      <c r="AH1899" s="51" t="str">
        <f aca="false">IF(AND(E1899&gt;0,AA1899&lt;1,NOT(AND(C1900=C1899,AA1900=AA1899+1))),INDEX(DATAS,AA1899+1),"")</f>
        <v/>
      </c>
      <c r="AI1899" s="51" t="str">
        <f aca="false">IF(AND(AC1899=1,AA1899&lt;1),IF(AND(C1900=C1899,AA1900=AA1899+1),IF(AC1900=1,"",INDEX(DATAS,AA1899+1)),INDEX(DATAS,AA1899+1)),"")</f>
        <v/>
      </c>
    </row>
    <row r="1900" customFormat="false" ht="15" hidden="false" customHeight="false" outlineLevel="0" collapsed="false">
      <c r="A1900" s="51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46" t="s">
        <v>1114</v>
      </c>
      <c r="G1900" s="0" t="n">
        <v>34.9</v>
      </c>
      <c r="H1900" s="0" t="n">
        <v>33</v>
      </c>
      <c r="I1900" s="46" t="s">
        <v>161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X1900" s="46" t="n">
        <f aca="false">IF(I1900="Male",0,1)</f>
        <v>1</v>
      </c>
      <c r="Y1900" s="46" t="n">
        <f aca="false">IF(OR(I1900="DNB",I1900="Dry DNB"),1,0)</f>
        <v>0</v>
      </c>
      <c r="Z1900" s="0" t="str">
        <f aca="false">IF(ISNUMBER(W1900),A1900-W1900,"")</f>
        <v/>
      </c>
      <c r="AA1900" s="46" t="n">
        <f aca="false">MATCH(A1900,DATAS,0)</f>
        <v>1</v>
      </c>
      <c r="AB1900" s="46" t="n">
        <f aca="false">IF(AND(E1900&gt;0,OR(AND(B1900&gt;=1,B1900&lt;=6),B1900=10)),1,0)</f>
        <v>1</v>
      </c>
      <c r="AC1900" s="46" t="n">
        <f aca="false">IF(AND(E1900&gt;0,B1900=10),1,0)</f>
        <v>0</v>
      </c>
      <c r="AD1900" s="0" t="str">
        <f aca="false">IF(AND(C1899=C1900,AA1899=AA1900-1),AB1899,"")</f>
        <v/>
      </c>
      <c r="AE1900" s="0" t="str">
        <f aca="false">IF(AND(C1899=C1900,AA1899=AA1900-1),AC1899,"")</f>
        <v/>
      </c>
      <c r="AF1900" s="0" t="str">
        <f aca="false">IF(AA1900=1,"",IF(AND(AB1900=1,AD1900&lt;&gt;1),1,0))</f>
        <v/>
      </c>
      <c r="AG1900" s="0" t="str">
        <f aca="false">IF(AA1900=1,"",IF(AND(AC1900=1,AE1900&lt;&gt;1),1,0))</f>
        <v/>
      </c>
      <c r="AH1900" s="51" t="str">
        <f aca="false">IF(AND(E1900&gt;0,AA1900&lt;1,NOT(AND(C1901=C1900,AA1901=AA1900+1))),INDEX(DATAS,AA1900+1),"")</f>
        <v/>
      </c>
      <c r="AI1900" s="51" t="str">
        <f aca="false">IF(AND(AC1900=1,AA1900&lt;1),IF(AND(C1901=C1900,AA1901=AA1900+1),IF(AC1901=1,"",INDEX(DATAS,AA1900+1)),INDEX(DATAS,AA1900+1)),"")</f>
        <v/>
      </c>
    </row>
    <row r="1901" customFormat="false" ht="15" hidden="false" customHeight="false" outlineLevel="0" collapsed="false">
      <c r="A1901" s="51" t="n">
        <v>46309</v>
      </c>
      <c r="B1901" s="0" t="n">
        <v>8</v>
      </c>
      <c r="C1901" s="0" t="n">
        <v>6132</v>
      </c>
      <c r="E1901" s="0" t="n">
        <v>0</v>
      </c>
      <c r="F1901" s="46" t="s">
        <v>1115</v>
      </c>
      <c r="I1901" s="46" t="s">
        <v>152</v>
      </c>
      <c r="L1901" s="0" t="n">
        <v>231</v>
      </c>
      <c r="U1901" s="0" t="n">
        <v>667</v>
      </c>
      <c r="V1901" s="0" t="n">
        <v>3</v>
      </c>
      <c r="W1901" s="51" t="n">
        <v>46079</v>
      </c>
      <c r="X1901" s="46" t="n">
        <f aca="false">IF(I1901="Male",0,1)</f>
        <v>1</v>
      </c>
      <c r="Y1901" s="46" t="n">
        <f aca="false">IF(OR(I1901="DNB",I1901="Dry DNB"),1,0)</f>
        <v>0</v>
      </c>
      <c r="Z1901" s="46" t="n">
        <f aca="false">IF(ISNUMBER(W1901),A1901-W1901,"")</f>
        <v>230</v>
      </c>
      <c r="AA1901" s="46" t="n">
        <f aca="false">MATCH(A1901,DATAS,0)</f>
        <v>1</v>
      </c>
      <c r="AB1901" s="46" t="n">
        <f aca="false">IF(AND(E1901&gt;0,OR(AND(B1901&gt;=1,B1901&lt;=6),B1901=10)),1,0)</f>
        <v>0</v>
      </c>
      <c r="AC1901" s="46" t="n">
        <f aca="false">IF(AND(E1901&gt;0,B1901=10),1,0)</f>
        <v>0</v>
      </c>
      <c r="AD1901" s="0" t="str">
        <f aca="false">IF(AND(C1900=C1901,AA1900=AA1901-1),AB1900,"")</f>
        <v/>
      </c>
      <c r="AE1901" s="0" t="str">
        <f aca="false">IF(AND(C1900=C1901,AA1900=AA1901-1),AC1900,"")</f>
        <v/>
      </c>
      <c r="AF1901" s="0" t="str">
        <f aca="false">IF(AA1901=1,"",IF(AND(AB1901=1,AD1901&lt;&gt;1),1,0))</f>
        <v/>
      </c>
      <c r="AG1901" s="0" t="str">
        <f aca="false">IF(AA1901=1,"",IF(AND(AC1901=1,AE1901&lt;&gt;1),1,0))</f>
        <v/>
      </c>
      <c r="AH1901" s="51" t="str">
        <f aca="false">IF(AND(E1901&gt;0,AA1901&lt;1,NOT(AND(C1902=C1901,AA1902=AA1901+1))),INDEX(DATAS,AA1901+1),"")</f>
        <v/>
      </c>
      <c r="AI1901" s="51" t="str">
        <f aca="false">IF(AND(AC1901=1,AA1901&lt;1),IF(AND(C1902=C1901,AA1902=AA1901+1),IF(AC1902=1,"",INDEX(DATAS,AA1901+1)),INDEX(DATAS,AA1901+1)),"")</f>
        <v/>
      </c>
    </row>
    <row r="1902" customFormat="false" ht="15" hidden="false" customHeight="false" outlineLevel="0" collapsed="false">
      <c r="A1902" s="51" t="n">
        <v>46309</v>
      </c>
      <c r="B1902" s="0" t="n">
        <v>14</v>
      </c>
      <c r="C1902" s="0" t="n">
        <v>6134</v>
      </c>
      <c r="E1902" s="0" t="n">
        <v>0</v>
      </c>
      <c r="F1902" s="46" t="s">
        <v>1115</v>
      </c>
      <c r="I1902" s="46" t="s">
        <v>152</v>
      </c>
      <c r="L1902" s="0" t="n">
        <v>256</v>
      </c>
      <c r="U1902" s="0" t="n">
        <v>667</v>
      </c>
      <c r="V1902" s="0" t="n">
        <v>3</v>
      </c>
      <c r="W1902" s="51" t="n">
        <v>46054</v>
      </c>
      <c r="X1902" s="46" t="n">
        <f aca="false">IF(I1902="Male",0,1)</f>
        <v>1</v>
      </c>
      <c r="Y1902" s="46" t="n">
        <f aca="false">IF(OR(I1902="DNB",I1902="Dry DNB"),1,0)</f>
        <v>0</v>
      </c>
      <c r="Z1902" s="46" t="n">
        <f aca="false">IF(ISNUMBER(W1902),A1902-W1902,"")</f>
        <v>255</v>
      </c>
      <c r="AA1902" s="46" t="n">
        <f aca="false">MATCH(A1902,DATAS,0)</f>
        <v>1</v>
      </c>
      <c r="AB1902" s="46" t="n">
        <f aca="false">IF(AND(E1902&gt;0,OR(AND(B1902&gt;=1,B1902&lt;=6),B1902=10)),1,0)</f>
        <v>0</v>
      </c>
      <c r="AC1902" s="46" t="n">
        <f aca="false">IF(AND(E1902&gt;0,B1902=10),1,0)</f>
        <v>0</v>
      </c>
      <c r="AD1902" s="0" t="str">
        <f aca="false">IF(AND(C1901=C1902,AA1901=AA1902-1),AB1901,"")</f>
        <v/>
      </c>
      <c r="AE1902" s="0" t="str">
        <f aca="false">IF(AND(C1901=C1902,AA1901=AA1902-1),AC1901,"")</f>
        <v/>
      </c>
      <c r="AF1902" s="0" t="str">
        <f aca="false">IF(AA1902=1,"",IF(AND(AB1902=1,AD1902&lt;&gt;1),1,0))</f>
        <v/>
      </c>
      <c r="AG1902" s="0" t="str">
        <f aca="false">IF(AA1902=1,"",IF(AND(AC1902=1,AE1902&lt;&gt;1),1,0))</f>
        <v/>
      </c>
      <c r="AH1902" s="51" t="str">
        <f aca="false">IF(AND(E1902&gt;0,AA1902&lt;1,NOT(AND(C1903=C1902,AA1903=AA1902+1))),INDEX(DATAS,AA1902+1),"")</f>
        <v/>
      </c>
      <c r="AI1902" s="51" t="str">
        <f aca="false">IF(AND(AC1902=1,AA1902&lt;1),IF(AND(C1903=C1902,AA1903=AA1902+1),IF(AC1903=1,"",INDEX(DATAS,AA1902+1)),INDEX(DATAS,AA1902+1)),"")</f>
        <v/>
      </c>
    </row>
    <row r="1903" customFormat="false" ht="15" hidden="false" customHeight="false" outlineLevel="0" collapsed="false">
      <c r="A1903" s="51" t="n">
        <v>46309</v>
      </c>
      <c r="B1903" s="0" t="n">
        <v>14</v>
      </c>
      <c r="C1903" s="0" t="n">
        <v>6135</v>
      </c>
      <c r="E1903" s="0" t="n">
        <v>0</v>
      </c>
      <c r="F1903" s="46" t="s">
        <v>1115</v>
      </c>
      <c r="I1903" s="46" t="s">
        <v>152</v>
      </c>
      <c r="L1903" s="0" t="n">
        <v>280</v>
      </c>
      <c r="U1903" s="0" t="n">
        <v>667</v>
      </c>
      <c r="V1903" s="0" t="n">
        <v>1</v>
      </c>
      <c r="W1903" s="51" t="n">
        <v>46030</v>
      </c>
      <c r="X1903" s="46" t="n">
        <f aca="false">IF(I1903="Male",0,1)</f>
        <v>1</v>
      </c>
      <c r="Y1903" s="46" t="n">
        <f aca="false">IF(OR(I1903="DNB",I1903="Dry DNB"),1,0)</f>
        <v>0</v>
      </c>
      <c r="Z1903" s="46" t="n">
        <f aca="false">IF(ISNUMBER(W1903),A1903-W1903,"")</f>
        <v>279</v>
      </c>
      <c r="AA1903" s="46" t="n">
        <f aca="false">MATCH(A1903,DATAS,0)</f>
        <v>1</v>
      </c>
      <c r="AB1903" s="46" t="n">
        <f aca="false">IF(AND(E1903&gt;0,OR(AND(B1903&gt;=1,B1903&lt;=6),B1903=10)),1,0)</f>
        <v>0</v>
      </c>
      <c r="AC1903" s="46" t="n">
        <f aca="false">IF(AND(E1903&gt;0,B1903=10),1,0)</f>
        <v>0</v>
      </c>
      <c r="AD1903" s="0" t="str">
        <f aca="false">IF(AND(C1902=C1903,AA1902=AA1903-1),AB1902,"")</f>
        <v/>
      </c>
      <c r="AE1903" s="0" t="str">
        <f aca="false">IF(AND(C1902=C1903,AA1902=AA1903-1),AC1902,"")</f>
        <v/>
      </c>
      <c r="AF1903" s="0" t="str">
        <f aca="false">IF(AA1903=1,"",IF(AND(AB1903=1,AD1903&lt;&gt;1),1,0))</f>
        <v/>
      </c>
      <c r="AG1903" s="0" t="str">
        <f aca="false">IF(AA1903=1,"",IF(AND(AC1903=1,AE1903&lt;&gt;1),1,0))</f>
        <v/>
      </c>
      <c r="AH1903" s="51" t="str">
        <f aca="false">IF(AND(E1903&gt;0,AA1903&lt;1,NOT(AND(C1904=C1903,AA1904=AA1903+1))),INDEX(DATAS,AA1903+1),"")</f>
        <v/>
      </c>
      <c r="AI1903" s="51" t="str">
        <f aca="false">IF(AND(AC1903=1,AA1903&lt;1),IF(AND(C1904=C1903,AA1904=AA1903+1),IF(AC1904=1,"",INDEX(DATAS,AA1903+1)),INDEX(DATAS,AA1903+1)),"")</f>
        <v/>
      </c>
    </row>
    <row r="1904" customFormat="false" ht="15" hidden="false" customHeight="false" outlineLevel="0" collapsed="false">
      <c r="A1904" s="51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46" t="s">
        <v>1116</v>
      </c>
      <c r="G1904" s="0" t="n">
        <v>40.6</v>
      </c>
      <c r="H1904" s="0" t="n">
        <v>41</v>
      </c>
      <c r="I1904" s="46" t="s">
        <v>161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X1904" s="46" t="n">
        <f aca="false">IF(I1904="Male",0,1)</f>
        <v>1</v>
      </c>
      <c r="Y1904" s="46" t="n">
        <f aca="false">IF(OR(I1904="DNB",I1904="Dry DNB"),1,0)</f>
        <v>0</v>
      </c>
      <c r="Z1904" s="0" t="str">
        <f aca="false">IF(ISNUMBER(W1904),A1904-W1904,"")</f>
        <v/>
      </c>
      <c r="AA1904" s="46" t="n">
        <f aca="false">MATCH(A1904,DATAS,0)</f>
        <v>1</v>
      </c>
      <c r="AB1904" s="46" t="n">
        <f aca="false">IF(AND(E1904&gt;0,OR(AND(B1904&gt;=1,B1904&lt;=6),B1904=10)),1,0)</f>
        <v>1</v>
      </c>
      <c r="AC1904" s="46" t="n">
        <f aca="false">IF(AND(E1904&gt;0,B1904=10),1,0)</f>
        <v>0</v>
      </c>
      <c r="AD1904" s="0" t="str">
        <f aca="false">IF(AND(C1903=C1904,AA1903=AA1904-1),AB1903,"")</f>
        <v/>
      </c>
      <c r="AE1904" s="0" t="str">
        <f aca="false">IF(AND(C1903=C1904,AA1903=AA1904-1),AC1903,"")</f>
        <v/>
      </c>
      <c r="AF1904" s="0" t="str">
        <f aca="false">IF(AA1904=1,"",IF(AND(AB1904=1,AD1904&lt;&gt;1),1,0))</f>
        <v/>
      </c>
      <c r="AG1904" s="0" t="str">
        <f aca="false">IF(AA1904=1,"",IF(AND(AC1904=1,AE1904&lt;&gt;1),1,0))</f>
        <v/>
      </c>
      <c r="AH1904" s="51" t="str">
        <f aca="false">IF(AND(E1904&gt;0,AA1904&lt;1,NOT(AND(C1905=C1904,AA1905=AA1904+1))),INDEX(DATAS,AA1904+1),"")</f>
        <v/>
      </c>
      <c r="AI1904" s="51" t="str">
        <f aca="false">IF(AND(AC1904=1,AA1904&lt;1),IF(AND(C1905=C1904,AA1905=AA1904+1),IF(AC1905=1,"",INDEX(DATAS,AA1904+1)),INDEX(DATAS,AA1904+1)),"")</f>
        <v/>
      </c>
    </row>
    <row r="1905" customFormat="false" ht="15" hidden="false" customHeight="false" outlineLevel="0" collapsed="false">
      <c r="A1905" s="51" t="n">
        <v>46309</v>
      </c>
      <c r="B1905" s="0" t="n">
        <v>8</v>
      </c>
      <c r="C1905" s="0" t="n">
        <v>6139</v>
      </c>
      <c r="E1905" s="0" t="n">
        <v>0</v>
      </c>
      <c r="F1905" s="46" t="s">
        <v>1116</v>
      </c>
      <c r="I1905" s="46" t="s">
        <v>152</v>
      </c>
      <c r="L1905" s="0" t="n">
        <v>212</v>
      </c>
      <c r="U1905" s="0" t="n">
        <v>666</v>
      </c>
      <c r="V1905" s="0" t="n">
        <v>5</v>
      </c>
      <c r="W1905" s="51" t="n">
        <v>46098</v>
      </c>
      <c r="X1905" s="46" t="n">
        <f aca="false">IF(I1905="Male",0,1)</f>
        <v>1</v>
      </c>
      <c r="Y1905" s="46" t="n">
        <f aca="false">IF(OR(I1905="DNB",I1905="Dry DNB"),1,0)</f>
        <v>0</v>
      </c>
      <c r="Z1905" s="46" t="n">
        <f aca="false">IF(ISNUMBER(W1905),A1905-W1905,"")</f>
        <v>211</v>
      </c>
      <c r="AA1905" s="46" t="n">
        <f aca="false">MATCH(A1905,DATAS,0)</f>
        <v>1</v>
      </c>
      <c r="AB1905" s="46" t="n">
        <f aca="false">IF(AND(E1905&gt;0,OR(AND(B1905&gt;=1,B1905&lt;=6),B1905=10)),1,0)</f>
        <v>0</v>
      </c>
      <c r="AC1905" s="46" t="n">
        <f aca="false">IF(AND(E1905&gt;0,B1905=10),1,0)</f>
        <v>0</v>
      </c>
      <c r="AD1905" s="0" t="str">
        <f aca="false">IF(AND(C1904=C1905,AA1904=AA1905-1),AB1904,"")</f>
        <v/>
      </c>
      <c r="AE1905" s="0" t="str">
        <f aca="false">IF(AND(C1904=C1905,AA1904=AA1905-1),AC1904,"")</f>
        <v/>
      </c>
      <c r="AF1905" s="0" t="str">
        <f aca="false">IF(AA1905=1,"",IF(AND(AB1905=1,AD1905&lt;&gt;1),1,0))</f>
        <v/>
      </c>
      <c r="AG1905" s="0" t="str">
        <f aca="false">IF(AA1905=1,"",IF(AND(AC1905=1,AE1905&lt;&gt;1),1,0))</f>
        <v/>
      </c>
      <c r="AH1905" s="51" t="str">
        <f aca="false">IF(AND(E1905&gt;0,AA1905&lt;1,NOT(AND(C1906=C1905,AA1906=AA1905+1))),INDEX(DATAS,AA1905+1),"")</f>
        <v/>
      </c>
      <c r="AI1905" s="51" t="str">
        <f aca="false">IF(AND(AC1905=1,AA1905&lt;1),IF(AND(C1906=C1905,AA1906=AA1905+1),IF(AC1906=1,"",INDEX(DATAS,AA1905+1)),INDEX(DATAS,AA1905+1)),"")</f>
        <v/>
      </c>
    </row>
    <row r="1906" customFormat="false" ht="15" hidden="false" customHeight="false" outlineLevel="0" collapsed="false">
      <c r="A1906" s="51" t="n">
        <v>46309</v>
      </c>
      <c r="B1906" s="0" t="n">
        <v>8</v>
      </c>
      <c r="C1906" s="0" t="n">
        <v>6140</v>
      </c>
      <c r="E1906" s="0" t="n">
        <v>0</v>
      </c>
      <c r="F1906" s="46" t="s">
        <v>1116</v>
      </c>
      <c r="I1906" s="46" t="s">
        <v>152</v>
      </c>
      <c r="L1906" s="0" t="n">
        <v>216</v>
      </c>
      <c r="U1906" s="0" t="n">
        <v>666</v>
      </c>
      <c r="V1906" s="0" t="n">
        <v>4</v>
      </c>
      <c r="W1906" s="51" t="n">
        <v>46094</v>
      </c>
      <c r="X1906" s="46" t="n">
        <f aca="false">IF(I1906="Male",0,1)</f>
        <v>1</v>
      </c>
      <c r="Y1906" s="46" t="n">
        <f aca="false">IF(OR(I1906="DNB",I1906="Dry DNB"),1,0)</f>
        <v>0</v>
      </c>
      <c r="Z1906" s="46" t="n">
        <f aca="false">IF(ISNUMBER(W1906),A1906-W1906,"")</f>
        <v>215</v>
      </c>
      <c r="AA1906" s="46" t="n">
        <f aca="false">MATCH(A1906,DATAS,0)</f>
        <v>1</v>
      </c>
      <c r="AB1906" s="46" t="n">
        <f aca="false">IF(AND(E1906&gt;0,OR(AND(B1906&gt;=1,B1906&lt;=6),B1906=10)),1,0)</f>
        <v>0</v>
      </c>
      <c r="AC1906" s="46" t="n">
        <f aca="false">IF(AND(E1906&gt;0,B1906=10),1,0)</f>
        <v>0</v>
      </c>
      <c r="AD1906" s="0" t="str">
        <f aca="false">IF(AND(C1905=C1906,AA1905=AA1906-1),AB1905,"")</f>
        <v/>
      </c>
      <c r="AE1906" s="0" t="str">
        <f aca="false">IF(AND(C1905=C1906,AA1905=AA1906-1),AC1905,"")</f>
        <v/>
      </c>
      <c r="AF1906" s="0" t="str">
        <f aca="false">IF(AA1906=1,"",IF(AND(AB1906=1,AD1906&lt;&gt;1),1,0))</f>
        <v/>
      </c>
      <c r="AG1906" s="0" t="str">
        <f aca="false">IF(AA1906=1,"",IF(AND(AC1906=1,AE1906&lt;&gt;1),1,0))</f>
        <v/>
      </c>
      <c r="AH1906" s="51" t="str">
        <f aca="false">IF(AND(E1906&gt;0,AA1906&lt;1,NOT(AND(C1907=C1906,AA1907=AA1906+1))),INDEX(DATAS,AA1906+1),"")</f>
        <v/>
      </c>
      <c r="AI1906" s="51" t="str">
        <f aca="false">IF(AND(AC1906=1,AA1906&lt;1),IF(AND(C1907=C1906,AA1907=AA1906+1),IF(AC1907=1,"",INDEX(DATAS,AA1906+1)),INDEX(DATAS,AA1906+1)),"")</f>
        <v/>
      </c>
    </row>
    <row r="1907" customFormat="false" ht="15" hidden="false" customHeight="false" outlineLevel="0" collapsed="false">
      <c r="A1907" s="51" t="n">
        <v>46309</v>
      </c>
      <c r="B1907" s="0" t="n">
        <v>8</v>
      </c>
      <c r="C1907" s="0" t="n">
        <v>6142</v>
      </c>
      <c r="E1907" s="0" t="n">
        <v>0</v>
      </c>
      <c r="F1907" s="46" t="s">
        <v>1116</v>
      </c>
      <c r="I1907" s="46" t="s">
        <v>152</v>
      </c>
      <c r="L1907" s="0" t="n">
        <v>175</v>
      </c>
      <c r="U1907" s="0" t="n">
        <v>666</v>
      </c>
      <c r="V1907" s="0" t="n">
        <v>6</v>
      </c>
      <c r="W1907" s="51" t="n">
        <v>46135</v>
      </c>
      <c r="X1907" s="46" t="n">
        <f aca="false">IF(I1907="Male",0,1)</f>
        <v>1</v>
      </c>
      <c r="Y1907" s="46" t="n">
        <f aca="false">IF(OR(I1907="DNB",I1907="Dry DNB"),1,0)</f>
        <v>0</v>
      </c>
      <c r="Z1907" s="46" t="n">
        <f aca="false">IF(ISNUMBER(W1907),A1907-W1907,"")</f>
        <v>174</v>
      </c>
      <c r="AA1907" s="46" t="n">
        <f aca="false">MATCH(A1907,DATAS,0)</f>
        <v>1</v>
      </c>
      <c r="AB1907" s="46" t="n">
        <f aca="false">IF(AND(E1907&gt;0,OR(AND(B1907&gt;=1,B1907&lt;=6),B1907=10)),1,0)</f>
        <v>0</v>
      </c>
      <c r="AC1907" s="46" t="n">
        <f aca="false">IF(AND(E1907&gt;0,B1907=10),1,0)</f>
        <v>0</v>
      </c>
      <c r="AD1907" s="0" t="str">
        <f aca="false">IF(AND(C1906=C1907,AA1906=AA1907-1),AB1906,"")</f>
        <v/>
      </c>
      <c r="AE1907" s="0" t="str">
        <f aca="false">IF(AND(C1906=C1907,AA1906=AA1907-1),AC1906,"")</f>
        <v/>
      </c>
      <c r="AF1907" s="0" t="str">
        <f aca="false">IF(AA1907=1,"",IF(AND(AB1907=1,AD1907&lt;&gt;1),1,0))</f>
        <v/>
      </c>
      <c r="AG1907" s="0" t="str">
        <f aca="false">IF(AA1907=1,"",IF(AND(AC1907=1,AE1907&lt;&gt;1),1,0))</f>
        <v/>
      </c>
      <c r="AH1907" s="51" t="str">
        <f aca="false">IF(AND(E1907&gt;0,AA1907&lt;1,NOT(AND(C1908=C1907,AA1908=AA1907+1))),INDEX(DATAS,AA1907+1),"")</f>
        <v/>
      </c>
      <c r="AI1907" s="51" t="str">
        <f aca="false">IF(AND(AC1907=1,AA1907&lt;1),IF(AND(C1908=C1907,AA1908=AA1907+1),IF(AC1908=1,"",INDEX(DATAS,AA1907+1)),INDEX(DATAS,AA1907+1)),"")</f>
        <v/>
      </c>
    </row>
    <row r="1908" customFormat="false" ht="15" hidden="false" customHeight="false" outlineLevel="0" collapsed="false">
      <c r="A1908" s="51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46" t="s">
        <v>1117</v>
      </c>
      <c r="G1908" s="0" t="n">
        <v>31.8</v>
      </c>
      <c r="H1908" s="0" t="n">
        <v>30</v>
      </c>
      <c r="I1908" s="46" t="s">
        <v>161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X1908" s="46" t="n">
        <f aca="false">IF(I1908="Male",0,1)</f>
        <v>1</v>
      </c>
      <c r="Y1908" s="46" t="n">
        <f aca="false">IF(OR(I1908="DNB",I1908="Dry DNB"),1,0)</f>
        <v>0</v>
      </c>
      <c r="Z1908" s="0" t="str">
        <f aca="false">IF(ISNUMBER(W1908),A1908-W1908,"")</f>
        <v/>
      </c>
      <c r="AA1908" s="46" t="n">
        <f aca="false">MATCH(A1908,DATAS,0)</f>
        <v>1</v>
      </c>
      <c r="AB1908" s="46" t="n">
        <f aca="false">IF(AND(E1908&gt;0,OR(AND(B1908&gt;=1,B1908&lt;=6),B1908=10)),1,0)</f>
        <v>1</v>
      </c>
      <c r="AC1908" s="46" t="n">
        <f aca="false">IF(AND(E1908&gt;0,B1908=10),1,0)</f>
        <v>0</v>
      </c>
      <c r="AD1908" s="0" t="str">
        <f aca="false">IF(AND(C1907=C1908,AA1907=AA1908-1),AB1907,"")</f>
        <v/>
      </c>
      <c r="AE1908" s="0" t="str">
        <f aca="false">IF(AND(C1907=C1908,AA1907=AA1908-1),AC1907,"")</f>
        <v/>
      </c>
      <c r="AF1908" s="0" t="str">
        <f aca="false">IF(AA1908=1,"",IF(AND(AB1908=1,AD1908&lt;&gt;1),1,0))</f>
        <v/>
      </c>
      <c r="AG1908" s="0" t="str">
        <f aca="false">IF(AA1908=1,"",IF(AND(AC1908=1,AE1908&lt;&gt;1),1,0))</f>
        <v/>
      </c>
      <c r="AH1908" s="51" t="str">
        <f aca="false">IF(AND(E1908&gt;0,AA1908&lt;1,NOT(AND(C1909=C1908,AA1909=AA1908+1))),INDEX(DATAS,AA1908+1),"")</f>
        <v/>
      </c>
      <c r="AI1908" s="51" t="str">
        <f aca="false">IF(AND(AC1908=1,AA1908&lt;1),IF(AND(C1909=C1908,AA1909=AA1908+1),IF(AC1909=1,"",INDEX(DATAS,AA1908+1)),INDEX(DATAS,AA1908+1)),"")</f>
        <v/>
      </c>
    </row>
    <row r="1909" customFormat="false" ht="15" hidden="false" customHeight="false" outlineLevel="0" collapsed="false">
      <c r="A1909" s="51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46" t="s">
        <v>1117</v>
      </c>
      <c r="G1909" s="0" t="n">
        <v>43.5</v>
      </c>
      <c r="H1909" s="0" t="n">
        <v>43</v>
      </c>
      <c r="I1909" s="46" t="s">
        <v>161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X1909" s="46" t="n">
        <f aca="false">IF(I1909="Male",0,1)</f>
        <v>1</v>
      </c>
      <c r="Y1909" s="46" t="n">
        <f aca="false">IF(OR(I1909="DNB",I1909="Dry DNB"),1,0)</f>
        <v>0</v>
      </c>
      <c r="Z1909" s="0" t="str">
        <f aca="false">IF(ISNUMBER(W1909),A1909-W1909,"")</f>
        <v/>
      </c>
      <c r="AA1909" s="46" t="n">
        <f aca="false">MATCH(A1909,DATAS,0)</f>
        <v>1</v>
      </c>
      <c r="AB1909" s="46" t="n">
        <f aca="false">IF(AND(E1909&gt;0,OR(AND(B1909&gt;=1,B1909&lt;=6),B1909=10)),1,0)</f>
        <v>1</v>
      </c>
      <c r="AC1909" s="46" t="n">
        <f aca="false">IF(AND(E1909&gt;0,B1909=10),1,0)</f>
        <v>0</v>
      </c>
      <c r="AD1909" s="0" t="str">
        <f aca="false">IF(AND(C1908=C1909,AA1908=AA1909-1),AB1908,"")</f>
        <v/>
      </c>
      <c r="AE1909" s="0" t="str">
        <f aca="false">IF(AND(C1908=C1909,AA1908=AA1909-1),AC1908,"")</f>
        <v/>
      </c>
      <c r="AF1909" s="0" t="str">
        <f aca="false">IF(AA1909=1,"",IF(AND(AB1909=1,AD1909&lt;&gt;1),1,0))</f>
        <v/>
      </c>
      <c r="AG1909" s="0" t="str">
        <f aca="false">IF(AA1909=1,"",IF(AND(AC1909=1,AE1909&lt;&gt;1),1,0))</f>
        <v/>
      </c>
      <c r="AH1909" s="51" t="str">
        <f aca="false">IF(AND(E1909&gt;0,AA1909&lt;1,NOT(AND(C1910=C1909,AA1910=AA1909+1))),INDEX(DATAS,AA1909+1),"")</f>
        <v/>
      </c>
      <c r="AI1909" s="51" t="str">
        <f aca="false">IF(AND(AC1909=1,AA1909&lt;1),IF(AND(C1910=C1909,AA1910=AA1909+1),IF(AC1910=1,"",INDEX(DATAS,AA1909+1)),INDEX(DATAS,AA1909+1)),"")</f>
        <v/>
      </c>
    </row>
    <row r="1910" customFormat="false" ht="15" hidden="false" customHeight="false" outlineLevel="0" collapsed="false">
      <c r="A1910" s="51" t="n">
        <v>46309</v>
      </c>
      <c r="B1910" s="0" t="n">
        <v>8</v>
      </c>
      <c r="C1910" s="0" t="n">
        <v>6146</v>
      </c>
      <c r="E1910" s="0" t="n">
        <v>0</v>
      </c>
      <c r="F1910" s="46" t="s">
        <v>1117</v>
      </c>
      <c r="I1910" s="46" t="s">
        <v>152</v>
      </c>
      <c r="L1910" s="0" t="n">
        <v>201</v>
      </c>
      <c r="U1910" s="0" t="n">
        <v>665</v>
      </c>
      <c r="V1910" s="0" t="n">
        <v>4</v>
      </c>
      <c r="W1910" s="51" t="n">
        <v>46109</v>
      </c>
      <c r="X1910" s="46" t="n">
        <f aca="false">IF(I1910="Male",0,1)</f>
        <v>1</v>
      </c>
      <c r="Y1910" s="46" t="n">
        <f aca="false">IF(OR(I1910="DNB",I1910="Dry DNB"),1,0)</f>
        <v>0</v>
      </c>
      <c r="Z1910" s="46" t="n">
        <f aca="false">IF(ISNUMBER(W1910),A1910-W1910,"")</f>
        <v>200</v>
      </c>
      <c r="AA1910" s="46" t="n">
        <f aca="false">MATCH(A1910,DATAS,0)</f>
        <v>1</v>
      </c>
      <c r="AB1910" s="46" t="n">
        <f aca="false">IF(AND(E1910&gt;0,OR(AND(B1910&gt;=1,B1910&lt;=6),B1910=10)),1,0)</f>
        <v>0</v>
      </c>
      <c r="AC1910" s="46" t="n">
        <f aca="false">IF(AND(E1910&gt;0,B1910=10),1,0)</f>
        <v>0</v>
      </c>
      <c r="AD1910" s="0" t="str">
        <f aca="false">IF(AND(C1909=C1910,AA1909=AA1910-1),AB1909,"")</f>
        <v/>
      </c>
      <c r="AE1910" s="0" t="str">
        <f aca="false">IF(AND(C1909=C1910,AA1909=AA1910-1),AC1909,"")</f>
        <v/>
      </c>
      <c r="AF1910" s="0" t="str">
        <f aca="false">IF(AA1910=1,"",IF(AND(AB1910=1,AD1910&lt;&gt;1),1,0))</f>
        <v/>
      </c>
      <c r="AG1910" s="0" t="str">
        <f aca="false">IF(AA1910=1,"",IF(AND(AC1910=1,AE1910&lt;&gt;1),1,0))</f>
        <v/>
      </c>
      <c r="AH1910" s="51" t="str">
        <f aca="false">IF(AND(E1910&gt;0,AA1910&lt;1,NOT(AND(C1911=C1910,AA1911=AA1910+1))),INDEX(DATAS,AA1910+1),"")</f>
        <v/>
      </c>
      <c r="AI1910" s="51" t="str">
        <f aca="false">IF(AND(AC1910=1,AA1910&lt;1),IF(AND(C1911=C1910,AA1911=AA1910+1),IF(AC1911=1,"",INDEX(DATAS,AA1910+1)),INDEX(DATAS,AA1910+1)),"")</f>
        <v/>
      </c>
    </row>
    <row r="1911" customFormat="false" ht="15" hidden="false" customHeight="false" outlineLevel="0" collapsed="false">
      <c r="A1911" s="51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46" t="s">
        <v>1117</v>
      </c>
      <c r="G1911" s="0" t="n">
        <v>29.6</v>
      </c>
      <c r="H1911" s="0" t="n">
        <v>29</v>
      </c>
      <c r="I1911" s="46" t="s">
        <v>161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X1911" s="46" t="n">
        <f aca="false">IF(I1911="Male",0,1)</f>
        <v>1</v>
      </c>
      <c r="Y1911" s="46" t="n">
        <f aca="false">IF(OR(I1911="DNB",I1911="Dry DNB"),1,0)</f>
        <v>0</v>
      </c>
      <c r="Z1911" s="0" t="str">
        <f aca="false">IF(ISNUMBER(W1911),A1911-W1911,"")</f>
        <v/>
      </c>
      <c r="AA1911" s="46" t="n">
        <f aca="false">MATCH(A1911,DATAS,0)</f>
        <v>1</v>
      </c>
      <c r="AB1911" s="46" t="n">
        <f aca="false">IF(AND(E1911&gt;0,OR(AND(B1911&gt;=1,B1911&lt;=6),B1911=10)),1,0)</f>
        <v>1</v>
      </c>
      <c r="AC1911" s="46" t="n">
        <f aca="false">IF(AND(E1911&gt;0,B1911=10),1,0)</f>
        <v>0</v>
      </c>
      <c r="AD1911" s="0" t="str">
        <f aca="false">IF(AND(C1910=C1911,AA1910=AA1911-1),AB1910,"")</f>
        <v/>
      </c>
      <c r="AE1911" s="0" t="str">
        <f aca="false">IF(AND(C1910=C1911,AA1910=AA1911-1),AC1910,"")</f>
        <v/>
      </c>
      <c r="AF1911" s="0" t="str">
        <f aca="false">IF(AA1911=1,"",IF(AND(AB1911=1,AD1911&lt;&gt;1),1,0))</f>
        <v/>
      </c>
      <c r="AG1911" s="0" t="str">
        <f aca="false">IF(AA1911=1,"",IF(AND(AC1911=1,AE1911&lt;&gt;1),1,0))</f>
        <v/>
      </c>
      <c r="AH1911" s="51" t="str">
        <f aca="false">IF(AND(E1911&gt;0,AA1911&lt;1,NOT(AND(C1912=C1911,AA1912=AA1911+1))),INDEX(DATAS,AA1911+1),"")</f>
        <v/>
      </c>
      <c r="AI1911" s="51" t="str">
        <f aca="false">IF(AND(AC1911=1,AA1911&lt;1),IF(AND(C1912=C1911,AA1912=AA1911+1),IF(AC1912=1,"",INDEX(DATAS,AA1911+1)),INDEX(DATAS,AA1911+1)),"")</f>
        <v/>
      </c>
    </row>
    <row r="1912" customFormat="false" ht="15" hidden="false" customHeight="false" outlineLevel="0" collapsed="false">
      <c r="A1912" s="51" t="n">
        <v>46309</v>
      </c>
      <c r="B1912" s="0" t="n">
        <v>8</v>
      </c>
      <c r="C1912" s="0" t="n">
        <v>6148</v>
      </c>
      <c r="E1912" s="0" t="n">
        <v>0</v>
      </c>
      <c r="F1912" s="46" t="s">
        <v>1117</v>
      </c>
      <c r="I1912" s="46" t="s">
        <v>152</v>
      </c>
      <c r="L1912" s="0" t="n">
        <v>232</v>
      </c>
      <c r="U1912" s="0" t="n">
        <v>665</v>
      </c>
      <c r="V1912" s="0" t="n">
        <v>4</v>
      </c>
      <c r="W1912" s="51" t="n">
        <v>46078</v>
      </c>
      <c r="X1912" s="46" t="n">
        <f aca="false">IF(I1912="Male",0,1)</f>
        <v>1</v>
      </c>
      <c r="Y1912" s="46" t="n">
        <f aca="false">IF(OR(I1912="DNB",I1912="Dry DNB"),1,0)</f>
        <v>0</v>
      </c>
      <c r="Z1912" s="46" t="n">
        <f aca="false">IF(ISNUMBER(W1912),A1912-W1912,"")</f>
        <v>231</v>
      </c>
      <c r="AA1912" s="46" t="n">
        <f aca="false">MATCH(A1912,DATAS,0)</f>
        <v>1</v>
      </c>
      <c r="AB1912" s="46" t="n">
        <f aca="false">IF(AND(E1912&gt;0,OR(AND(B1912&gt;=1,B1912&lt;=6),B1912=10)),1,0)</f>
        <v>0</v>
      </c>
      <c r="AC1912" s="46" t="n">
        <f aca="false">IF(AND(E1912&gt;0,B1912=10),1,0)</f>
        <v>0</v>
      </c>
      <c r="AD1912" s="0" t="str">
        <f aca="false">IF(AND(C1911=C1912,AA1911=AA1912-1),AB1911,"")</f>
        <v/>
      </c>
      <c r="AE1912" s="0" t="str">
        <f aca="false">IF(AND(C1911=C1912,AA1911=AA1912-1),AC1911,"")</f>
        <v/>
      </c>
      <c r="AF1912" s="0" t="str">
        <f aca="false">IF(AA1912=1,"",IF(AND(AB1912=1,AD1912&lt;&gt;1),1,0))</f>
        <v/>
      </c>
      <c r="AG1912" s="0" t="str">
        <f aca="false">IF(AA1912=1,"",IF(AND(AC1912=1,AE1912&lt;&gt;1),1,0))</f>
        <v/>
      </c>
      <c r="AH1912" s="51" t="str">
        <f aca="false">IF(AND(E1912&gt;0,AA1912&lt;1,NOT(AND(C1913=C1912,AA1913=AA1912+1))),INDEX(DATAS,AA1912+1),"")</f>
        <v/>
      </c>
      <c r="AI1912" s="51" t="str">
        <f aca="false">IF(AND(AC1912=1,AA1912&lt;1),IF(AND(C1913=C1912,AA1913=AA1912+1),IF(AC1913=1,"",INDEX(DATAS,AA1912+1)),INDEX(DATAS,AA1912+1)),"")</f>
        <v/>
      </c>
    </row>
    <row r="1913" customFormat="false" ht="15" hidden="false" customHeight="false" outlineLevel="0" collapsed="false">
      <c r="A1913" s="51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46" t="s">
        <v>1118</v>
      </c>
      <c r="I1913" s="46" t="s">
        <v>161</v>
      </c>
      <c r="J1913" s="0" t="n">
        <v>6</v>
      </c>
      <c r="U1913" s="0" t="n">
        <v>664</v>
      </c>
      <c r="V1913" s="0" t="n">
        <v>0</v>
      </c>
      <c r="X1913" s="46" t="n">
        <f aca="false">IF(I1913="Male",0,1)</f>
        <v>1</v>
      </c>
      <c r="Y1913" s="46" t="n">
        <f aca="false">IF(OR(I1913="DNB",I1913="Dry DNB"),1,0)</f>
        <v>0</v>
      </c>
      <c r="Z1913" s="0" t="str">
        <f aca="false">IF(ISNUMBER(W1913),A1913-W1913,"")</f>
        <v/>
      </c>
      <c r="AA1913" s="46" t="n">
        <f aca="false">MATCH(A1913,DATAS,0)</f>
        <v>1</v>
      </c>
      <c r="AB1913" s="46" t="n">
        <f aca="false">IF(AND(E1913&gt;0,OR(AND(B1913&gt;=1,B1913&lt;=6),B1913=10)),1,0)</f>
        <v>1</v>
      </c>
      <c r="AC1913" s="46" t="n">
        <f aca="false">IF(AND(E1913&gt;0,B1913=10),1,0)</f>
        <v>0</v>
      </c>
      <c r="AD1913" s="0" t="str">
        <f aca="false">IF(AND(C1912=C1913,AA1912=AA1913-1),AB1912,"")</f>
        <v/>
      </c>
      <c r="AE1913" s="0" t="str">
        <f aca="false">IF(AND(C1912=C1913,AA1912=AA1913-1),AC1912,"")</f>
        <v/>
      </c>
      <c r="AF1913" s="0" t="str">
        <f aca="false">IF(AA1913=1,"",IF(AND(AB1913=1,AD1913&lt;&gt;1),1,0))</f>
        <v/>
      </c>
      <c r="AG1913" s="0" t="str">
        <f aca="false">IF(AA1913=1,"",IF(AND(AC1913=1,AE1913&lt;&gt;1),1,0))</f>
        <v/>
      </c>
      <c r="AH1913" s="51" t="str">
        <f aca="false">IF(AND(E1913&gt;0,AA1913&lt;1,NOT(AND(C1914=C1913,AA1914=AA1913+1))),INDEX(DATAS,AA1913+1),"")</f>
        <v/>
      </c>
      <c r="AI1913" s="51" t="str">
        <f aca="false">IF(AND(AC1913=1,AA1913&lt;1),IF(AND(C1914=C1913,AA1914=AA1913+1),IF(AC1914=1,"",INDEX(DATAS,AA1913+1)),INDEX(DATAS,AA1913+1)),"")</f>
        <v/>
      </c>
    </row>
    <row r="1914" customFormat="false" ht="15" hidden="false" customHeight="false" outlineLevel="0" collapsed="false">
      <c r="A1914" s="51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46" t="s">
        <v>1118</v>
      </c>
      <c r="G1914" s="0" t="n">
        <v>54.3</v>
      </c>
      <c r="H1914" s="0" t="n">
        <v>51</v>
      </c>
      <c r="I1914" s="46" t="s">
        <v>161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X1914" s="46" t="n">
        <f aca="false">IF(I1914="Male",0,1)</f>
        <v>1</v>
      </c>
      <c r="Y1914" s="46" t="n">
        <f aca="false">IF(OR(I1914="DNB",I1914="Dry DNB"),1,0)</f>
        <v>0</v>
      </c>
      <c r="Z1914" s="0" t="str">
        <f aca="false">IF(ISNUMBER(W1914),A1914-W1914,"")</f>
        <v/>
      </c>
      <c r="AA1914" s="46" t="n">
        <f aca="false">MATCH(A1914,DATAS,0)</f>
        <v>1</v>
      </c>
      <c r="AB1914" s="46" t="n">
        <f aca="false">IF(AND(E1914&gt;0,OR(AND(B1914&gt;=1,B1914&lt;=6),B1914=10)),1,0)</f>
        <v>1</v>
      </c>
      <c r="AC1914" s="46" t="n">
        <f aca="false">IF(AND(E1914&gt;0,B1914=10),1,0)</f>
        <v>0</v>
      </c>
      <c r="AD1914" s="0" t="str">
        <f aca="false">IF(AND(C1913=C1914,AA1913=AA1914-1),AB1913,"")</f>
        <v/>
      </c>
      <c r="AE1914" s="0" t="str">
        <f aca="false">IF(AND(C1913=C1914,AA1913=AA1914-1),AC1913,"")</f>
        <v/>
      </c>
      <c r="AF1914" s="0" t="str">
        <f aca="false">IF(AA1914=1,"",IF(AND(AB1914=1,AD1914&lt;&gt;1),1,0))</f>
        <v/>
      </c>
      <c r="AG1914" s="0" t="str">
        <f aca="false">IF(AA1914=1,"",IF(AND(AC1914=1,AE1914&lt;&gt;1),1,0))</f>
        <v/>
      </c>
      <c r="AH1914" s="51" t="str">
        <f aca="false">IF(AND(E1914&gt;0,AA1914&lt;1,NOT(AND(C1915=C1914,AA1915=AA1914+1))),INDEX(DATAS,AA1914+1),"")</f>
        <v/>
      </c>
      <c r="AI1914" s="51" t="str">
        <f aca="false">IF(AND(AC1914=1,AA1914&lt;1),IF(AND(C1915=C1914,AA1915=AA1914+1),IF(AC1915=1,"",INDEX(DATAS,AA1914+1)),INDEX(DATAS,AA1914+1)),"")</f>
        <v/>
      </c>
    </row>
    <row r="1915" customFormat="false" ht="15" hidden="false" customHeight="false" outlineLevel="0" collapsed="false">
      <c r="A1915" s="51" t="n">
        <v>46309</v>
      </c>
      <c r="B1915" s="0" t="n">
        <v>14</v>
      </c>
      <c r="C1915" s="0" t="n">
        <v>6151</v>
      </c>
      <c r="E1915" s="0" t="n">
        <v>0</v>
      </c>
      <c r="F1915" s="46" t="s">
        <v>1118</v>
      </c>
      <c r="I1915" s="46" t="s">
        <v>152</v>
      </c>
      <c r="L1915" s="0" t="n">
        <v>273</v>
      </c>
      <c r="U1915" s="0" t="n">
        <v>664</v>
      </c>
      <c r="V1915" s="0" t="n">
        <v>1</v>
      </c>
      <c r="W1915" s="51" t="n">
        <v>46037</v>
      </c>
      <c r="X1915" s="46" t="n">
        <f aca="false">IF(I1915="Male",0,1)</f>
        <v>1</v>
      </c>
      <c r="Y1915" s="46" t="n">
        <f aca="false">IF(OR(I1915="DNB",I1915="Dry DNB"),1,0)</f>
        <v>0</v>
      </c>
      <c r="Z1915" s="46" t="n">
        <f aca="false">IF(ISNUMBER(W1915),A1915-W1915,"")</f>
        <v>272</v>
      </c>
      <c r="AA1915" s="46" t="n">
        <f aca="false">MATCH(A1915,DATAS,0)</f>
        <v>1</v>
      </c>
      <c r="AB1915" s="46" t="n">
        <f aca="false">IF(AND(E1915&gt;0,OR(AND(B1915&gt;=1,B1915&lt;=6),B1915=10)),1,0)</f>
        <v>0</v>
      </c>
      <c r="AC1915" s="46" t="n">
        <f aca="false">IF(AND(E1915&gt;0,B1915=10),1,0)</f>
        <v>0</v>
      </c>
      <c r="AD1915" s="0" t="str">
        <f aca="false">IF(AND(C1914=C1915,AA1914=AA1915-1),AB1914,"")</f>
        <v/>
      </c>
      <c r="AE1915" s="0" t="str">
        <f aca="false">IF(AND(C1914=C1915,AA1914=AA1915-1),AC1914,"")</f>
        <v/>
      </c>
      <c r="AF1915" s="0" t="str">
        <f aca="false">IF(AA1915=1,"",IF(AND(AB1915=1,AD1915&lt;&gt;1),1,0))</f>
        <v/>
      </c>
      <c r="AG1915" s="0" t="str">
        <f aca="false">IF(AA1915=1,"",IF(AND(AC1915=1,AE1915&lt;&gt;1),1,0))</f>
        <v/>
      </c>
      <c r="AH1915" s="51" t="str">
        <f aca="false">IF(AND(E1915&gt;0,AA1915&lt;1,NOT(AND(C1916=C1915,AA1916=AA1915+1))),INDEX(DATAS,AA1915+1),"")</f>
        <v/>
      </c>
      <c r="AI1915" s="51" t="str">
        <f aca="false">IF(AND(AC1915=1,AA1915&lt;1),IF(AND(C1916=C1915,AA1916=AA1915+1),IF(AC1916=1,"",INDEX(DATAS,AA1915+1)),INDEX(DATAS,AA1915+1)),"")</f>
        <v/>
      </c>
    </row>
    <row r="1916" customFormat="false" ht="15" hidden="false" customHeight="false" outlineLevel="0" collapsed="false">
      <c r="A1916" s="51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46" t="s">
        <v>1119</v>
      </c>
      <c r="G1916" s="0" t="n">
        <v>37.8</v>
      </c>
      <c r="H1916" s="0" t="n">
        <v>36</v>
      </c>
      <c r="I1916" s="46" t="s">
        <v>161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X1916" s="46" t="n">
        <f aca="false">IF(I1916="Male",0,1)</f>
        <v>1</v>
      </c>
      <c r="Y1916" s="46" t="n">
        <f aca="false">IF(OR(I1916="DNB",I1916="Dry DNB"),1,0)</f>
        <v>0</v>
      </c>
      <c r="Z1916" s="0" t="str">
        <f aca="false">IF(ISNUMBER(W1916),A1916-W1916,"")</f>
        <v/>
      </c>
      <c r="AA1916" s="46" t="n">
        <f aca="false">MATCH(A1916,DATAS,0)</f>
        <v>1</v>
      </c>
      <c r="AB1916" s="46" t="n">
        <f aca="false">IF(AND(E1916&gt;0,OR(AND(B1916&gt;=1,B1916&lt;=6),B1916=10)),1,0)</f>
        <v>1</v>
      </c>
      <c r="AC1916" s="46" t="n">
        <f aca="false">IF(AND(E1916&gt;0,B1916=10),1,0)</f>
        <v>0</v>
      </c>
      <c r="AD1916" s="0" t="str">
        <f aca="false">IF(AND(C1915=C1916,AA1915=AA1916-1),AB1915,"")</f>
        <v/>
      </c>
      <c r="AE1916" s="0" t="str">
        <f aca="false">IF(AND(C1915=C1916,AA1915=AA1916-1),AC1915,"")</f>
        <v/>
      </c>
      <c r="AF1916" s="0" t="str">
        <f aca="false">IF(AA1916=1,"",IF(AND(AB1916=1,AD1916&lt;&gt;1),1,0))</f>
        <v/>
      </c>
      <c r="AG1916" s="0" t="str">
        <f aca="false">IF(AA1916=1,"",IF(AND(AC1916=1,AE1916&lt;&gt;1),1,0))</f>
        <v/>
      </c>
      <c r="AH1916" s="51" t="str">
        <f aca="false">IF(AND(E1916&gt;0,AA1916&lt;1,NOT(AND(C1917=C1916,AA1917=AA1916+1))),INDEX(DATAS,AA1916+1),"")</f>
        <v/>
      </c>
      <c r="AI1916" s="51" t="str">
        <f aca="false">IF(AND(AC1916=1,AA1916&lt;1),IF(AND(C1917=C1916,AA1917=AA1916+1),IF(AC1917=1,"",INDEX(DATAS,AA1916+1)),INDEX(DATAS,AA1916+1)),"")</f>
        <v/>
      </c>
    </row>
    <row r="1917" customFormat="false" ht="15" hidden="false" customHeight="false" outlineLevel="0" collapsed="false">
      <c r="A1917" s="51" t="n">
        <v>46309</v>
      </c>
      <c r="B1917" s="0" t="n">
        <v>8</v>
      </c>
      <c r="C1917" s="0" t="n">
        <v>6153</v>
      </c>
      <c r="E1917" s="0" t="n">
        <v>0</v>
      </c>
      <c r="F1917" s="46" t="s">
        <v>1119</v>
      </c>
      <c r="I1917" s="46" t="s">
        <v>152</v>
      </c>
      <c r="L1917" s="0" t="n">
        <v>127</v>
      </c>
      <c r="U1917" s="0" t="n">
        <v>663</v>
      </c>
      <c r="V1917" s="0" t="n">
        <v>8</v>
      </c>
      <c r="W1917" s="51" t="n">
        <v>46183</v>
      </c>
      <c r="X1917" s="46" t="n">
        <f aca="false">IF(I1917="Male",0,1)</f>
        <v>1</v>
      </c>
      <c r="Y1917" s="46" t="n">
        <f aca="false">IF(OR(I1917="DNB",I1917="Dry DNB"),1,0)</f>
        <v>0</v>
      </c>
      <c r="Z1917" s="46" t="n">
        <f aca="false">IF(ISNUMBER(W1917),A1917-W1917,"")</f>
        <v>126</v>
      </c>
      <c r="AA1917" s="46" t="n">
        <f aca="false">MATCH(A1917,DATAS,0)</f>
        <v>1</v>
      </c>
      <c r="AB1917" s="46" t="n">
        <f aca="false">IF(AND(E1917&gt;0,OR(AND(B1917&gt;=1,B1917&lt;=6),B1917=10)),1,0)</f>
        <v>0</v>
      </c>
      <c r="AC1917" s="46" t="n">
        <f aca="false">IF(AND(E1917&gt;0,B1917=10),1,0)</f>
        <v>0</v>
      </c>
      <c r="AD1917" s="0" t="str">
        <f aca="false">IF(AND(C1916=C1917,AA1916=AA1917-1),AB1916,"")</f>
        <v/>
      </c>
      <c r="AE1917" s="0" t="str">
        <f aca="false">IF(AND(C1916=C1917,AA1916=AA1917-1),AC1916,"")</f>
        <v/>
      </c>
      <c r="AF1917" s="0" t="str">
        <f aca="false">IF(AA1917=1,"",IF(AND(AB1917=1,AD1917&lt;&gt;1),1,0))</f>
        <v/>
      </c>
      <c r="AG1917" s="0" t="str">
        <f aca="false">IF(AA1917=1,"",IF(AND(AC1917=1,AE1917&lt;&gt;1),1,0))</f>
        <v/>
      </c>
      <c r="AH1917" s="51" t="str">
        <f aca="false">IF(AND(E1917&gt;0,AA1917&lt;1,NOT(AND(C1918=C1917,AA1918=AA1917+1))),INDEX(DATAS,AA1917+1),"")</f>
        <v/>
      </c>
      <c r="AI1917" s="51" t="str">
        <f aca="false">IF(AND(AC1917=1,AA1917&lt;1),IF(AND(C1918=C1917,AA1918=AA1917+1),IF(AC1918=1,"",INDEX(DATAS,AA1917+1)),INDEX(DATAS,AA1917+1)),"")</f>
        <v/>
      </c>
    </row>
    <row r="1918" customFormat="false" ht="15" hidden="false" customHeight="false" outlineLevel="0" collapsed="false">
      <c r="A1918" s="51" t="n">
        <v>46309</v>
      </c>
      <c r="B1918" s="0" t="n">
        <v>14</v>
      </c>
      <c r="C1918" s="0" t="n">
        <v>6155</v>
      </c>
      <c r="E1918" s="0" t="n">
        <v>0</v>
      </c>
      <c r="F1918" s="46" t="s">
        <v>1120</v>
      </c>
      <c r="G1918" s="0" t="n">
        <v>23.8</v>
      </c>
      <c r="H1918" s="0" t="n">
        <v>28</v>
      </c>
      <c r="I1918" s="46" t="s">
        <v>152</v>
      </c>
      <c r="L1918" s="0" t="n">
        <v>288</v>
      </c>
      <c r="U1918" s="0" t="n">
        <v>662</v>
      </c>
      <c r="V1918" s="0" t="n">
        <v>1</v>
      </c>
      <c r="W1918" s="51" t="n">
        <v>46022</v>
      </c>
      <c r="X1918" s="46" t="n">
        <f aca="false">IF(I1918="Male",0,1)</f>
        <v>1</v>
      </c>
      <c r="Y1918" s="46" t="n">
        <f aca="false">IF(OR(I1918="DNB",I1918="Dry DNB"),1,0)</f>
        <v>0</v>
      </c>
      <c r="Z1918" s="46" t="n">
        <f aca="false">IF(ISNUMBER(W1918),A1918-W1918,"")</f>
        <v>287</v>
      </c>
      <c r="AA1918" s="46" t="n">
        <f aca="false">MATCH(A1918,DATAS,0)</f>
        <v>1</v>
      </c>
      <c r="AB1918" s="46" t="n">
        <f aca="false">IF(AND(E1918&gt;0,OR(AND(B1918&gt;=1,B1918&lt;=6),B1918=10)),1,0)</f>
        <v>0</v>
      </c>
      <c r="AC1918" s="46" t="n">
        <f aca="false">IF(AND(E1918&gt;0,B1918=10),1,0)</f>
        <v>0</v>
      </c>
      <c r="AD1918" s="0" t="str">
        <f aca="false">IF(AND(C1917=C1918,AA1917=AA1918-1),AB1917,"")</f>
        <v/>
      </c>
      <c r="AE1918" s="0" t="str">
        <f aca="false">IF(AND(C1917=C1918,AA1917=AA1918-1),AC1917,"")</f>
        <v/>
      </c>
      <c r="AF1918" s="0" t="str">
        <f aca="false">IF(AA1918=1,"",IF(AND(AB1918=1,AD1918&lt;&gt;1),1,0))</f>
        <v/>
      </c>
      <c r="AG1918" s="0" t="str">
        <f aca="false">IF(AA1918=1,"",IF(AND(AC1918=1,AE1918&lt;&gt;1),1,0))</f>
        <v/>
      </c>
      <c r="AH1918" s="51" t="str">
        <f aca="false">IF(AND(E1918&gt;0,AA1918&lt;1,NOT(AND(C1919=C1918,AA1919=AA1918+1))),INDEX(DATAS,AA1918+1),"")</f>
        <v/>
      </c>
      <c r="AI1918" s="51" t="str">
        <f aca="false">IF(AND(AC1918=1,AA1918&lt;1),IF(AND(C1919=C1918,AA1919=AA1918+1),IF(AC1919=1,"",INDEX(DATAS,AA1918+1)),INDEX(DATAS,AA1918+1)),"")</f>
        <v/>
      </c>
    </row>
    <row r="1919" customFormat="false" ht="15" hidden="false" customHeight="false" outlineLevel="0" collapsed="false">
      <c r="A1919" s="51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46" t="s">
        <v>1120</v>
      </c>
      <c r="H1919" s="0" t="n">
        <v>17</v>
      </c>
      <c r="I1919" s="46" t="s">
        <v>161</v>
      </c>
      <c r="J1919" s="0" t="n">
        <v>5</v>
      </c>
      <c r="U1919" s="0" t="n">
        <v>662</v>
      </c>
      <c r="V1919" s="0" t="n">
        <v>0</v>
      </c>
      <c r="X1919" s="46" t="n">
        <f aca="false">IF(I1919="Male",0,1)</f>
        <v>1</v>
      </c>
      <c r="Y1919" s="46" t="n">
        <f aca="false">IF(OR(I1919="DNB",I1919="Dry DNB"),1,0)</f>
        <v>0</v>
      </c>
      <c r="Z1919" s="0" t="str">
        <f aca="false">IF(ISNUMBER(W1919),A1919-W1919,"")</f>
        <v/>
      </c>
      <c r="AA1919" s="46" t="n">
        <f aca="false">MATCH(A1919,DATAS,0)</f>
        <v>1</v>
      </c>
      <c r="AB1919" s="46" t="n">
        <f aca="false">IF(AND(E1919&gt;0,OR(AND(B1919&gt;=1,B1919&lt;=6),B1919=10)),1,0)</f>
        <v>1</v>
      </c>
      <c r="AC1919" s="46" t="n">
        <f aca="false">IF(AND(E1919&gt;0,B1919=10),1,0)</f>
        <v>0</v>
      </c>
      <c r="AD1919" s="0" t="str">
        <f aca="false">IF(AND(C1918=C1919,AA1918=AA1919-1),AB1918,"")</f>
        <v/>
      </c>
      <c r="AE1919" s="0" t="str">
        <f aca="false">IF(AND(C1918=C1919,AA1918=AA1919-1),AC1918,"")</f>
        <v/>
      </c>
      <c r="AF1919" s="0" t="str">
        <f aca="false">IF(AA1919=1,"",IF(AND(AB1919=1,AD1919&lt;&gt;1),1,0))</f>
        <v/>
      </c>
      <c r="AG1919" s="0" t="str">
        <f aca="false">IF(AA1919=1,"",IF(AND(AC1919=1,AE1919&lt;&gt;1),1,0))</f>
        <v/>
      </c>
      <c r="AH1919" s="51" t="str">
        <f aca="false">IF(AND(E1919&gt;0,AA1919&lt;1,NOT(AND(C1920=C1919,AA1920=AA1919+1))),INDEX(DATAS,AA1919+1),"")</f>
        <v/>
      </c>
      <c r="AI1919" s="51" t="str">
        <f aca="false">IF(AND(AC1919=1,AA1919&lt;1),IF(AND(C1920=C1919,AA1920=AA1919+1),IF(AC1920=1,"",INDEX(DATAS,AA1919+1)),INDEX(DATAS,AA1919+1)),"")</f>
        <v/>
      </c>
    </row>
    <row r="1920" customFormat="false" ht="15" hidden="false" customHeight="false" outlineLevel="0" collapsed="false">
      <c r="A1920" s="51" t="n">
        <v>46309</v>
      </c>
      <c r="B1920" s="0" t="n">
        <v>8</v>
      </c>
      <c r="C1920" s="0" t="n">
        <v>6158</v>
      </c>
      <c r="E1920" s="0" t="n">
        <v>0</v>
      </c>
      <c r="F1920" s="46" t="s">
        <v>1120</v>
      </c>
      <c r="I1920" s="46" t="s">
        <v>152</v>
      </c>
      <c r="L1920" s="0" t="n">
        <v>231</v>
      </c>
      <c r="U1920" s="0" t="n">
        <v>662</v>
      </c>
      <c r="V1920" s="0" t="n">
        <v>3</v>
      </c>
      <c r="W1920" s="51" t="n">
        <v>46079</v>
      </c>
      <c r="X1920" s="46" t="n">
        <f aca="false">IF(I1920="Male",0,1)</f>
        <v>1</v>
      </c>
      <c r="Y1920" s="46" t="n">
        <f aca="false">IF(OR(I1920="DNB",I1920="Dry DNB"),1,0)</f>
        <v>0</v>
      </c>
      <c r="Z1920" s="46" t="n">
        <f aca="false">IF(ISNUMBER(W1920),A1920-W1920,"")</f>
        <v>230</v>
      </c>
      <c r="AA1920" s="46" t="n">
        <f aca="false">MATCH(A1920,DATAS,0)</f>
        <v>1</v>
      </c>
      <c r="AB1920" s="46" t="n">
        <f aca="false">IF(AND(E1920&gt;0,OR(AND(B1920&gt;=1,B1920&lt;=6),B1920=10)),1,0)</f>
        <v>0</v>
      </c>
      <c r="AC1920" s="46" t="n">
        <f aca="false">IF(AND(E1920&gt;0,B1920=10),1,0)</f>
        <v>0</v>
      </c>
      <c r="AD1920" s="0" t="str">
        <f aca="false">IF(AND(C1919=C1920,AA1919=AA1920-1),AB1919,"")</f>
        <v/>
      </c>
      <c r="AE1920" s="0" t="str">
        <f aca="false">IF(AND(C1919=C1920,AA1919=AA1920-1),AC1919,"")</f>
        <v/>
      </c>
      <c r="AF1920" s="0" t="str">
        <f aca="false">IF(AA1920=1,"",IF(AND(AB1920=1,AD1920&lt;&gt;1),1,0))</f>
        <v/>
      </c>
      <c r="AG1920" s="0" t="str">
        <f aca="false">IF(AA1920=1,"",IF(AND(AC1920=1,AE1920&lt;&gt;1),1,0))</f>
        <v/>
      </c>
      <c r="AH1920" s="51" t="str">
        <f aca="false">IF(AND(E1920&gt;0,AA1920&lt;1,NOT(AND(C1921=C1920,AA1921=AA1920+1))),INDEX(DATAS,AA1920+1),"")</f>
        <v/>
      </c>
      <c r="AI1920" s="51" t="str">
        <f aca="false">IF(AND(AC1920=1,AA1920&lt;1),IF(AND(C1921=C1920,AA1921=AA1920+1),IF(AC1921=1,"",INDEX(DATAS,AA1920+1)),INDEX(DATAS,AA1920+1)),"")</f>
        <v/>
      </c>
    </row>
    <row r="1921" customFormat="false" ht="15" hidden="false" customHeight="false" outlineLevel="0" collapsed="false">
      <c r="A1921" s="51" t="n">
        <v>46309</v>
      </c>
      <c r="B1921" s="0" t="n">
        <v>8</v>
      </c>
      <c r="C1921" s="0" t="n">
        <v>6159</v>
      </c>
      <c r="E1921" s="0" t="n">
        <v>0</v>
      </c>
      <c r="F1921" s="46" t="s">
        <v>1120</v>
      </c>
      <c r="I1921" s="46" t="s">
        <v>152</v>
      </c>
      <c r="L1921" s="0" t="n">
        <v>98</v>
      </c>
      <c r="U1921" s="0" t="n">
        <v>662</v>
      </c>
      <c r="V1921" s="0" t="n">
        <v>7</v>
      </c>
      <c r="W1921" s="51" t="n">
        <v>46212</v>
      </c>
      <c r="X1921" s="46" t="n">
        <f aca="false">IF(I1921="Male",0,1)</f>
        <v>1</v>
      </c>
      <c r="Y1921" s="46" t="n">
        <f aca="false">IF(OR(I1921="DNB",I1921="Dry DNB"),1,0)</f>
        <v>0</v>
      </c>
      <c r="Z1921" s="46" t="n">
        <f aca="false">IF(ISNUMBER(W1921),A1921-W1921,"")</f>
        <v>97</v>
      </c>
      <c r="AA1921" s="46" t="n">
        <f aca="false">MATCH(A1921,DATAS,0)</f>
        <v>1</v>
      </c>
      <c r="AB1921" s="46" t="n">
        <f aca="false">IF(AND(E1921&gt;0,OR(AND(B1921&gt;=1,B1921&lt;=6),B1921=10)),1,0)</f>
        <v>0</v>
      </c>
      <c r="AC1921" s="46" t="n">
        <f aca="false">IF(AND(E1921&gt;0,B1921=10),1,0)</f>
        <v>0</v>
      </c>
      <c r="AD1921" s="0" t="str">
        <f aca="false">IF(AND(C1920=C1921,AA1920=AA1921-1),AB1920,"")</f>
        <v/>
      </c>
      <c r="AE1921" s="0" t="str">
        <f aca="false">IF(AND(C1920=C1921,AA1920=AA1921-1),AC1920,"")</f>
        <v/>
      </c>
      <c r="AF1921" s="0" t="str">
        <f aca="false">IF(AA1921=1,"",IF(AND(AB1921=1,AD1921&lt;&gt;1),1,0))</f>
        <v/>
      </c>
      <c r="AG1921" s="0" t="str">
        <f aca="false">IF(AA1921=1,"",IF(AND(AC1921=1,AE1921&lt;&gt;1),1,0))</f>
        <v/>
      </c>
      <c r="AH1921" s="51" t="str">
        <f aca="false">IF(AND(E1921&gt;0,AA1921&lt;1,NOT(AND(C1922=C1921,AA1922=AA1921+1))),INDEX(DATAS,AA1921+1),"")</f>
        <v/>
      </c>
      <c r="AI1921" s="51" t="str">
        <f aca="false">IF(AND(AC1921=1,AA1921&lt;1),IF(AND(C1922=C1921,AA1922=AA1921+1),IF(AC1922=1,"",INDEX(DATAS,AA1921+1)),INDEX(DATAS,AA1921+1)),"")</f>
        <v/>
      </c>
    </row>
    <row r="1922" customFormat="false" ht="15" hidden="false" customHeight="false" outlineLevel="0" collapsed="false">
      <c r="A1922" s="51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46" t="s">
        <v>1121</v>
      </c>
      <c r="G1922" s="0" t="n">
        <v>18.1</v>
      </c>
      <c r="H1922" s="0" t="n">
        <v>17</v>
      </c>
      <c r="I1922" s="46" t="s">
        <v>161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X1922" s="46" t="n">
        <f aca="false">IF(I1922="Male",0,1)</f>
        <v>1</v>
      </c>
      <c r="Y1922" s="46" t="n">
        <f aca="false">IF(OR(I1922="DNB",I1922="Dry DNB"),1,0)</f>
        <v>0</v>
      </c>
      <c r="Z1922" s="0" t="str">
        <f aca="false">IF(ISNUMBER(W1922),A1922-W1922,"")</f>
        <v/>
      </c>
      <c r="AA1922" s="46" t="n">
        <f aca="false">MATCH(A1922,DATAS,0)</f>
        <v>1</v>
      </c>
      <c r="AB1922" s="46" t="n">
        <f aca="false">IF(AND(E1922&gt;0,OR(AND(B1922&gt;=1,B1922&lt;=6),B1922=10)),1,0)</f>
        <v>1</v>
      </c>
      <c r="AC1922" s="46" t="n">
        <f aca="false">IF(AND(E1922&gt;0,B1922=10),1,0)</f>
        <v>0</v>
      </c>
      <c r="AD1922" s="0" t="str">
        <f aca="false">IF(AND(C1921=C1922,AA1921=AA1922-1),AB1921,"")</f>
        <v/>
      </c>
      <c r="AE1922" s="0" t="str">
        <f aca="false">IF(AND(C1921=C1922,AA1921=AA1922-1),AC1921,"")</f>
        <v/>
      </c>
      <c r="AF1922" s="0" t="str">
        <f aca="false">IF(AA1922=1,"",IF(AND(AB1922=1,AD1922&lt;&gt;1),1,0))</f>
        <v/>
      </c>
      <c r="AG1922" s="0" t="str">
        <f aca="false">IF(AA1922=1,"",IF(AND(AC1922=1,AE1922&lt;&gt;1),1,0))</f>
        <v/>
      </c>
      <c r="AH1922" s="51" t="str">
        <f aca="false">IF(AND(E1922&gt;0,AA1922&lt;1,NOT(AND(C1923=C1922,AA1923=AA1922+1))),INDEX(DATAS,AA1922+1),"")</f>
        <v/>
      </c>
      <c r="AI1922" s="51" t="str">
        <f aca="false">IF(AND(AC1922=1,AA1922&lt;1),IF(AND(C1923=C1922,AA1923=AA1922+1),IF(AC1923=1,"",INDEX(DATAS,AA1922+1)),INDEX(DATAS,AA1922+1)),"")</f>
        <v/>
      </c>
    </row>
    <row r="1923" customFormat="false" ht="15" hidden="false" customHeight="false" outlineLevel="0" collapsed="false">
      <c r="A1923" s="51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46" t="s">
        <v>1121</v>
      </c>
      <c r="G1923" s="0" t="n">
        <v>32</v>
      </c>
      <c r="H1923" s="0" t="n">
        <v>28</v>
      </c>
      <c r="I1923" s="46" t="s">
        <v>161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X1923" s="46" t="n">
        <f aca="false">IF(I1923="Male",0,1)</f>
        <v>1</v>
      </c>
      <c r="Y1923" s="46" t="n">
        <f aca="false">IF(OR(I1923="DNB",I1923="Dry DNB"),1,0)</f>
        <v>0</v>
      </c>
      <c r="Z1923" s="0" t="str">
        <f aca="false">IF(ISNUMBER(W1923),A1923-W1923,"")</f>
        <v/>
      </c>
      <c r="AA1923" s="46" t="n">
        <f aca="false">MATCH(A1923,DATAS,0)</f>
        <v>1</v>
      </c>
      <c r="AB1923" s="46" t="n">
        <f aca="false">IF(AND(E1923&gt;0,OR(AND(B1923&gt;=1,B1923&lt;=6),B1923=10)),1,0)</f>
        <v>1</v>
      </c>
      <c r="AC1923" s="46" t="n">
        <f aca="false">IF(AND(E1923&gt;0,B1923=10),1,0)</f>
        <v>0</v>
      </c>
      <c r="AD1923" s="0" t="str">
        <f aca="false">IF(AND(C1922=C1923,AA1922=AA1923-1),AB1922,"")</f>
        <v/>
      </c>
      <c r="AE1923" s="0" t="str">
        <f aca="false">IF(AND(C1922=C1923,AA1922=AA1923-1),AC1922,"")</f>
        <v/>
      </c>
      <c r="AF1923" s="0" t="str">
        <f aca="false">IF(AA1923=1,"",IF(AND(AB1923=1,AD1923&lt;&gt;1),1,0))</f>
        <v/>
      </c>
      <c r="AG1923" s="0" t="str">
        <f aca="false">IF(AA1923=1,"",IF(AND(AC1923=1,AE1923&lt;&gt;1),1,0))</f>
        <v/>
      </c>
      <c r="AH1923" s="51" t="str">
        <f aca="false">IF(AND(E1923&gt;0,AA1923&lt;1,NOT(AND(C1924=C1923,AA1924=AA1923+1))),INDEX(DATAS,AA1923+1),"")</f>
        <v/>
      </c>
      <c r="AI1923" s="51" t="str">
        <f aca="false">IF(AND(AC1923=1,AA1923&lt;1),IF(AND(C1924=C1923,AA1924=AA1923+1),IF(AC1924=1,"",INDEX(DATAS,AA1923+1)),INDEX(DATAS,AA1923+1)),"")</f>
        <v/>
      </c>
    </row>
    <row r="1924" customFormat="false" ht="15" hidden="false" customHeight="false" outlineLevel="0" collapsed="false">
      <c r="A1924" s="51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46" t="s">
        <v>1122</v>
      </c>
      <c r="I1924" s="46" t="s">
        <v>161</v>
      </c>
      <c r="J1924" s="0" t="n">
        <v>1</v>
      </c>
      <c r="U1924" s="0" t="n">
        <v>325</v>
      </c>
      <c r="V1924" s="0" t="n">
        <v>0</v>
      </c>
      <c r="X1924" s="46" t="n">
        <f aca="false">IF(I1924="Male",0,1)</f>
        <v>1</v>
      </c>
      <c r="Y1924" s="46" t="n">
        <f aca="false">IF(OR(I1924="DNB",I1924="Dry DNB"),1,0)</f>
        <v>0</v>
      </c>
      <c r="Z1924" s="0" t="str">
        <f aca="false">IF(ISNUMBER(W1924),A1924-W1924,"")</f>
        <v/>
      </c>
      <c r="AA1924" s="46" t="n">
        <f aca="false">MATCH(A1924,DATAS,0)</f>
        <v>1</v>
      </c>
      <c r="AB1924" s="46" t="n">
        <f aca="false">IF(AND(E1924&gt;0,OR(AND(B1924&gt;=1,B1924&lt;=6),B1924=10)),1,0)</f>
        <v>1</v>
      </c>
      <c r="AC1924" s="46" t="n">
        <f aca="false">IF(AND(E1924&gt;0,B1924=10),1,0)</f>
        <v>0</v>
      </c>
      <c r="AD1924" s="0" t="str">
        <f aca="false">IF(AND(C1923=C1924,AA1923=AA1924-1),AB1923,"")</f>
        <v/>
      </c>
      <c r="AE1924" s="0" t="str">
        <f aca="false">IF(AND(C1923=C1924,AA1923=AA1924-1),AC1923,"")</f>
        <v/>
      </c>
      <c r="AF1924" s="0" t="str">
        <f aca="false">IF(AA1924=1,"",IF(AND(AB1924=1,AD1924&lt;&gt;1),1,0))</f>
        <v/>
      </c>
      <c r="AG1924" s="0" t="str">
        <f aca="false">IF(AA1924=1,"",IF(AND(AC1924=1,AE1924&lt;&gt;1),1,0))</f>
        <v/>
      </c>
      <c r="AH1924" s="51" t="str">
        <f aca="false">IF(AND(E1924&gt;0,AA1924&lt;1,NOT(AND(C1925=C1924,AA1925=AA1924+1))),INDEX(DATAS,AA1924+1),"")</f>
        <v/>
      </c>
      <c r="AI1924" s="51" t="str">
        <f aca="false">IF(AND(AC1924=1,AA1924&lt;1),IF(AND(C1925=C1924,AA1925=AA1924+1),IF(AC1925=1,"",INDEX(DATAS,AA1924+1)),INDEX(DATAS,AA1924+1)),"")</f>
        <v/>
      </c>
    </row>
    <row r="1925" customFormat="false" ht="15" hidden="false" customHeight="false" outlineLevel="0" collapsed="false">
      <c r="A1925" s="51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46" t="s">
        <v>1121</v>
      </c>
      <c r="H1925" s="0" t="n">
        <v>21</v>
      </c>
      <c r="I1925" s="46" t="s">
        <v>161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X1925" s="46" t="n">
        <f aca="false">IF(I1925="Male",0,1)</f>
        <v>1</v>
      </c>
      <c r="Y1925" s="46" t="n">
        <f aca="false">IF(OR(I1925="DNB",I1925="Dry DNB"),1,0)</f>
        <v>0</v>
      </c>
      <c r="Z1925" s="0" t="str">
        <f aca="false">IF(ISNUMBER(W1925),A1925-W1925,"")</f>
        <v/>
      </c>
      <c r="AA1925" s="46" t="n">
        <f aca="false">MATCH(A1925,DATAS,0)</f>
        <v>1</v>
      </c>
      <c r="AB1925" s="46" t="n">
        <f aca="false">IF(AND(E1925&gt;0,OR(AND(B1925&gt;=1,B1925&lt;=6),B1925=10)),1,0)</f>
        <v>1</v>
      </c>
      <c r="AC1925" s="46" t="n">
        <f aca="false">IF(AND(E1925&gt;0,B1925=10),1,0)</f>
        <v>0</v>
      </c>
      <c r="AD1925" s="0" t="str">
        <f aca="false">IF(AND(C1924=C1925,AA1924=AA1925-1),AB1924,"")</f>
        <v/>
      </c>
      <c r="AE1925" s="0" t="str">
        <f aca="false">IF(AND(C1924=C1925,AA1924=AA1925-1),AC1924,"")</f>
        <v/>
      </c>
      <c r="AF1925" s="0" t="str">
        <f aca="false">IF(AA1925=1,"",IF(AND(AB1925=1,AD1925&lt;&gt;1),1,0))</f>
        <v/>
      </c>
      <c r="AG1925" s="0" t="str">
        <f aca="false">IF(AA1925=1,"",IF(AND(AC1925=1,AE1925&lt;&gt;1),1,0))</f>
        <v/>
      </c>
      <c r="AH1925" s="51" t="str">
        <f aca="false">IF(AND(E1925&gt;0,AA1925&lt;1,NOT(AND(C1926=C1925,AA1926=AA1925+1))),INDEX(DATAS,AA1925+1),"")</f>
        <v/>
      </c>
      <c r="AI1925" s="51" t="str">
        <f aca="false">IF(AND(AC1925=1,AA1925&lt;1),IF(AND(C1926=C1925,AA1926=AA1925+1),IF(AC1926=1,"",INDEX(DATAS,AA1925+1)),INDEX(DATAS,AA1925+1)),"")</f>
        <v/>
      </c>
    </row>
    <row r="1926" customFormat="false" ht="15" hidden="false" customHeight="false" outlineLevel="0" collapsed="false">
      <c r="A1926" s="51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46" t="s">
        <v>1123</v>
      </c>
      <c r="G1926" s="0" t="n">
        <v>20.7</v>
      </c>
      <c r="H1926" s="0" t="n">
        <v>19</v>
      </c>
      <c r="I1926" s="46" t="s">
        <v>161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X1926" s="46" t="n">
        <f aca="false">IF(I1926="Male",0,1)</f>
        <v>1</v>
      </c>
      <c r="Y1926" s="46" t="n">
        <f aca="false">IF(OR(I1926="DNB",I1926="Dry DNB"),1,0)</f>
        <v>0</v>
      </c>
      <c r="Z1926" s="0" t="str">
        <f aca="false">IF(ISNUMBER(W1926),A1926-W1926,"")</f>
        <v/>
      </c>
      <c r="AA1926" s="46" t="n">
        <f aca="false">MATCH(A1926,DATAS,0)</f>
        <v>1</v>
      </c>
      <c r="AB1926" s="46" t="n">
        <f aca="false">IF(AND(E1926&gt;0,OR(AND(B1926&gt;=1,B1926&lt;=6),B1926=10)),1,0)</f>
        <v>1</v>
      </c>
      <c r="AC1926" s="46" t="n">
        <f aca="false">IF(AND(E1926&gt;0,B1926=10),1,0)</f>
        <v>0</v>
      </c>
      <c r="AD1926" s="0" t="str">
        <f aca="false">IF(AND(C1925=C1926,AA1925=AA1926-1),AB1925,"")</f>
        <v/>
      </c>
      <c r="AE1926" s="0" t="str">
        <f aca="false">IF(AND(C1925=C1926,AA1925=AA1926-1),AC1925,"")</f>
        <v/>
      </c>
      <c r="AF1926" s="0" t="str">
        <f aca="false">IF(AA1926=1,"",IF(AND(AB1926=1,AD1926&lt;&gt;1),1,0))</f>
        <v/>
      </c>
      <c r="AG1926" s="0" t="str">
        <f aca="false">IF(AA1926=1,"",IF(AND(AC1926=1,AE1926&lt;&gt;1),1,0))</f>
        <v/>
      </c>
      <c r="AH1926" s="51" t="str">
        <f aca="false">IF(AND(E1926&gt;0,AA1926&lt;1,NOT(AND(C1927=C1926,AA1927=AA1926+1))),INDEX(DATAS,AA1926+1),"")</f>
        <v/>
      </c>
      <c r="AI1926" s="51" t="str">
        <f aca="false">IF(AND(AC1926=1,AA1926&lt;1),IF(AND(C1927=C1926,AA1927=AA1926+1),IF(AC1927=1,"",INDEX(DATAS,AA1926+1)),INDEX(DATAS,AA1926+1)),"")</f>
        <v/>
      </c>
    </row>
    <row r="1927" customFormat="false" ht="15" hidden="false" customHeight="false" outlineLevel="0" collapsed="false">
      <c r="A1927" s="51" t="n">
        <v>46309</v>
      </c>
      <c r="B1927" s="0" t="n">
        <v>8</v>
      </c>
      <c r="C1927" s="0" t="n">
        <v>6166</v>
      </c>
      <c r="E1927" s="0" t="n">
        <v>0</v>
      </c>
      <c r="F1927" s="46" t="s">
        <v>1124</v>
      </c>
      <c r="I1927" s="46" t="s">
        <v>152</v>
      </c>
      <c r="L1927" s="0" t="n">
        <v>233</v>
      </c>
      <c r="U1927" s="0" t="n">
        <v>658</v>
      </c>
      <c r="V1927" s="0" t="n">
        <v>4</v>
      </c>
      <c r="W1927" s="51" t="n">
        <v>46077</v>
      </c>
      <c r="X1927" s="46" t="n">
        <f aca="false">IF(I1927="Male",0,1)</f>
        <v>1</v>
      </c>
      <c r="Y1927" s="46" t="n">
        <f aca="false">IF(OR(I1927="DNB",I1927="Dry DNB"),1,0)</f>
        <v>0</v>
      </c>
      <c r="Z1927" s="46" t="n">
        <f aca="false">IF(ISNUMBER(W1927),A1927-W1927,"")</f>
        <v>232</v>
      </c>
      <c r="AA1927" s="46" t="n">
        <f aca="false">MATCH(A1927,DATAS,0)</f>
        <v>1</v>
      </c>
      <c r="AB1927" s="46" t="n">
        <f aca="false">IF(AND(E1927&gt;0,OR(AND(B1927&gt;=1,B1927&lt;=6),B1927=10)),1,0)</f>
        <v>0</v>
      </c>
      <c r="AC1927" s="46" t="n">
        <f aca="false">IF(AND(E1927&gt;0,B1927=10),1,0)</f>
        <v>0</v>
      </c>
      <c r="AD1927" s="0" t="str">
        <f aca="false">IF(AND(C1926=C1927,AA1926=AA1927-1),AB1926,"")</f>
        <v/>
      </c>
      <c r="AE1927" s="0" t="str">
        <f aca="false">IF(AND(C1926=C1927,AA1926=AA1927-1),AC1926,"")</f>
        <v/>
      </c>
      <c r="AF1927" s="0" t="str">
        <f aca="false">IF(AA1927=1,"",IF(AND(AB1927=1,AD1927&lt;&gt;1),1,0))</f>
        <v/>
      </c>
      <c r="AG1927" s="0" t="str">
        <f aca="false">IF(AA1927=1,"",IF(AND(AC1927=1,AE1927&lt;&gt;1),1,0))</f>
        <v/>
      </c>
      <c r="AH1927" s="51" t="str">
        <f aca="false">IF(AND(E1927&gt;0,AA1927&lt;1,NOT(AND(C1928=C1927,AA1928=AA1927+1))),INDEX(DATAS,AA1927+1),"")</f>
        <v/>
      </c>
      <c r="AI1927" s="51" t="str">
        <f aca="false">IF(AND(AC1927=1,AA1927&lt;1),IF(AND(C1928=C1927,AA1928=AA1927+1),IF(AC1928=1,"",INDEX(DATAS,AA1927+1)),INDEX(DATAS,AA1927+1)),"")</f>
        <v/>
      </c>
    </row>
    <row r="1928" customFormat="false" ht="15" hidden="false" customHeight="false" outlineLevel="0" collapsed="false">
      <c r="A1928" s="51" t="n">
        <v>46309</v>
      </c>
      <c r="B1928" s="0" t="n">
        <v>7</v>
      </c>
      <c r="C1928" s="0" t="n">
        <v>6167</v>
      </c>
      <c r="E1928" s="0" t="n">
        <v>0</v>
      </c>
      <c r="F1928" s="46" t="s">
        <v>1124</v>
      </c>
      <c r="I1928" s="46" t="s">
        <v>152</v>
      </c>
      <c r="L1928" s="0" t="n">
        <v>252</v>
      </c>
      <c r="U1928" s="0" t="n">
        <v>658</v>
      </c>
      <c r="V1928" s="0" t="n">
        <v>2</v>
      </c>
      <c r="W1928" s="51" t="n">
        <v>46058</v>
      </c>
      <c r="X1928" s="46" t="n">
        <f aca="false">IF(I1928="Male",0,1)</f>
        <v>1</v>
      </c>
      <c r="Y1928" s="46" t="n">
        <f aca="false">IF(OR(I1928="DNB",I1928="Dry DNB"),1,0)</f>
        <v>0</v>
      </c>
      <c r="Z1928" s="46" t="n">
        <f aca="false">IF(ISNUMBER(W1928),A1928-W1928,"")</f>
        <v>251</v>
      </c>
      <c r="AA1928" s="46" t="n">
        <f aca="false">MATCH(A1928,DATAS,0)</f>
        <v>1</v>
      </c>
      <c r="AB1928" s="46" t="n">
        <f aca="false">IF(AND(E1928&gt;0,OR(AND(B1928&gt;=1,B1928&lt;=6),B1928=10)),1,0)</f>
        <v>0</v>
      </c>
      <c r="AC1928" s="46" t="n">
        <f aca="false">IF(AND(E1928&gt;0,B1928=10),1,0)</f>
        <v>0</v>
      </c>
      <c r="AD1928" s="0" t="str">
        <f aca="false">IF(AND(C1927=C1928,AA1927=AA1928-1),AB1927,"")</f>
        <v/>
      </c>
      <c r="AE1928" s="0" t="str">
        <f aca="false">IF(AND(C1927=C1928,AA1927=AA1928-1),AC1927,"")</f>
        <v/>
      </c>
      <c r="AF1928" s="0" t="str">
        <f aca="false">IF(AA1928=1,"",IF(AND(AB1928=1,AD1928&lt;&gt;1),1,0))</f>
        <v/>
      </c>
      <c r="AG1928" s="0" t="str">
        <f aca="false">IF(AA1928=1,"",IF(AND(AC1928=1,AE1928&lt;&gt;1),1,0))</f>
        <v/>
      </c>
      <c r="AH1928" s="51" t="str">
        <f aca="false">IF(AND(E1928&gt;0,AA1928&lt;1,NOT(AND(C1929=C1928,AA1929=AA1928+1))),INDEX(DATAS,AA1928+1),"")</f>
        <v/>
      </c>
      <c r="AI1928" s="51" t="str">
        <f aca="false">IF(AND(AC1928=1,AA1928&lt;1),IF(AND(C1929=C1928,AA1929=AA1928+1),IF(AC1929=1,"",INDEX(DATAS,AA1928+1)),INDEX(DATAS,AA1928+1)),"")</f>
        <v/>
      </c>
    </row>
    <row r="1929" customFormat="false" ht="15" hidden="false" customHeight="false" outlineLevel="0" collapsed="false">
      <c r="A1929" s="51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46" t="s">
        <v>1124</v>
      </c>
      <c r="G1929" s="0" t="n">
        <v>28.4</v>
      </c>
      <c r="H1929" s="0" t="n">
        <v>22</v>
      </c>
      <c r="I1929" s="46" t="s">
        <v>161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X1929" s="46" t="n">
        <f aca="false">IF(I1929="Male",0,1)</f>
        <v>1</v>
      </c>
      <c r="Y1929" s="46" t="n">
        <f aca="false">IF(OR(I1929="DNB",I1929="Dry DNB"),1,0)</f>
        <v>0</v>
      </c>
      <c r="Z1929" s="0" t="str">
        <f aca="false">IF(ISNUMBER(W1929),A1929-W1929,"")</f>
        <v/>
      </c>
      <c r="AA1929" s="46" t="n">
        <f aca="false">MATCH(A1929,DATAS,0)</f>
        <v>1</v>
      </c>
      <c r="AB1929" s="46" t="n">
        <f aca="false">IF(AND(E1929&gt;0,OR(AND(B1929&gt;=1,B1929&lt;=6),B1929=10)),1,0)</f>
        <v>1</v>
      </c>
      <c r="AC1929" s="46" t="n">
        <f aca="false">IF(AND(E1929&gt;0,B1929=10),1,0)</f>
        <v>0</v>
      </c>
      <c r="AD1929" s="0" t="str">
        <f aca="false">IF(AND(C1928=C1929,AA1928=AA1929-1),AB1928,"")</f>
        <v/>
      </c>
      <c r="AE1929" s="0" t="str">
        <f aca="false">IF(AND(C1928=C1929,AA1928=AA1929-1),AC1928,"")</f>
        <v/>
      </c>
      <c r="AF1929" s="0" t="str">
        <f aca="false">IF(AA1929=1,"",IF(AND(AB1929=1,AD1929&lt;&gt;1),1,0))</f>
        <v/>
      </c>
      <c r="AG1929" s="0" t="str">
        <f aca="false">IF(AA1929=1,"",IF(AND(AC1929=1,AE1929&lt;&gt;1),1,0))</f>
        <v/>
      </c>
      <c r="AH1929" s="51" t="str">
        <f aca="false">IF(AND(E1929&gt;0,AA1929&lt;1,NOT(AND(C1930=C1929,AA1930=AA1929+1))),INDEX(DATAS,AA1929+1),"")</f>
        <v/>
      </c>
      <c r="AI1929" s="51" t="str">
        <f aca="false">IF(AND(AC1929=1,AA1929&lt;1),IF(AND(C1930=C1929,AA1930=AA1929+1),IF(AC1930=1,"",INDEX(DATAS,AA1929+1)),INDEX(DATAS,AA1929+1)),"")</f>
        <v/>
      </c>
    </row>
    <row r="1930" customFormat="false" ht="15" hidden="false" customHeight="false" outlineLevel="0" collapsed="false">
      <c r="A1930" s="51" t="n">
        <v>46309</v>
      </c>
      <c r="B1930" s="0" t="n">
        <v>8</v>
      </c>
      <c r="C1930" s="0" t="n">
        <v>6169</v>
      </c>
      <c r="E1930" s="0" t="n">
        <v>0</v>
      </c>
      <c r="F1930" s="46" t="s">
        <v>1124</v>
      </c>
      <c r="I1930" s="46" t="s">
        <v>152</v>
      </c>
      <c r="L1930" s="0" t="n">
        <v>161</v>
      </c>
      <c r="U1930" s="0" t="n">
        <v>658</v>
      </c>
      <c r="V1930" s="0" t="n">
        <v>7</v>
      </c>
      <c r="W1930" s="51" t="n">
        <v>46149</v>
      </c>
      <c r="X1930" s="46" t="n">
        <f aca="false">IF(I1930="Male",0,1)</f>
        <v>1</v>
      </c>
      <c r="Y1930" s="46" t="n">
        <f aca="false">IF(OR(I1930="DNB",I1930="Dry DNB"),1,0)</f>
        <v>0</v>
      </c>
      <c r="Z1930" s="46" t="n">
        <f aca="false">IF(ISNUMBER(W1930),A1930-W1930,"")</f>
        <v>160</v>
      </c>
      <c r="AA1930" s="46" t="n">
        <f aca="false">MATCH(A1930,DATAS,0)</f>
        <v>1</v>
      </c>
      <c r="AB1930" s="46" t="n">
        <f aca="false">IF(AND(E1930&gt;0,OR(AND(B1930&gt;=1,B1930&lt;=6),B1930=10)),1,0)</f>
        <v>0</v>
      </c>
      <c r="AC1930" s="46" t="n">
        <f aca="false">IF(AND(E1930&gt;0,B1930=10),1,0)</f>
        <v>0</v>
      </c>
      <c r="AD1930" s="0" t="str">
        <f aca="false">IF(AND(C1929=C1930,AA1929=AA1930-1),AB1929,"")</f>
        <v/>
      </c>
      <c r="AE1930" s="0" t="str">
        <f aca="false">IF(AND(C1929=C1930,AA1929=AA1930-1),AC1929,"")</f>
        <v/>
      </c>
      <c r="AF1930" s="0" t="str">
        <f aca="false">IF(AA1930=1,"",IF(AND(AB1930=1,AD1930&lt;&gt;1),1,0))</f>
        <v/>
      </c>
      <c r="AG1930" s="0" t="str">
        <f aca="false">IF(AA1930=1,"",IF(AND(AC1930=1,AE1930&lt;&gt;1),1,0))</f>
        <v/>
      </c>
      <c r="AH1930" s="51" t="str">
        <f aca="false">IF(AND(E1930&gt;0,AA1930&lt;1,NOT(AND(C1931=C1930,AA1931=AA1930+1))),INDEX(DATAS,AA1930+1),"")</f>
        <v/>
      </c>
      <c r="AI1930" s="51" t="str">
        <f aca="false">IF(AND(AC1930=1,AA1930&lt;1),IF(AND(C1931=C1930,AA1931=AA1930+1),IF(AC1931=1,"",INDEX(DATAS,AA1930+1)),INDEX(DATAS,AA1930+1)),"")</f>
        <v/>
      </c>
    </row>
    <row r="1931" customFormat="false" ht="15" hidden="false" customHeight="false" outlineLevel="0" collapsed="false">
      <c r="A1931" s="51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46" t="s">
        <v>1124</v>
      </c>
      <c r="G1931" s="0" t="n">
        <v>33</v>
      </c>
      <c r="H1931" s="0" t="n">
        <v>28</v>
      </c>
      <c r="I1931" s="46" t="s">
        <v>161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X1931" s="46" t="n">
        <f aca="false">IF(I1931="Male",0,1)</f>
        <v>1</v>
      </c>
      <c r="Y1931" s="46" t="n">
        <f aca="false">IF(OR(I1931="DNB",I1931="Dry DNB"),1,0)</f>
        <v>0</v>
      </c>
      <c r="Z1931" s="0" t="str">
        <f aca="false">IF(ISNUMBER(W1931),A1931-W1931,"")</f>
        <v/>
      </c>
      <c r="AA1931" s="46" t="n">
        <f aca="false">MATCH(A1931,DATAS,0)</f>
        <v>1</v>
      </c>
      <c r="AB1931" s="46" t="n">
        <f aca="false">IF(AND(E1931&gt;0,OR(AND(B1931&gt;=1,B1931&lt;=6),B1931=10)),1,0)</f>
        <v>1</v>
      </c>
      <c r="AC1931" s="46" t="n">
        <f aca="false">IF(AND(E1931&gt;0,B1931=10),1,0)</f>
        <v>0</v>
      </c>
      <c r="AD1931" s="0" t="str">
        <f aca="false">IF(AND(C1930=C1931,AA1930=AA1931-1),AB1930,"")</f>
        <v/>
      </c>
      <c r="AE1931" s="0" t="str">
        <f aca="false">IF(AND(C1930=C1931,AA1930=AA1931-1),AC1930,"")</f>
        <v/>
      </c>
      <c r="AF1931" s="0" t="str">
        <f aca="false">IF(AA1931=1,"",IF(AND(AB1931=1,AD1931&lt;&gt;1),1,0))</f>
        <v/>
      </c>
      <c r="AG1931" s="0" t="str">
        <f aca="false">IF(AA1931=1,"",IF(AND(AC1931=1,AE1931&lt;&gt;1),1,0))</f>
        <v/>
      </c>
      <c r="AH1931" s="51" t="str">
        <f aca="false">IF(AND(E1931&gt;0,AA1931&lt;1,NOT(AND(C1932=C1931,AA1932=AA1931+1))),INDEX(DATAS,AA1931+1),"")</f>
        <v/>
      </c>
      <c r="AI1931" s="51" t="str">
        <f aca="false">IF(AND(AC1931=1,AA1931&lt;1),IF(AND(C1932=C1931,AA1932=AA1931+1),IF(AC1932=1,"",INDEX(DATAS,AA1931+1)),INDEX(DATAS,AA1931+1)),"")</f>
        <v/>
      </c>
    </row>
    <row r="1932" customFormat="false" ht="15" hidden="false" customHeight="false" outlineLevel="0" collapsed="false">
      <c r="A1932" s="51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46" t="s">
        <v>1125</v>
      </c>
      <c r="G1932" s="0" t="n">
        <v>7.3</v>
      </c>
      <c r="H1932" s="0" t="n">
        <v>10</v>
      </c>
      <c r="I1932" s="46" t="s">
        <v>161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X1932" s="46" t="n">
        <f aca="false">IF(I1932="Male",0,1)</f>
        <v>1</v>
      </c>
      <c r="Y1932" s="46" t="n">
        <f aca="false">IF(OR(I1932="DNB",I1932="Dry DNB"),1,0)</f>
        <v>0</v>
      </c>
      <c r="Z1932" s="0" t="str">
        <f aca="false">IF(ISNUMBER(W1932),A1932-W1932,"")</f>
        <v/>
      </c>
      <c r="AA1932" s="46" t="n">
        <f aca="false">MATCH(A1932,DATAS,0)</f>
        <v>1</v>
      </c>
      <c r="AB1932" s="46" t="n">
        <f aca="false">IF(AND(E1932&gt;0,OR(AND(B1932&gt;=1,B1932&lt;=6),B1932=10)),1,0)</f>
        <v>1</v>
      </c>
      <c r="AC1932" s="46" t="n">
        <f aca="false">IF(AND(E1932&gt;0,B1932=10),1,0)</f>
        <v>0</v>
      </c>
      <c r="AD1932" s="0" t="str">
        <f aca="false">IF(AND(C1931=C1932,AA1931=AA1932-1),AB1931,"")</f>
        <v/>
      </c>
      <c r="AE1932" s="0" t="str">
        <f aca="false">IF(AND(C1931=C1932,AA1931=AA1932-1),AC1931,"")</f>
        <v/>
      </c>
      <c r="AF1932" s="0" t="str">
        <f aca="false">IF(AA1932=1,"",IF(AND(AB1932=1,AD1932&lt;&gt;1),1,0))</f>
        <v/>
      </c>
      <c r="AG1932" s="0" t="str">
        <f aca="false">IF(AA1932=1,"",IF(AND(AC1932=1,AE1932&lt;&gt;1),1,0))</f>
        <v/>
      </c>
      <c r="AH1932" s="51" t="str">
        <f aca="false">IF(AND(E1932&gt;0,AA1932&lt;1,NOT(AND(C1933=C1932,AA1933=AA1932+1))),INDEX(DATAS,AA1932+1),"")</f>
        <v/>
      </c>
      <c r="AI1932" s="51" t="str">
        <f aca="false">IF(AND(AC1932=1,AA1932&lt;1),IF(AND(C1933=C1932,AA1933=AA1932+1),IF(AC1933=1,"",INDEX(DATAS,AA1932+1)),INDEX(DATAS,AA1932+1)),"")</f>
        <v/>
      </c>
    </row>
    <row r="1933" customFormat="false" ht="15" hidden="false" customHeight="false" outlineLevel="0" collapsed="false">
      <c r="A1933" s="51" t="n">
        <v>46309</v>
      </c>
      <c r="B1933" s="0" t="n">
        <v>8</v>
      </c>
      <c r="C1933" s="0" t="n">
        <v>6174</v>
      </c>
      <c r="E1933" s="0" t="n">
        <v>0</v>
      </c>
      <c r="F1933" s="46" t="s">
        <v>1125</v>
      </c>
      <c r="I1933" s="46" t="s">
        <v>152</v>
      </c>
      <c r="L1933" s="0" t="n">
        <v>238</v>
      </c>
      <c r="U1933" s="0" t="n">
        <v>657</v>
      </c>
      <c r="V1933" s="0" t="n">
        <v>3</v>
      </c>
      <c r="W1933" s="51" t="n">
        <v>46072</v>
      </c>
      <c r="X1933" s="46" t="n">
        <f aca="false">IF(I1933="Male",0,1)</f>
        <v>1</v>
      </c>
      <c r="Y1933" s="46" t="n">
        <f aca="false">IF(OR(I1933="DNB",I1933="Dry DNB"),1,0)</f>
        <v>0</v>
      </c>
      <c r="Z1933" s="46" t="n">
        <f aca="false">IF(ISNUMBER(W1933),A1933-W1933,"")</f>
        <v>237</v>
      </c>
      <c r="AA1933" s="46" t="n">
        <f aca="false">MATCH(A1933,DATAS,0)</f>
        <v>1</v>
      </c>
      <c r="AB1933" s="46" t="n">
        <f aca="false">IF(AND(E1933&gt;0,OR(AND(B1933&gt;=1,B1933&lt;=6),B1933=10)),1,0)</f>
        <v>0</v>
      </c>
      <c r="AC1933" s="46" t="n">
        <f aca="false">IF(AND(E1933&gt;0,B1933=10),1,0)</f>
        <v>0</v>
      </c>
      <c r="AD1933" s="0" t="str">
        <f aca="false">IF(AND(C1932=C1933,AA1932=AA1933-1),AB1932,"")</f>
        <v/>
      </c>
      <c r="AE1933" s="0" t="str">
        <f aca="false">IF(AND(C1932=C1933,AA1932=AA1933-1),AC1932,"")</f>
        <v/>
      </c>
      <c r="AF1933" s="0" t="str">
        <f aca="false">IF(AA1933=1,"",IF(AND(AB1933=1,AD1933&lt;&gt;1),1,0))</f>
        <v/>
      </c>
      <c r="AG1933" s="0" t="str">
        <f aca="false">IF(AA1933=1,"",IF(AND(AC1933=1,AE1933&lt;&gt;1),1,0))</f>
        <v/>
      </c>
      <c r="AH1933" s="51" t="str">
        <f aca="false">IF(AND(E1933&gt;0,AA1933&lt;1,NOT(AND(C1934=C1933,AA1934=AA1933+1))),INDEX(DATAS,AA1933+1),"")</f>
        <v/>
      </c>
      <c r="AI1933" s="51" t="str">
        <f aca="false">IF(AND(AC1933=1,AA1933&lt;1),IF(AND(C1934=C1933,AA1934=AA1933+1),IF(AC1934=1,"",INDEX(DATAS,AA1933+1)),INDEX(DATAS,AA1933+1)),"")</f>
        <v/>
      </c>
    </row>
    <row r="1934" customFormat="false" ht="15" hidden="false" customHeight="false" outlineLevel="0" collapsed="false">
      <c r="A1934" s="51" t="n">
        <v>46309</v>
      </c>
      <c r="B1934" s="0" t="n">
        <v>7</v>
      </c>
      <c r="C1934" s="0" t="n">
        <v>6175</v>
      </c>
      <c r="E1934" s="0" t="n">
        <v>0</v>
      </c>
      <c r="F1934" s="46" t="s">
        <v>1125</v>
      </c>
      <c r="I1934" s="46" t="s">
        <v>152</v>
      </c>
      <c r="L1934" s="0" t="n">
        <v>224</v>
      </c>
      <c r="U1934" s="0" t="n">
        <v>657</v>
      </c>
      <c r="V1934" s="0" t="n">
        <v>3</v>
      </c>
      <c r="W1934" s="51" t="n">
        <v>46086</v>
      </c>
      <c r="X1934" s="46" t="n">
        <f aca="false">IF(I1934="Male",0,1)</f>
        <v>1</v>
      </c>
      <c r="Y1934" s="46" t="n">
        <f aca="false">IF(OR(I1934="DNB",I1934="Dry DNB"),1,0)</f>
        <v>0</v>
      </c>
      <c r="Z1934" s="46" t="n">
        <f aca="false">IF(ISNUMBER(W1934),A1934-W1934,"")</f>
        <v>223</v>
      </c>
      <c r="AA1934" s="46" t="n">
        <f aca="false">MATCH(A1934,DATAS,0)</f>
        <v>1</v>
      </c>
      <c r="AB1934" s="46" t="n">
        <f aca="false">IF(AND(E1934&gt;0,OR(AND(B1934&gt;=1,B1934&lt;=6),B1934=10)),1,0)</f>
        <v>0</v>
      </c>
      <c r="AC1934" s="46" t="n">
        <f aca="false">IF(AND(E1934&gt;0,B1934=10),1,0)</f>
        <v>0</v>
      </c>
      <c r="AD1934" s="0" t="str">
        <f aca="false">IF(AND(C1933=C1934,AA1933=AA1934-1),AB1933,"")</f>
        <v/>
      </c>
      <c r="AE1934" s="0" t="str">
        <f aca="false">IF(AND(C1933=C1934,AA1933=AA1934-1),AC1933,"")</f>
        <v/>
      </c>
      <c r="AF1934" s="0" t="str">
        <f aca="false">IF(AA1934=1,"",IF(AND(AB1934=1,AD1934&lt;&gt;1),1,0))</f>
        <v/>
      </c>
      <c r="AG1934" s="0" t="str">
        <f aca="false">IF(AA1934=1,"",IF(AND(AC1934=1,AE1934&lt;&gt;1),1,0))</f>
        <v/>
      </c>
      <c r="AH1934" s="51" t="str">
        <f aca="false">IF(AND(E1934&gt;0,AA1934&lt;1,NOT(AND(C1935=C1934,AA1935=AA1934+1))),INDEX(DATAS,AA1934+1),"")</f>
        <v/>
      </c>
      <c r="AI1934" s="51" t="str">
        <f aca="false">IF(AND(AC1934=1,AA1934&lt;1),IF(AND(C1935=C1934,AA1935=AA1934+1),IF(AC1935=1,"",INDEX(DATAS,AA1934+1)),INDEX(DATAS,AA1934+1)),"")</f>
        <v/>
      </c>
    </row>
    <row r="1935" customFormat="false" ht="15" hidden="false" customHeight="false" outlineLevel="0" collapsed="false">
      <c r="A1935" s="51" t="n">
        <v>46309</v>
      </c>
      <c r="B1935" s="0" t="n">
        <v>8</v>
      </c>
      <c r="C1935" s="0" t="n">
        <v>6176</v>
      </c>
      <c r="E1935" s="0" t="n">
        <v>0</v>
      </c>
      <c r="F1935" s="46" t="s">
        <v>1125</v>
      </c>
      <c r="I1935" s="46" t="s">
        <v>152</v>
      </c>
      <c r="L1935" s="0" t="n">
        <v>231</v>
      </c>
      <c r="U1935" s="0" t="n">
        <v>657</v>
      </c>
      <c r="V1935" s="0" t="n">
        <v>4</v>
      </c>
      <c r="W1935" s="51" t="n">
        <v>46079</v>
      </c>
      <c r="X1935" s="46" t="n">
        <f aca="false">IF(I1935="Male",0,1)</f>
        <v>1</v>
      </c>
      <c r="Y1935" s="46" t="n">
        <f aca="false">IF(OR(I1935="DNB",I1935="Dry DNB"),1,0)</f>
        <v>0</v>
      </c>
      <c r="Z1935" s="46" t="n">
        <f aca="false">IF(ISNUMBER(W1935),A1935-W1935,"")</f>
        <v>230</v>
      </c>
      <c r="AA1935" s="46" t="n">
        <f aca="false">MATCH(A1935,DATAS,0)</f>
        <v>1</v>
      </c>
      <c r="AB1935" s="46" t="n">
        <f aca="false">IF(AND(E1935&gt;0,OR(AND(B1935&gt;=1,B1935&lt;=6),B1935=10)),1,0)</f>
        <v>0</v>
      </c>
      <c r="AC1935" s="46" t="n">
        <f aca="false">IF(AND(E1935&gt;0,B1935=10),1,0)</f>
        <v>0</v>
      </c>
      <c r="AD1935" s="0" t="str">
        <f aca="false">IF(AND(C1934=C1935,AA1934=AA1935-1),AB1934,"")</f>
        <v/>
      </c>
      <c r="AE1935" s="0" t="str">
        <f aca="false">IF(AND(C1934=C1935,AA1934=AA1935-1),AC1934,"")</f>
        <v/>
      </c>
      <c r="AF1935" s="0" t="str">
        <f aca="false">IF(AA1935=1,"",IF(AND(AB1935=1,AD1935&lt;&gt;1),1,0))</f>
        <v/>
      </c>
      <c r="AG1935" s="0" t="str">
        <f aca="false">IF(AA1935=1,"",IF(AND(AC1935=1,AE1935&lt;&gt;1),1,0))</f>
        <v/>
      </c>
      <c r="AH1935" s="51" t="str">
        <f aca="false">IF(AND(E1935&gt;0,AA1935&lt;1,NOT(AND(C1936=C1935,AA1936=AA1935+1))),INDEX(DATAS,AA1935+1),"")</f>
        <v/>
      </c>
      <c r="AI1935" s="51" t="str">
        <f aca="false">IF(AND(AC1935=1,AA1935&lt;1),IF(AND(C1936=C1935,AA1936=AA1935+1),IF(AC1936=1,"",INDEX(DATAS,AA1935+1)),INDEX(DATAS,AA1935+1)),"")</f>
        <v/>
      </c>
    </row>
    <row r="1936" customFormat="false" ht="15" hidden="false" customHeight="false" outlineLevel="0" collapsed="false">
      <c r="A1936" s="51" t="n">
        <v>46309</v>
      </c>
      <c r="B1936" s="0" t="n">
        <v>7</v>
      </c>
      <c r="C1936" s="0" t="n">
        <v>6177</v>
      </c>
      <c r="E1936" s="0" t="n">
        <v>0</v>
      </c>
      <c r="F1936" s="46" t="s">
        <v>1125</v>
      </c>
      <c r="I1936" s="46" t="s">
        <v>152</v>
      </c>
      <c r="L1936" s="0" t="n">
        <v>246</v>
      </c>
      <c r="U1936" s="0" t="n">
        <v>657</v>
      </c>
      <c r="V1936" s="0" t="n">
        <v>2</v>
      </c>
      <c r="W1936" s="51" t="n">
        <v>46064</v>
      </c>
      <c r="X1936" s="46" t="n">
        <f aca="false">IF(I1936="Male",0,1)</f>
        <v>1</v>
      </c>
      <c r="Y1936" s="46" t="n">
        <f aca="false">IF(OR(I1936="DNB",I1936="Dry DNB"),1,0)</f>
        <v>0</v>
      </c>
      <c r="Z1936" s="46" t="n">
        <f aca="false">IF(ISNUMBER(W1936),A1936-W1936,"")</f>
        <v>245</v>
      </c>
      <c r="AA1936" s="46" t="n">
        <f aca="false">MATCH(A1936,DATAS,0)</f>
        <v>1</v>
      </c>
      <c r="AB1936" s="46" t="n">
        <f aca="false">IF(AND(E1936&gt;0,OR(AND(B1936&gt;=1,B1936&lt;=6),B1936=10)),1,0)</f>
        <v>0</v>
      </c>
      <c r="AC1936" s="46" t="n">
        <f aca="false">IF(AND(E1936&gt;0,B1936=10),1,0)</f>
        <v>0</v>
      </c>
      <c r="AD1936" s="0" t="str">
        <f aca="false">IF(AND(C1935=C1936,AA1935=AA1936-1),AB1935,"")</f>
        <v/>
      </c>
      <c r="AE1936" s="0" t="str">
        <f aca="false">IF(AND(C1935=C1936,AA1935=AA1936-1),AC1935,"")</f>
        <v/>
      </c>
      <c r="AF1936" s="0" t="str">
        <f aca="false">IF(AA1936=1,"",IF(AND(AB1936=1,AD1936&lt;&gt;1),1,0))</f>
        <v/>
      </c>
      <c r="AG1936" s="0" t="str">
        <f aca="false">IF(AA1936=1,"",IF(AND(AC1936=1,AE1936&lt;&gt;1),1,0))</f>
        <v/>
      </c>
      <c r="AH1936" s="51" t="str">
        <f aca="false">IF(AND(E1936&gt;0,AA1936&lt;1,NOT(AND(C1937=C1936,AA1937=AA1936+1))),INDEX(DATAS,AA1936+1),"")</f>
        <v/>
      </c>
      <c r="AI1936" s="51" t="str">
        <f aca="false">IF(AND(AC1936=1,AA1936&lt;1),IF(AND(C1937=C1936,AA1937=AA1936+1),IF(AC1937=1,"",INDEX(DATAS,AA1936+1)),INDEX(DATAS,AA1936+1)),"")</f>
        <v/>
      </c>
    </row>
    <row r="1937" customFormat="false" ht="15" hidden="false" customHeight="false" outlineLevel="0" collapsed="false">
      <c r="A1937" s="51" t="n">
        <v>46309</v>
      </c>
      <c r="B1937" s="0" t="n">
        <v>11</v>
      </c>
      <c r="C1937" s="0" t="n">
        <v>6178</v>
      </c>
      <c r="E1937" s="0" t="n">
        <v>0</v>
      </c>
      <c r="F1937" s="46" t="s">
        <v>1125</v>
      </c>
      <c r="I1937" s="46" t="s">
        <v>181</v>
      </c>
      <c r="U1937" s="0" t="n">
        <v>657</v>
      </c>
      <c r="V1937" s="0" t="n">
        <v>12</v>
      </c>
      <c r="W1937" s="51" t="n">
        <v>46303</v>
      </c>
      <c r="X1937" s="46" t="n">
        <f aca="false">IF(I1937="Male",0,1)</f>
        <v>1</v>
      </c>
      <c r="Y1937" s="46" t="n">
        <f aca="false">IF(OR(I1937="DNB",I1937="Dry DNB"),1,0)</f>
        <v>0</v>
      </c>
      <c r="Z1937" s="46" t="n">
        <f aca="false">IF(ISNUMBER(W1937),A1937-W1937,"")</f>
        <v>6</v>
      </c>
      <c r="AA1937" s="46" t="n">
        <f aca="false">MATCH(A1937,DATAS,0)</f>
        <v>1</v>
      </c>
      <c r="AB1937" s="46" t="n">
        <f aca="false">IF(AND(E1937&gt;0,OR(AND(B1937&gt;=1,B1937&lt;=6),B1937=10)),1,0)</f>
        <v>0</v>
      </c>
      <c r="AC1937" s="46" t="n">
        <f aca="false">IF(AND(E1937&gt;0,B1937=10),1,0)</f>
        <v>0</v>
      </c>
      <c r="AD1937" s="0" t="str">
        <f aca="false">IF(AND(C1936=C1937,AA1936=AA1937-1),AB1936,"")</f>
        <v/>
      </c>
      <c r="AE1937" s="0" t="str">
        <f aca="false">IF(AND(C1936=C1937,AA1936=AA1937-1),AC1936,"")</f>
        <v/>
      </c>
      <c r="AF1937" s="0" t="str">
        <f aca="false">IF(AA1937=1,"",IF(AND(AB1937=1,AD1937&lt;&gt;1),1,0))</f>
        <v/>
      </c>
      <c r="AG1937" s="0" t="str">
        <f aca="false">IF(AA1937=1,"",IF(AND(AC1937=1,AE1937&lt;&gt;1),1,0))</f>
        <v/>
      </c>
      <c r="AH1937" s="51" t="str">
        <f aca="false">IF(AND(E1937&gt;0,AA1937&lt;1,NOT(AND(C1938=C1937,AA1938=AA1937+1))),INDEX(DATAS,AA1937+1),"")</f>
        <v/>
      </c>
      <c r="AI1937" s="51" t="str">
        <f aca="false">IF(AND(AC1937=1,AA1937&lt;1),IF(AND(C1938=C1937,AA1938=AA1937+1),IF(AC1938=1,"",INDEX(DATAS,AA1937+1)),INDEX(DATAS,AA1937+1)),"")</f>
        <v/>
      </c>
    </row>
    <row r="1938" customFormat="false" ht="15" hidden="false" customHeight="false" outlineLevel="0" collapsed="false">
      <c r="A1938" s="51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46" t="s">
        <v>1126</v>
      </c>
      <c r="G1938" s="0" t="n">
        <v>26.9</v>
      </c>
      <c r="H1938" s="0" t="n">
        <v>26</v>
      </c>
      <c r="I1938" s="46" t="s">
        <v>161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X1938" s="46" t="n">
        <f aca="false">IF(I1938="Male",0,1)</f>
        <v>1</v>
      </c>
      <c r="Y1938" s="46" t="n">
        <f aca="false">IF(OR(I1938="DNB",I1938="Dry DNB"),1,0)</f>
        <v>0</v>
      </c>
      <c r="Z1938" s="0" t="str">
        <f aca="false">IF(ISNUMBER(W1938),A1938-W1938,"")</f>
        <v/>
      </c>
      <c r="AA1938" s="46" t="n">
        <f aca="false">MATCH(A1938,DATAS,0)</f>
        <v>1</v>
      </c>
      <c r="AB1938" s="46" t="n">
        <f aca="false">IF(AND(E1938&gt;0,OR(AND(B1938&gt;=1,B1938&lt;=6),B1938=10)),1,0)</f>
        <v>1</v>
      </c>
      <c r="AC1938" s="46" t="n">
        <f aca="false">IF(AND(E1938&gt;0,B1938=10),1,0)</f>
        <v>0</v>
      </c>
      <c r="AD1938" s="0" t="str">
        <f aca="false">IF(AND(C1937=C1938,AA1937=AA1938-1),AB1937,"")</f>
        <v/>
      </c>
      <c r="AE1938" s="0" t="str">
        <f aca="false">IF(AND(C1937=C1938,AA1937=AA1938-1),AC1937,"")</f>
        <v/>
      </c>
      <c r="AF1938" s="0" t="str">
        <f aca="false">IF(AA1938=1,"",IF(AND(AB1938=1,AD1938&lt;&gt;1),1,0))</f>
        <v/>
      </c>
      <c r="AG1938" s="0" t="str">
        <f aca="false">IF(AA1938=1,"",IF(AND(AC1938=1,AE1938&lt;&gt;1),1,0))</f>
        <v/>
      </c>
      <c r="AH1938" s="51" t="str">
        <f aca="false">IF(AND(E1938&gt;0,AA1938&lt;1,NOT(AND(C1939=C1938,AA1939=AA1938+1))),INDEX(DATAS,AA1938+1),"")</f>
        <v/>
      </c>
      <c r="AI1938" s="51" t="str">
        <f aca="false">IF(AND(AC1938=1,AA1938&lt;1),IF(AND(C1939=C1938,AA1939=AA1938+1),IF(AC1939=1,"",INDEX(DATAS,AA1938+1)),INDEX(DATAS,AA1938+1)),"")</f>
        <v/>
      </c>
    </row>
    <row r="1939" customFormat="false" ht="15" hidden="false" customHeight="false" outlineLevel="0" collapsed="false">
      <c r="A1939" s="51" t="n">
        <v>46309</v>
      </c>
      <c r="B1939" s="0" t="n">
        <v>8</v>
      </c>
      <c r="C1939" s="0" t="n">
        <v>6181</v>
      </c>
      <c r="E1939" s="0" t="n">
        <v>0</v>
      </c>
      <c r="F1939" s="46" t="s">
        <v>1126</v>
      </c>
      <c r="I1939" s="46" t="s">
        <v>152</v>
      </c>
      <c r="L1939" s="0" t="n">
        <v>201</v>
      </c>
      <c r="U1939" s="0" t="n">
        <v>656</v>
      </c>
      <c r="V1939" s="0" t="n">
        <v>4</v>
      </c>
      <c r="W1939" s="51" t="n">
        <v>46109</v>
      </c>
      <c r="X1939" s="46" t="n">
        <f aca="false">IF(I1939="Male",0,1)</f>
        <v>1</v>
      </c>
      <c r="Y1939" s="46" t="n">
        <f aca="false">IF(OR(I1939="DNB",I1939="Dry DNB"),1,0)</f>
        <v>0</v>
      </c>
      <c r="Z1939" s="46" t="n">
        <f aca="false">IF(ISNUMBER(W1939),A1939-W1939,"")</f>
        <v>200</v>
      </c>
      <c r="AA1939" s="46" t="n">
        <f aca="false">MATCH(A1939,DATAS,0)</f>
        <v>1</v>
      </c>
      <c r="AB1939" s="46" t="n">
        <f aca="false">IF(AND(E1939&gt;0,OR(AND(B1939&gt;=1,B1939&lt;=6),B1939=10)),1,0)</f>
        <v>0</v>
      </c>
      <c r="AC1939" s="46" t="n">
        <f aca="false">IF(AND(E1939&gt;0,B1939=10),1,0)</f>
        <v>0</v>
      </c>
      <c r="AD1939" s="0" t="str">
        <f aca="false">IF(AND(C1938=C1939,AA1938=AA1939-1),AB1938,"")</f>
        <v/>
      </c>
      <c r="AE1939" s="0" t="str">
        <f aca="false">IF(AND(C1938=C1939,AA1938=AA1939-1),AC1938,"")</f>
        <v/>
      </c>
      <c r="AF1939" s="0" t="str">
        <f aca="false">IF(AA1939=1,"",IF(AND(AB1939=1,AD1939&lt;&gt;1),1,0))</f>
        <v/>
      </c>
      <c r="AG1939" s="0" t="str">
        <f aca="false">IF(AA1939=1,"",IF(AND(AC1939=1,AE1939&lt;&gt;1),1,0))</f>
        <v/>
      </c>
      <c r="AH1939" s="51" t="str">
        <f aca="false">IF(AND(E1939&gt;0,AA1939&lt;1,NOT(AND(C1940=C1939,AA1940=AA1939+1))),INDEX(DATAS,AA1939+1),"")</f>
        <v/>
      </c>
      <c r="AI1939" s="51" t="str">
        <f aca="false">IF(AND(AC1939=1,AA1939&lt;1),IF(AND(C1940=C1939,AA1940=AA1939+1),IF(AC1940=1,"",INDEX(DATAS,AA1939+1)),INDEX(DATAS,AA1939+1)),"")</f>
        <v/>
      </c>
    </row>
    <row r="1940" customFormat="false" ht="15" hidden="false" customHeight="false" outlineLevel="0" collapsed="false">
      <c r="A1940" s="51" t="n">
        <v>46309</v>
      </c>
      <c r="B1940" s="0" t="n">
        <v>8</v>
      </c>
      <c r="C1940" s="0" t="n">
        <v>6183</v>
      </c>
      <c r="E1940" s="0" t="n">
        <v>0</v>
      </c>
      <c r="F1940" s="46" t="s">
        <v>1127</v>
      </c>
      <c r="I1940" s="46" t="s">
        <v>152</v>
      </c>
      <c r="L1940" s="0" t="n">
        <v>248</v>
      </c>
      <c r="U1940" s="0" t="n">
        <v>655</v>
      </c>
      <c r="V1940" s="0" t="n">
        <v>2</v>
      </c>
      <c r="W1940" s="51" t="n">
        <v>46062</v>
      </c>
      <c r="X1940" s="46" t="n">
        <f aca="false">IF(I1940="Male",0,1)</f>
        <v>1</v>
      </c>
      <c r="Y1940" s="46" t="n">
        <f aca="false">IF(OR(I1940="DNB",I1940="Dry DNB"),1,0)</f>
        <v>0</v>
      </c>
      <c r="Z1940" s="46" t="n">
        <f aca="false">IF(ISNUMBER(W1940),A1940-W1940,"")</f>
        <v>247</v>
      </c>
      <c r="AA1940" s="46" t="n">
        <f aca="false">MATCH(A1940,DATAS,0)</f>
        <v>1</v>
      </c>
      <c r="AB1940" s="46" t="n">
        <f aca="false">IF(AND(E1940&gt;0,OR(AND(B1940&gt;=1,B1940&lt;=6),B1940=10)),1,0)</f>
        <v>0</v>
      </c>
      <c r="AC1940" s="46" t="n">
        <f aca="false">IF(AND(E1940&gt;0,B1940=10),1,0)</f>
        <v>0</v>
      </c>
      <c r="AD1940" s="0" t="str">
        <f aca="false">IF(AND(C1939=C1940,AA1939=AA1940-1),AB1939,"")</f>
        <v/>
      </c>
      <c r="AE1940" s="0" t="str">
        <f aca="false">IF(AND(C1939=C1940,AA1939=AA1940-1),AC1939,"")</f>
        <v/>
      </c>
      <c r="AF1940" s="0" t="str">
        <f aca="false">IF(AA1940=1,"",IF(AND(AB1940=1,AD1940&lt;&gt;1),1,0))</f>
        <v/>
      </c>
      <c r="AG1940" s="0" t="str">
        <f aca="false">IF(AA1940=1,"",IF(AND(AC1940=1,AE1940&lt;&gt;1),1,0))</f>
        <v/>
      </c>
      <c r="AH1940" s="51" t="str">
        <f aca="false">IF(AND(E1940&gt;0,AA1940&lt;1,NOT(AND(C1941=C1940,AA1941=AA1940+1))),INDEX(DATAS,AA1940+1),"")</f>
        <v/>
      </c>
      <c r="AI1940" s="51" t="str">
        <f aca="false">IF(AND(AC1940=1,AA1940&lt;1),IF(AND(C1941=C1940,AA1941=AA1940+1),IF(AC1941=1,"",INDEX(DATAS,AA1940+1)),INDEX(DATAS,AA1940+1)),"")</f>
        <v/>
      </c>
    </row>
    <row r="1941" customFormat="false" ht="15" hidden="false" customHeight="false" outlineLevel="0" collapsed="false">
      <c r="A1941" s="51" t="n">
        <v>46309</v>
      </c>
      <c r="B1941" s="0" t="n">
        <v>14</v>
      </c>
      <c r="C1941" s="0" t="n">
        <v>6185</v>
      </c>
      <c r="E1941" s="0" t="n">
        <v>0</v>
      </c>
      <c r="F1941" s="46" t="s">
        <v>1128</v>
      </c>
      <c r="I1941" s="46" t="s">
        <v>152</v>
      </c>
      <c r="L1941" s="0" t="n">
        <v>259</v>
      </c>
      <c r="U1941" s="0" t="n">
        <v>654</v>
      </c>
      <c r="V1941" s="0" t="n">
        <v>2</v>
      </c>
      <c r="W1941" s="51" t="n">
        <v>46051</v>
      </c>
      <c r="X1941" s="46" t="n">
        <f aca="false">IF(I1941="Male",0,1)</f>
        <v>1</v>
      </c>
      <c r="Y1941" s="46" t="n">
        <f aca="false">IF(OR(I1941="DNB",I1941="Dry DNB"),1,0)</f>
        <v>0</v>
      </c>
      <c r="Z1941" s="46" t="n">
        <f aca="false">IF(ISNUMBER(W1941),A1941-W1941,"")</f>
        <v>258</v>
      </c>
      <c r="AA1941" s="46" t="n">
        <f aca="false">MATCH(A1941,DATAS,0)</f>
        <v>1</v>
      </c>
      <c r="AB1941" s="46" t="n">
        <f aca="false">IF(AND(E1941&gt;0,OR(AND(B1941&gt;=1,B1941&lt;=6),B1941=10)),1,0)</f>
        <v>0</v>
      </c>
      <c r="AC1941" s="46" t="n">
        <f aca="false">IF(AND(E1941&gt;0,B1941=10),1,0)</f>
        <v>0</v>
      </c>
      <c r="AD1941" s="0" t="str">
        <f aca="false">IF(AND(C1940=C1941,AA1940=AA1941-1),AB1940,"")</f>
        <v/>
      </c>
      <c r="AE1941" s="0" t="str">
        <f aca="false">IF(AND(C1940=C1941,AA1940=AA1941-1),AC1940,"")</f>
        <v/>
      </c>
      <c r="AF1941" s="0" t="str">
        <f aca="false">IF(AA1941=1,"",IF(AND(AB1941=1,AD1941&lt;&gt;1),1,0))</f>
        <v/>
      </c>
      <c r="AG1941" s="0" t="str">
        <f aca="false">IF(AA1941=1,"",IF(AND(AC1941=1,AE1941&lt;&gt;1),1,0))</f>
        <v/>
      </c>
      <c r="AH1941" s="51" t="str">
        <f aca="false">IF(AND(E1941&gt;0,AA1941&lt;1,NOT(AND(C1942=C1941,AA1942=AA1941+1))),INDEX(DATAS,AA1941+1),"")</f>
        <v/>
      </c>
      <c r="AI1941" s="51" t="str">
        <f aca="false">IF(AND(AC1941=1,AA1941&lt;1),IF(AND(C1942=C1941,AA1942=AA1941+1),IF(AC1942=1,"",INDEX(DATAS,AA1941+1)),INDEX(DATAS,AA1941+1)),"")</f>
        <v/>
      </c>
    </row>
    <row r="1942" customFormat="false" ht="15" hidden="false" customHeight="false" outlineLevel="0" collapsed="false">
      <c r="A1942" s="51" t="n">
        <v>46309</v>
      </c>
      <c r="B1942" s="0" t="n">
        <v>8</v>
      </c>
      <c r="C1942" s="0" t="n">
        <v>6186</v>
      </c>
      <c r="E1942" s="0" t="n">
        <v>0</v>
      </c>
      <c r="F1942" s="46" t="s">
        <v>1129</v>
      </c>
      <c r="I1942" s="46" t="s">
        <v>152</v>
      </c>
      <c r="L1942" s="0" t="n">
        <v>141</v>
      </c>
      <c r="U1942" s="0" t="n">
        <v>653</v>
      </c>
      <c r="V1942" s="0" t="n">
        <v>7</v>
      </c>
      <c r="W1942" s="51" t="n">
        <v>46169</v>
      </c>
      <c r="X1942" s="46" t="n">
        <f aca="false">IF(I1942="Male",0,1)</f>
        <v>1</v>
      </c>
      <c r="Y1942" s="46" t="n">
        <f aca="false">IF(OR(I1942="DNB",I1942="Dry DNB"),1,0)</f>
        <v>0</v>
      </c>
      <c r="Z1942" s="46" t="n">
        <f aca="false">IF(ISNUMBER(W1942),A1942-W1942,"")</f>
        <v>140</v>
      </c>
      <c r="AA1942" s="46" t="n">
        <f aca="false">MATCH(A1942,DATAS,0)</f>
        <v>1</v>
      </c>
      <c r="AB1942" s="46" t="n">
        <f aca="false">IF(AND(E1942&gt;0,OR(AND(B1942&gt;=1,B1942&lt;=6),B1942=10)),1,0)</f>
        <v>0</v>
      </c>
      <c r="AC1942" s="46" t="n">
        <f aca="false">IF(AND(E1942&gt;0,B1942=10),1,0)</f>
        <v>0</v>
      </c>
      <c r="AD1942" s="0" t="str">
        <f aca="false">IF(AND(C1941=C1942,AA1941=AA1942-1),AB1941,"")</f>
        <v/>
      </c>
      <c r="AE1942" s="0" t="str">
        <f aca="false">IF(AND(C1941=C1942,AA1941=AA1942-1),AC1941,"")</f>
        <v/>
      </c>
      <c r="AF1942" s="0" t="str">
        <f aca="false">IF(AA1942=1,"",IF(AND(AB1942=1,AD1942&lt;&gt;1),1,0))</f>
        <v/>
      </c>
      <c r="AG1942" s="0" t="str">
        <f aca="false">IF(AA1942=1,"",IF(AND(AC1942=1,AE1942&lt;&gt;1),1,0))</f>
        <v/>
      </c>
      <c r="AH1942" s="51" t="str">
        <f aca="false">IF(AND(E1942&gt;0,AA1942&lt;1,NOT(AND(C1943=C1942,AA1943=AA1942+1))),INDEX(DATAS,AA1942+1),"")</f>
        <v/>
      </c>
      <c r="AI1942" s="51" t="str">
        <f aca="false">IF(AND(AC1942=1,AA1942&lt;1),IF(AND(C1943=C1942,AA1943=AA1942+1),IF(AC1943=1,"",INDEX(DATAS,AA1942+1)),INDEX(DATAS,AA1942+1)),"")</f>
        <v/>
      </c>
    </row>
    <row r="1943" customFormat="false" ht="15" hidden="false" customHeight="false" outlineLevel="0" collapsed="false">
      <c r="A1943" s="51" t="n">
        <v>46309</v>
      </c>
      <c r="B1943" s="0" t="n">
        <v>8</v>
      </c>
      <c r="C1943" s="0" t="n">
        <v>6187</v>
      </c>
      <c r="E1943" s="0" t="n">
        <v>0</v>
      </c>
      <c r="F1943" s="46" t="s">
        <v>1129</v>
      </c>
      <c r="I1943" s="46" t="s">
        <v>152</v>
      </c>
      <c r="L1943" s="0" t="n">
        <v>185</v>
      </c>
      <c r="U1943" s="0" t="n">
        <v>653</v>
      </c>
      <c r="V1943" s="0" t="n">
        <v>5</v>
      </c>
      <c r="W1943" s="51" t="n">
        <v>46125</v>
      </c>
      <c r="X1943" s="46" t="n">
        <f aca="false">IF(I1943="Male",0,1)</f>
        <v>1</v>
      </c>
      <c r="Y1943" s="46" t="n">
        <f aca="false">IF(OR(I1943="DNB",I1943="Dry DNB"),1,0)</f>
        <v>0</v>
      </c>
      <c r="Z1943" s="46" t="n">
        <f aca="false">IF(ISNUMBER(W1943),A1943-W1943,"")</f>
        <v>184</v>
      </c>
      <c r="AA1943" s="46" t="n">
        <f aca="false">MATCH(A1943,DATAS,0)</f>
        <v>1</v>
      </c>
      <c r="AB1943" s="46" t="n">
        <f aca="false">IF(AND(E1943&gt;0,OR(AND(B1943&gt;=1,B1943&lt;=6),B1943=10)),1,0)</f>
        <v>0</v>
      </c>
      <c r="AC1943" s="46" t="n">
        <f aca="false">IF(AND(E1943&gt;0,B1943=10),1,0)</f>
        <v>0</v>
      </c>
      <c r="AD1943" s="0" t="str">
        <f aca="false">IF(AND(C1942=C1943,AA1942=AA1943-1),AB1942,"")</f>
        <v/>
      </c>
      <c r="AE1943" s="0" t="str">
        <f aca="false">IF(AND(C1942=C1943,AA1942=AA1943-1),AC1942,"")</f>
        <v/>
      </c>
      <c r="AF1943" s="0" t="str">
        <f aca="false">IF(AA1943=1,"",IF(AND(AB1943=1,AD1943&lt;&gt;1),1,0))</f>
        <v/>
      </c>
      <c r="AG1943" s="0" t="str">
        <f aca="false">IF(AA1943=1,"",IF(AND(AC1943=1,AE1943&lt;&gt;1),1,0))</f>
        <v/>
      </c>
      <c r="AH1943" s="51" t="str">
        <f aca="false">IF(AND(E1943&gt;0,AA1943&lt;1,NOT(AND(C1944=C1943,AA1944=AA1943+1))),INDEX(DATAS,AA1943+1),"")</f>
        <v/>
      </c>
      <c r="AI1943" s="51" t="str">
        <f aca="false">IF(AND(AC1943=1,AA1943&lt;1),IF(AND(C1944=C1943,AA1944=AA1943+1),IF(AC1944=1,"",INDEX(DATAS,AA1943+1)),INDEX(DATAS,AA1943+1)),"")</f>
        <v/>
      </c>
    </row>
    <row r="1944" customFormat="false" ht="15" hidden="false" customHeight="false" outlineLevel="0" collapsed="false">
      <c r="A1944" s="51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46" t="s">
        <v>1129</v>
      </c>
      <c r="G1944" s="0" t="n">
        <v>39.2</v>
      </c>
      <c r="H1944" s="0" t="n">
        <v>40</v>
      </c>
      <c r="I1944" s="46" t="s">
        <v>161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X1944" s="46" t="n">
        <f aca="false">IF(I1944="Male",0,1)</f>
        <v>1</v>
      </c>
      <c r="Y1944" s="46" t="n">
        <f aca="false">IF(OR(I1944="DNB",I1944="Dry DNB"),1,0)</f>
        <v>0</v>
      </c>
      <c r="Z1944" s="0" t="str">
        <f aca="false">IF(ISNUMBER(W1944),A1944-W1944,"")</f>
        <v/>
      </c>
      <c r="AA1944" s="46" t="n">
        <f aca="false">MATCH(A1944,DATAS,0)</f>
        <v>1</v>
      </c>
      <c r="AB1944" s="46" t="n">
        <f aca="false">IF(AND(E1944&gt;0,OR(AND(B1944&gt;=1,B1944&lt;=6),B1944=10)),1,0)</f>
        <v>1</v>
      </c>
      <c r="AC1944" s="46" t="n">
        <f aca="false">IF(AND(E1944&gt;0,B1944=10),1,0)</f>
        <v>0</v>
      </c>
      <c r="AD1944" s="0" t="str">
        <f aca="false">IF(AND(C1943=C1944,AA1943=AA1944-1),AB1943,"")</f>
        <v/>
      </c>
      <c r="AE1944" s="0" t="str">
        <f aca="false">IF(AND(C1943=C1944,AA1943=AA1944-1),AC1943,"")</f>
        <v/>
      </c>
      <c r="AF1944" s="0" t="str">
        <f aca="false">IF(AA1944=1,"",IF(AND(AB1944=1,AD1944&lt;&gt;1),1,0))</f>
        <v/>
      </c>
      <c r="AG1944" s="0" t="str">
        <f aca="false">IF(AA1944=1,"",IF(AND(AC1944=1,AE1944&lt;&gt;1),1,0))</f>
        <v/>
      </c>
      <c r="AH1944" s="51" t="str">
        <f aca="false">IF(AND(E1944&gt;0,AA1944&lt;1,NOT(AND(C1945=C1944,AA1945=AA1944+1))),INDEX(DATAS,AA1944+1),"")</f>
        <v/>
      </c>
      <c r="AI1944" s="51" t="str">
        <f aca="false">IF(AND(AC1944=1,AA1944&lt;1),IF(AND(C1945=C1944,AA1945=AA1944+1),IF(AC1945=1,"",INDEX(DATAS,AA1944+1)),INDEX(DATAS,AA1944+1)),"")</f>
        <v/>
      </c>
    </row>
    <row r="1945" customFormat="false" ht="15" hidden="false" customHeight="false" outlineLevel="0" collapsed="false">
      <c r="A1945" s="51" t="n">
        <v>46309</v>
      </c>
      <c r="B1945" s="0" t="n">
        <v>8</v>
      </c>
      <c r="C1945" s="0" t="n">
        <v>6189</v>
      </c>
      <c r="E1945" s="0" t="n">
        <v>0</v>
      </c>
      <c r="F1945" s="46" t="s">
        <v>1129</v>
      </c>
      <c r="I1945" s="46" t="s">
        <v>152</v>
      </c>
      <c r="L1945" s="0" t="n">
        <v>210</v>
      </c>
      <c r="U1945" s="0" t="n">
        <v>653</v>
      </c>
      <c r="V1945" s="0" t="n">
        <v>3</v>
      </c>
      <c r="W1945" s="51" t="n">
        <v>46100</v>
      </c>
      <c r="X1945" s="46" t="n">
        <f aca="false">IF(I1945="Male",0,1)</f>
        <v>1</v>
      </c>
      <c r="Y1945" s="46" t="n">
        <f aca="false">IF(OR(I1945="DNB",I1945="Dry DNB"),1,0)</f>
        <v>0</v>
      </c>
      <c r="Z1945" s="46" t="n">
        <f aca="false">IF(ISNUMBER(W1945),A1945-W1945,"")</f>
        <v>209</v>
      </c>
      <c r="AA1945" s="46" t="n">
        <f aca="false">MATCH(A1945,DATAS,0)</f>
        <v>1</v>
      </c>
      <c r="AB1945" s="46" t="n">
        <f aca="false">IF(AND(E1945&gt;0,OR(AND(B1945&gt;=1,B1945&lt;=6),B1945=10)),1,0)</f>
        <v>0</v>
      </c>
      <c r="AC1945" s="46" t="n">
        <f aca="false">IF(AND(E1945&gt;0,B1945=10),1,0)</f>
        <v>0</v>
      </c>
      <c r="AD1945" s="0" t="str">
        <f aca="false">IF(AND(C1944=C1945,AA1944=AA1945-1),AB1944,"")</f>
        <v/>
      </c>
      <c r="AE1945" s="0" t="str">
        <f aca="false">IF(AND(C1944=C1945,AA1944=AA1945-1),AC1944,"")</f>
        <v/>
      </c>
      <c r="AF1945" s="0" t="str">
        <f aca="false">IF(AA1945=1,"",IF(AND(AB1945=1,AD1945&lt;&gt;1),1,0))</f>
        <v/>
      </c>
      <c r="AG1945" s="0" t="str">
        <f aca="false">IF(AA1945=1,"",IF(AND(AC1945=1,AE1945&lt;&gt;1),1,0))</f>
        <v/>
      </c>
      <c r="AH1945" s="51" t="str">
        <f aca="false">IF(AND(E1945&gt;0,AA1945&lt;1,NOT(AND(C1946=C1945,AA1946=AA1945+1))),INDEX(DATAS,AA1945+1),"")</f>
        <v/>
      </c>
      <c r="AI1945" s="51" t="str">
        <f aca="false">IF(AND(AC1945=1,AA1945&lt;1),IF(AND(C1946=C1945,AA1946=AA1945+1),IF(AC1946=1,"",INDEX(DATAS,AA1945+1)),INDEX(DATAS,AA1945+1)),"")</f>
        <v/>
      </c>
    </row>
    <row r="1946" customFormat="false" ht="15" hidden="false" customHeight="false" outlineLevel="0" collapsed="false">
      <c r="A1946" s="51" t="n">
        <v>46309</v>
      </c>
      <c r="B1946" s="0" t="n">
        <v>8</v>
      </c>
      <c r="C1946" s="0" t="n">
        <v>6190</v>
      </c>
      <c r="E1946" s="0" t="n">
        <v>0</v>
      </c>
      <c r="F1946" s="46" t="s">
        <v>1130</v>
      </c>
      <c r="I1946" s="46" t="s">
        <v>152</v>
      </c>
      <c r="L1946" s="0" t="n">
        <v>160</v>
      </c>
      <c r="U1946" s="0" t="n">
        <v>652</v>
      </c>
      <c r="V1946" s="0" t="n">
        <v>4</v>
      </c>
      <c r="W1946" s="51" t="n">
        <v>46150</v>
      </c>
      <c r="X1946" s="46" t="n">
        <f aca="false">IF(I1946="Male",0,1)</f>
        <v>1</v>
      </c>
      <c r="Y1946" s="46" t="n">
        <f aca="false">IF(OR(I1946="DNB",I1946="Dry DNB"),1,0)</f>
        <v>0</v>
      </c>
      <c r="Z1946" s="46" t="n">
        <f aca="false">IF(ISNUMBER(W1946),A1946-W1946,"")</f>
        <v>159</v>
      </c>
      <c r="AA1946" s="46" t="n">
        <f aca="false">MATCH(A1946,DATAS,0)</f>
        <v>1</v>
      </c>
      <c r="AB1946" s="46" t="n">
        <f aca="false">IF(AND(E1946&gt;0,OR(AND(B1946&gt;=1,B1946&lt;=6),B1946=10)),1,0)</f>
        <v>0</v>
      </c>
      <c r="AC1946" s="46" t="n">
        <f aca="false">IF(AND(E1946&gt;0,B1946=10),1,0)</f>
        <v>0</v>
      </c>
      <c r="AD1946" s="0" t="str">
        <f aca="false">IF(AND(C1945=C1946,AA1945=AA1946-1),AB1945,"")</f>
        <v/>
      </c>
      <c r="AE1946" s="0" t="str">
        <f aca="false">IF(AND(C1945=C1946,AA1945=AA1946-1),AC1945,"")</f>
        <v/>
      </c>
      <c r="AF1946" s="0" t="str">
        <f aca="false">IF(AA1946=1,"",IF(AND(AB1946=1,AD1946&lt;&gt;1),1,0))</f>
        <v/>
      </c>
      <c r="AG1946" s="0" t="str">
        <f aca="false">IF(AA1946=1,"",IF(AND(AC1946=1,AE1946&lt;&gt;1),1,0))</f>
        <v/>
      </c>
      <c r="AH1946" s="51" t="str">
        <f aca="false">IF(AND(E1946&gt;0,AA1946&lt;1,NOT(AND(C1947=C1946,AA1947=AA1946+1))),INDEX(DATAS,AA1946+1),"")</f>
        <v/>
      </c>
      <c r="AI1946" s="51" t="str">
        <f aca="false">IF(AND(AC1946=1,AA1946&lt;1),IF(AND(C1947=C1946,AA1947=AA1946+1),IF(AC1947=1,"",INDEX(DATAS,AA1946+1)),INDEX(DATAS,AA1946+1)),"")</f>
        <v/>
      </c>
    </row>
    <row r="1947" customFormat="false" ht="15" hidden="false" customHeight="false" outlineLevel="0" collapsed="false">
      <c r="A1947" s="51" t="n">
        <v>46309</v>
      </c>
      <c r="B1947" s="0" t="n">
        <v>8</v>
      </c>
      <c r="C1947" s="0" t="n">
        <v>6191</v>
      </c>
      <c r="E1947" s="0" t="n">
        <v>0</v>
      </c>
      <c r="F1947" s="46" t="s">
        <v>1131</v>
      </c>
      <c r="I1947" s="46" t="s">
        <v>152</v>
      </c>
      <c r="L1947" s="0" t="n">
        <v>109</v>
      </c>
      <c r="U1947" s="0" t="n">
        <v>651</v>
      </c>
      <c r="V1947" s="0" t="n">
        <v>6</v>
      </c>
      <c r="W1947" s="51" t="n">
        <v>46201</v>
      </c>
      <c r="X1947" s="46" t="n">
        <f aca="false">IF(I1947="Male",0,1)</f>
        <v>1</v>
      </c>
      <c r="Y1947" s="46" t="n">
        <f aca="false">IF(OR(I1947="DNB",I1947="Dry DNB"),1,0)</f>
        <v>0</v>
      </c>
      <c r="Z1947" s="46" t="n">
        <f aca="false">IF(ISNUMBER(W1947),A1947-W1947,"")</f>
        <v>108</v>
      </c>
      <c r="AA1947" s="46" t="n">
        <f aca="false">MATCH(A1947,DATAS,0)</f>
        <v>1</v>
      </c>
      <c r="AB1947" s="46" t="n">
        <f aca="false">IF(AND(E1947&gt;0,OR(AND(B1947&gt;=1,B1947&lt;=6),B1947=10)),1,0)</f>
        <v>0</v>
      </c>
      <c r="AC1947" s="46" t="n">
        <f aca="false">IF(AND(E1947&gt;0,B1947=10),1,0)</f>
        <v>0</v>
      </c>
      <c r="AD1947" s="0" t="str">
        <f aca="false">IF(AND(C1946=C1947,AA1946=AA1947-1),AB1946,"")</f>
        <v/>
      </c>
      <c r="AE1947" s="0" t="str">
        <f aca="false">IF(AND(C1946=C1947,AA1946=AA1947-1),AC1946,"")</f>
        <v/>
      </c>
      <c r="AF1947" s="0" t="str">
        <f aca="false">IF(AA1947=1,"",IF(AND(AB1947=1,AD1947&lt;&gt;1),1,0))</f>
        <v/>
      </c>
      <c r="AG1947" s="0" t="str">
        <f aca="false">IF(AA1947=1,"",IF(AND(AC1947=1,AE1947&lt;&gt;1),1,0))</f>
        <v/>
      </c>
      <c r="AH1947" s="51" t="str">
        <f aca="false">IF(AND(E1947&gt;0,AA1947&lt;1,NOT(AND(C1948=C1947,AA1948=AA1947+1))),INDEX(DATAS,AA1947+1),"")</f>
        <v/>
      </c>
      <c r="AI1947" s="51" t="str">
        <f aca="false">IF(AND(AC1947=1,AA1947&lt;1),IF(AND(C1948=C1947,AA1948=AA1947+1),IF(AC1948=1,"",INDEX(DATAS,AA1947+1)),INDEX(DATAS,AA1947+1)),"")</f>
        <v/>
      </c>
    </row>
    <row r="1948" customFormat="false" ht="15" hidden="false" customHeight="false" outlineLevel="0" collapsed="false">
      <c r="A1948" s="51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46" t="s">
        <v>1131</v>
      </c>
      <c r="G1948" s="0" t="n">
        <v>29.3</v>
      </c>
      <c r="H1948" s="0" t="n">
        <v>24</v>
      </c>
      <c r="I1948" s="46" t="s">
        <v>161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X1948" s="46" t="n">
        <f aca="false">IF(I1948="Male",0,1)</f>
        <v>1</v>
      </c>
      <c r="Y1948" s="46" t="n">
        <f aca="false">IF(OR(I1948="DNB",I1948="Dry DNB"),1,0)</f>
        <v>0</v>
      </c>
      <c r="Z1948" s="0" t="str">
        <f aca="false">IF(ISNUMBER(W1948),A1948-W1948,"")</f>
        <v/>
      </c>
      <c r="AA1948" s="46" t="n">
        <f aca="false">MATCH(A1948,DATAS,0)</f>
        <v>1</v>
      </c>
      <c r="AB1948" s="46" t="n">
        <f aca="false">IF(AND(E1948&gt;0,OR(AND(B1948&gt;=1,B1948&lt;=6),B1948=10)),1,0)</f>
        <v>1</v>
      </c>
      <c r="AC1948" s="46" t="n">
        <f aca="false">IF(AND(E1948&gt;0,B1948=10),1,0)</f>
        <v>0</v>
      </c>
      <c r="AD1948" s="0" t="str">
        <f aca="false">IF(AND(C1947=C1948,AA1947=AA1948-1),AB1947,"")</f>
        <v/>
      </c>
      <c r="AE1948" s="0" t="str">
        <f aca="false">IF(AND(C1947=C1948,AA1947=AA1948-1),AC1947,"")</f>
        <v/>
      </c>
      <c r="AF1948" s="0" t="str">
        <f aca="false">IF(AA1948=1,"",IF(AND(AB1948=1,AD1948&lt;&gt;1),1,0))</f>
        <v/>
      </c>
      <c r="AG1948" s="0" t="str">
        <f aca="false">IF(AA1948=1,"",IF(AND(AC1948=1,AE1948&lt;&gt;1),1,0))</f>
        <v/>
      </c>
      <c r="AH1948" s="51" t="str">
        <f aca="false">IF(AND(E1948&gt;0,AA1948&lt;1,NOT(AND(C1949=C1948,AA1949=AA1948+1))),INDEX(DATAS,AA1948+1),"")</f>
        <v/>
      </c>
      <c r="AI1948" s="51" t="str">
        <f aca="false">IF(AND(AC1948=1,AA1948&lt;1),IF(AND(C1949=C1948,AA1949=AA1948+1),IF(AC1949=1,"",INDEX(DATAS,AA1948+1)),INDEX(DATAS,AA1948+1)),"")</f>
        <v/>
      </c>
    </row>
    <row r="1949" customFormat="false" ht="15" hidden="false" customHeight="false" outlineLevel="0" collapsed="false">
      <c r="A1949" s="51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46" t="s">
        <v>1131</v>
      </c>
      <c r="G1949" s="0" t="n">
        <v>16.3</v>
      </c>
      <c r="H1949" s="0" t="n">
        <v>13</v>
      </c>
      <c r="I1949" s="46" t="s">
        <v>161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X1949" s="46" t="n">
        <f aca="false">IF(I1949="Male",0,1)</f>
        <v>1</v>
      </c>
      <c r="Y1949" s="46" t="n">
        <f aca="false">IF(OR(I1949="DNB",I1949="Dry DNB"),1,0)</f>
        <v>0</v>
      </c>
      <c r="Z1949" s="0" t="str">
        <f aca="false">IF(ISNUMBER(W1949),A1949-W1949,"")</f>
        <v/>
      </c>
      <c r="AA1949" s="46" t="n">
        <f aca="false">MATCH(A1949,DATAS,0)</f>
        <v>1</v>
      </c>
      <c r="AB1949" s="46" t="n">
        <f aca="false">IF(AND(E1949&gt;0,OR(AND(B1949&gt;=1,B1949&lt;=6),B1949=10)),1,0)</f>
        <v>1</v>
      </c>
      <c r="AC1949" s="46" t="n">
        <f aca="false">IF(AND(E1949&gt;0,B1949=10),1,0)</f>
        <v>0</v>
      </c>
      <c r="AD1949" s="0" t="str">
        <f aca="false">IF(AND(C1948=C1949,AA1948=AA1949-1),AB1948,"")</f>
        <v/>
      </c>
      <c r="AE1949" s="0" t="str">
        <f aca="false">IF(AND(C1948=C1949,AA1948=AA1949-1),AC1948,"")</f>
        <v/>
      </c>
      <c r="AF1949" s="0" t="str">
        <f aca="false">IF(AA1949=1,"",IF(AND(AB1949=1,AD1949&lt;&gt;1),1,0))</f>
        <v/>
      </c>
      <c r="AG1949" s="0" t="str">
        <f aca="false">IF(AA1949=1,"",IF(AND(AC1949=1,AE1949&lt;&gt;1),1,0))</f>
        <v/>
      </c>
      <c r="AH1949" s="51" t="str">
        <f aca="false">IF(AND(E1949&gt;0,AA1949&lt;1,NOT(AND(C1950=C1949,AA1950=AA1949+1))),INDEX(DATAS,AA1949+1),"")</f>
        <v/>
      </c>
      <c r="AI1949" s="51" t="str">
        <f aca="false">IF(AND(AC1949=1,AA1949&lt;1),IF(AND(C1950=C1949,AA1950=AA1949+1),IF(AC1950=1,"",INDEX(DATAS,AA1949+1)),INDEX(DATAS,AA1949+1)),"")</f>
        <v/>
      </c>
    </row>
    <row r="1950" customFormat="false" ht="15" hidden="false" customHeight="false" outlineLevel="0" collapsed="false">
      <c r="A1950" s="51" t="n">
        <v>46309</v>
      </c>
      <c r="B1950" s="0" t="n">
        <v>13</v>
      </c>
      <c r="C1950" s="0" t="n">
        <v>6196</v>
      </c>
      <c r="E1950" s="0" t="n">
        <v>0</v>
      </c>
      <c r="F1950" s="46" t="s">
        <v>1132</v>
      </c>
      <c r="I1950" s="46" t="s">
        <v>189</v>
      </c>
      <c r="U1950" s="0" t="n">
        <v>649</v>
      </c>
      <c r="V1950" s="0" t="n">
        <v>0</v>
      </c>
      <c r="X1950" s="46" t="n">
        <f aca="false">IF(I1950="Male",0,1)</f>
        <v>1</v>
      </c>
      <c r="Y1950" s="46" t="n">
        <f aca="false">IF(OR(I1950="DNB",I1950="Dry DNB"),1,0)</f>
        <v>0</v>
      </c>
      <c r="Z1950" s="0" t="str">
        <f aca="false">IF(ISNUMBER(W1950),A1950-W1950,"")</f>
        <v/>
      </c>
      <c r="AA1950" s="46" t="n">
        <f aca="false">MATCH(A1950,DATAS,0)</f>
        <v>1</v>
      </c>
      <c r="AB1950" s="46" t="n">
        <f aca="false">IF(AND(E1950&gt;0,OR(AND(B1950&gt;=1,B1950&lt;=6),B1950=10)),1,0)</f>
        <v>0</v>
      </c>
      <c r="AC1950" s="46" t="n">
        <f aca="false">IF(AND(E1950&gt;0,B1950=10),1,0)</f>
        <v>0</v>
      </c>
      <c r="AD1950" s="0" t="str">
        <f aca="false">IF(AND(C1949=C1950,AA1949=AA1950-1),AB1949,"")</f>
        <v/>
      </c>
      <c r="AE1950" s="0" t="str">
        <f aca="false">IF(AND(C1949=C1950,AA1949=AA1950-1),AC1949,"")</f>
        <v/>
      </c>
      <c r="AF1950" s="0" t="str">
        <f aca="false">IF(AA1950=1,"",IF(AND(AB1950=1,AD1950&lt;&gt;1),1,0))</f>
        <v/>
      </c>
      <c r="AG1950" s="0" t="str">
        <f aca="false">IF(AA1950=1,"",IF(AND(AC1950=1,AE1950&lt;&gt;1),1,0))</f>
        <v/>
      </c>
      <c r="AH1950" s="51" t="str">
        <f aca="false">IF(AND(E1950&gt;0,AA1950&lt;1,NOT(AND(C1951=C1950,AA1951=AA1950+1))),INDEX(DATAS,AA1950+1),"")</f>
        <v/>
      </c>
      <c r="AI1950" s="51" t="str">
        <f aca="false">IF(AND(AC1950=1,AA1950&lt;1),IF(AND(C1951=C1950,AA1951=AA1950+1),IF(AC1951=1,"",INDEX(DATAS,AA1950+1)),INDEX(DATAS,AA1950+1)),"")</f>
        <v/>
      </c>
    </row>
    <row r="1951" customFormat="false" ht="15" hidden="false" customHeight="false" outlineLevel="0" collapsed="false">
      <c r="A1951" s="51" t="n">
        <v>46309</v>
      </c>
      <c r="B1951" s="0" t="n">
        <v>8</v>
      </c>
      <c r="C1951" s="0" t="n">
        <v>6197</v>
      </c>
      <c r="E1951" s="0" t="n">
        <v>0</v>
      </c>
      <c r="F1951" s="46" t="s">
        <v>1132</v>
      </c>
      <c r="I1951" s="46" t="s">
        <v>152</v>
      </c>
      <c r="L1951" s="0" t="n">
        <v>78</v>
      </c>
      <c r="U1951" s="0" t="n">
        <v>649</v>
      </c>
      <c r="V1951" s="0" t="n">
        <v>7</v>
      </c>
      <c r="W1951" s="51" t="n">
        <v>46232</v>
      </c>
      <c r="X1951" s="46" t="n">
        <f aca="false">IF(I1951="Male",0,1)</f>
        <v>1</v>
      </c>
      <c r="Y1951" s="46" t="n">
        <f aca="false">IF(OR(I1951="DNB",I1951="Dry DNB"),1,0)</f>
        <v>0</v>
      </c>
      <c r="Z1951" s="46" t="n">
        <f aca="false">IF(ISNUMBER(W1951),A1951-W1951,"")</f>
        <v>77</v>
      </c>
      <c r="AA1951" s="46" t="n">
        <f aca="false">MATCH(A1951,DATAS,0)</f>
        <v>1</v>
      </c>
      <c r="AB1951" s="46" t="n">
        <f aca="false">IF(AND(E1951&gt;0,OR(AND(B1951&gt;=1,B1951&lt;=6),B1951=10)),1,0)</f>
        <v>0</v>
      </c>
      <c r="AC1951" s="46" t="n">
        <f aca="false">IF(AND(E1951&gt;0,B1951=10),1,0)</f>
        <v>0</v>
      </c>
      <c r="AD1951" s="0" t="str">
        <f aca="false">IF(AND(C1950=C1951,AA1950=AA1951-1),AB1950,"")</f>
        <v/>
      </c>
      <c r="AE1951" s="0" t="str">
        <f aca="false">IF(AND(C1950=C1951,AA1950=AA1951-1),AC1950,"")</f>
        <v/>
      </c>
      <c r="AF1951" s="0" t="str">
        <f aca="false">IF(AA1951=1,"",IF(AND(AB1951=1,AD1951&lt;&gt;1),1,0))</f>
        <v/>
      </c>
      <c r="AG1951" s="0" t="str">
        <f aca="false">IF(AA1951=1,"",IF(AND(AC1951=1,AE1951&lt;&gt;1),1,0))</f>
        <v/>
      </c>
      <c r="AH1951" s="51" t="str">
        <f aca="false">IF(AND(E1951&gt;0,AA1951&lt;1,NOT(AND(C1952=C1951,AA1952=AA1951+1))),INDEX(DATAS,AA1951+1),"")</f>
        <v/>
      </c>
      <c r="AI1951" s="51" t="str">
        <f aca="false">IF(AND(AC1951=1,AA1951&lt;1),IF(AND(C1952=C1951,AA1952=AA1951+1),IF(AC1952=1,"",INDEX(DATAS,AA1951+1)),INDEX(DATAS,AA1951+1)),"")</f>
        <v/>
      </c>
    </row>
    <row r="1952" customFormat="false" ht="15" hidden="false" customHeight="false" outlineLevel="0" collapsed="false">
      <c r="A1952" s="51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46" t="s">
        <v>1133</v>
      </c>
      <c r="H1952" s="0" t="n">
        <v>21</v>
      </c>
      <c r="I1952" s="46" t="s">
        <v>161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X1952" s="46" t="n">
        <f aca="false">IF(I1952="Male",0,1)</f>
        <v>1</v>
      </c>
      <c r="Y1952" s="46" t="n">
        <f aca="false">IF(OR(I1952="DNB",I1952="Dry DNB"),1,0)</f>
        <v>0</v>
      </c>
      <c r="Z1952" s="0" t="str">
        <f aca="false">IF(ISNUMBER(W1952),A1952-W1952,"")</f>
        <v/>
      </c>
      <c r="AA1952" s="46" t="n">
        <f aca="false">MATCH(A1952,DATAS,0)</f>
        <v>1</v>
      </c>
      <c r="AB1952" s="46" t="n">
        <f aca="false">IF(AND(E1952&gt;0,OR(AND(B1952&gt;=1,B1952&lt;=6),B1952=10)),1,0)</f>
        <v>1</v>
      </c>
      <c r="AC1952" s="46" t="n">
        <f aca="false">IF(AND(E1952&gt;0,B1952=10),1,0)</f>
        <v>1</v>
      </c>
      <c r="AD1952" s="0" t="str">
        <f aca="false">IF(AND(C1951=C1952,AA1951=AA1952-1),AB1951,"")</f>
        <v/>
      </c>
      <c r="AE1952" s="0" t="str">
        <f aca="false">IF(AND(C1951=C1952,AA1951=AA1952-1),AC1951,"")</f>
        <v/>
      </c>
      <c r="AF1952" s="0" t="str">
        <f aca="false">IF(AA1952=1,"",IF(AND(AB1952=1,AD1952&lt;&gt;1),1,0))</f>
        <v/>
      </c>
      <c r="AG1952" s="0" t="str">
        <f aca="false">IF(AA1952=1,"",IF(AND(AC1952=1,AE1952&lt;&gt;1),1,0))</f>
        <v/>
      </c>
      <c r="AH1952" s="51" t="str">
        <f aca="false">IF(AND(E1952&gt;0,AA1952&lt;1,NOT(AND(C1953=C1952,AA1953=AA1952+1))),INDEX(DATAS,AA1952+1),"")</f>
        <v/>
      </c>
      <c r="AI1952" s="51" t="str">
        <f aca="false">IF(AND(AC1952=1,AA1952&lt;1),IF(AND(C1953=C1952,AA1953=AA1952+1),IF(AC1953=1,"",INDEX(DATAS,AA1952+1)),INDEX(DATAS,AA1952+1)),"")</f>
        <v/>
      </c>
    </row>
    <row r="1953" customFormat="false" ht="15" hidden="false" customHeight="false" outlineLevel="0" collapsed="false">
      <c r="A1953" s="51" t="n">
        <v>46309</v>
      </c>
      <c r="B1953" s="0" t="n">
        <v>14</v>
      </c>
      <c r="C1953" s="0" t="n">
        <v>6200</v>
      </c>
      <c r="E1953" s="0" t="n">
        <v>0</v>
      </c>
      <c r="F1953" s="46" t="s">
        <v>1133</v>
      </c>
      <c r="I1953" s="46" t="s">
        <v>152</v>
      </c>
      <c r="L1953" s="0" t="n">
        <v>283</v>
      </c>
      <c r="U1953" s="0" t="n">
        <v>647</v>
      </c>
      <c r="V1953" s="0" t="n">
        <v>1</v>
      </c>
      <c r="W1953" s="51" t="n">
        <v>46027</v>
      </c>
      <c r="X1953" s="46" t="n">
        <f aca="false">IF(I1953="Male",0,1)</f>
        <v>1</v>
      </c>
      <c r="Y1953" s="46" t="n">
        <f aca="false">IF(OR(I1953="DNB",I1953="Dry DNB"),1,0)</f>
        <v>0</v>
      </c>
      <c r="Z1953" s="46" t="n">
        <f aca="false">IF(ISNUMBER(W1953),A1953-W1953,"")</f>
        <v>282</v>
      </c>
      <c r="AA1953" s="46" t="n">
        <f aca="false">MATCH(A1953,DATAS,0)</f>
        <v>1</v>
      </c>
      <c r="AB1953" s="46" t="n">
        <f aca="false">IF(AND(E1953&gt;0,OR(AND(B1953&gt;=1,B1953&lt;=6),B1953=10)),1,0)</f>
        <v>0</v>
      </c>
      <c r="AC1953" s="46" t="n">
        <f aca="false">IF(AND(E1953&gt;0,B1953=10),1,0)</f>
        <v>0</v>
      </c>
      <c r="AD1953" s="0" t="str">
        <f aca="false">IF(AND(C1952=C1953,AA1952=AA1953-1),AB1952,"")</f>
        <v/>
      </c>
      <c r="AE1953" s="0" t="str">
        <f aca="false">IF(AND(C1952=C1953,AA1952=AA1953-1),AC1952,"")</f>
        <v/>
      </c>
      <c r="AF1953" s="0" t="str">
        <f aca="false">IF(AA1953=1,"",IF(AND(AB1953=1,AD1953&lt;&gt;1),1,0))</f>
        <v/>
      </c>
      <c r="AG1953" s="0" t="str">
        <f aca="false">IF(AA1953=1,"",IF(AND(AC1953=1,AE1953&lt;&gt;1),1,0))</f>
        <v/>
      </c>
      <c r="AH1953" s="51" t="str">
        <f aca="false">IF(AND(E1953&gt;0,AA1953&lt;1,NOT(AND(C1954=C1953,AA1954=AA1953+1))),INDEX(DATAS,AA1953+1),"")</f>
        <v/>
      </c>
      <c r="AI1953" s="51" t="str">
        <f aca="false">IF(AND(AC1953=1,AA1953&lt;1),IF(AND(C1954=C1953,AA1954=AA1953+1),IF(AC1954=1,"",INDEX(DATAS,AA1953+1)),INDEX(DATAS,AA1953+1)),"")</f>
        <v/>
      </c>
    </row>
    <row r="1954" customFormat="false" ht="15" hidden="false" customHeight="false" outlineLevel="0" collapsed="false">
      <c r="A1954" s="51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46" t="s">
        <v>1133</v>
      </c>
      <c r="G1954" s="0" t="n">
        <v>27.2</v>
      </c>
      <c r="H1954" s="0" t="n">
        <v>24</v>
      </c>
      <c r="I1954" s="46" t="s">
        <v>161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X1954" s="46" t="n">
        <f aca="false">IF(I1954="Male",0,1)</f>
        <v>1</v>
      </c>
      <c r="Y1954" s="46" t="n">
        <f aca="false">IF(OR(I1954="DNB",I1954="Dry DNB"),1,0)</f>
        <v>0</v>
      </c>
      <c r="Z1954" s="0" t="str">
        <f aca="false">IF(ISNUMBER(W1954),A1954-W1954,"")</f>
        <v/>
      </c>
      <c r="AA1954" s="46" t="n">
        <f aca="false">MATCH(A1954,DATAS,0)</f>
        <v>1</v>
      </c>
      <c r="AB1954" s="46" t="n">
        <f aca="false">IF(AND(E1954&gt;0,OR(AND(B1954&gt;=1,B1954&lt;=6),B1954=10)),1,0)</f>
        <v>1</v>
      </c>
      <c r="AC1954" s="46" t="n">
        <f aca="false">IF(AND(E1954&gt;0,B1954=10),1,0)</f>
        <v>0</v>
      </c>
      <c r="AD1954" s="0" t="str">
        <f aca="false">IF(AND(C1953=C1954,AA1953=AA1954-1),AB1953,"")</f>
        <v/>
      </c>
      <c r="AE1954" s="0" t="str">
        <f aca="false">IF(AND(C1953=C1954,AA1953=AA1954-1),AC1953,"")</f>
        <v/>
      </c>
      <c r="AF1954" s="0" t="str">
        <f aca="false">IF(AA1954=1,"",IF(AND(AB1954=1,AD1954&lt;&gt;1),1,0))</f>
        <v/>
      </c>
      <c r="AG1954" s="0" t="str">
        <f aca="false">IF(AA1954=1,"",IF(AND(AC1954=1,AE1954&lt;&gt;1),1,0))</f>
        <v/>
      </c>
      <c r="AH1954" s="51" t="str">
        <f aca="false">IF(AND(E1954&gt;0,AA1954&lt;1,NOT(AND(C1955=C1954,AA1955=AA1954+1))),INDEX(DATAS,AA1954+1),"")</f>
        <v/>
      </c>
      <c r="AI1954" s="51" t="str">
        <f aca="false">IF(AND(AC1954=1,AA1954&lt;1),IF(AND(C1955=C1954,AA1955=AA1954+1),IF(AC1955=1,"",INDEX(DATAS,AA1954+1)),INDEX(DATAS,AA1954+1)),"")</f>
        <v/>
      </c>
    </row>
    <row r="1955" customFormat="false" ht="15" hidden="false" customHeight="false" outlineLevel="0" collapsed="false">
      <c r="A1955" s="51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46" t="s">
        <v>1133</v>
      </c>
      <c r="I1955" s="46" t="s">
        <v>161</v>
      </c>
      <c r="J1955" s="0" t="n">
        <v>14</v>
      </c>
      <c r="U1955" s="0" t="n">
        <v>647</v>
      </c>
      <c r="V1955" s="0" t="n">
        <v>0</v>
      </c>
      <c r="X1955" s="46" t="n">
        <f aca="false">IF(I1955="Male",0,1)</f>
        <v>1</v>
      </c>
      <c r="Y1955" s="46" t="n">
        <f aca="false">IF(OR(I1955="DNB",I1955="Dry DNB"),1,0)</f>
        <v>0</v>
      </c>
      <c r="Z1955" s="0" t="str">
        <f aca="false">IF(ISNUMBER(W1955),A1955-W1955,"")</f>
        <v/>
      </c>
      <c r="AA1955" s="46" t="n">
        <f aca="false">MATCH(A1955,DATAS,0)</f>
        <v>1</v>
      </c>
      <c r="AB1955" s="46" t="n">
        <f aca="false">IF(AND(E1955&gt;0,OR(AND(B1955&gt;=1,B1955&lt;=6),B1955=10)),1,0)</f>
        <v>1</v>
      </c>
      <c r="AC1955" s="46" t="n">
        <f aca="false">IF(AND(E1955&gt;0,B1955=10),1,0)</f>
        <v>0</v>
      </c>
      <c r="AD1955" s="0" t="str">
        <f aca="false">IF(AND(C1954=C1955,AA1954=AA1955-1),AB1954,"")</f>
        <v/>
      </c>
      <c r="AE1955" s="0" t="str">
        <f aca="false">IF(AND(C1954=C1955,AA1954=AA1955-1),AC1954,"")</f>
        <v/>
      </c>
      <c r="AF1955" s="0" t="str">
        <f aca="false">IF(AA1955=1,"",IF(AND(AB1955=1,AD1955&lt;&gt;1),1,0))</f>
        <v/>
      </c>
      <c r="AG1955" s="0" t="str">
        <f aca="false">IF(AA1955=1,"",IF(AND(AC1955=1,AE1955&lt;&gt;1),1,0))</f>
        <v/>
      </c>
      <c r="AH1955" s="51" t="str">
        <f aca="false">IF(AND(E1955&gt;0,AA1955&lt;1,NOT(AND(C1956=C1955,AA1956=AA1955+1))),INDEX(DATAS,AA1955+1),"")</f>
        <v/>
      </c>
      <c r="AI1955" s="51" t="str">
        <f aca="false">IF(AND(AC1955=1,AA1955&lt;1),IF(AND(C1956=C1955,AA1956=AA1955+1),IF(AC1956=1,"",INDEX(DATAS,AA1955+1)),INDEX(DATAS,AA1955+1)),"")</f>
        <v/>
      </c>
    </row>
    <row r="1956" customFormat="false" ht="15" hidden="false" customHeight="false" outlineLevel="0" collapsed="false">
      <c r="A1956" s="51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46" t="s">
        <v>1134</v>
      </c>
      <c r="I1956" s="46" t="s">
        <v>161</v>
      </c>
      <c r="J1956" s="0" t="n">
        <v>11</v>
      </c>
      <c r="U1956" s="0" t="n">
        <v>646</v>
      </c>
      <c r="V1956" s="0" t="n">
        <v>0</v>
      </c>
      <c r="X1956" s="46" t="n">
        <f aca="false">IF(I1956="Male",0,1)</f>
        <v>1</v>
      </c>
      <c r="Y1956" s="46" t="n">
        <f aca="false">IF(OR(I1956="DNB",I1956="Dry DNB"),1,0)</f>
        <v>0</v>
      </c>
      <c r="Z1956" s="0" t="str">
        <f aca="false">IF(ISNUMBER(W1956),A1956-W1956,"")</f>
        <v/>
      </c>
      <c r="AA1956" s="46" t="n">
        <f aca="false">MATCH(A1956,DATAS,0)</f>
        <v>1</v>
      </c>
      <c r="AB1956" s="46" t="n">
        <f aca="false">IF(AND(E1956&gt;0,OR(AND(B1956&gt;=1,B1956&lt;=6),B1956=10)),1,0)</f>
        <v>1</v>
      </c>
      <c r="AC1956" s="46" t="n">
        <f aca="false">IF(AND(E1956&gt;0,B1956=10),1,0)</f>
        <v>0</v>
      </c>
      <c r="AD1956" s="0" t="str">
        <f aca="false">IF(AND(C1955=C1956,AA1955=AA1956-1),AB1955,"")</f>
        <v/>
      </c>
      <c r="AE1956" s="0" t="str">
        <f aca="false">IF(AND(C1955=C1956,AA1955=AA1956-1),AC1955,"")</f>
        <v/>
      </c>
      <c r="AF1956" s="0" t="str">
        <f aca="false">IF(AA1956=1,"",IF(AND(AB1956=1,AD1956&lt;&gt;1),1,0))</f>
        <v/>
      </c>
      <c r="AG1956" s="0" t="str">
        <f aca="false">IF(AA1956=1,"",IF(AND(AC1956=1,AE1956&lt;&gt;1),1,0))</f>
        <v/>
      </c>
      <c r="AH1956" s="51" t="str">
        <f aca="false">IF(AND(E1956&gt;0,AA1956&lt;1,NOT(AND(C1957=C1956,AA1957=AA1956+1))),INDEX(DATAS,AA1956+1),"")</f>
        <v/>
      </c>
      <c r="AI1956" s="51" t="str">
        <f aca="false">IF(AND(AC1956=1,AA1956&lt;1),IF(AND(C1957=C1956,AA1957=AA1956+1),IF(AC1957=1,"",INDEX(DATAS,AA1956+1)),INDEX(DATAS,AA1956+1)),"")</f>
        <v/>
      </c>
    </row>
    <row r="1957" customFormat="false" ht="15" hidden="false" customHeight="false" outlineLevel="0" collapsed="false">
      <c r="A1957" s="51" t="n">
        <v>46309</v>
      </c>
      <c r="B1957" s="0" t="n">
        <v>14</v>
      </c>
      <c r="C1957" s="0" t="n">
        <v>6209</v>
      </c>
      <c r="E1957" s="0" t="n">
        <v>0</v>
      </c>
      <c r="F1957" s="46" t="s">
        <v>1135</v>
      </c>
      <c r="I1957" s="46" t="s">
        <v>152</v>
      </c>
      <c r="L1957" s="0" t="n">
        <v>261</v>
      </c>
      <c r="U1957" s="0" t="n">
        <v>644</v>
      </c>
      <c r="V1957" s="0" t="n">
        <v>1</v>
      </c>
      <c r="W1957" s="51" t="n">
        <v>46049</v>
      </c>
      <c r="X1957" s="46" t="n">
        <f aca="false">IF(I1957="Male",0,1)</f>
        <v>1</v>
      </c>
      <c r="Y1957" s="46" t="n">
        <f aca="false">IF(OR(I1957="DNB",I1957="Dry DNB"),1,0)</f>
        <v>0</v>
      </c>
      <c r="Z1957" s="46" t="n">
        <f aca="false">IF(ISNUMBER(W1957),A1957-W1957,"")</f>
        <v>260</v>
      </c>
      <c r="AA1957" s="46" t="n">
        <f aca="false">MATCH(A1957,DATAS,0)</f>
        <v>1</v>
      </c>
      <c r="AB1957" s="46" t="n">
        <f aca="false">IF(AND(E1957&gt;0,OR(AND(B1957&gt;=1,B1957&lt;=6),B1957=10)),1,0)</f>
        <v>0</v>
      </c>
      <c r="AC1957" s="46" t="n">
        <f aca="false">IF(AND(E1957&gt;0,B1957=10),1,0)</f>
        <v>0</v>
      </c>
      <c r="AD1957" s="0" t="str">
        <f aca="false">IF(AND(C1956=C1957,AA1956=AA1957-1),AB1956,"")</f>
        <v/>
      </c>
      <c r="AE1957" s="0" t="str">
        <f aca="false">IF(AND(C1956=C1957,AA1956=AA1957-1),AC1956,"")</f>
        <v/>
      </c>
      <c r="AF1957" s="0" t="str">
        <f aca="false">IF(AA1957=1,"",IF(AND(AB1957=1,AD1957&lt;&gt;1),1,0))</f>
        <v/>
      </c>
      <c r="AG1957" s="0" t="str">
        <f aca="false">IF(AA1957=1,"",IF(AND(AC1957=1,AE1957&lt;&gt;1),1,0))</f>
        <v/>
      </c>
      <c r="AH1957" s="51" t="str">
        <f aca="false">IF(AND(E1957&gt;0,AA1957&lt;1,NOT(AND(C1958=C1957,AA1958=AA1957+1))),INDEX(DATAS,AA1957+1),"")</f>
        <v/>
      </c>
      <c r="AI1957" s="51" t="str">
        <f aca="false">IF(AND(AC1957=1,AA1957&lt;1),IF(AND(C1958=C1957,AA1958=AA1957+1),IF(AC1958=1,"",INDEX(DATAS,AA1957+1)),INDEX(DATAS,AA1957+1)),"")</f>
        <v/>
      </c>
    </row>
    <row r="1958" customFormat="false" ht="15" hidden="false" customHeight="false" outlineLevel="0" collapsed="false">
      <c r="A1958" s="51" t="n">
        <v>46309</v>
      </c>
      <c r="B1958" s="0" t="n">
        <v>14</v>
      </c>
      <c r="C1958" s="0" t="n">
        <v>6211</v>
      </c>
      <c r="E1958" s="0" t="n">
        <v>0</v>
      </c>
      <c r="F1958" s="46" t="s">
        <v>1136</v>
      </c>
      <c r="I1958" s="46" t="s">
        <v>152</v>
      </c>
      <c r="L1958" s="0" t="n">
        <v>265</v>
      </c>
      <c r="U1958" s="0" t="n">
        <v>643</v>
      </c>
      <c r="V1958" s="0" t="n">
        <v>1</v>
      </c>
      <c r="W1958" s="51" t="n">
        <v>46045</v>
      </c>
      <c r="X1958" s="46" t="n">
        <f aca="false">IF(I1958="Male",0,1)</f>
        <v>1</v>
      </c>
      <c r="Y1958" s="46" t="n">
        <f aca="false">IF(OR(I1958="DNB",I1958="Dry DNB"),1,0)</f>
        <v>0</v>
      </c>
      <c r="Z1958" s="46" t="n">
        <f aca="false">IF(ISNUMBER(W1958),A1958-W1958,"")</f>
        <v>264</v>
      </c>
      <c r="AA1958" s="46" t="n">
        <f aca="false">MATCH(A1958,DATAS,0)</f>
        <v>1</v>
      </c>
      <c r="AB1958" s="46" t="n">
        <f aca="false">IF(AND(E1958&gt;0,OR(AND(B1958&gt;=1,B1958&lt;=6),B1958=10)),1,0)</f>
        <v>0</v>
      </c>
      <c r="AC1958" s="46" t="n">
        <f aca="false">IF(AND(E1958&gt;0,B1958=10),1,0)</f>
        <v>0</v>
      </c>
      <c r="AD1958" s="0" t="str">
        <f aca="false">IF(AND(C1957=C1958,AA1957=AA1958-1),AB1957,"")</f>
        <v/>
      </c>
      <c r="AE1958" s="0" t="str">
        <f aca="false">IF(AND(C1957=C1958,AA1957=AA1958-1),AC1957,"")</f>
        <v/>
      </c>
      <c r="AF1958" s="0" t="str">
        <f aca="false">IF(AA1958=1,"",IF(AND(AB1958=1,AD1958&lt;&gt;1),1,0))</f>
        <v/>
      </c>
      <c r="AG1958" s="0" t="str">
        <f aca="false">IF(AA1958=1,"",IF(AND(AC1958=1,AE1958&lt;&gt;1),1,0))</f>
        <v/>
      </c>
      <c r="AH1958" s="51" t="str">
        <f aca="false">IF(AND(E1958&gt;0,AA1958&lt;1,NOT(AND(C1959=C1958,AA1959=AA1958+1))),INDEX(DATAS,AA1958+1),"")</f>
        <v/>
      </c>
      <c r="AI1958" s="51" t="str">
        <f aca="false">IF(AND(AC1958=1,AA1958&lt;1),IF(AND(C1959=C1958,AA1959=AA1958+1),IF(AC1959=1,"",INDEX(DATAS,AA1958+1)),INDEX(DATAS,AA1958+1)),"")</f>
        <v/>
      </c>
    </row>
    <row r="1959" customFormat="false" ht="15" hidden="false" customHeight="false" outlineLevel="0" collapsed="false">
      <c r="A1959" s="51" t="n">
        <v>46309</v>
      </c>
      <c r="B1959" s="0" t="n">
        <v>8</v>
      </c>
      <c r="C1959" s="0" t="n">
        <v>6212</v>
      </c>
      <c r="E1959" s="0" t="n">
        <v>0</v>
      </c>
      <c r="F1959" s="46" t="s">
        <v>1136</v>
      </c>
      <c r="I1959" s="46" t="s">
        <v>152</v>
      </c>
      <c r="L1959" s="0" t="n">
        <v>212</v>
      </c>
      <c r="U1959" s="0" t="n">
        <v>643</v>
      </c>
      <c r="V1959" s="0" t="n">
        <v>4</v>
      </c>
      <c r="W1959" s="51" t="n">
        <v>46098</v>
      </c>
      <c r="X1959" s="46" t="n">
        <f aca="false">IF(I1959="Male",0,1)</f>
        <v>1</v>
      </c>
      <c r="Y1959" s="46" t="n">
        <f aca="false">IF(OR(I1959="DNB",I1959="Dry DNB"),1,0)</f>
        <v>0</v>
      </c>
      <c r="Z1959" s="46" t="n">
        <f aca="false">IF(ISNUMBER(W1959),A1959-W1959,"")</f>
        <v>211</v>
      </c>
      <c r="AA1959" s="46" t="n">
        <f aca="false">MATCH(A1959,DATAS,0)</f>
        <v>1</v>
      </c>
      <c r="AB1959" s="46" t="n">
        <f aca="false">IF(AND(E1959&gt;0,OR(AND(B1959&gt;=1,B1959&lt;=6),B1959=10)),1,0)</f>
        <v>0</v>
      </c>
      <c r="AC1959" s="46" t="n">
        <f aca="false">IF(AND(E1959&gt;0,B1959=10),1,0)</f>
        <v>0</v>
      </c>
      <c r="AD1959" s="0" t="str">
        <f aca="false">IF(AND(C1958=C1959,AA1958=AA1959-1),AB1958,"")</f>
        <v/>
      </c>
      <c r="AE1959" s="0" t="str">
        <f aca="false">IF(AND(C1958=C1959,AA1958=AA1959-1),AC1958,"")</f>
        <v/>
      </c>
      <c r="AF1959" s="0" t="str">
        <f aca="false">IF(AA1959=1,"",IF(AND(AB1959=1,AD1959&lt;&gt;1),1,0))</f>
        <v/>
      </c>
      <c r="AG1959" s="0" t="str">
        <f aca="false">IF(AA1959=1,"",IF(AND(AC1959=1,AE1959&lt;&gt;1),1,0))</f>
        <v/>
      </c>
      <c r="AH1959" s="51" t="str">
        <f aca="false">IF(AND(E1959&gt;0,AA1959&lt;1,NOT(AND(C1960=C1959,AA1960=AA1959+1))),INDEX(DATAS,AA1959+1),"")</f>
        <v/>
      </c>
      <c r="AI1959" s="51" t="str">
        <f aca="false">IF(AND(AC1959=1,AA1959&lt;1),IF(AND(C1960=C1959,AA1960=AA1959+1),IF(AC1960=1,"",INDEX(DATAS,AA1959+1)),INDEX(DATAS,AA1959+1)),"")</f>
        <v/>
      </c>
    </row>
    <row r="1960" customFormat="false" ht="15" hidden="false" customHeight="false" outlineLevel="0" collapsed="false">
      <c r="A1960" s="51" t="n">
        <v>46309</v>
      </c>
      <c r="B1960" s="0" t="n">
        <v>8</v>
      </c>
      <c r="C1960" s="0" t="n">
        <v>6213</v>
      </c>
      <c r="E1960" s="0" t="n">
        <v>0</v>
      </c>
      <c r="F1960" s="46" t="s">
        <v>1137</v>
      </c>
      <c r="I1960" s="46" t="s">
        <v>152</v>
      </c>
      <c r="L1960" s="0" t="n">
        <v>49</v>
      </c>
      <c r="U1960" s="0" t="n">
        <v>642</v>
      </c>
      <c r="V1960" s="0" t="n">
        <v>7</v>
      </c>
      <c r="W1960" s="51" t="n">
        <v>46261</v>
      </c>
      <c r="X1960" s="46" t="n">
        <f aca="false">IF(I1960="Male",0,1)</f>
        <v>1</v>
      </c>
      <c r="Y1960" s="46" t="n">
        <f aca="false">IF(OR(I1960="DNB",I1960="Dry DNB"),1,0)</f>
        <v>0</v>
      </c>
      <c r="Z1960" s="46" t="n">
        <f aca="false">IF(ISNUMBER(W1960),A1960-W1960,"")</f>
        <v>48</v>
      </c>
      <c r="AA1960" s="46" t="n">
        <f aca="false">MATCH(A1960,DATAS,0)</f>
        <v>1</v>
      </c>
      <c r="AB1960" s="46" t="n">
        <f aca="false">IF(AND(E1960&gt;0,OR(AND(B1960&gt;=1,B1960&lt;=6),B1960=10)),1,0)</f>
        <v>0</v>
      </c>
      <c r="AC1960" s="46" t="n">
        <f aca="false">IF(AND(E1960&gt;0,B1960=10),1,0)</f>
        <v>0</v>
      </c>
      <c r="AD1960" s="0" t="str">
        <f aca="false">IF(AND(C1959=C1960,AA1959=AA1960-1),AB1959,"")</f>
        <v/>
      </c>
      <c r="AE1960" s="0" t="str">
        <f aca="false">IF(AND(C1959=C1960,AA1959=AA1960-1),AC1959,"")</f>
        <v/>
      </c>
      <c r="AF1960" s="0" t="str">
        <f aca="false">IF(AA1960=1,"",IF(AND(AB1960=1,AD1960&lt;&gt;1),1,0))</f>
        <v/>
      </c>
      <c r="AG1960" s="0" t="str">
        <f aca="false">IF(AA1960=1,"",IF(AND(AC1960=1,AE1960&lt;&gt;1),1,0))</f>
        <v/>
      </c>
      <c r="AH1960" s="51" t="str">
        <f aca="false">IF(AND(E1960&gt;0,AA1960&lt;1,NOT(AND(C1961=C1960,AA1961=AA1960+1))),INDEX(DATAS,AA1960+1),"")</f>
        <v/>
      </c>
      <c r="AI1960" s="51" t="str">
        <f aca="false">IF(AND(AC1960=1,AA1960&lt;1),IF(AND(C1961=C1960,AA1961=AA1960+1),IF(AC1961=1,"",INDEX(DATAS,AA1960+1)),INDEX(DATAS,AA1960+1)),"")</f>
        <v/>
      </c>
    </row>
    <row r="1961" customFormat="false" ht="15" hidden="false" customHeight="false" outlineLevel="0" collapsed="false">
      <c r="A1961" s="51" t="n">
        <v>46309</v>
      </c>
      <c r="B1961" s="0" t="n">
        <v>8</v>
      </c>
      <c r="C1961" s="0" t="n">
        <v>6214</v>
      </c>
      <c r="E1961" s="0" t="n">
        <v>0</v>
      </c>
      <c r="F1961" s="46" t="s">
        <v>1137</v>
      </c>
      <c r="I1961" s="46" t="s">
        <v>152</v>
      </c>
      <c r="L1961" s="0" t="n">
        <v>128</v>
      </c>
      <c r="U1961" s="0" t="n">
        <v>642</v>
      </c>
      <c r="V1961" s="0" t="n">
        <v>7</v>
      </c>
      <c r="W1961" s="51" t="n">
        <v>46182</v>
      </c>
      <c r="X1961" s="46" t="n">
        <f aca="false">IF(I1961="Male",0,1)</f>
        <v>1</v>
      </c>
      <c r="Y1961" s="46" t="n">
        <f aca="false">IF(OR(I1961="DNB",I1961="Dry DNB"),1,0)</f>
        <v>0</v>
      </c>
      <c r="Z1961" s="46" t="n">
        <f aca="false">IF(ISNUMBER(W1961),A1961-W1961,"")</f>
        <v>127</v>
      </c>
      <c r="AA1961" s="46" t="n">
        <f aca="false">MATCH(A1961,DATAS,0)</f>
        <v>1</v>
      </c>
      <c r="AB1961" s="46" t="n">
        <f aca="false">IF(AND(E1961&gt;0,OR(AND(B1961&gt;=1,B1961&lt;=6),B1961=10)),1,0)</f>
        <v>0</v>
      </c>
      <c r="AC1961" s="46" t="n">
        <f aca="false">IF(AND(E1961&gt;0,B1961=10),1,0)</f>
        <v>0</v>
      </c>
      <c r="AD1961" s="0" t="str">
        <f aca="false">IF(AND(C1960=C1961,AA1960=AA1961-1),AB1960,"")</f>
        <v/>
      </c>
      <c r="AE1961" s="0" t="str">
        <f aca="false">IF(AND(C1960=C1961,AA1960=AA1961-1),AC1960,"")</f>
        <v/>
      </c>
      <c r="AF1961" s="0" t="str">
        <f aca="false">IF(AA1961=1,"",IF(AND(AB1961=1,AD1961&lt;&gt;1),1,0))</f>
        <v/>
      </c>
      <c r="AG1961" s="0" t="str">
        <f aca="false">IF(AA1961=1,"",IF(AND(AC1961=1,AE1961&lt;&gt;1),1,0))</f>
        <v/>
      </c>
      <c r="AH1961" s="51" t="str">
        <f aca="false">IF(AND(E1961&gt;0,AA1961&lt;1,NOT(AND(C1962=C1961,AA1962=AA1961+1))),INDEX(DATAS,AA1961+1),"")</f>
        <v/>
      </c>
      <c r="AI1961" s="51" t="str">
        <f aca="false">IF(AND(AC1961=1,AA1961&lt;1),IF(AND(C1962=C1961,AA1962=AA1961+1),IF(AC1962=1,"",INDEX(DATAS,AA1961+1)),INDEX(DATAS,AA1961+1)),"")</f>
        <v/>
      </c>
    </row>
    <row r="1962" customFormat="false" ht="15" hidden="false" customHeight="false" outlineLevel="0" collapsed="false">
      <c r="A1962" s="51" t="n">
        <v>46309</v>
      </c>
      <c r="B1962" s="0" t="n">
        <v>8</v>
      </c>
      <c r="C1962" s="0" t="n">
        <v>6216</v>
      </c>
      <c r="E1962" s="0" t="n">
        <v>0</v>
      </c>
      <c r="F1962" s="46" t="s">
        <v>1138</v>
      </c>
      <c r="I1962" s="46" t="s">
        <v>152</v>
      </c>
      <c r="L1962" s="0" t="n">
        <v>100</v>
      </c>
      <c r="U1962" s="0" t="n">
        <v>641</v>
      </c>
      <c r="V1962" s="0" t="n">
        <v>9</v>
      </c>
      <c r="W1962" s="51" t="n">
        <v>46210</v>
      </c>
      <c r="X1962" s="46" t="n">
        <f aca="false">IF(I1962="Male",0,1)</f>
        <v>1</v>
      </c>
      <c r="Y1962" s="46" t="n">
        <f aca="false">IF(OR(I1962="DNB",I1962="Dry DNB"),1,0)</f>
        <v>0</v>
      </c>
      <c r="Z1962" s="46" t="n">
        <f aca="false">IF(ISNUMBER(W1962),A1962-W1962,"")</f>
        <v>99</v>
      </c>
      <c r="AA1962" s="46" t="n">
        <f aca="false">MATCH(A1962,DATAS,0)</f>
        <v>1</v>
      </c>
      <c r="AB1962" s="46" t="n">
        <f aca="false">IF(AND(E1962&gt;0,OR(AND(B1962&gt;=1,B1962&lt;=6),B1962=10)),1,0)</f>
        <v>0</v>
      </c>
      <c r="AC1962" s="46" t="n">
        <f aca="false">IF(AND(E1962&gt;0,B1962=10),1,0)</f>
        <v>0</v>
      </c>
      <c r="AD1962" s="0" t="str">
        <f aca="false">IF(AND(C1961=C1962,AA1961=AA1962-1),AB1961,"")</f>
        <v/>
      </c>
      <c r="AE1962" s="0" t="str">
        <f aca="false">IF(AND(C1961=C1962,AA1961=AA1962-1),AC1961,"")</f>
        <v/>
      </c>
      <c r="AF1962" s="0" t="str">
        <f aca="false">IF(AA1962=1,"",IF(AND(AB1962=1,AD1962&lt;&gt;1),1,0))</f>
        <v/>
      </c>
      <c r="AG1962" s="0" t="str">
        <f aca="false">IF(AA1962=1,"",IF(AND(AC1962=1,AE1962&lt;&gt;1),1,0))</f>
        <v/>
      </c>
      <c r="AH1962" s="51" t="str">
        <f aca="false">IF(AND(E1962&gt;0,AA1962&lt;1,NOT(AND(C1963=C1962,AA1963=AA1962+1))),INDEX(DATAS,AA1962+1),"")</f>
        <v/>
      </c>
      <c r="AI1962" s="51" t="str">
        <f aca="false">IF(AND(AC1962=1,AA1962&lt;1),IF(AND(C1963=C1962,AA1963=AA1962+1),IF(AC1963=1,"",INDEX(DATAS,AA1962+1)),INDEX(DATAS,AA1962+1)),"")</f>
        <v/>
      </c>
    </row>
    <row r="1963" customFormat="false" ht="15" hidden="false" customHeight="false" outlineLevel="0" collapsed="false">
      <c r="A1963" s="51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46" t="s">
        <v>1139</v>
      </c>
      <c r="G1963" s="0" t="n">
        <v>29.4</v>
      </c>
      <c r="H1963" s="0" t="n">
        <v>23</v>
      </c>
      <c r="I1963" s="46" t="s">
        <v>161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X1963" s="46" t="n">
        <f aca="false">IF(I1963="Male",0,1)</f>
        <v>1</v>
      </c>
      <c r="Y1963" s="46" t="n">
        <f aca="false">IF(OR(I1963="DNB",I1963="Dry DNB"),1,0)</f>
        <v>0</v>
      </c>
      <c r="Z1963" s="0" t="str">
        <f aca="false">IF(ISNUMBER(W1963),A1963-W1963,"")</f>
        <v/>
      </c>
      <c r="AA1963" s="46" t="n">
        <f aca="false">MATCH(A1963,DATAS,0)</f>
        <v>1</v>
      </c>
      <c r="AB1963" s="46" t="n">
        <f aca="false">IF(AND(E1963&gt;0,OR(AND(B1963&gt;=1,B1963&lt;=6),B1963=10)),1,0)</f>
        <v>1</v>
      </c>
      <c r="AC1963" s="46" t="n">
        <f aca="false">IF(AND(E1963&gt;0,B1963=10),1,0)</f>
        <v>1</v>
      </c>
      <c r="AD1963" s="0" t="str">
        <f aca="false">IF(AND(C1962=C1963,AA1962=AA1963-1),AB1962,"")</f>
        <v/>
      </c>
      <c r="AE1963" s="0" t="str">
        <f aca="false">IF(AND(C1962=C1963,AA1962=AA1963-1),AC1962,"")</f>
        <v/>
      </c>
      <c r="AF1963" s="0" t="str">
        <f aca="false">IF(AA1963=1,"",IF(AND(AB1963=1,AD1963&lt;&gt;1),1,0))</f>
        <v/>
      </c>
      <c r="AG1963" s="0" t="str">
        <f aca="false">IF(AA1963=1,"",IF(AND(AC1963=1,AE1963&lt;&gt;1),1,0))</f>
        <v/>
      </c>
      <c r="AH1963" s="51" t="str">
        <f aca="false">IF(AND(E1963&gt;0,AA1963&lt;1,NOT(AND(C1964=C1963,AA1964=AA1963+1))),INDEX(DATAS,AA1963+1),"")</f>
        <v/>
      </c>
      <c r="AI1963" s="51" t="str">
        <f aca="false">IF(AND(AC1963=1,AA1963&lt;1),IF(AND(C1964=C1963,AA1964=AA1963+1),IF(AC1964=1,"",INDEX(DATAS,AA1963+1)),INDEX(DATAS,AA1963+1)),"")</f>
        <v/>
      </c>
    </row>
    <row r="1964" customFormat="false" ht="15" hidden="false" customHeight="false" outlineLevel="0" collapsed="false">
      <c r="A1964" s="51" t="n">
        <v>46309</v>
      </c>
      <c r="B1964" s="0" t="n">
        <v>7</v>
      </c>
      <c r="C1964" s="0" t="n">
        <v>6218</v>
      </c>
      <c r="E1964" s="0" t="n">
        <v>0</v>
      </c>
      <c r="F1964" s="46" t="s">
        <v>1139</v>
      </c>
      <c r="I1964" s="46" t="s">
        <v>152</v>
      </c>
      <c r="L1964" s="0" t="n">
        <v>246</v>
      </c>
      <c r="U1964" s="0" t="n">
        <v>640</v>
      </c>
      <c r="V1964" s="0" t="n">
        <v>1</v>
      </c>
      <c r="W1964" s="51" t="n">
        <v>46064</v>
      </c>
      <c r="X1964" s="46" t="n">
        <f aca="false">IF(I1964="Male",0,1)</f>
        <v>1</v>
      </c>
      <c r="Y1964" s="46" t="n">
        <f aca="false">IF(OR(I1964="DNB",I1964="Dry DNB"),1,0)</f>
        <v>0</v>
      </c>
      <c r="Z1964" s="46" t="n">
        <f aca="false">IF(ISNUMBER(W1964),A1964-W1964,"")</f>
        <v>245</v>
      </c>
      <c r="AA1964" s="46" t="n">
        <f aca="false">MATCH(A1964,DATAS,0)</f>
        <v>1</v>
      </c>
      <c r="AB1964" s="46" t="n">
        <f aca="false">IF(AND(E1964&gt;0,OR(AND(B1964&gt;=1,B1964&lt;=6),B1964=10)),1,0)</f>
        <v>0</v>
      </c>
      <c r="AC1964" s="46" t="n">
        <f aca="false">IF(AND(E1964&gt;0,B1964=10),1,0)</f>
        <v>0</v>
      </c>
      <c r="AD1964" s="0" t="str">
        <f aca="false">IF(AND(C1963=C1964,AA1963=AA1964-1),AB1963,"")</f>
        <v/>
      </c>
      <c r="AE1964" s="0" t="str">
        <f aca="false">IF(AND(C1963=C1964,AA1963=AA1964-1),AC1963,"")</f>
        <v/>
      </c>
      <c r="AF1964" s="0" t="str">
        <f aca="false">IF(AA1964=1,"",IF(AND(AB1964=1,AD1964&lt;&gt;1),1,0))</f>
        <v/>
      </c>
      <c r="AG1964" s="0" t="str">
        <f aca="false">IF(AA1964=1,"",IF(AND(AC1964=1,AE1964&lt;&gt;1),1,0))</f>
        <v/>
      </c>
      <c r="AH1964" s="51" t="str">
        <f aca="false">IF(AND(E1964&gt;0,AA1964&lt;1,NOT(AND(C1965=C1964,AA1965=AA1964+1))),INDEX(DATAS,AA1964+1),"")</f>
        <v/>
      </c>
      <c r="AI1964" s="51" t="str">
        <f aca="false">IF(AND(AC1964=1,AA1964&lt;1),IF(AND(C1965=C1964,AA1965=AA1964+1),IF(AC1965=1,"",INDEX(DATAS,AA1964+1)),INDEX(DATAS,AA1964+1)),"")</f>
        <v/>
      </c>
    </row>
    <row r="1965" customFormat="false" ht="15" hidden="false" customHeight="false" outlineLevel="0" collapsed="false">
      <c r="A1965" s="51" t="n">
        <v>46309</v>
      </c>
      <c r="B1965" s="0" t="n">
        <v>8</v>
      </c>
      <c r="C1965" s="0" t="n">
        <v>6219</v>
      </c>
      <c r="E1965" s="0" t="n">
        <v>0</v>
      </c>
      <c r="F1965" s="46" t="s">
        <v>1140</v>
      </c>
      <c r="I1965" s="46" t="s">
        <v>152</v>
      </c>
      <c r="L1965" s="0" t="n">
        <v>182</v>
      </c>
      <c r="U1965" s="0" t="n">
        <v>639</v>
      </c>
      <c r="V1965" s="0" t="n">
        <v>4</v>
      </c>
      <c r="W1965" s="51" t="n">
        <v>46128</v>
      </c>
      <c r="X1965" s="46" t="n">
        <f aca="false">IF(I1965="Male",0,1)</f>
        <v>1</v>
      </c>
      <c r="Y1965" s="46" t="n">
        <f aca="false">IF(OR(I1965="DNB",I1965="Dry DNB"),1,0)</f>
        <v>0</v>
      </c>
      <c r="Z1965" s="46" t="n">
        <f aca="false">IF(ISNUMBER(W1965),A1965-W1965,"")</f>
        <v>181</v>
      </c>
      <c r="AA1965" s="46" t="n">
        <f aca="false">MATCH(A1965,DATAS,0)</f>
        <v>1</v>
      </c>
      <c r="AB1965" s="46" t="n">
        <f aca="false">IF(AND(E1965&gt;0,OR(AND(B1965&gt;=1,B1965&lt;=6),B1965=10)),1,0)</f>
        <v>0</v>
      </c>
      <c r="AC1965" s="46" t="n">
        <f aca="false">IF(AND(E1965&gt;0,B1965=10),1,0)</f>
        <v>0</v>
      </c>
      <c r="AD1965" s="0" t="str">
        <f aca="false">IF(AND(C1964=C1965,AA1964=AA1965-1),AB1964,"")</f>
        <v/>
      </c>
      <c r="AE1965" s="0" t="str">
        <f aca="false">IF(AND(C1964=C1965,AA1964=AA1965-1),AC1964,"")</f>
        <v/>
      </c>
      <c r="AF1965" s="0" t="str">
        <f aca="false">IF(AA1965=1,"",IF(AND(AB1965=1,AD1965&lt;&gt;1),1,0))</f>
        <v/>
      </c>
      <c r="AG1965" s="0" t="str">
        <f aca="false">IF(AA1965=1,"",IF(AND(AC1965=1,AE1965&lt;&gt;1),1,0))</f>
        <v/>
      </c>
      <c r="AH1965" s="51" t="str">
        <f aca="false">IF(AND(E1965&gt;0,AA1965&lt;1,NOT(AND(C1966=C1965,AA1966=AA1965+1))),INDEX(DATAS,AA1965+1),"")</f>
        <v/>
      </c>
      <c r="AI1965" s="51" t="str">
        <f aca="false">IF(AND(AC1965=1,AA1965&lt;1),IF(AND(C1966=C1965,AA1966=AA1965+1),IF(AC1966=1,"",INDEX(DATAS,AA1965+1)),INDEX(DATAS,AA1965+1)),"")</f>
        <v/>
      </c>
    </row>
    <row r="1966" customFormat="false" ht="15" hidden="false" customHeight="false" outlineLevel="0" collapsed="false">
      <c r="A1966" s="51" t="n">
        <v>46309</v>
      </c>
      <c r="B1966" s="0" t="n">
        <v>14</v>
      </c>
      <c r="C1966" s="0" t="n">
        <v>6220</v>
      </c>
      <c r="E1966" s="0" t="n">
        <v>0</v>
      </c>
      <c r="F1966" s="46" t="s">
        <v>1140</v>
      </c>
      <c r="I1966" s="46" t="s">
        <v>152</v>
      </c>
      <c r="L1966" s="0" t="n">
        <v>267</v>
      </c>
      <c r="U1966" s="0" t="n">
        <v>639</v>
      </c>
      <c r="V1966" s="0" t="n">
        <v>1</v>
      </c>
      <c r="W1966" s="51" t="n">
        <v>46043</v>
      </c>
      <c r="X1966" s="46" t="n">
        <f aca="false">IF(I1966="Male",0,1)</f>
        <v>1</v>
      </c>
      <c r="Y1966" s="46" t="n">
        <f aca="false">IF(OR(I1966="DNB",I1966="Dry DNB"),1,0)</f>
        <v>0</v>
      </c>
      <c r="Z1966" s="46" t="n">
        <f aca="false">IF(ISNUMBER(W1966),A1966-W1966,"")</f>
        <v>266</v>
      </c>
      <c r="AA1966" s="46" t="n">
        <f aca="false">MATCH(A1966,DATAS,0)</f>
        <v>1</v>
      </c>
      <c r="AB1966" s="46" t="n">
        <f aca="false">IF(AND(E1966&gt;0,OR(AND(B1966&gt;=1,B1966&lt;=6),B1966=10)),1,0)</f>
        <v>0</v>
      </c>
      <c r="AC1966" s="46" t="n">
        <f aca="false">IF(AND(E1966&gt;0,B1966=10),1,0)</f>
        <v>0</v>
      </c>
      <c r="AD1966" s="0" t="str">
        <f aca="false">IF(AND(C1965=C1966,AA1965=AA1966-1),AB1965,"")</f>
        <v/>
      </c>
      <c r="AE1966" s="0" t="str">
        <f aca="false">IF(AND(C1965=C1966,AA1965=AA1966-1),AC1965,"")</f>
        <v/>
      </c>
      <c r="AF1966" s="0" t="str">
        <f aca="false">IF(AA1966=1,"",IF(AND(AB1966=1,AD1966&lt;&gt;1),1,0))</f>
        <v/>
      </c>
      <c r="AG1966" s="0" t="str">
        <f aca="false">IF(AA1966=1,"",IF(AND(AC1966=1,AE1966&lt;&gt;1),1,0))</f>
        <v/>
      </c>
      <c r="AH1966" s="51" t="str">
        <f aca="false">IF(AND(E1966&gt;0,AA1966&lt;1,NOT(AND(C1967=C1966,AA1967=AA1966+1))),INDEX(DATAS,AA1966+1),"")</f>
        <v/>
      </c>
      <c r="AI1966" s="51" t="str">
        <f aca="false">IF(AND(AC1966=1,AA1966&lt;1),IF(AND(C1967=C1966,AA1967=AA1966+1),IF(AC1967=1,"",INDEX(DATAS,AA1966+1)),INDEX(DATAS,AA1966+1)),"")</f>
        <v/>
      </c>
    </row>
    <row r="1967" customFormat="false" ht="15" hidden="false" customHeight="false" outlineLevel="0" collapsed="false">
      <c r="A1967" s="51" t="n">
        <v>46309</v>
      </c>
      <c r="B1967" s="0" t="n">
        <v>8</v>
      </c>
      <c r="C1967" s="0" t="n">
        <v>6221</v>
      </c>
      <c r="E1967" s="0" t="n">
        <v>0</v>
      </c>
      <c r="F1967" s="46" t="s">
        <v>1141</v>
      </c>
      <c r="I1967" s="46" t="s">
        <v>152</v>
      </c>
      <c r="L1967" s="0" t="n">
        <v>259</v>
      </c>
      <c r="U1967" s="0" t="n">
        <v>638</v>
      </c>
      <c r="V1967" s="0" t="n">
        <v>1</v>
      </c>
      <c r="W1967" s="51" t="n">
        <v>46051</v>
      </c>
      <c r="X1967" s="46" t="n">
        <f aca="false">IF(I1967="Male",0,1)</f>
        <v>1</v>
      </c>
      <c r="Y1967" s="46" t="n">
        <f aca="false">IF(OR(I1967="DNB",I1967="Dry DNB"),1,0)</f>
        <v>0</v>
      </c>
      <c r="Z1967" s="46" t="n">
        <f aca="false">IF(ISNUMBER(W1967),A1967-W1967,"")</f>
        <v>258</v>
      </c>
      <c r="AA1967" s="46" t="n">
        <f aca="false">MATCH(A1967,DATAS,0)</f>
        <v>1</v>
      </c>
      <c r="AB1967" s="46" t="n">
        <f aca="false">IF(AND(E1967&gt;0,OR(AND(B1967&gt;=1,B1967&lt;=6),B1967=10)),1,0)</f>
        <v>0</v>
      </c>
      <c r="AC1967" s="46" t="n">
        <f aca="false">IF(AND(E1967&gt;0,B1967=10),1,0)</f>
        <v>0</v>
      </c>
      <c r="AD1967" s="0" t="str">
        <f aca="false">IF(AND(C1966=C1967,AA1966=AA1967-1),AB1966,"")</f>
        <v/>
      </c>
      <c r="AE1967" s="0" t="str">
        <f aca="false">IF(AND(C1966=C1967,AA1966=AA1967-1),AC1966,"")</f>
        <v/>
      </c>
      <c r="AF1967" s="0" t="str">
        <f aca="false">IF(AA1967=1,"",IF(AND(AB1967=1,AD1967&lt;&gt;1),1,0))</f>
        <v/>
      </c>
      <c r="AG1967" s="0" t="str">
        <f aca="false">IF(AA1967=1,"",IF(AND(AC1967=1,AE1967&lt;&gt;1),1,0))</f>
        <v/>
      </c>
      <c r="AH1967" s="51" t="str">
        <f aca="false">IF(AND(E1967&gt;0,AA1967&lt;1,NOT(AND(C1968=C1967,AA1968=AA1967+1))),INDEX(DATAS,AA1967+1),"")</f>
        <v/>
      </c>
      <c r="AI1967" s="51" t="str">
        <f aca="false">IF(AND(AC1967=1,AA1967&lt;1),IF(AND(C1968=C1967,AA1968=AA1967+1),IF(AC1968=1,"",INDEX(DATAS,AA1967+1)),INDEX(DATAS,AA1967+1)),"")</f>
        <v/>
      </c>
    </row>
    <row r="1968" customFormat="false" ht="15" hidden="false" customHeight="false" outlineLevel="0" collapsed="false">
      <c r="A1968" s="51" t="n">
        <v>46309</v>
      </c>
      <c r="B1968" s="0" t="n">
        <v>8</v>
      </c>
      <c r="C1968" s="0" t="n">
        <v>6222</v>
      </c>
      <c r="E1968" s="0" t="n">
        <v>0</v>
      </c>
      <c r="F1968" s="46" t="s">
        <v>1141</v>
      </c>
      <c r="I1968" s="46" t="s">
        <v>152</v>
      </c>
      <c r="L1968" s="0" t="n">
        <v>150</v>
      </c>
      <c r="U1968" s="0" t="n">
        <v>638</v>
      </c>
      <c r="V1968" s="0" t="n">
        <v>4</v>
      </c>
      <c r="W1968" s="51" t="n">
        <v>46117</v>
      </c>
      <c r="X1968" s="46" t="n">
        <f aca="false">IF(I1968="Male",0,1)</f>
        <v>1</v>
      </c>
      <c r="Y1968" s="46" t="n">
        <f aca="false">IF(OR(I1968="DNB",I1968="Dry DNB"),1,0)</f>
        <v>0</v>
      </c>
      <c r="Z1968" s="46" t="n">
        <f aca="false">IF(ISNUMBER(W1968),A1968-W1968,"")</f>
        <v>192</v>
      </c>
      <c r="AA1968" s="46" t="n">
        <f aca="false">MATCH(A1968,DATAS,0)</f>
        <v>1</v>
      </c>
      <c r="AB1968" s="46" t="n">
        <f aca="false">IF(AND(E1968&gt;0,OR(AND(B1968&gt;=1,B1968&lt;=6),B1968=10)),1,0)</f>
        <v>0</v>
      </c>
      <c r="AC1968" s="46" t="n">
        <f aca="false">IF(AND(E1968&gt;0,B1968=10),1,0)</f>
        <v>0</v>
      </c>
      <c r="AD1968" s="0" t="str">
        <f aca="false">IF(AND(C1967=C1968,AA1967=AA1968-1),AB1967,"")</f>
        <v/>
      </c>
      <c r="AE1968" s="0" t="str">
        <f aca="false">IF(AND(C1967=C1968,AA1967=AA1968-1),AC1967,"")</f>
        <v/>
      </c>
      <c r="AF1968" s="0" t="str">
        <f aca="false">IF(AA1968=1,"",IF(AND(AB1968=1,AD1968&lt;&gt;1),1,0))</f>
        <v/>
      </c>
      <c r="AG1968" s="0" t="str">
        <f aca="false">IF(AA1968=1,"",IF(AND(AC1968=1,AE1968&lt;&gt;1),1,0))</f>
        <v/>
      </c>
      <c r="AH1968" s="51" t="str">
        <f aca="false">IF(AND(E1968&gt;0,AA1968&lt;1,NOT(AND(C1969=C1968,AA1969=AA1968+1))),INDEX(DATAS,AA1968+1),"")</f>
        <v/>
      </c>
      <c r="AI1968" s="51" t="str">
        <f aca="false">IF(AND(AC1968=1,AA1968&lt;1),IF(AND(C1969=C1968,AA1969=AA1968+1),IF(AC1969=1,"",INDEX(DATAS,AA1968+1)),INDEX(DATAS,AA1968+1)),"")</f>
        <v/>
      </c>
    </row>
    <row r="1969" customFormat="false" ht="15" hidden="false" customHeight="false" outlineLevel="0" collapsed="false">
      <c r="A1969" s="51" t="n">
        <v>46309</v>
      </c>
      <c r="B1969" s="0" t="n">
        <v>14</v>
      </c>
      <c r="C1969" s="0" t="n">
        <v>6223</v>
      </c>
      <c r="E1969" s="0" t="n">
        <v>0</v>
      </c>
      <c r="F1969" s="46" t="s">
        <v>1141</v>
      </c>
      <c r="I1969" s="46" t="s">
        <v>152</v>
      </c>
      <c r="L1969" s="0" t="n">
        <v>262</v>
      </c>
      <c r="U1969" s="0" t="n">
        <v>638</v>
      </c>
      <c r="V1969" s="0" t="n">
        <v>1</v>
      </c>
      <c r="W1969" s="51" t="n">
        <v>46048</v>
      </c>
      <c r="X1969" s="46" t="n">
        <f aca="false">IF(I1969="Male",0,1)</f>
        <v>1</v>
      </c>
      <c r="Y1969" s="46" t="n">
        <f aca="false">IF(OR(I1969="DNB",I1969="Dry DNB"),1,0)</f>
        <v>0</v>
      </c>
      <c r="Z1969" s="46" t="n">
        <f aca="false">IF(ISNUMBER(W1969),A1969-W1969,"")</f>
        <v>261</v>
      </c>
      <c r="AA1969" s="46" t="n">
        <f aca="false">MATCH(A1969,DATAS,0)</f>
        <v>1</v>
      </c>
      <c r="AB1969" s="46" t="n">
        <f aca="false">IF(AND(E1969&gt;0,OR(AND(B1969&gt;=1,B1969&lt;=6),B1969=10)),1,0)</f>
        <v>0</v>
      </c>
      <c r="AC1969" s="46" t="n">
        <f aca="false">IF(AND(E1969&gt;0,B1969=10),1,0)</f>
        <v>0</v>
      </c>
      <c r="AD1969" s="0" t="str">
        <f aca="false">IF(AND(C1968=C1969,AA1968=AA1969-1),AB1968,"")</f>
        <v/>
      </c>
      <c r="AE1969" s="0" t="str">
        <f aca="false">IF(AND(C1968=C1969,AA1968=AA1969-1),AC1968,"")</f>
        <v/>
      </c>
      <c r="AF1969" s="0" t="str">
        <f aca="false">IF(AA1969=1,"",IF(AND(AB1969=1,AD1969&lt;&gt;1),1,0))</f>
        <v/>
      </c>
      <c r="AG1969" s="0" t="str">
        <f aca="false">IF(AA1969=1,"",IF(AND(AC1969=1,AE1969&lt;&gt;1),1,0))</f>
        <v/>
      </c>
      <c r="AH1969" s="51" t="str">
        <f aca="false">IF(AND(E1969&gt;0,AA1969&lt;1,NOT(AND(C1970=C1969,AA1970=AA1969+1))),INDEX(DATAS,AA1969+1),"")</f>
        <v/>
      </c>
      <c r="AI1969" s="51" t="str">
        <f aca="false">IF(AND(AC1969=1,AA1969&lt;1),IF(AND(C1970=C1969,AA1970=AA1969+1),IF(AC1970=1,"",INDEX(DATAS,AA1969+1)),INDEX(DATAS,AA1969+1)),"")</f>
        <v/>
      </c>
    </row>
    <row r="1970" customFormat="false" ht="15" hidden="false" customHeight="false" outlineLevel="0" collapsed="false">
      <c r="A1970" s="51" t="n">
        <v>46309</v>
      </c>
      <c r="B1970" s="0" t="n">
        <v>8</v>
      </c>
      <c r="C1970" s="0" t="n">
        <v>6224</v>
      </c>
      <c r="E1970" s="0" t="n">
        <v>0</v>
      </c>
      <c r="F1970" s="46" t="s">
        <v>1142</v>
      </c>
      <c r="I1970" s="46" t="s">
        <v>152</v>
      </c>
      <c r="L1970" s="0" t="n">
        <v>183</v>
      </c>
      <c r="U1970" s="0" t="n">
        <v>637</v>
      </c>
      <c r="V1970" s="0" t="n">
        <v>4</v>
      </c>
      <c r="W1970" s="51" t="n">
        <v>46127</v>
      </c>
      <c r="X1970" s="46" t="n">
        <f aca="false">IF(I1970="Male",0,1)</f>
        <v>1</v>
      </c>
      <c r="Y1970" s="46" t="n">
        <f aca="false">IF(OR(I1970="DNB",I1970="Dry DNB"),1,0)</f>
        <v>0</v>
      </c>
      <c r="Z1970" s="46" t="n">
        <f aca="false">IF(ISNUMBER(W1970),A1970-W1970,"")</f>
        <v>182</v>
      </c>
      <c r="AA1970" s="46" t="n">
        <f aca="false">MATCH(A1970,DATAS,0)</f>
        <v>1</v>
      </c>
      <c r="AB1970" s="46" t="n">
        <f aca="false">IF(AND(E1970&gt;0,OR(AND(B1970&gt;=1,B1970&lt;=6),B1970=10)),1,0)</f>
        <v>0</v>
      </c>
      <c r="AC1970" s="46" t="n">
        <f aca="false">IF(AND(E1970&gt;0,B1970=10),1,0)</f>
        <v>0</v>
      </c>
      <c r="AD1970" s="0" t="str">
        <f aca="false">IF(AND(C1969=C1970,AA1969=AA1970-1),AB1969,"")</f>
        <v/>
      </c>
      <c r="AE1970" s="0" t="str">
        <f aca="false">IF(AND(C1969=C1970,AA1969=AA1970-1),AC1969,"")</f>
        <v/>
      </c>
      <c r="AF1970" s="0" t="str">
        <f aca="false">IF(AA1970=1,"",IF(AND(AB1970=1,AD1970&lt;&gt;1),1,0))</f>
        <v/>
      </c>
      <c r="AG1970" s="0" t="str">
        <f aca="false">IF(AA1970=1,"",IF(AND(AC1970=1,AE1970&lt;&gt;1),1,0))</f>
        <v/>
      </c>
      <c r="AH1970" s="51" t="str">
        <f aca="false">IF(AND(E1970&gt;0,AA1970&lt;1,NOT(AND(C1971=C1970,AA1971=AA1970+1))),INDEX(DATAS,AA1970+1),"")</f>
        <v/>
      </c>
      <c r="AI1970" s="51" t="str">
        <f aca="false">IF(AND(AC1970=1,AA1970&lt;1),IF(AND(C1971=C1970,AA1971=AA1970+1),IF(AC1971=1,"",INDEX(DATAS,AA1970+1)),INDEX(DATAS,AA1970+1)),"")</f>
        <v/>
      </c>
    </row>
    <row r="1971" customFormat="false" ht="15" hidden="false" customHeight="false" outlineLevel="0" collapsed="false">
      <c r="A1971" s="51" t="n">
        <v>46309</v>
      </c>
      <c r="B1971" s="0" t="n">
        <v>8</v>
      </c>
      <c r="C1971" s="0" t="n">
        <v>6225</v>
      </c>
      <c r="E1971" s="0" t="n">
        <v>0</v>
      </c>
      <c r="F1971" s="46" t="s">
        <v>1143</v>
      </c>
      <c r="I1971" s="46" t="s">
        <v>152</v>
      </c>
      <c r="L1971" s="0" t="n">
        <v>143</v>
      </c>
      <c r="U1971" s="0" t="n">
        <v>636</v>
      </c>
      <c r="V1971" s="0" t="n">
        <v>4</v>
      </c>
      <c r="W1971" s="51" t="n">
        <v>46167</v>
      </c>
      <c r="X1971" s="46" t="n">
        <f aca="false">IF(I1971="Male",0,1)</f>
        <v>1</v>
      </c>
      <c r="Y1971" s="46" t="n">
        <f aca="false">IF(OR(I1971="DNB",I1971="Dry DNB"),1,0)</f>
        <v>0</v>
      </c>
      <c r="Z1971" s="46" t="n">
        <f aca="false">IF(ISNUMBER(W1971),A1971-W1971,"")</f>
        <v>142</v>
      </c>
      <c r="AA1971" s="46" t="n">
        <f aca="false">MATCH(A1971,DATAS,0)</f>
        <v>1</v>
      </c>
      <c r="AB1971" s="46" t="n">
        <f aca="false">IF(AND(E1971&gt;0,OR(AND(B1971&gt;=1,B1971&lt;=6),B1971=10)),1,0)</f>
        <v>0</v>
      </c>
      <c r="AC1971" s="46" t="n">
        <f aca="false">IF(AND(E1971&gt;0,B1971=10),1,0)</f>
        <v>0</v>
      </c>
      <c r="AD1971" s="0" t="str">
        <f aca="false">IF(AND(C1970=C1971,AA1970=AA1971-1),AB1970,"")</f>
        <v/>
      </c>
      <c r="AE1971" s="0" t="str">
        <f aca="false">IF(AND(C1970=C1971,AA1970=AA1971-1),AC1970,"")</f>
        <v/>
      </c>
      <c r="AF1971" s="0" t="str">
        <f aca="false">IF(AA1971=1,"",IF(AND(AB1971=1,AD1971&lt;&gt;1),1,0))</f>
        <v/>
      </c>
      <c r="AG1971" s="0" t="str">
        <f aca="false">IF(AA1971=1,"",IF(AND(AC1971=1,AE1971&lt;&gt;1),1,0))</f>
        <v/>
      </c>
      <c r="AH1971" s="51" t="str">
        <f aca="false">IF(AND(E1971&gt;0,AA1971&lt;1,NOT(AND(C1972=C1971,AA1972=AA1971+1))),INDEX(DATAS,AA1971+1),"")</f>
        <v/>
      </c>
      <c r="AI1971" s="51" t="str">
        <f aca="false">IF(AND(AC1971=1,AA1971&lt;1),IF(AND(C1972=C1971,AA1972=AA1971+1),IF(AC1972=1,"",INDEX(DATAS,AA1971+1)),INDEX(DATAS,AA1971+1)),"")</f>
        <v/>
      </c>
    </row>
    <row r="1972" customFormat="false" ht="15" hidden="false" customHeight="false" outlineLevel="0" collapsed="false">
      <c r="A1972" s="51" t="n">
        <v>46309</v>
      </c>
      <c r="B1972" s="0" t="n">
        <v>8</v>
      </c>
      <c r="C1972" s="0" t="n">
        <v>6227</v>
      </c>
      <c r="E1972" s="0" t="n">
        <v>0</v>
      </c>
      <c r="F1972" s="46" t="s">
        <v>1144</v>
      </c>
      <c r="I1972" s="46" t="s">
        <v>152</v>
      </c>
      <c r="L1972" s="0" t="n">
        <v>188</v>
      </c>
      <c r="U1972" s="0" t="n">
        <v>635</v>
      </c>
      <c r="V1972" s="0" t="n">
        <v>2</v>
      </c>
      <c r="W1972" s="51" t="n">
        <v>46052</v>
      </c>
      <c r="X1972" s="46" t="n">
        <f aca="false">IF(I1972="Male",0,1)</f>
        <v>1</v>
      </c>
      <c r="Y1972" s="46" t="n">
        <f aca="false">IF(OR(I1972="DNB",I1972="Dry DNB"),1,0)</f>
        <v>0</v>
      </c>
      <c r="Z1972" s="46" t="n">
        <f aca="false">IF(ISNUMBER(W1972),A1972-W1972,"")</f>
        <v>257</v>
      </c>
      <c r="AA1972" s="46" t="n">
        <f aca="false">MATCH(A1972,DATAS,0)</f>
        <v>1</v>
      </c>
      <c r="AB1972" s="46" t="n">
        <f aca="false">IF(AND(E1972&gt;0,OR(AND(B1972&gt;=1,B1972&lt;=6),B1972=10)),1,0)</f>
        <v>0</v>
      </c>
      <c r="AC1972" s="46" t="n">
        <f aca="false">IF(AND(E1972&gt;0,B1972=10),1,0)</f>
        <v>0</v>
      </c>
      <c r="AD1972" s="0" t="str">
        <f aca="false">IF(AND(C1971=C1972,AA1971=AA1972-1),AB1971,"")</f>
        <v/>
      </c>
      <c r="AE1972" s="0" t="str">
        <f aca="false">IF(AND(C1971=C1972,AA1971=AA1972-1),AC1971,"")</f>
        <v/>
      </c>
      <c r="AF1972" s="0" t="str">
        <f aca="false">IF(AA1972=1,"",IF(AND(AB1972=1,AD1972&lt;&gt;1),1,0))</f>
        <v/>
      </c>
      <c r="AG1972" s="0" t="str">
        <f aca="false">IF(AA1972=1,"",IF(AND(AC1972=1,AE1972&lt;&gt;1),1,0))</f>
        <v/>
      </c>
      <c r="AH1972" s="51" t="str">
        <f aca="false">IF(AND(E1972&gt;0,AA1972&lt;1,NOT(AND(C1973=C1972,AA1973=AA1972+1))),INDEX(DATAS,AA1972+1),"")</f>
        <v/>
      </c>
      <c r="AI1972" s="51" t="str">
        <f aca="false">IF(AND(AC1972=1,AA1972&lt;1),IF(AND(C1973=C1972,AA1973=AA1972+1),IF(AC1973=1,"",INDEX(DATAS,AA1972+1)),INDEX(DATAS,AA1972+1)),"")</f>
        <v/>
      </c>
    </row>
    <row r="1973" customFormat="false" ht="15" hidden="false" customHeight="false" outlineLevel="0" collapsed="false">
      <c r="A1973" s="51" t="n">
        <v>46309</v>
      </c>
      <c r="B1973" s="0" t="n">
        <v>7</v>
      </c>
      <c r="C1973" s="0" t="n">
        <v>6228</v>
      </c>
      <c r="E1973" s="0" t="n">
        <v>0</v>
      </c>
      <c r="F1973" s="46" t="s">
        <v>1144</v>
      </c>
      <c r="I1973" s="46" t="s">
        <v>152</v>
      </c>
      <c r="L1973" s="0" t="n">
        <v>247</v>
      </c>
      <c r="U1973" s="0" t="n">
        <v>635</v>
      </c>
      <c r="V1973" s="0" t="n">
        <v>2</v>
      </c>
      <c r="W1973" s="51" t="n">
        <v>46063</v>
      </c>
      <c r="X1973" s="46" t="n">
        <f aca="false">IF(I1973="Male",0,1)</f>
        <v>1</v>
      </c>
      <c r="Y1973" s="46" t="n">
        <f aca="false">IF(OR(I1973="DNB",I1973="Dry DNB"),1,0)</f>
        <v>0</v>
      </c>
      <c r="Z1973" s="46" t="n">
        <f aca="false">IF(ISNUMBER(W1973),A1973-W1973,"")</f>
        <v>246</v>
      </c>
      <c r="AA1973" s="46" t="n">
        <f aca="false">MATCH(A1973,DATAS,0)</f>
        <v>1</v>
      </c>
      <c r="AB1973" s="46" t="n">
        <f aca="false">IF(AND(E1973&gt;0,OR(AND(B1973&gt;=1,B1973&lt;=6),B1973=10)),1,0)</f>
        <v>0</v>
      </c>
      <c r="AC1973" s="46" t="n">
        <f aca="false">IF(AND(E1973&gt;0,B1973=10),1,0)</f>
        <v>0</v>
      </c>
      <c r="AD1973" s="0" t="str">
        <f aca="false">IF(AND(C1972=C1973,AA1972=AA1973-1),AB1972,"")</f>
        <v/>
      </c>
      <c r="AE1973" s="0" t="str">
        <f aca="false">IF(AND(C1972=C1973,AA1972=AA1973-1),AC1972,"")</f>
        <v/>
      </c>
      <c r="AF1973" s="0" t="str">
        <f aca="false">IF(AA1973=1,"",IF(AND(AB1973=1,AD1973&lt;&gt;1),1,0))</f>
        <v/>
      </c>
      <c r="AG1973" s="0" t="str">
        <f aca="false">IF(AA1973=1,"",IF(AND(AC1973=1,AE1973&lt;&gt;1),1,0))</f>
        <v/>
      </c>
      <c r="AH1973" s="51" t="str">
        <f aca="false">IF(AND(E1973&gt;0,AA1973&lt;1,NOT(AND(C1974=C1973,AA1974=AA1973+1))),INDEX(DATAS,AA1973+1),"")</f>
        <v/>
      </c>
      <c r="AI1973" s="51" t="str">
        <f aca="false">IF(AND(AC1973=1,AA1973&lt;1),IF(AND(C1974=C1973,AA1974=AA1973+1),IF(AC1974=1,"",INDEX(DATAS,AA1973+1)),INDEX(DATAS,AA1973+1)),"")</f>
        <v/>
      </c>
    </row>
    <row r="1974" customFormat="false" ht="15" hidden="false" customHeight="false" outlineLevel="0" collapsed="false">
      <c r="A1974" s="51" t="n">
        <v>46309</v>
      </c>
      <c r="B1974" s="0" t="n">
        <v>14</v>
      </c>
      <c r="C1974" s="0" t="n">
        <v>6232</v>
      </c>
      <c r="E1974" s="0" t="n">
        <v>0</v>
      </c>
      <c r="F1974" s="46" t="s">
        <v>1144</v>
      </c>
      <c r="I1974" s="46" t="s">
        <v>152</v>
      </c>
      <c r="L1974" s="0" t="n">
        <v>265</v>
      </c>
      <c r="U1974" s="0" t="n">
        <v>635</v>
      </c>
      <c r="V1974" s="0" t="n">
        <v>1</v>
      </c>
      <c r="W1974" s="51" t="n">
        <v>46045</v>
      </c>
      <c r="X1974" s="46" t="n">
        <f aca="false">IF(I1974="Male",0,1)</f>
        <v>1</v>
      </c>
      <c r="Y1974" s="46" t="n">
        <f aca="false">IF(OR(I1974="DNB",I1974="Dry DNB"),1,0)</f>
        <v>0</v>
      </c>
      <c r="Z1974" s="46" t="n">
        <f aca="false">IF(ISNUMBER(W1974),A1974-W1974,"")</f>
        <v>264</v>
      </c>
      <c r="AA1974" s="46" t="n">
        <f aca="false">MATCH(A1974,DATAS,0)</f>
        <v>1</v>
      </c>
      <c r="AB1974" s="46" t="n">
        <f aca="false">IF(AND(E1974&gt;0,OR(AND(B1974&gt;=1,B1974&lt;=6),B1974=10)),1,0)</f>
        <v>0</v>
      </c>
      <c r="AC1974" s="46" t="n">
        <f aca="false">IF(AND(E1974&gt;0,B1974=10),1,0)</f>
        <v>0</v>
      </c>
      <c r="AD1974" s="0" t="str">
        <f aca="false">IF(AND(C1973=C1974,AA1973=AA1974-1),AB1973,"")</f>
        <v/>
      </c>
      <c r="AE1974" s="0" t="str">
        <f aca="false">IF(AND(C1973=C1974,AA1973=AA1974-1),AC1973,"")</f>
        <v/>
      </c>
      <c r="AF1974" s="0" t="str">
        <f aca="false">IF(AA1974=1,"",IF(AND(AB1974=1,AD1974&lt;&gt;1),1,0))</f>
        <v/>
      </c>
      <c r="AG1974" s="0" t="str">
        <f aca="false">IF(AA1974=1,"",IF(AND(AC1974=1,AE1974&lt;&gt;1),1,0))</f>
        <v/>
      </c>
      <c r="AH1974" s="51" t="str">
        <f aca="false">IF(AND(E1974&gt;0,AA1974&lt;1,NOT(AND(C1975=C1974,AA1975=AA1974+1))),INDEX(DATAS,AA1974+1),"")</f>
        <v/>
      </c>
      <c r="AI1974" s="51" t="str">
        <f aca="false">IF(AND(AC1974=1,AA1974&lt;1),IF(AND(C1975=C1974,AA1975=AA1974+1),IF(AC1975=1,"",INDEX(DATAS,AA1974+1)),INDEX(DATAS,AA1974+1)),"")</f>
        <v/>
      </c>
    </row>
    <row r="1975" customFormat="false" ht="15" hidden="false" customHeight="false" outlineLevel="0" collapsed="false">
      <c r="A1975" s="51" t="n">
        <v>46309</v>
      </c>
      <c r="B1975" s="0" t="n">
        <v>14</v>
      </c>
      <c r="C1975" s="0" t="n">
        <v>6233</v>
      </c>
      <c r="E1975" s="0" t="n">
        <v>0</v>
      </c>
      <c r="F1975" s="46" t="s">
        <v>1145</v>
      </c>
      <c r="I1975" s="46" t="s">
        <v>152</v>
      </c>
      <c r="L1975" s="0" t="n">
        <v>269</v>
      </c>
      <c r="U1975" s="0" t="n">
        <v>633</v>
      </c>
      <c r="V1975" s="0" t="n">
        <v>1</v>
      </c>
      <c r="W1975" s="51" t="n">
        <v>46041</v>
      </c>
      <c r="X1975" s="46" t="n">
        <f aca="false">IF(I1975="Male",0,1)</f>
        <v>1</v>
      </c>
      <c r="Y1975" s="46" t="n">
        <f aca="false">IF(OR(I1975="DNB",I1975="Dry DNB"),1,0)</f>
        <v>0</v>
      </c>
      <c r="Z1975" s="46" t="n">
        <f aca="false">IF(ISNUMBER(W1975),A1975-W1975,"")</f>
        <v>268</v>
      </c>
      <c r="AA1975" s="46" t="n">
        <f aca="false">MATCH(A1975,DATAS,0)</f>
        <v>1</v>
      </c>
      <c r="AB1975" s="46" t="n">
        <f aca="false">IF(AND(E1975&gt;0,OR(AND(B1975&gt;=1,B1975&lt;=6),B1975=10)),1,0)</f>
        <v>0</v>
      </c>
      <c r="AC1975" s="46" t="n">
        <f aca="false">IF(AND(E1975&gt;0,B1975=10),1,0)</f>
        <v>0</v>
      </c>
      <c r="AD1975" s="0" t="str">
        <f aca="false">IF(AND(C1974=C1975,AA1974=AA1975-1),AB1974,"")</f>
        <v/>
      </c>
      <c r="AE1975" s="0" t="str">
        <f aca="false">IF(AND(C1974=C1975,AA1974=AA1975-1),AC1974,"")</f>
        <v/>
      </c>
      <c r="AF1975" s="0" t="str">
        <f aca="false">IF(AA1975=1,"",IF(AND(AB1975=1,AD1975&lt;&gt;1),1,0))</f>
        <v/>
      </c>
      <c r="AG1975" s="0" t="str">
        <f aca="false">IF(AA1975=1,"",IF(AND(AC1975=1,AE1975&lt;&gt;1),1,0))</f>
        <v/>
      </c>
      <c r="AH1975" s="51" t="str">
        <f aca="false">IF(AND(E1975&gt;0,AA1975&lt;1,NOT(AND(C1976=C1975,AA1976=AA1975+1))),INDEX(DATAS,AA1975+1),"")</f>
        <v/>
      </c>
      <c r="AI1975" s="51" t="str">
        <f aca="false">IF(AND(AC1975=1,AA1975&lt;1),IF(AND(C1976=C1975,AA1976=AA1975+1),IF(AC1976=1,"",INDEX(DATAS,AA1975+1)),INDEX(DATAS,AA1975+1)),"")</f>
        <v/>
      </c>
    </row>
    <row r="1976" customFormat="false" ht="15" hidden="false" customHeight="false" outlineLevel="0" collapsed="false">
      <c r="A1976" s="51" t="n">
        <v>46309</v>
      </c>
      <c r="B1976" s="0" t="n">
        <v>7</v>
      </c>
      <c r="C1976" s="0" t="n">
        <v>6234</v>
      </c>
      <c r="E1976" s="0" t="n">
        <v>0</v>
      </c>
      <c r="F1976" s="46" t="s">
        <v>1137</v>
      </c>
      <c r="I1976" s="46" t="s">
        <v>152</v>
      </c>
      <c r="L1976" s="0" t="n">
        <v>252</v>
      </c>
      <c r="U1976" s="0" t="n">
        <v>642</v>
      </c>
      <c r="V1976" s="0" t="n">
        <v>1</v>
      </c>
      <c r="W1976" s="51" t="n">
        <v>46058</v>
      </c>
      <c r="X1976" s="46" t="n">
        <f aca="false">IF(I1976="Male",0,1)</f>
        <v>1</v>
      </c>
      <c r="Y1976" s="46" t="n">
        <f aca="false">IF(OR(I1976="DNB",I1976="Dry DNB"),1,0)</f>
        <v>0</v>
      </c>
      <c r="Z1976" s="46" t="n">
        <f aca="false">IF(ISNUMBER(W1976),A1976-W1976,"")</f>
        <v>251</v>
      </c>
      <c r="AA1976" s="46" t="n">
        <f aca="false">MATCH(A1976,DATAS,0)</f>
        <v>1</v>
      </c>
      <c r="AB1976" s="46" t="n">
        <f aca="false">IF(AND(E1976&gt;0,OR(AND(B1976&gt;=1,B1976&lt;=6),B1976=10)),1,0)</f>
        <v>0</v>
      </c>
      <c r="AC1976" s="46" t="n">
        <f aca="false">IF(AND(E1976&gt;0,B1976=10),1,0)</f>
        <v>0</v>
      </c>
      <c r="AD1976" s="0" t="str">
        <f aca="false">IF(AND(C1975=C1976,AA1975=AA1976-1),AB1975,"")</f>
        <v/>
      </c>
      <c r="AE1976" s="0" t="str">
        <f aca="false">IF(AND(C1975=C1976,AA1975=AA1976-1),AC1975,"")</f>
        <v/>
      </c>
      <c r="AF1976" s="0" t="str">
        <f aca="false">IF(AA1976=1,"",IF(AND(AB1976=1,AD1976&lt;&gt;1),1,0))</f>
        <v/>
      </c>
      <c r="AG1976" s="0" t="str">
        <f aca="false">IF(AA1976=1,"",IF(AND(AC1976=1,AE1976&lt;&gt;1),1,0))</f>
        <v/>
      </c>
      <c r="AH1976" s="51" t="str">
        <f aca="false">IF(AND(E1976&gt;0,AA1976&lt;1,NOT(AND(C1977=C1976,AA1977=AA1976+1))),INDEX(DATAS,AA1976+1),"")</f>
        <v/>
      </c>
      <c r="AI1976" s="51" t="str">
        <f aca="false">IF(AND(AC1976=1,AA1976&lt;1),IF(AND(C1977=C1976,AA1977=AA1976+1),IF(AC1977=1,"",INDEX(DATAS,AA1976+1)),INDEX(DATAS,AA1976+1)),"")</f>
        <v/>
      </c>
    </row>
    <row r="1977" customFormat="false" ht="15" hidden="false" customHeight="false" outlineLevel="0" collapsed="false">
      <c r="A1977" s="51" t="n">
        <v>46309</v>
      </c>
      <c r="B1977" s="0" t="n">
        <v>8</v>
      </c>
      <c r="C1977" s="0" t="n">
        <v>6235</v>
      </c>
      <c r="E1977" s="0" t="n">
        <v>0</v>
      </c>
      <c r="F1977" s="46" t="s">
        <v>1146</v>
      </c>
      <c r="I1977" s="46" t="s">
        <v>152</v>
      </c>
      <c r="L1977" s="0" t="n">
        <v>212</v>
      </c>
      <c r="U1977" s="0" t="n">
        <v>632</v>
      </c>
      <c r="V1977" s="0" t="n">
        <v>2</v>
      </c>
      <c r="W1977" s="51" t="n">
        <v>46098</v>
      </c>
      <c r="X1977" s="46" t="n">
        <f aca="false">IF(I1977="Male",0,1)</f>
        <v>1</v>
      </c>
      <c r="Y1977" s="46" t="n">
        <f aca="false">IF(OR(I1977="DNB",I1977="Dry DNB"),1,0)</f>
        <v>0</v>
      </c>
      <c r="Z1977" s="46" t="n">
        <f aca="false">IF(ISNUMBER(W1977),A1977-W1977,"")</f>
        <v>211</v>
      </c>
      <c r="AA1977" s="46" t="n">
        <f aca="false">MATCH(A1977,DATAS,0)</f>
        <v>1</v>
      </c>
      <c r="AB1977" s="46" t="n">
        <f aca="false">IF(AND(E1977&gt;0,OR(AND(B1977&gt;=1,B1977&lt;=6),B1977=10)),1,0)</f>
        <v>0</v>
      </c>
      <c r="AC1977" s="46" t="n">
        <f aca="false">IF(AND(E1977&gt;0,B1977=10),1,0)</f>
        <v>0</v>
      </c>
      <c r="AD1977" s="0" t="str">
        <f aca="false">IF(AND(C1976=C1977,AA1976=AA1977-1),AB1976,"")</f>
        <v/>
      </c>
      <c r="AE1977" s="0" t="str">
        <f aca="false">IF(AND(C1976=C1977,AA1976=AA1977-1),AC1976,"")</f>
        <v/>
      </c>
      <c r="AF1977" s="0" t="str">
        <f aca="false">IF(AA1977=1,"",IF(AND(AB1977=1,AD1977&lt;&gt;1),1,0))</f>
        <v/>
      </c>
      <c r="AG1977" s="0" t="str">
        <f aca="false">IF(AA1977=1,"",IF(AND(AC1977=1,AE1977&lt;&gt;1),1,0))</f>
        <v/>
      </c>
      <c r="AH1977" s="51" t="str">
        <f aca="false">IF(AND(E1977&gt;0,AA1977&lt;1,NOT(AND(C1978=C1977,AA1978=AA1977+1))),INDEX(DATAS,AA1977+1),"")</f>
        <v/>
      </c>
      <c r="AI1977" s="51" t="str">
        <f aca="false">IF(AND(AC1977=1,AA1977&lt;1),IF(AND(C1978=C1977,AA1978=AA1977+1),IF(AC1978=1,"",INDEX(DATAS,AA1977+1)),INDEX(DATAS,AA1977+1)),"")</f>
        <v/>
      </c>
    </row>
    <row r="1978" customFormat="false" ht="15" hidden="false" customHeight="false" outlineLevel="0" collapsed="false">
      <c r="A1978" s="51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46" t="s">
        <v>1147</v>
      </c>
      <c r="H1978" s="0" t="n">
        <v>20</v>
      </c>
      <c r="I1978" s="46" t="s">
        <v>161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X1978" s="46" t="n">
        <f aca="false">IF(I1978="Male",0,1)</f>
        <v>1</v>
      </c>
      <c r="Y1978" s="46" t="n">
        <f aca="false">IF(OR(I1978="DNB",I1978="Dry DNB"),1,0)</f>
        <v>0</v>
      </c>
      <c r="Z1978" s="0" t="str">
        <f aca="false">IF(ISNUMBER(W1978),A1978-W1978,"")</f>
        <v/>
      </c>
      <c r="AA1978" s="46" t="n">
        <f aca="false">MATCH(A1978,DATAS,0)</f>
        <v>1</v>
      </c>
      <c r="AB1978" s="46" t="n">
        <f aca="false">IF(AND(E1978&gt;0,OR(AND(B1978&gt;=1,B1978&lt;=6),B1978=10)),1,0)</f>
        <v>1</v>
      </c>
      <c r="AC1978" s="46" t="n">
        <f aca="false">IF(AND(E1978&gt;0,B1978=10),1,0)</f>
        <v>1</v>
      </c>
      <c r="AD1978" s="0" t="str">
        <f aca="false">IF(AND(C1977=C1978,AA1977=AA1978-1),AB1977,"")</f>
        <v/>
      </c>
      <c r="AE1978" s="0" t="str">
        <f aca="false">IF(AND(C1977=C1978,AA1977=AA1978-1),AC1977,"")</f>
        <v/>
      </c>
      <c r="AF1978" s="0" t="str">
        <f aca="false">IF(AA1978=1,"",IF(AND(AB1978=1,AD1978&lt;&gt;1),1,0))</f>
        <v/>
      </c>
      <c r="AG1978" s="0" t="str">
        <f aca="false">IF(AA1978=1,"",IF(AND(AC1978=1,AE1978&lt;&gt;1),1,0))</f>
        <v/>
      </c>
      <c r="AH1978" s="51" t="str">
        <f aca="false">IF(AND(E1978&gt;0,AA1978&lt;1,NOT(AND(C1979=C1978,AA1979=AA1978+1))),INDEX(DATAS,AA1978+1),"")</f>
        <v/>
      </c>
      <c r="AI1978" s="51" t="str">
        <f aca="false">IF(AND(AC1978=1,AA1978&lt;1),IF(AND(C1979=C1978,AA1979=AA1978+1),IF(AC1979=1,"",INDEX(DATAS,AA1978+1)),INDEX(DATAS,AA1978+1)),"")</f>
        <v/>
      </c>
    </row>
    <row r="1979" customFormat="false" ht="15" hidden="false" customHeight="false" outlineLevel="0" collapsed="false">
      <c r="A1979" s="51" t="n">
        <v>46309</v>
      </c>
      <c r="B1979" s="0" t="n">
        <v>14</v>
      </c>
      <c r="C1979" s="0" t="n">
        <v>6239</v>
      </c>
      <c r="E1979" s="0" t="n">
        <v>0</v>
      </c>
      <c r="F1979" s="46" t="s">
        <v>1147</v>
      </c>
      <c r="I1979" s="46" t="s">
        <v>152</v>
      </c>
      <c r="L1979" s="0" t="n">
        <v>271</v>
      </c>
      <c r="U1979" s="0" t="n">
        <v>630</v>
      </c>
      <c r="V1979" s="0" t="n">
        <v>1</v>
      </c>
      <c r="W1979" s="51" t="n">
        <v>46039</v>
      </c>
      <c r="X1979" s="46" t="n">
        <f aca="false">IF(I1979="Male",0,1)</f>
        <v>1</v>
      </c>
      <c r="Y1979" s="46" t="n">
        <f aca="false">IF(OR(I1979="DNB",I1979="Dry DNB"),1,0)</f>
        <v>0</v>
      </c>
      <c r="Z1979" s="46" t="n">
        <f aca="false">IF(ISNUMBER(W1979),A1979-W1979,"")</f>
        <v>270</v>
      </c>
      <c r="AA1979" s="46" t="n">
        <f aca="false">MATCH(A1979,DATAS,0)</f>
        <v>1</v>
      </c>
      <c r="AB1979" s="46" t="n">
        <f aca="false">IF(AND(E1979&gt;0,OR(AND(B1979&gt;=1,B1979&lt;=6),B1979=10)),1,0)</f>
        <v>0</v>
      </c>
      <c r="AC1979" s="46" t="n">
        <f aca="false">IF(AND(E1979&gt;0,B1979=10),1,0)</f>
        <v>0</v>
      </c>
      <c r="AD1979" s="0" t="str">
        <f aca="false">IF(AND(C1978=C1979,AA1978=AA1979-1),AB1978,"")</f>
        <v/>
      </c>
      <c r="AE1979" s="0" t="str">
        <f aca="false">IF(AND(C1978=C1979,AA1978=AA1979-1),AC1978,"")</f>
        <v/>
      </c>
      <c r="AF1979" s="0" t="str">
        <f aca="false">IF(AA1979=1,"",IF(AND(AB1979=1,AD1979&lt;&gt;1),1,0))</f>
        <v/>
      </c>
      <c r="AG1979" s="0" t="str">
        <f aca="false">IF(AA1979=1,"",IF(AND(AC1979=1,AE1979&lt;&gt;1),1,0))</f>
        <v/>
      </c>
      <c r="AH1979" s="51" t="str">
        <f aca="false">IF(AND(E1979&gt;0,AA1979&lt;1,NOT(AND(C1980=C1979,AA1980=AA1979+1))),INDEX(DATAS,AA1979+1),"")</f>
        <v/>
      </c>
      <c r="AI1979" s="51" t="str">
        <f aca="false">IF(AND(AC1979=1,AA1979&lt;1),IF(AND(C1980=C1979,AA1980=AA1979+1),IF(AC1980=1,"",INDEX(DATAS,AA1979+1)),INDEX(DATAS,AA1979+1)),"")</f>
        <v/>
      </c>
    </row>
    <row r="1980" customFormat="false" ht="15" hidden="false" customHeight="false" outlineLevel="0" collapsed="false">
      <c r="A1980" s="51" t="n">
        <v>46309</v>
      </c>
      <c r="B1980" s="0" t="n">
        <v>8</v>
      </c>
      <c r="C1980" s="0" t="n">
        <v>6240</v>
      </c>
      <c r="E1980" s="0" t="n">
        <v>0</v>
      </c>
      <c r="F1980" s="46" t="s">
        <v>1147</v>
      </c>
      <c r="I1980" s="46" t="s">
        <v>152</v>
      </c>
      <c r="L1980" s="0" t="n">
        <v>162</v>
      </c>
      <c r="U1980" s="0" t="n">
        <v>630</v>
      </c>
      <c r="V1980" s="0" t="n">
        <v>5</v>
      </c>
      <c r="W1980" s="51" t="n">
        <v>46148</v>
      </c>
      <c r="X1980" s="46" t="n">
        <f aca="false">IF(I1980="Male",0,1)</f>
        <v>1</v>
      </c>
      <c r="Y1980" s="46" t="n">
        <f aca="false">IF(OR(I1980="DNB",I1980="Dry DNB"),1,0)</f>
        <v>0</v>
      </c>
      <c r="Z1980" s="46" t="n">
        <f aca="false">IF(ISNUMBER(W1980),A1980-W1980,"")</f>
        <v>161</v>
      </c>
      <c r="AA1980" s="46" t="n">
        <f aca="false">MATCH(A1980,DATAS,0)</f>
        <v>1</v>
      </c>
      <c r="AB1980" s="46" t="n">
        <f aca="false">IF(AND(E1980&gt;0,OR(AND(B1980&gt;=1,B1980&lt;=6),B1980=10)),1,0)</f>
        <v>0</v>
      </c>
      <c r="AC1980" s="46" t="n">
        <f aca="false">IF(AND(E1980&gt;0,B1980=10),1,0)</f>
        <v>0</v>
      </c>
      <c r="AD1980" s="0" t="str">
        <f aca="false">IF(AND(C1979=C1980,AA1979=AA1980-1),AB1979,"")</f>
        <v/>
      </c>
      <c r="AE1980" s="0" t="str">
        <f aca="false">IF(AND(C1979=C1980,AA1979=AA1980-1),AC1979,"")</f>
        <v/>
      </c>
      <c r="AF1980" s="0" t="str">
        <f aca="false">IF(AA1980=1,"",IF(AND(AB1980=1,AD1980&lt;&gt;1),1,0))</f>
        <v/>
      </c>
      <c r="AG1980" s="0" t="str">
        <f aca="false">IF(AA1980=1,"",IF(AND(AC1980=1,AE1980&lt;&gt;1),1,0))</f>
        <v/>
      </c>
      <c r="AH1980" s="51" t="str">
        <f aca="false">IF(AND(E1980&gt;0,AA1980&lt;1,NOT(AND(C1981=C1980,AA1981=AA1980+1))),INDEX(DATAS,AA1980+1),"")</f>
        <v/>
      </c>
      <c r="AI1980" s="51" t="str">
        <f aca="false">IF(AND(AC1980=1,AA1980&lt;1),IF(AND(C1981=C1980,AA1981=AA1980+1),IF(AC1981=1,"",INDEX(DATAS,AA1980+1)),INDEX(DATAS,AA1980+1)),"")</f>
        <v/>
      </c>
    </row>
    <row r="1981" customFormat="false" ht="15" hidden="false" customHeight="false" outlineLevel="0" collapsed="false">
      <c r="A1981" s="51" t="n">
        <v>46309</v>
      </c>
      <c r="B1981" s="0" t="n">
        <v>8</v>
      </c>
      <c r="C1981" s="0" t="n">
        <v>6241</v>
      </c>
      <c r="E1981" s="0" t="n">
        <v>0</v>
      </c>
      <c r="F1981" s="46" t="s">
        <v>1147</v>
      </c>
      <c r="I1981" s="46" t="s">
        <v>152</v>
      </c>
      <c r="L1981" s="0" t="n">
        <v>209</v>
      </c>
      <c r="U1981" s="0" t="n">
        <v>630</v>
      </c>
      <c r="V1981" s="0" t="n">
        <v>3</v>
      </c>
      <c r="W1981" s="51" t="n">
        <v>46101</v>
      </c>
      <c r="X1981" s="46" t="n">
        <f aca="false">IF(I1981="Male",0,1)</f>
        <v>1</v>
      </c>
      <c r="Y1981" s="46" t="n">
        <f aca="false">IF(OR(I1981="DNB",I1981="Dry DNB"),1,0)</f>
        <v>0</v>
      </c>
      <c r="Z1981" s="46" t="n">
        <f aca="false">IF(ISNUMBER(W1981),A1981-W1981,"")</f>
        <v>208</v>
      </c>
      <c r="AA1981" s="46" t="n">
        <f aca="false">MATCH(A1981,DATAS,0)</f>
        <v>1</v>
      </c>
      <c r="AB1981" s="46" t="n">
        <f aca="false">IF(AND(E1981&gt;0,OR(AND(B1981&gt;=1,B1981&lt;=6),B1981=10)),1,0)</f>
        <v>0</v>
      </c>
      <c r="AC1981" s="46" t="n">
        <f aca="false">IF(AND(E1981&gt;0,B1981=10),1,0)</f>
        <v>0</v>
      </c>
      <c r="AD1981" s="0" t="str">
        <f aca="false">IF(AND(C1980=C1981,AA1980=AA1981-1),AB1980,"")</f>
        <v/>
      </c>
      <c r="AE1981" s="0" t="str">
        <f aca="false">IF(AND(C1980=C1981,AA1980=AA1981-1),AC1980,"")</f>
        <v/>
      </c>
      <c r="AF1981" s="0" t="str">
        <f aca="false">IF(AA1981=1,"",IF(AND(AB1981=1,AD1981&lt;&gt;1),1,0))</f>
        <v/>
      </c>
      <c r="AG1981" s="0" t="str">
        <f aca="false">IF(AA1981=1,"",IF(AND(AC1981=1,AE1981&lt;&gt;1),1,0))</f>
        <v/>
      </c>
      <c r="AH1981" s="51" t="str">
        <f aca="false">IF(AND(E1981&gt;0,AA1981&lt;1,NOT(AND(C1982=C1981,AA1982=AA1981+1))),INDEX(DATAS,AA1981+1),"")</f>
        <v/>
      </c>
      <c r="AI1981" s="51" t="str">
        <f aca="false">IF(AND(AC1981=1,AA1981&lt;1),IF(AND(C1982=C1981,AA1982=AA1981+1),IF(AC1982=1,"",INDEX(DATAS,AA1981+1)),INDEX(DATAS,AA1981+1)),"")</f>
        <v/>
      </c>
    </row>
    <row r="1982" customFormat="false" ht="15" hidden="false" customHeight="false" outlineLevel="0" collapsed="false">
      <c r="A1982" s="51" t="n">
        <v>46309</v>
      </c>
      <c r="B1982" s="0" t="n">
        <v>11</v>
      </c>
      <c r="C1982" s="0" t="n">
        <v>6242</v>
      </c>
      <c r="E1982" s="0" t="n">
        <v>0</v>
      </c>
      <c r="F1982" s="46" t="s">
        <v>1147</v>
      </c>
      <c r="I1982" s="46" t="s">
        <v>181</v>
      </c>
      <c r="U1982" s="0" t="n">
        <v>630</v>
      </c>
      <c r="V1982" s="0" t="n">
        <v>7</v>
      </c>
      <c r="W1982" s="51" t="n">
        <v>46296</v>
      </c>
      <c r="X1982" s="46" t="n">
        <f aca="false">IF(I1982="Male",0,1)</f>
        <v>1</v>
      </c>
      <c r="Y1982" s="46" t="n">
        <f aca="false">IF(OR(I1982="DNB",I1982="Dry DNB"),1,0)</f>
        <v>0</v>
      </c>
      <c r="Z1982" s="46" t="n">
        <f aca="false">IF(ISNUMBER(W1982),A1982-W1982,"")</f>
        <v>13</v>
      </c>
      <c r="AA1982" s="46" t="n">
        <f aca="false">MATCH(A1982,DATAS,0)</f>
        <v>1</v>
      </c>
      <c r="AB1982" s="46" t="n">
        <f aca="false">IF(AND(E1982&gt;0,OR(AND(B1982&gt;=1,B1982&lt;=6),B1982=10)),1,0)</f>
        <v>0</v>
      </c>
      <c r="AC1982" s="46" t="n">
        <f aca="false">IF(AND(E1982&gt;0,B1982=10),1,0)</f>
        <v>0</v>
      </c>
      <c r="AD1982" s="0" t="str">
        <f aca="false">IF(AND(C1981=C1982,AA1981=AA1982-1),AB1981,"")</f>
        <v/>
      </c>
      <c r="AE1982" s="0" t="str">
        <f aca="false">IF(AND(C1981=C1982,AA1981=AA1982-1),AC1981,"")</f>
        <v/>
      </c>
      <c r="AF1982" s="0" t="str">
        <f aca="false">IF(AA1982=1,"",IF(AND(AB1982=1,AD1982&lt;&gt;1),1,0))</f>
        <v/>
      </c>
      <c r="AG1982" s="0" t="str">
        <f aca="false">IF(AA1982=1,"",IF(AND(AC1982=1,AE1982&lt;&gt;1),1,0))</f>
        <v/>
      </c>
      <c r="AH1982" s="51" t="str">
        <f aca="false">IF(AND(E1982&gt;0,AA1982&lt;1,NOT(AND(C1983=C1982,AA1983=AA1982+1))),INDEX(DATAS,AA1982+1),"")</f>
        <v/>
      </c>
      <c r="AI1982" s="51" t="str">
        <f aca="false">IF(AND(AC1982=1,AA1982&lt;1),IF(AND(C1983=C1982,AA1983=AA1982+1),IF(AC1983=1,"",INDEX(DATAS,AA1982+1)),INDEX(DATAS,AA1982+1)),"")</f>
        <v/>
      </c>
    </row>
    <row r="1983" customFormat="false" ht="15" hidden="false" customHeight="false" outlineLevel="0" collapsed="false">
      <c r="A1983" s="51" t="n">
        <v>46309</v>
      </c>
      <c r="B1983" s="0" t="n">
        <v>14</v>
      </c>
      <c r="C1983" s="0" t="n">
        <v>6243</v>
      </c>
      <c r="E1983" s="0" t="n">
        <v>0</v>
      </c>
      <c r="F1983" s="46" t="s">
        <v>155</v>
      </c>
      <c r="I1983" s="46" t="s">
        <v>152</v>
      </c>
      <c r="L1983" s="0" t="n">
        <v>255</v>
      </c>
      <c r="U1983" s="0" t="n">
        <v>629</v>
      </c>
      <c r="V1983" s="0" t="n">
        <v>1</v>
      </c>
      <c r="W1983" s="51" t="n">
        <v>46055</v>
      </c>
      <c r="X1983" s="46" t="n">
        <f aca="false">IF(I1983="Male",0,1)</f>
        <v>1</v>
      </c>
      <c r="Y1983" s="46" t="n">
        <f aca="false">IF(OR(I1983="DNB",I1983="Dry DNB"),1,0)</f>
        <v>0</v>
      </c>
      <c r="Z1983" s="46" t="n">
        <f aca="false">IF(ISNUMBER(W1983),A1983-W1983,"")</f>
        <v>254</v>
      </c>
      <c r="AA1983" s="46" t="n">
        <f aca="false">MATCH(A1983,DATAS,0)</f>
        <v>1</v>
      </c>
      <c r="AB1983" s="46" t="n">
        <f aca="false">IF(AND(E1983&gt;0,OR(AND(B1983&gt;=1,B1983&lt;=6),B1983=10)),1,0)</f>
        <v>0</v>
      </c>
      <c r="AC1983" s="46" t="n">
        <f aca="false">IF(AND(E1983&gt;0,B1983=10),1,0)</f>
        <v>0</v>
      </c>
      <c r="AD1983" s="0" t="str">
        <f aca="false">IF(AND(C1982=C1983,AA1982=AA1983-1),AB1982,"")</f>
        <v/>
      </c>
      <c r="AE1983" s="0" t="str">
        <f aca="false">IF(AND(C1982=C1983,AA1982=AA1983-1),AC1982,"")</f>
        <v/>
      </c>
      <c r="AF1983" s="0" t="str">
        <f aca="false">IF(AA1983=1,"",IF(AND(AB1983=1,AD1983&lt;&gt;1),1,0))</f>
        <v/>
      </c>
      <c r="AG1983" s="0" t="str">
        <f aca="false">IF(AA1983=1,"",IF(AND(AC1983=1,AE1983&lt;&gt;1),1,0))</f>
        <v/>
      </c>
      <c r="AH1983" s="51" t="str">
        <f aca="false">IF(AND(E1983&gt;0,AA1983&lt;1,NOT(AND(C1984=C1983,AA1984=AA1983+1))),INDEX(DATAS,AA1983+1),"")</f>
        <v/>
      </c>
      <c r="AI1983" s="51" t="str">
        <f aca="false">IF(AND(AC1983=1,AA1983&lt;1),IF(AND(C1984=C1983,AA1984=AA1983+1),IF(AC1984=1,"",INDEX(DATAS,AA1983+1)),INDEX(DATAS,AA1983+1)),"")</f>
        <v/>
      </c>
    </row>
    <row r="1984" customFormat="false" ht="15" hidden="false" customHeight="false" outlineLevel="0" collapsed="false">
      <c r="A1984" s="51" t="n">
        <v>46309</v>
      </c>
      <c r="B1984" s="0" t="n">
        <v>8</v>
      </c>
      <c r="C1984" s="0" t="n">
        <v>6244</v>
      </c>
      <c r="E1984" s="0" t="n">
        <v>0</v>
      </c>
      <c r="F1984" s="46" t="s">
        <v>155</v>
      </c>
      <c r="I1984" s="46" t="s">
        <v>152</v>
      </c>
      <c r="L1984" s="0" t="n">
        <v>260</v>
      </c>
      <c r="U1984" s="0" t="n">
        <v>629</v>
      </c>
      <c r="V1984" s="0" t="n">
        <v>1</v>
      </c>
      <c r="W1984" s="51" t="n">
        <v>46050</v>
      </c>
      <c r="X1984" s="46" t="n">
        <f aca="false">IF(I1984="Male",0,1)</f>
        <v>1</v>
      </c>
      <c r="Y1984" s="46" t="n">
        <f aca="false">IF(OR(I1984="DNB",I1984="Dry DNB"),1,0)</f>
        <v>0</v>
      </c>
      <c r="Z1984" s="46" t="n">
        <f aca="false">IF(ISNUMBER(W1984),A1984-W1984,"")</f>
        <v>259</v>
      </c>
      <c r="AA1984" s="46" t="n">
        <f aca="false">MATCH(A1984,DATAS,0)</f>
        <v>1</v>
      </c>
      <c r="AB1984" s="46" t="n">
        <f aca="false">IF(AND(E1984&gt;0,OR(AND(B1984&gt;=1,B1984&lt;=6),B1984=10)),1,0)</f>
        <v>0</v>
      </c>
      <c r="AC1984" s="46" t="n">
        <f aca="false">IF(AND(E1984&gt;0,B1984=10),1,0)</f>
        <v>0</v>
      </c>
      <c r="AD1984" s="0" t="str">
        <f aca="false">IF(AND(C1983=C1984,AA1983=AA1984-1),AB1983,"")</f>
        <v/>
      </c>
      <c r="AE1984" s="0" t="str">
        <f aca="false">IF(AND(C1983=C1984,AA1983=AA1984-1),AC1983,"")</f>
        <v/>
      </c>
      <c r="AF1984" s="0" t="str">
        <f aca="false">IF(AA1984=1,"",IF(AND(AB1984=1,AD1984&lt;&gt;1),1,0))</f>
        <v/>
      </c>
      <c r="AG1984" s="0" t="str">
        <f aca="false">IF(AA1984=1,"",IF(AND(AC1984=1,AE1984&lt;&gt;1),1,0))</f>
        <v/>
      </c>
      <c r="AH1984" s="51" t="str">
        <f aca="false">IF(AND(E1984&gt;0,AA1984&lt;1,NOT(AND(C1985=C1984,AA1985=AA1984+1))),INDEX(DATAS,AA1984+1),"")</f>
        <v/>
      </c>
      <c r="AI1984" s="51" t="str">
        <f aca="false">IF(AND(AC1984=1,AA1984&lt;1),IF(AND(C1985=C1984,AA1985=AA1984+1),IF(AC1985=1,"",INDEX(DATAS,AA1984+1)),INDEX(DATAS,AA1984+1)),"")</f>
        <v/>
      </c>
    </row>
    <row r="1985" customFormat="false" ht="15" hidden="false" customHeight="false" outlineLevel="0" collapsed="false">
      <c r="A1985" s="51" t="n">
        <v>46309</v>
      </c>
      <c r="B1985" s="0" t="n">
        <v>7</v>
      </c>
      <c r="C1985" s="0" t="n">
        <v>6245</v>
      </c>
      <c r="E1985" s="0" t="n">
        <v>0</v>
      </c>
      <c r="F1985" s="46" t="s">
        <v>155</v>
      </c>
      <c r="I1985" s="46" t="s">
        <v>152</v>
      </c>
      <c r="L1985" s="0" t="n">
        <v>253</v>
      </c>
      <c r="U1985" s="0" t="n">
        <v>629</v>
      </c>
      <c r="V1985" s="0" t="n">
        <v>1</v>
      </c>
      <c r="W1985" s="51" t="n">
        <v>46057</v>
      </c>
      <c r="X1985" s="46" t="n">
        <f aca="false">IF(I1985="Male",0,1)</f>
        <v>1</v>
      </c>
      <c r="Y1985" s="46" t="n">
        <f aca="false">IF(OR(I1985="DNB",I1985="Dry DNB"),1,0)</f>
        <v>0</v>
      </c>
      <c r="Z1985" s="46" t="n">
        <f aca="false">IF(ISNUMBER(W1985),A1985-W1985,"")</f>
        <v>252</v>
      </c>
      <c r="AA1985" s="46" t="n">
        <f aca="false">MATCH(A1985,DATAS,0)</f>
        <v>1</v>
      </c>
      <c r="AB1985" s="46" t="n">
        <f aca="false">IF(AND(E1985&gt;0,OR(AND(B1985&gt;=1,B1985&lt;=6),B1985=10)),1,0)</f>
        <v>0</v>
      </c>
      <c r="AC1985" s="46" t="n">
        <f aca="false">IF(AND(E1985&gt;0,B1985=10),1,0)</f>
        <v>0</v>
      </c>
      <c r="AD1985" s="0" t="str">
        <f aca="false">IF(AND(C1984=C1985,AA1984=AA1985-1),AB1984,"")</f>
        <v/>
      </c>
      <c r="AE1985" s="0" t="str">
        <f aca="false">IF(AND(C1984=C1985,AA1984=AA1985-1),AC1984,"")</f>
        <v/>
      </c>
      <c r="AF1985" s="0" t="str">
        <f aca="false">IF(AA1985=1,"",IF(AND(AB1985=1,AD1985&lt;&gt;1),1,0))</f>
        <v/>
      </c>
      <c r="AG1985" s="0" t="str">
        <f aca="false">IF(AA1985=1,"",IF(AND(AC1985=1,AE1985&lt;&gt;1),1,0))</f>
        <v/>
      </c>
      <c r="AH1985" s="51" t="str">
        <f aca="false">IF(AND(E1985&gt;0,AA1985&lt;1,NOT(AND(C1986=C1985,AA1986=AA1985+1))),INDEX(DATAS,AA1985+1),"")</f>
        <v/>
      </c>
      <c r="AI1985" s="51" t="str">
        <f aca="false">IF(AND(AC1985=1,AA1985&lt;1),IF(AND(C1986=C1985,AA1986=AA1985+1),IF(AC1986=1,"",INDEX(DATAS,AA1985+1)),INDEX(DATAS,AA1985+1)),"")</f>
        <v/>
      </c>
    </row>
    <row r="1986" customFormat="false" ht="15" hidden="false" customHeight="false" outlineLevel="0" collapsed="false">
      <c r="A1986" s="51" t="n">
        <v>46309</v>
      </c>
      <c r="B1986" s="0" t="n">
        <v>13</v>
      </c>
      <c r="C1986" s="0" t="n">
        <v>6246</v>
      </c>
      <c r="E1986" s="0" t="n">
        <v>0</v>
      </c>
      <c r="F1986" s="46" t="s">
        <v>155</v>
      </c>
      <c r="I1986" s="46" t="s">
        <v>189</v>
      </c>
      <c r="U1986" s="0" t="n">
        <v>629</v>
      </c>
      <c r="V1986" s="0" t="n">
        <v>0</v>
      </c>
      <c r="X1986" s="46" t="n">
        <f aca="false">IF(I1986="Male",0,1)</f>
        <v>1</v>
      </c>
      <c r="Y1986" s="46" t="n">
        <f aca="false">IF(OR(I1986="DNB",I1986="Dry DNB"),1,0)</f>
        <v>0</v>
      </c>
      <c r="Z1986" s="0" t="str">
        <f aca="false">IF(ISNUMBER(W1986),A1986-W1986,"")</f>
        <v/>
      </c>
      <c r="AA1986" s="46" t="n">
        <f aca="false">MATCH(A1986,DATAS,0)</f>
        <v>1</v>
      </c>
      <c r="AB1986" s="46" t="n">
        <f aca="false">IF(AND(E1986&gt;0,OR(AND(B1986&gt;=1,B1986&lt;=6),B1986=10)),1,0)</f>
        <v>0</v>
      </c>
      <c r="AC1986" s="46" t="n">
        <f aca="false">IF(AND(E1986&gt;0,B1986=10),1,0)</f>
        <v>0</v>
      </c>
      <c r="AD1986" s="0" t="str">
        <f aca="false">IF(AND(C1985=C1986,AA1985=AA1986-1),AB1985,"")</f>
        <v/>
      </c>
      <c r="AE1986" s="0" t="str">
        <f aca="false">IF(AND(C1985=C1986,AA1985=AA1986-1),AC1985,"")</f>
        <v/>
      </c>
      <c r="AF1986" s="0" t="str">
        <f aca="false">IF(AA1986=1,"",IF(AND(AB1986=1,AD1986&lt;&gt;1),1,0))</f>
        <v/>
      </c>
      <c r="AG1986" s="0" t="str">
        <f aca="false">IF(AA1986=1,"",IF(AND(AC1986=1,AE1986&lt;&gt;1),1,0))</f>
        <v/>
      </c>
      <c r="AH1986" s="51" t="str">
        <f aca="false">IF(AND(E1986&gt;0,AA1986&lt;1,NOT(AND(C1987=C1986,AA1987=AA1986+1))),INDEX(DATAS,AA1986+1),"")</f>
        <v/>
      </c>
      <c r="AI1986" s="51" t="str">
        <f aca="false">IF(AND(AC1986=1,AA1986&lt;1),IF(AND(C1987=C1986,AA1987=AA1986+1),IF(AC1987=1,"",INDEX(DATAS,AA1986+1)),INDEX(DATAS,AA1986+1)),"")</f>
        <v/>
      </c>
    </row>
    <row r="1987" customFormat="false" ht="15" hidden="false" customHeight="false" outlineLevel="0" collapsed="false">
      <c r="A1987" s="51" t="n">
        <v>46309</v>
      </c>
      <c r="B1987" s="0" t="n">
        <v>14</v>
      </c>
      <c r="C1987" s="0" t="n">
        <v>6249</v>
      </c>
      <c r="E1987" s="0" t="n">
        <v>0</v>
      </c>
      <c r="F1987" s="46" t="s">
        <v>1148</v>
      </c>
      <c r="I1987" s="46" t="s">
        <v>152</v>
      </c>
      <c r="L1987" s="0" t="n">
        <v>260</v>
      </c>
      <c r="U1987" s="0" t="n">
        <v>628</v>
      </c>
      <c r="V1987" s="0" t="n">
        <v>1</v>
      </c>
      <c r="W1987" s="51" t="n">
        <v>46050</v>
      </c>
      <c r="X1987" s="46" t="n">
        <f aca="false">IF(I1987="Male",0,1)</f>
        <v>1</v>
      </c>
      <c r="Y1987" s="46" t="n">
        <f aca="false">IF(OR(I1987="DNB",I1987="Dry DNB"),1,0)</f>
        <v>0</v>
      </c>
      <c r="Z1987" s="46" t="n">
        <f aca="false">IF(ISNUMBER(W1987),A1987-W1987,"")</f>
        <v>259</v>
      </c>
      <c r="AA1987" s="46" t="n">
        <f aca="false">MATCH(A1987,DATAS,0)</f>
        <v>1</v>
      </c>
      <c r="AB1987" s="46" t="n">
        <f aca="false">IF(AND(E1987&gt;0,OR(AND(B1987&gt;=1,B1987&lt;=6),B1987=10)),1,0)</f>
        <v>0</v>
      </c>
      <c r="AC1987" s="46" t="n">
        <f aca="false">IF(AND(E1987&gt;0,B1987=10),1,0)</f>
        <v>0</v>
      </c>
      <c r="AD1987" s="0" t="str">
        <f aca="false">IF(AND(C1986=C1987,AA1986=AA1987-1),AB1986,"")</f>
        <v/>
      </c>
      <c r="AE1987" s="0" t="str">
        <f aca="false">IF(AND(C1986=C1987,AA1986=AA1987-1),AC1986,"")</f>
        <v/>
      </c>
      <c r="AF1987" s="0" t="str">
        <f aca="false">IF(AA1987=1,"",IF(AND(AB1987=1,AD1987&lt;&gt;1),1,0))</f>
        <v/>
      </c>
      <c r="AG1987" s="0" t="str">
        <f aca="false">IF(AA1987=1,"",IF(AND(AC1987=1,AE1987&lt;&gt;1),1,0))</f>
        <v/>
      </c>
      <c r="AH1987" s="51" t="str">
        <f aca="false">IF(AND(E1987&gt;0,AA1987&lt;1,NOT(AND(C1988=C1987,AA1988=AA1987+1))),INDEX(DATAS,AA1987+1),"")</f>
        <v/>
      </c>
      <c r="AI1987" s="51" t="str">
        <f aca="false">IF(AND(AC1987=1,AA1987&lt;1),IF(AND(C1988=C1987,AA1988=AA1987+1),IF(AC1988=1,"",INDEX(DATAS,AA1987+1)),INDEX(DATAS,AA1987+1)),"")</f>
        <v/>
      </c>
    </row>
    <row r="1988" customFormat="false" ht="15" hidden="false" customHeight="false" outlineLevel="0" collapsed="false">
      <c r="A1988" s="51" t="n">
        <v>46309</v>
      </c>
      <c r="B1988" s="0" t="n">
        <v>8</v>
      </c>
      <c r="C1988" s="0" t="n">
        <v>6250</v>
      </c>
      <c r="E1988" s="0" t="n">
        <v>0</v>
      </c>
      <c r="F1988" s="46" t="s">
        <v>1149</v>
      </c>
      <c r="I1988" s="46" t="s">
        <v>152</v>
      </c>
      <c r="L1988" s="0" t="n">
        <v>215</v>
      </c>
      <c r="U1988" s="0" t="n">
        <v>627</v>
      </c>
      <c r="V1988" s="0" t="n">
        <v>2</v>
      </c>
      <c r="W1988" s="51" t="n">
        <v>46095</v>
      </c>
      <c r="X1988" s="46" t="n">
        <f aca="false">IF(I1988="Male",0,1)</f>
        <v>1</v>
      </c>
      <c r="Y1988" s="46" t="n">
        <f aca="false">IF(OR(I1988="DNB",I1988="Dry DNB"),1,0)</f>
        <v>0</v>
      </c>
      <c r="Z1988" s="46" t="n">
        <f aca="false">IF(ISNUMBER(W1988),A1988-W1988,"")</f>
        <v>214</v>
      </c>
      <c r="AA1988" s="46" t="n">
        <f aca="false">MATCH(A1988,DATAS,0)</f>
        <v>1</v>
      </c>
      <c r="AB1988" s="46" t="n">
        <f aca="false">IF(AND(E1988&gt;0,OR(AND(B1988&gt;=1,B1988&lt;=6),B1988=10)),1,0)</f>
        <v>0</v>
      </c>
      <c r="AC1988" s="46" t="n">
        <f aca="false">IF(AND(E1988&gt;0,B1988=10),1,0)</f>
        <v>0</v>
      </c>
      <c r="AD1988" s="0" t="str">
        <f aca="false">IF(AND(C1987=C1988,AA1987=AA1988-1),AB1987,"")</f>
        <v/>
      </c>
      <c r="AE1988" s="0" t="str">
        <f aca="false">IF(AND(C1987=C1988,AA1987=AA1988-1),AC1987,"")</f>
        <v/>
      </c>
      <c r="AF1988" s="0" t="str">
        <f aca="false">IF(AA1988=1,"",IF(AND(AB1988=1,AD1988&lt;&gt;1),1,0))</f>
        <v/>
      </c>
      <c r="AG1988" s="0" t="str">
        <f aca="false">IF(AA1988=1,"",IF(AND(AC1988=1,AE1988&lt;&gt;1),1,0))</f>
        <v/>
      </c>
      <c r="AH1988" s="51" t="str">
        <f aca="false">IF(AND(E1988&gt;0,AA1988&lt;1,NOT(AND(C1989=C1988,AA1989=AA1988+1))),INDEX(DATAS,AA1988+1),"")</f>
        <v/>
      </c>
      <c r="AI1988" s="51" t="str">
        <f aca="false">IF(AND(AC1988=1,AA1988&lt;1),IF(AND(C1989=C1988,AA1989=AA1988+1),IF(AC1989=1,"",INDEX(DATAS,AA1988+1)),INDEX(DATAS,AA1988+1)),"")</f>
        <v/>
      </c>
    </row>
    <row r="1989" customFormat="false" ht="15" hidden="false" customHeight="false" outlineLevel="0" collapsed="false">
      <c r="A1989" s="51" t="n">
        <v>46309</v>
      </c>
      <c r="B1989" s="0" t="n">
        <v>8</v>
      </c>
      <c r="C1989" s="0" t="n">
        <v>6251</v>
      </c>
      <c r="E1989" s="0" t="n">
        <v>0</v>
      </c>
      <c r="F1989" s="46" t="s">
        <v>1149</v>
      </c>
      <c r="I1989" s="46" t="s">
        <v>152</v>
      </c>
      <c r="L1989" s="0" t="n">
        <v>140</v>
      </c>
      <c r="U1989" s="0" t="n">
        <v>627</v>
      </c>
      <c r="V1989" s="0" t="n">
        <v>3</v>
      </c>
      <c r="W1989" s="51" t="n">
        <v>46170</v>
      </c>
      <c r="X1989" s="46" t="n">
        <f aca="false">IF(I1989="Male",0,1)</f>
        <v>1</v>
      </c>
      <c r="Y1989" s="46" t="n">
        <f aca="false">IF(OR(I1989="DNB",I1989="Dry DNB"),1,0)</f>
        <v>0</v>
      </c>
      <c r="Z1989" s="46" t="n">
        <f aca="false">IF(ISNUMBER(W1989),A1989-W1989,"")</f>
        <v>139</v>
      </c>
      <c r="AA1989" s="46" t="n">
        <f aca="false">MATCH(A1989,DATAS,0)</f>
        <v>1</v>
      </c>
      <c r="AB1989" s="46" t="n">
        <f aca="false">IF(AND(E1989&gt;0,OR(AND(B1989&gt;=1,B1989&lt;=6),B1989=10)),1,0)</f>
        <v>0</v>
      </c>
      <c r="AC1989" s="46" t="n">
        <f aca="false">IF(AND(E1989&gt;0,B1989=10),1,0)</f>
        <v>0</v>
      </c>
      <c r="AD1989" s="0" t="str">
        <f aca="false">IF(AND(C1988=C1989,AA1988=AA1989-1),AB1988,"")</f>
        <v/>
      </c>
      <c r="AE1989" s="0" t="str">
        <f aca="false">IF(AND(C1988=C1989,AA1988=AA1989-1),AC1988,"")</f>
        <v/>
      </c>
      <c r="AF1989" s="0" t="str">
        <f aca="false">IF(AA1989=1,"",IF(AND(AB1989=1,AD1989&lt;&gt;1),1,0))</f>
        <v/>
      </c>
      <c r="AG1989" s="0" t="str">
        <f aca="false">IF(AA1989=1,"",IF(AND(AC1989=1,AE1989&lt;&gt;1),1,0))</f>
        <v/>
      </c>
      <c r="AH1989" s="51" t="str">
        <f aca="false">IF(AND(E1989&gt;0,AA1989&lt;1,NOT(AND(C1990=C1989,AA1990=AA1989+1))),INDEX(DATAS,AA1989+1),"")</f>
        <v/>
      </c>
      <c r="AI1989" s="51" t="str">
        <f aca="false">IF(AND(AC1989=1,AA1989&lt;1),IF(AND(C1990=C1989,AA1990=AA1989+1),IF(AC1990=1,"",INDEX(DATAS,AA1989+1)),INDEX(DATAS,AA1989+1)),"")</f>
        <v/>
      </c>
    </row>
    <row r="1990" customFormat="false" ht="15" hidden="false" customHeight="false" outlineLevel="0" collapsed="false">
      <c r="A1990" s="51" t="n">
        <v>46309</v>
      </c>
      <c r="B1990" s="0" t="n">
        <v>8</v>
      </c>
      <c r="C1990" s="0" t="n">
        <v>6252</v>
      </c>
      <c r="E1990" s="0" t="n">
        <v>0</v>
      </c>
      <c r="F1990" s="46" t="s">
        <v>1149</v>
      </c>
      <c r="I1990" s="46" t="s">
        <v>152</v>
      </c>
      <c r="L1990" s="0" t="n">
        <v>217</v>
      </c>
      <c r="U1990" s="0" t="n">
        <v>627</v>
      </c>
      <c r="V1990" s="0" t="n">
        <v>3</v>
      </c>
      <c r="W1990" s="51" t="n">
        <v>46093</v>
      </c>
      <c r="X1990" s="46" t="n">
        <f aca="false">IF(I1990="Male",0,1)</f>
        <v>1</v>
      </c>
      <c r="Y1990" s="46" t="n">
        <f aca="false">IF(OR(I1990="DNB",I1990="Dry DNB"),1,0)</f>
        <v>0</v>
      </c>
      <c r="Z1990" s="46" t="n">
        <f aca="false">IF(ISNUMBER(W1990),A1990-W1990,"")</f>
        <v>216</v>
      </c>
      <c r="AA1990" s="46" t="n">
        <f aca="false">MATCH(A1990,DATAS,0)</f>
        <v>1</v>
      </c>
      <c r="AB1990" s="46" t="n">
        <f aca="false">IF(AND(E1990&gt;0,OR(AND(B1990&gt;=1,B1990&lt;=6),B1990=10)),1,0)</f>
        <v>0</v>
      </c>
      <c r="AC1990" s="46" t="n">
        <f aca="false">IF(AND(E1990&gt;0,B1990=10),1,0)</f>
        <v>0</v>
      </c>
      <c r="AD1990" s="0" t="str">
        <f aca="false">IF(AND(C1989=C1990,AA1989=AA1990-1),AB1989,"")</f>
        <v/>
      </c>
      <c r="AE1990" s="0" t="str">
        <f aca="false">IF(AND(C1989=C1990,AA1989=AA1990-1),AC1989,"")</f>
        <v/>
      </c>
      <c r="AF1990" s="0" t="str">
        <f aca="false">IF(AA1990=1,"",IF(AND(AB1990=1,AD1990&lt;&gt;1),1,0))</f>
        <v/>
      </c>
      <c r="AG1990" s="0" t="str">
        <f aca="false">IF(AA1990=1,"",IF(AND(AC1990=1,AE1990&lt;&gt;1),1,0))</f>
        <v/>
      </c>
      <c r="AH1990" s="51" t="str">
        <f aca="false">IF(AND(E1990&gt;0,AA1990&lt;1,NOT(AND(C1991=C1990,AA1991=AA1990+1))),INDEX(DATAS,AA1990+1),"")</f>
        <v/>
      </c>
      <c r="AI1990" s="51" t="str">
        <f aca="false">IF(AND(AC1990=1,AA1990&lt;1),IF(AND(C1991=C1990,AA1991=AA1990+1),IF(AC1991=1,"",INDEX(DATAS,AA1990+1)),INDEX(DATAS,AA1990+1)),"")</f>
        <v/>
      </c>
    </row>
    <row r="1991" customFormat="false" ht="15" hidden="false" customHeight="false" outlineLevel="0" collapsed="false">
      <c r="A1991" s="51" t="n">
        <v>46309</v>
      </c>
      <c r="B1991" s="0" t="n">
        <v>8</v>
      </c>
      <c r="C1991" s="0" t="n">
        <v>6254</v>
      </c>
      <c r="E1991" s="0" t="n">
        <v>0</v>
      </c>
      <c r="F1991" s="46" t="s">
        <v>1150</v>
      </c>
      <c r="I1991" s="46" t="s">
        <v>152</v>
      </c>
      <c r="L1991" s="0" t="n">
        <v>183</v>
      </c>
      <c r="U1991" s="0" t="n">
        <v>626</v>
      </c>
      <c r="V1991" s="0" t="n">
        <v>2</v>
      </c>
      <c r="W1991" s="51" t="n">
        <v>46127</v>
      </c>
      <c r="X1991" s="46" t="n">
        <f aca="false">IF(I1991="Male",0,1)</f>
        <v>1</v>
      </c>
      <c r="Y1991" s="46" t="n">
        <f aca="false">IF(OR(I1991="DNB",I1991="Dry DNB"),1,0)</f>
        <v>0</v>
      </c>
      <c r="Z1991" s="46" t="n">
        <f aca="false">IF(ISNUMBER(W1991),A1991-W1991,"")</f>
        <v>182</v>
      </c>
      <c r="AA1991" s="46" t="n">
        <f aca="false">MATCH(A1991,DATAS,0)</f>
        <v>1</v>
      </c>
      <c r="AB1991" s="46" t="n">
        <f aca="false">IF(AND(E1991&gt;0,OR(AND(B1991&gt;=1,B1991&lt;=6),B1991=10)),1,0)</f>
        <v>0</v>
      </c>
      <c r="AC1991" s="46" t="n">
        <f aca="false">IF(AND(E1991&gt;0,B1991=10),1,0)</f>
        <v>0</v>
      </c>
      <c r="AD1991" s="0" t="str">
        <f aca="false">IF(AND(C1990=C1991,AA1990=AA1991-1),AB1990,"")</f>
        <v/>
      </c>
      <c r="AE1991" s="0" t="str">
        <f aca="false">IF(AND(C1990=C1991,AA1990=AA1991-1),AC1990,"")</f>
        <v/>
      </c>
      <c r="AF1991" s="0" t="str">
        <f aca="false">IF(AA1991=1,"",IF(AND(AB1991=1,AD1991&lt;&gt;1),1,0))</f>
        <v/>
      </c>
      <c r="AG1991" s="0" t="str">
        <f aca="false">IF(AA1991=1,"",IF(AND(AC1991=1,AE1991&lt;&gt;1),1,0))</f>
        <v/>
      </c>
      <c r="AH1991" s="51" t="str">
        <f aca="false">IF(AND(E1991&gt;0,AA1991&lt;1,NOT(AND(C1992=C1991,AA1992=AA1991+1))),INDEX(DATAS,AA1991+1),"")</f>
        <v/>
      </c>
      <c r="AI1991" s="51" t="str">
        <f aca="false">IF(AND(AC1991=1,AA1991&lt;1),IF(AND(C1992=C1991,AA1992=AA1991+1),IF(AC1992=1,"",INDEX(DATAS,AA1991+1)),INDEX(DATAS,AA1991+1)),"")</f>
        <v/>
      </c>
    </row>
    <row r="1992" customFormat="false" ht="15" hidden="false" customHeight="false" outlineLevel="0" collapsed="false">
      <c r="A1992" s="51" t="n">
        <v>46309</v>
      </c>
      <c r="B1992" s="0" t="n">
        <v>7</v>
      </c>
      <c r="C1992" s="0" t="n">
        <v>6256</v>
      </c>
      <c r="E1992" s="0" t="n">
        <v>0</v>
      </c>
      <c r="F1992" s="46" t="s">
        <v>1150</v>
      </c>
      <c r="I1992" s="46" t="s">
        <v>152</v>
      </c>
      <c r="L1992" s="0" t="n">
        <v>234</v>
      </c>
      <c r="U1992" s="0" t="n">
        <v>626</v>
      </c>
      <c r="V1992" s="0" t="n">
        <v>2</v>
      </c>
      <c r="W1992" s="51" t="n">
        <v>46076</v>
      </c>
      <c r="X1992" s="46" t="n">
        <f aca="false">IF(I1992="Male",0,1)</f>
        <v>1</v>
      </c>
      <c r="Y1992" s="46" t="n">
        <f aca="false">IF(OR(I1992="DNB",I1992="Dry DNB"),1,0)</f>
        <v>0</v>
      </c>
      <c r="Z1992" s="46" t="n">
        <f aca="false">IF(ISNUMBER(W1992),A1992-W1992,"")</f>
        <v>233</v>
      </c>
      <c r="AA1992" s="46" t="n">
        <f aca="false">MATCH(A1992,DATAS,0)</f>
        <v>1</v>
      </c>
      <c r="AB1992" s="46" t="n">
        <f aca="false">IF(AND(E1992&gt;0,OR(AND(B1992&gt;=1,B1992&lt;=6),B1992=10)),1,0)</f>
        <v>0</v>
      </c>
      <c r="AC1992" s="46" t="n">
        <f aca="false">IF(AND(E1992&gt;0,B1992=10),1,0)</f>
        <v>0</v>
      </c>
      <c r="AD1992" s="0" t="str">
        <f aca="false">IF(AND(C1991=C1992,AA1991=AA1992-1),AB1991,"")</f>
        <v/>
      </c>
      <c r="AE1992" s="0" t="str">
        <f aca="false">IF(AND(C1991=C1992,AA1991=AA1992-1),AC1991,"")</f>
        <v/>
      </c>
      <c r="AF1992" s="0" t="str">
        <f aca="false">IF(AA1992=1,"",IF(AND(AB1992=1,AD1992&lt;&gt;1),1,0))</f>
        <v/>
      </c>
      <c r="AG1992" s="0" t="str">
        <f aca="false">IF(AA1992=1,"",IF(AND(AC1992=1,AE1992&lt;&gt;1),1,0))</f>
        <v/>
      </c>
      <c r="AH1992" s="51" t="str">
        <f aca="false">IF(AND(E1992&gt;0,AA1992&lt;1,NOT(AND(C1993=C1992,AA1993=AA1992+1))),INDEX(DATAS,AA1992+1),"")</f>
        <v/>
      </c>
      <c r="AI1992" s="51" t="str">
        <f aca="false">IF(AND(AC1992=1,AA1992&lt;1),IF(AND(C1993=C1992,AA1993=AA1992+1),IF(AC1993=1,"",INDEX(DATAS,AA1992+1)),INDEX(DATAS,AA1992+1)),"")</f>
        <v/>
      </c>
    </row>
    <row r="1993" customFormat="false" ht="15" hidden="false" customHeight="false" outlineLevel="0" collapsed="false">
      <c r="A1993" s="51" t="n">
        <v>46309</v>
      </c>
      <c r="B1993" s="0" t="n">
        <v>14</v>
      </c>
      <c r="C1993" s="0" t="n">
        <v>6257</v>
      </c>
      <c r="E1993" s="0" t="n">
        <v>0</v>
      </c>
      <c r="F1993" s="46" t="s">
        <v>1151</v>
      </c>
      <c r="I1993" s="46" t="s">
        <v>152</v>
      </c>
      <c r="L1993" s="0" t="n">
        <v>263</v>
      </c>
      <c r="U1993" s="0" t="n">
        <v>625</v>
      </c>
      <c r="V1993" s="0" t="n">
        <v>1</v>
      </c>
      <c r="W1993" s="51" t="n">
        <v>46047</v>
      </c>
      <c r="X1993" s="46" t="n">
        <f aca="false">IF(I1993="Male",0,1)</f>
        <v>1</v>
      </c>
      <c r="Y1993" s="46" t="n">
        <f aca="false">IF(OR(I1993="DNB",I1993="Dry DNB"),1,0)</f>
        <v>0</v>
      </c>
      <c r="Z1993" s="46" t="n">
        <f aca="false">IF(ISNUMBER(W1993),A1993-W1993,"")</f>
        <v>262</v>
      </c>
      <c r="AA1993" s="46" t="n">
        <f aca="false">MATCH(A1993,DATAS,0)</f>
        <v>1</v>
      </c>
      <c r="AB1993" s="46" t="n">
        <f aca="false">IF(AND(E1993&gt;0,OR(AND(B1993&gt;=1,B1993&lt;=6),B1993=10)),1,0)</f>
        <v>0</v>
      </c>
      <c r="AC1993" s="46" t="n">
        <f aca="false">IF(AND(E1993&gt;0,B1993=10),1,0)</f>
        <v>0</v>
      </c>
      <c r="AD1993" s="0" t="str">
        <f aca="false">IF(AND(C1992=C1993,AA1992=AA1993-1),AB1992,"")</f>
        <v/>
      </c>
      <c r="AE1993" s="0" t="str">
        <f aca="false">IF(AND(C1992=C1993,AA1992=AA1993-1),AC1992,"")</f>
        <v/>
      </c>
      <c r="AF1993" s="0" t="str">
        <f aca="false">IF(AA1993=1,"",IF(AND(AB1993=1,AD1993&lt;&gt;1),1,0))</f>
        <v/>
      </c>
      <c r="AG1993" s="0" t="str">
        <f aca="false">IF(AA1993=1,"",IF(AND(AC1993=1,AE1993&lt;&gt;1),1,0))</f>
        <v/>
      </c>
      <c r="AH1993" s="51" t="str">
        <f aca="false">IF(AND(E1993&gt;0,AA1993&lt;1,NOT(AND(C1994=C1993,AA1994=AA1993+1))),INDEX(DATAS,AA1993+1),"")</f>
        <v/>
      </c>
      <c r="AI1993" s="51" t="str">
        <f aca="false">IF(AND(AC1993=1,AA1993&lt;1),IF(AND(C1994=C1993,AA1994=AA1993+1),IF(AC1994=1,"",INDEX(DATAS,AA1993+1)),INDEX(DATAS,AA1993+1)),"")</f>
        <v/>
      </c>
    </row>
    <row r="1994" customFormat="false" ht="15" hidden="false" customHeight="false" outlineLevel="0" collapsed="false">
      <c r="A1994" s="51" t="n">
        <v>46309</v>
      </c>
      <c r="B1994" s="0" t="n">
        <v>7</v>
      </c>
      <c r="C1994" s="0" t="n">
        <v>6258</v>
      </c>
      <c r="E1994" s="0" t="n">
        <v>0</v>
      </c>
      <c r="F1994" s="46" t="s">
        <v>1152</v>
      </c>
      <c r="I1994" s="46" t="s">
        <v>152</v>
      </c>
      <c r="L1994" s="0" t="n">
        <v>237</v>
      </c>
      <c r="U1994" s="0" t="n">
        <v>623</v>
      </c>
      <c r="V1994" s="0" t="n">
        <v>2</v>
      </c>
      <c r="W1994" s="51" t="n">
        <v>46073</v>
      </c>
      <c r="X1994" s="46" t="n">
        <f aca="false">IF(I1994="Male",0,1)</f>
        <v>1</v>
      </c>
      <c r="Y1994" s="46" t="n">
        <f aca="false">IF(OR(I1994="DNB",I1994="Dry DNB"),1,0)</f>
        <v>0</v>
      </c>
      <c r="Z1994" s="46" t="n">
        <f aca="false">IF(ISNUMBER(W1994),A1994-W1994,"")</f>
        <v>236</v>
      </c>
      <c r="AA1994" s="46" t="n">
        <f aca="false">MATCH(A1994,DATAS,0)</f>
        <v>1</v>
      </c>
      <c r="AB1994" s="46" t="n">
        <f aca="false">IF(AND(E1994&gt;0,OR(AND(B1994&gt;=1,B1994&lt;=6),B1994=10)),1,0)</f>
        <v>0</v>
      </c>
      <c r="AC1994" s="46" t="n">
        <f aca="false">IF(AND(E1994&gt;0,B1994=10),1,0)</f>
        <v>0</v>
      </c>
      <c r="AD1994" s="0" t="str">
        <f aca="false">IF(AND(C1993=C1994,AA1993=AA1994-1),AB1993,"")</f>
        <v/>
      </c>
      <c r="AE1994" s="0" t="str">
        <f aca="false">IF(AND(C1993=C1994,AA1993=AA1994-1),AC1993,"")</f>
        <v/>
      </c>
      <c r="AF1994" s="0" t="str">
        <f aca="false">IF(AA1994=1,"",IF(AND(AB1994=1,AD1994&lt;&gt;1),1,0))</f>
        <v/>
      </c>
      <c r="AG1994" s="0" t="str">
        <f aca="false">IF(AA1994=1,"",IF(AND(AC1994=1,AE1994&lt;&gt;1),1,0))</f>
        <v/>
      </c>
      <c r="AH1994" s="51" t="str">
        <f aca="false">IF(AND(E1994&gt;0,AA1994&lt;1,NOT(AND(C1995=C1994,AA1995=AA1994+1))),INDEX(DATAS,AA1994+1),"")</f>
        <v/>
      </c>
      <c r="AI1994" s="51" t="str">
        <f aca="false">IF(AND(AC1994=1,AA1994&lt;1),IF(AND(C1995=C1994,AA1995=AA1994+1),IF(AC1995=1,"",INDEX(DATAS,AA1994+1)),INDEX(DATAS,AA1994+1)),"")</f>
        <v/>
      </c>
    </row>
    <row r="1995" customFormat="false" ht="15" hidden="false" customHeight="false" outlineLevel="0" collapsed="false">
      <c r="A1995" s="51" t="n">
        <v>46309</v>
      </c>
      <c r="B1995" s="0" t="n">
        <v>8</v>
      </c>
      <c r="C1995" s="0" t="n">
        <v>6260</v>
      </c>
      <c r="E1995" s="0" t="n">
        <v>0</v>
      </c>
      <c r="F1995" s="46" t="s">
        <v>1152</v>
      </c>
      <c r="I1995" s="46" t="s">
        <v>152</v>
      </c>
      <c r="L1995" s="0" t="n">
        <v>232</v>
      </c>
      <c r="U1995" s="0" t="n">
        <v>623</v>
      </c>
      <c r="V1995" s="0" t="n">
        <v>2</v>
      </c>
      <c r="W1995" s="51" t="n">
        <v>46078</v>
      </c>
      <c r="X1995" s="46" t="n">
        <f aca="false">IF(I1995="Male",0,1)</f>
        <v>1</v>
      </c>
      <c r="Y1995" s="46" t="n">
        <f aca="false">IF(OR(I1995="DNB",I1995="Dry DNB"),1,0)</f>
        <v>0</v>
      </c>
      <c r="Z1995" s="46" t="n">
        <f aca="false">IF(ISNUMBER(W1995),A1995-W1995,"")</f>
        <v>231</v>
      </c>
      <c r="AA1995" s="46" t="n">
        <f aca="false">MATCH(A1995,DATAS,0)</f>
        <v>1</v>
      </c>
      <c r="AB1995" s="46" t="n">
        <f aca="false">IF(AND(E1995&gt;0,OR(AND(B1995&gt;=1,B1995&lt;=6),B1995=10)),1,0)</f>
        <v>0</v>
      </c>
      <c r="AC1995" s="46" t="n">
        <f aca="false">IF(AND(E1995&gt;0,B1995=10),1,0)</f>
        <v>0</v>
      </c>
      <c r="AD1995" s="0" t="str">
        <f aca="false">IF(AND(C1994=C1995,AA1994=AA1995-1),AB1994,"")</f>
        <v/>
      </c>
      <c r="AE1995" s="0" t="str">
        <f aca="false">IF(AND(C1994=C1995,AA1994=AA1995-1),AC1994,"")</f>
        <v/>
      </c>
      <c r="AF1995" s="0" t="str">
        <f aca="false">IF(AA1995=1,"",IF(AND(AB1995=1,AD1995&lt;&gt;1),1,0))</f>
        <v/>
      </c>
      <c r="AG1995" s="0" t="str">
        <f aca="false">IF(AA1995=1,"",IF(AND(AC1995=1,AE1995&lt;&gt;1),1,0))</f>
        <v/>
      </c>
      <c r="AH1995" s="51" t="str">
        <f aca="false">IF(AND(E1995&gt;0,AA1995&lt;1,NOT(AND(C1996=C1995,AA1996=AA1995+1))),INDEX(DATAS,AA1995+1),"")</f>
        <v/>
      </c>
      <c r="AI1995" s="51" t="str">
        <f aca="false">IF(AND(AC1995=1,AA1995&lt;1),IF(AND(C1996=C1995,AA1996=AA1995+1),IF(AC1996=1,"",INDEX(DATAS,AA1995+1)),INDEX(DATAS,AA1995+1)),"")</f>
        <v/>
      </c>
    </row>
    <row r="1996" customFormat="false" ht="15" hidden="false" customHeight="false" outlineLevel="0" collapsed="false">
      <c r="A1996" s="51" t="n">
        <v>46309</v>
      </c>
      <c r="B1996" s="0" t="n">
        <v>14</v>
      </c>
      <c r="C1996" s="0" t="n">
        <v>6262</v>
      </c>
      <c r="E1996" s="0" t="n">
        <v>0</v>
      </c>
      <c r="F1996" s="46" t="s">
        <v>1152</v>
      </c>
      <c r="I1996" s="46" t="s">
        <v>152</v>
      </c>
      <c r="L1996" s="0" t="n">
        <v>260</v>
      </c>
      <c r="U1996" s="0" t="n">
        <v>623</v>
      </c>
      <c r="V1996" s="0" t="n">
        <v>1</v>
      </c>
      <c r="W1996" s="51" t="n">
        <v>46050</v>
      </c>
      <c r="X1996" s="46" t="n">
        <f aca="false">IF(I1996="Male",0,1)</f>
        <v>1</v>
      </c>
      <c r="Y1996" s="46" t="n">
        <f aca="false">IF(OR(I1996="DNB",I1996="Dry DNB"),1,0)</f>
        <v>0</v>
      </c>
      <c r="Z1996" s="46" t="n">
        <f aca="false">IF(ISNUMBER(W1996),A1996-W1996,"")</f>
        <v>259</v>
      </c>
      <c r="AA1996" s="46" t="n">
        <f aca="false">MATCH(A1996,DATAS,0)</f>
        <v>1</v>
      </c>
      <c r="AB1996" s="46" t="n">
        <f aca="false">IF(AND(E1996&gt;0,OR(AND(B1996&gt;=1,B1996&lt;=6),B1996=10)),1,0)</f>
        <v>0</v>
      </c>
      <c r="AC1996" s="46" t="n">
        <f aca="false">IF(AND(E1996&gt;0,B1996=10),1,0)</f>
        <v>0</v>
      </c>
      <c r="AD1996" s="0" t="str">
        <f aca="false">IF(AND(C1995=C1996,AA1995=AA1996-1),AB1995,"")</f>
        <v/>
      </c>
      <c r="AE1996" s="0" t="str">
        <f aca="false">IF(AND(C1995=C1996,AA1995=AA1996-1),AC1995,"")</f>
        <v/>
      </c>
      <c r="AF1996" s="0" t="str">
        <f aca="false">IF(AA1996=1,"",IF(AND(AB1996=1,AD1996&lt;&gt;1),1,0))</f>
        <v/>
      </c>
      <c r="AG1996" s="0" t="str">
        <f aca="false">IF(AA1996=1,"",IF(AND(AC1996=1,AE1996&lt;&gt;1),1,0))</f>
        <v/>
      </c>
      <c r="AH1996" s="51" t="str">
        <f aca="false">IF(AND(E1996&gt;0,AA1996&lt;1,NOT(AND(C1997=C1996,AA1997=AA1996+1))),INDEX(DATAS,AA1996+1),"")</f>
        <v/>
      </c>
      <c r="AI1996" s="51" t="str">
        <f aca="false">IF(AND(AC1996=1,AA1996&lt;1),IF(AND(C1997=C1996,AA1997=AA1996+1),IF(AC1997=1,"",INDEX(DATAS,AA1996+1)),INDEX(DATAS,AA1996+1)),"")</f>
        <v/>
      </c>
    </row>
    <row r="1997" customFormat="false" ht="15" hidden="false" customHeight="false" outlineLevel="0" collapsed="false">
      <c r="A1997" s="51" t="n">
        <v>46309</v>
      </c>
      <c r="B1997" s="0" t="n">
        <v>8</v>
      </c>
      <c r="C1997" s="0" t="n">
        <v>6263</v>
      </c>
      <c r="E1997" s="0" t="n">
        <v>0</v>
      </c>
      <c r="F1997" s="46" t="s">
        <v>1153</v>
      </c>
      <c r="I1997" s="46" t="s">
        <v>152</v>
      </c>
      <c r="L1997" s="0" t="n">
        <v>173</v>
      </c>
      <c r="U1997" s="0" t="n">
        <v>622</v>
      </c>
      <c r="V1997" s="0" t="n">
        <v>3</v>
      </c>
      <c r="W1997" s="51" t="n">
        <v>46137</v>
      </c>
      <c r="X1997" s="46" t="n">
        <f aca="false">IF(I1997="Male",0,1)</f>
        <v>1</v>
      </c>
      <c r="Y1997" s="46" t="n">
        <f aca="false">IF(OR(I1997="DNB",I1997="Dry DNB"),1,0)</f>
        <v>0</v>
      </c>
      <c r="Z1997" s="46" t="n">
        <f aca="false">IF(ISNUMBER(W1997),A1997-W1997,"")</f>
        <v>172</v>
      </c>
      <c r="AA1997" s="46" t="n">
        <f aca="false">MATCH(A1997,DATAS,0)</f>
        <v>1</v>
      </c>
      <c r="AB1997" s="46" t="n">
        <f aca="false">IF(AND(E1997&gt;0,OR(AND(B1997&gt;=1,B1997&lt;=6),B1997=10)),1,0)</f>
        <v>0</v>
      </c>
      <c r="AC1997" s="46" t="n">
        <f aca="false">IF(AND(E1997&gt;0,B1997=10),1,0)</f>
        <v>0</v>
      </c>
      <c r="AD1997" s="0" t="str">
        <f aca="false">IF(AND(C1996=C1997,AA1996=AA1997-1),AB1996,"")</f>
        <v/>
      </c>
      <c r="AE1997" s="0" t="str">
        <f aca="false">IF(AND(C1996=C1997,AA1996=AA1997-1),AC1996,"")</f>
        <v/>
      </c>
      <c r="AF1997" s="0" t="str">
        <f aca="false">IF(AA1997=1,"",IF(AND(AB1997=1,AD1997&lt;&gt;1),1,0))</f>
        <v/>
      </c>
      <c r="AG1997" s="0" t="str">
        <f aca="false">IF(AA1997=1,"",IF(AND(AC1997=1,AE1997&lt;&gt;1),1,0))</f>
        <v/>
      </c>
      <c r="AH1997" s="51" t="str">
        <f aca="false">IF(AND(E1997&gt;0,AA1997&lt;1,NOT(AND(C1998=C1997,AA1998=AA1997+1))),INDEX(DATAS,AA1997+1),"")</f>
        <v/>
      </c>
      <c r="AI1997" s="51" t="str">
        <f aca="false">IF(AND(AC1997=1,AA1997&lt;1),IF(AND(C1998=C1997,AA1998=AA1997+1),IF(AC1998=1,"",INDEX(DATAS,AA1997+1)),INDEX(DATAS,AA1997+1)),"")</f>
        <v/>
      </c>
    </row>
    <row r="1998" customFormat="false" ht="15" hidden="false" customHeight="false" outlineLevel="0" collapsed="false">
      <c r="A1998" s="51" t="n">
        <v>46309</v>
      </c>
      <c r="B1998" s="0" t="n">
        <v>14</v>
      </c>
      <c r="C1998" s="0" t="n">
        <v>6264</v>
      </c>
      <c r="E1998" s="0" t="n">
        <v>0</v>
      </c>
      <c r="F1998" s="46" t="s">
        <v>1153</v>
      </c>
      <c r="I1998" s="46" t="s">
        <v>152</v>
      </c>
      <c r="L1998" s="0" t="n">
        <v>255</v>
      </c>
      <c r="U1998" s="0" t="n">
        <v>622</v>
      </c>
      <c r="V1998" s="0" t="n">
        <v>1</v>
      </c>
      <c r="W1998" s="51" t="n">
        <v>46055</v>
      </c>
      <c r="X1998" s="46" t="n">
        <f aca="false">IF(I1998="Male",0,1)</f>
        <v>1</v>
      </c>
      <c r="Y1998" s="46" t="n">
        <f aca="false">IF(OR(I1998="DNB",I1998="Dry DNB"),1,0)</f>
        <v>0</v>
      </c>
      <c r="Z1998" s="46" t="n">
        <f aca="false">IF(ISNUMBER(W1998),A1998-W1998,"")</f>
        <v>254</v>
      </c>
      <c r="AA1998" s="46" t="n">
        <f aca="false">MATCH(A1998,DATAS,0)</f>
        <v>1</v>
      </c>
      <c r="AB1998" s="46" t="n">
        <f aca="false">IF(AND(E1998&gt;0,OR(AND(B1998&gt;=1,B1998&lt;=6),B1998=10)),1,0)</f>
        <v>0</v>
      </c>
      <c r="AC1998" s="46" t="n">
        <f aca="false">IF(AND(E1998&gt;0,B1998=10),1,0)</f>
        <v>0</v>
      </c>
      <c r="AD1998" s="0" t="str">
        <f aca="false">IF(AND(C1997=C1998,AA1997=AA1998-1),AB1997,"")</f>
        <v/>
      </c>
      <c r="AE1998" s="0" t="str">
        <f aca="false">IF(AND(C1997=C1998,AA1997=AA1998-1),AC1997,"")</f>
        <v/>
      </c>
      <c r="AF1998" s="0" t="str">
        <f aca="false">IF(AA1998=1,"",IF(AND(AB1998=1,AD1998&lt;&gt;1),1,0))</f>
        <v/>
      </c>
      <c r="AG1998" s="0" t="str">
        <f aca="false">IF(AA1998=1,"",IF(AND(AC1998=1,AE1998&lt;&gt;1),1,0))</f>
        <v/>
      </c>
      <c r="AH1998" s="51" t="str">
        <f aca="false">IF(AND(E1998&gt;0,AA1998&lt;1,NOT(AND(C1999=C1998,AA1999=AA1998+1))),INDEX(DATAS,AA1998+1),"")</f>
        <v/>
      </c>
      <c r="AI1998" s="51" t="str">
        <f aca="false">IF(AND(AC1998=1,AA1998&lt;1),IF(AND(C1999=C1998,AA1999=AA1998+1),IF(AC1999=1,"",INDEX(DATAS,AA1998+1)),INDEX(DATAS,AA1998+1)),"")</f>
        <v/>
      </c>
    </row>
    <row r="1999" customFormat="false" ht="15" hidden="false" customHeight="false" outlineLevel="0" collapsed="false">
      <c r="A1999" s="51" t="n">
        <v>46309</v>
      </c>
      <c r="B1999" s="0" t="n">
        <v>8</v>
      </c>
      <c r="C1999" s="0" t="n">
        <v>6265</v>
      </c>
      <c r="E1999" s="0" t="n">
        <v>0</v>
      </c>
      <c r="F1999" s="46" t="s">
        <v>1153</v>
      </c>
      <c r="I1999" s="46" t="s">
        <v>152</v>
      </c>
      <c r="L1999" s="0" t="n">
        <v>119</v>
      </c>
      <c r="U1999" s="0" t="n">
        <v>622</v>
      </c>
      <c r="V1999" s="0" t="n">
        <v>2</v>
      </c>
      <c r="W1999" s="51" t="n">
        <v>46191</v>
      </c>
      <c r="X1999" s="46" t="n">
        <f aca="false">IF(I1999="Male",0,1)</f>
        <v>1</v>
      </c>
      <c r="Y1999" s="46" t="n">
        <f aca="false">IF(OR(I1999="DNB",I1999="Dry DNB"),1,0)</f>
        <v>0</v>
      </c>
      <c r="Z1999" s="46" t="n">
        <f aca="false">IF(ISNUMBER(W1999),A1999-W1999,"")</f>
        <v>118</v>
      </c>
      <c r="AA1999" s="46" t="n">
        <f aca="false">MATCH(A1999,DATAS,0)</f>
        <v>1</v>
      </c>
      <c r="AB1999" s="46" t="n">
        <f aca="false">IF(AND(E1999&gt;0,OR(AND(B1999&gt;=1,B1999&lt;=6),B1999=10)),1,0)</f>
        <v>0</v>
      </c>
      <c r="AC1999" s="46" t="n">
        <f aca="false">IF(AND(E1999&gt;0,B1999=10),1,0)</f>
        <v>0</v>
      </c>
      <c r="AD1999" s="0" t="str">
        <f aca="false">IF(AND(C1998=C1999,AA1998=AA1999-1),AB1998,"")</f>
        <v/>
      </c>
      <c r="AE1999" s="0" t="str">
        <f aca="false">IF(AND(C1998=C1999,AA1998=AA1999-1),AC1998,"")</f>
        <v/>
      </c>
      <c r="AF1999" s="0" t="str">
        <f aca="false">IF(AA1999=1,"",IF(AND(AB1999=1,AD1999&lt;&gt;1),1,0))</f>
        <v/>
      </c>
      <c r="AG1999" s="0" t="str">
        <f aca="false">IF(AA1999=1,"",IF(AND(AC1999=1,AE1999&lt;&gt;1),1,0))</f>
        <v/>
      </c>
      <c r="AH1999" s="51" t="str">
        <f aca="false">IF(AND(E1999&gt;0,AA1999&lt;1,NOT(AND(C2000=C1999,AA2000=AA1999+1))),INDEX(DATAS,AA1999+1),"")</f>
        <v/>
      </c>
      <c r="AI1999" s="51" t="str">
        <f aca="false">IF(AND(AC1999=1,AA1999&lt;1),IF(AND(C2000=C1999,AA2000=AA1999+1),IF(AC2000=1,"",INDEX(DATAS,AA1999+1)),INDEX(DATAS,AA1999+1)),"")</f>
        <v/>
      </c>
    </row>
    <row r="2000" customFormat="false" ht="15" hidden="false" customHeight="false" outlineLevel="0" collapsed="false">
      <c r="A2000" s="51" t="n">
        <v>46309</v>
      </c>
      <c r="B2000" s="0" t="n">
        <v>8</v>
      </c>
      <c r="C2000" s="0" t="n">
        <v>6266</v>
      </c>
      <c r="E2000" s="0" t="n">
        <v>0</v>
      </c>
      <c r="F2000" s="46" t="s">
        <v>1154</v>
      </c>
      <c r="I2000" s="46" t="s">
        <v>152</v>
      </c>
      <c r="L2000" s="0" t="n">
        <v>161</v>
      </c>
      <c r="U2000" s="0" t="n">
        <v>621</v>
      </c>
      <c r="V2000" s="0" t="n">
        <v>3</v>
      </c>
      <c r="W2000" s="51" t="n">
        <v>46149</v>
      </c>
      <c r="X2000" s="46" t="n">
        <f aca="false">IF(I2000="Male",0,1)</f>
        <v>1</v>
      </c>
      <c r="Y2000" s="46" t="n">
        <f aca="false">IF(OR(I2000="DNB",I2000="Dry DNB"),1,0)</f>
        <v>0</v>
      </c>
      <c r="Z2000" s="46" t="n">
        <f aca="false">IF(ISNUMBER(W2000),A2000-W2000,"")</f>
        <v>160</v>
      </c>
      <c r="AA2000" s="46" t="n">
        <f aca="false">MATCH(A2000,DATAS,0)</f>
        <v>1</v>
      </c>
      <c r="AB2000" s="46" t="n">
        <f aca="false">IF(AND(E2000&gt;0,OR(AND(B2000&gt;=1,B2000&lt;=6),B2000=10)),1,0)</f>
        <v>0</v>
      </c>
      <c r="AC2000" s="46" t="n">
        <f aca="false">IF(AND(E2000&gt;0,B2000=10),1,0)</f>
        <v>0</v>
      </c>
      <c r="AD2000" s="0" t="str">
        <f aca="false">IF(AND(C1999=C2000,AA1999=AA2000-1),AB1999,"")</f>
        <v/>
      </c>
      <c r="AE2000" s="0" t="str">
        <f aca="false">IF(AND(C1999=C2000,AA1999=AA2000-1),AC1999,"")</f>
        <v/>
      </c>
      <c r="AF2000" s="0" t="str">
        <f aca="false">IF(AA2000=1,"",IF(AND(AB2000=1,AD2000&lt;&gt;1),1,0))</f>
        <v/>
      </c>
      <c r="AG2000" s="0" t="str">
        <f aca="false">IF(AA2000=1,"",IF(AND(AC2000=1,AE2000&lt;&gt;1),1,0))</f>
        <v/>
      </c>
      <c r="AH2000" s="51" t="str">
        <f aca="false">IF(AND(E2000&gt;0,AA2000&lt;1,NOT(AND(C2001=C2000,AA2001=AA2000+1))),INDEX(DATAS,AA2000+1),"")</f>
        <v/>
      </c>
      <c r="AI2000" s="51" t="str">
        <f aca="false">IF(AND(AC2000=1,AA2000&lt;1),IF(AND(C2001=C2000,AA2001=AA2000+1),IF(AC2001=1,"",INDEX(DATAS,AA2000+1)),INDEX(DATAS,AA2000+1)),"")</f>
        <v/>
      </c>
    </row>
    <row r="2001" customFormat="false" ht="15" hidden="false" customHeight="false" outlineLevel="0" collapsed="false">
      <c r="A2001" s="51" t="n">
        <v>46309</v>
      </c>
      <c r="B2001" s="0" t="n">
        <v>8</v>
      </c>
      <c r="C2001" s="0" t="n">
        <v>6267</v>
      </c>
      <c r="E2001" s="0" t="n">
        <v>0</v>
      </c>
      <c r="F2001" s="46" t="s">
        <v>1154</v>
      </c>
      <c r="I2001" s="46" t="s">
        <v>152</v>
      </c>
      <c r="L2001" s="0" t="n">
        <v>210</v>
      </c>
      <c r="U2001" s="0" t="n">
        <v>621</v>
      </c>
      <c r="V2001" s="0" t="n">
        <v>3</v>
      </c>
      <c r="W2001" s="51" t="n">
        <v>46100</v>
      </c>
      <c r="X2001" s="46" t="n">
        <f aca="false">IF(I2001="Male",0,1)</f>
        <v>1</v>
      </c>
      <c r="Y2001" s="46" t="n">
        <f aca="false">IF(OR(I2001="DNB",I2001="Dry DNB"),1,0)</f>
        <v>0</v>
      </c>
      <c r="Z2001" s="46" t="n">
        <f aca="false">IF(ISNUMBER(W2001),A2001-W2001,"")</f>
        <v>209</v>
      </c>
      <c r="AA2001" s="46" t="n">
        <f aca="false">MATCH(A2001,DATAS,0)</f>
        <v>1</v>
      </c>
      <c r="AB2001" s="46" t="n">
        <f aca="false">IF(AND(E2001&gt;0,OR(AND(B2001&gt;=1,B2001&lt;=6),B2001=10)),1,0)</f>
        <v>0</v>
      </c>
      <c r="AC2001" s="46" t="n">
        <f aca="false">IF(AND(E2001&gt;0,B2001=10),1,0)</f>
        <v>0</v>
      </c>
      <c r="AD2001" s="0" t="str">
        <f aca="false">IF(AND(C2000=C2001,AA2000=AA2001-1),AB2000,"")</f>
        <v/>
      </c>
      <c r="AE2001" s="0" t="str">
        <f aca="false">IF(AND(C2000=C2001,AA2000=AA2001-1),AC2000,"")</f>
        <v/>
      </c>
      <c r="AF2001" s="0" t="str">
        <f aca="false">IF(AA2001=1,"",IF(AND(AB2001=1,AD2001&lt;&gt;1),1,0))</f>
        <v/>
      </c>
      <c r="AG2001" s="0" t="str">
        <f aca="false">IF(AA2001=1,"",IF(AND(AC2001=1,AE2001&lt;&gt;1),1,0))</f>
        <v/>
      </c>
      <c r="AH2001" s="51" t="str">
        <f aca="false">IF(AND(E2001&gt;0,AA2001&lt;1,NOT(AND(C2002=C2001,AA2002=AA2001+1))),INDEX(DATAS,AA2001+1),"")</f>
        <v/>
      </c>
      <c r="AI2001" s="51" t="str">
        <f aca="false">IF(AND(AC2001=1,AA2001&lt;1),IF(AND(C2002=C2001,AA2002=AA2001+1),IF(AC2002=1,"",INDEX(DATAS,AA2001+1)),INDEX(DATAS,AA2001+1)),"")</f>
        <v/>
      </c>
    </row>
    <row r="2002" customFormat="false" ht="15" hidden="false" customHeight="false" outlineLevel="0" collapsed="false">
      <c r="A2002" s="51" t="n">
        <v>46309</v>
      </c>
      <c r="B2002" s="0" t="n">
        <v>14</v>
      </c>
      <c r="C2002" s="0" t="n">
        <v>6268</v>
      </c>
      <c r="E2002" s="0" t="n">
        <v>0</v>
      </c>
      <c r="F2002" s="46" t="s">
        <v>1154</v>
      </c>
      <c r="I2002" s="46" t="s">
        <v>152</v>
      </c>
      <c r="L2002" s="0" t="n">
        <v>263</v>
      </c>
      <c r="U2002" s="0" t="n">
        <v>621</v>
      </c>
      <c r="V2002" s="0" t="n">
        <v>1</v>
      </c>
      <c r="W2002" s="51" t="n">
        <v>46047</v>
      </c>
      <c r="X2002" s="46" t="n">
        <f aca="false">IF(I2002="Male",0,1)</f>
        <v>1</v>
      </c>
      <c r="Y2002" s="46" t="n">
        <f aca="false">IF(OR(I2002="DNB",I2002="Dry DNB"),1,0)</f>
        <v>0</v>
      </c>
      <c r="Z2002" s="46" t="n">
        <f aca="false">IF(ISNUMBER(W2002),A2002-W2002,"")</f>
        <v>262</v>
      </c>
      <c r="AA2002" s="46" t="n">
        <f aca="false">MATCH(A2002,DATAS,0)</f>
        <v>1</v>
      </c>
      <c r="AB2002" s="46" t="n">
        <f aca="false">IF(AND(E2002&gt;0,OR(AND(B2002&gt;=1,B2002&lt;=6),B2002=10)),1,0)</f>
        <v>0</v>
      </c>
      <c r="AC2002" s="46" t="n">
        <f aca="false">IF(AND(E2002&gt;0,B2002=10),1,0)</f>
        <v>0</v>
      </c>
      <c r="AD2002" s="0" t="str">
        <f aca="false">IF(AND(C2001=C2002,AA2001=AA2002-1),AB2001,"")</f>
        <v/>
      </c>
      <c r="AE2002" s="0" t="str">
        <f aca="false">IF(AND(C2001=C2002,AA2001=AA2002-1),AC2001,"")</f>
        <v/>
      </c>
      <c r="AF2002" s="0" t="str">
        <f aca="false">IF(AA2002=1,"",IF(AND(AB2002=1,AD2002&lt;&gt;1),1,0))</f>
        <v/>
      </c>
      <c r="AG2002" s="0" t="str">
        <f aca="false">IF(AA2002=1,"",IF(AND(AC2002=1,AE2002&lt;&gt;1),1,0))</f>
        <v/>
      </c>
      <c r="AH2002" s="51" t="str">
        <f aca="false">IF(AND(E2002&gt;0,AA2002&lt;1,NOT(AND(C2003=C2002,AA2003=AA2002+1))),INDEX(DATAS,AA2002+1),"")</f>
        <v/>
      </c>
      <c r="AI2002" s="51" t="str">
        <f aca="false">IF(AND(AC2002=1,AA2002&lt;1),IF(AND(C2003=C2002,AA2003=AA2002+1),IF(AC2003=1,"",INDEX(DATAS,AA2002+1)),INDEX(DATAS,AA2002+1)),"")</f>
        <v/>
      </c>
    </row>
    <row r="2003" customFormat="false" ht="15" hidden="false" customHeight="false" outlineLevel="0" collapsed="false">
      <c r="A2003" s="51" t="n">
        <v>46309</v>
      </c>
      <c r="B2003" s="0" t="n">
        <v>8</v>
      </c>
      <c r="C2003" s="0" t="n">
        <v>6269</v>
      </c>
      <c r="E2003" s="0" t="n">
        <v>0</v>
      </c>
      <c r="F2003" s="46" t="s">
        <v>1154</v>
      </c>
      <c r="I2003" s="46" t="s">
        <v>152</v>
      </c>
      <c r="L2003" s="0" t="n">
        <v>212</v>
      </c>
      <c r="U2003" s="0" t="n">
        <v>621</v>
      </c>
      <c r="V2003" s="0" t="n">
        <v>3</v>
      </c>
      <c r="W2003" s="51" t="n">
        <v>46098</v>
      </c>
      <c r="X2003" s="46" t="n">
        <f aca="false">IF(I2003="Male",0,1)</f>
        <v>1</v>
      </c>
      <c r="Y2003" s="46" t="n">
        <f aca="false">IF(OR(I2003="DNB",I2003="Dry DNB"),1,0)</f>
        <v>0</v>
      </c>
      <c r="Z2003" s="46" t="n">
        <f aca="false">IF(ISNUMBER(W2003),A2003-W2003,"")</f>
        <v>211</v>
      </c>
      <c r="AA2003" s="46" t="n">
        <f aca="false">MATCH(A2003,DATAS,0)</f>
        <v>1</v>
      </c>
      <c r="AB2003" s="46" t="n">
        <f aca="false">IF(AND(E2003&gt;0,OR(AND(B2003&gt;=1,B2003&lt;=6),B2003=10)),1,0)</f>
        <v>0</v>
      </c>
      <c r="AC2003" s="46" t="n">
        <f aca="false">IF(AND(E2003&gt;0,B2003=10),1,0)</f>
        <v>0</v>
      </c>
      <c r="AD2003" s="0" t="str">
        <f aca="false">IF(AND(C2002=C2003,AA2002=AA2003-1),AB2002,"")</f>
        <v/>
      </c>
      <c r="AE2003" s="0" t="str">
        <f aca="false">IF(AND(C2002=C2003,AA2002=AA2003-1),AC2002,"")</f>
        <v/>
      </c>
      <c r="AF2003" s="0" t="str">
        <f aca="false">IF(AA2003=1,"",IF(AND(AB2003=1,AD2003&lt;&gt;1),1,0))</f>
        <v/>
      </c>
      <c r="AG2003" s="0" t="str">
        <f aca="false">IF(AA2003=1,"",IF(AND(AC2003=1,AE2003&lt;&gt;1),1,0))</f>
        <v/>
      </c>
      <c r="AH2003" s="51" t="str">
        <f aca="false">IF(AND(E2003&gt;0,AA2003&lt;1,NOT(AND(C2004=C2003,AA2004=AA2003+1))),INDEX(DATAS,AA2003+1),"")</f>
        <v/>
      </c>
      <c r="AI2003" s="51" t="str">
        <f aca="false">IF(AND(AC2003=1,AA2003&lt;1),IF(AND(C2004=C2003,AA2004=AA2003+1),IF(AC2004=1,"",INDEX(DATAS,AA2003+1)),INDEX(DATAS,AA2003+1)),"")</f>
        <v/>
      </c>
    </row>
    <row r="2004" customFormat="false" ht="15" hidden="false" customHeight="false" outlineLevel="0" collapsed="false">
      <c r="A2004" s="51" t="n">
        <v>46309</v>
      </c>
      <c r="B2004" s="0" t="n">
        <v>8</v>
      </c>
      <c r="C2004" s="0" t="n">
        <v>6270</v>
      </c>
      <c r="E2004" s="0" t="n">
        <v>0</v>
      </c>
      <c r="F2004" s="46" t="s">
        <v>1155</v>
      </c>
      <c r="I2004" s="46" t="s">
        <v>152</v>
      </c>
      <c r="L2004" s="0" t="n">
        <v>133</v>
      </c>
      <c r="U2004" s="0" t="n">
        <v>620</v>
      </c>
      <c r="V2004" s="0" t="n">
        <v>2</v>
      </c>
      <c r="W2004" s="51" t="n">
        <v>46177</v>
      </c>
      <c r="X2004" s="46" t="n">
        <f aca="false">IF(I2004="Male",0,1)</f>
        <v>1</v>
      </c>
      <c r="Y2004" s="46" t="n">
        <f aca="false">IF(OR(I2004="DNB",I2004="Dry DNB"),1,0)</f>
        <v>0</v>
      </c>
      <c r="Z2004" s="46" t="n">
        <f aca="false">IF(ISNUMBER(W2004),A2004-W2004,"")</f>
        <v>132</v>
      </c>
      <c r="AA2004" s="46" t="n">
        <f aca="false">MATCH(A2004,DATAS,0)</f>
        <v>1</v>
      </c>
      <c r="AB2004" s="46" t="n">
        <f aca="false">IF(AND(E2004&gt;0,OR(AND(B2004&gt;=1,B2004&lt;=6),B2004=10)),1,0)</f>
        <v>0</v>
      </c>
      <c r="AC2004" s="46" t="n">
        <f aca="false">IF(AND(E2004&gt;0,B2004=10),1,0)</f>
        <v>0</v>
      </c>
      <c r="AD2004" s="0" t="str">
        <f aca="false">IF(AND(C2003=C2004,AA2003=AA2004-1),AB2003,"")</f>
        <v/>
      </c>
      <c r="AE2004" s="0" t="str">
        <f aca="false">IF(AND(C2003=C2004,AA2003=AA2004-1),AC2003,"")</f>
        <v/>
      </c>
      <c r="AF2004" s="0" t="str">
        <f aca="false">IF(AA2004=1,"",IF(AND(AB2004=1,AD2004&lt;&gt;1),1,0))</f>
        <v/>
      </c>
      <c r="AG2004" s="0" t="str">
        <f aca="false">IF(AA2004=1,"",IF(AND(AC2004=1,AE2004&lt;&gt;1),1,0))</f>
        <v/>
      </c>
      <c r="AH2004" s="51" t="str">
        <f aca="false">IF(AND(E2004&gt;0,AA2004&lt;1,NOT(AND(C2005=C2004,AA2005=AA2004+1))),INDEX(DATAS,AA2004+1),"")</f>
        <v/>
      </c>
      <c r="AI2004" s="51" t="str">
        <f aca="false">IF(AND(AC2004=1,AA2004&lt;1),IF(AND(C2005=C2004,AA2005=AA2004+1),IF(AC2005=1,"",INDEX(DATAS,AA2004+1)),INDEX(DATAS,AA2004+1)),"")</f>
        <v/>
      </c>
    </row>
    <row r="2005" customFormat="false" ht="15" hidden="false" customHeight="false" outlineLevel="0" collapsed="false">
      <c r="A2005" s="51" t="n">
        <v>46309</v>
      </c>
      <c r="B2005" s="0" t="n">
        <v>8</v>
      </c>
      <c r="C2005" s="0" t="n">
        <v>6272</v>
      </c>
      <c r="E2005" s="0" t="n">
        <v>0</v>
      </c>
      <c r="F2005" s="46" t="s">
        <v>1156</v>
      </c>
      <c r="I2005" s="46" t="s">
        <v>152</v>
      </c>
      <c r="L2005" s="0" t="n">
        <v>231</v>
      </c>
      <c r="U2005" s="0" t="n">
        <v>619</v>
      </c>
      <c r="V2005" s="0" t="n">
        <v>1</v>
      </c>
      <c r="W2005" s="51" t="n">
        <v>46079</v>
      </c>
      <c r="X2005" s="46" t="n">
        <f aca="false">IF(I2005="Male",0,1)</f>
        <v>1</v>
      </c>
      <c r="Y2005" s="46" t="n">
        <f aca="false">IF(OR(I2005="DNB",I2005="Dry DNB"),1,0)</f>
        <v>0</v>
      </c>
      <c r="Z2005" s="46" t="n">
        <f aca="false">IF(ISNUMBER(W2005),A2005-W2005,"")</f>
        <v>230</v>
      </c>
      <c r="AA2005" s="46" t="n">
        <f aca="false">MATCH(A2005,DATAS,0)</f>
        <v>1</v>
      </c>
      <c r="AB2005" s="46" t="n">
        <f aca="false">IF(AND(E2005&gt;0,OR(AND(B2005&gt;=1,B2005&lt;=6),B2005=10)),1,0)</f>
        <v>0</v>
      </c>
      <c r="AC2005" s="46" t="n">
        <f aca="false">IF(AND(E2005&gt;0,B2005=10),1,0)</f>
        <v>0</v>
      </c>
      <c r="AD2005" s="0" t="str">
        <f aca="false">IF(AND(C2004=C2005,AA2004=AA2005-1),AB2004,"")</f>
        <v/>
      </c>
      <c r="AE2005" s="0" t="str">
        <f aca="false">IF(AND(C2004=C2005,AA2004=AA2005-1),AC2004,"")</f>
        <v/>
      </c>
      <c r="AF2005" s="0" t="str">
        <f aca="false">IF(AA2005=1,"",IF(AND(AB2005=1,AD2005&lt;&gt;1),1,0))</f>
        <v/>
      </c>
      <c r="AG2005" s="0" t="str">
        <f aca="false">IF(AA2005=1,"",IF(AND(AC2005=1,AE2005&lt;&gt;1),1,0))</f>
        <v/>
      </c>
      <c r="AH2005" s="51" t="str">
        <f aca="false">IF(AND(E2005&gt;0,AA2005&lt;1,NOT(AND(C2006=C2005,AA2006=AA2005+1))),INDEX(DATAS,AA2005+1),"")</f>
        <v/>
      </c>
      <c r="AI2005" s="51" t="str">
        <f aca="false">IF(AND(AC2005=1,AA2005&lt;1),IF(AND(C2006=C2005,AA2006=AA2005+1),IF(AC2006=1,"",INDEX(DATAS,AA2005+1)),INDEX(DATAS,AA2005+1)),"")</f>
        <v/>
      </c>
    </row>
    <row r="2006" customFormat="false" ht="15" hidden="false" customHeight="false" outlineLevel="0" collapsed="false">
      <c r="A2006" s="51" t="n">
        <v>46309</v>
      </c>
      <c r="B2006" s="0" t="n">
        <v>7</v>
      </c>
      <c r="C2006" s="0" t="n">
        <v>6274</v>
      </c>
      <c r="E2006" s="0" t="n">
        <v>0</v>
      </c>
      <c r="F2006" s="46" t="s">
        <v>1157</v>
      </c>
      <c r="I2006" s="46" t="s">
        <v>152</v>
      </c>
      <c r="L2006" s="0" t="n">
        <v>246</v>
      </c>
      <c r="U2006" s="0" t="n">
        <v>618</v>
      </c>
      <c r="V2006" s="0" t="n">
        <v>1</v>
      </c>
      <c r="W2006" s="51" t="n">
        <v>46064</v>
      </c>
      <c r="X2006" s="46" t="n">
        <f aca="false">IF(I2006="Male",0,1)</f>
        <v>1</v>
      </c>
      <c r="Y2006" s="46" t="n">
        <f aca="false">IF(OR(I2006="DNB",I2006="Dry DNB"),1,0)</f>
        <v>0</v>
      </c>
      <c r="Z2006" s="46" t="n">
        <f aca="false">IF(ISNUMBER(W2006),A2006-W2006,"")</f>
        <v>245</v>
      </c>
      <c r="AA2006" s="46" t="n">
        <f aca="false">MATCH(A2006,DATAS,0)</f>
        <v>1</v>
      </c>
      <c r="AB2006" s="46" t="n">
        <f aca="false">IF(AND(E2006&gt;0,OR(AND(B2006&gt;=1,B2006&lt;=6),B2006=10)),1,0)</f>
        <v>0</v>
      </c>
      <c r="AC2006" s="46" t="n">
        <f aca="false">IF(AND(E2006&gt;0,B2006=10),1,0)</f>
        <v>0</v>
      </c>
      <c r="AD2006" s="0" t="str">
        <f aca="false">IF(AND(C2005=C2006,AA2005=AA2006-1),AB2005,"")</f>
        <v/>
      </c>
      <c r="AE2006" s="0" t="str">
        <f aca="false">IF(AND(C2005=C2006,AA2005=AA2006-1),AC2005,"")</f>
        <v/>
      </c>
      <c r="AF2006" s="0" t="str">
        <f aca="false">IF(AA2006=1,"",IF(AND(AB2006=1,AD2006&lt;&gt;1),1,0))</f>
        <v/>
      </c>
      <c r="AG2006" s="0" t="str">
        <f aca="false">IF(AA2006=1,"",IF(AND(AC2006=1,AE2006&lt;&gt;1),1,0))</f>
        <v/>
      </c>
      <c r="AH2006" s="51" t="str">
        <f aca="false">IF(AND(E2006&gt;0,AA2006&lt;1,NOT(AND(C2007=C2006,AA2007=AA2006+1))),INDEX(DATAS,AA2006+1),"")</f>
        <v/>
      </c>
      <c r="AI2006" s="51" t="str">
        <f aca="false">IF(AND(AC2006=1,AA2006&lt;1),IF(AND(C2007=C2006,AA2007=AA2006+1),IF(AC2007=1,"",INDEX(DATAS,AA2006+1)),INDEX(DATAS,AA2006+1)),"")</f>
        <v/>
      </c>
    </row>
    <row r="2007" customFormat="false" ht="15" hidden="false" customHeight="false" outlineLevel="0" collapsed="false">
      <c r="A2007" s="51" t="n">
        <v>46309</v>
      </c>
      <c r="B2007" s="0" t="n">
        <v>8</v>
      </c>
      <c r="C2007" s="0" t="n">
        <v>6275</v>
      </c>
      <c r="E2007" s="0" t="n">
        <v>0</v>
      </c>
      <c r="F2007" s="46" t="s">
        <v>1158</v>
      </c>
      <c r="I2007" s="46" t="s">
        <v>152</v>
      </c>
      <c r="L2007" s="0" t="n">
        <v>184</v>
      </c>
      <c r="U2007" s="0" t="n">
        <v>617</v>
      </c>
      <c r="V2007" s="0" t="n">
        <v>4</v>
      </c>
      <c r="W2007" s="51" t="n">
        <v>46126</v>
      </c>
      <c r="X2007" s="46" t="n">
        <f aca="false">IF(I2007="Male",0,1)</f>
        <v>1</v>
      </c>
      <c r="Y2007" s="46" t="n">
        <f aca="false">IF(OR(I2007="DNB",I2007="Dry DNB"),1,0)</f>
        <v>0</v>
      </c>
      <c r="Z2007" s="46" t="n">
        <f aca="false">IF(ISNUMBER(W2007),A2007-W2007,"")</f>
        <v>183</v>
      </c>
      <c r="AA2007" s="46" t="n">
        <f aca="false">MATCH(A2007,DATAS,0)</f>
        <v>1</v>
      </c>
      <c r="AB2007" s="46" t="n">
        <f aca="false">IF(AND(E2007&gt;0,OR(AND(B2007&gt;=1,B2007&lt;=6),B2007=10)),1,0)</f>
        <v>0</v>
      </c>
      <c r="AC2007" s="46" t="n">
        <f aca="false">IF(AND(E2007&gt;0,B2007=10),1,0)</f>
        <v>0</v>
      </c>
      <c r="AD2007" s="0" t="str">
        <f aca="false">IF(AND(C2006=C2007,AA2006=AA2007-1),AB2006,"")</f>
        <v/>
      </c>
      <c r="AE2007" s="0" t="str">
        <f aca="false">IF(AND(C2006=C2007,AA2006=AA2007-1),AC2006,"")</f>
        <v/>
      </c>
      <c r="AF2007" s="0" t="str">
        <f aca="false">IF(AA2007=1,"",IF(AND(AB2007=1,AD2007&lt;&gt;1),1,0))</f>
        <v/>
      </c>
      <c r="AG2007" s="0" t="str">
        <f aca="false">IF(AA2007=1,"",IF(AND(AC2007=1,AE2007&lt;&gt;1),1,0))</f>
        <v/>
      </c>
      <c r="AH2007" s="51" t="str">
        <f aca="false">IF(AND(E2007&gt;0,AA2007&lt;1,NOT(AND(C2008=C2007,AA2008=AA2007+1))),INDEX(DATAS,AA2007+1),"")</f>
        <v/>
      </c>
      <c r="AI2007" s="51" t="str">
        <f aca="false">IF(AND(AC2007=1,AA2007&lt;1),IF(AND(C2008=C2007,AA2008=AA2007+1),IF(AC2008=1,"",INDEX(DATAS,AA2007+1)),INDEX(DATAS,AA2007+1)),"")</f>
        <v/>
      </c>
    </row>
    <row r="2008" customFormat="false" ht="15" hidden="false" customHeight="false" outlineLevel="0" collapsed="false">
      <c r="A2008" s="51" t="n">
        <v>46309</v>
      </c>
      <c r="B2008" s="0" t="n">
        <v>8</v>
      </c>
      <c r="C2008" s="0" t="n">
        <v>6276</v>
      </c>
      <c r="E2008" s="0" t="n">
        <v>0</v>
      </c>
      <c r="F2008" s="46" t="s">
        <v>1158</v>
      </c>
      <c r="I2008" s="46" t="s">
        <v>152</v>
      </c>
      <c r="L2008" s="0" t="n">
        <v>234</v>
      </c>
      <c r="U2008" s="0" t="n">
        <v>617</v>
      </c>
      <c r="V2008" s="0" t="n">
        <v>2</v>
      </c>
      <c r="W2008" s="51" t="n">
        <v>46076</v>
      </c>
      <c r="X2008" s="46" t="n">
        <f aca="false">IF(I2008="Male",0,1)</f>
        <v>1</v>
      </c>
      <c r="Y2008" s="46" t="n">
        <f aca="false">IF(OR(I2008="DNB",I2008="Dry DNB"),1,0)</f>
        <v>0</v>
      </c>
      <c r="Z2008" s="46" t="n">
        <f aca="false">IF(ISNUMBER(W2008),A2008-W2008,"")</f>
        <v>233</v>
      </c>
      <c r="AA2008" s="46" t="n">
        <f aca="false">MATCH(A2008,DATAS,0)</f>
        <v>1</v>
      </c>
      <c r="AB2008" s="46" t="n">
        <f aca="false">IF(AND(E2008&gt;0,OR(AND(B2008&gt;=1,B2008&lt;=6),B2008=10)),1,0)</f>
        <v>0</v>
      </c>
      <c r="AC2008" s="46" t="n">
        <f aca="false">IF(AND(E2008&gt;0,B2008=10),1,0)</f>
        <v>0</v>
      </c>
      <c r="AD2008" s="0" t="str">
        <f aca="false">IF(AND(C2007=C2008,AA2007=AA2008-1),AB2007,"")</f>
        <v/>
      </c>
      <c r="AE2008" s="0" t="str">
        <f aca="false">IF(AND(C2007=C2008,AA2007=AA2008-1),AC2007,"")</f>
        <v/>
      </c>
      <c r="AF2008" s="0" t="str">
        <f aca="false">IF(AA2008=1,"",IF(AND(AB2008=1,AD2008&lt;&gt;1),1,0))</f>
        <v/>
      </c>
      <c r="AG2008" s="0" t="str">
        <f aca="false">IF(AA2008=1,"",IF(AND(AC2008=1,AE2008&lt;&gt;1),1,0))</f>
        <v/>
      </c>
      <c r="AH2008" s="51" t="str">
        <f aca="false">IF(AND(E2008&gt;0,AA2008&lt;1,NOT(AND(C2009=C2008,AA2009=AA2008+1))),INDEX(DATAS,AA2008+1),"")</f>
        <v/>
      </c>
      <c r="AI2008" s="51" t="str">
        <f aca="false">IF(AND(AC2008=1,AA2008&lt;1),IF(AND(C2009=C2008,AA2009=AA2008+1),IF(AC2009=1,"",INDEX(DATAS,AA2008+1)),INDEX(DATAS,AA2008+1)),"")</f>
        <v/>
      </c>
    </row>
    <row r="2009" customFormat="false" ht="15" hidden="false" customHeight="false" outlineLevel="0" collapsed="false">
      <c r="A2009" s="51" t="n">
        <v>46309</v>
      </c>
      <c r="B2009" s="0" t="n">
        <v>8</v>
      </c>
      <c r="C2009" s="0" t="n">
        <v>6278</v>
      </c>
      <c r="E2009" s="0" t="n">
        <v>0</v>
      </c>
      <c r="F2009" s="46" t="s">
        <v>1158</v>
      </c>
      <c r="I2009" s="46" t="s">
        <v>152</v>
      </c>
      <c r="L2009" s="0" t="n">
        <v>203</v>
      </c>
      <c r="U2009" s="0" t="n">
        <v>617</v>
      </c>
      <c r="V2009" s="0" t="n">
        <v>2</v>
      </c>
      <c r="W2009" s="51" t="n">
        <v>46107</v>
      </c>
      <c r="X2009" s="46" t="n">
        <f aca="false">IF(I2009="Male",0,1)</f>
        <v>1</v>
      </c>
      <c r="Y2009" s="46" t="n">
        <f aca="false">IF(OR(I2009="DNB",I2009="Dry DNB"),1,0)</f>
        <v>0</v>
      </c>
      <c r="Z2009" s="46" t="n">
        <f aca="false">IF(ISNUMBER(W2009),A2009-W2009,"")</f>
        <v>202</v>
      </c>
      <c r="AA2009" s="46" t="n">
        <f aca="false">MATCH(A2009,DATAS,0)</f>
        <v>1</v>
      </c>
      <c r="AB2009" s="46" t="n">
        <f aca="false">IF(AND(E2009&gt;0,OR(AND(B2009&gt;=1,B2009&lt;=6),B2009=10)),1,0)</f>
        <v>0</v>
      </c>
      <c r="AC2009" s="46" t="n">
        <f aca="false">IF(AND(E2009&gt;0,B2009=10),1,0)</f>
        <v>0</v>
      </c>
      <c r="AD2009" s="0" t="str">
        <f aca="false">IF(AND(C2008=C2009,AA2008=AA2009-1),AB2008,"")</f>
        <v/>
      </c>
      <c r="AE2009" s="0" t="str">
        <f aca="false">IF(AND(C2008=C2009,AA2008=AA2009-1),AC2008,"")</f>
        <v/>
      </c>
      <c r="AF2009" s="0" t="str">
        <f aca="false">IF(AA2009=1,"",IF(AND(AB2009=1,AD2009&lt;&gt;1),1,0))</f>
        <v/>
      </c>
      <c r="AG2009" s="0" t="str">
        <f aca="false">IF(AA2009=1,"",IF(AND(AC2009=1,AE2009&lt;&gt;1),1,0))</f>
        <v/>
      </c>
      <c r="AH2009" s="51" t="str">
        <f aca="false">IF(AND(E2009&gt;0,AA2009&lt;1,NOT(AND(C2010=C2009,AA2010=AA2009+1))),INDEX(DATAS,AA2009+1),"")</f>
        <v/>
      </c>
      <c r="AI2009" s="51" t="str">
        <f aca="false">IF(AND(AC2009=1,AA2009&lt;1),IF(AND(C2010=C2009,AA2010=AA2009+1),IF(AC2010=1,"",INDEX(DATAS,AA2009+1)),INDEX(DATAS,AA2009+1)),"")</f>
        <v/>
      </c>
    </row>
    <row r="2010" customFormat="false" ht="15" hidden="false" customHeight="false" outlineLevel="0" collapsed="false">
      <c r="A2010" s="51" t="n">
        <v>46309</v>
      </c>
      <c r="B2010" s="0" t="n">
        <v>7</v>
      </c>
      <c r="C2010" s="0" t="n">
        <v>6280</v>
      </c>
      <c r="E2010" s="0" t="n">
        <v>0</v>
      </c>
      <c r="F2010" s="46" t="s">
        <v>1159</v>
      </c>
      <c r="I2010" s="46" t="s">
        <v>152</v>
      </c>
      <c r="L2010" s="0" t="n">
        <v>250</v>
      </c>
      <c r="U2010" s="0" t="n">
        <v>616</v>
      </c>
      <c r="V2010" s="0" t="n">
        <v>1</v>
      </c>
      <c r="W2010" s="51" t="n">
        <v>46060</v>
      </c>
      <c r="X2010" s="46" t="n">
        <f aca="false">IF(I2010="Male",0,1)</f>
        <v>1</v>
      </c>
      <c r="Y2010" s="46" t="n">
        <f aca="false">IF(OR(I2010="DNB",I2010="Dry DNB"),1,0)</f>
        <v>0</v>
      </c>
      <c r="Z2010" s="46" t="n">
        <f aca="false">IF(ISNUMBER(W2010),A2010-W2010,"")</f>
        <v>249</v>
      </c>
      <c r="AA2010" s="46" t="n">
        <f aca="false">MATCH(A2010,DATAS,0)</f>
        <v>1</v>
      </c>
      <c r="AB2010" s="46" t="n">
        <f aca="false">IF(AND(E2010&gt;0,OR(AND(B2010&gt;=1,B2010&lt;=6),B2010=10)),1,0)</f>
        <v>0</v>
      </c>
      <c r="AC2010" s="46" t="n">
        <f aca="false">IF(AND(E2010&gt;0,B2010=10),1,0)</f>
        <v>0</v>
      </c>
      <c r="AD2010" s="0" t="str">
        <f aca="false">IF(AND(C2009=C2010,AA2009=AA2010-1),AB2009,"")</f>
        <v/>
      </c>
      <c r="AE2010" s="0" t="str">
        <f aca="false">IF(AND(C2009=C2010,AA2009=AA2010-1),AC2009,"")</f>
        <v/>
      </c>
      <c r="AF2010" s="0" t="str">
        <f aca="false">IF(AA2010=1,"",IF(AND(AB2010=1,AD2010&lt;&gt;1),1,0))</f>
        <v/>
      </c>
      <c r="AG2010" s="0" t="str">
        <f aca="false">IF(AA2010=1,"",IF(AND(AC2010=1,AE2010&lt;&gt;1),1,0))</f>
        <v/>
      </c>
      <c r="AH2010" s="51" t="str">
        <f aca="false">IF(AND(E2010&gt;0,AA2010&lt;1,NOT(AND(C2011=C2010,AA2011=AA2010+1))),INDEX(DATAS,AA2010+1),"")</f>
        <v/>
      </c>
      <c r="AI2010" s="51" t="str">
        <f aca="false">IF(AND(AC2010=1,AA2010&lt;1),IF(AND(C2011=C2010,AA2011=AA2010+1),IF(AC2011=1,"",INDEX(DATAS,AA2010+1)),INDEX(DATAS,AA2010+1)),"")</f>
        <v/>
      </c>
    </row>
    <row r="2011" customFormat="false" ht="15" hidden="false" customHeight="false" outlineLevel="0" collapsed="false">
      <c r="A2011" s="51" t="n">
        <v>46309</v>
      </c>
      <c r="B2011" s="0" t="n">
        <v>8</v>
      </c>
      <c r="C2011" s="0" t="n">
        <v>6281</v>
      </c>
      <c r="E2011" s="0" t="n">
        <v>0</v>
      </c>
      <c r="F2011" s="46" t="s">
        <v>1160</v>
      </c>
      <c r="I2011" s="46" t="s">
        <v>152</v>
      </c>
      <c r="L2011" s="0" t="n">
        <v>248</v>
      </c>
      <c r="U2011" s="0" t="n">
        <v>615</v>
      </c>
      <c r="V2011" s="0" t="n">
        <v>1</v>
      </c>
      <c r="W2011" s="51" t="n">
        <v>46062</v>
      </c>
      <c r="X2011" s="46" t="n">
        <f aca="false">IF(I2011="Male",0,1)</f>
        <v>1</v>
      </c>
      <c r="Y2011" s="46" t="n">
        <f aca="false">IF(OR(I2011="DNB",I2011="Dry DNB"),1,0)</f>
        <v>0</v>
      </c>
      <c r="Z2011" s="46" t="n">
        <f aca="false">IF(ISNUMBER(W2011),A2011-W2011,"")</f>
        <v>247</v>
      </c>
      <c r="AA2011" s="46" t="n">
        <f aca="false">MATCH(A2011,DATAS,0)</f>
        <v>1</v>
      </c>
      <c r="AB2011" s="46" t="n">
        <f aca="false">IF(AND(E2011&gt;0,OR(AND(B2011&gt;=1,B2011&lt;=6),B2011=10)),1,0)</f>
        <v>0</v>
      </c>
      <c r="AC2011" s="46" t="n">
        <f aca="false">IF(AND(E2011&gt;0,B2011=10),1,0)</f>
        <v>0</v>
      </c>
      <c r="AD2011" s="0" t="str">
        <f aca="false">IF(AND(C2010=C2011,AA2010=AA2011-1),AB2010,"")</f>
        <v/>
      </c>
      <c r="AE2011" s="0" t="str">
        <f aca="false">IF(AND(C2010=C2011,AA2010=AA2011-1),AC2010,"")</f>
        <v/>
      </c>
      <c r="AF2011" s="0" t="str">
        <f aca="false">IF(AA2011=1,"",IF(AND(AB2011=1,AD2011&lt;&gt;1),1,0))</f>
        <v/>
      </c>
      <c r="AG2011" s="0" t="str">
        <f aca="false">IF(AA2011=1,"",IF(AND(AC2011=1,AE2011&lt;&gt;1),1,0))</f>
        <v/>
      </c>
      <c r="AH2011" s="51" t="str">
        <f aca="false">IF(AND(E2011&gt;0,AA2011&lt;1,NOT(AND(C2012=C2011,AA2012=AA2011+1))),INDEX(DATAS,AA2011+1),"")</f>
        <v/>
      </c>
      <c r="AI2011" s="51" t="str">
        <f aca="false">IF(AND(AC2011=1,AA2011&lt;1),IF(AND(C2012=C2011,AA2012=AA2011+1),IF(AC2012=1,"",INDEX(DATAS,AA2011+1)),INDEX(DATAS,AA2011+1)),"")</f>
        <v/>
      </c>
    </row>
    <row r="2012" customFormat="false" ht="15" hidden="false" customHeight="false" outlineLevel="0" collapsed="false">
      <c r="A2012" s="51" t="n">
        <v>46309</v>
      </c>
      <c r="B2012" s="0" t="n">
        <v>7</v>
      </c>
      <c r="C2012" s="0" t="n">
        <v>6282</v>
      </c>
      <c r="E2012" s="0" t="n">
        <v>0</v>
      </c>
      <c r="F2012" s="46" t="s">
        <v>1160</v>
      </c>
      <c r="I2012" s="46" t="s">
        <v>152</v>
      </c>
      <c r="L2012" s="0" t="n">
        <v>220</v>
      </c>
      <c r="U2012" s="0" t="n">
        <v>615</v>
      </c>
      <c r="V2012" s="0" t="n">
        <v>1</v>
      </c>
      <c r="W2012" s="51" t="n">
        <v>46090</v>
      </c>
      <c r="X2012" s="46" t="n">
        <f aca="false">IF(I2012="Male",0,1)</f>
        <v>1</v>
      </c>
      <c r="Y2012" s="46" t="n">
        <f aca="false">IF(OR(I2012="DNB",I2012="Dry DNB"),1,0)</f>
        <v>0</v>
      </c>
      <c r="Z2012" s="46" t="n">
        <f aca="false">IF(ISNUMBER(W2012),A2012-W2012,"")</f>
        <v>219</v>
      </c>
      <c r="AA2012" s="46" t="n">
        <f aca="false">MATCH(A2012,DATAS,0)</f>
        <v>1</v>
      </c>
      <c r="AB2012" s="46" t="n">
        <f aca="false">IF(AND(E2012&gt;0,OR(AND(B2012&gt;=1,B2012&lt;=6),B2012=10)),1,0)</f>
        <v>0</v>
      </c>
      <c r="AC2012" s="46" t="n">
        <f aca="false">IF(AND(E2012&gt;0,B2012=10),1,0)</f>
        <v>0</v>
      </c>
      <c r="AD2012" s="0" t="str">
        <f aca="false">IF(AND(C2011=C2012,AA2011=AA2012-1),AB2011,"")</f>
        <v/>
      </c>
      <c r="AE2012" s="0" t="str">
        <f aca="false">IF(AND(C2011=C2012,AA2011=AA2012-1),AC2011,"")</f>
        <v/>
      </c>
      <c r="AF2012" s="0" t="str">
        <f aca="false">IF(AA2012=1,"",IF(AND(AB2012=1,AD2012&lt;&gt;1),1,0))</f>
        <v/>
      </c>
      <c r="AG2012" s="0" t="str">
        <f aca="false">IF(AA2012=1,"",IF(AND(AC2012=1,AE2012&lt;&gt;1),1,0))</f>
        <v/>
      </c>
      <c r="AH2012" s="51" t="str">
        <f aca="false">IF(AND(E2012&gt;0,AA2012&lt;1,NOT(AND(C2013=C2012,AA2013=AA2012+1))),INDEX(DATAS,AA2012+1),"")</f>
        <v/>
      </c>
      <c r="AI2012" s="51" t="str">
        <f aca="false">IF(AND(AC2012=1,AA2012&lt;1),IF(AND(C2013=C2012,AA2013=AA2012+1),IF(AC2013=1,"",INDEX(DATAS,AA2012+1)),INDEX(DATAS,AA2012+1)),"")</f>
        <v/>
      </c>
    </row>
    <row r="2013" customFormat="false" ht="15" hidden="false" customHeight="false" outlineLevel="0" collapsed="false">
      <c r="A2013" s="51" t="n">
        <v>46309</v>
      </c>
      <c r="B2013" s="0" t="n">
        <v>8</v>
      </c>
      <c r="C2013" s="0" t="n">
        <v>6283</v>
      </c>
      <c r="E2013" s="0" t="n">
        <v>0</v>
      </c>
      <c r="F2013" s="46" t="s">
        <v>1160</v>
      </c>
      <c r="I2013" s="46" t="s">
        <v>152</v>
      </c>
      <c r="L2013" s="0" t="n">
        <v>246</v>
      </c>
      <c r="U2013" s="0" t="n">
        <v>615</v>
      </c>
      <c r="V2013" s="0" t="n">
        <v>1</v>
      </c>
      <c r="W2013" s="51" t="n">
        <v>46064</v>
      </c>
      <c r="X2013" s="46" t="n">
        <f aca="false">IF(I2013="Male",0,1)</f>
        <v>1</v>
      </c>
      <c r="Y2013" s="46" t="n">
        <f aca="false">IF(OR(I2013="DNB",I2013="Dry DNB"),1,0)</f>
        <v>0</v>
      </c>
      <c r="Z2013" s="46" t="n">
        <f aca="false">IF(ISNUMBER(W2013),A2013-W2013,"")</f>
        <v>245</v>
      </c>
      <c r="AA2013" s="46" t="n">
        <f aca="false">MATCH(A2013,DATAS,0)</f>
        <v>1</v>
      </c>
      <c r="AB2013" s="46" t="n">
        <f aca="false">IF(AND(E2013&gt;0,OR(AND(B2013&gt;=1,B2013&lt;=6),B2013=10)),1,0)</f>
        <v>0</v>
      </c>
      <c r="AC2013" s="46" t="n">
        <f aca="false">IF(AND(E2013&gt;0,B2013=10),1,0)</f>
        <v>0</v>
      </c>
      <c r="AD2013" s="0" t="str">
        <f aca="false">IF(AND(C2012=C2013,AA2012=AA2013-1),AB2012,"")</f>
        <v/>
      </c>
      <c r="AE2013" s="0" t="str">
        <f aca="false">IF(AND(C2012=C2013,AA2012=AA2013-1),AC2012,"")</f>
        <v/>
      </c>
      <c r="AF2013" s="0" t="str">
        <f aca="false">IF(AA2013=1,"",IF(AND(AB2013=1,AD2013&lt;&gt;1),1,0))</f>
        <v/>
      </c>
      <c r="AG2013" s="0" t="str">
        <f aca="false">IF(AA2013=1,"",IF(AND(AC2013=1,AE2013&lt;&gt;1),1,0))</f>
        <v/>
      </c>
      <c r="AH2013" s="51" t="str">
        <f aca="false">IF(AND(E2013&gt;0,AA2013&lt;1,NOT(AND(C2014=C2013,AA2014=AA2013+1))),INDEX(DATAS,AA2013+1),"")</f>
        <v/>
      </c>
      <c r="AI2013" s="51" t="str">
        <f aca="false">IF(AND(AC2013=1,AA2013&lt;1),IF(AND(C2014=C2013,AA2014=AA2013+1),IF(AC2014=1,"",INDEX(DATAS,AA2013+1)),INDEX(DATAS,AA2013+1)),"")</f>
        <v/>
      </c>
    </row>
    <row r="2014" customFormat="false" ht="15" hidden="false" customHeight="false" outlineLevel="0" collapsed="false">
      <c r="A2014" s="51" t="n">
        <v>46309</v>
      </c>
      <c r="B2014" s="0" t="n">
        <v>8</v>
      </c>
      <c r="C2014" s="0" t="n">
        <v>6284</v>
      </c>
      <c r="E2014" s="0" t="n">
        <v>0</v>
      </c>
      <c r="F2014" s="46" t="s">
        <v>1160</v>
      </c>
      <c r="I2014" s="46" t="s">
        <v>152</v>
      </c>
      <c r="L2014" s="0" t="n">
        <v>234</v>
      </c>
      <c r="U2014" s="0" t="n">
        <v>615</v>
      </c>
      <c r="V2014" s="0" t="n">
        <v>1</v>
      </c>
      <c r="W2014" s="51" t="n">
        <v>46076</v>
      </c>
      <c r="X2014" s="46" t="n">
        <f aca="false">IF(I2014="Male",0,1)</f>
        <v>1</v>
      </c>
      <c r="Y2014" s="46" t="n">
        <f aca="false">IF(OR(I2014="DNB",I2014="Dry DNB"),1,0)</f>
        <v>0</v>
      </c>
      <c r="Z2014" s="46" t="n">
        <f aca="false">IF(ISNUMBER(W2014),A2014-W2014,"")</f>
        <v>233</v>
      </c>
      <c r="AA2014" s="46" t="n">
        <f aca="false">MATCH(A2014,DATAS,0)</f>
        <v>1</v>
      </c>
      <c r="AB2014" s="46" t="n">
        <f aca="false">IF(AND(E2014&gt;0,OR(AND(B2014&gt;=1,B2014&lt;=6),B2014=10)),1,0)</f>
        <v>0</v>
      </c>
      <c r="AC2014" s="46" t="n">
        <f aca="false">IF(AND(E2014&gt;0,B2014=10),1,0)</f>
        <v>0</v>
      </c>
      <c r="AD2014" s="0" t="str">
        <f aca="false">IF(AND(C2013=C2014,AA2013=AA2014-1),AB2013,"")</f>
        <v/>
      </c>
      <c r="AE2014" s="0" t="str">
        <f aca="false">IF(AND(C2013=C2014,AA2013=AA2014-1),AC2013,"")</f>
        <v/>
      </c>
      <c r="AF2014" s="0" t="str">
        <f aca="false">IF(AA2014=1,"",IF(AND(AB2014=1,AD2014&lt;&gt;1),1,0))</f>
        <v/>
      </c>
      <c r="AG2014" s="0" t="str">
        <f aca="false">IF(AA2014=1,"",IF(AND(AC2014=1,AE2014&lt;&gt;1),1,0))</f>
        <v/>
      </c>
      <c r="AH2014" s="51" t="str">
        <f aca="false">IF(AND(E2014&gt;0,AA2014&lt;1,NOT(AND(C2015=C2014,AA2015=AA2014+1))),INDEX(DATAS,AA2014+1),"")</f>
        <v/>
      </c>
      <c r="AI2014" s="51" t="str">
        <f aca="false">IF(AND(AC2014=1,AA2014&lt;1),IF(AND(C2015=C2014,AA2015=AA2014+1),IF(AC2015=1,"",INDEX(DATAS,AA2014+1)),INDEX(DATAS,AA2014+1)),"")</f>
        <v/>
      </c>
    </row>
    <row r="2015" customFormat="false" ht="15" hidden="false" customHeight="false" outlineLevel="0" collapsed="false">
      <c r="A2015" s="51" t="n">
        <v>46309</v>
      </c>
      <c r="B2015" s="0" t="n">
        <v>8</v>
      </c>
      <c r="C2015" s="0" t="n">
        <v>6286</v>
      </c>
      <c r="E2015" s="0" t="n">
        <v>0</v>
      </c>
      <c r="F2015" s="46" t="s">
        <v>1160</v>
      </c>
      <c r="I2015" s="46" t="s">
        <v>152</v>
      </c>
      <c r="L2015" s="0" t="n">
        <v>140</v>
      </c>
      <c r="U2015" s="0" t="n">
        <v>615</v>
      </c>
      <c r="V2015" s="0" t="n">
        <v>4</v>
      </c>
      <c r="W2015" s="51" t="n">
        <v>46170</v>
      </c>
      <c r="X2015" s="46" t="n">
        <f aca="false">IF(I2015="Male",0,1)</f>
        <v>1</v>
      </c>
      <c r="Y2015" s="46" t="n">
        <f aca="false">IF(OR(I2015="DNB",I2015="Dry DNB"),1,0)</f>
        <v>0</v>
      </c>
      <c r="Z2015" s="46" t="n">
        <f aca="false">IF(ISNUMBER(W2015),A2015-W2015,"")</f>
        <v>139</v>
      </c>
      <c r="AA2015" s="46" t="n">
        <f aca="false">MATCH(A2015,DATAS,0)</f>
        <v>1</v>
      </c>
      <c r="AB2015" s="46" t="n">
        <f aca="false">IF(AND(E2015&gt;0,OR(AND(B2015&gt;=1,B2015&lt;=6),B2015=10)),1,0)</f>
        <v>0</v>
      </c>
      <c r="AC2015" s="46" t="n">
        <f aca="false">IF(AND(E2015&gt;0,B2015=10),1,0)</f>
        <v>0</v>
      </c>
      <c r="AD2015" s="0" t="str">
        <f aca="false">IF(AND(C2014=C2015,AA2014=AA2015-1),AB2014,"")</f>
        <v/>
      </c>
      <c r="AE2015" s="0" t="str">
        <f aca="false">IF(AND(C2014=C2015,AA2014=AA2015-1),AC2014,"")</f>
        <v/>
      </c>
      <c r="AF2015" s="0" t="str">
        <f aca="false">IF(AA2015=1,"",IF(AND(AB2015=1,AD2015&lt;&gt;1),1,0))</f>
        <v/>
      </c>
      <c r="AG2015" s="0" t="str">
        <f aca="false">IF(AA2015=1,"",IF(AND(AC2015=1,AE2015&lt;&gt;1),1,0))</f>
        <v/>
      </c>
      <c r="AH2015" s="51" t="str">
        <f aca="false">IF(AND(E2015&gt;0,AA2015&lt;1,NOT(AND(C2016=C2015,AA2016=AA2015+1))),INDEX(DATAS,AA2015+1),"")</f>
        <v/>
      </c>
      <c r="AI2015" s="51" t="str">
        <f aca="false">IF(AND(AC2015=1,AA2015&lt;1),IF(AND(C2016=C2015,AA2016=AA2015+1),IF(AC2016=1,"",INDEX(DATAS,AA2015+1)),INDEX(DATAS,AA2015+1)),"")</f>
        <v/>
      </c>
    </row>
    <row r="2016" customFormat="false" ht="15" hidden="false" customHeight="false" outlineLevel="0" collapsed="false">
      <c r="A2016" s="51" t="n">
        <v>46309</v>
      </c>
      <c r="B2016" s="0" t="n">
        <v>7</v>
      </c>
      <c r="C2016" s="0" t="n">
        <v>6287</v>
      </c>
      <c r="E2016" s="0" t="n">
        <v>0</v>
      </c>
      <c r="F2016" s="46" t="s">
        <v>1161</v>
      </c>
      <c r="I2016" s="46" t="s">
        <v>152</v>
      </c>
      <c r="L2016" s="0" t="n">
        <v>246</v>
      </c>
      <c r="U2016" s="0" t="n">
        <v>614</v>
      </c>
      <c r="V2016" s="0" t="n">
        <v>1</v>
      </c>
      <c r="W2016" s="51" t="n">
        <v>46064</v>
      </c>
      <c r="X2016" s="46" t="n">
        <f aca="false">IF(I2016="Male",0,1)</f>
        <v>1</v>
      </c>
      <c r="Y2016" s="46" t="n">
        <f aca="false">IF(OR(I2016="DNB",I2016="Dry DNB"),1,0)</f>
        <v>0</v>
      </c>
      <c r="Z2016" s="46" t="n">
        <f aca="false">IF(ISNUMBER(W2016),A2016-W2016,"")</f>
        <v>245</v>
      </c>
      <c r="AA2016" s="46" t="n">
        <f aca="false">MATCH(A2016,DATAS,0)</f>
        <v>1</v>
      </c>
      <c r="AB2016" s="46" t="n">
        <f aca="false">IF(AND(E2016&gt;0,OR(AND(B2016&gt;=1,B2016&lt;=6),B2016=10)),1,0)</f>
        <v>0</v>
      </c>
      <c r="AC2016" s="46" t="n">
        <f aca="false">IF(AND(E2016&gt;0,B2016=10),1,0)</f>
        <v>0</v>
      </c>
      <c r="AD2016" s="0" t="str">
        <f aca="false">IF(AND(C2015=C2016,AA2015=AA2016-1),AB2015,"")</f>
        <v/>
      </c>
      <c r="AE2016" s="0" t="str">
        <f aca="false">IF(AND(C2015=C2016,AA2015=AA2016-1),AC2015,"")</f>
        <v/>
      </c>
      <c r="AF2016" s="0" t="str">
        <f aca="false">IF(AA2016=1,"",IF(AND(AB2016=1,AD2016&lt;&gt;1),1,0))</f>
        <v/>
      </c>
      <c r="AG2016" s="0" t="str">
        <f aca="false">IF(AA2016=1,"",IF(AND(AC2016=1,AE2016&lt;&gt;1),1,0))</f>
        <v/>
      </c>
      <c r="AH2016" s="51" t="str">
        <f aca="false">IF(AND(E2016&gt;0,AA2016&lt;1,NOT(AND(C2017=C2016,AA2017=AA2016+1))),INDEX(DATAS,AA2016+1),"")</f>
        <v/>
      </c>
      <c r="AI2016" s="51" t="str">
        <f aca="false">IF(AND(AC2016=1,AA2016&lt;1),IF(AND(C2017=C2016,AA2017=AA2016+1),IF(AC2017=1,"",INDEX(DATAS,AA2016+1)),INDEX(DATAS,AA2016+1)),"")</f>
        <v/>
      </c>
    </row>
    <row r="2017" customFormat="false" ht="15" hidden="false" customHeight="false" outlineLevel="0" collapsed="false">
      <c r="A2017" s="51" t="n">
        <v>46309</v>
      </c>
      <c r="B2017" s="0" t="n">
        <v>7</v>
      </c>
      <c r="C2017" s="0" t="n">
        <v>6288</v>
      </c>
      <c r="E2017" s="0" t="n">
        <v>0</v>
      </c>
      <c r="F2017" s="46" t="s">
        <v>1161</v>
      </c>
      <c r="I2017" s="46" t="s">
        <v>152</v>
      </c>
      <c r="L2017" s="0" t="n">
        <v>253</v>
      </c>
      <c r="U2017" s="0" t="n">
        <v>614</v>
      </c>
      <c r="V2017" s="0" t="n">
        <v>1</v>
      </c>
      <c r="W2017" s="51" t="n">
        <v>46057</v>
      </c>
      <c r="X2017" s="46" t="n">
        <f aca="false">IF(I2017="Male",0,1)</f>
        <v>1</v>
      </c>
      <c r="Y2017" s="46" t="n">
        <f aca="false">IF(OR(I2017="DNB",I2017="Dry DNB"),1,0)</f>
        <v>0</v>
      </c>
      <c r="Z2017" s="46" t="n">
        <f aca="false">IF(ISNUMBER(W2017),A2017-W2017,"")</f>
        <v>252</v>
      </c>
      <c r="AA2017" s="46" t="n">
        <f aca="false">MATCH(A2017,DATAS,0)</f>
        <v>1</v>
      </c>
      <c r="AB2017" s="46" t="n">
        <f aca="false">IF(AND(E2017&gt;0,OR(AND(B2017&gt;=1,B2017&lt;=6),B2017=10)),1,0)</f>
        <v>0</v>
      </c>
      <c r="AC2017" s="46" t="n">
        <f aca="false">IF(AND(E2017&gt;0,B2017=10),1,0)</f>
        <v>0</v>
      </c>
      <c r="AD2017" s="0" t="str">
        <f aca="false">IF(AND(C2016=C2017,AA2016=AA2017-1),AB2016,"")</f>
        <v/>
      </c>
      <c r="AE2017" s="0" t="str">
        <f aca="false">IF(AND(C2016=C2017,AA2016=AA2017-1),AC2016,"")</f>
        <v/>
      </c>
      <c r="AF2017" s="0" t="str">
        <f aca="false">IF(AA2017=1,"",IF(AND(AB2017=1,AD2017&lt;&gt;1),1,0))</f>
        <v/>
      </c>
      <c r="AG2017" s="0" t="str">
        <f aca="false">IF(AA2017=1,"",IF(AND(AC2017=1,AE2017&lt;&gt;1),1,0))</f>
        <v/>
      </c>
      <c r="AH2017" s="51" t="str">
        <f aca="false">IF(AND(E2017&gt;0,AA2017&lt;1,NOT(AND(C2018=C2017,AA2018=AA2017+1))),INDEX(DATAS,AA2017+1),"")</f>
        <v/>
      </c>
      <c r="AI2017" s="51" t="str">
        <f aca="false">IF(AND(AC2017=1,AA2017&lt;1),IF(AND(C2018=C2017,AA2018=AA2017+1),IF(AC2018=1,"",INDEX(DATAS,AA2017+1)),INDEX(DATAS,AA2017+1)),"")</f>
        <v/>
      </c>
    </row>
    <row r="2018" customFormat="false" ht="15" hidden="false" customHeight="false" outlineLevel="0" collapsed="false">
      <c r="A2018" s="51" t="n">
        <v>46309</v>
      </c>
      <c r="B2018" s="0" t="n">
        <v>7</v>
      </c>
      <c r="C2018" s="0" t="n">
        <v>6289</v>
      </c>
      <c r="E2018" s="0" t="n">
        <v>0</v>
      </c>
      <c r="F2018" s="46" t="s">
        <v>1161</v>
      </c>
      <c r="I2018" s="46" t="s">
        <v>152</v>
      </c>
      <c r="L2018" s="0" t="n">
        <v>244</v>
      </c>
      <c r="U2018" s="0" t="n">
        <v>614</v>
      </c>
      <c r="V2018" s="0" t="n">
        <v>1</v>
      </c>
      <c r="W2018" s="51" t="n">
        <v>46066</v>
      </c>
      <c r="X2018" s="46" t="n">
        <f aca="false">IF(I2018="Male",0,1)</f>
        <v>1</v>
      </c>
      <c r="Y2018" s="46" t="n">
        <f aca="false">IF(OR(I2018="DNB",I2018="Dry DNB"),1,0)</f>
        <v>0</v>
      </c>
      <c r="Z2018" s="46" t="n">
        <f aca="false">IF(ISNUMBER(W2018),A2018-W2018,"")</f>
        <v>243</v>
      </c>
      <c r="AA2018" s="46" t="n">
        <f aca="false">MATCH(A2018,DATAS,0)</f>
        <v>1</v>
      </c>
      <c r="AB2018" s="46" t="n">
        <f aca="false">IF(AND(E2018&gt;0,OR(AND(B2018&gt;=1,B2018&lt;=6),B2018=10)),1,0)</f>
        <v>0</v>
      </c>
      <c r="AC2018" s="46" t="n">
        <f aca="false">IF(AND(E2018&gt;0,B2018=10),1,0)</f>
        <v>0</v>
      </c>
      <c r="AD2018" s="0" t="str">
        <f aca="false">IF(AND(C2017=C2018,AA2017=AA2018-1),AB2017,"")</f>
        <v/>
      </c>
      <c r="AE2018" s="0" t="str">
        <f aca="false">IF(AND(C2017=C2018,AA2017=AA2018-1),AC2017,"")</f>
        <v/>
      </c>
      <c r="AF2018" s="0" t="str">
        <f aca="false">IF(AA2018=1,"",IF(AND(AB2018=1,AD2018&lt;&gt;1),1,0))</f>
        <v/>
      </c>
      <c r="AG2018" s="0" t="str">
        <f aca="false">IF(AA2018=1,"",IF(AND(AC2018=1,AE2018&lt;&gt;1),1,0))</f>
        <v/>
      </c>
      <c r="AH2018" s="51" t="str">
        <f aca="false">IF(AND(E2018&gt;0,AA2018&lt;1,NOT(AND(C2019=C2018,AA2019=AA2018+1))),INDEX(DATAS,AA2018+1),"")</f>
        <v/>
      </c>
      <c r="AI2018" s="51" t="str">
        <f aca="false">IF(AND(AC2018=1,AA2018&lt;1),IF(AND(C2019=C2018,AA2019=AA2018+1),IF(AC2019=1,"",INDEX(DATAS,AA2018+1)),INDEX(DATAS,AA2018+1)),"")</f>
        <v/>
      </c>
    </row>
    <row r="2019" customFormat="false" ht="15" hidden="false" customHeight="false" outlineLevel="0" collapsed="false">
      <c r="A2019" s="51" t="n">
        <v>46309</v>
      </c>
      <c r="B2019" s="0" t="n">
        <v>8</v>
      </c>
      <c r="C2019" s="0" t="n">
        <v>6290</v>
      </c>
      <c r="E2019" s="0" t="n">
        <v>0</v>
      </c>
      <c r="F2019" s="46" t="s">
        <v>1162</v>
      </c>
      <c r="I2019" s="46" t="s">
        <v>152</v>
      </c>
      <c r="L2019" s="0" t="n">
        <v>145</v>
      </c>
      <c r="U2019" s="0" t="n">
        <v>613</v>
      </c>
      <c r="V2019" s="0" t="n">
        <v>4</v>
      </c>
      <c r="W2019" s="51" t="n">
        <v>46165</v>
      </c>
      <c r="X2019" s="46" t="n">
        <f aca="false">IF(I2019="Male",0,1)</f>
        <v>1</v>
      </c>
      <c r="Y2019" s="46" t="n">
        <f aca="false">IF(OR(I2019="DNB",I2019="Dry DNB"),1,0)</f>
        <v>0</v>
      </c>
      <c r="Z2019" s="46" t="n">
        <f aca="false">IF(ISNUMBER(W2019),A2019-W2019,"")</f>
        <v>144</v>
      </c>
      <c r="AA2019" s="46" t="n">
        <f aca="false">MATCH(A2019,DATAS,0)</f>
        <v>1</v>
      </c>
      <c r="AB2019" s="46" t="n">
        <f aca="false">IF(AND(E2019&gt;0,OR(AND(B2019&gt;=1,B2019&lt;=6),B2019=10)),1,0)</f>
        <v>0</v>
      </c>
      <c r="AC2019" s="46" t="n">
        <f aca="false">IF(AND(E2019&gt;0,B2019=10),1,0)</f>
        <v>0</v>
      </c>
      <c r="AD2019" s="0" t="str">
        <f aca="false">IF(AND(C2018=C2019,AA2018=AA2019-1),AB2018,"")</f>
        <v/>
      </c>
      <c r="AE2019" s="0" t="str">
        <f aca="false">IF(AND(C2018=C2019,AA2018=AA2019-1),AC2018,"")</f>
        <v/>
      </c>
      <c r="AF2019" s="0" t="str">
        <f aca="false">IF(AA2019=1,"",IF(AND(AB2019=1,AD2019&lt;&gt;1),1,0))</f>
        <v/>
      </c>
      <c r="AG2019" s="0" t="str">
        <f aca="false">IF(AA2019=1,"",IF(AND(AC2019=1,AE2019&lt;&gt;1),1,0))</f>
        <v/>
      </c>
      <c r="AH2019" s="51" t="str">
        <f aca="false">IF(AND(E2019&gt;0,AA2019&lt;1,NOT(AND(C2020=C2019,AA2020=AA2019+1))),INDEX(DATAS,AA2019+1),"")</f>
        <v/>
      </c>
      <c r="AI2019" s="51" t="str">
        <f aca="false">IF(AND(AC2019=1,AA2019&lt;1),IF(AND(C2020=C2019,AA2020=AA2019+1),IF(AC2020=1,"",INDEX(DATAS,AA2019+1)),INDEX(DATAS,AA2019+1)),"")</f>
        <v/>
      </c>
    </row>
    <row r="2020" customFormat="false" ht="15" hidden="false" customHeight="false" outlineLevel="0" collapsed="false">
      <c r="A2020" s="51" t="n">
        <v>46309</v>
      </c>
      <c r="B2020" s="0" t="n">
        <v>8</v>
      </c>
      <c r="C2020" s="0" t="n">
        <v>6292</v>
      </c>
      <c r="E2020" s="0" t="n">
        <v>0</v>
      </c>
      <c r="F2020" s="46" t="s">
        <v>1163</v>
      </c>
      <c r="I2020" s="46" t="s">
        <v>152</v>
      </c>
      <c r="L2020" s="0" t="n">
        <v>188</v>
      </c>
      <c r="U2020" s="0" t="n">
        <v>611</v>
      </c>
      <c r="V2020" s="0" t="n">
        <v>4</v>
      </c>
      <c r="W2020" s="51" t="n">
        <v>46104</v>
      </c>
      <c r="X2020" s="46" t="n">
        <f aca="false">IF(I2020="Male",0,1)</f>
        <v>1</v>
      </c>
      <c r="Y2020" s="46" t="n">
        <f aca="false">IF(OR(I2020="DNB",I2020="Dry DNB"),1,0)</f>
        <v>0</v>
      </c>
      <c r="Z2020" s="46" t="n">
        <f aca="false">IF(ISNUMBER(W2020),A2020-W2020,"")</f>
        <v>205</v>
      </c>
      <c r="AA2020" s="46" t="n">
        <f aca="false">MATCH(A2020,DATAS,0)</f>
        <v>1</v>
      </c>
      <c r="AB2020" s="46" t="n">
        <f aca="false">IF(AND(E2020&gt;0,OR(AND(B2020&gt;=1,B2020&lt;=6),B2020=10)),1,0)</f>
        <v>0</v>
      </c>
      <c r="AC2020" s="46" t="n">
        <f aca="false">IF(AND(E2020&gt;0,B2020=10),1,0)</f>
        <v>0</v>
      </c>
      <c r="AD2020" s="0" t="str">
        <f aca="false">IF(AND(C2019=C2020,AA2019=AA2020-1),AB2019,"")</f>
        <v/>
      </c>
      <c r="AE2020" s="0" t="str">
        <f aca="false">IF(AND(C2019=C2020,AA2019=AA2020-1),AC2019,"")</f>
        <v/>
      </c>
      <c r="AF2020" s="0" t="str">
        <f aca="false">IF(AA2020=1,"",IF(AND(AB2020=1,AD2020&lt;&gt;1),1,0))</f>
        <v/>
      </c>
      <c r="AG2020" s="0" t="str">
        <f aca="false">IF(AA2020=1,"",IF(AND(AC2020=1,AE2020&lt;&gt;1),1,0))</f>
        <v/>
      </c>
      <c r="AH2020" s="51" t="str">
        <f aca="false">IF(AND(E2020&gt;0,AA2020&lt;1,NOT(AND(C2021=C2020,AA2021=AA2020+1))),INDEX(DATAS,AA2020+1),"")</f>
        <v/>
      </c>
      <c r="AI2020" s="51" t="str">
        <f aca="false">IF(AND(AC2020=1,AA2020&lt;1),IF(AND(C2021=C2020,AA2021=AA2020+1),IF(AC2021=1,"",INDEX(DATAS,AA2020+1)),INDEX(DATAS,AA2020+1)),"")</f>
        <v/>
      </c>
    </row>
    <row r="2021" customFormat="false" ht="15" hidden="false" customHeight="false" outlineLevel="0" collapsed="false">
      <c r="A2021" s="51" t="n">
        <v>46309</v>
      </c>
      <c r="B2021" s="0" t="n">
        <v>8</v>
      </c>
      <c r="C2021" s="0" t="n">
        <v>6293</v>
      </c>
      <c r="E2021" s="0" t="n">
        <v>0</v>
      </c>
      <c r="F2021" s="46" t="s">
        <v>1163</v>
      </c>
      <c r="I2021" s="46" t="s">
        <v>152</v>
      </c>
      <c r="L2021" s="0" t="n">
        <v>202</v>
      </c>
      <c r="U2021" s="0" t="n">
        <v>611</v>
      </c>
      <c r="V2021" s="0" t="n">
        <v>3</v>
      </c>
      <c r="W2021" s="51" t="n">
        <v>46108</v>
      </c>
      <c r="X2021" s="46" t="n">
        <f aca="false">IF(I2021="Male",0,1)</f>
        <v>1</v>
      </c>
      <c r="Y2021" s="46" t="n">
        <f aca="false">IF(OR(I2021="DNB",I2021="Dry DNB"),1,0)</f>
        <v>0</v>
      </c>
      <c r="Z2021" s="46" t="n">
        <f aca="false">IF(ISNUMBER(W2021),A2021-W2021,"")</f>
        <v>201</v>
      </c>
      <c r="AA2021" s="46" t="n">
        <f aca="false">MATCH(A2021,DATAS,0)</f>
        <v>1</v>
      </c>
      <c r="AB2021" s="46" t="n">
        <f aca="false">IF(AND(E2021&gt;0,OR(AND(B2021&gt;=1,B2021&lt;=6),B2021=10)),1,0)</f>
        <v>0</v>
      </c>
      <c r="AC2021" s="46" t="n">
        <f aca="false">IF(AND(E2021&gt;0,B2021=10),1,0)</f>
        <v>0</v>
      </c>
      <c r="AD2021" s="0" t="str">
        <f aca="false">IF(AND(C2020=C2021,AA2020=AA2021-1),AB2020,"")</f>
        <v/>
      </c>
      <c r="AE2021" s="0" t="str">
        <f aca="false">IF(AND(C2020=C2021,AA2020=AA2021-1),AC2020,"")</f>
        <v/>
      </c>
      <c r="AF2021" s="0" t="str">
        <f aca="false">IF(AA2021=1,"",IF(AND(AB2021=1,AD2021&lt;&gt;1),1,0))</f>
        <v/>
      </c>
      <c r="AG2021" s="0" t="str">
        <f aca="false">IF(AA2021=1,"",IF(AND(AC2021=1,AE2021&lt;&gt;1),1,0))</f>
        <v/>
      </c>
      <c r="AH2021" s="51" t="str">
        <f aca="false">IF(AND(E2021&gt;0,AA2021&lt;1,NOT(AND(C2022=C2021,AA2022=AA2021+1))),INDEX(DATAS,AA2021+1),"")</f>
        <v/>
      </c>
      <c r="AI2021" s="51" t="str">
        <f aca="false">IF(AND(AC2021=1,AA2021&lt;1),IF(AND(C2022=C2021,AA2022=AA2021+1),IF(AC2022=1,"",INDEX(DATAS,AA2021+1)),INDEX(DATAS,AA2021+1)),"")</f>
        <v/>
      </c>
    </row>
    <row r="2022" customFormat="false" ht="15" hidden="false" customHeight="false" outlineLevel="0" collapsed="false">
      <c r="A2022" s="51" t="n">
        <v>46309</v>
      </c>
      <c r="B2022" s="0" t="n">
        <v>8</v>
      </c>
      <c r="C2022" s="0" t="n">
        <v>6294</v>
      </c>
      <c r="E2022" s="0" t="n">
        <v>0</v>
      </c>
      <c r="F2022" s="46" t="s">
        <v>1164</v>
      </c>
      <c r="I2022" s="46" t="s">
        <v>152</v>
      </c>
      <c r="L2022" s="0" t="n">
        <v>213</v>
      </c>
      <c r="U2022" s="0" t="n">
        <v>610</v>
      </c>
      <c r="V2022" s="0" t="n">
        <v>1</v>
      </c>
      <c r="W2022" s="51" t="n">
        <v>46097</v>
      </c>
      <c r="X2022" s="46" t="n">
        <f aca="false">IF(I2022="Male",0,1)</f>
        <v>1</v>
      </c>
      <c r="Y2022" s="46" t="n">
        <f aca="false">IF(OR(I2022="DNB",I2022="Dry DNB"),1,0)</f>
        <v>0</v>
      </c>
      <c r="Z2022" s="46" t="n">
        <f aca="false">IF(ISNUMBER(W2022),A2022-W2022,"")</f>
        <v>212</v>
      </c>
      <c r="AA2022" s="46" t="n">
        <f aca="false">MATCH(A2022,DATAS,0)</f>
        <v>1</v>
      </c>
      <c r="AB2022" s="46" t="n">
        <f aca="false">IF(AND(E2022&gt;0,OR(AND(B2022&gt;=1,B2022&lt;=6),B2022=10)),1,0)</f>
        <v>0</v>
      </c>
      <c r="AC2022" s="46" t="n">
        <f aca="false">IF(AND(E2022&gt;0,B2022=10),1,0)</f>
        <v>0</v>
      </c>
      <c r="AD2022" s="0" t="str">
        <f aca="false">IF(AND(C2021=C2022,AA2021=AA2022-1),AB2021,"")</f>
        <v/>
      </c>
      <c r="AE2022" s="0" t="str">
        <f aca="false">IF(AND(C2021=C2022,AA2021=AA2022-1),AC2021,"")</f>
        <v/>
      </c>
      <c r="AF2022" s="0" t="str">
        <f aca="false">IF(AA2022=1,"",IF(AND(AB2022=1,AD2022&lt;&gt;1),1,0))</f>
        <v/>
      </c>
      <c r="AG2022" s="0" t="str">
        <f aca="false">IF(AA2022=1,"",IF(AND(AC2022=1,AE2022&lt;&gt;1),1,0))</f>
        <v/>
      </c>
      <c r="AH2022" s="51" t="str">
        <f aca="false">IF(AND(E2022&gt;0,AA2022&lt;1,NOT(AND(C2023=C2022,AA2023=AA2022+1))),INDEX(DATAS,AA2022+1),"")</f>
        <v/>
      </c>
      <c r="AI2022" s="51" t="str">
        <f aca="false">IF(AND(AC2022=1,AA2022&lt;1),IF(AND(C2023=C2022,AA2023=AA2022+1),IF(AC2023=1,"",INDEX(DATAS,AA2022+1)),INDEX(DATAS,AA2022+1)),"")</f>
        <v/>
      </c>
    </row>
    <row r="2023" customFormat="false" ht="15" hidden="false" customHeight="false" outlineLevel="0" collapsed="false">
      <c r="A2023" s="51" t="n">
        <v>46309</v>
      </c>
      <c r="B2023" s="0" t="n">
        <v>8</v>
      </c>
      <c r="C2023" s="0" t="n">
        <v>6295</v>
      </c>
      <c r="E2023" s="0" t="n">
        <v>0</v>
      </c>
      <c r="F2023" s="46" t="s">
        <v>1164</v>
      </c>
      <c r="I2023" s="46" t="s">
        <v>152</v>
      </c>
      <c r="L2023" s="0" t="n">
        <v>246</v>
      </c>
      <c r="U2023" s="0" t="n">
        <v>610</v>
      </c>
      <c r="V2023" s="0" t="n">
        <v>1</v>
      </c>
      <c r="W2023" s="51" t="n">
        <v>46064</v>
      </c>
      <c r="X2023" s="46" t="n">
        <f aca="false">IF(I2023="Male",0,1)</f>
        <v>1</v>
      </c>
      <c r="Y2023" s="46" t="n">
        <f aca="false">IF(OR(I2023="DNB",I2023="Dry DNB"),1,0)</f>
        <v>0</v>
      </c>
      <c r="Z2023" s="46" t="n">
        <f aca="false">IF(ISNUMBER(W2023),A2023-W2023,"")</f>
        <v>245</v>
      </c>
      <c r="AA2023" s="46" t="n">
        <f aca="false">MATCH(A2023,DATAS,0)</f>
        <v>1</v>
      </c>
      <c r="AB2023" s="46" t="n">
        <f aca="false">IF(AND(E2023&gt;0,OR(AND(B2023&gt;=1,B2023&lt;=6),B2023=10)),1,0)</f>
        <v>0</v>
      </c>
      <c r="AC2023" s="46" t="n">
        <f aca="false">IF(AND(E2023&gt;0,B2023=10),1,0)</f>
        <v>0</v>
      </c>
      <c r="AD2023" s="0" t="str">
        <f aca="false">IF(AND(C2022=C2023,AA2022=AA2023-1),AB2022,"")</f>
        <v/>
      </c>
      <c r="AE2023" s="0" t="str">
        <f aca="false">IF(AND(C2022=C2023,AA2022=AA2023-1),AC2022,"")</f>
        <v/>
      </c>
      <c r="AF2023" s="0" t="str">
        <f aca="false">IF(AA2023=1,"",IF(AND(AB2023=1,AD2023&lt;&gt;1),1,0))</f>
        <v/>
      </c>
      <c r="AG2023" s="0" t="str">
        <f aca="false">IF(AA2023=1,"",IF(AND(AC2023=1,AE2023&lt;&gt;1),1,0))</f>
        <v/>
      </c>
      <c r="AH2023" s="51" t="str">
        <f aca="false">IF(AND(E2023&gt;0,AA2023&lt;1,NOT(AND(C2024=C2023,AA2024=AA2023+1))),INDEX(DATAS,AA2023+1),"")</f>
        <v/>
      </c>
      <c r="AI2023" s="51" t="str">
        <f aca="false">IF(AND(AC2023=1,AA2023&lt;1),IF(AND(C2024=C2023,AA2024=AA2023+1),IF(AC2024=1,"",INDEX(DATAS,AA2023+1)),INDEX(DATAS,AA2023+1)),"")</f>
        <v/>
      </c>
    </row>
    <row r="2024" customFormat="false" ht="15" hidden="false" customHeight="false" outlineLevel="0" collapsed="false">
      <c r="A2024" s="51" t="n">
        <v>46309</v>
      </c>
      <c r="B2024" s="0" t="n">
        <v>8</v>
      </c>
      <c r="C2024" s="0" t="n">
        <v>6296</v>
      </c>
      <c r="E2024" s="0" t="n">
        <v>0</v>
      </c>
      <c r="F2024" s="46" t="s">
        <v>1165</v>
      </c>
      <c r="I2024" s="46" t="s">
        <v>152</v>
      </c>
      <c r="L2024" s="0" t="n">
        <v>69</v>
      </c>
      <c r="U2024" s="0" t="n">
        <v>609</v>
      </c>
      <c r="V2024" s="0" t="n">
        <v>7</v>
      </c>
      <c r="W2024" s="51" t="n">
        <v>46241</v>
      </c>
      <c r="X2024" s="46" t="n">
        <f aca="false">IF(I2024="Male",0,1)</f>
        <v>1</v>
      </c>
      <c r="Y2024" s="46" t="n">
        <f aca="false">IF(OR(I2024="DNB",I2024="Dry DNB"),1,0)</f>
        <v>0</v>
      </c>
      <c r="Z2024" s="46" t="n">
        <f aca="false">IF(ISNUMBER(W2024),A2024-W2024,"")</f>
        <v>68</v>
      </c>
      <c r="AA2024" s="46" t="n">
        <f aca="false">MATCH(A2024,DATAS,0)</f>
        <v>1</v>
      </c>
      <c r="AB2024" s="46" t="n">
        <f aca="false">IF(AND(E2024&gt;0,OR(AND(B2024&gt;=1,B2024&lt;=6),B2024=10)),1,0)</f>
        <v>0</v>
      </c>
      <c r="AC2024" s="46" t="n">
        <f aca="false">IF(AND(E2024&gt;0,B2024=10),1,0)</f>
        <v>0</v>
      </c>
      <c r="AD2024" s="0" t="str">
        <f aca="false">IF(AND(C2023=C2024,AA2023=AA2024-1),AB2023,"")</f>
        <v/>
      </c>
      <c r="AE2024" s="0" t="str">
        <f aca="false">IF(AND(C2023=C2024,AA2023=AA2024-1),AC2023,"")</f>
        <v/>
      </c>
      <c r="AF2024" s="0" t="str">
        <f aca="false">IF(AA2024=1,"",IF(AND(AB2024=1,AD2024&lt;&gt;1),1,0))</f>
        <v/>
      </c>
      <c r="AG2024" s="0" t="str">
        <f aca="false">IF(AA2024=1,"",IF(AND(AC2024=1,AE2024&lt;&gt;1),1,0))</f>
        <v/>
      </c>
      <c r="AH2024" s="51" t="str">
        <f aca="false">IF(AND(E2024&gt;0,AA2024&lt;1,NOT(AND(C2025=C2024,AA2025=AA2024+1))),INDEX(DATAS,AA2024+1),"")</f>
        <v/>
      </c>
      <c r="AI2024" s="51" t="str">
        <f aca="false">IF(AND(AC2024=1,AA2024&lt;1),IF(AND(C2025=C2024,AA2025=AA2024+1),IF(AC2025=1,"",INDEX(DATAS,AA2024+1)),INDEX(DATAS,AA2024+1)),"")</f>
        <v/>
      </c>
    </row>
    <row r="2025" customFormat="false" ht="15" hidden="false" customHeight="false" outlineLevel="0" collapsed="false">
      <c r="A2025" s="51" t="n">
        <v>46309</v>
      </c>
      <c r="B2025" s="0" t="n">
        <v>7</v>
      </c>
      <c r="C2025" s="0" t="n">
        <v>6297</v>
      </c>
      <c r="E2025" s="0" t="n">
        <v>0</v>
      </c>
      <c r="F2025" s="46" t="s">
        <v>1165</v>
      </c>
      <c r="I2025" s="46" t="s">
        <v>152</v>
      </c>
      <c r="L2025" s="0" t="n">
        <v>248</v>
      </c>
      <c r="U2025" s="0" t="n">
        <v>609</v>
      </c>
      <c r="V2025" s="0" t="n">
        <v>1</v>
      </c>
      <c r="W2025" s="51" t="n">
        <v>46062</v>
      </c>
      <c r="X2025" s="46" t="n">
        <f aca="false">IF(I2025="Male",0,1)</f>
        <v>1</v>
      </c>
      <c r="Y2025" s="46" t="n">
        <f aca="false">IF(OR(I2025="DNB",I2025="Dry DNB"),1,0)</f>
        <v>0</v>
      </c>
      <c r="Z2025" s="46" t="n">
        <f aca="false">IF(ISNUMBER(W2025),A2025-W2025,"")</f>
        <v>247</v>
      </c>
      <c r="AA2025" s="46" t="n">
        <f aca="false">MATCH(A2025,DATAS,0)</f>
        <v>1</v>
      </c>
      <c r="AB2025" s="46" t="n">
        <f aca="false">IF(AND(E2025&gt;0,OR(AND(B2025&gt;=1,B2025&lt;=6),B2025=10)),1,0)</f>
        <v>0</v>
      </c>
      <c r="AC2025" s="46" t="n">
        <f aca="false">IF(AND(E2025&gt;0,B2025=10),1,0)</f>
        <v>0</v>
      </c>
      <c r="AD2025" s="0" t="str">
        <f aca="false">IF(AND(C2024=C2025,AA2024=AA2025-1),AB2024,"")</f>
        <v/>
      </c>
      <c r="AE2025" s="0" t="str">
        <f aca="false">IF(AND(C2024=C2025,AA2024=AA2025-1),AC2024,"")</f>
        <v/>
      </c>
      <c r="AF2025" s="0" t="str">
        <f aca="false">IF(AA2025=1,"",IF(AND(AB2025=1,AD2025&lt;&gt;1),1,0))</f>
        <v/>
      </c>
      <c r="AG2025" s="0" t="str">
        <f aca="false">IF(AA2025=1,"",IF(AND(AC2025=1,AE2025&lt;&gt;1),1,0))</f>
        <v/>
      </c>
      <c r="AH2025" s="51" t="str">
        <f aca="false">IF(AND(E2025&gt;0,AA2025&lt;1,NOT(AND(C2026=C2025,AA2026=AA2025+1))),INDEX(DATAS,AA2025+1),"")</f>
        <v/>
      </c>
      <c r="AI2025" s="51" t="str">
        <f aca="false">IF(AND(AC2025=1,AA2025&lt;1),IF(AND(C2026=C2025,AA2026=AA2025+1),IF(AC2026=1,"",INDEX(DATAS,AA2025+1)),INDEX(DATAS,AA2025+1)),"")</f>
        <v/>
      </c>
    </row>
    <row r="2026" customFormat="false" ht="15" hidden="false" customHeight="false" outlineLevel="0" collapsed="false">
      <c r="A2026" s="51" t="n">
        <v>46309</v>
      </c>
      <c r="B2026" s="0" t="n">
        <v>8</v>
      </c>
      <c r="C2026" s="0" t="n">
        <v>6298</v>
      </c>
      <c r="E2026" s="0" t="n">
        <v>0</v>
      </c>
      <c r="F2026" s="46" t="s">
        <v>1165</v>
      </c>
      <c r="I2026" s="46" t="s">
        <v>152</v>
      </c>
      <c r="L2026" s="0" t="n">
        <v>212</v>
      </c>
      <c r="U2026" s="0" t="n">
        <v>609</v>
      </c>
      <c r="V2026" s="0" t="n">
        <v>1</v>
      </c>
      <c r="W2026" s="51" t="n">
        <v>46098</v>
      </c>
      <c r="X2026" s="46" t="n">
        <f aca="false">IF(I2026="Male",0,1)</f>
        <v>1</v>
      </c>
      <c r="Y2026" s="46" t="n">
        <f aca="false">IF(OR(I2026="DNB",I2026="Dry DNB"),1,0)</f>
        <v>0</v>
      </c>
      <c r="Z2026" s="46" t="n">
        <f aca="false">IF(ISNUMBER(W2026),A2026-W2026,"")</f>
        <v>211</v>
      </c>
      <c r="AA2026" s="46" t="n">
        <f aca="false">MATCH(A2026,DATAS,0)</f>
        <v>1</v>
      </c>
      <c r="AB2026" s="46" t="n">
        <f aca="false">IF(AND(E2026&gt;0,OR(AND(B2026&gt;=1,B2026&lt;=6),B2026=10)),1,0)</f>
        <v>0</v>
      </c>
      <c r="AC2026" s="46" t="n">
        <f aca="false">IF(AND(E2026&gt;0,B2026=10),1,0)</f>
        <v>0</v>
      </c>
      <c r="AD2026" s="0" t="str">
        <f aca="false">IF(AND(C2025=C2026,AA2025=AA2026-1),AB2025,"")</f>
        <v/>
      </c>
      <c r="AE2026" s="0" t="str">
        <f aca="false">IF(AND(C2025=C2026,AA2025=AA2026-1),AC2025,"")</f>
        <v/>
      </c>
      <c r="AF2026" s="0" t="str">
        <f aca="false">IF(AA2026=1,"",IF(AND(AB2026=1,AD2026&lt;&gt;1),1,0))</f>
        <v/>
      </c>
      <c r="AG2026" s="0" t="str">
        <f aca="false">IF(AA2026=1,"",IF(AND(AC2026=1,AE2026&lt;&gt;1),1,0))</f>
        <v/>
      </c>
      <c r="AH2026" s="51" t="str">
        <f aca="false">IF(AND(E2026&gt;0,AA2026&lt;1,NOT(AND(C2027=C2026,AA2027=AA2026+1))),INDEX(DATAS,AA2026+1),"")</f>
        <v/>
      </c>
      <c r="AI2026" s="51" t="str">
        <f aca="false">IF(AND(AC2026=1,AA2026&lt;1),IF(AND(C2027=C2026,AA2027=AA2026+1),IF(AC2027=1,"",INDEX(DATAS,AA2026+1)),INDEX(DATAS,AA2026+1)),"")</f>
        <v/>
      </c>
    </row>
    <row r="2027" customFormat="false" ht="15" hidden="false" customHeight="false" outlineLevel="0" collapsed="false">
      <c r="A2027" s="51" t="n">
        <v>46309</v>
      </c>
      <c r="B2027" s="0" t="n">
        <v>8</v>
      </c>
      <c r="C2027" s="0" t="n">
        <v>6299</v>
      </c>
      <c r="E2027" s="0" t="n">
        <v>0</v>
      </c>
      <c r="F2027" s="46" t="s">
        <v>1166</v>
      </c>
      <c r="I2027" s="46" t="s">
        <v>152</v>
      </c>
      <c r="L2027" s="0" t="n">
        <v>211</v>
      </c>
      <c r="U2027" s="0" t="n">
        <v>608</v>
      </c>
      <c r="V2027" s="0" t="n">
        <v>1</v>
      </c>
      <c r="W2027" s="51" t="n">
        <v>46099</v>
      </c>
      <c r="X2027" s="46" t="n">
        <f aca="false">IF(I2027="Male",0,1)</f>
        <v>1</v>
      </c>
      <c r="Y2027" s="46" t="n">
        <f aca="false">IF(OR(I2027="DNB",I2027="Dry DNB"),1,0)</f>
        <v>0</v>
      </c>
      <c r="Z2027" s="46" t="n">
        <f aca="false">IF(ISNUMBER(W2027),A2027-W2027,"")</f>
        <v>210</v>
      </c>
      <c r="AA2027" s="46" t="n">
        <f aca="false">MATCH(A2027,DATAS,0)</f>
        <v>1</v>
      </c>
      <c r="AB2027" s="46" t="n">
        <f aca="false">IF(AND(E2027&gt;0,OR(AND(B2027&gt;=1,B2027&lt;=6),B2027=10)),1,0)</f>
        <v>0</v>
      </c>
      <c r="AC2027" s="46" t="n">
        <f aca="false">IF(AND(E2027&gt;0,B2027=10),1,0)</f>
        <v>0</v>
      </c>
      <c r="AD2027" s="0" t="str">
        <f aca="false">IF(AND(C2026=C2027,AA2026=AA2027-1),AB2026,"")</f>
        <v/>
      </c>
      <c r="AE2027" s="0" t="str">
        <f aca="false">IF(AND(C2026=C2027,AA2026=AA2027-1),AC2026,"")</f>
        <v/>
      </c>
      <c r="AF2027" s="0" t="str">
        <f aca="false">IF(AA2027=1,"",IF(AND(AB2027=1,AD2027&lt;&gt;1),1,0))</f>
        <v/>
      </c>
      <c r="AG2027" s="0" t="str">
        <f aca="false">IF(AA2027=1,"",IF(AND(AC2027=1,AE2027&lt;&gt;1),1,0))</f>
        <v/>
      </c>
      <c r="AH2027" s="51" t="str">
        <f aca="false">IF(AND(E2027&gt;0,AA2027&lt;1,NOT(AND(C2028=C2027,AA2028=AA2027+1))),INDEX(DATAS,AA2027+1),"")</f>
        <v/>
      </c>
      <c r="AI2027" s="51" t="str">
        <f aca="false">IF(AND(AC2027=1,AA2027&lt;1),IF(AND(C2028=C2027,AA2028=AA2027+1),IF(AC2028=1,"",INDEX(DATAS,AA2027+1)),INDEX(DATAS,AA2027+1)),"")</f>
        <v/>
      </c>
    </row>
    <row r="2028" customFormat="false" ht="15" hidden="false" customHeight="false" outlineLevel="0" collapsed="false">
      <c r="A2028" s="51" t="n">
        <v>46309</v>
      </c>
      <c r="B2028" s="0" t="n">
        <v>8</v>
      </c>
      <c r="C2028" s="0" t="n">
        <v>6302</v>
      </c>
      <c r="E2028" s="0" t="n">
        <v>0</v>
      </c>
      <c r="F2028" s="46" t="s">
        <v>1167</v>
      </c>
      <c r="I2028" s="46" t="s">
        <v>152</v>
      </c>
      <c r="L2028" s="0" t="n">
        <v>220</v>
      </c>
      <c r="U2028" s="0" t="n">
        <v>607</v>
      </c>
      <c r="V2028" s="0" t="n">
        <v>1</v>
      </c>
      <c r="W2028" s="51" t="n">
        <v>46090</v>
      </c>
      <c r="X2028" s="46" t="n">
        <f aca="false">IF(I2028="Male",0,1)</f>
        <v>1</v>
      </c>
      <c r="Y2028" s="46" t="n">
        <f aca="false">IF(OR(I2028="DNB",I2028="Dry DNB"),1,0)</f>
        <v>0</v>
      </c>
      <c r="Z2028" s="46" t="n">
        <f aca="false">IF(ISNUMBER(W2028),A2028-W2028,"")</f>
        <v>219</v>
      </c>
      <c r="AA2028" s="46" t="n">
        <f aca="false">MATCH(A2028,DATAS,0)</f>
        <v>1</v>
      </c>
      <c r="AB2028" s="46" t="n">
        <f aca="false">IF(AND(E2028&gt;0,OR(AND(B2028&gt;=1,B2028&lt;=6),B2028=10)),1,0)</f>
        <v>0</v>
      </c>
      <c r="AC2028" s="46" t="n">
        <f aca="false">IF(AND(E2028&gt;0,B2028=10),1,0)</f>
        <v>0</v>
      </c>
      <c r="AD2028" s="0" t="str">
        <f aca="false">IF(AND(C2027=C2028,AA2027=AA2028-1),AB2027,"")</f>
        <v/>
      </c>
      <c r="AE2028" s="0" t="str">
        <f aca="false">IF(AND(C2027=C2028,AA2027=AA2028-1),AC2027,"")</f>
        <v/>
      </c>
      <c r="AF2028" s="0" t="str">
        <f aca="false">IF(AA2028=1,"",IF(AND(AB2028=1,AD2028&lt;&gt;1),1,0))</f>
        <v/>
      </c>
      <c r="AG2028" s="0" t="str">
        <f aca="false">IF(AA2028=1,"",IF(AND(AC2028=1,AE2028&lt;&gt;1),1,0))</f>
        <v/>
      </c>
      <c r="AH2028" s="51" t="str">
        <f aca="false">IF(AND(E2028&gt;0,AA2028&lt;1,NOT(AND(C2029=C2028,AA2029=AA2028+1))),INDEX(DATAS,AA2028+1),"")</f>
        <v/>
      </c>
      <c r="AI2028" s="51" t="str">
        <f aca="false">IF(AND(AC2028=1,AA2028&lt;1),IF(AND(C2029=C2028,AA2029=AA2028+1),IF(AC2029=1,"",INDEX(DATAS,AA2028+1)),INDEX(DATAS,AA2028+1)),"")</f>
        <v/>
      </c>
    </row>
    <row r="2029" customFormat="false" ht="15" hidden="false" customHeight="false" outlineLevel="0" collapsed="false">
      <c r="A2029" s="51" t="n">
        <v>46309</v>
      </c>
      <c r="B2029" s="0" t="n">
        <v>8</v>
      </c>
      <c r="C2029" s="0" t="n">
        <v>6303</v>
      </c>
      <c r="E2029" s="0" t="n">
        <v>0</v>
      </c>
      <c r="F2029" s="46" t="s">
        <v>1167</v>
      </c>
      <c r="I2029" s="46" t="s">
        <v>152</v>
      </c>
      <c r="L2029" s="0" t="n">
        <v>188</v>
      </c>
      <c r="U2029" s="0" t="n">
        <v>607</v>
      </c>
      <c r="V2029" s="0" t="n">
        <v>1</v>
      </c>
      <c r="X2029" s="46" t="n">
        <f aca="false">IF(I2029="Male",0,1)</f>
        <v>1</v>
      </c>
      <c r="Y2029" s="46" t="n">
        <f aca="false">IF(OR(I2029="DNB",I2029="Dry DNB"),1,0)</f>
        <v>0</v>
      </c>
      <c r="Z2029" s="0" t="str">
        <f aca="false">IF(ISNUMBER(W2029),A2029-W2029,"")</f>
        <v/>
      </c>
      <c r="AA2029" s="46" t="n">
        <f aca="false">MATCH(A2029,DATAS,0)</f>
        <v>1</v>
      </c>
      <c r="AB2029" s="46" t="n">
        <f aca="false">IF(AND(E2029&gt;0,OR(AND(B2029&gt;=1,B2029&lt;=6),B2029=10)),1,0)</f>
        <v>0</v>
      </c>
      <c r="AC2029" s="46" t="n">
        <f aca="false">IF(AND(E2029&gt;0,B2029=10),1,0)</f>
        <v>0</v>
      </c>
      <c r="AD2029" s="0" t="str">
        <f aca="false">IF(AND(C2028=C2029,AA2028=AA2029-1),AB2028,"")</f>
        <v/>
      </c>
      <c r="AE2029" s="0" t="str">
        <f aca="false">IF(AND(C2028=C2029,AA2028=AA2029-1),AC2028,"")</f>
        <v/>
      </c>
      <c r="AF2029" s="0" t="str">
        <f aca="false">IF(AA2029=1,"",IF(AND(AB2029=1,AD2029&lt;&gt;1),1,0))</f>
        <v/>
      </c>
      <c r="AG2029" s="0" t="str">
        <f aca="false">IF(AA2029=1,"",IF(AND(AC2029=1,AE2029&lt;&gt;1),1,0))</f>
        <v/>
      </c>
      <c r="AH2029" s="51" t="str">
        <f aca="false">IF(AND(E2029&gt;0,AA2029&lt;1,NOT(AND(C2030=C2029,AA2030=AA2029+1))),INDEX(DATAS,AA2029+1),"")</f>
        <v/>
      </c>
      <c r="AI2029" s="51" t="str">
        <f aca="false">IF(AND(AC2029=1,AA2029&lt;1),IF(AND(C2030=C2029,AA2030=AA2029+1),IF(AC2030=1,"",INDEX(DATAS,AA2029+1)),INDEX(DATAS,AA2029+1)),"")</f>
        <v/>
      </c>
    </row>
    <row r="2030" customFormat="false" ht="15" hidden="false" customHeight="false" outlineLevel="0" collapsed="false">
      <c r="A2030" s="51" t="n">
        <v>46309</v>
      </c>
      <c r="B2030" s="0" t="n">
        <v>8</v>
      </c>
      <c r="C2030" s="0" t="n">
        <v>6304</v>
      </c>
      <c r="E2030" s="0" t="n">
        <v>0</v>
      </c>
      <c r="F2030" s="46" t="s">
        <v>1167</v>
      </c>
      <c r="I2030" s="46" t="s">
        <v>152</v>
      </c>
      <c r="L2030" s="0" t="n">
        <v>178</v>
      </c>
      <c r="U2030" s="0" t="n">
        <v>607</v>
      </c>
      <c r="V2030" s="0" t="n">
        <v>3</v>
      </c>
      <c r="W2030" s="51" t="n">
        <v>46132</v>
      </c>
      <c r="X2030" s="46" t="n">
        <f aca="false">IF(I2030="Male",0,1)</f>
        <v>1</v>
      </c>
      <c r="Y2030" s="46" t="n">
        <f aca="false">IF(OR(I2030="DNB",I2030="Dry DNB"),1,0)</f>
        <v>0</v>
      </c>
      <c r="Z2030" s="46" t="n">
        <f aca="false">IF(ISNUMBER(W2030),A2030-W2030,"")</f>
        <v>177</v>
      </c>
      <c r="AA2030" s="46" t="n">
        <f aca="false">MATCH(A2030,DATAS,0)</f>
        <v>1</v>
      </c>
      <c r="AB2030" s="46" t="n">
        <f aca="false">IF(AND(E2030&gt;0,OR(AND(B2030&gt;=1,B2030&lt;=6),B2030=10)),1,0)</f>
        <v>0</v>
      </c>
      <c r="AC2030" s="46" t="n">
        <f aca="false">IF(AND(E2030&gt;0,B2030=10),1,0)</f>
        <v>0</v>
      </c>
      <c r="AD2030" s="0" t="str">
        <f aca="false">IF(AND(C2029=C2030,AA2029=AA2030-1),AB2029,"")</f>
        <v/>
      </c>
      <c r="AE2030" s="0" t="str">
        <f aca="false">IF(AND(C2029=C2030,AA2029=AA2030-1),AC2029,"")</f>
        <v/>
      </c>
      <c r="AF2030" s="0" t="str">
        <f aca="false">IF(AA2030=1,"",IF(AND(AB2030=1,AD2030&lt;&gt;1),1,0))</f>
        <v/>
      </c>
      <c r="AG2030" s="0" t="str">
        <f aca="false">IF(AA2030=1,"",IF(AND(AC2030=1,AE2030&lt;&gt;1),1,0))</f>
        <v/>
      </c>
      <c r="AH2030" s="51" t="str">
        <f aca="false">IF(AND(E2030&gt;0,AA2030&lt;1,NOT(AND(C2031=C2030,AA2031=AA2030+1))),INDEX(DATAS,AA2030+1),"")</f>
        <v/>
      </c>
      <c r="AI2030" s="51" t="str">
        <f aca="false">IF(AND(AC2030=1,AA2030&lt;1),IF(AND(C2031=C2030,AA2031=AA2030+1),IF(AC2031=1,"",INDEX(DATAS,AA2030+1)),INDEX(DATAS,AA2030+1)),"")</f>
        <v/>
      </c>
    </row>
    <row r="2031" customFormat="false" ht="15" hidden="false" customHeight="false" outlineLevel="0" collapsed="false">
      <c r="A2031" s="51" t="n">
        <v>46309</v>
      </c>
      <c r="B2031" s="0" t="n">
        <v>8</v>
      </c>
      <c r="C2031" s="0" t="n">
        <v>6305</v>
      </c>
      <c r="E2031" s="0" t="n">
        <v>0</v>
      </c>
      <c r="F2031" s="46" t="s">
        <v>1168</v>
      </c>
      <c r="I2031" s="46" t="s">
        <v>152</v>
      </c>
      <c r="L2031" s="0" t="n">
        <v>210</v>
      </c>
      <c r="U2031" s="0" t="n">
        <v>606</v>
      </c>
      <c r="V2031" s="0" t="n">
        <v>1</v>
      </c>
      <c r="W2031" s="51" t="n">
        <v>46100</v>
      </c>
      <c r="X2031" s="46" t="n">
        <f aca="false">IF(I2031="Male",0,1)</f>
        <v>1</v>
      </c>
      <c r="Y2031" s="46" t="n">
        <f aca="false">IF(OR(I2031="DNB",I2031="Dry DNB"),1,0)</f>
        <v>0</v>
      </c>
      <c r="Z2031" s="46" t="n">
        <f aca="false">IF(ISNUMBER(W2031),A2031-W2031,"")</f>
        <v>209</v>
      </c>
      <c r="AA2031" s="46" t="n">
        <f aca="false">MATCH(A2031,DATAS,0)</f>
        <v>1</v>
      </c>
      <c r="AB2031" s="46" t="n">
        <f aca="false">IF(AND(E2031&gt;0,OR(AND(B2031&gt;=1,B2031&lt;=6),B2031=10)),1,0)</f>
        <v>0</v>
      </c>
      <c r="AC2031" s="46" t="n">
        <f aca="false">IF(AND(E2031&gt;0,B2031=10),1,0)</f>
        <v>0</v>
      </c>
      <c r="AD2031" s="0" t="str">
        <f aca="false">IF(AND(C2030=C2031,AA2030=AA2031-1),AB2030,"")</f>
        <v/>
      </c>
      <c r="AE2031" s="0" t="str">
        <f aca="false">IF(AND(C2030=C2031,AA2030=AA2031-1),AC2030,"")</f>
        <v/>
      </c>
      <c r="AF2031" s="0" t="str">
        <f aca="false">IF(AA2031=1,"",IF(AND(AB2031=1,AD2031&lt;&gt;1),1,0))</f>
        <v/>
      </c>
      <c r="AG2031" s="0" t="str">
        <f aca="false">IF(AA2031=1,"",IF(AND(AC2031=1,AE2031&lt;&gt;1),1,0))</f>
        <v/>
      </c>
      <c r="AH2031" s="51" t="str">
        <f aca="false">IF(AND(E2031&gt;0,AA2031&lt;1,NOT(AND(C2032=C2031,AA2032=AA2031+1))),INDEX(DATAS,AA2031+1),"")</f>
        <v/>
      </c>
      <c r="AI2031" s="51" t="str">
        <f aca="false">IF(AND(AC2031=1,AA2031&lt;1),IF(AND(C2032=C2031,AA2032=AA2031+1),IF(AC2032=1,"",INDEX(DATAS,AA2031+1)),INDEX(DATAS,AA2031+1)),"")</f>
        <v/>
      </c>
    </row>
    <row r="2032" customFormat="false" ht="15" hidden="false" customHeight="false" outlineLevel="0" collapsed="false">
      <c r="A2032" s="51" t="n">
        <v>46309</v>
      </c>
      <c r="B2032" s="0" t="n">
        <v>8</v>
      </c>
      <c r="C2032" s="0" t="n">
        <v>6306</v>
      </c>
      <c r="E2032" s="0" t="n">
        <v>0</v>
      </c>
      <c r="F2032" s="46" t="s">
        <v>1169</v>
      </c>
      <c r="I2032" s="46" t="s">
        <v>152</v>
      </c>
      <c r="L2032" s="0" t="n">
        <v>209</v>
      </c>
      <c r="U2032" s="0" t="n">
        <v>605</v>
      </c>
      <c r="V2032" s="0" t="n">
        <v>1</v>
      </c>
      <c r="W2032" s="51" t="n">
        <v>46101</v>
      </c>
      <c r="X2032" s="46" t="n">
        <f aca="false">IF(I2032="Male",0,1)</f>
        <v>1</v>
      </c>
      <c r="Y2032" s="46" t="n">
        <f aca="false">IF(OR(I2032="DNB",I2032="Dry DNB"),1,0)</f>
        <v>0</v>
      </c>
      <c r="Z2032" s="46" t="n">
        <f aca="false">IF(ISNUMBER(W2032),A2032-W2032,"")</f>
        <v>208</v>
      </c>
      <c r="AA2032" s="46" t="n">
        <f aca="false">MATCH(A2032,DATAS,0)</f>
        <v>1</v>
      </c>
      <c r="AB2032" s="46" t="n">
        <f aca="false">IF(AND(E2032&gt;0,OR(AND(B2032&gt;=1,B2032&lt;=6),B2032=10)),1,0)</f>
        <v>0</v>
      </c>
      <c r="AC2032" s="46" t="n">
        <f aca="false">IF(AND(E2032&gt;0,B2032=10),1,0)</f>
        <v>0</v>
      </c>
      <c r="AD2032" s="0" t="str">
        <f aca="false">IF(AND(C2031=C2032,AA2031=AA2032-1),AB2031,"")</f>
        <v/>
      </c>
      <c r="AE2032" s="0" t="str">
        <f aca="false">IF(AND(C2031=C2032,AA2031=AA2032-1),AC2031,"")</f>
        <v/>
      </c>
      <c r="AF2032" s="0" t="str">
        <f aca="false">IF(AA2032=1,"",IF(AND(AB2032=1,AD2032&lt;&gt;1),1,0))</f>
        <v/>
      </c>
      <c r="AG2032" s="0" t="str">
        <f aca="false">IF(AA2032=1,"",IF(AND(AC2032=1,AE2032&lt;&gt;1),1,0))</f>
        <v/>
      </c>
      <c r="AH2032" s="51" t="str">
        <f aca="false">IF(AND(E2032&gt;0,AA2032&lt;1,NOT(AND(C2033=C2032,AA2033=AA2032+1))),INDEX(DATAS,AA2032+1),"")</f>
        <v/>
      </c>
      <c r="AI2032" s="51" t="str">
        <f aca="false">IF(AND(AC2032=1,AA2032&lt;1),IF(AND(C2033=C2032,AA2033=AA2032+1),IF(AC2033=1,"",INDEX(DATAS,AA2032+1)),INDEX(DATAS,AA2032+1)),"")</f>
        <v/>
      </c>
    </row>
    <row r="2033" customFormat="false" ht="15" hidden="false" customHeight="false" outlineLevel="0" collapsed="false">
      <c r="A2033" s="51" t="n">
        <v>46309</v>
      </c>
      <c r="B2033" s="0" t="n">
        <v>8</v>
      </c>
      <c r="C2033" s="0" t="n">
        <v>6307</v>
      </c>
      <c r="E2033" s="0" t="n">
        <v>0</v>
      </c>
      <c r="F2033" s="46" t="s">
        <v>1169</v>
      </c>
      <c r="I2033" s="46" t="s">
        <v>152</v>
      </c>
      <c r="L2033" s="0" t="n">
        <v>215</v>
      </c>
      <c r="U2033" s="0" t="n">
        <v>605</v>
      </c>
      <c r="V2033" s="0" t="n">
        <v>1</v>
      </c>
      <c r="W2033" s="51" t="n">
        <v>46095</v>
      </c>
      <c r="X2033" s="46" t="n">
        <f aca="false">IF(I2033="Male",0,1)</f>
        <v>1</v>
      </c>
      <c r="Y2033" s="46" t="n">
        <f aca="false">IF(OR(I2033="DNB",I2033="Dry DNB"),1,0)</f>
        <v>0</v>
      </c>
      <c r="Z2033" s="46" t="n">
        <f aca="false">IF(ISNUMBER(W2033),A2033-W2033,"")</f>
        <v>214</v>
      </c>
      <c r="AA2033" s="46" t="n">
        <f aca="false">MATCH(A2033,DATAS,0)</f>
        <v>1</v>
      </c>
      <c r="AB2033" s="46" t="n">
        <f aca="false">IF(AND(E2033&gt;0,OR(AND(B2033&gt;=1,B2033&lt;=6),B2033=10)),1,0)</f>
        <v>0</v>
      </c>
      <c r="AC2033" s="46" t="n">
        <f aca="false">IF(AND(E2033&gt;0,B2033=10),1,0)</f>
        <v>0</v>
      </c>
      <c r="AD2033" s="0" t="str">
        <f aca="false">IF(AND(C2032=C2033,AA2032=AA2033-1),AB2032,"")</f>
        <v/>
      </c>
      <c r="AE2033" s="0" t="str">
        <f aca="false">IF(AND(C2032=C2033,AA2032=AA2033-1),AC2032,"")</f>
        <v/>
      </c>
      <c r="AF2033" s="0" t="str">
        <f aca="false">IF(AA2033=1,"",IF(AND(AB2033=1,AD2033&lt;&gt;1),1,0))</f>
        <v/>
      </c>
      <c r="AG2033" s="0" t="str">
        <f aca="false">IF(AA2033=1,"",IF(AND(AC2033=1,AE2033&lt;&gt;1),1,0))</f>
        <v/>
      </c>
      <c r="AH2033" s="51" t="str">
        <f aca="false">IF(AND(E2033&gt;0,AA2033&lt;1,NOT(AND(C2034=C2033,AA2034=AA2033+1))),INDEX(DATAS,AA2033+1),"")</f>
        <v/>
      </c>
      <c r="AI2033" s="51" t="str">
        <f aca="false">IF(AND(AC2033=1,AA2033&lt;1),IF(AND(C2034=C2033,AA2034=AA2033+1),IF(AC2034=1,"",INDEX(DATAS,AA2033+1)),INDEX(DATAS,AA2033+1)),"")</f>
        <v/>
      </c>
    </row>
    <row r="2034" customFormat="false" ht="15" hidden="false" customHeight="false" outlineLevel="0" collapsed="false">
      <c r="A2034" s="51" t="n">
        <v>46309</v>
      </c>
      <c r="B2034" s="0" t="n">
        <v>8</v>
      </c>
      <c r="C2034" s="0" t="n">
        <v>6308</v>
      </c>
      <c r="E2034" s="0" t="n">
        <v>0</v>
      </c>
      <c r="F2034" s="46" t="s">
        <v>1169</v>
      </c>
      <c r="I2034" s="46" t="s">
        <v>152</v>
      </c>
      <c r="L2034" s="0" t="n">
        <v>191</v>
      </c>
      <c r="U2034" s="0" t="n">
        <v>605</v>
      </c>
      <c r="V2034" s="0" t="n">
        <v>2</v>
      </c>
      <c r="W2034" s="51" t="n">
        <v>46119</v>
      </c>
      <c r="X2034" s="46" t="n">
        <f aca="false">IF(I2034="Male",0,1)</f>
        <v>1</v>
      </c>
      <c r="Y2034" s="46" t="n">
        <f aca="false">IF(OR(I2034="DNB",I2034="Dry DNB"),1,0)</f>
        <v>0</v>
      </c>
      <c r="Z2034" s="46" t="n">
        <f aca="false">IF(ISNUMBER(W2034),A2034-W2034,"")</f>
        <v>190</v>
      </c>
      <c r="AA2034" s="46" t="n">
        <f aca="false">MATCH(A2034,DATAS,0)</f>
        <v>1</v>
      </c>
      <c r="AB2034" s="46" t="n">
        <f aca="false">IF(AND(E2034&gt;0,OR(AND(B2034&gt;=1,B2034&lt;=6),B2034=10)),1,0)</f>
        <v>0</v>
      </c>
      <c r="AC2034" s="46" t="n">
        <f aca="false">IF(AND(E2034&gt;0,B2034=10),1,0)</f>
        <v>0</v>
      </c>
      <c r="AD2034" s="0" t="str">
        <f aca="false">IF(AND(C2033=C2034,AA2033=AA2034-1),AB2033,"")</f>
        <v/>
      </c>
      <c r="AE2034" s="0" t="str">
        <f aca="false">IF(AND(C2033=C2034,AA2033=AA2034-1),AC2033,"")</f>
        <v/>
      </c>
      <c r="AF2034" s="0" t="str">
        <f aca="false">IF(AA2034=1,"",IF(AND(AB2034=1,AD2034&lt;&gt;1),1,0))</f>
        <v/>
      </c>
      <c r="AG2034" s="0" t="str">
        <f aca="false">IF(AA2034=1,"",IF(AND(AC2034=1,AE2034&lt;&gt;1),1,0))</f>
        <v/>
      </c>
      <c r="AH2034" s="51" t="str">
        <f aca="false">IF(AND(E2034&gt;0,AA2034&lt;1,NOT(AND(C2035=C2034,AA2035=AA2034+1))),INDEX(DATAS,AA2034+1),"")</f>
        <v/>
      </c>
      <c r="AI2034" s="51" t="str">
        <f aca="false">IF(AND(AC2034=1,AA2034&lt;1),IF(AND(C2035=C2034,AA2035=AA2034+1),IF(AC2035=1,"",INDEX(DATAS,AA2034+1)),INDEX(DATAS,AA2034+1)),"")</f>
        <v/>
      </c>
    </row>
    <row r="2035" customFormat="false" ht="15" hidden="false" customHeight="false" outlineLevel="0" collapsed="false">
      <c r="A2035" s="51" t="n">
        <v>46309</v>
      </c>
      <c r="B2035" s="0" t="n">
        <v>8</v>
      </c>
      <c r="C2035" s="0" t="n">
        <v>6310</v>
      </c>
      <c r="E2035" s="0" t="n">
        <v>0</v>
      </c>
      <c r="F2035" s="46" t="s">
        <v>1169</v>
      </c>
      <c r="I2035" s="46" t="s">
        <v>152</v>
      </c>
      <c r="L2035" s="0" t="n">
        <v>165</v>
      </c>
      <c r="U2035" s="0" t="n">
        <v>605</v>
      </c>
      <c r="V2035" s="0" t="n">
        <v>1</v>
      </c>
      <c r="W2035" s="51" t="n">
        <v>46145</v>
      </c>
      <c r="X2035" s="46" t="n">
        <f aca="false">IF(I2035="Male",0,1)</f>
        <v>1</v>
      </c>
      <c r="Y2035" s="46" t="n">
        <f aca="false">IF(OR(I2035="DNB",I2035="Dry DNB"),1,0)</f>
        <v>0</v>
      </c>
      <c r="Z2035" s="46" t="n">
        <f aca="false">IF(ISNUMBER(W2035),A2035-W2035,"")</f>
        <v>164</v>
      </c>
      <c r="AA2035" s="46" t="n">
        <f aca="false">MATCH(A2035,DATAS,0)</f>
        <v>1</v>
      </c>
      <c r="AB2035" s="46" t="n">
        <f aca="false">IF(AND(E2035&gt;0,OR(AND(B2035&gt;=1,B2035&lt;=6),B2035=10)),1,0)</f>
        <v>0</v>
      </c>
      <c r="AC2035" s="46" t="n">
        <f aca="false">IF(AND(E2035&gt;0,B2035=10),1,0)</f>
        <v>0</v>
      </c>
      <c r="AD2035" s="0" t="str">
        <f aca="false">IF(AND(C2034=C2035,AA2034=AA2035-1),AB2034,"")</f>
        <v/>
      </c>
      <c r="AE2035" s="0" t="str">
        <f aca="false">IF(AND(C2034=C2035,AA2034=AA2035-1),AC2034,"")</f>
        <v/>
      </c>
      <c r="AF2035" s="0" t="str">
        <f aca="false">IF(AA2035=1,"",IF(AND(AB2035=1,AD2035&lt;&gt;1),1,0))</f>
        <v/>
      </c>
      <c r="AG2035" s="0" t="str">
        <f aca="false">IF(AA2035=1,"",IF(AND(AC2035=1,AE2035&lt;&gt;1),1,0))</f>
        <v/>
      </c>
      <c r="AH2035" s="51" t="str">
        <f aca="false">IF(AND(E2035&gt;0,AA2035&lt;1,NOT(AND(C2036=C2035,AA2036=AA2035+1))),INDEX(DATAS,AA2035+1),"")</f>
        <v/>
      </c>
      <c r="AI2035" s="51" t="str">
        <f aca="false">IF(AND(AC2035=1,AA2035&lt;1),IF(AND(C2036=C2035,AA2036=AA2035+1),IF(AC2036=1,"",INDEX(DATAS,AA2035+1)),INDEX(DATAS,AA2035+1)),"")</f>
        <v/>
      </c>
    </row>
    <row r="2036" customFormat="false" ht="15" hidden="false" customHeight="false" outlineLevel="0" collapsed="false">
      <c r="A2036" s="51" t="n">
        <v>46309</v>
      </c>
      <c r="B2036" s="0" t="n">
        <v>8</v>
      </c>
      <c r="C2036" s="0" t="n">
        <v>6311</v>
      </c>
      <c r="E2036" s="0" t="n">
        <v>0</v>
      </c>
      <c r="F2036" s="46" t="s">
        <v>1170</v>
      </c>
      <c r="I2036" s="46" t="s">
        <v>152</v>
      </c>
      <c r="L2036" s="0" t="n">
        <v>192</v>
      </c>
      <c r="U2036" s="0" t="n">
        <v>602</v>
      </c>
      <c r="V2036" s="0" t="n">
        <v>2</v>
      </c>
      <c r="W2036" s="51" t="n">
        <v>46118</v>
      </c>
      <c r="X2036" s="46" t="n">
        <f aca="false">IF(I2036="Male",0,1)</f>
        <v>1</v>
      </c>
      <c r="Y2036" s="46" t="n">
        <f aca="false">IF(OR(I2036="DNB",I2036="Dry DNB"),1,0)</f>
        <v>0</v>
      </c>
      <c r="Z2036" s="46" t="n">
        <f aca="false">IF(ISNUMBER(W2036),A2036-W2036,"")</f>
        <v>191</v>
      </c>
      <c r="AA2036" s="46" t="n">
        <f aca="false">MATCH(A2036,DATAS,0)</f>
        <v>1</v>
      </c>
      <c r="AB2036" s="46" t="n">
        <f aca="false">IF(AND(E2036&gt;0,OR(AND(B2036&gt;=1,B2036&lt;=6),B2036=10)),1,0)</f>
        <v>0</v>
      </c>
      <c r="AC2036" s="46" t="n">
        <f aca="false">IF(AND(E2036&gt;0,B2036=10),1,0)</f>
        <v>0</v>
      </c>
      <c r="AD2036" s="0" t="str">
        <f aca="false">IF(AND(C2035=C2036,AA2035=AA2036-1),AB2035,"")</f>
        <v/>
      </c>
      <c r="AE2036" s="0" t="str">
        <f aca="false">IF(AND(C2035=C2036,AA2035=AA2036-1),AC2035,"")</f>
        <v/>
      </c>
      <c r="AF2036" s="0" t="str">
        <f aca="false">IF(AA2036=1,"",IF(AND(AB2036=1,AD2036&lt;&gt;1),1,0))</f>
        <v/>
      </c>
      <c r="AG2036" s="0" t="str">
        <f aca="false">IF(AA2036=1,"",IF(AND(AC2036=1,AE2036&lt;&gt;1),1,0))</f>
        <v/>
      </c>
      <c r="AH2036" s="51" t="str">
        <f aca="false">IF(AND(E2036&gt;0,AA2036&lt;1,NOT(AND(C2037=C2036,AA2037=AA2036+1))),INDEX(DATAS,AA2036+1),"")</f>
        <v/>
      </c>
      <c r="AI2036" s="51" t="str">
        <f aca="false">IF(AND(AC2036=1,AA2036&lt;1),IF(AND(C2037=C2036,AA2037=AA2036+1),IF(AC2037=1,"",INDEX(DATAS,AA2036+1)),INDEX(DATAS,AA2036+1)),"")</f>
        <v/>
      </c>
    </row>
    <row r="2037" customFormat="false" ht="15" hidden="false" customHeight="false" outlineLevel="0" collapsed="false">
      <c r="A2037" s="51" t="n">
        <v>46309</v>
      </c>
      <c r="B2037" s="0" t="n">
        <v>8</v>
      </c>
      <c r="C2037" s="0" t="n">
        <v>6312</v>
      </c>
      <c r="E2037" s="0" t="n">
        <v>0</v>
      </c>
      <c r="F2037" s="46" t="s">
        <v>1170</v>
      </c>
      <c r="I2037" s="46" t="s">
        <v>152</v>
      </c>
      <c r="L2037" s="0" t="n">
        <v>184</v>
      </c>
      <c r="U2037" s="0" t="n">
        <v>602</v>
      </c>
      <c r="V2037" s="0" t="n">
        <v>2</v>
      </c>
      <c r="W2037" s="51" t="n">
        <v>46126</v>
      </c>
      <c r="X2037" s="46" t="n">
        <f aca="false">IF(I2037="Male",0,1)</f>
        <v>1</v>
      </c>
      <c r="Y2037" s="46" t="n">
        <f aca="false">IF(OR(I2037="DNB",I2037="Dry DNB"),1,0)</f>
        <v>0</v>
      </c>
      <c r="Z2037" s="46" t="n">
        <f aca="false">IF(ISNUMBER(W2037),A2037-W2037,"")</f>
        <v>183</v>
      </c>
      <c r="AA2037" s="46" t="n">
        <f aca="false">MATCH(A2037,DATAS,0)</f>
        <v>1</v>
      </c>
      <c r="AB2037" s="46" t="n">
        <f aca="false">IF(AND(E2037&gt;0,OR(AND(B2037&gt;=1,B2037&lt;=6),B2037=10)),1,0)</f>
        <v>0</v>
      </c>
      <c r="AC2037" s="46" t="n">
        <f aca="false">IF(AND(E2037&gt;0,B2037=10),1,0)</f>
        <v>0</v>
      </c>
      <c r="AD2037" s="0" t="str">
        <f aca="false">IF(AND(C2036=C2037,AA2036=AA2037-1),AB2036,"")</f>
        <v/>
      </c>
      <c r="AE2037" s="0" t="str">
        <f aca="false">IF(AND(C2036=C2037,AA2036=AA2037-1),AC2036,"")</f>
        <v/>
      </c>
      <c r="AF2037" s="0" t="str">
        <f aca="false">IF(AA2037=1,"",IF(AND(AB2037=1,AD2037&lt;&gt;1),1,0))</f>
        <v/>
      </c>
      <c r="AG2037" s="0" t="str">
        <f aca="false">IF(AA2037=1,"",IF(AND(AC2037=1,AE2037&lt;&gt;1),1,0))</f>
        <v/>
      </c>
      <c r="AH2037" s="51" t="str">
        <f aca="false">IF(AND(E2037&gt;0,AA2037&lt;1,NOT(AND(C2038=C2037,AA2038=AA2037+1))),INDEX(DATAS,AA2037+1),"")</f>
        <v/>
      </c>
      <c r="AI2037" s="51" t="str">
        <f aca="false">IF(AND(AC2037=1,AA2037&lt;1),IF(AND(C2038=C2037,AA2038=AA2037+1),IF(AC2038=1,"",INDEX(DATAS,AA2037+1)),INDEX(DATAS,AA2037+1)),"")</f>
        <v/>
      </c>
    </row>
    <row r="2038" customFormat="false" ht="15" hidden="false" customHeight="false" outlineLevel="0" collapsed="false">
      <c r="A2038" s="51" t="n">
        <v>46309</v>
      </c>
      <c r="B2038" s="0" t="n">
        <v>8</v>
      </c>
      <c r="C2038" s="0" t="n">
        <v>6314</v>
      </c>
      <c r="E2038" s="0" t="n">
        <v>0</v>
      </c>
      <c r="F2038" s="46" t="s">
        <v>1170</v>
      </c>
      <c r="I2038" s="46" t="s">
        <v>152</v>
      </c>
      <c r="L2038" s="0" t="n">
        <v>163</v>
      </c>
      <c r="U2038" s="0" t="n">
        <v>602</v>
      </c>
      <c r="V2038" s="0" t="n">
        <v>3</v>
      </c>
      <c r="W2038" s="51" t="n">
        <v>46147</v>
      </c>
      <c r="X2038" s="46" t="n">
        <f aca="false">IF(I2038="Male",0,1)</f>
        <v>1</v>
      </c>
      <c r="Y2038" s="46" t="n">
        <f aca="false">IF(OR(I2038="DNB",I2038="Dry DNB"),1,0)</f>
        <v>0</v>
      </c>
      <c r="Z2038" s="46" t="n">
        <f aca="false">IF(ISNUMBER(W2038),A2038-W2038,"")</f>
        <v>162</v>
      </c>
      <c r="AA2038" s="46" t="n">
        <f aca="false">MATCH(A2038,DATAS,0)</f>
        <v>1</v>
      </c>
      <c r="AB2038" s="46" t="n">
        <f aca="false">IF(AND(E2038&gt;0,OR(AND(B2038&gt;=1,B2038&lt;=6),B2038=10)),1,0)</f>
        <v>0</v>
      </c>
      <c r="AC2038" s="46" t="n">
        <f aca="false">IF(AND(E2038&gt;0,B2038=10),1,0)</f>
        <v>0</v>
      </c>
      <c r="AD2038" s="0" t="str">
        <f aca="false">IF(AND(C2037=C2038,AA2037=AA2038-1),AB2037,"")</f>
        <v/>
      </c>
      <c r="AE2038" s="0" t="str">
        <f aca="false">IF(AND(C2037=C2038,AA2037=AA2038-1),AC2037,"")</f>
        <v/>
      </c>
      <c r="AF2038" s="0" t="str">
        <f aca="false">IF(AA2038=1,"",IF(AND(AB2038=1,AD2038&lt;&gt;1),1,0))</f>
        <v/>
      </c>
      <c r="AG2038" s="0" t="str">
        <f aca="false">IF(AA2038=1,"",IF(AND(AC2038=1,AE2038&lt;&gt;1),1,0))</f>
        <v/>
      </c>
      <c r="AH2038" s="51" t="str">
        <f aca="false">IF(AND(E2038&gt;0,AA2038&lt;1,NOT(AND(C2039=C2038,AA2039=AA2038+1))),INDEX(DATAS,AA2038+1),"")</f>
        <v/>
      </c>
      <c r="AI2038" s="51" t="str">
        <f aca="false">IF(AND(AC2038=1,AA2038&lt;1),IF(AND(C2039=C2038,AA2039=AA2038+1),IF(AC2039=1,"",INDEX(DATAS,AA2038+1)),INDEX(DATAS,AA2038+1)),"")</f>
        <v/>
      </c>
    </row>
    <row r="2039" customFormat="false" ht="15" hidden="false" customHeight="false" outlineLevel="0" collapsed="false">
      <c r="A2039" s="51" t="n">
        <v>46309</v>
      </c>
      <c r="B2039" s="0" t="n">
        <v>8</v>
      </c>
      <c r="C2039" s="0" t="n">
        <v>6315</v>
      </c>
      <c r="E2039" s="0" t="n">
        <v>0</v>
      </c>
      <c r="F2039" s="46" t="s">
        <v>1170</v>
      </c>
      <c r="I2039" s="46" t="s">
        <v>152</v>
      </c>
      <c r="L2039" s="0" t="n">
        <v>206</v>
      </c>
      <c r="U2039" s="0" t="n">
        <v>602</v>
      </c>
      <c r="V2039" s="0" t="n">
        <v>1</v>
      </c>
      <c r="W2039" s="51" t="n">
        <v>46104</v>
      </c>
      <c r="X2039" s="46" t="n">
        <f aca="false">IF(I2039="Male",0,1)</f>
        <v>1</v>
      </c>
      <c r="Y2039" s="46" t="n">
        <f aca="false">IF(OR(I2039="DNB",I2039="Dry DNB"),1,0)</f>
        <v>0</v>
      </c>
      <c r="Z2039" s="46" t="n">
        <f aca="false">IF(ISNUMBER(W2039),A2039-W2039,"")</f>
        <v>205</v>
      </c>
      <c r="AA2039" s="46" t="n">
        <f aca="false">MATCH(A2039,DATAS,0)</f>
        <v>1</v>
      </c>
      <c r="AB2039" s="46" t="n">
        <f aca="false">IF(AND(E2039&gt;0,OR(AND(B2039&gt;=1,B2039&lt;=6),B2039=10)),1,0)</f>
        <v>0</v>
      </c>
      <c r="AC2039" s="46" t="n">
        <f aca="false">IF(AND(E2039&gt;0,B2039=10),1,0)</f>
        <v>0</v>
      </c>
      <c r="AD2039" s="0" t="str">
        <f aca="false">IF(AND(C2038=C2039,AA2038=AA2039-1),AB2038,"")</f>
        <v/>
      </c>
      <c r="AE2039" s="0" t="str">
        <f aca="false">IF(AND(C2038=C2039,AA2038=AA2039-1),AC2038,"")</f>
        <v/>
      </c>
      <c r="AF2039" s="0" t="str">
        <f aca="false">IF(AA2039=1,"",IF(AND(AB2039=1,AD2039&lt;&gt;1),1,0))</f>
        <v/>
      </c>
      <c r="AG2039" s="0" t="str">
        <f aca="false">IF(AA2039=1,"",IF(AND(AC2039=1,AE2039&lt;&gt;1),1,0))</f>
        <v/>
      </c>
      <c r="AH2039" s="51" t="str">
        <f aca="false">IF(AND(E2039&gt;0,AA2039&lt;1,NOT(AND(C2040=C2039,AA2040=AA2039+1))),INDEX(DATAS,AA2039+1),"")</f>
        <v/>
      </c>
      <c r="AI2039" s="51" t="str">
        <f aca="false">IF(AND(AC2039=1,AA2039&lt;1),IF(AND(C2040=C2039,AA2040=AA2039+1),IF(AC2040=1,"",INDEX(DATAS,AA2039+1)),INDEX(DATAS,AA2039+1)),"")</f>
        <v/>
      </c>
    </row>
    <row r="2040" customFormat="false" ht="15" hidden="false" customHeight="false" outlineLevel="0" collapsed="false">
      <c r="A2040" s="51" t="n">
        <v>46309</v>
      </c>
      <c r="B2040" s="0" t="n">
        <v>8</v>
      </c>
      <c r="C2040" s="0" t="n">
        <v>6316</v>
      </c>
      <c r="E2040" s="0" t="n">
        <v>0</v>
      </c>
      <c r="F2040" s="46" t="s">
        <v>1170</v>
      </c>
      <c r="I2040" s="46" t="s">
        <v>152</v>
      </c>
      <c r="L2040" s="0" t="n">
        <v>207</v>
      </c>
      <c r="U2040" s="0" t="n">
        <v>602</v>
      </c>
      <c r="V2040" s="0" t="n">
        <v>1</v>
      </c>
      <c r="W2040" s="51" t="n">
        <v>46103</v>
      </c>
      <c r="X2040" s="46" t="n">
        <f aca="false">IF(I2040="Male",0,1)</f>
        <v>1</v>
      </c>
      <c r="Y2040" s="46" t="n">
        <f aca="false">IF(OR(I2040="DNB",I2040="Dry DNB"),1,0)</f>
        <v>0</v>
      </c>
      <c r="Z2040" s="46" t="n">
        <f aca="false">IF(ISNUMBER(W2040),A2040-W2040,"")</f>
        <v>206</v>
      </c>
      <c r="AA2040" s="46" t="n">
        <f aca="false">MATCH(A2040,DATAS,0)</f>
        <v>1</v>
      </c>
      <c r="AB2040" s="46" t="n">
        <f aca="false">IF(AND(E2040&gt;0,OR(AND(B2040&gt;=1,B2040&lt;=6),B2040=10)),1,0)</f>
        <v>0</v>
      </c>
      <c r="AC2040" s="46" t="n">
        <f aca="false">IF(AND(E2040&gt;0,B2040=10),1,0)</f>
        <v>0</v>
      </c>
      <c r="AD2040" s="0" t="str">
        <f aca="false">IF(AND(C2039=C2040,AA2039=AA2040-1),AB2039,"")</f>
        <v/>
      </c>
      <c r="AE2040" s="0" t="str">
        <f aca="false">IF(AND(C2039=C2040,AA2039=AA2040-1),AC2039,"")</f>
        <v/>
      </c>
      <c r="AF2040" s="0" t="str">
        <f aca="false">IF(AA2040=1,"",IF(AND(AB2040=1,AD2040&lt;&gt;1),1,0))</f>
        <v/>
      </c>
      <c r="AG2040" s="0" t="str">
        <f aca="false">IF(AA2040=1,"",IF(AND(AC2040=1,AE2040&lt;&gt;1),1,0))</f>
        <v/>
      </c>
      <c r="AH2040" s="51" t="str">
        <f aca="false">IF(AND(E2040&gt;0,AA2040&lt;1,NOT(AND(C2041=C2040,AA2041=AA2040+1))),INDEX(DATAS,AA2040+1),"")</f>
        <v/>
      </c>
      <c r="AI2040" s="51" t="str">
        <f aca="false">IF(AND(AC2040=1,AA2040&lt;1),IF(AND(C2041=C2040,AA2041=AA2040+1),IF(AC2041=1,"",INDEX(DATAS,AA2040+1)),INDEX(DATAS,AA2040+1)),"")</f>
        <v/>
      </c>
    </row>
    <row r="2041" customFormat="false" ht="15" hidden="false" customHeight="false" outlineLevel="0" collapsed="false">
      <c r="A2041" s="51" t="n">
        <v>46309</v>
      </c>
      <c r="B2041" s="0" t="n">
        <v>8</v>
      </c>
      <c r="C2041" s="0" t="n">
        <v>6317</v>
      </c>
      <c r="E2041" s="0" t="n">
        <v>0</v>
      </c>
      <c r="F2041" s="46" t="s">
        <v>1170</v>
      </c>
      <c r="I2041" s="46" t="s">
        <v>152</v>
      </c>
      <c r="L2041" s="0" t="n">
        <v>155</v>
      </c>
      <c r="U2041" s="0" t="n">
        <v>602</v>
      </c>
      <c r="V2041" s="0" t="n">
        <v>3</v>
      </c>
      <c r="W2041" s="51" t="n">
        <v>46155</v>
      </c>
      <c r="X2041" s="46" t="n">
        <f aca="false">IF(I2041="Male",0,1)</f>
        <v>1</v>
      </c>
      <c r="Y2041" s="46" t="n">
        <f aca="false">IF(OR(I2041="DNB",I2041="Dry DNB"),1,0)</f>
        <v>0</v>
      </c>
      <c r="Z2041" s="46" t="n">
        <f aca="false">IF(ISNUMBER(W2041),A2041-W2041,"")</f>
        <v>154</v>
      </c>
      <c r="AA2041" s="46" t="n">
        <f aca="false">MATCH(A2041,DATAS,0)</f>
        <v>1</v>
      </c>
      <c r="AB2041" s="46" t="n">
        <f aca="false">IF(AND(E2041&gt;0,OR(AND(B2041&gt;=1,B2041&lt;=6),B2041=10)),1,0)</f>
        <v>0</v>
      </c>
      <c r="AC2041" s="46" t="n">
        <f aca="false">IF(AND(E2041&gt;0,B2041=10),1,0)</f>
        <v>0</v>
      </c>
      <c r="AD2041" s="0" t="str">
        <f aca="false">IF(AND(C2040=C2041,AA2040=AA2041-1),AB2040,"")</f>
        <v/>
      </c>
      <c r="AE2041" s="0" t="str">
        <f aca="false">IF(AND(C2040=C2041,AA2040=AA2041-1),AC2040,"")</f>
        <v/>
      </c>
      <c r="AF2041" s="0" t="str">
        <f aca="false">IF(AA2041=1,"",IF(AND(AB2041=1,AD2041&lt;&gt;1),1,0))</f>
        <v/>
      </c>
      <c r="AG2041" s="0" t="str">
        <f aca="false">IF(AA2041=1,"",IF(AND(AC2041=1,AE2041&lt;&gt;1),1,0))</f>
        <v/>
      </c>
      <c r="AH2041" s="51" t="str">
        <f aca="false">IF(AND(E2041&gt;0,AA2041&lt;1,NOT(AND(C2042=C2041,AA2042=AA2041+1))),INDEX(DATAS,AA2041+1),"")</f>
        <v/>
      </c>
      <c r="AI2041" s="51" t="str">
        <f aca="false">IF(AND(AC2041=1,AA2041&lt;1),IF(AND(C2042=C2041,AA2042=AA2041+1),IF(AC2042=1,"",INDEX(DATAS,AA2041+1)),INDEX(DATAS,AA2041+1)),"")</f>
        <v/>
      </c>
    </row>
    <row r="2042" customFormat="false" ht="15" hidden="false" customHeight="false" outlineLevel="0" collapsed="false">
      <c r="A2042" s="51" t="n">
        <v>46309</v>
      </c>
      <c r="B2042" s="0" t="n">
        <v>8</v>
      </c>
      <c r="C2042" s="0" t="n">
        <v>6318</v>
      </c>
      <c r="E2042" s="0" t="n">
        <v>0</v>
      </c>
      <c r="F2042" s="46" t="s">
        <v>1170</v>
      </c>
      <c r="I2042" s="46" t="s">
        <v>152</v>
      </c>
      <c r="L2042" s="0" t="n">
        <v>126</v>
      </c>
      <c r="U2042" s="0" t="n">
        <v>602</v>
      </c>
      <c r="V2042" s="0" t="n">
        <v>4</v>
      </c>
      <c r="W2042" s="51" t="n">
        <v>46184</v>
      </c>
      <c r="X2042" s="46" t="n">
        <f aca="false">IF(I2042="Male",0,1)</f>
        <v>1</v>
      </c>
      <c r="Y2042" s="46" t="n">
        <f aca="false">IF(OR(I2042="DNB",I2042="Dry DNB"),1,0)</f>
        <v>0</v>
      </c>
      <c r="Z2042" s="46" t="n">
        <f aca="false">IF(ISNUMBER(W2042),A2042-W2042,"")</f>
        <v>125</v>
      </c>
      <c r="AA2042" s="46" t="n">
        <f aca="false">MATCH(A2042,DATAS,0)</f>
        <v>1</v>
      </c>
      <c r="AB2042" s="46" t="n">
        <f aca="false">IF(AND(E2042&gt;0,OR(AND(B2042&gt;=1,B2042&lt;=6),B2042=10)),1,0)</f>
        <v>0</v>
      </c>
      <c r="AC2042" s="46" t="n">
        <f aca="false">IF(AND(E2042&gt;0,B2042=10),1,0)</f>
        <v>0</v>
      </c>
      <c r="AD2042" s="0" t="str">
        <f aca="false">IF(AND(C2041=C2042,AA2041=AA2042-1),AB2041,"")</f>
        <v/>
      </c>
      <c r="AE2042" s="0" t="str">
        <f aca="false">IF(AND(C2041=C2042,AA2041=AA2042-1),AC2041,"")</f>
        <v/>
      </c>
      <c r="AF2042" s="0" t="str">
        <f aca="false">IF(AA2042=1,"",IF(AND(AB2042=1,AD2042&lt;&gt;1),1,0))</f>
        <v/>
      </c>
      <c r="AG2042" s="0" t="str">
        <f aca="false">IF(AA2042=1,"",IF(AND(AC2042=1,AE2042&lt;&gt;1),1,0))</f>
        <v/>
      </c>
      <c r="AH2042" s="51" t="str">
        <f aca="false">IF(AND(E2042&gt;0,AA2042&lt;1,NOT(AND(C2043=C2042,AA2043=AA2042+1))),INDEX(DATAS,AA2042+1),"")</f>
        <v/>
      </c>
      <c r="AI2042" s="51" t="str">
        <f aca="false">IF(AND(AC2042=1,AA2042&lt;1),IF(AND(C2043=C2042,AA2043=AA2042+1),IF(AC2043=1,"",INDEX(DATAS,AA2042+1)),INDEX(DATAS,AA2042+1)),"")</f>
        <v/>
      </c>
    </row>
    <row r="2043" customFormat="false" ht="15" hidden="false" customHeight="false" outlineLevel="0" collapsed="false">
      <c r="A2043" s="51" t="n">
        <v>46309</v>
      </c>
      <c r="B2043" s="0" t="n">
        <v>8</v>
      </c>
      <c r="C2043" s="0" t="n">
        <v>6319</v>
      </c>
      <c r="E2043" s="0" t="n">
        <v>0</v>
      </c>
      <c r="F2043" s="46" t="s">
        <v>1170</v>
      </c>
      <c r="I2043" s="46" t="s">
        <v>152</v>
      </c>
      <c r="L2043" s="0" t="n">
        <v>169</v>
      </c>
      <c r="U2043" s="0" t="n">
        <v>602</v>
      </c>
      <c r="V2043" s="0" t="n">
        <v>2</v>
      </c>
      <c r="W2043" s="51" t="n">
        <v>46141</v>
      </c>
      <c r="X2043" s="46" t="n">
        <f aca="false">IF(I2043="Male",0,1)</f>
        <v>1</v>
      </c>
      <c r="Y2043" s="46" t="n">
        <f aca="false">IF(OR(I2043="DNB",I2043="Dry DNB"),1,0)</f>
        <v>0</v>
      </c>
      <c r="Z2043" s="46" t="n">
        <f aca="false">IF(ISNUMBER(W2043),A2043-W2043,"")</f>
        <v>168</v>
      </c>
      <c r="AA2043" s="46" t="n">
        <f aca="false">MATCH(A2043,DATAS,0)</f>
        <v>1</v>
      </c>
      <c r="AB2043" s="46" t="n">
        <f aca="false">IF(AND(E2043&gt;0,OR(AND(B2043&gt;=1,B2043&lt;=6),B2043=10)),1,0)</f>
        <v>0</v>
      </c>
      <c r="AC2043" s="46" t="n">
        <f aca="false">IF(AND(E2043&gt;0,B2043=10),1,0)</f>
        <v>0</v>
      </c>
      <c r="AD2043" s="0" t="str">
        <f aca="false">IF(AND(C2042=C2043,AA2042=AA2043-1),AB2042,"")</f>
        <v/>
      </c>
      <c r="AE2043" s="0" t="str">
        <f aca="false">IF(AND(C2042=C2043,AA2042=AA2043-1),AC2042,"")</f>
        <v/>
      </c>
      <c r="AF2043" s="0" t="str">
        <f aca="false">IF(AA2043=1,"",IF(AND(AB2043=1,AD2043&lt;&gt;1),1,0))</f>
        <v/>
      </c>
      <c r="AG2043" s="0" t="str">
        <f aca="false">IF(AA2043=1,"",IF(AND(AC2043=1,AE2043&lt;&gt;1),1,0))</f>
        <v/>
      </c>
      <c r="AH2043" s="51" t="str">
        <f aca="false">IF(AND(E2043&gt;0,AA2043&lt;1,NOT(AND(C2044=C2043,AA2044=AA2043+1))),INDEX(DATAS,AA2043+1),"")</f>
        <v/>
      </c>
      <c r="AI2043" s="51" t="str">
        <f aca="false">IF(AND(AC2043=1,AA2043&lt;1),IF(AND(C2044=C2043,AA2044=AA2043+1),IF(AC2044=1,"",INDEX(DATAS,AA2043+1)),INDEX(DATAS,AA2043+1)),"")</f>
        <v/>
      </c>
    </row>
    <row r="2044" customFormat="false" ht="15" hidden="false" customHeight="false" outlineLevel="0" collapsed="false">
      <c r="A2044" s="51" t="n">
        <v>46309</v>
      </c>
      <c r="B2044" s="0" t="n">
        <v>8</v>
      </c>
      <c r="C2044" s="0" t="n">
        <v>6320</v>
      </c>
      <c r="E2044" s="0" t="n">
        <v>0</v>
      </c>
      <c r="F2044" s="46" t="s">
        <v>1170</v>
      </c>
      <c r="I2044" s="46" t="s">
        <v>152</v>
      </c>
      <c r="L2044" s="0" t="n">
        <v>192</v>
      </c>
      <c r="U2044" s="0" t="n">
        <v>602</v>
      </c>
      <c r="V2044" s="0" t="n">
        <v>1</v>
      </c>
      <c r="W2044" s="51" t="n">
        <v>46118</v>
      </c>
      <c r="X2044" s="46" t="n">
        <f aca="false">IF(I2044="Male",0,1)</f>
        <v>1</v>
      </c>
      <c r="Y2044" s="46" t="n">
        <f aca="false">IF(OR(I2044="DNB",I2044="Dry DNB"),1,0)</f>
        <v>0</v>
      </c>
      <c r="Z2044" s="46" t="n">
        <f aca="false">IF(ISNUMBER(W2044),A2044-W2044,"")</f>
        <v>191</v>
      </c>
      <c r="AA2044" s="46" t="n">
        <f aca="false">MATCH(A2044,DATAS,0)</f>
        <v>1</v>
      </c>
      <c r="AB2044" s="46" t="n">
        <f aca="false">IF(AND(E2044&gt;0,OR(AND(B2044&gt;=1,B2044&lt;=6),B2044=10)),1,0)</f>
        <v>0</v>
      </c>
      <c r="AC2044" s="46" t="n">
        <f aca="false">IF(AND(E2044&gt;0,B2044=10),1,0)</f>
        <v>0</v>
      </c>
      <c r="AD2044" s="0" t="str">
        <f aca="false">IF(AND(C2043=C2044,AA2043=AA2044-1),AB2043,"")</f>
        <v/>
      </c>
      <c r="AE2044" s="0" t="str">
        <f aca="false">IF(AND(C2043=C2044,AA2043=AA2044-1),AC2043,"")</f>
        <v/>
      </c>
      <c r="AF2044" s="0" t="str">
        <f aca="false">IF(AA2044=1,"",IF(AND(AB2044=1,AD2044&lt;&gt;1),1,0))</f>
        <v/>
      </c>
      <c r="AG2044" s="0" t="str">
        <f aca="false">IF(AA2044=1,"",IF(AND(AC2044=1,AE2044&lt;&gt;1),1,0))</f>
        <v/>
      </c>
      <c r="AH2044" s="51" t="str">
        <f aca="false">IF(AND(E2044&gt;0,AA2044&lt;1,NOT(AND(C2045=C2044,AA2045=AA2044+1))),INDEX(DATAS,AA2044+1),"")</f>
        <v/>
      </c>
      <c r="AI2044" s="51" t="str">
        <f aca="false">IF(AND(AC2044=1,AA2044&lt;1),IF(AND(C2045=C2044,AA2045=AA2044+1),IF(AC2045=1,"",INDEX(DATAS,AA2044+1)),INDEX(DATAS,AA2044+1)),"")</f>
        <v/>
      </c>
    </row>
    <row r="2045" customFormat="false" ht="15" hidden="false" customHeight="false" outlineLevel="0" collapsed="false">
      <c r="A2045" s="51" t="n">
        <v>46309</v>
      </c>
      <c r="B2045" s="0" t="n">
        <v>8</v>
      </c>
      <c r="C2045" s="0" t="n">
        <v>6322</v>
      </c>
      <c r="E2045" s="0" t="n">
        <v>0</v>
      </c>
      <c r="F2045" s="46" t="s">
        <v>1170</v>
      </c>
      <c r="I2045" s="46" t="s">
        <v>152</v>
      </c>
      <c r="L2045" s="0" t="n">
        <v>210</v>
      </c>
      <c r="U2045" s="0" t="n">
        <v>602</v>
      </c>
      <c r="V2045" s="0" t="n">
        <v>1</v>
      </c>
      <c r="W2045" s="51" t="n">
        <v>46100</v>
      </c>
      <c r="X2045" s="46" t="n">
        <f aca="false">IF(I2045="Male",0,1)</f>
        <v>1</v>
      </c>
      <c r="Y2045" s="46" t="n">
        <f aca="false">IF(OR(I2045="DNB",I2045="Dry DNB"),1,0)</f>
        <v>0</v>
      </c>
      <c r="Z2045" s="46" t="n">
        <f aca="false">IF(ISNUMBER(W2045),A2045-W2045,"")</f>
        <v>209</v>
      </c>
      <c r="AA2045" s="46" t="n">
        <f aca="false">MATCH(A2045,DATAS,0)</f>
        <v>1</v>
      </c>
      <c r="AB2045" s="46" t="n">
        <f aca="false">IF(AND(E2045&gt;0,OR(AND(B2045&gt;=1,B2045&lt;=6),B2045=10)),1,0)</f>
        <v>0</v>
      </c>
      <c r="AC2045" s="46" t="n">
        <f aca="false">IF(AND(E2045&gt;0,B2045=10),1,0)</f>
        <v>0</v>
      </c>
      <c r="AD2045" s="0" t="str">
        <f aca="false">IF(AND(C2044=C2045,AA2044=AA2045-1),AB2044,"")</f>
        <v/>
      </c>
      <c r="AE2045" s="0" t="str">
        <f aca="false">IF(AND(C2044=C2045,AA2044=AA2045-1),AC2044,"")</f>
        <v/>
      </c>
      <c r="AF2045" s="0" t="str">
        <f aca="false">IF(AA2045=1,"",IF(AND(AB2045=1,AD2045&lt;&gt;1),1,0))</f>
        <v/>
      </c>
      <c r="AG2045" s="0" t="str">
        <f aca="false">IF(AA2045=1,"",IF(AND(AC2045=1,AE2045&lt;&gt;1),1,0))</f>
        <v/>
      </c>
      <c r="AH2045" s="51" t="str">
        <f aca="false">IF(AND(E2045&gt;0,AA2045&lt;1,NOT(AND(C2046=C2045,AA2046=AA2045+1))),INDEX(DATAS,AA2045+1),"")</f>
        <v/>
      </c>
      <c r="AI2045" s="51" t="str">
        <f aca="false">IF(AND(AC2045=1,AA2045&lt;1),IF(AND(C2046=C2045,AA2046=AA2045+1),IF(AC2046=1,"",INDEX(DATAS,AA2045+1)),INDEX(DATAS,AA2045+1)),"")</f>
        <v/>
      </c>
    </row>
    <row r="2046" customFormat="false" ht="15" hidden="false" customHeight="false" outlineLevel="0" collapsed="false">
      <c r="A2046" s="51" t="n">
        <v>46309</v>
      </c>
      <c r="B2046" s="0" t="n">
        <v>8</v>
      </c>
      <c r="C2046" s="0" t="n">
        <v>6324</v>
      </c>
      <c r="E2046" s="0" t="n">
        <v>0</v>
      </c>
      <c r="F2046" s="46" t="s">
        <v>1171</v>
      </c>
      <c r="I2046" s="46" t="s">
        <v>152</v>
      </c>
      <c r="L2046" s="0" t="n">
        <v>204</v>
      </c>
      <c r="U2046" s="0" t="n">
        <v>600</v>
      </c>
      <c r="V2046" s="0" t="n">
        <v>1</v>
      </c>
      <c r="W2046" s="51" t="n">
        <v>46106</v>
      </c>
      <c r="X2046" s="46" t="n">
        <f aca="false">IF(I2046="Male",0,1)</f>
        <v>1</v>
      </c>
      <c r="Y2046" s="46" t="n">
        <f aca="false">IF(OR(I2046="DNB",I2046="Dry DNB"),1,0)</f>
        <v>0</v>
      </c>
      <c r="Z2046" s="46" t="n">
        <f aca="false">IF(ISNUMBER(W2046),A2046-W2046,"")</f>
        <v>203</v>
      </c>
      <c r="AA2046" s="46" t="n">
        <f aca="false">MATCH(A2046,DATAS,0)</f>
        <v>1</v>
      </c>
      <c r="AB2046" s="46" t="n">
        <f aca="false">IF(AND(E2046&gt;0,OR(AND(B2046&gt;=1,B2046&lt;=6),B2046=10)),1,0)</f>
        <v>0</v>
      </c>
      <c r="AC2046" s="46" t="n">
        <f aca="false">IF(AND(E2046&gt;0,B2046=10),1,0)</f>
        <v>0</v>
      </c>
      <c r="AD2046" s="0" t="str">
        <f aca="false">IF(AND(C2045=C2046,AA2045=AA2046-1),AB2045,"")</f>
        <v/>
      </c>
      <c r="AE2046" s="0" t="str">
        <f aca="false">IF(AND(C2045=C2046,AA2045=AA2046-1),AC2045,"")</f>
        <v/>
      </c>
      <c r="AF2046" s="0" t="str">
        <f aca="false">IF(AA2046=1,"",IF(AND(AB2046=1,AD2046&lt;&gt;1),1,0))</f>
        <v/>
      </c>
      <c r="AG2046" s="0" t="str">
        <f aca="false">IF(AA2046=1,"",IF(AND(AC2046=1,AE2046&lt;&gt;1),1,0))</f>
        <v/>
      </c>
      <c r="AH2046" s="51" t="str">
        <f aca="false">IF(AND(E2046&gt;0,AA2046&lt;1,NOT(AND(C2047=C2046,AA2047=AA2046+1))),INDEX(DATAS,AA2046+1),"")</f>
        <v/>
      </c>
      <c r="AI2046" s="51" t="str">
        <f aca="false">IF(AND(AC2046=1,AA2046&lt;1),IF(AND(C2047=C2046,AA2047=AA2046+1),IF(AC2047=1,"",INDEX(DATAS,AA2046+1)),INDEX(DATAS,AA2046+1)),"")</f>
        <v/>
      </c>
    </row>
    <row r="2047" customFormat="false" ht="15" hidden="false" customHeight="false" outlineLevel="0" collapsed="false">
      <c r="A2047" s="51" t="n">
        <v>46309</v>
      </c>
      <c r="B2047" s="0" t="n">
        <v>8</v>
      </c>
      <c r="C2047" s="0" t="n">
        <v>6325</v>
      </c>
      <c r="E2047" s="0" t="n">
        <v>0</v>
      </c>
      <c r="F2047" s="46" t="s">
        <v>1171</v>
      </c>
      <c r="I2047" s="46" t="s">
        <v>152</v>
      </c>
      <c r="L2047" s="0" t="n">
        <v>161</v>
      </c>
      <c r="U2047" s="0" t="n">
        <v>600</v>
      </c>
      <c r="V2047" s="0" t="n">
        <v>1</v>
      </c>
      <c r="W2047" s="51" t="n">
        <v>46149</v>
      </c>
      <c r="X2047" s="46" t="n">
        <f aca="false">IF(I2047="Male",0,1)</f>
        <v>1</v>
      </c>
      <c r="Y2047" s="46" t="n">
        <f aca="false">IF(OR(I2047="DNB",I2047="Dry DNB"),1,0)</f>
        <v>0</v>
      </c>
      <c r="Z2047" s="46" t="n">
        <f aca="false">IF(ISNUMBER(W2047),A2047-W2047,"")</f>
        <v>160</v>
      </c>
      <c r="AA2047" s="46" t="n">
        <f aca="false">MATCH(A2047,DATAS,0)</f>
        <v>1</v>
      </c>
      <c r="AB2047" s="46" t="n">
        <f aca="false">IF(AND(E2047&gt;0,OR(AND(B2047&gt;=1,B2047&lt;=6),B2047=10)),1,0)</f>
        <v>0</v>
      </c>
      <c r="AC2047" s="46" t="n">
        <f aca="false">IF(AND(E2047&gt;0,B2047=10),1,0)</f>
        <v>0</v>
      </c>
      <c r="AD2047" s="0" t="str">
        <f aca="false">IF(AND(C2046=C2047,AA2046=AA2047-1),AB2046,"")</f>
        <v/>
      </c>
      <c r="AE2047" s="0" t="str">
        <f aca="false">IF(AND(C2046=C2047,AA2046=AA2047-1),AC2046,"")</f>
        <v/>
      </c>
      <c r="AF2047" s="0" t="str">
        <f aca="false">IF(AA2047=1,"",IF(AND(AB2047=1,AD2047&lt;&gt;1),1,0))</f>
        <v/>
      </c>
      <c r="AG2047" s="0" t="str">
        <f aca="false">IF(AA2047=1,"",IF(AND(AC2047=1,AE2047&lt;&gt;1),1,0))</f>
        <v/>
      </c>
      <c r="AH2047" s="51" t="str">
        <f aca="false">IF(AND(E2047&gt;0,AA2047&lt;1,NOT(AND(C2048=C2047,AA2048=AA2047+1))),INDEX(DATAS,AA2047+1),"")</f>
        <v/>
      </c>
      <c r="AI2047" s="51" t="str">
        <f aca="false">IF(AND(AC2047=1,AA2047&lt;1),IF(AND(C2048=C2047,AA2048=AA2047+1),IF(AC2048=1,"",INDEX(DATAS,AA2047+1)),INDEX(DATAS,AA2047+1)),"")</f>
        <v/>
      </c>
    </row>
    <row r="2048" customFormat="false" ht="15" hidden="false" customHeight="false" outlineLevel="0" collapsed="false">
      <c r="A2048" s="51" t="n">
        <v>46309</v>
      </c>
      <c r="B2048" s="0" t="n">
        <v>8</v>
      </c>
      <c r="C2048" s="0" t="n">
        <v>6326</v>
      </c>
      <c r="E2048" s="0" t="n">
        <v>0</v>
      </c>
      <c r="F2048" s="46" t="s">
        <v>1171</v>
      </c>
      <c r="I2048" s="46" t="s">
        <v>152</v>
      </c>
      <c r="L2048" s="0" t="n">
        <v>201</v>
      </c>
      <c r="U2048" s="0" t="n">
        <v>600</v>
      </c>
      <c r="V2048" s="0" t="n">
        <v>1</v>
      </c>
      <c r="W2048" s="51" t="n">
        <v>46109</v>
      </c>
      <c r="X2048" s="46" t="n">
        <f aca="false">IF(I2048="Male",0,1)</f>
        <v>1</v>
      </c>
      <c r="Y2048" s="46" t="n">
        <f aca="false">IF(OR(I2048="DNB",I2048="Dry DNB"),1,0)</f>
        <v>0</v>
      </c>
      <c r="Z2048" s="46" t="n">
        <f aca="false">IF(ISNUMBER(W2048),A2048-W2048,"")</f>
        <v>200</v>
      </c>
      <c r="AA2048" s="46" t="n">
        <f aca="false">MATCH(A2048,DATAS,0)</f>
        <v>1</v>
      </c>
      <c r="AB2048" s="46" t="n">
        <f aca="false">IF(AND(E2048&gt;0,OR(AND(B2048&gt;=1,B2048&lt;=6),B2048=10)),1,0)</f>
        <v>0</v>
      </c>
      <c r="AC2048" s="46" t="n">
        <f aca="false">IF(AND(E2048&gt;0,B2048=10),1,0)</f>
        <v>0</v>
      </c>
      <c r="AD2048" s="0" t="str">
        <f aca="false">IF(AND(C2047=C2048,AA2047=AA2048-1),AB2047,"")</f>
        <v/>
      </c>
      <c r="AE2048" s="0" t="str">
        <f aca="false">IF(AND(C2047=C2048,AA2047=AA2048-1),AC2047,"")</f>
        <v/>
      </c>
      <c r="AF2048" s="0" t="str">
        <f aca="false">IF(AA2048=1,"",IF(AND(AB2048=1,AD2048&lt;&gt;1),1,0))</f>
        <v/>
      </c>
      <c r="AG2048" s="0" t="str">
        <f aca="false">IF(AA2048=1,"",IF(AND(AC2048=1,AE2048&lt;&gt;1),1,0))</f>
        <v/>
      </c>
      <c r="AH2048" s="51" t="str">
        <f aca="false">IF(AND(E2048&gt;0,AA2048&lt;1,NOT(AND(C2049=C2048,AA2049=AA2048+1))),INDEX(DATAS,AA2048+1),"")</f>
        <v/>
      </c>
      <c r="AI2048" s="51" t="str">
        <f aca="false">IF(AND(AC2048=1,AA2048&lt;1),IF(AND(C2049=C2048,AA2049=AA2048+1),IF(AC2049=1,"",INDEX(DATAS,AA2048+1)),INDEX(DATAS,AA2048+1)),"")</f>
        <v/>
      </c>
    </row>
    <row r="2049" customFormat="false" ht="15" hidden="false" customHeight="false" outlineLevel="0" collapsed="false">
      <c r="A2049" s="51" t="n">
        <v>46309</v>
      </c>
      <c r="B2049" s="0" t="n">
        <v>8</v>
      </c>
      <c r="C2049" s="0" t="n">
        <v>6327</v>
      </c>
      <c r="E2049" s="0" t="n">
        <v>0</v>
      </c>
      <c r="F2049" s="46" t="s">
        <v>1172</v>
      </c>
      <c r="I2049" s="46" t="s">
        <v>152</v>
      </c>
      <c r="L2049" s="0" t="n">
        <v>119</v>
      </c>
      <c r="U2049" s="0" t="n">
        <v>597</v>
      </c>
      <c r="V2049" s="0" t="n">
        <v>2</v>
      </c>
      <c r="W2049" s="51" t="n">
        <v>46191</v>
      </c>
      <c r="X2049" s="46" t="n">
        <f aca="false">IF(I2049="Male",0,1)</f>
        <v>1</v>
      </c>
      <c r="Y2049" s="46" t="n">
        <f aca="false">IF(OR(I2049="DNB",I2049="Dry DNB"),1,0)</f>
        <v>0</v>
      </c>
      <c r="Z2049" s="46" t="n">
        <f aca="false">IF(ISNUMBER(W2049),A2049-W2049,"")</f>
        <v>118</v>
      </c>
      <c r="AA2049" s="46" t="n">
        <f aca="false">MATCH(A2049,DATAS,0)</f>
        <v>1</v>
      </c>
      <c r="AB2049" s="46" t="n">
        <f aca="false">IF(AND(E2049&gt;0,OR(AND(B2049&gt;=1,B2049&lt;=6),B2049=10)),1,0)</f>
        <v>0</v>
      </c>
      <c r="AC2049" s="46" t="n">
        <f aca="false">IF(AND(E2049&gt;0,B2049=10),1,0)</f>
        <v>0</v>
      </c>
      <c r="AD2049" s="0" t="str">
        <f aca="false">IF(AND(C2048=C2049,AA2048=AA2049-1),AB2048,"")</f>
        <v/>
      </c>
      <c r="AE2049" s="0" t="str">
        <f aca="false">IF(AND(C2048=C2049,AA2048=AA2049-1),AC2048,"")</f>
        <v/>
      </c>
      <c r="AF2049" s="0" t="str">
        <f aca="false">IF(AA2049=1,"",IF(AND(AB2049=1,AD2049&lt;&gt;1),1,0))</f>
        <v/>
      </c>
      <c r="AG2049" s="0" t="str">
        <f aca="false">IF(AA2049=1,"",IF(AND(AC2049=1,AE2049&lt;&gt;1),1,0))</f>
        <v/>
      </c>
      <c r="AH2049" s="51" t="str">
        <f aca="false">IF(AND(E2049&gt;0,AA2049&lt;1,NOT(AND(C2050=C2049,AA2050=AA2049+1))),INDEX(DATAS,AA2049+1),"")</f>
        <v/>
      </c>
      <c r="AI2049" s="51" t="str">
        <f aca="false">IF(AND(AC2049=1,AA2049&lt;1),IF(AND(C2050=C2049,AA2050=AA2049+1),IF(AC2050=1,"",INDEX(DATAS,AA2049+1)),INDEX(DATAS,AA2049+1)),"")</f>
        <v/>
      </c>
    </row>
    <row r="2050" customFormat="false" ht="15" hidden="false" customHeight="false" outlineLevel="0" collapsed="false">
      <c r="A2050" s="51" t="n">
        <v>46309</v>
      </c>
      <c r="B2050" s="0" t="n">
        <v>8</v>
      </c>
      <c r="C2050" s="0" t="n">
        <v>6328</v>
      </c>
      <c r="E2050" s="0" t="n">
        <v>0</v>
      </c>
      <c r="F2050" s="46" t="s">
        <v>1172</v>
      </c>
      <c r="I2050" s="46" t="s">
        <v>152</v>
      </c>
      <c r="L2050" s="0" t="n">
        <v>206</v>
      </c>
      <c r="U2050" s="0" t="n">
        <v>597</v>
      </c>
      <c r="V2050" s="0" t="n">
        <v>1</v>
      </c>
      <c r="W2050" s="51" t="n">
        <v>46104</v>
      </c>
      <c r="X2050" s="46" t="n">
        <f aca="false">IF(I2050="Male",0,1)</f>
        <v>1</v>
      </c>
      <c r="Y2050" s="46" t="n">
        <f aca="false">IF(OR(I2050="DNB",I2050="Dry DNB"),1,0)</f>
        <v>0</v>
      </c>
      <c r="Z2050" s="46" t="n">
        <f aca="false">IF(ISNUMBER(W2050),A2050-W2050,"")</f>
        <v>205</v>
      </c>
      <c r="AA2050" s="46" t="n">
        <f aca="false">MATCH(A2050,DATAS,0)</f>
        <v>1</v>
      </c>
      <c r="AB2050" s="46" t="n">
        <f aca="false">IF(AND(E2050&gt;0,OR(AND(B2050&gt;=1,B2050&lt;=6),B2050=10)),1,0)</f>
        <v>0</v>
      </c>
      <c r="AC2050" s="46" t="n">
        <f aca="false">IF(AND(E2050&gt;0,B2050=10),1,0)</f>
        <v>0</v>
      </c>
      <c r="AD2050" s="0" t="str">
        <f aca="false">IF(AND(C2049=C2050,AA2049=AA2050-1),AB2049,"")</f>
        <v/>
      </c>
      <c r="AE2050" s="0" t="str">
        <f aca="false">IF(AND(C2049=C2050,AA2049=AA2050-1),AC2049,"")</f>
        <v/>
      </c>
      <c r="AF2050" s="0" t="str">
        <f aca="false">IF(AA2050=1,"",IF(AND(AB2050=1,AD2050&lt;&gt;1),1,0))</f>
        <v/>
      </c>
      <c r="AG2050" s="0" t="str">
        <f aca="false">IF(AA2050=1,"",IF(AND(AC2050=1,AE2050&lt;&gt;1),1,0))</f>
        <v/>
      </c>
      <c r="AH2050" s="51" t="str">
        <f aca="false">IF(AND(E2050&gt;0,AA2050&lt;1,NOT(AND(C2051=C2050,AA2051=AA2050+1))),INDEX(DATAS,AA2050+1),"")</f>
        <v/>
      </c>
      <c r="AI2050" s="51" t="str">
        <f aca="false">IF(AND(AC2050=1,AA2050&lt;1),IF(AND(C2051=C2050,AA2051=AA2050+1),IF(AC2051=1,"",INDEX(DATAS,AA2050+1)),INDEX(DATAS,AA2050+1)),"")</f>
        <v/>
      </c>
    </row>
    <row r="2051" customFormat="false" ht="15" hidden="false" customHeight="false" outlineLevel="0" collapsed="false">
      <c r="A2051" s="51" t="n">
        <v>46309</v>
      </c>
      <c r="B2051" s="0" t="n">
        <v>8</v>
      </c>
      <c r="C2051" s="0" t="n">
        <v>6329</v>
      </c>
      <c r="E2051" s="0" t="n">
        <v>0</v>
      </c>
      <c r="F2051" s="46" t="s">
        <v>1172</v>
      </c>
      <c r="I2051" s="46" t="s">
        <v>152</v>
      </c>
      <c r="L2051" s="0" t="n">
        <v>51</v>
      </c>
      <c r="U2051" s="0" t="n">
        <v>597</v>
      </c>
      <c r="V2051" s="0" t="n">
        <v>7</v>
      </c>
      <c r="W2051" s="51" t="n">
        <v>46259</v>
      </c>
      <c r="X2051" s="46" t="n">
        <f aca="false">IF(I2051="Male",0,1)</f>
        <v>1</v>
      </c>
      <c r="Y2051" s="46" t="n">
        <f aca="false">IF(OR(I2051="DNB",I2051="Dry DNB"),1,0)</f>
        <v>0</v>
      </c>
      <c r="Z2051" s="46" t="n">
        <f aca="false">IF(ISNUMBER(W2051),A2051-W2051,"")</f>
        <v>50</v>
      </c>
      <c r="AA2051" s="46" t="n">
        <f aca="false">MATCH(A2051,DATAS,0)</f>
        <v>1</v>
      </c>
      <c r="AB2051" s="46" t="n">
        <f aca="false">IF(AND(E2051&gt;0,OR(AND(B2051&gt;=1,B2051&lt;=6),B2051=10)),1,0)</f>
        <v>0</v>
      </c>
      <c r="AC2051" s="46" t="n">
        <f aca="false">IF(AND(E2051&gt;0,B2051=10),1,0)</f>
        <v>0</v>
      </c>
      <c r="AD2051" s="0" t="str">
        <f aca="false">IF(AND(C2050=C2051,AA2050=AA2051-1),AB2050,"")</f>
        <v/>
      </c>
      <c r="AE2051" s="0" t="str">
        <f aca="false">IF(AND(C2050=C2051,AA2050=AA2051-1),AC2050,"")</f>
        <v/>
      </c>
      <c r="AF2051" s="0" t="str">
        <f aca="false">IF(AA2051=1,"",IF(AND(AB2051=1,AD2051&lt;&gt;1),1,0))</f>
        <v/>
      </c>
      <c r="AG2051" s="0" t="str">
        <f aca="false">IF(AA2051=1,"",IF(AND(AC2051=1,AE2051&lt;&gt;1),1,0))</f>
        <v/>
      </c>
      <c r="AH2051" s="51" t="str">
        <f aca="false">IF(AND(E2051&gt;0,AA2051&lt;1,NOT(AND(C2052=C2051,AA2052=AA2051+1))),INDEX(DATAS,AA2051+1),"")</f>
        <v/>
      </c>
      <c r="AI2051" s="51" t="str">
        <f aca="false">IF(AND(AC2051=1,AA2051&lt;1),IF(AND(C2052=C2051,AA2052=AA2051+1),IF(AC2052=1,"",INDEX(DATAS,AA2051+1)),INDEX(DATAS,AA2051+1)),"")</f>
        <v/>
      </c>
    </row>
    <row r="2052" customFormat="false" ht="15" hidden="false" customHeight="false" outlineLevel="0" collapsed="false">
      <c r="A2052" s="51" t="n">
        <v>46309</v>
      </c>
      <c r="B2052" s="0" t="n">
        <v>8</v>
      </c>
      <c r="C2052" s="0" t="n">
        <v>6330</v>
      </c>
      <c r="E2052" s="0" t="n">
        <v>0</v>
      </c>
      <c r="F2052" s="46" t="s">
        <v>1172</v>
      </c>
      <c r="I2052" s="46" t="s">
        <v>152</v>
      </c>
      <c r="L2052" s="0" t="n">
        <v>119</v>
      </c>
      <c r="U2052" s="0" t="n">
        <v>597</v>
      </c>
      <c r="V2052" s="0" t="n">
        <v>3</v>
      </c>
      <c r="W2052" s="51" t="n">
        <v>46191</v>
      </c>
      <c r="X2052" s="46" t="n">
        <f aca="false">IF(I2052="Male",0,1)</f>
        <v>1</v>
      </c>
      <c r="Y2052" s="46" t="n">
        <f aca="false">IF(OR(I2052="DNB",I2052="Dry DNB"),1,0)</f>
        <v>0</v>
      </c>
      <c r="Z2052" s="46" t="n">
        <f aca="false">IF(ISNUMBER(W2052),A2052-W2052,"")</f>
        <v>118</v>
      </c>
      <c r="AA2052" s="46" t="n">
        <f aca="false">MATCH(A2052,DATAS,0)</f>
        <v>1</v>
      </c>
      <c r="AB2052" s="46" t="n">
        <f aca="false">IF(AND(E2052&gt;0,OR(AND(B2052&gt;=1,B2052&lt;=6),B2052=10)),1,0)</f>
        <v>0</v>
      </c>
      <c r="AC2052" s="46" t="n">
        <f aca="false">IF(AND(E2052&gt;0,B2052=10),1,0)</f>
        <v>0</v>
      </c>
      <c r="AD2052" s="0" t="str">
        <f aca="false">IF(AND(C2051=C2052,AA2051=AA2052-1),AB2051,"")</f>
        <v/>
      </c>
      <c r="AE2052" s="0" t="str">
        <f aca="false">IF(AND(C2051=C2052,AA2051=AA2052-1),AC2051,"")</f>
        <v/>
      </c>
      <c r="AF2052" s="0" t="str">
        <f aca="false">IF(AA2052=1,"",IF(AND(AB2052=1,AD2052&lt;&gt;1),1,0))</f>
        <v/>
      </c>
      <c r="AG2052" s="0" t="str">
        <f aca="false">IF(AA2052=1,"",IF(AND(AC2052=1,AE2052&lt;&gt;1),1,0))</f>
        <v/>
      </c>
      <c r="AH2052" s="51" t="str">
        <f aca="false">IF(AND(E2052&gt;0,AA2052&lt;1,NOT(AND(C2053=C2052,AA2053=AA2052+1))),INDEX(DATAS,AA2052+1),"")</f>
        <v/>
      </c>
      <c r="AI2052" s="51" t="str">
        <f aca="false">IF(AND(AC2052=1,AA2052&lt;1),IF(AND(C2053=C2052,AA2053=AA2052+1),IF(AC2053=1,"",INDEX(DATAS,AA2052+1)),INDEX(DATAS,AA2052+1)),"")</f>
        <v/>
      </c>
    </row>
    <row r="2053" customFormat="false" ht="15" hidden="false" customHeight="false" outlineLevel="0" collapsed="false">
      <c r="A2053" s="51" t="n">
        <v>46309</v>
      </c>
      <c r="B2053" s="0" t="n">
        <v>8</v>
      </c>
      <c r="C2053" s="0" t="n">
        <v>6331</v>
      </c>
      <c r="E2053" s="0" t="n">
        <v>0</v>
      </c>
      <c r="F2053" s="46" t="s">
        <v>1173</v>
      </c>
      <c r="I2053" s="46" t="s">
        <v>152</v>
      </c>
      <c r="L2053" s="0" t="n">
        <v>203</v>
      </c>
      <c r="U2053" s="0" t="n">
        <v>596</v>
      </c>
      <c r="V2053" s="0" t="n">
        <v>1</v>
      </c>
      <c r="W2053" s="51" t="n">
        <v>46107</v>
      </c>
      <c r="X2053" s="46" t="n">
        <f aca="false">IF(I2053="Male",0,1)</f>
        <v>1</v>
      </c>
      <c r="Y2053" s="46" t="n">
        <f aca="false">IF(OR(I2053="DNB",I2053="Dry DNB"),1,0)</f>
        <v>0</v>
      </c>
      <c r="Z2053" s="46" t="n">
        <f aca="false">IF(ISNUMBER(W2053),A2053-W2053,"")</f>
        <v>202</v>
      </c>
      <c r="AA2053" s="46" t="n">
        <f aca="false">MATCH(A2053,DATAS,0)</f>
        <v>1</v>
      </c>
      <c r="AB2053" s="46" t="n">
        <f aca="false">IF(AND(E2053&gt;0,OR(AND(B2053&gt;=1,B2053&lt;=6),B2053=10)),1,0)</f>
        <v>0</v>
      </c>
      <c r="AC2053" s="46" t="n">
        <f aca="false">IF(AND(E2053&gt;0,B2053=10),1,0)</f>
        <v>0</v>
      </c>
      <c r="AD2053" s="0" t="str">
        <f aca="false">IF(AND(C2052=C2053,AA2052=AA2053-1),AB2052,"")</f>
        <v/>
      </c>
      <c r="AE2053" s="0" t="str">
        <f aca="false">IF(AND(C2052=C2053,AA2052=AA2053-1),AC2052,"")</f>
        <v/>
      </c>
      <c r="AF2053" s="0" t="str">
        <f aca="false">IF(AA2053=1,"",IF(AND(AB2053=1,AD2053&lt;&gt;1),1,0))</f>
        <v/>
      </c>
      <c r="AG2053" s="0" t="str">
        <f aca="false">IF(AA2053=1,"",IF(AND(AC2053=1,AE2053&lt;&gt;1),1,0))</f>
        <v/>
      </c>
      <c r="AH2053" s="51" t="str">
        <f aca="false">IF(AND(E2053&gt;0,AA2053&lt;1,NOT(AND(C2054=C2053,AA2054=AA2053+1))),INDEX(DATAS,AA2053+1),"")</f>
        <v/>
      </c>
      <c r="AI2053" s="51" t="str">
        <f aca="false">IF(AND(AC2053=1,AA2053&lt;1),IF(AND(C2054=C2053,AA2054=AA2053+1),IF(AC2054=1,"",INDEX(DATAS,AA2053+1)),INDEX(DATAS,AA2053+1)),"")</f>
        <v/>
      </c>
    </row>
    <row r="2054" customFormat="false" ht="15" hidden="false" customHeight="false" outlineLevel="0" collapsed="false">
      <c r="A2054" s="51" t="n">
        <v>46309</v>
      </c>
      <c r="B2054" s="0" t="n">
        <v>8</v>
      </c>
      <c r="C2054" s="0" t="n">
        <v>6332</v>
      </c>
      <c r="E2054" s="0" t="n">
        <v>0</v>
      </c>
      <c r="F2054" s="46" t="s">
        <v>1173</v>
      </c>
      <c r="I2054" s="46" t="s">
        <v>152</v>
      </c>
      <c r="L2054" s="0" t="n">
        <v>155</v>
      </c>
      <c r="U2054" s="0" t="n">
        <v>596</v>
      </c>
      <c r="V2054" s="0" t="n">
        <v>2</v>
      </c>
      <c r="W2054" s="51" t="n">
        <v>46155</v>
      </c>
      <c r="X2054" s="46" t="n">
        <f aca="false">IF(I2054="Male",0,1)</f>
        <v>1</v>
      </c>
      <c r="Y2054" s="46" t="n">
        <f aca="false">IF(OR(I2054="DNB",I2054="Dry DNB"),1,0)</f>
        <v>0</v>
      </c>
      <c r="Z2054" s="46" t="n">
        <f aca="false">IF(ISNUMBER(W2054),A2054-W2054,"")</f>
        <v>154</v>
      </c>
      <c r="AA2054" s="46" t="n">
        <f aca="false">MATCH(A2054,DATAS,0)</f>
        <v>1</v>
      </c>
      <c r="AB2054" s="46" t="n">
        <f aca="false">IF(AND(E2054&gt;0,OR(AND(B2054&gt;=1,B2054&lt;=6),B2054=10)),1,0)</f>
        <v>0</v>
      </c>
      <c r="AC2054" s="46" t="n">
        <f aca="false">IF(AND(E2054&gt;0,B2054=10),1,0)</f>
        <v>0</v>
      </c>
      <c r="AD2054" s="0" t="str">
        <f aca="false">IF(AND(C2053=C2054,AA2053=AA2054-1),AB2053,"")</f>
        <v/>
      </c>
      <c r="AE2054" s="0" t="str">
        <f aca="false">IF(AND(C2053=C2054,AA2053=AA2054-1),AC2053,"")</f>
        <v/>
      </c>
      <c r="AF2054" s="0" t="str">
        <f aca="false">IF(AA2054=1,"",IF(AND(AB2054=1,AD2054&lt;&gt;1),1,0))</f>
        <v/>
      </c>
      <c r="AG2054" s="0" t="str">
        <f aca="false">IF(AA2054=1,"",IF(AND(AC2054=1,AE2054&lt;&gt;1),1,0))</f>
        <v/>
      </c>
      <c r="AH2054" s="51" t="str">
        <f aca="false">IF(AND(E2054&gt;0,AA2054&lt;1,NOT(AND(C2055=C2054,AA2055=AA2054+1))),INDEX(DATAS,AA2054+1),"")</f>
        <v/>
      </c>
      <c r="AI2054" s="51" t="str">
        <f aca="false">IF(AND(AC2054=1,AA2054&lt;1),IF(AND(C2055=C2054,AA2055=AA2054+1),IF(AC2055=1,"",INDEX(DATAS,AA2054+1)),INDEX(DATAS,AA2054+1)),"")</f>
        <v/>
      </c>
    </row>
    <row r="2055" customFormat="false" ht="15" hidden="false" customHeight="false" outlineLevel="0" collapsed="false">
      <c r="A2055" s="51" t="n">
        <v>46309</v>
      </c>
      <c r="B2055" s="0" t="n">
        <v>8</v>
      </c>
      <c r="C2055" s="0" t="n">
        <v>6333</v>
      </c>
      <c r="E2055" s="0" t="n">
        <v>0</v>
      </c>
      <c r="F2055" s="46" t="s">
        <v>1173</v>
      </c>
      <c r="I2055" s="46" t="s">
        <v>152</v>
      </c>
      <c r="L2055" s="0" t="n">
        <v>175</v>
      </c>
      <c r="U2055" s="0" t="n">
        <v>596</v>
      </c>
      <c r="V2055" s="0" t="n">
        <v>2</v>
      </c>
      <c r="W2055" s="51" t="n">
        <v>46135</v>
      </c>
      <c r="X2055" s="46" t="n">
        <f aca="false">IF(I2055="Male",0,1)</f>
        <v>1</v>
      </c>
      <c r="Y2055" s="46" t="n">
        <f aca="false">IF(OR(I2055="DNB",I2055="Dry DNB"),1,0)</f>
        <v>0</v>
      </c>
      <c r="Z2055" s="46" t="n">
        <f aca="false">IF(ISNUMBER(W2055),A2055-W2055,"")</f>
        <v>174</v>
      </c>
      <c r="AA2055" s="46" t="n">
        <f aca="false">MATCH(A2055,DATAS,0)</f>
        <v>1</v>
      </c>
      <c r="AB2055" s="46" t="n">
        <f aca="false">IF(AND(E2055&gt;0,OR(AND(B2055&gt;=1,B2055&lt;=6),B2055=10)),1,0)</f>
        <v>0</v>
      </c>
      <c r="AC2055" s="46" t="n">
        <f aca="false">IF(AND(E2055&gt;0,B2055=10),1,0)</f>
        <v>0</v>
      </c>
      <c r="AD2055" s="0" t="str">
        <f aca="false">IF(AND(C2054=C2055,AA2054=AA2055-1),AB2054,"")</f>
        <v/>
      </c>
      <c r="AE2055" s="0" t="str">
        <f aca="false">IF(AND(C2054=C2055,AA2054=AA2055-1),AC2054,"")</f>
        <v/>
      </c>
      <c r="AF2055" s="0" t="str">
        <f aca="false">IF(AA2055=1,"",IF(AND(AB2055=1,AD2055&lt;&gt;1),1,0))</f>
        <v/>
      </c>
      <c r="AG2055" s="0" t="str">
        <f aca="false">IF(AA2055=1,"",IF(AND(AC2055=1,AE2055&lt;&gt;1),1,0))</f>
        <v/>
      </c>
      <c r="AH2055" s="51" t="str">
        <f aca="false">IF(AND(E2055&gt;0,AA2055&lt;1,NOT(AND(C2056=C2055,AA2056=AA2055+1))),INDEX(DATAS,AA2055+1),"")</f>
        <v/>
      </c>
      <c r="AI2055" s="51" t="str">
        <f aca="false">IF(AND(AC2055=1,AA2055&lt;1),IF(AND(C2056=C2055,AA2056=AA2055+1),IF(AC2056=1,"",INDEX(DATAS,AA2055+1)),INDEX(DATAS,AA2055+1)),"")</f>
        <v/>
      </c>
    </row>
    <row r="2056" customFormat="false" ht="15" hidden="false" customHeight="false" outlineLevel="0" collapsed="false">
      <c r="A2056" s="51" t="n">
        <v>46309</v>
      </c>
      <c r="B2056" s="0" t="n">
        <v>8</v>
      </c>
      <c r="C2056" s="0" t="n">
        <v>6334</v>
      </c>
      <c r="E2056" s="0" t="n">
        <v>0</v>
      </c>
      <c r="F2056" s="46" t="s">
        <v>1173</v>
      </c>
      <c r="I2056" s="46" t="s">
        <v>152</v>
      </c>
      <c r="L2056" s="0" t="n">
        <v>188</v>
      </c>
      <c r="U2056" s="0" t="n">
        <v>596</v>
      </c>
      <c r="V2056" s="0" t="n">
        <v>1</v>
      </c>
      <c r="X2056" s="46" t="n">
        <f aca="false">IF(I2056="Male",0,1)</f>
        <v>1</v>
      </c>
      <c r="Y2056" s="46" t="n">
        <f aca="false">IF(OR(I2056="DNB",I2056="Dry DNB"),1,0)</f>
        <v>0</v>
      </c>
      <c r="Z2056" s="0" t="str">
        <f aca="false">IF(ISNUMBER(W2056),A2056-W2056,"")</f>
        <v/>
      </c>
      <c r="AA2056" s="46" t="n">
        <f aca="false">MATCH(A2056,DATAS,0)</f>
        <v>1</v>
      </c>
      <c r="AB2056" s="46" t="n">
        <f aca="false">IF(AND(E2056&gt;0,OR(AND(B2056&gt;=1,B2056&lt;=6),B2056=10)),1,0)</f>
        <v>0</v>
      </c>
      <c r="AC2056" s="46" t="n">
        <f aca="false">IF(AND(E2056&gt;0,B2056=10),1,0)</f>
        <v>0</v>
      </c>
      <c r="AD2056" s="0" t="str">
        <f aca="false">IF(AND(C2055=C2056,AA2055=AA2056-1),AB2055,"")</f>
        <v/>
      </c>
      <c r="AE2056" s="0" t="str">
        <f aca="false">IF(AND(C2055=C2056,AA2055=AA2056-1),AC2055,"")</f>
        <v/>
      </c>
      <c r="AF2056" s="0" t="str">
        <f aca="false">IF(AA2056=1,"",IF(AND(AB2056=1,AD2056&lt;&gt;1),1,0))</f>
        <v/>
      </c>
      <c r="AG2056" s="0" t="str">
        <f aca="false">IF(AA2056=1,"",IF(AND(AC2056=1,AE2056&lt;&gt;1),1,0))</f>
        <v/>
      </c>
      <c r="AH2056" s="51" t="str">
        <f aca="false">IF(AND(E2056&gt;0,AA2056&lt;1,NOT(AND(C2057=C2056,AA2057=AA2056+1))),INDEX(DATAS,AA2056+1),"")</f>
        <v/>
      </c>
      <c r="AI2056" s="51" t="str">
        <f aca="false">IF(AND(AC2056=1,AA2056&lt;1),IF(AND(C2057=C2056,AA2057=AA2056+1),IF(AC2057=1,"",INDEX(DATAS,AA2056+1)),INDEX(DATAS,AA2056+1)),"")</f>
        <v/>
      </c>
    </row>
    <row r="2057" customFormat="false" ht="15" hidden="false" customHeight="false" outlineLevel="0" collapsed="false">
      <c r="A2057" s="51" t="n">
        <v>46309</v>
      </c>
      <c r="B2057" s="0" t="n">
        <v>8</v>
      </c>
      <c r="C2057" s="0" t="n">
        <v>6335</v>
      </c>
      <c r="E2057" s="0" t="n">
        <v>0</v>
      </c>
      <c r="F2057" s="46" t="s">
        <v>1174</v>
      </c>
      <c r="I2057" s="46" t="s">
        <v>152</v>
      </c>
      <c r="L2057" s="0" t="n">
        <v>198</v>
      </c>
      <c r="U2057" s="0" t="n">
        <v>595</v>
      </c>
      <c r="V2057" s="0" t="n">
        <v>1</v>
      </c>
      <c r="W2057" s="51" t="n">
        <v>46112</v>
      </c>
      <c r="X2057" s="46" t="n">
        <f aca="false">IF(I2057="Male",0,1)</f>
        <v>1</v>
      </c>
      <c r="Y2057" s="46" t="n">
        <f aca="false">IF(OR(I2057="DNB",I2057="Dry DNB"),1,0)</f>
        <v>0</v>
      </c>
      <c r="Z2057" s="46" t="n">
        <f aca="false">IF(ISNUMBER(W2057),A2057-W2057,"")</f>
        <v>197</v>
      </c>
      <c r="AA2057" s="46" t="n">
        <f aca="false">MATCH(A2057,DATAS,0)</f>
        <v>1</v>
      </c>
      <c r="AB2057" s="46" t="n">
        <f aca="false">IF(AND(E2057&gt;0,OR(AND(B2057&gt;=1,B2057&lt;=6),B2057=10)),1,0)</f>
        <v>0</v>
      </c>
      <c r="AC2057" s="46" t="n">
        <f aca="false">IF(AND(E2057&gt;0,B2057=10),1,0)</f>
        <v>0</v>
      </c>
      <c r="AD2057" s="0" t="str">
        <f aca="false">IF(AND(C2056=C2057,AA2056=AA2057-1),AB2056,"")</f>
        <v/>
      </c>
      <c r="AE2057" s="0" t="str">
        <f aca="false">IF(AND(C2056=C2057,AA2056=AA2057-1),AC2056,"")</f>
        <v/>
      </c>
      <c r="AF2057" s="0" t="str">
        <f aca="false">IF(AA2057=1,"",IF(AND(AB2057=1,AD2057&lt;&gt;1),1,0))</f>
        <v/>
      </c>
      <c r="AG2057" s="0" t="str">
        <f aca="false">IF(AA2057=1,"",IF(AND(AC2057=1,AE2057&lt;&gt;1),1,0))</f>
        <v/>
      </c>
      <c r="AH2057" s="51" t="str">
        <f aca="false">IF(AND(E2057&gt;0,AA2057&lt;1,NOT(AND(C2058=C2057,AA2058=AA2057+1))),INDEX(DATAS,AA2057+1),"")</f>
        <v/>
      </c>
      <c r="AI2057" s="51" t="str">
        <f aca="false">IF(AND(AC2057=1,AA2057&lt;1),IF(AND(C2058=C2057,AA2058=AA2057+1),IF(AC2058=1,"",INDEX(DATAS,AA2057+1)),INDEX(DATAS,AA2057+1)),"")</f>
        <v/>
      </c>
    </row>
    <row r="2058" customFormat="false" ht="15" hidden="false" customHeight="false" outlineLevel="0" collapsed="false">
      <c r="A2058" s="51" t="n">
        <v>46309</v>
      </c>
      <c r="B2058" s="0" t="n">
        <v>8</v>
      </c>
      <c r="C2058" s="0" t="n">
        <v>6336</v>
      </c>
      <c r="E2058" s="0" t="n">
        <v>0</v>
      </c>
      <c r="F2058" s="46" t="s">
        <v>1174</v>
      </c>
      <c r="I2058" s="46" t="s">
        <v>152</v>
      </c>
      <c r="L2058" s="0" t="n">
        <v>197</v>
      </c>
      <c r="U2058" s="0" t="n">
        <v>595</v>
      </c>
      <c r="V2058" s="0" t="n">
        <v>1</v>
      </c>
      <c r="W2058" s="51" t="n">
        <v>46113</v>
      </c>
      <c r="X2058" s="46" t="n">
        <f aca="false">IF(I2058="Male",0,1)</f>
        <v>1</v>
      </c>
      <c r="Y2058" s="46" t="n">
        <f aca="false">IF(OR(I2058="DNB",I2058="Dry DNB"),1,0)</f>
        <v>0</v>
      </c>
      <c r="Z2058" s="46" t="n">
        <f aca="false">IF(ISNUMBER(W2058),A2058-W2058,"")</f>
        <v>196</v>
      </c>
      <c r="AA2058" s="46" t="n">
        <f aca="false">MATCH(A2058,DATAS,0)</f>
        <v>1</v>
      </c>
      <c r="AB2058" s="46" t="n">
        <f aca="false">IF(AND(E2058&gt;0,OR(AND(B2058&gt;=1,B2058&lt;=6),B2058=10)),1,0)</f>
        <v>0</v>
      </c>
      <c r="AC2058" s="46" t="n">
        <f aca="false">IF(AND(E2058&gt;0,B2058=10),1,0)</f>
        <v>0</v>
      </c>
      <c r="AD2058" s="0" t="str">
        <f aca="false">IF(AND(C2057=C2058,AA2057=AA2058-1),AB2057,"")</f>
        <v/>
      </c>
      <c r="AE2058" s="0" t="str">
        <f aca="false">IF(AND(C2057=C2058,AA2057=AA2058-1),AC2057,"")</f>
        <v/>
      </c>
      <c r="AF2058" s="0" t="str">
        <f aca="false">IF(AA2058=1,"",IF(AND(AB2058=1,AD2058&lt;&gt;1),1,0))</f>
        <v/>
      </c>
      <c r="AG2058" s="0" t="str">
        <f aca="false">IF(AA2058=1,"",IF(AND(AC2058=1,AE2058&lt;&gt;1),1,0))</f>
        <v/>
      </c>
      <c r="AH2058" s="51" t="str">
        <f aca="false">IF(AND(E2058&gt;0,AA2058&lt;1,NOT(AND(C2059=C2058,AA2059=AA2058+1))),INDEX(DATAS,AA2058+1),"")</f>
        <v/>
      </c>
      <c r="AI2058" s="51" t="str">
        <f aca="false">IF(AND(AC2058=1,AA2058&lt;1),IF(AND(C2059=C2058,AA2059=AA2058+1),IF(AC2059=1,"",INDEX(DATAS,AA2058+1)),INDEX(DATAS,AA2058+1)),"")</f>
        <v/>
      </c>
    </row>
    <row r="2059" customFormat="false" ht="15" hidden="false" customHeight="false" outlineLevel="0" collapsed="false">
      <c r="A2059" s="51" t="n">
        <v>46309</v>
      </c>
      <c r="B2059" s="0" t="n">
        <v>8</v>
      </c>
      <c r="C2059" s="0" t="n">
        <v>6337</v>
      </c>
      <c r="E2059" s="0" t="n">
        <v>0</v>
      </c>
      <c r="F2059" s="46" t="s">
        <v>1174</v>
      </c>
      <c r="I2059" s="46" t="s">
        <v>152</v>
      </c>
      <c r="L2059" s="0" t="n">
        <v>197</v>
      </c>
      <c r="U2059" s="0" t="n">
        <v>595</v>
      </c>
      <c r="V2059" s="0" t="n">
        <v>1</v>
      </c>
      <c r="W2059" s="51" t="n">
        <v>46113</v>
      </c>
      <c r="X2059" s="46" t="n">
        <f aca="false">IF(I2059="Male",0,1)</f>
        <v>1</v>
      </c>
      <c r="Y2059" s="46" t="n">
        <f aca="false">IF(OR(I2059="DNB",I2059="Dry DNB"),1,0)</f>
        <v>0</v>
      </c>
      <c r="Z2059" s="46" t="n">
        <f aca="false">IF(ISNUMBER(W2059),A2059-W2059,"")</f>
        <v>196</v>
      </c>
      <c r="AA2059" s="46" t="n">
        <f aca="false">MATCH(A2059,DATAS,0)</f>
        <v>1</v>
      </c>
      <c r="AB2059" s="46" t="n">
        <f aca="false">IF(AND(E2059&gt;0,OR(AND(B2059&gt;=1,B2059&lt;=6),B2059=10)),1,0)</f>
        <v>0</v>
      </c>
      <c r="AC2059" s="46" t="n">
        <f aca="false">IF(AND(E2059&gt;0,B2059=10),1,0)</f>
        <v>0</v>
      </c>
      <c r="AD2059" s="0" t="str">
        <f aca="false">IF(AND(C2058=C2059,AA2058=AA2059-1),AB2058,"")</f>
        <v/>
      </c>
      <c r="AE2059" s="0" t="str">
        <f aca="false">IF(AND(C2058=C2059,AA2058=AA2059-1),AC2058,"")</f>
        <v/>
      </c>
      <c r="AF2059" s="0" t="str">
        <f aca="false">IF(AA2059=1,"",IF(AND(AB2059=1,AD2059&lt;&gt;1),1,0))</f>
        <v/>
      </c>
      <c r="AG2059" s="0" t="str">
        <f aca="false">IF(AA2059=1,"",IF(AND(AC2059=1,AE2059&lt;&gt;1),1,0))</f>
        <v/>
      </c>
      <c r="AH2059" s="51" t="str">
        <f aca="false">IF(AND(E2059&gt;0,AA2059&lt;1,NOT(AND(C2060=C2059,AA2060=AA2059+1))),INDEX(DATAS,AA2059+1),"")</f>
        <v/>
      </c>
      <c r="AI2059" s="51" t="str">
        <f aca="false">IF(AND(AC2059=1,AA2059&lt;1),IF(AND(C2060=C2059,AA2060=AA2059+1),IF(AC2060=1,"",INDEX(DATAS,AA2059+1)),INDEX(DATAS,AA2059+1)),"")</f>
        <v/>
      </c>
    </row>
    <row r="2060" customFormat="false" ht="15" hidden="false" customHeight="false" outlineLevel="0" collapsed="false">
      <c r="A2060" s="51" t="n">
        <v>46309</v>
      </c>
      <c r="B2060" s="0" t="n">
        <v>8</v>
      </c>
      <c r="C2060" s="0" t="n">
        <v>6338</v>
      </c>
      <c r="E2060" s="0" t="n">
        <v>0</v>
      </c>
      <c r="F2060" s="46" t="s">
        <v>1174</v>
      </c>
      <c r="I2060" s="46" t="s">
        <v>152</v>
      </c>
      <c r="L2060" s="0" t="n">
        <v>197</v>
      </c>
      <c r="U2060" s="0" t="n">
        <v>595</v>
      </c>
      <c r="V2060" s="0" t="n">
        <v>1</v>
      </c>
      <c r="W2060" s="51" t="n">
        <v>46113</v>
      </c>
      <c r="X2060" s="46" t="n">
        <f aca="false">IF(I2060="Male",0,1)</f>
        <v>1</v>
      </c>
      <c r="Y2060" s="46" t="n">
        <f aca="false">IF(OR(I2060="DNB",I2060="Dry DNB"),1,0)</f>
        <v>0</v>
      </c>
      <c r="Z2060" s="46" t="n">
        <f aca="false">IF(ISNUMBER(W2060),A2060-W2060,"")</f>
        <v>196</v>
      </c>
      <c r="AA2060" s="46" t="n">
        <f aca="false">MATCH(A2060,DATAS,0)</f>
        <v>1</v>
      </c>
      <c r="AB2060" s="46" t="n">
        <f aca="false">IF(AND(E2060&gt;0,OR(AND(B2060&gt;=1,B2060&lt;=6),B2060=10)),1,0)</f>
        <v>0</v>
      </c>
      <c r="AC2060" s="46" t="n">
        <f aca="false">IF(AND(E2060&gt;0,B2060=10),1,0)</f>
        <v>0</v>
      </c>
      <c r="AD2060" s="0" t="str">
        <f aca="false">IF(AND(C2059=C2060,AA2059=AA2060-1),AB2059,"")</f>
        <v/>
      </c>
      <c r="AE2060" s="0" t="str">
        <f aca="false">IF(AND(C2059=C2060,AA2059=AA2060-1),AC2059,"")</f>
        <v/>
      </c>
      <c r="AF2060" s="0" t="str">
        <f aca="false">IF(AA2060=1,"",IF(AND(AB2060=1,AD2060&lt;&gt;1),1,0))</f>
        <v/>
      </c>
      <c r="AG2060" s="0" t="str">
        <f aca="false">IF(AA2060=1,"",IF(AND(AC2060=1,AE2060&lt;&gt;1),1,0))</f>
        <v/>
      </c>
      <c r="AH2060" s="51" t="str">
        <f aca="false">IF(AND(E2060&gt;0,AA2060&lt;1,NOT(AND(C2061=C2060,AA2061=AA2060+1))),INDEX(DATAS,AA2060+1),"")</f>
        <v/>
      </c>
      <c r="AI2060" s="51" t="str">
        <f aca="false">IF(AND(AC2060=1,AA2060&lt;1),IF(AND(C2061=C2060,AA2061=AA2060+1),IF(AC2061=1,"",INDEX(DATAS,AA2060+1)),INDEX(DATAS,AA2060+1)),"")</f>
        <v/>
      </c>
    </row>
    <row r="2061" customFormat="false" ht="15" hidden="false" customHeight="false" outlineLevel="0" collapsed="false">
      <c r="A2061" s="51" t="n">
        <v>46309</v>
      </c>
      <c r="B2061" s="0" t="n">
        <v>8</v>
      </c>
      <c r="C2061" s="0" t="n">
        <v>6339</v>
      </c>
      <c r="E2061" s="0" t="n">
        <v>0</v>
      </c>
      <c r="F2061" s="46" t="s">
        <v>1175</v>
      </c>
      <c r="I2061" s="46" t="s">
        <v>152</v>
      </c>
      <c r="L2061" s="0" t="n">
        <v>176</v>
      </c>
      <c r="U2061" s="0" t="n">
        <v>594</v>
      </c>
      <c r="V2061" s="0" t="n">
        <v>2</v>
      </c>
      <c r="W2061" s="51" t="n">
        <v>46134</v>
      </c>
      <c r="X2061" s="46" t="n">
        <f aca="false">IF(I2061="Male",0,1)</f>
        <v>1</v>
      </c>
      <c r="Y2061" s="46" t="n">
        <f aca="false">IF(OR(I2061="DNB",I2061="Dry DNB"),1,0)</f>
        <v>0</v>
      </c>
      <c r="Z2061" s="46" t="n">
        <f aca="false">IF(ISNUMBER(W2061),A2061-W2061,"")</f>
        <v>175</v>
      </c>
      <c r="AA2061" s="46" t="n">
        <f aca="false">MATCH(A2061,DATAS,0)</f>
        <v>1</v>
      </c>
      <c r="AB2061" s="46" t="n">
        <f aca="false">IF(AND(E2061&gt;0,OR(AND(B2061&gt;=1,B2061&lt;=6),B2061=10)),1,0)</f>
        <v>0</v>
      </c>
      <c r="AC2061" s="46" t="n">
        <f aca="false">IF(AND(E2061&gt;0,B2061=10),1,0)</f>
        <v>0</v>
      </c>
      <c r="AD2061" s="0" t="str">
        <f aca="false">IF(AND(C2060=C2061,AA2060=AA2061-1),AB2060,"")</f>
        <v/>
      </c>
      <c r="AE2061" s="0" t="str">
        <f aca="false">IF(AND(C2060=C2061,AA2060=AA2061-1),AC2060,"")</f>
        <v/>
      </c>
      <c r="AF2061" s="0" t="str">
        <f aca="false">IF(AA2061=1,"",IF(AND(AB2061=1,AD2061&lt;&gt;1),1,0))</f>
        <v/>
      </c>
      <c r="AG2061" s="0" t="str">
        <f aca="false">IF(AA2061=1,"",IF(AND(AC2061=1,AE2061&lt;&gt;1),1,0))</f>
        <v/>
      </c>
      <c r="AH2061" s="51" t="str">
        <f aca="false">IF(AND(E2061&gt;0,AA2061&lt;1,NOT(AND(C2062=C2061,AA2062=AA2061+1))),INDEX(DATAS,AA2061+1),"")</f>
        <v/>
      </c>
      <c r="AI2061" s="51" t="str">
        <f aca="false">IF(AND(AC2061=1,AA2061&lt;1),IF(AND(C2062=C2061,AA2062=AA2061+1),IF(AC2062=1,"",INDEX(DATAS,AA2061+1)),INDEX(DATAS,AA2061+1)),"")</f>
        <v/>
      </c>
    </row>
    <row r="2062" customFormat="false" ht="15" hidden="false" customHeight="false" outlineLevel="0" collapsed="false">
      <c r="A2062" s="51" t="n">
        <v>46309</v>
      </c>
      <c r="B2062" s="0" t="n">
        <v>8</v>
      </c>
      <c r="C2062" s="0" t="n">
        <v>6340</v>
      </c>
      <c r="E2062" s="0" t="n">
        <v>0</v>
      </c>
      <c r="F2062" s="46" t="s">
        <v>1175</v>
      </c>
      <c r="I2062" s="46" t="s">
        <v>152</v>
      </c>
      <c r="L2062" s="0" t="n">
        <v>62</v>
      </c>
      <c r="U2062" s="0" t="n">
        <v>594</v>
      </c>
      <c r="V2062" s="0" t="n">
        <v>4</v>
      </c>
      <c r="W2062" s="51" t="n">
        <v>46248</v>
      </c>
      <c r="X2062" s="46" t="n">
        <f aca="false">IF(I2062="Male",0,1)</f>
        <v>1</v>
      </c>
      <c r="Y2062" s="46" t="n">
        <f aca="false">IF(OR(I2062="DNB",I2062="Dry DNB"),1,0)</f>
        <v>0</v>
      </c>
      <c r="Z2062" s="46" t="n">
        <f aca="false">IF(ISNUMBER(W2062),A2062-W2062,"")</f>
        <v>61</v>
      </c>
      <c r="AA2062" s="46" t="n">
        <f aca="false">MATCH(A2062,DATAS,0)</f>
        <v>1</v>
      </c>
      <c r="AB2062" s="46" t="n">
        <f aca="false">IF(AND(E2062&gt;0,OR(AND(B2062&gt;=1,B2062&lt;=6),B2062=10)),1,0)</f>
        <v>0</v>
      </c>
      <c r="AC2062" s="46" t="n">
        <f aca="false">IF(AND(E2062&gt;0,B2062=10),1,0)</f>
        <v>0</v>
      </c>
      <c r="AD2062" s="0" t="str">
        <f aca="false">IF(AND(C2061=C2062,AA2061=AA2062-1),AB2061,"")</f>
        <v/>
      </c>
      <c r="AE2062" s="0" t="str">
        <f aca="false">IF(AND(C2061=C2062,AA2061=AA2062-1),AC2061,"")</f>
        <v/>
      </c>
      <c r="AF2062" s="0" t="str">
        <f aca="false">IF(AA2062=1,"",IF(AND(AB2062=1,AD2062&lt;&gt;1),1,0))</f>
        <v/>
      </c>
      <c r="AG2062" s="0" t="str">
        <f aca="false">IF(AA2062=1,"",IF(AND(AC2062=1,AE2062&lt;&gt;1),1,0))</f>
        <v/>
      </c>
      <c r="AH2062" s="51" t="str">
        <f aca="false">IF(AND(E2062&gt;0,AA2062&lt;1,NOT(AND(C2063=C2062,AA2063=AA2062+1))),INDEX(DATAS,AA2062+1),"")</f>
        <v/>
      </c>
      <c r="AI2062" s="51" t="str">
        <f aca="false">IF(AND(AC2062=1,AA2062&lt;1),IF(AND(C2063=C2062,AA2063=AA2062+1),IF(AC2063=1,"",INDEX(DATAS,AA2062+1)),INDEX(DATAS,AA2062+1)),"")</f>
        <v/>
      </c>
    </row>
    <row r="2063" customFormat="false" ht="15" hidden="false" customHeight="false" outlineLevel="0" collapsed="false">
      <c r="A2063" s="51" t="n">
        <v>46309</v>
      </c>
      <c r="B2063" s="0" t="n">
        <v>8</v>
      </c>
      <c r="C2063" s="0" t="n">
        <v>6341</v>
      </c>
      <c r="E2063" s="0" t="n">
        <v>0</v>
      </c>
      <c r="F2063" s="46" t="s">
        <v>1175</v>
      </c>
      <c r="I2063" s="46" t="s">
        <v>152</v>
      </c>
      <c r="L2063" s="0" t="n">
        <v>202</v>
      </c>
      <c r="U2063" s="0" t="n">
        <v>594</v>
      </c>
      <c r="V2063" s="0" t="n">
        <v>1</v>
      </c>
      <c r="W2063" s="51" t="n">
        <v>46108</v>
      </c>
      <c r="X2063" s="46" t="n">
        <f aca="false">IF(I2063="Male",0,1)</f>
        <v>1</v>
      </c>
      <c r="Y2063" s="46" t="n">
        <f aca="false">IF(OR(I2063="DNB",I2063="Dry DNB"),1,0)</f>
        <v>0</v>
      </c>
      <c r="Z2063" s="46" t="n">
        <f aca="false">IF(ISNUMBER(W2063),A2063-W2063,"")</f>
        <v>201</v>
      </c>
      <c r="AA2063" s="46" t="n">
        <f aca="false">MATCH(A2063,DATAS,0)</f>
        <v>1</v>
      </c>
      <c r="AB2063" s="46" t="n">
        <f aca="false">IF(AND(E2063&gt;0,OR(AND(B2063&gt;=1,B2063&lt;=6),B2063=10)),1,0)</f>
        <v>0</v>
      </c>
      <c r="AC2063" s="46" t="n">
        <f aca="false">IF(AND(E2063&gt;0,B2063=10),1,0)</f>
        <v>0</v>
      </c>
      <c r="AD2063" s="0" t="str">
        <f aca="false">IF(AND(C2062=C2063,AA2062=AA2063-1),AB2062,"")</f>
        <v/>
      </c>
      <c r="AE2063" s="0" t="str">
        <f aca="false">IF(AND(C2062=C2063,AA2062=AA2063-1),AC2062,"")</f>
        <v/>
      </c>
      <c r="AF2063" s="0" t="str">
        <f aca="false">IF(AA2063=1,"",IF(AND(AB2063=1,AD2063&lt;&gt;1),1,0))</f>
        <v/>
      </c>
      <c r="AG2063" s="0" t="str">
        <f aca="false">IF(AA2063=1,"",IF(AND(AC2063=1,AE2063&lt;&gt;1),1,0))</f>
        <v/>
      </c>
      <c r="AH2063" s="51" t="str">
        <f aca="false">IF(AND(E2063&gt;0,AA2063&lt;1,NOT(AND(C2064=C2063,AA2064=AA2063+1))),INDEX(DATAS,AA2063+1),"")</f>
        <v/>
      </c>
      <c r="AI2063" s="51" t="str">
        <f aca="false">IF(AND(AC2063=1,AA2063&lt;1),IF(AND(C2064=C2063,AA2064=AA2063+1),IF(AC2064=1,"",INDEX(DATAS,AA2063+1)),INDEX(DATAS,AA2063+1)),"")</f>
        <v/>
      </c>
    </row>
    <row r="2064" customFormat="false" ht="15" hidden="false" customHeight="false" outlineLevel="0" collapsed="false">
      <c r="A2064" s="51" t="n">
        <v>46309</v>
      </c>
      <c r="B2064" s="0" t="n">
        <v>8</v>
      </c>
      <c r="C2064" s="0" t="n">
        <v>6342</v>
      </c>
      <c r="E2064" s="0" t="n">
        <v>0</v>
      </c>
      <c r="F2064" s="46" t="s">
        <v>1176</v>
      </c>
      <c r="I2064" s="46" t="s">
        <v>152</v>
      </c>
      <c r="L2064" s="0" t="n">
        <v>83</v>
      </c>
      <c r="U2064" s="0" t="n">
        <v>593</v>
      </c>
      <c r="V2064" s="0" t="n">
        <v>4</v>
      </c>
      <c r="W2064" s="51" t="n">
        <v>46227</v>
      </c>
      <c r="X2064" s="46" t="n">
        <f aca="false">IF(I2064="Male",0,1)</f>
        <v>1</v>
      </c>
      <c r="Y2064" s="46" t="n">
        <f aca="false">IF(OR(I2064="DNB",I2064="Dry DNB"),1,0)</f>
        <v>0</v>
      </c>
      <c r="Z2064" s="46" t="n">
        <f aca="false">IF(ISNUMBER(W2064),A2064-W2064,"")</f>
        <v>82</v>
      </c>
      <c r="AA2064" s="46" t="n">
        <f aca="false">MATCH(A2064,DATAS,0)</f>
        <v>1</v>
      </c>
      <c r="AB2064" s="46" t="n">
        <f aca="false">IF(AND(E2064&gt;0,OR(AND(B2064&gt;=1,B2064&lt;=6),B2064=10)),1,0)</f>
        <v>0</v>
      </c>
      <c r="AC2064" s="46" t="n">
        <f aca="false">IF(AND(E2064&gt;0,B2064=10),1,0)</f>
        <v>0</v>
      </c>
      <c r="AD2064" s="0" t="str">
        <f aca="false">IF(AND(C2063=C2064,AA2063=AA2064-1),AB2063,"")</f>
        <v/>
      </c>
      <c r="AE2064" s="0" t="str">
        <f aca="false">IF(AND(C2063=C2064,AA2063=AA2064-1),AC2063,"")</f>
        <v/>
      </c>
      <c r="AF2064" s="0" t="str">
        <f aca="false">IF(AA2064=1,"",IF(AND(AB2064=1,AD2064&lt;&gt;1),1,0))</f>
        <v/>
      </c>
      <c r="AG2064" s="0" t="str">
        <f aca="false">IF(AA2064=1,"",IF(AND(AC2064=1,AE2064&lt;&gt;1),1,0))</f>
        <v/>
      </c>
      <c r="AH2064" s="51" t="str">
        <f aca="false">IF(AND(E2064&gt;0,AA2064&lt;1,NOT(AND(C2065=C2064,AA2065=AA2064+1))),INDEX(DATAS,AA2064+1),"")</f>
        <v/>
      </c>
      <c r="AI2064" s="51" t="str">
        <f aca="false">IF(AND(AC2064=1,AA2064&lt;1),IF(AND(C2065=C2064,AA2065=AA2064+1),IF(AC2065=1,"",INDEX(DATAS,AA2064+1)),INDEX(DATAS,AA2064+1)),"")</f>
        <v/>
      </c>
    </row>
    <row r="2065" customFormat="false" ht="15" hidden="false" customHeight="false" outlineLevel="0" collapsed="false">
      <c r="A2065" s="51" t="n">
        <v>46309</v>
      </c>
      <c r="B2065" s="0" t="n">
        <v>8</v>
      </c>
      <c r="C2065" s="0" t="n">
        <v>6343</v>
      </c>
      <c r="E2065" s="0" t="n">
        <v>0</v>
      </c>
      <c r="F2065" s="46" t="s">
        <v>1176</v>
      </c>
      <c r="I2065" s="46" t="s">
        <v>152</v>
      </c>
      <c r="L2065" s="0" t="n">
        <v>150</v>
      </c>
      <c r="U2065" s="0" t="n">
        <v>593</v>
      </c>
      <c r="V2065" s="0" t="n">
        <v>2</v>
      </c>
      <c r="W2065" s="51" t="n">
        <v>46117</v>
      </c>
      <c r="X2065" s="46" t="n">
        <f aca="false">IF(I2065="Male",0,1)</f>
        <v>1</v>
      </c>
      <c r="Y2065" s="46" t="n">
        <f aca="false">IF(OR(I2065="DNB",I2065="Dry DNB"),1,0)</f>
        <v>0</v>
      </c>
      <c r="Z2065" s="46" t="n">
        <f aca="false">IF(ISNUMBER(W2065),A2065-W2065,"")</f>
        <v>192</v>
      </c>
      <c r="AA2065" s="46" t="n">
        <f aca="false">MATCH(A2065,DATAS,0)</f>
        <v>1</v>
      </c>
      <c r="AB2065" s="46" t="n">
        <f aca="false">IF(AND(E2065&gt;0,OR(AND(B2065&gt;=1,B2065&lt;=6),B2065=10)),1,0)</f>
        <v>0</v>
      </c>
      <c r="AC2065" s="46" t="n">
        <f aca="false">IF(AND(E2065&gt;0,B2065=10),1,0)</f>
        <v>0</v>
      </c>
      <c r="AD2065" s="0" t="str">
        <f aca="false">IF(AND(C2064=C2065,AA2064=AA2065-1),AB2064,"")</f>
        <v/>
      </c>
      <c r="AE2065" s="0" t="str">
        <f aca="false">IF(AND(C2064=C2065,AA2064=AA2065-1),AC2064,"")</f>
        <v/>
      </c>
      <c r="AF2065" s="0" t="str">
        <f aca="false">IF(AA2065=1,"",IF(AND(AB2065=1,AD2065&lt;&gt;1),1,0))</f>
        <v/>
      </c>
      <c r="AG2065" s="0" t="str">
        <f aca="false">IF(AA2065=1,"",IF(AND(AC2065=1,AE2065&lt;&gt;1),1,0))</f>
        <v/>
      </c>
      <c r="AH2065" s="51" t="str">
        <f aca="false">IF(AND(E2065&gt;0,AA2065&lt;1,NOT(AND(C2066=C2065,AA2066=AA2065+1))),INDEX(DATAS,AA2065+1),"")</f>
        <v/>
      </c>
      <c r="AI2065" s="51" t="str">
        <f aca="false">IF(AND(AC2065=1,AA2065&lt;1),IF(AND(C2066=C2065,AA2066=AA2065+1),IF(AC2066=1,"",INDEX(DATAS,AA2065+1)),INDEX(DATAS,AA2065+1)),"")</f>
        <v/>
      </c>
    </row>
    <row r="2066" customFormat="false" ht="15" hidden="false" customHeight="false" outlineLevel="0" collapsed="false">
      <c r="A2066" s="51" t="n">
        <v>46309</v>
      </c>
      <c r="B2066" s="0" t="n">
        <v>8</v>
      </c>
      <c r="C2066" s="0" t="n">
        <v>6344</v>
      </c>
      <c r="E2066" s="0" t="n">
        <v>0</v>
      </c>
      <c r="F2066" s="46" t="s">
        <v>1176</v>
      </c>
      <c r="I2066" s="46" t="s">
        <v>152</v>
      </c>
      <c r="L2066" s="0" t="n">
        <v>182</v>
      </c>
      <c r="U2066" s="0" t="n">
        <v>593</v>
      </c>
      <c r="V2066" s="0" t="n">
        <v>1</v>
      </c>
      <c r="W2066" s="51" t="n">
        <v>46128</v>
      </c>
      <c r="X2066" s="46" t="n">
        <f aca="false">IF(I2066="Male",0,1)</f>
        <v>1</v>
      </c>
      <c r="Y2066" s="46" t="n">
        <f aca="false">IF(OR(I2066="DNB",I2066="Dry DNB"),1,0)</f>
        <v>0</v>
      </c>
      <c r="Z2066" s="46" t="n">
        <f aca="false">IF(ISNUMBER(W2066),A2066-W2066,"")</f>
        <v>181</v>
      </c>
      <c r="AA2066" s="46" t="n">
        <f aca="false">MATCH(A2066,DATAS,0)</f>
        <v>1</v>
      </c>
      <c r="AB2066" s="46" t="n">
        <f aca="false">IF(AND(E2066&gt;0,OR(AND(B2066&gt;=1,B2066&lt;=6),B2066=10)),1,0)</f>
        <v>0</v>
      </c>
      <c r="AC2066" s="46" t="n">
        <f aca="false">IF(AND(E2066&gt;0,B2066=10),1,0)</f>
        <v>0</v>
      </c>
      <c r="AD2066" s="0" t="str">
        <f aca="false">IF(AND(C2065=C2066,AA2065=AA2066-1),AB2065,"")</f>
        <v/>
      </c>
      <c r="AE2066" s="0" t="str">
        <f aca="false">IF(AND(C2065=C2066,AA2065=AA2066-1),AC2065,"")</f>
        <v/>
      </c>
      <c r="AF2066" s="0" t="str">
        <f aca="false">IF(AA2066=1,"",IF(AND(AB2066=1,AD2066&lt;&gt;1),1,0))</f>
        <v/>
      </c>
      <c r="AG2066" s="0" t="str">
        <f aca="false">IF(AA2066=1,"",IF(AND(AC2066=1,AE2066&lt;&gt;1),1,0))</f>
        <v/>
      </c>
      <c r="AH2066" s="51" t="str">
        <f aca="false">IF(AND(E2066&gt;0,AA2066&lt;1,NOT(AND(C2067=C2066,AA2067=AA2066+1))),INDEX(DATAS,AA2066+1),"")</f>
        <v/>
      </c>
      <c r="AI2066" s="51" t="str">
        <f aca="false">IF(AND(AC2066=1,AA2066&lt;1),IF(AND(C2067=C2066,AA2067=AA2066+1),IF(AC2067=1,"",INDEX(DATAS,AA2066+1)),INDEX(DATAS,AA2066+1)),"")</f>
        <v/>
      </c>
    </row>
    <row r="2067" customFormat="false" ht="15" hidden="false" customHeight="false" outlineLevel="0" collapsed="false">
      <c r="A2067" s="51" t="n">
        <v>46309</v>
      </c>
      <c r="B2067" s="0" t="n">
        <v>8</v>
      </c>
      <c r="C2067" s="0" t="n">
        <v>6345</v>
      </c>
      <c r="E2067" s="0" t="n">
        <v>0</v>
      </c>
      <c r="F2067" s="46" t="s">
        <v>1177</v>
      </c>
      <c r="I2067" s="46" t="s">
        <v>152</v>
      </c>
      <c r="L2067" s="0" t="n">
        <v>192</v>
      </c>
      <c r="U2067" s="0" t="n">
        <v>592</v>
      </c>
      <c r="V2067" s="0" t="n">
        <v>1</v>
      </c>
      <c r="W2067" s="51" t="n">
        <v>46118</v>
      </c>
      <c r="X2067" s="46" t="n">
        <f aca="false">IF(I2067="Male",0,1)</f>
        <v>1</v>
      </c>
      <c r="Y2067" s="46" t="n">
        <f aca="false">IF(OR(I2067="DNB",I2067="Dry DNB"),1,0)</f>
        <v>0</v>
      </c>
      <c r="Z2067" s="46" t="n">
        <f aca="false">IF(ISNUMBER(W2067),A2067-W2067,"")</f>
        <v>191</v>
      </c>
      <c r="AA2067" s="46" t="n">
        <f aca="false">MATCH(A2067,DATAS,0)</f>
        <v>1</v>
      </c>
      <c r="AB2067" s="46" t="n">
        <f aca="false">IF(AND(E2067&gt;0,OR(AND(B2067&gt;=1,B2067&lt;=6),B2067=10)),1,0)</f>
        <v>0</v>
      </c>
      <c r="AC2067" s="46" t="n">
        <f aca="false">IF(AND(E2067&gt;0,B2067=10),1,0)</f>
        <v>0</v>
      </c>
      <c r="AD2067" s="0" t="str">
        <f aca="false">IF(AND(C2066=C2067,AA2066=AA2067-1),AB2066,"")</f>
        <v/>
      </c>
      <c r="AE2067" s="0" t="str">
        <f aca="false">IF(AND(C2066=C2067,AA2066=AA2067-1),AC2066,"")</f>
        <v/>
      </c>
      <c r="AF2067" s="0" t="str">
        <f aca="false">IF(AA2067=1,"",IF(AND(AB2067=1,AD2067&lt;&gt;1),1,0))</f>
        <v/>
      </c>
      <c r="AG2067" s="0" t="str">
        <f aca="false">IF(AA2067=1,"",IF(AND(AC2067=1,AE2067&lt;&gt;1),1,0))</f>
        <v/>
      </c>
      <c r="AH2067" s="51" t="str">
        <f aca="false">IF(AND(E2067&gt;0,AA2067&lt;1,NOT(AND(C2068=C2067,AA2068=AA2067+1))),INDEX(DATAS,AA2067+1),"")</f>
        <v/>
      </c>
      <c r="AI2067" s="51" t="str">
        <f aca="false">IF(AND(AC2067=1,AA2067&lt;1),IF(AND(C2068=C2067,AA2068=AA2067+1),IF(AC2068=1,"",INDEX(DATAS,AA2067+1)),INDEX(DATAS,AA2067+1)),"")</f>
        <v/>
      </c>
    </row>
    <row r="2068" customFormat="false" ht="15" hidden="false" customHeight="false" outlineLevel="0" collapsed="false">
      <c r="A2068" s="51" t="n">
        <v>46309</v>
      </c>
      <c r="B2068" s="0" t="n">
        <v>8</v>
      </c>
      <c r="C2068" s="0" t="n">
        <v>6346</v>
      </c>
      <c r="E2068" s="0" t="n">
        <v>0</v>
      </c>
      <c r="F2068" s="46" t="s">
        <v>1178</v>
      </c>
      <c r="I2068" s="46" t="s">
        <v>152</v>
      </c>
      <c r="L2068" s="0" t="n">
        <v>177</v>
      </c>
      <c r="U2068" s="0" t="n">
        <v>590</v>
      </c>
      <c r="V2068" s="0" t="n">
        <v>2</v>
      </c>
      <c r="W2068" s="51" t="n">
        <v>46133</v>
      </c>
      <c r="X2068" s="46" t="n">
        <f aca="false">IF(I2068="Male",0,1)</f>
        <v>1</v>
      </c>
      <c r="Y2068" s="46" t="n">
        <f aca="false">IF(OR(I2068="DNB",I2068="Dry DNB"),1,0)</f>
        <v>0</v>
      </c>
      <c r="Z2068" s="46" t="n">
        <f aca="false">IF(ISNUMBER(W2068),A2068-W2068,"")</f>
        <v>176</v>
      </c>
      <c r="AA2068" s="46" t="n">
        <f aca="false">MATCH(A2068,DATAS,0)</f>
        <v>1</v>
      </c>
      <c r="AB2068" s="46" t="n">
        <f aca="false">IF(AND(E2068&gt;0,OR(AND(B2068&gt;=1,B2068&lt;=6),B2068=10)),1,0)</f>
        <v>0</v>
      </c>
      <c r="AC2068" s="46" t="n">
        <f aca="false">IF(AND(E2068&gt;0,B2068=10),1,0)</f>
        <v>0</v>
      </c>
      <c r="AD2068" s="0" t="str">
        <f aca="false">IF(AND(C2067=C2068,AA2067=AA2068-1),AB2067,"")</f>
        <v/>
      </c>
      <c r="AE2068" s="0" t="str">
        <f aca="false">IF(AND(C2067=C2068,AA2067=AA2068-1),AC2067,"")</f>
        <v/>
      </c>
      <c r="AF2068" s="0" t="str">
        <f aca="false">IF(AA2068=1,"",IF(AND(AB2068=1,AD2068&lt;&gt;1),1,0))</f>
        <v/>
      </c>
      <c r="AG2068" s="0" t="str">
        <f aca="false">IF(AA2068=1,"",IF(AND(AC2068=1,AE2068&lt;&gt;1),1,0))</f>
        <v/>
      </c>
      <c r="AH2068" s="51" t="str">
        <f aca="false">IF(AND(E2068&gt;0,AA2068&lt;1,NOT(AND(C2069=C2068,AA2069=AA2068+1))),INDEX(DATAS,AA2068+1),"")</f>
        <v/>
      </c>
      <c r="AI2068" s="51" t="str">
        <f aca="false">IF(AND(AC2068=1,AA2068&lt;1),IF(AND(C2069=C2068,AA2069=AA2068+1),IF(AC2069=1,"",INDEX(DATAS,AA2068+1)),INDEX(DATAS,AA2068+1)),"")</f>
        <v/>
      </c>
    </row>
    <row r="2069" customFormat="false" ht="15" hidden="false" customHeight="false" outlineLevel="0" collapsed="false">
      <c r="A2069" s="51" t="n">
        <v>46309</v>
      </c>
      <c r="B2069" s="0" t="n">
        <v>8</v>
      </c>
      <c r="C2069" s="0" t="n">
        <v>6347</v>
      </c>
      <c r="E2069" s="0" t="n">
        <v>0</v>
      </c>
      <c r="F2069" s="46" t="s">
        <v>1178</v>
      </c>
      <c r="I2069" s="46" t="s">
        <v>152</v>
      </c>
      <c r="L2069" s="0" t="n">
        <v>188</v>
      </c>
      <c r="U2069" s="0" t="n">
        <v>590</v>
      </c>
      <c r="V2069" s="0" t="n">
        <v>1</v>
      </c>
      <c r="X2069" s="46" t="n">
        <f aca="false">IF(I2069="Male",0,1)</f>
        <v>1</v>
      </c>
      <c r="Y2069" s="46" t="n">
        <f aca="false">IF(OR(I2069="DNB",I2069="Dry DNB"),1,0)</f>
        <v>0</v>
      </c>
      <c r="Z2069" s="0" t="str">
        <f aca="false">IF(ISNUMBER(W2069),A2069-W2069,"")</f>
        <v/>
      </c>
      <c r="AA2069" s="46" t="n">
        <f aca="false">MATCH(A2069,DATAS,0)</f>
        <v>1</v>
      </c>
      <c r="AB2069" s="46" t="n">
        <f aca="false">IF(AND(E2069&gt;0,OR(AND(B2069&gt;=1,B2069&lt;=6),B2069=10)),1,0)</f>
        <v>0</v>
      </c>
      <c r="AC2069" s="46" t="n">
        <f aca="false">IF(AND(E2069&gt;0,B2069=10),1,0)</f>
        <v>0</v>
      </c>
      <c r="AD2069" s="0" t="str">
        <f aca="false">IF(AND(C2068=C2069,AA2068=AA2069-1),AB2068,"")</f>
        <v/>
      </c>
      <c r="AE2069" s="0" t="str">
        <f aca="false">IF(AND(C2068=C2069,AA2068=AA2069-1),AC2068,"")</f>
        <v/>
      </c>
      <c r="AF2069" s="0" t="str">
        <f aca="false">IF(AA2069=1,"",IF(AND(AB2069=1,AD2069&lt;&gt;1),1,0))</f>
        <v/>
      </c>
      <c r="AG2069" s="0" t="str">
        <f aca="false">IF(AA2069=1,"",IF(AND(AC2069=1,AE2069&lt;&gt;1),1,0))</f>
        <v/>
      </c>
      <c r="AH2069" s="51" t="str">
        <f aca="false">IF(AND(E2069&gt;0,AA2069&lt;1,NOT(AND(C2070=C2069,AA2070=AA2069+1))),INDEX(DATAS,AA2069+1),"")</f>
        <v/>
      </c>
      <c r="AI2069" s="51" t="str">
        <f aca="false">IF(AND(AC2069=1,AA2069&lt;1),IF(AND(C2070=C2069,AA2070=AA2069+1),IF(AC2070=1,"",INDEX(DATAS,AA2069+1)),INDEX(DATAS,AA2069+1)),"")</f>
        <v/>
      </c>
    </row>
    <row r="2070" customFormat="false" ht="15" hidden="false" customHeight="false" outlineLevel="0" collapsed="false">
      <c r="A2070" s="51" t="n">
        <v>46309</v>
      </c>
      <c r="B2070" s="0" t="n">
        <v>8</v>
      </c>
      <c r="C2070" s="0" t="n">
        <v>6348</v>
      </c>
      <c r="E2070" s="0" t="n">
        <v>0</v>
      </c>
      <c r="F2070" s="46" t="s">
        <v>1178</v>
      </c>
      <c r="I2070" s="46" t="s">
        <v>152</v>
      </c>
      <c r="L2070" s="0" t="n">
        <v>163</v>
      </c>
      <c r="U2070" s="0" t="n">
        <v>590</v>
      </c>
      <c r="V2070" s="0" t="n">
        <v>2</v>
      </c>
      <c r="W2070" s="51" t="n">
        <v>46147</v>
      </c>
      <c r="X2070" s="46" t="n">
        <f aca="false">IF(I2070="Male",0,1)</f>
        <v>1</v>
      </c>
      <c r="Y2070" s="46" t="n">
        <f aca="false">IF(OR(I2070="DNB",I2070="Dry DNB"),1,0)</f>
        <v>0</v>
      </c>
      <c r="Z2070" s="46" t="n">
        <f aca="false">IF(ISNUMBER(W2070),A2070-W2070,"")</f>
        <v>162</v>
      </c>
      <c r="AA2070" s="46" t="n">
        <f aca="false">MATCH(A2070,DATAS,0)</f>
        <v>1</v>
      </c>
      <c r="AB2070" s="46" t="n">
        <f aca="false">IF(AND(E2070&gt;0,OR(AND(B2070&gt;=1,B2070&lt;=6),B2070=10)),1,0)</f>
        <v>0</v>
      </c>
      <c r="AC2070" s="46" t="n">
        <f aca="false">IF(AND(E2070&gt;0,B2070=10),1,0)</f>
        <v>0</v>
      </c>
      <c r="AD2070" s="0" t="str">
        <f aca="false">IF(AND(C2069=C2070,AA2069=AA2070-1),AB2069,"")</f>
        <v/>
      </c>
      <c r="AE2070" s="0" t="str">
        <f aca="false">IF(AND(C2069=C2070,AA2069=AA2070-1),AC2069,"")</f>
        <v/>
      </c>
      <c r="AF2070" s="0" t="str">
        <f aca="false">IF(AA2070=1,"",IF(AND(AB2070=1,AD2070&lt;&gt;1),1,0))</f>
        <v/>
      </c>
      <c r="AG2070" s="0" t="str">
        <f aca="false">IF(AA2070=1,"",IF(AND(AC2070=1,AE2070&lt;&gt;1),1,0))</f>
        <v/>
      </c>
      <c r="AH2070" s="51" t="str">
        <f aca="false">IF(AND(E2070&gt;0,AA2070&lt;1,NOT(AND(C2071=C2070,AA2071=AA2070+1))),INDEX(DATAS,AA2070+1),"")</f>
        <v/>
      </c>
      <c r="AI2070" s="51" t="str">
        <f aca="false">IF(AND(AC2070=1,AA2070&lt;1),IF(AND(C2071=C2070,AA2071=AA2070+1),IF(AC2071=1,"",INDEX(DATAS,AA2070+1)),INDEX(DATAS,AA2070+1)),"")</f>
        <v/>
      </c>
    </row>
    <row r="2071" customFormat="false" ht="15" hidden="false" customHeight="false" outlineLevel="0" collapsed="false">
      <c r="A2071" s="51" t="n">
        <v>46309</v>
      </c>
      <c r="B2071" s="0" t="n">
        <v>8</v>
      </c>
      <c r="C2071" s="0" t="n">
        <v>6349</v>
      </c>
      <c r="E2071" s="0" t="n">
        <v>0</v>
      </c>
      <c r="F2071" s="46" t="s">
        <v>1178</v>
      </c>
      <c r="I2071" s="46" t="s">
        <v>152</v>
      </c>
      <c r="L2071" s="0" t="n">
        <v>133</v>
      </c>
      <c r="U2071" s="0" t="n">
        <v>590</v>
      </c>
      <c r="V2071" s="0" t="n">
        <v>3</v>
      </c>
      <c r="W2071" s="51" t="n">
        <v>46177</v>
      </c>
      <c r="X2071" s="46" t="n">
        <f aca="false">IF(I2071="Male",0,1)</f>
        <v>1</v>
      </c>
      <c r="Y2071" s="46" t="n">
        <f aca="false">IF(OR(I2071="DNB",I2071="Dry DNB"),1,0)</f>
        <v>0</v>
      </c>
      <c r="Z2071" s="46" t="n">
        <f aca="false">IF(ISNUMBER(W2071),A2071-W2071,"")</f>
        <v>132</v>
      </c>
      <c r="AA2071" s="46" t="n">
        <f aca="false">MATCH(A2071,DATAS,0)</f>
        <v>1</v>
      </c>
      <c r="AB2071" s="46" t="n">
        <f aca="false">IF(AND(E2071&gt;0,OR(AND(B2071&gt;=1,B2071&lt;=6),B2071=10)),1,0)</f>
        <v>0</v>
      </c>
      <c r="AC2071" s="46" t="n">
        <f aca="false">IF(AND(E2071&gt;0,B2071=10),1,0)</f>
        <v>0</v>
      </c>
      <c r="AD2071" s="0" t="str">
        <f aca="false">IF(AND(C2070=C2071,AA2070=AA2071-1),AB2070,"")</f>
        <v/>
      </c>
      <c r="AE2071" s="0" t="str">
        <f aca="false">IF(AND(C2070=C2071,AA2070=AA2071-1),AC2070,"")</f>
        <v/>
      </c>
      <c r="AF2071" s="0" t="str">
        <f aca="false">IF(AA2071=1,"",IF(AND(AB2071=1,AD2071&lt;&gt;1),1,0))</f>
        <v/>
      </c>
      <c r="AG2071" s="0" t="str">
        <f aca="false">IF(AA2071=1,"",IF(AND(AC2071=1,AE2071&lt;&gt;1),1,0))</f>
        <v/>
      </c>
      <c r="AH2071" s="51" t="str">
        <f aca="false">IF(AND(E2071&gt;0,AA2071&lt;1,NOT(AND(C2072=C2071,AA2072=AA2071+1))),INDEX(DATAS,AA2071+1),"")</f>
        <v/>
      </c>
      <c r="AI2071" s="51" t="str">
        <f aca="false">IF(AND(AC2071=1,AA2071&lt;1),IF(AND(C2072=C2071,AA2072=AA2071+1),IF(AC2072=1,"",INDEX(DATAS,AA2071+1)),INDEX(DATAS,AA2071+1)),"")</f>
        <v/>
      </c>
    </row>
    <row r="2072" customFormat="false" ht="15" hidden="false" customHeight="false" outlineLevel="0" collapsed="false">
      <c r="A2072" s="51" t="n">
        <v>46309</v>
      </c>
      <c r="B2072" s="0" t="n">
        <v>8</v>
      </c>
      <c r="C2072" s="0" t="n">
        <v>6350</v>
      </c>
      <c r="E2072" s="0" t="n">
        <v>0</v>
      </c>
      <c r="F2072" s="46" t="s">
        <v>1178</v>
      </c>
      <c r="I2072" s="46" t="s">
        <v>152</v>
      </c>
      <c r="L2072" s="0" t="n">
        <v>94</v>
      </c>
      <c r="U2072" s="0" t="n">
        <v>590</v>
      </c>
      <c r="V2072" s="0" t="n">
        <v>5</v>
      </c>
      <c r="W2072" s="51" t="n">
        <v>46216</v>
      </c>
      <c r="X2072" s="46" t="n">
        <f aca="false">IF(I2072="Male",0,1)</f>
        <v>1</v>
      </c>
      <c r="Y2072" s="46" t="n">
        <f aca="false">IF(OR(I2072="DNB",I2072="Dry DNB"),1,0)</f>
        <v>0</v>
      </c>
      <c r="Z2072" s="46" t="n">
        <f aca="false">IF(ISNUMBER(W2072),A2072-W2072,"")</f>
        <v>93</v>
      </c>
      <c r="AA2072" s="46" t="n">
        <f aca="false">MATCH(A2072,DATAS,0)</f>
        <v>1</v>
      </c>
      <c r="AB2072" s="46" t="n">
        <f aca="false">IF(AND(E2072&gt;0,OR(AND(B2072&gt;=1,B2072&lt;=6),B2072=10)),1,0)</f>
        <v>0</v>
      </c>
      <c r="AC2072" s="46" t="n">
        <f aca="false">IF(AND(E2072&gt;0,B2072=10),1,0)</f>
        <v>0</v>
      </c>
      <c r="AD2072" s="0" t="str">
        <f aca="false">IF(AND(C2071=C2072,AA2071=AA2072-1),AB2071,"")</f>
        <v/>
      </c>
      <c r="AE2072" s="0" t="str">
        <f aca="false">IF(AND(C2071=C2072,AA2071=AA2072-1),AC2071,"")</f>
        <v/>
      </c>
      <c r="AF2072" s="0" t="str">
        <f aca="false">IF(AA2072=1,"",IF(AND(AB2072=1,AD2072&lt;&gt;1),1,0))</f>
        <v/>
      </c>
      <c r="AG2072" s="0" t="str">
        <f aca="false">IF(AA2072=1,"",IF(AND(AC2072=1,AE2072&lt;&gt;1),1,0))</f>
        <v/>
      </c>
      <c r="AH2072" s="51" t="str">
        <f aca="false">IF(AND(E2072&gt;0,AA2072&lt;1,NOT(AND(C2073=C2072,AA2073=AA2072+1))),INDEX(DATAS,AA2072+1),"")</f>
        <v/>
      </c>
      <c r="AI2072" s="51" t="str">
        <f aca="false">IF(AND(AC2072=1,AA2072&lt;1),IF(AND(C2073=C2072,AA2073=AA2072+1),IF(AC2073=1,"",INDEX(DATAS,AA2072+1)),INDEX(DATAS,AA2072+1)),"")</f>
        <v/>
      </c>
    </row>
    <row r="2073" customFormat="false" ht="15" hidden="false" customHeight="false" outlineLevel="0" collapsed="false">
      <c r="A2073" s="51" t="n">
        <v>46309</v>
      </c>
      <c r="B2073" s="0" t="n">
        <v>8</v>
      </c>
      <c r="C2073" s="0" t="n">
        <v>6351</v>
      </c>
      <c r="E2073" s="0" t="n">
        <v>0</v>
      </c>
      <c r="F2073" s="46" t="s">
        <v>1178</v>
      </c>
      <c r="I2073" s="46" t="s">
        <v>152</v>
      </c>
      <c r="L2073" s="0" t="n">
        <v>163</v>
      </c>
      <c r="U2073" s="0" t="n">
        <v>590</v>
      </c>
      <c r="V2073" s="0" t="n">
        <v>2</v>
      </c>
      <c r="W2073" s="51" t="n">
        <v>46147</v>
      </c>
      <c r="X2073" s="46" t="n">
        <f aca="false">IF(I2073="Male",0,1)</f>
        <v>1</v>
      </c>
      <c r="Y2073" s="46" t="n">
        <f aca="false">IF(OR(I2073="DNB",I2073="Dry DNB"),1,0)</f>
        <v>0</v>
      </c>
      <c r="Z2073" s="46" t="n">
        <f aca="false">IF(ISNUMBER(W2073),A2073-W2073,"")</f>
        <v>162</v>
      </c>
      <c r="AA2073" s="46" t="n">
        <f aca="false">MATCH(A2073,DATAS,0)</f>
        <v>1</v>
      </c>
      <c r="AB2073" s="46" t="n">
        <f aca="false">IF(AND(E2073&gt;0,OR(AND(B2073&gt;=1,B2073&lt;=6),B2073=10)),1,0)</f>
        <v>0</v>
      </c>
      <c r="AC2073" s="46" t="n">
        <f aca="false">IF(AND(E2073&gt;0,B2073=10),1,0)</f>
        <v>0</v>
      </c>
      <c r="AD2073" s="0" t="str">
        <f aca="false">IF(AND(C2072=C2073,AA2072=AA2073-1),AB2072,"")</f>
        <v/>
      </c>
      <c r="AE2073" s="0" t="str">
        <f aca="false">IF(AND(C2072=C2073,AA2072=AA2073-1),AC2072,"")</f>
        <v/>
      </c>
      <c r="AF2073" s="0" t="str">
        <f aca="false">IF(AA2073=1,"",IF(AND(AB2073=1,AD2073&lt;&gt;1),1,0))</f>
        <v/>
      </c>
      <c r="AG2073" s="0" t="str">
        <f aca="false">IF(AA2073=1,"",IF(AND(AC2073=1,AE2073&lt;&gt;1),1,0))</f>
        <v/>
      </c>
      <c r="AH2073" s="51" t="str">
        <f aca="false">IF(AND(E2073&gt;0,AA2073&lt;1,NOT(AND(C2074=C2073,AA2074=AA2073+1))),INDEX(DATAS,AA2073+1),"")</f>
        <v/>
      </c>
      <c r="AI2073" s="51" t="str">
        <f aca="false">IF(AND(AC2073=1,AA2073&lt;1),IF(AND(C2074=C2073,AA2074=AA2073+1),IF(AC2074=1,"",INDEX(DATAS,AA2073+1)),INDEX(DATAS,AA2073+1)),"")</f>
        <v/>
      </c>
    </row>
    <row r="2074" customFormat="false" ht="15" hidden="false" customHeight="false" outlineLevel="0" collapsed="false">
      <c r="A2074" s="51" t="n">
        <v>46309</v>
      </c>
      <c r="B2074" s="0" t="n">
        <v>8</v>
      </c>
      <c r="C2074" s="0" t="n">
        <v>6353</v>
      </c>
      <c r="E2074" s="0" t="n">
        <v>0</v>
      </c>
      <c r="F2074" s="46" t="s">
        <v>1178</v>
      </c>
      <c r="I2074" s="46" t="s">
        <v>152</v>
      </c>
      <c r="L2074" s="0" t="n">
        <v>133</v>
      </c>
      <c r="U2074" s="0" t="n">
        <v>590</v>
      </c>
      <c r="V2074" s="0" t="n">
        <v>2</v>
      </c>
      <c r="W2074" s="51" t="n">
        <v>46177</v>
      </c>
      <c r="X2074" s="46" t="n">
        <f aca="false">IF(I2074="Male",0,1)</f>
        <v>1</v>
      </c>
      <c r="Y2074" s="46" t="n">
        <f aca="false">IF(OR(I2074="DNB",I2074="Dry DNB"),1,0)</f>
        <v>0</v>
      </c>
      <c r="Z2074" s="46" t="n">
        <f aca="false">IF(ISNUMBER(W2074),A2074-W2074,"")</f>
        <v>132</v>
      </c>
      <c r="AA2074" s="46" t="n">
        <f aca="false">MATCH(A2074,DATAS,0)</f>
        <v>1</v>
      </c>
      <c r="AB2074" s="46" t="n">
        <f aca="false">IF(AND(E2074&gt;0,OR(AND(B2074&gt;=1,B2074&lt;=6),B2074=10)),1,0)</f>
        <v>0</v>
      </c>
      <c r="AC2074" s="46" t="n">
        <f aca="false">IF(AND(E2074&gt;0,B2074=10),1,0)</f>
        <v>0</v>
      </c>
      <c r="AD2074" s="0" t="str">
        <f aca="false">IF(AND(C2073=C2074,AA2073=AA2074-1),AB2073,"")</f>
        <v/>
      </c>
      <c r="AE2074" s="0" t="str">
        <f aca="false">IF(AND(C2073=C2074,AA2073=AA2074-1),AC2073,"")</f>
        <v/>
      </c>
      <c r="AF2074" s="0" t="str">
        <f aca="false">IF(AA2074=1,"",IF(AND(AB2074=1,AD2074&lt;&gt;1),1,0))</f>
        <v/>
      </c>
      <c r="AG2074" s="0" t="str">
        <f aca="false">IF(AA2074=1,"",IF(AND(AC2074=1,AE2074&lt;&gt;1),1,0))</f>
        <v/>
      </c>
      <c r="AH2074" s="51" t="str">
        <f aca="false">IF(AND(E2074&gt;0,AA2074&lt;1,NOT(AND(C2075=C2074,AA2075=AA2074+1))),INDEX(DATAS,AA2074+1),"")</f>
        <v/>
      </c>
      <c r="AI2074" s="51" t="str">
        <f aca="false">IF(AND(AC2074=1,AA2074&lt;1),IF(AND(C2075=C2074,AA2075=AA2074+1),IF(AC2075=1,"",INDEX(DATAS,AA2074+1)),INDEX(DATAS,AA2074+1)),"")</f>
        <v/>
      </c>
    </row>
    <row r="2075" customFormat="false" ht="15" hidden="false" customHeight="false" outlineLevel="0" collapsed="false">
      <c r="A2075" s="51" t="n">
        <v>46309</v>
      </c>
      <c r="B2075" s="0" t="n">
        <v>8</v>
      </c>
      <c r="C2075" s="0" t="n">
        <v>6355</v>
      </c>
      <c r="E2075" s="0" t="n">
        <v>0</v>
      </c>
      <c r="F2075" s="46" t="s">
        <v>1178</v>
      </c>
      <c r="I2075" s="46" t="s">
        <v>152</v>
      </c>
      <c r="L2075" s="0" t="n">
        <v>191</v>
      </c>
      <c r="U2075" s="0" t="n">
        <v>590</v>
      </c>
      <c r="V2075" s="0" t="n">
        <v>1</v>
      </c>
      <c r="W2075" s="51" t="n">
        <v>46119</v>
      </c>
      <c r="X2075" s="46" t="n">
        <f aca="false">IF(I2075="Male",0,1)</f>
        <v>1</v>
      </c>
      <c r="Y2075" s="46" t="n">
        <f aca="false">IF(OR(I2075="DNB",I2075="Dry DNB"),1,0)</f>
        <v>0</v>
      </c>
      <c r="Z2075" s="46" t="n">
        <f aca="false">IF(ISNUMBER(W2075),A2075-W2075,"")</f>
        <v>190</v>
      </c>
      <c r="AA2075" s="46" t="n">
        <f aca="false">MATCH(A2075,DATAS,0)</f>
        <v>1</v>
      </c>
      <c r="AB2075" s="46" t="n">
        <f aca="false">IF(AND(E2075&gt;0,OR(AND(B2075&gt;=1,B2075&lt;=6),B2075=10)),1,0)</f>
        <v>0</v>
      </c>
      <c r="AC2075" s="46" t="n">
        <f aca="false">IF(AND(E2075&gt;0,B2075=10),1,0)</f>
        <v>0</v>
      </c>
      <c r="AD2075" s="0" t="str">
        <f aca="false">IF(AND(C2074=C2075,AA2074=AA2075-1),AB2074,"")</f>
        <v/>
      </c>
      <c r="AE2075" s="0" t="str">
        <f aca="false">IF(AND(C2074=C2075,AA2074=AA2075-1),AC2074,"")</f>
        <v/>
      </c>
      <c r="AF2075" s="0" t="str">
        <f aca="false">IF(AA2075=1,"",IF(AND(AB2075=1,AD2075&lt;&gt;1),1,0))</f>
        <v/>
      </c>
      <c r="AG2075" s="0" t="str">
        <f aca="false">IF(AA2075=1,"",IF(AND(AC2075=1,AE2075&lt;&gt;1),1,0))</f>
        <v/>
      </c>
      <c r="AH2075" s="51" t="str">
        <f aca="false">IF(AND(E2075&gt;0,AA2075&lt;1,NOT(AND(C2076=C2075,AA2076=AA2075+1))),INDEX(DATAS,AA2075+1),"")</f>
        <v/>
      </c>
      <c r="AI2075" s="51" t="str">
        <f aca="false">IF(AND(AC2075=1,AA2075&lt;1),IF(AND(C2076=C2075,AA2076=AA2075+1),IF(AC2076=1,"",INDEX(DATAS,AA2075+1)),INDEX(DATAS,AA2075+1)),"")</f>
        <v/>
      </c>
    </row>
    <row r="2076" customFormat="false" ht="15" hidden="false" customHeight="false" outlineLevel="0" collapsed="false">
      <c r="A2076" s="51" t="n">
        <v>46309</v>
      </c>
      <c r="B2076" s="0" t="n">
        <v>8</v>
      </c>
      <c r="C2076" s="0" t="n">
        <v>6356</v>
      </c>
      <c r="E2076" s="0" t="n">
        <v>0</v>
      </c>
      <c r="F2076" s="46" t="s">
        <v>1178</v>
      </c>
      <c r="I2076" s="46" t="s">
        <v>152</v>
      </c>
      <c r="L2076" s="0" t="n">
        <v>150</v>
      </c>
      <c r="U2076" s="0" t="n">
        <v>590</v>
      </c>
      <c r="V2076" s="0" t="n">
        <v>2</v>
      </c>
      <c r="W2076" s="51" t="n">
        <v>46121</v>
      </c>
      <c r="X2076" s="46" t="n">
        <f aca="false">IF(I2076="Male",0,1)</f>
        <v>1</v>
      </c>
      <c r="Y2076" s="46" t="n">
        <f aca="false">IF(OR(I2076="DNB",I2076="Dry DNB"),1,0)</f>
        <v>0</v>
      </c>
      <c r="Z2076" s="46" t="n">
        <f aca="false">IF(ISNUMBER(W2076),A2076-W2076,"")</f>
        <v>188</v>
      </c>
      <c r="AA2076" s="46" t="n">
        <f aca="false">MATCH(A2076,DATAS,0)</f>
        <v>1</v>
      </c>
      <c r="AB2076" s="46" t="n">
        <f aca="false">IF(AND(E2076&gt;0,OR(AND(B2076&gt;=1,B2076&lt;=6),B2076=10)),1,0)</f>
        <v>0</v>
      </c>
      <c r="AC2076" s="46" t="n">
        <f aca="false">IF(AND(E2076&gt;0,B2076=10),1,0)</f>
        <v>0</v>
      </c>
      <c r="AD2076" s="0" t="str">
        <f aca="false">IF(AND(C2075=C2076,AA2075=AA2076-1),AB2075,"")</f>
        <v/>
      </c>
      <c r="AE2076" s="0" t="str">
        <f aca="false">IF(AND(C2075=C2076,AA2075=AA2076-1),AC2075,"")</f>
        <v/>
      </c>
      <c r="AF2076" s="0" t="str">
        <f aca="false">IF(AA2076=1,"",IF(AND(AB2076=1,AD2076&lt;&gt;1),1,0))</f>
        <v/>
      </c>
      <c r="AG2076" s="0" t="str">
        <f aca="false">IF(AA2076=1,"",IF(AND(AC2076=1,AE2076&lt;&gt;1),1,0))</f>
        <v/>
      </c>
      <c r="AH2076" s="51" t="str">
        <f aca="false">IF(AND(E2076&gt;0,AA2076&lt;1,NOT(AND(C2077=C2076,AA2077=AA2076+1))),INDEX(DATAS,AA2076+1),"")</f>
        <v/>
      </c>
      <c r="AI2076" s="51" t="str">
        <f aca="false">IF(AND(AC2076=1,AA2076&lt;1),IF(AND(C2077=C2076,AA2077=AA2076+1),IF(AC2077=1,"",INDEX(DATAS,AA2076+1)),INDEX(DATAS,AA2076+1)),"")</f>
        <v/>
      </c>
    </row>
    <row r="2077" customFormat="false" ht="15" hidden="false" customHeight="false" outlineLevel="0" collapsed="false">
      <c r="A2077" s="51" t="n">
        <v>46309</v>
      </c>
      <c r="B2077" s="0" t="n">
        <v>8</v>
      </c>
      <c r="C2077" s="0" t="n">
        <v>6357</v>
      </c>
      <c r="E2077" s="0" t="n">
        <v>0</v>
      </c>
      <c r="F2077" s="46" t="s">
        <v>1179</v>
      </c>
      <c r="I2077" s="46" t="s">
        <v>152</v>
      </c>
      <c r="L2077" s="0" t="n">
        <v>184</v>
      </c>
      <c r="U2077" s="0" t="n">
        <v>589</v>
      </c>
      <c r="V2077" s="0" t="n">
        <v>1</v>
      </c>
      <c r="W2077" s="51" t="n">
        <v>46126</v>
      </c>
      <c r="X2077" s="46" t="n">
        <f aca="false">IF(I2077="Male",0,1)</f>
        <v>1</v>
      </c>
      <c r="Y2077" s="46" t="n">
        <f aca="false">IF(OR(I2077="DNB",I2077="Dry DNB"),1,0)</f>
        <v>0</v>
      </c>
      <c r="Z2077" s="46" t="n">
        <f aca="false">IF(ISNUMBER(W2077),A2077-W2077,"")</f>
        <v>183</v>
      </c>
      <c r="AA2077" s="46" t="n">
        <f aca="false">MATCH(A2077,DATAS,0)</f>
        <v>1</v>
      </c>
      <c r="AB2077" s="46" t="n">
        <f aca="false">IF(AND(E2077&gt;0,OR(AND(B2077&gt;=1,B2077&lt;=6),B2077=10)),1,0)</f>
        <v>0</v>
      </c>
      <c r="AC2077" s="46" t="n">
        <f aca="false">IF(AND(E2077&gt;0,B2077=10),1,0)</f>
        <v>0</v>
      </c>
      <c r="AD2077" s="0" t="str">
        <f aca="false">IF(AND(C2076=C2077,AA2076=AA2077-1),AB2076,"")</f>
        <v/>
      </c>
      <c r="AE2077" s="0" t="str">
        <f aca="false">IF(AND(C2076=C2077,AA2076=AA2077-1),AC2076,"")</f>
        <v/>
      </c>
      <c r="AF2077" s="0" t="str">
        <f aca="false">IF(AA2077=1,"",IF(AND(AB2077=1,AD2077&lt;&gt;1),1,0))</f>
        <v/>
      </c>
      <c r="AG2077" s="0" t="str">
        <f aca="false">IF(AA2077=1,"",IF(AND(AC2077=1,AE2077&lt;&gt;1),1,0))</f>
        <v/>
      </c>
      <c r="AH2077" s="51" t="str">
        <f aca="false">IF(AND(E2077&gt;0,AA2077&lt;1,NOT(AND(C2078=C2077,AA2078=AA2077+1))),INDEX(DATAS,AA2077+1),"")</f>
        <v/>
      </c>
      <c r="AI2077" s="51" t="str">
        <f aca="false">IF(AND(AC2077=1,AA2077&lt;1),IF(AND(C2078=C2077,AA2078=AA2077+1),IF(AC2078=1,"",INDEX(DATAS,AA2077+1)),INDEX(DATAS,AA2077+1)),"")</f>
        <v/>
      </c>
    </row>
    <row r="2078" customFormat="false" ht="15" hidden="false" customHeight="false" outlineLevel="0" collapsed="false">
      <c r="A2078" s="51" t="n">
        <v>46309</v>
      </c>
      <c r="B2078" s="0" t="n">
        <v>8</v>
      </c>
      <c r="C2078" s="0" t="n">
        <v>6358</v>
      </c>
      <c r="E2078" s="0" t="n">
        <v>0</v>
      </c>
      <c r="F2078" s="46" t="s">
        <v>1179</v>
      </c>
      <c r="I2078" s="46" t="s">
        <v>152</v>
      </c>
      <c r="L2078" s="0" t="n">
        <v>182</v>
      </c>
      <c r="U2078" s="0" t="n">
        <v>589</v>
      </c>
      <c r="V2078" s="0" t="n">
        <v>1</v>
      </c>
      <c r="W2078" s="51" t="n">
        <v>46128</v>
      </c>
      <c r="X2078" s="46" t="n">
        <f aca="false">IF(I2078="Male",0,1)</f>
        <v>1</v>
      </c>
      <c r="Y2078" s="46" t="n">
        <f aca="false">IF(OR(I2078="DNB",I2078="Dry DNB"),1,0)</f>
        <v>0</v>
      </c>
      <c r="Z2078" s="46" t="n">
        <f aca="false">IF(ISNUMBER(W2078),A2078-W2078,"")</f>
        <v>181</v>
      </c>
      <c r="AA2078" s="46" t="n">
        <f aca="false">MATCH(A2078,DATAS,0)</f>
        <v>1</v>
      </c>
      <c r="AB2078" s="46" t="n">
        <f aca="false">IF(AND(E2078&gt;0,OR(AND(B2078&gt;=1,B2078&lt;=6),B2078=10)),1,0)</f>
        <v>0</v>
      </c>
      <c r="AC2078" s="46" t="n">
        <f aca="false">IF(AND(E2078&gt;0,B2078=10),1,0)</f>
        <v>0</v>
      </c>
      <c r="AD2078" s="0" t="str">
        <f aca="false">IF(AND(C2077=C2078,AA2077=AA2078-1),AB2077,"")</f>
        <v/>
      </c>
      <c r="AE2078" s="0" t="str">
        <f aca="false">IF(AND(C2077=C2078,AA2077=AA2078-1),AC2077,"")</f>
        <v/>
      </c>
      <c r="AF2078" s="0" t="str">
        <f aca="false">IF(AA2078=1,"",IF(AND(AB2078=1,AD2078&lt;&gt;1),1,0))</f>
        <v/>
      </c>
      <c r="AG2078" s="0" t="str">
        <f aca="false">IF(AA2078=1,"",IF(AND(AC2078=1,AE2078&lt;&gt;1),1,0))</f>
        <v/>
      </c>
      <c r="AH2078" s="51" t="str">
        <f aca="false">IF(AND(E2078&gt;0,AA2078&lt;1,NOT(AND(C2079=C2078,AA2079=AA2078+1))),INDEX(DATAS,AA2078+1),"")</f>
        <v/>
      </c>
      <c r="AI2078" s="51" t="str">
        <f aca="false">IF(AND(AC2078=1,AA2078&lt;1),IF(AND(C2079=C2078,AA2079=AA2078+1),IF(AC2079=1,"",INDEX(DATAS,AA2078+1)),INDEX(DATAS,AA2078+1)),"")</f>
        <v/>
      </c>
    </row>
    <row r="2079" customFormat="false" ht="15" hidden="false" customHeight="false" outlineLevel="0" collapsed="false">
      <c r="A2079" s="51" t="n">
        <v>46309</v>
      </c>
      <c r="B2079" s="0" t="n">
        <v>8</v>
      </c>
      <c r="C2079" s="0" t="n">
        <v>6359</v>
      </c>
      <c r="E2079" s="0" t="n">
        <v>0</v>
      </c>
      <c r="F2079" s="46" t="s">
        <v>1180</v>
      </c>
      <c r="I2079" s="46" t="s">
        <v>152</v>
      </c>
      <c r="L2079" s="0" t="n">
        <v>160</v>
      </c>
      <c r="U2079" s="0" t="n">
        <v>587</v>
      </c>
      <c r="V2079" s="0" t="n">
        <v>2</v>
      </c>
      <c r="W2079" s="51" t="n">
        <v>46150</v>
      </c>
      <c r="X2079" s="46" t="n">
        <f aca="false">IF(I2079="Male",0,1)</f>
        <v>1</v>
      </c>
      <c r="Y2079" s="46" t="n">
        <f aca="false">IF(OR(I2079="DNB",I2079="Dry DNB"),1,0)</f>
        <v>0</v>
      </c>
      <c r="Z2079" s="46" t="n">
        <f aca="false">IF(ISNUMBER(W2079),A2079-W2079,"")</f>
        <v>159</v>
      </c>
      <c r="AA2079" s="46" t="n">
        <f aca="false">MATCH(A2079,DATAS,0)</f>
        <v>1</v>
      </c>
      <c r="AB2079" s="46" t="n">
        <f aca="false">IF(AND(E2079&gt;0,OR(AND(B2079&gt;=1,B2079&lt;=6),B2079=10)),1,0)</f>
        <v>0</v>
      </c>
      <c r="AC2079" s="46" t="n">
        <f aca="false">IF(AND(E2079&gt;0,B2079=10),1,0)</f>
        <v>0</v>
      </c>
      <c r="AD2079" s="0" t="str">
        <f aca="false">IF(AND(C2078=C2079,AA2078=AA2079-1),AB2078,"")</f>
        <v/>
      </c>
      <c r="AE2079" s="0" t="str">
        <f aca="false">IF(AND(C2078=C2079,AA2078=AA2079-1),AC2078,"")</f>
        <v/>
      </c>
      <c r="AF2079" s="0" t="str">
        <f aca="false">IF(AA2079=1,"",IF(AND(AB2079=1,AD2079&lt;&gt;1),1,0))</f>
        <v/>
      </c>
      <c r="AG2079" s="0" t="str">
        <f aca="false">IF(AA2079=1,"",IF(AND(AC2079=1,AE2079&lt;&gt;1),1,0))</f>
        <v/>
      </c>
      <c r="AH2079" s="51" t="str">
        <f aca="false">IF(AND(E2079&gt;0,AA2079&lt;1,NOT(AND(C2080=C2079,AA2080=AA2079+1))),INDEX(DATAS,AA2079+1),"")</f>
        <v/>
      </c>
      <c r="AI2079" s="51" t="str">
        <f aca="false">IF(AND(AC2079=1,AA2079&lt;1),IF(AND(C2080=C2079,AA2080=AA2079+1),IF(AC2080=1,"",INDEX(DATAS,AA2079+1)),INDEX(DATAS,AA2079+1)),"")</f>
        <v/>
      </c>
    </row>
    <row r="2080" customFormat="false" ht="15" hidden="false" customHeight="false" outlineLevel="0" collapsed="false">
      <c r="A2080" s="51" t="n">
        <v>46309</v>
      </c>
      <c r="B2080" s="0" t="n">
        <v>8</v>
      </c>
      <c r="C2080" s="0" t="n">
        <v>6360</v>
      </c>
      <c r="E2080" s="0" t="n">
        <v>0</v>
      </c>
      <c r="F2080" s="46" t="s">
        <v>1180</v>
      </c>
      <c r="I2080" s="46" t="s">
        <v>152</v>
      </c>
      <c r="L2080" s="0" t="n">
        <v>122</v>
      </c>
      <c r="U2080" s="0" t="n">
        <v>587</v>
      </c>
      <c r="V2080" s="0" t="n">
        <v>4</v>
      </c>
      <c r="W2080" s="51" t="n">
        <v>46188</v>
      </c>
      <c r="X2080" s="46" t="n">
        <f aca="false">IF(I2080="Male",0,1)</f>
        <v>1</v>
      </c>
      <c r="Y2080" s="46" t="n">
        <f aca="false">IF(OR(I2080="DNB",I2080="Dry DNB"),1,0)</f>
        <v>0</v>
      </c>
      <c r="Z2080" s="46" t="n">
        <f aca="false">IF(ISNUMBER(W2080),A2080-W2080,"")</f>
        <v>121</v>
      </c>
      <c r="AA2080" s="46" t="n">
        <f aca="false">MATCH(A2080,DATAS,0)</f>
        <v>1</v>
      </c>
      <c r="AB2080" s="46" t="n">
        <f aca="false">IF(AND(E2080&gt;0,OR(AND(B2080&gt;=1,B2080&lt;=6),B2080=10)),1,0)</f>
        <v>0</v>
      </c>
      <c r="AC2080" s="46" t="n">
        <f aca="false">IF(AND(E2080&gt;0,B2080=10),1,0)</f>
        <v>0</v>
      </c>
      <c r="AD2080" s="0" t="str">
        <f aca="false">IF(AND(C2079=C2080,AA2079=AA2080-1),AB2079,"")</f>
        <v/>
      </c>
      <c r="AE2080" s="0" t="str">
        <f aca="false">IF(AND(C2079=C2080,AA2079=AA2080-1),AC2079,"")</f>
        <v/>
      </c>
      <c r="AF2080" s="0" t="str">
        <f aca="false">IF(AA2080=1,"",IF(AND(AB2080=1,AD2080&lt;&gt;1),1,0))</f>
        <v/>
      </c>
      <c r="AG2080" s="0" t="str">
        <f aca="false">IF(AA2080=1,"",IF(AND(AC2080=1,AE2080&lt;&gt;1),1,0))</f>
        <v/>
      </c>
      <c r="AH2080" s="51" t="str">
        <f aca="false">IF(AND(E2080&gt;0,AA2080&lt;1,NOT(AND(C2081=C2080,AA2081=AA2080+1))),INDEX(DATAS,AA2080+1),"")</f>
        <v/>
      </c>
      <c r="AI2080" s="51" t="str">
        <f aca="false">IF(AND(AC2080=1,AA2080&lt;1),IF(AND(C2081=C2080,AA2081=AA2080+1),IF(AC2081=1,"",INDEX(DATAS,AA2080+1)),INDEX(DATAS,AA2080+1)),"")</f>
        <v/>
      </c>
    </row>
    <row r="2081" customFormat="false" ht="15" hidden="false" customHeight="false" outlineLevel="0" collapsed="false">
      <c r="A2081" s="51" t="n">
        <v>46309</v>
      </c>
      <c r="B2081" s="0" t="n">
        <v>8</v>
      </c>
      <c r="C2081" s="0" t="n">
        <v>6361</v>
      </c>
      <c r="E2081" s="0" t="n">
        <v>0</v>
      </c>
      <c r="F2081" s="46" t="s">
        <v>1180</v>
      </c>
      <c r="I2081" s="46" t="s">
        <v>152</v>
      </c>
      <c r="L2081" s="0" t="n">
        <v>147</v>
      </c>
      <c r="U2081" s="0" t="n">
        <v>587</v>
      </c>
      <c r="V2081" s="0" t="n">
        <v>1</v>
      </c>
      <c r="W2081" s="51" t="n">
        <v>46163</v>
      </c>
      <c r="X2081" s="46" t="n">
        <f aca="false">IF(I2081="Male",0,1)</f>
        <v>1</v>
      </c>
      <c r="Y2081" s="46" t="n">
        <f aca="false">IF(OR(I2081="DNB",I2081="Dry DNB"),1,0)</f>
        <v>0</v>
      </c>
      <c r="Z2081" s="46" t="n">
        <f aca="false">IF(ISNUMBER(W2081),A2081-W2081,"")</f>
        <v>146</v>
      </c>
      <c r="AA2081" s="46" t="n">
        <f aca="false">MATCH(A2081,DATAS,0)</f>
        <v>1</v>
      </c>
      <c r="AB2081" s="46" t="n">
        <f aca="false">IF(AND(E2081&gt;0,OR(AND(B2081&gt;=1,B2081&lt;=6),B2081=10)),1,0)</f>
        <v>0</v>
      </c>
      <c r="AC2081" s="46" t="n">
        <f aca="false">IF(AND(E2081&gt;0,B2081=10),1,0)</f>
        <v>0</v>
      </c>
      <c r="AD2081" s="0" t="str">
        <f aca="false">IF(AND(C2080=C2081,AA2080=AA2081-1),AB2080,"")</f>
        <v/>
      </c>
      <c r="AE2081" s="0" t="str">
        <f aca="false">IF(AND(C2080=C2081,AA2080=AA2081-1),AC2080,"")</f>
        <v/>
      </c>
      <c r="AF2081" s="0" t="str">
        <f aca="false">IF(AA2081=1,"",IF(AND(AB2081=1,AD2081&lt;&gt;1),1,0))</f>
        <v/>
      </c>
      <c r="AG2081" s="0" t="str">
        <f aca="false">IF(AA2081=1,"",IF(AND(AC2081=1,AE2081&lt;&gt;1),1,0))</f>
        <v/>
      </c>
      <c r="AH2081" s="51" t="str">
        <f aca="false">IF(AND(E2081&gt;0,AA2081&lt;1,NOT(AND(C2082=C2081,AA2082=AA2081+1))),INDEX(DATAS,AA2081+1),"")</f>
        <v/>
      </c>
      <c r="AI2081" s="51" t="str">
        <f aca="false">IF(AND(AC2081=1,AA2081&lt;1),IF(AND(C2082=C2081,AA2082=AA2081+1),IF(AC2082=1,"",INDEX(DATAS,AA2081+1)),INDEX(DATAS,AA2081+1)),"")</f>
        <v/>
      </c>
    </row>
    <row r="2082" customFormat="false" ht="15" hidden="false" customHeight="false" outlineLevel="0" collapsed="false">
      <c r="A2082" s="51" t="n">
        <v>46309</v>
      </c>
      <c r="B2082" s="0" t="n">
        <v>8</v>
      </c>
      <c r="C2082" s="0" t="n">
        <v>6362</v>
      </c>
      <c r="E2082" s="0" t="n">
        <v>0</v>
      </c>
      <c r="F2082" s="46" t="s">
        <v>1180</v>
      </c>
      <c r="I2082" s="46" t="s">
        <v>152</v>
      </c>
      <c r="L2082" s="0" t="n">
        <v>184</v>
      </c>
      <c r="U2082" s="0" t="n">
        <v>587</v>
      </c>
      <c r="V2082" s="0" t="n">
        <v>1</v>
      </c>
      <c r="W2082" s="51" t="n">
        <v>46126</v>
      </c>
      <c r="X2082" s="46" t="n">
        <f aca="false">IF(I2082="Male",0,1)</f>
        <v>1</v>
      </c>
      <c r="Y2082" s="46" t="n">
        <f aca="false">IF(OR(I2082="DNB",I2082="Dry DNB"),1,0)</f>
        <v>0</v>
      </c>
      <c r="Z2082" s="46" t="n">
        <f aca="false">IF(ISNUMBER(W2082),A2082-W2082,"")</f>
        <v>183</v>
      </c>
      <c r="AA2082" s="46" t="n">
        <f aca="false">MATCH(A2082,DATAS,0)</f>
        <v>1</v>
      </c>
      <c r="AB2082" s="46" t="n">
        <f aca="false">IF(AND(E2082&gt;0,OR(AND(B2082&gt;=1,B2082&lt;=6),B2082=10)),1,0)</f>
        <v>0</v>
      </c>
      <c r="AC2082" s="46" t="n">
        <f aca="false">IF(AND(E2082&gt;0,B2082=10),1,0)</f>
        <v>0</v>
      </c>
      <c r="AD2082" s="0" t="str">
        <f aca="false">IF(AND(C2081=C2082,AA2081=AA2082-1),AB2081,"")</f>
        <v/>
      </c>
      <c r="AE2082" s="0" t="str">
        <f aca="false">IF(AND(C2081=C2082,AA2081=AA2082-1),AC2081,"")</f>
        <v/>
      </c>
      <c r="AF2082" s="0" t="str">
        <f aca="false">IF(AA2082=1,"",IF(AND(AB2082=1,AD2082&lt;&gt;1),1,0))</f>
        <v/>
      </c>
      <c r="AG2082" s="0" t="str">
        <f aca="false">IF(AA2082=1,"",IF(AND(AC2082=1,AE2082&lt;&gt;1),1,0))</f>
        <v/>
      </c>
      <c r="AH2082" s="51" t="str">
        <f aca="false">IF(AND(E2082&gt;0,AA2082&lt;1,NOT(AND(C2083=C2082,AA2083=AA2082+1))),INDEX(DATAS,AA2082+1),"")</f>
        <v/>
      </c>
      <c r="AI2082" s="51" t="str">
        <f aca="false">IF(AND(AC2082=1,AA2082&lt;1),IF(AND(C2083=C2082,AA2083=AA2082+1),IF(AC2083=1,"",INDEX(DATAS,AA2082+1)),INDEX(DATAS,AA2082+1)),"")</f>
        <v/>
      </c>
    </row>
    <row r="2083" customFormat="false" ht="15" hidden="false" customHeight="false" outlineLevel="0" collapsed="false">
      <c r="A2083" s="51" t="n">
        <v>46309</v>
      </c>
      <c r="B2083" s="0" t="n">
        <v>8</v>
      </c>
      <c r="C2083" s="0" t="n">
        <v>6363</v>
      </c>
      <c r="E2083" s="0" t="n">
        <v>0</v>
      </c>
      <c r="F2083" s="46" t="s">
        <v>1180</v>
      </c>
      <c r="I2083" s="46" t="s">
        <v>152</v>
      </c>
      <c r="L2083" s="0" t="n">
        <v>190</v>
      </c>
      <c r="U2083" s="0" t="n">
        <v>587</v>
      </c>
      <c r="V2083" s="0" t="n">
        <v>1</v>
      </c>
      <c r="W2083" s="51" t="n">
        <v>46120</v>
      </c>
      <c r="X2083" s="46" t="n">
        <f aca="false">IF(I2083="Male",0,1)</f>
        <v>1</v>
      </c>
      <c r="Y2083" s="46" t="n">
        <f aca="false">IF(OR(I2083="DNB",I2083="Dry DNB"),1,0)</f>
        <v>0</v>
      </c>
      <c r="Z2083" s="46" t="n">
        <f aca="false">IF(ISNUMBER(W2083),A2083-W2083,"")</f>
        <v>189</v>
      </c>
      <c r="AA2083" s="46" t="n">
        <f aca="false">MATCH(A2083,DATAS,0)</f>
        <v>1</v>
      </c>
      <c r="AB2083" s="46" t="n">
        <f aca="false">IF(AND(E2083&gt;0,OR(AND(B2083&gt;=1,B2083&lt;=6),B2083=10)),1,0)</f>
        <v>0</v>
      </c>
      <c r="AC2083" s="46" t="n">
        <f aca="false">IF(AND(E2083&gt;0,B2083=10),1,0)</f>
        <v>0</v>
      </c>
      <c r="AD2083" s="0" t="str">
        <f aca="false">IF(AND(C2082=C2083,AA2082=AA2083-1),AB2082,"")</f>
        <v/>
      </c>
      <c r="AE2083" s="0" t="str">
        <f aca="false">IF(AND(C2082=C2083,AA2082=AA2083-1),AC2082,"")</f>
        <v/>
      </c>
      <c r="AF2083" s="0" t="str">
        <f aca="false">IF(AA2083=1,"",IF(AND(AB2083=1,AD2083&lt;&gt;1),1,0))</f>
        <v/>
      </c>
      <c r="AG2083" s="0" t="str">
        <f aca="false">IF(AA2083=1,"",IF(AND(AC2083=1,AE2083&lt;&gt;1),1,0))</f>
        <v/>
      </c>
      <c r="AH2083" s="51" t="str">
        <f aca="false">IF(AND(E2083&gt;0,AA2083&lt;1,NOT(AND(C2084=C2083,AA2084=AA2083+1))),INDEX(DATAS,AA2083+1),"")</f>
        <v/>
      </c>
      <c r="AI2083" s="51" t="str">
        <f aca="false">IF(AND(AC2083=1,AA2083&lt;1),IF(AND(C2084=C2083,AA2084=AA2083+1),IF(AC2084=1,"",INDEX(DATAS,AA2083+1)),INDEX(DATAS,AA2083+1)),"")</f>
        <v/>
      </c>
    </row>
    <row r="2084" customFormat="false" ht="15" hidden="false" customHeight="false" outlineLevel="0" collapsed="false">
      <c r="A2084" s="51" t="n">
        <v>46309</v>
      </c>
      <c r="B2084" s="0" t="n">
        <v>8</v>
      </c>
      <c r="C2084" s="0" t="n">
        <v>6364</v>
      </c>
      <c r="E2084" s="0" t="n">
        <v>0</v>
      </c>
      <c r="F2084" s="46" t="s">
        <v>1181</v>
      </c>
      <c r="I2084" s="46" t="s">
        <v>152</v>
      </c>
      <c r="L2084" s="0" t="n">
        <v>182</v>
      </c>
      <c r="U2084" s="0" t="n">
        <v>586</v>
      </c>
      <c r="V2084" s="0" t="n">
        <v>1</v>
      </c>
      <c r="W2084" s="51" t="n">
        <v>46128</v>
      </c>
      <c r="X2084" s="46" t="n">
        <f aca="false">IF(I2084="Male",0,1)</f>
        <v>1</v>
      </c>
      <c r="Y2084" s="46" t="n">
        <f aca="false">IF(OR(I2084="DNB",I2084="Dry DNB"),1,0)</f>
        <v>0</v>
      </c>
      <c r="Z2084" s="46" t="n">
        <f aca="false">IF(ISNUMBER(W2084),A2084-W2084,"")</f>
        <v>181</v>
      </c>
      <c r="AA2084" s="46" t="n">
        <f aca="false">MATCH(A2084,DATAS,0)</f>
        <v>1</v>
      </c>
      <c r="AB2084" s="46" t="n">
        <f aca="false">IF(AND(E2084&gt;0,OR(AND(B2084&gt;=1,B2084&lt;=6),B2084=10)),1,0)</f>
        <v>0</v>
      </c>
      <c r="AC2084" s="46" t="n">
        <f aca="false">IF(AND(E2084&gt;0,B2084=10),1,0)</f>
        <v>0</v>
      </c>
      <c r="AD2084" s="0" t="str">
        <f aca="false">IF(AND(C2083=C2084,AA2083=AA2084-1),AB2083,"")</f>
        <v/>
      </c>
      <c r="AE2084" s="0" t="str">
        <f aca="false">IF(AND(C2083=C2084,AA2083=AA2084-1),AC2083,"")</f>
        <v/>
      </c>
      <c r="AF2084" s="0" t="str">
        <f aca="false">IF(AA2084=1,"",IF(AND(AB2084=1,AD2084&lt;&gt;1),1,0))</f>
        <v/>
      </c>
      <c r="AG2084" s="0" t="str">
        <f aca="false">IF(AA2084=1,"",IF(AND(AC2084=1,AE2084&lt;&gt;1),1,0))</f>
        <v/>
      </c>
      <c r="AH2084" s="51" t="str">
        <f aca="false">IF(AND(E2084&gt;0,AA2084&lt;1,NOT(AND(C2085=C2084,AA2085=AA2084+1))),INDEX(DATAS,AA2084+1),"")</f>
        <v/>
      </c>
      <c r="AI2084" s="51" t="str">
        <f aca="false">IF(AND(AC2084=1,AA2084&lt;1),IF(AND(C2085=C2084,AA2085=AA2084+1),IF(AC2085=1,"",INDEX(DATAS,AA2084+1)),INDEX(DATAS,AA2084+1)),"")</f>
        <v/>
      </c>
    </row>
    <row r="2085" customFormat="false" ht="15" hidden="false" customHeight="false" outlineLevel="0" collapsed="false">
      <c r="A2085" s="51" t="n">
        <v>46309</v>
      </c>
      <c r="B2085" s="0" t="n">
        <v>8</v>
      </c>
      <c r="C2085" s="0" t="n">
        <v>6365</v>
      </c>
      <c r="E2085" s="0" t="n">
        <v>0</v>
      </c>
      <c r="F2085" s="46" t="s">
        <v>1181</v>
      </c>
      <c r="I2085" s="46" t="s">
        <v>152</v>
      </c>
      <c r="L2085" s="0" t="n">
        <v>192</v>
      </c>
      <c r="U2085" s="0" t="n">
        <v>586</v>
      </c>
      <c r="V2085" s="0" t="n">
        <v>1</v>
      </c>
      <c r="W2085" s="51" t="n">
        <v>46118</v>
      </c>
      <c r="X2085" s="46" t="n">
        <f aca="false">IF(I2085="Male",0,1)</f>
        <v>1</v>
      </c>
      <c r="Y2085" s="46" t="n">
        <f aca="false">IF(OR(I2085="DNB",I2085="Dry DNB"),1,0)</f>
        <v>0</v>
      </c>
      <c r="Z2085" s="46" t="n">
        <f aca="false">IF(ISNUMBER(W2085),A2085-W2085,"")</f>
        <v>191</v>
      </c>
      <c r="AA2085" s="46" t="n">
        <f aca="false">MATCH(A2085,DATAS,0)</f>
        <v>1</v>
      </c>
      <c r="AB2085" s="46" t="n">
        <f aca="false">IF(AND(E2085&gt;0,OR(AND(B2085&gt;=1,B2085&lt;=6),B2085=10)),1,0)</f>
        <v>0</v>
      </c>
      <c r="AC2085" s="46" t="n">
        <f aca="false">IF(AND(E2085&gt;0,B2085=10),1,0)</f>
        <v>0</v>
      </c>
      <c r="AD2085" s="0" t="str">
        <f aca="false">IF(AND(C2084=C2085,AA2084=AA2085-1),AB2084,"")</f>
        <v/>
      </c>
      <c r="AE2085" s="0" t="str">
        <f aca="false">IF(AND(C2084=C2085,AA2084=AA2085-1),AC2084,"")</f>
        <v/>
      </c>
      <c r="AF2085" s="0" t="str">
        <f aca="false">IF(AA2085=1,"",IF(AND(AB2085=1,AD2085&lt;&gt;1),1,0))</f>
        <v/>
      </c>
      <c r="AG2085" s="0" t="str">
        <f aca="false">IF(AA2085=1,"",IF(AND(AC2085=1,AE2085&lt;&gt;1),1,0))</f>
        <v/>
      </c>
      <c r="AH2085" s="51" t="str">
        <f aca="false">IF(AND(E2085&gt;0,AA2085&lt;1,NOT(AND(C2086=C2085,AA2086=AA2085+1))),INDEX(DATAS,AA2085+1),"")</f>
        <v/>
      </c>
      <c r="AI2085" s="51" t="str">
        <f aca="false">IF(AND(AC2085=1,AA2085&lt;1),IF(AND(C2086=C2085,AA2086=AA2085+1),IF(AC2086=1,"",INDEX(DATAS,AA2085+1)),INDEX(DATAS,AA2085+1)),"")</f>
        <v/>
      </c>
    </row>
    <row r="2086" customFormat="false" ht="15" hidden="false" customHeight="false" outlineLevel="0" collapsed="false">
      <c r="A2086" s="51" t="n">
        <v>46309</v>
      </c>
      <c r="B2086" s="0" t="n">
        <v>8</v>
      </c>
      <c r="C2086" s="0" t="n">
        <v>6366</v>
      </c>
      <c r="E2086" s="0" t="n">
        <v>0</v>
      </c>
      <c r="F2086" s="46" t="s">
        <v>1182</v>
      </c>
      <c r="I2086" s="46" t="s">
        <v>152</v>
      </c>
      <c r="L2086" s="0" t="n">
        <v>182</v>
      </c>
      <c r="U2086" s="0" t="n">
        <v>585</v>
      </c>
      <c r="V2086" s="0" t="n">
        <v>1</v>
      </c>
      <c r="W2086" s="51" t="n">
        <v>46128</v>
      </c>
      <c r="X2086" s="46" t="n">
        <f aca="false">IF(I2086="Male",0,1)</f>
        <v>1</v>
      </c>
      <c r="Y2086" s="46" t="n">
        <f aca="false">IF(OR(I2086="DNB",I2086="Dry DNB"),1,0)</f>
        <v>0</v>
      </c>
      <c r="Z2086" s="46" t="n">
        <f aca="false">IF(ISNUMBER(W2086),A2086-W2086,"")</f>
        <v>181</v>
      </c>
      <c r="AA2086" s="46" t="n">
        <f aca="false">MATCH(A2086,DATAS,0)</f>
        <v>1</v>
      </c>
      <c r="AB2086" s="46" t="n">
        <f aca="false">IF(AND(E2086&gt;0,OR(AND(B2086&gt;=1,B2086&lt;=6),B2086=10)),1,0)</f>
        <v>0</v>
      </c>
      <c r="AC2086" s="46" t="n">
        <f aca="false">IF(AND(E2086&gt;0,B2086=10),1,0)</f>
        <v>0</v>
      </c>
      <c r="AD2086" s="0" t="str">
        <f aca="false">IF(AND(C2085=C2086,AA2085=AA2086-1),AB2085,"")</f>
        <v/>
      </c>
      <c r="AE2086" s="0" t="str">
        <f aca="false">IF(AND(C2085=C2086,AA2085=AA2086-1),AC2085,"")</f>
        <v/>
      </c>
      <c r="AF2086" s="0" t="str">
        <f aca="false">IF(AA2086=1,"",IF(AND(AB2086=1,AD2086&lt;&gt;1),1,0))</f>
        <v/>
      </c>
      <c r="AG2086" s="0" t="str">
        <f aca="false">IF(AA2086=1,"",IF(AND(AC2086=1,AE2086&lt;&gt;1),1,0))</f>
        <v/>
      </c>
      <c r="AH2086" s="51" t="str">
        <f aca="false">IF(AND(E2086&gt;0,AA2086&lt;1,NOT(AND(C2087=C2086,AA2087=AA2086+1))),INDEX(DATAS,AA2086+1),"")</f>
        <v/>
      </c>
      <c r="AI2086" s="51" t="str">
        <f aca="false">IF(AND(AC2086=1,AA2086&lt;1),IF(AND(C2087=C2086,AA2087=AA2086+1),IF(AC2087=1,"",INDEX(DATAS,AA2086+1)),INDEX(DATAS,AA2086+1)),"")</f>
        <v/>
      </c>
    </row>
    <row r="2087" customFormat="false" ht="15" hidden="false" customHeight="false" outlineLevel="0" collapsed="false">
      <c r="A2087" s="51" t="n">
        <v>46309</v>
      </c>
      <c r="B2087" s="0" t="n">
        <v>8</v>
      </c>
      <c r="C2087" s="0" t="n">
        <v>6367</v>
      </c>
      <c r="E2087" s="0" t="n">
        <v>0</v>
      </c>
      <c r="F2087" s="46" t="s">
        <v>1182</v>
      </c>
      <c r="I2087" s="46" t="s">
        <v>152</v>
      </c>
      <c r="L2087" s="0" t="n">
        <v>169</v>
      </c>
      <c r="U2087" s="0" t="n">
        <v>585</v>
      </c>
      <c r="V2087" s="0" t="n">
        <v>2</v>
      </c>
      <c r="W2087" s="51" t="n">
        <v>46141</v>
      </c>
      <c r="X2087" s="46" t="n">
        <f aca="false">IF(I2087="Male",0,1)</f>
        <v>1</v>
      </c>
      <c r="Y2087" s="46" t="n">
        <f aca="false">IF(OR(I2087="DNB",I2087="Dry DNB"),1,0)</f>
        <v>0</v>
      </c>
      <c r="Z2087" s="46" t="n">
        <f aca="false">IF(ISNUMBER(W2087),A2087-W2087,"")</f>
        <v>168</v>
      </c>
      <c r="AA2087" s="46" t="n">
        <f aca="false">MATCH(A2087,DATAS,0)</f>
        <v>1</v>
      </c>
      <c r="AB2087" s="46" t="n">
        <f aca="false">IF(AND(E2087&gt;0,OR(AND(B2087&gt;=1,B2087&lt;=6),B2087=10)),1,0)</f>
        <v>0</v>
      </c>
      <c r="AC2087" s="46" t="n">
        <f aca="false">IF(AND(E2087&gt;0,B2087=10),1,0)</f>
        <v>0</v>
      </c>
      <c r="AD2087" s="0" t="str">
        <f aca="false">IF(AND(C2086=C2087,AA2086=AA2087-1),AB2086,"")</f>
        <v/>
      </c>
      <c r="AE2087" s="0" t="str">
        <f aca="false">IF(AND(C2086=C2087,AA2086=AA2087-1),AC2086,"")</f>
        <v/>
      </c>
      <c r="AF2087" s="0" t="str">
        <f aca="false">IF(AA2087=1,"",IF(AND(AB2087=1,AD2087&lt;&gt;1),1,0))</f>
        <v/>
      </c>
      <c r="AG2087" s="0" t="str">
        <f aca="false">IF(AA2087=1,"",IF(AND(AC2087=1,AE2087&lt;&gt;1),1,0))</f>
        <v/>
      </c>
      <c r="AH2087" s="51" t="str">
        <f aca="false">IF(AND(E2087&gt;0,AA2087&lt;1,NOT(AND(C2088=C2087,AA2088=AA2087+1))),INDEX(DATAS,AA2087+1),"")</f>
        <v/>
      </c>
      <c r="AI2087" s="51" t="str">
        <f aca="false">IF(AND(AC2087=1,AA2087&lt;1),IF(AND(C2088=C2087,AA2088=AA2087+1),IF(AC2088=1,"",INDEX(DATAS,AA2087+1)),INDEX(DATAS,AA2087+1)),"")</f>
        <v/>
      </c>
    </row>
    <row r="2088" customFormat="false" ht="15" hidden="false" customHeight="false" outlineLevel="0" collapsed="false">
      <c r="A2088" s="51" t="n">
        <v>46309</v>
      </c>
      <c r="B2088" s="0" t="n">
        <v>8</v>
      </c>
      <c r="C2088" s="0" t="n">
        <v>6368</v>
      </c>
      <c r="E2088" s="0" t="n">
        <v>0</v>
      </c>
      <c r="F2088" s="46" t="s">
        <v>1182</v>
      </c>
      <c r="I2088" s="46" t="s">
        <v>152</v>
      </c>
      <c r="L2088" s="0" t="n">
        <v>170</v>
      </c>
      <c r="U2088" s="0" t="n">
        <v>585</v>
      </c>
      <c r="V2088" s="0" t="n">
        <v>2</v>
      </c>
      <c r="W2088" s="51" t="n">
        <v>46140</v>
      </c>
      <c r="X2088" s="46" t="n">
        <f aca="false">IF(I2088="Male",0,1)</f>
        <v>1</v>
      </c>
      <c r="Y2088" s="46" t="n">
        <f aca="false">IF(OR(I2088="DNB",I2088="Dry DNB"),1,0)</f>
        <v>0</v>
      </c>
      <c r="Z2088" s="46" t="n">
        <f aca="false">IF(ISNUMBER(W2088),A2088-W2088,"")</f>
        <v>169</v>
      </c>
      <c r="AA2088" s="46" t="n">
        <f aca="false">MATCH(A2088,DATAS,0)</f>
        <v>1</v>
      </c>
      <c r="AB2088" s="46" t="n">
        <f aca="false">IF(AND(E2088&gt;0,OR(AND(B2088&gt;=1,B2088&lt;=6),B2088=10)),1,0)</f>
        <v>0</v>
      </c>
      <c r="AC2088" s="46" t="n">
        <f aca="false">IF(AND(E2088&gt;0,B2088=10),1,0)</f>
        <v>0</v>
      </c>
      <c r="AD2088" s="0" t="str">
        <f aca="false">IF(AND(C2087=C2088,AA2087=AA2088-1),AB2087,"")</f>
        <v/>
      </c>
      <c r="AE2088" s="0" t="str">
        <f aca="false">IF(AND(C2087=C2088,AA2087=AA2088-1),AC2087,"")</f>
        <v/>
      </c>
      <c r="AF2088" s="0" t="str">
        <f aca="false">IF(AA2088=1,"",IF(AND(AB2088=1,AD2088&lt;&gt;1),1,0))</f>
        <v/>
      </c>
      <c r="AG2088" s="0" t="str">
        <f aca="false">IF(AA2088=1,"",IF(AND(AC2088=1,AE2088&lt;&gt;1),1,0))</f>
        <v/>
      </c>
      <c r="AH2088" s="51" t="str">
        <f aca="false">IF(AND(E2088&gt;0,AA2088&lt;1,NOT(AND(C2089=C2088,AA2089=AA2088+1))),INDEX(DATAS,AA2088+1),"")</f>
        <v/>
      </c>
      <c r="AI2088" s="51" t="str">
        <f aca="false">IF(AND(AC2088=1,AA2088&lt;1),IF(AND(C2089=C2088,AA2089=AA2088+1),IF(AC2089=1,"",INDEX(DATAS,AA2088+1)),INDEX(DATAS,AA2088+1)),"")</f>
        <v/>
      </c>
    </row>
    <row r="2089" customFormat="false" ht="15" hidden="false" customHeight="false" outlineLevel="0" collapsed="false">
      <c r="A2089" s="51" t="n">
        <v>46309</v>
      </c>
      <c r="B2089" s="0" t="n">
        <v>8</v>
      </c>
      <c r="C2089" s="0" t="n">
        <v>6369</v>
      </c>
      <c r="E2089" s="0" t="n">
        <v>0</v>
      </c>
      <c r="F2089" s="46" t="s">
        <v>1183</v>
      </c>
      <c r="I2089" s="46" t="s">
        <v>152</v>
      </c>
      <c r="L2089" s="0" t="n">
        <v>181</v>
      </c>
      <c r="U2089" s="0" t="n">
        <v>584</v>
      </c>
      <c r="V2089" s="0" t="n">
        <v>1</v>
      </c>
      <c r="W2089" s="51" t="n">
        <v>46129</v>
      </c>
      <c r="X2089" s="46" t="n">
        <f aca="false">IF(I2089="Male",0,1)</f>
        <v>1</v>
      </c>
      <c r="Y2089" s="46" t="n">
        <f aca="false">IF(OR(I2089="DNB",I2089="Dry DNB"),1,0)</f>
        <v>0</v>
      </c>
      <c r="Z2089" s="46" t="n">
        <f aca="false">IF(ISNUMBER(W2089),A2089-W2089,"")</f>
        <v>180</v>
      </c>
      <c r="AA2089" s="46" t="n">
        <f aca="false">MATCH(A2089,DATAS,0)</f>
        <v>1</v>
      </c>
      <c r="AB2089" s="46" t="n">
        <f aca="false">IF(AND(E2089&gt;0,OR(AND(B2089&gt;=1,B2089&lt;=6),B2089=10)),1,0)</f>
        <v>0</v>
      </c>
      <c r="AC2089" s="46" t="n">
        <f aca="false">IF(AND(E2089&gt;0,B2089=10),1,0)</f>
        <v>0</v>
      </c>
      <c r="AD2089" s="0" t="str">
        <f aca="false">IF(AND(C2088=C2089,AA2088=AA2089-1),AB2088,"")</f>
        <v/>
      </c>
      <c r="AE2089" s="0" t="str">
        <f aca="false">IF(AND(C2088=C2089,AA2088=AA2089-1),AC2088,"")</f>
        <v/>
      </c>
      <c r="AF2089" s="0" t="str">
        <f aca="false">IF(AA2089=1,"",IF(AND(AB2089=1,AD2089&lt;&gt;1),1,0))</f>
        <v/>
      </c>
      <c r="AG2089" s="0" t="str">
        <f aca="false">IF(AA2089=1,"",IF(AND(AC2089=1,AE2089&lt;&gt;1),1,0))</f>
        <v/>
      </c>
      <c r="AH2089" s="51" t="str">
        <f aca="false">IF(AND(E2089&gt;0,AA2089&lt;1,NOT(AND(C2090=C2089,AA2090=AA2089+1))),INDEX(DATAS,AA2089+1),"")</f>
        <v/>
      </c>
      <c r="AI2089" s="51" t="str">
        <f aca="false">IF(AND(AC2089=1,AA2089&lt;1),IF(AND(C2090=C2089,AA2090=AA2089+1),IF(AC2090=1,"",INDEX(DATAS,AA2089+1)),INDEX(DATAS,AA2089+1)),"")</f>
        <v/>
      </c>
    </row>
    <row r="2090" customFormat="false" ht="15" hidden="false" customHeight="false" outlineLevel="0" collapsed="false">
      <c r="A2090" s="51" t="n">
        <v>46309</v>
      </c>
      <c r="B2090" s="0" t="n">
        <v>8</v>
      </c>
      <c r="C2090" s="0" t="n">
        <v>6371</v>
      </c>
      <c r="E2090" s="0" t="n">
        <v>0</v>
      </c>
      <c r="F2090" s="46" t="s">
        <v>1183</v>
      </c>
      <c r="I2090" s="46" t="s">
        <v>152</v>
      </c>
      <c r="L2090" s="0" t="n">
        <v>119</v>
      </c>
      <c r="U2090" s="0" t="n">
        <v>584</v>
      </c>
      <c r="V2090" s="0" t="n">
        <v>2</v>
      </c>
      <c r="W2090" s="51" t="n">
        <v>46191</v>
      </c>
      <c r="X2090" s="46" t="n">
        <f aca="false">IF(I2090="Male",0,1)</f>
        <v>1</v>
      </c>
      <c r="Y2090" s="46" t="n">
        <f aca="false">IF(OR(I2090="DNB",I2090="Dry DNB"),1,0)</f>
        <v>0</v>
      </c>
      <c r="Z2090" s="46" t="n">
        <f aca="false">IF(ISNUMBER(W2090),A2090-W2090,"")</f>
        <v>118</v>
      </c>
      <c r="AA2090" s="46" t="n">
        <f aca="false">MATCH(A2090,DATAS,0)</f>
        <v>1</v>
      </c>
      <c r="AB2090" s="46" t="n">
        <f aca="false">IF(AND(E2090&gt;0,OR(AND(B2090&gt;=1,B2090&lt;=6),B2090=10)),1,0)</f>
        <v>0</v>
      </c>
      <c r="AC2090" s="46" t="n">
        <f aca="false">IF(AND(E2090&gt;0,B2090=10),1,0)</f>
        <v>0</v>
      </c>
      <c r="AD2090" s="0" t="str">
        <f aca="false">IF(AND(C2089=C2090,AA2089=AA2090-1),AB2089,"")</f>
        <v/>
      </c>
      <c r="AE2090" s="0" t="str">
        <f aca="false">IF(AND(C2089=C2090,AA2089=AA2090-1),AC2089,"")</f>
        <v/>
      </c>
      <c r="AF2090" s="0" t="str">
        <f aca="false">IF(AA2090=1,"",IF(AND(AB2090=1,AD2090&lt;&gt;1),1,0))</f>
        <v/>
      </c>
      <c r="AG2090" s="0" t="str">
        <f aca="false">IF(AA2090=1,"",IF(AND(AC2090=1,AE2090&lt;&gt;1),1,0))</f>
        <v/>
      </c>
      <c r="AH2090" s="51" t="str">
        <f aca="false">IF(AND(E2090&gt;0,AA2090&lt;1,NOT(AND(C2091=C2090,AA2091=AA2090+1))),INDEX(DATAS,AA2090+1),"")</f>
        <v/>
      </c>
      <c r="AI2090" s="51" t="str">
        <f aca="false">IF(AND(AC2090=1,AA2090&lt;1),IF(AND(C2091=C2090,AA2091=AA2090+1),IF(AC2091=1,"",INDEX(DATAS,AA2090+1)),INDEX(DATAS,AA2090+1)),"")</f>
        <v/>
      </c>
    </row>
    <row r="2091" customFormat="false" ht="15" hidden="false" customHeight="false" outlineLevel="0" collapsed="false">
      <c r="A2091" s="51" t="n">
        <v>46309</v>
      </c>
      <c r="B2091" s="0" t="n">
        <v>13</v>
      </c>
      <c r="C2091" s="0" t="n">
        <v>6372</v>
      </c>
      <c r="E2091" s="0" t="n">
        <v>0</v>
      </c>
      <c r="F2091" s="46" t="s">
        <v>1184</v>
      </c>
      <c r="I2091" s="46" t="s">
        <v>189</v>
      </c>
      <c r="U2091" s="0" t="n">
        <v>583</v>
      </c>
      <c r="V2091" s="0" t="n">
        <v>0</v>
      </c>
      <c r="X2091" s="46" t="n">
        <f aca="false">IF(I2091="Male",0,1)</f>
        <v>1</v>
      </c>
      <c r="Y2091" s="46" t="n">
        <f aca="false">IF(OR(I2091="DNB",I2091="Dry DNB"),1,0)</f>
        <v>0</v>
      </c>
      <c r="Z2091" s="0" t="str">
        <f aca="false">IF(ISNUMBER(W2091),A2091-W2091,"")</f>
        <v/>
      </c>
      <c r="AA2091" s="46" t="n">
        <f aca="false">MATCH(A2091,DATAS,0)</f>
        <v>1</v>
      </c>
      <c r="AB2091" s="46" t="n">
        <f aca="false">IF(AND(E2091&gt;0,OR(AND(B2091&gt;=1,B2091&lt;=6),B2091=10)),1,0)</f>
        <v>0</v>
      </c>
      <c r="AC2091" s="46" t="n">
        <f aca="false">IF(AND(E2091&gt;0,B2091=10),1,0)</f>
        <v>0</v>
      </c>
      <c r="AD2091" s="0" t="str">
        <f aca="false">IF(AND(C2090=C2091,AA2090=AA2091-1),AB2090,"")</f>
        <v/>
      </c>
      <c r="AE2091" s="0" t="str">
        <f aca="false">IF(AND(C2090=C2091,AA2090=AA2091-1),AC2090,"")</f>
        <v/>
      </c>
      <c r="AF2091" s="0" t="str">
        <f aca="false">IF(AA2091=1,"",IF(AND(AB2091=1,AD2091&lt;&gt;1),1,0))</f>
        <v/>
      </c>
      <c r="AG2091" s="0" t="str">
        <f aca="false">IF(AA2091=1,"",IF(AND(AC2091=1,AE2091&lt;&gt;1),1,0))</f>
        <v/>
      </c>
      <c r="AH2091" s="51" t="str">
        <f aca="false">IF(AND(E2091&gt;0,AA2091&lt;1,NOT(AND(C2092=C2091,AA2092=AA2091+1))),INDEX(DATAS,AA2091+1),"")</f>
        <v/>
      </c>
      <c r="AI2091" s="51" t="str">
        <f aca="false">IF(AND(AC2091=1,AA2091&lt;1),IF(AND(C2092=C2091,AA2092=AA2091+1),IF(AC2092=1,"",INDEX(DATAS,AA2091+1)),INDEX(DATAS,AA2091+1)),"")</f>
        <v/>
      </c>
    </row>
    <row r="2092" customFormat="false" ht="15" hidden="false" customHeight="false" outlineLevel="0" collapsed="false">
      <c r="A2092" s="51" t="n">
        <v>46309</v>
      </c>
      <c r="B2092" s="0" t="n">
        <v>8</v>
      </c>
      <c r="C2092" s="0" t="n">
        <v>6373</v>
      </c>
      <c r="E2092" s="0" t="n">
        <v>0</v>
      </c>
      <c r="F2092" s="46" t="s">
        <v>1184</v>
      </c>
      <c r="I2092" s="46" t="s">
        <v>152</v>
      </c>
      <c r="L2092" s="0" t="n">
        <v>180</v>
      </c>
      <c r="U2092" s="0" t="n">
        <v>583</v>
      </c>
      <c r="V2092" s="0" t="n">
        <v>1</v>
      </c>
      <c r="W2092" s="51" t="n">
        <v>46130</v>
      </c>
      <c r="X2092" s="46" t="n">
        <f aca="false">IF(I2092="Male",0,1)</f>
        <v>1</v>
      </c>
      <c r="Y2092" s="46" t="n">
        <f aca="false">IF(OR(I2092="DNB",I2092="Dry DNB"),1,0)</f>
        <v>0</v>
      </c>
      <c r="Z2092" s="46" t="n">
        <f aca="false">IF(ISNUMBER(W2092),A2092-W2092,"")</f>
        <v>179</v>
      </c>
      <c r="AA2092" s="46" t="n">
        <f aca="false">MATCH(A2092,DATAS,0)</f>
        <v>1</v>
      </c>
      <c r="AB2092" s="46" t="n">
        <f aca="false">IF(AND(E2092&gt;0,OR(AND(B2092&gt;=1,B2092&lt;=6),B2092=10)),1,0)</f>
        <v>0</v>
      </c>
      <c r="AC2092" s="46" t="n">
        <f aca="false">IF(AND(E2092&gt;0,B2092=10),1,0)</f>
        <v>0</v>
      </c>
      <c r="AD2092" s="0" t="str">
        <f aca="false">IF(AND(C2091=C2092,AA2091=AA2092-1),AB2091,"")</f>
        <v/>
      </c>
      <c r="AE2092" s="0" t="str">
        <f aca="false">IF(AND(C2091=C2092,AA2091=AA2092-1),AC2091,"")</f>
        <v/>
      </c>
      <c r="AF2092" s="0" t="str">
        <f aca="false">IF(AA2092=1,"",IF(AND(AB2092=1,AD2092&lt;&gt;1),1,0))</f>
        <v/>
      </c>
      <c r="AG2092" s="0" t="str">
        <f aca="false">IF(AA2092=1,"",IF(AND(AC2092=1,AE2092&lt;&gt;1),1,0))</f>
        <v/>
      </c>
      <c r="AH2092" s="51" t="str">
        <f aca="false">IF(AND(E2092&gt;0,AA2092&lt;1,NOT(AND(C2093=C2092,AA2093=AA2092+1))),INDEX(DATAS,AA2092+1),"")</f>
        <v/>
      </c>
      <c r="AI2092" s="51" t="str">
        <f aca="false">IF(AND(AC2092=1,AA2092&lt;1),IF(AND(C2093=C2092,AA2093=AA2092+1),IF(AC2093=1,"",INDEX(DATAS,AA2092+1)),INDEX(DATAS,AA2092+1)),"")</f>
        <v/>
      </c>
    </row>
    <row r="2093" customFormat="false" ht="15" hidden="false" customHeight="false" outlineLevel="0" collapsed="false">
      <c r="A2093" s="51" t="n">
        <v>46309</v>
      </c>
      <c r="B2093" s="0" t="n">
        <v>11</v>
      </c>
      <c r="C2093" s="0" t="n">
        <v>6374</v>
      </c>
      <c r="E2093" s="0" t="n">
        <v>0</v>
      </c>
      <c r="F2093" s="46" t="s">
        <v>1184</v>
      </c>
      <c r="I2093" s="46" t="s">
        <v>181</v>
      </c>
      <c r="U2093" s="0" t="n">
        <v>583</v>
      </c>
      <c r="V2093" s="0" t="n">
        <v>6</v>
      </c>
      <c r="W2093" s="51" t="n">
        <v>46303</v>
      </c>
      <c r="X2093" s="46" t="n">
        <f aca="false">IF(I2093="Male",0,1)</f>
        <v>1</v>
      </c>
      <c r="Y2093" s="46" t="n">
        <f aca="false">IF(OR(I2093="DNB",I2093="Dry DNB"),1,0)</f>
        <v>0</v>
      </c>
      <c r="Z2093" s="46" t="n">
        <f aca="false">IF(ISNUMBER(W2093),A2093-W2093,"")</f>
        <v>6</v>
      </c>
      <c r="AA2093" s="46" t="n">
        <f aca="false">MATCH(A2093,DATAS,0)</f>
        <v>1</v>
      </c>
      <c r="AB2093" s="46" t="n">
        <f aca="false">IF(AND(E2093&gt;0,OR(AND(B2093&gt;=1,B2093&lt;=6),B2093=10)),1,0)</f>
        <v>0</v>
      </c>
      <c r="AC2093" s="46" t="n">
        <f aca="false">IF(AND(E2093&gt;0,B2093=10),1,0)</f>
        <v>0</v>
      </c>
      <c r="AD2093" s="0" t="str">
        <f aca="false">IF(AND(C2092=C2093,AA2092=AA2093-1),AB2092,"")</f>
        <v/>
      </c>
      <c r="AE2093" s="0" t="str">
        <f aca="false">IF(AND(C2092=C2093,AA2092=AA2093-1),AC2092,"")</f>
        <v/>
      </c>
      <c r="AF2093" s="0" t="str">
        <f aca="false">IF(AA2093=1,"",IF(AND(AB2093=1,AD2093&lt;&gt;1),1,0))</f>
        <v/>
      </c>
      <c r="AG2093" s="0" t="str">
        <f aca="false">IF(AA2093=1,"",IF(AND(AC2093=1,AE2093&lt;&gt;1),1,0))</f>
        <v/>
      </c>
      <c r="AH2093" s="51" t="str">
        <f aca="false">IF(AND(E2093&gt;0,AA2093&lt;1,NOT(AND(C2094=C2093,AA2094=AA2093+1))),INDEX(DATAS,AA2093+1),"")</f>
        <v/>
      </c>
      <c r="AI2093" s="51" t="str">
        <f aca="false">IF(AND(AC2093=1,AA2093&lt;1),IF(AND(C2094=C2093,AA2094=AA2093+1),IF(AC2094=1,"",INDEX(DATAS,AA2093+1)),INDEX(DATAS,AA2093+1)),"")</f>
        <v/>
      </c>
    </row>
    <row r="2094" customFormat="false" ht="15" hidden="false" customHeight="false" outlineLevel="0" collapsed="false">
      <c r="A2094" s="51" t="n">
        <v>46309</v>
      </c>
      <c r="B2094" s="0" t="n">
        <v>8</v>
      </c>
      <c r="C2094" s="0" t="n">
        <v>6375</v>
      </c>
      <c r="E2094" s="0" t="n">
        <v>0</v>
      </c>
      <c r="F2094" s="46" t="s">
        <v>1185</v>
      </c>
      <c r="I2094" s="46" t="s">
        <v>152</v>
      </c>
      <c r="L2094" s="0" t="n">
        <v>185</v>
      </c>
      <c r="U2094" s="0" t="n">
        <v>582</v>
      </c>
      <c r="V2094" s="0" t="n">
        <v>1</v>
      </c>
      <c r="W2094" s="51" t="n">
        <v>46125</v>
      </c>
      <c r="X2094" s="46" t="n">
        <f aca="false">IF(I2094="Male",0,1)</f>
        <v>1</v>
      </c>
      <c r="Y2094" s="46" t="n">
        <f aca="false">IF(OR(I2094="DNB",I2094="Dry DNB"),1,0)</f>
        <v>0</v>
      </c>
      <c r="Z2094" s="46" t="n">
        <f aca="false">IF(ISNUMBER(W2094),A2094-W2094,"")</f>
        <v>184</v>
      </c>
      <c r="AA2094" s="46" t="n">
        <f aca="false">MATCH(A2094,DATAS,0)</f>
        <v>1</v>
      </c>
      <c r="AB2094" s="46" t="n">
        <f aca="false">IF(AND(E2094&gt;0,OR(AND(B2094&gt;=1,B2094&lt;=6),B2094=10)),1,0)</f>
        <v>0</v>
      </c>
      <c r="AC2094" s="46" t="n">
        <f aca="false">IF(AND(E2094&gt;0,B2094=10),1,0)</f>
        <v>0</v>
      </c>
      <c r="AD2094" s="0" t="str">
        <f aca="false">IF(AND(C2093=C2094,AA2093=AA2094-1),AB2093,"")</f>
        <v/>
      </c>
      <c r="AE2094" s="0" t="str">
        <f aca="false">IF(AND(C2093=C2094,AA2093=AA2094-1),AC2093,"")</f>
        <v/>
      </c>
      <c r="AF2094" s="0" t="str">
        <f aca="false">IF(AA2094=1,"",IF(AND(AB2094=1,AD2094&lt;&gt;1),1,0))</f>
        <v/>
      </c>
      <c r="AG2094" s="0" t="str">
        <f aca="false">IF(AA2094=1,"",IF(AND(AC2094=1,AE2094&lt;&gt;1),1,0))</f>
        <v/>
      </c>
      <c r="AH2094" s="51" t="str">
        <f aca="false">IF(AND(E2094&gt;0,AA2094&lt;1,NOT(AND(C2095=C2094,AA2095=AA2094+1))),INDEX(DATAS,AA2094+1),"")</f>
        <v/>
      </c>
      <c r="AI2094" s="51" t="str">
        <f aca="false">IF(AND(AC2094=1,AA2094&lt;1),IF(AND(C2095=C2094,AA2095=AA2094+1),IF(AC2095=1,"",INDEX(DATAS,AA2094+1)),INDEX(DATAS,AA2094+1)),"")</f>
        <v/>
      </c>
    </row>
    <row r="2095" customFormat="false" ht="15" hidden="false" customHeight="false" outlineLevel="0" collapsed="false">
      <c r="A2095" s="51" t="n">
        <v>46309</v>
      </c>
      <c r="B2095" s="0" t="n">
        <v>8</v>
      </c>
      <c r="C2095" s="0" t="n">
        <v>6376</v>
      </c>
      <c r="E2095" s="0" t="n">
        <v>0</v>
      </c>
      <c r="F2095" s="46" t="s">
        <v>1185</v>
      </c>
      <c r="I2095" s="46" t="s">
        <v>152</v>
      </c>
      <c r="L2095" s="0" t="n">
        <v>162</v>
      </c>
      <c r="U2095" s="0" t="n">
        <v>582</v>
      </c>
      <c r="V2095" s="0" t="n">
        <v>2</v>
      </c>
      <c r="W2095" s="51" t="n">
        <v>46148</v>
      </c>
      <c r="X2095" s="46" t="n">
        <f aca="false">IF(I2095="Male",0,1)</f>
        <v>1</v>
      </c>
      <c r="Y2095" s="46" t="n">
        <f aca="false">IF(OR(I2095="DNB",I2095="Dry DNB"),1,0)</f>
        <v>0</v>
      </c>
      <c r="Z2095" s="46" t="n">
        <f aca="false">IF(ISNUMBER(W2095),A2095-W2095,"")</f>
        <v>161</v>
      </c>
      <c r="AA2095" s="46" t="n">
        <f aca="false">MATCH(A2095,DATAS,0)</f>
        <v>1</v>
      </c>
      <c r="AB2095" s="46" t="n">
        <f aca="false">IF(AND(E2095&gt;0,OR(AND(B2095&gt;=1,B2095&lt;=6),B2095=10)),1,0)</f>
        <v>0</v>
      </c>
      <c r="AC2095" s="46" t="n">
        <f aca="false">IF(AND(E2095&gt;0,B2095=10),1,0)</f>
        <v>0</v>
      </c>
      <c r="AD2095" s="0" t="str">
        <f aca="false">IF(AND(C2094=C2095,AA2094=AA2095-1),AB2094,"")</f>
        <v/>
      </c>
      <c r="AE2095" s="0" t="str">
        <f aca="false">IF(AND(C2094=C2095,AA2094=AA2095-1),AC2094,"")</f>
        <v/>
      </c>
      <c r="AF2095" s="0" t="str">
        <f aca="false">IF(AA2095=1,"",IF(AND(AB2095=1,AD2095&lt;&gt;1),1,0))</f>
        <v/>
      </c>
      <c r="AG2095" s="0" t="str">
        <f aca="false">IF(AA2095=1,"",IF(AND(AC2095=1,AE2095&lt;&gt;1),1,0))</f>
        <v/>
      </c>
      <c r="AH2095" s="51" t="str">
        <f aca="false">IF(AND(E2095&gt;0,AA2095&lt;1,NOT(AND(C2096=C2095,AA2096=AA2095+1))),INDEX(DATAS,AA2095+1),"")</f>
        <v/>
      </c>
      <c r="AI2095" s="51" t="str">
        <f aca="false">IF(AND(AC2095=1,AA2095&lt;1),IF(AND(C2096=C2095,AA2096=AA2095+1),IF(AC2096=1,"",INDEX(DATAS,AA2095+1)),INDEX(DATAS,AA2095+1)),"")</f>
        <v/>
      </c>
    </row>
    <row r="2096" customFormat="false" ht="15" hidden="false" customHeight="false" outlineLevel="0" collapsed="false">
      <c r="A2096" s="51" t="n">
        <v>46309</v>
      </c>
      <c r="B2096" s="0" t="n">
        <v>8</v>
      </c>
      <c r="C2096" s="0" t="n">
        <v>6377</v>
      </c>
      <c r="E2096" s="0" t="n">
        <v>0</v>
      </c>
      <c r="F2096" s="46" t="s">
        <v>1185</v>
      </c>
      <c r="I2096" s="46" t="s">
        <v>152</v>
      </c>
      <c r="L2096" s="0" t="n">
        <v>169</v>
      </c>
      <c r="U2096" s="0" t="n">
        <v>582</v>
      </c>
      <c r="V2096" s="0" t="n">
        <v>1</v>
      </c>
      <c r="W2096" s="51" t="n">
        <v>46141</v>
      </c>
      <c r="X2096" s="46" t="n">
        <f aca="false">IF(I2096="Male",0,1)</f>
        <v>1</v>
      </c>
      <c r="Y2096" s="46" t="n">
        <f aca="false">IF(OR(I2096="DNB",I2096="Dry DNB"),1,0)</f>
        <v>0</v>
      </c>
      <c r="Z2096" s="46" t="n">
        <f aca="false">IF(ISNUMBER(W2096),A2096-W2096,"")</f>
        <v>168</v>
      </c>
      <c r="AA2096" s="46" t="n">
        <f aca="false">MATCH(A2096,DATAS,0)</f>
        <v>1</v>
      </c>
      <c r="AB2096" s="46" t="n">
        <f aca="false">IF(AND(E2096&gt;0,OR(AND(B2096&gt;=1,B2096&lt;=6),B2096=10)),1,0)</f>
        <v>0</v>
      </c>
      <c r="AC2096" s="46" t="n">
        <f aca="false">IF(AND(E2096&gt;0,B2096=10),1,0)</f>
        <v>0</v>
      </c>
      <c r="AD2096" s="0" t="str">
        <f aca="false">IF(AND(C2095=C2096,AA2095=AA2096-1),AB2095,"")</f>
        <v/>
      </c>
      <c r="AE2096" s="0" t="str">
        <f aca="false">IF(AND(C2095=C2096,AA2095=AA2096-1),AC2095,"")</f>
        <v/>
      </c>
      <c r="AF2096" s="0" t="str">
        <f aca="false">IF(AA2096=1,"",IF(AND(AB2096=1,AD2096&lt;&gt;1),1,0))</f>
        <v/>
      </c>
      <c r="AG2096" s="0" t="str">
        <f aca="false">IF(AA2096=1,"",IF(AND(AC2096=1,AE2096&lt;&gt;1),1,0))</f>
        <v/>
      </c>
      <c r="AH2096" s="51" t="str">
        <f aca="false">IF(AND(E2096&gt;0,AA2096&lt;1,NOT(AND(C2097=C2096,AA2097=AA2096+1))),INDEX(DATAS,AA2096+1),"")</f>
        <v/>
      </c>
      <c r="AI2096" s="51" t="str">
        <f aca="false">IF(AND(AC2096=1,AA2096&lt;1),IF(AND(C2097=C2096,AA2097=AA2096+1),IF(AC2097=1,"",INDEX(DATAS,AA2096+1)),INDEX(DATAS,AA2096+1)),"")</f>
        <v/>
      </c>
    </row>
    <row r="2097" customFormat="false" ht="15" hidden="false" customHeight="false" outlineLevel="0" collapsed="false">
      <c r="A2097" s="51" t="n">
        <v>46309</v>
      </c>
      <c r="B2097" s="0" t="n">
        <v>8</v>
      </c>
      <c r="C2097" s="0" t="n">
        <v>6378</v>
      </c>
      <c r="E2097" s="0" t="n">
        <v>0</v>
      </c>
      <c r="F2097" s="46" t="s">
        <v>1186</v>
      </c>
      <c r="I2097" s="46" t="s">
        <v>152</v>
      </c>
      <c r="L2097" s="0" t="n">
        <v>182</v>
      </c>
      <c r="U2097" s="0" t="n">
        <v>581</v>
      </c>
      <c r="V2097" s="0" t="n">
        <v>1</v>
      </c>
      <c r="W2097" s="51" t="n">
        <v>46128</v>
      </c>
      <c r="X2097" s="46" t="n">
        <f aca="false">IF(I2097="Male",0,1)</f>
        <v>1</v>
      </c>
      <c r="Y2097" s="46" t="n">
        <f aca="false">IF(OR(I2097="DNB",I2097="Dry DNB"),1,0)</f>
        <v>0</v>
      </c>
      <c r="Z2097" s="46" t="n">
        <f aca="false">IF(ISNUMBER(W2097),A2097-W2097,"")</f>
        <v>181</v>
      </c>
      <c r="AA2097" s="46" t="n">
        <f aca="false">MATCH(A2097,DATAS,0)</f>
        <v>1</v>
      </c>
      <c r="AB2097" s="46" t="n">
        <f aca="false">IF(AND(E2097&gt;0,OR(AND(B2097&gt;=1,B2097&lt;=6),B2097=10)),1,0)</f>
        <v>0</v>
      </c>
      <c r="AC2097" s="46" t="n">
        <f aca="false">IF(AND(E2097&gt;0,B2097=10),1,0)</f>
        <v>0</v>
      </c>
      <c r="AD2097" s="0" t="str">
        <f aca="false">IF(AND(C2096=C2097,AA2096=AA2097-1),AB2096,"")</f>
        <v/>
      </c>
      <c r="AE2097" s="0" t="str">
        <f aca="false">IF(AND(C2096=C2097,AA2096=AA2097-1),AC2096,"")</f>
        <v/>
      </c>
      <c r="AF2097" s="0" t="str">
        <f aca="false">IF(AA2097=1,"",IF(AND(AB2097=1,AD2097&lt;&gt;1),1,0))</f>
        <v/>
      </c>
      <c r="AG2097" s="0" t="str">
        <f aca="false">IF(AA2097=1,"",IF(AND(AC2097=1,AE2097&lt;&gt;1),1,0))</f>
        <v/>
      </c>
      <c r="AH2097" s="51" t="str">
        <f aca="false">IF(AND(E2097&gt;0,AA2097&lt;1,NOT(AND(C2098=C2097,AA2098=AA2097+1))),INDEX(DATAS,AA2097+1),"")</f>
        <v/>
      </c>
      <c r="AI2097" s="51" t="str">
        <f aca="false">IF(AND(AC2097=1,AA2097&lt;1),IF(AND(C2098=C2097,AA2098=AA2097+1),IF(AC2098=1,"",INDEX(DATAS,AA2097+1)),INDEX(DATAS,AA2097+1)),"")</f>
        <v/>
      </c>
    </row>
    <row r="2098" customFormat="false" ht="15" hidden="false" customHeight="false" outlineLevel="0" collapsed="false">
      <c r="A2098" s="51" t="n">
        <v>46309</v>
      </c>
      <c r="B2098" s="0" t="n">
        <v>8</v>
      </c>
      <c r="C2098" s="0" t="n">
        <v>6379</v>
      </c>
      <c r="E2098" s="0" t="n">
        <v>0</v>
      </c>
      <c r="F2098" s="46" t="s">
        <v>1186</v>
      </c>
      <c r="I2098" s="46" t="s">
        <v>152</v>
      </c>
      <c r="L2098" s="0" t="n">
        <v>190</v>
      </c>
      <c r="U2098" s="0" t="n">
        <v>581</v>
      </c>
      <c r="V2098" s="0" t="n">
        <v>1</v>
      </c>
      <c r="W2098" s="51" t="n">
        <v>46120</v>
      </c>
      <c r="X2098" s="46" t="n">
        <f aca="false">IF(I2098="Male",0,1)</f>
        <v>1</v>
      </c>
      <c r="Y2098" s="46" t="n">
        <f aca="false">IF(OR(I2098="DNB",I2098="Dry DNB"),1,0)</f>
        <v>0</v>
      </c>
      <c r="Z2098" s="46" t="n">
        <f aca="false">IF(ISNUMBER(W2098),A2098-W2098,"")</f>
        <v>189</v>
      </c>
      <c r="AA2098" s="46" t="n">
        <f aca="false">MATCH(A2098,DATAS,0)</f>
        <v>1</v>
      </c>
      <c r="AB2098" s="46" t="n">
        <f aca="false">IF(AND(E2098&gt;0,OR(AND(B2098&gt;=1,B2098&lt;=6),B2098=10)),1,0)</f>
        <v>0</v>
      </c>
      <c r="AC2098" s="46" t="n">
        <f aca="false">IF(AND(E2098&gt;0,B2098=10),1,0)</f>
        <v>0</v>
      </c>
      <c r="AD2098" s="0" t="str">
        <f aca="false">IF(AND(C2097=C2098,AA2097=AA2098-1),AB2097,"")</f>
        <v/>
      </c>
      <c r="AE2098" s="0" t="str">
        <f aca="false">IF(AND(C2097=C2098,AA2097=AA2098-1),AC2097,"")</f>
        <v/>
      </c>
      <c r="AF2098" s="0" t="str">
        <f aca="false">IF(AA2098=1,"",IF(AND(AB2098=1,AD2098&lt;&gt;1),1,0))</f>
        <v/>
      </c>
      <c r="AG2098" s="0" t="str">
        <f aca="false">IF(AA2098=1,"",IF(AND(AC2098=1,AE2098&lt;&gt;1),1,0))</f>
        <v/>
      </c>
      <c r="AH2098" s="51" t="str">
        <f aca="false">IF(AND(E2098&gt;0,AA2098&lt;1,NOT(AND(C2099=C2098,AA2099=AA2098+1))),INDEX(DATAS,AA2098+1),"")</f>
        <v/>
      </c>
      <c r="AI2098" s="51" t="str">
        <f aca="false">IF(AND(AC2098=1,AA2098&lt;1),IF(AND(C2099=C2098,AA2099=AA2098+1),IF(AC2099=1,"",INDEX(DATAS,AA2098+1)),INDEX(DATAS,AA2098+1)),"")</f>
        <v/>
      </c>
    </row>
    <row r="2099" customFormat="false" ht="15" hidden="false" customHeight="false" outlineLevel="0" collapsed="false">
      <c r="A2099" s="51" t="n">
        <v>46309</v>
      </c>
      <c r="B2099" s="0" t="n">
        <v>8</v>
      </c>
      <c r="C2099" s="0" t="n">
        <v>6380</v>
      </c>
      <c r="E2099" s="0" t="n">
        <v>0</v>
      </c>
      <c r="F2099" s="46" t="s">
        <v>1187</v>
      </c>
      <c r="I2099" s="46" t="s">
        <v>152</v>
      </c>
      <c r="L2099" s="0" t="n">
        <v>101</v>
      </c>
      <c r="U2099" s="0" t="n">
        <v>580</v>
      </c>
      <c r="V2099" s="0" t="n">
        <v>3</v>
      </c>
      <c r="W2099" s="51" t="n">
        <v>46209</v>
      </c>
      <c r="X2099" s="46" t="n">
        <f aca="false">IF(I2099="Male",0,1)</f>
        <v>1</v>
      </c>
      <c r="Y2099" s="46" t="n">
        <f aca="false">IF(OR(I2099="DNB",I2099="Dry DNB"),1,0)</f>
        <v>0</v>
      </c>
      <c r="Z2099" s="46" t="n">
        <f aca="false">IF(ISNUMBER(W2099),A2099-W2099,"")</f>
        <v>100</v>
      </c>
      <c r="AA2099" s="46" t="n">
        <f aca="false">MATCH(A2099,DATAS,0)</f>
        <v>1</v>
      </c>
      <c r="AB2099" s="46" t="n">
        <f aca="false">IF(AND(E2099&gt;0,OR(AND(B2099&gt;=1,B2099&lt;=6),B2099=10)),1,0)</f>
        <v>0</v>
      </c>
      <c r="AC2099" s="46" t="n">
        <f aca="false">IF(AND(E2099&gt;0,B2099=10),1,0)</f>
        <v>0</v>
      </c>
      <c r="AD2099" s="0" t="str">
        <f aca="false">IF(AND(C2098=C2099,AA2098=AA2099-1),AB2098,"")</f>
        <v/>
      </c>
      <c r="AE2099" s="0" t="str">
        <f aca="false">IF(AND(C2098=C2099,AA2098=AA2099-1),AC2098,"")</f>
        <v/>
      </c>
      <c r="AF2099" s="0" t="str">
        <f aca="false">IF(AA2099=1,"",IF(AND(AB2099=1,AD2099&lt;&gt;1),1,0))</f>
        <v/>
      </c>
      <c r="AG2099" s="0" t="str">
        <f aca="false">IF(AA2099=1,"",IF(AND(AC2099=1,AE2099&lt;&gt;1),1,0))</f>
        <v/>
      </c>
      <c r="AH2099" s="51" t="str">
        <f aca="false">IF(AND(E2099&gt;0,AA2099&lt;1,NOT(AND(C2100=C2099,AA2100=AA2099+1))),INDEX(DATAS,AA2099+1),"")</f>
        <v/>
      </c>
      <c r="AI2099" s="51" t="str">
        <f aca="false">IF(AND(AC2099=1,AA2099&lt;1),IF(AND(C2100=C2099,AA2100=AA2099+1),IF(AC2100=1,"",INDEX(DATAS,AA2099+1)),INDEX(DATAS,AA2099+1)),"")</f>
        <v/>
      </c>
    </row>
    <row r="2100" customFormat="false" ht="15" hidden="false" customHeight="false" outlineLevel="0" collapsed="false">
      <c r="A2100" s="51" t="n">
        <v>46309</v>
      </c>
      <c r="B2100" s="0" t="n">
        <v>8</v>
      </c>
      <c r="C2100" s="0" t="n">
        <v>6381</v>
      </c>
      <c r="E2100" s="0" t="n">
        <v>0</v>
      </c>
      <c r="F2100" s="46" t="s">
        <v>1187</v>
      </c>
      <c r="I2100" s="46" t="s">
        <v>152</v>
      </c>
      <c r="L2100" s="0" t="n">
        <v>162</v>
      </c>
      <c r="U2100" s="0" t="n">
        <v>580</v>
      </c>
      <c r="V2100" s="0" t="n">
        <v>1</v>
      </c>
      <c r="W2100" s="51" t="n">
        <v>46148</v>
      </c>
      <c r="X2100" s="46" t="n">
        <f aca="false">IF(I2100="Male",0,1)</f>
        <v>1</v>
      </c>
      <c r="Y2100" s="46" t="n">
        <f aca="false">IF(OR(I2100="DNB",I2100="Dry DNB"),1,0)</f>
        <v>0</v>
      </c>
      <c r="Z2100" s="46" t="n">
        <f aca="false">IF(ISNUMBER(W2100),A2100-W2100,"")</f>
        <v>161</v>
      </c>
      <c r="AA2100" s="46" t="n">
        <f aca="false">MATCH(A2100,DATAS,0)</f>
        <v>1</v>
      </c>
      <c r="AB2100" s="46" t="n">
        <f aca="false">IF(AND(E2100&gt;0,OR(AND(B2100&gt;=1,B2100&lt;=6),B2100=10)),1,0)</f>
        <v>0</v>
      </c>
      <c r="AC2100" s="46" t="n">
        <f aca="false">IF(AND(E2100&gt;0,B2100=10),1,0)</f>
        <v>0</v>
      </c>
      <c r="AD2100" s="0" t="str">
        <f aca="false">IF(AND(C2099=C2100,AA2099=AA2100-1),AB2099,"")</f>
        <v/>
      </c>
      <c r="AE2100" s="0" t="str">
        <f aca="false">IF(AND(C2099=C2100,AA2099=AA2100-1),AC2099,"")</f>
        <v/>
      </c>
      <c r="AF2100" s="0" t="str">
        <f aca="false">IF(AA2100=1,"",IF(AND(AB2100=1,AD2100&lt;&gt;1),1,0))</f>
        <v/>
      </c>
      <c r="AG2100" s="0" t="str">
        <f aca="false">IF(AA2100=1,"",IF(AND(AC2100=1,AE2100&lt;&gt;1),1,0))</f>
        <v/>
      </c>
      <c r="AH2100" s="51" t="str">
        <f aca="false">IF(AND(E2100&gt;0,AA2100&lt;1,NOT(AND(C2101=C2100,AA2101=AA2100+1))),INDEX(DATAS,AA2100+1),"")</f>
        <v/>
      </c>
      <c r="AI2100" s="51" t="str">
        <f aca="false">IF(AND(AC2100=1,AA2100&lt;1),IF(AND(C2101=C2100,AA2101=AA2100+1),IF(AC2101=1,"",INDEX(DATAS,AA2100+1)),INDEX(DATAS,AA2100+1)),"")</f>
        <v/>
      </c>
    </row>
    <row r="2101" customFormat="false" ht="15" hidden="false" customHeight="false" outlineLevel="0" collapsed="false">
      <c r="A2101" s="51" t="n">
        <v>46309</v>
      </c>
      <c r="B2101" s="0" t="n">
        <v>8</v>
      </c>
      <c r="C2101" s="0" t="n">
        <v>6383</v>
      </c>
      <c r="E2101" s="0" t="n">
        <v>0</v>
      </c>
      <c r="F2101" s="46" t="s">
        <v>1188</v>
      </c>
      <c r="I2101" s="46" t="s">
        <v>152</v>
      </c>
      <c r="L2101" s="0" t="n">
        <v>118</v>
      </c>
      <c r="U2101" s="0" t="n">
        <v>579</v>
      </c>
      <c r="V2101" s="0" t="n">
        <v>2</v>
      </c>
      <c r="W2101" s="51" t="n">
        <v>46135</v>
      </c>
      <c r="X2101" s="46" t="n">
        <f aca="false">IF(I2101="Male",0,1)</f>
        <v>1</v>
      </c>
      <c r="Y2101" s="46" t="n">
        <f aca="false">IF(OR(I2101="DNB",I2101="Dry DNB"),1,0)</f>
        <v>0</v>
      </c>
      <c r="Z2101" s="46" t="n">
        <f aca="false">IF(ISNUMBER(W2101),A2101-W2101,"")</f>
        <v>174</v>
      </c>
      <c r="AA2101" s="46" t="n">
        <f aca="false">MATCH(A2101,DATAS,0)</f>
        <v>1</v>
      </c>
      <c r="AB2101" s="46" t="n">
        <f aca="false">IF(AND(E2101&gt;0,OR(AND(B2101&gt;=1,B2101&lt;=6),B2101=10)),1,0)</f>
        <v>0</v>
      </c>
      <c r="AC2101" s="46" t="n">
        <f aca="false">IF(AND(E2101&gt;0,B2101=10),1,0)</f>
        <v>0</v>
      </c>
      <c r="AD2101" s="0" t="str">
        <f aca="false">IF(AND(C2100=C2101,AA2100=AA2101-1),AB2100,"")</f>
        <v/>
      </c>
      <c r="AE2101" s="0" t="str">
        <f aca="false">IF(AND(C2100=C2101,AA2100=AA2101-1),AC2100,"")</f>
        <v/>
      </c>
      <c r="AF2101" s="0" t="str">
        <f aca="false">IF(AA2101=1,"",IF(AND(AB2101=1,AD2101&lt;&gt;1),1,0))</f>
        <v/>
      </c>
      <c r="AG2101" s="0" t="str">
        <f aca="false">IF(AA2101=1,"",IF(AND(AC2101=1,AE2101&lt;&gt;1),1,0))</f>
        <v/>
      </c>
      <c r="AH2101" s="51" t="str">
        <f aca="false">IF(AND(E2101&gt;0,AA2101&lt;1,NOT(AND(C2102=C2101,AA2102=AA2101+1))),INDEX(DATAS,AA2101+1),"")</f>
        <v/>
      </c>
      <c r="AI2101" s="51" t="str">
        <f aca="false">IF(AND(AC2101=1,AA2101&lt;1),IF(AND(C2102=C2101,AA2102=AA2101+1),IF(AC2102=1,"",INDEX(DATAS,AA2101+1)),INDEX(DATAS,AA2101+1)),"")</f>
        <v/>
      </c>
    </row>
    <row r="2102" customFormat="false" ht="15" hidden="false" customHeight="false" outlineLevel="0" collapsed="false">
      <c r="A2102" s="51" t="n">
        <v>46309</v>
      </c>
      <c r="B2102" s="0" t="n">
        <v>11</v>
      </c>
      <c r="C2102" s="0" t="n">
        <v>6384</v>
      </c>
      <c r="E2102" s="0" t="n">
        <v>0</v>
      </c>
      <c r="F2102" s="46" t="s">
        <v>1188</v>
      </c>
      <c r="I2102" s="46" t="s">
        <v>181</v>
      </c>
      <c r="U2102" s="0" t="n">
        <v>579</v>
      </c>
      <c r="V2102" s="0" t="n">
        <v>6</v>
      </c>
      <c r="W2102" s="51" t="n">
        <v>46290</v>
      </c>
      <c r="X2102" s="46" t="n">
        <f aca="false">IF(I2102="Male",0,1)</f>
        <v>1</v>
      </c>
      <c r="Y2102" s="46" t="n">
        <f aca="false">IF(OR(I2102="DNB",I2102="Dry DNB"),1,0)</f>
        <v>0</v>
      </c>
      <c r="Z2102" s="46" t="n">
        <f aca="false">IF(ISNUMBER(W2102),A2102-W2102,"")</f>
        <v>19</v>
      </c>
      <c r="AA2102" s="46" t="n">
        <f aca="false">MATCH(A2102,DATAS,0)</f>
        <v>1</v>
      </c>
      <c r="AB2102" s="46" t="n">
        <f aca="false">IF(AND(E2102&gt;0,OR(AND(B2102&gt;=1,B2102&lt;=6),B2102=10)),1,0)</f>
        <v>0</v>
      </c>
      <c r="AC2102" s="46" t="n">
        <f aca="false">IF(AND(E2102&gt;0,B2102=10),1,0)</f>
        <v>0</v>
      </c>
      <c r="AD2102" s="0" t="str">
        <f aca="false">IF(AND(C2101=C2102,AA2101=AA2102-1),AB2101,"")</f>
        <v/>
      </c>
      <c r="AE2102" s="0" t="str">
        <f aca="false">IF(AND(C2101=C2102,AA2101=AA2102-1),AC2101,"")</f>
        <v/>
      </c>
      <c r="AF2102" s="0" t="str">
        <f aca="false">IF(AA2102=1,"",IF(AND(AB2102=1,AD2102&lt;&gt;1),1,0))</f>
        <v/>
      </c>
      <c r="AG2102" s="0" t="str">
        <f aca="false">IF(AA2102=1,"",IF(AND(AC2102=1,AE2102&lt;&gt;1),1,0))</f>
        <v/>
      </c>
      <c r="AH2102" s="51" t="str">
        <f aca="false">IF(AND(E2102&gt;0,AA2102&lt;1,NOT(AND(C2103=C2102,AA2103=AA2102+1))),INDEX(DATAS,AA2102+1),"")</f>
        <v/>
      </c>
      <c r="AI2102" s="51" t="str">
        <f aca="false">IF(AND(AC2102=1,AA2102&lt;1),IF(AND(C2103=C2102,AA2103=AA2102+1),IF(AC2103=1,"",INDEX(DATAS,AA2102+1)),INDEX(DATAS,AA2102+1)),"")</f>
        <v/>
      </c>
    </row>
    <row r="2103" customFormat="false" ht="15" hidden="false" customHeight="false" outlineLevel="0" collapsed="false">
      <c r="A2103" s="51" t="n">
        <v>46309</v>
      </c>
      <c r="B2103" s="0" t="n">
        <v>8</v>
      </c>
      <c r="C2103" s="0" t="n">
        <v>6385</v>
      </c>
      <c r="E2103" s="0" t="n">
        <v>0</v>
      </c>
      <c r="F2103" s="46" t="s">
        <v>1189</v>
      </c>
      <c r="I2103" s="46" t="s">
        <v>152</v>
      </c>
      <c r="L2103" s="0" t="n">
        <v>123</v>
      </c>
      <c r="U2103" s="0" t="n">
        <v>577</v>
      </c>
      <c r="V2103" s="0" t="n">
        <v>4</v>
      </c>
      <c r="W2103" s="51" t="n">
        <v>46187</v>
      </c>
      <c r="X2103" s="46" t="n">
        <f aca="false">IF(I2103="Male",0,1)</f>
        <v>1</v>
      </c>
      <c r="Y2103" s="46" t="n">
        <f aca="false">IF(OR(I2103="DNB",I2103="Dry DNB"),1,0)</f>
        <v>0</v>
      </c>
      <c r="Z2103" s="46" t="n">
        <f aca="false">IF(ISNUMBER(W2103),A2103-W2103,"")</f>
        <v>122</v>
      </c>
      <c r="AA2103" s="46" t="n">
        <f aca="false">MATCH(A2103,DATAS,0)</f>
        <v>1</v>
      </c>
      <c r="AB2103" s="46" t="n">
        <f aca="false">IF(AND(E2103&gt;0,OR(AND(B2103&gt;=1,B2103&lt;=6),B2103=10)),1,0)</f>
        <v>0</v>
      </c>
      <c r="AC2103" s="46" t="n">
        <f aca="false">IF(AND(E2103&gt;0,B2103=10),1,0)</f>
        <v>0</v>
      </c>
      <c r="AD2103" s="0" t="str">
        <f aca="false">IF(AND(C2102=C2103,AA2102=AA2103-1),AB2102,"")</f>
        <v/>
      </c>
      <c r="AE2103" s="0" t="str">
        <f aca="false">IF(AND(C2102=C2103,AA2102=AA2103-1),AC2102,"")</f>
        <v/>
      </c>
      <c r="AF2103" s="0" t="str">
        <f aca="false">IF(AA2103=1,"",IF(AND(AB2103=1,AD2103&lt;&gt;1),1,0))</f>
        <v/>
      </c>
      <c r="AG2103" s="0" t="str">
        <f aca="false">IF(AA2103=1,"",IF(AND(AC2103=1,AE2103&lt;&gt;1),1,0))</f>
        <v/>
      </c>
      <c r="AH2103" s="51" t="str">
        <f aca="false">IF(AND(E2103&gt;0,AA2103&lt;1,NOT(AND(C2104=C2103,AA2104=AA2103+1))),INDEX(DATAS,AA2103+1),"")</f>
        <v/>
      </c>
      <c r="AI2103" s="51" t="str">
        <f aca="false">IF(AND(AC2103=1,AA2103&lt;1),IF(AND(C2104=C2103,AA2104=AA2103+1),IF(AC2104=1,"",INDEX(DATAS,AA2103+1)),INDEX(DATAS,AA2103+1)),"")</f>
        <v/>
      </c>
    </row>
    <row r="2104" customFormat="false" ht="15" hidden="false" customHeight="false" outlineLevel="0" collapsed="false">
      <c r="A2104" s="51" t="n">
        <v>46309</v>
      </c>
      <c r="B2104" s="0" t="n">
        <v>8</v>
      </c>
      <c r="C2104" s="0" t="n">
        <v>6386</v>
      </c>
      <c r="E2104" s="0" t="n">
        <v>0</v>
      </c>
      <c r="F2104" s="46" t="s">
        <v>1189</v>
      </c>
      <c r="I2104" s="46" t="s">
        <v>152</v>
      </c>
      <c r="L2104" s="0" t="n">
        <v>175</v>
      </c>
      <c r="U2104" s="0" t="n">
        <v>577</v>
      </c>
      <c r="V2104" s="0" t="n">
        <v>1</v>
      </c>
      <c r="W2104" s="51" t="n">
        <v>46135</v>
      </c>
      <c r="X2104" s="46" t="n">
        <f aca="false">IF(I2104="Male",0,1)</f>
        <v>1</v>
      </c>
      <c r="Y2104" s="46" t="n">
        <f aca="false">IF(OR(I2104="DNB",I2104="Dry DNB"),1,0)</f>
        <v>0</v>
      </c>
      <c r="Z2104" s="46" t="n">
        <f aca="false">IF(ISNUMBER(W2104),A2104-W2104,"")</f>
        <v>174</v>
      </c>
      <c r="AA2104" s="46" t="n">
        <f aca="false">MATCH(A2104,DATAS,0)</f>
        <v>1</v>
      </c>
      <c r="AB2104" s="46" t="n">
        <f aca="false">IF(AND(E2104&gt;0,OR(AND(B2104&gt;=1,B2104&lt;=6),B2104=10)),1,0)</f>
        <v>0</v>
      </c>
      <c r="AC2104" s="46" t="n">
        <f aca="false">IF(AND(E2104&gt;0,B2104=10),1,0)</f>
        <v>0</v>
      </c>
      <c r="AD2104" s="0" t="str">
        <f aca="false">IF(AND(C2103=C2104,AA2103=AA2104-1),AB2103,"")</f>
        <v/>
      </c>
      <c r="AE2104" s="0" t="str">
        <f aca="false">IF(AND(C2103=C2104,AA2103=AA2104-1),AC2103,"")</f>
        <v/>
      </c>
      <c r="AF2104" s="0" t="str">
        <f aca="false">IF(AA2104=1,"",IF(AND(AB2104=1,AD2104&lt;&gt;1),1,0))</f>
        <v/>
      </c>
      <c r="AG2104" s="0" t="str">
        <f aca="false">IF(AA2104=1,"",IF(AND(AC2104=1,AE2104&lt;&gt;1),1,0))</f>
        <v/>
      </c>
      <c r="AH2104" s="51" t="str">
        <f aca="false">IF(AND(E2104&gt;0,AA2104&lt;1,NOT(AND(C2105=C2104,AA2105=AA2104+1))),INDEX(DATAS,AA2104+1),"")</f>
        <v/>
      </c>
      <c r="AI2104" s="51" t="str">
        <f aca="false">IF(AND(AC2104=1,AA2104&lt;1),IF(AND(C2105=C2104,AA2105=AA2104+1),IF(AC2105=1,"",INDEX(DATAS,AA2104+1)),INDEX(DATAS,AA2104+1)),"")</f>
        <v/>
      </c>
    </row>
    <row r="2105" customFormat="false" ht="15" hidden="false" customHeight="false" outlineLevel="0" collapsed="false">
      <c r="A2105" s="51" t="n">
        <v>46309</v>
      </c>
      <c r="B2105" s="0" t="n">
        <v>8</v>
      </c>
      <c r="C2105" s="0" t="n">
        <v>6387</v>
      </c>
      <c r="E2105" s="0" t="n">
        <v>0</v>
      </c>
      <c r="F2105" s="46" t="s">
        <v>1190</v>
      </c>
      <c r="I2105" s="46" t="s">
        <v>152</v>
      </c>
      <c r="L2105" s="0" t="n">
        <v>175</v>
      </c>
      <c r="U2105" s="0" t="n">
        <v>578</v>
      </c>
      <c r="V2105" s="0" t="n">
        <v>1</v>
      </c>
      <c r="W2105" s="51" t="n">
        <v>46135</v>
      </c>
      <c r="X2105" s="46" t="n">
        <f aca="false">IF(I2105="Male",0,1)</f>
        <v>1</v>
      </c>
      <c r="Y2105" s="46" t="n">
        <f aca="false">IF(OR(I2105="DNB",I2105="Dry DNB"),1,0)</f>
        <v>0</v>
      </c>
      <c r="Z2105" s="46" t="n">
        <f aca="false">IF(ISNUMBER(W2105),A2105-W2105,"")</f>
        <v>174</v>
      </c>
      <c r="AA2105" s="46" t="n">
        <f aca="false">MATCH(A2105,DATAS,0)</f>
        <v>1</v>
      </c>
      <c r="AB2105" s="46" t="n">
        <f aca="false">IF(AND(E2105&gt;0,OR(AND(B2105&gt;=1,B2105&lt;=6),B2105=10)),1,0)</f>
        <v>0</v>
      </c>
      <c r="AC2105" s="46" t="n">
        <f aca="false">IF(AND(E2105&gt;0,B2105=10),1,0)</f>
        <v>0</v>
      </c>
      <c r="AD2105" s="0" t="str">
        <f aca="false">IF(AND(C2104=C2105,AA2104=AA2105-1),AB2104,"")</f>
        <v/>
      </c>
      <c r="AE2105" s="0" t="str">
        <f aca="false">IF(AND(C2104=C2105,AA2104=AA2105-1),AC2104,"")</f>
        <v/>
      </c>
      <c r="AF2105" s="0" t="str">
        <f aca="false">IF(AA2105=1,"",IF(AND(AB2105=1,AD2105&lt;&gt;1),1,0))</f>
        <v/>
      </c>
      <c r="AG2105" s="0" t="str">
        <f aca="false">IF(AA2105=1,"",IF(AND(AC2105=1,AE2105&lt;&gt;1),1,0))</f>
        <v/>
      </c>
      <c r="AH2105" s="51" t="str">
        <f aca="false">IF(AND(E2105&gt;0,AA2105&lt;1,NOT(AND(C2106=C2105,AA2106=AA2105+1))),INDEX(DATAS,AA2105+1),"")</f>
        <v/>
      </c>
      <c r="AI2105" s="51" t="str">
        <f aca="false">IF(AND(AC2105=1,AA2105&lt;1),IF(AND(C2106=C2105,AA2106=AA2105+1),IF(AC2106=1,"",INDEX(DATAS,AA2105+1)),INDEX(DATAS,AA2105+1)),"")</f>
        <v/>
      </c>
    </row>
    <row r="2106" customFormat="false" ht="15" hidden="false" customHeight="false" outlineLevel="0" collapsed="false">
      <c r="A2106" s="51" t="n">
        <v>46309</v>
      </c>
      <c r="B2106" s="0" t="n">
        <v>8</v>
      </c>
      <c r="C2106" s="0" t="n">
        <v>6388</v>
      </c>
      <c r="E2106" s="0" t="n">
        <v>0</v>
      </c>
      <c r="F2106" s="46" t="s">
        <v>1189</v>
      </c>
      <c r="I2106" s="46" t="s">
        <v>152</v>
      </c>
      <c r="L2106" s="0" t="n">
        <v>157</v>
      </c>
      <c r="U2106" s="0" t="n">
        <v>577</v>
      </c>
      <c r="V2106" s="0" t="n">
        <v>1</v>
      </c>
      <c r="W2106" s="51" t="n">
        <v>46153</v>
      </c>
      <c r="X2106" s="46" t="n">
        <f aca="false">IF(I2106="Male",0,1)</f>
        <v>1</v>
      </c>
      <c r="Y2106" s="46" t="n">
        <f aca="false">IF(OR(I2106="DNB",I2106="Dry DNB"),1,0)</f>
        <v>0</v>
      </c>
      <c r="Z2106" s="46" t="n">
        <f aca="false">IF(ISNUMBER(W2106),A2106-W2106,"")</f>
        <v>156</v>
      </c>
      <c r="AA2106" s="46" t="n">
        <f aca="false">MATCH(A2106,DATAS,0)</f>
        <v>1</v>
      </c>
      <c r="AB2106" s="46" t="n">
        <f aca="false">IF(AND(E2106&gt;0,OR(AND(B2106&gt;=1,B2106&lt;=6),B2106=10)),1,0)</f>
        <v>0</v>
      </c>
      <c r="AC2106" s="46" t="n">
        <f aca="false">IF(AND(E2106&gt;0,B2106=10),1,0)</f>
        <v>0</v>
      </c>
      <c r="AD2106" s="0" t="str">
        <f aca="false">IF(AND(C2105=C2106,AA2105=AA2106-1),AB2105,"")</f>
        <v/>
      </c>
      <c r="AE2106" s="0" t="str">
        <f aca="false">IF(AND(C2105=C2106,AA2105=AA2106-1),AC2105,"")</f>
        <v/>
      </c>
      <c r="AF2106" s="0" t="str">
        <f aca="false">IF(AA2106=1,"",IF(AND(AB2106=1,AD2106&lt;&gt;1),1,0))</f>
        <v/>
      </c>
      <c r="AG2106" s="0" t="str">
        <f aca="false">IF(AA2106=1,"",IF(AND(AC2106=1,AE2106&lt;&gt;1),1,0))</f>
        <v/>
      </c>
      <c r="AH2106" s="51" t="str">
        <f aca="false">IF(AND(E2106&gt;0,AA2106&lt;1,NOT(AND(C2107=C2106,AA2107=AA2106+1))),INDEX(DATAS,AA2106+1),"")</f>
        <v/>
      </c>
      <c r="AI2106" s="51" t="str">
        <f aca="false">IF(AND(AC2106=1,AA2106&lt;1),IF(AND(C2107=C2106,AA2107=AA2106+1),IF(AC2107=1,"",INDEX(DATAS,AA2106+1)),INDEX(DATAS,AA2106+1)),"")</f>
        <v/>
      </c>
    </row>
    <row r="2107" customFormat="false" ht="15" hidden="false" customHeight="false" outlineLevel="0" collapsed="false">
      <c r="A2107" s="51" t="n">
        <v>46309</v>
      </c>
      <c r="B2107" s="0" t="n">
        <v>8</v>
      </c>
      <c r="C2107" s="0" t="n">
        <v>6389</v>
      </c>
      <c r="E2107" s="0" t="n">
        <v>0</v>
      </c>
      <c r="F2107" s="46" t="s">
        <v>1189</v>
      </c>
      <c r="I2107" s="46" t="s">
        <v>152</v>
      </c>
      <c r="L2107" s="0" t="n">
        <v>176</v>
      </c>
      <c r="U2107" s="0" t="n">
        <v>577</v>
      </c>
      <c r="V2107" s="0" t="n">
        <v>1</v>
      </c>
      <c r="W2107" s="51" t="n">
        <v>46134</v>
      </c>
      <c r="X2107" s="46" t="n">
        <f aca="false">IF(I2107="Male",0,1)</f>
        <v>1</v>
      </c>
      <c r="Y2107" s="46" t="n">
        <f aca="false">IF(OR(I2107="DNB",I2107="Dry DNB"),1,0)</f>
        <v>0</v>
      </c>
      <c r="Z2107" s="46" t="n">
        <f aca="false">IF(ISNUMBER(W2107),A2107-W2107,"")</f>
        <v>175</v>
      </c>
      <c r="AA2107" s="46" t="n">
        <f aca="false">MATCH(A2107,DATAS,0)</f>
        <v>1</v>
      </c>
      <c r="AB2107" s="46" t="n">
        <f aca="false">IF(AND(E2107&gt;0,OR(AND(B2107&gt;=1,B2107&lt;=6),B2107=10)),1,0)</f>
        <v>0</v>
      </c>
      <c r="AC2107" s="46" t="n">
        <f aca="false">IF(AND(E2107&gt;0,B2107=10),1,0)</f>
        <v>0</v>
      </c>
      <c r="AD2107" s="0" t="str">
        <f aca="false">IF(AND(C2106=C2107,AA2106=AA2107-1),AB2106,"")</f>
        <v/>
      </c>
      <c r="AE2107" s="0" t="str">
        <f aca="false">IF(AND(C2106=C2107,AA2106=AA2107-1),AC2106,"")</f>
        <v/>
      </c>
      <c r="AF2107" s="0" t="str">
        <f aca="false">IF(AA2107=1,"",IF(AND(AB2107=1,AD2107&lt;&gt;1),1,0))</f>
        <v/>
      </c>
      <c r="AG2107" s="0" t="str">
        <f aca="false">IF(AA2107=1,"",IF(AND(AC2107=1,AE2107&lt;&gt;1),1,0))</f>
        <v/>
      </c>
      <c r="AH2107" s="51" t="str">
        <f aca="false">IF(AND(E2107&gt;0,AA2107&lt;1,NOT(AND(C2108=C2107,AA2108=AA2107+1))),INDEX(DATAS,AA2107+1),"")</f>
        <v/>
      </c>
      <c r="AI2107" s="51" t="str">
        <f aca="false">IF(AND(AC2107=1,AA2107&lt;1),IF(AND(C2108=C2107,AA2108=AA2107+1),IF(AC2108=1,"",INDEX(DATAS,AA2107+1)),INDEX(DATAS,AA2107+1)),"")</f>
        <v/>
      </c>
    </row>
    <row r="2108" customFormat="false" ht="15" hidden="false" customHeight="false" outlineLevel="0" collapsed="false">
      <c r="A2108" s="51" t="n">
        <v>46309</v>
      </c>
      <c r="B2108" s="0" t="n">
        <v>8</v>
      </c>
      <c r="C2108" s="0" t="n">
        <v>6391</v>
      </c>
      <c r="E2108" s="0" t="n">
        <v>0</v>
      </c>
      <c r="F2108" s="46" t="s">
        <v>1191</v>
      </c>
      <c r="I2108" s="46" t="s">
        <v>152</v>
      </c>
      <c r="L2108" s="0" t="n">
        <v>153</v>
      </c>
      <c r="U2108" s="0" t="n">
        <v>576</v>
      </c>
      <c r="V2108" s="0" t="n">
        <v>1</v>
      </c>
      <c r="W2108" s="51" t="n">
        <v>46157</v>
      </c>
      <c r="X2108" s="46" t="n">
        <f aca="false">IF(I2108="Male",0,1)</f>
        <v>1</v>
      </c>
      <c r="Y2108" s="46" t="n">
        <f aca="false">IF(OR(I2108="DNB",I2108="Dry DNB"),1,0)</f>
        <v>0</v>
      </c>
      <c r="Z2108" s="46" t="n">
        <f aca="false">IF(ISNUMBER(W2108),A2108-W2108,"")</f>
        <v>152</v>
      </c>
      <c r="AA2108" s="46" t="n">
        <f aca="false">MATCH(A2108,DATAS,0)</f>
        <v>1</v>
      </c>
      <c r="AB2108" s="46" t="n">
        <f aca="false">IF(AND(E2108&gt;0,OR(AND(B2108&gt;=1,B2108&lt;=6),B2108=10)),1,0)</f>
        <v>0</v>
      </c>
      <c r="AC2108" s="46" t="n">
        <f aca="false">IF(AND(E2108&gt;0,B2108=10),1,0)</f>
        <v>0</v>
      </c>
      <c r="AD2108" s="0" t="str">
        <f aca="false">IF(AND(C2107=C2108,AA2107=AA2108-1),AB2107,"")</f>
        <v/>
      </c>
      <c r="AE2108" s="0" t="str">
        <f aca="false">IF(AND(C2107=C2108,AA2107=AA2108-1),AC2107,"")</f>
        <v/>
      </c>
      <c r="AF2108" s="0" t="str">
        <f aca="false">IF(AA2108=1,"",IF(AND(AB2108=1,AD2108&lt;&gt;1),1,0))</f>
        <v/>
      </c>
      <c r="AG2108" s="0" t="str">
        <f aca="false">IF(AA2108=1,"",IF(AND(AC2108=1,AE2108&lt;&gt;1),1,0))</f>
        <v/>
      </c>
      <c r="AH2108" s="51" t="str">
        <f aca="false">IF(AND(E2108&gt;0,AA2108&lt;1,NOT(AND(C2109=C2108,AA2109=AA2108+1))),INDEX(DATAS,AA2108+1),"")</f>
        <v/>
      </c>
      <c r="AI2108" s="51" t="str">
        <f aca="false">IF(AND(AC2108=1,AA2108&lt;1),IF(AND(C2109=C2108,AA2109=AA2108+1),IF(AC2109=1,"",INDEX(DATAS,AA2108+1)),INDEX(DATAS,AA2108+1)),"")</f>
        <v/>
      </c>
    </row>
    <row r="2109" customFormat="false" ht="15" hidden="false" customHeight="false" outlineLevel="0" collapsed="false">
      <c r="A2109" s="51" t="n">
        <v>46309</v>
      </c>
      <c r="B2109" s="0" t="n">
        <v>8</v>
      </c>
      <c r="C2109" s="0" t="n">
        <v>6392</v>
      </c>
      <c r="E2109" s="0" t="n">
        <v>0</v>
      </c>
      <c r="F2109" s="46" t="s">
        <v>1191</v>
      </c>
      <c r="I2109" s="46" t="s">
        <v>152</v>
      </c>
      <c r="L2109" s="0" t="n">
        <v>162</v>
      </c>
      <c r="U2109" s="0" t="n">
        <v>576</v>
      </c>
      <c r="V2109" s="0" t="n">
        <v>1</v>
      </c>
      <c r="W2109" s="51" t="n">
        <v>46148</v>
      </c>
      <c r="X2109" s="46" t="n">
        <f aca="false">IF(I2109="Male",0,1)</f>
        <v>1</v>
      </c>
      <c r="Y2109" s="46" t="n">
        <f aca="false">IF(OR(I2109="DNB",I2109="Dry DNB"),1,0)</f>
        <v>0</v>
      </c>
      <c r="Z2109" s="46" t="n">
        <f aca="false">IF(ISNUMBER(W2109),A2109-W2109,"")</f>
        <v>161</v>
      </c>
      <c r="AA2109" s="46" t="n">
        <f aca="false">MATCH(A2109,DATAS,0)</f>
        <v>1</v>
      </c>
      <c r="AB2109" s="46" t="n">
        <f aca="false">IF(AND(E2109&gt;0,OR(AND(B2109&gt;=1,B2109&lt;=6),B2109=10)),1,0)</f>
        <v>0</v>
      </c>
      <c r="AC2109" s="46" t="n">
        <f aca="false">IF(AND(E2109&gt;0,B2109=10),1,0)</f>
        <v>0</v>
      </c>
      <c r="AD2109" s="0" t="str">
        <f aca="false">IF(AND(C2108=C2109,AA2108=AA2109-1),AB2108,"")</f>
        <v/>
      </c>
      <c r="AE2109" s="0" t="str">
        <f aca="false">IF(AND(C2108=C2109,AA2108=AA2109-1),AC2108,"")</f>
        <v/>
      </c>
      <c r="AF2109" s="0" t="str">
        <f aca="false">IF(AA2109=1,"",IF(AND(AB2109=1,AD2109&lt;&gt;1),1,0))</f>
        <v/>
      </c>
      <c r="AG2109" s="0" t="str">
        <f aca="false">IF(AA2109=1,"",IF(AND(AC2109=1,AE2109&lt;&gt;1),1,0))</f>
        <v/>
      </c>
      <c r="AH2109" s="51" t="str">
        <f aca="false">IF(AND(E2109&gt;0,AA2109&lt;1,NOT(AND(C2110=C2109,AA2110=AA2109+1))),INDEX(DATAS,AA2109+1),"")</f>
        <v/>
      </c>
      <c r="AI2109" s="51" t="str">
        <f aca="false">IF(AND(AC2109=1,AA2109&lt;1),IF(AND(C2110=C2109,AA2110=AA2109+1),IF(AC2110=1,"",INDEX(DATAS,AA2109+1)),INDEX(DATAS,AA2109+1)),"")</f>
        <v/>
      </c>
    </row>
    <row r="2110" customFormat="false" ht="15" hidden="false" customHeight="false" outlineLevel="0" collapsed="false">
      <c r="A2110" s="51" t="n">
        <v>46309</v>
      </c>
      <c r="B2110" s="0" t="n">
        <v>8</v>
      </c>
      <c r="C2110" s="0" t="n">
        <v>6393</v>
      </c>
      <c r="E2110" s="0" t="n">
        <v>0</v>
      </c>
      <c r="F2110" s="46" t="s">
        <v>1191</v>
      </c>
      <c r="I2110" s="46" t="s">
        <v>152</v>
      </c>
      <c r="L2110" s="0" t="n">
        <v>175</v>
      </c>
      <c r="U2110" s="0" t="n">
        <v>576</v>
      </c>
      <c r="V2110" s="0" t="n">
        <v>1</v>
      </c>
      <c r="W2110" s="51" t="n">
        <v>46135</v>
      </c>
      <c r="X2110" s="46" t="n">
        <f aca="false">IF(I2110="Male",0,1)</f>
        <v>1</v>
      </c>
      <c r="Y2110" s="46" t="n">
        <f aca="false">IF(OR(I2110="DNB",I2110="Dry DNB"),1,0)</f>
        <v>0</v>
      </c>
      <c r="Z2110" s="46" t="n">
        <f aca="false">IF(ISNUMBER(W2110),A2110-W2110,"")</f>
        <v>174</v>
      </c>
      <c r="AA2110" s="46" t="n">
        <f aca="false">MATCH(A2110,DATAS,0)</f>
        <v>1</v>
      </c>
      <c r="AB2110" s="46" t="n">
        <f aca="false">IF(AND(E2110&gt;0,OR(AND(B2110&gt;=1,B2110&lt;=6),B2110=10)),1,0)</f>
        <v>0</v>
      </c>
      <c r="AC2110" s="46" t="n">
        <f aca="false">IF(AND(E2110&gt;0,B2110=10),1,0)</f>
        <v>0</v>
      </c>
      <c r="AD2110" s="0" t="str">
        <f aca="false">IF(AND(C2109=C2110,AA2109=AA2110-1),AB2109,"")</f>
        <v/>
      </c>
      <c r="AE2110" s="0" t="str">
        <f aca="false">IF(AND(C2109=C2110,AA2109=AA2110-1),AC2109,"")</f>
        <v/>
      </c>
      <c r="AF2110" s="0" t="str">
        <f aca="false">IF(AA2110=1,"",IF(AND(AB2110=1,AD2110&lt;&gt;1),1,0))</f>
        <v/>
      </c>
      <c r="AG2110" s="0" t="str">
        <f aca="false">IF(AA2110=1,"",IF(AND(AC2110=1,AE2110&lt;&gt;1),1,0))</f>
        <v/>
      </c>
      <c r="AH2110" s="51" t="str">
        <f aca="false">IF(AND(E2110&gt;0,AA2110&lt;1,NOT(AND(C2111=C2110,AA2111=AA2110+1))),INDEX(DATAS,AA2110+1),"")</f>
        <v/>
      </c>
      <c r="AI2110" s="51" t="str">
        <f aca="false">IF(AND(AC2110=1,AA2110&lt;1),IF(AND(C2111=C2110,AA2111=AA2110+1),IF(AC2111=1,"",INDEX(DATAS,AA2110+1)),INDEX(DATAS,AA2110+1)),"")</f>
        <v/>
      </c>
    </row>
    <row r="2111" customFormat="false" ht="15" hidden="false" customHeight="false" outlineLevel="0" collapsed="false">
      <c r="A2111" s="51" t="n">
        <v>46309</v>
      </c>
      <c r="B2111" s="0" t="n">
        <v>8</v>
      </c>
      <c r="C2111" s="0" t="n">
        <v>6394</v>
      </c>
      <c r="E2111" s="0" t="n">
        <v>0</v>
      </c>
      <c r="F2111" s="46" t="s">
        <v>1192</v>
      </c>
      <c r="I2111" s="46" t="s">
        <v>152</v>
      </c>
      <c r="L2111" s="0" t="n">
        <v>181</v>
      </c>
      <c r="U2111" s="0" t="n">
        <v>575</v>
      </c>
      <c r="V2111" s="0" t="n">
        <v>1</v>
      </c>
      <c r="W2111" s="51" t="n">
        <v>46129</v>
      </c>
      <c r="X2111" s="46" t="n">
        <f aca="false">IF(I2111="Male",0,1)</f>
        <v>1</v>
      </c>
      <c r="Y2111" s="46" t="n">
        <f aca="false">IF(OR(I2111="DNB",I2111="Dry DNB"),1,0)</f>
        <v>0</v>
      </c>
      <c r="Z2111" s="46" t="n">
        <f aca="false">IF(ISNUMBER(W2111),A2111-W2111,"")</f>
        <v>180</v>
      </c>
      <c r="AA2111" s="46" t="n">
        <f aca="false">MATCH(A2111,DATAS,0)</f>
        <v>1</v>
      </c>
      <c r="AB2111" s="46" t="n">
        <f aca="false">IF(AND(E2111&gt;0,OR(AND(B2111&gt;=1,B2111&lt;=6),B2111=10)),1,0)</f>
        <v>0</v>
      </c>
      <c r="AC2111" s="46" t="n">
        <f aca="false">IF(AND(E2111&gt;0,B2111=10),1,0)</f>
        <v>0</v>
      </c>
      <c r="AD2111" s="0" t="str">
        <f aca="false">IF(AND(C2110=C2111,AA2110=AA2111-1),AB2110,"")</f>
        <v/>
      </c>
      <c r="AE2111" s="0" t="str">
        <f aca="false">IF(AND(C2110=C2111,AA2110=AA2111-1),AC2110,"")</f>
        <v/>
      </c>
      <c r="AF2111" s="0" t="str">
        <f aca="false">IF(AA2111=1,"",IF(AND(AB2111=1,AD2111&lt;&gt;1),1,0))</f>
        <v/>
      </c>
      <c r="AG2111" s="0" t="str">
        <f aca="false">IF(AA2111=1,"",IF(AND(AC2111=1,AE2111&lt;&gt;1),1,0))</f>
        <v/>
      </c>
      <c r="AH2111" s="51" t="str">
        <f aca="false">IF(AND(E2111&gt;0,AA2111&lt;1,NOT(AND(C2112=C2111,AA2112=AA2111+1))),INDEX(DATAS,AA2111+1),"")</f>
        <v/>
      </c>
      <c r="AI2111" s="51" t="str">
        <f aca="false">IF(AND(AC2111=1,AA2111&lt;1),IF(AND(C2112=C2111,AA2112=AA2111+1),IF(AC2112=1,"",INDEX(DATAS,AA2111+1)),INDEX(DATAS,AA2111+1)),"")</f>
        <v/>
      </c>
    </row>
    <row r="2112" customFormat="false" ht="15" hidden="false" customHeight="false" outlineLevel="0" collapsed="false">
      <c r="A2112" s="51" t="n">
        <v>46309</v>
      </c>
      <c r="B2112" s="0" t="n">
        <v>8</v>
      </c>
      <c r="C2112" s="0" t="n">
        <v>6395</v>
      </c>
      <c r="E2112" s="0" t="n">
        <v>0</v>
      </c>
      <c r="F2112" s="46" t="s">
        <v>1192</v>
      </c>
      <c r="I2112" s="46" t="s">
        <v>152</v>
      </c>
      <c r="L2112" s="0" t="n">
        <v>152</v>
      </c>
      <c r="U2112" s="0" t="n">
        <v>575</v>
      </c>
      <c r="V2112" s="0" t="n">
        <v>2</v>
      </c>
      <c r="W2112" s="51" t="n">
        <v>46158</v>
      </c>
      <c r="X2112" s="46" t="n">
        <f aca="false">IF(I2112="Male",0,1)</f>
        <v>1</v>
      </c>
      <c r="Y2112" s="46" t="n">
        <f aca="false">IF(OR(I2112="DNB",I2112="Dry DNB"),1,0)</f>
        <v>0</v>
      </c>
      <c r="Z2112" s="46" t="n">
        <f aca="false">IF(ISNUMBER(W2112),A2112-W2112,"")</f>
        <v>151</v>
      </c>
      <c r="AA2112" s="46" t="n">
        <f aca="false">MATCH(A2112,DATAS,0)</f>
        <v>1</v>
      </c>
      <c r="AB2112" s="46" t="n">
        <f aca="false">IF(AND(E2112&gt;0,OR(AND(B2112&gt;=1,B2112&lt;=6),B2112=10)),1,0)</f>
        <v>0</v>
      </c>
      <c r="AC2112" s="46" t="n">
        <f aca="false">IF(AND(E2112&gt;0,B2112=10),1,0)</f>
        <v>0</v>
      </c>
      <c r="AD2112" s="0" t="str">
        <f aca="false">IF(AND(C2111=C2112,AA2111=AA2112-1),AB2111,"")</f>
        <v/>
      </c>
      <c r="AE2112" s="0" t="str">
        <f aca="false">IF(AND(C2111=C2112,AA2111=AA2112-1),AC2111,"")</f>
        <v/>
      </c>
      <c r="AF2112" s="0" t="str">
        <f aca="false">IF(AA2112=1,"",IF(AND(AB2112=1,AD2112&lt;&gt;1),1,0))</f>
        <v/>
      </c>
      <c r="AG2112" s="0" t="str">
        <f aca="false">IF(AA2112=1,"",IF(AND(AC2112=1,AE2112&lt;&gt;1),1,0))</f>
        <v/>
      </c>
      <c r="AH2112" s="51" t="str">
        <f aca="false">IF(AND(E2112&gt;0,AA2112&lt;1,NOT(AND(C2113=C2112,AA2113=AA2112+1))),INDEX(DATAS,AA2112+1),"")</f>
        <v/>
      </c>
      <c r="AI2112" s="51" t="str">
        <f aca="false">IF(AND(AC2112=1,AA2112&lt;1),IF(AND(C2113=C2112,AA2113=AA2112+1),IF(AC2113=1,"",INDEX(DATAS,AA2112+1)),INDEX(DATAS,AA2112+1)),"")</f>
        <v/>
      </c>
    </row>
    <row r="2113" customFormat="false" ht="15" hidden="false" customHeight="false" outlineLevel="0" collapsed="false">
      <c r="A2113" s="51" t="n">
        <v>46309</v>
      </c>
      <c r="B2113" s="0" t="n">
        <v>8</v>
      </c>
      <c r="C2113" s="0" t="n">
        <v>6396</v>
      </c>
      <c r="E2113" s="0" t="n">
        <v>0</v>
      </c>
      <c r="F2113" s="46" t="s">
        <v>1192</v>
      </c>
      <c r="I2113" s="46" t="s">
        <v>152</v>
      </c>
      <c r="L2113" s="0" t="n">
        <v>50</v>
      </c>
      <c r="U2113" s="0" t="n">
        <v>575</v>
      </c>
      <c r="V2113" s="0" t="n">
        <v>3</v>
      </c>
      <c r="W2113" s="51" t="n">
        <v>46260</v>
      </c>
      <c r="X2113" s="46" t="n">
        <f aca="false">IF(I2113="Male",0,1)</f>
        <v>1</v>
      </c>
      <c r="Y2113" s="46" t="n">
        <f aca="false">IF(OR(I2113="DNB",I2113="Dry DNB"),1,0)</f>
        <v>0</v>
      </c>
      <c r="Z2113" s="46" t="n">
        <f aca="false">IF(ISNUMBER(W2113),A2113-W2113,"")</f>
        <v>49</v>
      </c>
      <c r="AA2113" s="46" t="n">
        <f aca="false">MATCH(A2113,DATAS,0)</f>
        <v>1</v>
      </c>
      <c r="AB2113" s="46" t="n">
        <f aca="false">IF(AND(E2113&gt;0,OR(AND(B2113&gt;=1,B2113&lt;=6),B2113=10)),1,0)</f>
        <v>0</v>
      </c>
      <c r="AC2113" s="46" t="n">
        <f aca="false">IF(AND(E2113&gt;0,B2113=10),1,0)</f>
        <v>0</v>
      </c>
      <c r="AD2113" s="0" t="str">
        <f aca="false">IF(AND(C2112=C2113,AA2112=AA2113-1),AB2112,"")</f>
        <v/>
      </c>
      <c r="AE2113" s="0" t="str">
        <f aca="false">IF(AND(C2112=C2113,AA2112=AA2113-1),AC2112,"")</f>
        <v/>
      </c>
      <c r="AF2113" s="0" t="str">
        <f aca="false">IF(AA2113=1,"",IF(AND(AB2113=1,AD2113&lt;&gt;1),1,0))</f>
        <v/>
      </c>
      <c r="AG2113" s="0" t="str">
        <f aca="false">IF(AA2113=1,"",IF(AND(AC2113=1,AE2113&lt;&gt;1),1,0))</f>
        <v/>
      </c>
      <c r="AH2113" s="51" t="str">
        <f aca="false">IF(AND(E2113&gt;0,AA2113&lt;1,NOT(AND(C2114=C2113,AA2114=AA2113+1))),INDEX(DATAS,AA2113+1),"")</f>
        <v/>
      </c>
      <c r="AI2113" s="51" t="str">
        <f aca="false">IF(AND(AC2113=1,AA2113&lt;1),IF(AND(C2114=C2113,AA2114=AA2113+1),IF(AC2114=1,"",INDEX(DATAS,AA2113+1)),INDEX(DATAS,AA2113+1)),"")</f>
        <v/>
      </c>
    </row>
    <row r="2114" customFormat="false" ht="15" hidden="false" customHeight="false" outlineLevel="0" collapsed="false">
      <c r="A2114" s="51" t="n">
        <v>46309</v>
      </c>
      <c r="B2114" s="0" t="n">
        <v>8</v>
      </c>
      <c r="C2114" s="0" t="n">
        <v>6397</v>
      </c>
      <c r="E2114" s="0" t="n">
        <v>0</v>
      </c>
      <c r="F2114" s="46" t="s">
        <v>1192</v>
      </c>
      <c r="I2114" s="46" t="s">
        <v>152</v>
      </c>
      <c r="L2114" s="0" t="n">
        <v>169</v>
      </c>
      <c r="U2114" s="0" t="n">
        <v>575</v>
      </c>
      <c r="V2114" s="0" t="n">
        <v>1</v>
      </c>
      <c r="W2114" s="51" t="n">
        <v>46141</v>
      </c>
      <c r="X2114" s="46" t="n">
        <f aca="false">IF(I2114="Male",0,1)</f>
        <v>1</v>
      </c>
      <c r="Y2114" s="46" t="n">
        <f aca="false">IF(OR(I2114="DNB",I2114="Dry DNB"),1,0)</f>
        <v>0</v>
      </c>
      <c r="Z2114" s="46" t="n">
        <f aca="false">IF(ISNUMBER(W2114),A2114-W2114,"")</f>
        <v>168</v>
      </c>
      <c r="AA2114" s="46" t="n">
        <f aca="false">MATCH(A2114,DATAS,0)</f>
        <v>1</v>
      </c>
      <c r="AB2114" s="46" t="n">
        <f aca="false">IF(AND(E2114&gt;0,OR(AND(B2114&gt;=1,B2114&lt;=6),B2114=10)),1,0)</f>
        <v>0</v>
      </c>
      <c r="AC2114" s="46" t="n">
        <f aca="false">IF(AND(E2114&gt;0,B2114=10),1,0)</f>
        <v>0</v>
      </c>
      <c r="AD2114" s="0" t="str">
        <f aca="false">IF(AND(C2113=C2114,AA2113=AA2114-1),AB2113,"")</f>
        <v/>
      </c>
      <c r="AE2114" s="0" t="str">
        <f aca="false">IF(AND(C2113=C2114,AA2113=AA2114-1),AC2113,"")</f>
        <v/>
      </c>
      <c r="AF2114" s="0" t="str">
        <f aca="false">IF(AA2114=1,"",IF(AND(AB2114=1,AD2114&lt;&gt;1),1,0))</f>
        <v/>
      </c>
      <c r="AG2114" s="0" t="str">
        <f aca="false">IF(AA2114=1,"",IF(AND(AC2114=1,AE2114&lt;&gt;1),1,0))</f>
        <v/>
      </c>
      <c r="AH2114" s="51" t="str">
        <f aca="false">IF(AND(E2114&gt;0,AA2114&lt;1,NOT(AND(C2115=C2114,AA2115=AA2114+1))),INDEX(DATAS,AA2114+1),"")</f>
        <v/>
      </c>
      <c r="AI2114" s="51" t="str">
        <f aca="false">IF(AND(AC2114=1,AA2114&lt;1),IF(AND(C2115=C2114,AA2115=AA2114+1),IF(AC2115=1,"",INDEX(DATAS,AA2114+1)),INDEX(DATAS,AA2114+1)),"")</f>
        <v/>
      </c>
    </row>
    <row r="2115" customFormat="false" ht="15" hidden="false" customHeight="false" outlineLevel="0" collapsed="false">
      <c r="A2115" s="51" t="n">
        <v>46309</v>
      </c>
      <c r="B2115" s="0" t="n">
        <v>8</v>
      </c>
      <c r="C2115" s="0" t="n">
        <v>6398</v>
      </c>
      <c r="E2115" s="0" t="n">
        <v>0</v>
      </c>
      <c r="F2115" s="46" t="s">
        <v>1192</v>
      </c>
      <c r="I2115" s="46" t="s">
        <v>152</v>
      </c>
      <c r="L2115" s="0" t="n">
        <v>176</v>
      </c>
      <c r="U2115" s="0" t="n">
        <v>575</v>
      </c>
      <c r="V2115" s="0" t="n">
        <v>1</v>
      </c>
      <c r="W2115" s="51" t="n">
        <v>46134</v>
      </c>
      <c r="X2115" s="46" t="n">
        <f aca="false">IF(I2115="Male",0,1)</f>
        <v>1</v>
      </c>
      <c r="Y2115" s="46" t="n">
        <f aca="false">IF(OR(I2115="DNB",I2115="Dry DNB"),1,0)</f>
        <v>0</v>
      </c>
      <c r="Z2115" s="46" t="n">
        <f aca="false">IF(ISNUMBER(W2115),A2115-W2115,"")</f>
        <v>175</v>
      </c>
      <c r="AA2115" s="46" t="n">
        <f aca="false">MATCH(A2115,DATAS,0)</f>
        <v>1</v>
      </c>
      <c r="AB2115" s="46" t="n">
        <f aca="false">IF(AND(E2115&gt;0,OR(AND(B2115&gt;=1,B2115&lt;=6),B2115=10)),1,0)</f>
        <v>0</v>
      </c>
      <c r="AC2115" s="46" t="n">
        <f aca="false">IF(AND(E2115&gt;0,B2115=10),1,0)</f>
        <v>0</v>
      </c>
      <c r="AD2115" s="0" t="str">
        <f aca="false">IF(AND(C2114=C2115,AA2114=AA2115-1),AB2114,"")</f>
        <v/>
      </c>
      <c r="AE2115" s="0" t="str">
        <f aca="false">IF(AND(C2114=C2115,AA2114=AA2115-1),AC2114,"")</f>
        <v/>
      </c>
      <c r="AF2115" s="0" t="str">
        <f aca="false">IF(AA2115=1,"",IF(AND(AB2115=1,AD2115&lt;&gt;1),1,0))</f>
        <v/>
      </c>
      <c r="AG2115" s="0" t="str">
        <f aca="false">IF(AA2115=1,"",IF(AND(AC2115=1,AE2115&lt;&gt;1),1,0))</f>
        <v/>
      </c>
      <c r="AH2115" s="51" t="str">
        <f aca="false">IF(AND(E2115&gt;0,AA2115&lt;1,NOT(AND(C2116=C2115,AA2116=AA2115+1))),INDEX(DATAS,AA2115+1),"")</f>
        <v/>
      </c>
      <c r="AI2115" s="51" t="str">
        <f aca="false">IF(AND(AC2115=1,AA2115&lt;1),IF(AND(C2116=C2115,AA2116=AA2115+1),IF(AC2116=1,"",INDEX(DATAS,AA2115+1)),INDEX(DATAS,AA2115+1)),"")</f>
        <v/>
      </c>
    </row>
    <row r="2116" customFormat="false" ht="15" hidden="false" customHeight="false" outlineLevel="0" collapsed="false">
      <c r="A2116" s="51" t="n">
        <v>46309</v>
      </c>
      <c r="B2116" s="0" t="n">
        <v>8</v>
      </c>
      <c r="C2116" s="0" t="n">
        <v>6399</v>
      </c>
      <c r="E2116" s="0" t="n">
        <v>0</v>
      </c>
      <c r="F2116" s="46" t="s">
        <v>1193</v>
      </c>
      <c r="I2116" s="46" t="s">
        <v>152</v>
      </c>
      <c r="L2116" s="0" t="n">
        <v>176</v>
      </c>
      <c r="U2116" s="0" t="n">
        <v>573</v>
      </c>
      <c r="V2116" s="0" t="n">
        <v>1</v>
      </c>
      <c r="W2116" s="51" t="n">
        <v>46134</v>
      </c>
      <c r="X2116" s="46" t="n">
        <f aca="false">IF(I2116="Male",0,1)</f>
        <v>1</v>
      </c>
      <c r="Y2116" s="46" t="n">
        <f aca="false">IF(OR(I2116="DNB",I2116="Dry DNB"),1,0)</f>
        <v>0</v>
      </c>
      <c r="Z2116" s="46" t="n">
        <f aca="false">IF(ISNUMBER(W2116),A2116-W2116,"")</f>
        <v>175</v>
      </c>
      <c r="AA2116" s="46" t="n">
        <f aca="false">MATCH(A2116,DATAS,0)</f>
        <v>1</v>
      </c>
      <c r="AB2116" s="46" t="n">
        <f aca="false">IF(AND(E2116&gt;0,OR(AND(B2116&gt;=1,B2116&lt;=6),B2116=10)),1,0)</f>
        <v>0</v>
      </c>
      <c r="AC2116" s="46" t="n">
        <f aca="false">IF(AND(E2116&gt;0,B2116=10),1,0)</f>
        <v>0</v>
      </c>
      <c r="AD2116" s="0" t="str">
        <f aca="false">IF(AND(C2115=C2116,AA2115=AA2116-1),AB2115,"")</f>
        <v/>
      </c>
      <c r="AE2116" s="0" t="str">
        <f aca="false">IF(AND(C2115=C2116,AA2115=AA2116-1),AC2115,"")</f>
        <v/>
      </c>
      <c r="AF2116" s="0" t="str">
        <f aca="false">IF(AA2116=1,"",IF(AND(AB2116=1,AD2116&lt;&gt;1),1,0))</f>
        <v/>
      </c>
      <c r="AG2116" s="0" t="str">
        <f aca="false">IF(AA2116=1,"",IF(AND(AC2116=1,AE2116&lt;&gt;1),1,0))</f>
        <v/>
      </c>
      <c r="AH2116" s="51" t="str">
        <f aca="false">IF(AND(E2116&gt;0,AA2116&lt;1,NOT(AND(C2117=C2116,AA2117=AA2116+1))),INDEX(DATAS,AA2116+1),"")</f>
        <v/>
      </c>
      <c r="AI2116" s="51" t="str">
        <f aca="false">IF(AND(AC2116=1,AA2116&lt;1),IF(AND(C2117=C2116,AA2117=AA2116+1),IF(AC2117=1,"",INDEX(DATAS,AA2116+1)),INDEX(DATAS,AA2116+1)),"")</f>
        <v/>
      </c>
    </row>
    <row r="2117" customFormat="false" ht="15" hidden="false" customHeight="false" outlineLevel="0" collapsed="false">
      <c r="A2117" s="51" t="n">
        <v>46309</v>
      </c>
      <c r="B2117" s="0" t="n">
        <v>8</v>
      </c>
      <c r="C2117" s="0" t="n">
        <v>6400</v>
      </c>
      <c r="E2117" s="0" t="n">
        <v>0</v>
      </c>
      <c r="F2117" s="46" t="s">
        <v>1193</v>
      </c>
      <c r="I2117" s="46" t="s">
        <v>152</v>
      </c>
      <c r="L2117" s="0" t="n">
        <v>145</v>
      </c>
      <c r="U2117" s="0" t="n">
        <v>573</v>
      </c>
      <c r="V2117" s="0" t="n">
        <v>2</v>
      </c>
      <c r="W2117" s="51" t="n">
        <v>46165</v>
      </c>
      <c r="X2117" s="46" t="n">
        <f aca="false">IF(I2117="Male",0,1)</f>
        <v>1</v>
      </c>
      <c r="Y2117" s="46" t="n">
        <f aca="false">IF(OR(I2117="DNB",I2117="Dry DNB"),1,0)</f>
        <v>0</v>
      </c>
      <c r="Z2117" s="46" t="n">
        <f aca="false">IF(ISNUMBER(W2117),A2117-W2117,"")</f>
        <v>144</v>
      </c>
      <c r="AA2117" s="46" t="n">
        <f aca="false">MATCH(A2117,DATAS,0)</f>
        <v>1</v>
      </c>
      <c r="AB2117" s="46" t="n">
        <f aca="false">IF(AND(E2117&gt;0,OR(AND(B2117&gt;=1,B2117&lt;=6),B2117=10)),1,0)</f>
        <v>0</v>
      </c>
      <c r="AC2117" s="46" t="n">
        <f aca="false">IF(AND(E2117&gt;0,B2117=10),1,0)</f>
        <v>0</v>
      </c>
      <c r="AD2117" s="0" t="str">
        <f aca="false">IF(AND(C2116=C2117,AA2116=AA2117-1),AB2116,"")</f>
        <v/>
      </c>
      <c r="AE2117" s="0" t="str">
        <f aca="false">IF(AND(C2116=C2117,AA2116=AA2117-1),AC2116,"")</f>
        <v/>
      </c>
      <c r="AF2117" s="0" t="str">
        <f aca="false">IF(AA2117=1,"",IF(AND(AB2117=1,AD2117&lt;&gt;1),1,0))</f>
        <v/>
      </c>
      <c r="AG2117" s="0" t="str">
        <f aca="false">IF(AA2117=1,"",IF(AND(AC2117=1,AE2117&lt;&gt;1),1,0))</f>
        <v/>
      </c>
      <c r="AH2117" s="51" t="str">
        <f aca="false">IF(AND(E2117&gt;0,AA2117&lt;1,NOT(AND(C2118=C2117,AA2118=AA2117+1))),INDEX(DATAS,AA2117+1),"")</f>
        <v/>
      </c>
      <c r="AI2117" s="51" t="str">
        <f aca="false">IF(AND(AC2117=1,AA2117&lt;1),IF(AND(C2118=C2117,AA2118=AA2117+1),IF(AC2118=1,"",INDEX(DATAS,AA2117+1)),INDEX(DATAS,AA2117+1)),"")</f>
        <v/>
      </c>
    </row>
    <row r="2118" customFormat="false" ht="15" hidden="false" customHeight="false" outlineLevel="0" collapsed="false">
      <c r="A2118" s="51" t="n">
        <v>46309</v>
      </c>
      <c r="B2118" s="0" t="n">
        <v>8</v>
      </c>
      <c r="C2118" s="0" t="n">
        <v>6401</v>
      </c>
      <c r="E2118" s="0" t="n">
        <v>0</v>
      </c>
      <c r="F2118" s="46" t="s">
        <v>1193</v>
      </c>
      <c r="I2118" s="46" t="s">
        <v>152</v>
      </c>
      <c r="L2118" s="0" t="n">
        <v>162</v>
      </c>
      <c r="U2118" s="0" t="n">
        <v>573</v>
      </c>
      <c r="V2118" s="0" t="n">
        <v>1</v>
      </c>
      <c r="W2118" s="51" t="n">
        <v>46148</v>
      </c>
      <c r="X2118" s="46" t="n">
        <f aca="false">IF(I2118="Male",0,1)</f>
        <v>1</v>
      </c>
      <c r="Y2118" s="46" t="n">
        <f aca="false">IF(OR(I2118="DNB",I2118="Dry DNB"),1,0)</f>
        <v>0</v>
      </c>
      <c r="Z2118" s="46" t="n">
        <f aca="false">IF(ISNUMBER(W2118),A2118-W2118,"")</f>
        <v>161</v>
      </c>
      <c r="AA2118" s="46" t="n">
        <f aca="false">MATCH(A2118,DATAS,0)</f>
        <v>1</v>
      </c>
      <c r="AB2118" s="46" t="n">
        <f aca="false">IF(AND(E2118&gt;0,OR(AND(B2118&gt;=1,B2118&lt;=6),B2118=10)),1,0)</f>
        <v>0</v>
      </c>
      <c r="AC2118" s="46" t="n">
        <f aca="false">IF(AND(E2118&gt;0,B2118=10),1,0)</f>
        <v>0</v>
      </c>
      <c r="AD2118" s="0" t="str">
        <f aca="false">IF(AND(C2117=C2118,AA2117=AA2118-1),AB2117,"")</f>
        <v/>
      </c>
      <c r="AE2118" s="0" t="str">
        <f aca="false">IF(AND(C2117=C2118,AA2117=AA2118-1),AC2117,"")</f>
        <v/>
      </c>
      <c r="AF2118" s="0" t="str">
        <f aca="false">IF(AA2118=1,"",IF(AND(AB2118=1,AD2118&lt;&gt;1),1,0))</f>
        <v/>
      </c>
      <c r="AG2118" s="0" t="str">
        <f aca="false">IF(AA2118=1,"",IF(AND(AC2118=1,AE2118&lt;&gt;1),1,0))</f>
        <v/>
      </c>
      <c r="AH2118" s="51" t="str">
        <f aca="false">IF(AND(E2118&gt;0,AA2118&lt;1,NOT(AND(C2119=C2118,AA2119=AA2118+1))),INDEX(DATAS,AA2118+1),"")</f>
        <v/>
      </c>
      <c r="AI2118" s="51" t="str">
        <f aca="false">IF(AND(AC2118=1,AA2118&lt;1),IF(AND(C2119=C2118,AA2119=AA2118+1),IF(AC2119=1,"",INDEX(DATAS,AA2118+1)),INDEX(DATAS,AA2118+1)),"")</f>
        <v/>
      </c>
    </row>
    <row r="2119" customFormat="false" ht="15" hidden="false" customHeight="false" outlineLevel="0" collapsed="false">
      <c r="A2119" s="51" t="n">
        <v>46309</v>
      </c>
      <c r="B2119" s="0" t="n">
        <v>8</v>
      </c>
      <c r="C2119" s="0" t="n">
        <v>6402</v>
      </c>
      <c r="E2119" s="0" t="n">
        <v>0</v>
      </c>
      <c r="F2119" s="46" t="s">
        <v>1193</v>
      </c>
      <c r="I2119" s="46" t="s">
        <v>152</v>
      </c>
      <c r="L2119" s="0" t="n">
        <v>167</v>
      </c>
      <c r="U2119" s="0" t="n">
        <v>573</v>
      </c>
      <c r="V2119" s="0" t="n">
        <v>1</v>
      </c>
      <c r="W2119" s="51" t="n">
        <v>46143</v>
      </c>
      <c r="X2119" s="46" t="n">
        <f aca="false">IF(I2119="Male",0,1)</f>
        <v>1</v>
      </c>
      <c r="Y2119" s="46" t="n">
        <f aca="false">IF(OR(I2119="DNB",I2119="Dry DNB"),1,0)</f>
        <v>0</v>
      </c>
      <c r="Z2119" s="46" t="n">
        <f aca="false">IF(ISNUMBER(W2119),A2119-W2119,"")</f>
        <v>166</v>
      </c>
      <c r="AA2119" s="46" t="n">
        <f aca="false">MATCH(A2119,DATAS,0)</f>
        <v>1</v>
      </c>
      <c r="AB2119" s="46" t="n">
        <f aca="false">IF(AND(E2119&gt;0,OR(AND(B2119&gt;=1,B2119&lt;=6),B2119=10)),1,0)</f>
        <v>0</v>
      </c>
      <c r="AC2119" s="46" t="n">
        <f aca="false">IF(AND(E2119&gt;0,B2119=10),1,0)</f>
        <v>0</v>
      </c>
      <c r="AD2119" s="0" t="str">
        <f aca="false">IF(AND(C2118=C2119,AA2118=AA2119-1),AB2118,"")</f>
        <v/>
      </c>
      <c r="AE2119" s="0" t="str">
        <f aca="false">IF(AND(C2118=C2119,AA2118=AA2119-1),AC2118,"")</f>
        <v/>
      </c>
      <c r="AF2119" s="0" t="str">
        <f aca="false">IF(AA2119=1,"",IF(AND(AB2119=1,AD2119&lt;&gt;1),1,0))</f>
        <v/>
      </c>
      <c r="AG2119" s="0" t="str">
        <f aca="false">IF(AA2119=1,"",IF(AND(AC2119=1,AE2119&lt;&gt;1),1,0))</f>
        <v/>
      </c>
      <c r="AH2119" s="51" t="str">
        <f aca="false">IF(AND(E2119&gt;0,AA2119&lt;1,NOT(AND(C2120=C2119,AA2120=AA2119+1))),INDEX(DATAS,AA2119+1),"")</f>
        <v/>
      </c>
      <c r="AI2119" s="51" t="str">
        <f aca="false">IF(AND(AC2119=1,AA2119&lt;1),IF(AND(C2120=C2119,AA2120=AA2119+1),IF(AC2120=1,"",INDEX(DATAS,AA2119+1)),INDEX(DATAS,AA2119+1)),"")</f>
        <v/>
      </c>
    </row>
    <row r="2120" customFormat="false" ht="15" hidden="false" customHeight="false" outlineLevel="0" collapsed="false">
      <c r="A2120" s="51" t="n">
        <v>46309</v>
      </c>
      <c r="B2120" s="0" t="n">
        <v>8</v>
      </c>
      <c r="C2120" s="0" t="n">
        <v>6403</v>
      </c>
      <c r="E2120" s="0" t="n">
        <v>0</v>
      </c>
      <c r="F2120" s="46" t="s">
        <v>1194</v>
      </c>
      <c r="I2120" s="46" t="s">
        <v>152</v>
      </c>
      <c r="L2120" s="0" t="n">
        <v>154</v>
      </c>
      <c r="U2120" s="0" t="n">
        <v>570</v>
      </c>
      <c r="V2120" s="0" t="n">
        <v>1</v>
      </c>
      <c r="W2120" s="51" t="n">
        <v>46156</v>
      </c>
      <c r="X2120" s="46" t="n">
        <f aca="false">IF(I2120="Male",0,1)</f>
        <v>1</v>
      </c>
      <c r="Y2120" s="46" t="n">
        <f aca="false">IF(OR(I2120="DNB",I2120="Dry DNB"),1,0)</f>
        <v>0</v>
      </c>
      <c r="Z2120" s="46" t="n">
        <f aca="false">IF(ISNUMBER(W2120),A2120-W2120,"")</f>
        <v>153</v>
      </c>
      <c r="AA2120" s="46" t="n">
        <f aca="false">MATCH(A2120,DATAS,0)</f>
        <v>1</v>
      </c>
      <c r="AB2120" s="46" t="n">
        <f aca="false">IF(AND(E2120&gt;0,OR(AND(B2120&gt;=1,B2120&lt;=6),B2120=10)),1,0)</f>
        <v>0</v>
      </c>
      <c r="AC2120" s="46" t="n">
        <f aca="false">IF(AND(E2120&gt;0,B2120=10),1,0)</f>
        <v>0</v>
      </c>
      <c r="AD2120" s="0" t="str">
        <f aca="false">IF(AND(C2119=C2120,AA2119=AA2120-1),AB2119,"")</f>
        <v/>
      </c>
      <c r="AE2120" s="0" t="str">
        <f aca="false">IF(AND(C2119=C2120,AA2119=AA2120-1),AC2119,"")</f>
        <v/>
      </c>
      <c r="AF2120" s="0" t="str">
        <f aca="false">IF(AA2120=1,"",IF(AND(AB2120=1,AD2120&lt;&gt;1),1,0))</f>
        <v/>
      </c>
      <c r="AG2120" s="0" t="str">
        <f aca="false">IF(AA2120=1,"",IF(AND(AC2120=1,AE2120&lt;&gt;1),1,0))</f>
        <v/>
      </c>
      <c r="AH2120" s="51" t="str">
        <f aca="false">IF(AND(E2120&gt;0,AA2120&lt;1,NOT(AND(C2121=C2120,AA2121=AA2120+1))),INDEX(DATAS,AA2120+1),"")</f>
        <v/>
      </c>
      <c r="AI2120" s="51" t="str">
        <f aca="false">IF(AND(AC2120=1,AA2120&lt;1),IF(AND(C2121=C2120,AA2121=AA2120+1),IF(AC2121=1,"",INDEX(DATAS,AA2120+1)),INDEX(DATAS,AA2120+1)),"")</f>
        <v/>
      </c>
    </row>
    <row r="2121" customFormat="false" ht="15" hidden="false" customHeight="false" outlineLevel="0" collapsed="false">
      <c r="A2121" s="51" t="n">
        <v>46309</v>
      </c>
      <c r="B2121" s="0" t="n">
        <v>8</v>
      </c>
      <c r="C2121" s="0" t="n">
        <v>6404</v>
      </c>
      <c r="E2121" s="0" t="n">
        <v>0</v>
      </c>
      <c r="F2121" s="46" t="s">
        <v>1194</v>
      </c>
      <c r="I2121" s="46" t="s">
        <v>152</v>
      </c>
      <c r="L2121" s="0" t="n">
        <v>111</v>
      </c>
      <c r="U2121" s="0" t="n">
        <v>570</v>
      </c>
      <c r="V2121" s="0" t="n">
        <v>4</v>
      </c>
      <c r="W2121" s="51" t="n">
        <v>46199</v>
      </c>
      <c r="X2121" s="46" t="n">
        <f aca="false">IF(I2121="Male",0,1)</f>
        <v>1</v>
      </c>
      <c r="Y2121" s="46" t="n">
        <f aca="false">IF(OR(I2121="DNB",I2121="Dry DNB"),1,0)</f>
        <v>0</v>
      </c>
      <c r="Z2121" s="46" t="n">
        <f aca="false">IF(ISNUMBER(W2121),A2121-W2121,"")</f>
        <v>110</v>
      </c>
      <c r="AA2121" s="46" t="n">
        <f aca="false">MATCH(A2121,DATAS,0)</f>
        <v>1</v>
      </c>
      <c r="AB2121" s="46" t="n">
        <f aca="false">IF(AND(E2121&gt;0,OR(AND(B2121&gt;=1,B2121&lt;=6),B2121=10)),1,0)</f>
        <v>0</v>
      </c>
      <c r="AC2121" s="46" t="n">
        <f aca="false">IF(AND(E2121&gt;0,B2121=10),1,0)</f>
        <v>0</v>
      </c>
      <c r="AD2121" s="0" t="str">
        <f aca="false">IF(AND(C2120=C2121,AA2120=AA2121-1),AB2120,"")</f>
        <v/>
      </c>
      <c r="AE2121" s="0" t="str">
        <f aca="false">IF(AND(C2120=C2121,AA2120=AA2121-1),AC2120,"")</f>
        <v/>
      </c>
      <c r="AF2121" s="0" t="str">
        <f aca="false">IF(AA2121=1,"",IF(AND(AB2121=1,AD2121&lt;&gt;1),1,0))</f>
        <v/>
      </c>
      <c r="AG2121" s="0" t="str">
        <f aca="false">IF(AA2121=1,"",IF(AND(AC2121=1,AE2121&lt;&gt;1),1,0))</f>
        <v/>
      </c>
      <c r="AH2121" s="51" t="str">
        <f aca="false">IF(AND(E2121&gt;0,AA2121&lt;1,NOT(AND(C2122=C2121,AA2122=AA2121+1))),INDEX(DATAS,AA2121+1),"")</f>
        <v/>
      </c>
      <c r="AI2121" s="51" t="str">
        <f aca="false">IF(AND(AC2121=1,AA2121&lt;1),IF(AND(C2122=C2121,AA2122=AA2121+1),IF(AC2122=1,"",INDEX(DATAS,AA2121+1)),INDEX(DATAS,AA2121+1)),"")</f>
        <v/>
      </c>
    </row>
    <row r="2122" customFormat="false" ht="15" hidden="false" customHeight="false" outlineLevel="0" collapsed="false">
      <c r="A2122" s="51" t="n">
        <v>46309</v>
      </c>
      <c r="B2122" s="0" t="n">
        <v>8</v>
      </c>
      <c r="C2122" s="0" t="n">
        <v>6405</v>
      </c>
      <c r="E2122" s="0" t="n">
        <v>0</v>
      </c>
      <c r="F2122" s="46" t="s">
        <v>1194</v>
      </c>
      <c r="I2122" s="46" t="s">
        <v>152</v>
      </c>
      <c r="L2122" s="0" t="n">
        <v>169</v>
      </c>
      <c r="U2122" s="0" t="n">
        <v>570</v>
      </c>
      <c r="V2122" s="0" t="n">
        <v>1</v>
      </c>
      <c r="W2122" s="51" t="n">
        <v>46141</v>
      </c>
      <c r="X2122" s="46" t="n">
        <f aca="false">IF(I2122="Male",0,1)</f>
        <v>1</v>
      </c>
      <c r="Y2122" s="46" t="n">
        <f aca="false">IF(OR(I2122="DNB",I2122="Dry DNB"),1,0)</f>
        <v>0</v>
      </c>
      <c r="Z2122" s="46" t="n">
        <f aca="false">IF(ISNUMBER(W2122),A2122-W2122,"")</f>
        <v>168</v>
      </c>
      <c r="AA2122" s="46" t="n">
        <f aca="false">MATCH(A2122,DATAS,0)</f>
        <v>1</v>
      </c>
      <c r="AB2122" s="46" t="n">
        <f aca="false">IF(AND(E2122&gt;0,OR(AND(B2122&gt;=1,B2122&lt;=6),B2122=10)),1,0)</f>
        <v>0</v>
      </c>
      <c r="AC2122" s="46" t="n">
        <f aca="false">IF(AND(E2122&gt;0,B2122=10),1,0)</f>
        <v>0</v>
      </c>
      <c r="AD2122" s="0" t="str">
        <f aca="false">IF(AND(C2121=C2122,AA2121=AA2122-1),AB2121,"")</f>
        <v/>
      </c>
      <c r="AE2122" s="0" t="str">
        <f aca="false">IF(AND(C2121=C2122,AA2121=AA2122-1),AC2121,"")</f>
        <v/>
      </c>
      <c r="AF2122" s="0" t="str">
        <f aca="false">IF(AA2122=1,"",IF(AND(AB2122=1,AD2122&lt;&gt;1),1,0))</f>
        <v/>
      </c>
      <c r="AG2122" s="0" t="str">
        <f aca="false">IF(AA2122=1,"",IF(AND(AC2122=1,AE2122&lt;&gt;1),1,0))</f>
        <v/>
      </c>
      <c r="AH2122" s="51" t="str">
        <f aca="false">IF(AND(E2122&gt;0,AA2122&lt;1,NOT(AND(C2123=C2122,AA2123=AA2122+1))),INDEX(DATAS,AA2122+1),"")</f>
        <v/>
      </c>
      <c r="AI2122" s="51" t="str">
        <f aca="false">IF(AND(AC2122=1,AA2122&lt;1),IF(AND(C2123=C2122,AA2123=AA2122+1),IF(AC2123=1,"",INDEX(DATAS,AA2122+1)),INDEX(DATAS,AA2122+1)),"")</f>
        <v/>
      </c>
    </row>
    <row r="2123" customFormat="false" ht="15" hidden="false" customHeight="false" outlineLevel="0" collapsed="false">
      <c r="A2123" s="51" t="n">
        <v>46309</v>
      </c>
      <c r="B2123" s="0" t="n">
        <v>8</v>
      </c>
      <c r="C2123" s="0" t="n">
        <v>6406</v>
      </c>
      <c r="E2123" s="0" t="n">
        <v>0</v>
      </c>
      <c r="F2123" s="46" t="s">
        <v>1194</v>
      </c>
      <c r="I2123" s="46" t="s">
        <v>152</v>
      </c>
      <c r="L2123" s="0" t="n">
        <v>169</v>
      </c>
      <c r="U2123" s="0" t="n">
        <v>570</v>
      </c>
      <c r="V2123" s="0" t="n">
        <v>1</v>
      </c>
      <c r="W2123" s="51" t="n">
        <v>46141</v>
      </c>
      <c r="X2123" s="46" t="n">
        <f aca="false">IF(I2123="Male",0,1)</f>
        <v>1</v>
      </c>
      <c r="Y2123" s="46" t="n">
        <f aca="false">IF(OR(I2123="DNB",I2123="Dry DNB"),1,0)</f>
        <v>0</v>
      </c>
      <c r="Z2123" s="46" t="n">
        <f aca="false">IF(ISNUMBER(W2123),A2123-W2123,"")</f>
        <v>168</v>
      </c>
      <c r="AA2123" s="46" t="n">
        <f aca="false">MATCH(A2123,DATAS,0)</f>
        <v>1</v>
      </c>
      <c r="AB2123" s="46" t="n">
        <f aca="false">IF(AND(E2123&gt;0,OR(AND(B2123&gt;=1,B2123&lt;=6),B2123=10)),1,0)</f>
        <v>0</v>
      </c>
      <c r="AC2123" s="46" t="n">
        <f aca="false">IF(AND(E2123&gt;0,B2123=10),1,0)</f>
        <v>0</v>
      </c>
      <c r="AD2123" s="0" t="str">
        <f aca="false">IF(AND(C2122=C2123,AA2122=AA2123-1),AB2122,"")</f>
        <v/>
      </c>
      <c r="AE2123" s="0" t="str">
        <f aca="false">IF(AND(C2122=C2123,AA2122=AA2123-1),AC2122,"")</f>
        <v/>
      </c>
      <c r="AF2123" s="0" t="str">
        <f aca="false">IF(AA2123=1,"",IF(AND(AB2123=1,AD2123&lt;&gt;1),1,0))</f>
        <v/>
      </c>
      <c r="AG2123" s="0" t="str">
        <f aca="false">IF(AA2123=1,"",IF(AND(AC2123=1,AE2123&lt;&gt;1),1,0))</f>
        <v/>
      </c>
      <c r="AH2123" s="51" t="str">
        <f aca="false">IF(AND(E2123&gt;0,AA2123&lt;1,NOT(AND(C2124=C2123,AA2124=AA2123+1))),INDEX(DATAS,AA2123+1),"")</f>
        <v/>
      </c>
      <c r="AI2123" s="51" t="str">
        <f aca="false">IF(AND(AC2123=1,AA2123&lt;1),IF(AND(C2124=C2123,AA2124=AA2123+1),IF(AC2124=1,"",INDEX(DATAS,AA2123+1)),INDEX(DATAS,AA2123+1)),"")</f>
        <v/>
      </c>
    </row>
    <row r="2124" customFormat="false" ht="15" hidden="false" customHeight="false" outlineLevel="0" collapsed="false">
      <c r="A2124" s="51" t="n">
        <v>46309</v>
      </c>
      <c r="B2124" s="0" t="n">
        <v>8</v>
      </c>
      <c r="C2124" s="0" t="n">
        <v>6407</v>
      </c>
      <c r="E2124" s="0" t="n">
        <v>0</v>
      </c>
      <c r="F2124" s="46" t="s">
        <v>1194</v>
      </c>
      <c r="I2124" s="46" t="s">
        <v>152</v>
      </c>
      <c r="L2124" s="0" t="n">
        <v>170</v>
      </c>
      <c r="U2124" s="0" t="n">
        <v>570</v>
      </c>
      <c r="V2124" s="0" t="n">
        <v>1</v>
      </c>
      <c r="W2124" s="51" t="n">
        <v>46140</v>
      </c>
      <c r="X2124" s="46" t="n">
        <f aca="false">IF(I2124="Male",0,1)</f>
        <v>1</v>
      </c>
      <c r="Y2124" s="46" t="n">
        <f aca="false">IF(OR(I2124="DNB",I2124="Dry DNB"),1,0)</f>
        <v>0</v>
      </c>
      <c r="Z2124" s="46" t="n">
        <f aca="false">IF(ISNUMBER(W2124),A2124-W2124,"")</f>
        <v>169</v>
      </c>
      <c r="AA2124" s="46" t="n">
        <f aca="false">MATCH(A2124,DATAS,0)</f>
        <v>1</v>
      </c>
      <c r="AB2124" s="46" t="n">
        <f aca="false">IF(AND(E2124&gt;0,OR(AND(B2124&gt;=1,B2124&lt;=6),B2124=10)),1,0)</f>
        <v>0</v>
      </c>
      <c r="AC2124" s="46" t="n">
        <f aca="false">IF(AND(E2124&gt;0,B2124=10),1,0)</f>
        <v>0</v>
      </c>
      <c r="AD2124" s="0" t="str">
        <f aca="false">IF(AND(C2123=C2124,AA2123=AA2124-1),AB2123,"")</f>
        <v/>
      </c>
      <c r="AE2124" s="0" t="str">
        <f aca="false">IF(AND(C2123=C2124,AA2123=AA2124-1),AC2123,"")</f>
        <v/>
      </c>
      <c r="AF2124" s="0" t="str">
        <f aca="false">IF(AA2124=1,"",IF(AND(AB2124=1,AD2124&lt;&gt;1),1,0))</f>
        <v/>
      </c>
      <c r="AG2124" s="0" t="str">
        <f aca="false">IF(AA2124=1,"",IF(AND(AC2124=1,AE2124&lt;&gt;1),1,0))</f>
        <v/>
      </c>
      <c r="AH2124" s="51" t="str">
        <f aca="false">IF(AND(E2124&gt;0,AA2124&lt;1,NOT(AND(C2125=C2124,AA2125=AA2124+1))),INDEX(DATAS,AA2124+1),"")</f>
        <v/>
      </c>
      <c r="AI2124" s="51" t="str">
        <f aca="false">IF(AND(AC2124=1,AA2124&lt;1),IF(AND(C2125=C2124,AA2125=AA2124+1),IF(AC2125=1,"",INDEX(DATAS,AA2124+1)),INDEX(DATAS,AA2124+1)),"")</f>
        <v/>
      </c>
    </row>
    <row r="2125" customFormat="false" ht="15" hidden="false" customHeight="false" outlineLevel="0" collapsed="false">
      <c r="A2125" s="51" t="n">
        <v>46309</v>
      </c>
      <c r="B2125" s="0" t="n">
        <v>8</v>
      </c>
      <c r="C2125" s="0" t="n">
        <v>6408</v>
      </c>
      <c r="E2125" s="0" t="n">
        <v>0</v>
      </c>
      <c r="F2125" s="46" t="s">
        <v>1194</v>
      </c>
      <c r="I2125" s="46" t="s">
        <v>152</v>
      </c>
      <c r="L2125" s="0" t="n">
        <v>169</v>
      </c>
      <c r="U2125" s="0" t="n">
        <v>570</v>
      </c>
      <c r="V2125" s="0" t="n">
        <v>1</v>
      </c>
      <c r="W2125" s="51" t="n">
        <v>46141</v>
      </c>
      <c r="X2125" s="46" t="n">
        <f aca="false">IF(I2125="Male",0,1)</f>
        <v>1</v>
      </c>
      <c r="Y2125" s="46" t="n">
        <f aca="false">IF(OR(I2125="DNB",I2125="Dry DNB"),1,0)</f>
        <v>0</v>
      </c>
      <c r="Z2125" s="46" t="n">
        <f aca="false">IF(ISNUMBER(W2125),A2125-W2125,"")</f>
        <v>168</v>
      </c>
      <c r="AA2125" s="46" t="n">
        <f aca="false">MATCH(A2125,DATAS,0)</f>
        <v>1</v>
      </c>
      <c r="AB2125" s="46" t="n">
        <f aca="false">IF(AND(E2125&gt;0,OR(AND(B2125&gt;=1,B2125&lt;=6),B2125=10)),1,0)</f>
        <v>0</v>
      </c>
      <c r="AC2125" s="46" t="n">
        <f aca="false">IF(AND(E2125&gt;0,B2125=10),1,0)</f>
        <v>0</v>
      </c>
      <c r="AD2125" s="0" t="str">
        <f aca="false">IF(AND(C2124=C2125,AA2124=AA2125-1),AB2124,"")</f>
        <v/>
      </c>
      <c r="AE2125" s="0" t="str">
        <f aca="false">IF(AND(C2124=C2125,AA2124=AA2125-1),AC2124,"")</f>
        <v/>
      </c>
      <c r="AF2125" s="0" t="str">
        <f aca="false">IF(AA2125=1,"",IF(AND(AB2125=1,AD2125&lt;&gt;1),1,0))</f>
        <v/>
      </c>
      <c r="AG2125" s="0" t="str">
        <f aca="false">IF(AA2125=1,"",IF(AND(AC2125=1,AE2125&lt;&gt;1),1,0))</f>
        <v/>
      </c>
      <c r="AH2125" s="51" t="str">
        <f aca="false">IF(AND(E2125&gt;0,AA2125&lt;1,NOT(AND(C2126=C2125,AA2126=AA2125+1))),INDEX(DATAS,AA2125+1),"")</f>
        <v/>
      </c>
      <c r="AI2125" s="51" t="str">
        <f aca="false">IF(AND(AC2125=1,AA2125&lt;1),IF(AND(C2126=C2125,AA2126=AA2125+1),IF(AC2126=1,"",INDEX(DATAS,AA2125+1)),INDEX(DATAS,AA2125+1)),"")</f>
        <v/>
      </c>
    </row>
    <row r="2126" customFormat="false" ht="15" hidden="false" customHeight="false" outlineLevel="0" collapsed="false">
      <c r="A2126" s="51" t="n">
        <v>46309</v>
      </c>
      <c r="B2126" s="0" t="n">
        <v>11</v>
      </c>
      <c r="C2126" s="0" t="n">
        <v>6409</v>
      </c>
      <c r="E2126" s="0" t="n">
        <v>0</v>
      </c>
      <c r="F2126" s="46" t="s">
        <v>1194</v>
      </c>
      <c r="I2126" s="46" t="s">
        <v>181</v>
      </c>
      <c r="U2126" s="0" t="n">
        <v>570</v>
      </c>
      <c r="V2126" s="0" t="n">
        <v>5</v>
      </c>
      <c r="W2126" s="51" t="n">
        <v>46288</v>
      </c>
      <c r="X2126" s="46" t="n">
        <f aca="false">IF(I2126="Male",0,1)</f>
        <v>1</v>
      </c>
      <c r="Y2126" s="46" t="n">
        <f aca="false">IF(OR(I2126="DNB",I2126="Dry DNB"),1,0)</f>
        <v>0</v>
      </c>
      <c r="Z2126" s="46" t="n">
        <f aca="false">IF(ISNUMBER(W2126),A2126-W2126,"")</f>
        <v>21</v>
      </c>
      <c r="AA2126" s="46" t="n">
        <f aca="false">MATCH(A2126,DATAS,0)</f>
        <v>1</v>
      </c>
      <c r="AB2126" s="46" t="n">
        <f aca="false">IF(AND(E2126&gt;0,OR(AND(B2126&gt;=1,B2126&lt;=6),B2126=10)),1,0)</f>
        <v>0</v>
      </c>
      <c r="AC2126" s="46" t="n">
        <f aca="false">IF(AND(E2126&gt;0,B2126=10),1,0)</f>
        <v>0</v>
      </c>
      <c r="AD2126" s="0" t="str">
        <f aca="false">IF(AND(C2125=C2126,AA2125=AA2126-1),AB2125,"")</f>
        <v/>
      </c>
      <c r="AE2126" s="0" t="str">
        <f aca="false">IF(AND(C2125=C2126,AA2125=AA2126-1),AC2125,"")</f>
        <v/>
      </c>
      <c r="AF2126" s="0" t="str">
        <f aca="false">IF(AA2126=1,"",IF(AND(AB2126=1,AD2126&lt;&gt;1),1,0))</f>
        <v/>
      </c>
      <c r="AG2126" s="0" t="str">
        <f aca="false">IF(AA2126=1,"",IF(AND(AC2126=1,AE2126&lt;&gt;1),1,0))</f>
        <v/>
      </c>
      <c r="AH2126" s="51" t="str">
        <f aca="false">IF(AND(E2126&gt;0,AA2126&lt;1,NOT(AND(C2127=C2126,AA2127=AA2126+1))),INDEX(DATAS,AA2126+1),"")</f>
        <v/>
      </c>
      <c r="AI2126" s="51" t="str">
        <f aca="false">IF(AND(AC2126=1,AA2126&lt;1),IF(AND(C2127=C2126,AA2127=AA2126+1),IF(AC2127=1,"",INDEX(DATAS,AA2126+1)),INDEX(DATAS,AA2126+1)),"")</f>
        <v/>
      </c>
    </row>
    <row r="2127" customFormat="false" ht="15" hidden="false" customHeight="false" outlineLevel="0" collapsed="false">
      <c r="A2127" s="51" t="n">
        <v>46309</v>
      </c>
      <c r="B2127" s="0" t="n">
        <v>8</v>
      </c>
      <c r="C2127" s="0" t="n">
        <v>6410</v>
      </c>
      <c r="E2127" s="0" t="n">
        <v>0</v>
      </c>
      <c r="F2127" s="46" t="s">
        <v>1195</v>
      </c>
      <c r="I2127" s="46" t="s">
        <v>152</v>
      </c>
      <c r="L2127" s="0" t="n">
        <v>169</v>
      </c>
      <c r="U2127" s="0" t="n">
        <v>568</v>
      </c>
      <c r="V2127" s="0" t="n">
        <v>1</v>
      </c>
      <c r="W2127" s="51" t="n">
        <v>46141</v>
      </c>
      <c r="X2127" s="46" t="n">
        <f aca="false">IF(I2127="Male",0,1)</f>
        <v>1</v>
      </c>
      <c r="Y2127" s="46" t="n">
        <f aca="false">IF(OR(I2127="DNB",I2127="Dry DNB"),1,0)</f>
        <v>0</v>
      </c>
      <c r="Z2127" s="46" t="n">
        <f aca="false">IF(ISNUMBER(W2127),A2127-W2127,"")</f>
        <v>168</v>
      </c>
      <c r="AA2127" s="46" t="n">
        <f aca="false">MATCH(A2127,DATAS,0)</f>
        <v>1</v>
      </c>
      <c r="AB2127" s="46" t="n">
        <f aca="false">IF(AND(E2127&gt;0,OR(AND(B2127&gt;=1,B2127&lt;=6),B2127=10)),1,0)</f>
        <v>0</v>
      </c>
      <c r="AC2127" s="46" t="n">
        <f aca="false">IF(AND(E2127&gt;0,B2127=10),1,0)</f>
        <v>0</v>
      </c>
      <c r="AD2127" s="0" t="str">
        <f aca="false">IF(AND(C2126=C2127,AA2126=AA2127-1),AB2126,"")</f>
        <v/>
      </c>
      <c r="AE2127" s="0" t="str">
        <f aca="false">IF(AND(C2126=C2127,AA2126=AA2127-1),AC2126,"")</f>
        <v/>
      </c>
      <c r="AF2127" s="0" t="str">
        <f aca="false">IF(AA2127=1,"",IF(AND(AB2127=1,AD2127&lt;&gt;1),1,0))</f>
        <v/>
      </c>
      <c r="AG2127" s="0" t="str">
        <f aca="false">IF(AA2127=1,"",IF(AND(AC2127=1,AE2127&lt;&gt;1),1,0))</f>
        <v/>
      </c>
      <c r="AH2127" s="51" t="str">
        <f aca="false">IF(AND(E2127&gt;0,AA2127&lt;1,NOT(AND(C2128=C2127,AA2128=AA2127+1))),INDEX(DATAS,AA2127+1),"")</f>
        <v/>
      </c>
      <c r="AI2127" s="51" t="str">
        <f aca="false">IF(AND(AC2127=1,AA2127&lt;1),IF(AND(C2128=C2127,AA2128=AA2127+1),IF(AC2128=1,"",INDEX(DATAS,AA2127+1)),INDEX(DATAS,AA2127+1)),"")</f>
        <v/>
      </c>
    </row>
    <row r="2128" customFormat="false" ht="15" hidden="false" customHeight="false" outlineLevel="0" collapsed="false">
      <c r="A2128" s="51" t="n">
        <v>46309</v>
      </c>
      <c r="B2128" s="0" t="n">
        <v>8</v>
      </c>
      <c r="C2128" s="0" t="n">
        <v>6411</v>
      </c>
      <c r="E2128" s="0" t="n">
        <v>0</v>
      </c>
      <c r="F2128" s="46" t="s">
        <v>1195</v>
      </c>
      <c r="I2128" s="46" t="s">
        <v>152</v>
      </c>
      <c r="L2128" s="0" t="n">
        <v>169</v>
      </c>
      <c r="U2128" s="0" t="n">
        <v>568</v>
      </c>
      <c r="V2128" s="0" t="n">
        <v>1</v>
      </c>
      <c r="W2128" s="51" t="n">
        <v>46141</v>
      </c>
      <c r="X2128" s="46" t="n">
        <f aca="false">IF(I2128="Male",0,1)</f>
        <v>1</v>
      </c>
      <c r="Y2128" s="46" t="n">
        <f aca="false">IF(OR(I2128="DNB",I2128="Dry DNB"),1,0)</f>
        <v>0</v>
      </c>
      <c r="Z2128" s="46" t="n">
        <f aca="false">IF(ISNUMBER(W2128),A2128-W2128,"")</f>
        <v>168</v>
      </c>
      <c r="AA2128" s="46" t="n">
        <f aca="false">MATCH(A2128,DATAS,0)</f>
        <v>1</v>
      </c>
      <c r="AB2128" s="46" t="n">
        <f aca="false">IF(AND(E2128&gt;0,OR(AND(B2128&gt;=1,B2128&lt;=6),B2128=10)),1,0)</f>
        <v>0</v>
      </c>
      <c r="AC2128" s="46" t="n">
        <f aca="false">IF(AND(E2128&gt;0,B2128=10),1,0)</f>
        <v>0</v>
      </c>
      <c r="AD2128" s="0" t="str">
        <f aca="false">IF(AND(C2127=C2128,AA2127=AA2128-1),AB2127,"")</f>
        <v/>
      </c>
      <c r="AE2128" s="0" t="str">
        <f aca="false">IF(AND(C2127=C2128,AA2127=AA2128-1),AC2127,"")</f>
        <v/>
      </c>
      <c r="AF2128" s="0" t="str">
        <f aca="false">IF(AA2128=1,"",IF(AND(AB2128=1,AD2128&lt;&gt;1),1,0))</f>
        <v/>
      </c>
      <c r="AG2128" s="0" t="str">
        <f aca="false">IF(AA2128=1,"",IF(AND(AC2128=1,AE2128&lt;&gt;1),1,0))</f>
        <v/>
      </c>
      <c r="AH2128" s="51" t="str">
        <f aca="false">IF(AND(E2128&gt;0,AA2128&lt;1,NOT(AND(C2129=C2128,AA2129=AA2128+1))),INDEX(DATAS,AA2128+1),"")</f>
        <v/>
      </c>
      <c r="AI2128" s="51" t="str">
        <f aca="false">IF(AND(AC2128=1,AA2128&lt;1),IF(AND(C2129=C2128,AA2129=AA2128+1),IF(AC2129=1,"",INDEX(DATAS,AA2128+1)),INDEX(DATAS,AA2128+1)),"")</f>
        <v/>
      </c>
    </row>
    <row r="2129" customFormat="false" ht="15" hidden="false" customHeight="false" outlineLevel="0" collapsed="false">
      <c r="A2129" s="51" t="n">
        <v>46309</v>
      </c>
      <c r="B2129" s="0" t="n">
        <v>8</v>
      </c>
      <c r="C2129" s="0" t="n">
        <v>6412</v>
      </c>
      <c r="E2129" s="0" t="n">
        <v>0</v>
      </c>
      <c r="F2129" s="46" t="s">
        <v>1195</v>
      </c>
      <c r="I2129" s="46" t="s">
        <v>152</v>
      </c>
      <c r="L2129" s="0" t="n">
        <v>147</v>
      </c>
      <c r="U2129" s="0" t="n">
        <v>568</v>
      </c>
      <c r="V2129" s="0" t="n">
        <v>2</v>
      </c>
      <c r="W2129" s="51" t="n">
        <v>46163</v>
      </c>
      <c r="X2129" s="46" t="n">
        <f aca="false">IF(I2129="Male",0,1)</f>
        <v>1</v>
      </c>
      <c r="Y2129" s="46" t="n">
        <f aca="false">IF(OR(I2129="DNB",I2129="Dry DNB"),1,0)</f>
        <v>0</v>
      </c>
      <c r="Z2129" s="46" t="n">
        <f aca="false">IF(ISNUMBER(W2129),A2129-W2129,"")</f>
        <v>146</v>
      </c>
      <c r="AA2129" s="46" t="n">
        <f aca="false">MATCH(A2129,DATAS,0)</f>
        <v>1</v>
      </c>
      <c r="AB2129" s="46" t="n">
        <f aca="false">IF(AND(E2129&gt;0,OR(AND(B2129&gt;=1,B2129&lt;=6),B2129=10)),1,0)</f>
        <v>0</v>
      </c>
      <c r="AC2129" s="46" t="n">
        <f aca="false">IF(AND(E2129&gt;0,B2129=10),1,0)</f>
        <v>0</v>
      </c>
      <c r="AD2129" s="0" t="str">
        <f aca="false">IF(AND(C2128=C2129,AA2128=AA2129-1),AB2128,"")</f>
        <v/>
      </c>
      <c r="AE2129" s="0" t="str">
        <f aca="false">IF(AND(C2128=C2129,AA2128=AA2129-1),AC2128,"")</f>
        <v/>
      </c>
      <c r="AF2129" s="0" t="str">
        <f aca="false">IF(AA2129=1,"",IF(AND(AB2129=1,AD2129&lt;&gt;1),1,0))</f>
        <v/>
      </c>
      <c r="AG2129" s="0" t="str">
        <f aca="false">IF(AA2129=1,"",IF(AND(AC2129=1,AE2129&lt;&gt;1),1,0))</f>
        <v/>
      </c>
      <c r="AH2129" s="51" t="str">
        <f aca="false">IF(AND(E2129&gt;0,AA2129&lt;1,NOT(AND(C2130=C2129,AA2130=AA2129+1))),INDEX(DATAS,AA2129+1),"")</f>
        <v/>
      </c>
      <c r="AI2129" s="51" t="str">
        <f aca="false">IF(AND(AC2129=1,AA2129&lt;1),IF(AND(C2130=C2129,AA2130=AA2129+1),IF(AC2130=1,"",INDEX(DATAS,AA2129+1)),INDEX(DATAS,AA2129+1)),"")</f>
        <v/>
      </c>
    </row>
    <row r="2130" customFormat="false" ht="15" hidden="false" customHeight="false" outlineLevel="0" collapsed="false">
      <c r="A2130" s="51" t="n">
        <v>46309</v>
      </c>
      <c r="B2130" s="0" t="n">
        <v>8</v>
      </c>
      <c r="C2130" s="0" t="n">
        <v>6413</v>
      </c>
      <c r="E2130" s="0" t="n">
        <v>0</v>
      </c>
      <c r="F2130" s="46" t="s">
        <v>1196</v>
      </c>
      <c r="I2130" s="46" t="s">
        <v>152</v>
      </c>
      <c r="L2130" s="0" t="n">
        <v>166</v>
      </c>
      <c r="U2130" s="0" t="n">
        <v>567</v>
      </c>
      <c r="V2130" s="0" t="n">
        <v>1</v>
      </c>
      <c r="W2130" s="51" t="n">
        <v>46144</v>
      </c>
      <c r="X2130" s="46" t="n">
        <f aca="false">IF(I2130="Male",0,1)</f>
        <v>1</v>
      </c>
      <c r="Y2130" s="46" t="n">
        <f aca="false">IF(OR(I2130="DNB",I2130="Dry DNB"),1,0)</f>
        <v>0</v>
      </c>
      <c r="Z2130" s="46" t="n">
        <f aca="false">IF(ISNUMBER(W2130),A2130-W2130,"")</f>
        <v>165</v>
      </c>
      <c r="AA2130" s="46" t="n">
        <f aca="false">MATCH(A2130,DATAS,0)</f>
        <v>1</v>
      </c>
      <c r="AB2130" s="46" t="n">
        <f aca="false">IF(AND(E2130&gt;0,OR(AND(B2130&gt;=1,B2130&lt;=6),B2130=10)),1,0)</f>
        <v>0</v>
      </c>
      <c r="AC2130" s="46" t="n">
        <f aca="false">IF(AND(E2130&gt;0,B2130=10),1,0)</f>
        <v>0</v>
      </c>
      <c r="AD2130" s="0" t="str">
        <f aca="false">IF(AND(C2129=C2130,AA2129=AA2130-1),AB2129,"")</f>
        <v/>
      </c>
      <c r="AE2130" s="0" t="str">
        <f aca="false">IF(AND(C2129=C2130,AA2129=AA2130-1),AC2129,"")</f>
        <v/>
      </c>
      <c r="AF2130" s="0" t="str">
        <f aca="false">IF(AA2130=1,"",IF(AND(AB2130=1,AD2130&lt;&gt;1),1,0))</f>
        <v/>
      </c>
      <c r="AG2130" s="0" t="str">
        <f aca="false">IF(AA2130=1,"",IF(AND(AC2130=1,AE2130&lt;&gt;1),1,0))</f>
        <v/>
      </c>
      <c r="AH2130" s="51" t="str">
        <f aca="false">IF(AND(E2130&gt;0,AA2130&lt;1,NOT(AND(C2131=C2130,AA2131=AA2130+1))),INDEX(DATAS,AA2130+1),"")</f>
        <v/>
      </c>
      <c r="AI2130" s="51" t="str">
        <f aca="false">IF(AND(AC2130=1,AA2130&lt;1),IF(AND(C2131=C2130,AA2131=AA2130+1),IF(AC2131=1,"",INDEX(DATAS,AA2130+1)),INDEX(DATAS,AA2130+1)),"")</f>
        <v/>
      </c>
    </row>
    <row r="2131" customFormat="false" ht="15" hidden="false" customHeight="false" outlineLevel="0" collapsed="false">
      <c r="A2131" s="51" t="n">
        <v>46309</v>
      </c>
      <c r="B2131" s="0" t="n">
        <v>8</v>
      </c>
      <c r="C2131" s="0" t="n">
        <v>6414</v>
      </c>
      <c r="E2131" s="0" t="n">
        <v>0</v>
      </c>
      <c r="F2131" s="46" t="s">
        <v>1196</v>
      </c>
      <c r="I2131" s="46" t="s">
        <v>152</v>
      </c>
      <c r="L2131" s="0" t="n">
        <v>167</v>
      </c>
      <c r="U2131" s="0" t="n">
        <v>567</v>
      </c>
      <c r="V2131" s="0" t="n">
        <v>1</v>
      </c>
      <c r="W2131" s="51" t="n">
        <v>46143</v>
      </c>
      <c r="X2131" s="46" t="n">
        <f aca="false">IF(I2131="Male",0,1)</f>
        <v>1</v>
      </c>
      <c r="Y2131" s="46" t="n">
        <f aca="false">IF(OR(I2131="DNB",I2131="Dry DNB"),1,0)</f>
        <v>0</v>
      </c>
      <c r="Z2131" s="46" t="n">
        <f aca="false">IF(ISNUMBER(W2131),A2131-W2131,"")</f>
        <v>166</v>
      </c>
      <c r="AA2131" s="46" t="n">
        <f aca="false">MATCH(A2131,DATAS,0)</f>
        <v>1</v>
      </c>
      <c r="AB2131" s="46" t="n">
        <f aca="false">IF(AND(E2131&gt;0,OR(AND(B2131&gt;=1,B2131&lt;=6),B2131=10)),1,0)</f>
        <v>0</v>
      </c>
      <c r="AC2131" s="46" t="n">
        <f aca="false">IF(AND(E2131&gt;0,B2131=10),1,0)</f>
        <v>0</v>
      </c>
      <c r="AD2131" s="0" t="str">
        <f aca="false">IF(AND(C2130=C2131,AA2130=AA2131-1),AB2130,"")</f>
        <v/>
      </c>
      <c r="AE2131" s="0" t="str">
        <f aca="false">IF(AND(C2130=C2131,AA2130=AA2131-1),AC2130,"")</f>
        <v/>
      </c>
      <c r="AF2131" s="0" t="str">
        <f aca="false">IF(AA2131=1,"",IF(AND(AB2131=1,AD2131&lt;&gt;1),1,0))</f>
        <v/>
      </c>
      <c r="AG2131" s="0" t="str">
        <f aca="false">IF(AA2131=1,"",IF(AND(AC2131=1,AE2131&lt;&gt;1),1,0))</f>
        <v/>
      </c>
      <c r="AH2131" s="51" t="str">
        <f aca="false">IF(AND(E2131&gt;0,AA2131&lt;1,NOT(AND(C2132=C2131,AA2132=AA2131+1))),INDEX(DATAS,AA2131+1),"")</f>
        <v/>
      </c>
      <c r="AI2131" s="51" t="str">
        <f aca="false">IF(AND(AC2131=1,AA2131&lt;1),IF(AND(C2132=C2131,AA2132=AA2131+1),IF(AC2132=1,"",INDEX(DATAS,AA2131+1)),INDEX(DATAS,AA2131+1)),"")</f>
        <v/>
      </c>
    </row>
    <row r="2132" customFormat="false" ht="15" hidden="false" customHeight="false" outlineLevel="0" collapsed="false">
      <c r="A2132" s="51" t="n">
        <v>46309</v>
      </c>
      <c r="B2132" s="0" t="n">
        <v>8</v>
      </c>
      <c r="C2132" s="0" t="n">
        <v>6415</v>
      </c>
      <c r="E2132" s="0" t="n">
        <v>0</v>
      </c>
      <c r="F2132" s="46" t="s">
        <v>1196</v>
      </c>
      <c r="I2132" s="46" t="s">
        <v>152</v>
      </c>
      <c r="L2132" s="0" t="n">
        <v>168</v>
      </c>
      <c r="U2132" s="0" t="n">
        <v>567</v>
      </c>
      <c r="V2132" s="0" t="n">
        <v>1</v>
      </c>
      <c r="W2132" s="51" t="n">
        <v>46142</v>
      </c>
      <c r="X2132" s="46" t="n">
        <f aca="false">IF(I2132="Male",0,1)</f>
        <v>1</v>
      </c>
      <c r="Y2132" s="46" t="n">
        <f aca="false">IF(OR(I2132="DNB",I2132="Dry DNB"),1,0)</f>
        <v>0</v>
      </c>
      <c r="Z2132" s="46" t="n">
        <f aca="false">IF(ISNUMBER(W2132),A2132-W2132,"")</f>
        <v>167</v>
      </c>
      <c r="AA2132" s="46" t="n">
        <f aca="false">MATCH(A2132,DATAS,0)</f>
        <v>1</v>
      </c>
      <c r="AB2132" s="46" t="n">
        <f aca="false">IF(AND(E2132&gt;0,OR(AND(B2132&gt;=1,B2132&lt;=6),B2132=10)),1,0)</f>
        <v>0</v>
      </c>
      <c r="AC2132" s="46" t="n">
        <f aca="false">IF(AND(E2132&gt;0,B2132=10),1,0)</f>
        <v>0</v>
      </c>
      <c r="AD2132" s="0" t="str">
        <f aca="false">IF(AND(C2131=C2132,AA2131=AA2132-1),AB2131,"")</f>
        <v/>
      </c>
      <c r="AE2132" s="0" t="str">
        <f aca="false">IF(AND(C2131=C2132,AA2131=AA2132-1),AC2131,"")</f>
        <v/>
      </c>
      <c r="AF2132" s="0" t="str">
        <f aca="false">IF(AA2132=1,"",IF(AND(AB2132=1,AD2132&lt;&gt;1),1,0))</f>
        <v/>
      </c>
      <c r="AG2132" s="0" t="str">
        <f aca="false">IF(AA2132=1,"",IF(AND(AC2132=1,AE2132&lt;&gt;1),1,0))</f>
        <v/>
      </c>
      <c r="AH2132" s="51" t="str">
        <f aca="false">IF(AND(E2132&gt;0,AA2132&lt;1,NOT(AND(C2133=C2132,AA2133=AA2132+1))),INDEX(DATAS,AA2132+1),"")</f>
        <v/>
      </c>
      <c r="AI2132" s="51" t="str">
        <f aca="false">IF(AND(AC2132=1,AA2132&lt;1),IF(AND(C2133=C2132,AA2133=AA2132+1),IF(AC2133=1,"",INDEX(DATAS,AA2132+1)),INDEX(DATAS,AA2132+1)),"")</f>
        <v/>
      </c>
    </row>
    <row r="2133" customFormat="false" ht="15" hidden="false" customHeight="false" outlineLevel="0" collapsed="false">
      <c r="A2133" s="51" t="n">
        <v>46309</v>
      </c>
      <c r="B2133" s="0" t="n">
        <v>8</v>
      </c>
      <c r="C2133" s="0" t="n">
        <v>6416</v>
      </c>
      <c r="E2133" s="0" t="n">
        <v>0</v>
      </c>
      <c r="F2133" s="46" t="s">
        <v>1197</v>
      </c>
      <c r="I2133" s="46" t="s">
        <v>152</v>
      </c>
      <c r="L2133" s="0" t="n">
        <v>150</v>
      </c>
      <c r="U2133" s="0" t="n">
        <v>565</v>
      </c>
      <c r="V2133" s="0" t="n">
        <v>1</v>
      </c>
      <c r="W2133" s="51" t="n">
        <v>46160</v>
      </c>
      <c r="X2133" s="46" t="n">
        <f aca="false">IF(I2133="Male",0,1)</f>
        <v>1</v>
      </c>
      <c r="Y2133" s="46" t="n">
        <f aca="false">IF(OR(I2133="DNB",I2133="Dry DNB"),1,0)</f>
        <v>0</v>
      </c>
      <c r="Z2133" s="46" t="n">
        <f aca="false">IF(ISNUMBER(W2133),A2133-W2133,"")</f>
        <v>149</v>
      </c>
      <c r="AA2133" s="46" t="n">
        <f aca="false">MATCH(A2133,DATAS,0)</f>
        <v>1</v>
      </c>
      <c r="AB2133" s="46" t="n">
        <f aca="false">IF(AND(E2133&gt;0,OR(AND(B2133&gt;=1,B2133&lt;=6),B2133=10)),1,0)</f>
        <v>0</v>
      </c>
      <c r="AC2133" s="46" t="n">
        <f aca="false">IF(AND(E2133&gt;0,B2133=10),1,0)</f>
        <v>0</v>
      </c>
      <c r="AD2133" s="0" t="str">
        <f aca="false">IF(AND(C2132=C2133,AA2132=AA2133-1),AB2132,"")</f>
        <v/>
      </c>
      <c r="AE2133" s="0" t="str">
        <f aca="false">IF(AND(C2132=C2133,AA2132=AA2133-1),AC2132,"")</f>
        <v/>
      </c>
      <c r="AF2133" s="0" t="str">
        <f aca="false">IF(AA2133=1,"",IF(AND(AB2133=1,AD2133&lt;&gt;1),1,0))</f>
        <v/>
      </c>
      <c r="AG2133" s="0" t="str">
        <f aca="false">IF(AA2133=1,"",IF(AND(AC2133=1,AE2133&lt;&gt;1),1,0))</f>
        <v/>
      </c>
      <c r="AH2133" s="51" t="str">
        <f aca="false">IF(AND(E2133&gt;0,AA2133&lt;1,NOT(AND(C2134=C2133,AA2134=AA2133+1))),INDEX(DATAS,AA2133+1),"")</f>
        <v/>
      </c>
      <c r="AI2133" s="51" t="str">
        <f aca="false">IF(AND(AC2133=1,AA2133&lt;1),IF(AND(C2134=C2133,AA2134=AA2133+1),IF(AC2134=1,"",INDEX(DATAS,AA2133+1)),INDEX(DATAS,AA2133+1)),"")</f>
        <v/>
      </c>
    </row>
    <row r="2134" customFormat="false" ht="15" hidden="false" customHeight="false" outlineLevel="0" collapsed="false">
      <c r="A2134" s="51" t="n">
        <v>46309</v>
      </c>
      <c r="B2134" s="0" t="n">
        <v>8</v>
      </c>
      <c r="C2134" s="0" t="n">
        <v>6417</v>
      </c>
      <c r="E2134" s="0" t="n">
        <v>0</v>
      </c>
      <c r="F2134" s="46" t="s">
        <v>1197</v>
      </c>
      <c r="I2134" s="46" t="s">
        <v>152</v>
      </c>
      <c r="L2134" s="0" t="n">
        <v>145</v>
      </c>
      <c r="U2134" s="0" t="n">
        <v>565</v>
      </c>
      <c r="V2134" s="0" t="n">
        <v>2</v>
      </c>
      <c r="W2134" s="51" t="n">
        <v>46165</v>
      </c>
      <c r="X2134" s="46" t="n">
        <f aca="false">IF(I2134="Male",0,1)</f>
        <v>1</v>
      </c>
      <c r="Y2134" s="46" t="n">
        <f aca="false">IF(OR(I2134="DNB",I2134="Dry DNB"),1,0)</f>
        <v>0</v>
      </c>
      <c r="Z2134" s="46" t="n">
        <f aca="false">IF(ISNUMBER(W2134),A2134-W2134,"")</f>
        <v>144</v>
      </c>
      <c r="AA2134" s="46" t="n">
        <f aca="false">MATCH(A2134,DATAS,0)</f>
        <v>1</v>
      </c>
      <c r="AB2134" s="46" t="n">
        <f aca="false">IF(AND(E2134&gt;0,OR(AND(B2134&gt;=1,B2134&lt;=6),B2134=10)),1,0)</f>
        <v>0</v>
      </c>
      <c r="AC2134" s="46" t="n">
        <f aca="false">IF(AND(E2134&gt;0,B2134=10),1,0)</f>
        <v>0</v>
      </c>
      <c r="AD2134" s="0" t="str">
        <f aca="false">IF(AND(C2133=C2134,AA2133=AA2134-1),AB2133,"")</f>
        <v/>
      </c>
      <c r="AE2134" s="0" t="str">
        <f aca="false">IF(AND(C2133=C2134,AA2133=AA2134-1),AC2133,"")</f>
        <v/>
      </c>
      <c r="AF2134" s="0" t="str">
        <f aca="false">IF(AA2134=1,"",IF(AND(AB2134=1,AD2134&lt;&gt;1),1,0))</f>
        <v/>
      </c>
      <c r="AG2134" s="0" t="str">
        <f aca="false">IF(AA2134=1,"",IF(AND(AC2134=1,AE2134&lt;&gt;1),1,0))</f>
        <v/>
      </c>
      <c r="AH2134" s="51" t="str">
        <f aca="false">IF(AND(E2134&gt;0,AA2134&lt;1,NOT(AND(C2135=C2134,AA2135=AA2134+1))),INDEX(DATAS,AA2134+1),"")</f>
        <v/>
      </c>
      <c r="AI2134" s="51" t="str">
        <f aca="false">IF(AND(AC2134=1,AA2134&lt;1),IF(AND(C2135=C2134,AA2135=AA2134+1),IF(AC2135=1,"",INDEX(DATAS,AA2134+1)),INDEX(DATAS,AA2134+1)),"")</f>
        <v/>
      </c>
    </row>
    <row r="2135" customFormat="false" ht="15" hidden="false" customHeight="false" outlineLevel="0" collapsed="false">
      <c r="A2135" s="51" t="n">
        <v>46309</v>
      </c>
      <c r="B2135" s="0" t="n">
        <v>8</v>
      </c>
      <c r="C2135" s="0" t="n">
        <v>6418</v>
      </c>
      <c r="E2135" s="0" t="n">
        <v>0</v>
      </c>
      <c r="F2135" s="46" t="s">
        <v>1197</v>
      </c>
      <c r="I2135" s="46" t="s">
        <v>152</v>
      </c>
      <c r="L2135" s="0" t="n">
        <v>55</v>
      </c>
      <c r="U2135" s="0" t="n">
        <v>565</v>
      </c>
      <c r="V2135" s="0" t="n">
        <v>3</v>
      </c>
      <c r="W2135" s="51" t="n">
        <v>46219</v>
      </c>
      <c r="X2135" s="46" t="n">
        <f aca="false">IF(I2135="Male",0,1)</f>
        <v>1</v>
      </c>
      <c r="Y2135" s="46" t="n">
        <f aca="false">IF(OR(I2135="DNB",I2135="Dry DNB"),1,0)</f>
        <v>0</v>
      </c>
      <c r="Z2135" s="46" t="n">
        <f aca="false">IF(ISNUMBER(W2135),A2135-W2135,"")</f>
        <v>90</v>
      </c>
      <c r="AA2135" s="46" t="n">
        <f aca="false">MATCH(A2135,DATAS,0)</f>
        <v>1</v>
      </c>
      <c r="AB2135" s="46" t="n">
        <f aca="false">IF(AND(E2135&gt;0,OR(AND(B2135&gt;=1,B2135&lt;=6),B2135=10)),1,0)</f>
        <v>0</v>
      </c>
      <c r="AC2135" s="46" t="n">
        <f aca="false">IF(AND(E2135&gt;0,B2135=10),1,0)</f>
        <v>0</v>
      </c>
      <c r="AD2135" s="0" t="str">
        <f aca="false">IF(AND(C2134=C2135,AA2134=AA2135-1),AB2134,"")</f>
        <v/>
      </c>
      <c r="AE2135" s="0" t="str">
        <f aca="false">IF(AND(C2134=C2135,AA2134=AA2135-1),AC2134,"")</f>
        <v/>
      </c>
      <c r="AF2135" s="0" t="str">
        <f aca="false">IF(AA2135=1,"",IF(AND(AB2135=1,AD2135&lt;&gt;1),1,0))</f>
        <v/>
      </c>
      <c r="AG2135" s="0" t="str">
        <f aca="false">IF(AA2135=1,"",IF(AND(AC2135=1,AE2135&lt;&gt;1),1,0))</f>
        <v/>
      </c>
      <c r="AH2135" s="51" t="str">
        <f aca="false">IF(AND(E2135&gt;0,AA2135&lt;1,NOT(AND(C2136=C2135,AA2136=AA2135+1))),INDEX(DATAS,AA2135+1),"")</f>
        <v/>
      </c>
      <c r="AI2135" s="51" t="str">
        <f aca="false">IF(AND(AC2135=1,AA2135&lt;1),IF(AND(C2136=C2135,AA2136=AA2135+1),IF(AC2136=1,"",INDEX(DATAS,AA2135+1)),INDEX(DATAS,AA2135+1)),"")</f>
        <v/>
      </c>
    </row>
    <row r="2136" customFormat="false" ht="15" hidden="false" customHeight="false" outlineLevel="0" collapsed="false">
      <c r="A2136" s="51" t="n">
        <v>46309</v>
      </c>
      <c r="B2136" s="0" t="n">
        <v>8</v>
      </c>
      <c r="C2136" s="0" t="n">
        <v>6419</v>
      </c>
      <c r="E2136" s="0" t="n">
        <v>0</v>
      </c>
      <c r="F2136" s="46" t="s">
        <v>1197</v>
      </c>
      <c r="I2136" s="46" t="s">
        <v>152</v>
      </c>
      <c r="L2136" s="0" t="n">
        <v>161</v>
      </c>
      <c r="U2136" s="0" t="n">
        <v>565</v>
      </c>
      <c r="V2136" s="0" t="n">
        <v>1</v>
      </c>
      <c r="W2136" s="51" t="n">
        <v>46149</v>
      </c>
      <c r="X2136" s="46" t="n">
        <f aca="false">IF(I2136="Male",0,1)</f>
        <v>1</v>
      </c>
      <c r="Y2136" s="46" t="n">
        <f aca="false">IF(OR(I2136="DNB",I2136="Dry DNB"),1,0)</f>
        <v>0</v>
      </c>
      <c r="Z2136" s="46" t="n">
        <f aca="false">IF(ISNUMBER(W2136),A2136-W2136,"")</f>
        <v>160</v>
      </c>
      <c r="AA2136" s="46" t="n">
        <f aca="false">MATCH(A2136,DATAS,0)</f>
        <v>1</v>
      </c>
      <c r="AB2136" s="46" t="n">
        <f aca="false">IF(AND(E2136&gt;0,OR(AND(B2136&gt;=1,B2136&lt;=6),B2136=10)),1,0)</f>
        <v>0</v>
      </c>
      <c r="AC2136" s="46" t="n">
        <f aca="false">IF(AND(E2136&gt;0,B2136=10),1,0)</f>
        <v>0</v>
      </c>
      <c r="AD2136" s="0" t="str">
        <f aca="false">IF(AND(C2135=C2136,AA2135=AA2136-1),AB2135,"")</f>
        <v/>
      </c>
      <c r="AE2136" s="0" t="str">
        <f aca="false">IF(AND(C2135=C2136,AA2135=AA2136-1),AC2135,"")</f>
        <v/>
      </c>
      <c r="AF2136" s="0" t="str">
        <f aca="false">IF(AA2136=1,"",IF(AND(AB2136=1,AD2136&lt;&gt;1),1,0))</f>
        <v/>
      </c>
      <c r="AG2136" s="0" t="str">
        <f aca="false">IF(AA2136=1,"",IF(AND(AC2136=1,AE2136&lt;&gt;1),1,0))</f>
        <v/>
      </c>
      <c r="AH2136" s="51" t="str">
        <f aca="false">IF(AND(E2136&gt;0,AA2136&lt;1,NOT(AND(C2137=C2136,AA2137=AA2136+1))),INDEX(DATAS,AA2136+1),"")</f>
        <v/>
      </c>
      <c r="AI2136" s="51" t="str">
        <f aca="false">IF(AND(AC2136=1,AA2136&lt;1),IF(AND(C2137=C2136,AA2137=AA2136+1),IF(AC2137=1,"",INDEX(DATAS,AA2136+1)),INDEX(DATAS,AA2136+1)),"")</f>
        <v/>
      </c>
    </row>
    <row r="2137" customFormat="false" ht="15" hidden="false" customHeight="false" outlineLevel="0" collapsed="false">
      <c r="A2137" s="51" t="n">
        <v>46309</v>
      </c>
      <c r="B2137" s="0" t="n">
        <v>11</v>
      </c>
      <c r="C2137" s="0" t="n">
        <v>6420</v>
      </c>
      <c r="E2137" s="0" t="n">
        <v>0</v>
      </c>
      <c r="F2137" s="46" t="s">
        <v>1197</v>
      </c>
      <c r="I2137" s="46" t="s">
        <v>181</v>
      </c>
      <c r="U2137" s="0" t="n">
        <v>565</v>
      </c>
      <c r="V2137" s="0" t="n">
        <v>4</v>
      </c>
      <c r="W2137" s="51" t="n">
        <v>46289</v>
      </c>
      <c r="X2137" s="46" t="n">
        <f aca="false">IF(I2137="Male",0,1)</f>
        <v>1</v>
      </c>
      <c r="Y2137" s="46" t="n">
        <f aca="false">IF(OR(I2137="DNB",I2137="Dry DNB"),1,0)</f>
        <v>0</v>
      </c>
      <c r="Z2137" s="46" t="n">
        <f aca="false">IF(ISNUMBER(W2137),A2137-W2137,"")</f>
        <v>20</v>
      </c>
      <c r="AA2137" s="46" t="n">
        <f aca="false">MATCH(A2137,DATAS,0)</f>
        <v>1</v>
      </c>
      <c r="AB2137" s="46" t="n">
        <f aca="false">IF(AND(E2137&gt;0,OR(AND(B2137&gt;=1,B2137&lt;=6),B2137=10)),1,0)</f>
        <v>0</v>
      </c>
      <c r="AC2137" s="46" t="n">
        <f aca="false">IF(AND(E2137&gt;0,B2137=10),1,0)</f>
        <v>0</v>
      </c>
      <c r="AD2137" s="0" t="str">
        <f aca="false">IF(AND(C2136=C2137,AA2136=AA2137-1),AB2136,"")</f>
        <v/>
      </c>
      <c r="AE2137" s="0" t="str">
        <f aca="false">IF(AND(C2136=C2137,AA2136=AA2137-1),AC2136,"")</f>
        <v/>
      </c>
      <c r="AF2137" s="0" t="str">
        <f aca="false">IF(AA2137=1,"",IF(AND(AB2137=1,AD2137&lt;&gt;1),1,0))</f>
        <v/>
      </c>
      <c r="AG2137" s="0" t="str">
        <f aca="false">IF(AA2137=1,"",IF(AND(AC2137=1,AE2137&lt;&gt;1),1,0))</f>
        <v/>
      </c>
      <c r="AH2137" s="51" t="str">
        <f aca="false">IF(AND(E2137&gt;0,AA2137&lt;1,NOT(AND(C2138=C2137,AA2138=AA2137+1))),INDEX(DATAS,AA2137+1),"")</f>
        <v/>
      </c>
      <c r="AI2137" s="51" t="str">
        <f aca="false">IF(AND(AC2137=1,AA2137&lt;1),IF(AND(C2138=C2137,AA2138=AA2137+1),IF(AC2138=1,"",INDEX(DATAS,AA2137+1)),INDEX(DATAS,AA2137+1)),"")</f>
        <v/>
      </c>
    </row>
    <row r="2138" customFormat="false" ht="15" hidden="false" customHeight="false" outlineLevel="0" collapsed="false">
      <c r="A2138" s="51" t="n">
        <v>46309</v>
      </c>
      <c r="B2138" s="0" t="n">
        <v>8</v>
      </c>
      <c r="C2138" s="0" t="n">
        <v>6421</v>
      </c>
      <c r="E2138" s="0" t="n">
        <v>0</v>
      </c>
      <c r="F2138" s="46" t="s">
        <v>1197</v>
      </c>
      <c r="I2138" s="46" t="s">
        <v>152</v>
      </c>
      <c r="L2138" s="0" t="n">
        <v>121</v>
      </c>
      <c r="U2138" s="0" t="n">
        <v>565</v>
      </c>
      <c r="V2138" s="0" t="n">
        <v>3</v>
      </c>
      <c r="W2138" s="51" t="n">
        <v>46189</v>
      </c>
      <c r="X2138" s="46" t="n">
        <f aca="false">IF(I2138="Male",0,1)</f>
        <v>1</v>
      </c>
      <c r="Y2138" s="46" t="n">
        <f aca="false">IF(OR(I2138="DNB",I2138="Dry DNB"),1,0)</f>
        <v>0</v>
      </c>
      <c r="Z2138" s="46" t="n">
        <f aca="false">IF(ISNUMBER(W2138),A2138-W2138,"")</f>
        <v>120</v>
      </c>
      <c r="AA2138" s="46" t="n">
        <f aca="false">MATCH(A2138,DATAS,0)</f>
        <v>1</v>
      </c>
      <c r="AB2138" s="46" t="n">
        <f aca="false">IF(AND(E2138&gt;0,OR(AND(B2138&gt;=1,B2138&lt;=6),B2138=10)),1,0)</f>
        <v>0</v>
      </c>
      <c r="AC2138" s="46" t="n">
        <f aca="false">IF(AND(E2138&gt;0,B2138=10),1,0)</f>
        <v>0</v>
      </c>
      <c r="AD2138" s="0" t="str">
        <f aca="false">IF(AND(C2137=C2138,AA2137=AA2138-1),AB2137,"")</f>
        <v/>
      </c>
      <c r="AE2138" s="0" t="str">
        <f aca="false">IF(AND(C2137=C2138,AA2137=AA2138-1),AC2137,"")</f>
        <v/>
      </c>
      <c r="AF2138" s="0" t="str">
        <f aca="false">IF(AA2138=1,"",IF(AND(AB2138=1,AD2138&lt;&gt;1),1,0))</f>
        <v/>
      </c>
      <c r="AG2138" s="0" t="str">
        <f aca="false">IF(AA2138=1,"",IF(AND(AC2138=1,AE2138&lt;&gt;1),1,0))</f>
        <v/>
      </c>
      <c r="AH2138" s="51" t="str">
        <f aca="false">IF(AND(E2138&gt;0,AA2138&lt;1,NOT(AND(C2139=C2138,AA2139=AA2138+1))),INDEX(DATAS,AA2138+1),"")</f>
        <v/>
      </c>
      <c r="AI2138" s="51" t="str">
        <f aca="false">IF(AND(AC2138=1,AA2138&lt;1),IF(AND(C2139=C2138,AA2139=AA2138+1),IF(AC2139=1,"",INDEX(DATAS,AA2138+1)),INDEX(DATAS,AA2138+1)),"")</f>
        <v/>
      </c>
    </row>
    <row r="2139" customFormat="false" ht="15" hidden="false" customHeight="false" outlineLevel="0" collapsed="false">
      <c r="A2139" s="51" t="n">
        <v>46309</v>
      </c>
      <c r="B2139" s="0" t="n">
        <v>8</v>
      </c>
      <c r="C2139" s="0" t="n">
        <v>6423</v>
      </c>
      <c r="E2139" s="0" t="n">
        <v>0</v>
      </c>
      <c r="F2139" s="46" t="s">
        <v>1198</v>
      </c>
      <c r="I2139" s="46" t="s">
        <v>152</v>
      </c>
      <c r="L2139" s="0" t="n">
        <v>164</v>
      </c>
      <c r="U2139" s="0" t="n">
        <v>564</v>
      </c>
      <c r="V2139" s="0" t="n">
        <v>1</v>
      </c>
      <c r="W2139" s="51" t="n">
        <v>46146</v>
      </c>
      <c r="X2139" s="46" t="n">
        <f aca="false">IF(I2139="Male",0,1)</f>
        <v>1</v>
      </c>
      <c r="Y2139" s="46" t="n">
        <f aca="false">IF(OR(I2139="DNB",I2139="Dry DNB"),1,0)</f>
        <v>0</v>
      </c>
      <c r="Z2139" s="46" t="n">
        <f aca="false">IF(ISNUMBER(W2139),A2139-W2139,"")</f>
        <v>163</v>
      </c>
      <c r="AA2139" s="46" t="n">
        <f aca="false">MATCH(A2139,DATAS,0)</f>
        <v>1</v>
      </c>
      <c r="AB2139" s="46" t="n">
        <f aca="false">IF(AND(E2139&gt;0,OR(AND(B2139&gt;=1,B2139&lt;=6),B2139=10)),1,0)</f>
        <v>0</v>
      </c>
      <c r="AC2139" s="46" t="n">
        <f aca="false">IF(AND(E2139&gt;0,B2139=10),1,0)</f>
        <v>0</v>
      </c>
      <c r="AD2139" s="0" t="str">
        <f aca="false">IF(AND(C2138=C2139,AA2138=AA2139-1),AB2138,"")</f>
        <v/>
      </c>
      <c r="AE2139" s="0" t="str">
        <f aca="false">IF(AND(C2138=C2139,AA2138=AA2139-1),AC2138,"")</f>
        <v/>
      </c>
      <c r="AF2139" s="0" t="str">
        <f aca="false">IF(AA2139=1,"",IF(AND(AB2139=1,AD2139&lt;&gt;1),1,0))</f>
        <v/>
      </c>
      <c r="AG2139" s="0" t="str">
        <f aca="false">IF(AA2139=1,"",IF(AND(AC2139=1,AE2139&lt;&gt;1),1,0))</f>
        <v/>
      </c>
      <c r="AH2139" s="51" t="str">
        <f aca="false">IF(AND(E2139&gt;0,AA2139&lt;1,NOT(AND(C2140=C2139,AA2140=AA2139+1))),INDEX(DATAS,AA2139+1),"")</f>
        <v/>
      </c>
      <c r="AI2139" s="51" t="str">
        <f aca="false">IF(AND(AC2139=1,AA2139&lt;1),IF(AND(C2140=C2139,AA2140=AA2139+1),IF(AC2140=1,"",INDEX(DATAS,AA2139+1)),INDEX(DATAS,AA2139+1)),"")</f>
        <v/>
      </c>
    </row>
    <row r="2140" customFormat="false" ht="15" hidden="false" customHeight="false" outlineLevel="0" collapsed="false">
      <c r="A2140" s="51" t="n">
        <v>46309</v>
      </c>
      <c r="B2140" s="0" t="n">
        <v>8</v>
      </c>
      <c r="C2140" s="0" t="n">
        <v>6424</v>
      </c>
      <c r="E2140" s="0" t="n">
        <v>0</v>
      </c>
      <c r="F2140" s="46" t="s">
        <v>1199</v>
      </c>
      <c r="I2140" s="46" t="s">
        <v>152</v>
      </c>
      <c r="L2140" s="0" t="n">
        <v>77</v>
      </c>
      <c r="U2140" s="0" t="n">
        <v>563</v>
      </c>
      <c r="V2140" s="0" t="n">
        <v>2</v>
      </c>
      <c r="W2140" s="51" t="n">
        <v>46233</v>
      </c>
      <c r="X2140" s="46" t="n">
        <f aca="false">IF(I2140="Male",0,1)</f>
        <v>1</v>
      </c>
      <c r="Y2140" s="46" t="n">
        <f aca="false">IF(OR(I2140="DNB",I2140="Dry DNB"),1,0)</f>
        <v>0</v>
      </c>
      <c r="Z2140" s="46" t="n">
        <f aca="false">IF(ISNUMBER(W2140),A2140-W2140,"")</f>
        <v>76</v>
      </c>
      <c r="AA2140" s="46" t="n">
        <f aca="false">MATCH(A2140,DATAS,0)</f>
        <v>1</v>
      </c>
      <c r="AB2140" s="46" t="n">
        <f aca="false">IF(AND(E2140&gt;0,OR(AND(B2140&gt;=1,B2140&lt;=6),B2140=10)),1,0)</f>
        <v>0</v>
      </c>
      <c r="AC2140" s="46" t="n">
        <f aca="false">IF(AND(E2140&gt;0,B2140=10),1,0)</f>
        <v>0</v>
      </c>
      <c r="AD2140" s="0" t="str">
        <f aca="false">IF(AND(C2139=C2140,AA2139=AA2140-1),AB2139,"")</f>
        <v/>
      </c>
      <c r="AE2140" s="0" t="str">
        <f aca="false">IF(AND(C2139=C2140,AA2139=AA2140-1),AC2139,"")</f>
        <v/>
      </c>
      <c r="AF2140" s="0" t="str">
        <f aca="false">IF(AA2140=1,"",IF(AND(AB2140=1,AD2140&lt;&gt;1),1,0))</f>
        <v/>
      </c>
      <c r="AG2140" s="0" t="str">
        <f aca="false">IF(AA2140=1,"",IF(AND(AC2140=1,AE2140&lt;&gt;1),1,0))</f>
        <v/>
      </c>
      <c r="AH2140" s="51" t="str">
        <f aca="false">IF(AND(E2140&gt;0,AA2140&lt;1,NOT(AND(C2141=C2140,AA2141=AA2140+1))),INDEX(DATAS,AA2140+1),"")</f>
        <v/>
      </c>
      <c r="AI2140" s="51" t="str">
        <f aca="false">IF(AND(AC2140=1,AA2140&lt;1),IF(AND(C2141=C2140,AA2141=AA2140+1),IF(AC2141=1,"",INDEX(DATAS,AA2140+1)),INDEX(DATAS,AA2140+1)),"")</f>
        <v/>
      </c>
    </row>
    <row r="2141" customFormat="false" ht="15" hidden="false" customHeight="false" outlineLevel="0" collapsed="false">
      <c r="A2141" s="51" t="n">
        <v>46309</v>
      </c>
      <c r="B2141" s="0" t="n">
        <v>8</v>
      </c>
      <c r="C2141" s="0" t="n">
        <v>6425</v>
      </c>
      <c r="E2141" s="0" t="n">
        <v>0</v>
      </c>
      <c r="F2141" s="46" t="s">
        <v>1199</v>
      </c>
      <c r="I2141" s="46" t="s">
        <v>152</v>
      </c>
      <c r="L2141" s="0" t="n">
        <v>93</v>
      </c>
      <c r="U2141" s="0" t="n">
        <v>563</v>
      </c>
      <c r="V2141" s="0" t="n">
        <v>5</v>
      </c>
      <c r="W2141" s="51" t="n">
        <v>46217</v>
      </c>
      <c r="X2141" s="46" t="n">
        <f aca="false">IF(I2141="Male",0,1)</f>
        <v>1</v>
      </c>
      <c r="Y2141" s="46" t="n">
        <f aca="false">IF(OR(I2141="DNB",I2141="Dry DNB"),1,0)</f>
        <v>0</v>
      </c>
      <c r="Z2141" s="46" t="n">
        <f aca="false">IF(ISNUMBER(W2141),A2141-W2141,"")</f>
        <v>92</v>
      </c>
      <c r="AA2141" s="46" t="n">
        <f aca="false">MATCH(A2141,DATAS,0)</f>
        <v>1</v>
      </c>
      <c r="AB2141" s="46" t="n">
        <f aca="false">IF(AND(E2141&gt;0,OR(AND(B2141&gt;=1,B2141&lt;=6),B2141=10)),1,0)</f>
        <v>0</v>
      </c>
      <c r="AC2141" s="46" t="n">
        <f aca="false">IF(AND(E2141&gt;0,B2141=10),1,0)</f>
        <v>0</v>
      </c>
      <c r="AD2141" s="0" t="str">
        <f aca="false">IF(AND(C2140=C2141,AA2140=AA2141-1),AB2140,"")</f>
        <v/>
      </c>
      <c r="AE2141" s="0" t="str">
        <f aca="false">IF(AND(C2140=C2141,AA2140=AA2141-1),AC2140,"")</f>
        <v/>
      </c>
      <c r="AF2141" s="0" t="str">
        <f aca="false">IF(AA2141=1,"",IF(AND(AB2141=1,AD2141&lt;&gt;1),1,0))</f>
        <v/>
      </c>
      <c r="AG2141" s="0" t="str">
        <f aca="false">IF(AA2141=1,"",IF(AND(AC2141=1,AE2141&lt;&gt;1),1,0))</f>
        <v/>
      </c>
      <c r="AH2141" s="51" t="str">
        <f aca="false">IF(AND(E2141&gt;0,AA2141&lt;1,NOT(AND(C2142=C2141,AA2142=AA2141+1))),INDEX(DATAS,AA2141+1),"")</f>
        <v/>
      </c>
      <c r="AI2141" s="51" t="str">
        <f aca="false">IF(AND(AC2141=1,AA2141&lt;1),IF(AND(C2142=C2141,AA2142=AA2141+1),IF(AC2142=1,"",INDEX(DATAS,AA2141+1)),INDEX(DATAS,AA2141+1)),"")</f>
        <v/>
      </c>
    </row>
    <row r="2142" customFormat="false" ht="15" hidden="false" customHeight="false" outlineLevel="0" collapsed="false">
      <c r="A2142" s="51" t="n">
        <v>46309</v>
      </c>
      <c r="B2142" s="0" t="n">
        <v>8</v>
      </c>
      <c r="C2142" s="0" t="n">
        <v>6426</v>
      </c>
      <c r="E2142" s="0" t="n">
        <v>0</v>
      </c>
      <c r="F2142" s="46" t="s">
        <v>1199</v>
      </c>
      <c r="I2142" s="46" t="s">
        <v>152</v>
      </c>
      <c r="L2142" s="0" t="n">
        <v>169</v>
      </c>
      <c r="U2142" s="0" t="n">
        <v>563</v>
      </c>
      <c r="V2142" s="0" t="n">
        <v>1</v>
      </c>
      <c r="W2142" s="51" t="n">
        <v>46141</v>
      </c>
      <c r="X2142" s="46" t="n">
        <f aca="false">IF(I2142="Male",0,1)</f>
        <v>1</v>
      </c>
      <c r="Y2142" s="46" t="n">
        <f aca="false">IF(OR(I2142="DNB",I2142="Dry DNB"),1,0)</f>
        <v>0</v>
      </c>
      <c r="Z2142" s="46" t="n">
        <f aca="false">IF(ISNUMBER(W2142),A2142-W2142,"")</f>
        <v>168</v>
      </c>
      <c r="AA2142" s="46" t="n">
        <f aca="false">MATCH(A2142,DATAS,0)</f>
        <v>1</v>
      </c>
      <c r="AB2142" s="46" t="n">
        <f aca="false">IF(AND(E2142&gt;0,OR(AND(B2142&gt;=1,B2142&lt;=6),B2142=10)),1,0)</f>
        <v>0</v>
      </c>
      <c r="AC2142" s="46" t="n">
        <f aca="false">IF(AND(E2142&gt;0,B2142=10),1,0)</f>
        <v>0</v>
      </c>
      <c r="AD2142" s="0" t="str">
        <f aca="false">IF(AND(C2141=C2142,AA2141=AA2142-1),AB2141,"")</f>
        <v/>
      </c>
      <c r="AE2142" s="0" t="str">
        <f aca="false">IF(AND(C2141=C2142,AA2141=AA2142-1),AC2141,"")</f>
        <v/>
      </c>
      <c r="AF2142" s="0" t="str">
        <f aca="false">IF(AA2142=1,"",IF(AND(AB2142=1,AD2142&lt;&gt;1),1,0))</f>
        <v/>
      </c>
      <c r="AG2142" s="0" t="str">
        <f aca="false">IF(AA2142=1,"",IF(AND(AC2142=1,AE2142&lt;&gt;1),1,0))</f>
        <v/>
      </c>
      <c r="AH2142" s="51" t="str">
        <f aca="false">IF(AND(E2142&gt;0,AA2142&lt;1,NOT(AND(C2143=C2142,AA2143=AA2142+1))),INDEX(DATAS,AA2142+1),"")</f>
        <v/>
      </c>
      <c r="AI2142" s="51" t="str">
        <f aca="false">IF(AND(AC2142=1,AA2142&lt;1),IF(AND(C2143=C2142,AA2143=AA2142+1),IF(AC2143=1,"",INDEX(DATAS,AA2142+1)),INDEX(DATAS,AA2142+1)),"")</f>
        <v/>
      </c>
    </row>
    <row r="2143" customFormat="false" ht="15" hidden="false" customHeight="false" outlineLevel="0" collapsed="false">
      <c r="A2143" s="51" t="n">
        <v>46309</v>
      </c>
      <c r="B2143" s="0" t="n">
        <v>11</v>
      </c>
      <c r="C2143" s="0" t="n">
        <v>6427</v>
      </c>
      <c r="E2143" s="0" t="n">
        <v>0</v>
      </c>
      <c r="F2143" s="46" t="s">
        <v>1200</v>
      </c>
      <c r="I2143" s="46" t="s">
        <v>181</v>
      </c>
      <c r="U2143" s="0" t="n">
        <v>562</v>
      </c>
      <c r="V2143" s="0" t="n">
        <v>7</v>
      </c>
      <c r="W2143" s="51" t="n">
        <v>46303</v>
      </c>
      <c r="X2143" s="46" t="n">
        <f aca="false">IF(I2143="Male",0,1)</f>
        <v>1</v>
      </c>
      <c r="Y2143" s="46" t="n">
        <f aca="false">IF(OR(I2143="DNB",I2143="Dry DNB"),1,0)</f>
        <v>0</v>
      </c>
      <c r="Z2143" s="46" t="n">
        <f aca="false">IF(ISNUMBER(W2143),A2143-W2143,"")</f>
        <v>6</v>
      </c>
      <c r="AA2143" s="46" t="n">
        <f aca="false">MATCH(A2143,DATAS,0)</f>
        <v>1</v>
      </c>
      <c r="AB2143" s="46" t="n">
        <f aca="false">IF(AND(E2143&gt;0,OR(AND(B2143&gt;=1,B2143&lt;=6),B2143=10)),1,0)</f>
        <v>0</v>
      </c>
      <c r="AC2143" s="46" t="n">
        <f aca="false">IF(AND(E2143&gt;0,B2143=10),1,0)</f>
        <v>0</v>
      </c>
      <c r="AD2143" s="0" t="str">
        <f aca="false">IF(AND(C2142=C2143,AA2142=AA2143-1),AB2142,"")</f>
        <v/>
      </c>
      <c r="AE2143" s="0" t="str">
        <f aca="false">IF(AND(C2142=C2143,AA2142=AA2143-1),AC2142,"")</f>
        <v/>
      </c>
      <c r="AF2143" s="0" t="str">
        <f aca="false">IF(AA2143=1,"",IF(AND(AB2143=1,AD2143&lt;&gt;1),1,0))</f>
        <v/>
      </c>
      <c r="AG2143" s="0" t="str">
        <f aca="false">IF(AA2143=1,"",IF(AND(AC2143=1,AE2143&lt;&gt;1),1,0))</f>
        <v/>
      </c>
      <c r="AH2143" s="51" t="str">
        <f aca="false">IF(AND(E2143&gt;0,AA2143&lt;1,NOT(AND(C2144=C2143,AA2144=AA2143+1))),INDEX(DATAS,AA2143+1),"")</f>
        <v/>
      </c>
      <c r="AI2143" s="51" t="str">
        <f aca="false">IF(AND(AC2143=1,AA2143&lt;1),IF(AND(C2144=C2143,AA2144=AA2143+1),IF(AC2144=1,"",INDEX(DATAS,AA2143+1)),INDEX(DATAS,AA2143+1)),"")</f>
        <v/>
      </c>
    </row>
    <row r="2144" customFormat="false" ht="15" hidden="false" customHeight="false" outlineLevel="0" collapsed="false">
      <c r="A2144" s="51" t="n">
        <v>46309</v>
      </c>
      <c r="B2144" s="0" t="n">
        <v>8</v>
      </c>
      <c r="C2144" s="0" t="n">
        <v>6428</v>
      </c>
      <c r="E2144" s="0" t="n">
        <v>0</v>
      </c>
      <c r="F2144" s="46" t="s">
        <v>1200</v>
      </c>
      <c r="I2144" s="46" t="s">
        <v>152</v>
      </c>
      <c r="L2144" s="0" t="n">
        <v>135</v>
      </c>
      <c r="U2144" s="0" t="n">
        <v>562</v>
      </c>
      <c r="V2144" s="0" t="n">
        <v>1</v>
      </c>
      <c r="W2144" s="51" t="n">
        <v>46175</v>
      </c>
      <c r="X2144" s="46" t="n">
        <f aca="false">IF(I2144="Male",0,1)</f>
        <v>1</v>
      </c>
      <c r="Y2144" s="46" t="n">
        <f aca="false">IF(OR(I2144="DNB",I2144="Dry DNB"),1,0)</f>
        <v>0</v>
      </c>
      <c r="Z2144" s="46" t="n">
        <f aca="false">IF(ISNUMBER(W2144),A2144-W2144,"")</f>
        <v>134</v>
      </c>
      <c r="AA2144" s="46" t="n">
        <f aca="false">MATCH(A2144,DATAS,0)</f>
        <v>1</v>
      </c>
      <c r="AB2144" s="46" t="n">
        <f aca="false">IF(AND(E2144&gt;0,OR(AND(B2144&gt;=1,B2144&lt;=6),B2144=10)),1,0)</f>
        <v>0</v>
      </c>
      <c r="AC2144" s="46" t="n">
        <f aca="false">IF(AND(E2144&gt;0,B2144=10),1,0)</f>
        <v>0</v>
      </c>
      <c r="AD2144" s="0" t="str">
        <f aca="false">IF(AND(C2143=C2144,AA2143=AA2144-1),AB2143,"")</f>
        <v/>
      </c>
      <c r="AE2144" s="0" t="str">
        <f aca="false">IF(AND(C2143=C2144,AA2143=AA2144-1),AC2143,"")</f>
        <v/>
      </c>
      <c r="AF2144" s="0" t="str">
        <f aca="false">IF(AA2144=1,"",IF(AND(AB2144=1,AD2144&lt;&gt;1),1,0))</f>
        <v/>
      </c>
      <c r="AG2144" s="0" t="str">
        <f aca="false">IF(AA2144=1,"",IF(AND(AC2144=1,AE2144&lt;&gt;1),1,0))</f>
        <v/>
      </c>
      <c r="AH2144" s="51" t="str">
        <f aca="false">IF(AND(E2144&gt;0,AA2144&lt;1,NOT(AND(C2145=C2144,AA2145=AA2144+1))),INDEX(DATAS,AA2144+1),"")</f>
        <v/>
      </c>
      <c r="AI2144" s="51" t="str">
        <f aca="false">IF(AND(AC2144=1,AA2144&lt;1),IF(AND(C2145=C2144,AA2145=AA2144+1),IF(AC2145=1,"",INDEX(DATAS,AA2144+1)),INDEX(DATAS,AA2144+1)),"")</f>
        <v/>
      </c>
    </row>
    <row r="2145" customFormat="false" ht="15" hidden="false" customHeight="false" outlineLevel="0" collapsed="false">
      <c r="A2145" s="51" t="n">
        <v>46309</v>
      </c>
      <c r="B2145" s="0" t="n">
        <v>8</v>
      </c>
      <c r="C2145" s="0" t="n">
        <v>6429</v>
      </c>
      <c r="E2145" s="0" t="n">
        <v>0</v>
      </c>
      <c r="F2145" s="46" t="s">
        <v>1200</v>
      </c>
      <c r="I2145" s="46" t="s">
        <v>152</v>
      </c>
      <c r="L2145" s="0" t="n">
        <v>149</v>
      </c>
      <c r="U2145" s="0" t="n">
        <v>562</v>
      </c>
      <c r="V2145" s="0" t="n">
        <v>2</v>
      </c>
      <c r="W2145" s="51" t="n">
        <v>46161</v>
      </c>
      <c r="X2145" s="46" t="n">
        <f aca="false">IF(I2145="Male",0,1)</f>
        <v>1</v>
      </c>
      <c r="Y2145" s="46" t="n">
        <f aca="false">IF(OR(I2145="DNB",I2145="Dry DNB"),1,0)</f>
        <v>0</v>
      </c>
      <c r="Z2145" s="46" t="n">
        <f aca="false">IF(ISNUMBER(W2145),A2145-W2145,"")</f>
        <v>148</v>
      </c>
      <c r="AA2145" s="46" t="n">
        <f aca="false">MATCH(A2145,DATAS,0)</f>
        <v>1</v>
      </c>
      <c r="AB2145" s="46" t="n">
        <f aca="false">IF(AND(E2145&gt;0,OR(AND(B2145&gt;=1,B2145&lt;=6),B2145=10)),1,0)</f>
        <v>0</v>
      </c>
      <c r="AC2145" s="46" t="n">
        <f aca="false">IF(AND(E2145&gt;0,B2145=10),1,0)</f>
        <v>0</v>
      </c>
      <c r="AD2145" s="0" t="str">
        <f aca="false">IF(AND(C2144=C2145,AA2144=AA2145-1),AB2144,"")</f>
        <v/>
      </c>
      <c r="AE2145" s="0" t="str">
        <f aca="false">IF(AND(C2144=C2145,AA2144=AA2145-1),AC2144,"")</f>
        <v/>
      </c>
      <c r="AF2145" s="0" t="str">
        <f aca="false">IF(AA2145=1,"",IF(AND(AB2145=1,AD2145&lt;&gt;1),1,0))</f>
        <v/>
      </c>
      <c r="AG2145" s="0" t="str">
        <f aca="false">IF(AA2145=1,"",IF(AND(AC2145=1,AE2145&lt;&gt;1),1,0))</f>
        <v/>
      </c>
      <c r="AH2145" s="51" t="str">
        <f aca="false">IF(AND(E2145&gt;0,AA2145&lt;1,NOT(AND(C2146=C2145,AA2146=AA2145+1))),INDEX(DATAS,AA2145+1),"")</f>
        <v/>
      </c>
      <c r="AI2145" s="51" t="str">
        <f aca="false">IF(AND(AC2145=1,AA2145&lt;1),IF(AND(C2146=C2145,AA2146=AA2145+1),IF(AC2146=1,"",INDEX(DATAS,AA2145+1)),INDEX(DATAS,AA2145+1)),"")</f>
        <v/>
      </c>
    </row>
    <row r="2146" customFormat="false" ht="15" hidden="false" customHeight="false" outlineLevel="0" collapsed="false">
      <c r="A2146" s="51" t="n">
        <v>46309</v>
      </c>
      <c r="B2146" s="0" t="n">
        <v>8</v>
      </c>
      <c r="C2146" s="0" t="n">
        <v>6430</v>
      </c>
      <c r="E2146" s="0" t="n">
        <v>0</v>
      </c>
      <c r="F2146" s="46" t="s">
        <v>1201</v>
      </c>
      <c r="I2146" s="46" t="s">
        <v>152</v>
      </c>
      <c r="L2146" s="0" t="n">
        <v>152</v>
      </c>
      <c r="U2146" s="0" t="n">
        <v>561</v>
      </c>
      <c r="V2146" s="0" t="n">
        <v>1</v>
      </c>
      <c r="W2146" s="51" t="n">
        <v>46158</v>
      </c>
      <c r="X2146" s="46" t="n">
        <f aca="false">IF(I2146="Male",0,1)</f>
        <v>1</v>
      </c>
      <c r="Y2146" s="46" t="n">
        <f aca="false">IF(OR(I2146="DNB",I2146="Dry DNB"),1,0)</f>
        <v>0</v>
      </c>
      <c r="Z2146" s="46" t="n">
        <f aca="false">IF(ISNUMBER(W2146),A2146-W2146,"")</f>
        <v>151</v>
      </c>
      <c r="AA2146" s="46" t="n">
        <f aca="false">MATCH(A2146,DATAS,0)</f>
        <v>1</v>
      </c>
      <c r="AB2146" s="46" t="n">
        <f aca="false">IF(AND(E2146&gt;0,OR(AND(B2146&gt;=1,B2146&lt;=6),B2146=10)),1,0)</f>
        <v>0</v>
      </c>
      <c r="AC2146" s="46" t="n">
        <f aca="false">IF(AND(E2146&gt;0,B2146=10),1,0)</f>
        <v>0</v>
      </c>
      <c r="AD2146" s="0" t="str">
        <f aca="false">IF(AND(C2145=C2146,AA2145=AA2146-1),AB2145,"")</f>
        <v/>
      </c>
      <c r="AE2146" s="0" t="str">
        <f aca="false">IF(AND(C2145=C2146,AA2145=AA2146-1),AC2145,"")</f>
        <v/>
      </c>
      <c r="AF2146" s="0" t="str">
        <f aca="false">IF(AA2146=1,"",IF(AND(AB2146=1,AD2146&lt;&gt;1),1,0))</f>
        <v/>
      </c>
      <c r="AG2146" s="0" t="str">
        <f aca="false">IF(AA2146=1,"",IF(AND(AC2146=1,AE2146&lt;&gt;1),1,0))</f>
        <v/>
      </c>
      <c r="AH2146" s="51" t="str">
        <f aca="false">IF(AND(E2146&gt;0,AA2146&lt;1,NOT(AND(C2147=C2146,AA2147=AA2146+1))),INDEX(DATAS,AA2146+1),"")</f>
        <v/>
      </c>
      <c r="AI2146" s="51" t="str">
        <f aca="false">IF(AND(AC2146=1,AA2146&lt;1),IF(AND(C2147=C2146,AA2147=AA2146+1),IF(AC2147=1,"",INDEX(DATAS,AA2146+1)),INDEX(DATAS,AA2146+1)),"")</f>
        <v/>
      </c>
    </row>
    <row r="2147" customFormat="false" ht="15" hidden="false" customHeight="false" outlineLevel="0" collapsed="false">
      <c r="A2147" s="51" t="n">
        <v>46309</v>
      </c>
      <c r="B2147" s="0" t="n">
        <v>8</v>
      </c>
      <c r="C2147" s="0" t="n">
        <v>6431</v>
      </c>
      <c r="E2147" s="0" t="n">
        <v>0</v>
      </c>
      <c r="F2147" s="46" t="s">
        <v>1202</v>
      </c>
      <c r="I2147" s="46" t="s">
        <v>152</v>
      </c>
      <c r="L2147" s="0" t="n">
        <v>86</v>
      </c>
      <c r="U2147" s="0" t="n">
        <v>560</v>
      </c>
      <c r="V2147" s="0" t="n">
        <v>4</v>
      </c>
      <c r="W2147" s="51" t="n">
        <v>46224</v>
      </c>
      <c r="X2147" s="46" t="n">
        <f aca="false">IF(I2147="Male",0,1)</f>
        <v>1</v>
      </c>
      <c r="Y2147" s="46" t="n">
        <f aca="false">IF(OR(I2147="DNB",I2147="Dry DNB"),1,0)</f>
        <v>0</v>
      </c>
      <c r="Z2147" s="46" t="n">
        <f aca="false">IF(ISNUMBER(W2147),A2147-W2147,"")</f>
        <v>85</v>
      </c>
      <c r="AA2147" s="46" t="n">
        <f aca="false">MATCH(A2147,DATAS,0)</f>
        <v>1</v>
      </c>
      <c r="AB2147" s="46" t="n">
        <f aca="false">IF(AND(E2147&gt;0,OR(AND(B2147&gt;=1,B2147&lt;=6),B2147=10)),1,0)</f>
        <v>0</v>
      </c>
      <c r="AC2147" s="46" t="n">
        <f aca="false">IF(AND(E2147&gt;0,B2147=10),1,0)</f>
        <v>0</v>
      </c>
      <c r="AD2147" s="0" t="str">
        <f aca="false">IF(AND(C2146=C2147,AA2146=AA2147-1),AB2146,"")</f>
        <v/>
      </c>
      <c r="AE2147" s="0" t="str">
        <f aca="false">IF(AND(C2146=C2147,AA2146=AA2147-1),AC2146,"")</f>
        <v/>
      </c>
      <c r="AF2147" s="0" t="str">
        <f aca="false">IF(AA2147=1,"",IF(AND(AB2147=1,AD2147&lt;&gt;1),1,0))</f>
        <v/>
      </c>
      <c r="AG2147" s="0" t="str">
        <f aca="false">IF(AA2147=1,"",IF(AND(AC2147=1,AE2147&lt;&gt;1),1,0))</f>
        <v/>
      </c>
      <c r="AH2147" s="51" t="str">
        <f aca="false">IF(AND(E2147&gt;0,AA2147&lt;1,NOT(AND(C2148=C2147,AA2148=AA2147+1))),INDEX(DATAS,AA2147+1),"")</f>
        <v/>
      </c>
      <c r="AI2147" s="51" t="str">
        <f aca="false">IF(AND(AC2147=1,AA2147&lt;1),IF(AND(C2148=C2147,AA2148=AA2147+1),IF(AC2148=1,"",INDEX(DATAS,AA2147+1)),INDEX(DATAS,AA2147+1)),"")</f>
        <v/>
      </c>
    </row>
    <row r="2148" customFormat="false" ht="15" hidden="false" customHeight="false" outlineLevel="0" collapsed="false">
      <c r="A2148" s="51" t="n">
        <v>46309</v>
      </c>
      <c r="B2148" s="0" t="n">
        <v>8</v>
      </c>
      <c r="C2148" s="0" t="n">
        <v>6432</v>
      </c>
      <c r="E2148" s="0" t="n">
        <v>0</v>
      </c>
      <c r="F2148" s="46" t="s">
        <v>1202</v>
      </c>
      <c r="I2148" s="46" t="s">
        <v>152</v>
      </c>
      <c r="L2148" s="0" t="n">
        <v>146</v>
      </c>
      <c r="U2148" s="0" t="n">
        <v>560</v>
      </c>
      <c r="V2148" s="0" t="n">
        <v>2</v>
      </c>
      <c r="W2148" s="51" t="n">
        <v>46164</v>
      </c>
      <c r="X2148" s="46" t="n">
        <f aca="false">IF(I2148="Male",0,1)</f>
        <v>1</v>
      </c>
      <c r="Y2148" s="46" t="n">
        <f aca="false">IF(OR(I2148="DNB",I2148="Dry DNB"),1,0)</f>
        <v>0</v>
      </c>
      <c r="Z2148" s="46" t="n">
        <f aca="false">IF(ISNUMBER(W2148),A2148-W2148,"")</f>
        <v>145</v>
      </c>
      <c r="AA2148" s="46" t="n">
        <f aca="false">MATCH(A2148,DATAS,0)</f>
        <v>1</v>
      </c>
      <c r="AB2148" s="46" t="n">
        <f aca="false">IF(AND(E2148&gt;0,OR(AND(B2148&gt;=1,B2148&lt;=6),B2148=10)),1,0)</f>
        <v>0</v>
      </c>
      <c r="AC2148" s="46" t="n">
        <f aca="false">IF(AND(E2148&gt;0,B2148=10),1,0)</f>
        <v>0</v>
      </c>
      <c r="AD2148" s="0" t="str">
        <f aca="false">IF(AND(C2147=C2148,AA2147=AA2148-1),AB2147,"")</f>
        <v/>
      </c>
      <c r="AE2148" s="0" t="str">
        <f aca="false">IF(AND(C2147=C2148,AA2147=AA2148-1),AC2147,"")</f>
        <v/>
      </c>
      <c r="AF2148" s="0" t="str">
        <f aca="false">IF(AA2148=1,"",IF(AND(AB2148=1,AD2148&lt;&gt;1),1,0))</f>
        <v/>
      </c>
      <c r="AG2148" s="0" t="str">
        <f aca="false">IF(AA2148=1,"",IF(AND(AC2148=1,AE2148&lt;&gt;1),1,0))</f>
        <v/>
      </c>
      <c r="AH2148" s="51" t="str">
        <f aca="false">IF(AND(E2148&gt;0,AA2148&lt;1,NOT(AND(C2149=C2148,AA2149=AA2148+1))),INDEX(DATAS,AA2148+1),"")</f>
        <v/>
      </c>
      <c r="AI2148" s="51" t="str">
        <f aca="false">IF(AND(AC2148=1,AA2148&lt;1),IF(AND(C2149=C2148,AA2149=AA2148+1),IF(AC2149=1,"",INDEX(DATAS,AA2148+1)),INDEX(DATAS,AA2148+1)),"")</f>
        <v/>
      </c>
    </row>
    <row r="2149" customFormat="false" ht="15" hidden="false" customHeight="false" outlineLevel="0" collapsed="false">
      <c r="A2149" s="51" t="n">
        <v>46309</v>
      </c>
      <c r="B2149" s="0" t="n">
        <v>8</v>
      </c>
      <c r="C2149" s="0" t="n">
        <v>6433</v>
      </c>
      <c r="E2149" s="0" t="n">
        <v>0</v>
      </c>
      <c r="F2149" s="46" t="s">
        <v>1202</v>
      </c>
      <c r="I2149" s="46" t="s">
        <v>152</v>
      </c>
      <c r="L2149" s="0" t="n">
        <v>65</v>
      </c>
      <c r="U2149" s="0" t="n">
        <v>560</v>
      </c>
      <c r="V2149" s="0" t="n">
        <v>5</v>
      </c>
      <c r="W2149" s="51" t="n">
        <v>46245</v>
      </c>
      <c r="X2149" s="46" t="n">
        <f aca="false">IF(I2149="Male",0,1)</f>
        <v>1</v>
      </c>
      <c r="Y2149" s="46" t="n">
        <f aca="false">IF(OR(I2149="DNB",I2149="Dry DNB"),1,0)</f>
        <v>0</v>
      </c>
      <c r="Z2149" s="46" t="n">
        <f aca="false">IF(ISNUMBER(W2149),A2149-W2149,"")</f>
        <v>64</v>
      </c>
      <c r="AA2149" s="46" t="n">
        <f aca="false">MATCH(A2149,DATAS,0)</f>
        <v>1</v>
      </c>
      <c r="AB2149" s="46" t="n">
        <f aca="false">IF(AND(E2149&gt;0,OR(AND(B2149&gt;=1,B2149&lt;=6),B2149=10)),1,0)</f>
        <v>0</v>
      </c>
      <c r="AC2149" s="46" t="n">
        <f aca="false">IF(AND(E2149&gt;0,B2149=10),1,0)</f>
        <v>0</v>
      </c>
      <c r="AD2149" s="0" t="str">
        <f aca="false">IF(AND(C2148=C2149,AA2148=AA2149-1),AB2148,"")</f>
        <v/>
      </c>
      <c r="AE2149" s="0" t="str">
        <f aca="false">IF(AND(C2148=C2149,AA2148=AA2149-1),AC2148,"")</f>
        <v/>
      </c>
      <c r="AF2149" s="0" t="str">
        <f aca="false">IF(AA2149=1,"",IF(AND(AB2149=1,AD2149&lt;&gt;1),1,0))</f>
        <v/>
      </c>
      <c r="AG2149" s="0" t="str">
        <f aca="false">IF(AA2149=1,"",IF(AND(AC2149=1,AE2149&lt;&gt;1),1,0))</f>
        <v/>
      </c>
      <c r="AH2149" s="51" t="str">
        <f aca="false">IF(AND(E2149&gt;0,AA2149&lt;1,NOT(AND(C2150=C2149,AA2150=AA2149+1))),INDEX(DATAS,AA2149+1),"")</f>
        <v/>
      </c>
      <c r="AI2149" s="51" t="str">
        <f aca="false">IF(AND(AC2149=1,AA2149&lt;1),IF(AND(C2150=C2149,AA2150=AA2149+1),IF(AC2150=1,"",INDEX(DATAS,AA2149+1)),INDEX(DATAS,AA2149+1)),"")</f>
        <v/>
      </c>
    </row>
    <row r="2150" customFormat="false" ht="15" hidden="false" customHeight="false" outlineLevel="0" collapsed="false">
      <c r="A2150" s="51" t="n">
        <v>46309</v>
      </c>
      <c r="B2150" s="0" t="n">
        <v>8</v>
      </c>
      <c r="C2150" s="0" t="n">
        <v>6434</v>
      </c>
      <c r="E2150" s="0" t="n">
        <v>0</v>
      </c>
      <c r="F2150" s="46" t="s">
        <v>1202</v>
      </c>
      <c r="I2150" s="46" t="s">
        <v>152</v>
      </c>
      <c r="L2150" s="0" t="n">
        <v>146</v>
      </c>
      <c r="U2150" s="0" t="n">
        <v>560</v>
      </c>
      <c r="V2150" s="0" t="n">
        <v>1</v>
      </c>
      <c r="W2150" s="51" t="n">
        <v>46164</v>
      </c>
      <c r="X2150" s="46" t="n">
        <f aca="false">IF(I2150="Male",0,1)</f>
        <v>1</v>
      </c>
      <c r="Y2150" s="46" t="n">
        <f aca="false">IF(OR(I2150="DNB",I2150="Dry DNB"),1,0)</f>
        <v>0</v>
      </c>
      <c r="Z2150" s="46" t="n">
        <f aca="false">IF(ISNUMBER(W2150),A2150-W2150,"")</f>
        <v>145</v>
      </c>
      <c r="AA2150" s="46" t="n">
        <f aca="false">MATCH(A2150,DATAS,0)</f>
        <v>1</v>
      </c>
      <c r="AB2150" s="46" t="n">
        <f aca="false">IF(AND(E2150&gt;0,OR(AND(B2150&gt;=1,B2150&lt;=6),B2150=10)),1,0)</f>
        <v>0</v>
      </c>
      <c r="AC2150" s="46" t="n">
        <f aca="false">IF(AND(E2150&gt;0,B2150=10),1,0)</f>
        <v>0</v>
      </c>
      <c r="AD2150" s="0" t="str">
        <f aca="false">IF(AND(C2149=C2150,AA2149=AA2150-1),AB2149,"")</f>
        <v/>
      </c>
      <c r="AE2150" s="0" t="str">
        <f aca="false">IF(AND(C2149=C2150,AA2149=AA2150-1),AC2149,"")</f>
        <v/>
      </c>
      <c r="AF2150" s="0" t="str">
        <f aca="false">IF(AA2150=1,"",IF(AND(AB2150=1,AD2150&lt;&gt;1),1,0))</f>
        <v/>
      </c>
      <c r="AG2150" s="0" t="str">
        <f aca="false">IF(AA2150=1,"",IF(AND(AC2150=1,AE2150&lt;&gt;1),1,0))</f>
        <v/>
      </c>
      <c r="AH2150" s="51" t="str">
        <f aca="false">IF(AND(E2150&gt;0,AA2150&lt;1,NOT(AND(C2151=C2150,AA2151=AA2150+1))),INDEX(DATAS,AA2150+1),"")</f>
        <v/>
      </c>
      <c r="AI2150" s="51" t="str">
        <f aca="false">IF(AND(AC2150=1,AA2150&lt;1),IF(AND(C2151=C2150,AA2151=AA2150+1),IF(AC2151=1,"",INDEX(DATAS,AA2150+1)),INDEX(DATAS,AA2150+1)),"")</f>
        <v/>
      </c>
    </row>
    <row r="2151" customFormat="false" ht="15" hidden="false" customHeight="false" outlineLevel="0" collapsed="false">
      <c r="A2151" s="51" t="n">
        <v>46309</v>
      </c>
      <c r="B2151" s="0" t="n">
        <v>8</v>
      </c>
      <c r="C2151" s="0" t="n">
        <v>6435</v>
      </c>
      <c r="E2151" s="0" t="n">
        <v>0</v>
      </c>
      <c r="F2151" s="46" t="s">
        <v>1202</v>
      </c>
      <c r="I2151" s="46" t="s">
        <v>152</v>
      </c>
      <c r="L2151" s="0" t="n">
        <v>160</v>
      </c>
      <c r="U2151" s="0" t="n">
        <v>560</v>
      </c>
      <c r="V2151" s="0" t="n">
        <v>1</v>
      </c>
      <c r="W2151" s="51" t="n">
        <v>46150</v>
      </c>
      <c r="X2151" s="46" t="n">
        <f aca="false">IF(I2151="Male",0,1)</f>
        <v>1</v>
      </c>
      <c r="Y2151" s="46" t="n">
        <f aca="false">IF(OR(I2151="DNB",I2151="Dry DNB"),1,0)</f>
        <v>0</v>
      </c>
      <c r="Z2151" s="46" t="n">
        <f aca="false">IF(ISNUMBER(W2151),A2151-W2151,"")</f>
        <v>159</v>
      </c>
      <c r="AA2151" s="46" t="n">
        <f aca="false">MATCH(A2151,DATAS,0)</f>
        <v>1</v>
      </c>
      <c r="AB2151" s="46" t="n">
        <f aca="false">IF(AND(E2151&gt;0,OR(AND(B2151&gt;=1,B2151&lt;=6),B2151=10)),1,0)</f>
        <v>0</v>
      </c>
      <c r="AC2151" s="46" t="n">
        <f aca="false">IF(AND(E2151&gt;0,B2151=10),1,0)</f>
        <v>0</v>
      </c>
      <c r="AD2151" s="0" t="str">
        <f aca="false">IF(AND(C2150=C2151,AA2150=AA2151-1),AB2150,"")</f>
        <v/>
      </c>
      <c r="AE2151" s="0" t="str">
        <f aca="false">IF(AND(C2150=C2151,AA2150=AA2151-1),AC2150,"")</f>
        <v/>
      </c>
      <c r="AF2151" s="0" t="str">
        <f aca="false">IF(AA2151=1,"",IF(AND(AB2151=1,AD2151&lt;&gt;1),1,0))</f>
        <v/>
      </c>
      <c r="AG2151" s="0" t="str">
        <f aca="false">IF(AA2151=1,"",IF(AND(AC2151=1,AE2151&lt;&gt;1),1,0))</f>
        <v/>
      </c>
      <c r="AH2151" s="51" t="str">
        <f aca="false">IF(AND(E2151&gt;0,AA2151&lt;1,NOT(AND(C2152=C2151,AA2152=AA2151+1))),INDEX(DATAS,AA2151+1),"")</f>
        <v/>
      </c>
      <c r="AI2151" s="51" t="str">
        <f aca="false">IF(AND(AC2151=1,AA2151&lt;1),IF(AND(C2152=C2151,AA2152=AA2151+1),IF(AC2152=1,"",INDEX(DATAS,AA2151+1)),INDEX(DATAS,AA2151+1)),"")</f>
        <v/>
      </c>
    </row>
    <row r="2152" customFormat="false" ht="15" hidden="false" customHeight="false" outlineLevel="0" collapsed="false">
      <c r="A2152" s="51" t="n">
        <v>46309</v>
      </c>
      <c r="B2152" s="0" t="n">
        <v>8</v>
      </c>
      <c r="C2152" s="0" t="n">
        <v>6436</v>
      </c>
      <c r="E2152" s="0" t="n">
        <v>0</v>
      </c>
      <c r="F2152" s="46" t="s">
        <v>1203</v>
      </c>
      <c r="I2152" s="46" t="s">
        <v>152</v>
      </c>
      <c r="L2152" s="0" t="n">
        <v>161</v>
      </c>
      <c r="U2152" s="0" t="n">
        <v>557</v>
      </c>
      <c r="V2152" s="0" t="n">
        <v>1</v>
      </c>
      <c r="W2152" s="51" t="n">
        <v>46149</v>
      </c>
      <c r="X2152" s="46" t="n">
        <f aca="false">IF(I2152="Male",0,1)</f>
        <v>1</v>
      </c>
      <c r="Y2152" s="46" t="n">
        <f aca="false">IF(OR(I2152="DNB",I2152="Dry DNB"),1,0)</f>
        <v>0</v>
      </c>
      <c r="Z2152" s="46" t="n">
        <f aca="false">IF(ISNUMBER(W2152),A2152-W2152,"")</f>
        <v>160</v>
      </c>
      <c r="AA2152" s="46" t="n">
        <f aca="false">MATCH(A2152,DATAS,0)</f>
        <v>1</v>
      </c>
      <c r="AB2152" s="46" t="n">
        <f aca="false">IF(AND(E2152&gt;0,OR(AND(B2152&gt;=1,B2152&lt;=6),B2152=10)),1,0)</f>
        <v>0</v>
      </c>
      <c r="AC2152" s="46" t="n">
        <f aca="false">IF(AND(E2152&gt;0,B2152=10),1,0)</f>
        <v>0</v>
      </c>
      <c r="AD2152" s="0" t="str">
        <f aca="false">IF(AND(C2151=C2152,AA2151=AA2152-1),AB2151,"")</f>
        <v/>
      </c>
      <c r="AE2152" s="0" t="str">
        <f aca="false">IF(AND(C2151=C2152,AA2151=AA2152-1),AC2151,"")</f>
        <v/>
      </c>
      <c r="AF2152" s="0" t="str">
        <f aca="false">IF(AA2152=1,"",IF(AND(AB2152=1,AD2152&lt;&gt;1),1,0))</f>
        <v/>
      </c>
      <c r="AG2152" s="0" t="str">
        <f aca="false">IF(AA2152=1,"",IF(AND(AC2152=1,AE2152&lt;&gt;1),1,0))</f>
        <v/>
      </c>
      <c r="AH2152" s="51" t="str">
        <f aca="false">IF(AND(E2152&gt;0,AA2152&lt;1,NOT(AND(C2153=C2152,AA2153=AA2152+1))),INDEX(DATAS,AA2152+1),"")</f>
        <v/>
      </c>
      <c r="AI2152" s="51" t="str">
        <f aca="false">IF(AND(AC2152=1,AA2152&lt;1),IF(AND(C2153=C2152,AA2153=AA2152+1),IF(AC2153=1,"",INDEX(DATAS,AA2152+1)),INDEX(DATAS,AA2152+1)),"")</f>
        <v/>
      </c>
    </row>
    <row r="2153" customFormat="false" ht="15" hidden="false" customHeight="false" outlineLevel="0" collapsed="false">
      <c r="A2153" s="51" t="n">
        <v>46309</v>
      </c>
      <c r="B2153" s="0" t="n">
        <v>8</v>
      </c>
      <c r="C2153" s="0" t="n">
        <v>6437</v>
      </c>
      <c r="E2153" s="0" t="n">
        <v>0</v>
      </c>
      <c r="F2153" s="46" t="s">
        <v>1203</v>
      </c>
      <c r="I2153" s="46" t="s">
        <v>152</v>
      </c>
      <c r="L2153" s="0" t="n">
        <v>142</v>
      </c>
      <c r="U2153" s="0" t="n">
        <v>557</v>
      </c>
      <c r="V2153" s="0" t="n">
        <v>2</v>
      </c>
      <c r="W2153" s="51" t="n">
        <v>46168</v>
      </c>
      <c r="X2153" s="46" t="n">
        <f aca="false">IF(I2153="Male",0,1)</f>
        <v>1</v>
      </c>
      <c r="Y2153" s="46" t="n">
        <f aca="false">IF(OR(I2153="DNB",I2153="Dry DNB"),1,0)</f>
        <v>0</v>
      </c>
      <c r="Z2153" s="46" t="n">
        <f aca="false">IF(ISNUMBER(W2153),A2153-W2153,"")</f>
        <v>141</v>
      </c>
      <c r="AA2153" s="46" t="n">
        <f aca="false">MATCH(A2153,DATAS,0)</f>
        <v>1</v>
      </c>
      <c r="AB2153" s="46" t="n">
        <f aca="false">IF(AND(E2153&gt;0,OR(AND(B2153&gt;=1,B2153&lt;=6),B2153=10)),1,0)</f>
        <v>0</v>
      </c>
      <c r="AC2153" s="46" t="n">
        <f aca="false">IF(AND(E2153&gt;0,B2153=10),1,0)</f>
        <v>0</v>
      </c>
      <c r="AD2153" s="0" t="str">
        <f aca="false">IF(AND(C2152=C2153,AA2152=AA2153-1),AB2152,"")</f>
        <v/>
      </c>
      <c r="AE2153" s="0" t="str">
        <f aca="false">IF(AND(C2152=C2153,AA2152=AA2153-1),AC2152,"")</f>
        <v/>
      </c>
      <c r="AF2153" s="0" t="str">
        <f aca="false">IF(AA2153=1,"",IF(AND(AB2153=1,AD2153&lt;&gt;1),1,0))</f>
        <v/>
      </c>
      <c r="AG2153" s="0" t="str">
        <f aca="false">IF(AA2153=1,"",IF(AND(AC2153=1,AE2153&lt;&gt;1),1,0))</f>
        <v/>
      </c>
      <c r="AH2153" s="51" t="str">
        <f aca="false">IF(AND(E2153&gt;0,AA2153&lt;1,NOT(AND(C2154=C2153,AA2154=AA2153+1))),INDEX(DATAS,AA2153+1),"")</f>
        <v/>
      </c>
      <c r="AI2153" s="51" t="str">
        <f aca="false">IF(AND(AC2153=1,AA2153&lt;1),IF(AND(C2154=C2153,AA2154=AA2153+1),IF(AC2154=1,"",INDEX(DATAS,AA2153+1)),INDEX(DATAS,AA2153+1)),"")</f>
        <v/>
      </c>
    </row>
    <row r="2154" customFormat="false" ht="15" hidden="false" customHeight="false" outlineLevel="0" collapsed="false">
      <c r="A2154" s="51" t="n">
        <v>46309</v>
      </c>
      <c r="B2154" s="0" t="n">
        <v>8</v>
      </c>
      <c r="C2154" s="0" t="n">
        <v>6438</v>
      </c>
      <c r="E2154" s="0" t="n">
        <v>0</v>
      </c>
      <c r="F2154" s="46" t="s">
        <v>1203</v>
      </c>
      <c r="I2154" s="46" t="s">
        <v>152</v>
      </c>
      <c r="L2154" s="0" t="n">
        <v>139</v>
      </c>
      <c r="U2154" s="0" t="n">
        <v>557</v>
      </c>
      <c r="V2154" s="0" t="n">
        <v>1</v>
      </c>
      <c r="W2154" s="51" t="n">
        <v>46171</v>
      </c>
      <c r="X2154" s="46" t="n">
        <f aca="false">IF(I2154="Male",0,1)</f>
        <v>1</v>
      </c>
      <c r="Y2154" s="46" t="n">
        <f aca="false">IF(OR(I2154="DNB",I2154="Dry DNB"),1,0)</f>
        <v>0</v>
      </c>
      <c r="Z2154" s="46" t="n">
        <f aca="false">IF(ISNUMBER(W2154),A2154-W2154,"")</f>
        <v>138</v>
      </c>
      <c r="AA2154" s="46" t="n">
        <f aca="false">MATCH(A2154,DATAS,0)</f>
        <v>1</v>
      </c>
      <c r="AB2154" s="46" t="n">
        <f aca="false">IF(AND(E2154&gt;0,OR(AND(B2154&gt;=1,B2154&lt;=6),B2154=10)),1,0)</f>
        <v>0</v>
      </c>
      <c r="AC2154" s="46" t="n">
        <f aca="false">IF(AND(E2154&gt;0,B2154=10),1,0)</f>
        <v>0</v>
      </c>
      <c r="AD2154" s="0" t="str">
        <f aca="false">IF(AND(C2153=C2154,AA2153=AA2154-1),AB2153,"")</f>
        <v/>
      </c>
      <c r="AE2154" s="0" t="str">
        <f aca="false">IF(AND(C2153=C2154,AA2153=AA2154-1),AC2153,"")</f>
        <v/>
      </c>
      <c r="AF2154" s="0" t="str">
        <f aca="false">IF(AA2154=1,"",IF(AND(AB2154=1,AD2154&lt;&gt;1),1,0))</f>
        <v/>
      </c>
      <c r="AG2154" s="0" t="str">
        <f aca="false">IF(AA2154=1,"",IF(AND(AC2154=1,AE2154&lt;&gt;1),1,0))</f>
        <v/>
      </c>
      <c r="AH2154" s="51" t="str">
        <f aca="false">IF(AND(E2154&gt;0,AA2154&lt;1,NOT(AND(C2155=C2154,AA2155=AA2154+1))),INDEX(DATAS,AA2154+1),"")</f>
        <v/>
      </c>
      <c r="AI2154" s="51" t="str">
        <f aca="false">IF(AND(AC2154=1,AA2154&lt;1),IF(AND(C2155=C2154,AA2155=AA2154+1),IF(AC2155=1,"",INDEX(DATAS,AA2154+1)),INDEX(DATAS,AA2154+1)),"")</f>
        <v/>
      </c>
    </row>
    <row r="2155" customFormat="false" ht="15" hidden="false" customHeight="false" outlineLevel="0" collapsed="false">
      <c r="A2155" s="51" t="n">
        <v>46309</v>
      </c>
      <c r="B2155" s="0" t="n">
        <v>8</v>
      </c>
      <c r="C2155" s="0" t="n">
        <v>6439</v>
      </c>
      <c r="E2155" s="0" t="n">
        <v>0</v>
      </c>
      <c r="F2155" s="46" t="s">
        <v>1203</v>
      </c>
      <c r="I2155" s="46" t="s">
        <v>152</v>
      </c>
      <c r="L2155" s="0" t="n">
        <v>118</v>
      </c>
      <c r="U2155" s="0" t="n">
        <v>557</v>
      </c>
      <c r="V2155" s="0" t="n">
        <v>3</v>
      </c>
      <c r="W2155" s="51" t="n">
        <v>46171</v>
      </c>
      <c r="X2155" s="46" t="n">
        <f aca="false">IF(I2155="Male",0,1)</f>
        <v>1</v>
      </c>
      <c r="Y2155" s="46" t="n">
        <f aca="false">IF(OR(I2155="DNB",I2155="Dry DNB"),1,0)</f>
        <v>0</v>
      </c>
      <c r="Z2155" s="46" t="n">
        <f aca="false">IF(ISNUMBER(W2155),A2155-W2155,"")</f>
        <v>138</v>
      </c>
      <c r="AA2155" s="46" t="n">
        <f aca="false">MATCH(A2155,DATAS,0)</f>
        <v>1</v>
      </c>
      <c r="AB2155" s="46" t="n">
        <f aca="false">IF(AND(E2155&gt;0,OR(AND(B2155&gt;=1,B2155&lt;=6),B2155=10)),1,0)</f>
        <v>0</v>
      </c>
      <c r="AC2155" s="46" t="n">
        <f aca="false">IF(AND(E2155&gt;0,B2155=10),1,0)</f>
        <v>0</v>
      </c>
      <c r="AD2155" s="0" t="str">
        <f aca="false">IF(AND(C2154=C2155,AA2154=AA2155-1),AB2154,"")</f>
        <v/>
      </c>
      <c r="AE2155" s="0" t="str">
        <f aca="false">IF(AND(C2154=C2155,AA2154=AA2155-1),AC2154,"")</f>
        <v/>
      </c>
      <c r="AF2155" s="0" t="str">
        <f aca="false">IF(AA2155=1,"",IF(AND(AB2155=1,AD2155&lt;&gt;1),1,0))</f>
        <v/>
      </c>
      <c r="AG2155" s="0" t="str">
        <f aca="false">IF(AA2155=1,"",IF(AND(AC2155=1,AE2155&lt;&gt;1),1,0))</f>
        <v/>
      </c>
      <c r="AH2155" s="51" t="str">
        <f aca="false">IF(AND(E2155&gt;0,AA2155&lt;1,NOT(AND(C2156=C2155,AA2156=AA2155+1))),INDEX(DATAS,AA2155+1),"")</f>
        <v/>
      </c>
      <c r="AI2155" s="51" t="str">
        <f aca="false">IF(AND(AC2155=1,AA2155&lt;1),IF(AND(C2156=C2155,AA2156=AA2155+1),IF(AC2156=1,"",INDEX(DATAS,AA2155+1)),INDEX(DATAS,AA2155+1)),"")</f>
        <v/>
      </c>
    </row>
    <row r="2156" customFormat="false" ht="15" hidden="false" customHeight="false" outlineLevel="0" collapsed="false">
      <c r="A2156" s="51" t="n">
        <v>46309</v>
      </c>
      <c r="B2156" s="0" t="n">
        <v>8</v>
      </c>
      <c r="C2156" s="0" t="n">
        <v>6440</v>
      </c>
      <c r="E2156" s="0" t="n">
        <v>0</v>
      </c>
      <c r="F2156" s="46" t="s">
        <v>1203</v>
      </c>
      <c r="I2156" s="46" t="s">
        <v>152</v>
      </c>
      <c r="L2156" s="0" t="n">
        <v>106</v>
      </c>
      <c r="U2156" s="0" t="n">
        <v>557</v>
      </c>
      <c r="V2156" s="0" t="n">
        <v>2</v>
      </c>
      <c r="W2156" s="51" t="n">
        <v>46204</v>
      </c>
      <c r="X2156" s="46" t="n">
        <f aca="false">IF(I2156="Male",0,1)</f>
        <v>1</v>
      </c>
      <c r="Y2156" s="46" t="n">
        <f aca="false">IF(OR(I2156="DNB",I2156="Dry DNB"),1,0)</f>
        <v>0</v>
      </c>
      <c r="Z2156" s="46" t="n">
        <f aca="false">IF(ISNUMBER(W2156),A2156-W2156,"")</f>
        <v>105</v>
      </c>
      <c r="AA2156" s="46" t="n">
        <f aca="false">MATCH(A2156,DATAS,0)</f>
        <v>1</v>
      </c>
      <c r="AB2156" s="46" t="n">
        <f aca="false">IF(AND(E2156&gt;0,OR(AND(B2156&gt;=1,B2156&lt;=6),B2156=10)),1,0)</f>
        <v>0</v>
      </c>
      <c r="AC2156" s="46" t="n">
        <f aca="false">IF(AND(E2156&gt;0,B2156=10),1,0)</f>
        <v>0</v>
      </c>
      <c r="AD2156" s="0" t="str">
        <f aca="false">IF(AND(C2155=C2156,AA2155=AA2156-1),AB2155,"")</f>
        <v/>
      </c>
      <c r="AE2156" s="0" t="str">
        <f aca="false">IF(AND(C2155=C2156,AA2155=AA2156-1),AC2155,"")</f>
        <v/>
      </c>
      <c r="AF2156" s="0" t="str">
        <f aca="false">IF(AA2156=1,"",IF(AND(AB2156=1,AD2156&lt;&gt;1),1,0))</f>
        <v/>
      </c>
      <c r="AG2156" s="0" t="str">
        <f aca="false">IF(AA2156=1,"",IF(AND(AC2156=1,AE2156&lt;&gt;1),1,0))</f>
        <v/>
      </c>
      <c r="AH2156" s="51" t="str">
        <f aca="false">IF(AND(E2156&gt;0,AA2156&lt;1,NOT(AND(C2157=C2156,AA2157=AA2156+1))),INDEX(DATAS,AA2156+1),"")</f>
        <v/>
      </c>
      <c r="AI2156" s="51" t="str">
        <f aca="false">IF(AND(AC2156=1,AA2156&lt;1),IF(AND(C2157=C2156,AA2157=AA2156+1),IF(AC2157=1,"",INDEX(DATAS,AA2156+1)),INDEX(DATAS,AA2156+1)),"")</f>
        <v/>
      </c>
    </row>
    <row r="2157" customFormat="false" ht="15" hidden="false" customHeight="false" outlineLevel="0" collapsed="false">
      <c r="A2157" s="51" t="n">
        <v>46309</v>
      </c>
      <c r="B2157" s="0" t="n">
        <v>8</v>
      </c>
      <c r="C2157" s="0" t="n">
        <v>6441</v>
      </c>
      <c r="E2157" s="0" t="n">
        <v>0</v>
      </c>
      <c r="F2157" s="46" t="s">
        <v>1203</v>
      </c>
      <c r="I2157" s="46" t="s">
        <v>152</v>
      </c>
      <c r="L2157" s="0" t="n">
        <v>142</v>
      </c>
      <c r="U2157" s="0" t="n">
        <v>557</v>
      </c>
      <c r="V2157" s="0" t="n">
        <v>2</v>
      </c>
      <c r="W2157" s="51" t="n">
        <v>46168</v>
      </c>
      <c r="X2157" s="46" t="n">
        <f aca="false">IF(I2157="Male",0,1)</f>
        <v>1</v>
      </c>
      <c r="Y2157" s="46" t="n">
        <f aca="false">IF(OR(I2157="DNB",I2157="Dry DNB"),1,0)</f>
        <v>0</v>
      </c>
      <c r="Z2157" s="46" t="n">
        <f aca="false">IF(ISNUMBER(W2157),A2157-W2157,"")</f>
        <v>141</v>
      </c>
      <c r="AA2157" s="46" t="n">
        <f aca="false">MATCH(A2157,DATAS,0)</f>
        <v>1</v>
      </c>
      <c r="AB2157" s="46" t="n">
        <f aca="false">IF(AND(E2157&gt;0,OR(AND(B2157&gt;=1,B2157&lt;=6),B2157=10)),1,0)</f>
        <v>0</v>
      </c>
      <c r="AC2157" s="46" t="n">
        <f aca="false">IF(AND(E2157&gt;0,B2157=10),1,0)</f>
        <v>0</v>
      </c>
      <c r="AD2157" s="0" t="str">
        <f aca="false">IF(AND(C2156=C2157,AA2156=AA2157-1),AB2156,"")</f>
        <v/>
      </c>
      <c r="AE2157" s="0" t="str">
        <f aca="false">IF(AND(C2156=C2157,AA2156=AA2157-1),AC2156,"")</f>
        <v/>
      </c>
      <c r="AF2157" s="0" t="str">
        <f aca="false">IF(AA2157=1,"",IF(AND(AB2157=1,AD2157&lt;&gt;1),1,0))</f>
        <v/>
      </c>
      <c r="AG2157" s="0" t="str">
        <f aca="false">IF(AA2157=1,"",IF(AND(AC2157=1,AE2157&lt;&gt;1),1,0))</f>
        <v/>
      </c>
      <c r="AH2157" s="51" t="str">
        <f aca="false">IF(AND(E2157&gt;0,AA2157&lt;1,NOT(AND(C2158=C2157,AA2158=AA2157+1))),INDEX(DATAS,AA2157+1),"")</f>
        <v/>
      </c>
      <c r="AI2157" s="51" t="str">
        <f aca="false">IF(AND(AC2157=1,AA2157&lt;1),IF(AND(C2158=C2157,AA2158=AA2157+1),IF(AC2158=1,"",INDEX(DATAS,AA2157+1)),INDEX(DATAS,AA2157+1)),"")</f>
        <v/>
      </c>
    </row>
    <row r="2158" customFormat="false" ht="15" hidden="false" customHeight="false" outlineLevel="0" collapsed="false">
      <c r="A2158" s="51" t="n">
        <v>46309</v>
      </c>
      <c r="B2158" s="0" t="n">
        <v>8</v>
      </c>
      <c r="C2158" s="0" t="n">
        <v>6442</v>
      </c>
      <c r="E2158" s="0" t="n">
        <v>0</v>
      </c>
      <c r="F2158" s="46" t="s">
        <v>1203</v>
      </c>
      <c r="I2158" s="46" t="s">
        <v>152</v>
      </c>
      <c r="L2158" s="0" t="n">
        <v>147</v>
      </c>
      <c r="U2158" s="0" t="n">
        <v>557</v>
      </c>
      <c r="V2158" s="0" t="n">
        <v>1</v>
      </c>
      <c r="W2158" s="51" t="n">
        <v>46163</v>
      </c>
      <c r="X2158" s="46" t="n">
        <f aca="false">IF(I2158="Male",0,1)</f>
        <v>1</v>
      </c>
      <c r="Y2158" s="46" t="n">
        <f aca="false">IF(OR(I2158="DNB",I2158="Dry DNB"),1,0)</f>
        <v>0</v>
      </c>
      <c r="Z2158" s="46" t="n">
        <f aca="false">IF(ISNUMBER(W2158),A2158-W2158,"")</f>
        <v>146</v>
      </c>
      <c r="AA2158" s="46" t="n">
        <f aca="false">MATCH(A2158,DATAS,0)</f>
        <v>1</v>
      </c>
      <c r="AB2158" s="46" t="n">
        <f aca="false">IF(AND(E2158&gt;0,OR(AND(B2158&gt;=1,B2158&lt;=6),B2158=10)),1,0)</f>
        <v>0</v>
      </c>
      <c r="AC2158" s="46" t="n">
        <f aca="false">IF(AND(E2158&gt;0,B2158=10),1,0)</f>
        <v>0</v>
      </c>
      <c r="AD2158" s="0" t="str">
        <f aca="false">IF(AND(C2157=C2158,AA2157=AA2158-1),AB2157,"")</f>
        <v/>
      </c>
      <c r="AE2158" s="0" t="str">
        <f aca="false">IF(AND(C2157=C2158,AA2157=AA2158-1),AC2157,"")</f>
        <v/>
      </c>
      <c r="AF2158" s="0" t="str">
        <f aca="false">IF(AA2158=1,"",IF(AND(AB2158=1,AD2158&lt;&gt;1),1,0))</f>
        <v/>
      </c>
      <c r="AG2158" s="0" t="str">
        <f aca="false">IF(AA2158=1,"",IF(AND(AC2158=1,AE2158&lt;&gt;1),1,0))</f>
        <v/>
      </c>
      <c r="AH2158" s="51" t="str">
        <f aca="false">IF(AND(E2158&gt;0,AA2158&lt;1,NOT(AND(C2159=C2158,AA2159=AA2158+1))),INDEX(DATAS,AA2158+1),"")</f>
        <v/>
      </c>
      <c r="AI2158" s="51" t="str">
        <f aca="false">IF(AND(AC2158=1,AA2158&lt;1),IF(AND(C2159=C2158,AA2159=AA2158+1),IF(AC2159=1,"",INDEX(DATAS,AA2158+1)),INDEX(DATAS,AA2158+1)),"")</f>
        <v/>
      </c>
    </row>
    <row r="2159" customFormat="false" ht="15" hidden="false" customHeight="false" outlineLevel="0" collapsed="false">
      <c r="A2159" s="51" t="n">
        <v>46309</v>
      </c>
      <c r="B2159" s="0" t="n">
        <v>8</v>
      </c>
      <c r="C2159" s="0" t="n">
        <v>6443</v>
      </c>
      <c r="E2159" s="0" t="n">
        <v>0</v>
      </c>
      <c r="F2159" s="46" t="s">
        <v>1204</v>
      </c>
      <c r="I2159" s="46" t="s">
        <v>152</v>
      </c>
      <c r="L2159" s="0" t="n">
        <v>154</v>
      </c>
      <c r="U2159" s="0" t="n">
        <v>555</v>
      </c>
      <c r="V2159" s="0" t="n">
        <v>1</v>
      </c>
      <c r="W2159" s="51" t="n">
        <v>46156</v>
      </c>
      <c r="X2159" s="46" t="n">
        <f aca="false">IF(I2159="Male",0,1)</f>
        <v>1</v>
      </c>
      <c r="Y2159" s="46" t="n">
        <f aca="false">IF(OR(I2159="DNB",I2159="Dry DNB"),1,0)</f>
        <v>0</v>
      </c>
      <c r="Z2159" s="46" t="n">
        <f aca="false">IF(ISNUMBER(W2159),A2159-W2159,"")</f>
        <v>153</v>
      </c>
      <c r="AA2159" s="46" t="n">
        <f aca="false">MATCH(A2159,DATAS,0)</f>
        <v>1</v>
      </c>
      <c r="AB2159" s="46" t="n">
        <f aca="false">IF(AND(E2159&gt;0,OR(AND(B2159&gt;=1,B2159&lt;=6),B2159=10)),1,0)</f>
        <v>0</v>
      </c>
      <c r="AC2159" s="46" t="n">
        <f aca="false">IF(AND(E2159&gt;0,B2159=10),1,0)</f>
        <v>0</v>
      </c>
      <c r="AD2159" s="0" t="str">
        <f aca="false">IF(AND(C2158=C2159,AA2158=AA2159-1),AB2158,"")</f>
        <v/>
      </c>
      <c r="AE2159" s="0" t="str">
        <f aca="false">IF(AND(C2158=C2159,AA2158=AA2159-1),AC2158,"")</f>
        <v/>
      </c>
      <c r="AF2159" s="0" t="str">
        <f aca="false">IF(AA2159=1,"",IF(AND(AB2159=1,AD2159&lt;&gt;1),1,0))</f>
        <v/>
      </c>
      <c r="AG2159" s="0" t="str">
        <f aca="false">IF(AA2159=1,"",IF(AND(AC2159=1,AE2159&lt;&gt;1),1,0))</f>
        <v/>
      </c>
      <c r="AH2159" s="51" t="str">
        <f aca="false">IF(AND(E2159&gt;0,AA2159&lt;1,NOT(AND(C2160=C2159,AA2160=AA2159+1))),INDEX(DATAS,AA2159+1),"")</f>
        <v/>
      </c>
      <c r="AI2159" s="51" t="str">
        <f aca="false">IF(AND(AC2159=1,AA2159&lt;1),IF(AND(C2160=C2159,AA2160=AA2159+1),IF(AC2160=1,"",INDEX(DATAS,AA2159+1)),INDEX(DATAS,AA2159+1)),"")</f>
        <v/>
      </c>
    </row>
    <row r="2160" customFormat="false" ht="15" hidden="false" customHeight="false" outlineLevel="0" collapsed="false">
      <c r="A2160" s="51" t="n">
        <v>46309</v>
      </c>
      <c r="B2160" s="0" t="n">
        <v>8</v>
      </c>
      <c r="C2160" s="0" t="n">
        <v>6444</v>
      </c>
      <c r="E2160" s="0" t="n">
        <v>0</v>
      </c>
      <c r="F2160" s="46" t="s">
        <v>1204</v>
      </c>
      <c r="I2160" s="46" t="s">
        <v>152</v>
      </c>
      <c r="L2160" s="0" t="n">
        <v>162</v>
      </c>
      <c r="U2160" s="0" t="n">
        <v>555</v>
      </c>
      <c r="V2160" s="0" t="n">
        <v>1</v>
      </c>
      <c r="W2160" s="51" t="n">
        <v>46148</v>
      </c>
      <c r="X2160" s="46" t="n">
        <f aca="false">IF(I2160="Male",0,1)</f>
        <v>1</v>
      </c>
      <c r="Y2160" s="46" t="n">
        <f aca="false">IF(OR(I2160="DNB",I2160="Dry DNB"),1,0)</f>
        <v>0</v>
      </c>
      <c r="Z2160" s="46" t="n">
        <f aca="false">IF(ISNUMBER(W2160),A2160-W2160,"")</f>
        <v>161</v>
      </c>
      <c r="AA2160" s="46" t="n">
        <f aca="false">MATCH(A2160,DATAS,0)</f>
        <v>1</v>
      </c>
      <c r="AB2160" s="46" t="n">
        <f aca="false">IF(AND(E2160&gt;0,OR(AND(B2160&gt;=1,B2160&lt;=6),B2160=10)),1,0)</f>
        <v>0</v>
      </c>
      <c r="AC2160" s="46" t="n">
        <f aca="false">IF(AND(E2160&gt;0,B2160=10),1,0)</f>
        <v>0</v>
      </c>
      <c r="AD2160" s="0" t="str">
        <f aca="false">IF(AND(C2159=C2160,AA2159=AA2160-1),AB2159,"")</f>
        <v/>
      </c>
      <c r="AE2160" s="0" t="str">
        <f aca="false">IF(AND(C2159=C2160,AA2159=AA2160-1),AC2159,"")</f>
        <v/>
      </c>
      <c r="AF2160" s="0" t="str">
        <f aca="false">IF(AA2160=1,"",IF(AND(AB2160=1,AD2160&lt;&gt;1),1,0))</f>
        <v/>
      </c>
      <c r="AG2160" s="0" t="str">
        <f aca="false">IF(AA2160=1,"",IF(AND(AC2160=1,AE2160&lt;&gt;1),1,0))</f>
        <v/>
      </c>
      <c r="AH2160" s="51" t="str">
        <f aca="false">IF(AND(E2160&gt;0,AA2160&lt;1,NOT(AND(C2161=C2160,AA2161=AA2160+1))),INDEX(DATAS,AA2160+1),"")</f>
        <v/>
      </c>
      <c r="AI2160" s="51" t="str">
        <f aca="false">IF(AND(AC2160=1,AA2160&lt;1),IF(AND(C2161=C2160,AA2161=AA2160+1),IF(AC2161=1,"",INDEX(DATAS,AA2160+1)),INDEX(DATAS,AA2160+1)),"")</f>
        <v/>
      </c>
    </row>
    <row r="2161" customFormat="false" ht="15" hidden="false" customHeight="false" outlineLevel="0" collapsed="false">
      <c r="A2161" s="51" t="n">
        <v>46309</v>
      </c>
      <c r="B2161" s="0" t="n">
        <v>8</v>
      </c>
      <c r="C2161" s="0" t="n">
        <v>6445</v>
      </c>
      <c r="E2161" s="0" t="n">
        <v>0</v>
      </c>
      <c r="F2161" s="46" t="s">
        <v>1204</v>
      </c>
      <c r="I2161" s="46" t="s">
        <v>152</v>
      </c>
      <c r="L2161" s="0" t="n">
        <v>139</v>
      </c>
      <c r="U2161" s="0" t="n">
        <v>555</v>
      </c>
      <c r="V2161" s="0" t="n">
        <v>1</v>
      </c>
      <c r="W2161" s="51" t="n">
        <v>46171</v>
      </c>
      <c r="X2161" s="46" t="n">
        <f aca="false">IF(I2161="Male",0,1)</f>
        <v>1</v>
      </c>
      <c r="Y2161" s="46" t="n">
        <f aca="false">IF(OR(I2161="DNB",I2161="Dry DNB"),1,0)</f>
        <v>0</v>
      </c>
      <c r="Z2161" s="46" t="n">
        <f aca="false">IF(ISNUMBER(W2161),A2161-W2161,"")</f>
        <v>138</v>
      </c>
      <c r="AA2161" s="46" t="n">
        <f aca="false">MATCH(A2161,DATAS,0)</f>
        <v>1</v>
      </c>
      <c r="AB2161" s="46" t="n">
        <f aca="false">IF(AND(E2161&gt;0,OR(AND(B2161&gt;=1,B2161&lt;=6),B2161=10)),1,0)</f>
        <v>0</v>
      </c>
      <c r="AC2161" s="46" t="n">
        <f aca="false">IF(AND(E2161&gt;0,B2161=10),1,0)</f>
        <v>0</v>
      </c>
      <c r="AD2161" s="0" t="str">
        <f aca="false">IF(AND(C2160=C2161,AA2160=AA2161-1),AB2160,"")</f>
        <v/>
      </c>
      <c r="AE2161" s="0" t="str">
        <f aca="false">IF(AND(C2160=C2161,AA2160=AA2161-1),AC2160,"")</f>
        <v/>
      </c>
      <c r="AF2161" s="0" t="str">
        <f aca="false">IF(AA2161=1,"",IF(AND(AB2161=1,AD2161&lt;&gt;1),1,0))</f>
        <v/>
      </c>
      <c r="AG2161" s="0" t="str">
        <f aca="false">IF(AA2161=1,"",IF(AND(AC2161=1,AE2161&lt;&gt;1),1,0))</f>
        <v/>
      </c>
      <c r="AH2161" s="51" t="str">
        <f aca="false">IF(AND(E2161&gt;0,AA2161&lt;1,NOT(AND(C2162=C2161,AA2162=AA2161+1))),INDEX(DATAS,AA2161+1),"")</f>
        <v/>
      </c>
      <c r="AI2161" s="51" t="str">
        <f aca="false">IF(AND(AC2161=1,AA2161&lt;1),IF(AND(C2162=C2161,AA2162=AA2161+1),IF(AC2162=1,"",INDEX(DATAS,AA2161+1)),INDEX(DATAS,AA2161+1)),"")</f>
        <v/>
      </c>
    </row>
    <row r="2162" customFormat="false" ht="15" hidden="false" customHeight="false" outlineLevel="0" collapsed="false">
      <c r="A2162" s="51" t="n">
        <v>46309</v>
      </c>
      <c r="B2162" s="0" t="n">
        <v>13</v>
      </c>
      <c r="C2162" s="0" t="n">
        <v>6446</v>
      </c>
      <c r="E2162" s="0" t="n">
        <v>0</v>
      </c>
      <c r="F2162" s="46" t="s">
        <v>1205</v>
      </c>
      <c r="I2162" s="46" t="s">
        <v>150</v>
      </c>
      <c r="U2162" s="0" t="n">
        <v>556</v>
      </c>
      <c r="V2162" s="0" t="n">
        <v>0</v>
      </c>
      <c r="X2162" s="46" t="n">
        <f aca="false">IF(I2162="Male",0,1)</f>
        <v>0</v>
      </c>
      <c r="Y2162" s="46" t="n">
        <f aca="false">IF(OR(I2162="DNB",I2162="Dry DNB"),1,0)</f>
        <v>0</v>
      </c>
      <c r="Z2162" s="0" t="str">
        <f aca="false">IF(ISNUMBER(W2162),A2162-W2162,"")</f>
        <v/>
      </c>
      <c r="AA2162" s="46" t="n">
        <f aca="false">MATCH(A2162,DATAS,0)</f>
        <v>1</v>
      </c>
      <c r="AB2162" s="46" t="n">
        <f aca="false">IF(AND(E2162&gt;0,OR(AND(B2162&gt;=1,B2162&lt;=6),B2162=10)),1,0)</f>
        <v>0</v>
      </c>
      <c r="AC2162" s="46" t="n">
        <f aca="false">IF(AND(E2162&gt;0,B2162=10),1,0)</f>
        <v>0</v>
      </c>
      <c r="AD2162" s="0" t="str">
        <f aca="false">IF(AND(C2161=C2162,AA2161=AA2162-1),AB2161,"")</f>
        <v/>
      </c>
      <c r="AE2162" s="0" t="str">
        <f aca="false">IF(AND(C2161=C2162,AA2161=AA2162-1),AC2161,"")</f>
        <v/>
      </c>
      <c r="AF2162" s="0" t="str">
        <f aca="false">IF(AA2162=1,"",IF(AND(AB2162=1,AD2162&lt;&gt;1),1,0))</f>
        <v/>
      </c>
      <c r="AG2162" s="0" t="str">
        <f aca="false">IF(AA2162=1,"",IF(AND(AC2162=1,AE2162&lt;&gt;1),1,0))</f>
        <v/>
      </c>
      <c r="AH2162" s="51" t="str">
        <f aca="false">IF(AND(E2162&gt;0,AA2162&lt;1,NOT(AND(C2163=C2162,AA2163=AA2162+1))),INDEX(DATAS,AA2162+1),"")</f>
        <v/>
      </c>
      <c r="AI2162" s="51" t="str">
        <f aca="false">IF(AND(AC2162=1,AA2162&lt;1),IF(AND(C2163=C2162,AA2163=AA2162+1),IF(AC2163=1,"",INDEX(DATAS,AA2162+1)),INDEX(DATAS,AA2162+1)),"")</f>
        <v/>
      </c>
    </row>
    <row r="2163" customFormat="false" ht="15" hidden="false" customHeight="false" outlineLevel="0" collapsed="false">
      <c r="A2163" s="51" t="n">
        <v>46309</v>
      </c>
      <c r="B2163" s="0" t="n">
        <v>8</v>
      </c>
      <c r="C2163" s="0" t="n">
        <v>6447</v>
      </c>
      <c r="E2163" s="0" t="n">
        <v>0</v>
      </c>
      <c r="F2163" s="46" t="s">
        <v>1204</v>
      </c>
      <c r="I2163" s="46" t="s">
        <v>152</v>
      </c>
      <c r="L2163" s="0" t="n">
        <v>148</v>
      </c>
      <c r="U2163" s="0" t="n">
        <v>555</v>
      </c>
      <c r="V2163" s="0" t="n">
        <v>1</v>
      </c>
      <c r="W2163" s="51" t="n">
        <v>46162</v>
      </c>
      <c r="X2163" s="46" t="n">
        <f aca="false">IF(I2163="Male",0,1)</f>
        <v>1</v>
      </c>
      <c r="Y2163" s="46" t="n">
        <f aca="false">IF(OR(I2163="DNB",I2163="Dry DNB"),1,0)</f>
        <v>0</v>
      </c>
      <c r="Z2163" s="46" t="n">
        <f aca="false">IF(ISNUMBER(W2163),A2163-W2163,"")</f>
        <v>147</v>
      </c>
      <c r="AA2163" s="46" t="n">
        <f aca="false">MATCH(A2163,DATAS,0)</f>
        <v>1</v>
      </c>
      <c r="AB2163" s="46" t="n">
        <f aca="false">IF(AND(E2163&gt;0,OR(AND(B2163&gt;=1,B2163&lt;=6),B2163=10)),1,0)</f>
        <v>0</v>
      </c>
      <c r="AC2163" s="46" t="n">
        <f aca="false">IF(AND(E2163&gt;0,B2163=10),1,0)</f>
        <v>0</v>
      </c>
      <c r="AD2163" s="0" t="str">
        <f aca="false">IF(AND(C2162=C2163,AA2162=AA2163-1),AB2162,"")</f>
        <v/>
      </c>
      <c r="AE2163" s="0" t="str">
        <f aca="false">IF(AND(C2162=C2163,AA2162=AA2163-1),AC2162,"")</f>
        <v/>
      </c>
      <c r="AF2163" s="0" t="str">
        <f aca="false">IF(AA2163=1,"",IF(AND(AB2163=1,AD2163&lt;&gt;1),1,0))</f>
        <v/>
      </c>
      <c r="AG2163" s="0" t="str">
        <f aca="false">IF(AA2163=1,"",IF(AND(AC2163=1,AE2163&lt;&gt;1),1,0))</f>
        <v/>
      </c>
      <c r="AH2163" s="51" t="str">
        <f aca="false">IF(AND(E2163&gt;0,AA2163&lt;1,NOT(AND(C2164=C2163,AA2164=AA2163+1))),INDEX(DATAS,AA2163+1),"")</f>
        <v/>
      </c>
      <c r="AI2163" s="51" t="str">
        <f aca="false">IF(AND(AC2163=1,AA2163&lt;1),IF(AND(C2164=C2163,AA2164=AA2163+1),IF(AC2164=1,"",INDEX(DATAS,AA2163+1)),INDEX(DATAS,AA2163+1)),"")</f>
        <v/>
      </c>
    </row>
    <row r="2164" customFormat="false" ht="15" hidden="false" customHeight="false" outlineLevel="0" collapsed="false">
      <c r="A2164" s="51" t="n">
        <v>46309</v>
      </c>
      <c r="B2164" s="0" t="n">
        <v>8</v>
      </c>
      <c r="C2164" s="0" t="n">
        <v>6448</v>
      </c>
      <c r="E2164" s="0" t="n">
        <v>0</v>
      </c>
      <c r="F2164" s="46" t="s">
        <v>1204</v>
      </c>
      <c r="I2164" s="46" t="s">
        <v>152</v>
      </c>
      <c r="L2164" s="0" t="n">
        <v>121</v>
      </c>
      <c r="U2164" s="0" t="n">
        <v>555</v>
      </c>
      <c r="V2164" s="0" t="n">
        <v>2</v>
      </c>
      <c r="W2164" s="51" t="n">
        <v>46189</v>
      </c>
      <c r="X2164" s="46" t="n">
        <f aca="false">IF(I2164="Male",0,1)</f>
        <v>1</v>
      </c>
      <c r="Y2164" s="46" t="n">
        <f aca="false">IF(OR(I2164="DNB",I2164="Dry DNB"),1,0)</f>
        <v>0</v>
      </c>
      <c r="Z2164" s="46" t="n">
        <f aca="false">IF(ISNUMBER(W2164),A2164-W2164,"")</f>
        <v>120</v>
      </c>
      <c r="AA2164" s="46" t="n">
        <f aca="false">MATCH(A2164,DATAS,0)</f>
        <v>1</v>
      </c>
      <c r="AB2164" s="46" t="n">
        <f aca="false">IF(AND(E2164&gt;0,OR(AND(B2164&gt;=1,B2164&lt;=6),B2164=10)),1,0)</f>
        <v>0</v>
      </c>
      <c r="AC2164" s="46" t="n">
        <f aca="false">IF(AND(E2164&gt;0,B2164=10),1,0)</f>
        <v>0</v>
      </c>
      <c r="AD2164" s="0" t="str">
        <f aca="false">IF(AND(C2163=C2164,AA2163=AA2164-1),AB2163,"")</f>
        <v/>
      </c>
      <c r="AE2164" s="0" t="str">
        <f aca="false">IF(AND(C2163=C2164,AA2163=AA2164-1),AC2163,"")</f>
        <v/>
      </c>
      <c r="AF2164" s="0" t="str">
        <f aca="false">IF(AA2164=1,"",IF(AND(AB2164=1,AD2164&lt;&gt;1),1,0))</f>
        <v/>
      </c>
      <c r="AG2164" s="0" t="str">
        <f aca="false">IF(AA2164=1,"",IF(AND(AC2164=1,AE2164&lt;&gt;1),1,0))</f>
        <v/>
      </c>
      <c r="AH2164" s="51" t="str">
        <f aca="false">IF(AND(E2164&gt;0,AA2164&lt;1,NOT(AND(C2165=C2164,AA2165=AA2164+1))),INDEX(DATAS,AA2164+1),"")</f>
        <v/>
      </c>
      <c r="AI2164" s="51" t="str">
        <f aca="false">IF(AND(AC2164=1,AA2164&lt;1),IF(AND(C2165=C2164,AA2165=AA2164+1),IF(AC2165=1,"",INDEX(DATAS,AA2164+1)),INDEX(DATAS,AA2164+1)),"")</f>
        <v/>
      </c>
    </row>
    <row r="2165" customFormat="false" ht="15" hidden="false" customHeight="false" outlineLevel="0" collapsed="false">
      <c r="A2165" s="51" t="n">
        <v>46309</v>
      </c>
      <c r="B2165" s="0" t="n">
        <v>8</v>
      </c>
      <c r="C2165" s="0" t="n">
        <v>6449</v>
      </c>
      <c r="E2165" s="0" t="n">
        <v>0</v>
      </c>
      <c r="F2165" s="46" t="s">
        <v>1204</v>
      </c>
      <c r="I2165" s="46" t="s">
        <v>152</v>
      </c>
      <c r="L2165" s="0" t="n">
        <v>139</v>
      </c>
      <c r="U2165" s="0" t="n">
        <v>555</v>
      </c>
      <c r="V2165" s="0" t="n">
        <v>1</v>
      </c>
      <c r="W2165" s="51" t="n">
        <v>46171</v>
      </c>
      <c r="X2165" s="46" t="n">
        <f aca="false">IF(I2165="Male",0,1)</f>
        <v>1</v>
      </c>
      <c r="Y2165" s="46" t="n">
        <f aca="false">IF(OR(I2165="DNB",I2165="Dry DNB"),1,0)</f>
        <v>0</v>
      </c>
      <c r="Z2165" s="46" t="n">
        <f aca="false">IF(ISNUMBER(W2165),A2165-W2165,"")</f>
        <v>138</v>
      </c>
      <c r="AA2165" s="46" t="n">
        <f aca="false">MATCH(A2165,DATAS,0)</f>
        <v>1</v>
      </c>
      <c r="AB2165" s="46" t="n">
        <f aca="false">IF(AND(E2165&gt;0,OR(AND(B2165&gt;=1,B2165&lt;=6),B2165=10)),1,0)</f>
        <v>0</v>
      </c>
      <c r="AC2165" s="46" t="n">
        <f aca="false">IF(AND(E2165&gt;0,B2165=10),1,0)</f>
        <v>0</v>
      </c>
      <c r="AD2165" s="0" t="str">
        <f aca="false">IF(AND(C2164=C2165,AA2164=AA2165-1),AB2164,"")</f>
        <v/>
      </c>
      <c r="AE2165" s="0" t="str">
        <f aca="false">IF(AND(C2164=C2165,AA2164=AA2165-1),AC2164,"")</f>
        <v/>
      </c>
      <c r="AF2165" s="0" t="str">
        <f aca="false">IF(AA2165=1,"",IF(AND(AB2165=1,AD2165&lt;&gt;1),1,0))</f>
        <v/>
      </c>
      <c r="AG2165" s="0" t="str">
        <f aca="false">IF(AA2165=1,"",IF(AND(AC2165=1,AE2165&lt;&gt;1),1,0))</f>
        <v/>
      </c>
      <c r="AH2165" s="51" t="str">
        <f aca="false">IF(AND(E2165&gt;0,AA2165&lt;1,NOT(AND(C2166=C2165,AA2166=AA2165+1))),INDEX(DATAS,AA2165+1),"")</f>
        <v/>
      </c>
      <c r="AI2165" s="51" t="str">
        <f aca="false">IF(AND(AC2165=1,AA2165&lt;1),IF(AND(C2166=C2165,AA2166=AA2165+1),IF(AC2166=1,"",INDEX(DATAS,AA2165+1)),INDEX(DATAS,AA2165+1)),"")</f>
        <v/>
      </c>
    </row>
    <row r="2166" customFormat="false" ht="15" hidden="false" customHeight="false" outlineLevel="0" collapsed="false">
      <c r="A2166" s="51" t="n">
        <v>46309</v>
      </c>
      <c r="B2166" s="0" t="n">
        <v>13</v>
      </c>
      <c r="C2166" s="0" t="n">
        <v>6450</v>
      </c>
      <c r="E2166" s="0" t="n">
        <v>0</v>
      </c>
      <c r="F2166" s="46" t="s">
        <v>1204</v>
      </c>
      <c r="I2166" s="46" t="s">
        <v>189</v>
      </c>
      <c r="U2166" s="0" t="n">
        <v>555</v>
      </c>
      <c r="V2166" s="0" t="n">
        <v>0</v>
      </c>
      <c r="X2166" s="46" t="n">
        <f aca="false">IF(I2166="Male",0,1)</f>
        <v>1</v>
      </c>
      <c r="Y2166" s="46" t="n">
        <f aca="false">IF(OR(I2166="DNB",I2166="Dry DNB"),1,0)</f>
        <v>0</v>
      </c>
      <c r="Z2166" s="0" t="str">
        <f aca="false">IF(ISNUMBER(W2166),A2166-W2166,"")</f>
        <v/>
      </c>
      <c r="AA2166" s="46" t="n">
        <f aca="false">MATCH(A2166,DATAS,0)</f>
        <v>1</v>
      </c>
      <c r="AB2166" s="46" t="n">
        <f aca="false">IF(AND(E2166&gt;0,OR(AND(B2166&gt;=1,B2166&lt;=6),B2166=10)),1,0)</f>
        <v>0</v>
      </c>
      <c r="AC2166" s="46" t="n">
        <f aca="false">IF(AND(E2166&gt;0,B2166=10),1,0)</f>
        <v>0</v>
      </c>
      <c r="AD2166" s="0" t="str">
        <f aca="false">IF(AND(C2165=C2166,AA2165=AA2166-1),AB2165,"")</f>
        <v/>
      </c>
      <c r="AE2166" s="0" t="str">
        <f aca="false">IF(AND(C2165=C2166,AA2165=AA2166-1),AC2165,"")</f>
        <v/>
      </c>
      <c r="AF2166" s="0" t="str">
        <f aca="false">IF(AA2166=1,"",IF(AND(AB2166=1,AD2166&lt;&gt;1),1,0))</f>
        <v/>
      </c>
      <c r="AG2166" s="0" t="str">
        <f aca="false">IF(AA2166=1,"",IF(AND(AC2166=1,AE2166&lt;&gt;1),1,0))</f>
        <v/>
      </c>
      <c r="AH2166" s="51" t="str">
        <f aca="false">IF(AND(E2166&gt;0,AA2166&lt;1,NOT(AND(C2167=C2166,AA2167=AA2166+1))),INDEX(DATAS,AA2166+1),"")</f>
        <v/>
      </c>
      <c r="AI2166" s="51" t="str">
        <f aca="false">IF(AND(AC2166=1,AA2166&lt;1),IF(AND(C2167=C2166,AA2167=AA2166+1),IF(AC2167=1,"",INDEX(DATAS,AA2166+1)),INDEX(DATAS,AA2166+1)),"")</f>
        <v/>
      </c>
    </row>
    <row r="2167" customFormat="false" ht="15" hidden="false" customHeight="false" outlineLevel="0" collapsed="false">
      <c r="A2167" s="51" t="n">
        <v>46309</v>
      </c>
      <c r="B2167" s="0" t="n">
        <v>11</v>
      </c>
      <c r="C2167" s="0" t="n">
        <v>6451</v>
      </c>
      <c r="E2167" s="0" t="n">
        <v>0</v>
      </c>
      <c r="F2167" s="46" t="s">
        <v>1204</v>
      </c>
      <c r="I2167" s="46" t="s">
        <v>181</v>
      </c>
      <c r="U2167" s="0" t="n">
        <v>555</v>
      </c>
      <c r="V2167" s="0" t="n">
        <v>6</v>
      </c>
      <c r="W2167" s="51" t="n">
        <v>46300</v>
      </c>
      <c r="X2167" s="46" t="n">
        <f aca="false">IF(I2167="Male",0,1)</f>
        <v>1</v>
      </c>
      <c r="Y2167" s="46" t="n">
        <f aca="false">IF(OR(I2167="DNB",I2167="Dry DNB"),1,0)</f>
        <v>0</v>
      </c>
      <c r="Z2167" s="46" t="n">
        <f aca="false">IF(ISNUMBER(W2167),A2167-W2167,"")</f>
        <v>9</v>
      </c>
      <c r="AA2167" s="46" t="n">
        <f aca="false">MATCH(A2167,DATAS,0)</f>
        <v>1</v>
      </c>
      <c r="AB2167" s="46" t="n">
        <f aca="false">IF(AND(E2167&gt;0,OR(AND(B2167&gt;=1,B2167&lt;=6),B2167=10)),1,0)</f>
        <v>0</v>
      </c>
      <c r="AC2167" s="46" t="n">
        <f aca="false">IF(AND(E2167&gt;0,B2167=10),1,0)</f>
        <v>0</v>
      </c>
      <c r="AD2167" s="0" t="str">
        <f aca="false">IF(AND(C2166=C2167,AA2166=AA2167-1),AB2166,"")</f>
        <v/>
      </c>
      <c r="AE2167" s="0" t="str">
        <f aca="false">IF(AND(C2166=C2167,AA2166=AA2167-1),AC2166,"")</f>
        <v/>
      </c>
      <c r="AF2167" s="0" t="str">
        <f aca="false">IF(AA2167=1,"",IF(AND(AB2167=1,AD2167&lt;&gt;1),1,0))</f>
        <v/>
      </c>
      <c r="AG2167" s="0" t="str">
        <f aca="false">IF(AA2167=1,"",IF(AND(AC2167=1,AE2167&lt;&gt;1),1,0))</f>
        <v/>
      </c>
      <c r="AH2167" s="51" t="str">
        <f aca="false">IF(AND(E2167&gt;0,AA2167&lt;1,NOT(AND(C2168=C2167,AA2168=AA2167+1))),INDEX(DATAS,AA2167+1),"")</f>
        <v/>
      </c>
      <c r="AI2167" s="51" t="str">
        <f aca="false">IF(AND(AC2167=1,AA2167&lt;1),IF(AND(C2168=C2167,AA2168=AA2167+1),IF(AC2168=1,"",INDEX(DATAS,AA2167+1)),INDEX(DATAS,AA2167+1)),"")</f>
        <v/>
      </c>
    </row>
    <row r="2168" customFormat="false" ht="15" hidden="false" customHeight="false" outlineLevel="0" collapsed="false">
      <c r="A2168" s="51" t="n">
        <v>46309</v>
      </c>
      <c r="B2168" s="0" t="n">
        <v>11</v>
      </c>
      <c r="C2168" s="0" t="n">
        <v>6452</v>
      </c>
      <c r="E2168" s="0" t="n">
        <v>0</v>
      </c>
      <c r="F2168" s="46" t="s">
        <v>1206</v>
      </c>
      <c r="I2168" s="46" t="s">
        <v>181</v>
      </c>
      <c r="U2168" s="0" t="n">
        <v>554</v>
      </c>
      <c r="V2168" s="0" t="n">
        <v>6</v>
      </c>
      <c r="W2168" s="51" t="n">
        <v>46296</v>
      </c>
      <c r="X2168" s="46" t="n">
        <f aca="false">IF(I2168="Male",0,1)</f>
        <v>1</v>
      </c>
      <c r="Y2168" s="46" t="n">
        <f aca="false">IF(OR(I2168="DNB",I2168="Dry DNB"),1,0)</f>
        <v>0</v>
      </c>
      <c r="Z2168" s="46" t="n">
        <f aca="false">IF(ISNUMBER(W2168),A2168-W2168,"")</f>
        <v>13</v>
      </c>
      <c r="AA2168" s="46" t="n">
        <f aca="false">MATCH(A2168,DATAS,0)</f>
        <v>1</v>
      </c>
      <c r="AB2168" s="46" t="n">
        <f aca="false">IF(AND(E2168&gt;0,OR(AND(B2168&gt;=1,B2168&lt;=6),B2168=10)),1,0)</f>
        <v>0</v>
      </c>
      <c r="AC2168" s="46" t="n">
        <f aca="false">IF(AND(E2168&gt;0,B2168=10),1,0)</f>
        <v>0</v>
      </c>
      <c r="AD2168" s="0" t="str">
        <f aca="false">IF(AND(C2167=C2168,AA2167=AA2168-1),AB2167,"")</f>
        <v/>
      </c>
      <c r="AE2168" s="0" t="str">
        <f aca="false">IF(AND(C2167=C2168,AA2167=AA2168-1),AC2167,"")</f>
        <v/>
      </c>
      <c r="AF2168" s="0" t="str">
        <f aca="false">IF(AA2168=1,"",IF(AND(AB2168=1,AD2168&lt;&gt;1),1,0))</f>
        <v/>
      </c>
      <c r="AG2168" s="0" t="str">
        <f aca="false">IF(AA2168=1,"",IF(AND(AC2168=1,AE2168&lt;&gt;1),1,0))</f>
        <v/>
      </c>
      <c r="AH2168" s="51" t="str">
        <f aca="false">IF(AND(E2168&gt;0,AA2168&lt;1,NOT(AND(C2169=C2168,AA2169=AA2168+1))),INDEX(DATAS,AA2168+1),"")</f>
        <v/>
      </c>
      <c r="AI2168" s="51" t="str">
        <f aca="false">IF(AND(AC2168=1,AA2168&lt;1),IF(AND(C2169=C2168,AA2169=AA2168+1),IF(AC2169=1,"",INDEX(DATAS,AA2168+1)),INDEX(DATAS,AA2168+1)),"")</f>
        <v/>
      </c>
    </row>
    <row r="2169" customFormat="false" ht="15" hidden="false" customHeight="false" outlineLevel="0" collapsed="false">
      <c r="A2169" s="51" t="n">
        <v>46309</v>
      </c>
      <c r="B2169" s="0" t="n">
        <v>8</v>
      </c>
      <c r="C2169" s="0" t="n">
        <v>6453</v>
      </c>
      <c r="E2169" s="0" t="n">
        <v>0</v>
      </c>
      <c r="F2169" s="46" t="s">
        <v>1207</v>
      </c>
      <c r="I2169" s="46" t="s">
        <v>152</v>
      </c>
      <c r="L2169" s="0" t="n">
        <v>150</v>
      </c>
      <c r="U2169" s="0" t="n">
        <v>553</v>
      </c>
      <c r="V2169" s="0" t="n">
        <v>1</v>
      </c>
      <c r="X2169" s="46" t="n">
        <f aca="false">IF(I2169="Male",0,1)</f>
        <v>1</v>
      </c>
      <c r="Y2169" s="46" t="n">
        <f aca="false">IF(OR(I2169="DNB",I2169="Dry DNB"),1,0)</f>
        <v>0</v>
      </c>
      <c r="Z2169" s="0" t="str">
        <f aca="false">IF(ISNUMBER(W2169),A2169-W2169,"")</f>
        <v/>
      </c>
      <c r="AA2169" s="46" t="n">
        <f aca="false">MATCH(A2169,DATAS,0)</f>
        <v>1</v>
      </c>
      <c r="AB2169" s="46" t="n">
        <f aca="false">IF(AND(E2169&gt;0,OR(AND(B2169&gt;=1,B2169&lt;=6),B2169=10)),1,0)</f>
        <v>0</v>
      </c>
      <c r="AC2169" s="46" t="n">
        <f aca="false">IF(AND(E2169&gt;0,B2169=10),1,0)</f>
        <v>0</v>
      </c>
      <c r="AD2169" s="0" t="str">
        <f aca="false">IF(AND(C2168=C2169,AA2168=AA2169-1),AB2168,"")</f>
        <v/>
      </c>
      <c r="AE2169" s="0" t="str">
        <f aca="false">IF(AND(C2168=C2169,AA2168=AA2169-1),AC2168,"")</f>
        <v/>
      </c>
      <c r="AF2169" s="0" t="str">
        <f aca="false">IF(AA2169=1,"",IF(AND(AB2169=1,AD2169&lt;&gt;1),1,0))</f>
        <v/>
      </c>
      <c r="AG2169" s="0" t="str">
        <f aca="false">IF(AA2169=1,"",IF(AND(AC2169=1,AE2169&lt;&gt;1),1,0))</f>
        <v/>
      </c>
      <c r="AH2169" s="51" t="str">
        <f aca="false">IF(AND(E2169&gt;0,AA2169&lt;1,NOT(AND(C2170=C2169,AA2170=AA2169+1))),INDEX(DATAS,AA2169+1),"")</f>
        <v/>
      </c>
      <c r="AI2169" s="51" t="str">
        <f aca="false">IF(AND(AC2169=1,AA2169&lt;1),IF(AND(C2170=C2169,AA2170=AA2169+1),IF(AC2170=1,"",INDEX(DATAS,AA2169+1)),INDEX(DATAS,AA2169+1)),"")</f>
        <v/>
      </c>
    </row>
    <row r="2170" customFormat="false" ht="15" hidden="false" customHeight="false" outlineLevel="0" collapsed="false">
      <c r="A2170" s="51" t="n">
        <v>46309</v>
      </c>
      <c r="B2170" s="0" t="n">
        <v>8</v>
      </c>
      <c r="C2170" s="0" t="n">
        <v>6454</v>
      </c>
      <c r="E2170" s="0" t="n">
        <v>0</v>
      </c>
      <c r="F2170" s="46" t="s">
        <v>1207</v>
      </c>
      <c r="I2170" s="46" t="s">
        <v>152</v>
      </c>
      <c r="L2170" s="0" t="n">
        <v>150</v>
      </c>
      <c r="U2170" s="0" t="n">
        <v>553</v>
      </c>
      <c r="V2170" s="0" t="n">
        <v>1</v>
      </c>
      <c r="X2170" s="46" t="n">
        <f aca="false">IF(I2170="Male",0,1)</f>
        <v>1</v>
      </c>
      <c r="Y2170" s="46" t="n">
        <f aca="false">IF(OR(I2170="DNB",I2170="Dry DNB"),1,0)</f>
        <v>0</v>
      </c>
      <c r="Z2170" s="0" t="str">
        <f aca="false">IF(ISNUMBER(W2170),A2170-W2170,"")</f>
        <v/>
      </c>
      <c r="AA2170" s="46" t="n">
        <f aca="false">MATCH(A2170,DATAS,0)</f>
        <v>1</v>
      </c>
      <c r="AB2170" s="46" t="n">
        <f aca="false">IF(AND(E2170&gt;0,OR(AND(B2170&gt;=1,B2170&lt;=6),B2170=10)),1,0)</f>
        <v>0</v>
      </c>
      <c r="AC2170" s="46" t="n">
        <f aca="false">IF(AND(E2170&gt;0,B2170=10),1,0)</f>
        <v>0</v>
      </c>
      <c r="AD2170" s="0" t="str">
        <f aca="false">IF(AND(C2169=C2170,AA2169=AA2170-1),AB2169,"")</f>
        <v/>
      </c>
      <c r="AE2170" s="0" t="str">
        <f aca="false">IF(AND(C2169=C2170,AA2169=AA2170-1),AC2169,"")</f>
        <v/>
      </c>
      <c r="AF2170" s="0" t="str">
        <f aca="false">IF(AA2170=1,"",IF(AND(AB2170=1,AD2170&lt;&gt;1),1,0))</f>
        <v/>
      </c>
      <c r="AG2170" s="0" t="str">
        <f aca="false">IF(AA2170=1,"",IF(AND(AC2170=1,AE2170&lt;&gt;1),1,0))</f>
        <v/>
      </c>
      <c r="AH2170" s="51" t="str">
        <f aca="false">IF(AND(E2170&gt;0,AA2170&lt;1,NOT(AND(C2171=C2170,AA2171=AA2170+1))),INDEX(DATAS,AA2170+1),"")</f>
        <v/>
      </c>
      <c r="AI2170" s="51" t="str">
        <f aca="false">IF(AND(AC2170=1,AA2170&lt;1),IF(AND(C2171=C2170,AA2171=AA2170+1),IF(AC2171=1,"",INDEX(DATAS,AA2170+1)),INDEX(DATAS,AA2170+1)),"")</f>
        <v/>
      </c>
    </row>
    <row r="2171" customFormat="false" ht="15" hidden="false" customHeight="false" outlineLevel="0" collapsed="false">
      <c r="A2171" s="51" t="n">
        <v>46309</v>
      </c>
      <c r="B2171" s="0" t="n">
        <v>8</v>
      </c>
      <c r="C2171" s="0" t="n">
        <v>6455</v>
      </c>
      <c r="E2171" s="0" t="n">
        <v>0</v>
      </c>
      <c r="F2171" s="46" t="s">
        <v>1207</v>
      </c>
      <c r="I2171" s="46" t="s">
        <v>152</v>
      </c>
      <c r="L2171" s="0" t="n">
        <v>150</v>
      </c>
      <c r="U2171" s="0" t="n">
        <v>553</v>
      </c>
      <c r="V2171" s="0" t="n">
        <v>1</v>
      </c>
      <c r="X2171" s="46" t="n">
        <f aca="false">IF(I2171="Male",0,1)</f>
        <v>1</v>
      </c>
      <c r="Y2171" s="46" t="n">
        <f aca="false">IF(OR(I2171="DNB",I2171="Dry DNB"),1,0)</f>
        <v>0</v>
      </c>
      <c r="Z2171" s="0" t="str">
        <f aca="false">IF(ISNUMBER(W2171),A2171-W2171,"")</f>
        <v/>
      </c>
      <c r="AA2171" s="46" t="n">
        <f aca="false">MATCH(A2171,DATAS,0)</f>
        <v>1</v>
      </c>
      <c r="AB2171" s="46" t="n">
        <f aca="false">IF(AND(E2171&gt;0,OR(AND(B2171&gt;=1,B2171&lt;=6),B2171=10)),1,0)</f>
        <v>0</v>
      </c>
      <c r="AC2171" s="46" t="n">
        <f aca="false">IF(AND(E2171&gt;0,B2171=10),1,0)</f>
        <v>0</v>
      </c>
      <c r="AD2171" s="0" t="str">
        <f aca="false">IF(AND(C2170=C2171,AA2170=AA2171-1),AB2170,"")</f>
        <v/>
      </c>
      <c r="AE2171" s="0" t="str">
        <f aca="false">IF(AND(C2170=C2171,AA2170=AA2171-1),AC2170,"")</f>
        <v/>
      </c>
      <c r="AF2171" s="0" t="str">
        <f aca="false">IF(AA2171=1,"",IF(AND(AB2171=1,AD2171&lt;&gt;1),1,0))</f>
        <v/>
      </c>
      <c r="AG2171" s="0" t="str">
        <f aca="false">IF(AA2171=1,"",IF(AND(AC2171=1,AE2171&lt;&gt;1),1,0))</f>
        <v/>
      </c>
      <c r="AH2171" s="51" t="str">
        <f aca="false">IF(AND(E2171&gt;0,AA2171&lt;1,NOT(AND(C2172=C2171,AA2172=AA2171+1))),INDEX(DATAS,AA2171+1),"")</f>
        <v/>
      </c>
      <c r="AI2171" s="51" t="str">
        <f aca="false">IF(AND(AC2171=1,AA2171&lt;1),IF(AND(C2172=C2171,AA2172=AA2171+1),IF(AC2172=1,"",INDEX(DATAS,AA2171+1)),INDEX(DATAS,AA2171+1)),"")</f>
        <v/>
      </c>
    </row>
    <row r="2172" customFormat="false" ht="15" hidden="false" customHeight="false" outlineLevel="0" collapsed="false">
      <c r="A2172" s="51" t="n">
        <v>46309</v>
      </c>
      <c r="B2172" s="0" t="n">
        <v>8</v>
      </c>
      <c r="C2172" s="0" t="n">
        <v>6456</v>
      </c>
      <c r="E2172" s="0" t="n">
        <v>0</v>
      </c>
      <c r="F2172" s="46" t="s">
        <v>1207</v>
      </c>
      <c r="I2172" s="46" t="s">
        <v>152</v>
      </c>
      <c r="L2172" s="0" t="n">
        <v>150</v>
      </c>
      <c r="U2172" s="0" t="n">
        <v>553</v>
      </c>
      <c r="V2172" s="0" t="n">
        <v>1</v>
      </c>
      <c r="X2172" s="46" t="n">
        <f aca="false">IF(I2172="Male",0,1)</f>
        <v>1</v>
      </c>
      <c r="Y2172" s="46" t="n">
        <f aca="false">IF(OR(I2172="DNB",I2172="Dry DNB"),1,0)</f>
        <v>0</v>
      </c>
      <c r="Z2172" s="0" t="str">
        <f aca="false">IF(ISNUMBER(W2172),A2172-W2172,"")</f>
        <v/>
      </c>
      <c r="AA2172" s="46" t="n">
        <f aca="false">MATCH(A2172,DATAS,0)</f>
        <v>1</v>
      </c>
      <c r="AB2172" s="46" t="n">
        <f aca="false">IF(AND(E2172&gt;0,OR(AND(B2172&gt;=1,B2172&lt;=6),B2172=10)),1,0)</f>
        <v>0</v>
      </c>
      <c r="AC2172" s="46" t="n">
        <f aca="false">IF(AND(E2172&gt;0,B2172=10),1,0)</f>
        <v>0</v>
      </c>
      <c r="AD2172" s="0" t="str">
        <f aca="false">IF(AND(C2171=C2172,AA2171=AA2172-1),AB2171,"")</f>
        <v/>
      </c>
      <c r="AE2172" s="0" t="str">
        <f aca="false">IF(AND(C2171=C2172,AA2171=AA2172-1),AC2171,"")</f>
        <v/>
      </c>
      <c r="AF2172" s="0" t="str">
        <f aca="false">IF(AA2172=1,"",IF(AND(AB2172=1,AD2172&lt;&gt;1),1,0))</f>
        <v/>
      </c>
      <c r="AG2172" s="0" t="str">
        <f aca="false">IF(AA2172=1,"",IF(AND(AC2172=1,AE2172&lt;&gt;1),1,0))</f>
        <v/>
      </c>
      <c r="AH2172" s="51" t="str">
        <f aca="false">IF(AND(E2172&gt;0,AA2172&lt;1,NOT(AND(C2173=C2172,AA2173=AA2172+1))),INDEX(DATAS,AA2172+1),"")</f>
        <v/>
      </c>
      <c r="AI2172" s="51" t="str">
        <f aca="false">IF(AND(AC2172=1,AA2172&lt;1),IF(AND(C2173=C2172,AA2173=AA2172+1),IF(AC2173=1,"",INDEX(DATAS,AA2172+1)),INDEX(DATAS,AA2172+1)),"")</f>
        <v/>
      </c>
    </row>
    <row r="2173" customFormat="false" ht="15" hidden="false" customHeight="false" outlineLevel="0" collapsed="false">
      <c r="A2173" s="51" t="n">
        <v>46309</v>
      </c>
      <c r="B2173" s="0" t="n">
        <v>8</v>
      </c>
      <c r="C2173" s="0" t="n">
        <v>6457</v>
      </c>
      <c r="E2173" s="0" t="n">
        <v>0</v>
      </c>
      <c r="F2173" s="46" t="s">
        <v>1207</v>
      </c>
      <c r="I2173" s="46" t="s">
        <v>152</v>
      </c>
      <c r="L2173" s="0" t="n">
        <v>134</v>
      </c>
      <c r="U2173" s="0" t="n">
        <v>553</v>
      </c>
      <c r="V2173" s="0" t="n">
        <v>2</v>
      </c>
      <c r="W2173" s="51" t="n">
        <v>46176</v>
      </c>
      <c r="X2173" s="46" t="n">
        <f aca="false">IF(I2173="Male",0,1)</f>
        <v>1</v>
      </c>
      <c r="Y2173" s="46" t="n">
        <f aca="false">IF(OR(I2173="DNB",I2173="Dry DNB"),1,0)</f>
        <v>0</v>
      </c>
      <c r="Z2173" s="46" t="n">
        <f aca="false">IF(ISNUMBER(W2173),A2173-W2173,"")</f>
        <v>133</v>
      </c>
      <c r="AA2173" s="46" t="n">
        <f aca="false">MATCH(A2173,DATAS,0)</f>
        <v>1</v>
      </c>
      <c r="AB2173" s="46" t="n">
        <f aca="false">IF(AND(E2173&gt;0,OR(AND(B2173&gt;=1,B2173&lt;=6),B2173=10)),1,0)</f>
        <v>0</v>
      </c>
      <c r="AC2173" s="46" t="n">
        <f aca="false">IF(AND(E2173&gt;0,B2173=10),1,0)</f>
        <v>0</v>
      </c>
      <c r="AD2173" s="0" t="str">
        <f aca="false">IF(AND(C2172=C2173,AA2172=AA2173-1),AB2172,"")</f>
        <v/>
      </c>
      <c r="AE2173" s="0" t="str">
        <f aca="false">IF(AND(C2172=C2173,AA2172=AA2173-1),AC2172,"")</f>
        <v/>
      </c>
      <c r="AF2173" s="0" t="str">
        <f aca="false">IF(AA2173=1,"",IF(AND(AB2173=1,AD2173&lt;&gt;1),1,0))</f>
        <v/>
      </c>
      <c r="AG2173" s="0" t="str">
        <f aca="false">IF(AA2173=1,"",IF(AND(AC2173=1,AE2173&lt;&gt;1),1,0))</f>
        <v/>
      </c>
      <c r="AH2173" s="51" t="str">
        <f aca="false">IF(AND(E2173&gt;0,AA2173&lt;1,NOT(AND(C2174=C2173,AA2174=AA2173+1))),INDEX(DATAS,AA2173+1),"")</f>
        <v/>
      </c>
      <c r="AI2173" s="51" t="str">
        <f aca="false">IF(AND(AC2173=1,AA2173&lt;1),IF(AND(C2174=C2173,AA2174=AA2173+1),IF(AC2174=1,"",INDEX(DATAS,AA2173+1)),INDEX(DATAS,AA2173+1)),"")</f>
        <v/>
      </c>
    </row>
    <row r="2174" customFormat="false" ht="15" hidden="false" customHeight="false" outlineLevel="0" collapsed="false">
      <c r="A2174" s="51" t="n">
        <v>46309</v>
      </c>
      <c r="B2174" s="0" t="n">
        <v>8</v>
      </c>
      <c r="C2174" s="0" t="n">
        <v>6458</v>
      </c>
      <c r="E2174" s="0" t="n">
        <v>0</v>
      </c>
      <c r="F2174" s="46" t="s">
        <v>1207</v>
      </c>
      <c r="I2174" s="46" t="s">
        <v>152</v>
      </c>
      <c r="L2174" s="0" t="n">
        <v>141</v>
      </c>
      <c r="U2174" s="0" t="n">
        <v>553</v>
      </c>
      <c r="V2174" s="0" t="n">
        <v>2</v>
      </c>
      <c r="W2174" s="51" t="n">
        <v>46169</v>
      </c>
      <c r="X2174" s="46" t="n">
        <f aca="false">IF(I2174="Male",0,1)</f>
        <v>1</v>
      </c>
      <c r="Y2174" s="46" t="n">
        <f aca="false">IF(OR(I2174="DNB",I2174="Dry DNB"),1,0)</f>
        <v>0</v>
      </c>
      <c r="Z2174" s="46" t="n">
        <f aca="false">IF(ISNUMBER(W2174),A2174-W2174,"")</f>
        <v>140</v>
      </c>
      <c r="AA2174" s="46" t="n">
        <f aca="false">MATCH(A2174,DATAS,0)</f>
        <v>1</v>
      </c>
      <c r="AB2174" s="46" t="n">
        <f aca="false">IF(AND(E2174&gt;0,OR(AND(B2174&gt;=1,B2174&lt;=6),B2174=10)),1,0)</f>
        <v>0</v>
      </c>
      <c r="AC2174" s="46" t="n">
        <f aca="false">IF(AND(E2174&gt;0,B2174=10),1,0)</f>
        <v>0</v>
      </c>
      <c r="AD2174" s="0" t="str">
        <f aca="false">IF(AND(C2173=C2174,AA2173=AA2174-1),AB2173,"")</f>
        <v/>
      </c>
      <c r="AE2174" s="0" t="str">
        <f aca="false">IF(AND(C2173=C2174,AA2173=AA2174-1),AC2173,"")</f>
        <v/>
      </c>
      <c r="AF2174" s="0" t="str">
        <f aca="false">IF(AA2174=1,"",IF(AND(AB2174=1,AD2174&lt;&gt;1),1,0))</f>
        <v/>
      </c>
      <c r="AG2174" s="0" t="str">
        <f aca="false">IF(AA2174=1,"",IF(AND(AC2174=1,AE2174&lt;&gt;1),1,0))</f>
        <v/>
      </c>
      <c r="AH2174" s="51" t="str">
        <f aca="false">IF(AND(E2174&gt;0,AA2174&lt;1,NOT(AND(C2175=C2174,AA2175=AA2174+1))),INDEX(DATAS,AA2174+1),"")</f>
        <v/>
      </c>
      <c r="AI2174" s="51" t="str">
        <f aca="false">IF(AND(AC2174=1,AA2174&lt;1),IF(AND(C2175=C2174,AA2175=AA2174+1),IF(AC2175=1,"",INDEX(DATAS,AA2174+1)),INDEX(DATAS,AA2174+1)),"")</f>
        <v/>
      </c>
    </row>
    <row r="2175" customFormat="false" ht="15" hidden="false" customHeight="false" outlineLevel="0" collapsed="false">
      <c r="A2175" s="51" t="n">
        <v>46309</v>
      </c>
      <c r="B2175" s="0" t="n">
        <v>8</v>
      </c>
      <c r="C2175" s="0" t="n">
        <v>6459</v>
      </c>
      <c r="E2175" s="0" t="n">
        <v>0</v>
      </c>
      <c r="F2175" s="46" t="s">
        <v>1207</v>
      </c>
      <c r="I2175" s="46" t="s">
        <v>152</v>
      </c>
      <c r="L2175" s="0" t="n">
        <v>84</v>
      </c>
      <c r="U2175" s="0" t="n">
        <v>553</v>
      </c>
      <c r="V2175" s="0" t="n">
        <v>3</v>
      </c>
      <c r="W2175" s="51" t="n">
        <v>46226</v>
      </c>
      <c r="X2175" s="46" t="n">
        <f aca="false">IF(I2175="Male",0,1)</f>
        <v>1</v>
      </c>
      <c r="Y2175" s="46" t="n">
        <f aca="false">IF(OR(I2175="DNB",I2175="Dry DNB"),1,0)</f>
        <v>0</v>
      </c>
      <c r="Z2175" s="46" t="n">
        <f aca="false">IF(ISNUMBER(W2175),A2175-W2175,"")</f>
        <v>83</v>
      </c>
      <c r="AA2175" s="46" t="n">
        <f aca="false">MATCH(A2175,DATAS,0)</f>
        <v>1</v>
      </c>
      <c r="AB2175" s="46" t="n">
        <f aca="false">IF(AND(E2175&gt;0,OR(AND(B2175&gt;=1,B2175&lt;=6),B2175=10)),1,0)</f>
        <v>0</v>
      </c>
      <c r="AC2175" s="46" t="n">
        <f aca="false">IF(AND(E2175&gt;0,B2175=10),1,0)</f>
        <v>0</v>
      </c>
      <c r="AD2175" s="0" t="str">
        <f aca="false">IF(AND(C2174=C2175,AA2174=AA2175-1),AB2174,"")</f>
        <v/>
      </c>
      <c r="AE2175" s="0" t="str">
        <f aca="false">IF(AND(C2174=C2175,AA2174=AA2175-1),AC2174,"")</f>
        <v/>
      </c>
      <c r="AF2175" s="0" t="str">
        <f aca="false">IF(AA2175=1,"",IF(AND(AB2175=1,AD2175&lt;&gt;1),1,0))</f>
        <v/>
      </c>
      <c r="AG2175" s="0" t="str">
        <f aca="false">IF(AA2175=1,"",IF(AND(AC2175=1,AE2175&lt;&gt;1),1,0))</f>
        <v/>
      </c>
      <c r="AH2175" s="51" t="str">
        <f aca="false">IF(AND(E2175&gt;0,AA2175&lt;1,NOT(AND(C2176=C2175,AA2176=AA2175+1))),INDEX(DATAS,AA2175+1),"")</f>
        <v/>
      </c>
      <c r="AI2175" s="51" t="str">
        <f aca="false">IF(AND(AC2175=1,AA2175&lt;1),IF(AND(C2176=C2175,AA2176=AA2175+1),IF(AC2176=1,"",INDEX(DATAS,AA2175+1)),INDEX(DATAS,AA2175+1)),"")</f>
        <v/>
      </c>
    </row>
    <row r="2176" customFormat="false" ht="15" hidden="false" customHeight="false" outlineLevel="0" collapsed="false">
      <c r="A2176" s="51" t="n">
        <v>46309</v>
      </c>
      <c r="B2176" s="0" t="n">
        <v>8</v>
      </c>
      <c r="C2176" s="0" t="n">
        <v>6460</v>
      </c>
      <c r="E2176" s="0" t="n">
        <v>0</v>
      </c>
      <c r="F2176" s="46" t="s">
        <v>1208</v>
      </c>
      <c r="I2176" s="46" t="s">
        <v>152</v>
      </c>
      <c r="L2176" s="0" t="n">
        <v>128</v>
      </c>
      <c r="U2176" s="0" t="n">
        <v>552</v>
      </c>
      <c r="V2176" s="0" t="n">
        <v>2</v>
      </c>
      <c r="W2176" s="51" t="n">
        <v>46182</v>
      </c>
      <c r="X2176" s="46" t="n">
        <f aca="false">IF(I2176="Male",0,1)</f>
        <v>1</v>
      </c>
      <c r="Y2176" s="46" t="n">
        <f aca="false">IF(OR(I2176="DNB",I2176="Dry DNB"),1,0)</f>
        <v>0</v>
      </c>
      <c r="Z2176" s="46" t="n">
        <f aca="false">IF(ISNUMBER(W2176),A2176-W2176,"")</f>
        <v>127</v>
      </c>
      <c r="AA2176" s="46" t="n">
        <f aca="false">MATCH(A2176,DATAS,0)</f>
        <v>1</v>
      </c>
      <c r="AB2176" s="46" t="n">
        <f aca="false">IF(AND(E2176&gt;0,OR(AND(B2176&gt;=1,B2176&lt;=6),B2176=10)),1,0)</f>
        <v>0</v>
      </c>
      <c r="AC2176" s="46" t="n">
        <f aca="false">IF(AND(E2176&gt;0,B2176=10),1,0)</f>
        <v>0</v>
      </c>
      <c r="AD2176" s="0" t="str">
        <f aca="false">IF(AND(C2175=C2176,AA2175=AA2176-1),AB2175,"")</f>
        <v/>
      </c>
      <c r="AE2176" s="0" t="str">
        <f aca="false">IF(AND(C2175=C2176,AA2175=AA2176-1),AC2175,"")</f>
        <v/>
      </c>
      <c r="AF2176" s="0" t="str">
        <f aca="false">IF(AA2176=1,"",IF(AND(AB2176=1,AD2176&lt;&gt;1),1,0))</f>
        <v/>
      </c>
      <c r="AG2176" s="0" t="str">
        <f aca="false">IF(AA2176=1,"",IF(AND(AC2176=1,AE2176&lt;&gt;1),1,0))</f>
        <v/>
      </c>
      <c r="AH2176" s="51" t="str">
        <f aca="false">IF(AND(E2176&gt;0,AA2176&lt;1,NOT(AND(C2177=C2176,AA2177=AA2176+1))),INDEX(DATAS,AA2176+1),"")</f>
        <v/>
      </c>
      <c r="AI2176" s="51" t="str">
        <f aca="false">IF(AND(AC2176=1,AA2176&lt;1),IF(AND(C2177=C2176,AA2177=AA2176+1),IF(AC2177=1,"",INDEX(DATAS,AA2176+1)),INDEX(DATAS,AA2176+1)),"")</f>
        <v/>
      </c>
    </row>
    <row r="2177" customFormat="false" ht="15" hidden="false" customHeight="false" outlineLevel="0" collapsed="false">
      <c r="A2177" s="51" t="n">
        <v>46309</v>
      </c>
      <c r="B2177" s="0" t="n">
        <v>8</v>
      </c>
      <c r="C2177" s="0" t="n">
        <v>6461</v>
      </c>
      <c r="E2177" s="0" t="n">
        <v>0</v>
      </c>
      <c r="F2177" s="46" t="s">
        <v>1208</v>
      </c>
      <c r="I2177" s="46" t="s">
        <v>152</v>
      </c>
      <c r="L2177" s="0" t="n">
        <v>154</v>
      </c>
      <c r="U2177" s="0" t="n">
        <v>552</v>
      </c>
      <c r="V2177" s="0" t="n">
        <v>1</v>
      </c>
      <c r="W2177" s="51" t="n">
        <v>46156</v>
      </c>
      <c r="X2177" s="46" t="n">
        <f aca="false">IF(I2177="Male",0,1)</f>
        <v>1</v>
      </c>
      <c r="Y2177" s="46" t="n">
        <f aca="false">IF(OR(I2177="DNB",I2177="Dry DNB"),1,0)</f>
        <v>0</v>
      </c>
      <c r="Z2177" s="46" t="n">
        <f aca="false">IF(ISNUMBER(W2177),A2177-W2177,"")</f>
        <v>153</v>
      </c>
      <c r="AA2177" s="46" t="n">
        <f aca="false">MATCH(A2177,DATAS,0)</f>
        <v>1</v>
      </c>
      <c r="AB2177" s="46" t="n">
        <f aca="false">IF(AND(E2177&gt;0,OR(AND(B2177&gt;=1,B2177&lt;=6),B2177=10)),1,0)</f>
        <v>0</v>
      </c>
      <c r="AC2177" s="46" t="n">
        <f aca="false">IF(AND(E2177&gt;0,B2177=10),1,0)</f>
        <v>0</v>
      </c>
      <c r="AD2177" s="0" t="str">
        <f aca="false">IF(AND(C2176=C2177,AA2176=AA2177-1),AB2176,"")</f>
        <v/>
      </c>
      <c r="AE2177" s="0" t="str">
        <f aca="false">IF(AND(C2176=C2177,AA2176=AA2177-1),AC2176,"")</f>
        <v/>
      </c>
      <c r="AF2177" s="0" t="str">
        <f aca="false">IF(AA2177=1,"",IF(AND(AB2177=1,AD2177&lt;&gt;1),1,0))</f>
        <v/>
      </c>
      <c r="AG2177" s="0" t="str">
        <f aca="false">IF(AA2177=1,"",IF(AND(AC2177=1,AE2177&lt;&gt;1),1,0))</f>
        <v/>
      </c>
      <c r="AH2177" s="51" t="str">
        <f aca="false">IF(AND(E2177&gt;0,AA2177&lt;1,NOT(AND(C2178=C2177,AA2178=AA2177+1))),INDEX(DATAS,AA2177+1),"")</f>
        <v/>
      </c>
      <c r="AI2177" s="51" t="str">
        <f aca="false">IF(AND(AC2177=1,AA2177&lt;1),IF(AND(C2178=C2177,AA2178=AA2177+1),IF(AC2178=1,"",INDEX(DATAS,AA2177+1)),INDEX(DATAS,AA2177+1)),"")</f>
        <v/>
      </c>
    </row>
    <row r="2178" customFormat="false" ht="15" hidden="false" customHeight="false" outlineLevel="0" collapsed="false">
      <c r="A2178" s="51" t="n">
        <v>46309</v>
      </c>
      <c r="B2178" s="0" t="n">
        <v>8</v>
      </c>
      <c r="C2178" s="0" t="n">
        <v>6462</v>
      </c>
      <c r="E2178" s="0" t="n">
        <v>0</v>
      </c>
      <c r="F2178" s="46" t="s">
        <v>1209</v>
      </c>
      <c r="I2178" s="46" t="s">
        <v>152</v>
      </c>
      <c r="L2178" s="0" t="n">
        <v>148</v>
      </c>
      <c r="U2178" s="0" t="n">
        <v>551</v>
      </c>
      <c r="V2178" s="0" t="n">
        <v>1</v>
      </c>
      <c r="W2178" s="51" t="n">
        <v>46162</v>
      </c>
      <c r="X2178" s="46" t="n">
        <f aca="false">IF(I2178="Male",0,1)</f>
        <v>1</v>
      </c>
      <c r="Y2178" s="46" t="n">
        <f aca="false">IF(OR(I2178="DNB",I2178="Dry DNB"),1,0)</f>
        <v>0</v>
      </c>
      <c r="Z2178" s="46" t="n">
        <f aca="false">IF(ISNUMBER(W2178),A2178-W2178,"")</f>
        <v>147</v>
      </c>
      <c r="AA2178" s="46" t="n">
        <f aca="false">MATCH(A2178,DATAS,0)</f>
        <v>1</v>
      </c>
      <c r="AB2178" s="46" t="n">
        <f aca="false">IF(AND(E2178&gt;0,OR(AND(B2178&gt;=1,B2178&lt;=6),B2178=10)),1,0)</f>
        <v>0</v>
      </c>
      <c r="AC2178" s="46" t="n">
        <f aca="false">IF(AND(E2178&gt;0,B2178=10),1,0)</f>
        <v>0</v>
      </c>
      <c r="AD2178" s="0" t="str">
        <f aca="false">IF(AND(C2177=C2178,AA2177=AA2178-1),AB2177,"")</f>
        <v/>
      </c>
      <c r="AE2178" s="0" t="str">
        <f aca="false">IF(AND(C2177=C2178,AA2177=AA2178-1),AC2177,"")</f>
        <v/>
      </c>
      <c r="AF2178" s="0" t="str">
        <f aca="false">IF(AA2178=1,"",IF(AND(AB2178=1,AD2178&lt;&gt;1),1,0))</f>
        <v/>
      </c>
      <c r="AG2178" s="0" t="str">
        <f aca="false">IF(AA2178=1,"",IF(AND(AC2178=1,AE2178&lt;&gt;1),1,0))</f>
        <v/>
      </c>
      <c r="AH2178" s="51" t="str">
        <f aca="false">IF(AND(E2178&gt;0,AA2178&lt;1,NOT(AND(C2179=C2178,AA2179=AA2178+1))),INDEX(DATAS,AA2178+1),"")</f>
        <v/>
      </c>
      <c r="AI2178" s="51" t="str">
        <f aca="false">IF(AND(AC2178=1,AA2178&lt;1),IF(AND(C2179=C2178,AA2179=AA2178+1),IF(AC2179=1,"",INDEX(DATAS,AA2178+1)),INDEX(DATAS,AA2178+1)),"")</f>
        <v/>
      </c>
    </row>
    <row r="2179" customFormat="false" ht="15" hidden="false" customHeight="false" outlineLevel="0" collapsed="false">
      <c r="A2179" s="51" t="n">
        <v>46309</v>
      </c>
      <c r="B2179" s="0" t="n">
        <v>8</v>
      </c>
      <c r="C2179" s="0" t="n">
        <v>6463</v>
      </c>
      <c r="E2179" s="0" t="n">
        <v>0</v>
      </c>
      <c r="F2179" s="46" t="s">
        <v>1209</v>
      </c>
      <c r="I2179" s="46" t="s">
        <v>152</v>
      </c>
      <c r="L2179" s="0" t="n">
        <v>62</v>
      </c>
      <c r="U2179" s="0" t="n">
        <v>551</v>
      </c>
      <c r="V2179" s="0" t="n">
        <v>4</v>
      </c>
      <c r="W2179" s="51" t="n">
        <v>46248</v>
      </c>
      <c r="X2179" s="46" t="n">
        <f aca="false">IF(I2179="Male",0,1)</f>
        <v>1</v>
      </c>
      <c r="Y2179" s="46" t="n">
        <f aca="false">IF(OR(I2179="DNB",I2179="Dry DNB"),1,0)</f>
        <v>0</v>
      </c>
      <c r="Z2179" s="46" t="n">
        <f aca="false">IF(ISNUMBER(W2179),A2179-W2179,"")</f>
        <v>61</v>
      </c>
      <c r="AA2179" s="46" t="n">
        <f aca="false">MATCH(A2179,DATAS,0)</f>
        <v>1</v>
      </c>
      <c r="AB2179" s="46" t="n">
        <f aca="false">IF(AND(E2179&gt;0,OR(AND(B2179&gt;=1,B2179&lt;=6),B2179=10)),1,0)</f>
        <v>0</v>
      </c>
      <c r="AC2179" s="46" t="n">
        <f aca="false">IF(AND(E2179&gt;0,B2179=10),1,0)</f>
        <v>0</v>
      </c>
      <c r="AD2179" s="0" t="str">
        <f aca="false">IF(AND(C2178=C2179,AA2178=AA2179-1),AB2178,"")</f>
        <v/>
      </c>
      <c r="AE2179" s="0" t="str">
        <f aca="false">IF(AND(C2178=C2179,AA2178=AA2179-1),AC2178,"")</f>
        <v/>
      </c>
      <c r="AF2179" s="0" t="str">
        <f aca="false">IF(AA2179=1,"",IF(AND(AB2179=1,AD2179&lt;&gt;1),1,0))</f>
        <v/>
      </c>
      <c r="AG2179" s="0" t="str">
        <f aca="false">IF(AA2179=1,"",IF(AND(AC2179=1,AE2179&lt;&gt;1),1,0))</f>
        <v/>
      </c>
      <c r="AH2179" s="51" t="str">
        <f aca="false">IF(AND(E2179&gt;0,AA2179&lt;1,NOT(AND(C2180=C2179,AA2180=AA2179+1))),INDEX(DATAS,AA2179+1),"")</f>
        <v/>
      </c>
      <c r="AI2179" s="51" t="str">
        <f aca="false">IF(AND(AC2179=1,AA2179&lt;1),IF(AND(C2180=C2179,AA2180=AA2179+1),IF(AC2180=1,"",INDEX(DATAS,AA2179+1)),INDEX(DATAS,AA2179+1)),"")</f>
        <v/>
      </c>
    </row>
    <row r="2180" customFormat="false" ht="15" hidden="false" customHeight="false" outlineLevel="0" collapsed="false">
      <c r="A2180" s="51" t="n">
        <v>46309</v>
      </c>
      <c r="B2180" s="0" t="n">
        <v>8</v>
      </c>
      <c r="C2180" s="0" t="n">
        <v>6464</v>
      </c>
      <c r="E2180" s="0" t="n">
        <v>0</v>
      </c>
      <c r="F2180" s="46" t="s">
        <v>1210</v>
      </c>
      <c r="I2180" s="46" t="s">
        <v>152</v>
      </c>
      <c r="L2180" s="0" t="n">
        <v>93</v>
      </c>
      <c r="U2180" s="0" t="n">
        <v>550</v>
      </c>
      <c r="V2180" s="0" t="n">
        <v>4</v>
      </c>
      <c r="W2180" s="51" t="n">
        <v>46217</v>
      </c>
      <c r="X2180" s="46" t="n">
        <f aca="false">IF(I2180="Male",0,1)</f>
        <v>1</v>
      </c>
      <c r="Y2180" s="46" t="n">
        <f aca="false">IF(OR(I2180="DNB",I2180="Dry DNB"),1,0)</f>
        <v>0</v>
      </c>
      <c r="Z2180" s="46" t="n">
        <f aca="false">IF(ISNUMBER(W2180),A2180-W2180,"")</f>
        <v>92</v>
      </c>
      <c r="AA2180" s="46" t="n">
        <f aca="false">MATCH(A2180,DATAS,0)</f>
        <v>1</v>
      </c>
      <c r="AB2180" s="46" t="n">
        <f aca="false">IF(AND(E2180&gt;0,OR(AND(B2180&gt;=1,B2180&lt;=6),B2180=10)),1,0)</f>
        <v>0</v>
      </c>
      <c r="AC2180" s="46" t="n">
        <f aca="false">IF(AND(E2180&gt;0,B2180=10),1,0)</f>
        <v>0</v>
      </c>
      <c r="AD2180" s="0" t="str">
        <f aca="false">IF(AND(C2179=C2180,AA2179=AA2180-1),AB2179,"")</f>
        <v/>
      </c>
      <c r="AE2180" s="0" t="str">
        <f aca="false">IF(AND(C2179=C2180,AA2179=AA2180-1),AC2179,"")</f>
        <v/>
      </c>
      <c r="AF2180" s="0" t="str">
        <f aca="false">IF(AA2180=1,"",IF(AND(AB2180=1,AD2180&lt;&gt;1),1,0))</f>
        <v/>
      </c>
      <c r="AG2180" s="0" t="str">
        <f aca="false">IF(AA2180=1,"",IF(AND(AC2180=1,AE2180&lt;&gt;1),1,0))</f>
        <v/>
      </c>
      <c r="AH2180" s="51" t="str">
        <f aca="false">IF(AND(E2180&gt;0,AA2180&lt;1,NOT(AND(C2181=C2180,AA2181=AA2180+1))),INDEX(DATAS,AA2180+1),"")</f>
        <v/>
      </c>
      <c r="AI2180" s="51" t="str">
        <f aca="false">IF(AND(AC2180=1,AA2180&lt;1),IF(AND(C2181=C2180,AA2181=AA2180+1),IF(AC2181=1,"",INDEX(DATAS,AA2180+1)),INDEX(DATAS,AA2180+1)),"")</f>
        <v/>
      </c>
    </row>
    <row r="2181" customFormat="false" ht="15" hidden="false" customHeight="false" outlineLevel="0" collapsed="false">
      <c r="A2181" s="51" t="n">
        <v>46309</v>
      </c>
      <c r="B2181" s="0" t="n">
        <v>8</v>
      </c>
      <c r="C2181" s="0" t="n">
        <v>6465</v>
      </c>
      <c r="E2181" s="0" t="n">
        <v>0</v>
      </c>
      <c r="F2181" s="46" t="s">
        <v>1210</v>
      </c>
      <c r="I2181" s="46" t="s">
        <v>152</v>
      </c>
      <c r="L2181" s="0" t="n">
        <v>126</v>
      </c>
      <c r="U2181" s="0" t="n">
        <v>550</v>
      </c>
      <c r="V2181" s="0" t="n">
        <v>2</v>
      </c>
      <c r="W2181" s="51" t="n">
        <v>46184</v>
      </c>
      <c r="X2181" s="46" t="n">
        <f aca="false">IF(I2181="Male",0,1)</f>
        <v>1</v>
      </c>
      <c r="Y2181" s="46" t="n">
        <f aca="false">IF(OR(I2181="DNB",I2181="Dry DNB"),1,0)</f>
        <v>0</v>
      </c>
      <c r="Z2181" s="46" t="n">
        <f aca="false">IF(ISNUMBER(W2181),A2181-W2181,"")</f>
        <v>125</v>
      </c>
      <c r="AA2181" s="46" t="n">
        <f aca="false">MATCH(A2181,DATAS,0)</f>
        <v>1</v>
      </c>
      <c r="AB2181" s="46" t="n">
        <f aca="false">IF(AND(E2181&gt;0,OR(AND(B2181&gt;=1,B2181&lt;=6),B2181=10)),1,0)</f>
        <v>0</v>
      </c>
      <c r="AC2181" s="46" t="n">
        <f aca="false">IF(AND(E2181&gt;0,B2181=10),1,0)</f>
        <v>0</v>
      </c>
      <c r="AD2181" s="0" t="str">
        <f aca="false">IF(AND(C2180=C2181,AA2180=AA2181-1),AB2180,"")</f>
        <v/>
      </c>
      <c r="AE2181" s="0" t="str">
        <f aca="false">IF(AND(C2180=C2181,AA2180=AA2181-1),AC2180,"")</f>
        <v/>
      </c>
      <c r="AF2181" s="0" t="str">
        <f aca="false">IF(AA2181=1,"",IF(AND(AB2181=1,AD2181&lt;&gt;1),1,0))</f>
        <v/>
      </c>
      <c r="AG2181" s="0" t="str">
        <f aca="false">IF(AA2181=1,"",IF(AND(AC2181=1,AE2181&lt;&gt;1),1,0))</f>
        <v/>
      </c>
      <c r="AH2181" s="51" t="str">
        <f aca="false">IF(AND(E2181&gt;0,AA2181&lt;1,NOT(AND(C2182=C2181,AA2182=AA2181+1))),INDEX(DATAS,AA2181+1),"")</f>
        <v/>
      </c>
      <c r="AI2181" s="51" t="str">
        <f aca="false">IF(AND(AC2181=1,AA2181&lt;1),IF(AND(C2182=C2181,AA2182=AA2181+1),IF(AC2182=1,"",INDEX(DATAS,AA2181+1)),INDEX(DATAS,AA2181+1)),"")</f>
        <v/>
      </c>
    </row>
    <row r="2182" customFormat="false" ht="15" hidden="false" customHeight="false" outlineLevel="0" collapsed="false">
      <c r="A2182" s="51" t="n">
        <v>46309</v>
      </c>
      <c r="B2182" s="0" t="n">
        <v>8</v>
      </c>
      <c r="C2182" s="0" t="n">
        <v>6466</v>
      </c>
      <c r="E2182" s="0" t="n">
        <v>0</v>
      </c>
      <c r="F2182" s="46" t="s">
        <v>1210</v>
      </c>
      <c r="I2182" s="46" t="s">
        <v>152</v>
      </c>
      <c r="L2182" s="0" t="n">
        <v>142</v>
      </c>
      <c r="U2182" s="0" t="n">
        <v>550</v>
      </c>
      <c r="V2182" s="0" t="n">
        <v>1</v>
      </c>
      <c r="W2182" s="51" t="n">
        <v>46168</v>
      </c>
      <c r="X2182" s="46" t="n">
        <f aca="false">IF(I2182="Male",0,1)</f>
        <v>1</v>
      </c>
      <c r="Y2182" s="46" t="n">
        <f aca="false">IF(OR(I2182="DNB",I2182="Dry DNB"),1,0)</f>
        <v>0</v>
      </c>
      <c r="Z2182" s="46" t="n">
        <f aca="false">IF(ISNUMBER(W2182),A2182-W2182,"")</f>
        <v>141</v>
      </c>
      <c r="AA2182" s="46" t="n">
        <f aca="false">MATCH(A2182,DATAS,0)</f>
        <v>1</v>
      </c>
      <c r="AB2182" s="46" t="n">
        <f aca="false">IF(AND(E2182&gt;0,OR(AND(B2182&gt;=1,B2182&lt;=6),B2182=10)),1,0)</f>
        <v>0</v>
      </c>
      <c r="AC2182" s="46" t="n">
        <f aca="false">IF(AND(E2182&gt;0,B2182=10),1,0)</f>
        <v>0</v>
      </c>
      <c r="AD2182" s="0" t="str">
        <f aca="false">IF(AND(C2181=C2182,AA2181=AA2182-1),AB2181,"")</f>
        <v/>
      </c>
      <c r="AE2182" s="0" t="str">
        <f aca="false">IF(AND(C2181=C2182,AA2181=AA2182-1),AC2181,"")</f>
        <v/>
      </c>
      <c r="AF2182" s="0" t="str">
        <f aca="false">IF(AA2182=1,"",IF(AND(AB2182=1,AD2182&lt;&gt;1),1,0))</f>
        <v/>
      </c>
      <c r="AG2182" s="0" t="str">
        <f aca="false">IF(AA2182=1,"",IF(AND(AC2182=1,AE2182&lt;&gt;1),1,0))</f>
        <v/>
      </c>
      <c r="AH2182" s="51" t="str">
        <f aca="false">IF(AND(E2182&gt;0,AA2182&lt;1,NOT(AND(C2183=C2182,AA2183=AA2182+1))),INDEX(DATAS,AA2182+1),"")</f>
        <v/>
      </c>
      <c r="AI2182" s="51" t="str">
        <f aca="false">IF(AND(AC2182=1,AA2182&lt;1),IF(AND(C2183=C2182,AA2183=AA2182+1),IF(AC2183=1,"",INDEX(DATAS,AA2182+1)),INDEX(DATAS,AA2182+1)),"")</f>
        <v/>
      </c>
    </row>
    <row r="2183" customFormat="false" ht="15" hidden="false" customHeight="false" outlineLevel="0" collapsed="false">
      <c r="A2183" s="51" t="n">
        <v>46309</v>
      </c>
      <c r="B2183" s="0" t="n">
        <v>8</v>
      </c>
      <c r="C2183" s="0" t="n">
        <v>6467</v>
      </c>
      <c r="E2183" s="0" t="n">
        <v>0</v>
      </c>
      <c r="F2183" s="46" t="s">
        <v>1211</v>
      </c>
      <c r="I2183" s="46" t="s">
        <v>152</v>
      </c>
      <c r="L2183" s="0" t="n">
        <v>145</v>
      </c>
      <c r="U2183" s="0" t="n">
        <v>549</v>
      </c>
      <c r="V2183" s="0" t="n">
        <v>1</v>
      </c>
      <c r="W2183" s="51" t="n">
        <v>46165</v>
      </c>
      <c r="X2183" s="46" t="n">
        <f aca="false">IF(I2183="Male",0,1)</f>
        <v>1</v>
      </c>
      <c r="Y2183" s="46" t="n">
        <f aca="false">IF(OR(I2183="DNB",I2183="Dry DNB"),1,0)</f>
        <v>0</v>
      </c>
      <c r="Z2183" s="46" t="n">
        <f aca="false">IF(ISNUMBER(W2183),A2183-W2183,"")</f>
        <v>144</v>
      </c>
      <c r="AA2183" s="46" t="n">
        <f aca="false">MATCH(A2183,DATAS,0)</f>
        <v>1</v>
      </c>
      <c r="AB2183" s="46" t="n">
        <f aca="false">IF(AND(E2183&gt;0,OR(AND(B2183&gt;=1,B2183&lt;=6),B2183=10)),1,0)</f>
        <v>0</v>
      </c>
      <c r="AC2183" s="46" t="n">
        <f aca="false">IF(AND(E2183&gt;0,B2183=10),1,0)</f>
        <v>0</v>
      </c>
      <c r="AD2183" s="0" t="str">
        <f aca="false">IF(AND(C2182=C2183,AA2182=AA2183-1),AB2182,"")</f>
        <v/>
      </c>
      <c r="AE2183" s="0" t="str">
        <f aca="false">IF(AND(C2182=C2183,AA2182=AA2183-1),AC2182,"")</f>
        <v/>
      </c>
      <c r="AF2183" s="0" t="str">
        <f aca="false">IF(AA2183=1,"",IF(AND(AB2183=1,AD2183&lt;&gt;1),1,0))</f>
        <v/>
      </c>
      <c r="AG2183" s="0" t="str">
        <f aca="false">IF(AA2183=1,"",IF(AND(AC2183=1,AE2183&lt;&gt;1),1,0))</f>
        <v/>
      </c>
      <c r="AH2183" s="51" t="str">
        <f aca="false">IF(AND(E2183&gt;0,AA2183&lt;1,NOT(AND(C2184=C2183,AA2184=AA2183+1))),INDEX(DATAS,AA2183+1),"")</f>
        <v/>
      </c>
      <c r="AI2183" s="51" t="str">
        <f aca="false">IF(AND(AC2183=1,AA2183&lt;1),IF(AND(C2184=C2183,AA2184=AA2183+1),IF(AC2184=1,"",INDEX(DATAS,AA2183+1)),INDEX(DATAS,AA2183+1)),"")</f>
        <v/>
      </c>
    </row>
    <row r="2184" customFormat="false" ht="15" hidden="false" customHeight="false" outlineLevel="0" collapsed="false">
      <c r="A2184" s="51" t="n">
        <v>46309</v>
      </c>
      <c r="B2184" s="0" t="n">
        <v>8</v>
      </c>
      <c r="C2184" s="0" t="n">
        <v>6468</v>
      </c>
      <c r="E2184" s="0" t="n">
        <v>0</v>
      </c>
      <c r="F2184" s="46" t="s">
        <v>1212</v>
      </c>
      <c r="I2184" s="46" t="s">
        <v>152</v>
      </c>
      <c r="L2184" s="0" t="n">
        <v>139</v>
      </c>
      <c r="U2184" s="0" t="n">
        <v>547</v>
      </c>
      <c r="V2184" s="0" t="n">
        <v>1</v>
      </c>
      <c r="W2184" s="51" t="n">
        <v>46171</v>
      </c>
      <c r="X2184" s="46" t="n">
        <f aca="false">IF(I2184="Male",0,1)</f>
        <v>1</v>
      </c>
      <c r="Y2184" s="46" t="n">
        <f aca="false">IF(OR(I2184="DNB",I2184="Dry DNB"),1,0)</f>
        <v>0</v>
      </c>
      <c r="Z2184" s="46" t="n">
        <f aca="false">IF(ISNUMBER(W2184),A2184-W2184,"")</f>
        <v>138</v>
      </c>
      <c r="AA2184" s="46" t="n">
        <f aca="false">MATCH(A2184,DATAS,0)</f>
        <v>1</v>
      </c>
      <c r="AB2184" s="46" t="n">
        <f aca="false">IF(AND(E2184&gt;0,OR(AND(B2184&gt;=1,B2184&lt;=6),B2184=10)),1,0)</f>
        <v>0</v>
      </c>
      <c r="AC2184" s="46" t="n">
        <f aca="false">IF(AND(E2184&gt;0,B2184=10),1,0)</f>
        <v>0</v>
      </c>
      <c r="AD2184" s="0" t="str">
        <f aca="false">IF(AND(C2183=C2184,AA2183=AA2184-1),AB2183,"")</f>
        <v/>
      </c>
      <c r="AE2184" s="0" t="str">
        <f aca="false">IF(AND(C2183=C2184,AA2183=AA2184-1),AC2183,"")</f>
        <v/>
      </c>
      <c r="AF2184" s="0" t="str">
        <f aca="false">IF(AA2184=1,"",IF(AND(AB2184=1,AD2184&lt;&gt;1),1,0))</f>
        <v/>
      </c>
      <c r="AG2184" s="0" t="str">
        <f aca="false">IF(AA2184=1,"",IF(AND(AC2184=1,AE2184&lt;&gt;1),1,0))</f>
        <v/>
      </c>
      <c r="AH2184" s="51" t="str">
        <f aca="false">IF(AND(E2184&gt;0,AA2184&lt;1,NOT(AND(C2185=C2184,AA2185=AA2184+1))),INDEX(DATAS,AA2184+1),"")</f>
        <v/>
      </c>
      <c r="AI2184" s="51" t="str">
        <f aca="false">IF(AND(AC2184=1,AA2184&lt;1),IF(AND(C2185=C2184,AA2185=AA2184+1),IF(AC2185=1,"",INDEX(DATAS,AA2184+1)),INDEX(DATAS,AA2184+1)),"")</f>
        <v/>
      </c>
    </row>
    <row r="2185" customFormat="false" ht="15" hidden="false" customHeight="false" outlineLevel="0" collapsed="false">
      <c r="A2185" s="51" t="n">
        <v>46309</v>
      </c>
      <c r="B2185" s="0" t="n">
        <v>8</v>
      </c>
      <c r="C2185" s="0" t="n">
        <v>6469</v>
      </c>
      <c r="E2185" s="0" t="n">
        <v>0</v>
      </c>
      <c r="F2185" s="46" t="s">
        <v>1212</v>
      </c>
      <c r="I2185" s="46" t="s">
        <v>152</v>
      </c>
      <c r="L2185" s="0" t="n">
        <v>147</v>
      </c>
      <c r="U2185" s="0" t="n">
        <v>547</v>
      </c>
      <c r="V2185" s="0" t="n">
        <v>1</v>
      </c>
      <c r="W2185" s="51" t="n">
        <v>46163</v>
      </c>
      <c r="X2185" s="46" t="n">
        <f aca="false">IF(I2185="Male",0,1)</f>
        <v>1</v>
      </c>
      <c r="Y2185" s="46" t="n">
        <f aca="false">IF(OR(I2185="DNB",I2185="Dry DNB"),1,0)</f>
        <v>0</v>
      </c>
      <c r="Z2185" s="46" t="n">
        <f aca="false">IF(ISNUMBER(W2185),A2185-W2185,"")</f>
        <v>146</v>
      </c>
      <c r="AA2185" s="46" t="n">
        <f aca="false">MATCH(A2185,DATAS,0)</f>
        <v>1</v>
      </c>
      <c r="AB2185" s="46" t="n">
        <f aca="false">IF(AND(E2185&gt;0,OR(AND(B2185&gt;=1,B2185&lt;=6),B2185=10)),1,0)</f>
        <v>0</v>
      </c>
      <c r="AC2185" s="46" t="n">
        <f aca="false">IF(AND(E2185&gt;0,B2185=10),1,0)</f>
        <v>0</v>
      </c>
      <c r="AD2185" s="0" t="str">
        <f aca="false">IF(AND(C2184=C2185,AA2184=AA2185-1),AB2184,"")</f>
        <v/>
      </c>
      <c r="AE2185" s="0" t="str">
        <f aca="false">IF(AND(C2184=C2185,AA2184=AA2185-1),AC2184,"")</f>
        <v/>
      </c>
      <c r="AF2185" s="0" t="str">
        <f aca="false">IF(AA2185=1,"",IF(AND(AB2185=1,AD2185&lt;&gt;1),1,0))</f>
        <v/>
      </c>
      <c r="AG2185" s="0" t="str">
        <f aca="false">IF(AA2185=1,"",IF(AND(AC2185=1,AE2185&lt;&gt;1),1,0))</f>
        <v/>
      </c>
      <c r="AH2185" s="51" t="str">
        <f aca="false">IF(AND(E2185&gt;0,AA2185&lt;1,NOT(AND(C2186=C2185,AA2186=AA2185+1))),INDEX(DATAS,AA2185+1),"")</f>
        <v/>
      </c>
      <c r="AI2185" s="51" t="str">
        <f aca="false">IF(AND(AC2185=1,AA2185&lt;1),IF(AND(C2186=C2185,AA2186=AA2185+1),IF(AC2186=1,"",INDEX(DATAS,AA2185+1)),INDEX(DATAS,AA2185+1)),"")</f>
        <v/>
      </c>
    </row>
    <row r="2186" customFormat="false" ht="15" hidden="false" customHeight="false" outlineLevel="0" collapsed="false">
      <c r="A2186" s="51" t="n">
        <v>46309</v>
      </c>
      <c r="B2186" s="0" t="n">
        <v>8</v>
      </c>
      <c r="C2186" s="0" t="n">
        <v>6470</v>
      </c>
      <c r="E2186" s="0" t="n">
        <v>0</v>
      </c>
      <c r="F2186" s="46" t="s">
        <v>1212</v>
      </c>
      <c r="I2186" s="46" t="s">
        <v>152</v>
      </c>
      <c r="L2186" s="0" t="n">
        <v>92</v>
      </c>
      <c r="U2186" s="0" t="n">
        <v>547</v>
      </c>
      <c r="V2186" s="0" t="n">
        <v>3</v>
      </c>
      <c r="W2186" s="51" t="n">
        <v>46218</v>
      </c>
      <c r="X2186" s="46" t="n">
        <f aca="false">IF(I2186="Male",0,1)</f>
        <v>1</v>
      </c>
      <c r="Y2186" s="46" t="n">
        <f aca="false">IF(OR(I2186="DNB",I2186="Dry DNB"),1,0)</f>
        <v>0</v>
      </c>
      <c r="Z2186" s="46" t="n">
        <f aca="false">IF(ISNUMBER(W2186),A2186-W2186,"")</f>
        <v>91</v>
      </c>
      <c r="AA2186" s="46" t="n">
        <f aca="false">MATCH(A2186,DATAS,0)</f>
        <v>1</v>
      </c>
      <c r="AB2186" s="46" t="n">
        <f aca="false">IF(AND(E2186&gt;0,OR(AND(B2186&gt;=1,B2186&lt;=6),B2186=10)),1,0)</f>
        <v>0</v>
      </c>
      <c r="AC2186" s="46" t="n">
        <f aca="false">IF(AND(E2186&gt;0,B2186=10),1,0)</f>
        <v>0</v>
      </c>
      <c r="AD2186" s="0" t="str">
        <f aca="false">IF(AND(C2185=C2186,AA2185=AA2186-1),AB2185,"")</f>
        <v/>
      </c>
      <c r="AE2186" s="0" t="str">
        <f aca="false">IF(AND(C2185=C2186,AA2185=AA2186-1),AC2185,"")</f>
        <v/>
      </c>
      <c r="AF2186" s="0" t="str">
        <f aca="false">IF(AA2186=1,"",IF(AND(AB2186=1,AD2186&lt;&gt;1),1,0))</f>
        <v/>
      </c>
      <c r="AG2186" s="0" t="str">
        <f aca="false">IF(AA2186=1,"",IF(AND(AC2186=1,AE2186&lt;&gt;1),1,0))</f>
        <v/>
      </c>
      <c r="AH2186" s="51" t="str">
        <f aca="false">IF(AND(E2186&gt;0,AA2186&lt;1,NOT(AND(C2187=C2186,AA2187=AA2186+1))),INDEX(DATAS,AA2186+1),"")</f>
        <v/>
      </c>
      <c r="AI2186" s="51" t="str">
        <f aca="false">IF(AND(AC2186=1,AA2186&lt;1),IF(AND(C2187=C2186,AA2187=AA2186+1),IF(AC2187=1,"",INDEX(DATAS,AA2186+1)),INDEX(DATAS,AA2186+1)),"")</f>
        <v/>
      </c>
    </row>
    <row r="2187" customFormat="false" ht="15" hidden="false" customHeight="false" outlineLevel="0" collapsed="false">
      <c r="A2187" s="51" t="n">
        <v>46309</v>
      </c>
      <c r="B2187" s="0" t="n">
        <v>8</v>
      </c>
      <c r="C2187" s="0" t="n">
        <v>6471</v>
      </c>
      <c r="E2187" s="0" t="n">
        <v>0</v>
      </c>
      <c r="F2187" s="46" t="s">
        <v>1212</v>
      </c>
      <c r="I2187" s="46" t="s">
        <v>152</v>
      </c>
      <c r="L2187" s="0" t="n">
        <v>70</v>
      </c>
      <c r="U2187" s="0" t="n">
        <v>547</v>
      </c>
      <c r="V2187" s="0" t="n">
        <v>4</v>
      </c>
      <c r="W2187" s="51" t="n">
        <v>46240</v>
      </c>
      <c r="X2187" s="46" t="n">
        <f aca="false">IF(I2187="Male",0,1)</f>
        <v>1</v>
      </c>
      <c r="Y2187" s="46" t="n">
        <f aca="false">IF(OR(I2187="DNB",I2187="Dry DNB"),1,0)</f>
        <v>0</v>
      </c>
      <c r="Z2187" s="46" t="n">
        <f aca="false">IF(ISNUMBER(W2187),A2187-W2187,"")</f>
        <v>69</v>
      </c>
      <c r="AA2187" s="46" t="n">
        <f aca="false">MATCH(A2187,DATAS,0)</f>
        <v>1</v>
      </c>
      <c r="AB2187" s="46" t="n">
        <f aca="false">IF(AND(E2187&gt;0,OR(AND(B2187&gt;=1,B2187&lt;=6),B2187=10)),1,0)</f>
        <v>0</v>
      </c>
      <c r="AC2187" s="46" t="n">
        <f aca="false">IF(AND(E2187&gt;0,B2187=10),1,0)</f>
        <v>0</v>
      </c>
      <c r="AD2187" s="0" t="str">
        <f aca="false">IF(AND(C2186=C2187,AA2186=AA2187-1),AB2186,"")</f>
        <v/>
      </c>
      <c r="AE2187" s="0" t="str">
        <f aca="false">IF(AND(C2186=C2187,AA2186=AA2187-1),AC2186,"")</f>
        <v/>
      </c>
      <c r="AF2187" s="0" t="str">
        <f aca="false">IF(AA2187=1,"",IF(AND(AB2187=1,AD2187&lt;&gt;1),1,0))</f>
        <v/>
      </c>
      <c r="AG2187" s="0" t="str">
        <f aca="false">IF(AA2187=1,"",IF(AND(AC2187=1,AE2187&lt;&gt;1),1,0))</f>
        <v/>
      </c>
      <c r="AH2187" s="51" t="str">
        <f aca="false">IF(AND(E2187&gt;0,AA2187&lt;1,NOT(AND(C2188=C2187,AA2188=AA2187+1))),INDEX(DATAS,AA2187+1),"")</f>
        <v/>
      </c>
      <c r="AI2187" s="51" t="str">
        <f aca="false">IF(AND(AC2187=1,AA2187&lt;1),IF(AND(C2188=C2187,AA2188=AA2187+1),IF(AC2188=1,"",INDEX(DATAS,AA2187+1)),INDEX(DATAS,AA2187+1)),"")</f>
        <v/>
      </c>
    </row>
    <row r="2188" customFormat="false" ht="15" hidden="false" customHeight="false" outlineLevel="0" collapsed="false">
      <c r="A2188" s="51" t="n">
        <v>46309</v>
      </c>
      <c r="B2188" s="0" t="n">
        <v>8</v>
      </c>
      <c r="C2188" s="0" t="n">
        <v>6472</v>
      </c>
      <c r="E2188" s="0" t="n">
        <v>0</v>
      </c>
      <c r="F2188" s="46" t="s">
        <v>1212</v>
      </c>
      <c r="I2188" s="46" t="s">
        <v>152</v>
      </c>
      <c r="L2188" s="0" t="n">
        <v>149</v>
      </c>
      <c r="U2188" s="0" t="n">
        <v>547</v>
      </c>
      <c r="V2188" s="0" t="n">
        <v>1</v>
      </c>
      <c r="W2188" s="51" t="n">
        <v>46161</v>
      </c>
      <c r="X2188" s="46" t="n">
        <f aca="false">IF(I2188="Male",0,1)</f>
        <v>1</v>
      </c>
      <c r="Y2188" s="46" t="n">
        <f aca="false">IF(OR(I2188="DNB",I2188="Dry DNB"),1,0)</f>
        <v>0</v>
      </c>
      <c r="Z2188" s="46" t="n">
        <f aca="false">IF(ISNUMBER(W2188),A2188-W2188,"")</f>
        <v>148</v>
      </c>
      <c r="AA2188" s="46" t="n">
        <f aca="false">MATCH(A2188,DATAS,0)</f>
        <v>1</v>
      </c>
      <c r="AB2188" s="46" t="n">
        <f aca="false">IF(AND(E2188&gt;0,OR(AND(B2188&gt;=1,B2188&lt;=6),B2188=10)),1,0)</f>
        <v>0</v>
      </c>
      <c r="AC2188" s="46" t="n">
        <f aca="false">IF(AND(E2188&gt;0,B2188=10),1,0)</f>
        <v>0</v>
      </c>
      <c r="AD2188" s="0" t="str">
        <f aca="false">IF(AND(C2187=C2188,AA2187=AA2188-1),AB2187,"")</f>
        <v/>
      </c>
      <c r="AE2188" s="0" t="str">
        <f aca="false">IF(AND(C2187=C2188,AA2187=AA2188-1),AC2187,"")</f>
        <v/>
      </c>
      <c r="AF2188" s="0" t="str">
        <f aca="false">IF(AA2188=1,"",IF(AND(AB2188=1,AD2188&lt;&gt;1),1,0))</f>
        <v/>
      </c>
      <c r="AG2188" s="0" t="str">
        <f aca="false">IF(AA2188=1,"",IF(AND(AC2188=1,AE2188&lt;&gt;1),1,0))</f>
        <v/>
      </c>
      <c r="AH2188" s="51" t="str">
        <f aca="false">IF(AND(E2188&gt;0,AA2188&lt;1,NOT(AND(C2189=C2188,AA2189=AA2188+1))),INDEX(DATAS,AA2188+1),"")</f>
        <v/>
      </c>
      <c r="AI2188" s="51" t="str">
        <f aca="false">IF(AND(AC2188=1,AA2188&lt;1),IF(AND(C2189=C2188,AA2189=AA2188+1),IF(AC2189=1,"",INDEX(DATAS,AA2188+1)),INDEX(DATAS,AA2188+1)),"")</f>
        <v/>
      </c>
    </row>
    <row r="2189" customFormat="false" ht="15" hidden="false" customHeight="false" outlineLevel="0" collapsed="false">
      <c r="A2189" s="51" t="n">
        <v>46309</v>
      </c>
      <c r="B2189" s="0" t="n">
        <v>8</v>
      </c>
      <c r="C2189" s="0" t="n">
        <v>6473</v>
      </c>
      <c r="E2189" s="0" t="n">
        <v>0</v>
      </c>
      <c r="F2189" s="46" t="s">
        <v>1213</v>
      </c>
      <c r="I2189" s="46" t="s">
        <v>152</v>
      </c>
      <c r="L2189" s="0" t="n">
        <v>153</v>
      </c>
      <c r="U2189" s="0" t="n">
        <v>545</v>
      </c>
      <c r="V2189" s="0" t="n">
        <v>1</v>
      </c>
      <c r="W2189" s="51" t="n">
        <v>46157</v>
      </c>
      <c r="X2189" s="46" t="n">
        <f aca="false">IF(I2189="Male",0,1)</f>
        <v>1</v>
      </c>
      <c r="Y2189" s="46" t="n">
        <f aca="false">IF(OR(I2189="DNB",I2189="Dry DNB"),1,0)</f>
        <v>0</v>
      </c>
      <c r="Z2189" s="46" t="n">
        <f aca="false">IF(ISNUMBER(W2189),A2189-W2189,"")</f>
        <v>152</v>
      </c>
      <c r="AA2189" s="46" t="n">
        <f aca="false">MATCH(A2189,DATAS,0)</f>
        <v>1</v>
      </c>
      <c r="AB2189" s="46" t="n">
        <f aca="false">IF(AND(E2189&gt;0,OR(AND(B2189&gt;=1,B2189&lt;=6),B2189=10)),1,0)</f>
        <v>0</v>
      </c>
      <c r="AC2189" s="46" t="n">
        <f aca="false">IF(AND(E2189&gt;0,B2189=10),1,0)</f>
        <v>0</v>
      </c>
      <c r="AD2189" s="0" t="str">
        <f aca="false">IF(AND(C2188=C2189,AA2188=AA2189-1),AB2188,"")</f>
        <v/>
      </c>
      <c r="AE2189" s="0" t="str">
        <f aca="false">IF(AND(C2188=C2189,AA2188=AA2189-1),AC2188,"")</f>
        <v/>
      </c>
      <c r="AF2189" s="0" t="str">
        <f aca="false">IF(AA2189=1,"",IF(AND(AB2189=1,AD2189&lt;&gt;1),1,0))</f>
        <v/>
      </c>
      <c r="AG2189" s="0" t="str">
        <f aca="false">IF(AA2189=1,"",IF(AND(AC2189=1,AE2189&lt;&gt;1),1,0))</f>
        <v/>
      </c>
      <c r="AH2189" s="51" t="str">
        <f aca="false">IF(AND(E2189&gt;0,AA2189&lt;1,NOT(AND(C2190=C2189,AA2190=AA2189+1))),INDEX(DATAS,AA2189+1),"")</f>
        <v/>
      </c>
      <c r="AI2189" s="51" t="str">
        <f aca="false">IF(AND(AC2189=1,AA2189&lt;1),IF(AND(C2190=C2189,AA2190=AA2189+1),IF(AC2190=1,"",INDEX(DATAS,AA2189+1)),INDEX(DATAS,AA2189+1)),"")</f>
        <v/>
      </c>
    </row>
    <row r="2190" customFormat="false" ht="15" hidden="false" customHeight="false" outlineLevel="0" collapsed="false">
      <c r="A2190" s="51" t="n">
        <v>46309</v>
      </c>
      <c r="B2190" s="0" t="n">
        <v>8</v>
      </c>
      <c r="C2190" s="0" t="n">
        <v>6474</v>
      </c>
      <c r="E2190" s="0" t="n">
        <v>0</v>
      </c>
      <c r="F2190" s="46" t="s">
        <v>1213</v>
      </c>
      <c r="I2190" s="46" t="s">
        <v>152</v>
      </c>
      <c r="L2190" s="0" t="n">
        <v>140</v>
      </c>
      <c r="U2190" s="0" t="n">
        <v>545</v>
      </c>
      <c r="V2190" s="0" t="n">
        <v>1</v>
      </c>
      <c r="W2190" s="51" t="n">
        <v>46170</v>
      </c>
      <c r="X2190" s="46" t="n">
        <f aca="false">IF(I2190="Male",0,1)</f>
        <v>1</v>
      </c>
      <c r="Y2190" s="46" t="n">
        <f aca="false">IF(OR(I2190="DNB",I2190="Dry DNB"),1,0)</f>
        <v>0</v>
      </c>
      <c r="Z2190" s="46" t="n">
        <f aca="false">IF(ISNUMBER(W2190),A2190-W2190,"")</f>
        <v>139</v>
      </c>
      <c r="AA2190" s="46" t="n">
        <f aca="false">MATCH(A2190,DATAS,0)</f>
        <v>1</v>
      </c>
      <c r="AB2190" s="46" t="n">
        <f aca="false">IF(AND(E2190&gt;0,OR(AND(B2190&gt;=1,B2190&lt;=6),B2190=10)),1,0)</f>
        <v>0</v>
      </c>
      <c r="AC2190" s="46" t="n">
        <f aca="false">IF(AND(E2190&gt;0,B2190=10),1,0)</f>
        <v>0</v>
      </c>
      <c r="AD2190" s="0" t="str">
        <f aca="false">IF(AND(C2189=C2190,AA2189=AA2190-1),AB2189,"")</f>
        <v/>
      </c>
      <c r="AE2190" s="0" t="str">
        <f aca="false">IF(AND(C2189=C2190,AA2189=AA2190-1),AC2189,"")</f>
        <v/>
      </c>
      <c r="AF2190" s="0" t="str">
        <f aca="false">IF(AA2190=1,"",IF(AND(AB2190=1,AD2190&lt;&gt;1),1,0))</f>
        <v/>
      </c>
      <c r="AG2190" s="0" t="str">
        <f aca="false">IF(AA2190=1,"",IF(AND(AC2190=1,AE2190&lt;&gt;1),1,0))</f>
        <v/>
      </c>
      <c r="AH2190" s="51" t="str">
        <f aca="false">IF(AND(E2190&gt;0,AA2190&lt;1,NOT(AND(C2191=C2190,AA2191=AA2190+1))),INDEX(DATAS,AA2190+1),"")</f>
        <v/>
      </c>
      <c r="AI2190" s="51" t="str">
        <f aca="false">IF(AND(AC2190=1,AA2190&lt;1),IF(AND(C2191=C2190,AA2191=AA2190+1),IF(AC2191=1,"",INDEX(DATAS,AA2190+1)),INDEX(DATAS,AA2190+1)),"")</f>
        <v/>
      </c>
    </row>
    <row r="2191" customFormat="false" ht="15" hidden="false" customHeight="false" outlineLevel="0" collapsed="false">
      <c r="A2191" s="51" t="n">
        <v>46309</v>
      </c>
      <c r="B2191" s="0" t="n">
        <v>8</v>
      </c>
      <c r="C2191" s="0" t="n">
        <v>6475</v>
      </c>
      <c r="E2191" s="0" t="n">
        <v>0</v>
      </c>
      <c r="F2191" s="46" t="s">
        <v>1213</v>
      </c>
      <c r="I2191" s="46" t="s">
        <v>152</v>
      </c>
      <c r="L2191" s="0" t="n">
        <v>153</v>
      </c>
      <c r="U2191" s="0" t="n">
        <v>545</v>
      </c>
      <c r="V2191" s="0" t="n">
        <v>1</v>
      </c>
      <c r="W2191" s="51" t="n">
        <v>46157</v>
      </c>
      <c r="X2191" s="46" t="n">
        <f aca="false">IF(I2191="Male",0,1)</f>
        <v>1</v>
      </c>
      <c r="Y2191" s="46" t="n">
        <f aca="false">IF(OR(I2191="DNB",I2191="Dry DNB"),1,0)</f>
        <v>0</v>
      </c>
      <c r="Z2191" s="46" t="n">
        <f aca="false">IF(ISNUMBER(W2191),A2191-W2191,"")</f>
        <v>152</v>
      </c>
      <c r="AA2191" s="46" t="n">
        <f aca="false">MATCH(A2191,DATAS,0)</f>
        <v>1</v>
      </c>
      <c r="AB2191" s="46" t="n">
        <f aca="false">IF(AND(E2191&gt;0,OR(AND(B2191&gt;=1,B2191&lt;=6),B2191=10)),1,0)</f>
        <v>0</v>
      </c>
      <c r="AC2191" s="46" t="n">
        <f aca="false">IF(AND(E2191&gt;0,B2191=10),1,0)</f>
        <v>0</v>
      </c>
      <c r="AD2191" s="0" t="str">
        <f aca="false">IF(AND(C2190=C2191,AA2190=AA2191-1),AB2190,"")</f>
        <v/>
      </c>
      <c r="AE2191" s="0" t="str">
        <f aca="false">IF(AND(C2190=C2191,AA2190=AA2191-1),AC2190,"")</f>
        <v/>
      </c>
      <c r="AF2191" s="0" t="str">
        <f aca="false">IF(AA2191=1,"",IF(AND(AB2191=1,AD2191&lt;&gt;1),1,0))</f>
        <v/>
      </c>
      <c r="AG2191" s="0" t="str">
        <f aca="false">IF(AA2191=1,"",IF(AND(AC2191=1,AE2191&lt;&gt;1),1,0))</f>
        <v/>
      </c>
      <c r="AH2191" s="51" t="str">
        <f aca="false">IF(AND(E2191&gt;0,AA2191&lt;1,NOT(AND(C2192=C2191,AA2192=AA2191+1))),INDEX(DATAS,AA2191+1),"")</f>
        <v/>
      </c>
      <c r="AI2191" s="51" t="str">
        <f aca="false">IF(AND(AC2191=1,AA2191&lt;1),IF(AND(C2192=C2191,AA2192=AA2191+1),IF(AC2192=1,"",INDEX(DATAS,AA2191+1)),INDEX(DATAS,AA2191+1)),"")</f>
        <v/>
      </c>
    </row>
    <row r="2192" customFormat="false" ht="15" hidden="false" customHeight="false" outlineLevel="0" collapsed="false">
      <c r="A2192" s="51" t="n">
        <v>46309</v>
      </c>
      <c r="B2192" s="0" t="n">
        <v>8</v>
      </c>
      <c r="C2192" s="0" t="n">
        <v>6476</v>
      </c>
      <c r="E2192" s="0" t="n">
        <v>0</v>
      </c>
      <c r="F2192" s="46" t="s">
        <v>1213</v>
      </c>
      <c r="I2192" s="46" t="s">
        <v>152</v>
      </c>
      <c r="L2192" s="0" t="n">
        <v>79</v>
      </c>
      <c r="U2192" s="0" t="n">
        <v>545</v>
      </c>
      <c r="V2192" s="0" t="n">
        <v>3</v>
      </c>
      <c r="W2192" s="51" t="n">
        <v>46231</v>
      </c>
      <c r="X2192" s="46" t="n">
        <f aca="false">IF(I2192="Male",0,1)</f>
        <v>1</v>
      </c>
      <c r="Y2192" s="46" t="n">
        <f aca="false">IF(OR(I2192="DNB",I2192="Dry DNB"),1,0)</f>
        <v>0</v>
      </c>
      <c r="Z2192" s="46" t="n">
        <f aca="false">IF(ISNUMBER(W2192),A2192-W2192,"")</f>
        <v>78</v>
      </c>
      <c r="AA2192" s="46" t="n">
        <f aca="false">MATCH(A2192,DATAS,0)</f>
        <v>1</v>
      </c>
      <c r="AB2192" s="46" t="n">
        <f aca="false">IF(AND(E2192&gt;0,OR(AND(B2192&gt;=1,B2192&lt;=6),B2192=10)),1,0)</f>
        <v>0</v>
      </c>
      <c r="AC2192" s="46" t="n">
        <f aca="false">IF(AND(E2192&gt;0,B2192=10),1,0)</f>
        <v>0</v>
      </c>
      <c r="AD2192" s="0" t="str">
        <f aca="false">IF(AND(C2191=C2192,AA2191=AA2192-1),AB2191,"")</f>
        <v/>
      </c>
      <c r="AE2192" s="0" t="str">
        <f aca="false">IF(AND(C2191=C2192,AA2191=AA2192-1),AC2191,"")</f>
        <v/>
      </c>
      <c r="AF2192" s="0" t="str">
        <f aca="false">IF(AA2192=1,"",IF(AND(AB2192=1,AD2192&lt;&gt;1),1,0))</f>
        <v/>
      </c>
      <c r="AG2192" s="0" t="str">
        <f aca="false">IF(AA2192=1,"",IF(AND(AC2192=1,AE2192&lt;&gt;1),1,0))</f>
        <v/>
      </c>
      <c r="AH2192" s="51" t="str">
        <f aca="false">IF(AND(E2192&gt;0,AA2192&lt;1,NOT(AND(C2193=C2192,AA2193=AA2192+1))),INDEX(DATAS,AA2192+1),"")</f>
        <v/>
      </c>
      <c r="AI2192" s="51" t="str">
        <f aca="false">IF(AND(AC2192=1,AA2192&lt;1),IF(AND(C2193=C2192,AA2193=AA2192+1),IF(AC2193=1,"",INDEX(DATAS,AA2192+1)),INDEX(DATAS,AA2192+1)),"")</f>
        <v/>
      </c>
    </row>
    <row r="2193" customFormat="false" ht="15" hidden="false" customHeight="false" outlineLevel="0" collapsed="false">
      <c r="A2193" s="51" t="n">
        <v>46309</v>
      </c>
      <c r="B2193" s="0" t="n">
        <v>8</v>
      </c>
      <c r="C2193" s="0" t="n">
        <v>6477</v>
      </c>
      <c r="E2193" s="0" t="n">
        <v>0</v>
      </c>
      <c r="F2193" s="46" t="s">
        <v>1213</v>
      </c>
      <c r="I2193" s="46" t="s">
        <v>152</v>
      </c>
      <c r="L2193" s="0" t="n">
        <v>146</v>
      </c>
      <c r="U2193" s="0" t="n">
        <v>545</v>
      </c>
      <c r="V2193" s="0" t="n">
        <v>1</v>
      </c>
      <c r="W2193" s="51" t="n">
        <v>46164</v>
      </c>
      <c r="X2193" s="46" t="n">
        <f aca="false">IF(I2193="Male",0,1)</f>
        <v>1</v>
      </c>
      <c r="Y2193" s="46" t="n">
        <f aca="false">IF(OR(I2193="DNB",I2193="Dry DNB"),1,0)</f>
        <v>0</v>
      </c>
      <c r="Z2193" s="46" t="n">
        <f aca="false">IF(ISNUMBER(W2193),A2193-W2193,"")</f>
        <v>145</v>
      </c>
      <c r="AA2193" s="46" t="n">
        <f aca="false">MATCH(A2193,DATAS,0)</f>
        <v>1</v>
      </c>
      <c r="AB2193" s="46" t="n">
        <f aca="false">IF(AND(E2193&gt;0,OR(AND(B2193&gt;=1,B2193&lt;=6),B2193=10)),1,0)</f>
        <v>0</v>
      </c>
      <c r="AC2193" s="46" t="n">
        <f aca="false">IF(AND(E2193&gt;0,B2193=10),1,0)</f>
        <v>0</v>
      </c>
      <c r="AD2193" s="0" t="str">
        <f aca="false">IF(AND(C2192=C2193,AA2192=AA2193-1),AB2192,"")</f>
        <v/>
      </c>
      <c r="AE2193" s="0" t="str">
        <f aca="false">IF(AND(C2192=C2193,AA2192=AA2193-1),AC2192,"")</f>
        <v/>
      </c>
      <c r="AF2193" s="0" t="str">
        <f aca="false">IF(AA2193=1,"",IF(AND(AB2193=1,AD2193&lt;&gt;1),1,0))</f>
        <v/>
      </c>
      <c r="AG2193" s="0" t="str">
        <f aca="false">IF(AA2193=1,"",IF(AND(AC2193=1,AE2193&lt;&gt;1),1,0))</f>
        <v/>
      </c>
      <c r="AH2193" s="51" t="str">
        <f aca="false">IF(AND(E2193&gt;0,AA2193&lt;1,NOT(AND(C2194=C2193,AA2194=AA2193+1))),INDEX(DATAS,AA2193+1),"")</f>
        <v/>
      </c>
      <c r="AI2193" s="51" t="str">
        <f aca="false">IF(AND(AC2193=1,AA2193&lt;1),IF(AND(C2194=C2193,AA2194=AA2193+1),IF(AC2194=1,"",INDEX(DATAS,AA2193+1)),INDEX(DATAS,AA2193+1)),"")</f>
        <v/>
      </c>
    </row>
    <row r="2194" customFormat="false" ht="15" hidden="false" customHeight="false" outlineLevel="0" collapsed="false">
      <c r="A2194" s="51" t="n">
        <v>46309</v>
      </c>
      <c r="B2194" s="0" t="n">
        <v>8</v>
      </c>
      <c r="C2194" s="0" t="n">
        <v>6478</v>
      </c>
      <c r="E2194" s="0" t="n">
        <v>0</v>
      </c>
      <c r="F2194" s="46" t="s">
        <v>1214</v>
      </c>
      <c r="I2194" s="46" t="s">
        <v>152</v>
      </c>
      <c r="L2194" s="0" t="n">
        <v>140</v>
      </c>
      <c r="U2194" s="0" t="n">
        <v>544</v>
      </c>
      <c r="V2194" s="0" t="n">
        <v>1</v>
      </c>
      <c r="W2194" s="51" t="n">
        <v>46170</v>
      </c>
      <c r="X2194" s="46" t="n">
        <f aca="false">IF(I2194="Male",0,1)</f>
        <v>1</v>
      </c>
      <c r="Y2194" s="46" t="n">
        <f aca="false">IF(OR(I2194="DNB",I2194="Dry DNB"),1,0)</f>
        <v>0</v>
      </c>
      <c r="Z2194" s="46" t="n">
        <f aca="false">IF(ISNUMBER(W2194),A2194-W2194,"")</f>
        <v>139</v>
      </c>
      <c r="AA2194" s="46" t="n">
        <f aca="false">MATCH(A2194,DATAS,0)</f>
        <v>1</v>
      </c>
      <c r="AB2194" s="46" t="n">
        <f aca="false">IF(AND(E2194&gt;0,OR(AND(B2194&gt;=1,B2194&lt;=6),B2194=10)),1,0)</f>
        <v>0</v>
      </c>
      <c r="AC2194" s="46" t="n">
        <f aca="false">IF(AND(E2194&gt;0,B2194=10),1,0)</f>
        <v>0</v>
      </c>
      <c r="AD2194" s="0" t="str">
        <f aca="false">IF(AND(C2193=C2194,AA2193=AA2194-1),AB2193,"")</f>
        <v/>
      </c>
      <c r="AE2194" s="0" t="str">
        <f aca="false">IF(AND(C2193=C2194,AA2193=AA2194-1),AC2193,"")</f>
        <v/>
      </c>
      <c r="AF2194" s="0" t="str">
        <f aca="false">IF(AA2194=1,"",IF(AND(AB2194=1,AD2194&lt;&gt;1),1,0))</f>
        <v/>
      </c>
      <c r="AG2194" s="0" t="str">
        <f aca="false">IF(AA2194=1,"",IF(AND(AC2194=1,AE2194&lt;&gt;1),1,0))</f>
        <v/>
      </c>
      <c r="AH2194" s="51" t="str">
        <f aca="false">IF(AND(E2194&gt;0,AA2194&lt;1,NOT(AND(C2195=C2194,AA2195=AA2194+1))),INDEX(DATAS,AA2194+1),"")</f>
        <v/>
      </c>
      <c r="AI2194" s="51" t="str">
        <f aca="false">IF(AND(AC2194=1,AA2194&lt;1),IF(AND(C2195=C2194,AA2195=AA2194+1),IF(AC2195=1,"",INDEX(DATAS,AA2194+1)),INDEX(DATAS,AA2194+1)),"")</f>
        <v/>
      </c>
    </row>
    <row r="2195" customFormat="false" ht="15" hidden="false" customHeight="false" outlineLevel="0" collapsed="false">
      <c r="A2195" s="51" t="n">
        <v>46309</v>
      </c>
      <c r="B2195" s="0" t="n">
        <v>8</v>
      </c>
      <c r="C2195" s="0" t="n">
        <v>6479</v>
      </c>
      <c r="E2195" s="0" t="n">
        <v>0</v>
      </c>
      <c r="F2195" s="46" t="s">
        <v>1214</v>
      </c>
      <c r="I2195" s="46" t="s">
        <v>152</v>
      </c>
      <c r="L2195" s="0" t="n">
        <v>77</v>
      </c>
      <c r="U2195" s="0" t="n">
        <v>544</v>
      </c>
      <c r="V2195" s="0" t="n">
        <v>1</v>
      </c>
      <c r="W2195" s="51" t="n">
        <v>46233</v>
      </c>
      <c r="X2195" s="46" t="n">
        <f aca="false">IF(I2195="Male",0,1)</f>
        <v>1</v>
      </c>
      <c r="Y2195" s="46" t="n">
        <f aca="false">IF(OR(I2195="DNB",I2195="Dry DNB"),1,0)</f>
        <v>0</v>
      </c>
      <c r="Z2195" s="46" t="n">
        <f aca="false">IF(ISNUMBER(W2195),A2195-W2195,"")</f>
        <v>76</v>
      </c>
      <c r="AA2195" s="46" t="n">
        <f aca="false">MATCH(A2195,DATAS,0)</f>
        <v>1</v>
      </c>
      <c r="AB2195" s="46" t="n">
        <f aca="false">IF(AND(E2195&gt;0,OR(AND(B2195&gt;=1,B2195&lt;=6),B2195=10)),1,0)</f>
        <v>0</v>
      </c>
      <c r="AC2195" s="46" t="n">
        <f aca="false">IF(AND(E2195&gt;0,B2195=10),1,0)</f>
        <v>0</v>
      </c>
      <c r="AD2195" s="0" t="str">
        <f aca="false">IF(AND(C2194=C2195,AA2194=AA2195-1),AB2194,"")</f>
        <v/>
      </c>
      <c r="AE2195" s="0" t="str">
        <f aca="false">IF(AND(C2194=C2195,AA2194=AA2195-1),AC2194,"")</f>
        <v/>
      </c>
      <c r="AF2195" s="0" t="str">
        <f aca="false">IF(AA2195=1,"",IF(AND(AB2195=1,AD2195&lt;&gt;1),1,0))</f>
        <v/>
      </c>
      <c r="AG2195" s="0" t="str">
        <f aca="false">IF(AA2195=1,"",IF(AND(AC2195=1,AE2195&lt;&gt;1),1,0))</f>
        <v/>
      </c>
      <c r="AH2195" s="51" t="str">
        <f aca="false">IF(AND(E2195&gt;0,AA2195&lt;1,NOT(AND(C2196=C2195,AA2196=AA2195+1))),INDEX(DATAS,AA2195+1),"")</f>
        <v/>
      </c>
      <c r="AI2195" s="51" t="str">
        <f aca="false">IF(AND(AC2195=1,AA2195&lt;1),IF(AND(C2196=C2195,AA2196=AA2195+1),IF(AC2196=1,"",INDEX(DATAS,AA2195+1)),INDEX(DATAS,AA2195+1)),"")</f>
        <v/>
      </c>
    </row>
    <row r="2196" customFormat="false" ht="15" hidden="false" customHeight="false" outlineLevel="0" collapsed="false">
      <c r="A2196" s="51" t="n">
        <v>46309</v>
      </c>
      <c r="B2196" s="0" t="n">
        <v>8</v>
      </c>
      <c r="C2196" s="0" t="n">
        <v>6480</v>
      </c>
      <c r="E2196" s="0" t="n">
        <v>0</v>
      </c>
      <c r="F2196" s="46" t="s">
        <v>1214</v>
      </c>
      <c r="I2196" s="46" t="s">
        <v>152</v>
      </c>
      <c r="L2196" s="0" t="n">
        <v>133</v>
      </c>
      <c r="U2196" s="0" t="n">
        <v>544</v>
      </c>
      <c r="V2196" s="0" t="n">
        <v>1</v>
      </c>
      <c r="W2196" s="51" t="n">
        <v>46177</v>
      </c>
      <c r="X2196" s="46" t="n">
        <f aca="false">IF(I2196="Male",0,1)</f>
        <v>1</v>
      </c>
      <c r="Y2196" s="46" t="n">
        <f aca="false">IF(OR(I2196="DNB",I2196="Dry DNB"),1,0)</f>
        <v>0</v>
      </c>
      <c r="Z2196" s="46" t="n">
        <f aca="false">IF(ISNUMBER(W2196),A2196-W2196,"")</f>
        <v>132</v>
      </c>
      <c r="AA2196" s="46" t="n">
        <f aca="false">MATCH(A2196,DATAS,0)</f>
        <v>1</v>
      </c>
      <c r="AB2196" s="46" t="n">
        <f aca="false">IF(AND(E2196&gt;0,OR(AND(B2196&gt;=1,B2196&lt;=6),B2196=10)),1,0)</f>
        <v>0</v>
      </c>
      <c r="AC2196" s="46" t="n">
        <f aca="false">IF(AND(E2196&gt;0,B2196=10),1,0)</f>
        <v>0</v>
      </c>
      <c r="AD2196" s="0" t="str">
        <f aca="false">IF(AND(C2195=C2196,AA2195=AA2196-1),AB2195,"")</f>
        <v/>
      </c>
      <c r="AE2196" s="0" t="str">
        <f aca="false">IF(AND(C2195=C2196,AA2195=AA2196-1),AC2195,"")</f>
        <v/>
      </c>
      <c r="AF2196" s="0" t="str">
        <f aca="false">IF(AA2196=1,"",IF(AND(AB2196=1,AD2196&lt;&gt;1),1,0))</f>
        <v/>
      </c>
      <c r="AG2196" s="0" t="str">
        <f aca="false">IF(AA2196=1,"",IF(AND(AC2196=1,AE2196&lt;&gt;1),1,0))</f>
        <v/>
      </c>
      <c r="AH2196" s="51" t="str">
        <f aca="false">IF(AND(E2196&gt;0,AA2196&lt;1,NOT(AND(C2197=C2196,AA2197=AA2196+1))),INDEX(DATAS,AA2196+1),"")</f>
        <v/>
      </c>
      <c r="AI2196" s="51" t="str">
        <f aca="false">IF(AND(AC2196=1,AA2196&lt;1),IF(AND(C2197=C2196,AA2197=AA2196+1),IF(AC2197=1,"",INDEX(DATAS,AA2196+1)),INDEX(DATAS,AA2196+1)),"")</f>
        <v/>
      </c>
    </row>
    <row r="2197" customFormat="false" ht="15" hidden="false" customHeight="false" outlineLevel="0" collapsed="false">
      <c r="A2197" s="51" t="n">
        <v>46309</v>
      </c>
      <c r="B2197" s="0" t="n">
        <v>8</v>
      </c>
      <c r="C2197" s="0" t="n">
        <v>6481</v>
      </c>
      <c r="E2197" s="0" t="n">
        <v>0</v>
      </c>
      <c r="F2197" s="46" t="s">
        <v>1214</v>
      </c>
      <c r="I2197" s="46" t="s">
        <v>152</v>
      </c>
      <c r="L2197" s="0" t="n">
        <v>143</v>
      </c>
      <c r="U2197" s="0" t="n">
        <v>544</v>
      </c>
      <c r="V2197" s="0" t="n">
        <v>1</v>
      </c>
      <c r="W2197" s="51" t="n">
        <v>46167</v>
      </c>
      <c r="X2197" s="46" t="n">
        <f aca="false">IF(I2197="Male",0,1)</f>
        <v>1</v>
      </c>
      <c r="Y2197" s="46" t="n">
        <f aca="false">IF(OR(I2197="DNB",I2197="Dry DNB"),1,0)</f>
        <v>0</v>
      </c>
      <c r="Z2197" s="46" t="n">
        <f aca="false">IF(ISNUMBER(W2197),A2197-W2197,"")</f>
        <v>142</v>
      </c>
      <c r="AA2197" s="46" t="n">
        <f aca="false">MATCH(A2197,DATAS,0)</f>
        <v>1</v>
      </c>
      <c r="AB2197" s="46" t="n">
        <f aca="false">IF(AND(E2197&gt;0,OR(AND(B2197&gt;=1,B2197&lt;=6),B2197=10)),1,0)</f>
        <v>0</v>
      </c>
      <c r="AC2197" s="46" t="n">
        <f aca="false">IF(AND(E2197&gt;0,B2197=10),1,0)</f>
        <v>0</v>
      </c>
      <c r="AD2197" s="0" t="str">
        <f aca="false">IF(AND(C2196=C2197,AA2196=AA2197-1),AB2196,"")</f>
        <v/>
      </c>
      <c r="AE2197" s="0" t="str">
        <f aca="false">IF(AND(C2196=C2197,AA2196=AA2197-1),AC2196,"")</f>
        <v/>
      </c>
      <c r="AF2197" s="0" t="str">
        <f aca="false">IF(AA2197=1,"",IF(AND(AB2197=1,AD2197&lt;&gt;1),1,0))</f>
        <v/>
      </c>
      <c r="AG2197" s="0" t="str">
        <f aca="false">IF(AA2197=1,"",IF(AND(AC2197=1,AE2197&lt;&gt;1),1,0))</f>
        <v/>
      </c>
      <c r="AH2197" s="51" t="str">
        <f aca="false">IF(AND(E2197&gt;0,AA2197&lt;1,NOT(AND(C2198=C2197,AA2198=AA2197+1))),INDEX(DATAS,AA2197+1),"")</f>
        <v/>
      </c>
      <c r="AI2197" s="51" t="str">
        <f aca="false">IF(AND(AC2197=1,AA2197&lt;1),IF(AND(C2198=C2197,AA2198=AA2197+1),IF(AC2198=1,"",INDEX(DATAS,AA2197+1)),INDEX(DATAS,AA2197+1)),"")</f>
        <v/>
      </c>
    </row>
    <row r="2198" customFormat="false" ht="15" hidden="false" customHeight="false" outlineLevel="0" collapsed="false">
      <c r="A2198" s="51" t="n">
        <v>46309</v>
      </c>
      <c r="B2198" s="0" t="n">
        <v>8</v>
      </c>
      <c r="C2198" s="0" t="n">
        <v>6482</v>
      </c>
      <c r="E2198" s="0" t="n">
        <v>0</v>
      </c>
      <c r="F2198" s="46" t="s">
        <v>1214</v>
      </c>
      <c r="I2198" s="46" t="s">
        <v>152</v>
      </c>
      <c r="L2198" s="0" t="n">
        <v>143</v>
      </c>
      <c r="U2198" s="0" t="n">
        <v>544</v>
      </c>
      <c r="V2198" s="0" t="n">
        <v>1</v>
      </c>
      <c r="W2198" s="51" t="n">
        <v>46167</v>
      </c>
      <c r="X2198" s="46" t="n">
        <f aca="false">IF(I2198="Male",0,1)</f>
        <v>1</v>
      </c>
      <c r="Y2198" s="46" t="n">
        <f aca="false">IF(OR(I2198="DNB",I2198="Dry DNB"),1,0)</f>
        <v>0</v>
      </c>
      <c r="Z2198" s="46" t="n">
        <f aca="false">IF(ISNUMBER(W2198),A2198-W2198,"")</f>
        <v>142</v>
      </c>
      <c r="AA2198" s="46" t="n">
        <f aca="false">MATCH(A2198,DATAS,0)</f>
        <v>1</v>
      </c>
      <c r="AB2198" s="46" t="n">
        <f aca="false">IF(AND(E2198&gt;0,OR(AND(B2198&gt;=1,B2198&lt;=6),B2198=10)),1,0)</f>
        <v>0</v>
      </c>
      <c r="AC2198" s="46" t="n">
        <f aca="false">IF(AND(E2198&gt;0,B2198=10),1,0)</f>
        <v>0</v>
      </c>
      <c r="AD2198" s="0" t="str">
        <f aca="false">IF(AND(C2197=C2198,AA2197=AA2198-1),AB2197,"")</f>
        <v/>
      </c>
      <c r="AE2198" s="0" t="str">
        <f aca="false">IF(AND(C2197=C2198,AA2197=AA2198-1),AC2197,"")</f>
        <v/>
      </c>
      <c r="AF2198" s="0" t="str">
        <f aca="false">IF(AA2198=1,"",IF(AND(AB2198=1,AD2198&lt;&gt;1),1,0))</f>
        <v/>
      </c>
      <c r="AG2198" s="0" t="str">
        <f aca="false">IF(AA2198=1,"",IF(AND(AC2198=1,AE2198&lt;&gt;1),1,0))</f>
        <v/>
      </c>
      <c r="AH2198" s="51" t="str">
        <f aca="false">IF(AND(E2198&gt;0,AA2198&lt;1,NOT(AND(C2199=C2198,AA2199=AA2198+1))),INDEX(DATAS,AA2198+1),"")</f>
        <v/>
      </c>
      <c r="AI2198" s="51" t="str">
        <f aca="false">IF(AND(AC2198=1,AA2198&lt;1),IF(AND(C2199=C2198,AA2199=AA2198+1),IF(AC2199=1,"",INDEX(DATAS,AA2198+1)),INDEX(DATAS,AA2198+1)),"")</f>
        <v/>
      </c>
    </row>
    <row r="2199" customFormat="false" ht="15" hidden="false" customHeight="false" outlineLevel="0" collapsed="false">
      <c r="A2199" s="51" t="n">
        <v>46309</v>
      </c>
      <c r="B2199" s="0" t="n">
        <v>8</v>
      </c>
      <c r="C2199" s="0" t="n">
        <v>6483</v>
      </c>
      <c r="E2199" s="0" t="n">
        <v>0</v>
      </c>
      <c r="F2199" s="46" t="s">
        <v>1215</v>
      </c>
      <c r="I2199" s="46" t="s">
        <v>152</v>
      </c>
      <c r="L2199" s="0" t="n">
        <v>55</v>
      </c>
      <c r="U2199" s="0" t="n">
        <v>543</v>
      </c>
      <c r="V2199" s="0" t="n">
        <v>3</v>
      </c>
      <c r="W2199" s="51" t="n">
        <v>46220</v>
      </c>
      <c r="X2199" s="46" t="n">
        <f aca="false">IF(I2199="Male",0,1)</f>
        <v>1</v>
      </c>
      <c r="Y2199" s="46" t="n">
        <f aca="false">IF(OR(I2199="DNB",I2199="Dry DNB"),1,0)</f>
        <v>0</v>
      </c>
      <c r="Z2199" s="46" t="n">
        <f aca="false">IF(ISNUMBER(W2199),A2199-W2199,"")</f>
        <v>89</v>
      </c>
      <c r="AA2199" s="46" t="n">
        <f aca="false">MATCH(A2199,DATAS,0)</f>
        <v>1</v>
      </c>
      <c r="AB2199" s="46" t="n">
        <f aca="false">IF(AND(E2199&gt;0,OR(AND(B2199&gt;=1,B2199&lt;=6),B2199=10)),1,0)</f>
        <v>0</v>
      </c>
      <c r="AC2199" s="46" t="n">
        <f aca="false">IF(AND(E2199&gt;0,B2199=10),1,0)</f>
        <v>0</v>
      </c>
      <c r="AD2199" s="0" t="str">
        <f aca="false">IF(AND(C2198=C2199,AA2198=AA2199-1),AB2198,"")</f>
        <v/>
      </c>
      <c r="AE2199" s="0" t="str">
        <f aca="false">IF(AND(C2198=C2199,AA2198=AA2199-1),AC2198,"")</f>
        <v/>
      </c>
      <c r="AF2199" s="0" t="str">
        <f aca="false">IF(AA2199=1,"",IF(AND(AB2199=1,AD2199&lt;&gt;1),1,0))</f>
        <v/>
      </c>
      <c r="AG2199" s="0" t="str">
        <f aca="false">IF(AA2199=1,"",IF(AND(AC2199=1,AE2199&lt;&gt;1),1,0))</f>
        <v/>
      </c>
      <c r="AH2199" s="51" t="str">
        <f aca="false">IF(AND(E2199&gt;0,AA2199&lt;1,NOT(AND(C2200=C2199,AA2200=AA2199+1))),INDEX(DATAS,AA2199+1),"")</f>
        <v/>
      </c>
      <c r="AI2199" s="51" t="str">
        <f aca="false">IF(AND(AC2199=1,AA2199&lt;1),IF(AND(C2200=C2199,AA2200=AA2199+1),IF(AC2200=1,"",INDEX(DATAS,AA2199+1)),INDEX(DATAS,AA2199+1)),"")</f>
        <v/>
      </c>
    </row>
    <row r="2200" customFormat="false" ht="15" hidden="false" customHeight="false" outlineLevel="0" collapsed="false">
      <c r="A2200" s="51" t="n">
        <v>46309</v>
      </c>
      <c r="B2200" s="0" t="n">
        <v>8</v>
      </c>
      <c r="C2200" s="0" t="n">
        <v>6484</v>
      </c>
      <c r="E2200" s="0" t="n">
        <v>0</v>
      </c>
      <c r="F2200" s="46" t="s">
        <v>1215</v>
      </c>
      <c r="I2200" s="46" t="s">
        <v>152</v>
      </c>
      <c r="L2200" s="0" t="n">
        <v>149</v>
      </c>
      <c r="U2200" s="0" t="n">
        <v>543</v>
      </c>
      <c r="V2200" s="0" t="n">
        <v>1</v>
      </c>
      <c r="W2200" s="51" t="n">
        <v>46161</v>
      </c>
      <c r="X2200" s="46" t="n">
        <f aca="false">IF(I2200="Male",0,1)</f>
        <v>1</v>
      </c>
      <c r="Y2200" s="46" t="n">
        <f aca="false">IF(OR(I2200="DNB",I2200="Dry DNB"),1,0)</f>
        <v>0</v>
      </c>
      <c r="Z2200" s="46" t="n">
        <f aca="false">IF(ISNUMBER(W2200),A2200-W2200,"")</f>
        <v>148</v>
      </c>
      <c r="AA2200" s="46" t="n">
        <f aca="false">MATCH(A2200,DATAS,0)</f>
        <v>1</v>
      </c>
      <c r="AB2200" s="46" t="n">
        <f aca="false">IF(AND(E2200&gt;0,OR(AND(B2200&gt;=1,B2200&lt;=6),B2200=10)),1,0)</f>
        <v>0</v>
      </c>
      <c r="AC2200" s="46" t="n">
        <f aca="false">IF(AND(E2200&gt;0,B2200=10),1,0)</f>
        <v>0</v>
      </c>
      <c r="AD2200" s="0" t="str">
        <f aca="false">IF(AND(C2199=C2200,AA2199=AA2200-1),AB2199,"")</f>
        <v/>
      </c>
      <c r="AE2200" s="0" t="str">
        <f aca="false">IF(AND(C2199=C2200,AA2199=AA2200-1),AC2199,"")</f>
        <v/>
      </c>
      <c r="AF2200" s="0" t="str">
        <f aca="false">IF(AA2200=1,"",IF(AND(AB2200=1,AD2200&lt;&gt;1),1,0))</f>
        <v/>
      </c>
      <c r="AG2200" s="0" t="str">
        <f aca="false">IF(AA2200=1,"",IF(AND(AC2200=1,AE2200&lt;&gt;1),1,0))</f>
        <v/>
      </c>
      <c r="AH2200" s="51" t="str">
        <f aca="false">IF(AND(E2200&gt;0,AA2200&lt;1,NOT(AND(C2201=C2200,AA2201=AA2200+1))),INDEX(DATAS,AA2200+1),"")</f>
        <v/>
      </c>
      <c r="AI2200" s="51" t="str">
        <f aca="false">IF(AND(AC2200=1,AA2200&lt;1),IF(AND(C2201=C2200,AA2201=AA2200+1),IF(AC2201=1,"",INDEX(DATAS,AA2200+1)),INDEX(DATAS,AA2200+1)),"")</f>
        <v/>
      </c>
    </row>
    <row r="2201" customFormat="false" ht="15" hidden="false" customHeight="false" outlineLevel="0" collapsed="false">
      <c r="A2201" s="51" t="n">
        <v>46309</v>
      </c>
      <c r="B2201" s="0" t="n">
        <v>8</v>
      </c>
      <c r="C2201" s="0" t="n">
        <v>6485</v>
      </c>
      <c r="E2201" s="0" t="n">
        <v>0</v>
      </c>
      <c r="F2201" s="46" t="s">
        <v>1216</v>
      </c>
      <c r="I2201" s="46" t="s">
        <v>152</v>
      </c>
      <c r="L2201" s="0" t="n">
        <v>61</v>
      </c>
      <c r="U2201" s="0" t="n">
        <v>542</v>
      </c>
      <c r="V2201" s="0" t="n">
        <v>4</v>
      </c>
      <c r="W2201" s="51" t="n">
        <v>46249</v>
      </c>
      <c r="X2201" s="46" t="n">
        <f aca="false">IF(I2201="Male",0,1)</f>
        <v>1</v>
      </c>
      <c r="Y2201" s="46" t="n">
        <f aca="false">IF(OR(I2201="DNB",I2201="Dry DNB"),1,0)</f>
        <v>0</v>
      </c>
      <c r="Z2201" s="46" t="n">
        <f aca="false">IF(ISNUMBER(W2201),A2201-W2201,"")</f>
        <v>60</v>
      </c>
      <c r="AA2201" s="46" t="n">
        <f aca="false">MATCH(A2201,DATAS,0)</f>
        <v>1</v>
      </c>
      <c r="AB2201" s="46" t="n">
        <f aca="false">IF(AND(E2201&gt;0,OR(AND(B2201&gt;=1,B2201&lt;=6),B2201=10)),1,0)</f>
        <v>0</v>
      </c>
      <c r="AC2201" s="46" t="n">
        <f aca="false">IF(AND(E2201&gt;0,B2201=10),1,0)</f>
        <v>0</v>
      </c>
      <c r="AD2201" s="0" t="str">
        <f aca="false">IF(AND(C2200=C2201,AA2200=AA2201-1),AB2200,"")</f>
        <v/>
      </c>
      <c r="AE2201" s="0" t="str">
        <f aca="false">IF(AND(C2200=C2201,AA2200=AA2201-1),AC2200,"")</f>
        <v/>
      </c>
      <c r="AF2201" s="0" t="str">
        <f aca="false">IF(AA2201=1,"",IF(AND(AB2201=1,AD2201&lt;&gt;1),1,0))</f>
        <v/>
      </c>
      <c r="AG2201" s="0" t="str">
        <f aca="false">IF(AA2201=1,"",IF(AND(AC2201=1,AE2201&lt;&gt;1),1,0))</f>
        <v/>
      </c>
      <c r="AH2201" s="51" t="str">
        <f aca="false">IF(AND(E2201&gt;0,AA2201&lt;1,NOT(AND(C2202=C2201,AA2202=AA2201+1))),INDEX(DATAS,AA2201+1),"")</f>
        <v/>
      </c>
      <c r="AI2201" s="51" t="str">
        <f aca="false">IF(AND(AC2201=1,AA2201&lt;1),IF(AND(C2202=C2201,AA2202=AA2201+1),IF(AC2202=1,"",INDEX(DATAS,AA2201+1)),INDEX(DATAS,AA2201+1)),"")</f>
        <v/>
      </c>
    </row>
    <row r="2202" customFormat="false" ht="15" hidden="false" customHeight="false" outlineLevel="0" collapsed="false">
      <c r="A2202" s="51" t="n">
        <v>46309</v>
      </c>
      <c r="B2202" s="0" t="n">
        <v>8</v>
      </c>
      <c r="C2202" s="0" t="n">
        <v>6486</v>
      </c>
      <c r="E2202" s="0" t="n">
        <v>0</v>
      </c>
      <c r="F2202" s="46" t="s">
        <v>1216</v>
      </c>
      <c r="I2202" s="46" t="s">
        <v>152</v>
      </c>
      <c r="L2202" s="0" t="n">
        <v>145</v>
      </c>
      <c r="U2202" s="0" t="n">
        <v>542</v>
      </c>
      <c r="V2202" s="0" t="n">
        <v>1</v>
      </c>
      <c r="W2202" s="51" t="n">
        <v>46165</v>
      </c>
      <c r="X2202" s="46" t="n">
        <f aca="false">IF(I2202="Male",0,1)</f>
        <v>1</v>
      </c>
      <c r="Y2202" s="46" t="n">
        <f aca="false">IF(OR(I2202="DNB",I2202="Dry DNB"),1,0)</f>
        <v>0</v>
      </c>
      <c r="Z2202" s="46" t="n">
        <f aca="false">IF(ISNUMBER(W2202),A2202-W2202,"")</f>
        <v>144</v>
      </c>
      <c r="AA2202" s="46" t="n">
        <f aca="false">MATCH(A2202,DATAS,0)</f>
        <v>1</v>
      </c>
      <c r="AB2202" s="46" t="n">
        <f aca="false">IF(AND(E2202&gt;0,OR(AND(B2202&gt;=1,B2202&lt;=6),B2202=10)),1,0)</f>
        <v>0</v>
      </c>
      <c r="AC2202" s="46" t="n">
        <f aca="false">IF(AND(E2202&gt;0,B2202=10),1,0)</f>
        <v>0</v>
      </c>
      <c r="AD2202" s="0" t="str">
        <f aca="false">IF(AND(C2201=C2202,AA2201=AA2202-1),AB2201,"")</f>
        <v/>
      </c>
      <c r="AE2202" s="0" t="str">
        <f aca="false">IF(AND(C2201=C2202,AA2201=AA2202-1),AC2201,"")</f>
        <v/>
      </c>
      <c r="AF2202" s="0" t="str">
        <f aca="false">IF(AA2202=1,"",IF(AND(AB2202=1,AD2202&lt;&gt;1),1,0))</f>
        <v/>
      </c>
      <c r="AG2202" s="0" t="str">
        <f aca="false">IF(AA2202=1,"",IF(AND(AC2202=1,AE2202&lt;&gt;1),1,0))</f>
        <v/>
      </c>
      <c r="AH2202" s="51" t="str">
        <f aca="false">IF(AND(E2202&gt;0,AA2202&lt;1,NOT(AND(C2203=C2202,AA2203=AA2202+1))),INDEX(DATAS,AA2202+1),"")</f>
        <v/>
      </c>
      <c r="AI2202" s="51" t="str">
        <f aca="false">IF(AND(AC2202=1,AA2202&lt;1),IF(AND(C2203=C2202,AA2203=AA2202+1),IF(AC2203=1,"",INDEX(DATAS,AA2202+1)),INDEX(DATAS,AA2202+1)),"")</f>
        <v/>
      </c>
    </row>
    <row r="2203" customFormat="false" ht="15" hidden="false" customHeight="false" outlineLevel="0" collapsed="false">
      <c r="A2203" s="51" t="n">
        <v>46309</v>
      </c>
      <c r="B2203" s="0" t="n">
        <v>8</v>
      </c>
      <c r="C2203" s="0" t="n">
        <v>6487</v>
      </c>
      <c r="E2203" s="0" t="n">
        <v>0</v>
      </c>
      <c r="F2203" s="46" t="s">
        <v>1216</v>
      </c>
      <c r="I2203" s="46" t="s">
        <v>152</v>
      </c>
      <c r="L2203" s="0" t="n">
        <v>118</v>
      </c>
      <c r="U2203" s="0" t="n">
        <v>542</v>
      </c>
      <c r="V2203" s="0" t="n">
        <v>2</v>
      </c>
      <c r="W2203" s="51" t="n">
        <v>46170</v>
      </c>
      <c r="X2203" s="46" t="n">
        <f aca="false">IF(I2203="Male",0,1)</f>
        <v>1</v>
      </c>
      <c r="Y2203" s="46" t="n">
        <f aca="false">IF(OR(I2203="DNB",I2203="Dry DNB"),1,0)</f>
        <v>0</v>
      </c>
      <c r="Z2203" s="46" t="n">
        <f aca="false">IF(ISNUMBER(W2203),A2203-W2203,"")</f>
        <v>139</v>
      </c>
      <c r="AA2203" s="46" t="n">
        <f aca="false">MATCH(A2203,DATAS,0)</f>
        <v>1</v>
      </c>
      <c r="AB2203" s="46" t="n">
        <f aca="false">IF(AND(E2203&gt;0,OR(AND(B2203&gt;=1,B2203&lt;=6),B2203=10)),1,0)</f>
        <v>0</v>
      </c>
      <c r="AC2203" s="46" t="n">
        <f aca="false">IF(AND(E2203&gt;0,B2203=10),1,0)</f>
        <v>0</v>
      </c>
      <c r="AD2203" s="0" t="str">
        <f aca="false">IF(AND(C2202=C2203,AA2202=AA2203-1),AB2202,"")</f>
        <v/>
      </c>
      <c r="AE2203" s="0" t="str">
        <f aca="false">IF(AND(C2202=C2203,AA2202=AA2203-1),AC2202,"")</f>
        <v/>
      </c>
      <c r="AF2203" s="0" t="str">
        <f aca="false">IF(AA2203=1,"",IF(AND(AB2203=1,AD2203&lt;&gt;1),1,0))</f>
        <v/>
      </c>
      <c r="AG2203" s="0" t="str">
        <f aca="false">IF(AA2203=1,"",IF(AND(AC2203=1,AE2203&lt;&gt;1),1,0))</f>
        <v/>
      </c>
      <c r="AH2203" s="51" t="str">
        <f aca="false">IF(AND(E2203&gt;0,AA2203&lt;1,NOT(AND(C2204=C2203,AA2204=AA2203+1))),INDEX(DATAS,AA2203+1),"")</f>
        <v/>
      </c>
      <c r="AI2203" s="51" t="str">
        <f aca="false">IF(AND(AC2203=1,AA2203&lt;1),IF(AND(C2204=C2203,AA2204=AA2203+1),IF(AC2204=1,"",INDEX(DATAS,AA2203+1)),INDEX(DATAS,AA2203+1)),"")</f>
        <v/>
      </c>
    </row>
    <row r="2204" customFormat="false" ht="15" hidden="false" customHeight="false" outlineLevel="0" collapsed="false">
      <c r="A2204" s="51" t="n">
        <v>46309</v>
      </c>
      <c r="B2204" s="0" t="n">
        <v>8</v>
      </c>
      <c r="C2204" s="0" t="n">
        <v>6488</v>
      </c>
      <c r="E2204" s="0" t="n">
        <v>0</v>
      </c>
      <c r="F2204" s="46" t="s">
        <v>1216</v>
      </c>
      <c r="I2204" s="46" t="s">
        <v>152</v>
      </c>
      <c r="L2204" s="0" t="n">
        <v>147</v>
      </c>
      <c r="U2204" s="0" t="n">
        <v>542</v>
      </c>
      <c r="V2204" s="0" t="n">
        <v>1</v>
      </c>
      <c r="W2204" s="51" t="n">
        <v>46163</v>
      </c>
      <c r="X2204" s="46" t="n">
        <f aca="false">IF(I2204="Male",0,1)</f>
        <v>1</v>
      </c>
      <c r="Y2204" s="46" t="n">
        <f aca="false">IF(OR(I2204="DNB",I2204="Dry DNB"),1,0)</f>
        <v>0</v>
      </c>
      <c r="Z2204" s="46" t="n">
        <f aca="false">IF(ISNUMBER(W2204),A2204-W2204,"")</f>
        <v>146</v>
      </c>
      <c r="AA2204" s="46" t="n">
        <f aca="false">MATCH(A2204,DATAS,0)</f>
        <v>1</v>
      </c>
      <c r="AB2204" s="46" t="n">
        <f aca="false">IF(AND(E2204&gt;0,OR(AND(B2204&gt;=1,B2204&lt;=6),B2204=10)),1,0)</f>
        <v>0</v>
      </c>
      <c r="AC2204" s="46" t="n">
        <f aca="false">IF(AND(E2204&gt;0,B2204=10),1,0)</f>
        <v>0</v>
      </c>
      <c r="AD2204" s="0" t="str">
        <f aca="false">IF(AND(C2203=C2204,AA2203=AA2204-1),AB2203,"")</f>
        <v/>
      </c>
      <c r="AE2204" s="0" t="str">
        <f aca="false">IF(AND(C2203=C2204,AA2203=AA2204-1),AC2203,"")</f>
        <v/>
      </c>
      <c r="AF2204" s="0" t="str">
        <f aca="false">IF(AA2204=1,"",IF(AND(AB2204=1,AD2204&lt;&gt;1),1,0))</f>
        <v/>
      </c>
      <c r="AG2204" s="0" t="str">
        <f aca="false">IF(AA2204=1,"",IF(AND(AC2204=1,AE2204&lt;&gt;1),1,0))</f>
        <v/>
      </c>
      <c r="AH2204" s="51" t="str">
        <f aca="false">IF(AND(E2204&gt;0,AA2204&lt;1,NOT(AND(C2205=C2204,AA2205=AA2204+1))),INDEX(DATAS,AA2204+1),"")</f>
        <v/>
      </c>
      <c r="AI2204" s="51" t="str">
        <f aca="false">IF(AND(AC2204=1,AA2204&lt;1),IF(AND(C2205=C2204,AA2205=AA2204+1),IF(AC2205=1,"",INDEX(DATAS,AA2204+1)),INDEX(DATAS,AA2204+1)),"")</f>
        <v/>
      </c>
    </row>
    <row r="2205" customFormat="false" ht="15" hidden="false" customHeight="false" outlineLevel="0" collapsed="false">
      <c r="A2205" s="51" t="n">
        <v>46309</v>
      </c>
      <c r="B2205" s="0" t="n">
        <v>8</v>
      </c>
      <c r="C2205" s="0" t="n">
        <v>6489</v>
      </c>
      <c r="E2205" s="0" t="n">
        <v>0</v>
      </c>
      <c r="F2205" s="46" t="s">
        <v>1216</v>
      </c>
      <c r="I2205" s="46" t="s">
        <v>152</v>
      </c>
      <c r="L2205" s="0" t="n">
        <v>139</v>
      </c>
      <c r="U2205" s="0" t="n">
        <v>542</v>
      </c>
      <c r="V2205" s="0" t="n">
        <v>1</v>
      </c>
      <c r="W2205" s="51" t="n">
        <v>46171</v>
      </c>
      <c r="X2205" s="46" t="n">
        <f aca="false">IF(I2205="Male",0,1)</f>
        <v>1</v>
      </c>
      <c r="Y2205" s="46" t="n">
        <f aca="false">IF(OR(I2205="DNB",I2205="Dry DNB"),1,0)</f>
        <v>0</v>
      </c>
      <c r="Z2205" s="46" t="n">
        <f aca="false">IF(ISNUMBER(W2205),A2205-W2205,"")</f>
        <v>138</v>
      </c>
      <c r="AA2205" s="46" t="n">
        <f aca="false">MATCH(A2205,DATAS,0)</f>
        <v>1</v>
      </c>
      <c r="AB2205" s="46" t="n">
        <f aca="false">IF(AND(E2205&gt;0,OR(AND(B2205&gt;=1,B2205&lt;=6),B2205=10)),1,0)</f>
        <v>0</v>
      </c>
      <c r="AC2205" s="46" t="n">
        <f aca="false">IF(AND(E2205&gt;0,B2205=10),1,0)</f>
        <v>0</v>
      </c>
      <c r="AD2205" s="0" t="str">
        <f aca="false">IF(AND(C2204=C2205,AA2204=AA2205-1),AB2204,"")</f>
        <v/>
      </c>
      <c r="AE2205" s="0" t="str">
        <f aca="false">IF(AND(C2204=C2205,AA2204=AA2205-1),AC2204,"")</f>
        <v/>
      </c>
      <c r="AF2205" s="0" t="str">
        <f aca="false">IF(AA2205=1,"",IF(AND(AB2205=1,AD2205&lt;&gt;1),1,0))</f>
        <v/>
      </c>
      <c r="AG2205" s="0" t="str">
        <f aca="false">IF(AA2205=1,"",IF(AND(AC2205=1,AE2205&lt;&gt;1),1,0))</f>
        <v/>
      </c>
      <c r="AH2205" s="51" t="str">
        <f aca="false">IF(AND(E2205&gt;0,AA2205&lt;1,NOT(AND(C2206=C2205,AA2206=AA2205+1))),INDEX(DATAS,AA2205+1),"")</f>
        <v/>
      </c>
      <c r="AI2205" s="51" t="str">
        <f aca="false">IF(AND(AC2205=1,AA2205&lt;1),IF(AND(C2206=C2205,AA2206=AA2205+1),IF(AC2206=1,"",INDEX(DATAS,AA2205+1)),INDEX(DATAS,AA2205+1)),"")</f>
        <v/>
      </c>
    </row>
    <row r="2206" customFormat="false" ht="15" hidden="false" customHeight="false" outlineLevel="0" collapsed="false">
      <c r="A2206" s="51" t="n">
        <v>46309</v>
      </c>
      <c r="B2206" s="0" t="n">
        <v>8</v>
      </c>
      <c r="C2206" s="0" t="n">
        <v>6490</v>
      </c>
      <c r="E2206" s="0" t="n">
        <v>0</v>
      </c>
      <c r="F2206" s="46" t="s">
        <v>1217</v>
      </c>
      <c r="I2206" s="46" t="s">
        <v>152</v>
      </c>
      <c r="L2206" s="0" t="n">
        <v>105</v>
      </c>
      <c r="U2206" s="0" t="n">
        <v>540</v>
      </c>
      <c r="V2206" s="0" t="n">
        <v>3</v>
      </c>
      <c r="W2206" s="51" t="n">
        <v>46205</v>
      </c>
      <c r="X2206" s="46" t="n">
        <f aca="false">IF(I2206="Male",0,1)</f>
        <v>1</v>
      </c>
      <c r="Y2206" s="46" t="n">
        <f aca="false">IF(OR(I2206="DNB",I2206="Dry DNB"),1,0)</f>
        <v>0</v>
      </c>
      <c r="Z2206" s="46" t="n">
        <f aca="false">IF(ISNUMBER(W2206),A2206-W2206,"")</f>
        <v>104</v>
      </c>
      <c r="AA2206" s="46" t="n">
        <f aca="false">MATCH(A2206,DATAS,0)</f>
        <v>1</v>
      </c>
      <c r="AB2206" s="46" t="n">
        <f aca="false">IF(AND(E2206&gt;0,OR(AND(B2206&gt;=1,B2206&lt;=6),B2206=10)),1,0)</f>
        <v>0</v>
      </c>
      <c r="AC2206" s="46" t="n">
        <f aca="false">IF(AND(E2206&gt;0,B2206=10),1,0)</f>
        <v>0</v>
      </c>
      <c r="AD2206" s="0" t="str">
        <f aca="false">IF(AND(C2205=C2206,AA2205=AA2206-1),AB2205,"")</f>
        <v/>
      </c>
      <c r="AE2206" s="0" t="str">
        <f aca="false">IF(AND(C2205=C2206,AA2205=AA2206-1),AC2205,"")</f>
        <v/>
      </c>
      <c r="AF2206" s="0" t="str">
        <f aca="false">IF(AA2206=1,"",IF(AND(AB2206=1,AD2206&lt;&gt;1),1,0))</f>
        <v/>
      </c>
      <c r="AG2206" s="0" t="str">
        <f aca="false">IF(AA2206=1,"",IF(AND(AC2206=1,AE2206&lt;&gt;1),1,0))</f>
        <v/>
      </c>
      <c r="AH2206" s="51" t="str">
        <f aca="false">IF(AND(E2206&gt;0,AA2206&lt;1,NOT(AND(C2207=C2206,AA2207=AA2206+1))),INDEX(DATAS,AA2206+1),"")</f>
        <v/>
      </c>
      <c r="AI2206" s="51" t="str">
        <f aca="false">IF(AND(AC2206=1,AA2206&lt;1),IF(AND(C2207=C2206,AA2207=AA2206+1),IF(AC2207=1,"",INDEX(DATAS,AA2206+1)),INDEX(DATAS,AA2206+1)),"")</f>
        <v/>
      </c>
    </row>
    <row r="2207" customFormat="false" ht="15" hidden="false" customHeight="false" outlineLevel="0" collapsed="false">
      <c r="A2207" s="51" t="n">
        <v>46309</v>
      </c>
      <c r="B2207" s="0" t="n">
        <v>8</v>
      </c>
      <c r="C2207" s="0" t="n">
        <v>6491</v>
      </c>
      <c r="E2207" s="0" t="n">
        <v>0</v>
      </c>
      <c r="F2207" s="46" t="s">
        <v>1217</v>
      </c>
      <c r="I2207" s="46" t="s">
        <v>152</v>
      </c>
      <c r="L2207" s="0" t="n">
        <v>81</v>
      </c>
      <c r="U2207" s="0" t="n">
        <v>540</v>
      </c>
      <c r="V2207" s="0" t="n">
        <v>4</v>
      </c>
      <c r="W2207" s="51" t="n">
        <v>46229</v>
      </c>
      <c r="X2207" s="46" t="n">
        <f aca="false">IF(I2207="Male",0,1)</f>
        <v>1</v>
      </c>
      <c r="Y2207" s="46" t="n">
        <f aca="false">IF(OR(I2207="DNB",I2207="Dry DNB"),1,0)</f>
        <v>0</v>
      </c>
      <c r="Z2207" s="46" t="n">
        <f aca="false">IF(ISNUMBER(W2207),A2207-W2207,"")</f>
        <v>80</v>
      </c>
      <c r="AA2207" s="46" t="n">
        <f aca="false">MATCH(A2207,DATAS,0)</f>
        <v>1</v>
      </c>
      <c r="AB2207" s="46" t="n">
        <f aca="false">IF(AND(E2207&gt;0,OR(AND(B2207&gt;=1,B2207&lt;=6),B2207=10)),1,0)</f>
        <v>0</v>
      </c>
      <c r="AC2207" s="46" t="n">
        <f aca="false">IF(AND(E2207&gt;0,B2207=10),1,0)</f>
        <v>0</v>
      </c>
      <c r="AD2207" s="0" t="str">
        <f aca="false">IF(AND(C2206=C2207,AA2206=AA2207-1),AB2206,"")</f>
        <v/>
      </c>
      <c r="AE2207" s="0" t="str">
        <f aca="false">IF(AND(C2206=C2207,AA2206=AA2207-1),AC2206,"")</f>
        <v/>
      </c>
      <c r="AF2207" s="0" t="str">
        <f aca="false">IF(AA2207=1,"",IF(AND(AB2207=1,AD2207&lt;&gt;1),1,0))</f>
        <v/>
      </c>
      <c r="AG2207" s="0" t="str">
        <f aca="false">IF(AA2207=1,"",IF(AND(AC2207=1,AE2207&lt;&gt;1),1,0))</f>
        <v/>
      </c>
      <c r="AH2207" s="51" t="str">
        <f aca="false">IF(AND(E2207&gt;0,AA2207&lt;1,NOT(AND(C2208=C2207,AA2208=AA2207+1))),INDEX(DATAS,AA2207+1),"")</f>
        <v/>
      </c>
      <c r="AI2207" s="51" t="str">
        <f aca="false">IF(AND(AC2207=1,AA2207&lt;1),IF(AND(C2208=C2207,AA2208=AA2207+1),IF(AC2208=1,"",INDEX(DATAS,AA2207+1)),INDEX(DATAS,AA2207+1)),"")</f>
        <v/>
      </c>
    </row>
    <row r="2208" customFormat="false" ht="15" hidden="false" customHeight="false" outlineLevel="0" collapsed="false">
      <c r="A2208" s="51" t="n">
        <v>46309</v>
      </c>
      <c r="B2208" s="0" t="n">
        <v>11</v>
      </c>
      <c r="C2208" s="0" t="n">
        <v>6492</v>
      </c>
      <c r="E2208" s="0" t="n">
        <v>0</v>
      </c>
      <c r="F2208" s="46" t="s">
        <v>1217</v>
      </c>
      <c r="I2208" s="46" t="s">
        <v>181</v>
      </c>
      <c r="U2208" s="0" t="n">
        <v>540</v>
      </c>
      <c r="V2208" s="0" t="n">
        <v>3</v>
      </c>
      <c r="W2208" s="51" t="n">
        <v>46303</v>
      </c>
      <c r="X2208" s="46" t="n">
        <f aca="false">IF(I2208="Male",0,1)</f>
        <v>1</v>
      </c>
      <c r="Y2208" s="46" t="n">
        <f aca="false">IF(OR(I2208="DNB",I2208="Dry DNB"),1,0)</f>
        <v>0</v>
      </c>
      <c r="Z2208" s="46" t="n">
        <f aca="false">IF(ISNUMBER(W2208),A2208-W2208,"")</f>
        <v>6</v>
      </c>
      <c r="AA2208" s="46" t="n">
        <f aca="false">MATCH(A2208,DATAS,0)</f>
        <v>1</v>
      </c>
      <c r="AB2208" s="46" t="n">
        <f aca="false">IF(AND(E2208&gt;0,OR(AND(B2208&gt;=1,B2208&lt;=6),B2208=10)),1,0)</f>
        <v>0</v>
      </c>
      <c r="AC2208" s="46" t="n">
        <f aca="false">IF(AND(E2208&gt;0,B2208=10),1,0)</f>
        <v>0</v>
      </c>
      <c r="AD2208" s="0" t="str">
        <f aca="false">IF(AND(C2207=C2208,AA2207=AA2208-1),AB2207,"")</f>
        <v/>
      </c>
      <c r="AE2208" s="0" t="str">
        <f aca="false">IF(AND(C2207=C2208,AA2207=AA2208-1),AC2207,"")</f>
        <v/>
      </c>
      <c r="AF2208" s="0" t="str">
        <f aca="false">IF(AA2208=1,"",IF(AND(AB2208=1,AD2208&lt;&gt;1),1,0))</f>
        <v/>
      </c>
      <c r="AG2208" s="0" t="str">
        <f aca="false">IF(AA2208=1,"",IF(AND(AC2208=1,AE2208&lt;&gt;1),1,0))</f>
        <v/>
      </c>
      <c r="AH2208" s="51" t="str">
        <f aca="false">IF(AND(E2208&gt;0,AA2208&lt;1,NOT(AND(C2209=C2208,AA2209=AA2208+1))),INDEX(DATAS,AA2208+1),"")</f>
        <v/>
      </c>
      <c r="AI2208" s="51" t="str">
        <f aca="false">IF(AND(AC2208=1,AA2208&lt;1),IF(AND(C2209=C2208,AA2209=AA2208+1),IF(AC2209=1,"",INDEX(DATAS,AA2208+1)),INDEX(DATAS,AA2208+1)),"")</f>
        <v/>
      </c>
    </row>
    <row r="2209" customFormat="false" ht="15" hidden="false" customHeight="false" outlineLevel="0" collapsed="false">
      <c r="A2209" s="51" t="n">
        <v>46309</v>
      </c>
      <c r="B2209" s="0" t="n">
        <v>8</v>
      </c>
      <c r="C2209" s="0" t="n">
        <v>6493</v>
      </c>
      <c r="E2209" s="0" t="n">
        <v>0</v>
      </c>
      <c r="F2209" s="46" t="s">
        <v>1217</v>
      </c>
      <c r="I2209" s="46" t="s">
        <v>152</v>
      </c>
      <c r="L2209" s="0" t="n">
        <v>140</v>
      </c>
      <c r="U2209" s="0" t="n">
        <v>540</v>
      </c>
      <c r="V2209" s="0" t="n">
        <v>1</v>
      </c>
      <c r="W2209" s="51" t="n">
        <v>46170</v>
      </c>
      <c r="X2209" s="46" t="n">
        <f aca="false">IF(I2209="Male",0,1)</f>
        <v>1</v>
      </c>
      <c r="Y2209" s="46" t="n">
        <f aca="false">IF(OR(I2209="DNB",I2209="Dry DNB"),1,0)</f>
        <v>0</v>
      </c>
      <c r="Z2209" s="46" t="n">
        <f aca="false">IF(ISNUMBER(W2209),A2209-W2209,"")</f>
        <v>139</v>
      </c>
      <c r="AA2209" s="46" t="n">
        <f aca="false">MATCH(A2209,DATAS,0)</f>
        <v>1</v>
      </c>
      <c r="AB2209" s="46" t="n">
        <f aca="false">IF(AND(E2209&gt;0,OR(AND(B2209&gt;=1,B2209&lt;=6),B2209=10)),1,0)</f>
        <v>0</v>
      </c>
      <c r="AC2209" s="46" t="n">
        <f aca="false">IF(AND(E2209&gt;0,B2209=10),1,0)</f>
        <v>0</v>
      </c>
      <c r="AD2209" s="0" t="str">
        <f aca="false">IF(AND(C2208=C2209,AA2208=AA2209-1),AB2208,"")</f>
        <v/>
      </c>
      <c r="AE2209" s="0" t="str">
        <f aca="false">IF(AND(C2208=C2209,AA2208=AA2209-1),AC2208,"")</f>
        <v/>
      </c>
      <c r="AF2209" s="0" t="str">
        <f aca="false">IF(AA2209=1,"",IF(AND(AB2209=1,AD2209&lt;&gt;1),1,0))</f>
        <v/>
      </c>
      <c r="AG2209" s="0" t="str">
        <f aca="false">IF(AA2209=1,"",IF(AND(AC2209=1,AE2209&lt;&gt;1),1,0))</f>
        <v/>
      </c>
      <c r="AH2209" s="51" t="str">
        <f aca="false">IF(AND(E2209&gt;0,AA2209&lt;1,NOT(AND(C2210=C2209,AA2210=AA2209+1))),INDEX(DATAS,AA2209+1),"")</f>
        <v/>
      </c>
      <c r="AI2209" s="51" t="str">
        <f aca="false">IF(AND(AC2209=1,AA2209&lt;1),IF(AND(C2210=C2209,AA2210=AA2209+1),IF(AC2210=1,"",INDEX(DATAS,AA2209+1)),INDEX(DATAS,AA2209+1)),"")</f>
        <v/>
      </c>
    </row>
    <row r="2210" customFormat="false" ht="15" hidden="false" customHeight="false" outlineLevel="0" collapsed="false">
      <c r="A2210" s="51" t="n">
        <v>46309</v>
      </c>
      <c r="B2210" s="0" t="n">
        <v>8</v>
      </c>
      <c r="C2210" s="0" t="n">
        <v>6494</v>
      </c>
      <c r="E2210" s="0" t="n">
        <v>0</v>
      </c>
      <c r="F2210" s="46" t="s">
        <v>1217</v>
      </c>
      <c r="I2210" s="46" t="s">
        <v>152</v>
      </c>
      <c r="L2210" s="0" t="n">
        <v>131</v>
      </c>
      <c r="U2210" s="0" t="n">
        <v>540</v>
      </c>
      <c r="V2210" s="0" t="n">
        <v>1</v>
      </c>
      <c r="W2210" s="51" t="n">
        <v>46179</v>
      </c>
      <c r="X2210" s="46" t="n">
        <f aca="false">IF(I2210="Male",0,1)</f>
        <v>1</v>
      </c>
      <c r="Y2210" s="46" t="n">
        <f aca="false">IF(OR(I2210="DNB",I2210="Dry DNB"),1,0)</f>
        <v>0</v>
      </c>
      <c r="Z2210" s="46" t="n">
        <f aca="false">IF(ISNUMBER(W2210),A2210-W2210,"")</f>
        <v>130</v>
      </c>
      <c r="AA2210" s="46" t="n">
        <f aca="false">MATCH(A2210,DATAS,0)</f>
        <v>1</v>
      </c>
      <c r="AB2210" s="46" t="n">
        <f aca="false">IF(AND(E2210&gt;0,OR(AND(B2210&gt;=1,B2210&lt;=6),B2210=10)),1,0)</f>
        <v>0</v>
      </c>
      <c r="AC2210" s="46" t="n">
        <f aca="false">IF(AND(E2210&gt;0,B2210=10),1,0)</f>
        <v>0</v>
      </c>
      <c r="AD2210" s="0" t="str">
        <f aca="false">IF(AND(C2209=C2210,AA2209=AA2210-1),AB2209,"")</f>
        <v/>
      </c>
      <c r="AE2210" s="0" t="str">
        <f aca="false">IF(AND(C2209=C2210,AA2209=AA2210-1),AC2209,"")</f>
        <v/>
      </c>
      <c r="AF2210" s="0" t="str">
        <f aca="false">IF(AA2210=1,"",IF(AND(AB2210=1,AD2210&lt;&gt;1),1,0))</f>
        <v/>
      </c>
      <c r="AG2210" s="0" t="str">
        <f aca="false">IF(AA2210=1,"",IF(AND(AC2210=1,AE2210&lt;&gt;1),1,0))</f>
        <v/>
      </c>
      <c r="AH2210" s="51" t="str">
        <f aca="false">IF(AND(E2210&gt;0,AA2210&lt;1,NOT(AND(C2211=C2210,AA2211=AA2210+1))),INDEX(DATAS,AA2210+1),"")</f>
        <v/>
      </c>
      <c r="AI2210" s="51" t="str">
        <f aca="false">IF(AND(AC2210=1,AA2210&lt;1),IF(AND(C2211=C2210,AA2211=AA2210+1),IF(AC2211=1,"",INDEX(DATAS,AA2210+1)),INDEX(DATAS,AA2210+1)),"")</f>
        <v/>
      </c>
    </row>
    <row r="2211" customFormat="false" ht="15" hidden="false" customHeight="false" outlineLevel="0" collapsed="false">
      <c r="A2211" s="51" t="n">
        <v>46309</v>
      </c>
      <c r="B2211" s="0" t="n">
        <v>8</v>
      </c>
      <c r="C2211" s="0" t="n">
        <v>6495</v>
      </c>
      <c r="E2211" s="0" t="n">
        <v>0</v>
      </c>
      <c r="F2211" s="46" t="s">
        <v>1217</v>
      </c>
      <c r="I2211" s="46" t="s">
        <v>152</v>
      </c>
      <c r="L2211" s="0" t="n">
        <v>105</v>
      </c>
      <c r="U2211" s="0" t="n">
        <v>540</v>
      </c>
      <c r="V2211" s="0" t="n">
        <v>1</v>
      </c>
      <c r="W2211" s="51" t="n">
        <v>46205</v>
      </c>
      <c r="X2211" s="46" t="n">
        <f aca="false">IF(I2211="Male",0,1)</f>
        <v>1</v>
      </c>
      <c r="Y2211" s="46" t="n">
        <f aca="false">IF(OR(I2211="DNB",I2211="Dry DNB"),1,0)</f>
        <v>0</v>
      </c>
      <c r="Z2211" s="46" t="n">
        <f aca="false">IF(ISNUMBER(W2211),A2211-W2211,"")</f>
        <v>104</v>
      </c>
      <c r="AA2211" s="46" t="n">
        <f aca="false">MATCH(A2211,DATAS,0)</f>
        <v>1</v>
      </c>
      <c r="AB2211" s="46" t="n">
        <f aca="false">IF(AND(E2211&gt;0,OR(AND(B2211&gt;=1,B2211&lt;=6),B2211=10)),1,0)</f>
        <v>0</v>
      </c>
      <c r="AC2211" s="46" t="n">
        <f aca="false">IF(AND(E2211&gt;0,B2211=10),1,0)</f>
        <v>0</v>
      </c>
      <c r="AD2211" s="0" t="str">
        <f aca="false">IF(AND(C2210=C2211,AA2210=AA2211-1),AB2210,"")</f>
        <v/>
      </c>
      <c r="AE2211" s="0" t="str">
        <f aca="false">IF(AND(C2210=C2211,AA2210=AA2211-1),AC2210,"")</f>
        <v/>
      </c>
      <c r="AF2211" s="0" t="str">
        <f aca="false">IF(AA2211=1,"",IF(AND(AB2211=1,AD2211&lt;&gt;1),1,0))</f>
        <v/>
      </c>
      <c r="AG2211" s="0" t="str">
        <f aca="false">IF(AA2211=1,"",IF(AND(AC2211=1,AE2211&lt;&gt;1),1,0))</f>
        <v/>
      </c>
      <c r="AH2211" s="51" t="str">
        <f aca="false">IF(AND(E2211&gt;0,AA2211&lt;1,NOT(AND(C2212=C2211,AA2212=AA2211+1))),INDEX(DATAS,AA2211+1),"")</f>
        <v/>
      </c>
      <c r="AI2211" s="51" t="str">
        <f aca="false">IF(AND(AC2211=1,AA2211&lt;1),IF(AND(C2212=C2211,AA2212=AA2211+1),IF(AC2212=1,"",INDEX(DATAS,AA2211+1)),INDEX(DATAS,AA2211+1)),"")</f>
        <v/>
      </c>
    </row>
    <row r="2212" customFormat="false" ht="15" hidden="false" customHeight="false" outlineLevel="0" collapsed="false">
      <c r="A2212" s="51" t="n">
        <v>46309</v>
      </c>
      <c r="B2212" s="0" t="n">
        <v>8</v>
      </c>
      <c r="C2212" s="0" t="n">
        <v>6496</v>
      </c>
      <c r="E2212" s="0" t="n">
        <v>0</v>
      </c>
      <c r="F2212" s="46" t="s">
        <v>1217</v>
      </c>
      <c r="I2212" s="46" t="s">
        <v>152</v>
      </c>
      <c r="L2212" s="0" t="n">
        <v>122</v>
      </c>
      <c r="U2212" s="0" t="n">
        <v>540</v>
      </c>
      <c r="V2212" s="0" t="n">
        <v>2</v>
      </c>
      <c r="W2212" s="51" t="n">
        <v>46188</v>
      </c>
      <c r="X2212" s="46" t="n">
        <f aca="false">IF(I2212="Male",0,1)</f>
        <v>1</v>
      </c>
      <c r="Y2212" s="46" t="n">
        <f aca="false">IF(OR(I2212="DNB",I2212="Dry DNB"),1,0)</f>
        <v>0</v>
      </c>
      <c r="Z2212" s="46" t="n">
        <f aca="false">IF(ISNUMBER(W2212),A2212-W2212,"")</f>
        <v>121</v>
      </c>
      <c r="AA2212" s="46" t="n">
        <f aca="false">MATCH(A2212,DATAS,0)</f>
        <v>1</v>
      </c>
      <c r="AB2212" s="46" t="n">
        <f aca="false">IF(AND(E2212&gt;0,OR(AND(B2212&gt;=1,B2212&lt;=6),B2212=10)),1,0)</f>
        <v>0</v>
      </c>
      <c r="AC2212" s="46" t="n">
        <f aca="false">IF(AND(E2212&gt;0,B2212=10),1,0)</f>
        <v>0</v>
      </c>
      <c r="AD2212" s="0" t="str">
        <f aca="false">IF(AND(C2211=C2212,AA2211=AA2212-1),AB2211,"")</f>
        <v/>
      </c>
      <c r="AE2212" s="0" t="str">
        <f aca="false">IF(AND(C2211=C2212,AA2211=AA2212-1),AC2211,"")</f>
        <v/>
      </c>
      <c r="AF2212" s="0" t="str">
        <f aca="false">IF(AA2212=1,"",IF(AND(AB2212=1,AD2212&lt;&gt;1),1,0))</f>
        <v/>
      </c>
      <c r="AG2212" s="0" t="str">
        <f aca="false">IF(AA2212=1,"",IF(AND(AC2212=1,AE2212&lt;&gt;1),1,0))</f>
        <v/>
      </c>
      <c r="AH2212" s="51" t="str">
        <f aca="false">IF(AND(E2212&gt;0,AA2212&lt;1,NOT(AND(C2213=C2212,AA2213=AA2212+1))),INDEX(DATAS,AA2212+1),"")</f>
        <v/>
      </c>
      <c r="AI2212" s="51" t="str">
        <f aca="false">IF(AND(AC2212=1,AA2212&lt;1),IF(AND(C2213=C2212,AA2213=AA2212+1),IF(AC2213=1,"",INDEX(DATAS,AA2212+1)),INDEX(DATAS,AA2212+1)),"")</f>
        <v/>
      </c>
    </row>
    <row r="2213" customFormat="false" ht="15" hidden="false" customHeight="false" outlineLevel="0" collapsed="false">
      <c r="A2213" s="51" t="n">
        <v>46309</v>
      </c>
      <c r="B2213" s="0" t="n">
        <v>8</v>
      </c>
      <c r="C2213" s="0" t="n">
        <v>6497</v>
      </c>
      <c r="E2213" s="0" t="n">
        <v>0</v>
      </c>
      <c r="F2213" s="46" t="s">
        <v>1217</v>
      </c>
      <c r="I2213" s="46" t="s">
        <v>152</v>
      </c>
      <c r="L2213" s="0" t="n">
        <v>65</v>
      </c>
      <c r="U2213" s="0" t="n">
        <v>540</v>
      </c>
      <c r="V2213" s="0" t="n">
        <v>4</v>
      </c>
      <c r="W2213" s="51" t="n">
        <v>46245</v>
      </c>
      <c r="X2213" s="46" t="n">
        <f aca="false">IF(I2213="Male",0,1)</f>
        <v>1</v>
      </c>
      <c r="Y2213" s="46" t="n">
        <f aca="false">IF(OR(I2213="DNB",I2213="Dry DNB"),1,0)</f>
        <v>0</v>
      </c>
      <c r="Z2213" s="46" t="n">
        <f aca="false">IF(ISNUMBER(W2213),A2213-W2213,"")</f>
        <v>64</v>
      </c>
      <c r="AA2213" s="46" t="n">
        <f aca="false">MATCH(A2213,DATAS,0)</f>
        <v>1</v>
      </c>
      <c r="AB2213" s="46" t="n">
        <f aca="false">IF(AND(E2213&gt;0,OR(AND(B2213&gt;=1,B2213&lt;=6),B2213=10)),1,0)</f>
        <v>0</v>
      </c>
      <c r="AC2213" s="46" t="n">
        <f aca="false">IF(AND(E2213&gt;0,B2213=10),1,0)</f>
        <v>0</v>
      </c>
      <c r="AD2213" s="0" t="str">
        <f aca="false">IF(AND(C2212=C2213,AA2212=AA2213-1),AB2212,"")</f>
        <v/>
      </c>
      <c r="AE2213" s="0" t="str">
        <f aca="false">IF(AND(C2212=C2213,AA2212=AA2213-1),AC2212,"")</f>
        <v/>
      </c>
      <c r="AF2213" s="0" t="str">
        <f aca="false">IF(AA2213=1,"",IF(AND(AB2213=1,AD2213&lt;&gt;1),1,0))</f>
        <v/>
      </c>
      <c r="AG2213" s="0" t="str">
        <f aca="false">IF(AA2213=1,"",IF(AND(AC2213=1,AE2213&lt;&gt;1),1,0))</f>
        <v/>
      </c>
      <c r="AH2213" s="51" t="str">
        <f aca="false">IF(AND(E2213&gt;0,AA2213&lt;1,NOT(AND(C2214=C2213,AA2214=AA2213+1))),INDEX(DATAS,AA2213+1),"")</f>
        <v/>
      </c>
      <c r="AI2213" s="51" t="str">
        <f aca="false">IF(AND(AC2213=1,AA2213&lt;1),IF(AND(C2214=C2213,AA2214=AA2213+1),IF(AC2214=1,"",INDEX(DATAS,AA2213+1)),INDEX(DATAS,AA2213+1)),"")</f>
        <v/>
      </c>
    </row>
    <row r="2214" customFormat="false" ht="15" hidden="false" customHeight="false" outlineLevel="0" collapsed="false">
      <c r="A2214" s="51" t="n">
        <v>46309</v>
      </c>
      <c r="B2214" s="0" t="n">
        <v>8</v>
      </c>
      <c r="C2214" s="0" t="n">
        <v>6498</v>
      </c>
      <c r="E2214" s="0" t="n">
        <v>0</v>
      </c>
      <c r="F2214" s="46" t="s">
        <v>1218</v>
      </c>
      <c r="I2214" s="46" t="s">
        <v>152</v>
      </c>
      <c r="L2214" s="0" t="n">
        <v>103</v>
      </c>
      <c r="U2214" s="0" t="n">
        <v>539</v>
      </c>
      <c r="V2214" s="0" t="n">
        <v>2</v>
      </c>
      <c r="W2214" s="51" t="n">
        <v>46207</v>
      </c>
      <c r="X2214" s="46" t="n">
        <f aca="false">IF(I2214="Male",0,1)</f>
        <v>1</v>
      </c>
      <c r="Y2214" s="46" t="n">
        <f aca="false">IF(OR(I2214="DNB",I2214="Dry DNB"),1,0)</f>
        <v>0</v>
      </c>
      <c r="Z2214" s="46" t="n">
        <f aca="false">IF(ISNUMBER(W2214),A2214-W2214,"")</f>
        <v>102</v>
      </c>
      <c r="AA2214" s="46" t="n">
        <f aca="false">MATCH(A2214,DATAS,0)</f>
        <v>1</v>
      </c>
      <c r="AB2214" s="46" t="n">
        <f aca="false">IF(AND(E2214&gt;0,OR(AND(B2214&gt;=1,B2214&lt;=6),B2214=10)),1,0)</f>
        <v>0</v>
      </c>
      <c r="AC2214" s="46" t="n">
        <f aca="false">IF(AND(E2214&gt;0,B2214=10),1,0)</f>
        <v>0</v>
      </c>
      <c r="AD2214" s="0" t="str">
        <f aca="false">IF(AND(C2213=C2214,AA2213=AA2214-1),AB2213,"")</f>
        <v/>
      </c>
      <c r="AE2214" s="0" t="str">
        <f aca="false">IF(AND(C2213=C2214,AA2213=AA2214-1),AC2213,"")</f>
        <v/>
      </c>
      <c r="AF2214" s="0" t="str">
        <f aca="false">IF(AA2214=1,"",IF(AND(AB2214=1,AD2214&lt;&gt;1),1,0))</f>
        <v/>
      </c>
      <c r="AG2214" s="0" t="str">
        <f aca="false">IF(AA2214=1,"",IF(AND(AC2214=1,AE2214&lt;&gt;1),1,0))</f>
        <v/>
      </c>
      <c r="AH2214" s="51" t="str">
        <f aca="false">IF(AND(E2214&gt;0,AA2214&lt;1,NOT(AND(C2215=C2214,AA2215=AA2214+1))),INDEX(DATAS,AA2214+1),"")</f>
        <v/>
      </c>
      <c r="AI2214" s="51" t="str">
        <f aca="false">IF(AND(AC2214=1,AA2214&lt;1),IF(AND(C2215=C2214,AA2215=AA2214+1),IF(AC2215=1,"",INDEX(DATAS,AA2214+1)),INDEX(DATAS,AA2214+1)),"")</f>
        <v/>
      </c>
    </row>
    <row r="2215" customFormat="false" ht="15" hidden="false" customHeight="false" outlineLevel="0" collapsed="false">
      <c r="A2215" s="51" t="n">
        <v>46309</v>
      </c>
      <c r="B2215" s="0" t="n">
        <v>8</v>
      </c>
      <c r="C2215" s="0" t="n">
        <v>6499</v>
      </c>
      <c r="E2215" s="0" t="n">
        <v>0</v>
      </c>
      <c r="F2215" s="46" t="s">
        <v>1218</v>
      </c>
      <c r="I2215" s="46" t="s">
        <v>152</v>
      </c>
      <c r="L2215" s="0" t="n">
        <v>135</v>
      </c>
      <c r="U2215" s="0" t="n">
        <v>539</v>
      </c>
      <c r="V2215" s="0" t="n">
        <v>1</v>
      </c>
      <c r="W2215" s="51" t="n">
        <v>46175</v>
      </c>
      <c r="X2215" s="46" t="n">
        <f aca="false">IF(I2215="Male",0,1)</f>
        <v>1</v>
      </c>
      <c r="Y2215" s="46" t="n">
        <f aca="false">IF(OR(I2215="DNB",I2215="Dry DNB"),1,0)</f>
        <v>0</v>
      </c>
      <c r="Z2215" s="46" t="n">
        <f aca="false">IF(ISNUMBER(W2215),A2215-W2215,"")</f>
        <v>134</v>
      </c>
      <c r="AA2215" s="46" t="n">
        <f aca="false">MATCH(A2215,DATAS,0)</f>
        <v>1</v>
      </c>
      <c r="AB2215" s="46" t="n">
        <f aca="false">IF(AND(E2215&gt;0,OR(AND(B2215&gt;=1,B2215&lt;=6),B2215=10)),1,0)</f>
        <v>0</v>
      </c>
      <c r="AC2215" s="46" t="n">
        <f aca="false">IF(AND(E2215&gt;0,B2215=10),1,0)</f>
        <v>0</v>
      </c>
      <c r="AD2215" s="0" t="str">
        <f aca="false">IF(AND(C2214=C2215,AA2214=AA2215-1),AB2214,"")</f>
        <v/>
      </c>
      <c r="AE2215" s="0" t="str">
        <f aca="false">IF(AND(C2214=C2215,AA2214=AA2215-1),AC2214,"")</f>
        <v/>
      </c>
      <c r="AF2215" s="0" t="str">
        <f aca="false">IF(AA2215=1,"",IF(AND(AB2215=1,AD2215&lt;&gt;1),1,0))</f>
        <v/>
      </c>
      <c r="AG2215" s="0" t="str">
        <f aca="false">IF(AA2215=1,"",IF(AND(AC2215=1,AE2215&lt;&gt;1),1,0))</f>
        <v/>
      </c>
      <c r="AH2215" s="51" t="str">
        <f aca="false">IF(AND(E2215&gt;0,AA2215&lt;1,NOT(AND(C2216=C2215,AA2216=AA2215+1))),INDEX(DATAS,AA2215+1),"")</f>
        <v/>
      </c>
      <c r="AI2215" s="51" t="str">
        <f aca="false">IF(AND(AC2215=1,AA2215&lt;1),IF(AND(C2216=C2215,AA2216=AA2215+1),IF(AC2216=1,"",INDEX(DATAS,AA2215+1)),INDEX(DATAS,AA2215+1)),"")</f>
        <v/>
      </c>
    </row>
    <row r="2216" customFormat="false" ht="15" hidden="false" customHeight="false" outlineLevel="0" collapsed="false">
      <c r="A2216" s="51" t="n">
        <v>46309</v>
      </c>
      <c r="B2216" s="0" t="n">
        <v>8</v>
      </c>
      <c r="C2216" s="0" t="n">
        <v>6500</v>
      </c>
      <c r="E2216" s="0" t="n">
        <v>0</v>
      </c>
      <c r="F2216" s="46" t="s">
        <v>1218</v>
      </c>
      <c r="I2216" s="46" t="s">
        <v>152</v>
      </c>
      <c r="L2216" s="0" t="n">
        <v>126</v>
      </c>
      <c r="U2216" s="0" t="n">
        <v>539</v>
      </c>
      <c r="V2216" s="0" t="n">
        <v>1</v>
      </c>
      <c r="W2216" s="51" t="n">
        <v>46184</v>
      </c>
      <c r="X2216" s="46" t="n">
        <f aca="false">IF(I2216="Male",0,1)</f>
        <v>1</v>
      </c>
      <c r="Y2216" s="46" t="n">
        <f aca="false">IF(OR(I2216="DNB",I2216="Dry DNB"),1,0)</f>
        <v>0</v>
      </c>
      <c r="Z2216" s="46" t="n">
        <f aca="false">IF(ISNUMBER(W2216),A2216-W2216,"")</f>
        <v>125</v>
      </c>
      <c r="AA2216" s="46" t="n">
        <f aca="false">MATCH(A2216,DATAS,0)</f>
        <v>1</v>
      </c>
      <c r="AB2216" s="46" t="n">
        <f aca="false">IF(AND(E2216&gt;0,OR(AND(B2216&gt;=1,B2216&lt;=6),B2216=10)),1,0)</f>
        <v>0</v>
      </c>
      <c r="AC2216" s="46" t="n">
        <f aca="false">IF(AND(E2216&gt;0,B2216=10),1,0)</f>
        <v>0</v>
      </c>
      <c r="AD2216" s="0" t="str">
        <f aca="false">IF(AND(C2215=C2216,AA2215=AA2216-1),AB2215,"")</f>
        <v/>
      </c>
      <c r="AE2216" s="0" t="str">
        <f aca="false">IF(AND(C2215=C2216,AA2215=AA2216-1),AC2215,"")</f>
        <v/>
      </c>
      <c r="AF2216" s="0" t="str">
        <f aca="false">IF(AA2216=1,"",IF(AND(AB2216=1,AD2216&lt;&gt;1),1,0))</f>
        <v/>
      </c>
      <c r="AG2216" s="0" t="str">
        <f aca="false">IF(AA2216=1,"",IF(AND(AC2216=1,AE2216&lt;&gt;1),1,0))</f>
        <v/>
      </c>
      <c r="AH2216" s="51" t="str">
        <f aca="false">IF(AND(E2216&gt;0,AA2216&lt;1,NOT(AND(C2217=C2216,AA2217=AA2216+1))),INDEX(DATAS,AA2216+1),"")</f>
        <v/>
      </c>
      <c r="AI2216" s="51" t="str">
        <f aca="false">IF(AND(AC2216=1,AA2216&lt;1),IF(AND(C2217=C2216,AA2217=AA2216+1),IF(AC2217=1,"",INDEX(DATAS,AA2216+1)),INDEX(DATAS,AA2216+1)),"")</f>
        <v/>
      </c>
    </row>
    <row r="2217" customFormat="false" ht="15" hidden="false" customHeight="false" outlineLevel="0" collapsed="false">
      <c r="A2217" s="51" t="n">
        <v>46309</v>
      </c>
      <c r="B2217" s="0" t="n">
        <v>8</v>
      </c>
      <c r="C2217" s="0" t="n">
        <v>6501</v>
      </c>
      <c r="E2217" s="0" t="n">
        <v>0</v>
      </c>
      <c r="F2217" s="46" t="s">
        <v>1218</v>
      </c>
      <c r="I2217" s="46" t="s">
        <v>152</v>
      </c>
      <c r="L2217" s="0" t="n">
        <v>140</v>
      </c>
      <c r="U2217" s="0" t="n">
        <v>539</v>
      </c>
      <c r="V2217" s="0" t="n">
        <v>1</v>
      </c>
      <c r="W2217" s="51" t="n">
        <v>46170</v>
      </c>
      <c r="X2217" s="46" t="n">
        <f aca="false">IF(I2217="Male",0,1)</f>
        <v>1</v>
      </c>
      <c r="Y2217" s="46" t="n">
        <f aca="false">IF(OR(I2217="DNB",I2217="Dry DNB"),1,0)</f>
        <v>0</v>
      </c>
      <c r="Z2217" s="46" t="n">
        <f aca="false">IF(ISNUMBER(W2217),A2217-W2217,"")</f>
        <v>139</v>
      </c>
      <c r="AA2217" s="46" t="n">
        <f aca="false">MATCH(A2217,DATAS,0)</f>
        <v>1</v>
      </c>
      <c r="AB2217" s="46" t="n">
        <f aca="false">IF(AND(E2217&gt;0,OR(AND(B2217&gt;=1,B2217&lt;=6),B2217=10)),1,0)</f>
        <v>0</v>
      </c>
      <c r="AC2217" s="46" t="n">
        <f aca="false">IF(AND(E2217&gt;0,B2217=10),1,0)</f>
        <v>0</v>
      </c>
      <c r="AD2217" s="0" t="str">
        <f aca="false">IF(AND(C2216=C2217,AA2216=AA2217-1),AB2216,"")</f>
        <v/>
      </c>
      <c r="AE2217" s="0" t="str">
        <f aca="false">IF(AND(C2216=C2217,AA2216=AA2217-1),AC2216,"")</f>
        <v/>
      </c>
      <c r="AF2217" s="0" t="str">
        <f aca="false">IF(AA2217=1,"",IF(AND(AB2217=1,AD2217&lt;&gt;1),1,0))</f>
        <v/>
      </c>
      <c r="AG2217" s="0" t="str">
        <f aca="false">IF(AA2217=1,"",IF(AND(AC2217=1,AE2217&lt;&gt;1),1,0))</f>
        <v/>
      </c>
      <c r="AH2217" s="51" t="str">
        <f aca="false">IF(AND(E2217&gt;0,AA2217&lt;1,NOT(AND(C2218=C2217,AA2218=AA2217+1))),INDEX(DATAS,AA2217+1),"")</f>
        <v/>
      </c>
      <c r="AI2217" s="51" t="str">
        <f aca="false">IF(AND(AC2217=1,AA2217&lt;1),IF(AND(C2218=C2217,AA2218=AA2217+1),IF(AC2218=1,"",INDEX(DATAS,AA2217+1)),INDEX(DATAS,AA2217+1)),"")</f>
        <v/>
      </c>
    </row>
    <row r="2218" customFormat="false" ht="15" hidden="false" customHeight="false" outlineLevel="0" collapsed="false">
      <c r="A2218" s="51" t="n">
        <v>46309</v>
      </c>
      <c r="B2218" s="0" t="n">
        <v>8</v>
      </c>
      <c r="C2218" s="0" t="n">
        <v>6502</v>
      </c>
      <c r="E2218" s="0" t="n">
        <v>0</v>
      </c>
      <c r="F2218" s="46" t="s">
        <v>1218</v>
      </c>
      <c r="I2218" s="46" t="s">
        <v>152</v>
      </c>
      <c r="L2218" s="0" t="n">
        <v>98</v>
      </c>
      <c r="U2218" s="0" t="n">
        <v>539</v>
      </c>
      <c r="V2218" s="0" t="n">
        <v>3</v>
      </c>
      <c r="W2218" s="51" t="n">
        <v>46212</v>
      </c>
      <c r="X2218" s="46" t="n">
        <f aca="false">IF(I2218="Male",0,1)</f>
        <v>1</v>
      </c>
      <c r="Y2218" s="46" t="n">
        <f aca="false">IF(OR(I2218="DNB",I2218="Dry DNB"),1,0)</f>
        <v>0</v>
      </c>
      <c r="Z2218" s="46" t="n">
        <f aca="false">IF(ISNUMBER(W2218),A2218-W2218,"")</f>
        <v>97</v>
      </c>
      <c r="AA2218" s="46" t="n">
        <f aca="false">MATCH(A2218,DATAS,0)</f>
        <v>1</v>
      </c>
      <c r="AB2218" s="46" t="n">
        <f aca="false">IF(AND(E2218&gt;0,OR(AND(B2218&gt;=1,B2218&lt;=6),B2218=10)),1,0)</f>
        <v>0</v>
      </c>
      <c r="AC2218" s="46" t="n">
        <f aca="false">IF(AND(E2218&gt;0,B2218=10),1,0)</f>
        <v>0</v>
      </c>
      <c r="AD2218" s="0" t="str">
        <f aca="false">IF(AND(C2217=C2218,AA2217=AA2218-1),AB2217,"")</f>
        <v/>
      </c>
      <c r="AE2218" s="0" t="str">
        <f aca="false">IF(AND(C2217=C2218,AA2217=AA2218-1),AC2217,"")</f>
        <v/>
      </c>
      <c r="AF2218" s="0" t="str">
        <f aca="false">IF(AA2218=1,"",IF(AND(AB2218=1,AD2218&lt;&gt;1),1,0))</f>
        <v/>
      </c>
      <c r="AG2218" s="0" t="str">
        <f aca="false">IF(AA2218=1,"",IF(AND(AC2218=1,AE2218&lt;&gt;1),1,0))</f>
        <v/>
      </c>
      <c r="AH2218" s="51" t="str">
        <f aca="false">IF(AND(E2218&gt;0,AA2218&lt;1,NOT(AND(C2219=C2218,AA2219=AA2218+1))),INDEX(DATAS,AA2218+1),"")</f>
        <v/>
      </c>
      <c r="AI2218" s="51" t="str">
        <f aca="false">IF(AND(AC2218=1,AA2218&lt;1),IF(AND(C2219=C2218,AA2219=AA2218+1),IF(AC2219=1,"",INDEX(DATAS,AA2218+1)),INDEX(DATAS,AA2218+1)),"")</f>
        <v/>
      </c>
    </row>
    <row r="2219" customFormat="false" ht="15" hidden="false" customHeight="false" outlineLevel="0" collapsed="false">
      <c r="A2219" s="51" t="n">
        <v>46309</v>
      </c>
      <c r="B2219" s="0" t="n">
        <v>8</v>
      </c>
      <c r="C2219" s="0" t="n">
        <v>6503</v>
      </c>
      <c r="E2219" s="0" t="n">
        <v>0</v>
      </c>
      <c r="F2219" s="46" t="s">
        <v>1219</v>
      </c>
      <c r="I2219" s="46" t="s">
        <v>152</v>
      </c>
      <c r="L2219" s="0" t="n">
        <v>43</v>
      </c>
      <c r="U2219" s="0" t="n">
        <v>538</v>
      </c>
      <c r="V2219" s="0" t="n">
        <v>3</v>
      </c>
      <c r="W2219" s="51" t="n">
        <v>46267</v>
      </c>
      <c r="X2219" s="46" t="n">
        <f aca="false">IF(I2219="Male",0,1)</f>
        <v>1</v>
      </c>
      <c r="Y2219" s="46" t="n">
        <f aca="false">IF(OR(I2219="DNB",I2219="Dry DNB"),1,0)</f>
        <v>0</v>
      </c>
      <c r="Z2219" s="46" t="n">
        <f aca="false">IF(ISNUMBER(W2219),A2219-W2219,"")</f>
        <v>42</v>
      </c>
      <c r="AA2219" s="46" t="n">
        <f aca="false">MATCH(A2219,DATAS,0)</f>
        <v>1</v>
      </c>
      <c r="AB2219" s="46" t="n">
        <f aca="false">IF(AND(E2219&gt;0,OR(AND(B2219&gt;=1,B2219&lt;=6),B2219=10)),1,0)</f>
        <v>0</v>
      </c>
      <c r="AC2219" s="46" t="n">
        <f aca="false">IF(AND(E2219&gt;0,B2219=10),1,0)</f>
        <v>0</v>
      </c>
      <c r="AD2219" s="0" t="str">
        <f aca="false">IF(AND(C2218=C2219,AA2218=AA2219-1),AB2218,"")</f>
        <v/>
      </c>
      <c r="AE2219" s="0" t="str">
        <f aca="false">IF(AND(C2218=C2219,AA2218=AA2219-1),AC2218,"")</f>
        <v/>
      </c>
      <c r="AF2219" s="0" t="str">
        <f aca="false">IF(AA2219=1,"",IF(AND(AB2219=1,AD2219&lt;&gt;1),1,0))</f>
        <v/>
      </c>
      <c r="AG2219" s="0" t="str">
        <f aca="false">IF(AA2219=1,"",IF(AND(AC2219=1,AE2219&lt;&gt;1),1,0))</f>
        <v/>
      </c>
      <c r="AH2219" s="51" t="str">
        <f aca="false">IF(AND(E2219&gt;0,AA2219&lt;1,NOT(AND(C2220=C2219,AA2220=AA2219+1))),INDEX(DATAS,AA2219+1),"")</f>
        <v/>
      </c>
      <c r="AI2219" s="51" t="str">
        <f aca="false">IF(AND(AC2219=1,AA2219&lt;1),IF(AND(C2220=C2219,AA2220=AA2219+1),IF(AC2220=1,"",INDEX(DATAS,AA2219+1)),INDEX(DATAS,AA2219+1)),"")</f>
        <v/>
      </c>
    </row>
    <row r="2220" customFormat="false" ht="15" hidden="false" customHeight="false" outlineLevel="0" collapsed="false">
      <c r="A2220" s="51" t="n">
        <v>46309</v>
      </c>
      <c r="B2220" s="0" t="n">
        <v>8</v>
      </c>
      <c r="C2220" s="0" t="n">
        <v>6504</v>
      </c>
      <c r="E2220" s="0" t="n">
        <v>0</v>
      </c>
      <c r="F2220" s="46" t="s">
        <v>1220</v>
      </c>
      <c r="I2220" s="46" t="s">
        <v>152</v>
      </c>
      <c r="L2220" s="0" t="n">
        <v>55</v>
      </c>
      <c r="U2220" s="0" t="n">
        <v>537</v>
      </c>
      <c r="V2220" s="0" t="n">
        <v>2</v>
      </c>
      <c r="W2220" s="51" t="n">
        <v>46177</v>
      </c>
      <c r="X2220" s="46" t="n">
        <f aca="false">IF(I2220="Male",0,1)</f>
        <v>1</v>
      </c>
      <c r="Y2220" s="46" t="n">
        <f aca="false">IF(OR(I2220="DNB",I2220="Dry DNB"),1,0)</f>
        <v>0</v>
      </c>
      <c r="Z2220" s="46" t="n">
        <f aca="false">IF(ISNUMBER(W2220),A2220-W2220,"")</f>
        <v>132</v>
      </c>
      <c r="AA2220" s="46" t="n">
        <f aca="false">MATCH(A2220,DATAS,0)</f>
        <v>1</v>
      </c>
      <c r="AB2220" s="46" t="n">
        <f aca="false">IF(AND(E2220&gt;0,OR(AND(B2220&gt;=1,B2220&lt;=6),B2220=10)),1,0)</f>
        <v>0</v>
      </c>
      <c r="AC2220" s="46" t="n">
        <f aca="false">IF(AND(E2220&gt;0,B2220=10),1,0)</f>
        <v>0</v>
      </c>
      <c r="AD2220" s="0" t="str">
        <f aca="false">IF(AND(C2219=C2220,AA2219=AA2220-1),AB2219,"")</f>
        <v/>
      </c>
      <c r="AE2220" s="0" t="str">
        <f aca="false">IF(AND(C2219=C2220,AA2219=AA2220-1),AC2219,"")</f>
        <v/>
      </c>
      <c r="AF2220" s="0" t="str">
        <f aca="false">IF(AA2220=1,"",IF(AND(AB2220=1,AD2220&lt;&gt;1),1,0))</f>
        <v/>
      </c>
      <c r="AG2220" s="0" t="str">
        <f aca="false">IF(AA2220=1,"",IF(AND(AC2220=1,AE2220&lt;&gt;1),1,0))</f>
        <v/>
      </c>
      <c r="AH2220" s="51" t="str">
        <f aca="false">IF(AND(E2220&gt;0,AA2220&lt;1,NOT(AND(C2221=C2220,AA2221=AA2220+1))),INDEX(DATAS,AA2220+1),"")</f>
        <v/>
      </c>
      <c r="AI2220" s="51" t="str">
        <f aca="false">IF(AND(AC2220=1,AA2220&lt;1),IF(AND(C2221=C2220,AA2221=AA2220+1),IF(AC2221=1,"",INDEX(DATAS,AA2220+1)),INDEX(DATAS,AA2220+1)),"")</f>
        <v/>
      </c>
    </row>
    <row r="2221" customFormat="false" ht="15" hidden="false" customHeight="false" outlineLevel="0" collapsed="false">
      <c r="A2221" s="51" t="n">
        <v>46309</v>
      </c>
      <c r="B2221" s="0" t="n">
        <v>8</v>
      </c>
      <c r="C2221" s="0" t="n">
        <v>6505</v>
      </c>
      <c r="E2221" s="0" t="n">
        <v>0</v>
      </c>
      <c r="F2221" s="46" t="s">
        <v>1220</v>
      </c>
      <c r="I2221" s="46" t="s">
        <v>152</v>
      </c>
      <c r="L2221" s="0" t="n">
        <v>133</v>
      </c>
      <c r="U2221" s="0" t="n">
        <v>537</v>
      </c>
      <c r="V2221" s="0" t="n">
        <v>1</v>
      </c>
      <c r="W2221" s="51" t="n">
        <v>46177</v>
      </c>
      <c r="X2221" s="46" t="n">
        <f aca="false">IF(I2221="Male",0,1)</f>
        <v>1</v>
      </c>
      <c r="Y2221" s="46" t="n">
        <f aca="false">IF(OR(I2221="DNB",I2221="Dry DNB"),1,0)</f>
        <v>0</v>
      </c>
      <c r="Z2221" s="46" t="n">
        <f aca="false">IF(ISNUMBER(W2221),A2221-W2221,"")</f>
        <v>132</v>
      </c>
      <c r="AA2221" s="46" t="n">
        <f aca="false">MATCH(A2221,DATAS,0)</f>
        <v>1</v>
      </c>
      <c r="AB2221" s="46" t="n">
        <f aca="false">IF(AND(E2221&gt;0,OR(AND(B2221&gt;=1,B2221&lt;=6),B2221=10)),1,0)</f>
        <v>0</v>
      </c>
      <c r="AC2221" s="46" t="n">
        <f aca="false">IF(AND(E2221&gt;0,B2221=10),1,0)</f>
        <v>0</v>
      </c>
      <c r="AD2221" s="0" t="str">
        <f aca="false">IF(AND(C2220=C2221,AA2220=AA2221-1),AB2220,"")</f>
        <v/>
      </c>
      <c r="AE2221" s="0" t="str">
        <f aca="false">IF(AND(C2220=C2221,AA2220=AA2221-1),AC2220,"")</f>
        <v/>
      </c>
      <c r="AF2221" s="0" t="str">
        <f aca="false">IF(AA2221=1,"",IF(AND(AB2221=1,AD2221&lt;&gt;1),1,0))</f>
        <v/>
      </c>
      <c r="AG2221" s="0" t="str">
        <f aca="false">IF(AA2221=1,"",IF(AND(AC2221=1,AE2221&lt;&gt;1),1,0))</f>
        <v/>
      </c>
      <c r="AH2221" s="51" t="str">
        <f aca="false">IF(AND(E2221&gt;0,AA2221&lt;1,NOT(AND(C2222=C2221,AA2222=AA2221+1))),INDEX(DATAS,AA2221+1),"")</f>
        <v/>
      </c>
      <c r="AI2221" s="51" t="str">
        <f aca="false">IF(AND(AC2221=1,AA2221&lt;1),IF(AND(C2222=C2221,AA2222=AA2221+1),IF(AC2222=1,"",INDEX(DATAS,AA2221+1)),INDEX(DATAS,AA2221+1)),"")</f>
        <v/>
      </c>
    </row>
    <row r="2222" customFormat="false" ht="15" hidden="false" customHeight="false" outlineLevel="0" collapsed="false">
      <c r="A2222" s="51" t="n">
        <v>46309</v>
      </c>
      <c r="B2222" s="0" t="n">
        <v>8</v>
      </c>
      <c r="C2222" s="0" t="n">
        <v>6506</v>
      </c>
      <c r="E2222" s="0" t="n">
        <v>0</v>
      </c>
      <c r="F2222" s="46" t="s">
        <v>1221</v>
      </c>
      <c r="I2222" s="46" t="s">
        <v>152</v>
      </c>
      <c r="L2222" s="0" t="n">
        <v>133</v>
      </c>
      <c r="U2222" s="0" t="n">
        <v>533</v>
      </c>
      <c r="V2222" s="0" t="n">
        <v>1</v>
      </c>
      <c r="W2222" s="51" t="n">
        <v>46177</v>
      </c>
      <c r="X2222" s="46" t="n">
        <f aca="false">IF(I2222="Male",0,1)</f>
        <v>1</v>
      </c>
      <c r="Y2222" s="46" t="n">
        <f aca="false">IF(OR(I2222="DNB",I2222="Dry DNB"),1,0)</f>
        <v>0</v>
      </c>
      <c r="Z2222" s="46" t="n">
        <f aca="false">IF(ISNUMBER(W2222),A2222-W2222,"")</f>
        <v>132</v>
      </c>
      <c r="AA2222" s="46" t="n">
        <f aca="false">MATCH(A2222,DATAS,0)</f>
        <v>1</v>
      </c>
      <c r="AB2222" s="46" t="n">
        <f aca="false">IF(AND(E2222&gt;0,OR(AND(B2222&gt;=1,B2222&lt;=6),B2222=10)),1,0)</f>
        <v>0</v>
      </c>
      <c r="AC2222" s="46" t="n">
        <f aca="false">IF(AND(E2222&gt;0,B2222=10),1,0)</f>
        <v>0</v>
      </c>
      <c r="AD2222" s="0" t="str">
        <f aca="false">IF(AND(C2221=C2222,AA2221=AA2222-1),AB2221,"")</f>
        <v/>
      </c>
      <c r="AE2222" s="0" t="str">
        <f aca="false">IF(AND(C2221=C2222,AA2221=AA2222-1),AC2221,"")</f>
        <v/>
      </c>
      <c r="AF2222" s="0" t="str">
        <f aca="false">IF(AA2222=1,"",IF(AND(AB2222=1,AD2222&lt;&gt;1),1,0))</f>
        <v/>
      </c>
      <c r="AG2222" s="0" t="str">
        <f aca="false">IF(AA2222=1,"",IF(AND(AC2222=1,AE2222&lt;&gt;1),1,0))</f>
        <v/>
      </c>
      <c r="AH2222" s="51" t="str">
        <f aca="false">IF(AND(E2222&gt;0,AA2222&lt;1,NOT(AND(C2223=C2222,AA2223=AA2222+1))),INDEX(DATAS,AA2222+1),"")</f>
        <v/>
      </c>
      <c r="AI2222" s="51" t="str">
        <f aca="false">IF(AND(AC2222=1,AA2222&lt;1),IF(AND(C2223=C2222,AA2223=AA2222+1),IF(AC2223=1,"",INDEX(DATAS,AA2222+1)),INDEX(DATAS,AA2222+1)),"")</f>
        <v/>
      </c>
    </row>
    <row r="2223" customFormat="false" ht="15" hidden="false" customHeight="false" outlineLevel="0" collapsed="false">
      <c r="A2223" s="51" t="n">
        <v>46309</v>
      </c>
      <c r="B2223" s="0" t="n">
        <v>8</v>
      </c>
      <c r="C2223" s="0" t="n">
        <v>6507</v>
      </c>
      <c r="E2223" s="0" t="n">
        <v>0</v>
      </c>
      <c r="F2223" s="46" t="s">
        <v>1221</v>
      </c>
      <c r="I2223" s="46" t="s">
        <v>152</v>
      </c>
      <c r="L2223" s="0" t="n">
        <v>105</v>
      </c>
      <c r="U2223" s="0" t="n">
        <v>533</v>
      </c>
      <c r="V2223" s="0" t="n">
        <v>2</v>
      </c>
      <c r="W2223" s="51" t="n">
        <v>46205</v>
      </c>
      <c r="X2223" s="46" t="n">
        <f aca="false">IF(I2223="Male",0,1)</f>
        <v>1</v>
      </c>
      <c r="Y2223" s="46" t="n">
        <f aca="false">IF(OR(I2223="DNB",I2223="Dry DNB"),1,0)</f>
        <v>0</v>
      </c>
      <c r="Z2223" s="46" t="n">
        <f aca="false">IF(ISNUMBER(W2223),A2223-W2223,"")</f>
        <v>104</v>
      </c>
      <c r="AA2223" s="46" t="n">
        <f aca="false">MATCH(A2223,DATAS,0)</f>
        <v>1</v>
      </c>
      <c r="AB2223" s="46" t="n">
        <f aca="false">IF(AND(E2223&gt;0,OR(AND(B2223&gt;=1,B2223&lt;=6),B2223=10)),1,0)</f>
        <v>0</v>
      </c>
      <c r="AC2223" s="46" t="n">
        <f aca="false">IF(AND(E2223&gt;0,B2223=10),1,0)</f>
        <v>0</v>
      </c>
      <c r="AD2223" s="0" t="str">
        <f aca="false">IF(AND(C2222=C2223,AA2222=AA2223-1),AB2222,"")</f>
        <v/>
      </c>
      <c r="AE2223" s="0" t="str">
        <f aca="false">IF(AND(C2222=C2223,AA2222=AA2223-1),AC2222,"")</f>
        <v/>
      </c>
      <c r="AF2223" s="0" t="str">
        <f aca="false">IF(AA2223=1,"",IF(AND(AB2223=1,AD2223&lt;&gt;1),1,0))</f>
        <v/>
      </c>
      <c r="AG2223" s="0" t="str">
        <f aca="false">IF(AA2223=1,"",IF(AND(AC2223=1,AE2223&lt;&gt;1),1,0))</f>
        <v/>
      </c>
      <c r="AH2223" s="51" t="str">
        <f aca="false">IF(AND(E2223&gt;0,AA2223&lt;1,NOT(AND(C2224=C2223,AA2224=AA2223+1))),INDEX(DATAS,AA2223+1),"")</f>
        <v/>
      </c>
      <c r="AI2223" s="51" t="str">
        <f aca="false">IF(AND(AC2223=1,AA2223&lt;1),IF(AND(C2224=C2223,AA2224=AA2223+1),IF(AC2224=1,"",INDEX(DATAS,AA2223+1)),INDEX(DATAS,AA2223+1)),"")</f>
        <v/>
      </c>
    </row>
    <row r="2224" customFormat="false" ht="15" hidden="false" customHeight="false" outlineLevel="0" collapsed="false">
      <c r="A2224" s="51" t="n">
        <v>46309</v>
      </c>
      <c r="B2224" s="0" t="n">
        <v>8</v>
      </c>
      <c r="C2224" s="0" t="n">
        <v>6508</v>
      </c>
      <c r="E2224" s="0" t="n">
        <v>0</v>
      </c>
      <c r="F2224" s="46" t="s">
        <v>1221</v>
      </c>
      <c r="I2224" s="46" t="s">
        <v>152</v>
      </c>
      <c r="L2224" s="0" t="n">
        <v>118</v>
      </c>
      <c r="U2224" s="0" t="n">
        <v>533</v>
      </c>
      <c r="V2224" s="0" t="n">
        <v>2</v>
      </c>
      <c r="W2224" s="51" t="n">
        <v>46169</v>
      </c>
      <c r="X2224" s="46" t="n">
        <f aca="false">IF(I2224="Male",0,1)</f>
        <v>1</v>
      </c>
      <c r="Y2224" s="46" t="n">
        <f aca="false">IF(OR(I2224="DNB",I2224="Dry DNB"),1,0)</f>
        <v>0</v>
      </c>
      <c r="Z2224" s="46" t="n">
        <f aca="false">IF(ISNUMBER(W2224),A2224-W2224,"")</f>
        <v>140</v>
      </c>
      <c r="AA2224" s="46" t="n">
        <f aca="false">MATCH(A2224,DATAS,0)</f>
        <v>1</v>
      </c>
      <c r="AB2224" s="46" t="n">
        <f aca="false">IF(AND(E2224&gt;0,OR(AND(B2224&gt;=1,B2224&lt;=6),B2224=10)),1,0)</f>
        <v>0</v>
      </c>
      <c r="AC2224" s="46" t="n">
        <f aca="false">IF(AND(E2224&gt;0,B2224=10),1,0)</f>
        <v>0</v>
      </c>
      <c r="AD2224" s="0" t="str">
        <f aca="false">IF(AND(C2223=C2224,AA2223=AA2224-1),AB2223,"")</f>
        <v/>
      </c>
      <c r="AE2224" s="0" t="str">
        <f aca="false">IF(AND(C2223=C2224,AA2223=AA2224-1),AC2223,"")</f>
        <v/>
      </c>
      <c r="AF2224" s="0" t="str">
        <f aca="false">IF(AA2224=1,"",IF(AND(AB2224=1,AD2224&lt;&gt;1),1,0))</f>
        <v/>
      </c>
      <c r="AG2224" s="0" t="str">
        <f aca="false">IF(AA2224=1,"",IF(AND(AC2224=1,AE2224&lt;&gt;1),1,0))</f>
        <v/>
      </c>
      <c r="AH2224" s="51" t="str">
        <f aca="false">IF(AND(E2224&gt;0,AA2224&lt;1,NOT(AND(C2225=C2224,AA2225=AA2224+1))),INDEX(DATAS,AA2224+1),"")</f>
        <v/>
      </c>
      <c r="AI2224" s="51" t="str">
        <f aca="false">IF(AND(AC2224=1,AA2224&lt;1),IF(AND(C2225=C2224,AA2225=AA2224+1),IF(AC2225=1,"",INDEX(DATAS,AA2224+1)),INDEX(DATAS,AA2224+1)),"")</f>
        <v/>
      </c>
    </row>
    <row r="2225" customFormat="false" ht="15" hidden="false" customHeight="false" outlineLevel="0" collapsed="false">
      <c r="A2225" s="51" t="n">
        <v>46309</v>
      </c>
      <c r="B2225" s="0" t="n">
        <v>8</v>
      </c>
      <c r="C2225" s="0" t="n">
        <v>6509</v>
      </c>
      <c r="E2225" s="0" t="n">
        <v>0</v>
      </c>
      <c r="F2225" s="46" t="s">
        <v>1222</v>
      </c>
      <c r="I2225" s="46" t="s">
        <v>152</v>
      </c>
      <c r="L2225" s="0" t="n">
        <v>43</v>
      </c>
      <c r="U2225" s="0" t="n">
        <v>532</v>
      </c>
      <c r="V2225" s="0" t="n">
        <v>3</v>
      </c>
      <c r="W2225" s="51" t="n">
        <v>46267</v>
      </c>
      <c r="X2225" s="46" t="n">
        <f aca="false">IF(I2225="Male",0,1)</f>
        <v>1</v>
      </c>
      <c r="Y2225" s="46" t="n">
        <f aca="false">IF(OR(I2225="DNB",I2225="Dry DNB"),1,0)</f>
        <v>0</v>
      </c>
      <c r="Z2225" s="46" t="n">
        <f aca="false">IF(ISNUMBER(W2225),A2225-W2225,"")</f>
        <v>42</v>
      </c>
      <c r="AA2225" s="46" t="n">
        <f aca="false">MATCH(A2225,DATAS,0)</f>
        <v>1</v>
      </c>
      <c r="AB2225" s="46" t="n">
        <f aca="false">IF(AND(E2225&gt;0,OR(AND(B2225&gt;=1,B2225&lt;=6),B2225=10)),1,0)</f>
        <v>0</v>
      </c>
      <c r="AC2225" s="46" t="n">
        <f aca="false">IF(AND(E2225&gt;0,B2225=10),1,0)</f>
        <v>0</v>
      </c>
      <c r="AD2225" s="0" t="str">
        <f aca="false">IF(AND(C2224=C2225,AA2224=AA2225-1),AB2224,"")</f>
        <v/>
      </c>
      <c r="AE2225" s="0" t="str">
        <f aca="false">IF(AND(C2224=C2225,AA2224=AA2225-1),AC2224,"")</f>
        <v/>
      </c>
      <c r="AF2225" s="0" t="str">
        <f aca="false">IF(AA2225=1,"",IF(AND(AB2225=1,AD2225&lt;&gt;1),1,0))</f>
        <v/>
      </c>
      <c r="AG2225" s="0" t="str">
        <f aca="false">IF(AA2225=1,"",IF(AND(AC2225=1,AE2225&lt;&gt;1),1,0))</f>
        <v/>
      </c>
      <c r="AH2225" s="51" t="str">
        <f aca="false">IF(AND(E2225&gt;0,AA2225&lt;1,NOT(AND(C2226=C2225,AA2226=AA2225+1))),INDEX(DATAS,AA2225+1),"")</f>
        <v/>
      </c>
      <c r="AI2225" s="51" t="str">
        <f aca="false">IF(AND(AC2225=1,AA2225&lt;1),IF(AND(C2226=C2225,AA2226=AA2225+1),IF(AC2226=1,"",INDEX(DATAS,AA2225+1)),INDEX(DATAS,AA2225+1)),"")</f>
        <v/>
      </c>
    </row>
    <row r="2226" customFormat="false" ht="15" hidden="false" customHeight="false" outlineLevel="0" collapsed="false">
      <c r="A2226" s="51" t="n">
        <v>46309</v>
      </c>
      <c r="B2226" s="0" t="n">
        <v>8</v>
      </c>
      <c r="C2226" s="0" t="n">
        <v>6510</v>
      </c>
      <c r="E2226" s="0" t="n">
        <v>0</v>
      </c>
      <c r="F2226" s="46" t="s">
        <v>1222</v>
      </c>
      <c r="I2226" s="46" t="s">
        <v>152</v>
      </c>
      <c r="L2226" s="0" t="n">
        <v>134</v>
      </c>
      <c r="U2226" s="0" t="n">
        <v>532</v>
      </c>
      <c r="V2226" s="0" t="n">
        <v>1</v>
      </c>
      <c r="W2226" s="51" t="n">
        <v>46176</v>
      </c>
      <c r="X2226" s="46" t="n">
        <f aca="false">IF(I2226="Male",0,1)</f>
        <v>1</v>
      </c>
      <c r="Y2226" s="46" t="n">
        <f aca="false">IF(OR(I2226="DNB",I2226="Dry DNB"),1,0)</f>
        <v>0</v>
      </c>
      <c r="Z2226" s="46" t="n">
        <f aca="false">IF(ISNUMBER(W2226),A2226-W2226,"")</f>
        <v>133</v>
      </c>
      <c r="AA2226" s="46" t="n">
        <f aca="false">MATCH(A2226,DATAS,0)</f>
        <v>1</v>
      </c>
      <c r="AB2226" s="46" t="n">
        <f aca="false">IF(AND(E2226&gt;0,OR(AND(B2226&gt;=1,B2226&lt;=6),B2226=10)),1,0)</f>
        <v>0</v>
      </c>
      <c r="AC2226" s="46" t="n">
        <f aca="false">IF(AND(E2226&gt;0,B2226=10),1,0)</f>
        <v>0</v>
      </c>
      <c r="AD2226" s="0" t="str">
        <f aca="false">IF(AND(C2225=C2226,AA2225=AA2226-1),AB2225,"")</f>
        <v/>
      </c>
      <c r="AE2226" s="0" t="str">
        <f aca="false">IF(AND(C2225=C2226,AA2225=AA2226-1),AC2225,"")</f>
        <v/>
      </c>
      <c r="AF2226" s="0" t="str">
        <f aca="false">IF(AA2226=1,"",IF(AND(AB2226=1,AD2226&lt;&gt;1),1,0))</f>
        <v/>
      </c>
      <c r="AG2226" s="0" t="str">
        <f aca="false">IF(AA2226=1,"",IF(AND(AC2226=1,AE2226&lt;&gt;1),1,0))</f>
        <v/>
      </c>
      <c r="AH2226" s="51" t="str">
        <f aca="false">IF(AND(E2226&gt;0,AA2226&lt;1,NOT(AND(C2227=C2226,AA2227=AA2226+1))),INDEX(DATAS,AA2226+1),"")</f>
        <v/>
      </c>
      <c r="AI2226" s="51" t="str">
        <f aca="false">IF(AND(AC2226=1,AA2226&lt;1),IF(AND(C2227=C2226,AA2227=AA2226+1),IF(AC2227=1,"",INDEX(DATAS,AA2226+1)),INDEX(DATAS,AA2226+1)),"")</f>
        <v/>
      </c>
    </row>
    <row r="2227" customFormat="false" ht="15" hidden="false" customHeight="false" outlineLevel="0" collapsed="false">
      <c r="A2227" s="51" t="n">
        <v>46309</v>
      </c>
      <c r="B2227" s="0" t="n">
        <v>8</v>
      </c>
      <c r="C2227" s="0" t="n">
        <v>6511</v>
      </c>
      <c r="E2227" s="0" t="n">
        <v>0</v>
      </c>
      <c r="F2227" s="46" t="s">
        <v>1223</v>
      </c>
      <c r="I2227" s="46" t="s">
        <v>152</v>
      </c>
      <c r="L2227" s="0" t="n">
        <v>134</v>
      </c>
      <c r="U2227" s="0" t="n">
        <v>531</v>
      </c>
      <c r="V2227" s="0" t="n">
        <v>1</v>
      </c>
      <c r="W2227" s="51" t="n">
        <v>46176</v>
      </c>
      <c r="X2227" s="46" t="n">
        <f aca="false">IF(I2227="Male",0,1)</f>
        <v>1</v>
      </c>
      <c r="Y2227" s="46" t="n">
        <f aca="false">IF(OR(I2227="DNB",I2227="Dry DNB"),1,0)</f>
        <v>0</v>
      </c>
      <c r="Z2227" s="46" t="n">
        <f aca="false">IF(ISNUMBER(W2227),A2227-W2227,"")</f>
        <v>133</v>
      </c>
      <c r="AA2227" s="46" t="n">
        <f aca="false">MATCH(A2227,DATAS,0)</f>
        <v>1</v>
      </c>
      <c r="AB2227" s="46" t="n">
        <f aca="false">IF(AND(E2227&gt;0,OR(AND(B2227&gt;=1,B2227&lt;=6),B2227=10)),1,0)</f>
        <v>0</v>
      </c>
      <c r="AC2227" s="46" t="n">
        <f aca="false">IF(AND(E2227&gt;0,B2227=10),1,0)</f>
        <v>0</v>
      </c>
      <c r="AD2227" s="0" t="str">
        <f aca="false">IF(AND(C2226=C2227,AA2226=AA2227-1),AB2226,"")</f>
        <v/>
      </c>
      <c r="AE2227" s="0" t="str">
        <f aca="false">IF(AND(C2226=C2227,AA2226=AA2227-1),AC2226,"")</f>
        <v/>
      </c>
      <c r="AF2227" s="0" t="str">
        <f aca="false">IF(AA2227=1,"",IF(AND(AB2227=1,AD2227&lt;&gt;1),1,0))</f>
        <v/>
      </c>
      <c r="AG2227" s="0" t="str">
        <f aca="false">IF(AA2227=1,"",IF(AND(AC2227=1,AE2227&lt;&gt;1),1,0))</f>
        <v/>
      </c>
      <c r="AH2227" s="51" t="str">
        <f aca="false">IF(AND(E2227&gt;0,AA2227&lt;1,NOT(AND(C2228=C2227,AA2228=AA2227+1))),INDEX(DATAS,AA2227+1),"")</f>
        <v/>
      </c>
      <c r="AI2227" s="51" t="str">
        <f aca="false">IF(AND(AC2227=1,AA2227&lt;1),IF(AND(C2228=C2227,AA2228=AA2227+1),IF(AC2228=1,"",INDEX(DATAS,AA2227+1)),INDEX(DATAS,AA2227+1)),"")</f>
        <v/>
      </c>
    </row>
    <row r="2228" customFormat="false" ht="15" hidden="false" customHeight="false" outlineLevel="0" collapsed="false">
      <c r="A2228" s="51" t="n">
        <v>46309</v>
      </c>
      <c r="B2228" s="0" t="n">
        <v>8</v>
      </c>
      <c r="C2228" s="0" t="n">
        <v>6512</v>
      </c>
      <c r="E2228" s="0" t="n">
        <v>0</v>
      </c>
      <c r="F2228" s="46" t="s">
        <v>1223</v>
      </c>
      <c r="I2228" s="46" t="s">
        <v>152</v>
      </c>
      <c r="L2228" s="0" t="n">
        <v>133</v>
      </c>
      <c r="U2228" s="0" t="n">
        <v>531</v>
      </c>
      <c r="V2228" s="0" t="n">
        <v>1</v>
      </c>
      <c r="W2228" s="51" t="n">
        <v>46177</v>
      </c>
      <c r="X2228" s="46" t="n">
        <f aca="false">IF(I2228="Male",0,1)</f>
        <v>1</v>
      </c>
      <c r="Y2228" s="46" t="n">
        <f aca="false">IF(OR(I2228="DNB",I2228="Dry DNB"),1,0)</f>
        <v>0</v>
      </c>
      <c r="Z2228" s="46" t="n">
        <f aca="false">IF(ISNUMBER(W2228),A2228-W2228,"")</f>
        <v>132</v>
      </c>
      <c r="AA2228" s="46" t="n">
        <f aca="false">MATCH(A2228,DATAS,0)</f>
        <v>1</v>
      </c>
      <c r="AB2228" s="46" t="n">
        <f aca="false">IF(AND(E2228&gt;0,OR(AND(B2228&gt;=1,B2228&lt;=6),B2228=10)),1,0)</f>
        <v>0</v>
      </c>
      <c r="AC2228" s="46" t="n">
        <f aca="false">IF(AND(E2228&gt;0,B2228=10),1,0)</f>
        <v>0</v>
      </c>
      <c r="AD2228" s="0" t="str">
        <f aca="false">IF(AND(C2227=C2228,AA2227=AA2228-1),AB2227,"")</f>
        <v/>
      </c>
      <c r="AE2228" s="0" t="str">
        <f aca="false">IF(AND(C2227=C2228,AA2227=AA2228-1),AC2227,"")</f>
        <v/>
      </c>
      <c r="AF2228" s="0" t="str">
        <f aca="false">IF(AA2228=1,"",IF(AND(AB2228=1,AD2228&lt;&gt;1),1,0))</f>
        <v/>
      </c>
      <c r="AG2228" s="0" t="str">
        <f aca="false">IF(AA2228=1,"",IF(AND(AC2228=1,AE2228&lt;&gt;1),1,0))</f>
        <v/>
      </c>
      <c r="AH2228" s="51" t="str">
        <f aca="false">IF(AND(E2228&gt;0,AA2228&lt;1,NOT(AND(C2229=C2228,AA2229=AA2228+1))),INDEX(DATAS,AA2228+1),"")</f>
        <v/>
      </c>
      <c r="AI2228" s="51" t="str">
        <f aca="false">IF(AND(AC2228=1,AA2228&lt;1),IF(AND(C2229=C2228,AA2229=AA2228+1),IF(AC2229=1,"",INDEX(DATAS,AA2228+1)),INDEX(DATAS,AA2228+1)),"")</f>
        <v/>
      </c>
    </row>
    <row r="2229" customFormat="false" ht="15" hidden="false" customHeight="false" outlineLevel="0" collapsed="false">
      <c r="A2229" s="51" t="n">
        <v>46309</v>
      </c>
      <c r="B2229" s="0" t="n">
        <v>8</v>
      </c>
      <c r="C2229" s="0" t="n">
        <v>6513</v>
      </c>
      <c r="E2229" s="0" t="n">
        <v>0</v>
      </c>
      <c r="F2229" s="46" t="s">
        <v>1223</v>
      </c>
      <c r="I2229" s="46" t="s">
        <v>152</v>
      </c>
      <c r="L2229" s="0" t="n">
        <v>84</v>
      </c>
      <c r="U2229" s="0" t="n">
        <v>531</v>
      </c>
      <c r="V2229" s="0" t="n">
        <v>3</v>
      </c>
      <c r="W2229" s="51" t="n">
        <v>46226</v>
      </c>
      <c r="X2229" s="46" t="n">
        <f aca="false">IF(I2229="Male",0,1)</f>
        <v>1</v>
      </c>
      <c r="Y2229" s="46" t="n">
        <f aca="false">IF(OR(I2229="DNB",I2229="Dry DNB"),1,0)</f>
        <v>0</v>
      </c>
      <c r="Z2229" s="46" t="n">
        <f aca="false">IF(ISNUMBER(W2229),A2229-W2229,"")</f>
        <v>83</v>
      </c>
      <c r="AA2229" s="46" t="n">
        <f aca="false">MATCH(A2229,DATAS,0)</f>
        <v>1</v>
      </c>
      <c r="AB2229" s="46" t="n">
        <f aca="false">IF(AND(E2229&gt;0,OR(AND(B2229&gt;=1,B2229&lt;=6),B2229=10)),1,0)</f>
        <v>0</v>
      </c>
      <c r="AC2229" s="46" t="n">
        <f aca="false">IF(AND(E2229&gt;0,B2229=10),1,0)</f>
        <v>0</v>
      </c>
      <c r="AD2229" s="0" t="str">
        <f aca="false">IF(AND(C2228=C2229,AA2228=AA2229-1),AB2228,"")</f>
        <v/>
      </c>
      <c r="AE2229" s="0" t="str">
        <f aca="false">IF(AND(C2228=C2229,AA2228=AA2229-1),AC2228,"")</f>
        <v/>
      </c>
      <c r="AF2229" s="0" t="str">
        <f aca="false">IF(AA2229=1,"",IF(AND(AB2229=1,AD2229&lt;&gt;1),1,0))</f>
        <v/>
      </c>
      <c r="AG2229" s="0" t="str">
        <f aca="false">IF(AA2229=1,"",IF(AND(AC2229=1,AE2229&lt;&gt;1),1,0))</f>
        <v/>
      </c>
      <c r="AH2229" s="51" t="str">
        <f aca="false">IF(AND(E2229&gt;0,AA2229&lt;1,NOT(AND(C2230=C2229,AA2230=AA2229+1))),INDEX(DATAS,AA2229+1),"")</f>
        <v/>
      </c>
      <c r="AI2229" s="51" t="str">
        <f aca="false">IF(AND(AC2229=1,AA2229&lt;1),IF(AND(C2230=C2229,AA2230=AA2229+1),IF(AC2230=1,"",INDEX(DATAS,AA2229+1)),INDEX(DATAS,AA2229+1)),"")</f>
        <v/>
      </c>
    </row>
    <row r="2230" customFormat="false" ht="15" hidden="false" customHeight="false" outlineLevel="0" collapsed="false">
      <c r="A2230" s="51" t="n">
        <v>46309</v>
      </c>
      <c r="B2230" s="0" t="n">
        <v>8</v>
      </c>
      <c r="C2230" s="0" t="n">
        <v>6514</v>
      </c>
      <c r="E2230" s="0" t="n">
        <v>0</v>
      </c>
      <c r="F2230" s="46" t="s">
        <v>1223</v>
      </c>
      <c r="I2230" s="46" t="s">
        <v>152</v>
      </c>
      <c r="L2230" s="0" t="n">
        <v>111</v>
      </c>
      <c r="U2230" s="0" t="n">
        <v>531</v>
      </c>
      <c r="V2230" s="0" t="n">
        <v>2</v>
      </c>
      <c r="W2230" s="51" t="n">
        <v>46199</v>
      </c>
      <c r="X2230" s="46" t="n">
        <f aca="false">IF(I2230="Male",0,1)</f>
        <v>1</v>
      </c>
      <c r="Y2230" s="46" t="n">
        <f aca="false">IF(OR(I2230="DNB",I2230="Dry DNB"),1,0)</f>
        <v>0</v>
      </c>
      <c r="Z2230" s="46" t="n">
        <f aca="false">IF(ISNUMBER(W2230),A2230-W2230,"")</f>
        <v>110</v>
      </c>
      <c r="AA2230" s="46" t="n">
        <f aca="false">MATCH(A2230,DATAS,0)</f>
        <v>1</v>
      </c>
      <c r="AB2230" s="46" t="n">
        <f aca="false">IF(AND(E2230&gt;0,OR(AND(B2230&gt;=1,B2230&lt;=6),B2230=10)),1,0)</f>
        <v>0</v>
      </c>
      <c r="AC2230" s="46" t="n">
        <f aca="false">IF(AND(E2230&gt;0,B2230=10),1,0)</f>
        <v>0</v>
      </c>
      <c r="AD2230" s="0" t="str">
        <f aca="false">IF(AND(C2229=C2230,AA2229=AA2230-1),AB2229,"")</f>
        <v/>
      </c>
      <c r="AE2230" s="0" t="str">
        <f aca="false">IF(AND(C2229=C2230,AA2229=AA2230-1),AC2229,"")</f>
        <v/>
      </c>
      <c r="AF2230" s="0" t="str">
        <f aca="false">IF(AA2230=1,"",IF(AND(AB2230=1,AD2230&lt;&gt;1),1,0))</f>
        <v/>
      </c>
      <c r="AG2230" s="0" t="str">
        <f aca="false">IF(AA2230=1,"",IF(AND(AC2230=1,AE2230&lt;&gt;1),1,0))</f>
        <v/>
      </c>
      <c r="AH2230" s="51" t="str">
        <f aca="false">IF(AND(E2230&gt;0,AA2230&lt;1,NOT(AND(C2231=C2230,AA2231=AA2230+1))),INDEX(DATAS,AA2230+1),"")</f>
        <v/>
      </c>
      <c r="AI2230" s="51" t="str">
        <f aca="false">IF(AND(AC2230=1,AA2230&lt;1),IF(AND(C2231=C2230,AA2231=AA2230+1),IF(AC2231=1,"",INDEX(DATAS,AA2230+1)),INDEX(DATAS,AA2230+1)),"")</f>
        <v/>
      </c>
    </row>
    <row r="2231" customFormat="false" ht="15" hidden="false" customHeight="false" outlineLevel="0" collapsed="false">
      <c r="A2231" s="51" t="n">
        <v>46309</v>
      </c>
      <c r="B2231" s="0" t="n">
        <v>8</v>
      </c>
      <c r="C2231" s="0" t="n">
        <v>6515</v>
      </c>
      <c r="E2231" s="0" t="n">
        <v>0</v>
      </c>
      <c r="F2231" s="46" t="s">
        <v>1224</v>
      </c>
      <c r="I2231" s="46" t="s">
        <v>152</v>
      </c>
      <c r="L2231" s="0" t="n">
        <v>112</v>
      </c>
      <c r="U2231" s="0" t="n">
        <v>530</v>
      </c>
      <c r="V2231" s="0" t="n">
        <v>1</v>
      </c>
      <c r="W2231" s="51" t="n">
        <v>46198</v>
      </c>
      <c r="X2231" s="46" t="n">
        <f aca="false">IF(I2231="Male",0,1)</f>
        <v>1</v>
      </c>
      <c r="Y2231" s="46" t="n">
        <f aca="false">IF(OR(I2231="DNB",I2231="Dry DNB"),1,0)</f>
        <v>0</v>
      </c>
      <c r="Z2231" s="46" t="n">
        <f aca="false">IF(ISNUMBER(W2231),A2231-W2231,"")</f>
        <v>111</v>
      </c>
      <c r="AA2231" s="46" t="n">
        <f aca="false">MATCH(A2231,DATAS,0)</f>
        <v>1</v>
      </c>
      <c r="AB2231" s="46" t="n">
        <f aca="false">IF(AND(E2231&gt;0,OR(AND(B2231&gt;=1,B2231&lt;=6),B2231=10)),1,0)</f>
        <v>0</v>
      </c>
      <c r="AC2231" s="46" t="n">
        <f aca="false">IF(AND(E2231&gt;0,B2231=10),1,0)</f>
        <v>0</v>
      </c>
      <c r="AD2231" s="0" t="str">
        <f aca="false">IF(AND(C2230=C2231,AA2230=AA2231-1),AB2230,"")</f>
        <v/>
      </c>
      <c r="AE2231" s="0" t="str">
        <f aca="false">IF(AND(C2230=C2231,AA2230=AA2231-1),AC2230,"")</f>
        <v/>
      </c>
      <c r="AF2231" s="0" t="str">
        <f aca="false">IF(AA2231=1,"",IF(AND(AB2231=1,AD2231&lt;&gt;1),1,0))</f>
        <v/>
      </c>
      <c r="AG2231" s="0" t="str">
        <f aca="false">IF(AA2231=1,"",IF(AND(AC2231=1,AE2231&lt;&gt;1),1,0))</f>
        <v/>
      </c>
      <c r="AH2231" s="51" t="str">
        <f aca="false">IF(AND(E2231&gt;0,AA2231&lt;1,NOT(AND(C2232=C2231,AA2232=AA2231+1))),INDEX(DATAS,AA2231+1),"")</f>
        <v/>
      </c>
      <c r="AI2231" s="51" t="str">
        <f aca="false">IF(AND(AC2231=1,AA2231&lt;1),IF(AND(C2232=C2231,AA2232=AA2231+1),IF(AC2232=1,"",INDEX(DATAS,AA2231+1)),INDEX(DATAS,AA2231+1)),"")</f>
        <v/>
      </c>
    </row>
    <row r="2232" customFormat="false" ht="15" hidden="false" customHeight="false" outlineLevel="0" collapsed="false">
      <c r="A2232" s="51" t="n">
        <v>46309</v>
      </c>
      <c r="B2232" s="0" t="n">
        <v>8</v>
      </c>
      <c r="C2232" s="0" t="n">
        <v>6516</v>
      </c>
      <c r="E2232" s="0" t="n">
        <v>0</v>
      </c>
      <c r="F2232" s="46" t="s">
        <v>1225</v>
      </c>
      <c r="I2232" s="46" t="s">
        <v>152</v>
      </c>
      <c r="L2232" s="0" t="n">
        <v>85</v>
      </c>
      <c r="U2232" s="0" t="n">
        <v>527</v>
      </c>
      <c r="V2232" s="0" t="n">
        <v>3</v>
      </c>
      <c r="W2232" s="51" t="n">
        <v>46225</v>
      </c>
      <c r="X2232" s="46" t="n">
        <f aca="false">IF(I2232="Male",0,1)</f>
        <v>1</v>
      </c>
      <c r="Y2232" s="46" t="n">
        <f aca="false">IF(OR(I2232="DNB",I2232="Dry DNB"),1,0)</f>
        <v>0</v>
      </c>
      <c r="Z2232" s="46" t="n">
        <f aca="false">IF(ISNUMBER(W2232),A2232-W2232,"")</f>
        <v>84</v>
      </c>
      <c r="AA2232" s="46" t="n">
        <f aca="false">MATCH(A2232,DATAS,0)</f>
        <v>1</v>
      </c>
      <c r="AB2232" s="46" t="n">
        <f aca="false">IF(AND(E2232&gt;0,OR(AND(B2232&gt;=1,B2232&lt;=6),B2232=10)),1,0)</f>
        <v>0</v>
      </c>
      <c r="AC2232" s="46" t="n">
        <f aca="false">IF(AND(E2232&gt;0,B2232=10),1,0)</f>
        <v>0</v>
      </c>
      <c r="AD2232" s="0" t="str">
        <f aca="false">IF(AND(C2231=C2232,AA2231=AA2232-1),AB2231,"")</f>
        <v/>
      </c>
      <c r="AE2232" s="0" t="str">
        <f aca="false">IF(AND(C2231=C2232,AA2231=AA2232-1),AC2231,"")</f>
        <v/>
      </c>
      <c r="AF2232" s="0" t="str">
        <f aca="false">IF(AA2232=1,"",IF(AND(AB2232=1,AD2232&lt;&gt;1),1,0))</f>
        <v/>
      </c>
      <c r="AG2232" s="0" t="str">
        <f aca="false">IF(AA2232=1,"",IF(AND(AC2232=1,AE2232&lt;&gt;1),1,0))</f>
        <v/>
      </c>
      <c r="AH2232" s="51" t="str">
        <f aca="false">IF(AND(E2232&gt;0,AA2232&lt;1,NOT(AND(C2233=C2232,AA2233=AA2232+1))),INDEX(DATAS,AA2232+1),"")</f>
        <v/>
      </c>
      <c r="AI2232" s="51" t="str">
        <f aca="false">IF(AND(AC2232=1,AA2232&lt;1),IF(AND(C2233=C2232,AA2233=AA2232+1),IF(AC2233=1,"",INDEX(DATAS,AA2232+1)),INDEX(DATAS,AA2232+1)),"")</f>
        <v/>
      </c>
    </row>
    <row r="2233" customFormat="false" ht="15" hidden="false" customHeight="false" outlineLevel="0" collapsed="false">
      <c r="A2233" s="51" t="n">
        <v>46309</v>
      </c>
      <c r="B2233" s="0" t="n">
        <v>8</v>
      </c>
      <c r="C2233" s="0" t="n">
        <v>6517</v>
      </c>
      <c r="E2233" s="0" t="n">
        <v>0</v>
      </c>
      <c r="F2233" s="46" t="s">
        <v>1225</v>
      </c>
      <c r="I2233" s="46" t="s">
        <v>152</v>
      </c>
      <c r="L2233" s="0" t="n">
        <v>125</v>
      </c>
      <c r="U2233" s="0" t="n">
        <v>527</v>
      </c>
      <c r="V2233" s="0" t="n">
        <v>1</v>
      </c>
      <c r="W2233" s="51" t="n">
        <v>46185</v>
      </c>
      <c r="X2233" s="46" t="n">
        <f aca="false">IF(I2233="Male",0,1)</f>
        <v>1</v>
      </c>
      <c r="Y2233" s="46" t="n">
        <f aca="false">IF(OR(I2233="DNB",I2233="Dry DNB"),1,0)</f>
        <v>0</v>
      </c>
      <c r="Z2233" s="46" t="n">
        <f aca="false">IF(ISNUMBER(W2233),A2233-W2233,"")</f>
        <v>124</v>
      </c>
      <c r="AA2233" s="46" t="n">
        <f aca="false">MATCH(A2233,DATAS,0)</f>
        <v>1</v>
      </c>
      <c r="AB2233" s="46" t="n">
        <f aca="false">IF(AND(E2233&gt;0,OR(AND(B2233&gt;=1,B2233&lt;=6),B2233=10)),1,0)</f>
        <v>0</v>
      </c>
      <c r="AC2233" s="46" t="n">
        <f aca="false">IF(AND(E2233&gt;0,B2233=10),1,0)</f>
        <v>0</v>
      </c>
      <c r="AD2233" s="0" t="str">
        <f aca="false">IF(AND(C2232=C2233,AA2232=AA2233-1),AB2232,"")</f>
        <v/>
      </c>
      <c r="AE2233" s="0" t="str">
        <f aca="false">IF(AND(C2232=C2233,AA2232=AA2233-1),AC2232,"")</f>
        <v/>
      </c>
      <c r="AF2233" s="0" t="str">
        <f aca="false">IF(AA2233=1,"",IF(AND(AB2233=1,AD2233&lt;&gt;1),1,0))</f>
        <v/>
      </c>
      <c r="AG2233" s="0" t="str">
        <f aca="false">IF(AA2233=1,"",IF(AND(AC2233=1,AE2233&lt;&gt;1),1,0))</f>
        <v/>
      </c>
      <c r="AH2233" s="51" t="str">
        <f aca="false">IF(AND(E2233&gt;0,AA2233&lt;1,NOT(AND(C2234=C2233,AA2234=AA2233+1))),INDEX(DATAS,AA2233+1),"")</f>
        <v/>
      </c>
      <c r="AI2233" s="51" t="str">
        <f aca="false">IF(AND(AC2233=1,AA2233&lt;1),IF(AND(C2234=C2233,AA2234=AA2233+1),IF(AC2234=1,"",INDEX(DATAS,AA2233+1)),INDEX(DATAS,AA2233+1)),"")</f>
        <v/>
      </c>
    </row>
    <row r="2234" customFormat="false" ht="15" hidden="false" customHeight="false" outlineLevel="0" collapsed="false">
      <c r="A2234" s="51" t="n">
        <v>46309</v>
      </c>
      <c r="B2234" s="0" t="n">
        <v>11</v>
      </c>
      <c r="C2234" s="0" t="n">
        <v>6518</v>
      </c>
      <c r="E2234" s="0" t="n">
        <v>0</v>
      </c>
      <c r="F2234" s="46" t="s">
        <v>1225</v>
      </c>
      <c r="I2234" s="46" t="s">
        <v>181</v>
      </c>
      <c r="U2234" s="0" t="n">
        <v>527</v>
      </c>
      <c r="V2234" s="0" t="n">
        <v>4</v>
      </c>
      <c r="W2234" s="51" t="n">
        <v>46301</v>
      </c>
      <c r="X2234" s="46" t="n">
        <f aca="false">IF(I2234="Male",0,1)</f>
        <v>1</v>
      </c>
      <c r="Y2234" s="46" t="n">
        <f aca="false">IF(OR(I2234="DNB",I2234="Dry DNB"),1,0)</f>
        <v>0</v>
      </c>
      <c r="Z2234" s="46" t="n">
        <f aca="false">IF(ISNUMBER(W2234),A2234-W2234,"")</f>
        <v>8</v>
      </c>
      <c r="AA2234" s="46" t="n">
        <f aca="false">MATCH(A2234,DATAS,0)</f>
        <v>1</v>
      </c>
      <c r="AB2234" s="46" t="n">
        <f aca="false">IF(AND(E2234&gt;0,OR(AND(B2234&gt;=1,B2234&lt;=6),B2234=10)),1,0)</f>
        <v>0</v>
      </c>
      <c r="AC2234" s="46" t="n">
        <f aca="false">IF(AND(E2234&gt;0,B2234=10),1,0)</f>
        <v>0</v>
      </c>
      <c r="AD2234" s="0" t="str">
        <f aca="false">IF(AND(C2233=C2234,AA2233=AA2234-1),AB2233,"")</f>
        <v/>
      </c>
      <c r="AE2234" s="0" t="str">
        <f aca="false">IF(AND(C2233=C2234,AA2233=AA2234-1),AC2233,"")</f>
        <v/>
      </c>
      <c r="AF2234" s="0" t="str">
        <f aca="false">IF(AA2234=1,"",IF(AND(AB2234=1,AD2234&lt;&gt;1),1,0))</f>
        <v/>
      </c>
      <c r="AG2234" s="0" t="str">
        <f aca="false">IF(AA2234=1,"",IF(AND(AC2234=1,AE2234&lt;&gt;1),1,0))</f>
        <v/>
      </c>
      <c r="AH2234" s="51" t="str">
        <f aca="false">IF(AND(E2234&gt;0,AA2234&lt;1,NOT(AND(C2235=C2234,AA2235=AA2234+1))),INDEX(DATAS,AA2234+1),"")</f>
        <v/>
      </c>
      <c r="AI2234" s="51" t="str">
        <f aca="false">IF(AND(AC2234=1,AA2234&lt;1),IF(AND(C2235=C2234,AA2235=AA2234+1),IF(AC2235=1,"",INDEX(DATAS,AA2234+1)),INDEX(DATAS,AA2234+1)),"")</f>
        <v/>
      </c>
    </row>
    <row r="2235" customFormat="false" ht="15" hidden="false" customHeight="false" outlineLevel="0" collapsed="false">
      <c r="A2235" s="51" t="n">
        <v>46309</v>
      </c>
      <c r="B2235" s="0" t="n">
        <v>11</v>
      </c>
      <c r="C2235" s="0" t="n">
        <v>6519</v>
      </c>
      <c r="E2235" s="0" t="n">
        <v>0</v>
      </c>
      <c r="F2235" s="46" t="s">
        <v>1225</v>
      </c>
      <c r="I2235" s="46" t="s">
        <v>181</v>
      </c>
      <c r="U2235" s="0" t="n">
        <v>527</v>
      </c>
      <c r="V2235" s="0" t="n">
        <v>2</v>
      </c>
      <c r="W2235" s="51" t="n">
        <v>46296</v>
      </c>
      <c r="X2235" s="46" t="n">
        <f aca="false">IF(I2235="Male",0,1)</f>
        <v>1</v>
      </c>
      <c r="Y2235" s="46" t="n">
        <f aca="false">IF(OR(I2235="DNB",I2235="Dry DNB"),1,0)</f>
        <v>0</v>
      </c>
      <c r="Z2235" s="46" t="n">
        <f aca="false">IF(ISNUMBER(W2235),A2235-W2235,"")</f>
        <v>13</v>
      </c>
      <c r="AA2235" s="46" t="n">
        <f aca="false">MATCH(A2235,DATAS,0)</f>
        <v>1</v>
      </c>
      <c r="AB2235" s="46" t="n">
        <f aca="false">IF(AND(E2235&gt;0,OR(AND(B2235&gt;=1,B2235&lt;=6),B2235=10)),1,0)</f>
        <v>0</v>
      </c>
      <c r="AC2235" s="46" t="n">
        <f aca="false">IF(AND(E2235&gt;0,B2235=10),1,0)</f>
        <v>0</v>
      </c>
      <c r="AD2235" s="0" t="str">
        <f aca="false">IF(AND(C2234=C2235,AA2234=AA2235-1),AB2234,"")</f>
        <v/>
      </c>
      <c r="AE2235" s="0" t="str">
        <f aca="false">IF(AND(C2234=C2235,AA2234=AA2235-1),AC2234,"")</f>
        <v/>
      </c>
      <c r="AF2235" s="0" t="str">
        <f aca="false">IF(AA2235=1,"",IF(AND(AB2235=1,AD2235&lt;&gt;1),1,0))</f>
        <v/>
      </c>
      <c r="AG2235" s="0" t="str">
        <f aca="false">IF(AA2235=1,"",IF(AND(AC2235=1,AE2235&lt;&gt;1),1,0))</f>
        <v/>
      </c>
      <c r="AH2235" s="51" t="str">
        <f aca="false">IF(AND(E2235&gt;0,AA2235&lt;1,NOT(AND(C2236=C2235,AA2236=AA2235+1))),INDEX(DATAS,AA2235+1),"")</f>
        <v/>
      </c>
      <c r="AI2235" s="51" t="str">
        <f aca="false">IF(AND(AC2235=1,AA2235&lt;1),IF(AND(C2236=C2235,AA2236=AA2235+1),IF(AC2236=1,"",INDEX(DATAS,AA2235+1)),INDEX(DATAS,AA2235+1)),"")</f>
        <v/>
      </c>
    </row>
    <row r="2236" customFormat="false" ht="15" hidden="false" customHeight="false" outlineLevel="0" collapsed="false">
      <c r="A2236" s="51" t="n">
        <v>46309</v>
      </c>
      <c r="B2236" s="0" t="n">
        <v>8</v>
      </c>
      <c r="C2236" s="0" t="n">
        <v>6520</v>
      </c>
      <c r="E2236" s="0" t="n">
        <v>0</v>
      </c>
      <c r="F2236" s="46" t="s">
        <v>1225</v>
      </c>
      <c r="I2236" s="46" t="s">
        <v>152</v>
      </c>
      <c r="L2236" s="0" t="n">
        <v>35</v>
      </c>
      <c r="U2236" s="0" t="n">
        <v>527</v>
      </c>
      <c r="V2236" s="0" t="n">
        <v>2</v>
      </c>
      <c r="W2236" s="51" t="n">
        <v>46275</v>
      </c>
      <c r="X2236" s="46" t="n">
        <f aca="false">IF(I2236="Male",0,1)</f>
        <v>1</v>
      </c>
      <c r="Y2236" s="46" t="n">
        <f aca="false">IF(OR(I2236="DNB",I2236="Dry DNB"),1,0)</f>
        <v>0</v>
      </c>
      <c r="Z2236" s="46" t="n">
        <f aca="false">IF(ISNUMBER(W2236),A2236-W2236,"")</f>
        <v>34</v>
      </c>
      <c r="AA2236" s="46" t="n">
        <f aca="false">MATCH(A2236,DATAS,0)</f>
        <v>1</v>
      </c>
      <c r="AB2236" s="46" t="n">
        <f aca="false">IF(AND(E2236&gt;0,OR(AND(B2236&gt;=1,B2236&lt;=6),B2236=10)),1,0)</f>
        <v>0</v>
      </c>
      <c r="AC2236" s="46" t="n">
        <f aca="false">IF(AND(E2236&gt;0,B2236=10),1,0)</f>
        <v>0</v>
      </c>
      <c r="AD2236" s="0" t="str">
        <f aca="false">IF(AND(C2235=C2236,AA2235=AA2236-1),AB2235,"")</f>
        <v/>
      </c>
      <c r="AE2236" s="0" t="str">
        <f aca="false">IF(AND(C2235=C2236,AA2235=AA2236-1),AC2235,"")</f>
        <v/>
      </c>
      <c r="AF2236" s="0" t="str">
        <f aca="false">IF(AA2236=1,"",IF(AND(AB2236=1,AD2236&lt;&gt;1),1,0))</f>
        <v/>
      </c>
      <c r="AG2236" s="0" t="str">
        <f aca="false">IF(AA2236=1,"",IF(AND(AC2236=1,AE2236&lt;&gt;1),1,0))</f>
        <v/>
      </c>
      <c r="AH2236" s="51" t="str">
        <f aca="false">IF(AND(E2236&gt;0,AA2236&lt;1,NOT(AND(C2237=C2236,AA2237=AA2236+1))),INDEX(DATAS,AA2236+1),"")</f>
        <v/>
      </c>
      <c r="AI2236" s="51" t="str">
        <f aca="false">IF(AND(AC2236=1,AA2236&lt;1),IF(AND(C2237=C2236,AA2237=AA2236+1),IF(AC2237=1,"",INDEX(DATAS,AA2236+1)),INDEX(DATAS,AA2236+1)),"")</f>
        <v/>
      </c>
    </row>
    <row r="2237" customFormat="false" ht="15" hidden="false" customHeight="false" outlineLevel="0" collapsed="false">
      <c r="A2237" s="51" t="n">
        <v>46309</v>
      </c>
      <c r="B2237" s="0" t="n">
        <v>8</v>
      </c>
      <c r="C2237" s="0" t="n">
        <v>6522</v>
      </c>
      <c r="E2237" s="0" t="n">
        <v>0</v>
      </c>
      <c r="F2237" s="46" t="s">
        <v>1225</v>
      </c>
      <c r="I2237" s="46" t="s">
        <v>152</v>
      </c>
      <c r="L2237" s="0" t="n">
        <v>109</v>
      </c>
      <c r="U2237" s="0" t="n">
        <v>527</v>
      </c>
      <c r="V2237" s="0" t="n">
        <v>2</v>
      </c>
      <c r="W2237" s="51" t="n">
        <v>46201</v>
      </c>
      <c r="X2237" s="46" t="n">
        <f aca="false">IF(I2237="Male",0,1)</f>
        <v>1</v>
      </c>
      <c r="Y2237" s="46" t="n">
        <f aca="false">IF(OR(I2237="DNB",I2237="Dry DNB"),1,0)</f>
        <v>0</v>
      </c>
      <c r="Z2237" s="46" t="n">
        <f aca="false">IF(ISNUMBER(W2237),A2237-W2237,"")</f>
        <v>108</v>
      </c>
      <c r="AA2237" s="46" t="n">
        <f aca="false">MATCH(A2237,DATAS,0)</f>
        <v>1</v>
      </c>
      <c r="AB2237" s="46" t="n">
        <f aca="false">IF(AND(E2237&gt;0,OR(AND(B2237&gt;=1,B2237&lt;=6),B2237=10)),1,0)</f>
        <v>0</v>
      </c>
      <c r="AC2237" s="46" t="n">
        <f aca="false">IF(AND(E2237&gt;0,B2237=10),1,0)</f>
        <v>0</v>
      </c>
      <c r="AD2237" s="0" t="str">
        <f aca="false">IF(AND(C2236=C2237,AA2236=AA2237-1),AB2236,"")</f>
        <v/>
      </c>
      <c r="AE2237" s="0" t="str">
        <f aca="false">IF(AND(C2236=C2237,AA2236=AA2237-1),AC2236,"")</f>
        <v/>
      </c>
      <c r="AF2237" s="0" t="str">
        <f aca="false">IF(AA2237=1,"",IF(AND(AB2237=1,AD2237&lt;&gt;1),1,0))</f>
        <v/>
      </c>
      <c r="AG2237" s="0" t="str">
        <f aca="false">IF(AA2237=1,"",IF(AND(AC2237=1,AE2237&lt;&gt;1),1,0))</f>
        <v/>
      </c>
      <c r="AH2237" s="51" t="str">
        <f aca="false">IF(AND(E2237&gt;0,AA2237&lt;1,NOT(AND(C2238=C2237,AA2238=AA2237+1))),INDEX(DATAS,AA2237+1),"")</f>
        <v/>
      </c>
      <c r="AI2237" s="51" t="str">
        <f aca="false">IF(AND(AC2237=1,AA2237&lt;1),IF(AND(C2238=C2237,AA2238=AA2237+1),IF(AC2238=1,"",INDEX(DATAS,AA2237+1)),INDEX(DATAS,AA2237+1)),"")</f>
        <v/>
      </c>
    </row>
    <row r="2238" customFormat="false" ht="15" hidden="false" customHeight="false" outlineLevel="0" collapsed="false">
      <c r="A2238" s="51" t="n">
        <v>46309</v>
      </c>
      <c r="B2238" s="0" t="n">
        <v>8</v>
      </c>
      <c r="C2238" s="0" t="n">
        <v>6523</v>
      </c>
      <c r="E2238" s="0" t="n">
        <v>0</v>
      </c>
      <c r="F2238" s="46" t="s">
        <v>1226</v>
      </c>
      <c r="I2238" s="46" t="s">
        <v>152</v>
      </c>
      <c r="L2238" s="0" t="n">
        <v>133</v>
      </c>
      <c r="U2238" s="0" t="n">
        <v>525</v>
      </c>
      <c r="V2238" s="0" t="n">
        <v>1</v>
      </c>
      <c r="W2238" s="51" t="n">
        <v>46177</v>
      </c>
      <c r="X2238" s="46" t="n">
        <f aca="false">IF(I2238="Male",0,1)</f>
        <v>1</v>
      </c>
      <c r="Y2238" s="46" t="n">
        <f aca="false">IF(OR(I2238="DNB",I2238="Dry DNB"),1,0)</f>
        <v>0</v>
      </c>
      <c r="Z2238" s="46" t="n">
        <f aca="false">IF(ISNUMBER(W2238),A2238-W2238,"")</f>
        <v>132</v>
      </c>
      <c r="AA2238" s="46" t="n">
        <f aca="false">MATCH(A2238,DATAS,0)</f>
        <v>1</v>
      </c>
      <c r="AB2238" s="46" t="n">
        <f aca="false">IF(AND(E2238&gt;0,OR(AND(B2238&gt;=1,B2238&lt;=6),B2238=10)),1,0)</f>
        <v>0</v>
      </c>
      <c r="AC2238" s="46" t="n">
        <f aca="false">IF(AND(E2238&gt;0,B2238=10),1,0)</f>
        <v>0</v>
      </c>
      <c r="AD2238" s="0" t="str">
        <f aca="false">IF(AND(C2237=C2238,AA2237=AA2238-1),AB2237,"")</f>
        <v/>
      </c>
      <c r="AE2238" s="0" t="str">
        <f aca="false">IF(AND(C2237=C2238,AA2237=AA2238-1),AC2237,"")</f>
        <v/>
      </c>
      <c r="AF2238" s="0" t="str">
        <f aca="false">IF(AA2238=1,"",IF(AND(AB2238=1,AD2238&lt;&gt;1),1,0))</f>
        <v/>
      </c>
      <c r="AG2238" s="0" t="str">
        <f aca="false">IF(AA2238=1,"",IF(AND(AC2238=1,AE2238&lt;&gt;1),1,0))</f>
        <v/>
      </c>
      <c r="AH2238" s="51" t="str">
        <f aca="false">IF(AND(E2238&gt;0,AA2238&lt;1,NOT(AND(C2239=C2238,AA2239=AA2238+1))),INDEX(DATAS,AA2238+1),"")</f>
        <v/>
      </c>
      <c r="AI2238" s="51" t="str">
        <f aca="false">IF(AND(AC2238=1,AA2238&lt;1),IF(AND(C2239=C2238,AA2239=AA2238+1),IF(AC2239=1,"",INDEX(DATAS,AA2238+1)),INDEX(DATAS,AA2238+1)),"")</f>
        <v/>
      </c>
    </row>
    <row r="2239" customFormat="false" ht="15" hidden="false" customHeight="false" outlineLevel="0" collapsed="false">
      <c r="A2239" s="51" t="n">
        <v>46309</v>
      </c>
      <c r="B2239" s="0" t="n">
        <v>8</v>
      </c>
      <c r="C2239" s="0" t="n">
        <v>6524</v>
      </c>
      <c r="E2239" s="0" t="n">
        <v>0</v>
      </c>
      <c r="F2239" s="46" t="s">
        <v>1226</v>
      </c>
      <c r="I2239" s="46" t="s">
        <v>152</v>
      </c>
      <c r="L2239" s="0" t="n">
        <v>108</v>
      </c>
      <c r="U2239" s="0" t="n">
        <v>525</v>
      </c>
      <c r="V2239" s="0" t="n">
        <v>2</v>
      </c>
      <c r="W2239" s="51" t="n">
        <v>46202</v>
      </c>
      <c r="X2239" s="46" t="n">
        <f aca="false">IF(I2239="Male",0,1)</f>
        <v>1</v>
      </c>
      <c r="Y2239" s="46" t="n">
        <f aca="false">IF(OR(I2239="DNB",I2239="Dry DNB"),1,0)</f>
        <v>0</v>
      </c>
      <c r="Z2239" s="46" t="n">
        <f aca="false">IF(ISNUMBER(W2239),A2239-W2239,"")</f>
        <v>107</v>
      </c>
      <c r="AA2239" s="46" t="n">
        <f aca="false">MATCH(A2239,DATAS,0)</f>
        <v>1</v>
      </c>
      <c r="AB2239" s="46" t="n">
        <f aca="false">IF(AND(E2239&gt;0,OR(AND(B2239&gt;=1,B2239&lt;=6),B2239=10)),1,0)</f>
        <v>0</v>
      </c>
      <c r="AC2239" s="46" t="n">
        <f aca="false">IF(AND(E2239&gt;0,B2239=10),1,0)</f>
        <v>0</v>
      </c>
      <c r="AD2239" s="0" t="str">
        <f aca="false">IF(AND(C2238=C2239,AA2238=AA2239-1),AB2238,"")</f>
        <v/>
      </c>
      <c r="AE2239" s="0" t="str">
        <f aca="false">IF(AND(C2238=C2239,AA2238=AA2239-1),AC2238,"")</f>
        <v/>
      </c>
      <c r="AF2239" s="0" t="str">
        <f aca="false">IF(AA2239=1,"",IF(AND(AB2239=1,AD2239&lt;&gt;1),1,0))</f>
        <v/>
      </c>
      <c r="AG2239" s="0" t="str">
        <f aca="false">IF(AA2239=1,"",IF(AND(AC2239=1,AE2239&lt;&gt;1),1,0))</f>
        <v/>
      </c>
      <c r="AH2239" s="51" t="str">
        <f aca="false">IF(AND(E2239&gt;0,AA2239&lt;1,NOT(AND(C2240=C2239,AA2240=AA2239+1))),INDEX(DATAS,AA2239+1),"")</f>
        <v/>
      </c>
      <c r="AI2239" s="51" t="str">
        <f aca="false">IF(AND(AC2239=1,AA2239&lt;1),IF(AND(C2240=C2239,AA2240=AA2239+1),IF(AC2240=1,"",INDEX(DATAS,AA2239+1)),INDEX(DATAS,AA2239+1)),"")</f>
        <v/>
      </c>
    </row>
    <row r="2240" customFormat="false" ht="15" hidden="false" customHeight="false" outlineLevel="0" collapsed="false">
      <c r="A2240" s="51" t="n">
        <v>46309</v>
      </c>
      <c r="B2240" s="0" t="n">
        <v>8</v>
      </c>
      <c r="C2240" s="0" t="n">
        <v>6525</v>
      </c>
      <c r="E2240" s="0" t="n">
        <v>0</v>
      </c>
      <c r="F2240" s="46" t="s">
        <v>1227</v>
      </c>
      <c r="I2240" s="46" t="s">
        <v>152</v>
      </c>
      <c r="L2240" s="0" t="n">
        <v>125</v>
      </c>
      <c r="U2240" s="0" t="n">
        <v>524</v>
      </c>
      <c r="V2240" s="0" t="n">
        <v>1</v>
      </c>
      <c r="W2240" s="51" t="n">
        <v>46185</v>
      </c>
      <c r="X2240" s="46" t="n">
        <f aca="false">IF(I2240="Male",0,1)</f>
        <v>1</v>
      </c>
      <c r="Y2240" s="46" t="n">
        <f aca="false">IF(OR(I2240="DNB",I2240="Dry DNB"),1,0)</f>
        <v>0</v>
      </c>
      <c r="Z2240" s="46" t="n">
        <f aca="false">IF(ISNUMBER(W2240),A2240-W2240,"")</f>
        <v>124</v>
      </c>
      <c r="AA2240" s="46" t="n">
        <f aca="false">MATCH(A2240,DATAS,0)</f>
        <v>1</v>
      </c>
      <c r="AB2240" s="46" t="n">
        <f aca="false">IF(AND(E2240&gt;0,OR(AND(B2240&gt;=1,B2240&lt;=6),B2240=10)),1,0)</f>
        <v>0</v>
      </c>
      <c r="AC2240" s="46" t="n">
        <f aca="false">IF(AND(E2240&gt;0,B2240=10),1,0)</f>
        <v>0</v>
      </c>
      <c r="AD2240" s="0" t="str">
        <f aca="false">IF(AND(C2239=C2240,AA2239=AA2240-1),AB2239,"")</f>
        <v/>
      </c>
      <c r="AE2240" s="0" t="str">
        <f aca="false">IF(AND(C2239=C2240,AA2239=AA2240-1),AC2239,"")</f>
        <v/>
      </c>
      <c r="AF2240" s="0" t="str">
        <f aca="false">IF(AA2240=1,"",IF(AND(AB2240=1,AD2240&lt;&gt;1),1,0))</f>
        <v/>
      </c>
      <c r="AG2240" s="0" t="str">
        <f aca="false">IF(AA2240=1,"",IF(AND(AC2240=1,AE2240&lt;&gt;1),1,0))</f>
        <v/>
      </c>
      <c r="AH2240" s="51" t="str">
        <f aca="false">IF(AND(E2240&gt;0,AA2240&lt;1,NOT(AND(C2241=C2240,AA2241=AA2240+1))),INDEX(DATAS,AA2240+1),"")</f>
        <v/>
      </c>
      <c r="AI2240" s="51" t="str">
        <f aca="false">IF(AND(AC2240=1,AA2240&lt;1),IF(AND(C2241=C2240,AA2241=AA2240+1),IF(AC2241=1,"",INDEX(DATAS,AA2240+1)),INDEX(DATAS,AA2240+1)),"")</f>
        <v/>
      </c>
    </row>
    <row r="2241" customFormat="false" ht="15" hidden="false" customHeight="false" outlineLevel="0" collapsed="false">
      <c r="A2241" s="51" t="n">
        <v>46309</v>
      </c>
      <c r="B2241" s="0" t="n">
        <v>8</v>
      </c>
      <c r="C2241" s="0" t="n">
        <v>6526</v>
      </c>
      <c r="E2241" s="0" t="n">
        <v>0</v>
      </c>
      <c r="F2241" s="46" t="s">
        <v>1227</v>
      </c>
      <c r="I2241" s="46" t="s">
        <v>152</v>
      </c>
      <c r="L2241" s="0" t="n">
        <v>120</v>
      </c>
      <c r="U2241" s="0" t="n">
        <v>524</v>
      </c>
      <c r="V2241" s="0" t="n">
        <v>1</v>
      </c>
      <c r="W2241" s="51" t="n">
        <v>46190</v>
      </c>
      <c r="X2241" s="46" t="n">
        <f aca="false">IF(I2241="Male",0,1)</f>
        <v>1</v>
      </c>
      <c r="Y2241" s="46" t="n">
        <f aca="false">IF(OR(I2241="DNB",I2241="Dry DNB"),1,0)</f>
        <v>0</v>
      </c>
      <c r="Z2241" s="46" t="n">
        <f aca="false">IF(ISNUMBER(W2241),A2241-W2241,"")</f>
        <v>119</v>
      </c>
      <c r="AA2241" s="46" t="n">
        <f aca="false">MATCH(A2241,DATAS,0)</f>
        <v>1</v>
      </c>
      <c r="AB2241" s="46" t="n">
        <f aca="false">IF(AND(E2241&gt;0,OR(AND(B2241&gt;=1,B2241&lt;=6),B2241=10)),1,0)</f>
        <v>0</v>
      </c>
      <c r="AC2241" s="46" t="n">
        <f aca="false">IF(AND(E2241&gt;0,B2241=10),1,0)</f>
        <v>0</v>
      </c>
      <c r="AD2241" s="0" t="str">
        <f aca="false">IF(AND(C2240=C2241,AA2240=AA2241-1),AB2240,"")</f>
        <v/>
      </c>
      <c r="AE2241" s="0" t="str">
        <f aca="false">IF(AND(C2240=C2241,AA2240=AA2241-1),AC2240,"")</f>
        <v/>
      </c>
      <c r="AF2241" s="0" t="str">
        <f aca="false">IF(AA2241=1,"",IF(AND(AB2241=1,AD2241&lt;&gt;1),1,0))</f>
        <v/>
      </c>
      <c r="AG2241" s="0" t="str">
        <f aca="false">IF(AA2241=1,"",IF(AND(AC2241=1,AE2241&lt;&gt;1),1,0))</f>
        <v/>
      </c>
      <c r="AH2241" s="51" t="str">
        <f aca="false">IF(AND(E2241&gt;0,AA2241&lt;1,NOT(AND(C2242=C2241,AA2242=AA2241+1))),INDEX(DATAS,AA2241+1),"")</f>
        <v/>
      </c>
      <c r="AI2241" s="51" t="str">
        <f aca="false">IF(AND(AC2241=1,AA2241&lt;1),IF(AND(C2242=C2241,AA2242=AA2241+1),IF(AC2242=1,"",INDEX(DATAS,AA2241+1)),INDEX(DATAS,AA2241+1)),"")</f>
        <v/>
      </c>
    </row>
    <row r="2242" customFormat="false" ht="15" hidden="false" customHeight="false" outlineLevel="0" collapsed="false">
      <c r="A2242" s="51" t="n">
        <v>46309</v>
      </c>
      <c r="B2242" s="0" t="n">
        <v>8</v>
      </c>
      <c r="C2242" s="0" t="n">
        <v>6527</v>
      </c>
      <c r="E2242" s="0" t="n">
        <v>0</v>
      </c>
      <c r="F2242" s="46" t="s">
        <v>1227</v>
      </c>
      <c r="I2242" s="46" t="s">
        <v>152</v>
      </c>
      <c r="L2242" s="0" t="n">
        <v>125</v>
      </c>
      <c r="U2242" s="0" t="n">
        <v>524</v>
      </c>
      <c r="V2242" s="0" t="n">
        <v>1</v>
      </c>
      <c r="W2242" s="51" t="n">
        <v>46185</v>
      </c>
      <c r="X2242" s="46" t="n">
        <f aca="false">IF(I2242="Male",0,1)</f>
        <v>1</v>
      </c>
      <c r="Y2242" s="46" t="n">
        <f aca="false">IF(OR(I2242="DNB",I2242="Dry DNB"),1,0)</f>
        <v>0</v>
      </c>
      <c r="Z2242" s="46" t="n">
        <f aca="false">IF(ISNUMBER(W2242),A2242-W2242,"")</f>
        <v>124</v>
      </c>
      <c r="AA2242" s="46" t="n">
        <f aca="false">MATCH(A2242,DATAS,0)</f>
        <v>1</v>
      </c>
      <c r="AB2242" s="46" t="n">
        <f aca="false">IF(AND(E2242&gt;0,OR(AND(B2242&gt;=1,B2242&lt;=6),B2242=10)),1,0)</f>
        <v>0</v>
      </c>
      <c r="AC2242" s="46" t="n">
        <f aca="false">IF(AND(E2242&gt;0,B2242=10),1,0)</f>
        <v>0</v>
      </c>
      <c r="AD2242" s="0" t="str">
        <f aca="false">IF(AND(C2241=C2242,AA2241=AA2242-1),AB2241,"")</f>
        <v/>
      </c>
      <c r="AE2242" s="0" t="str">
        <f aca="false">IF(AND(C2241=C2242,AA2241=AA2242-1),AC2241,"")</f>
        <v/>
      </c>
      <c r="AF2242" s="0" t="str">
        <f aca="false">IF(AA2242=1,"",IF(AND(AB2242=1,AD2242&lt;&gt;1),1,0))</f>
        <v/>
      </c>
      <c r="AG2242" s="0" t="str">
        <f aca="false">IF(AA2242=1,"",IF(AND(AC2242=1,AE2242&lt;&gt;1),1,0))</f>
        <v/>
      </c>
      <c r="AH2242" s="51" t="str">
        <f aca="false">IF(AND(E2242&gt;0,AA2242&lt;1,NOT(AND(C2243=C2242,AA2243=AA2242+1))),INDEX(DATAS,AA2242+1),"")</f>
        <v/>
      </c>
      <c r="AI2242" s="51" t="str">
        <f aca="false">IF(AND(AC2242=1,AA2242&lt;1),IF(AND(C2243=C2242,AA2243=AA2242+1),IF(AC2243=1,"",INDEX(DATAS,AA2242+1)),INDEX(DATAS,AA2242+1)),"")</f>
        <v/>
      </c>
    </row>
    <row r="2243" customFormat="false" ht="15" hidden="false" customHeight="false" outlineLevel="0" collapsed="false">
      <c r="A2243" s="51" t="n">
        <v>46309</v>
      </c>
      <c r="B2243" s="0" t="n">
        <v>8</v>
      </c>
      <c r="C2243" s="0" t="n">
        <v>6529</v>
      </c>
      <c r="E2243" s="0" t="n">
        <v>0</v>
      </c>
      <c r="F2243" s="46" t="s">
        <v>1228</v>
      </c>
      <c r="I2243" s="46" t="s">
        <v>152</v>
      </c>
      <c r="L2243" s="0" t="n">
        <v>126</v>
      </c>
      <c r="U2243" s="0" t="n">
        <v>523</v>
      </c>
      <c r="V2243" s="0" t="n">
        <v>1</v>
      </c>
      <c r="W2243" s="51" t="n">
        <v>46184</v>
      </c>
      <c r="X2243" s="46" t="n">
        <f aca="false">IF(I2243="Male",0,1)</f>
        <v>1</v>
      </c>
      <c r="Y2243" s="46" t="n">
        <f aca="false">IF(OR(I2243="DNB",I2243="Dry DNB"),1,0)</f>
        <v>0</v>
      </c>
      <c r="Z2243" s="46" t="n">
        <f aca="false">IF(ISNUMBER(W2243),A2243-W2243,"")</f>
        <v>125</v>
      </c>
      <c r="AA2243" s="46" t="n">
        <f aca="false">MATCH(A2243,DATAS,0)</f>
        <v>1</v>
      </c>
      <c r="AB2243" s="46" t="n">
        <f aca="false">IF(AND(E2243&gt;0,OR(AND(B2243&gt;=1,B2243&lt;=6),B2243=10)),1,0)</f>
        <v>0</v>
      </c>
      <c r="AC2243" s="46" t="n">
        <f aca="false">IF(AND(E2243&gt;0,B2243=10),1,0)</f>
        <v>0</v>
      </c>
      <c r="AD2243" s="0" t="str">
        <f aca="false">IF(AND(C2242=C2243,AA2242=AA2243-1),AB2242,"")</f>
        <v/>
      </c>
      <c r="AE2243" s="0" t="str">
        <f aca="false">IF(AND(C2242=C2243,AA2242=AA2243-1),AC2242,"")</f>
        <v/>
      </c>
      <c r="AF2243" s="0" t="str">
        <f aca="false">IF(AA2243=1,"",IF(AND(AB2243=1,AD2243&lt;&gt;1),1,0))</f>
        <v/>
      </c>
      <c r="AG2243" s="0" t="str">
        <f aca="false">IF(AA2243=1,"",IF(AND(AC2243=1,AE2243&lt;&gt;1),1,0))</f>
        <v/>
      </c>
      <c r="AH2243" s="51" t="str">
        <f aca="false">IF(AND(E2243&gt;0,AA2243&lt;1,NOT(AND(C2244=C2243,AA2244=AA2243+1))),INDEX(DATAS,AA2243+1),"")</f>
        <v/>
      </c>
      <c r="AI2243" s="51" t="str">
        <f aca="false">IF(AND(AC2243=1,AA2243&lt;1),IF(AND(C2244=C2243,AA2244=AA2243+1),IF(AC2244=1,"",INDEX(DATAS,AA2243+1)),INDEX(DATAS,AA2243+1)),"")</f>
        <v/>
      </c>
    </row>
    <row r="2244" customFormat="false" ht="15" hidden="false" customHeight="false" outlineLevel="0" collapsed="false">
      <c r="A2244" s="51" t="n">
        <v>46309</v>
      </c>
      <c r="B2244" s="0" t="n">
        <v>8</v>
      </c>
      <c r="C2244" s="0" t="n">
        <v>6530</v>
      </c>
      <c r="E2244" s="0" t="n">
        <v>0</v>
      </c>
      <c r="F2244" s="46" t="s">
        <v>1228</v>
      </c>
      <c r="I2244" s="46" t="s">
        <v>152</v>
      </c>
      <c r="L2244" s="0" t="n">
        <v>87</v>
      </c>
      <c r="U2244" s="0" t="n">
        <v>523</v>
      </c>
      <c r="V2244" s="0" t="n">
        <v>3</v>
      </c>
      <c r="W2244" s="51" t="n">
        <v>46223</v>
      </c>
      <c r="X2244" s="46" t="n">
        <f aca="false">IF(I2244="Male",0,1)</f>
        <v>1</v>
      </c>
      <c r="Y2244" s="46" t="n">
        <f aca="false">IF(OR(I2244="DNB",I2244="Dry DNB"),1,0)</f>
        <v>0</v>
      </c>
      <c r="Z2244" s="46" t="n">
        <f aca="false">IF(ISNUMBER(W2244),A2244-W2244,"")</f>
        <v>86</v>
      </c>
      <c r="AA2244" s="46" t="n">
        <f aca="false">MATCH(A2244,DATAS,0)</f>
        <v>1</v>
      </c>
      <c r="AB2244" s="46" t="n">
        <f aca="false">IF(AND(E2244&gt;0,OR(AND(B2244&gt;=1,B2244&lt;=6),B2244=10)),1,0)</f>
        <v>0</v>
      </c>
      <c r="AC2244" s="46" t="n">
        <f aca="false">IF(AND(E2244&gt;0,B2244=10),1,0)</f>
        <v>0</v>
      </c>
      <c r="AD2244" s="0" t="str">
        <f aca="false">IF(AND(C2243=C2244,AA2243=AA2244-1),AB2243,"")</f>
        <v/>
      </c>
      <c r="AE2244" s="0" t="str">
        <f aca="false">IF(AND(C2243=C2244,AA2243=AA2244-1),AC2243,"")</f>
        <v/>
      </c>
      <c r="AF2244" s="0" t="str">
        <f aca="false">IF(AA2244=1,"",IF(AND(AB2244=1,AD2244&lt;&gt;1),1,0))</f>
        <v/>
      </c>
      <c r="AG2244" s="0" t="str">
        <f aca="false">IF(AA2244=1,"",IF(AND(AC2244=1,AE2244&lt;&gt;1),1,0))</f>
        <v/>
      </c>
      <c r="AH2244" s="51" t="str">
        <f aca="false">IF(AND(E2244&gt;0,AA2244&lt;1,NOT(AND(C2245=C2244,AA2245=AA2244+1))),INDEX(DATAS,AA2244+1),"")</f>
        <v/>
      </c>
      <c r="AI2244" s="51" t="str">
        <f aca="false">IF(AND(AC2244=1,AA2244&lt;1),IF(AND(C2245=C2244,AA2245=AA2244+1),IF(AC2245=1,"",INDEX(DATAS,AA2244+1)),INDEX(DATAS,AA2244+1)),"")</f>
        <v/>
      </c>
    </row>
    <row r="2245" customFormat="false" ht="15" hidden="false" customHeight="false" outlineLevel="0" collapsed="false">
      <c r="A2245" s="51" t="n">
        <v>46309</v>
      </c>
      <c r="B2245" s="0" t="n">
        <v>8</v>
      </c>
      <c r="C2245" s="0" t="n">
        <v>6531</v>
      </c>
      <c r="E2245" s="0" t="n">
        <v>0</v>
      </c>
      <c r="F2245" s="46" t="s">
        <v>1229</v>
      </c>
      <c r="I2245" s="46" t="s">
        <v>152</v>
      </c>
      <c r="L2245" s="0" t="n">
        <v>66</v>
      </c>
      <c r="U2245" s="0" t="n">
        <v>519</v>
      </c>
      <c r="V2245" s="0" t="n">
        <v>4</v>
      </c>
      <c r="W2245" s="51" t="n">
        <v>46244</v>
      </c>
      <c r="X2245" s="46" t="n">
        <f aca="false">IF(I2245="Male",0,1)</f>
        <v>1</v>
      </c>
      <c r="Y2245" s="46" t="n">
        <f aca="false">IF(OR(I2245="DNB",I2245="Dry DNB"),1,0)</f>
        <v>0</v>
      </c>
      <c r="Z2245" s="46" t="n">
        <f aca="false">IF(ISNUMBER(W2245),A2245-W2245,"")</f>
        <v>65</v>
      </c>
      <c r="AA2245" s="46" t="n">
        <f aca="false">MATCH(A2245,DATAS,0)</f>
        <v>1</v>
      </c>
      <c r="AB2245" s="46" t="n">
        <f aca="false">IF(AND(E2245&gt;0,OR(AND(B2245&gt;=1,B2245&lt;=6),B2245=10)),1,0)</f>
        <v>0</v>
      </c>
      <c r="AC2245" s="46" t="n">
        <f aca="false">IF(AND(E2245&gt;0,B2245=10),1,0)</f>
        <v>0</v>
      </c>
      <c r="AD2245" s="0" t="str">
        <f aca="false">IF(AND(C2244=C2245,AA2244=AA2245-1),AB2244,"")</f>
        <v/>
      </c>
      <c r="AE2245" s="0" t="str">
        <f aca="false">IF(AND(C2244=C2245,AA2244=AA2245-1),AC2244,"")</f>
        <v/>
      </c>
      <c r="AF2245" s="0" t="str">
        <f aca="false">IF(AA2245=1,"",IF(AND(AB2245=1,AD2245&lt;&gt;1),1,0))</f>
        <v/>
      </c>
      <c r="AG2245" s="0" t="str">
        <f aca="false">IF(AA2245=1,"",IF(AND(AC2245=1,AE2245&lt;&gt;1),1,0))</f>
        <v/>
      </c>
      <c r="AH2245" s="51" t="str">
        <f aca="false">IF(AND(E2245&gt;0,AA2245&lt;1,NOT(AND(C2246=C2245,AA2246=AA2245+1))),INDEX(DATAS,AA2245+1),"")</f>
        <v/>
      </c>
      <c r="AI2245" s="51" t="str">
        <f aca="false">IF(AND(AC2245=1,AA2245&lt;1),IF(AND(C2246=C2245,AA2246=AA2245+1),IF(AC2246=1,"",INDEX(DATAS,AA2245+1)),INDEX(DATAS,AA2245+1)),"")</f>
        <v/>
      </c>
    </row>
    <row r="2246" customFormat="false" ht="15" hidden="false" customHeight="false" outlineLevel="0" collapsed="false">
      <c r="A2246" s="51" t="n">
        <v>46309</v>
      </c>
      <c r="B2246" s="0" t="n">
        <v>8</v>
      </c>
      <c r="C2246" s="0" t="n">
        <v>6532</v>
      </c>
      <c r="E2246" s="0" t="n">
        <v>0</v>
      </c>
      <c r="F2246" s="46" t="s">
        <v>1230</v>
      </c>
      <c r="I2246" s="46" t="s">
        <v>152</v>
      </c>
      <c r="L2246" s="0" t="n">
        <v>101</v>
      </c>
      <c r="U2246" s="0" t="n">
        <v>522</v>
      </c>
      <c r="V2246" s="0" t="n">
        <v>2</v>
      </c>
      <c r="W2246" s="51" t="n">
        <v>46209</v>
      </c>
      <c r="X2246" s="46" t="n">
        <f aca="false">IF(I2246="Male",0,1)</f>
        <v>1</v>
      </c>
      <c r="Y2246" s="46" t="n">
        <f aca="false">IF(OR(I2246="DNB",I2246="Dry DNB"),1,0)</f>
        <v>0</v>
      </c>
      <c r="Z2246" s="46" t="n">
        <f aca="false">IF(ISNUMBER(W2246),A2246-W2246,"")</f>
        <v>100</v>
      </c>
      <c r="AA2246" s="46" t="n">
        <f aca="false">MATCH(A2246,DATAS,0)</f>
        <v>1</v>
      </c>
      <c r="AB2246" s="46" t="n">
        <f aca="false">IF(AND(E2246&gt;0,OR(AND(B2246&gt;=1,B2246&lt;=6),B2246=10)),1,0)</f>
        <v>0</v>
      </c>
      <c r="AC2246" s="46" t="n">
        <f aca="false">IF(AND(E2246&gt;0,B2246=10),1,0)</f>
        <v>0</v>
      </c>
      <c r="AD2246" s="0" t="str">
        <f aca="false">IF(AND(C2245=C2246,AA2245=AA2246-1),AB2245,"")</f>
        <v/>
      </c>
      <c r="AE2246" s="0" t="str">
        <f aca="false">IF(AND(C2245=C2246,AA2245=AA2246-1),AC2245,"")</f>
        <v/>
      </c>
      <c r="AF2246" s="0" t="str">
        <f aca="false">IF(AA2246=1,"",IF(AND(AB2246=1,AD2246&lt;&gt;1),1,0))</f>
        <v/>
      </c>
      <c r="AG2246" s="0" t="str">
        <f aca="false">IF(AA2246=1,"",IF(AND(AC2246=1,AE2246&lt;&gt;1),1,0))</f>
        <v/>
      </c>
      <c r="AH2246" s="51" t="str">
        <f aca="false">IF(AND(E2246&gt;0,AA2246&lt;1,NOT(AND(C2247=C2246,AA2247=AA2246+1))),INDEX(DATAS,AA2246+1),"")</f>
        <v/>
      </c>
      <c r="AI2246" s="51" t="str">
        <f aca="false">IF(AND(AC2246=1,AA2246&lt;1),IF(AND(C2247=C2246,AA2247=AA2246+1),IF(AC2247=1,"",INDEX(DATAS,AA2246+1)),INDEX(DATAS,AA2246+1)),"")</f>
        <v/>
      </c>
    </row>
    <row r="2247" customFormat="false" ht="15" hidden="false" customHeight="false" outlineLevel="0" collapsed="false">
      <c r="A2247" s="51" t="n">
        <v>46309</v>
      </c>
      <c r="B2247" s="0" t="n">
        <v>8</v>
      </c>
      <c r="C2247" s="0" t="n">
        <v>6533</v>
      </c>
      <c r="E2247" s="0" t="n">
        <v>0</v>
      </c>
      <c r="F2247" s="46" t="s">
        <v>1230</v>
      </c>
      <c r="I2247" s="46" t="s">
        <v>152</v>
      </c>
      <c r="L2247" s="0" t="n">
        <v>63</v>
      </c>
      <c r="U2247" s="0" t="n">
        <v>522</v>
      </c>
      <c r="V2247" s="0" t="n">
        <v>1</v>
      </c>
      <c r="W2247" s="51" t="n">
        <v>46247</v>
      </c>
      <c r="X2247" s="46" t="n">
        <f aca="false">IF(I2247="Male",0,1)</f>
        <v>1</v>
      </c>
      <c r="Y2247" s="46" t="n">
        <f aca="false">IF(OR(I2247="DNB",I2247="Dry DNB"),1,0)</f>
        <v>0</v>
      </c>
      <c r="Z2247" s="46" t="n">
        <f aca="false">IF(ISNUMBER(W2247),A2247-W2247,"")</f>
        <v>62</v>
      </c>
      <c r="AA2247" s="46" t="n">
        <f aca="false">MATCH(A2247,DATAS,0)</f>
        <v>1</v>
      </c>
      <c r="AB2247" s="46" t="n">
        <f aca="false">IF(AND(E2247&gt;0,OR(AND(B2247&gt;=1,B2247&lt;=6),B2247=10)),1,0)</f>
        <v>0</v>
      </c>
      <c r="AC2247" s="46" t="n">
        <f aca="false">IF(AND(E2247&gt;0,B2247=10),1,0)</f>
        <v>0</v>
      </c>
      <c r="AD2247" s="0" t="str">
        <f aca="false">IF(AND(C2246=C2247,AA2246=AA2247-1),AB2246,"")</f>
        <v/>
      </c>
      <c r="AE2247" s="0" t="str">
        <f aca="false">IF(AND(C2246=C2247,AA2246=AA2247-1),AC2246,"")</f>
        <v/>
      </c>
      <c r="AF2247" s="0" t="str">
        <f aca="false">IF(AA2247=1,"",IF(AND(AB2247=1,AD2247&lt;&gt;1),1,0))</f>
        <v/>
      </c>
      <c r="AG2247" s="0" t="str">
        <f aca="false">IF(AA2247=1,"",IF(AND(AC2247=1,AE2247&lt;&gt;1),1,0))</f>
        <v/>
      </c>
      <c r="AH2247" s="51" t="str">
        <f aca="false">IF(AND(E2247&gt;0,AA2247&lt;1,NOT(AND(C2248=C2247,AA2248=AA2247+1))),INDEX(DATAS,AA2247+1),"")</f>
        <v/>
      </c>
      <c r="AI2247" s="51" t="str">
        <f aca="false">IF(AND(AC2247=1,AA2247&lt;1),IF(AND(C2248=C2247,AA2248=AA2247+1),IF(AC2248=1,"",INDEX(DATAS,AA2247+1)),INDEX(DATAS,AA2247+1)),"")</f>
        <v/>
      </c>
    </row>
    <row r="2248" customFormat="false" ht="15" hidden="false" customHeight="false" outlineLevel="0" collapsed="false">
      <c r="A2248" s="51" t="n">
        <v>46309</v>
      </c>
      <c r="B2248" s="0" t="n">
        <v>8</v>
      </c>
      <c r="C2248" s="0" t="n">
        <v>6534</v>
      </c>
      <c r="E2248" s="0" t="n">
        <v>0</v>
      </c>
      <c r="F2248" s="46" t="s">
        <v>1230</v>
      </c>
      <c r="I2248" s="46" t="s">
        <v>152</v>
      </c>
      <c r="L2248" s="0" t="n">
        <v>105</v>
      </c>
      <c r="U2248" s="0" t="n">
        <v>522</v>
      </c>
      <c r="V2248" s="0" t="n">
        <v>2</v>
      </c>
      <c r="W2248" s="51" t="n">
        <v>46205</v>
      </c>
      <c r="X2248" s="46" t="n">
        <f aca="false">IF(I2248="Male",0,1)</f>
        <v>1</v>
      </c>
      <c r="Y2248" s="46" t="n">
        <f aca="false">IF(OR(I2248="DNB",I2248="Dry DNB"),1,0)</f>
        <v>0</v>
      </c>
      <c r="Z2248" s="46" t="n">
        <f aca="false">IF(ISNUMBER(W2248),A2248-W2248,"")</f>
        <v>104</v>
      </c>
      <c r="AA2248" s="46" t="n">
        <f aca="false">MATCH(A2248,DATAS,0)</f>
        <v>1</v>
      </c>
      <c r="AB2248" s="46" t="n">
        <f aca="false">IF(AND(E2248&gt;0,OR(AND(B2248&gt;=1,B2248&lt;=6),B2248=10)),1,0)</f>
        <v>0</v>
      </c>
      <c r="AC2248" s="46" t="n">
        <f aca="false">IF(AND(E2248&gt;0,B2248=10),1,0)</f>
        <v>0</v>
      </c>
      <c r="AD2248" s="0" t="str">
        <f aca="false">IF(AND(C2247=C2248,AA2247=AA2248-1),AB2247,"")</f>
        <v/>
      </c>
      <c r="AE2248" s="0" t="str">
        <f aca="false">IF(AND(C2247=C2248,AA2247=AA2248-1),AC2247,"")</f>
        <v/>
      </c>
      <c r="AF2248" s="0" t="str">
        <f aca="false">IF(AA2248=1,"",IF(AND(AB2248=1,AD2248&lt;&gt;1),1,0))</f>
        <v/>
      </c>
      <c r="AG2248" s="0" t="str">
        <f aca="false">IF(AA2248=1,"",IF(AND(AC2248=1,AE2248&lt;&gt;1),1,0))</f>
        <v/>
      </c>
      <c r="AH2248" s="51" t="str">
        <f aca="false">IF(AND(E2248&gt;0,AA2248&lt;1,NOT(AND(C2249=C2248,AA2249=AA2248+1))),INDEX(DATAS,AA2248+1),"")</f>
        <v/>
      </c>
      <c r="AI2248" s="51" t="str">
        <f aca="false">IF(AND(AC2248=1,AA2248&lt;1),IF(AND(C2249=C2248,AA2249=AA2248+1),IF(AC2249=1,"",INDEX(DATAS,AA2248+1)),INDEX(DATAS,AA2248+1)),"")</f>
        <v/>
      </c>
    </row>
    <row r="2249" customFormat="false" ht="15" hidden="false" customHeight="false" outlineLevel="0" collapsed="false">
      <c r="A2249" s="51" t="n">
        <v>46309</v>
      </c>
      <c r="B2249" s="0" t="n">
        <v>8</v>
      </c>
      <c r="C2249" s="0" t="n">
        <v>6535</v>
      </c>
      <c r="E2249" s="0" t="n">
        <v>0</v>
      </c>
      <c r="F2249" s="46" t="s">
        <v>1231</v>
      </c>
      <c r="I2249" s="46" t="s">
        <v>152</v>
      </c>
      <c r="L2249" s="0" t="n">
        <v>92</v>
      </c>
      <c r="U2249" s="0" t="n">
        <v>521</v>
      </c>
      <c r="V2249" s="0" t="n">
        <v>2</v>
      </c>
      <c r="W2249" s="51" t="n">
        <v>46218</v>
      </c>
      <c r="X2249" s="46" t="n">
        <f aca="false">IF(I2249="Male",0,1)</f>
        <v>1</v>
      </c>
      <c r="Y2249" s="46" t="n">
        <f aca="false">IF(OR(I2249="DNB",I2249="Dry DNB"),1,0)</f>
        <v>0</v>
      </c>
      <c r="Z2249" s="46" t="n">
        <f aca="false">IF(ISNUMBER(W2249),A2249-W2249,"")</f>
        <v>91</v>
      </c>
      <c r="AA2249" s="46" t="n">
        <f aca="false">MATCH(A2249,DATAS,0)</f>
        <v>1</v>
      </c>
      <c r="AB2249" s="46" t="n">
        <f aca="false">IF(AND(E2249&gt;0,OR(AND(B2249&gt;=1,B2249&lt;=6),B2249=10)),1,0)</f>
        <v>0</v>
      </c>
      <c r="AC2249" s="46" t="n">
        <f aca="false">IF(AND(E2249&gt;0,B2249=10),1,0)</f>
        <v>0</v>
      </c>
      <c r="AD2249" s="0" t="str">
        <f aca="false">IF(AND(C2248=C2249,AA2248=AA2249-1),AB2248,"")</f>
        <v/>
      </c>
      <c r="AE2249" s="0" t="str">
        <f aca="false">IF(AND(C2248=C2249,AA2248=AA2249-1),AC2248,"")</f>
        <v/>
      </c>
      <c r="AF2249" s="0" t="str">
        <f aca="false">IF(AA2249=1,"",IF(AND(AB2249=1,AD2249&lt;&gt;1),1,0))</f>
        <v/>
      </c>
      <c r="AG2249" s="0" t="str">
        <f aca="false">IF(AA2249=1,"",IF(AND(AC2249=1,AE2249&lt;&gt;1),1,0))</f>
        <v/>
      </c>
      <c r="AH2249" s="51" t="str">
        <f aca="false">IF(AND(E2249&gt;0,AA2249&lt;1,NOT(AND(C2250=C2249,AA2250=AA2249+1))),INDEX(DATAS,AA2249+1),"")</f>
        <v/>
      </c>
      <c r="AI2249" s="51" t="str">
        <f aca="false">IF(AND(AC2249=1,AA2249&lt;1),IF(AND(C2250=C2249,AA2250=AA2249+1),IF(AC2250=1,"",INDEX(DATAS,AA2249+1)),INDEX(DATAS,AA2249+1)),"")</f>
        <v/>
      </c>
    </row>
    <row r="2250" customFormat="false" ht="15" hidden="false" customHeight="false" outlineLevel="0" collapsed="false">
      <c r="A2250" s="51" t="n">
        <v>46309</v>
      </c>
      <c r="B2250" s="0" t="n">
        <v>8</v>
      </c>
      <c r="C2250" s="0" t="n">
        <v>6536</v>
      </c>
      <c r="E2250" s="0" t="n">
        <v>0</v>
      </c>
      <c r="F2250" s="46" t="s">
        <v>1231</v>
      </c>
      <c r="I2250" s="46" t="s">
        <v>152</v>
      </c>
      <c r="L2250" s="0" t="n">
        <v>86</v>
      </c>
      <c r="U2250" s="0" t="n">
        <v>521</v>
      </c>
      <c r="V2250" s="0" t="n">
        <v>2</v>
      </c>
      <c r="W2250" s="51" t="n">
        <v>46224</v>
      </c>
      <c r="X2250" s="46" t="n">
        <f aca="false">IF(I2250="Male",0,1)</f>
        <v>1</v>
      </c>
      <c r="Y2250" s="46" t="n">
        <f aca="false">IF(OR(I2250="DNB",I2250="Dry DNB"),1,0)</f>
        <v>0</v>
      </c>
      <c r="Z2250" s="46" t="n">
        <f aca="false">IF(ISNUMBER(W2250),A2250-W2250,"")</f>
        <v>85</v>
      </c>
      <c r="AA2250" s="46" t="n">
        <f aca="false">MATCH(A2250,DATAS,0)</f>
        <v>1</v>
      </c>
      <c r="AB2250" s="46" t="n">
        <f aca="false">IF(AND(E2250&gt;0,OR(AND(B2250&gt;=1,B2250&lt;=6),B2250=10)),1,0)</f>
        <v>0</v>
      </c>
      <c r="AC2250" s="46" t="n">
        <f aca="false">IF(AND(E2250&gt;0,B2250=10),1,0)</f>
        <v>0</v>
      </c>
      <c r="AD2250" s="0" t="str">
        <f aca="false">IF(AND(C2249=C2250,AA2249=AA2250-1),AB2249,"")</f>
        <v/>
      </c>
      <c r="AE2250" s="0" t="str">
        <f aca="false">IF(AND(C2249=C2250,AA2249=AA2250-1),AC2249,"")</f>
        <v/>
      </c>
      <c r="AF2250" s="0" t="str">
        <f aca="false">IF(AA2250=1,"",IF(AND(AB2250=1,AD2250&lt;&gt;1),1,0))</f>
        <v/>
      </c>
      <c r="AG2250" s="0" t="str">
        <f aca="false">IF(AA2250=1,"",IF(AND(AC2250=1,AE2250&lt;&gt;1),1,0))</f>
        <v/>
      </c>
      <c r="AH2250" s="51" t="str">
        <f aca="false">IF(AND(E2250&gt;0,AA2250&lt;1,NOT(AND(C2251=C2250,AA2251=AA2250+1))),INDEX(DATAS,AA2250+1),"")</f>
        <v/>
      </c>
      <c r="AI2250" s="51" t="str">
        <f aca="false">IF(AND(AC2250=1,AA2250&lt;1),IF(AND(C2251=C2250,AA2251=AA2250+1),IF(AC2251=1,"",INDEX(DATAS,AA2250+1)),INDEX(DATAS,AA2250+1)),"")</f>
        <v/>
      </c>
    </row>
    <row r="2251" customFormat="false" ht="15" hidden="false" customHeight="false" outlineLevel="0" collapsed="false">
      <c r="A2251" s="51" t="n">
        <v>46309</v>
      </c>
      <c r="B2251" s="0" t="n">
        <v>8</v>
      </c>
      <c r="C2251" s="0" t="n">
        <v>6537</v>
      </c>
      <c r="E2251" s="0" t="n">
        <v>0</v>
      </c>
      <c r="F2251" s="46" t="s">
        <v>1231</v>
      </c>
      <c r="I2251" s="46" t="s">
        <v>152</v>
      </c>
      <c r="L2251" s="0" t="n">
        <v>63</v>
      </c>
      <c r="U2251" s="0" t="n">
        <v>521</v>
      </c>
      <c r="V2251" s="0" t="n">
        <v>3</v>
      </c>
      <c r="W2251" s="51" t="n">
        <v>46247</v>
      </c>
      <c r="X2251" s="46" t="n">
        <f aca="false">IF(I2251="Male",0,1)</f>
        <v>1</v>
      </c>
      <c r="Y2251" s="46" t="n">
        <f aca="false">IF(OR(I2251="DNB",I2251="Dry DNB"),1,0)</f>
        <v>0</v>
      </c>
      <c r="Z2251" s="46" t="n">
        <f aca="false">IF(ISNUMBER(W2251),A2251-W2251,"")</f>
        <v>62</v>
      </c>
      <c r="AA2251" s="46" t="n">
        <f aca="false">MATCH(A2251,DATAS,0)</f>
        <v>1</v>
      </c>
      <c r="AB2251" s="46" t="n">
        <f aca="false">IF(AND(E2251&gt;0,OR(AND(B2251&gt;=1,B2251&lt;=6),B2251=10)),1,0)</f>
        <v>0</v>
      </c>
      <c r="AC2251" s="46" t="n">
        <f aca="false">IF(AND(E2251&gt;0,B2251=10),1,0)</f>
        <v>0</v>
      </c>
      <c r="AD2251" s="0" t="str">
        <f aca="false">IF(AND(C2250=C2251,AA2250=AA2251-1),AB2250,"")</f>
        <v/>
      </c>
      <c r="AE2251" s="0" t="str">
        <f aca="false">IF(AND(C2250=C2251,AA2250=AA2251-1),AC2250,"")</f>
        <v/>
      </c>
      <c r="AF2251" s="0" t="str">
        <f aca="false">IF(AA2251=1,"",IF(AND(AB2251=1,AD2251&lt;&gt;1),1,0))</f>
        <v/>
      </c>
      <c r="AG2251" s="0" t="str">
        <f aca="false">IF(AA2251=1,"",IF(AND(AC2251=1,AE2251&lt;&gt;1),1,0))</f>
        <v/>
      </c>
      <c r="AH2251" s="51" t="str">
        <f aca="false">IF(AND(E2251&gt;0,AA2251&lt;1,NOT(AND(C2252=C2251,AA2252=AA2251+1))),INDEX(DATAS,AA2251+1),"")</f>
        <v/>
      </c>
      <c r="AI2251" s="51" t="str">
        <f aca="false">IF(AND(AC2251=1,AA2251&lt;1),IF(AND(C2252=C2251,AA2252=AA2251+1),IF(AC2252=1,"",INDEX(DATAS,AA2251+1)),INDEX(DATAS,AA2251+1)),"")</f>
        <v/>
      </c>
    </row>
    <row r="2252" customFormat="false" ht="15" hidden="false" customHeight="false" outlineLevel="0" collapsed="false">
      <c r="A2252" s="51" t="n">
        <v>46309</v>
      </c>
      <c r="B2252" s="0" t="n">
        <v>8</v>
      </c>
      <c r="C2252" s="0" t="n">
        <v>6538</v>
      </c>
      <c r="E2252" s="0" t="n">
        <v>0</v>
      </c>
      <c r="F2252" s="46" t="s">
        <v>1232</v>
      </c>
      <c r="I2252" s="46" t="s">
        <v>152</v>
      </c>
      <c r="L2252" s="0" t="n">
        <v>105</v>
      </c>
      <c r="U2252" s="0" t="n">
        <v>520</v>
      </c>
      <c r="V2252" s="0" t="n">
        <v>1</v>
      </c>
      <c r="W2252" s="51" t="n">
        <v>46205</v>
      </c>
      <c r="X2252" s="46" t="n">
        <f aca="false">IF(I2252="Male",0,1)</f>
        <v>1</v>
      </c>
      <c r="Y2252" s="46" t="n">
        <f aca="false">IF(OR(I2252="DNB",I2252="Dry DNB"),1,0)</f>
        <v>0</v>
      </c>
      <c r="Z2252" s="46" t="n">
        <f aca="false">IF(ISNUMBER(W2252),A2252-W2252,"")</f>
        <v>104</v>
      </c>
      <c r="AA2252" s="46" t="n">
        <f aca="false">MATCH(A2252,DATAS,0)</f>
        <v>1</v>
      </c>
      <c r="AB2252" s="46" t="n">
        <f aca="false">IF(AND(E2252&gt;0,OR(AND(B2252&gt;=1,B2252&lt;=6),B2252=10)),1,0)</f>
        <v>0</v>
      </c>
      <c r="AC2252" s="46" t="n">
        <f aca="false">IF(AND(E2252&gt;0,B2252=10),1,0)</f>
        <v>0</v>
      </c>
      <c r="AD2252" s="0" t="str">
        <f aca="false">IF(AND(C2251=C2252,AA2251=AA2252-1),AB2251,"")</f>
        <v/>
      </c>
      <c r="AE2252" s="0" t="str">
        <f aca="false">IF(AND(C2251=C2252,AA2251=AA2252-1),AC2251,"")</f>
        <v/>
      </c>
      <c r="AF2252" s="0" t="str">
        <f aca="false">IF(AA2252=1,"",IF(AND(AB2252=1,AD2252&lt;&gt;1),1,0))</f>
        <v/>
      </c>
      <c r="AG2252" s="0" t="str">
        <f aca="false">IF(AA2252=1,"",IF(AND(AC2252=1,AE2252&lt;&gt;1),1,0))</f>
        <v/>
      </c>
      <c r="AH2252" s="51" t="str">
        <f aca="false">IF(AND(E2252&gt;0,AA2252&lt;1,NOT(AND(C2253=C2252,AA2253=AA2252+1))),INDEX(DATAS,AA2252+1),"")</f>
        <v/>
      </c>
      <c r="AI2252" s="51" t="str">
        <f aca="false">IF(AND(AC2252=1,AA2252&lt;1),IF(AND(C2253=C2252,AA2253=AA2252+1),IF(AC2253=1,"",INDEX(DATAS,AA2252+1)),INDEX(DATAS,AA2252+1)),"")</f>
        <v/>
      </c>
    </row>
    <row r="2253" customFormat="false" ht="15" hidden="false" customHeight="false" outlineLevel="0" collapsed="false">
      <c r="A2253" s="51" t="n">
        <v>46309</v>
      </c>
      <c r="B2253" s="0" t="n">
        <v>8</v>
      </c>
      <c r="C2253" s="0" t="n">
        <v>6539</v>
      </c>
      <c r="E2253" s="0" t="n">
        <v>0</v>
      </c>
      <c r="F2253" s="46" t="s">
        <v>1229</v>
      </c>
      <c r="I2253" s="46" t="s">
        <v>152</v>
      </c>
      <c r="L2253" s="0" t="n">
        <v>120</v>
      </c>
      <c r="U2253" s="0" t="n">
        <v>519</v>
      </c>
      <c r="V2253" s="0" t="n">
        <v>1</v>
      </c>
      <c r="W2253" s="51" t="n">
        <v>46190</v>
      </c>
      <c r="X2253" s="46" t="n">
        <f aca="false">IF(I2253="Male",0,1)</f>
        <v>1</v>
      </c>
      <c r="Y2253" s="46" t="n">
        <f aca="false">IF(OR(I2253="DNB",I2253="Dry DNB"),1,0)</f>
        <v>0</v>
      </c>
      <c r="Z2253" s="46" t="n">
        <f aca="false">IF(ISNUMBER(W2253),A2253-W2253,"")</f>
        <v>119</v>
      </c>
      <c r="AA2253" s="46" t="n">
        <f aca="false">MATCH(A2253,DATAS,0)</f>
        <v>1</v>
      </c>
      <c r="AB2253" s="46" t="n">
        <f aca="false">IF(AND(E2253&gt;0,OR(AND(B2253&gt;=1,B2253&lt;=6),B2253=10)),1,0)</f>
        <v>0</v>
      </c>
      <c r="AC2253" s="46" t="n">
        <f aca="false">IF(AND(E2253&gt;0,B2253=10),1,0)</f>
        <v>0</v>
      </c>
      <c r="AD2253" s="0" t="str">
        <f aca="false">IF(AND(C2252=C2253,AA2252=AA2253-1),AB2252,"")</f>
        <v/>
      </c>
      <c r="AE2253" s="0" t="str">
        <f aca="false">IF(AND(C2252=C2253,AA2252=AA2253-1),AC2252,"")</f>
        <v/>
      </c>
      <c r="AF2253" s="0" t="str">
        <f aca="false">IF(AA2253=1,"",IF(AND(AB2253=1,AD2253&lt;&gt;1),1,0))</f>
        <v/>
      </c>
      <c r="AG2253" s="0" t="str">
        <f aca="false">IF(AA2253=1,"",IF(AND(AC2253=1,AE2253&lt;&gt;1),1,0))</f>
        <v/>
      </c>
      <c r="AH2253" s="51" t="str">
        <f aca="false">IF(AND(E2253&gt;0,AA2253&lt;1,NOT(AND(C2254=C2253,AA2254=AA2253+1))),INDEX(DATAS,AA2253+1),"")</f>
        <v/>
      </c>
      <c r="AI2253" s="51" t="str">
        <f aca="false">IF(AND(AC2253=1,AA2253&lt;1),IF(AND(C2254=C2253,AA2254=AA2253+1),IF(AC2254=1,"",INDEX(DATAS,AA2253+1)),INDEX(DATAS,AA2253+1)),"")</f>
        <v/>
      </c>
    </row>
    <row r="2254" customFormat="false" ht="15" hidden="false" customHeight="false" outlineLevel="0" collapsed="false">
      <c r="A2254" s="51" t="n">
        <v>46309</v>
      </c>
      <c r="B2254" s="0" t="n">
        <v>8</v>
      </c>
      <c r="C2254" s="0" t="n">
        <v>6540</v>
      </c>
      <c r="E2254" s="0" t="n">
        <v>0</v>
      </c>
      <c r="F2254" s="46" t="s">
        <v>1229</v>
      </c>
      <c r="I2254" s="46" t="s">
        <v>152</v>
      </c>
      <c r="L2254" s="0" t="n">
        <v>82</v>
      </c>
      <c r="U2254" s="0" t="n">
        <v>519</v>
      </c>
      <c r="V2254" s="0" t="n">
        <v>3</v>
      </c>
      <c r="W2254" s="51" t="n">
        <v>46228</v>
      </c>
      <c r="X2254" s="46" t="n">
        <f aca="false">IF(I2254="Male",0,1)</f>
        <v>1</v>
      </c>
      <c r="Y2254" s="46" t="n">
        <f aca="false">IF(OR(I2254="DNB",I2254="Dry DNB"),1,0)</f>
        <v>0</v>
      </c>
      <c r="Z2254" s="46" t="n">
        <f aca="false">IF(ISNUMBER(W2254),A2254-W2254,"")</f>
        <v>81</v>
      </c>
      <c r="AA2254" s="46" t="n">
        <f aca="false">MATCH(A2254,DATAS,0)</f>
        <v>1</v>
      </c>
      <c r="AB2254" s="46" t="n">
        <f aca="false">IF(AND(E2254&gt;0,OR(AND(B2254&gt;=1,B2254&lt;=6),B2254=10)),1,0)</f>
        <v>0</v>
      </c>
      <c r="AC2254" s="46" t="n">
        <f aca="false">IF(AND(E2254&gt;0,B2254=10),1,0)</f>
        <v>0</v>
      </c>
      <c r="AD2254" s="0" t="str">
        <f aca="false">IF(AND(C2253=C2254,AA2253=AA2254-1),AB2253,"")</f>
        <v/>
      </c>
      <c r="AE2254" s="0" t="str">
        <f aca="false">IF(AND(C2253=C2254,AA2253=AA2254-1),AC2253,"")</f>
        <v/>
      </c>
      <c r="AF2254" s="0" t="str">
        <f aca="false">IF(AA2254=1,"",IF(AND(AB2254=1,AD2254&lt;&gt;1),1,0))</f>
        <v/>
      </c>
      <c r="AG2254" s="0" t="str">
        <f aca="false">IF(AA2254=1,"",IF(AND(AC2254=1,AE2254&lt;&gt;1),1,0))</f>
        <v/>
      </c>
      <c r="AH2254" s="51" t="str">
        <f aca="false">IF(AND(E2254&gt;0,AA2254&lt;1,NOT(AND(C2255=C2254,AA2255=AA2254+1))),INDEX(DATAS,AA2254+1),"")</f>
        <v/>
      </c>
      <c r="AI2254" s="51" t="str">
        <f aca="false">IF(AND(AC2254=1,AA2254&lt;1),IF(AND(C2255=C2254,AA2255=AA2254+1),IF(AC2255=1,"",INDEX(DATAS,AA2254+1)),INDEX(DATAS,AA2254+1)),"")</f>
        <v/>
      </c>
    </row>
    <row r="2255" customFormat="false" ht="15" hidden="false" customHeight="false" outlineLevel="0" collapsed="false">
      <c r="A2255" s="51" t="n">
        <v>46309</v>
      </c>
      <c r="B2255" s="0" t="n">
        <v>8</v>
      </c>
      <c r="C2255" s="0" t="n">
        <v>6541</v>
      </c>
      <c r="E2255" s="0" t="n">
        <v>0</v>
      </c>
      <c r="F2255" s="46" t="s">
        <v>1229</v>
      </c>
      <c r="I2255" s="46" t="s">
        <v>152</v>
      </c>
      <c r="L2255" s="0" t="n">
        <v>120</v>
      </c>
      <c r="U2255" s="0" t="n">
        <v>519</v>
      </c>
      <c r="V2255" s="0" t="n">
        <v>1</v>
      </c>
      <c r="W2255" s="51" t="n">
        <v>46190</v>
      </c>
      <c r="X2255" s="46" t="n">
        <f aca="false">IF(I2255="Male",0,1)</f>
        <v>1</v>
      </c>
      <c r="Y2255" s="46" t="n">
        <f aca="false">IF(OR(I2255="DNB",I2255="Dry DNB"),1,0)</f>
        <v>0</v>
      </c>
      <c r="Z2255" s="46" t="n">
        <f aca="false">IF(ISNUMBER(W2255),A2255-W2255,"")</f>
        <v>119</v>
      </c>
      <c r="AA2255" s="46" t="n">
        <f aca="false">MATCH(A2255,DATAS,0)</f>
        <v>1</v>
      </c>
      <c r="AB2255" s="46" t="n">
        <f aca="false">IF(AND(E2255&gt;0,OR(AND(B2255&gt;=1,B2255&lt;=6),B2255=10)),1,0)</f>
        <v>0</v>
      </c>
      <c r="AC2255" s="46" t="n">
        <f aca="false">IF(AND(E2255&gt;0,B2255=10),1,0)</f>
        <v>0</v>
      </c>
      <c r="AD2255" s="0" t="str">
        <f aca="false">IF(AND(C2254=C2255,AA2254=AA2255-1),AB2254,"")</f>
        <v/>
      </c>
      <c r="AE2255" s="0" t="str">
        <f aca="false">IF(AND(C2254=C2255,AA2254=AA2255-1),AC2254,"")</f>
        <v/>
      </c>
      <c r="AF2255" s="0" t="str">
        <f aca="false">IF(AA2255=1,"",IF(AND(AB2255=1,AD2255&lt;&gt;1),1,0))</f>
        <v/>
      </c>
      <c r="AG2255" s="0" t="str">
        <f aca="false">IF(AA2255=1,"",IF(AND(AC2255=1,AE2255&lt;&gt;1),1,0))</f>
        <v/>
      </c>
      <c r="AH2255" s="51" t="str">
        <f aca="false">IF(AND(E2255&gt;0,AA2255&lt;1,NOT(AND(C2256=C2255,AA2256=AA2255+1))),INDEX(DATAS,AA2255+1),"")</f>
        <v/>
      </c>
      <c r="AI2255" s="51" t="str">
        <f aca="false">IF(AND(AC2255=1,AA2255&lt;1),IF(AND(C2256=C2255,AA2256=AA2255+1),IF(AC2256=1,"",INDEX(DATAS,AA2255+1)),INDEX(DATAS,AA2255+1)),"")</f>
        <v/>
      </c>
    </row>
    <row r="2256" customFormat="false" ht="15" hidden="false" customHeight="false" outlineLevel="0" collapsed="false">
      <c r="A2256" s="51" t="n">
        <v>46309</v>
      </c>
      <c r="B2256" s="0" t="n">
        <v>8</v>
      </c>
      <c r="C2256" s="0" t="n">
        <v>6542</v>
      </c>
      <c r="E2256" s="0" t="n">
        <v>0</v>
      </c>
      <c r="F2256" s="46" t="s">
        <v>1229</v>
      </c>
      <c r="I2256" s="46" t="s">
        <v>152</v>
      </c>
      <c r="L2256" s="0" t="n">
        <v>43</v>
      </c>
      <c r="U2256" s="0" t="n">
        <v>519</v>
      </c>
      <c r="V2256" s="0" t="n">
        <v>3</v>
      </c>
      <c r="W2256" s="51" t="n">
        <v>46267</v>
      </c>
      <c r="X2256" s="46" t="n">
        <f aca="false">IF(I2256="Male",0,1)</f>
        <v>1</v>
      </c>
      <c r="Y2256" s="46" t="n">
        <f aca="false">IF(OR(I2256="DNB",I2256="Dry DNB"),1,0)</f>
        <v>0</v>
      </c>
      <c r="Z2256" s="46" t="n">
        <f aca="false">IF(ISNUMBER(W2256),A2256-W2256,"")</f>
        <v>42</v>
      </c>
      <c r="AA2256" s="46" t="n">
        <f aca="false">MATCH(A2256,DATAS,0)</f>
        <v>1</v>
      </c>
      <c r="AB2256" s="46" t="n">
        <f aca="false">IF(AND(E2256&gt;0,OR(AND(B2256&gt;=1,B2256&lt;=6),B2256=10)),1,0)</f>
        <v>0</v>
      </c>
      <c r="AC2256" s="46" t="n">
        <f aca="false">IF(AND(E2256&gt;0,B2256=10),1,0)</f>
        <v>0</v>
      </c>
      <c r="AD2256" s="0" t="str">
        <f aca="false">IF(AND(C2255=C2256,AA2255=AA2256-1),AB2255,"")</f>
        <v/>
      </c>
      <c r="AE2256" s="0" t="str">
        <f aca="false">IF(AND(C2255=C2256,AA2255=AA2256-1),AC2255,"")</f>
        <v/>
      </c>
      <c r="AF2256" s="0" t="str">
        <f aca="false">IF(AA2256=1,"",IF(AND(AB2256=1,AD2256&lt;&gt;1),1,0))</f>
        <v/>
      </c>
      <c r="AG2256" s="0" t="str">
        <f aca="false">IF(AA2256=1,"",IF(AND(AC2256=1,AE2256&lt;&gt;1),1,0))</f>
        <v/>
      </c>
      <c r="AH2256" s="51" t="str">
        <f aca="false">IF(AND(E2256&gt;0,AA2256&lt;1,NOT(AND(C2257=C2256,AA2257=AA2256+1))),INDEX(DATAS,AA2256+1),"")</f>
        <v/>
      </c>
      <c r="AI2256" s="51" t="str">
        <f aca="false">IF(AND(AC2256=1,AA2256&lt;1),IF(AND(C2257=C2256,AA2257=AA2256+1),IF(AC2257=1,"",INDEX(DATAS,AA2256+1)),INDEX(DATAS,AA2256+1)),"")</f>
        <v/>
      </c>
    </row>
    <row r="2257" customFormat="false" ht="15" hidden="false" customHeight="false" outlineLevel="0" collapsed="false">
      <c r="A2257" s="51" t="n">
        <v>46309</v>
      </c>
      <c r="B2257" s="0" t="n">
        <v>11</v>
      </c>
      <c r="C2257" s="0" t="n">
        <v>6543</v>
      </c>
      <c r="E2257" s="0" t="n">
        <v>0</v>
      </c>
      <c r="F2257" s="46" t="s">
        <v>1229</v>
      </c>
      <c r="I2257" s="46" t="s">
        <v>181</v>
      </c>
      <c r="U2257" s="0" t="n">
        <v>519</v>
      </c>
      <c r="V2257" s="0" t="n">
        <v>4</v>
      </c>
      <c r="W2257" s="51" t="n">
        <v>46307</v>
      </c>
      <c r="X2257" s="46" t="n">
        <f aca="false">IF(I2257="Male",0,1)</f>
        <v>1</v>
      </c>
      <c r="Y2257" s="46" t="n">
        <f aca="false">IF(OR(I2257="DNB",I2257="Dry DNB"),1,0)</f>
        <v>0</v>
      </c>
      <c r="Z2257" s="46" t="n">
        <f aca="false">IF(ISNUMBER(W2257),A2257-W2257,"")</f>
        <v>2</v>
      </c>
      <c r="AA2257" s="46" t="n">
        <f aca="false">MATCH(A2257,DATAS,0)</f>
        <v>1</v>
      </c>
      <c r="AB2257" s="46" t="n">
        <f aca="false">IF(AND(E2257&gt;0,OR(AND(B2257&gt;=1,B2257&lt;=6),B2257=10)),1,0)</f>
        <v>0</v>
      </c>
      <c r="AC2257" s="46" t="n">
        <f aca="false">IF(AND(E2257&gt;0,B2257=10),1,0)</f>
        <v>0</v>
      </c>
      <c r="AD2257" s="0" t="str">
        <f aca="false">IF(AND(C2256=C2257,AA2256=AA2257-1),AB2256,"")</f>
        <v/>
      </c>
      <c r="AE2257" s="0" t="str">
        <f aca="false">IF(AND(C2256=C2257,AA2256=AA2257-1),AC2256,"")</f>
        <v/>
      </c>
      <c r="AF2257" s="0" t="str">
        <f aca="false">IF(AA2257=1,"",IF(AND(AB2257=1,AD2257&lt;&gt;1),1,0))</f>
        <v/>
      </c>
      <c r="AG2257" s="0" t="str">
        <f aca="false">IF(AA2257=1,"",IF(AND(AC2257=1,AE2257&lt;&gt;1),1,0))</f>
        <v/>
      </c>
      <c r="AH2257" s="51" t="str">
        <f aca="false">IF(AND(E2257&gt;0,AA2257&lt;1,NOT(AND(C2258=C2257,AA2258=AA2257+1))),INDEX(DATAS,AA2257+1),"")</f>
        <v/>
      </c>
      <c r="AI2257" s="51" t="str">
        <f aca="false">IF(AND(AC2257=1,AA2257&lt;1),IF(AND(C2258=C2257,AA2258=AA2257+1),IF(AC2258=1,"",INDEX(DATAS,AA2257+1)),INDEX(DATAS,AA2257+1)),"")</f>
        <v/>
      </c>
    </row>
    <row r="2258" customFormat="false" ht="15" hidden="false" customHeight="false" outlineLevel="0" collapsed="false">
      <c r="A2258" s="51" t="n">
        <v>46309</v>
      </c>
      <c r="B2258" s="0" t="n">
        <v>8</v>
      </c>
      <c r="C2258" s="0" t="n">
        <v>6544</v>
      </c>
      <c r="E2258" s="0" t="n">
        <v>0</v>
      </c>
      <c r="F2258" s="46" t="s">
        <v>1229</v>
      </c>
      <c r="I2258" s="46" t="s">
        <v>152</v>
      </c>
      <c r="L2258" s="0" t="n">
        <v>59</v>
      </c>
      <c r="U2258" s="0" t="n">
        <v>519</v>
      </c>
      <c r="V2258" s="0" t="n">
        <v>4</v>
      </c>
      <c r="W2258" s="51" t="n">
        <v>46251</v>
      </c>
      <c r="X2258" s="46" t="n">
        <f aca="false">IF(I2258="Male",0,1)</f>
        <v>1</v>
      </c>
      <c r="Y2258" s="46" t="n">
        <f aca="false">IF(OR(I2258="DNB",I2258="Dry DNB"),1,0)</f>
        <v>0</v>
      </c>
      <c r="Z2258" s="46" t="n">
        <f aca="false">IF(ISNUMBER(W2258),A2258-W2258,"")</f>
        <v>58</v>
      </c>
      <c r="AA2258" s="46" t="n">
        <f aca="false">MATCH(A2258,DATAS,0)</f>
        <v>1</v>
      </c>
      <c r="AB2258" s="46" t="n">
        <f aca="false">IF(AND(E2258&gt;0,OR(AND(B2258&gt;=1,B2258&lt;=6),B2258=10)),1,0)</f>
        <v>0</v>
      </c>
      <c r="AC2258" s="46" t="n">
        <f aca="false">IF(AND(E2258&gt;0,B2258=10),1,0)</f>
        <v>0</v>
      </c>
      <c r="AD2258" s="0" t="str">
        <f aca="false">IF(AND(C2257=C2258,AA2257=AA2258-1),AB2257,"")</f>
        <v/>
      </c>
      <c r="AE2258" s="0" t="str">
        <f aca="false">IF(AND(C2257=C2258,AA2257=AA2258-1),AC2257,"")</f>
        <v/>
      </c>
      <c r="AF2258" s="0" t="str">
        <f aca="false">IF(AA2258=1,"",IF(AND(AB2258=1,AD2258&lt;&gt;1),1,0))</f>
        <v/>
      </c>
      <c r="AG2258" s="0" t="str">
        <f aca="false">IF(AA2258=1,"",IF(AND(AC2258=1,AE2258&lt;&gt;1),1,0))</f>
        <v/>
      </c>
      <c r="AH2258" s="51" t="str">
        <f aca="false">IF(AND(E2258&gt;0,AA2258&lt;1,NOT(AND(C2259=C2258,AA2259=AA2258+1))),INDEX(DATAS,AA2258+1),"")</f>
        <v/>
      </c>
      <c r="AI2258" s="51" t="str">
        <f aca="false">IF(AND(AC2258=1,AA2258&lt;1),IF(AND(C2259=C2258,AA2259=AA2258+1),IF(AC2259=1,"",INDEX(DATAS,AA2258+1)),INDEX(DATAS,AA2258+1)),"")</f>
        <v/>
      </c>
    </row>
    <row r="2259" customFormat="false" ht="15" hidden="false" customHeight="false" outlineLevel="0" collapsed="false">
      <c r="A2259" s="51" t="n">
        <v>46309</v>
      </c>
      <c r="B2259" s="0" t="n">
        <v>8</v>
      </c>
      <c r="C2259" s="0" t="n">
        <v>6545</v>
      </c>
      <c r="E2259" s="0" t="n">
        <v>0</v>
      </c>
      <c r="F2259" s="46" t="s">
        <v>1229</v>
      </c>
      <c r="I2259" s="46" t="s">
        <v>152</v>
      </c>
      <c r="L2259" s="0" t="n">
        <v>120</v>
      </c>
      <c r="U2259" s="0" t="n">
        <v>519</v>
      </c>
      <c r="V2259" s="0" t="n">
        <v>1</v>
      </c>
      <c r="W2259" s="51" t="n">
        <v>46190</v>
      </c>
      <c r="X2259" s="46" t="n">
        <f aca="false">IF(I2259="Male",0,1)</f>
        <v>1</v>
      </c>
      <c r="Y2259" s="46" t="n">
        <f aca="false">IF(OR(I2259="DNB",I2259="Dry DNB"),1,0)</f>
        <v>0</v>
      </c>
      <c r="Z2259" s="46" t="n">
        <f aca="false">IF(ISNUMBER(W2259),A2259-W2259,"")</f>
        <v>119</v>
      </c>
      <c r="AA2259" s="46" t="n">
        <f aca="false">MATCH(A2259,DATAS,0)</f>
        <v>1</v>
      </c>
      <c r="AB2259" s="46" t="n">
        <f aca="false">IF(AND(E2259&gt;0,OR(AND(B2259&gt;=1,B2259&lt;=6),B2259=10)),1,0)</f>
        <v>0</v>
      </c>
      <c r="AC2259" s="46" t="n">
        <f aca="false">IF(AND(E2259&gt;0,B2259=10),1,0)</f>
        <v>0</v>
      </c>
      <c r="AD2259" s="0" t="str">
        <f aca="false">IF(AND(C2258=C2259,AA2258=AA2259-1),AB2258,"")</f>
        <v/>
      </c>
      <c r="AE2259" s="0" t="str">
        <f aca="false">IF(AND(C2258=C2259,AA2258=AA2259-1),AC2258,"")</f>
        <v/>
      </c>
      <c r="AF2259" s="0" t="str">
        <f aca="false">IF(AA2259=1,"",IF(AND(AB2259=1,AD2259&lt;&gt;1),1,0))</f>
        <v/>
      </c>
      <c r="AG2259" s="0" t="str">
        <f aca="false">IF(AA2259=1,"",IF(AND(AC2259=1,AE2259&lt;&gt;1),1,0))</f>
        <v/>
      </c>
      <c r="AH2259" s="51" t="str">
        <f aca="false">IF(AND(E2259&gt;0,AA2259&lt;1,NOT(AND(C2260=C2259,AA2260=AA2259+1))),INDEX(DATAS,AA2259+1),"")</f>
        <v/>
      </c>
      <c r="AI2259" s="51" t="str">
        <f aca="false">IF(AND(AC2259=1,AA2259&lt;1),IF(AND(C2260=C2259,AA2260=AA2259+1),IF(AC2260=1,"",INDEX(DATAS,AA2259+1)),INDEX(DATAS,AA2259+1)),"")</f>
        <v/>
      </c>
    </row>
    <row r="2260" customFormat="false" ht="15" hidden="false" customHeight="false" outlineLevel="0" collapsed="false">
      <c r="A2260" s="51" t="n">
        <v>46309</v>
      </c>
      <c r="B2260" s="0" t="n">
        <v>8</v>
      </c>
      <c r="C2260" s="0" t="n">
        <v>6546</v>
      </c>
      <c r="E2260" s="0" t="n">
        <v>0</v>
      </c>
      <c r="F2260" s="46" t="s">
        <v>1233</v>
      </c>
      <c r="I2260" s="46" t="s">
        <v>152</v>
      </c>
      <c r="L2260" s="0" t="n">
        <v>120</v>
      </c>
      <c r="U2260" s="0" t="n">
        <v>518</v>
      </c>
      <c r="V2260" s="0" t="n">
        <v>1</v>
      </c>
      <c r="W2260" s="51" t="n">
        <v>46190</v>
      </c>
      <c r="X2260" s="46" t="n">
        <f aca="false">IF(I2260="Male",0,1)</f>
        <v>1</v>
      </c>
      <c r="Y2260" s="46" t="n">
        <f aca="false">IF(OR(I2260="DNB",I2260="Dry DNB"),1,0)</f>
        <v>0</v>
      </c>
      <c r="Z2260" s="46" t="n">
        <f aca="false">IF(ISNUMBER(W2260),A2260-W2260,"")</f>
        <v>119</v>
      </c>
      <c r="AA2260" s="46" t="n">
        <f aca="false">MATCH(A2260,DATAS,0)</f>
        <v>1</v>
      </c>
      <c r="AB2260" s="46" t="n">
        <f aca="false">IF(AND(E2260&gt;0,OR(AND(B2260&gt;=1,B2260&lt;=6),B2260=10)),1,0)</f>
        <v>0</v>
      </c>
      <c r="AC2260" s="46" t="n">
        <f aca="false">IF(AND(E2260&gt;0,B2260=10),1,0)</f>
        <v>0</v>
      </c>
      <c r="AD2260" s="0" t="str">
        <f aca="false">IF(AND(C2259=C2260,AA2259=AA2260-1),AB2259,"")</f>
        <v/>
      </c>
      <c r="AE2260" s="0" t="str">
        <f aca="false">IF(AND(C2259=C2260,AA2259=AA2260-1),AC2259,"")</f>
        <v/>
      </c>
      <c r="AF2260" s="0" t="str">
        <f aca="false">IF(AA2260=1,"",IF(AND(AB2260=1,AD2260&lt;&gt;1),1,0))</f>
        <v/>
      </c>
      <c r="AG2260" s="0" t="str">
        <f aca="false">IF(AA2260=1,"",IF(AND(AC2260=1,AE2260&lt;&gt;1),1,0))</f>
        <v/>
      </c>
      <c r="AH2260" s="51" t="str">
        <f aca="false">IF(AND(E2260&gt;0,AA2260&lt;1,NOT(AND(C2261=C2260,AA2261=AA2260+1))),INDEX(DATAS,AA2260+1),"")</f>
        <v/>
      </c>
      <c r="AI2260" s="51" t="str">
        <f aca="false">IF(AND(AC2260=1,AA2260&lt;1),IF(AND(C2261=C2260,AA2261=AA2260+1),IF(AC2261=1,"",INDEX(DATAS,AA2260+1)),INDEX(DATAS,AA2260+1)),"")</f>
        <v/>
      </c>
    </row>
    <row r="2261" customFormat="false" ht="15" hidden="false" customHeight="false" outlineLevel="0" collapsed="false">
      <c r="A2261" s="51" t="n">
        <v>46309</v>
      </c>
      <c r="B2261" s="0" t="n">
        <v>8</v>
      </c>
      <c r="C2261" s="0" t="n">
        <v>6547</v>
      </c>
      <c r="E2261" s="0" t="n">
        <v>0</v>
      </c>
      <c r="F2261" s="46" t="s">
        <v>1233</v>
      </c>
      <c r="I2261" s="46" t="s">
        <v>152</v>
      </c>
      <c r="L2261" s="0" t="n">
        <v>84</v>
      </c>
      <c r="U2261" s="0" t="n">
        <v>518</v>
      </c>
      <c r="V2261" s="0" t="n">
        <v>2</v>
      </c>
      <c r="W2261" s="51" t="n">
        <v>46226</v>
      </c>
      <c r="X2261" s="46" t="n">
        <f aca="false">IF(I2261="Male",0,1)</f>
        <v>1</v>
      </c>
      <c r="Y2261" s="46" t="n">
        <f aca="false">IF(OR(I2261="DNB",I2261="Dry DNB"),1,0)</f>
        <v>0</v>
      </c>
      <c r="Z2261" s="46" t="n">
        <f aca="false">IF(ISNUMBER(W2261),A2261-W2261,"")</f>
        <v>83</v>
      </c>
      <c r="AA2261" s="46" t="n">
        <f aca="false">MATCH(A2261,DATAS,0)</f>
        <v>1</v>
      </c>
      <c r="AB2261" s="46" t="n">
        <f aca="false">IF(AND(E2261&gt;0,OR(AND(B2261&gt;=1,B2261&lt;=6),B2261=10)),1,0)</f>
        <v>0</v>
      </c>
      <c r="AC2261" s="46" t="n">
        <f aca="false">IF(AND(E2261&gt;0,B2261=10),1,0)</f>
        <v>0</v>
      </c>
      <c r="AD2261" s="0" t="str">
        <f aca="false">IF(AND(C2260=C2261,AA2260=AA2261-1),AB2260,"")</f>
        <v/>
      </c>
      <c r="AE2261" s="0" t="str">
        <f aca="false">IF(AND(C2260=C2261,AA2260=AA2261-1),AC2260,"")</f>
        <v/>
      </c>
      <c r="AF2261" s="0" t="str">
        <f aca="false">IF(AA2261=1,"",IF(AND(AB2261=1,AD2261&lt;&gt;1),1,0))</f>
        <v/>
      </c>
      <c r="AG2261" s="0" t="str">
        <f aca="false">IF(AA2261=1,"",IF(AND(AC2261=1,AE2261&lt;&gt;1),1,0))</f>
        <v/>
      </c>
      <c r="AH2261" s="51" t="str">
        <f aca="false">IF(AND(E2261&gt;0,AA2261&lt;1,NOT(AND(C2262=C2261,AA2262=AA2261+1))),INDEX(DATAS,AA2261+1),"")</f>
        <v/>
      </c>
      <c r="AI2261" s="51" t="str">
        <f aca="false">IF(AND(AC2261=1,AA2261&lt;1),IF(AND(C2262=C2261,AA2262=AA2261+1),IF(AC2262=1,"",INDEX(DATAS,AA2261+1)),INDEX(DATAS,AA2261+1)),"")</f>
        <v/>
      </c>
    </row>
    <row r="2262" customFormat="false" ht="15" hidden="false" customHeight="false" outlineLevel="0" collapsed="false">
      <c r="A2262" s="51" t="n">
        <v>46309</v>
      </c>
      <c r="B2262" s="0" t="n">
        <v>8</v>
      </c>
      <c r="C2262" s="0" t="n">
        <v>6548</v>
      </c>
      <c r="E2262" s="0" t="n">
        <v>0</v>
      </c>
      <c r="F2262" s="46" t="s">
        <v>1233</v>
      </c>
      <c r="I2262" s="46" t="s">
        <v>152</v>
      </c>
      <c r="L2262" s="0" t="n">
        <v>111</v>
      </c>
      <c r="U2262" s="0" t="n">
        <v>518</v>
      </c>
      <c r="V2262" s="0" t="n">
        <v>1</v>
      </c>
      <c r="W2262" s="51" t="n">
        <v>46199</v>
      </c>
      <c r="X2262" s="46" t="n">
        <f aca="false">IF(I2262="Male",0,1)</f>
        <v>1</v>
      </c>
      <c r="Y2262" s="46" t="n">
        <f aca="false">IF(OR(I2262="DNB",I2262="Dry DNB"),1,0)</f>
        <v>0</v>
      </c>
      <c r="Z2262" s="46" t="n">
        <f aca="false">IF(ISNUMBER(W2262),A2262-W2262,"")</f>
        <v>110</v>
      </c>
      <c r="AA2262" s="46" t="n">
        <f aca="false">MATCH(A2262,DATAS,0)</f>
        <v>1</v>
      </c>
      <c r="AB2262" s="46" t="n">
        <f aca="false">IF(AND(E2262&gt;0,OR(AND(B2262&gt;=1,B2262&lt;=6),B2262=10)),1,0)</f>
        <v>0</v>
      </c>
      <c r="AC2262" s="46" t="n">
        <f aca="false">IF(AND(E2262&gt;0,B2262=10),1,0)</f>
        <v>0</v>
      </c>
      <c r="AD2262" s="0" t="str">
        <f aca="false">IF(AND(C2261=C2262,AA2261=AA2262-1),AB2261,"")</f>
        <v/>
      </c>
      <c r="AE2262" s="0" t="str">
        <f aca="false">IF(AND(C2261=C2262,AA2261=AA2262-1),AC2261,"")</f>
        <v/>
      </c>
      <c r="AF2262" s="0" t="str">
        <f aca="false">IF(AA2262=1,"",IF(AND(AB2262=1,AD2262&lt;&gt;1),1,0))</f>
        <v/>
      </c>
      <c r="AG2262" s="0" t="str">
        <f aca="false">IF(AA2262=1,"",IF(AND(AC2262=1,AE2262&lt;&gt;1),1,0))</f>
        <v/>
      </c>
      <c r="AH2262" s="51" t="str">
        <f aca="false">IF(AND(E2262&gt;0,AA2262&lt;1,NOT(AND(C2263=C2262,AA2263=AA2262+1))),INDEX(DATAS,AA2262+1),"")</f>
        <v/>
      </c>
      <c r="AI2262" s="51" t="str">
        <f aca="false">IF(AND(AC2262=1,AA2262&lt;1),IF(AND(C2263=C2262,AA2263=AA2262+1),IF(AC2263=1,"",INDEX(DATAS,AA2262+1)),INDEX(DATAS,AA2262+1)),"")</f>
        <v/>
      </c>
    </row>
    <row r="2263" customFormat="false" ht="15" hidden="false" customHeight="false" outlineLevel="0" collapsed="false">
      <c r="A2263" s="51" t="n">
        <v>46309</v>
      </c>
      <c r="B2263" s="0" t="n">
        <v>8</v>
      </c>
      <c r="C2263" s="0" t="n">
        <v>6549</v>
      </c>
      <c r="E2263" s="0" t="n">
        <v>0</v>
      </c>
      <c r="F2263" s="46" t="s">
        <v>1234</v>
      </c>
      <c r="I2263" s="46" t="s">
        <v>152</v>
      </c>
      <c r="L2263" s="0" t="n">
        <v>106</v>
      </c>
      <c r="U2263" s="0" t="n">
        <v>517</v>
      </c>
      <c r="V2263" s="0" t="n">
        <v>1</v>
      </c>
      <c r="W2263" s="51" t="n">
        <v>46204</v>
      </c>
      <c r="X2263" s="46" t="n">
        <f aca="false">IF(I2263="Male",0,1)</f>
        <v>1</v>
      </c>
      <c r="Y2263" s="46" t="n">
        <f aca="false">IF(OR(I2263="DNB",I2263="Dry DNB"),1,0)</f>
        <v>0</v>
      </c>
      <c r="Z2263" s="46" t="n">
        <f aca="false">IF(ISNUMBER(W2263),A2263-W2263,"")</f>
        <v>105</v>
      </c>
      <c r="AA2263" s="46" t="n">
        <f aca="false">MATCH(A2263,DATAS,0)</f>
        <v>1</v>
      </c>
      <c r="AB2263" s="46" t="n">
        <f aca="false">IF(AND(E2263&gt;0,OR(AND(B2263&gt;=1,B2263&lt;=6),B2263=10)),1,0)</f>
        <v>0</v>
      </c>
      <c r="AC2263" s="46" t="n">
        <f aca="false">IF(AND(E2263&gt;0,B2263=10),1,0)</f>
        <v>0</v>
      </c>
      <c r="AD2263" s="0" t="str">
        <f aca="false">IF(AND(C2262=C2263,AA2262=AA2263-1),AB2262,"")</f>
        <v/>
      </c>
      <c r="AE2263" s="0" t="str">
        <f aca="false">IF(AND(C2262=C2263,AA2262=AA2263-1),AC2262,"")</f>
        <v/>
      </c>
      <c r="AF2263" s="0" t="str">
        <f aca="false">IF(AA2263=1,"",IF(AND(AB2263=1,AD2263&lt;&gt;1),1,0))</f>
        <v/>
      </c>
      <c r="AG2263" s="0" t="str">
        <f aca="false">IF(AA2263=1,"",IF(AND(AC2263=1,AE2263&lt;&gt;1),1,0))</f>
        <v/>
      </c>
      <c r="AH2263" s="51" t="str">
        <f aca="false">IF(AND(E2263&gt;0,AA2263&lt;1,NOT(AND(C2264=C2263,AA2264=AA2263+1))),INDEX(DATAS,AA2263+1),"")</f>
        <v/>
      </c>
      <c r="AI2263" s="51" t="str">
        <f aca="false">IF(AND(AC2263=1,AA2263&lt;1),IF(AND(C2264=C2263,AA2264=AA2263+1),IF(AC2264=1,"",INDEX(DATAS,AA2263+1)),INDEX(DATAS,AA2263+1)),"")</f>
        <v/>
      </c>
    </row>
    <row r="2264" customFormat="false" ht="15" hidden="false" customHeight="false" outlineLevel="0" collapsed="false">
      <c r="A2264" s="51" t="n">
        <v>46309</v>
      </c>
      <c r="B2264" s="0" t="n">
        <v>8</v>
      </c>
      <c r="C2264" s="0" t="n">
        <v>6550</v>
      </c>
      <c r="E2264" s="0" t="n">
        <v>0</v>
      </c>
      <c r="F2264" s="46" t="s">
        <v>1234</v>
      </c>
      <c r="I2264" s="46" t="s">
        <v>152</v>
      </c>
      <c r="L2264" s="0" t="n">
        <v>84</v>
      </c>
      <c r="U2264" s="0" t="n">
        <v>517</v>
      </c>
      <c r="V2264" s="0" t="n">
        <v>2</v>
      </c>
      <c r="W2264" s="51" t="n">
        <v>46226</v>
      </c>
      <c r="X2264" s="46" t="n">
        <f aca="false">IF(I2264="Male",0,1)</f>
        <v>1</v>
      </c>
      <c r="Y2264" s="46" t="n">
        <f aca="false">IF(OR(I2264="DNB",I2264="Dry DNB"),1,0)</f>
        <v>0</v>
      </c>
      <c r="Z2264" s="46" t="n">
        <f aca="false">IF(ISNUMBER(W2264),A2264-W2264,"")</f>
        <v>83</v>
      </c>
      <c r="AA2264" s="46" t="n">
        <f aca="false">MATCH(A2264,DATAS,0)</f>
        <v>1</v>
      </c>
      <c r="AB2264" s="46" t="n">
        <f aca="false">IF(AND(E2264&gt;0,OR(AND(B2264&gt;=1,B2264&lt;=6),B2264=10)),1,0)</f>
        <v>0</v>
      </c>
      <c r="AC2264" s="46" t="n">
        <f aca="false">IF(AND(E2264&gt;0,B2264=10),1,0)</f>
        <v>0</v>
      </c>
      <c r="AD2264" s="0" t="str">
        <f aca="false">IF(AND(C2263=C2264,AA2263=AA2264-1),AB2263,"")</f>
        <v/>
      </c>
      <c r="AE2264" s="0" t="str">
        <f aca="false">IF(AND(C2263=C2264,AA2263=AA2264-1),AC2263,"")</f>
        <v/>
      </c>
      <c r="AF2264" s="0" t="str">
        <f aca="false">IF(AA2264=1,"",IF(AND(AB2264=1,AD2264&lt;&gt;1),1,0))</f>
        <v/>
      </c>
      <c r="AG2264" s="0" t="str">
        <f aca="false">IF(AA2264=1,"",IF(AND(AC2264=1,AE2264&lt;&gt;1),1,0))</f>
        <v/>
      </c>
      <c r="AH2264" s="51" t="str">
        <f aca="false">IF(AND(E2264&gt;0,AA2264&lt;1,NOT(AND(C2265=C2264,AA2265=AA2264+1))),INDEX(DATAS,AA2264+1),"")</f>
        <v/>
      </c>
      <c r="AI2264" s="51" t="str">
        <f aca="false">IF(AND(AC2264=1,AA2264&lt;1),IF(AND(C2265=C2264,AA2265=AA2264+1),IF(AC2265=1,"",INDEX(DATAS,AA2264+1)),INDEX(DATAS,AA2264+1)),"")</f>
        <v/>
      </c>
    </row>
    <row r="2265" customFormat="false" ht="15" hidden="false" customHeight="false" outlineLevel="0" collapsed="false">
      <c r="A2265" s="51" t="n">
        <v>46309</v>
      </c>
      <c r="B2265" s="0" t="n">
        <v>8</v>
      </c>
      <c r="C2265" s="0" t="n">
        <v>6551</v>
      </c>
      <c r="E2265" s="0" t="n">
        <v>0</v>
      </c>
      <c r="F2265" s="46" t="s">
        <v>1234</v>
      </c>
      <c r="I2265" s="46" t="s">
        <v>152</v>
      </c>
      <c r="L2265" s="0" t="n">
        <v>118</v>
      </c>
      <c r="U2265" s="0" t="n">
        <v>517</v>
      </c>
      <c r="V2265" s="0" t="n">
        <v>1</v>
      </c>
      <c r="X2265" s="46" t="n">
        <f aca="false">IF(I2265="Male",0,1)</f>
        <v>1</v>
      </c>
      <c r="Y2265" s="46" t="n">
        <f aca="false">IF(OR(I2265="DNB",I2265="Dry DNB"),1,0)</f>
        <v>0</v>
      </c>
      <c r="Z2265" s="0" t="str">
        <f aca="false">IF(ISNUMBER(W2265),A2265-W2265,"")</f>
        <v/>
      </c>
      <c r="AA2265" s="46" t="n">
        <f aca="false">MATCH(A2265,DATAS,0)</f>
        <v>1</v>
      </c>
      <c r="AB2265" s="46" t="n">
        <f aca="false">IF(AND(E2265&gt;0,OR(AND(B2265&gt;=1,B2265&lt;=6),B2265=10)),1,0)</f>
        <v>0</v>
      </c>
      <c r="AC2265" s="46" t="n">
        <f aca="false">IF(AND(E2265&gt;0,B2265=10),1,0)</f>
        <v>0</v>
      </c>
      <c r="AD2265" s="0" t="str">
        <f aca="false">IF(AND(C2264=C2265,AA2264=AA2265-1),AB2264,"")</f>
        <v/>
      </c>
      <c r="AE2265" s="0" t="str">
        <f aca="false">IF(AND(C2264=C2265,AA2264=AA2265-1),AC2264,"")</f>
        <v/>
      </c>
      <c r="AF2265" s="0" t="str">
        <f aca="false">IF(AA2265=1,"",IF(AND(AB2265=1,AD2265&lt;&gt;1),1,0))</f>
        <v/>
      </c>
      <c r="AG2265" s="0" t="str">
        <f aca="false">IF(AA2265=1,"",IF(AND(AC2265=1,AE2265&lt;&gt;1),1,0))</f>
        <v/>
      </c>
      <c r="AH2265" s="51" t="str">
        <f aca="false">IF(AND(E2265&gt;0,AA2265&lt;1,NOT(AND(C2266=C2265,AA2266=AA2265+1))),INDEX(DATAS,AA2265+1),"")</f>
        <v/>
      </c>
      <c r="AI2265" s="51" t="str">
        <f aca="false">IF(AND(AC2265=1,AA2265&lt;1),IF(AND(C2266=C2265,AA2266=AA2265+1),IF(AC2266=1,"",INDEX(DATAS,AA2265+1)),INDEX(DATAS,AA2265+1)),"")</f>
        <v/>
      </c>
    </row>
    <row r="2266" customFormat="false" ht="15" hidden="false" customHeight="false" outlineLevel="0" collapsed="false">
      <c r="A2266" s="51" t="n">
        <v>46309</v>
      </c>
      <c r="B2266" s="0" t="n">
        <v>8</v>
      </c>
      <c r="C2266" s="0" t="n">
        <v>6552</v>
      </c>
      <c r="E2266" s="0" t="n">
        <v>0</v>
      </c>
      <c r="F2266" s="46" t="s">
        <v>1235</v>
      </c>
      <c r="I2266" s="46" t="s">
        <v>152</v>
      </c>
      <c r="L2266" s="0" t="n">
        <v>109</v>
      </c>
      <c r="U2266" s="0" t="n">
        <v>516</v>
      </c>
      <c r="V2266" s="0" t="n">
        <v>1</v>
      </c>
      <c r="W2266" s="51" t="n">
        <v>46201</v>
      </c>
      <c r="X2266" s="46" t="n">
        <f aca="false">IF(I2266="Male",0,1)</f>
        <v>1</v>
      </c>
      <c r="Y2266" s="46" t="n">
        <f aca="false">IF(OR(I2266="DNB",I2266="Dry DNB"),1,0)</f>
        <v>0</v>
      </c>
      <c r="Z2266" s="46" t="n">
        <f aca="false">IF(ISNUMBER(W2266),A2266-W2266,"")</f>
        <v>108</v>
      </c>
      <c r="AA2266" s="46" t="n">
        <f aca="false">MATCH(A2266,DATAS,0)</f>
        <v>1</v>
      </c>
      <c r="AB2266" s="46" t="n">
        <f aca="false">IF(AND(E2266&gt;0,OR(AND(B2266&gt;=1,B2266&lt;=6),B2266=10)),1,0)</f>
        <v>0</v>
      </c>
      <c r="AC2266" s="46" t="n">
        <f aca="false">IF(AND(E2266&gt;0,B2266=10),1,0)</f>
        <v>0</v>
      </c>
      <c r="AD2266" s="0" t="str">
        <f aca="false">IF(AND(C2265=C2266,AA2265=AA2266-1),AB2265,"")</f>
        <v/>
      </c>
      <c r="AE2266" s="0" t="str">
        <f aca="false">IF(AND(C2265=C2266,AA2265=AA2266-1),AC2265,"")</f>
        <v/>
      </c>
      <c r="AF2266" s="0" t="str">
        <f aca="false">IF(AA2266=1,"",IF(AND(AB2266=1,AD2266&lt;&gt;1),1,0))</f>
        <v/>
      </c>
      <c r="AG2266" s="0" t="str">
        <f aca="false">IF(AA2266=1,"",IF(AND(AC2266=1,AE2266&lt;&gt;1),1,0))</f>
        <v/>
      </c>
      <c r="AH2266" s="51" t="str">
        <f aca="false">IF(AND(E2266&gt;0,AA2266&lt;1,NOT(AND(C2267=C2266,AA2267=AA2266+1))),INDEX(DATAS,AA2266+1),"")</f>
        <v/>
      </c>
      <c r="AI2266" s="51" t="str">
        <f aca="false">IF(AND(AC2266=1,AA2266&lt;1),IF(AND(C2267=C2266,AA2267=AA2266+1),IF(AC2267=1,"",INDEX(DATAS,AA2266+1)),INDEX(DATAS,AA2266+1)),"")</f>
        <v/>
      </c>
    </row>
    <row r="2267" customFormat="false" ht="15" hidden="false" customHeight="false" outlineLevel="0" collapsed="false">
      <c r="A2267" s="51" t="n">
        <v>46309</v>
      </c>
      <c r="B2267" s="0" t="n">
        <v>8</v>
      </c>
      <c r="C2267" s="0" t="n">
        <v>6553</v>
      </c>
      <c r="E2267" s="0" t="n">
        <v>0</v>
      </c>
      <c r="F2267" s="46" t="s">
        <v>1235</v>
      </c>
      <c r="I2267" s="46" t="s">
        <v>152</v>
      </c>
      <c r="L2267" s="0" t="n">
        <v>64</v>
      </c>
      <c r="U2267" s="0" t="n">
        <v>516</v>
      </c>
      <c r="V2267" s="0" t="n">
        <v>3</v>
      </c>
      <c r="W2267" s="51" t="n">
        <v>46246</v>
      </c>
      <c r="X2267" s="46" t="n">
        <f aca="false">IF(I2267="Male",0,1)</f>
        <v>1</v>
      </c>
      <c r="Y2267" s="46" t="n">
        <f aca="false">IF(OR(I2267="DNB",I2267="Dry DNB"),1,0)</f>
        <v>0</v>
      </c>
      <c r="Z2267" s="46" t="n">
        <f aca="false">IF(ISNUMBER(W2267),A2267-W2267,"")</f>
        <v>63</v>
      </c>
      <c r="AA2267" s="46" t="n">
        <f aca="false">MATCH(A2267,DATAS,0)</f>
        <v>1</v>
      </c>
      <c r="AB2267" s="46" t="n">
        <f aca="false">IF(AND(E2267&gt;0,OR(AND(B2267&gt;=1,B2267&lt;=6),B2267=10)),1,0)</f>
        <v>0</v>
      </c>
      <c r="AC2267" s="46" t="n">
        <f aca="false">IF(AND(E2267&gt;0,B2267=10),1,0)</f>
        <v>0</v>
      </c>
      <c r="AD2267" s="0" t="str">
        <f aca="false">IF(AND(C2266=C2267,AA2266=AA2267-1),AB2266,"")</f>
        <v/>
      </c>
      <c r="AE2267" s="0" t="str">
        <f aca="false">IF(AND(C2266=C2267,AA2266=AA2267-1),AC2266,"")</f>
        <v/>
      </c>
      <c r="AF2267" s="0" t="str">
        <f aca="false">IF(AA2267=1,"",IF(AND(AB2267=1,AD2267&lt;&gt;1),1,0))</f>
        <v/>
      </c>
      <c r="AG2267" s="0" t="str">
        <f aca="false">IF(AA2267=1,"",IF(AND(AC2267=1,AE2267&lt;&gt;1),1,0))</f>
        <v/>
      </c>
      <c r="AH2267" s="51" t="str">
        <f aca="false">IF(AND(E2267&gt;0,AA2267&lt;1,NOT(AND(C2268=C2267,AA2268=AA2267+1))),INDEX(DATAS,AA2267+1),"")</f>
        <v/>
      </c>
      <c r="AI2267" s="51" t="str">
        <f aca="false">IF(AND(AC2267=1,AA2267&lt;1),IF(AND(C2268=C2267,AA2268=AA2267+1),IF(AC2268=1,"",INDEX(DATAS,AA2267+1)),INDEX(DATAS,AA2267+1)),"")</f>
        <v/>
      </c>
    </row>
    <row r="2268" customFormat="false" ht="15" hidden="false" customHeight="false" outlineLevel="0" collapsed="false">
      <c r="A2268" s="51" t="n">
        <v>46309</v>
      </c>
      <c r="B2268" s="0" t="n">
        <v>8</v>
      </c>
      <c r="C2268" s="0" t="n">
        <v>6555</v>
      </c>
      <c r="E2268" s="0" t="n">
        <v>0</v>
      </c>
      <c r="F2268" s="46" t="s">
        <v>1235</v>
      </c>
      <c r="I2268" s="46" t="s">
        <v>152</v>
      </c>
      <c r="L2268" s="0" t="n">
        <v>94</v>
      </c>
      <c r="U2268" s="0" t="n">
        <v>516</v>
      </c>
      <c r="V2268" s="0" t="n">
        <v>2</v>
      </c>
      <c r="W2268" s="51" t="n">
        <v>46216</v>
      </c>
      <c r="X2268" s="46" t="n">
        <f aca="false">IF(I2268="Male",0,1)</f>
        <v>1</v>
      </c>
      <c r="Y2268" s="46" t="n">
        <f aca="false">IF(OR(I2268="DNB",I2268="Dry DNB"),1,0)</f>
        <v>0</v>
      </c>
      <c r="Z2268" s="46" t="n">
        <f aca="false">IF(ISNUMBER(W2268),A2268-W2268,"")</f>
        <v>93</v>
      </c>
      <c r="AA2268" s="46" t="n">
        <f aca="false">MATCH(A2268,DATAS,0)</f>
        <v>1</v>
      </c>
      <c r="AB2268" s="46" t="n">
        <f aca="false">IF(AND(E2268&gt;0,OR(AND(B2268&gt;=1,B2268&lt;=6),B2268=10)),1,0)</f>
        <v>0</v>
      </c>
      <c r="AC2268" s="46" t="n">
        <f aca="false">IF(AND(E2268&gt;0,B2268=10),1,0)</f>
        <v>0</v>
      </c>
      <c r="AD2268" s="0" t="str">
        <f aca="false">IF(AND(C2267=C2268,AA2267=AA2268-1),AB2267,"")</f>
        <v/>
      </c>
      <c r="AE2268" s="0" t="str">
        <f aca="false">IF(AND(C2267=C2268,AA2267=AA2268-1),AC2267,"")</f>
        <v/>
      </c>
      <c r="AF2268" s="0" t="str">
        <f aca="false">IF(AA2268=1,"",IF(AND(AB2268=1,AD2268&lt;&gt;1),1,0))</f>
        <v/>
      </c>
      <c r="AG2268" s="0" t="str">
        <f aca="false">IF(AA2268=1,"",IF(AND(AC2268=1,AE2268&lt;&gt;1),1,0))</f>
        <v/>
      </c>
      <c r="AH2268" s="51" t="str">
        <f aca="false">IF(AND(E2268&gt;0,AA2268&lt;1,NOT(AND(C2269=C2268,AA2269=AA2268+1))),INDEX(DATAS,AA2268+1),"")</f>
        <v/>
      </c>
      <c r="AI2268" s="51" t="str">
        <f aca="false">IF(AND(AC2268=1,AA2268&lt;1),IF(AND(C2269=C2268,AA2269=AA2268+1),IF(AC2269=1,"",INDEX(DATAS,AA2268+1)),INDEX(DATAS,AA2268+1)),"")</f>
        <v/>
      </c>
    </row>
    <row r="2269" customFormat="false" ht="15" hidden="false" customHeight="false" outlineLevel="0" collapsed="false">
      <c r="A2269" s="51" t="n">
        <v>46309</v>
      </c>
      <c r="B2269" s="0" t="n">
        <v>8</v>
      </c>
      <c r="C2269" s="0" t="n">
        <v>6557</v>
      </c>
      <c r="E2269" s="0" t="n">
        <v>0</v>
      </c>
      <c r="F2269" s="46" t="s">
        <v>1235</v>
      </c>
      <c r="I2269" s="46" t="s">
        <v>152</v>
      </c>
      <c r="L2269" s="0" t="n">
        <v>93</v>
      </c>
      <c r="U2269" s="0" t="n">
        <v>516</v>
      </c>
      <c r="V2269" s="0" t="n">
        <v>1</v>
      </c>
      <c r="W2269" s="51" t="n">
        <v>46217</v>
      </c>
      <c r="X2269" s="46" t="n">
        <f aca="false">IF(I2269="Male",0,1)</f>
        <v>1</v>
      </c>
      <c r="Y2269" s="46" t="n">
        <f aca="false">IF(OR(I2269="DNB",I2269="Dry DNB"),1,0)</f>
        <v>0</v>
      </c>
      <c r="Z2269" s="46" t="n">
        <f aca="false">IF(ISNUMBER(W2269),A2269-W2269,"")</f>
        <v>92</v>
      </c>
      <c r="AA2269" s="46" t="n">
        <f aca="false">MATCH(A2269,DATAS,0)</f>
        <v>1</v>
      </c>
      <c r="AB2269" s="46" t="n">
        <f aca="false">IF(AND(E2269&gt;0,OR(AND(B2269&gt;=1,B2269&lt;=6),B2269=10)),1,0)</f>
        <v>0</v>
      </c>
      <c r="AC2269" s="46" t="n">
        <f aca="false">IF(AND(E2269&gt;0,B2269=10),1,0)</f>
        <v>0</v>
      </c>
      <c r="AD2269" s="0" t="str">
        <f aca="false">IF(AND(C2268=C2269,AA2268=AA2269-1),AB2268,"")</f>
        <v/>
      </c>
      <c r="AE2269" s="0" t="str">
        <f aca="false">IF(AND(C2268=C2269,AA2268=AA2269-1),AC2268,"")</f>
        <v/>
      </c>
      <c r="AF2269" s="0" t="str">
        <f aca="false">IF(AA2269=1,"",IF(AND(AB2269=1,AD2269&lt;&gt;1),1,0))</f>
        <v/>
      </c>
      <c r="AG2269" s="0" t="str">
        <f aca="false">IF(AA2269=1,"",IF(AND(AC2269=1,AE2269&lt;&gt;1),1,0))</f>
        <v/>
      </c>
      <c r="AH2269" s="51" t="str">
        <f aca="false">IF(AND(E2269&gt;0,AA2269&lt;1,NOT(AND(C2270=C2269,AA2270=AA2269+1))),INDEX(DATAS,AA2269+1),"")</f>
        <v/>
      </c>
      <c r="AI2269" s="51" t="str">
        <f aca="false">IF(AND(AC2269=1,AA2269&lt;1),IF(AND(C2270=C2269,AA2270=AA2269+1),IF(AC2270=1,"",INDEX(DATAS,AA2269+1)),INDEX(DATAS,AA2269+1)),"")</f>
        <v/>
      </c>
    </row>
    <row r="2270" customFormat="false" ht="15" hidden="false" customHeight="false" outlineLevel="0" collapsed="false">
      <c r="A2270" s="51" t="n">
        <v>46309</v>
      </c>
      <c r="B2270" s="0" t="n">
        <v>8</v>
      </c>
      <c r="C2270" s="0" t="n">
        <v>6558</v>
      </c>
      <c r="E2270" s="0" t="n">
        <v>0</v>
      </c>
      <c r="F2270" s="46" t="s">
        <v>1235</v>
      </c>
      <c r="I2270" s="46" t="s">
        <v>152</v>
      </c>
      <c r="L2270" s="0" t="n">
        <v>48</v>
      </c>
      <c r="U2270" s="0" t="n">
        <v>516</v>
      </c>
      <c r="V2270" s="0" t="n">
        <v>4</v>
      </c>
      <c r="W2270" s="51" t="n">
        <v>46262</v>
      </c>
      <c r="X2270" s="46" t="n">
        <f aca="false">IF(I2270="Male",0,1)</f>
        <v>1</v>
      </c>
      <c r="Y2270" s="46" t="n">
        <f aca="false">IF(OR(I2270="DNB",I2270="Dry DNB"),1,0)</f>
        <v>0</v>
      </c>
      <c r="Z2270" s="46" t="n">
        <f aca="false">IF(ISNUMBER(W2270),A2270-W2270,"")</f>
        <v>47</v>
      </c>
      <c r="AA2270" s="46" t="n">
        <f aca="false">MATCH(A2270,DATAS,0)</f>
        <v>1</v>
      </c>
      <c r="AB2270" s="46" t="n">
        <f aca="false">IF(AND(E2270&gt;0,OR(AND(B2270&gt;=1,B2270&lt;=6),B2270=10)),1,0)</f>
        <v>0</v>
      </c>
      <c r="AC2270" s="46" t="n">
        <f aca="false">IF(AND(E2270&gt;0,B2270=10),1,0)</f>
        <v>0</v>
      </c>
      <c r="AD2270" s="0" t="str">
        <f aca="false">IF(AND(C2269=C2270,AA2269=AA2270-1),AB2269,"")</f>
        <v/>
      </c>
      <c r="AE2270" s="0" t="str">
        <f aca="false">IF(AND(C2269=C2270,AA2269=AA2270-1),AC2269,"")</f>
        <v/>
      </c>
      <c r="AF2270" s="0" t="str">
        <f aca="false">IF(AA2270=1,"",IF(AND(AB2270=1,AD2270&lt;&gt;1),1,0))</f>
        <v/>
      </c>
      <c r="AG2270" s="0" t="str">
        <f aca="false">IF(AA2270=1,"",IF(AND(AC2270=1,AE2270&lt;&gt;1),1,0))</f>
        <v/>
      </c>
      <c r="AH2270" s="51" t="str">
        <f aca="false">IF(AND(E2270&gt;0,AA2270&lt;1,NOT(AND(C2271=C2270,AA2271=AA2270+1))),INDEX(DATAS,AA2270+1),"")</f>
        <v/>
      </c>
      <c r="AI2270" s="51" t="str">
        <f aca="false">IF(AND(AC2270=1,AA2270&lt;1),IF(AND(C2271=C2270,AA2271=AA2270+1),IF(AC2271=1,"",INDEX(DATAS,AA2270+1)),INDEX(DATAS,AA2270+1)),"")</f>
        <v/>
      </c>
    </row>
    <row r="2271" customFormat="false" ht="15" hidden="false" customHeight="false" outlineLevel="0" collapsed="false">
      <c r="A2271" s="51" t="n">
        <v>46309</v>
      </c>
      <c r="B2271" s="0" t="n">
        <v>8</v>
      </c>
      <c r="C2271" s="0" t="n">
        <v>6559</v>
      </c>
      <c r="E2271" s="0" t="n">
        <v>0</v>
      </c>
      <c r="F2271" s="46" t="s">
        <v>1235</v>
      </c>
      <c r="I2271" s="46" t="s">
        <v>152</v>
      </c>
      <c r="L2271" s="0" t="n">
        <v>110</v>
      </c>
      <c r="U2271" s="0" t="n">
        <v>516</v>
      </c>
      <c r="V2271" s="0" t="n">
        <v>1</v>
      </c>
      <c r="W2271" s="51" t="n">
        <v>46200</v>
      </c>
      <c r="X2271" s="46" t="n">
        <f aca="false">IF(I2271="Male",0,1)</f>
        <v>1</v>
      </c>
      <c r="Y2271" s="46" t="n">
        <f aca="false">IF(OR(I2271="DNB",I2271="Dry DNB"),1,0)</f>
        <v>0</v>
      </c>
      <c r="Z2271" s="46" t="n">
        <f aca="false">IF(ISNUMBER(W2271),A2271-W2271,"")</f>
        <v>109</v>
      </c>
      <c r="AA2271" s="46" t="n">
        <f aca="false">MATCH(A2271,DATAS,0)</f>
        <v>1</v>
      </c>
      <c r="AB2271" s="46" t="n">
        <f aca="false">IF(AND(E2271&gt;0,OR(AND(B2271&gt;=1,B2271&lt;=6),B2271=10)),1,0)</f>
        <v>0</v>
      </c>
      <c r="AC2271" s="46" t="n">
        <f aca="false">IF(AND(E2271&gt;0,B2271=10),1,0)</f>
        <v>0</v>
      </c>
      <c r="AD2271" s="0" t="str">
        <f aca="false">IF(AND(C2270=C2271,AA2270=AA2271-1),AB2270,"")</f>
        <v/>
      </c>
      <c r="AE2271" s="0" t="str">
        <f aca="false">IF(AND(C2270=C2271,AA2270=AA2271-1),AC2270,"")</f>
        <v/>
      </c>
      <c r="AF2271" s="0" t="str">
        <f aca="false">IF(AA2271=1,"",IF(AND(AB2271=1,AD2271&lt;&gt;1),1,0))</f>
        <v/>
      </c>
      <c r="AG2271" s="0" t="str">
        <f aca="false">IF(AA2271=1,"",IF(AND(AC2271=1,AE2271&lt;&gt;1),1,0))</f>
        <v/>
      </c>
      <c r="AH2271" s="51" t="str">
        <f aca="false">IF(AND(E2271&gt;0,AA2271&lt;1,NOT(AND(C2272=C2271,AA2272=AA2271+1))),INDEX(DATAS,AA2271+1),"")</f>
        <v/>
      </c>
      <c r="AI2271" s="51" t="str">
        <f aca="false">IF(AND(AC2271=1,AA2271&lt;1),IF(AND(C2272=C2271,AA2272=AA2271+1),IF(AC2272=1,"",INDEX(DATAS,AA2271+1)),INDEX(DATAS,AA2271+1)),"")</f>
        <v/>
      </c>
    </row>
    <row r="2272" customFormat="false" ht="15" hidden="false" customHeight="false" outlineLevel="0" collapsed="false">
      <c r="A2272" s="51" t="n">
        <v>46309</v>
      </c>
      <c r="B2272" s="0" t="n">
        <v>8</v>
      </c>
      <c r="C2272" s="0" t="n">
        <v>6560</v>
      </c>
      <c r="E2272" s="0" t="n">
        <v>0</v>
      </c>
      <c r="F2272" s="46" t="s">
        <v>1236</v>
      </c>
      <c r="I2272" s="46" t="s">
        <v>152</v>
      </c>
      <c r="L2272" s="0" t="n">
        <v>122</v>
      </c>
      <c r="U2272" s="0" t="n">
        <v>515</v>
      </c>
      <c r="V2272" s="0" t="n">
        <v>1</v>
      </c>
      <c r="W2272" s="51" t="n">
        <v>46188</v>
      </c>
      <c r="X2272" s="46" t="n">
        <f aca="false">IF(I2272="Male",0,1)</f>
        <v>1</v>
      </c>
      <c r="Y2272" s="46" t="n">
        <f aca="false">IF(OR(I2272="DNB",I2272="Dry DNB"),1,0)</f>
        <v>0</v>
      </c>
      <c r="Z2272" s="46" t="n">
        <f aca="false">IF(ISNUMBER(W2272),A2272-W2272,"")</f>
        <v>121</v>
      </c>
      <c r="AA2272" s="46" t="n">
        <f aca="false">MATCH(A2272,DATAS,0)</f>
        <v>1</v>
      </c>
      <c r="AB2272" s="46" t="n">
        <f aca="false">IF(AND(E2272&gt;0,OR(AND(B2272&gt;=1,B2272&lt;=6),B2272=10)),1,0)</f>
        <v>0</v>
      </c>
      <c r="AC2272" s="46" t="n">
        <f aca="false">IF(AND(E2272&gt;0,B2272=10),1,0)</f>
        <v>0</v>
      </c>
      <c r="AD2272" s="0" t="str">
        <f aca="false">IF(AND(C2271=C2272,AA2271=AA2272-1),AB2271,"")</f>
        <v/>
      </c>
      <c r="AE2272" s="0" t="str">
        <f aca="false">IF(AND(C2271=C2272,AA2271=AA2272-1),AC2271,"")</f>
        <v/>
      </c>
      <c r="AF2272" s="0" t="str">
        <f aca="false">IF(AA2272=1,"",IF(AND(AB2272=1,AD2272&lt;&gt;1),1,0))</f>
        <v/>
      </c>
      <c r="AG2272" s="0" t="str">
        <f aca="false">IF(AA2272=1,"",IF(AND(AC2272=1,AE2272&lt;&gt;1),1,0))</f>
        <v/>
      </c>
      <c r="AH2272" s="51" t="str">
        <f aca="false">IF(AND(E2272&gt;0,AA2272&lt;1,NOT(AND(C2273=C2272,AA2273=AA2272+1))),INDEX(DATAS,AA2272+1),"")</f>
        <v/>
      </c>
      <c r="AI2272" s="51" t="str">
        <f aca="false">IF(AND(AC2272=1,AA2272&lt;1),IF(AND(C2273=C2272,AA2273=AA2272+1),IF(AC2273=1,"",INDEX(DATAS,AA2272+1)),INDEX(DATAS,AA2272+1)),"")</f>
        <v/>
      </c>
    </row>
    <row r="2273" customFormat="false" ht="15" hidden="false" customHeight="false" outlineLevel="0" collapsed="false">
      <c r="A2273" s="51" t="n">
        <v>46309</v>
      </c>
      <c r="B2273" s="0" t="n">
        <v>8</v>
      </c>
      <c r="C2273" s="0" t="n">
        <v>6561</v>
      </c>
      <c r="E2273" s="0" t="n">
        <v>0</v>
      </c>
      <c r="F2273" s="46" t="s">
        <v>1236</v>
      </c>
      <c r="I2273" s="46" t="s">
        <v>152</v>
      </c>
      <c r="L2273" s="0" t="n">
        <v>93</v>
      </c>
      <c r="U2273" s="0" t="n">
        <v>515</v>
      </c>
      <c r="V2273" s="0" t="n">
        <v>2</v>
      </c>
      <c r="W2273" s="51" t="n">
        <v>46217</v>
      </c>
      <c r="X2273" s="46" t="n">
        <f aca="false">IF(I2273="Male",0,1)</f>
        <v>1</v>
      </c>
      <c r="Y2273" s="46" t="n">
        <f aca="false">IF(OR(I2273="DNB",I2273="Dry DNB"),1,0)</f>
        <v>0</v>
      </c>
      <c r="Z2273" s="46" t="n">
        <f aca="false">IF(ISNUMBER(W2273),A2273-W2273,"")</f>
        <v>92</v>
      </c>
      <c r="AA2273" s="46" t="n">
        <f aca="false">MATCH(A2273,DATAS,0)</f>
        <v>1</v>
      </c>
      <c r="AB2273" s="46" t="n">
        <f aca="false">IF(AND(E2273&gt;0,OR(AND(B2273&gt;=1,B2273&lt;=6),B2273=10)),1,0)</f>
        <v>0</v>
      </c>
      <c r="AC2273" s="46" t="n">
        <f aca="false">IF(AND(E2273&gt;0,B2273=10),1,0)</f>
        <v>0</v>
      </c>
      <c r="AD2273" s="0" t="str">
        <f aca="false">IF(AND(C2272=C2273,AA2272=AA2273-1),AB2272,"")</f>
        <v/>
      </c>
      <c r="AE2273" s="0" t="str">
        <f aca="false">IF(AND(C2272=C2273,AA2272=AA2273-1),AC2272,"")</f>
        <v/>
      </c>
      <c r="AF2273" s="0" t="str">
        <f aca="false">IF(AA2273=1,"",IF(AND(AB2273=1,AD2273&lt;&gt;1),1,0))</f>
        <v/>
      </c>
      <c r="AG2273" s="0" t="str">
        <f aca="false">IF(AA2273=1,"",IF(AND(AC2273=1,AE2273&lt;&gt;1),1,0))</f>
        <v/>
      </c>
      <c r="AH2273" s="51" t="str">
        <f aca="false">IF(AND(E2273&gt;0,AA2273&lt;1,NOT(AND(C2274=C2273,AA2274=AA2273+1))),INDEX(DATAS,AA2273+1),"")</f>
        <v/>
      </c>
      <c r="AI2273" s="51" t="str">
        <f aca="false">IF(AND(AC2273=1,AA2273&lt;1),IF(AND(C2274=C2273,AA2274=AA2273+1),IF(AC2274=1,"",INDEX(DATAS,AA2273+1)),INDEX(DATAS,AA2273+1)),"")</f>
        <v/>
      </c>
    </row>
    <row r="2274" customFormat="false" ht="15" hidden="false" customHeight="false" outlineLevel="0" collapsed="false">
      <c r="A2274" s="51" t="n">
        <v>46309</v>
      </c>
      <c r="B2274" s="0" t="n">
        <v>11</v>
      </c>
      <c r="C2274" s="0" t="n">
        <v>6562</v>
      </c>
      <c r="E2274" s="0" t="n">
        <v>0</v>
      </c>
      <c r="F2274" s="46" t="s">
        <v>1236</v>
      </c>
      <c r="I2274" s="46" t="s">
        <v>181</v>
      </c>
      <c r="U2274" s="0" t="n">
        <v>515</v>
      </c>
      <c r="V2274" s="0" t="n">
        <v>4</v>
      </c>
      <c r="W2274" s="51" t="n">
        <v>46300</v>
      </c>
      <c r="X2274" s="46" t="n">
        <f aca="false">IF(I2274="Male",0,1)</f>
        <v>1</v>
      </c>
      <c r="Y2274" s="46" t="n">
        <f aca="false">IF(OR(I2274="DNB",I2274="Dry DNB"),1,0)</f>
        <v>0</v>
      </c>
      <c r="Z2274" s="46" t="n">
        <f aca="false">IF(ISNUMBER(W2274),A2274-W2274,"")</f>
        <v>9</v>
      </c>
      <c r="AA2274" s="46" t="n">
        <f aca="false">MATCH(A2274,DATAS,0)</f>
        <v>1</v>
      </c>
      <c r="AB2274" s="46" t="n">
        <f aca="false">IF(AND(E2274&gt;0,OR(AND(B2274&gt;=1,B2274&lt;=6),B2274=10)),1,0)</f>
        <v>0</v>
      </c>
      <c r="AC2274" s="46" t="n">
        <f aca="false">IF(AND(E2274&gt;0,B2274=10),1,0)</f>
        <v>0</v>
      </c>
      <c r="AD2274" s="0" t="str">
        <f aca="false">IF(AND(C2273=C2274,AA2273=AA2274-1),AB2273,"")</f>
        <v/>
      </c>
      <c r="AE2274" s="0" t="str">
        <f aca="false">IF(AND(C2273=C2274,AA2273=AA2274-1),AC2273,"")</f>
        <v/>
      </c>
      <c r="AF2274" s="0" t="str">
        <f aca="false">IF(AA2274=1,"",IF(AND(AB2274=1,AD2274&lt;&gt;1),1,0))</f>
        <v/>
      </c>
      <c r="AG2274" s="0" t="str">
        <f aca="false">IF(AA2274=1,"",IF(AND(AC2274=1,AE2274&lt;&gt;1),1,0))</f>
        <v/>
      </c>
      <c r="AH2274" s="51" t="str">
        <f aca="false">IF(AND(E2274&gt;0,AA2274&lt;1,NOT(AND(C2275=C2274,AA2275=AA2274+1))),INDEX(DATAS,AA2274+1),"")</f>
        <v/>
      </c>
      <c r="AI2274" s="51" t="str">
        <f aca="false">IF(AND(AC2274=1,AA2274&lt;1),IF(AND(C2275=C2274,AA2275=AA2274+1),IF(AC2275=1,"",INDEX(DATAS,AA2274+1)),INDEX(DATAS,AA2274+1)),"")</f>
        <v/>
      </c>
    </row>
    <row r="2275" customFormat="false" ht="15" hidden="false" customHeight="false" outlineLevel="0" collapsed="false">
      <c r="A2275" s="51" t="n">
        <v>46309</v>
      </c>
      <c r="B2275" s="0" t="n">
        <v>8</v>
      </c>
      <c r="C2275" s="0" t="n">
        <v>6563</v>
      </c>
      <c r="E2275" s="0" t="n">
        <v>0</v>
      </c>
      <c r="F2275" s="46" t="s">
        <v>1236</v>
      </c>
      <c r="I2275" s="46" t="s">
        <v>152</v>
      </c>
      <c r="L2275" s="0" t="n">
        <v>95</v>
      </c>
      <c r="U2275" s="0" t="n">
        <v>515</v>
      </c>
      <c r="V2275" s="0" t="n">
        <v>2</v>
      </c>
      <c r="W2275" s="51" t="n">
        <v>46215</v>
      </c>
      <c r="X2275" s="46" t="n">
        <f aca="false">IF(I2275="Male",0,1)</f>
        <v>1</v>
      </c>
      <c r="Y2275" s="46" t="n">
        <f aca="false">IF(OR(I2275="DNB",I2275="Dry DNB"),1,0)</f>
        <v>0</v>
      </c>
      <c r="Z2275" s="46" t="n">
        <f aca="false">IF(ISNUMBER(W2275),A2275-W2275,"")</f>
        <v>94</v>
      </c>
      <c r="AA2275" s="46" t="n">
        <f aca="false">MATCH(A2275,DATAS,0)</f>
        <v>1</v>
      </c>
      <c r="AB2275" s="46" t="n">
        <f aca="false">IF(AND(E2275&gt;0,OR(AND(B2275&gt;=1,B2275&lt;=6),B2275=10)),1,0)</f>
        <v>0</v>
      </c>
      <c r="AC2275" s="46" t="n">
        <f aca="false">IF(AND(E2275&gt;0,B2275=10),1,0)</f>
        <v>0</v>
      </c>
      <c r="AD2275" s="0" t="str">
        <f aca="false">IF(AND(C2274=C2275,AA2274=AA2275-1),AB2274,"")</f>
        <v/>
      </c>
      <c r="AE2275" s="0" t="str">
        <f aca="false">IF(AND(C2274=C2275,AA2274=AA2275-1),AC2274,"")</f>
        <v/>
      </c>
      <c r="AF2275" s="0" t="str">
        <f aca="false">IF(AA2275=1,"",IF(AND(AB2275=1,AD2275&lt;&gt;1),1,0))</f>
        <v/>
      </c>
      <c r="AG2275" s="0" t="str">
        <f aca="false">IF(AA2275=1,"",IF(AND(AC2275=1,AE2275&lt;&gt;1),1,0))</f>
        <v/>
      </c>
      <c r="AH2275" s="51" t="str">
        <f aca="false">IF(AND(E2275&gt;0,AA2275&lt;1,NOT(AND(C2276=C2275,AA2276=AA2275+1))),INDEX(DATAS,AA2275+1),"")</f>
        <v/>
      </c>
      <c r="AI2275" s="51" t="str">
        <f aca="false">IF(AND(AC2275=1,AA2275&lt;1),IF(AND(C2276=C2275,AA2276=AA2275+1),IF(AC2276=1,"",INDEX(DATAS,AA2275+1)),INDEX(DATAS,AA2275+1)),"")</f>
        <v/>
      </c>
    </row>
    <row r="2276" customFormat="false" ht="15" hidden="false" customHeight="false" outlineLevel="0" collapsed="false">
      <c r="A2276" s="51" t="n">
        <v>46309</v>
      </c>
      <c r="B2276" s="0" t="n">
        <v>8</v>
      </c>
      <c r="C2276" s="0" t="n">
        <v>6564</v>
      </c>
      <c r="E2276" s="0" t="n">
        <v>0</v>
      </c>
      <c r="F2276" s="46" t="s">
        <v>1237</v>
      </c>
      <c r="I2276" s="46" t="s">
        <v>152</v>
      </c>
      <c r="L2276" s="0" t="n">
        <v>69</v>
      </c>
      <c r="U2276" s="0" t="n">
        <v>514</v>
      </c>
      <c r="V2276" s="0" t="n">
        <v>3</v>
      </c>
      <c r="W2276" s="51" t="n">
        <v>46241</v>
      </c>
      <c r="X2276" s="46" t="n">
        <f aca="false">IF(I2276="Male",0,1)</f>
        <v>1</v>
      </c>
      <c r="Y2276" s="46" t="n">
        <f aca="false">IF(OR(I2276="DNB",I2276="Dry DNB"),1,0)</f>
        <v>0</v>
      </c>
      <c r="Z2276" s="46" t="n">
        <f aca="false">IF(ISNUMBER(W2276),A2276-W2276,"")</f>
        <v>68</v>
      </c>
      <c r="AA2276" s="46" t="n">
        <f aca="false">MATCH(A2276,DATAS,0)</f>
        <v>1</v>
      </c>
      <c r="AB2276" s="46" t="n">
        <f aca="false">IF(AND(E2276&gt;0,OR(AND(B2276&gt;=1,B2276&lt;=6),B2276=10)),1,0)</f>
        <v>0</v>
      </c>
      <c r="AC2276" s="46" t="n">
        <f aca="false">IF(AND(E2276&gt;0,B2276=10),1,0)</f>
        <v>0</v>
      </c>
      <c r="AD2276" s="0" t="str">
        <f aca="false">IF(AND(C2275=C2276,AA2275=AA2276-1),AB2275,"")</f>
        <v/>
      </c>
      <c r="AE2276" s="0" t="str">
        <f aca="false">IF(AND(C2275=C2276,AA2275=AA2276-1),AC2275,"")</f>
        <v/>
      </c>
      <c r="AF2276" s="0" t="str">
        <f aca="false">IF(AA2276=1,"",IF(AND(AB2276=1,AD2276&lt;&gt;1),1,0))</f>
        <v/>
      </c>
      <c r="AG2276" s="0" t="str">
        <f aca="false">IF(AA2276=1,"",IF(AND(AC2276=1,AE2276&lt;&gt;1),1,0))</f>
        <v/>
      </c>
      <c r="AH2276" s="51" t="str">
        <f aca="false">IF(AND(E2276&gt;0,AA2276&lt;1,NOT(AND(C2277=C2276,AA2277=AA2276+1))),INDEX(DATAS,AA2276+1),"")</f>
        <v/>
      </c>
      <c r="AI2276" s="51" t="str">
        <f aca="false">IF(AND(AC2276=1,AA2276&lt;1),IF(AND(C2277=C2276,AA2277=AA2276+1),IF(AC2277=1,"",INDEX(DATAS,AA2276+1)),INDEX(DATAS,AA2276+1)),"")</f>
        <v/>
      </c>
    </row>
    <row r="2277" customFormat="false" ht="15" hidden="false" customHeight="false" outlineLevel="0" collapsed="false">
      <c r="A2277" s="51" t="n">
        <v>46309</v>
      </c>
      <c r="B2277" s="0" t="n">
        <v>11</v>
      </c>
      <c r="C2277" s="0" t="n">
        <v>6565</v>
      </c>
      <c r="E2277" s="0" t="n">
        <v>0</v>
      </c>
      <c r="F2277" s="46" t="s">
        <v>1237</v>
      </c>
      <c r="I2277" s="46" t="s">
        <v>181</v>
      </c>
      <c r="U2277" s="0" t="n">
        <v>514</v>
      </c>
      <c r="V2277" s="0" t="n">
        <v>4</v>
      </c>
      <c r="W2277" s="51" t="n">
        <v>46289</v>
      </c>
      <c r="X2277" s="46" t="n">
        <f aca="false">IF(I2277="Male",0,1)</f>
        <v>1</v>
      </c>
      <c r="Y2277" s="46" t="n">
        <f aca="false">IF(OR(I2277="DNB",I2277="Dry DNB"),1,0)</f>
        <v>0</v>
      </c>
      <c r="Z2277" s="46" t="n">
        <f aca="false">IF(ISNUMBER(W2277),A2277-W2277,"")</f>
        <v>20</v>
      </c>
      <c r="AA2277" s="46" t="n">
        <f aca="false">MATCH(A2277,DATAS,0)</f>
        <v>1</v>
      </c>
      <c r="AB2277" s="46" t="n">
        <f aca="false">IF(AND(E2277&gt;0,OR(AND(B2277&gt;=1,B2277&lt;=6),B2277=10)),1,0)</f>
        <v>0</v>
      </c>
      <c r="AC2277" s="46" t="n">
        <f aca="false">IF(AND(E2277&gt;0,B2277=10),1,0)</f>
        <v>0</v>
      </c>
      <c r="AD2277" s="0" t="str">
        <f aca="false">IF(AND(C2276=C2277,AA2276=AA2277-1),AB2276,"")</f>
        <v/>
      </c>
      <c r="AE2277" s="0" t="str">
        <f aca="false">IF(AND(C2276=C2277,AA2276=AA2277-1),AC2276,"")</f>
        <v/>
      </c>
      <c r="AF2277" s="0" t="str">
        <f aca="false">IF(AA2277=1,"",IF(AND(AB2277=1,AD2277&lt;&gt;1),1,0))</f>
        <v/>
      </c>
      <c r="AG2277" s="0" t="str">
        <f aca="false">IF(AA2277=1,"",IF(AND(AC2277=1,AE2277&lt;&gt;1),1,0))</f>
        <v/>
      </c>
      <c r="AH2277" s="51" t="str">
        <f aca="false">IF(AND(E2277&gt;0,AA2277&lt;1,NOT(AND(C2278=C2277,AA2278=AA2277+1))),INDEX(DATAS,AA2277+1),"")</f>
        <v/>
      </c>
      <c r="AI2277" s="51" t="str">
        <f aca="false">IF(AND(AC2277=1,AA2277&lt;1),IF(AND(C2278=C2277,AA2278=AA2277+1),IF(AC2278=1,"",INDEX(DATAS,AA2277+1)),INDEX(DATAS,AA2277+1)),"")</f>
        <v/>
      </c>
    </row>
    <row r="2278" customFormat="false" ht="15" hidden="false" customHeight="false" outlineLevel="0" collapsed="false">
      <c r="A2278" s="51" t="n">
        <v>46309</v>
      </c>
      <c r="B2278" s="0" t="n">
        <v>8</v>
      </c>
      <c r="C2278" s="0" t="n">
        <v>6566</v>
      </c>
      <c r="E2278" s="0" t="n">
        <v>0</v>
      </c>
      <c r="F2278" s="46" t="s">
        <v>1237</v>
      </c>
      <c r="I2278" s="46" t="s">
        <v>152</v>
      </c>
      <c r="L2278" s="0" t="n">
        <v>110</v>
      </c>
      <c r="U2278" s="0" t="n">
        <v>514</v>
      </c>
      <c r="V2278" s="0" t="n">
        <v>1</v>
      </c>
      <c r="W2278" s="51" t="n">
        <v>46200</v>
      </c>
      <c r="X2278" s="46" t="n">
        <f aca="false">IF(I2278="Male",0,1)</f>
        <v>1</v>
      </c>
      <c r="Y2278" s="46" t="n">
        <f aca="false">IF(OR(I2278="DNB",I2278="Dry DNB"),1,0)</f>
        <v>0</v>
      </c>
      <c r="Z2278" s="46" t="n">
        <f aca="false">IF(ISNUMBER(W2278),A2278-W2278,"")</f>
        <v>109</v>
      </c>
      <c r="AA2278" s="46" t="n">
        <f aca="false">MATCH(A2278,DATAS,0)</f>
        <v>1</v>
      </c>
      <c r="AB2278" s="46" t="n">
        <f aca="false">IF(AND(E2278&gt;0,OR(AND(B2278&gt;=1,B2278&lt;=6),B2278=10)),1,0)</f>
        <v>0</v>
      </c>
      <c r="AC2278" s="46" t="n">
        <f aca="false">IF(AND(E2278&gt;0,B2278=10),1,0)</f>
        <v>0</v>
      </c>
      <c r="AD2278" s="0" t="str">
        <f aca="false">IF(AND(C2277=C2278,AA2277=AA2278-1),AB2277,"")</f>
        <v/>
      </c>
      <c r="AE2278" s="0" t="str">
        <f aca="false">IF(AND(C2277=C2278,AA2277=AA2278-1),AC2277,"")</f>
        <v/>
      </c>
      <c r="AF2278" s="0" t="str">
        <f aca="false">IF(AA2278=1,"",IF(AND(AB2278=1,AD2278&lt;&gt;1),1,0))</f>
        <v/>
      </c>
      <c r="AG2278" s="0" t="str">
        <f aca="false">IF(AA2278=1,"",IF(AND(AC2278=1,AE2278&lt;&gt;1),1,0))</f>
        <v/>
      </c>
      <c r="AH2278" s="51" t="str">
        <f aca="false">IF(AND(E2278&gt;0,AA2278&lt;1,NOT(AND(C2279=C2278,AA2279=AA2278+1))),INDEX(DATAS,AA2278+1),"")</f>
        <v/>
      </c>
      <c r="AI2278" s="51" t="str">
        <f aca="false">IF(AND(AC2278=1,AA2278&lt;1),IF(AND(C2279=C2278,AA2279=AA2278+1),IF(AC2279=1,"",INDEX(DATAS,AA2278+1)),INDEX(DATAS,AA2278+1)),"")</f>
        <v/>
      </c>
    </row>
    <row r="2279" customFormat="false" ht="15" hidden="false" customHeight="false" outlineLevel="0" collapsed="false">
      <c r="A2279" s="51" t="n">
        <v>46309</v>
      </c>
      <c r="B2279" s="0" t="n">
        <v>8</v>
      </c>
      <c r="C2279" s="0" t="n">
        <v>6567</v>
      </c>
      <c r="E2279" s="0" t="n">
        <v>0</v>
      </c>
      <c r="F2279" s="46" t="s">
        <v>1237</v>
      </c>
      <c r="I2279" s="46" t="s">
        <v>152</v>
      </c>
      <c r="L2279" s="0" t="n">
        <v>49</v>
      </c>
      <c r="U2279" s="0" t="n">
        <v>514</v>
      </c>
      <c r="V2279" s="0" t="n">
        <v>2</v>
      </c>
      <c r="W2279" s="51" t="n">
        <v>46261</v>
      </c>
      <c r="X2279" s="46" t="n">
        <f aca="false">IF(I2279="Male",0,1)</f>
        <v>1</v>
      </c>
      <c r="Y2279" s="46" t="n">
        <f aca="false">IF(OR(I2279="DNB",I2279="Dry DNB"),1,0)</f>
        <v>0</v>
      </c>
      <c r="Z2279" s="46" t="n">
        <f aca="false">IF(ISNUMBER(W2279),A2279-W2279,"")</f>
        <v>48</v>
      </c>
      <c r="AA2279" s="46" t="n">
        <f aca="false">MATCH(A2279,DATAS,0)</f>
        <v>1</v>
      </c>
      <c r="AB2279" s="46" t="n">
        <f aca="false">IF(AND(E2279&gt;0,OR(AND(B2279&gt;=1,B2279&lt;=6),B2279=10)),1,0)</f>
        <v>0</v>
      </c>
      <c r="AC2279" s="46" t="n">
        <f aca="false">IF(AND(E2279&gt;0,B2279=10),1,0)</f>
        <v>0</v>
      </c>
      <c r="AD2279" s="0" t="str">
        <f aca="false">IF(AND(C2278=C2279,AA2278=AA2279-1),AB2278,"")</f>
        <v/>
      </c>
      <c r="AE2279" s="0" t="str">
        <f aca="false">IF(AND(C2278=C2279,AA2278=AA2279-1),AC2278,"")</f>
        <v/>
      </c>
      <c r="AF2279" s="0" t="str">
        <f aca="false">IF(AA2279=1,"",IF(AND(AB2279=1,AD2279&lt;&gt;1),1,0))</f>
        <v/>
      </c>
      <c r="AG2279" s="0" t="str">
        <f aca="false">IF(AA2279=1,"",IF(AND(AC2279=1,AE2279&lt;&gt;1),1,0))</f>
        <v/>
      </c>
      <c r="AH2279" s="51" t="str">
        <f aca="false">IF(AND(E2279&gt;0,AA2279&lt;1,NOT(AND(C2280=C2279,AA2280=AA2279+1))),INDEX(DATAS,AA2279+1),"")</f>
        <v/>
      </c>
      <c r="AI2279" s="51" t="str">
        <f aca="false">IF(AND(AC2279=1,AA2279&lt;1),IF(AND(C2280=C2279,AA2280=AA2279+1),IF(AC2280=1,"",INDEX(DATAS,AA2279+1)),INDEX(DATAS,AA2279+1)),"")</f>
        <v/>
      </c>
    </row>
    <row r="2280" customFormat="false" ht="15" hidden="false" customHeight="false" outlineLevel="0" collapsed="false">
      <c r="A2280" s="51" t="n">
        <v>46309</v>
      </c>
      <c r="B2280" s="0" t="n">
        <v>8</v>
      </c>
      <c r="C2280" s="0" t="n">
        <v>6568</v>
      </c>
      <c r="E2280" s="0" t="n">
        <v>0</v>
      </c>
      <c r="F2280" s="46" t="s">
        <v>1237</v>
      </c>
      <c r="I2280" s="46" t="s">
        <v>152</v>
      </c>
      <c r="L2280" s="0" t="n">
        <v>28</v>
      </c>
      <c r="U2280" s="0" t="n">
        <v>514</v>
      </c>
      <c r="V2280" s="0" t="n">
        <v>1</v>
      </c>
      <c r="W2280" s="51" t="n">
        <v>46282</v>
      </c>
      <c r="X2280" s="46" t="n">
        <f aca="false">IF(I2280="Male",0,1)</f>
        <v>1</v>
      </c>
      <c r="Y2280" s="46" t="n">
        <f aca="false">IF(OR(I2280="DNB",I2280="Dry DNB"),1,0)</f>
        <v>0</v>
      </c>
      <c r="Z2280" s="46" t="n">
        <f aca="false">IF(ISNUMBER(W2280),A2280-W2280,"")</f>
        <v>27</v>
      </c>
      <c r="AA2280" s="46" t="n">
        <f aca="false">MATCH(A2280,DATAS,0)</f>
        <v>1</v>
      </c>
      <c r="AB2280" s="46" t="n">
        <f aca="false">IF(AND(E2280&gt;0,OR(AND(B2280&gt;=1,B2280&lt;=6),B2280=10)),1,0)</f>
        <v>0</v>
      </c>
      <c r="AC2280" s="46" t="n">
        <f aca="false">IF(AND(E2280&gt;0,B2280=10),1,0)</f>
        <v>0</v>
      </c>
      <c r="AD2280" s="0" t="str">
        <f aca="false">IF(AND(C2279=C2280,AA2279=AA2280-1),AB2279,"")</f>
        <v/>
      </c>
      <c r="AE2280" s="0" t="str">
        <f aca="false">IF(AND(C2279=C2280,AA2279=AA2280-1),AC2279,"")</f>
        <v/>
      </c>
      <c r="AF2280" s="0" t="str">
        <f aca="false">IF(AA2280=1,"",IF(AND(AB2280=1,AD2280&lt;&gt;1),1,0))</f>
        <v/>
      </c>
      <c r="AG2280" s="0" t="str">
        <f aca="false">IF(AA2280=1,"",IF(AND(AC2280=1,AE2280&lt;&gt;1),1,0))</f>
        <v/>
      </c>
      <c r="AH2280" s="51" t="str">
        <f aca="false">IF(AND(E2280&gt;0,AA2280&lt;1,NOT(AND(C2281=C2280,AA2281=AA2280+1))),INDEX(DATAS,AA2280+1),"")</f>
        <v/>
      </c>
      <c r="AI2280" s="51" t="str">
        <f aca="false">IF(AND(AC2280=1,AA2280&lt;1),IF(AND(C2281=C2280,AA2281=AA2280+1),IF(AC2281=1,"",INDEX(DATAS,AA2280+1)),INDEX(DATAS,AA2280+1)),"")</f>
        <v/>
      </c>
    </row>
    <row r="2281" customFormat="false" ht="15" hidden="false" customHeight="false" outlineLevel="0" collapsed="false">
      <c r="A2281" s="51" t="n">
        <v>46309</v>
      </c>
      <c r="B2281" s="0" t="n">
        <v>11</v>
      </c>
      <c r="C2281" s="0" t="n">
        <v>6569</v>
      </c>
      <c r="E2281" s="0" t="n">
        <v>0</v>
      </c>
      <c r="F2281" s="46" t="s">
        <v>1237</v>
      </c>
      <c r="I2281" s="46" t="s">
        <v>181</v>
      </c>
      <c r="U2281" s="0" t="n">
        <v>514</v>
      </c>
      <c r="V2281" s="0" t="n">
        <v>5</v>
      </c>
      <c r="W2281" s="51" t="n">
        <v>46296</v>
      </c>
      <c r="X2281" s="46" t="n">
        <f aca="false">IF(I2281="Male",0,1)</f>
        <v>1</v>
      </c>
      <c r="Y2281" s="46" t="n">
        <f aca="false">IF(OR(I2281="DNB",I2281="Dry DNB"),1,0)</f>
        <v>0</v>
      </c>
      <c r="Z2281" s="46" t="n">
        <f aca="false">IF(ISNUMBER(W2281),A2281-W2281,"")</f>
        <v>13</v>
      </c>
      <c r="AA2281" s="46" t="n">
        <f aca="false">MATCH(A2281,DATAS,0)</f>
        <v>1</v>
      </c>
      <c r="AB2281" s="46" t="n">
        <f aca="false">IF(AND(E2281&gt;0,OR(AND(B2281&gt;=1,B2281&lt;=6),B2281=10)),1,0)</f>
        <v>0</v>
      </c>
      <c r="AC2281" s="46" t="n">
        <f aca="false">IF(AND(E2281&gt;0,B2281=10),1,0)</f>
        <v>0</v>
      </c>
      <c r="AD2281" s="0" t="str">
        <f aca="false">IF(AND(C2280=C2281,AA2280=AA2281-1),AB2280,"")</f>
        <v/>
      </c>
      <c r="AE2281" s="0" t="str">
        <f aca="false">IF(AND(C2280=C2281,AA2280=AA2281-1),AC2280,"")</f>
        <v/>
      </c>
      <c r="AF2281" s="0" t="str">
        <f aca="false">IF(AA2281=1,"",IF(AND(AB2281=1,AD2281&lt;&gt;1),1,0))</f>
        <v/>
      </c>
      <c r="AG2281" s="0" t="str">
        <f aca="false">IF(AA2281=1,"",IF(AND(AC2281=1,AE2281&lt;&gt;1),1,0))</f>
        <v/>
      </c>
      <c r="AH2281" s="51" t="str">
        <f aca="false">IF(AND(E2281&gt;0,AA2281&lt;1,NOT(AND(C2282=C2281,AA2282=AA2281+1))),INDEX(DATAS,AA2281+1),"")</f>
        <v/>
      </c>
      <c r="AI2281" s="51" t="str">
        <f aca="false">IF(AND(AC2281=1,AA2281&lt;1),IF(AND(C2282=C2281,AA2282=AA2281+1),IF(AC2282=1,"",INDEX(DATAS,AA2281+1)),INDEX(DATAS,AA2281+1)),"")</f>
        <v/>
      </c>
    </row>
    <row r="2282" customFormat="false" ht="15" hidden="false" customHeight="false" outlineLevel="0" collapsed="false">
      <c r="A2282" s="51" t="n">
        <v>46309</v>
      </c>
      <c r="B2282" s="0" t="n">
        <v>8</v>
      </c>
      <c r="C2282" s="0" t="n">
        <v>6571</v>
      </c>
      <c r="E2282" s="0" t="n">
        <v>0</v>
      </c>
      <c r="F2282" s="46" t="s">
        <v>1238</v>
      </c>
      <c r="I2282" s="46" t="s">
        <v>152</v>
      </c>
      <c r="L2282" s="0" t="n">
        <v>42</v>
      </c>
      <c r="U2282" s="0" t="n">
        <v>513</v>
      </c>
      <c r="V2282" s="0" t="n">
        <v>2</v>
      </c>
      <c r="W2282" s="51" t="n">
        <v>46268</v>
      </c>
      <c r="X2282" s="46" t="n">
        <f aca="false">IF(I2282="Male",0,1)</f>
        <v>1</v>
      </c>
      <c r="Y2282" s="46" t="n">
        <f aca="false">IF(OR(I2282="DNB",I2282="Dry DNB"),1,0)</f>
        <v>0</v>
      </c>
      <c r="Z2282" s="46" t="n">
        <f aca="false">IF(ISNUMBER(W2282),A2282-W2282,"")</f>
        <v>41</v>
      </c>
      <c r="AA2282" s="46" t="n">
        <f aca="false">MATCH(A2282,DATAS,0)</f>
        <v>1</v>
      </c>
      <c r="AB2282" s="46" t="n">
        <f aca="false">IF(AND(E2282&gt;0,OR(AND(B2282&gt;=1,B2282&lt;=6),B2282=10)),1,0)</f>
        <v>0</v>
      </c>
      <c r="AC2282" s="46" t="n">
        <f aca="false">IF(AND(E2282&gt;0,B2282=10),1,0)</f>
        <v>0</v>
      </c>
      <c r="AD2282" s="0" t="str">
        <f aca="false">IF(AND(C2281=C2282,AA2281=AA2282-1),AB2281,"")</f>
        <v/>
      </c>
      <c r="AE2282" s="0" t="str">
        <f aca="false">IF(AND(C2281=C2282,AA2281=AA2282-1),AC2281,"")</f>
        <v/>
      </c>
      <c r="AF2282" s="0" t="str">
        <f aca="false">IF(AA2282=1,"",IF(AND(AB2282=1,AD2282&lt;&gt;1),1,0))</f>
        <v/>
      </c>
      <c r="AG2282" s="0" t="str">
        <f aca="false">IF(AA2282=1,"",IF(AND(AC2282=1,AE2282&lt;&gt;1),1,0))</f>
        <v/>
      </c>
      <c r="AH2282" s="51" t="str">
        <f aca="false">IF(AND(E2282&gt;0,AA2282&lt;1,NOT(AND(C2283=C2282,AA2283=AA2282+1))),INDEX(DATAS,AA2282+1),"")</f>
        <v/>
      </c>
      <c r="AI2282" s="51" t="str">
        <f aca="false">IF(AND(AC2282=1,AA2282&lt;1),IF(AND(C2283=C2282,AA2283=AA2282+1),IF(AC2283=1,"",INDEX(DATAS,AA2282+1)),INDEX(DATAS,AA2282+1)),"")</f>
        <v/>
      </c>
    </row>
    <row r="2283" customFormat="false" ht="15" hidden="false" customHeight="false" outlineLevel="0" collapsed="false">
      <c r="A2283" s="51" t="n">
        <v>46309</v>
      </c>
      <c r="B2283" s="0" t="n">
        <v>8</v>
      </c>
      <c r="C2283" s="0" t="n">
        <v>6572</v>
      </c>
      <c r="E2283" s="0" t="n">
        <v>0</v>
      </c>
      <c r="F2283" s="46" t="s">
        <v>1238</v>
      </c>
      <c r="I2283" s="46" t="s">
        <v>152</v>
      </c>
      <c r="L2283" s="0" t="n">
        <v>86</v>
      </c>
      <c r="U2283" s="0" t="n">
        <v>513</v>
      </c>
      <c r="V2283" s="0" t="n">
        <v>2</v>
      </c>
      <c r="W2283" s="51" t="n">
        <v>46224</v>
      </c>
      <c r="X2283" s="46" t="n">
        <f aca="false">IF(I2283="Male",0,1)</f>
        <v>1</v>
      </c>
      <c r="Y2283" s="46" t="n">
        <f aca="false">IF(OR(I2283="DNB",I2283="Dry DNB"),1,0)</f>
        <v>0</v>
      </c>
      <c r="Z2283" s="46" t="n">
        <f aca="false">IF(ISNUMBER(W2283),A2283-W2283,"")</f>
        <v>85</v>
      </c>
      <c r="AA2283" s="46" t="n">
        <f aca="false">MATCH(A2283,DATAS,0)</f>
        <v>1</v>
      </c>
      <c r="AB2283" s="46" t="n">
        <f aca="false">IF(AND(E2283&gt;0,OR(AND(B2283&gt;=1,B2283&lt;=6),B2283=10)),1,0)</f>
        <v>0</v>
      </c>
      <c r="AC2283" s="46" t="n">
        <f aca="false">IF(AND(E2283&gt;0,B2283=10),1,0)</f>
        <v>0</v>
      </c>
      <c r="AD2283" s="0" t="str">
        <f aca="false">IF(AND(C2282=C2283,AA2282=AA2283-1),AB2282,"")</f>
        <v/>
      </c>
      <c r="AE2283" s="0" t="str">
        <f aca="false">IF(AND(C2282=C2283,AA2282=AA2283-1),AC2282,"")</f>
        <v/>
      </c>
      <c r="AF2283" s="0" t="str">
        <f aca="false">IF(AA2283=1,"",IF(AND(AB2283=1,AD2283&lt;&gt;1),1,0))</f>
        <v/>
      </c>
      <c r="AG2283" s="0" t="str">
        <f aca="false">IF(AA2283=1,"",IF(AND(AC2283=1,AE2283&lt;&gt;1),1,0))</f>
        <v/>
      </c>
      <c r="AH2283" s="51" t="str">
        <f aca="false">IF(AND(E2283&gt;0,AA2283&lt;1,NOT(AND(C2284=C2283,AA2284=AA2283+1))),INDEX(DATAS,AA2283+1),"")</f>
        <v/>
      </c>
      <c r="AI2283" s="51" t="str">
        <f aca="false">IF(AND(AC2283=1,AA2283&lt;1),IF(AND(C2284=C2283,AA2284=AA2283+1),IF(AC2284=1,"",INDEX(DATAS,AA2283+1)),INDEX(DATAS,AA2283+1)),"")</f>
        <v/>
      </c>
    </row>
    <row r="2284" customFormat="false" ht="15" hidden="false" customHeight="false" outlineLevel="0" collapsed="false">
      <c r="A2284" s="51" t="n">
        <v>46309</v>
      </c>
      <c r="B2284" s="0" t="n">
        <v>8</v>
      </c>
      <c r="C2284" s="0" t="n">
        <v>6573</v>
      </c>
      <c r="E2284" s="0" t="n">
        <v>0</v>
      </c>
      <c r="F2284" s="46" t="s">
        <v>1238</v>
      </c>
      <c r="I2284" s="46" t="s">
        <v>152</v>
      </c>
      <c r="L2284" s="0" t="n">
        <v>114</v>
      </c>
      <c r="U2284" s="0" t="n">
        <v>513</v>
      </c>
      <c r="V2284" s="0" t="n">
        <v>1</v>
      </c>
      <c r="W2284" s="51" t="n">
        <v>46196</v>
      </c>
      <c r="X2284" s="46" t="n">
        <f aca="false">IF(I2284="Male",0,1)</f>
        <v>1</v>
      </c>
      <c r="Y2284" s="46" t="n">
        <f aca="false">IF(OR(I2284="DNB",I2284="Dry DNB"),1,0)</f>
        <v>0</v>
      </c>
      <c r="Z2284" s="46" t="n">
        <f aca="false">IF(ISNUMBER(W2284),A2284-W2284,"")</f>
        <v>113</v>
      </c>
      <c r="AA2284" s="46" t="n">
        <f aca="false">MATCH(A2284,DATAS,0)</f>
        <v>1</v>
      </c>
      <c r="AB2284" s="46" t="n">
        <f aca="false">IF(AND(E2284&gt;0,OR(AND(B2284&gt;=1,B2284&lt;=6),B2284=10)),1,0)</f>
        <v>0</v>
      </c>
      <c r="AC2284" s="46" t="n">
        <f aca="false">IF(AND(E2284&gt;0,B2284=10),1,0)</f>
        <v>0</v>
      </c>
      <c r="AD2284" s="0" t="str">
        <f aca="false">IF(AND(C2283=C2284,AA2283=AA2284-1),AB2283,"")</f>
        <v/>
      </c>
      <c r="AE2284" s="0" t="str">
        <f aca="false">IF(AND(C2283=C2284,AA2283=AA2284-1),AC2283,"")</f>
        <v/>
      </c>
      <c r="AF2284" s="0" t="str">
        <f aca="false">IF(AA2284=1,"",IF(AND(AB2284=1,AD2284&lt;&gt;1),1,0))</f>
        <v/>
      </c>
      <c r="AG2284" s="0" t="str">
        <f aca="false">IF(AA2284=1,"",IF(AND(AC2284=1,AE2284&lt;&gt;1),1,0))</f>
        <v/>
      </c>
      <c r="AH2284" s="51" t="str">
        <f aca="false">IF(AND(E2284&gt;0,AA2284&lt;1,NOT(AND(C2285=C2284,AA2285=AA2284+1))),INDEX(DATAS,AA2284+1),"")</f>
        <v/>
      </c>
      <c r="AI2284" s="51" t="str">
        <f aca="false">IF(AND(AC2284=1,AA2284&lt;1),IF(AND(C2285=C2284,AA2285=AA2284+1),IF(AC2285=1,"",INDEX(DATAS,AA2284+1)),INDEX(DATAS,AA2284+1)),"")</f>
        <v/>
      </c>
    </row>
    <row r="2285" customFormat="false" ht="15" hidden="false" customHeight="false" outlineLevel="0" collapsed="false">
      <c r="A2285" s="51" t="n">
        <v>46309</v>
      </c>
      <c r="B2285" s="0" t="n">
        <v>8</v>
      </c>
      <c r="C2285" s="0" t="n">
        <v>6575</v>
      </c>
      <c r="E2285" s="0" t="n">
        <v>0</v>
      </c>
      <c r="F2285" s="46" t="s">
        <v>1238</v>
      </c>
      <c r="I2285" s="46" t="s">
        <v>152</v>
      </c>
      <c r="L2285" s="0" t="n">
        <v>109</v>
      </c>
      <c r="U2285" s="0" t="n">
        <v>513</v>
      </c>
      <c r="V2285" s="0" t="n">
        <v>1</v>
      </c>
      <c r="W2285" s="51" t="n">
        <v>46201</v>
      </c>
      <c r="X2285" s="46" t="n">
        <f aca="false">IF(I2285="Male",0,1)</f>
        <v>1</v>
      </c>
      <c r="Y2285" s="46" t="n">
        <f aca="false">IF(OR(I2285="DNB",I2285="Dry DNB"),1,0)</f>
        <v>0</v>
      </c>
      <c r="Z2285" s="46" t="n">
        <f aca="false">IF(ISNUMBER(W2285),A2285-W2285,"")</f>
        <v>108</v>
      </c>
      <c r="AA2285" s="46" t="n">
        <f aca="false">MATCH(A2285,DATAS,0)</f>
        <v>1</v>
      </c>
      <c r="AB2285" s="46" t="n">
        <f aca="false">IF(AND(E2285&gt;0,OR(AND(B2285&gt;=1,B2285&lt;=6),B2285=10)),1,0)</f>
        <v>0</v>
      </c>
      <c r="AC2285" s="46" t="n">
        <f aca="false">IF(AND(E2285&gt;0,B2285=10),1,0)</f>
        <v>0</v>
      </c>
      <c r="AD2285" s="0" t="str">
        <f aca="false">IF(AND(C2284=C2285,AA2284=AA2285-1),AB2284,"")</f>
        <v/>
      </c>
      <c r="AE2285" s="0" t="str">
        <f aca="false">IF(AND(C2284=C2285,AA2284=AA2285-1),AC2284,"")</f>
        <v/>
      </c>
      <c r="AF2285" s="0" t="str">
        <f aca="false">IF(AA2285=1,"",IF(AND(AB2285=1,AD2285&lt;&gt;1),1,0))</f>
        <v/>
      </c>
      <c r="AG2285" s="0" t="str">
        <f aca="false">IF(AA2285=1,"",IF(AND(AC2285=1,AE2285&lt;&gt;1),1,0))</f>
        <v/>
      </c>
      <c r="AH2285" s="51" t="str">
        <f aca="false">IF(AND(E2285&gt;0,AA2285&lt;1,NOT(AND(C2286=C2285,AA2286=AA2285+1))),INDEX(DATAS,AA2285+1),"")</f>
        <v/>
      </c>
      <c r="AI2285" s="51" t="str">
        <f aca="false">IF(AND(AC2285=1,AA2285&lt;1),IF(AND(C2286=C2285,AA2286=AA2285+1),IF(AC2286=1,"",INDEX(DATAS,AA2285+1)),INDEX(DATAS,AA2285+1)),"")</f>
        <v/>
      </c>
    </row>
    <row r="2286" customFormat="false" ht="15" hidden="false" customHeight="false" outlineLevel="0" collapsed="false">
      <c r="A2286" s="51" t="n">
        <v>46309</v>
      </c>
      <c r="B2286" s="0" t="n">
        <v>8</v>
      </c>
      <c r="C2286" s="0" t="n">
        <v>6576</v>
      </c>
      <c r="E2286" s="0" t="n">
        <v>0</v>
      </c>
      <c r="F2286" s="46" t="s">
        <v>1239</v>
      </c>
      <c r="I2286" s="46" t="s">
        <v>152</v>
      </c>
      <c r="L2286" s="0" t="n">
        <v>91</v>
      </c>
      <c r="U2286" s="0" t="n">
        <v>511</v>
      </c>
      <c r="V2286" s="0" t="n">
        <v>1</v>
      </c>
      <c r="W2286" s="51" t="n">
        <v>46219</v>
      </c>
      <c r="X2286" s="46" t="n">
        <f aca="false">IF(I2286="Male",0,1)</f>
        <v>1</v>
      </c>
      <c r="Y2286" s="46" t="n">
        <f aca="false">IF(OR(I2286="DNB",I2286="Dry DNB"),1,0)</f>
        <v>0</v>
      </c>
      <c r="Z2286" s="46" t="n">
        <f aca="false">IF(ISNUMBER(W2286),A2286-W2286,"")</f>
        <v>90</v>
      </c>
      <c r="AA2286" s="46" t="n">
        <f aca="false">MATCH(A2286,DATAS,0)</f>
        <v>1</v>
      </c>
      <c r="AB2286" s="46" t="n">
        <f aca="false">IF(AND(E2286&gt;0,OR(AND(B2286&gt;=1,B2286&lt;=6),B2286=10)),1,0)</f>
        <v>0</v>
      </c>
      <c r="AC2286" s="46" t="n">
        <f aca="false">IF(AND(E2286&gt;0,B2286=10),1,0)</f>
        <v>0</v>
      </c>
      <c r="AD2286" s="0" t="str">
        <f aca="false">IF(AND(C2285=C2286,AA2285=AA2286-1),AB2285,"")</f>
        <v/>
      </c>
      <c r="AE2286" s="0" t="str">
        <f aca="false">IF(AND(C2285=C2286,AA2285=AA2286-1),AC2285,"")</f>
        <v/>
      </c>
      <c r="AF2286" s="0" t="str">
        <f aca="false">IF(AA2286=1,"",IF(AND(AB2286=1,AD2286&lt;&gt;1),1,0))</f>
        <v/>
      </c>
      <c r="AG2286" s="0" t="str">
        <f aca="false">IF(AA2286=1,"",IF(AND(AC2286=1,AE2286&lt;&gt;1),1,0))</f>
        <v/>
      </c>
      <c r="AH2286" s="51" t="str">
        <f aca="false">IF(AND(E2286&gt;0,AA2286&lt;1,NOT(AND(C2287=C2286,AA2287=AA2286+1))),INDEX(DATAS,AA2286+1),"")</f>
        <v/>
      </c>
      <c r="AI2286" s="51" t="str">
        <f aca="false">IF(AND(AC2286=1,AA2286&lt;1),IF(AND(C2287=C2286,AA2287=AA2286+1),IF(AC2287=1,"",INDEX(DATAS,AA2286+1)),INDEX(DATAS,AA2286+1)),"")</f>
        <v/>
      </c>
    </row>
    <row r="2287" customFormat="false" ht="15" hidden="false" customHeight="false" outlineLevel="0" collapsed="false">
      <c r="A2287" s="51" t="n">
        <v>46309</v>
      </c>
      <c r="B2287" s="0" t="n">
        <v>11</v>
      </c>
      <c r="C2287" s="0" t="n">
        <v>6577</v>
      </c>
      <c r="E2287" s="0" t="n">
        <v>0</v>
      </c>
      <c r="F2287" s="46" t="s">
        <v>1240</v>
      </c>
      <c r="I2287" s="46" t="s">
        <v>181</v>
      </c>
      <c r="U2287" s="0" t="n">
        <v>510</v>
      </c>
      <c r="V2287" s="0" t="n">
        <v>4</v>
      </c>
      <c r="W2287" s="51" t="n">
        <v>46305</v>
      </c>
      <c r="X2287" s="46" t="n">
        <f aca="false">IF(I2287="Male",0,1)</f>
        <v>1</v>
      </c>
      <c r="Y2287" s="46" t="n">
        <f aca="false">IF(OR(I2287="DNB",I2287="Dry DNB"),1,0)</f>
        <v>0</v>
      </c>
      <c r="Z2287" s="46" t="n">
        <f aca="false">IF(ISNUMBER(W2287),A2287-W2287,"")</f>
        <v>4</v>
      </c>
      <c r="AA2287" s="46" t="n">
        <f aca="false">MATCH(A2287,DATAS,0)</f>
        <v>1</v>
      </c>
      <c r="AB2287" s="46" t="n">
        <f aca="false">IF(AND(E2287&gt;0,OR(AND(B2287&gt;=1,B2287&lt;=6),B2287=10)),1,0)</f>
        <v>0</v>
      </c>
      <c r="AC2287" s="46" t="n">
        <f aca="false">IF(AND(E2287&gt;0,B2287=10),1,0)</f>
        <v>0</v>
      </c>
      <c r="AD2287" s="0" t="str">
        <f aca="false">IF(AND(C2286=C2287,AA2286=AA2287-1),AB2286,"")</f>
        <v/>
      </c>
      <c r="AE2287" s="0" t="str">
        <f aca="false">IF(AND(C2286=C2287,AA2286=AA2287-1),AC2286,"")</f>
        <v/>
      </c>
      <c r="AF2287" s="0" t="str">
        <f aca="false">IF(AA2287=1,"",IF(AND(AB2287=1,AD2287&lt;&gt;1),1,0))</f>
        <v/>
      </c>
      <c r="AG2287" s="0" t="str">
        <f aca="false">IF(AA2287=1,"",IF(AND(AC2287=1,AE2287&lt;&gt;1),1,0))</f>
        <v/>
      </c>
      <c r="AH2287" s="51" t="str">
        <f aca="false">IF(AND(E2287&gt;0,AA2287&lt;1,NOT(AND(C2288=C2287,AA2288=AA2287+1))),INDEX(DATAS,AA2287+1),"")</f>
        <v/>
      </c>
      <c r="AI2287" s="51" t="str">
        <f aca="false">IF(AND(AC2287=1,AA2287&lt;1),IF(AND(C2288=C2287,AA2288=AA2287+1),IF(AC2288=1,"",INDEX(DATAS,AA2287+1)),INDEX(DATAS,AA2287+1)),"")</f>
        <v/>
      </c>
    </row>
    <row r="2288" customFormat="false" ht="15" hidden="false" customHeight="false" outlineLevel="0" collapsed="false">
      <c r="A2288" s="51" t="n">
        <v>46309</v>
      </c>
      <c r="B2288" s="0" t="n">
        <v>8</v>
      </c>
      <c r="C2288" s="0" t="n">
        <v>6578</v>
      </c>
      <c r="E2288" s="0" t="n">
        <v>0</v>
      </c>
      <c r="F2288" s="46" t="s">
        <v>1240</v>
      </c>
      <c r="I2288" s="46" t="s">
        <v>152</v>
      </c>
      <c r="L2288" s="0" t="n">
        <v>73</v>
      </c>
      <c r="U2288" s="0" t="n">
        <v>510</v>
      </c>
      <c r="V2288" s="0" t="n">
        <v>3</v>
      </c>
      <c r="W2288" s="51" t="n">
        <v>46237</v>
      </c>
      <c r="X2288" s="46" t="n">
        <f aca="false">IF(I2288="Male",0,1)</f>
        <v>1</v>
      </c>
      <c r="Y2288" s="46" t="n">
        <f aca="false">IF(OR(I2288="DNB",I2288="Dry DNB"),1,0)</f>
        <v>0</v>
      </c>
      <c r="Z2288" s="46" t="n">
        <f aca="false">IF(ISNUMBER(W2288),A2288-W2288,"")</f>
        <v>72</v>
      </c>
      <c r="AA2288" s="46" t="n">
        <f aca="false">MATCH(A2288,DATAS,0)</f>
        <v>1</v>
      </c>
      <c r="AB2288" s="46" t="n">
        <f aca="false">IF(AND(E2288&gt;0,OR(AND(B2288&gt;=1,B2288&lt;=6),B2288=10)),1,0)</f>
        <v>0</v>
      </c>
      <c r="AC2288" s="46" t="n">
        <f aca="false">IF(AND(E2288&gt;0,B2288=10),1,0)</f>
        <v>0</v>
      </c>
      <c r="AD2288" s="0" t="str">
        <f aca="false">IF(AND(C2287=C2288,AA2287=AA2288-1),AB2287,"")</f>
        <v/>
      </c>
      <c r="AE2288" s="0" t="str">
        <f aca="false">IF(AND(C2287=C2288,AA2287=AA2288-1),AC2287,"")</f>
        <v/>
      </c>
      <c r="AF2288" s="0" t="str">
        <f aca="false">IF(AA2288=1,"",IF(AND(AB2288=1,AD2288&lt;&gt;1),1,0))</f>
        <v/>
      </c>
      <c r="AG2288" s="0" t="str">
        <f aca="false">IF(AA2288=1,"",IF(AND(AC2288=1,AE2288&lt;&gt;1),1,0))</f>
        <v/>
      </c>
      <c r="AH2288" s="51" t="str">
        <f aca="false">IF(AND(E2288&gt;0,AA2288&lt;1,NOT(AND(C2289=C2288,AA2289=AA2288+1))),INDEX(DATAS,AA2288+1),"")</f>
        <v/>
      </c>
      <c r="AI2288" s="51" t="str">
        <f aca="false">IF(AND(AC2288=1,AA2288&lt;1),IF(AND(C2289=C2288,AA2289=AA2288+1),IF(AC2289=1,"",INDEX(DATAS,AA2288+1)),INDEX(DATAS,AA2288+1)),"")</f>
        <v/>
      </c>
    </row>
    <row r="2289" customFormat="false" ht="15" hidden="false" customHeight="false" outlineLevel="0" collapsed="false">
      <c r="A2289" s="51" t="n">
        <v>46309</v>
      </c>
      <c r="B2289" s="0" t="n">
        <v>8</v>
      </c>
      <c r="C2289" s="0" t="n">
        <v>6579</v>
      </c>
      <c r="E2289" s="0" t="n">
        <v>0</v>
      </c>
      <c r="F2289" s="46" t="s">
        <v>1240</v>
      </c>
      <c r="I2289" s="46" t="s">
        <v>152</v>
      </c>
      <c r="L2289" s="0" t="n">
        <v>111</v>
      </c>
      <c r="U2289" s="0" t="n">
        <v>510</v>
      </c>
      <c r="V2289" s="0" t="n">
        <v>1</v>
      </c>
      <c r="W2289" s="51" t="n">
        <v>46199</v>
      </c>
      <c r="X2289" s="46" t="n">
        <f aca="false">IF(I2289="Male",0,1)</f>
        <v>1</v>
      </c>
      <c r="Y2289" s="46" t="n">
        <f aca="false">IF(OR(I2289="DNB",I2289="Dry DNB"),1,0)</f>
        <v>0</v>
      </c>
      <c r="Z2289" s="46" t="n">
        <f aca="false">IF(ISNUMBER(W2289),A2289-W2289,"")</f>
        <v>110</v>
      </c>
      <c r="AA2289" s="46" t="n">
        <f aca="false">MATCH(A2289,DATAS,0)</f>
        <v>1</v>
      </c>
      <c r="AB2289" s="46" t="n">
        <f aca="false">IF(AND(E2289&gt;0,OR(AND(B2289&gt;=1,B2289&lt;=6),B2289=10)),1,0)</f>
        <v>0</v>
      </c>
      <c r="AC2289" s="46" t="n">
        <f aca="false">IF(AND(E2289&gt;0,B2289=10),1,0)</f>
        <v>0</v>
      </c>
      <c r="AD2289" s="0" t="str">
        <f aca="false">IF(AND(C2288=C2289,AA2288=AA2289-1),AB2288,"")</f>
        <v/>
      </c>
      <c r="AE2289" s="0" t="str">
        <f aca="false">IF(AND(C2288=C2289,AA2288=AA2289-1),AC2288,"")</f>
        <v/>
      </c>
      <c r="AF2289" s="0" t="str">
        <f aca="false">IF(AA2289=1,"",IF(AND(AB2289=1,AD2289&lt;&gt;1),1,0))</f>
        <v/>
      </c>
      <c r="AG2289" s="0" t="str">
        <f aca="false">IF(AA2289=1,"",IF(AND(AC2289=1,AE2289&lt;&gt;1),1,0))</f>
        <v/>
      </c>
      <c r="AH2289" s="51" t="str">
        <f aca="false">IF(AND(E2289&gt;0,AA2289&lt;1,NOT(AND(C2290=C2289,AA2290=AA2289+1))),INDEX(DATAS,AA2289+1),"")</f>
        <v/>
      </c>
      <c r="AI2289" s="51" t="str">
        <f aca="false">IF(AND(AC2289=1,AA2289&lt;1),IF(AND(C2290=C2289,AA2290=AA2289+1),IF(AC2290=1,"",INDEX(DATAS,AA2289+1)),INDEX(DATAS,AA2289+1)),"")</f>
        <v/>
      </c>
    </row>
    <row r="2290" customFormat="false" ht="15" hidden="false" customHeight="false" outlineLevel="0" collapsed="false">
      <c r="A2290" s="51" t="n">
        <v>46309</v>
      </c>
      <c r="B2290" s="0" t="n">
        <v>8</v>
      </c>
      <c r="C2290" s="0" t="n">
        <v>6580</v>
      </c>
      <c r="E2290" s="0" t="n">
        <v>0</v>
      </c>
      <c r="F2290" s="46" t="s">
        <v>1240</v>
      </c>
      <c r="I2290" s="46" t="s">
        <v>152</v>
      </c>
      <c r="L2290" s="0" t="n">
        <v>63</v>
      </c>
      <c r="U2290" s="0" t="n">
        <v>510</v>
      </c>
      <c r="V2290" s="0" t="n">
        <v>1</v>
      </c>
      <c r="W2290" s="51" t="n">
        <v>46247</v>
      </c>
      <c r="X2290" s="46" t="n">
        <f aca="false">IF(I2290="Male",0,1)</f>
        <v>1</v>
      </c>
      <c r="Y2290" s="46" t="n">
        <f aca="false">IF(OR(I2290="DNB",I2290="Dry DNB"),1,0)</f>
        <v>0</v>
      </c>
      <c r="Z2290" s="46" t="n">
        <f aca="false">IF(ISNUMBER(W2290),A2290-W2290,"")</f>
        <v>62</v>
      </c>
      <c r="AA2290" s="46" t="n">
        <f aca="false">MATCH(A2290,DATAS,0)</f>
        <v>1</v>
      </c>
      <c r="AB2290" s="46" t="n">
        <f aca="false">IF(AND(E2290&gt;0,OR(AND(B2290&gt;=1,B2290&lt;=6),B2290=10)),1,0)</f>
        <v>0</v>
      </c>
      <c r="AC2290" s="46" t="n">
        <f aca="false">IF(AND(E2290&gt;0,B2290=10),1,0)</f>
        <v>0</v>
      </c>
      <c r="AD2290" s="0" t="str">
        <f aca="false">IF(AND(C2289=C2290,AA2289=AA2290-1),AB2289,"")</f>
        <v/>
      </c>
      <c r="AE2290" s="0" t="str">
        <f aca="false">IF(AND(C2289=C2290,AA2289=AA2290-1),AC2289,"")</f>
        <v/>
      </c>
      <c r="AF2290" s="0" t="str">
        <f aca="false">IF(AA2290=1,"",IF(AND(AB2290=1,AD2290&lt;&gt;1),1,0))</f>
        <v/>
      </c>
      <c r="AG2290" s="0" t="str">
        <f aca="false">IF(AA2290=1,"",IF(AND(AC2290=1,AE2290&lt;&gt;1),1,0))</f>
        <v/>
      </c>
      <c r="AH2290" s="51" t="str">
        <f aca="false">IF(AND(E2290&gt;0,AA2290&lt;1,NOT(AND(C2291=C2290,AA2291=AA2290+1))),INDEX(DATAS,AA2290+1),"")</f>
        <v/>
      </c>
      <c r="AI2290" s="51" t="str">
        <f aca="false">IF(AND(AC2290=1,AA2290&lt;1),IF(AND(C2291=C2290,AA2291=AA2290+1),IF(AC2291=1,"",INDEX(DATAS,AA2290+1)),INDEX(DATAS,AA2290+1)),"")</f>
        <v/>
      </c>
    </row>
    <row r="2291" customFormat="false" ht="15" hidden="false" customHeight="false" outlineLevel="0" collapsed="false">
      <c r="A2291" s="51" t="n">
        <v>46309</v>
      </c>
      <c r="B2291" s="0" t="n">
        <v>8</v>
      </c>
      <c r="C2291" s="0" t="n">
        <v>6581</v>
      </c>
      <c r="E2291" s="0" t="n">
        <v>0</v>
      </c>
      <c r="F2291" s="46" t="s">
        <v>1240</v>
      </c>
      <c r="I2291" s="46" t="s">
        <v>152</v>
      </c>
      <c r="L2291" s="0" t="n">
        <v>91</v>
      </c>
      <c r="U2291" s="0" t="n">
        <v>510</v>
      </c>
      <c r="V2291" s="0" t="n">
        <v>2</v>
      </c>
      <c r="W2291" s="51" t="n">
        <v>46219</v>
      </c>
      <c r="X2291" s="46" t="n">
        <f aca="false">IF(I2291="Male",0,1)</f>
        <v>1</v>
      </c>
      <c r="Y2291" s="46" t="n">
        <f aca="false">IF(OR(I2291="DNB",I2291="Dry DNB"),1,0)</f>
        <v>0</v>
      </c>
      <c r="Z2291" s="46" t="n">
        <f aca="false">IF(ISNUMBER(W2291),A2291-W2291,"")</f>
        <v>90</v>
      </c>
      <c r="AA2291" s="46" t="n">
        <f aca="false">MATCH(A2291,DATAS,0)</f>
        <v>1</v>
      </c>
      <c r="AB2291" s="46" t="n">
        <f aca="false">IF(AND(E2291&gt;0,OR(AND(B2291&gt;=1,B2291&lt;=6),B2291=10)),1,0)</f>
        <v>0</v>
      </c>
      <c r="AC2291" s="46" t="n">
        <f aca="false">IF(AND(E2291&gt;0,B2291=10),1,0)</f>
        <v>0</v>
      </c>
      <c r="AD2291" s="0" t="str">
        <f aca="false">IF(AND(C2290=C2291,AA2290=AA2291-1),AB2290,"")</f>
        <v/>
      </c>
      <c r="AE2291" s="0" t="str">
        <f aca="false">IF(AND(C2290=C2291,AA2290=AA2291-1),AC2290,"")</f>
        <v/>
      </c>
      <c r="AF2291" s="0" t="str">
        <f aca="false">IF(AA2291=1,"",IF(AND(AB2291=1,AD2291&lt;&gt;1),1,0))</f>
        <v/>
      </c>
      <c r="AG2291" s="0" t="str">
        <f aca="false">IF(AA2291=1,"",IF(AND(AC2291=1,AE2291&lt;&gt;1),1,0))</f>
        <v/>
      </c>
      <c r="AH2291" s="51" t="str">
        <f aca="false">IF(AND(E2291&gt;0,AA2291&lt;1,NOT(AND(C2292=C2291,AA2292=AA2291+1))),INDEX(DATAS,AA2291+1),"")</f>
        <v/>
      </c>
      <c r="AI2291" s="51" t="str">
        <f aca="false">IF(AND(AC2291=1,AA2291&lt;1),IF(AND(C2292=C2291,AA2292=AA2291+1),IF(AC2292=1,"",INDEX(DATAS,AA2291+1)),INDEX(DATAS,AA2291+1)),"")</f>
        <v/>
      </c>
    </row>
    <row r="2292" customFormat="false" ht="15" hidden="false" customHeight="false" outlineLevel="0" collapsed="false">
      <c r="A2292" s="51" t="n">
        <v>46309</v>
      </c>
      <c r="B2292" s="0" t="n">
        <v>11</v>
      </c>
      <c r="C2292" s="0" t="n">
        <v>6582</v>
      </c>
      <c r="E2292" s="0" t="n">
        <v>0</v>
      </c>
      <c r="F2292" s="46" t="s">
        <v>1241</v>
      </c>
      <c r="I2292" s="46" t="s">
        <v>181</v>
      </c>
      <c r="U2292" s="0" t="n">
        <v>507</v>
      </c>
      <c r="V2292" s="0" t="n">
        <v>5</v>
      </c>
      <c r="W2292" s="51" t="n">
        <v>46287</v>
      </c>
      <c r="X2292" s="46" t="n">
        <f aca="false">IF(I2292="Male",0,1)</f>
        <v>1</v>
      </c>
      <c r="Y2292" s="46" t="n">
        <f aca="false">IF(OR(I2292="DNB",I2292="Dry DNB"),1,0)</f>
        <v>0</v>
      </c>
      <c r="Z2292" s="46" t="n">
        <f aca="false">IF(ISNUMBER(W2292),A2292-W2292,"")</f>
        <v>22</v>
      </c>
      <c r="AA2292" s="46" t="n">
        <f aca="false">MATCH(A2292,DATAS,0)</f>
        <v>1</v>
      </c>
      <c r="AB2292" s="46" t="n">
        <f aca="false">IF(AND(E2292&gt;0,OR(AND(B2292&gt;=1,B2292&lt;=6),B2292=10)),1,0)</f>
        <v>0</v>
      </c>
      <c r="AC2292" s="46" t="n">
        <f aca="false">IF(AND(E2292&gt;0,B2292=10),1,0)</f>
        <v>0</v>
      </c>
      <c r="AD2292" s="0" t="str">
        <f aca="false">IF(AND(C2291=C2292,AA2291=AA2292-1),AB2291,"")</f>
        <v/>
      </c>
      <c r="AE2292" s="0" t="str">
        <f aca="false">IF(AND(C2291=C2292,AA2291=AA2292-1),AC2291,"")</f>
        <v/>
      </c>
      <c r="AF2292" s="0" t="str">
        <f aca="false">IF(AA2292=1,"",IF(AND(AB2292=1,AD2292&lt;&gt;1),1,0))</f>
        <v/>
      </c>
      <c r="AG2292" s="0" t="str">
        <f aca="false">IF(AA2292=1,"",IF(AND(AC2292=1,AE2292&lt;&gt;1),1,0))</f>
        <v/>
      </c>
      <c r="AH2292" s="51" t="str">
        <f aca="false">IF(AND(E2292&gt;0,AA2292&lt;1,NOT(AND(C2293=C2292,AA2293=AA2292+1))),INDEX(DATAS,AA2292+1),"")</f>
        <v/>
      </c>
      <c r="AI2292" s="51" t="str">
        <f aca="false">IF(AND(AC2292=1,AA2292&lt;1),IF(AND(C2293=C2292,AA2293=AA2292+1),IF(AC2293=1,"",INDEX(DATAS,AA2292+1)),INDEX(DATAS,AA2292+1)),"")</f>
        <v/>
      </c>
    </row>
    <row r="2293" customFormat="false" ht="15" hidden="false" customHeight="false" outlineLevel="0" collapsed="false">
      <c r="A2293" s="51" t="n">
        <v>46309</v>
      </c>
      <c r="B2293" s="0" t="n">
        <v>11</v>
      </c>
      <c r="C2293" s="0" t="n">
        <v>6583</v>
      </c>
      <c r="E2293" s="0" t="n">
        <v>0</v>
      </c>
      <c r="F2293" s="46" t="s">
        <v>1241</v>
      </c>
      <c r="I2293" s="46" t="s">
        <v>181</v>
      </c>
      <c r="U2293" s="0" t="n">
        <v>507</v>
      </c>
      <c r="V2293" s="0" t="n">
        <v>4</v>
      </c>
      <c r="W2293" s="51" t="n">
        <v>46296</v>
      </c>
      <c r="X2293" s="46" t="n">
        <f aca="false">IF(I2293="Male",0,1)</f>
        <v>1</v>
      </c>
      <c r="Y2293" s="46" t="n">
        <f aca="false">IF(OR(I2293="DNB",I2293="Dry DNB"),1,0)</f>
        <v>0</v>
      </c>
      <c r="Z2293" s="46" t="n">
        <f aca="false">IF(ISNUMBER(W2293),A2293-W2293,"")</f>
        <v>13</v>
      </c>
      <c r="AA2293" s="46" t="n">
        <f aca="false">MATCH(A2293,DATAS,0)</f>
        <v>1</v>
      </c>
      <c r="AB2293" s="46" t="n">
        <f aca="false">IF(AND(E2293&gt;0,OR(AND(B2293&gt;=1,B2293&lt;=6),B2293=10)),1,0)</f>
        <v>0</v>
      </c>
      <c r="AC2293" s="46" t="n">
        <f aca="false">IF(AND(E2293&gt;0,B2293=10),1,0)</f>
        <v>0</v>
      </c>
      <c r="AD2293" s="0" t="str">
        <f aca="false">IF(AND(C2292=C2293,AA2292=AA2293-1),AB2292,"")</f>
        <v/>
      </c>
      <c r="AE2293" s="0" t="str">
        <f aca="false">IF(AND(C2292=C2293,AA2292=AA2293-1),AC2292,"")</f>
        <v/>
      </c>
      <c r="AF2293" s="0" t="str">
        <f aca="false">IF(AA2293=1,"",IF(AND(AB2293=1,AD2293&lt;&gt;1),1,0))</f>
        <v/>
      </c>
      <c r="AG2293" s="0" t="str">
        <f aca="false">IF(AA2293=1,"",IF(AND(AC2293=1,AE2293&lt;&gt;1),1,0))</f>
        <v/>
      </c>
      <c r="AH2293" s="51" t="str">
        <f aca="false">IF(AND(E2293&gt;0,AA2293&lt;1,NOT(AND(C2294=C2293,AA2294=AA2293+1))),INDEX(DATAS,AA2293+1),"")</f>
        <v/>
      </c>
      <c r="AI2293" s="51" t="str">
        <f aca="false">IF(AND(AC2293=1,AA2293&lt;1),IF(AND(C2294=C2293,AA2294=AA2293+1),IF(AC2294=1,"",INDEX(DATAS,AA2293+1)),INDEX(DATAS,AA2293+1)),"")</f>
        <v/>
      </c>
    </row>
    <row r="2294" customFormat="false" ht="15" hidden="false" customHeight="false" outlineLevel="0" collapsed="false">
      <c r="A2294" s="51" t="n">
        <v>46309</v>
      </c>
      <c r="B2294" s="0" t="n">
        <v>8</v>
      </c>
      <c r="C2294" s="0" t="n">
        <v>6584</v>
      </c>
      <c r="E2294" s="0" t="n">
        <v>0</v>
      </c>
      <c r="F2294" s="46" t="s">
        <v>1241</v>
      </c>
      <c r="I2294" s="46" t="s">
        <v>152</v>
      </c>
      <c r="L2294" s="0" t="n">
        <v>105</v>
      </c>
      <c r="U2294" s="0" t="n">
        <v>507</v>
      </c>
      <c r="V2294" s="0" t="n">
        <v>1</v>
      </c>
      <c r="W2294" s="51" t="n">
        <v>46205</v>
      </c>
      <c r="X2294" s="46" t="n">
        <f aca="false">IF(I2294="Male",0,1)</f>
        <v>1</v>
      </c>
      <c r="Y2294" s="46" t="n">
        <f aca="false">IF(OR(I2294="DNB",I2294="Dry DNB"),1,0)</f>
        <v>0</v>
      </c>
      <c r="Z2294" s="46" t="n">
        <f aca="false">IF(ISNUMBER(W2294),A2294-W2294,"")</f>
        <v>104</v>
      </c>
      <c r="AA2294" s="46" t="n">
        <f aca="false">MATCH(A2294,DATAS,0)</f>
        <v>1</v>
      </c>
      <c r="AB2294" s="46" t="n">
        <f aca="false">IF(AND(E2294&gt;0,OR(AND(B2294&gt;=1,B2294&lt;=6),B2294=10)),1,0)</f>
        <v>0</v>
      </c>
      <c r="AC2294" s="46" t="n">
        <f aca="false">IF(AND(E2294&gt;0,B2294=10),1,0)</f>
        <v>0</v>
      </c>
      <c r="AD2294" s="0" t="str">
        <f aca="false">IF(AND(C2293=C2294,AA2293=AA2294-1),AB2293,"")</f>
        <v/>
      </c>
      <c r="AE2294" s="0" t="str">
        <f aca="false">IF(AND(C2293=C2294,AA2293=AA2294-1),AC2293,"")</f>
        <v/>
      </c>
      <c r="AF2294" s="0" t="str">
        <f aca="false">IF(AA2294=1,"",IF(AND(AB2294=1,AD2294&lt;&gt;1),1,0))</f>
        <v/>
      </c>
      <c r="AG2294" s="0" t="str">
        <f aca="false">IF(AA2294=1,"",IF(AND(AC2294=1,AE2294&lt;&gt;1),1,0))</f>
        <v/>
      </c>
      <c r="AH2294" s="51" t="str">
        <f aca="false">IF(AND(E2294&gt;0,AA2294&lt;1,NOT(AND(C2295=C2294,AA2295=AA2294+1))),INDEX(DATAS,AA2294+1),"")</f>
        <v/>
      </c>
      <c r="AI2294" s="51" t="str">
        <f aca="false">IF(AND(AC2294=1,AA2294&lt;1),IF(AND(C2295=C2294,AA2295=AA2294+1),IF(AC2295=1,"",INDEX(DATAS,AA2294+1)),INDEX(DATAS,AA2294+1)),"")</f>
        <v/>
      </c>
    </row>
    <row r="2295" customFormat="false" ht="15" hidden="false" customHeight="false" outlineLevel="0" collapsed="false">
      <c r="A2295" s="51" t="n">
        <v>46309</v>
      </c>
      <c r="B2295" s="0" t="n">
        <v>13</v>
      </c>
      <c r="C2295" s="0" t="n">
        <v>6585</v>
      </c>
      <c r="E2295" s="0" t="n">
        <v>0</v>
      </c>
      <c r="F2295" s="46" t="s">
        <v>1241</v>
      </c>
      <c r="I2295" s="46" t="s">
        <v>189</v>
      </c>
      <c r="U2295" s="0" t="n">
        <v>507</v>
      </c>
      <c r="V2295" s="0" t="n">
        <v>0</v>
      </c>
      <c r="X2295" s="46" t="n">
        <f aca="false">IF(I2295="Male",0,1)</f>
        <v>1</v>
      </c>
      <c r="Y2295" s="46" t="n">
        <f aca="false">IF(OR(I2295="DNB",I2295="Dry DNB"),1,0)</f>
        <v>0</v>
      </c>
      <c r="Z2295" s="0" t="str">
        <f aca="false">IF(ISNUMBER(W2295),A2295-W2295,"")</f>
        <v/>
      </c>
      <c r="AA2295" s="46" t="n">
        <f aca="false">MATCH(A2295,DATAS,0)</f>
        <v>1</v>
      </c>
      <c r="AB2295" s="46" t="n">
        <f aca="false">IF(AND(E2295&gt;0,OR(AND(B2295&gt;=1,B2295&lt;=6),B2295=10)),1,0)</f>
        <v>0</v>
      </c>
      <c r="AC2295" s="46" t="n">
        <f aca="false">IF(AND(E2295&gt;0,B2295=10),1,0)</f>
        <v>0</v>
      </c>
      <c r="AD2295" s="0" t="str">
        <f aca="false">IF(AND(C2294=C2295,AA2294=AA2295-1),AB2294,"")</f>
        <v/>
      </c>
      <c r="AE2295" s="0" t="str">
        <f aca="false">IF(AND(C2294=C2295,AA2294=AA2295-1),AC2294,"")</f>
        <v/>
      </c>
      <c r="AF2295" s="0" t="str">
        <f aca="false">IF(AA2295=1,"",IF(AND(AB2295=1,AD2295&lt;&gt;1),1,0))</f>
        <v/>
      </c>
      <c r="AG2295" s="0" t="str">
        <f aca="false">IF(AA2295=1,"",IF(AND(AC2295=1,AE2295&lt;&gt;1),1,0))</f>
        <v/>
      </c>
      <c r="AH2295" s="51" t="str">
        <f aca="false">IF(AND(E2295&gt;0,AA2295&lt;1,NOT(AND(C2296=C2295,AA2296=AA2295+1))),INDEX(DATAS,AA2295+1),"")</f>
        <v/>
      </c>
      <c r="AI2295" s="51" t="str">
        <f aca="false">IF(AND(AC2295=1,AA2295&lt;1),IF(AND(C2296=C2295,AA2296=AA2295+1),IF(AC2296=1,"",INDEX(DATAS,AA2295+1)),INDEX(DATAS,AA2295+1)),"")</f>
        <v/>
      </c>
    </row>
    <row r="2296" customFormat="false" ht="15" hidden="false" customHeight="false" outlineLevel="0" collapsed="false">
      <c r="A2296" s="51" t="n">
        <v>46309</v>
      </c>
      <c r="B2296" s="0" t="n">
        <v>8</v>
      </c>
      <c r="C2296" s="0" t="n">
        <v>6586</v>
      </c>
      <c r="E2296" s="0" t="n">
        <v>0</v>
      </c>
      <c r="F2296" s="46" t="s">
        <v>1241</v>
      </c>
      <c r="I2296" s="46" t="s">
        <v>152</v>
      </c>
      <c r="L2296" s="0" t="n">
        <v>87</v>
      </c>
      <c r="U2296" s="0" t="n">
        <v>507</v>
      </c>
      <c r="V2296" s="0" t="n">
        <v>2</v>
      </c>
      <c r="W2296" s="51" t="n">
        <v>46223</v>
      </c>
      <c r="X2296" s="46" t="n">
        <f aca="false">IF(I2296="Male",0,1)</f>
        <v>1</v>
      </c>
      <c r="Y2296" s="46" t="n">
        <f aca="false">IF(OR(I2296="DNB",I2296="Dry DNB"),1,0)</f>
        <v>0</v>
      </c>
      <c r="Z2296" s="46" t="n">
        <f aca="false">IF(ISNUMBER(W2296),A2296-W2296,"")</f>
        <v>86</v>
      </c>
      <c r="AA2296" s="46" t="n">
        <f aca="false">MATCH(A2296,DATAS,0)</f>
        <v>1</v>
      </c>
      <c r="AB2296" s="46" t="n">
        <f aca="false">IF(AND(E2296&gt;0,OR(AND(B2296&gt;=1,B2296&lt;=6),B2296=10)),1,0)</f>
        <v>0</v>
      </c>
      <c r="AC2296" s="46" t="n">
        <f aca="false">IF(AND(E2296&gt;0,B2296=10),1,0)</f>
        <v>0</v>
      </c>
      <c r="AD2296" s="0" t="str">
        <f aca="false">IF(AND(C2295=C2296,AA2295=AA2296-1),AB2295,"")</f>
        <v/>
      </c>
      <c r="AE2296" s="0" t="str">
        <f aca="false">IF(AND(C2295=C2296,AA2295=AA2296-1),AC2295,"")</f>
        <v/>
      </c>
      <c r="AF2296" s="0" t="str">
        <f aca="false">IF(AA2296=1,"",IF(AND(AB2296=1,AD2296&lt;&gt;1),1,0))</f>
        <v/>
      </c>
      <c r="AG2296" s="0" t="str">
        <f aca="false">IF(AA2296=1,"",IF(AND(AC2296=1,AE2296&lt;&gt;1),1,0))</f>
        <v/>
      </c>
      <c r="AH2296" s="51" t="str">
        <f aca="false">IF(AND(E2296&gt;0,AA2296&lt;1,NOT(AND(C2297=C2296,AA2297=AA2296+1))),INDEX(DATAS,AA2296+1),"")</f>
        <v/>
      </c>
      <c r="AI2296" s="51" t="str">
        <f aca="false">IF(AND(AC2296=1,AA2296&lt;1),IF(AND(C2297=C2296,AA2297=AA2296+1),IF(AC2297=1,"",INDEX(DATAS,AA2296+1)),INDEX(DATAS,AA2296+1)),"")</f>
        <v/>
      </c>
    </row>
    <row r="2297" customFormat="false" ht="15" hidden="false" customHeight="false" outlineLevel="0" collapsed="false">
      <c r="A2297" s="51" t="n">
        <v>46309</v>
      </c>
      <c r="B2297" s="0" t="n">
        <v>8</v>
      </c>
      <c r="C2297" s="0" t="n">
        <v>6587</v>
      </c>
      <c r="E2297" s="0" t="n">
        <v>0</v>
      </c>
      <c r="F2297" s="46" t="s">
        <v>1241</v>
      </c>
      <c r="I2297" s="46" t="s">
        <v>152</v>
      </c>
      <c r="L2297" s="0" t="n">
        <v>95</v>
      </c>
      <c r="U2297" s="0" t="n">
        <v>507</v>
      </c>
      <c r="V2297" s="0" t="n">
        <v>1</v>
      </c>
      <c r="W2297" s="51" t="n">
        <v>46215</v>
      </c>
      <c r="X2297" s="46" t="n">
        <f aca="false">IF(I2297="Male",0,1)</f>
        <v>1</v>
      </c>
      <c r="Y2297" s="46" t="n">
        <f aca="false">IF(OR(I2297="DNB",I2297="Dry DNB"),1,0)</f>
        <v>0</v>
      </c>
      <c r="Z2297" s="46" t="n">
        <f aca="false">IF(ISNUMBER(W2297),A2297-W2297,"")</f>
        <v>94</v>
      </c>
      <c r="AA2297" s="46" t="n">
        <f aca="false">MATCH(A2297,DATAS,0)</f>
        <v>1</v>
      </c>
      <c r="AB2297" s="46" t="n">
        <f aca="false">IF(AND(E2297&gt;0,OR(AND(B2297&gt;=1,B2297&lt;=6),B2297=10)),1,0)</f>
        <v>0</v>
      </c>
      <c r="AC2297" s="46" t="n">
        <f aca="false">IF(AND(E2297&gt;0,B2297=10),1,0)</f>
        <v>0</v>
      </c>
      <c r="AD2297" s="0" t="str">
        <f aca="false">IF(AND(C2296=C2297,AA2296=AA2297-1),AB2296,"")</f>
        <v/>
      </c>
      <c r="AE2297" s="0" t="str">
        <f aca="false">IF(AND(C2296=C2297,AA2296=AA2297-1),AC2296,"")</f>
        <v/>
      </c>
      <c r="AF2297" s="0" t="str">
        <f aca="false">IF(AA2297=1,"",IF(AND(AB2297=1,AD2297&lt;&gt;1),1,0))</f>
        <v/>
      </c>
      <c r="AG2297" s="0" t="str">
        <f aca="false">IF(AA2297=1,"",IF(AND(AC2297=1,AE2297&lt;&gt;1),1,0))</f>
        <v/>
      </c>
      <c r="AH2297" s="51" t="str">
        <f aca="false">IF(AND(E2297&gt;0,AA2297&lt;1,NOT(AND(C2298=C2297,AA2298=AA2297+1))),INDEX(DATAS,AA2297+1),"")</f>
        <v/>
      </c>
      <c r="AI2297" s="51" t="str">
        <f aca="false">IF(AND(AC2297=1,AA2297&lt;1),IF(AND(C2298=C2297,AA2298=AA2297+1),IF(AC2298=1,"",INDEX(DATAS,AA2297+1)),INDEX(DATAS,AA2297+1)),"")</f>
        <v/>
      </c>
    </row>
    <row r="2298" customFormat="false" ht="15" hidden="false" customHeight="false" outlineLevel="0" collapsed="false">
      <c r="A2298" s="51" t="n">
        <v>46309</v>
      </c>
      <c r="B2298" s="0" t="n">
        <v>11</v>
      </c>
      <c r="C2298" s="0" t="n">
        <v>6588</v>
      </c>
      <c r="E2298" s="0" t="n">
        <v>0</v>
      </c>
      <c r="F2298" s="46" t="s">
        <v>1241</v>
      </c>
      <c r="I2298" s="46" t="s">
        <v>189</v>
      </c>
      <c r="U2298" s="0" t="n">
        <v>507</v>
      </c>
      <c r="V2298" s="0" t="n">
        <v>2</v>
      </c>
      <c r="W2298" s="51" t="n">
        <v>46282</v>
      </c>
      <c r="X2298" s="46" t="n">
        <f aca="false">IF(I2298="Male",0,1)</f>
        <v>1</v>
      </c>
      <c r="Y2298" s="46" t="n">
        <f aca="false">IF(OR(I2298="DNB",I2298="Dry DNB"),1,0)</f>
        <v>0</v>
      </c>
      <c r="Z2298" s="46" t="n">
        <f aca="false">IF(ISNUMBER(W2298),A2298-W2298,"")</f>
        <v>27</v>
      </c>
      <c r="AA2298" s="46" t="n">
        <f aca="false">MATCH(A2298,DATAS,0)</f>
        <v>1</v>
      </c>
      <c r="AB2298" s="46" t="n">
        <f aca="false">IF(AND(E2298&gt;0,OR(AND(B2298&gt;=1,B2298&lt;=6),B2298=10)),1,0)</f>
        <v>0</v>
      </c>
      <c r="AC2298" s="46" t="n">
        <f aca="false">IF(AND(E2298&gt;0,B2298=10),1,0)</f>
        <v>0</v>
      </c>
      <c r="AD2298" s="0" t="str">
        <f aca="false">IF(AND(C2297=C2298,AA2297=AA2298-1),AB2297,"")</f>
        <v/>
      </c>
      <c r="AE2298" s="0" t="str">
        <f aca="false">IF(AND(C2297=C2298,AA2297=AA2298-1),AC2297,"")</f>
        <v/>
      </c>
      <c r="AF2298" s="0" t="str">
        <f aca="false">IF(AA2298=1,"",IF(AND(AB2298=1,AD2298&lt;&gt;1),1,0))</f>
        <v/>
      </c>
      <c r="AG2298" s="0" t="str">
        <f aca="false">IF(AA2298=1,"",IF(AND(AC2298=1,AE2298&lt;&gt;1),1,0))</f>
        <v/>
      </c>
      <c r="AH2298" s="51" t="str">
        <f aca="false">IF(AND(E2298&gt;0,AA2298&lt;1,NOT(AND(C2299=C2298,AA2299=AA2298+1))),INDEX(DATAS,AA2298+1),"")</f>
        <v/>
      </c>
      <c r="AI2298" s="51" t="str">
        <f aca="false">IF(AND(AC2298=1,AA2298&lt;1),IF(AND(C2299=C2298,AA2299=AA2298+1),IF(AC2299=1,"",INDEX(DATAS,AA2298+1)),INDEX(DATAS,AA2298+1)),"")</f>
        <v/>
      </c>
    </row>
    <row r="2299" customFormat="false" ht="15" hidden="false" customHeight="false" outlineLevel="0" collapsed="false">
      <c r="A2299" s="51" t="n">
        <v>46309</v>
      </c>
      <c r="B2299" s="0" t="n">
        <v>8</v>
      </c>
      <c r="C2299" s="0" t="n">
        <v>6590</v>
      </c>
      <c r="E2299" s="0" t="n">
        <v>0</v>
      </c>
      <c r="F2299" s="46" t="s">
        <v>1241</v>
      </c>
      <c r="I2299" s="46" t="s">
        <v>152</v>
      </c>
      <c r="L2299" s="0" t="n">
        <v>105</v>
      </c>
      <c r="U2299" s="0" t="n">
        <v>507</v>
      </c>
      <c r="V2299" s="0" t="n">
        <v>1</v>
      </c>
      <c r="W2299" s="51" t="n">
        <v>46205</v>
      </c>
      <c r="X2299" s="46" t="n">
        <f aca="false">IF(I2299="Male",0,1)</f>
        <v>1</v>
      </c>
      <c r="Y2299" s="46" t="n">
        <f aca="false">IF(OR(I2299="DNB",I2299="Dry DNB"),1,0)</f>
        <v>0</v>
      </c>
      <c r="Z2299" s="46" t="n">
        <f aca="false">IF(ISNUMBER(W2299),A2299-W2299,"")</f>
        <v>104</v>
      </c>
      <c r="AA2299" s="46" t="n">
        <f aca="false">MATCH(A2299,DATAS,0)</f>
        <v>1</v>
      </c>
      <c r="AB2299" s="46" t="n">
        <f aca="false">IF(AND(E2299&gt;0,OR(AND(B2299&gt;=1,B2299&lt;=6),B2299=10)),1,0)</f>
        <v>0</v>
      </c>
      <c r="AC2299" s="46" t="n">
        <f aca="false">IF(AND(E2299&gt;0,B2299=10),1,0)</f>
        <v>0</v>
      </c>
      <c r="AD2299" s="0" t="str">
        <f aca="false">IF(AND(C2298=C2299,AA2298=AA2299-1),AB2298,"")</f>
        <v/>
      </c>
      <c r="AE2299" s="0" t="str">
        <f aca="false">IF(AND(C2298=C2299,AA2298=AA2299-1),AC2298,"")</f>
        <v/>
      </c>
      <c r="AF2299" s="0" t="str">
        <f aca="false">IF(AA2299=1,"",IF(AND(AB2299=1,AD2299&lt;&gt;1),1,0))</f>
        <v/>
      </c>
      <c r="AG2299" s="0" t="str">
        <f aca="false">IF(AA2299=1,"",IF(AND(AC2299=1,AE2299&lt;&gt;1),1,0))</f>
        <v/>
      </c>
      <c r="AH2299" s="51" t="str">
        <f aca="false">IF(AND(E2299&gt;0,AA2299&lt;1,NOT(AND(C2300=C2299,AA2300=AA2299+1))),INDEX(DATAS,AA2299+1),"")</f>
        <v/>
      </c>
      <c r="AI2299" s="51" t="str">
        <f aca="false">IF(AND(AC2299=1,AA2299&lt;1),IF(AND(C2300=C2299,AA2300=AA2299+1),IF(AC2300=1,"",INDEX(DATAS,AA2299+1)),INDEX(DATAS,AA2299+1)),"")</f>
        <v/>
      </c>
    </row>
    <row r="2300" customFormat="false" ht="15" hidden="false" customHeight="false" outlineLevel="0" collapsed="false">
      <c r="A2300" s="51" t="n">
        <v>46309</v>
      </c>
      <c r="B2300" s="0" t="n">
        <v>8</v>
      </c>
      <c r="C2300" s="0" t="n">
        <v>6591</v>
      </c>
      <c r="E2300" s="0" t="n">
        <v>0</v>
      </c>
      <c r="F2300" s="46" t="s">
        <v>1241</v>
      </c>
      <c r="I2300" s="46" t="s">
        <v>152</v>
      </c>
      <c r="L2300" s="0" t="n">
        <v>105</v>
      </c>
      <c r="U2300" s="0" t="n">
        <v>507</v>
      </c>
      <c r="V2300" s="0" t="n">
        <v>1</v>
      </c>
      <c r="W2300" s="51" t="n">
        <v>46205</v>
      </c>
      <c r="X2300" s="46" t="n">
        <f aca="false">IF(I2300="Male",0,1)</f>
        <v>1</v>
      </c>
      <c r="Y2300" s="46" t="n">
        <f aca="false">IF(OR(I2300="DNB",I2300="Dry DNB"),1,0)</f>
        <v>0</v>
      </c>
      <c r="Z2300" s="46" t="n">
        <f aca="false">IF(ISNUMBER(W2300),A2300-W2300,"")</f>
        <v>104</v>
      </c>
      <c r="AA2300" s="46" t="n">
        <f aca="false">MATCH(A2300,DATAS,0)</f>
        <v>1</v>
      </c>
      <c r="AB2300" s="46" t="n">
        <f aca="false">IF(AND(E2300&gt;0,OR(AND(B2300&gt;=1,B2300&lt;=6),B2300=10)),1,0)</f>
        <v>0</v>
      </c>
      <c r="AC2300" s="46" t="n">
        <f aca="false">IF(AND(E2300&gt;0,B2300=10),1,0)</f>
        <v>0</v>
      </c>
      <c r="AD2300" s="0" t="str">
        <f aca="false">IF(AND(C2299=C2300,AA2299=AA2300-1),AB2299,"")</f>
        <v/>
      </c>
      <c r="AE2300" s="0" t="str">
        <f aca="false">IF(AND(C2299=C2300,AA2299=AA2300-1),AC2299,"")</f>
        <v/>
      </c>
      <c r="AF2300" s="0" t="str">
        <f aca="false">IF(AA2300=1,"",IF(AND(AB2300=1,AD2300&lt;&gt;1),1,0))</f>
        <v/>
      </c>
      <c r="AG2300" s="0" t="str">
        <f aca="false">IF(AA2300=1,"",IF(AND(AC2300=1,AE2300&lt;&gt;1),1,0))</f>
        <v/>
      </c>
      <c r="AH2300" s="51" t="str">
        <f aca="false">IF(AND(E2300&gt;0,AA2300&lt;1,NOT(AND(C2301=C2300,AA2301=AA2300+1))),INDEX(DATAS,AA2300+1),"")</f>
        <v/>
      </c>
      <c r="AI2300" s="51" t="str">
        <f aca="false">IF(AND(AC2300=1,AA2300&lt;1),IF(AND(C2301=C2300,AA2301=AA2300+1),IF(AC2301=1,"",INDEX(DATAS,AA2300+1)),INDEX(DATAS,AA2300+1)),"")</f>
        <v/>
      </c>
    </row>
    <row r="2301" customFormat="false" ht="15" hidden="false" customHeight="false" outlineLevel="0" collapsed="false">
      <c r="A2301" s="51" t="n">
        <v>46309</v>
      </c>
      <c r="B2301" s="0" t="n">
        <v>8</v>
      </c>
      <c r="C2301" s="0" t="n">
        <v>6592</v>
      </c>
      <c r="E2301" s="0" t="n">
        <v>0</v>
      </c>
      <c r="F2301" s="46" t="s">
        <v>1241</v>
      </c>
      <c r="I2301" s="46" t="s">
        <v>152</v>
      </c>
      <c r="L2301" s="0" t="n">
        <v>97</v>
      </c>
      <c r="U2301" s="0" t="n">
        <v>507</v>
      </c>
      <c r="V2301" s="0" t="n">
        <v>1</v>
      </c>
      <c r="W2301" s="51" t="n">
        <v>46213</v>
      </c>
      <c r="X2301" s="46" t="n">
        <f aca="false">IF(I2301="Male",0,1)</f>
        <v>1</v>
      </c>
      <c r="Y2301" s="46" t="n">
        <f aca="false">IF(OR(I2301="DNB",I2301="Dry DNB"),1,0)</f>
        <v>0</v>
      </c>
      <c r="Z2301" s="46" t="n">
        <f aca="false">IF(ISNUMBER(W2301),A2301-W2301,"")</f>
        <v>96</v>
      </c>
      <c r="AA2301" s="46" t="n">
        <f aca="false">MATCH(A2301,DATAS,0)</f>
        <v>1</v>
      </c>
      <c r="AB2301" s="46" t="n">
        <f aca="false">IF(AND(E2301&gt;0,OR(AND(B2301&gt;=1,B2301&lt;=6),B2301=10)),1,0)</f>
        <v>0</v>
      </c>
      <c r="AC2301" s="46" t="n">
        <f aca="false">IF(AND(E2301&gt;0,B2301=10),1,0)</f>
        <v>0</v>
      </c>
      <c r="AD2301" s="0" t="str">
        <f aca="false">IF(AND(C2300=C2301,AA2300=AA2301-1),AB2300,"")</f>
        <v/>
      </c>
      <c r="AE2301" s="0" t="str">
        <f aca="false">IF(AND(C2300=C2301,AA2300=AA2301-1),AC2300,"")</f>
        <v/>
      </c>
      <c r="AF2301" s="0" t="str">
        <f aca="false">IF(AA2301=1,"",IF(AND(AB2301=1,AD2301&lt;&gt;1),1,0))</f>
        <v/>
      </c>
      <c r="AG2301" s="0" t="str">
        <f aca="false">IF(AA2301=1,"",IF(AND(AC2301=1,AE2301&lt;&gt;1),1,0))</f>
        <v/>
      </c>
      <c r="AH2301" s="51" t="str">
        <f aca="false">IF(AND(E2301&gt;0,AA2301&lt;1,NOT(AND(C2302=C2301,AA2302=AA2301+1))),INDEX(DATAS,AA2301+1),"")</f>
        <v/>
      </c>
      <c r="AI2301" s="51" t="str">
        <f aca="false">IF(AND(AC2301=1,AA2301&lt;1),IF(AND(C2302=C2301,AA2302=AA2301+1),IF(AC2302=1,"",INDEX(DATAS,AA2301+1)),INDEX(DATAS,AA2301+1)),"")</f>
        <v/>
      </c>
    </row>
    <row r="2302" customFormat="false" ht="15" hidden="false" customHeight="false" outlineLevel="0" collapsed="false">
      <c r="A2302" s="51" t="n">
        <v>46309</v>
      </c>
      <c r="B2302" s="0" t="n">
        <v>11</v>
      </c>
      <c r="C2302" s="0" t="n">
        <v>6593</v>
      </c>
      <c r="E2302" s="0" t="n">
        <v>0</v>
      </c>
      <c r="F2302" s="46" t="s">
        <v>1242</v>
      </c>
      <c r="I2302" s="46" t="s">
        <v>189</v>
      </c>
      <c r="U2302" s="0" t="n">
        <v>506</v>
      </c>
      <c r="V2302" s="0" t="n">
        <v>2</v>
      </c>
      <c r="W2302" s="51" t="n">
        <v>46282</v>
      </c>
      <c r="X2302" s="46" t="n">
        <f aca="false">IF(I2302="Male",0,1)</f>
        <v>1</v>
      </c>
      <c r="Y2302" s="46" t="n">
        <f aca="false">IF(OR(I2302="DNB",I2302="Dry DNB"),1,0)</f>
        <v>0</v>
      </c>
      <c r="Z2302" s="46" t="n">
        <f aca="false">IF(ISNUMBER(W2302),A2302-W2302,"")</f>
        <v>27</v>
      </c>
      <c r="AA2302" s="46" t="n">
        <f aca="false">MATCH(A2302,DATAS,0)</f>
        <v>1</v>
      </c>
      <c r="AB2302" s="46" t="n">
        <f aca="false">IF(AND(E2302&gt;0,OR(AND(B2302&gt;=1,B2302&lt;=6),B2302=10)),1,0)</f>
        <v>0</v>
      </c>
      <c r="AC2302" s="46" t="n">
        <f aca="false">IF(AND(E2302&gt;0,B2302=10),1,0)</f>
        <v>0</v>
      </c>
      <c r="AD2302" s="0" t="str">
        <f aca="false">IF(AND(C2301=C2302,AA2301=AA2302-1),AB2301,"")</f>
        <v/>
      </c>
      <c r="AE2302" s="0" t="str">
        <f aca="false">IF(AND(C2301=C2302,AA2301=AA2302-1),AC2301,"")</f>
        <v/>
      </c>
      <c r="AF2302" s="0" t="str">
        <f aca="false">IF(AA2302=1,"",IF(AND(AB2302=1,AD2302&lt;&gt;1),1,0))</f>
        <v/>
      </c>
      <c r="AG2302" s="0" t="str">
        <f aca="false">IF(AA2302=1,"",IF(AND(AC2302=1,AE2302&lt;&gt;1),1,0))</f>
        <v/>
      </c>
      <c r="AH2302" s="51" t="str">
        <f aca="false">IF(AND(E2302&gt;0,AA2302&lt;1,NOT(AND(C2303=C2302,AA2303=AA2302+1))),INDEX(DATAS,AA2302+1),"")</f>
        <v/>
      </c>
      <c r="AI2302" s="51" t="str">
        <f aca="false">IF(AND(AC2302=1,AA2302&lt;1),IF(AND(C2303=C2302,AA2303=AA2302+1),IF(AC2303=1,"",INDEX(DATAS,AA2302+1)),INDEX(DATAS,AA2302+1)),"")</f>
        <v/>
      </c>
    </row>
    <row r="2303" customFormat="false" ht="15" hidden="false" customHeight="false" outlineLevel="0" collapsed="false">
      <c r="A2303" s="51" t="n">
        <v>46309</v>
      </c>
      <c r="B2303" s="0" t="n">
        <v>11</v>
      </c>
      <c r="C2303" s="0" t="n">
        <v>6594</v>
      </c>
      <c r="E2303" s="0" t="n">
        <v>0</v>
      </c>
      <c r="F2303" s="46" t="s">
        <v>1243</v>
      </c>
      <c r="I2303" s="46" t="s">
        <v>181</v>
      </c>
      <c r="U2303" s="0" t="n">
        <v>505</v>
      </c>
      <c r="V2303" s="0" t="n">
        <v>2</v>
      </c>
      <c r="W2303" s="51" t="n">
        <v>46296</v>
      </c>
      <c r="X2303" s="46" t="n">
        <f aca="false">IF(I2303="Male",0,1)</f>
        <v>1</v>
      </c>
      <c r="Y2303" s="46" t="n">
        <f aca="false">IF(OR(I2303="DNB",I2303="Dry DNB"),1,0)</f>
        <v>0</v>
      </c>
      <c r="Z2303" s="46" t="n">
        <f aca="false">IF(ISNUMBER(W2303),A2303-W2303,"")</f>
        <v>13</v>
      </c>
      <c r="AA2303" s="46" t="n">
        <f aca="false">MATCH(A2303,DATAS,0)</f>
        <v>1</v>
      </c>
      <c r="AB2303" s="46" t="n">
        <f aca="false">IF(AND(E2303&gt;0,OR(AND(B2303&gt;=1,B2303&lt;=6),B2303=10)),1,0)</f>
        <v>0</v>
      </c>
      <c r="AC2303" s="46" t="n">
        <f aca="false">IF(AND(E2303&gt;0,B2303=10),1,0)</f>
        <v>0</v>
      </c>
      <c r="AD2303" s="0" t="str">
        <f aca="false">IF(AND(C2302=C2303,AA2302=AA2303-1),AB2302,"")</f>
        <v/>
      </c>
      <c r="AE2303" s="0" t="str">
        <f aca="false">IF(AND(C2302=C2303,AA2302=AA2303-1),AC2302,"")</f>
        <v/>
      </c>
      <c r="AF2303" s="0" t="str">
        <f aca="false">IF(AA2303=1,"",IF(AND(AB2303=1,AD2303&lt;&gt;1),1,0))</f>
        <v/>
      </c>
      <c r="AG2303" s="0" t="str">
        <f aca="false">IF(AA2303=1,"",IF(AND(AC2303=1,AE2303&lt;&gt;1),1,0))</f>
        <v/>
      </c>
      <c r="AH2303" s="51" t="str">
        <f aca="false">IF(AND(E2303&gt;0,AA2303&lt;1,NOT(AND(C2304=C2303,AA2304=AA2303+1))),INDEX(DATAS,AA2303+1),"")</f>
        <v/>
      </c>
      <c r="AI2303" s="51" t="str">
        <f aca="false">IF(AND(AC2303=1,AA2303&lt;1),IF(AND(C2304=C2303,AA2304=AA2303+1),IF(AC2304=1,"",INDEX(DATAS,AA2303+1)),INDEX(DATAS,AA2303+1)),"")</f>
        <v/>
      </c>
    </row>
    <row r="2304" customFormat="false" ht="15" hidden="false" customHeight="false" outlineLevel="0" collapsed="false">
      <c r="A2304" s="51" t="n">
        <v>46309</v>
      </c>
      <c r="B2304" s="0" t="n">
        <v>11</v>
      </c>
      <c r="C2304" s="0" t="n">
        <v>6595</v>
      </c>
      <c r="E2304" s="0" t="n">
        <v>0</v>
      </c>
      <c r="F2304" s="46" t="s">
        <v>1243</v>
      </c>
      <c r="I2304" s="46" t="s">
        <v>181</v>
      </c>
      <c r="U2304" s="0" t="n">
        <v>505</v>
      </c>
      <c r="V2304" s="0" t="n">
        <v>4</v>
      </c>
      <c r="W2304" s="51" t="n">
        <v>46305</v>
      </c>
      <c r="X2304" s="46" t="n">
        <f aca="false">IF(I2304="Male",0,1)</f>
        <v>1</v>
      </c>
      <c r="Y2304" s="46" t="n">
        <f aca="false">IF(OR(I2304="DNB",I2304="Dry DNB"),1,0)</f>
        <v>0</v>
      </c>
      <c r="Z2304" s="46" t="n">
        <f aca="false">IF(ISNUMBER(W2304),A2304-W2304,"")</f>
        <v>4</v>
      </c>
      <c r="AA2304" s="46" t="n">
        <f aca="false">MATCH(A2304,DATAS,0)</f>
        <v>1</v>
      </c>
      <c r="AB2304" s="46" t="n">
        <f aca="false">IF(AND(E2304&gt;0,OR(AND(B2304&gt;=1,B2304&lt;=6),B2304=10)),1,0)</f>
        <v>0</v>
      </c>
      <c r="AC2304" s="46" t="n">
        <f aca="false">IF(AND(E2304&gt;0,B2304=10),1,0)</f>
        <v>0</v>
      </c>
      <c r="AD2304" s="0" t="str">
        <f aca="false">IF(AND(C2303=C2304,AA2303=AA2304-1),AB2303,"")</f>
        <v/>
      </c>
      <c r="AE2304" s="0" t="str">
        <f aca="false">IF(AND(C2303=C2304,AA2303=AA2304-1),AC2303,"")</f>
        <v/>
      </c>
      <c r="AF2304" s="0" t="str">
        <f aca="false">IF(AA2304=1,"",IF(AND(AB2304=1,AD2304&lt;&gt;1),1,0))</f>
        <v/>
      </c>
      <c r="AG2304" s="0" t="str">
        <f aca="false">IF(AA2304=1,"",IF(AND(AC2304=1,AE2304&lt;&gt;1),1,0))</f>
        <v/>
      </c>
      <c r="AH2304" s="51" t="str">
        <f aca="false">IF(AND(E2304&gt;0,AA2304&lt;1,NOT(AND(C2305=C2304,AA2305=AA2304+1))),INDEX(DATAS,AA2304+1),"")</f>
        <v/>
      </c>
      <c r="AI2304" s="51" t="str">
        <f aca="false">IF(AND(AC2304=1,AA2304&lt;1),IF(AND(C2305=C2304,AA2305=AA2304+1),IF(AC2305=1,"",INDEX(DATAS,AA2304+1)),INDEX(DATAS,AA2304+1)),"")</f>
        <v/>
      </c>
    </row>
    <row r="2305" customFormat="false" ht="15" hidden="false" customHeight="false" outlineLevel="0" collapsed="false">
      <c r="A2305" s="51" t="n">
        <v>46309</v>
      </c>
      <c r="B2305" s="0" t="n">
        <v>8</v>
      </c>
      <c r="C2305" s="0" t="n">
        <v>6596</v>
      </c>
      <c r="E2305" s="0" t="n">
        <v>0</v>
      </c>
      <c r="F2305" s="46" t="s">
        <v>1243</v>
      </c>
      <c r="I2305" s="46" t="s">
        <v>152</v>
      </c>
      <c r="L2305" s="0" t="n">
        <v>105</v>
      </c>
      <c r="U2305" s="0" t="n">
        <v>505</v>
      </c>
      <c r="V2305" s="0" t="n">
        <v>1</v>
      </c>
      <c r="W2305" s="51" t="n">
        <v>46205</v>
      </c>
      <c r="X2305" s="46" t="n">
        <f aca="false">IF(I2305="Male",0,1)</f>
        <v>1</v>
      </c>
      <c r="Y2305" s="46" t="n">
        <f aca="false">IF(OR(I2305="DNB",I2305="Dry DNB"),1,0)</f>
        <v>0</v>
      </c>
      <c r="Z2305" s="46" t="n">
        <f aca="false">IF(ISNUMBER(W2305),A2305-W2305,"")</f>
        <v>104</v>
      </c>
      <c r="AA2305" s="46" t="n">
        <f aca="false">MATCH(A2305,DATAS,0)</f>
        <v>1</v>
      </c>
      <c r="AB2305" s="46" t="n">
        <f aca="false">IF(AND(E2305&gt;0,OR(AND(B2305&gt;=1,B2305&lt;=6),B2305=10)),1,0)</f>
        <v>0</v>
      </c>
      <c r="AC2305" s="46" t="n">
        <f aca="false">IF(AND(E2305&gt;0,B2305=10),1,0)</f>
        <v>0</v>
      </c>
      <c r="AD2305" s="0" t="str">
        <f aca="false">IF(AND(C2304=C2305,AA2304=AA2305-1),AB2304,"")</f>
        <v/>
      </c>
      <c r="AE2305" s="0" t="str">
        <f aca="false">IF(AND(C2304=C2305,AA2304=AA2305-1),AC2304,"")</f>
        <v/>
      </c>
      <c r="AF2305" s="0" t="str">
        <f aca="false">IF(AA2305=1,"",IF(AND(AB2305=1,AD2305&lt;&gt;1),1,0))</f>
        <v/>
      </c>
      <c r="AG2305" s="0" t="str">
        <f aca="false">IF(AA2305=1,"",IF(AND(AC2305=1,AE2305&lt;&gt;1),1,0))</f>
        <v/>
      </c>
      <c r="AH2305" s="51" t="str">
        <f aca="false">IF(AND(E2305&gt;0,AA2305&lt;1,NOT(AND(C2306=C2305,AA2306=AA2305+1))),INDEX(DATAS,AA2305+1),"")</f>
        <v/>
      </c>
      <c r="AI2305" s="51" t="str">
        <f aca="false">IF(AND(AC2305=1,AA2305&lt;1),IF(AND(C2306=C2305,AA2306=AA2305+1),IF(AC2306=1,"",INDEX(DATAS,AA2305+1)),INDEX(DATAS,AA2305+1)),"")</f>
        <v/>
      </c>
    </row>
    <row r="2306" customFormat="false" ht="15" hidden="false" customHeight="false" outlineLevel="0" collapsed="false">
      <c r="A2306" s="51" t="n">
        <v>46309</v>
      </c>
      <c r="B2306" s="0" t="n">
        <v>8</v>
      </c>
      <c r="C2306" s="0" t="n">
        <v>6598</v>
      </c>
      <c r="E2306" s="0" t="n">
        <v>0</v>
      </c>
      <c r="F2306" s="46" t="s">
        <v>1244</v>
      </c>
      <c r="I2306" s="46" t="s">
        <v>152</v>
      </c>
      <c r="L2306" s="0" t="n">
        <v>88</v>
      </c>
      <c r="U2306" s="0" t="n">
        <v>503</v>
      </c>
      <c r="V2306" s="0" t="n">
        <v>2</v>
      </c>
      <c r="W2306" s="51" t="n">
        <v>46222</v>
      </c>
      <c r="X2306" s="46" t="n">
        <f aca="false">IF(I2306="Male",0,1)</f>
        <v>1</v>
      </c>
      <c r="Y2306" s="46" t="n">
        <f aca="false">IF(OR(I2306="DNB",I2306="Dry DNB"),1,0)</f>
        <v>0</v>
      </c>
      <c r="Z2306" s="46" t="n">
        <f aca="false">IF(ISNUMBER(W2306),A2306-W2306,"")</f>
        <v>87</v>
      </c>
      <c r="AA2306" s="46" t="n">
        <f aca="false">MATCH(A2306,DATAS,0)</f>
        <v>1</v>
      </c>
      <c r="AB2306" s="46" t="n">
        <f aca="false">IF(AND(E2306&gt;0,OR(AND(B2306&gt;=1,B2306&lt;=6),B2306=10)),1,0)</f>
        <v>0</v>
      </c>
      <c r="AC2306" s="46" t="n">
        <f aca="false">IF(AND(E2306&gt;0,B2306=10),1,0)</f>
        <v>0</v>
      </c>
      <c r="AD2306" s="0" t="str">
        <f aca="false">IF(AND(C2305=C2306,AA2305=AA2306-1),AB2305,"")</f>
        <v/>
      </c>
      <c r="AE2306" s="0" t="str">
        <f aca="false">IF(AND(C2305=C2306,AA2305=AA2306-1),AC2305,"")</f>
        <v/>
      </c>
      <c r="AF2306" s="0" t="str">
        <f aca="false">IF(AA2306=1,"",IF(AND(AB2306=1,AD2306&lt;&gt;1),1,0))</f>
        <v/>
      </c>
      <c r="AG2306" s="0" t="str">
        <f aca="false">IF(AA2306=1,"",IF(AND(AC2306=1,AE2306&lt;&gt;1),1,0))</f>
        <v/>
      </c>
      <c r="AH2306" s="51" t="str">
        <f aca="false">IF(AND(E2306&gt;0,AA2306&lt;1,NOT(AND(C2307=C2306,AA2307=AA2306+1))),INDEX(DATAS,AA2306+1),"")</f>
        <v/>
      </c>
      <c r="AI2306" s="51" t="str">
        <f aca="false">IF(AND(AC2306=1,AA2306&lt;1),IF(AND(C2307=C2306,AA2307=AA2306+1),IF(AC2307=1,"",INDEX(DATAS,AA2306+1)),INDEX(DATAS,AA2306+1)),"")</f>
        <v/>
      </c>
    </row>
    <row r="2307" customFormat="false" ht="15" hidden="false" customHeight="false" outlineLevel="0" collapsed="false">
      <c r="A2307" s="51" t="n">
        <v>46309</v>
      </c>
      <c r="B2307" s="0" t="n">
        <v>11</v>
      </c>
      <c r="C2307" s="0" t="n">
        <v>6599</v>
      </c>
      <c r="E2307" s="0" t="n">
        <v>0</v>
      </c>
      <c r="F2307" s="46" t="s">
        <v>1244</v>
      </c>
      <c r="I2307" s="46" t="s">
        <v>181</v>
      </c>
      <c r="U2307" s="0" t="n">
        <v>503</v>
      </c>
      <c r="V2307" s="0" t="n">
        <v>4</v>
      </c>
      <c r="W2307" s="51" t="n">
        <v>46291</v>
      </c>
      <c r="X2307" s="46" t="n">
        <f aca="false">IF(I2307="Male",0,1)</f>
        <v>1</v>
      </c>
      <c r="Y2307" s="46" t="n">
        <f aca="false">IF(OR(I2307="DNB",I2307="Dry DNB"),1,0)</f>
        <v>0</v>
      </c>
      <c r="Z2307" s="46" t="n">
        <f aca="false">IF(ISNUMBER(W2307),A2307-W2307,"")</f>
        <v>18</v>
      </c>
      <c r="AA2307" s="46" t="n">
        <f aca="false">MATCH(A2307,DATAS,0)</f>
        <v>1</v>
      </c>
      <c r="AB2307" s="46" t="n">
        <f aca="false">IF(AND(E2307&gt;0,OR(AND(B2307&gt;=1,B2307&lt;=6),B2307=10)),1,0)</f>
        <v>0</v>
      </c>
      <c r="AC2307" s="46" t="n">
        <f aca="false">IF(AND(E2307&gt;0,B2307=10),1,0)</f>
        <v>0</v>
      </c>
      <c r="AD2307" s="0" t="str">
        <f aca="false">IF(AND(C2306=C2307,AA2306=AA2307-1),AB2306,"")</f>
        <v/>
      </c>
      <c r="AE2307" s="0" t="str">
        <f aca="false">IF(AND(C2306=C2307,AA2306=AA2307-1),AC2306,"")</f>
        <v/>
      </c>
      <c r="AF2307" s="0" t="str">
        <f aca="false">IF(AA2307=1,"",IF(AND(AB2307=1,AD2307&lt;&gt;1),1,0))</f>
        <v/>
      </c>
      <c r="AG2307" s="0" t="str">
        <f aca="false">IF(AA2307=1,"",IF(AND(AC2307=1,AE2307&lt;&gt;1),1,0))</f>
        <v/>
      </c>
      <c r="AH2307" s="51" t="str">
        <f aca="false">IF(AND(E2307&gt;0,AA2307&lt;1,NOT(AND(C2308=C2307,AA2308=AA2307+1))),INDEX(DATAS,AA2307+1),"")</f>
        <v/>
      </c>
      <c r="AI2307" s="51" t="str">
        <f aca="false">IF(AND(AC2307=1,AA2307&lt;1),IF(AND(C2308=C2307,AA2308=AA2307+1),IF(AC2308=1,"",INDEX(DATAS,AA2307+1)),INDEX(DATAS,AA2307+1)),"")</f>
        <v/>
      </c>
    </row>
    <row r="2308" customFormat="false" ht="15" hidden="false" customHeight="false" outlineLevel="0" collapsed="false">
      <c r="A2308" s="51" t="n">
        <v>46309</v>
      </c>
      <c r="B2308" s="0" t="n">
        <v>8</v>
      </c>
      <c r="C2308" s="0" t="n">
        <v>6600</v>
      </c>
      <c r="E2308" s="0" t="n">
        <v>0</v>
      </c>
      <c r="F2308" s="46" t="s">
        <v>1245</v>
      </c>
      <c r="I2308" s="46" t="s">
        <v>152</v>
      </c>
      <c r="L2308" s="0" t="n">
        <v>70</v>
      </c>
      <c r="U2308" s="0" t="n">
        <v>502</v>
      </c>
      <c r="V2308" s="0" t="n">
        <v>2</v>
      </c>
      <c r="W2308" s="51" t="n">
        <v>46240</v>
      </c>
      <c r="X2308" s="46" t="n">
        <f aca="false">IF(I2308="Male",0,1)</f>
        <v>1</v>
      </c>
      <c r="Y2308" s="46" t="n">
        <f aca="false">IF(OR(I2308="DNB",I2308="Dry DNB"),1,0)</f>
        <v>0</v>
      </c>
      <c r="Z2308" s="46" t="n">
        <f aca="false">IF(ISNUMBER(W2308),A2308-W2308,"")</f>
        <v>69</v>
      </c>
      <c r="AA2308" s="46" t="n">
        <f aca="false">MATCH(A2308,DATAS,0)</f>
        <v>1</v>
      </c>
      <c r="AB2308" s="46" t="n">
        <f aca="false">IF(AND(E2308&gt;0,OR(AND(B2308&gt;=1,B2308&lt;=6),B2308=10)),1,0)</f>
        <v>0</v>
      </c>
      <c r="AC2308" s="46" t="n">
        <f aca="false">IF(AND(E2308&gt;0,B2308=10),1,0)</f>
        <v>0</v>
      </c>
      <c r="AD2308" s="0" t="str">
        <f aca="false">IF(AND(C2307=C2308,AA2307=AA2308-1),AB2307,"")</f>
        <v/>
      </c>
      <c r="AE2308" s="0" t="str">
        <f aca="false">IF(AND(C2307=C2308,AA2307=AA2308-1),AC2307,"")</f>
        <v/>
      </c>
      <c r="AF2308" s="0" t="str">
        <f aca="false">IF(AA2308=1,"",IF(AND(AB2308=1,AD2308&lt;&gt;1),1,0))</f>
        <v/>
      </c>
      <c r="AG2308" s="0" t="str">
        <f aca="false">IF(AA2308=1,"",IF(AND(AC2308=1,AE2308&lt;&gt;1),1,0))</f>
        <v/>
      </c>
      <c r="AH2308" s="51" t="str">
        <f aca="false">IF(AND(E2308&gt;0,AA2308&lt;1,NOT(AND(C2309=C2308,AA2309=AA2308+1))),INDEX(DATAS,AA2308+1),"")</f>
        <v/>
      </c>
      <c r="AI2308" s="51" t="str">
        <f aca="false">IF(AND(AC2308=1,AA2308&lt;1),IF(AND(C2309=C2308,AA2309=AA2308+1),IF(AC2309=1,"",INDEX(DATAS,AA2308+1)),INDEX(DATAS,AA2308+1)),"")</f>
        <v/>
      </c>
    </row>
    <row r="2309" customFormat="false" ht="15" hidden="false" customHeight="false" outlineLevel="0" collapsed="false">
      <c r="A2309" s="51" t="n">
        <v>46309</v>
      </c>
      <c r="B2309" s="0" t="n">
        <v>8</v>
      </c>
      <c r="C2309" s="0" t="n">
        <v>6601</v>
      </c>
      <c r="E2309" s="0" t="n">
        <v>0</v>
      </c>
      <c r="F2309" s="46" t="s">
        <v>1245</v>
      </c>
      <c r="I2309" s="46" t="s">
        <v>152</v>
      </c>
      <c r="L2309" s="0" t="n">
        <v>103</v>
      </c>
      <c r="U2309" s="0" t="n">
        <v>502</v>
      </c>
      <c r="V2309" s="0" t="n">
        <v>1</v>
      </c>
      <c r="W2309" s="51" t="n">
        <v>46207</v>
      </c>
      <c r="X2309" s="46" t="n">
        <f aca="false">IF(I2309="Male",0,1)</f>
        <v>1</v>
      </c>
      <c r="Y2309" s="46" t="n">
        <f aca="false">IF(OR(I2309="DNB",I2309="Dry DNB"),1,0)</f>
        <v>0</v>
      </c>
      <c r="Z2309" s="46" t="n">
        <f aca="false">IF(ISNUMBER(W2309),A2309-W2309,"")</f>
        <v>102</v>
      </c>
      <c r="AA2309" s="46" t="n">
        <f aca="false">MATCH(A2309,DATAS,0)</f>
        <v>1</v>
      </c>
      <c r="AB2309" s="46" t="n">
        <f aca="false">IF(AND(E2309&gt;0,OR(AND(B2309&gt;=1,B2309&lt;=6),B2309=10)),1,0)</f>
        <v>0</v>
      </c>
      <c r="AC2309" s="46" t="n">
        <f aca="false">IF(AND(E2309&gt;0,B2309=10),1,0)</f>
        <v>0</v>
      </c>
      <c r="AD2309" s="0" t="str">
        <f aca="false">IF(AND(C2308=C2309,AA2308=AA2309-1),AB2308,"")</f>
        <v/>
      </c>
      <c r="AE2309" s="0" t="str">
        <f aca="false">IF(AND(C2308=C2309,AA2308=AA2309-1),AC2308,"")</f>
        <v/>
      </c>
      <c r="AF2309" s="0" t="str">
        <f aca="false">IF(AA2309=1,"",IF(AND(AB2309=1,AD2309&lt;&gt;1),1,0))</f>
        <v/>
      </c>
      <c r="AG2309" s="0" t="str">
        <f aca="false">IF(AA2309=1,"",IF(AND(AC2309=1,AE2309&lt;&gt;1),1,0))</f>
        <v/>
      </c>
      <c r="AH2309" s="51" t="str">
        <f aca="false">IF(AND(E2309&gt;0,AA2309&lt;1,NOT(AND(C2310=C2309,AA2310=AA2309+1))),INDEX(DATAS,AA2309+1),"")</f>
        <v/>
      </c>
      <c r="AI2309" s="51" t="str">
        <f aca="false">IF(AND(AC2309=1,AA2309&lt;1),IF(AND(C2310=C2309,AA2310=AA2309+1),IF(AC2310=1,"",INDEX(DATAS,AA2309+1)),INDEX(DATAS,AA2309+1)),"")</f>
        <v/>
      </c>
    </row>
    <row r="2310" customFormat="false" ht="15" hidden="false" customHeight="false" outlineLevel="0" collapsed="false">
      <c r="A2310" s="51" t="n">
        <v>46309</v>
      </c>
      <c r="B2310" s="0" t="n">
        <v>8</v>
      </c>
      <c r="C2310" s="0" t="n">
        <v>6602</v>
      </c>
      <c r="E2310" s="0" t="n">
        <v>0</v>
      </c>
      <c r="F2310" s="46" t="s">
        <v>1245</v>
      </c>
      <c r="I2310" s="46" t="s">
        <v>152</v>
      </c>
      <c r="L2310" s="0" t="n">
        <v>89</v>
      </c>
      <c r="U2310" s="0" t="n">
        <v>502</v>
      </c>
      <c r="V2310" s="0" t="n">
        <v>1</v>
      </c>
      <c r="W2310" s="51" t="n">
        <v>46221</v>
      </c>
      <c r="X2310" s="46" t="n">
        <f aca="false">IF(I2310="Male",0,1)</f>
        <v>1</v>
      </c>
      <c r="Y2310" s="46" t="n">
        <f aca="false">IF(OR(I2310="DNB",I2310="Dry DNB"),1,0)</f>
        <v>0</v>
      </c>
      <c r="Z2310" s="46" t="n">
        <f aca="false">IF(ISNUMBER(W2310),A2310-W2310,"")</f>
        <v>88</v>
      </c>
      <c r="AA2310" s="46" t="n">
        <f aca="false">MATCH(A2310,DATAS,0)</f>
        <v>1</v>
      </c>
      <c r="AB2310" s="46" t="n">
        <f aca="false">IF(AND(E2310&gt;0,OR(AND(B2310&gt;=1,B2310&lt;=6),B2310=10)),1,0)</f>
        <v>0</v>
      </c>
      <c r="AC2310" s="46" t="n">
        <f aca="false">IF(AND(E2310&gt;0,B2310=10),1,0)</f>
        <v>0</v>
      </c>
      <c r="AD2310" s="0" t="str">
        <f aca="false">IF(AND(C2309=C2310,AA2309=AA2310-1),AB2309,"")</f>
        <v/>
      </c>
      <c r="AE2310" s="0" t="str">
        <f aca="false">IF(AND(C2309=C2310,AA2309=AA2310-1),AC2309,"")</f>
        <v/>
      </c>
      <c r="AF2310" s="0" t="str">
        <f aca="false">IF(AA2310=1,"",IF(AND(AB2310=1,AD2310&lt;&gt;1),1,0))</f>
        <v/>
      </c>
      <c r="AG2310" s="0" t="str">
        <f aca="false">IF(AA2310=1,"",IF(AND(AC2310=1,AE2310&lt;&gt;1),1,0))</f>
        <v/>
      </c>
      <c r="AH2310" s="51" t="str">
        <f aca="false">IF(AND(E2310&gt;0,AA2310&lt;1,NOT(AND(C2311=C2310,AA2311=AA2310+1))),INDEX(DATAS,AA2310+1),"")</f>
        <v/>
      </c>
      <c r="AI2310" s="51" t="str">
        <f aca="false">IF(AND(AC2310=1,AA2310&lt;1),IF(AND(C2311=C2310,AA2311=AA2310+1),IF(AC2311=1,"",INDEX(DATAS,AA2310+1)),INDEX(DATAS,AA2310+1)),"")</f>
        <v/>
      </c>
    </row>
    <row r="2311" customFormat="false" ht="15" hidden="false" customHeight="false" outlineLevel="0" collapsed="false">
      <c r="A2311" s="51" t="n">
        <v>46309</v>
      </c>
      <c r="B2311" s="0" t="n">
        <v>8</v>
      </c>
      <c r="C2311" s="0" t="n">
        <v>6603</v>
      </c>
      <c r="E2311" s="0" t="n">
        <v>0</v>
      </c>
      <c r="F2311" s="46" t="s">
        <v>1245</v>
      </c>
      <c r="I2311" s="46" t="s">
        <v>152</v>
      </c>
      <c r="L2311" s="0" t="n">
        <v>104</v>
      </c>
      <c r="U2311" s="0" t="n">
        <v>502</v>
      </c>
      <c r="V2311" s="0" t="n">
        <v>1</v>
      </c>
      <c r="W2311" s="51" t="n">
        <v>46206</v>
      </c>
      <c r="X2311" s="46" t="n">
        <f aca="false">IF(I2311="Male",0,1)</f>
        <v>1</v>
      </c>
      <c r="Y2311" s="46" t="n">
        <f aca="false">IF(OR(I2311="DNB",I2311="Dry DNB"),1,0)</f>
        <v>0</v>
      </c>
      <c r="Z2311" s="46" t="n">
        <f aca="false">IF(ISNUMBER(W2311),A2311-W2311,"")</f>
        <v>103</v>
      </c>
      <c r="AA2311" s="46" t="n">
        <f aca="false">MATCH(A2311,DATAS,0)</f>
        <v>1</v>
      </c>
      <c r="AB2311" s="46" t="n">
        <f aca="false">IF(AND(E2311&gt;0,OR(AND(B2311&gt;=1,B2311&lt;=6),B2311=10)),1,0)</f>
        <v>0</v>
      </c>
      <c r="AC2311" s="46" t="n">
        <f aca="false">IF(AND(E2311&gt;0,B2311=10),1,0)</f>
        <v>0</v>
      </c>
      <c r="AD2311" s="0" t="str">
        <f aca="false">IF(AND(C2310=C2311,AA2310=AA2311-1),AB2310,"")</f>
        <v/>
      </c>
      <c r="AE2311" s="0" t="str">
        <f aca="false">IF(AND(C2310=C2311,AA2310=AA2311-1),AC2310,"")</f>
        <v/>
      </c>
      <c r="AF2311" s="0" t="str">
        <f aca="false">IF(AA2311=1,"",IF(AND(AB2311=1,AD2311&lt;&gt;1),1,0))</f>
        <v/>
      </c>
      <c r="AG2311" s="0" t="str">
        <f aca="false">IF(AA2311=1,"",IF(AND(AC2311=1,AE2311&lt;&gt;1),1,0))</f>
        <v/>
      </c>
      <c r="AH2311" s="51" t="str">
        <f aca="false">IF(AND(E2311&gt;0,AA2311&lt;1,NOT(AND(C2312=C2311,AA2312=AA2311+1))),INDEX(DATAS,AA2311+1),"")</f>
        <v/>
      </c>
      <c r="AI2311" s="51" t="str">
        <f aca="false">IF(AND(AC2311=1,AA2311&lt;1),IF(AND(C2312=C2311,AA2312=AA2311+1),IF(AC2312=1,"",INDEX(DATAS,AA2311+1)),INDEX(DATAS,AA2311+1)),"")</f>
        <v/>
      </c>
    </row>
    <row r="2312" customFormat="false" ht="15" hidden="false" customHeight="false" outlineLevel="0" collapsed="false">
      <c r="A2312" s="51" t="n">
        <v>46309</v>
      </c>
      <c r="B2312" s="0" t="n">
        <v>8</v>
      </c>
      <c r="C2312" s="0" t="n">
        <v>6604</v>
      </c>
      <c r="E2312" s="0" t="n">
        <v>0</v>
      </c>
      <c r="F2312" s="46" t="s">
        <v>1245</v>
      </c>
      <c r="I2312" s="46" t="s">
        <v>152</v>
      </c>
      <c r="L2312" s="0" t="n">
        <v>70</v>
      </c>
      <c r="U2312" s="0" t="n">
        <v>502</v>
      </c>
      <c r="V2312" s="0" t="n">
        <v>1</v>
      </c>
      <c r="W2312" s="51" t="n">
        <v>46240</v>
      </c>
      <c r="X2312" s="46" t="n">
        <f aca="false">IF(I2312="Male",0,1)</f>
        <v>1</v>
      </c>
      <c r="Y2312" s="46" t="n">
        <f aca="false">IF(OR(I2312="DNB",I2312="Dry DNB"),1,0)</f>
        <v>0</v>
      </c>
      <c r="Z2312" s="46" t="n">
        <f aca="false">IF(ISNUMBER(W2312),A2312-W2312,"")</f>
        <v>69</v>
      </c>
      <c r="AA2312" s="46" t="n">
        <f aca="false">MATCH(A2312,DATAS,0)</f>
        <v>1</v>
      </c>
      <c r="AB2312" s="46" t="n">
        <f aca="false">IF(AND(E2312&gt;0,OR(AND(B2312&gt;=1,B2312&lt;=6),B2312=10)),1,0)</f>
        <v>0</v>
      </c>
      <c r="AC2312" s="46" t="n">
        <f aca="false">IF(AND(E2312&gt;0,B2312=10),1,0)</f>
        <v>0</v>
      </c>
      <c r="AD2312" s="0" t="str">
        <f aca="false">IF(AND(C2311=C2312,AA2311=AA2312-1),AB2311,"")</f>
        <v/>
      </c>
      <c r="AE2312" s="0" t="str">
        <f aca="false">IF(AND(C2311=C2312,AA2311=AA2312-1),AC2311,"")</f>
        <v/>
      </c>
      <c r="AF2312" s="0" t="str">
        <f aca="false">IF(AA2312=1,"",IF(AND(AB2312=1,AD2312&lt;&gt;1),1,0))</f>
        <v/>
      </c>
      <c r="AG2312" s="0" t="str">
        <f aca="false">IF(AA2312=1,"",IF(AND(AC2312=1,AE2312&lt;&gt;1),1,0))</f>
        <v/>
      </c>
      <c r="AH2312" s="51" t="str">
        <f aca="false">IF(AND(E2312&gt;0,AA2312&lt;1,NOT(AND(C2313=C2312,AA2313=AA2312+1))),INDEX(DATAS,AA2312+1),"")</f>
        <v/>
      </c>
      <c r="AI2312" s="51" t="str">
        <f aca="false">IF(AND(AC2312=1,AA2312&lt;1),IF(AND(C2313=C2312,AA2313=AA2312+1),IF(AC2313=1,"",INDEX(DATAS,AA2312+1)),INDEX(DATAS,AA2312+1)),"")</f>
        <v/>
      </c>
    </row>
    <row r="2313" customFormat="false" ht="15" hidden="false" customHeight="false" outlineLevel="0" collapsed="false">
      <c r="A2313" s="51" t="n">
        <v>46309</v>
      </c>
      <c r="B2313" s="0" t="n">
        <v>8</v>
      </c>
      <c r="C2313" s="0" t="n">
        <v>6605</v>
      </c>
      <c r="E2313" s="0" t="n">
        <v>0</v>
      </c>
      <c r="F2313" s="46" t="s">
        <v>1245</v>
      </c>
      <c r="I2313" s="46" t="s">
        <v>152</v>
      </c>
      <c r="L2313" s="0" t="n">
        <v>81</v>
      </c>
      <c r="U2313" s="0" t="n">
        <v>502</v>
      </c>
      <c r="V2313" s="0" t="n">
        <v>2</v>
      </c>
      <c r="W2313" s="51" t="n">
        <v>46229</v>
      </c>
      <c r="X2313" s="46" t="n">
        <f aca="false">IF(I2313="Male",0,1)</f>
        <v>1</v>
      </c>
      <c r="Y2313" s="46" t="n">
        <f aca="false">IF(OR(I2313="DNB",I2313="Dry DNB"),1,0)</f>
        <v>0</v>
      </c>
      <c r="Z2313" s="46" t="n">
        <f aca="false">IF(ISNUMBER(W2313),A2313-W2313,"")</f>
        <v>80</v>
      </c>
      <c r="AA2313" s="46" t="n">
        <f aca="false">MATCH(A2313,DATAS,0)</f>
        <v>1</v>
      </c>
      <c r="AB2313" s="46" t="n">
        <f aca="false">IF(AND(E2313&gt;0,OR(AND(B2313&gt;=1,B2313&lt;=6),B2313=10)),1,0)</f>
        <v>0</v>
      </c>
      <c r="AC2313" s="46" t="n">
        <f aca="false">IF(AND(E2313&gt;0,B2313=10),1,0)</f>
        <v>0</v>
      </c>
      <c r="AD2313" s="0" t="str">
        <f aca="false">IF(AND(C2312=C2313,AA2312=AA2313-1),AB2312,"")</f>
        <v/>
      </c>
      <c r="AE2313" s="0" t="str">
        <f aca="false">IF(AND(C2312=C2313,AA2312=AA2313-1),AC2312,"")</f>
        <v/>
      </c>
      <c r="AF2313" s="0" t="str">
        <f aca="false">IF(AA2313=1,"",IF(AND(AB2313=1,AD2313&lt;&gt;1),1,0))</f>
        <v/>
      </c>
      <c r="AG2313" s="0" t="str">
        <f aca="false">IF(AA2313=1,"",IF(AND(AC2313=1,AE2313&lt;&gt;1),1,0))</f>
        <v/>
      </c>
      <c r="AH2313" s="51" t="str">
        <f aca="false">IF(AND(E2313&gt;0,AA2313&lt;1,NOT(AND(C2314=C2313,AA2314=AA2313+1))),INDEX(DATAS,AA2313+1),"")</f>
        <v/>
      </c>
      <c r="AI2313" s="51" t="str">
        <f aca="false">IF(AND(AC2313=1,AA2313&lt;1),IF(AND(C2314=C2313,AA2314=AA2313+1),IF(AC2314=1,"",INDEX(DATAS,AA2313+1)),INDEX(DATAS,AA2313+1)),"")</f>
        <v/>
      </c>
    </row>
    <row r="2314" customFormat="false" ht="15" hidden="false" customHeight="false" outlineLevel="0" collapsed="false">
      <c r="A2314" s="51" t="n">
        <v>46309</v>
      </c>
      <c r="B2314" s="0" t="n">
        <v>8</v>
      </c>
      <c r="C2314" s="0" t="n">
        <v>6607</v>
      </c>
      <c r="E2314" s="0" t="n">
        <v>0</v>
      </c>
      <c r="F2314" s="46" t="s">
        <v>1246</v>
      </c>
      <c r="I2314" s="46" t="s">
        <v>152</v>
      </c>
      <c r="L2314" s="0" t="n">
        <v>106</v>
      </c>
      <c r="U2314" s="0" t="n">
        <v>501</v>
      </c>
      <c r="V2314" s="0" t="n">
        <v>1</v>
      </c>
      <c r="W2314" s="51" t="n">
        <v>46204</v>
      </c>
      <c r="X2314" s="46" t="n">
        <f aca="false">IF(I2314="Male",0,1)</f>
        <v>1</v>
      </c>
      <c r="Y2314" s="46" t="n">
        <f aca="false">IF(OR(I2314="DNB",I2314="Dry DNB"),1,0)</f>
        <v>0</v>
      </c>
      <c r="Z2314" s="46" t="n">
        <f aca="false">IF(ISNUMBER(W2314),A2314-W2314,"")</f>
        <v>105</v>
      </c>
      <c r="AA2314" s="46" t="n">
        <f aca="false">MATCH(A2314,DATAS,0)</f>
        <v>1</v>
      </c>
      <c r="AB2314" s="46" t="n">
        <f aca="false">IF(AND(E2314&gt;0,OR(AND(B2314&gt;=1,B2314&lt;=6),B2314=10)),1,0)</f>
        <v>0</v>
      </c>
      <c r="AC2314" s="46" t="n">
        <f aca="false">IF(AND(E2314&gt;0,B2314=10),1,0)</f>
        <v>0</v>
      </c>
      <c r="AD2314" s="0" t="str">
        <f aca="false">IF(AND(C2313=C2314,AA2313=AA2314-1),AB2313,"")</f>
        <v/>
      </c>
      <c r="AE2314" s="0" t="str">
        <f aca="false">IF(AND(C2313=C2314,AA2313=AA2314-1),AC2313,"")</f>
        <v/>
      </c>
      <c r="AF2314" s="0" t="str">
        <f aca="false">IF(AA2314=1,"",IF(AND(AB2314=1,AD2314&lt;&gt;1),1,0))</f>
        <v/>
      </c>
      <c r="AG2314" s="0" t="str">
        <f aca="false">IF(AA2314=1,"",IF(AND(AC2314=1,AE2314&lt;&gt;1),1,0))</f>
        <v/>
      </c>
      <c r="AH2314" s="51" t="str">
        <f aca="false">IF(AND(E2314&gt;0,AA2314&lt;1,NOT(AND(C2315=C2314,AA2315=AA2314+1))),INDEX(DATAS,AA2314+1),"")</f>
        <v/>
      </c>
      <c r="AI2314" s="51" t="str">
        <f aca="false">IF(AND(AC2314=1,AA2314&lt;1),IF(AND(C2315=C2314,AA2315=AA2314+1),IF(AC2315=1,"",INDEX(DATAS,AA2314+1)),INDEX(DATAS,AA2314+1)),"")</f>
        <v/>
      </c>
    </row>
    <row r="2315" customFormat="false" ht="15" hidden="false" customHeight="false" outlineLevel="0" collapsed="false">
      <c r="A2315" s="51" t="n">
        <v>46309</v>
      </c>
      <c r="B2315" s="0" t="n">
        <v>8</v>
      </c>
      <c r="C2315" s="0" t="n">
        <v>6608</v>
      </c>
      <c r="E2315" s="0" t="n">
        <v>0</v>
      </c>
      <c r="F2315" s="46" t="s">
        <v>1247</v>
      </c>
      <c r="I2315" s="46" t="s">
        <v>152</v>
      </c>
      <c r="L2315" s="0" t="n">
        <v>72</v>
      </c>
      <c r="U2315" s="0" t="n">
        <v>500</v>
      </c>
      <c r="V2315" s="0" t="n">
        <v>1</v>
      </c>
      <c r="W2315" s="51" t="n">
        <v>46238</v>
      </c>
      <c r="X2315" s="46" t="n">
        <f aca="false">IF(I2315="Male",0,1)</f>
        <v>1</v>
      </c>
      <c r="Y2315" s="46" t="n">
        <f aca="false">IF(OR(I2315="DNB",I2315="Dry DNB"),1,0)</f>
        <v>0</v>
      </c>
      <c r="Z2315" s="46" t="n">
        <f aca="false">IF(ISNUMBER(W2315),A2315-W2315,"")</f>
        <v>71</v>
      </c>
      <c r="AA2315" s="46" t="n">
        <f aca="false">MATCH(A2315,DATAS,0)</f>
        <v>1</v>
      </c>
      <c r="AB2315" s="46" t="n">
        <f aca="false">IF(AND(E2315&gt;0,OR(AND(B2315&gt;=1,B2315&lt;=6),B2315=10)),1,0)</f>
        <v>0</v>
      </c>
      <c r="AC2315" s="46" t="n">
        <f aca="false">IF(AND(E2315&gt;0,B2315=10),1,0)</f>
        <v>0</v>
      </c>
      <c r="AD2315" s="0" t="str">
        <f aca="false">IF(AND(C2314=C2315,AA2314=AA2315-1),AB2314,"")</f>
        <v/>
      </c>
      <c r="AE2315" s="0" t="str">
        <f aca="false">IF(AND(C2314=C2315,AA2314=AA2315-1),AC2314,"")</f>
        <v/>
      </c>
      <c r="AF2315" s="0" t="str">
        <f aca="false">IF(AA2315=1,"",IF(AND(AB2315=1,AD2315&lt;&gt;1),1,0))</f>
        <v/>
      </c>
      <c r="AG2315" s="0" t="str">
        <f aca="false">IF(AA2315=1,"",IF(AND(AC2315=1,AE2315&lt;&gt;1),1,0))</f>
        <v/>
      </c>
      <c r="AH2315" s="51" t="str">
        <f aca="false">IF(AND(E2315&gt;0,AA2315&lt;1,NOT(AND(C2316=C2315,AA2316=AA2315+1))),INDEX(DATAS,AA2315+1),"")</f>
        <v/>
      </c>
      <c r="AI2315" s="51" t="str">
        <f aca="false">IF(AND(AC2315=1,AA2315&lt;1),IF(AND(C2316=C2315,AA2316=AA2315+1),IF(AC2316=1,"",INDEX(DATAS,AA2315+1)),INDEX(DATAS,AA2315+1)),"")</f>
        <v/>
      </c>
    </row>
    <row r="2316" customFormat="false" ht="15" hidden="false" customHeight="false" outlineLevel="0" collapsed="false">
      <c r="A2316" s="51" t="n">
        <v>46309</v>
      </c>
      <c r="B2316" s="0" t="n">
        <v>8</v>
      </c>
      <c r="C2316" s="0" t="n">
        <v>6609</v>
      </c>
      <c r="E2316" s="0" t="n">
        <v>0</v>
      </c>
      <c r="F2316" s="46" t="s">
        <v>1246</v>
      </c>
      <c r="I2316" s="46" t="s">
        <v>152</v>
      </c>
      <c r="L2316" s="0" t="n">
        <v>103</v>
      </c>
      <c r="U2316" s="0" t="n">
        <v>501</v>
      </c>
      <c r="V2316" s="0" t="n">
        <v>1</v>
      </c>
      <c r="W2316" s="51" t="n">
        <v>46207</v>
      </c>
      <c r="X2316" s="46" t="n">
        <f aca="false">IF(I2316="Male",0,1)</f>
        <v>1</v>
      </c>
      <c r="Y2316" s="46" t="n">
        <f aca="false">IF(OR(I2316="DNB",I2316="Dry DNB"),1,0)</f>
        <v>0</v>
      </c>
      <c r="Z2316" s="46" t="n">
        <f aca="false">IF(ISNUMBER(W2316),A2316-W2316,"")</f>
        <v>102</v>
      </c>
      <c r="AA2316" s="46" t="n">
        <f aca="false">MATCH(A2316,DATAS,0)</f>
        <v>1</v>
      </c>
      <c r="AB2316" s="46" t="n">
        <f aca="false">IF(AND(E2316&gt;0,OR(AND(B2316&gt;=1,B2316&lt;=6),B2316=10)),1,0)</f>
        <v>0</v>
      </c>
      <c r="AC2316" s="46" t="n">
        <f aca="false">IF(AND(E2316&gt;0,B2316=10),1,0)</f>
        <v>0</v>
      </c>
      <c r="AD2316" s="0" t="str">
        <f aca="false">IF(AND(C2315=C2316,AA2315=AA2316-1),AB2315,"")</f>
        <v/>
      </c>
      <c r="AE2316" s="0" t="str">
        <f aca="false">IF(AND(C2315=C2316,AA2315=AA2316-1),AC2315,"")</f>
        <v/>
      </c>
      <c r="AF2316" s="0" t="str">
        <f aca="false">IF(AA2316=1,"",IF(AND(AB2316=1,AD2316&lt;&gt;1),1,0))</f>
        <v/>
      </c>
      <c r="AG2316" s="0" t="str">
        <f aca="false">IF(AA2316=1,"",IF(AND(AC2316=1,AE2316&lt;&gt;1),1,0))</f>
        <v/>
      </c>
      <c r="AH2316" s="51" t="str">
        <f aca="false">IF(AND(E2316&gt;0,AA2316&lt;1,NOT(AND(C2317=C2316,AA2317=AA2316+1))),INDEX(DATAS,AA2316+1),"")</f>
        <v/>
      </c>
      <c r="AI2316" s="51" t="str">
        <f aca="false">IF(AND(AC2316=1,AA2316&lt;1),IF(AND(C2317=C2316,AA2317=AA2316+1),IF(AC2317=1,"",INDEX(DATAS,AA2316+1)),INDEX(DATAS,AA2316+1)),"")</f>
        <v/>
      </c>
    </row>
    <row r="2317" customFormat="false" ht="15" hidden="false" customHeight="false" outlineLevel="0" collapsed="false">
      <c r="A2317" s="51" t="n">
        <v>46309</v>
      </c>
      <c r="B2317" s="0" t="n">
        <v>8</v>
      </c>
      <c r="C2317" s="0" t="n">
        <v>6611</v>
      </c>
      <c r="E2317" s="0" t="n">
        <v>0</v>
      </c>
      <c r="F2317" s="46" t="s">
        <v>1246</v>
      </c>
      <c r="I2317" s="46" t="s">
        <v>152</v>
      </c>
      <c r="L2317" s="0" t="n">
        <v>72</v>
      </c>
      <c r="U2317" s="0" t="n">
        <v>501</v>
      </c>
      <c r="V2317" s="0" t="n">
        <v>2</v>
      </c>
      <c r="W2317" s="51" t="n">
        <v>46238</v>
      </c>
      <c r="X2317" s="46" t="n">
        <f aca="false">IF(I2317="Male",0,1)</f>
        <v>1</v>
      </c>
      <c r="Y2317" s="46" t="n">
        <f aca="false">IF(OR(I2317="DNB",I2317="Dry DNB"),1,0)</f>
        <v>0</v>
      </c>
      <c r="Z2317" s="46" t="n">
        <f aca="false">IF(ISNUMBER(W2317),A2317-W2317,"")</f>
        <v>71</v>
      </c>
      <c r="AA2317" s="46" t="n">
        <f aca="false">MATCH(A2317,DATAS,0)</f>
        <v>1</v>
      </c>
      <c r="AB2317" s="46" t="n">
        <f aca="false">IF(AND(E2317&gt;0,OR(AND(B2317&gt;=1,B2317&lt;=6),B2317=10)),1,0)</f>
        <v>0</v>
      </c>
      <c r="AC2317" s="46" t="n">
        <f aca="false">IF(AND(E2317&gt;0,B2317=10),1,0)</f>
        <v>0</v>
      </c>
      <c r="AD2317" s="0" t="str">
        <f aca="false">IF(AND(C2316=C2317,AA2316=AA2317-1),AB2316,"")</f>
        <v/>
      </c>
      <c r="AE2317" s="0" t="str">
        <f aca="false">IF(AND(C2316=C2317,AA2316=AA2317-1),AC2316,"")</f>
        <v/>
      </c>
      <c r="AF2317" s="0" t="str">
        <f aca="false">IF(AA2317=1,"",IF(AND(AB2317=1,AD2317&lt;&gt;1),1,0))</f>
        <v/>
      </c>
      <c r="AG2317" s="0" t="str">
        <f aca="false">IF(AA2317=1,"",IF(AND(AC2317=1,AE2317&lt;&gt;1),1,0))</f>
        <v/>
      </c>
      <c r="AH2317" s="51" t="str">
        <f aca="false">IF(AND(E2317&gt;0,AA2317&lt;1,NOT(AND(C2318=C2317,AA2318=AA2317+1))),INDEX(DATAS,AA2317+1),"")</f>
        <v/>
      </c>
      <c r="AI2317" s="51" t="str">
        <f aca="false">IF(AND(AC2317=1,AA2317&lt;1),IF(AND(C2318=C2317,AA2318=AA2317+1),IF(AC2318=1,"",INDEX(DATAS,AA2317+1)),INDEX(DATAS,AA2317+1)),"")</f>
        <v/>
      </c>
    </row>
    <row r="2318" customFormat="false" ht="15" hidden="false" customHeight="false" outlineLevel="0" collapsed="false">
      <c r="A2318" s="51" t="n">
        <v>46309</v>
      </c>
      <c r="B2318" s="0" t="n">
        <v>8</v>
      </c>
      <c r="C2318" s="0" t="n">
        <v>6613</v>
      </c>
      <c r="E2318" s="0" t="n">
        <v>0</v>
      </c>
      <c r="F2318" s="46" t="s">
        <v>1248</v>
      </c>
      <c r="I2318" s="46" t="s">
        <v>152</v>
      </c>
      <c r="L2318" s="0" t="n">
        <v>63</v>
      </c>
      <c r="U2318" s="0" t="n">
        <v>499</v>
      </c>
      <c r="V2318" s="0" t="n">
        <v>1</v>
      </c>
      <c r="W2318" s="51" t="n">
        <v>46247</v>
      </c>
      <c r="X2318" s="46" t="n">
        <f aca="false">IF(I2318="Male",0,1)</f>
        <v>1</v>
      </c>
      <c r="Y2318" s="46" t="n">
        <f aca="false">IF(OR(I2318="DNB",I2318="Dry DNB"),1,0)</f>
        <v>0</v>
      </c>
      <c r="Z2318" s="46" t="n">
        <f aca="false">IF(ISNUMBER(W2318),A2318-W2318,"")</f>
        <v>62</v>
      </c>
      <c r="AA2318" s="46" t="n">
        <f aca="false">MATCH(A2318,DATAS,0)</f>
        <v>1</v>
      </c>
      <c r="AB2318" s="46" t="n">
        <f aca="false">IF(AND(E2318&gt;0,OR(AND(B2318&gt;=1,B2318&lt;=6),B2318=10)),1,0)</f>
        <v>0</v>
      </c>
      <c r="AC2318" s="46" t="n">
        <f aca="false">IF(AND(E2318&gt;0,B2318=10),1,0)</f>
        <v>0</v>
      </c>
      <c r="AD2318" s="0" t="str">
        <f aca="false">IF(AND(C2317=C2318,AA2317=AA2318-1),AB2317,"")</f>
        <v/>
      </c>
      <c r="AE2318" s="0" t="str">
        <f aca="false">IF(AND(C2317=C2318,AA2317=AA2318-1),AC2317,"")</f>
        <v/>
      </c>
      <c r="AF2318" s="0" t="str">
        <f aca="false">IF(AA2318=1,"",IF(AND(AB2318=1,AD2318&lt;&gt;1),1,0))</f>
        <v/>
      </c>
      <c r="AG2318" s="0" t="str">
        <f aca="false">IF(AA2318=1,"",IF(AND(AC2318=1,AE2318&lt;&gt;1),1,0))</f>
        <v/>
      </c>
      <c r="AH2318" s="51" t="str">
        <f aca="false">IF(AND(E2318&gt;0,AA2318&lt;1,NOT(AND(C2319=C2318,AA2319=AA2318+1))),INDEX(DATAS,AA2318+1),"")</f>
        <v/>
      </c>
      <c r="AI2318" s="51" t="str">
        <f aca="false">IF(AND(AC2318=1,AA2318&lt;1),IF(AND(C2319=C2318,AA2319=AA2318+1),IF(AC2319=1,"",INDEX(DATAS,AA2318+1)),INDEX(DATAS,AA2318+1)),"")</f>
        <v/>
      </c>
    </row>
    <row r="2319" customFormat="false" ht="15" hidden="false" customHeight="false" outlineLevel="0" collapsed="false">
      <c r="A2319" s="51" t="n">
        <v>46309</v>
      </c>
      <c r="B2319" s="0" t="n">
        <v>8</v>
      </c>
      <c r="C2319" s="0" t="n">
        <v>6614</v>
      </c>
      <c r="E2319" s="0" t="n">
        <v>0</v>
      </c>
      <c r="F2319" s="46" t="s">
        <v>1248</v>
      </c>
      <c r="I2319" s="46" t="s">
        <v>152</v>
      </c>
      <c r="L2319" s="0" t="n">
        <v>84</v>
      </c>
      <c r="U2319" s="0" t="n">
        <v>499</v>
      </c>
      <c r="V2319" s="0" t="n">
        <v>1</v>
      </c>
      <c r="W2319" s="51" t="n">
        <v>46226</v>
      </c>
      <c r="X2319" s="46" t="n">
        <f aca="false">IF(I2319="Male",0,1)</f>
        <v>1</v>
      </c>
      <c r="Y2319" s="46" t="n">
        <f aca="false">IF(OR(I2319="DNB",I2319="Dry DNB"),1,0)</f>
        <v>0</v>
      </c>
      <c r="Z2319" s="46" t="n">
        <f aca="false">IF(ISNUMBER(W2319),A2319-W2319,"")</f>
        <v>83</v>
      </c>
      <c r="AA2319" s="46" t="n">
        <f aca="false">MATCH(A2319,DATAS,0)</f>
        <v>1</v>
      </c>
      <c r="AB2319" s="46" t="n">
        <f aca="false">IF(AND(E2319&gt;0,OR(AND(B2319&gt;=1,B2319&lt;=6),B2319=10)),1,0)</f>
        <v>0</v>
      </c>
      <c r="AC2319" s="46" t="n">
        <f aca="false">IF(AND(E2319&gt;0,B2319=10),1,0)</f>
        <v>0</v>
      </c>
      <c r="AD2319" s="0" t="str">
        <f aca="false">IF(AND(C2318=C2319,AA2318=AA2319-1),AB2318,"")</f>
        <v/>
      </c>
      <c r="AE2319" s="0" t="str">
        <f aca="false">IF(AND(C2318=C2319,AA2318=AA2319-1),AC2318,"")</f>
        <v/>
      </c>
      <c r="AF2319" s="0" t="str">
        <f aca="false">IF(AA2319=1,"",IF(AND(AB2319=1,AD2319&lt;&gt;1),1,0))</f>
        <v/>
      </c>
      <c r="AG2319" s="0" t="str">
        <f aca="false">IF(AA2319=1,"",IF(AND(AC2319=1,AE2319&lt;&gt;1),1,0))</f>
        <v/>
      </c>
      <c r="AH2319" s="51" t="str">
        <f aca="false">IF(AND(E2319&gt;0,AA2319&lt;1,NOT(AND(C2320=C2319,AA2320=AA2319+1))),INDEX(DATAS,AA2319+1),"")</f>
        <v/>
      </c>
      <c r="AI2319" s="51" t="str">
        <f aca="false">IF(AND(AC2319=1,AA2319&lt;1),IF(AND(C2320=C2319,AA2320=AA2319+1),IF(AC2320=1,"",INDEX(DATAS,AA2319+1)),INDEX(DATAS,AA2319+1)),"")</f>
        <v/>
      </c>
    </row>
    <row r="2320" customFormat="false" ht="15" hidden="false" customHeight="false" outlineLevel="0" collapsed="false">
      <c r="A2320" s="51" t="n">
        <v>46309</v>
      </c>
      <c r="B2320" s="0" t="n">
        <v>8</v>
      </c>
      <c r="C2320" s="0" t="n">
        <v>6615</v>
      </c>
      <c r="E2320" s="0" t="n">
        <v>0</v>
      </c>
      <c r="F2320" s="46" t="s">
        <v>1249</v>
      </c>
      <c r="I2320" s="46" t="s">
        <v>152</v>
      </c>
      <c r="L2320" s="0" t="n">
        <v>62</v>
      </c>
      <c r="U2320" s="0" t="n">
        <v>498</v>
      </c>
      <c r="V2320" s="0" t="n">
        <v>1</v>
      </c>
      <c r="W2320" s="51" t="n">
        <v>46248</v>
      </c>
      <c r="X2320" s="46" t="n">
        <f aca="false">IF(I2320="Male",0,1)</f>
        <v>1</v>
      </c>
      <c r="Y2320" s="46" t="n">
        <f aca="false">IF(OR(I2320="DNB",I2320="Dry DNB"),1,0)</f>
        <v>0</v>
      </c>
      <c r="Z2320" s="46" t="n">
        <f aca="false">IF(ISNUMBER(W2320),A2320-W2320,"")</f>
        <v>61</v>
      </c>
      <c r="AA2320" s="46" t="n">
        <f aca="false">MATCH(A2320,DATAS,0)</f>
        <v>1</v>
      </c>
      <c r="AB2320" s="46" t="n">
        <f aca="false">IF(AND(E2320&gt;0,OR(AND(B2320&gt;=1,B2320&lt;=6),B2320=10)),1,0)</f>
        <v>0</v>
      </c>
      <c r="AC2320" s="46" t="n">
        <f aca="false">IF(AND(E2320&gt;0,B2320=10),1,0)</f>
        <v>0</v>
      </c>
      <c r="AD2320" s="0" t="str">
        <f aca="false">IF(AND(C2319=C2320,AA2319=AA2320-1),AB2319,"")</f>
        <v/>
      </c>
      <c r="AE2320" s="0" t="str">
        <f aca="false">IF(AND(C2319=C2320,AA2319=AA2320-1),AC2319,"")</f>
        <v/>
      </c>
      <c r="AF2320" s="0" t="str">
        <f aca="false">IF(AA2320=1,"",IF(AND(AB2320=1,AD2320&lt;&gt;1),1,0))</f>
        <v/>
      </c>
      <c r="AG2320" s="0" t="str">
        <f aca="false">IF(AA2320=1,"",IF(AND(AC2320=1,AE2320&lt;&gt;1),1,0))</f>
        <v/>
      </c>
      <c r="AH2320" s="51" t="str">
        <f aca="false">IF(AND(E2320&gt;0,AA2320&lt;1,NOT(AND(C2321=C2320,AA2321=AA2320+1))),INDEX(DATAS,AA2320+1),"")</f>
        <v/>
      </c>
      <c r="AI2320" s="51" t="str">
        <f aca="false">IF(AND(AC2320=1,AA2320&lt;1),IF(AND(C2321=C2320,AA2321=AA2320+1),IF(AC2321=1,"",INDEX(DATAS,AA2320+1)),INDEX(DATAS,AA2320+1)),"")</f>
        <v/>
      </c>
    </row>
    <row r="2321" customFormat="false" ht="15" hidden="false" customHeight="false" outlineLevel="0" collapsed="false">
      <c r="A2321" s="51" t="n">
        <v>46309</v>
      </c>
      <c r="B2321" s="0" t="n">
        <v>8</v>
      </c>
      <c r="C2321" s="0" t="n">
        <v>6616</v>
      </c>
      <c r="E2321" s="0" t="n">
        <v>0</v>
      </c>
      <c r="F2321" s="46" t="s">
        <v>1249</v>
      </c>
      <c r="I2321" s="46" t="s">
        <v>152</v>
      </c>
      <c r="L2321" s="0" t="n">
        <v>77</v>
      </c>
      <c r="U2321" s="0" t="n">
        <v>498</v>
      </c>
      <c r="V2321" s="0" t="n">
        <v>1</v>
      </c>
      <c r="W2321" s="51" t="n">
        <v>46233</v>
      </c>
      <c r="X2321" s="46" t="n">
        <f aca="false">IF(I2321="Male",0,1)</f>
        <v>1</v>
      </c>
      <c r="Y2321" s="46" t="n">
        <f aca="false">IF(OR(I2321="DNB",I2321="Dry DNB"),1,0)</f>
        <v>0</v>
      </c>
      <c r="Z2321" s="46" t="n">
        <f aca="false">IF(ISNUMBER(W2321),A2321-W2321,"")</f>
        <v>76</v>
      </c>
      <c r="AA2321" s="46" t="n">
        <f aca="false">MATCH(A2321,DATAS,0)</f>
        <v>1</v>
      </c>
      <c r="AB2321" s="46" t="n">
        <f aca="false">IF(AND(E2321&gt;0,OR(AND(B2321&gt;=1,B2321&lt;=6),B2321=10)),1,0)</f>
        <v>0</v>
      </c>
      <c r="AC2321" s="46" t="n">
        <f aca="false">IF(AND(E2321&gt;0,B2321=10),1,0)</f>
        <v>0</v>
      </c>
      <c r="AD2321" s="0" t="str">
        <f aca="false">IF(AND(C2320=C2321,AA2320=AA2321-1),AB2320,"")</f>
        <v/>
      </c>
      <c r="AE2321" s="0" t="str">
        <f aca="false">IF(AND(C2320=C2321,AA2320=AA2321-1),AC2320,"")</f>
        <v/>
      </c>
      <c r="AF2321" s="0" t="str">
        <f aca="false">IF(AA2321=1,"",IF(AND(AB2321=1,AD2321&lt;&gt;1),1,0))</f>
        <v/>
      </c>
      <c r="AG2321" s="0" t="str">
        <f aca="false">IF(AA2321=1,"",IF(AND(AC2321=1,AE2321&lt;&gt;1),1,0))</f>
        <v/>
      </c>
      <c r="AH2321" s="51" t="str">
        <f aca="false">IF(AND(E2321&gt;0,AA2321&lt;1,NOT(AND(C2322=C2321,AA2322=AA2321+1))),INDEX(DATAS,AA2321+1),"")</f>
        <v/>
      </c>
      <c r="AI2321" s="51" t="str">
        <f aca="false">IF(AND(AC2321=1,AA2321&lt;1),IF(AND(C2322=C2321,AA2322=AA2321+1),IF(AC2322=1,"",INDEX(DATAS,AA2321+1)),INDEX(DATAS,AA2321+1)),"")</f>
        <v/>
      </c>
    </row>
    <row r="2322" customFormat="false" ht="15" hidden="false" customHeight="false" outlineLevel="0" collapsed="false">
      <c r="A2322" s="51" t="n">
        <v>46309</v>
      </c>
      <c r="B2322" s="0" t="n">
        <v>8</v>
      </c>
      <c r="C2322" s="0" t="n">
        <v>6617</v>
      </c>
      <c r="E2322" s="0" t="n">
        <v>0</v>
      </c>
      <c r="F2322" s="46" t="s">
        <v>1249</v>
      </c>
      <c r="I2322" s="46" t="s">
        <v>152</v>
      </c>
      <c r="L2322" s="0" t="n">
        <v>98</v>
      </c>
      <c r="U2322" s="0" t="n">
        <v>498</v>
      </c>
      <c r="V2322" s="0" t="n">
        <v>1</v>
      </c>
      <c r="W2322" s="51" t="n">
        <v>46212</v>
      </c>
      <c r="X2322" s="46" t="n">
        <f aca="false">IF(I2322="Male",0,1)</f>
        <v>1</v>
      </c>
      <c r="Y2322" s="46" t="n">
        <f aca="false">IF(OR(I2322="DNB",I2322="Dry DNB"),1,0)</f>
        <v>0</v>
      </c>
      <c r="Z2322" s="46" t="n">
        <f aca="false">IF(ISNUMBER(W2322),A2322-W2322,"")</f>
        <v>97</v>
      </c>
      <c r="AA2322" s="46" t="n">
        <f aca="false">MATCH(A2322,DATAS,0)</f>
        <v>1</v>
      </c>
      <c r="AB2322" s="46" t="n">
        <f aca="false">IF(AND(E2322&gt;0,OR(AND(B2322&gt;=1,B2322&lt;=6),B2322=10)),1,0)</f>
        <v>0</v>
      </c>
      <c r="AC2322" s="46" t="n">
        <f aca="false">IF(AND(E2322&gt;0,B2322=10),1,0)</f>
        <v>0</v>
      </c>
      <c r="AD2322" s="0" t="str">
        <f aca="false">IF(AND(C2321=C2322,AA2321=AA2322-1),AB2321,"")</f>
        <v/>
      </c>
      <c r="AE2322" s="0" t="str">
        <f aca="false">IF(AND(C2321=C2322,AA2321=AA2322-1),AC2321,"")</f>
        <v/>
      </c>
      <c r="AF2322" s="0" t="str">
        <f aca="false">IF(AA2322=1,"",IF(AND(AB2322=1,AD2322&lt;&gt;1),1,0))</f>
        <v/>
      </c>
      <c r="AG2322" s="0" t="str">
        <f aca="false">IF(AA2322=1,"",IF(AND(AC2322=1,AE2322&lt;&gt;1),1,0))</f>
        <v/>
      </c>
      <c r="AH2322" s="51" t="str">
        <f aca="false">IF(AND(E2322&gt;0,AA2322&lt;1,NOT(AND(C2323=C2322,AA2323=AA2322+1))),INDEX(DATAS,AA2322+1),"")</f>
        <v/>
      </c>
      <c r="AI2322" s="51" t="str">
        <f aca="false">IF(AND(AC2322=1,AA2322&lt;1),IF(AND(C2323=C2322,AA2323=AA2322+1),IF(AC2323=1,"",INDEX(DATAS,AA2322+1)),INDEX(DATAS,AA2322+1)),"")</f>
        <v/>
      </c>
    </row>
    <row r="2323" customFormat="false" ht="15" hidden="false" customHeight="false" outlineLevel="0" collapsed="false">
      <c r="A2323" s="51" t="n">
        <v>46309</v>
      </c>
      <c r="B2323" s="0" t="n">
        <v>8</v>
      </c>
      <c r="C2323" s="0" t="n">
        <v>6618</v>
      </c>
      <c r="E2323" s="0" t="n">
        <v>0</v>
      </c>
      <c r="F2323" s="46" t="s">
        <v>1249</v>
      </c>
      <c r="I2323" s="46" t="s">
        <v>152</v>
      </c>
      <c r="L2323" s="0" t="n">
        <v>96</v>
      </c>
      <c r="U2323" s="0" t="n">
        <v>498</v>
      </c>
      <c r="V2323" s="0" t="n">
        <v>1</v>
      </c>
      <c r="W2323" s="51" t="n">
        <v>46214</v>
      </c>
      <c r="X2323" s="46" t="n">
        <f aca="false">IF(I2323="Male",0,1)</f>
        <v>1</v>
      </c>
      <c r="Y2323" s="46" t="n">
        <f aca="false">IF(OR(I2323="DNB",I2323="Dry DNB"),1,0)</f>
        <v>0</v>
      </c>
      <c r="Z2323" s="46" t="n">
        <f aca="false">IF(ISNUMBER(W2323),A2323-W2323,"")</f>
        <v>95</v>
      </c>
      <c r="AA2323" s="46" t="n">
        <f aca="false">MATCH(A2323,DATAS,0)</f>
        <v>1</v>
      </c>
      <c r="AB2323" s="46" t="n">
        <f aca="false">IF(AND(E2323&gt;0,OR(AND(B2323&gt;=1,B2323&lt;=6),B2323=10)),1,0)</f>
        <v>0</v>
      </c>
      <c r="AC2323" s="46" t="n">
        <f aca="false">IF(AND(E2323&gt;0,B2323=10),1,0)</f>
        <v>0</v>
      </c>
      <c r="AD2323" s="0" t="str">
        <f aca="false">IF(AND(C2322=C2323,AA2322=AA2323-1),AB2322,"")</f>
        <v/>
      </c>
      <c r="AE2323" s="0" t="str">
        <f aca="false">IF(AND(C2322=C2323,AA2322=AA2323-1),AC2322,"")</f>
        <v/>
      </c>
      <c r="AF2323" s="0" t="str">
        <f aca="false">IF(AA2323=1,"",IF(AND(AB2323=1,AD2323&lt;&gt;1),1,0))</f>
        <v/>
      </c>
      <c r="AG2323" s="0" t="str">
        <f aca="false">IF(AA2323=1,"",IF(AND(AC2323=1,AE2323&lt;&gt;1),1,0))</f>
        <v/>
      </c>
      <c r="AH2323" s="51" t="str">
        <f aca="false">IF(AND(E2323&gt;0,AA2323&lt;1,NOT(AND(C2324=C2323,AA2324=AA2323+1))),INDEX(DATAS,AA2323+1),"")</f>
        <v/>
      </c>
      <c r="AI2323" s="51" t="str">
        <f aca="false">IF(AND(AC2323=1,AA2323&lt;1),IF(AND(C2324=C2323,AA2324=AA2323+1),IF(AC2324=1,"",INDEX(DATAS,AA2323+1)),INDEX(DATAS,AA2323+1)),"")</f>
        <v/>
      </c>
    </row>
    <row r="2324" customFormat="false" ht="15" hidden="false" customHeight="false" outlineLevel="0" collapsed="false">
      <c r="A2324" s="51" t="n">
        <v>46309</v>
      </c>
      <c r="B2324" s="0" t="n">
        <v>8</v>
      </c>
      <c r="C2324" s="0" t="n">
        <v>6619</v>
      </c>
      <c r="E2324" s="0" t="n">
        <v>0</v>
      </c>
      <c r="F2324" s="46" t="s">
        <v>1250</v>
      </c>
      <c r="I2324" s="46" t="s">
        <v>152</v>
      </c>
      <c r="L2324" s="0" t="n">
        <v>92</v>
      </c>
      <c r="U2324" s="0" t="n">
        <v>496</v>
      </c>
      <c r="V2324" s="0" t="n">
        <v>1</v>
      </c>
      <c r="W2324" s="51" t="n">
        <v>46218</v>
      </c>
      <c r="X2324" s="46" t="n">
        <f aca="false">IF(I2324="Male",0,1)</f>
        <v>1</v>
      </c>
      <c r="Y2324" s="46" t="n">
        <f aca="false">IF(OR(I2324="DNB",I2324="Dry DNB"),1,0)</f>
        <v>0</v>
      </c>
      <c r="Z2324" s="46" t="n">
        <f aca="false">IF(ISNUMBER(W2324),A2324-W2324,"")</f>
        <v>91</v>
      </c>
      <c r="AA2324" s="46" t="n">
        <f aca="false">MATCH(A2324,DATAS,0)</f>
        <v>1</v>
      </c>
      <c r="AB2324" s="46" t="n">
        <f aca="false">IF(AND(E2324&gt;0,OR(AND(B2324&gt;=1,B2324&lt;=6),B2324=10)),1,0)</f>
        <v>0</v>
      </c>
      <c r="AC2324" s="46" t="n">
        <f aca="false">IF(AND(E2324&gt;0,B2324=10),1,0)</f>
        <v>0</v>
      </c>
      <c r="AD2324" s="0" t="str">
        <f aca="false">IF(AND(C2323=C2324,AA2323=AA2324-1),AB2323,"")</f>
        <v/>
      </c>
      <c r="AE2324" s="0" t="str">
        <f aca="false">IF(AND(C2323=C2324,AA2323=AA2324-1),AC2323,"")</f>
        <v/>
      </c>
      <c r="AF2324" s="0" t="str">
        <f aca="false">IF(AA2324=1,"",IF(AND(AB2324=1,AD2324&lt;&gt;1),1,0))</f>
        <v/>
      </c>
      <c r="AG2324" s="0" t="str">
        <f aca="false">IF(AA2324=1,"",IF(AND(AC2324=1,AE2324&lt;&gt;1),1,0))</f>
        <v/>
      </c>
      <c r="AH2324" s="51" t="str">
        <f aca="false">IF(AND(E2324&gt;0,AA2324&lt;1,NOT(AND(C2325=C2324,AA2325=AA2324+1))),INDEX(DATAS,AA2324+1),"")</f>
        <v/>
      </c>
      <c r="AI2324" s="51" t="str">
        <f aca="false">IF(AND(AC2324=1,AA2324&lt;1),IF(AND(C2325=C2324,AA2325=AA2324+1),IF(AC2325=1,"",INDEX(DATAS,AA2324+1)),INDEX(DATAS,AA2324+1)),"")</f>
        <v/>
      </c>
    </row>
    <row r="2325" customFormat="false" ht="15" hidden="false" customHeight="false" outlineLevel="0" collapsed="false">
      <c r="A2325" s="51" t="n">
        <v>46309</v>
      </c>
      <c r="B2325" s="0" t="n">
        <v>8</v>
      </c>
      <c r="C2325" s="0" t="n">
        <v>6620</v>
      </c>
      <c r="E2325" s="0" t="n">
        <v>0</v>
      </c>
      <c r="F2325" s="46" t="s">
        <v>1250</v>
      </c>
      <c r="I2325" s="46" t="s">
        <v>152</v>
      </c>
      <c r="L2325" s="0" t="n">
        <v>85</v>
      </c>
      <c r="U2325" s="0" t="n">
        <v>496</v>
      </c>
      <c r="V2325" s="0" t="n">
        <v>2</v>
      </c>
      <c r="W2325" s="51" t="n">
        <v>46225</v>
      </c>
      <c r="X2325" s="46" t="n">
        <f aca="false">IF(I2325="Male",0,1)</f>
        <v>1</v>
      </c>
      <c r="Y2325" s="46" t="n">
        <f aca="false">IF(OR(I2325="DNB",I2325="Dry DNB"),1,0)</f>
        <v>0</v>
      </c>
      <c r="Z2325" s="46" t="n">
        <f aca="false">IF(ISNUMBER(W2325),A2325-W2325,"")</f>
        <v>84</v>
      </c>
      <c r="AA2325" s="46" t="n">
        <f aca="false">MATCH(A2325,DATAS,0)</f>
        <v>1</v>
      </c>
      <c r="AB2325" s="46" t="n">
        <f aca="false">IF(AND(E2325&gt;0,OR(AND(B2325&gt;=1,B2325&lt;=6),B2325=10)),1,0)</f>
        <v>0</v>
      </c>
      <c r="AC2325" s="46" t="n">
        <f aca="false">IF(AND(E2325&gt;0,B2325=10),1,0)</f>
        <v>0</v>
      </c>
      <c r="AD2325" s="0" t="str">
        <f aca="false">IF(AND(C2324=C2325,AA2324=AA2325-1),AB2324,"")</f>
        <v/>
      </c>
      <c r="AE2325" s="0" t="str">
        <f aca="false">IF(AND(C2324=C2325,AA2324=AA2325-1),AC2324,"")</f>
        <v/>
      </c>
      <c r="AF2325" s="0" t="str">
        <f aca="false">IF(AA2325=1,"",IF(AND(AB2325=1,AD2325&lt;&gt;1),1,0))</f>
        <v/>
      </c>
      <c r="AG2325" s="0" t="str">
        <f aca="false">IF(AA2325=1,"",IF(AND(AC2325=1,AE2325&lt;&gt;1),1,0))</f>
        <v/>
      </c>
      <c r="AH2325" s="51" t="str">
        <f aca="false">IF(AND(E2325&gt;0,AA2325&lt;1,NOT(AND(C2326=C2325,AA2326=AA2325+1))),INDEX(DATAS,AA2325+1),"")</f>
        <v/>
      </c>
      <c r="AI2325" s="51" t="str">
        <f aca="false">IF(AND(AC2325=1,AA2325&lt;1),IF(AND(C2326=C2325,AA2326=AA2325+1),IF(AC2326=1,"",INDEX(DATAS,AA2325+1)),INDEX(DATAS,AA2325+1)),"")</f>
        <v/>
      </c>
    </row>
    <row r="2326" customFormat="false" ht="15" hidden="false" customHeight="false" outlineLevel="0" collapsed="false">
      <c r="A2326" s="51" t="n">
        <v>46309</v>
      </c>
      <c r="B2326" s="0" t="n">
        <v>11</v>
      </c>
      <c r="C2326" s="0" t="n">
        <v>6621</v>
      </c>
      <c r="E2326" s="0" t="n">
        <v>0</v>
      </c>
      <c r="F2326" s="46" t="s">
        <v>1250</v>
      </c>
      <c r="I2326" s="46" t="s">
        <v>181</v>
      </c>
      <c r="U2326" s="0" t="n">
        <v>496</v>
      </c>
      <c r="V2326" s="0" t="n">
        <v>4</v>
      </c>
      <c r="W2326" s="51" t="n">
        <v>46288</v>
      </c>
      <c r="X2326" s="46" t="n">
        <f aca="false">IF(I2326="Male",0,1)</f>
        <v>1</v>
      </c>
      <c r="Y2326" s="46" t="n">
        <f aca="false">IF(OR(I2326="DNB",I2326="Dry DNB"),1,0)</f>
        <v>0</v>
      </c>
      <c r="Z2326" s="46" t="n">
        <f aca="false">IF(ISNUMBER(W2326),A2326-W2326,"")</f>
        <v>21</v>
      </c>
      <c r="AA2326" s="46" t="n">
        <f aca="false">MATCH(A2326,DATAS,0)</f>
        <v>1</v>
      </c>
      <c r="AB2326" s="46" t="n">
        <f aca="false">IF(AND(E2326&gt;0,OR(AND(B2326&gt;=1,B2326&lt;=6),B2326=10)),1,0)</f>
        <v>0</v>
      </c>
      <c r="AC2326" s="46" t="n">
        <f aca="false">IF(AND(E2326&gt;0,B2326=10),1,0)</f>
        <v>0</v>
      </c>
      <c r="AD2326" s="0" t="str">
        <f aca="false">IF(AND(C2325=C2326,AA2325=AA2326-1),AB2325,"")</f>
        <v/>
      </c>
      <c r="AE2326" s="0" t="str">
        <f aca="false">IF(AND(C2325=C2326,AA2325=AA2326-1),AC2325,"")</f>
        <v/>
      </c>
      <c r="AF2326" s="0" t="str">
        <f aca="false">IF(AA2326=1,"",IF(AND(AB2326=1,AD2326&lt;&gt;1),1,0))</f>
        <v/>
      </c>
      <c r="AG2326" s="0" t="str">
        <f aca="false">IF(AA2326=1,"",IF(AND(AC2326=1,AE2326&lt;&gt;1),1,0))</f>
        <v/>
      </c>
      <c r="AH2326" s="51" t="str">
        <f aca="false">IF(AND(E2326&gt;0,AA2326&lt;1,NOT(AND(C2327=C2326,AA2327=AA2326+1))),INDEX(DATAS,AA2326+1),"")</f>
        <v/>
      </c>
      <c r="AI2326" s="51" t="str">
        <f aca="false">IF(AND(AC2326=1,AA2326&lt;1),IF(AND(C2327=C2326,AA2327=AA2326+1),IF(AC2327=1,"",INDEX(DATAS,AA2326+1)),INDEX(DATAS,AA2326+1)),"")</f>
        <v/>
      </c>
    </row>
    <row r="2327" customFormat="false" ht="15" hidden="false" customHeight="false" outlineLevel="0" collapsed="false">
      <c r="A2327" s="51" t="n">
        <v>46309</v>
      </c>
      <c r="B2327" s="0" t="n">
        <v>8</v>
      </c>
      <c r="C2327" s="0" t="n">
        <v>6622</v>
      </c>
      <c r="E2327" s="0" t="n">
        <v>0</v>
      </c>
      <c r="F2327" s="46" t="s">
        <v>1250</v>
      </c>
      <c r="I2327" s="46" t="s">
        <v>152</v>
      </c>
      <c r="L2327" s="0" t="n">
        <v>55</v>
      </c>
      <c r="U2327" s="0" t="n">
        <v>496</v>
      </c>
      <c r="V2327" s="0" t="n">
        <v>2</v>
      </c>
      <c r="W2327" s="51" t="n">
        <v>46214</v>
      </c>
      <c r="X2327" s="46" t="n">
        <f aca="false">IF(I2327="Male",0,1)</f>
        <v>1</v>
      </c>
      <c r="Y2327" s="46" t="n">
        <f aca="false">IF(OR(I2327="DNB",I2327="Dry DNB"),1,0)</f>
        <v>0</v>
      </c>
      <c r="Z2327" s="46" t="n">
        <f aca="false">IF(ISNUMBER(W2327),A2327-W2327,"")</f>
        <v>95</v>
      </c>
      <c r="AA2327" s="46" t="n">
        <f aca="false">MATCH(A2327,DATAS,0)</f>
        <v>1</v>
      </c>
      <c r="AB2327" s="46" t="n">
        <f aca="false">IF(AND(E2327&gt;0,OR(AND(B2327&gt;=1,B2327&lt;=6),B2327=10)),1,0)</f>
        <v>0</v>
      </c>
      <c r="AC2327" s="46" t="n">
        <f aca="false">IF(AND(E2327&gt;0,B2327=10),1,0)</f>
        <v>0</v>
      </c>
      <c r="AD2327" s="0" t="str">
        <f aca="false">IF(AND(C2326=C2327,AA2326=AA2327-1),AB2326,"")</f>
        <v/>
      </c>
      <c r="AE2327" s="0" t="str">
        <f aca="false">IF(AND(C2326=C2327,AA2326=AA2327-1),AC2326,"")</f>
        <v/>
      </c>
      <c r="AF2327" s="0" t="str">
        <f aca="false">IF(AA2327=1,"",IF(AND(AB2327=1,AD2327&lt;&gt;1),1,0))</f>
        <v/>
      </c>
      <c r="AG2327" s="0" t="str">
        <f aca="false">IF(AA2327=1,"",IF(AND(AC2327=1,AE2327&lt;&gt;1),1,0))</f>
        <v/>
      </c>
      <c r="AH2327" s="51" t="str">
        <f aca="false">IF(AND(E2327&gt;0,AA2327&lt;1,NOT(AND(C2328=C2327,AA2328=AA2327+1))),INDEX(DATAS,AA2327+1),"")</f>
        <v/>
      </c>
      <c r="AI2327" s="51" t="str">
        <f aca="false">IF(AND(AC2327=1,AA2327&lt;1),IF(AND(C2328=C2327,AA2328=AA2327+1),IF(AC2328=1,"",INDEX(DATAS,AA2327+1)),INDEX(DATAS,AA2327+1)),"")</f>
        <v/>
      </c>
    </row>
    <row r="2328" customFormat="false" ht="15" hidden="false" customHeight="false" outlineLevel="0" collapsed="false">
      <c r="A2328" s="51" t="n">
        <v>46309</v>
      </c>
      <c r="B2328" s="0" t="n">
        <v>8</v>
      </c>
      <c r="C2328" s="0" t="n">
        <v>6623</v>
      </c>
      <c r="E2328" s="0" t="n">
        <v>0</v>
      </c>
      <c r="F2328" s="46" t="s">
        <v>1250</v>
      </c>
      <c r="I2328" s="46" t="s">
        <v>152</v>
      </c>
      <c r="L2328" s="0" t="n">
        <v>96</v>
      </c>
      <c r="U2328" s="0" t="n">
        <v>496</v>
      </c>
      <c r="V2328" s="0" t="n">
        <v>1</v>
      </c>
      <c r="W2328" s="51" t="n">
        <v>46214</v>
      </c>
      <c r="X2328" s="46" t="n">
        <f aca="false">IF(I2328="Male",0,1)</f>
        <v>1</v>
      </c>
      <c r="Y2328" s="46" t="n">
        <f aca="false">IF(OR(I2328="DNB",I2328="Dry DNB"),1,0)</f>
        <v>0</v>
      </c>
      <c r="Z2328" s="46" t="n">
        <f aca="false">IF(ISNUMBER(W2328),A2328-W2328,"")</f>
        <v>95</v>
      </c>
      <c r="AA2328" s="46" t="n">
        <f aca="false">MATCH(A2328,DATAS,0)</f>
        <v>1</v>
      </c>
      <c r="AB2328" s="46" t="n">
        <f aca="false">IF(AND(E2328&gt;0,OR(AND(B2328&gt;=1,B2328&lt;=6),B2328=10)),1,0)</f>
        <v>0</v>
      </c>
      <c r="AC2328" s="46" t="n">
        <f aca="false">IF(AND(E2328&gt;0,B2328=10),1,0)</f>
        <v>0</v>
      </c>
      <c r="AD2328" s="0" t="str">
        <f aca="false">IF(AND(C2327=C2328,AA2327=AA2328-1),AB2327,"")</f>
        <v/>
      </c>
      <c r="AE2328" s="0" t="str">
        <f aca="false">IF(AND(C2327=C2328,AA2327=AA2328-1),AC2327,"")</f>
        <v/>
      </c>
      <c r="AF2328" s="0" t="str">
        <f aca="false">IF(AA2328=1,"",IF(AND(AB2328=1,AD2328&lt;&gt;1),1,0))</f>
        <v/>
      </c>
      <c r="AG2328" s="0" t="str">
        <f aca="false">IF(AA2328=1,"",IF(AND(AC2328=1,AE2328&lt;&gt;1),1,0))</f>
        <v/>
      </c>
      <c r="AH2328" s="51" t="str">
        <f aca="false">IF(AND(E2328&gt;0,AA2328&lt;1,NOT(AND(C2329=C2328,AA2329=AA2328+1))),INDEX(DATAS,AA2328+1),"")</f>
        <v/>
      </c>
      <c r="AI2328" s="51" t="str">
        <f aca="false">IF(AND(AC2328=1,AA2328&lt;1),IF(AND(C2329=C2328,AA2329=AA2328+1),IF(AC2329=1,"",INDEX(DATAS,AA2328+1)),INDEX(DATAS,AA2328+1)),"")</f>
        <v/>
      </c>
    </row>
    <row r="2329" customFormat="false" ht="15" hidden="false" customHeight="false" outlineLevel="0" collapsed="false">
      <c r="A2329" s="51" t="n">
        <v>46309</v>
      </c>
      <c r="B2329" s="0" t="n">
        <v>8</v>
      </c>
      <c r="C2329" s="0" t="n">
        <v>6625</v>
      </c>
      <c r="E2329" s="0" t="n">
        <v>0</v>
      </c>
      <c r="F2329" s="46" t="s">
        <v>1250</v>
      </c>
      <c r="I2329" s="46" t="s">
        <v>152</v>
      </c>
      <c r="L2329" s="0" t="n">
        <v>92</v>
      </c>
      <c r="U2329" s="0" t="n">
        <v>496</v>
      </c>
      <c r="V2329" s="0" t="n">
        <v>1</v>
      </c>
      <c r="W2329" s="51" t="n">
        <v>46218</v>
      </c>
      <c r="X2329" s="46" t="n">
        <f aca="false">IF(I2329="Male",0,1)</f>
        <v>1</v>
      </c>
      <c r="Y2329" s="46" t="n">
        <f aca="false">IF(OR(I2329="DNB",I2329="Dry DNB"),1,0)</f>
        <v>0</v>
      </c>
      <c r="Z2329" s="46" t="n">
        <f aca="false">IF(ISNUMBER(W2329),A2329-W2329,"")</f>
        <v>91</v>
      </c>
      <c r="AA2329" s="46" t="n">
        <f aca="false">MATCH(A2329,DATAS,0)</f>
        <v>1</v>
      </c>
      <c r="AB2329" s="46" t="n">
        <f aca="false">IF(AND(E2329&gt;0,OR(AND(B2329&gt;=1,B2329&lt;=6),B2329=10)),1,0)</f>
        <v>0</v>
      </c>
      <c r="AC2329" s="46" t="n">
        <f aca="false">IF(AND(E2329&gt;0,B2329=10),1,0)</f>
        <v>0</v>
      </c>
      <c r="AD2329" s="0" t="str">
        <f aca="false">IF(AND(C2328=C2329,AA2328=AA2329-1),AB2328,"")</f>
        <v/>
      </c>
      <c r="AE2329" s="0" t="str">
        <f aca="false">IF(AND(C2328=C2329,AA2328=AA2329-1),AC2328,"")</f>
        <v/>
      </c>
      <c r="AF2329" s="0" t="str">
        <f aca="false">IF(AA2329=1,"",IF(AND(AB2329=1,AD2329&lt;&gt;1),1,0))</f>
        <v/>
      </c>
      <c r="AG2329" s="0" t="str">
        <f aca="false">IF(AA2329=1,"",IF(AND(AC2329=1,AE2329&lt;&gt;1),1,0))</f>
        <v/>
      </c>
      <c r="AH2329" s="51" t="str">
        <f aca="false">IF(AND(E2329&gt;0,AA2329&lt;1,NOT(AND(C2330=C2329,AA2330=AA2329+1))),INDEX(DATAS,AA2329+1),"")</f>
        <v/>
      </c>
      <c r="AI2329" s="51" t="str">
        <f aca="false">IF(AND(AC2329=1,AA2329&lt;1),IF(AND(C2330=C2329,AA2330=AA2329+1),IF(AC2330=1,"",INDEX(DATAS,AA2329+1)),INDEX(DATAS,AA2329+1)),"")</f>
        <v/>
      </c>
    </row>
    <row r="2330" customFormat="false" ht="15" hidden="false" customHeight="false" outlineLevel="0" collapsed="false">
      <c r="A2330" s="51" t="n">
        <v>46309</v>
      </c>
      <c r="B2330" s="0" t="n">
        <v>8</v>
      </c>
      <c r="C2330" s="0" t="n">
        <v>6626</v>
      </c>
      <c r="E2330" s="0" t="n">
        <v>0</v>
      </c>
      <c r="F2330" s="46" t="s">
        <v>1251</v>
      </c>
      <c r="I2330" s="46" t="s">
        <v>152</v>
      </c>
      <c r="L2330" s="0" t="n">
        <v>72</v>
      </c>
      <c r="U2330" s="0" t="n">
        <v>495</v>
      </c>
      <c r="V2330" s="0" t="n">
        <v>2</v>
      </c>
      <c r="W2330" s="51" t="n">
        <v>46238</v>
      </c>
      <c r="X2330" s="46" t="n">
        <f aca="false">IF(I2330="Male",0,1)</f>
        <v>1</v>
      </c>
      <c r="Y2330" s="46" t="n">
        <f aca="false">IF(OR(I2330="DNB",I2330="Dry DNB"),1,0)</f>
        <v>0</v>
      </c>
      <c r="Z2330" s="46" t="n">
        <f aca="false">IF(ISNUMBER(W2330),A2330-W2330,"")</f>
        <v>71</v>
      </c>
      <c r="AA2330" s="46" t="n">
        <f aca="false">MATCH(A2330,DATAS,0)</f>
        <v>1</v>
      </c>
      <c r="AB2330" s="46" t="n">
        <f aca="false">IF(AND(E2330&gt;0,OR(AND(B2330&gt;=1,B2330&lt;=6),B2330=10)),1,0)</f>
        <v>0</v>
      </c>
      <c r="AC2330" s="46" t="n">
        <f aca="false">IF(AND(E2330&gt;0,B2330=10),1,0)</f>
        <v>0</v>
      </c>
      <c r="AD2330" s="0" t="str">
        <f aca="false">IF(AND(C2329=C2330,AA2329=AA2330-1),AB2329,"")</f>
        <v/>
      </c>
      <c r="AE2330" s="0" t="str">
        <f aca="false">IF(AND(C2329=C2330,AA2329=AA2330-1),AC2329,"")</f>
        <v/>
      </c>
      <c r="AF2330" s="0" t="str">
        <f aca="false">IF(AA2330=1,"",IF(AND(AB2330=1,AD2330&lt;&gt;1),1,0))</f>
        <v/>
      </c>
      <c r="AG2330" s="0" t="str">
        <f aca="false">IF(AA2330=1,"",IF(AND(AC2330=1,AE2330&lt;&gt;1),1,0))</f>
        <v/>
      </c>
      <c r="AH2330" s="51" t="str">
        <f aca="false">IF(AND(E2330&gt;0,AA2330&lt;1,NOT(AND(C2331=C2330,AA2331=AA2330+1))),INDEX(DATAS,AA2330+1),"")</f>
        <v/>
      </c>
      <c r="AI2330" s="51" t="str">
        <f aca="false">IF(AND(AC2330=1,AA2330&lt;1),IF(AND(C2331=C2330,AA2331=AA2330+1),IF(AC2331=1,"",INDEX(DATAS,AA2330+1)),INDEX(DATAS,AA2330+1)),"")</f>
        <v/>
      </c>
    </row>
    <row r="2331" customFormat="false" ht="15" hidden="false" customHeight="false" outlineLevel="0" collapsed="false">
      <c r="A2331" s="51" t="n">
        <v>46309</v>
      </c>
      <c r="B2331" s="0" t="n">
        <v>8</v>
      </c>
      <c r="C2331" s="0" t="n">
        <v>6627</v>
      </c>
      <c r="E2331" s="0" t="n">
        <v>0</v>
      </c>
      <c r="F2331" s="46" t="s">
        <v>1251</v>
      </c>
      <c r="I2331" s="46" t="s">
        <v>152</v>
      </c>
      <c r="L2331" s="0" t="n">
        <v>71</v>
      </c>
      <c r="U2331" s="0" t="n">
        <v>495</v>
      </c>
      <c r="V2331" s="0" t="n">
        <v>2</v>
      </c>
      <c r="W2331" s="51" t="n">
        <v>46239</v>
      </c>
      <c r="X2331" s="46" t="n">
        <f aca="false">IF(I2331="Male",0,1)</f>
        <v>1</v>
      </c>
      <c r="Y2331" s="46" t="n">
        <f aca="false">IF(OR(I2331="DNB",I2331="Dry DNB"),1,0)</f>
        <v>0</v>
      </c>
      <c r="Z2331" s="46" t="n">
        <f aca="false">IF(ISNUMBER(W2331),A2331-W2331,"")</f>
        <v>70</v>
      </c>
      <c r="AA2331" s="46" t="n">
        <f aca="false">MATCH(A2331,DATAS,0)</f>
        <v>1</v>
      </c>
      <c r="AB2331" s="46" t="n">
        <f aca="false">IF(AND(E2331&gt;0,OR(AND(B2331&gt;=1,B2331&lt;=6),B2331=10)),1,0)</f>
        <v>0</v>
      </c>
      <c r="AC2331" s="46" t="n">
        <f aca="false">IF(AND(E2331&gt;0,B2331=10),1,0)</f>
        <v>0</v>
      </c>
      <c r="AD2331" s="0" t="str">
        <f aca="false">IF(AND(C2330=C2331,AA2330=AA2331-1),AB2330,"")</f>
        <v/>
      </c>
      <c r="AE2331" s="0" t="str">
        <f aca="false">IF(AND(C2330=C2331,AA2330=AA2331-1),AC2330,"")</f>
        <v/>
      </c>
      <c r="AF2331" s="0" t="str">
        <f aca="false">IF(AA2331=1,"",IF(AND(AB2331=1,AD2331&lt;&gt;1),1,0))</f>
        <v/>
      </c>
      <c r="AG2331" s="0" t="str">
        <f aca="false">IF(AA2331=1,"",IF(AND(AC2331=1,AE2331&lt;&gt;1),1,0))</f>
        <v/>
      </c>
      <c r="AH2331" s="51" t="str">
        <f aca="false">IF(AND(E2331&gt;0,AA2331&lt;1,NOT(AND(C2332=C2331,AA2332=AA2331+1))),INDEX(DATAS,AA2331+1),"")</f>
        <v/>
      </c>
      <c r="AI2331" s="51" t="str">
        <f aca="false">IF(AND(AC2331=1,AA2331&lt;1),IF(AND(C2332=C2331,AA2332=AA2331+1),IF(AC2332=1,"",INDEX(DATAS,AA2331+1)),INDEX(DATAS,AA2331+1)),"")</f>
        <v/>
      </c>
    </row>
    <row r="2332" customFormat="false" ht="15" hidden="false" customHeight="false" outlineLevel="0" collapsed="false">
      <c r="A2332" s="51" t="n">
        <v>46309</v>
      </c>
      <c r="B2332" s="0" t="n">
        <v>11</v>
      </c>
      <c r="C2332" s="0" t="n">
        <v>6628</v>
      </c>
      <c r="E2332" s="0" t="n">
        <v>0</v>
      </c>
      <c r="F2332" s="46" t="s">
        <v>1251</v>
      </c>
      <c r="I2332" s="46" t="s">
        <v>181</v>
      </c>
      <c r="U2332" s="0" t="n">
        <v>495</v>
      </c>
      <c r="V2332" s="0" t="n">
        <v>3</v>
      </c>
      <c r="W2332" s="51" t="n">
        <v>46296</v>
      </c>
      <c r="X2332" s="46" t="n">
        <f aca="false">IF(I2332="Male",0,1)</f>
        <v>1</v>
      </c>
      <c r="Y2332" s="46" t="n">
        <f aca="false">IF(OR(I2332="DNB",I2332="Dry DNB"),1,0)</f>
        <v>0</v>
      </c>
      <c r="Z2332" s="46" t="n">
        <f aca="false">IF(ISNUMBER(W2332),A2332-W2332,"")</f>
        <v>13</v>
      </c>
      <c r="AA2332" s="46" t="n">
        <f aca="false">MATCH(A2332,DATAS,0)</f>
        <v>1</v>
      </c>
      <c r="AB2332" s="46" t="n">
        <f aca="false">IF(AND(E2332&gt;0,OR(AND(B2332&gt;=1,B2332&lt;=6),B2332=10)),1,0)</f>
        <v>0</v>
      </c>
      <c r="AC2332" s="46" t="n">
        <f aca="false">IF(AND(E2332&gt;0,B2332=10),1,0)</f>
        <v>0</v>
      </c>
      <c r="AD2332" s="0" t="str">
        <f aca="false">IF(AND(C2331=C2332,AA2331=AA2332-1),AB2331,"")</f>
        <v/>
      </c>
      <c r="AE2332" s="0" t="str">
        <f aca="false">IF(AND(C2331=C2332,AA2331=AA2332-1),AC2331,"")</f>
        <v/>
      </c>
      <c r="AF2332" s="0" t="str">
        <f aca="false">IF(AA2332=1,"",IF(AND(AB2332=1,AD2332&lt;&gt;1),1,0))</f>
        <v/>
      </c>
      <c r="AG2332" s="0" t="str">
        <f aca="false">IF(AA2332=1,"",IF(AND(AC2332=1,AE2332&lt;&gt;1),1,0))</f>
        <v/>
      </c>
      <c r="AH2332" s="51" t="str">
        <f aca="false">IF(AND(E2332&gt;0,AA2332&lt;1,NOT(AND(C2333=C2332,AA2333=AA2332+1))),INDEX(DATAS,AA2332+1),"")</f>
        <v/>
      </c>
      <c r="AI2332" s="51" t="str">
        <f aca="false">IF(AND(AC2332=1,AA2332&lt;1),IF(AND(C2333=C2332,AA2333=AA2332+1),IF(AC2333=1,"",INDEX(DATAS,AA2332+1)),INDEX(DATAS,AA2332+1)),"")</f>
        <v/>
      </c>
    </row>
    <row r="2333" customFormat="false" ht="15" hidden="false" customHeight="false" outlineLevel="0" collapsed="false">
      <c r="A2333" s="51" t="n">
        <v>46309</v>
      </c>
      <c r="B2333" s="0" t="n">
        <v>11</v>
      </c>
      <c r="C2333" s="0" t="n">
        <v>6629</v>
      </c>
      <c r="E2333" s="0" t="n">
        <v>0</v>
      </c>
      <c r="F2333" s="46" t="s">
        <v>1251</v>
      </c>
      <c r="I2333" s="46" t="s">
        <v>189</v>
      </c>
      <c r="U2333" s="0" t="n">
        <v>495</v>
      </c>
      <c r="V2333" s="0" t="n">
        <v>4</v>
      </c>
      <c r="W2333" s="51" t="n">
        <v>46283</v>
      </c>
      <c r="X2333" s="46" t="n">
        <f aca="false">IF(I2333="Male",0,1)</f>
        <v>1</v>
      </c>
      <c r="Y2333" s="46" t="n">
        <f aca="false">IF(OR(I2333="DNB",I2333="Dry DNB"),1,0)</f>
        <v>0</v>
      </c>
      <c r="Z2333" s="46" t="n">
        <f aca="false">IF(ISNUMBER(W2333),A2333-W2333,"")</f>
        <v>26</v>
      </c>
      <c r="AA2333" s="46" t="n">
        <f aca="false">MATCH(A2333,DATAS,0)</f>
        <v>1</v>
      </c>
      <c r="AB2333" s="46" t="n">
        <f aca="false">IF(AND(E2333&gt;0,OR(AND(B2333&gt;=1,B2333&lt;=6),B2333=10)),1,0)</f>
        <v>0</v>
      </c>
      <c r="AC2333" s="46" t="n">
        <f aca="false">IF(AND(E2333&gt;0,B2333=10),1,0)</f>
        <v>0</v>
      </c>
      <c r="AD2333" s="0" t="str">
        <f aca="false">IF(AND(C2332=C2333,AA2332=AA2333-1),AB2332,"")</f>
        <v/>
      </c>
      <c r="AE2333" s="0" t="str">
        <f aca="false">IF(AND(C2332=C2333,AA2332=AA2333-1),AC2332,"")</f>
        <v/>
      </c>
      <c r="AF2333" s="0" t="str">
        <f aca="false">IF(AA2333=1,"",IF(AND(AB2333=1,AD2333&lt;&gt;1),1,0))</f>
        <v/>
      </c>
      <c r="AG2333" s="0" t="str">
        <f aca="false">IF(AA2333=1,"",IF(AND(AC2333=1,AE2333&lt;&gt;1),1,0))</f>
        <v/>
      </c>
      <c r="AH2333" s="51" t="str">
        <f aca="false">IF(AND(E2333&gt;0,AA2333&lt;1,NOT(AND(C2334=C2333,AA2334=AA2333+1))),INDEX(DATAS,AA2333+1),"")</f>
        <v/>
      </c>
      <c r="AI2333" s="51" t="str">
        <f aca="false">IF(AND(AC2333=1,AA2333&lt;1),IF(AND(C2334=C2333,AA2334=AA2333+1),IF(AC2334=1,"",INDEX(DATAS,AA2333+1)),INDEX(DATAS,AA2333+1)),"")</f>
        <v/>
      </c>
    </row>
    <row r="2334" customFormat="false" ht="15" hidden="false" customHeight="false" outlineLevel="0" collapsed="false">
      <c r="A2334" s="51" t="n">
        <v>46309</v>
      </c>
      <c r="B2334" s="0" t="n">
        <v>8</v>
      </c>
      <c r="C2334" s="0" t="n">
        <v>6630</v>
      </c>
      <c r="E2334" s="0" t="n">
        <v>0</v>
      </c>
      <c r="F2334" s="46" t="s">
        <v>1251</v>
      </c>
      <c r="I2334" s="46" t="s">
        <v>152</v>
      </c>
      <c r="L2334" s="0" t="n">
        <v>91</v>
      </c>
      <c r="U2334" s="0" t="n">
        <v>495</v>
      </c>
      <c r="V2334" s="0" t="n">
        <v>1</v>
      </c>
      <c r="W2334" s="51" t="n">
        <v>46219</v>
      </c>
      <c r="X2334" s="46" t="n">
        <f aca="false">IF(I2334="Male",0,1)</f>
        <v>1</v>
      </c>
      <c r="Y2334" s="46" t="n">
        <f aca="false">IF(OR(I2334="DNB",I2334="Dry DNB"),1,0)</f>
        <v>0</v>
      </c>
      <c r="Z2334" s="46" t="n">
        <f aca="false">IF(ISNUMBER(W2334),A2334-W2334,"")</f>
        <v>90</v>
      </c>
      <c r="AA2334" s="46" t="n">
        <f aca="false">MATCH(A2334,DATAS,0)</f>
        <v>1</v>
      </c>
      <c r="AB2334" s="46" t="n">
        <f aca="false">IF(AND(E2334&gt;0,OR(AND(B2334&gt;=1,B2334&lt;=6),B2334=10)),1,0)</f>
        <v>0</v>
      </c>
      <c r="AC2334" s="46" t="n">
        <f aca="false">IF(AND(E2334&gt;0,B2334=10),1,0)</f>
        <v>0</v>
      </c>
      <c r="AD2334" s="0" t="str">
        <f aca="false">IF(AND(C2333=C2334,AA2333=AA2334-1),AB2333,"")</f>
        <v/>
      </c>
      <c r="AE2334" s="0" t="str">
        <f aca="false">IF(AND(C2333=C2334,AA2333=AA2334-1),AC2333,"")</f>
        <v/>
      </c>
      <c r="AF2334" s="0" t="str">
        <f aca="false">IF(AA2334=1,"",IF(AND(AB2334=1,AD2334&lt;&gt;1),1,0))</f>
        <v/>
      </c>
      <c r="AG2334" s="0" t="str">
        <f aca="false">IF(AA2334=1,"",IF(AND(AC2334=1,AE2334&lt;&gt;1),1,0))</f>
        <v/>
      </c>
      <c r="AH2334" s="51" t="str">
        <f aca="false">IF(AND(E2334&gt;0,AA2334&lt;1,NOT(AND(C2335=C2334,AA2335=AA2334+1))),INDEX(DATAS,AA2334+1),"")</f>
        <v/>
      </c>
      <c r="AI2334" s="51" t="str">
        <f aca="false">IF(AND(AC2334=1,AA2334&lt;1),IF(AND(C2335=C2334,AA2335=AA2334+1),IF(AC2335=1,"",INDEX(DATAS,AA2334+1)),INDEX(DATAS,AA2334+1)),"")</f>
        <v/>
      </c>
    </row>
    <row r="2335" customFormat="false" ht="15" hidden="false" customHeight="false" outlineLevel="0" collapsed="false">
      <c r="A2335" s="51" t="n">
        <v>46309</v>
      </c>
      <c r="B2335" s="0" t="n">
        <v>11</v>
      </c>
      <c r="C2335" s="0" t="n">
        <v>6631</v>
      </c>
      <c r="E2335" s="0" t="n">
        <v>0</v>
      </c>
      <c r="F2335" s="46" t="s">
        <v>1252</v>
      </c>
      <c r="I2335" s="46" t="s">
        <v>181</v>
      </c>
      <c r="U2335" s="0" t="n">
        <v>494</v>
      </c>
      <c r="V2335" s="0" t="n">
        <v>5</v>
      </c>
      <c r="W2335" s="51" t="n">
        <v>46290</v>
      </c>
      <c r="X2335" s="46" t="n">
        <f aca="false">IF(I2335="Male",0,1)</f>
        <v>1</v>
      </c>
      <c r="Y2335" s="46" t="n">
        <f aca="false">IF(OR(I2335="DNB",I2335="Dry DNB"),1,0)</f>
        <v>0</v>
      </c>
      <c r="Z2335" s="46" t="n">
        <f aca="false">IF(ISNUMBER(W2335),A2335-W2335,"")</f>
        <v>19</v>
      </c>
      <c r="AA2335" s="46" t="n">
        <f aca="false">MATCH(A2335,DATAS,0)</f>
        <v>1</v>
      </c>
      <c r="AB2335" s="46" t="n">
        <f aca="false">IF(AND(E2335&gt;0,OR(AND(B2335&gt;=1,B2335&lt;=6),B2335=10)),1,0)</f>
        <v>0</v>
      </c>
      <c r="AC2335" s="46" t="n">
        <f aca="false">IF(AND(E2335&gt;0,B2335=10),1,0)</f>
        <v>0</v>
      </c>
      <c r="AD2335" s="0" t="str">
        <f aca="false">IF(AND(C2334=C2335,AA2334=AA2335-1),AB2334,"")</f>
        <v/>
      </c>
      <c r="AE2335" s="0" t="str">
        <f aca="false">IF(AND(C2334=C2335,AA2334=AA2335-1),AC2334,"")</f>
        <v/>
      </c>
      <c r="AF2335" s="0" t="str">
        <f aca="false">IF(AA2335=1,"",IF(AND(AB2335=1,AD2335&lt;&gt;1),1,0))</f>
        <v/>
      </c>
      <c r="AG2335" s="0" t="str">
        <f aca="false">IF(AA2335=1,"",IF(AND(AC2335=1,AE2335&lt;&gt;1),1,0))</f>
        <v/>
      </c>
      <c r="AH2335" s="51" t="str">
        <f aca="false">IF(AND(E2335&gt;0,AA2335&lt;1,NOT(AND(C2336=C2335,AA2336=AA2335+1))),INDEX(DATAS,AA2335+1),"")</f>
        <v/>
      </c>
      <c r="AI2335" s="51" t="str">
        <f aca="false">IF(AND(AC2335=1,AA2335&lt;1),IF(AND(C2336=C2335,AA2336=AA2335+1),IF(AC2336=1,"",INDEX(DATAS,AA2335+1)),INDEX(DATAS,AA2335+1)),"")</f>
        <v/>
      </c>
    </row>
    <row r="2336" customFormat="false" ht="15" hidden="false" customHeight="false" outlineLevel="0" collapsed="false">
      <c r="A2336" s="51" t="n">
        <v>46309</v>
      </c>
      <c r="B2336" s="0" t="n">
        <v>11</v>
      </c>
      <c r="C2336" s="0" t="n">
        <v>6632</v>
      </c>
      <c r="E2336" s="0" t="n">
        <v>0</v>
      </c>
      <c r="F2336" s="46" t="s">
        <v>1252</v>
      </c>
      <c r="I2336" s="46" t="s">
        <v>181</v>
      </c>
      <c r="U2336" s="0" t="n">
        <v>494</v>
      </c>
      <c r="V2336" s="0" t="n">
        <v>4</v>
      </c>
      <c r="W2336" s="51" t="n">
        <v>46293</v>
      </c>
      <c r="X2336" s="46" t="n">
        <f aca="false">IF(I2336="Male",0,1)</f>
        <v>1</v>
      </c>
      <c r="Y2336" s="46" t="n">
        <f aca="false">IF(OR(I2336="DNB",I2336="Dry DNB"),1,0)</f>
        <v>0</v>
      </c>
      <c r="Z2336" s="46" t="n">
        <f aca="false">IF(ISNUMBER(W2336),A2336-W2336,"")</f>
        <v>16</v>
      </c>
      <c r="AA2336" s="46" t="n">
        <f aca="false">MATCH(A2336,DATAS,0)</f>
        <v>1</v>
      </c>
      <c r="AB2336" s="46" t="n">
        <f aca="false">IF(AND(E2336&gt;0,OR(AND(B2336&gt;=1,B2336&lt;=6),B2336=10)),1,0)</f>
        <v>0</v>
      </c>
      <c r="AC2336" s="46" t="n">
        <f aca="false">IF(AND(E2336&gt;0,B2336=10),1,0)</f>
        <v>0</v>
      </c>
      <c r="AD2336" s="0" t="str">
        <f aca="false">IF(AND(C2335=C2336,AA2335=AA2336-1),AB2335,"")</f>
        <v/>
      </c>
      <c r="AE2336" s="0" t="str">
        <f aca="false">IF(AND(C2335=C2336,AA2335=AA2336-1),AC2335,"")</f>
        <v/>
      </c>
      <c r="AF2336" s="0" t="str">
        <f aca="false">IF(AA2336=1,"",IF(AND(AB2336=1,AD2336&lt;&gt;1),1,0))</f>
        <v/>
      </c>
      <c r="AG2336" s="0" t="str">
        <f aca="false">IF(AA2336=1,"",IF(AND(AC2336=1,AE2336&lt;&gt;1),1,0))</f>
        <v/>
      </c>
      <c r="AH2336" s="51" t="str">
        <f aca="false">IF(AND(E2336&gt;0,AA2336&lt;1,NOT(AND(C2337=C2336,AA2337=AA2336+1))),INDEX(DATAS,AA2336+1),"")</f>
        <v/>
      </c>
      <c r="AI2336" s="51" t="str">
        <f aca="false">IF(AND(AC2336=1,AA2336&lt;1),IF(AND(C2337=C2336,AA2337=AA2336+1),IF(AC2337=1,"",INDEX(DATAS,AA2336+1)),INDEX(DATAS,AA2336+1)),"")</f>
        <v/>
      </c>
    </row>
    <row r="2337" customFormat="false" ht="15" hidden="false" customHeight="false" outlineLevel="0" collapsed="false">
      <c r="A2337" s="51" t="n">
        <v>46309</v>
      </c>
      <c r="B2337" s="0" t="n">
        <v>8</v>
      </c>
      <c r="C2337" s="0" t="n">
        <v>6633</v>
      </c>
      <c r="E2337" s="0" t="n">
        <v>0</v>
      </c>
      <c r="F2337" s="46" t="s">
        <v>1252</v>
      </c>
      <c r="I2337" s="46" t="s">
        <v>152</v>
      </c>
      <c r="L2337" s="0" t="n">
        <v>71</v>
      </c>
      <c r="U2337" s="0" t="n">
        <v>494</v>
      </c>
      <c r="V2337" s="0" t="n">
        <v>2</v>
      </c>
      <c r="W2337" s="51" t="n">
        <v>46239</v>
      </c>
      <c r="X2337" s="46" t="n">
        <f aca="false">IF(I2337="Male",0,1)</f>
        <v>1</v>
      </c>
      <c r="Y2337" s="46" t="n">
        <f aca="false">IF(OR(I2337="DNB",I2337="Dry DNB"),1,0)</f>
        <v>0</v>
      </c>
      <c r="Z2337" s="46" t="n">
        <f aca="false">IF(ISNUMBER(W2337),A2337-W2337,"")</f>
        <v>70</v>
      </c>
      <c r="AA2337" s="46" t="n">
        <f aca="false">MATCH(A2337,DATAS,0)</f>
        <v>1</v>
      </c>
      <c r="AB2337" s="46" t="n">
        <f aca="false">IF(AND(E2337&gt;0,OR(AND(B2337&gt;=1,B2337&lt;=6),B2337=10)),1,0)</f>
        <v>0</v>
      </c>
      <c r="AC2337" s="46" t="n">
        <f aca="false">IF(AND(E2337&gt;0,B2337=10),1,0)</f>
        <v>0</v>
      </c>
      <c r="AD2337" s="0" t="str">
        <f aca="false">IF(AND(C2336=C2337,AA2336=AA2337-1),AB2336,"")</f>
        <v/>
      </c>
      <c r="AE2337" s="0" t="str">
        <f aca="false">IF(AND(C2336=C2337,AA2336=AA2337-1),AC2336,"")</f>
        <v/>
      </c>
      <c r="AF2337" s="0" t="str">
        <f aca="false">IF(AA2337=1,"",IF(AND(AB2337=1,AD2337&lt;&gt;1),1,0))</f>
        <v/>
      </c>
      <c r="AG2337" s="0" t="str">
        <f aca="false">IF(AA2337=1,"",IF(AND(AC2337=1,AE2337&lt;&gt;1),1,0))</f>
        <v/>
      </c>
      <c r="AH2337" s="51" t="str">
        <f aca="false">IF(AND(E2337&gt;0,AA2337&lt;1,NOT(AND(C2338=C2337,AA2338=AA2337+1))),INDEX(DATAS,AA2337+1),"")</f>
        <v/>
      </c>
      <c r="AI2337" s="51" t="str">
        <f aca="false">IF(AND(AC2337=1,AA2337&lt;1),IF(AND(C2338=C2337,AA2338=AA2337+1),IF(AC2338=1,"",INDEX(DATAS,AA2337+1)),INDEX(DATAS,AA2337+1)),"")</f>
        <v/>
      </c>
    </row>
    <row r="2338" customFormat="false" ht="15" hidden="false" customHeight="false" outlineLevel="0" collapsed="false">
      <c r="A2338" s="51" t="n">
        <v>46309</v>
      </c>
      <c r="B2338" s="0" t="n">
        <v>8</v>
      </c>
      <c r="C2338" s="0" t="n">
        <v>6635</v>
      </c>
      <c r="E2338" s="0" t="n">
        <v>0</v>
      </c>
      <c r="F2338" s="46" t="s">
        <v>1252</v>
      </c>
      <c r="I2338" s="46" t="s">
        <v>152</v>
      </c>
      <c r="L2338" s="0" t="n">
        <v>55</v>
      </c>
      <c r="U2338" s="0" t="n">
        <v>494</v>
      </c>
      <c r="V2338" s="0" t="n">
        <v>2</v>
      </c>
      <c r="W2338" s="51" t="n">
        <v>46219</v>
      </c>
      <c r="X2338" s="46" t="n">
        <f aca="false">IF(I2338="Male",0,1)</f>
        <v>1</v>
      </c>
      <c r="Y2338" s="46" t="n">
        <f aca="false">IF(OR(I2338="DNB",I2338="Dry DNB"),1,0)</f>
        <v>0</v>
      </c>
      <c r="Z2338" s="46" t="n">
        <f aca="false">IF(ISNUMBER(W2338),A2338-W2338,"")</f>
        <v>90</v>
      </c>
      <c r="AA2338" s="46" t="n">
        <f aca="false">MATCH(A2338,DATAS,0)</f>
        <v>1</v>
      </c>
      <c r="AB2338" s="46" t="n">
        <f aca="false">IF(AND(E2338&gt;0,OR(AND(B2338&gt;=1,B2338&lt;=6),B2338=10)),1,0)</f>
        <v>0</v>
      </c>
      <c r="AC2338" s="46" t="n">
        <f aca="false">IF(AND(E2338&gt;0,B2338=10),1,0)</f>
        <v>0</v>
      </c>
      <c r="AD2338" s="0" t="str">
        <f aca="false">IF(AND(C2337=C2338,AA2337=AA2338-1),AB2337,"")</f>
        <v/>
      </c>
      <c r="AE2338" s="0" t="str">
        <f aca="false">IF(AND(C2337=C2338,AA2337=AA2338-1),AC2337,"")</f>
        <v/>
      </c>
      <c r="AF2338" s="0" t="str">
        <f aca="false">IF(AA2338=1,"",IF(AND(AB2338=1,AD2338&lt;&gt;1),1,0))</f>
        <v/>
      </c>
      <c r="AG2338" s="0" t="str">
        <f aca="false">IF(AA2338=1,"",IF(AND(AC2338=1,AE2338&lt;&gt;1),1,0))</f>
        <v/>
      </c>
      <c r="AH2338" s="51" t="str">
        <f aca="false">IF(AND(E2338&gt;0,AA2338&lt;1,NOT(AND(C2339=C2338,AA2339=AA2338+1))),INDEX(DATAS,AA2338+1),"")</f>
        <v/>
      </c>
      <c r="AI2338" s="51" t="str">
        <f aca="false">IF(AND(AC2338=1,AA2338&lt;1),IF(AND(C2339=C2338,AA2339=AA2338+1),IF(AC2339=1,"",INDEX(DATAS,AA2338+1)),INDEX(DATAS,AA2338+1)),"")</f>
        <v/>
      </c>
    </row>
    <row r="2339" customFormat="false" ht="15" hidden="false" customHeight="false" outlineLevel="0" collapsed="false">
      <c r="A2339" s="51" t="n">
        <v>46309</v>
      </c>
      <c r="B2339" s="0" t="n">
        <v>8</v>
      </c>
      <c r="C2339" s="0" t="n">
        <v>6636</v>
      </c>
      <c r="E2339" s="0" t="n">
        <v>0</v>
      </c>
      <c r="F2339" s="46" t="s">
        <v>1252</v>
      </c>
      <c r="I2339" s="46" t="s">
        <v>152</v>
      </c>
      <c r="L2339" s="0" t="n">
        <v>70</v>
      </c>
      <c r="U2339" s="0" t="n">
        <v>494</v>
      </c>
      <c r="V2339" s="0" t="n">
        <v>1</v>
      </c>
      <c r="W2339" s="51" t="n">
        <v>46240</v>
      </c>
      <c r="X2339" s="46" t="n">
        <f aca="false">IF(I2339="Male",0,1)</f>
        <v>1</v>
      </c>
      <c r="Y2339" s="46" t="n">
        <f aca="false">IF(OR(I2339="DNB",I2339="Dry DNB"),1,0)</f>
        <v>0</v>
      </c>
      <c r="Z2339" s="46" t="n">
        <f aca="false">IF(ISNUMBER(W2339),A2339-W2339,"")</f>
        <v>69</v>
      </c>
      <c r="AA2339" s="46" t="n">
        <f aca="false">MATCH(A2339,DATAS,0)</f>
        <v>1</v>
      </c>
      <c r="AB2339" s="46" t="n">
        <f aca="false">IF(AND(E2339&gt;0,OR(AND(B2339&gt;=1,B2339&lt;=6),B2339=10)),1,0)</f>
        <v>0</v>
      </c>
      <c r="AC2339" s="46" t="n">
        <f aca="false">IF(AND(E2339&gt;0,B2339=10),1,0)</f>
        <v>0</v>
      </c>
      <c r="AD2339" s="0" t="str">
        <f aca="false">IF(AND(C2338=C2339,AA2338=AA2339-1),AB2338,"")</f>
        <v/>
      </c>
      <c r="AE2339" s="0" t="str">
        <f aca="false">IF(AND(C2338=C2339,AA2338=AA2339-1),AC2338,"")</f>
        <v/>
      </c>
      <c r="AF2339" s="0" t="str">
        <f aca="false">IF(AA2339=1,"",IF(AND(AB2339=1,AD2339&lt;&gt;1),1,0))</f>
        <v/>
      </c>
      <c r="AG2339" s="0" t="str">
        <f aca="false">IF(AA2339=1,"",IF(AND(AC2339=1,AE2339&lt;&gt;1),1,0))</f>
        <v/>
      </c>
      <c r="AH2339" s="51" t="str">
        <f aca="false">IF(AND(E2339&gt;0,AA2339&lt;1,NOT(AND(C2340=C2339,AA2340=AA2339+1))),INDEX(DATAS,AA2339+1),"")</f>
        <v/>
      </c>
      <c r="AI2339" s="51" t="str">
        <f aca="false">IF(AND(AC2339=1,AA2339&lt;1),IF(AND(C2340=C2339,AA2340=AA2339+1),IF(AC2340=1,"",INDEX(DATAS,AA2339+1)),INDEX(DATAS,AA2339+1)),"")</f>
        <v/>
      </c>
    </row>
    <row r="2340" customFormat="false" ht="15" hidden="false" customHeight="false" outlineLevel="0" collapsed="false">
      <c r="A2340" s="51" t="n">
        <v>46309</v>
      </c>
      <c r="B2340" s="0" t="n">
        <v>8</v>
      </c>
      <c r="C2340" s="0" t="n">
        <v>6637</v>
      </c>
      <c r="E2340" s="0" t="n">
        <v>0</v>
      </c>
      <c r="F2340" s="46" t="s">
        <v>1252</v>
      </c>
      <c r="I2340" s="46" t="s">
        <v>152</v>
      </c>
      <c r="L2340" s="0" t="n">
        <v>89</v>
      </c>
      <c r="U2340" s="0" t="n">
        <v>494</v>
      </c>
      <c r="V2340" s="0" t="n">
        <v>1</v>
      </c>
      <c r="W2340" s="51" t="n">
        <v>46221</v>
      </c>
      <c r="X2340" s="46" t="n">
        <f aca="false">IF(I2340="Male",0,1)</f>
        <v>1</v>
      </c>
      <c r="Y2340" s="46" t="n">
        <f aca="false">IF(OR(I2340="DNB",I2340="Dry DNB"),1,0)</f>
        <v>0</v>
      </c>
      <c r="Z2340" s="46" t="n">
        <f aca="false">IF(ISNUMBER(W2340),A2340-W2340,"")</f>
        <v>88</v>
      </c>
      <c r="AA2340" s="46" t="n">
        <f aca="false">MATCH(A2340,DATAS,0)</f>
        <v>1</v>
      </c>
      <c r="AB2340" s="46" t="n">
        <f aca="false">IF(AND(E2340&gt;0,OR(AND(B2340&gt;=1,B2340&lt;=6),B2340=10)),1,0)</f>
        <v>0</v>
      </c>
      <c r="AC2340" s="46" t="n">
        <f aca="false">IF(AND(E2340&gt;0,B2340=10),1,0)</f>
        <v>0</v>
      </c>
      <c r="AD2340" s="0" t="str">
        <f aca="false">IF(AND(C2339=C2340,AA2339=AA2340-1),AB2339,"")</f>
        <v/>
      </c>
      <c r="AE2340" s="0" t="str">
        <f aca="false">IF(AND(C2339=C2340,AA2339=AA2340-1),AC2339,"")</f>
        <v/>
      </c>
      <c r="AF2340" s="0" t="str">
        <f aca="false">IF(AA2340=1,"",IF(AND(AB2340=1,AD2340&lt;&gt;1),1,0))</f>
        <v/>
      </c>
      <c r="AG2340" s="0" t="str">
        <f aca="false">IF(AA2340=1,"",IF(AND(AC2340=1,AE2340&lt;&gt;1),1,0))</f>
        <v/>
      </c>
      <c r="AH2340" s="51" t="str">
        <f aca="false">IF(AND(E2340&gt;0,AA2340&lt;1,NOT(AND(C2341=C2340,AA2341=AA2340+1))),INDEX(DATAS,AA2340+1),"")</f>
        <v/>
      </c>
      <c r="AI2340" s="51" t="str">
        <f aca="false">IF(AND(AC2340=1,AA2340&lt;1),IF(AND(C2341=C2340,AA2341=AA2340+1),IF(AC2341=1,"",INDEX(DATAS,AA2340+1)),INDEX(DATAS,AA2340+1)),"")</f>
        <v/>
      </c>
    </row>
    <row r="2341" customFormat="false" ht="15" hidden="false" customHeight="false" outlineLevel="0" collapsed="false">
      <c r="A2341" s="51" t="n">
        <v>46309</v>
      </c>
      <c r="B2341" s="0" t="n">
        <v>8</v>
      </c>
      <c r="C2341" s="0" t="n">
        <v>6638</v>
      </c>
      <c r="E2341" s="0" t="n">
        <v>0</v>
      </c>
      <c r="F2341" s="46" t="s">
        <v>1253</v>
      </c>
      <c r="I2341" s="46" t="s">
        <v>152</v>
      </c>
      <c r="L2341" s="0" t="n">
        <v>77</v>
      </c>
      <c r="U2341" s="0" t="n">
        <v>492</v>
      </c>
      <c r="V2341" s="0" t="n">
        <v>1</v>
      </c>
      <c r="W2341" s="51" t="n">
        <v>46233</v>
      </c>
      <c r="X2341" s="46" t="n">
        <f aca="false">IF(I2341="Male",0,1)</f>
        <v>1</v>
      </c>
      <c r="Y2341" s="46" t="n">
        <f aca="false">IF(OR(I2341="DNB",I2341="Dry DNB"),1,0)</f>
        <v>0</v>
      </c>
      <c r="Z2341" s="46" t="n">
        <f aca="false">IF(ISNUMBER(W2341),A2341-W2341,"")</f>
        <v>76</v>
      </c>
      <c r="AA2341" s="46" t="n">
        <f aca="false">MATCH(A2341,DATAS,0)</f>
        <v>1</v>
      </c>
      <c r="AB2341" s="46" t="n">
        <f aca="false">IF(AND(E2341&gt;0,OR(AND(B2341&gt;=1,B2341&lt;=6),B2341=10)),1,0)</f>
        <v>0</v>
      </c>
      <c r="AC2341" s="46" t="n">
        <f aca="false">IF(AND(E2341&gt;0,B2341=10),1,0)</f>
        <v>0</v>
      </c>
      <c r="AD2341" s="0" t="str">
        <f aca="false">IF(AND(C2340=C2341,AA2340=AA2341-1),AB2340,"")</f>
        <v/>
      </c>
      <c r="AE2341" s="0" t="str">
        <f aca="false">IF(AND(C2340=C2341,AA2340=AA2341-1),AC2340,"")</f>
        <v/>
      </c>
      <c r="AF2341" s="0" t="str">
        <f aca="false">IF(AA2341=1,"",IF(AND(AB2341=1,AD2341&lt;&gt;1),1,0))</f>
        <v/>
      </c>
      <c r="AG2341" s="0" t="str">
        <f aca="false">IF(AA2341=1,"",IF(AND(AC2341=1,AE2341&lt;&gt;1),1,0))</f>
        <v/>
      </c>
      <c r="AH2341" s="51" t="str">
        <f aca="false">IF(AND(E2341&gt;0,AA2341&lt;1,NOT(AND(C2342=C2341,AA2342=AA2341+1))),INDEX(DATAS,AA2341+1),"")</f>
        <v/>
      </c>
      <c r="AI2341" s="51" t="str">
        <f aca="false">IF(AND(AC2341=1,AA2341&lt;1),IF(AND(C2342=C2341,AA2342=AA2341+1),IF(AC2342=1,"",INDEX(DATAS,AA2341+1)),INDEX(DATAS,AA2341+1)),"")</f>
        <v/>
      </c>
    </row>
    <row r="2342" customFormat="false" ht="15" hidden="false" customHeight="false" outlineLevel="0" collapsed="false">
      <c r="A2342" s="51" t="n">
        <v>46309</v>
      </c>
      <c r="B2342" s="0" t="n">
        <v>8</v>
      </c>
      <c r="C2342" s="0" t="n">
        <v>6639</v>
      </c>
      <c r="E2342" s="0" t="n">
        <v>0</v>
      </c>
      <c r="F2342" s="46" t="s">
        <v>1253</v>
      </c>
      <c r="I2342" s="46" t="s">
        <v>152</v>
      </c>
      <c r="L2342" s="0" t="n">
        <v>44</v>
      </c>
      <c r="U2342" s="0" t="n">
        <v>492</v>
      </c>
      <c r="V2342" s="0" t="n">
        <v>3</v>
      </c>
      <c r="W2342" s="51" t="n">
        <v>46266</v>
      </c>
      <c r="X2342" s="46" t="n">
        <f aca="false">IF(I2342="Male",0,1)</f>
        <v>1</v>
      </c>
      <c r="Y2342" s="46" t="n">
        <f aca="false">IF(OR(I2342="DNB",I2342="Dry DNB"),1,0)</f>
        <v>0</v>
      </c>
      <c r="Z2342" s="46" t="n">
        <f aca="false">IF(ISNUMBER(W2342),A2342-W2342,"")</f>
        <v>43</v>
      </c>
      <c r="AA2342" s="46" t="n">
        <f aca="false">MATCH(A2342,DATAS,0)</f>
        <v>1</v>
      </c>
      <c r="AB2342" s="46" t="n">
        <f aca="false">IF(AND(E2342&gt;0,OR(AND(B2342&gt;=1,B2342&lt;=6),B2342=10)),1,0)</f>
        <v>0</v>
      </c>
      <c r="AC2342" s="46" t="n">
        <f aca="false">IF(AND(E2342&gt;0,B2342=10),1,0)</f>
        <v>0</v>
      </c>
      <c r="AD2342" s="0" t="str">
        <f aca="false">IF(AND(C2341=C2342,AA2341=AA2342-1),AB2341,"")</f>
        <v/>
      </c>
      <c r="AE2342" s="0" t="str">
        <f aca="false">IF(AND(C2341=C2342,AA2341=AA2342-1),AC2341,"")</f>
        <v/>
      </c>
      <c r="AF2342" s="0" t="str">
        <f aca="false">IF(AA2342=1,"",IF(AND(AB2342=1,AD2342&lt;&gt;1),1,0))</f>
        <v/>
      </c>
      <c r="AG2342" s="0" t="str">
        <f aca="false">IF(AA2342=1,"",IF(AND(AC2342=1,AE2342&lt;&gt;1),1,0))</f>
        <v/>
      </c>
      <c r="AH2342" s="51" t="str">
        <f aca="false">IF(AND(E2342&gt;0,AA2342&lt;1,NOT(AND(C2343=C2342,AA2343=AA2342+1))),INDEX(DATAS,AA2342+1),"")</f>
        <v/>
      </c>
      <c r="AI2342" s="51" t="str">
        <f aca="false">IF(AND(AC2342=1,AA2342&lt;1),IF(AND(C2343=C2342,AA2343=AA2342+1),IF(AC2343=1,"",INDEX(DATAS,AA2342+1)),INDEX(DATAS,AA2342+1)),"")</f>
        <v/>
      </c>
    </row>
    <row r="2343" customFormat="false" ht="15" hidden="false" customHeight="false" outlineLevel="0" collapsed="false">
      <c r="A2343" s="51" t="n">
        <v>46309</v>
      </c>
      <c r="B2343" s="0" t="n">
        <v>8</v>
      </c>
      <c r="C2343" s="0" t="n">
        <v>6640</v>
      </c>
      <c r="E2343" s="0" t="n">
        <v>0</v>
      </c>
      <c r="F2343" s="46" t="s">
        <v>1254</v>
      </c>
      <c r="I2343" s="46" t="s">
        <v>152</v>
      </c>
      <c r="L2343" s="0" t="n">
        <v>93</v>
      </c>
      <c r="U2343" s="0" t="n">
        <v>491</v>
      </c>
      <c r="V2343" s="0" t="n">
        <v>1</v>
      </c>
      <c r="W2343" s="51" t="n">
        <v>46217</v>
      </c>
      <c r="X2343" s="46" t="n">
        <f aca="false">IF(I2343="Male",0,1)</f>
        <v>1</v>
      </c>
      <c r="Y2343" s="46" t="n">
        <f aca="false">IF(OR(I2343="DNB",I2343="Dry DNB"),1,0)</f>
        <v>0</v>
      </c>
      <c r="Z2343" s="46" t="n">
        <f aca="false">IF(ISNUMBER(W2343),A2343-W2343,"")</f>
        <v>92</v>
      </c>
      <c r="AA2343" s="46" t="n">
        <f aca="false">MATCH(A2343,DATAS,0)</f>
        <v>1</v>
      </c>
      <c r="AB2343" s="46" t="n">
        <f aca="false">IF(AND(E2343&gt;0,OR(AND(B2343&gt;=1,B2343&lt;=6),B2343=10)),1,0)</f>
        <v>0</v>
      </c>
      <c r="AC2343" s="46" t="n">
        <f aca="false">IF(AND(E2343&gt;0,B2343=10),1,0)</f>
        <v>0</v>
      </c>
      <c r="AD2343" s="0" t="str">
        <f aca="false">IF(AND(C2342=C2343,AA2342=AA2343-1),AB2342,"")</f>
        <v/>
      </c>
      <c r="AE2343" s="0" t="str">
        <f aca="false">IF(AND(C2342=C2343,AA2342=AA2343-1),AC2342,"")</f>
        <v/>
      </c>
      <c r="AF2343" s="0" t="str">
        <f aca="false">IF(AA2343=1,"",IF(AND(AB2343=1,AD2343&lt;&gt;1),1,0))</f>
        <v/>
      </c>
      <c r="AG2343" s="0" t="str">
        <f aca="false">IF(AA2343=1,"",IF(AND(AC2343=1,AE2343&lt;&gt;1),1,0))</f>
        <v/>
      </c>
      <c r="AH2343" s="51" t="str">
        <f aca="false">IF(AND(E2343&gt;0,AA2343&lt;1,NOT(AND(C2344=C2343,AA2344=AA2343+1))),INDEX(DATAS,AA2343+1),"")</f>
        <v/>
      </c>
      <c r="AI2343" s="51" t="str">
        <f aca="false">IF(AND(AC2343=1,AA2343&lt;1),IF(AND(C2344=C2343,AA2344=AA2343+1),IF(AC2344=1,"",INDEX(DATAS,AA2343+1)),INDEX(DATAS,AA2343+1)),"")</f>
        <v/>
      </c>
    </row>
    <row r="2344" customFormat="false" ht="15" hidden="false" customHeight="false" outlineLevel="0" collapsed="false">
      <c r="A2344" s="51" t="n">
        <v>46309</v>
      </c>
      <c r="B2344" s="0" t="n">
        <v>8</v>
      </c>
      <c r="C2344" s="0" t="n">
        <v>6642</v>
      </c>
      <c r="E2344" s="0" t="n">
        <v>0</v>
      </c>
      <c r="F2344" s="46" t="s">
        <v>1255</v>
      </c>
      <c r="I2344" s="46" t="s">
        <v>152</v>
      </c>
      <c r="L2344" s="0" t="n">
        <v>71</v>
      </c>
      <c r="U2344" s="0" t="n">
        <v>490</v>
      </c>
      <c r="V2344" s="0" t="n">
        <v>2</v>
      </c>
      <c r="W2344" s="51" t="n">
        <v>46239</v>
      </c>
      <c r="X2344" s="46" t="n">
        <f aca="false">IF(I2344="Male",0,1)</f>
        <v>1</v>
      </c>
      <c r="Y2344" s="46" t="n">
        <f aca="false">IF(OR(I2344="DNB",I2344="Dry DNB"),1,0)</f>
        <v>0</v>
      </c>
      <c r="Z2344" s="46" t="n">
        <f aca="false">IF(ISNUMBER(W2344),A2344-W2344,"")</f>
        <v>70</v>
      </c>
      <c r="AA2344" s="46" t="n">
        <f aca="false">MATCH(A2344,DATAS,0)</f>
        <v>1</v>
      </c>
      <c r="AB2344" s="46" t="n">
        <f aca="false">IF(AND(E2344&gt;0,OR(AND(B2344&gt;=1,B2344&lt;=6),B2344=10)),1,0)</f>
        <v>0</v>
      </c>
      <c r="AC2344" s="46" t="n">
        <f aca="false">IF(AND(E2344&gt;0,B2344=10),1,0)</f>
        <v>0</v>
      </c>
      <c r="AD2344" s="0" t="str">
        <f aca="false">IF(AND(C2343=C2344,AA2343=AA2344-1),AB2343,"")</f>
        <v/>
      </c>
      <c r="AE2344" s="0" t="str">
        <f aca="false">IF(AND(C2343=C2344,AA2343=AA2344-1),AC2343,"")</f>
        <v/>
      </c>
      <c r="AF2344" s="0" t="str">
        <f aca="false">IF(AA2344=1,"",IF(AND(AB2344=1,AD2344&lt;&gt;1),1,0))</f>
        <v/>
      </c>
      <c r="AG2344" s="0" t="str">
        <f aca="false">IF(AA2344=1,"",IF(AND(AC2344=1,AE2344&lt;&gt;1),1,0))</f>
        <v/>
      </c>
      <c r="AH2344" s="51" t="str">
        <f aca="false">IF(AND(E2344&gt;0,AA2344&lt;1,NOT(AND(C2345=C2344,AA2345=AA2344+1))),INDEX(DATAS,AA2344+1),"")</f>
        <v/>
      </c>
      <c r="AI2344" s="51" t="str">
        <f aca="false">IF(AND(AC2344=1,AA2344&lt;1),IF(AND(C2345=C2344,AA2345=AA2344+1),IF(AC2345=1,"",INDEX(DATAS,AA2344+1)),INDEX(DATAS,AA2344+1)),"")</f>
        <v/>
      </c>
    </row>
    <row r="2345" customFormat="false" ht="15" hidden="false" customHeight="false" outlineLevel="0" collapsed="false">
      <c r="A2345" s="51" t="n">
        <v>46309</v>
      </c>
      <c r="B2345" s="0" t="n">
        <v>8</v>
      </c>
      <c r="C2345" s="0" t="n">
        <v>6643</v>
      </c>
      <c r="E2345" s="0" t="n">
        <v>0</v>
      </c>
      <c r="F2345" s="46" t="s">
        <v>1255</v>
      </c>
      <c r="I2345" s="46" t="s">
        <v>152</v>
      </c>
      <c r="L2345" s="0" t="n">
        <v>84</v>
      </c>
      <c r="U2345" s="0" t="n">
        <v>490</v>
      </c>
      <c r="V2345" s="0" t="n">
        <v>1</v>
      </c>
      <c r="W2345" s="51" t="n">
        <v>46226</v>
      </c>
      <c r="X2345" s="46" t="n">
        <f aca="false">IF(I2345="Male",0,1)</f>
        <v>1</v>
      </c>
      <c r="Y2345" s="46" t="n">
        <f aca="false">IF(OR(I2345="DNB",I2345="Dry DNB"),1,0)</f>
        <v>0</v>
      </c>
      <c r="Z2345" s="46" t="n">
        <f aca="false">IF(ISNUMBER(W2345),A2345-W2345,"")</f>
        <v>83</v>
      </c>
      <c r="AA2345" s="46" t="n">
        <f aca="false">MATCH(A2345,DATAS,0)</f>
        <v>1</v>
      </c>
      <c r="AB2345" s="46" t="n">
        <f aca="false">IF(AND(E2345&gt;0,OR(AND(B2345&gt;=1,B2345&lt;=6),B2345=10)),1,0)</f>
        <v>0</v>
      </c>
      <c r="AC2345" s="46" t="n">
        <f aca="false">IF(AND(E2345&gt;0,B2345=10),1,0)</f>
        <v>0</v>
      </c>
      <c r="AD2345" s="0" t="str">
        <f aca="false">IF(AND(C2344=C2345,AA2344=AA2345-1),AB2344,"")</f>
        <v/>
      </c>
      <c r="AE2345" s="0" t="str">
        <f aca="false">IF(AND(C2344=C2345,AA2344=AA2345-1),AC2344,"")</f>
        <v/>
      </c>
      <c r="AF2345" s="0" t="str">
        <f aca="false">IF(AA2345=1,"",IF(AND(AB2345=1,AD2345&lt;&gt;1),1,0))</f>
        <v/>
      </c>
      <c r="AG2345" s="0" t="str">
        <f aca="false">IF(AA2345=1,"",IF(AND(AC2345=1,AE2345&lt;&gt;1),1,0))</f>
        <v/>
      </c>
      <c r="AH2345" s="51" t="str">
        <f aca="false">IF(AND(E2345&gt;0,AA2345&lt;1,NOT(AND(C2346=C2345,AA2346=AA2345+1))),INDEX(DATAS,AA2345+1),"")</f>
        <v/>
      </c>
      <c r="AI2345" s="51" t="str">
        <f aca="false">IF(AND(AC2345=1,AA2345&lt;1),IF(AND(C2346=C2345,AA2346=AA2345+1),IF(AC2346=1,"",INDEX(DATAS,AA2345+1)),INDEX(DATAS,AA2345+1)),"")</f>
        <v/>
      </c>
    </row>
    <row r="2346" customFormat="false" ht="15" hidden="false" customHeight="false" outlineLevel="0" collapsed="false">
      <c r="A2346" s="51" t="n">
        <v>46309</v>
      </c>
      <c r="B2346" s="0" t="n">
        <v>8</v>
      </c>
      <c r="C2346" s="0" t="n">
        <v>6644</v>
      </c>
      <c r="E2346" s="0" t="n">
        <v>0</v>
      </c>
      <c r="F2346" s="46" t="s">
        <v>1255</v>
      </c>
      <c r="I2346" s="46" t="s">
        <v>152</v>
      </c>
      <c r="L2346" s="0" t="n">
        <v>71</v>
      </c>
      <c r="U2346" s="0" t="n">
        <v>490</v>
      </c>
      <c r="V2346" s="0" t="n">
        <v>2</v>
      </c>
      <c r="W2346" s="51" t="n">
        <v>46239</v>
      </c>
      <c r="X2346" s="46" t="n">
        <f aca="false">IF(I2346="Male",0,1)</f>
        <v>1</v>
      </c>
      <c r="Y2346" s="46" t="n">
        <f aca="false">IF(OR(I2346="DNB",I2346="Dry DNB"),1,0)</f>
        <v>0</v>
      </c>
      <c r="Z2346" s="46" t="n">
        <f aca="false">IF(ISNUMBER(W2346),A2346-W2346,"")</f>
        <v>70</v>
      </c>
      <c r="AA2346" s="46" t="n">
        <f aca="false">MATCH(A2346,DATAS,0)</f>
        <v>1</v>
      </c>
      <c r="AB2346" s="46" t="n">
        <f aca="false">IF(AND(E2346&gt;0,OR(AND(B2346&gt;=1,B2346&lt;=6),B2346=10)),1,0)</f>
        <v>0</v>
      </c>
      <c r="AC2346" s="46" t="n">
        <f aca="false">IF(AND(E2346&gt;0,B2346=10),1,0)</f>
        <v>0</v>
      </c>
      <c r="AD2346" s="0" t="str">
        <f aca="false">IF(AND(C2345=C2346,AA2345=AA2346-1),AB2345,"")</f>
        <v/>
      </c>
      <c r="AE2346" s="0" t="str">
        <f aca="false">IF(AND(C2345=C2346,AA2345=AA2346-1),AC2345,"")</f>
        <v/>
      </c>
      <c r="AF2346" s="0" t="str">
        <f aca="false">IF(AA2346=1,"",IF(AND(AB2346=1,AD2346&lt;&gt;1),1,0))</f>
        <v/>
      </c>
      <c r="AG2346" s="0" t="str">
        <f aca="false">IF(AA2346=1,"",IF(AND(AC2346=1,AE2346&lt;&gt;1),1,0))</f>
        <v/>
      </c>
      <c r="AH2346" s="51" t="str">
        <f aca="false">IF(AND(E2346&gt;0,AA2346&lt;1,NOT(AND(C2347=C2346,AA2347=AA2346+1))),INDEX(DATAS,AA2346+1),"")</f>
        <v/>
      </c>
      <c r="AI2346" s="51" t="str">
        <f aca="false">IF(AND(AC2346=1,AA2346&lt;1),IF(AND(C2347=C2346,AA2347=AA2346+1),IF(AC2347=1,"",INDEX(DATAS,AA2346+1)),INDEX(DATAS,AA2346+1)),"")</f>
        <v/>
      </c>
    </row>
    <row r="2347" customFormat="false" ht="15" hidden="false" customHeight="false" outlineLevel="0" collapsed="false">
      <c r="A2347" s="51" t="n">
        <v>46309</v>
      </c>
      <c r="B2347" s="0" t="n">
        <v>8</v>
      </c>
      <c r="C2347" s="0" t="n">
        <v>6645</v>
      </c>
      <c r="E2347" s="0" t="n">
        <v>0</v>
      </c>
      <c r="F2347" s="46" t="s">
        <v>1256</v>
      </c>
      <c r="I2347" s="46" t="s">
        <v>152</v>
      </c>
      <c r="L2347" s="0" t="n">
        <v>69</v>
      </c>
      <c r="U2347" s="0" t="n">
        <v>489</v>
      </c>
      <c r="V2347" s="0" t="n">
        <v>2</v>
      </c>
      <c r="W2347" s="51" t="n">
        <v>46241</v>
      </c>
      <c r="X2347" s="46" t="n">
        <f aca="false">IF(I2347="Male",0,1)</f>
        <v>1</v>
      </c>
      <c r="Y2347" s="46" t="n">
        <f aca="false">IF(OR(I2347="DNB",I2347="Dry DNB"),1,0)</f>
        <v>0</v>
      </c>
      <c r="Z2347" s="46" t="n">
        <f aca="false">IF(ISNUMBER(W2347),A2347-W2347,"")</f>
        <v>68</v>
      </c>
      <c r="AA2347" s="46" t="n">
        <f aca="false">MATCH(A2347,DATAS,0)</f>
        <v>1</v>
      </c>
      <c r="AB2347" s="46" t="n">
        <f aca="false">IF(AND(E2347&gt;0,OR(AND(B2347&gt;=1,B2347&lt;=6),B2347=10)),1,0)</f>
        <v>0</v>
      </c>
      <c r="AC2347" s="46" t="n">
        <f aca="false">IF(AND(E2347&gt;0,B2347=10),1,0)</f>
        <v>0</v>
      </c>
      <c r="AD2347" s="0" t="str">
        <f aca="false">IF(AND(C2346=C2347,AA2346=AA2347-1),AB2346,"")</f>
        <v/>
      </c>
      <c r="AE2347" s="0" t="str">
        <f aca="false">IF(AND(C2346=C2347,AA2346=AA2347-1),AC2346,"")</f>
        <v/>
      </c>
      <c r="AF2347" s="0" t="str">
        <f aca="false">IF(AA2347=1,"",IF(AND(AB2347=1,AD2347&lt;&gt;1),1,0))</f>
        <v/>
      </c>
      <c r="AG2347" s="0" t="str">
        <f aca="false">IF(AA2347=1,"",IF(AND(AC2347=1,AE2347&lt;&gt;1),1,0))</f>
        <v/>
      </c>
      <c r="AH2347" s="51" t="str">
        <f aca="false">IF(AND(E2347&gt;0,AA2347&lt;1,NOT(AND(C2348=C2347,AA2348=AA2347+1))),INDEX(DATAS,AA2347+1),"")</f>
        <v/>
      </c>
      <c r="AI2347" s="51" t="str">
        <f aca="false">IF(AND(AC2347=1,AA2347&lt;1),IF(AND(C2348=C2347,AA2348=AA2347+1),IF(AC2348=1,"",INDEX(DATAS,AA2347+1)),INDEX(DATAS,AA2347+1)),"")</f>
        <v/>
      </c>
    </row>
    <row r="2348" customFormat="false" ht="15" hidden="false" customHeight="false" outlineLevel="0" collapsed="false">
      <c r="A2348" s="51" t="n">
        <v>46309</v>
      </c>
      <c r="B2348" s="0" t="n">
        <v>8</v>
      </c>
      <c r="C2348" s="0" t="n">
        <v>6646</v>
      </c>
      <c r="E2348" s="0" t="n">
        <v>0</v>
      </c>
      <c r="F2348" s="46" t="s">
        <v>1257</v>
      </c>
      <c r="I2348" s="46" t="s">
        <v>152</v>
      </c>
      <c r="L2348" s="0" t="n">
        <v>44</v>
      </c>
      <c r="U2348" s="0" t="n">
        <v>488</v>
      </c>
      <c r="V2348" s="0" t="n">
        <v>2</v>
      </c>
      <c r="W2348" s="51" t="n">
        <v>46266</v>
      </c>
      <c r="X2348" s="46" t="n">
        <f aca="false">IF(I2348="Male",0,1)</f>
        <v>1</v>
      </c>
      <c r="Y2348" s="46" t="n">
        <f aca="false">IF(OR(I2348="DNB",I2348="Dry DNB"),1,0)</f>
        <v>0</v>
      </c>
      <c r="Z2348" s="46" t="n">
        <f aca="false">IF(ISNUMBER(W2348),A2348-W2348,"")</f>
        <v>43</v>
      </c>
      <c r="AA2348" s="46" t="n">
        <f aca="false">MATCH(A2348,DATAS,0)</f>
        <v>1</v>
      </c>
      <c r="AB2348" s="46" t="n">
        <f aca="false">IF(AND(E2348&gt;0,OR(AND(B2348&gt;=1,B2348&lt;=6),B2348=10)),1,0)</f>
        <v>0</v>
      </c>
      <c r="AC2348" s="46" t="n">
        <f aca="false">IF(AND(E2348&gt;0,B2348=10),1,0)</f>
        <v>0</v>
      </c>
      <c r="AD2348" s="0" t="str">
        <f aca="false">IF(AND(C2347=C2348,AA2347=AA2348-1),AB2347,"")</f>
        <v/>
      </c>
      <c r="AE2348" s="0" t="str">
        <f aca="false">IF(AND(C2347=C2348,AA2347=AA2348-1),AC2347,"")</f>
        <v/>
      </c>
      <c r="AF2348" s="0" t="str">
        <f aca="false">IF(AA2348=1,"",IF(AND(AB2348=1,AD2348&lt;&gt;1),1,0))</f>
        <v/>
      </c>
      <c r="AG2348" s="0" t="str">
        <f aca="false">IF(AA2348=1,"",IF(AND(AC2348=1,AE2348&lt;&gt;1),1,0))</f>
        <v/>
      </c>
      <c r="AH2348" s="51" t="str">
        <f aca="false">IF(AND(E2348&gt;0,AA2348&lt;1,NOT(AND(C2349=C2348,AA2349=AA2348+1))),INDEX(DATAS,AA2348+1),"")</f>
        <v/>
      </c>
      <c r="AI2348" s="51" t="str">
        <f aca="false">IF(AND(AC2348=1,AA2348&lt;1),IF(AND(C2349=C2348,AA2349=AA2348+1),IF(AC2349=1,"",INDEX(DATAS,AA2348+1)),INDEX(DATAS,AA2348+1)),"")</f>
        <v/>
      </c>
    </row>
    <row r="2349" customFormat="false" ht="15" hidden="false" customHeight="false" outlineLevel="0" collapsed="false">
      <c r="A2349" s="51" t="n">
        <v>46309</v>
      </c>
      <c r="B2349" s="0" t="n">
        <v>8</v>
      </c>
      <c r="C2349" s="0" t="n">
        <v>6647</v>
      </c>
      <c r="E2349" s="0" t="n">
        <v>0</v>
      </c>
      <c r="F2349" s="46" t="s">
        <v>1257</v>
      </c>
      <c r="I2349" s="46" t="s">
        <v>152</v>
      </c>
      <c r="L2349" s="0" t="n">
        <v>62</v>
      </c>
      <c r="U2349" s="0" t="n">
        <v>488</v>
      </c>
      <c r="V2349" s="0" t="n">
        <v>2</v>
      </c>
      <c r="W2349" s="51" t="n">
        <v>46248</v>
      </c>
      <c r="X2349" s="46" t="n">
        <f aca="false">IF(I2349="Male",0,1)</f>
        <v>1</v>
      </c>
      <c r="Y2349" s="46" t="n">
        <f aca="false">IF(OR(I2349="DNB",I2349="Dry DNB"),1,0)</f>
        <v>0</v>
      </c>
      <c r="Z2349" s="46" t="n">
        <f aca="false">IF(ISNUMBER(W2349),A2349-W2349,"")</f>
        <v>61</v>
      </c>
      <c r="AA2349" s="46" t="n">
        <f aca="false">MATCH(A2349,DATAS,0)</f>
        <v>1</v>
      </c>
      <c r="AB2349" s="46" t="n">
        <f aca="false">IF(AND(E2349&gt;0,OR(AND(B2349&gt;=1,B2349&lt;=6),B2349=10)),1,0)</f>
        <v>0</v>
      </c>
      <c r="AC2349" s="46" t="n">
        <f aca="false">IF(AND(E2349&gt;0,B2349=10),1,0)</f>
        <v>0</v>
      </c>
      <c r="AD2349" s="0" t="str">
        <f aca="false">IF(AND(C2348=C2349,AA2348=AA2349-1),AB2348,"")</f>
        <v/>
      </c>
      <c r="AE2349" s="0" t="str">
        <f aca="false">IF(AND(C2348=C2349,AA2348=AA2349-1),AC2348,"")</f>
        <v/>
      </c>
      <c r="AF2349" s="0" t="str">
        <f aca="false">IF(AA2349=1,"",IF(AND(AB2349=1,AD2349&lt;&gt;1),1,0))</f>
        <v/>
      </c>
      <c r="AG2349" s="0" t="str">
        <f aca="false">IF(AA2349=1,"",IF(AND(AC2349=1,AE2349&lt;&gt;1),1,0))</f>
        <v/>
      </c>
      <c r="AH2349" s="51" t="str">
        <f aca="false">IF(AND(E2349&gt;0,AA2349&lt;1,NOT(AND(C2350=C2349,AA2350=AA2349+1))),INDEX(DATAS,AA2349+1),"")</f>
        <v/>
      </c>
      <c r="AI2349" s="51" t="str">
        <f aca="false">IF(AND(AC2349=1,AA2349&lt;1),IF(AND(C2350=C2349,AA2350=AA2349+1),IF(AC2350=1,"",INDEX(DATAS,AA2349+1)),INDEX(DATAS,AA2349+1)),"")</f>
        <v/>
      </c>
    </row>
    <row r="2350" customFormat="false" ht="15" hidden="false" customHeight="false" outlineLevel="0" collapsed="false">
      <c r="A2350" s="51" t="n">
        <v>46309</v>
      </c>
      <c r="B2350" s="0" t="n">
        <v>8</v>
      </c>
      <c r="C2350" s="0" t="n">
        <v>6648</v>
      </c>
      <c r="E2350" s="0" t="n">
        <v>0</v>
      </c>
      <c r="F2350" s="46" t="s">
        <v>1258</v>
      </c>
      <c r="I2350" s="46" t="s">
        <v>152</v>
      </c>
      <c r="L2350" s="0" t="n">
        <v>85</v>
      </c>
      <c r="U2350" s="0" t="n">
        <v>486</v>
      </c>
      <c r="V2350" s="0" t="n">
        <v>1</v>
      </c>
      <c r="W2350" s="51" t="n">
        <v>46225</v>
      </c>
      <c r="X2350" s="46" t="n">
        <f aca="false">IF(I2350="Male",0,1)</f>
        <v>1</v>
      </c>
      <c r="Y2350" s="46" t="n">
        <f aca="false">IF(OR(I2350="DNB",I2350="Dry DNB"),1,0)</f>
        <v>0</v>
      </c>
      <c r="Z2350" s="46" t="n">
        <f aca="false">IF(ISNUMBER(W2350),A2350-W2350,"")</f>
        <v>84</v>
      </c>
      <c r="AA2350" s="46" t="n">
        <f aca="false">MATCH(A2350,DATAS,0)</f>
        <v>1</v>
      </c>
      <c r="AB2350" s="46" t="n">
        <f aca="false">IF(AND(E2350&gt;0,OR(AND(B2350&gt;=1,B2350&lt;=6),B2350=10)),1,0)</f>
        <v>0</v>
      </c>
      <c r="AC2350" s="46" t="n">
        <f aca="false">IF(AND(E2350&gt;0,B2350=10),1,0)</f>
        <v>0</v>
      </c>
      <c r="AD2350" s="0" t="str">
        <f aca="false">IF(AND(C2349=C2350,AA2349=AA2350-1),AB2349,"")</f>
        <v/>
      </c>
      <c r="AE2350" s="0" t="str">
        <f aca="false">IF(AND(C2349=C2350,AA2349=AA2350-1),AC2349,"")</f>
        <v/>
      </c>
      <c r="AF2350" s="0" t="str">
        <f aca="false">IF(AA2350=1,"",IF(AND(AB2350=1,AD2350&lt;&gt;1),1,0))</f>
        <v/>
      </c>
      <c r="AG2350" s="0" t="str">
        <f aca="false">IF(AA2350=1,"",IF(AND(AC2350=1,AE2350&lt;&gt;1),1,0))</f>
        <v/>
      </c>
      <c r="AH2350" s="51" t="str">
        <f aca="false">IF(AND(E2350&gt;0,AA2350&lt;1,NOT(AND(C2351=C2350,AA2351=AA2350+1))),INDEX(DATAS,AA2350+1),"")</f>
        <v/>
      </c>
      <c r="AI2350" s="51" t="str">
        <f aca="false">IF(AND(AC2350=1,AA2350&lt;1),IF(AND(C2351=C2350,AA2351=AA2350+1),IF(AC2351=1,"",INDEX(DATAS,AA2350+1)),INDEX(DATAS,AA2350+1)),"")</f>
        <v/>
      </c>
    </row>
    <row r="2351" customFormat="false" ht="15" hidden="false" customHeight="false" outlineLevel="0" collapsed="false">
      <c r="A2351" s="51" t="n">
        <v>46309</v>
      </c>
      <c r="B2351" s="0" t="n">
        <v>11</v>
      </c>
      <c r="C2351" s="0" t="n">
        <v>6649</v>
      </c>
      <c r="E2351" s="0" t="n">
        <v>0</v>
      </c>
      <c r="F2351" s="46" t="s">
        <v>1258</v>
      </c>
      <c r="I2351" s="46" t="s">
        <v>181</v>
      </c>
      <c r="U2351" s="0" t="n">
        <v>486</v>
      </c>
      <c r="V2351" s="0" t="n">
        <v>3</v>
      </c>
      <c r="W2351" s="51" t="n">
        <v>46308</v>
      </c>
      <c r="X2351" s="46" t="n">
        <f aca="false">IF(I2351="Male",0,1)</f>
        <v>1</v>
      </c>
      <c r="Y2351" s="46" t="n">
        <f aca="false">IF(OR(I2351="DNB",I2351="Dry DNB"),1,0)</f>
        <v>0</v>
      </c>
      <c r="Z2351" s="46" t="n">
        <f aca="false">IF(ISNUMBER(W2351),A2351-W2351,"")</f>
        <v>1</v>
      </c>
      <c r="AA2351" s="46" t="n">
        <f aca="false">MATCH(A2351,DATAS,0)</f>
        <v>1</v>
      </c>
      <c r="AB2351" s="46" t="n">
        <f aca="false">IF(AND(E2351&gt;0,OR(AND(B2351&gt;=1,B2351&lt;=6),B2351=10)),1,0)</f>
        <v>0</v>
      </c>
      <c r="AC2351" s="46" t="n">
        <f aca="false">IF(AND(E2351&gt;0,B2351=10),1,0)</f>
        <v>0</v>
      </c>
      <c r="AD2351" s="0" t="str">
        <f aca="false">IF(AND(C2350=C2351,AA2350=AA2351-1),AB2350,"")</f>
        <v/>
      </c>
      <c r="AE2351" s="0" t="str">
        <f aca="false">IF(AND(C2350=C2351,AA2350=AA2351-1),AC2350,"")</f>
        <v/>
      </c>
      <c r="AF2351" s="0" t="str">
        <f aca="false">IF(AA2351=1,"",IF(AND(AB2351=1,AD2351&lt;&gt;1),1,0))</f>
        <v/>
      </c>
      <c r="AG2351" s="0" t="str">
        <f aca="false">IF(AA2351=1,"",IF(AND(AC2351=1,AE2351&lt;&gt;1),1,0))</f>
        <v/>
      </c>
      <c r="AH2351" s="51" t="str">
        <f aca="false">IF(AND(E2351&gt;0,AA2351&lt;1,NOT(AND(C2352=C2351,AA2352=AA2351+1))),INDEX(DATAS,AA2351+1),"")</f>
        <v/>
      </c>
      <c r="AI2351" s="51" t="str">
        <f aca="false">IF(AND(AC2351=1,AA2351&lt;1),IF(AND(C2352=C2351,AA2352=AA2351+1),IF(AC2352=1,"",INDEX(DATAS,AA2351+1)),INDEX(DATAS,AA2351+1)),"")</f>
        <v/>
      </c>
    </row>
    <row r="2352" customFormat="false" ht="15" hidden="false" customHeight="false" outlineLevel="0" collapsed="false">
      <c r="A2352" s="51" t="n">
        <v>46309</v>
      </c>
      <c r="B2352" s="0" t="n">
        <v>11</v>
      </c>
      <c r="C2352" s="0" t="n">
        <v>6650</v>
      </c>
      <c r="E2352" s="0" t="n">
        <v>0</v>
      </c>
      <c r="F2352" s="46" t="s">
        <v>1258</v>
      </c>
      <c r="I2352" s="46" t="s">
        <v>181</v>
      </c>
      <c r="U2352" s="0" t="n">
        <v>486</v>
      </c>
      <c r="V2352" s="0" t="n">
        <v>4</v>
      </c>
      <c r="W2352" s="51" t="n">
        <v>46294</v>
      </c>
      <c r="X2352" s="46" t="n">
        <f aca="false">IF(I2352="Male",0,1)</f>
        <v>1</v>
      </c>
      <c r="Y2352" s="46" t="n">
        <f aca="false">IF(OR(I2352="DNB",I2352="Dry DNB"),1,0)</f>
        <v>0</v>
      </c>
      <c r="Z2352" s="46" t="n">
        <f aca="false">IF(ISNUMBER(W2352),A2352-W2352,"")</f>
        <v>15</v>
      </c>
      <c r="AA2352" s="46" t="n">
        <f aca="false">MATCH(A2352,DATAS,0)</f>
        <v>1</v>
      </c>
      <c r="AB2352" s="46" t="n">
        <f aca="false">IF(AND(E2352&gt;0,OR(AND(B2352&gt;=1,B2352&lt;=6),B2352=10)),1,0)</f>
        <v>0</v>
      </c>
      <c r="AC2352" s="46" t="n">
        <f aca="false">IF(AND(E2352&gt;0,B2352=10),1,0)</f>
        <v>0</v>
      </c>
      <c r="AD2352" s="0" t="str">
        <f aca="false">IF(AND(C2351=C2352,AA2351=AA2352-1),AB2351,"")</f>
        <v/>
      </c>
      <c r="AE2352" s="0" t="str">
        <f aca="false">IF(AND(C2351=C2352,AA2351=AA2352-1),AC2351,"")</f>
        <v/>
      </c>
      <c r="AF2352" s="0" t="str">
        <f aca="false">IF(AA2352=1,"",IF(AND(AB2352=1,AD2352&lt;&gt;1),1,0))</f>
        <v/>
      </c>
      <c r="AG2352" s="0" t="str">
        <f aca="false">IF(AA2352=1,"",IF(AND(AC2352=1,AE2352&lt;&gt;1),1,0))</f>
        <v/>
      </c>
      <c r="AH2352" s="51" t="str">
        <f aca="false">IF(AND(E2352&gt;0,AA2352&lt;1,NOT(AND(C2353=C2352,AA2353=AA2352+1))),INDEX(DATAS,AA2352+1),"")</f>
        <v/>
      </c>
      <c r="AI2352" s="51" t="str">
        <f aca="false">IF(AND(AC2352=1,AA2352&lt;1),IF(AND(C2353=C2352,AA2353=AA2352+1),IF(AC2353=1,"",INDEX(DATAS,AA2352+1)),INDEX(DATAS,AA2352+1)),"")</f>
        <v/>
      </c>
    </row>
    <row r="2353" customFormat="false" ht="15" hidden="false" customHeight="false" outlineLevel="0" collapsed="false">
      <c r="A2353" s="51" t="n">
        <v>46309</v>
      </c>
      <c r="B2353" s="0" t="n">
        <v>11</v>
      </c>
      <c r="C2353" s="0" t="n">
        <v>6651</v>
      </c>
      <c r="E2353" s="0" t="n">
        <v>0</v>
      </c>
      <c r="F2353" s="46" t="s">
        <v>1258</v>
      </c>
      <c r="I2353" s="46" t="s">
        <v>181</v>
      </c>
      <c r="U2353" s="0" t="n">
        <v>486</v>
      </c>
      <c r="V2353" s="0" t="n">
        <v>4</v>
      </c>
      <c r="W2353" s="51" t="n">
        <v>46301</v>
      </c>
      <c r="X2353" s="46" t="n">
        <f aca="false">IF(I2353="Male",0,1)</f>
        <v>1</v>
      </c>
      <c r="Y2353" s="46" t="n">
        <f aca="false">IF(OR(I2353="DNB",I2353="Dry DNB"),1,0)</f>
        <v>0</v>
      </c>
      <c r="Z2353" s="46" t="n">
        <f aca="false">IF(ISNUMBER(W2353),A2353-W2353,"")</f>
        <v>8</v>
      </c>
      <c r="AA2353" s="46" t="n">
        <f aca="false">MATCH(A2353,DATAS,0)</f>
        <v>1</v>
      </c>
      <c r="AB2353" s="46" t="n">
        <f aca="false">IF(AND(E2353&gt;0,OR(AND(B2353&gt;=1,B2353&lt;=6),B2353=10)),1,0)</f>
        <v>0</v>
      </c>
      <c r="AC2353" s="46" t="n">
        <f aca="false">IF(AND(E2353&gt;0,B2353=10),1,0)</f>
        <v>0</v>
      </c>
      <c r="AD2353" s="0" t="str">
        <f aca="false">IF(AND(C2352=C2353,AA2352=AA2353-1),AB2352,"")</f>
        <v/>
      </c>
      <c r="AE2353" s="0" t="str">
        <f aca="false">IF(AND(C2352=C2353,AA2352=AA2353-1),AC2352,"")</f>
        <v/>
      </c>
      <c r="AF2353" s="0" t="str">
        <f aca="false">IF(AA2353=1,"",IF(AND(AB2353=1,AD2353&lt;&gt;1),1,0))</f>
        <v/>
      </c>
      <c r="AG2353" s="0" t="str">
        <f aca="false">IF(AA2353=1,"",IF(AND(AC2353=1,AE2353&lt;&gt;1),1,0))</f>
        <v/>
      </c>
      <c r="AH2353" s="51" t="str">
        <f aca="false">IF(AND(E2353&gt;0,AA2353&lt;1,NOT(AND(C2354=C2353,AA2354=AA2353+1))),INDEX(DATAS,AA2353+1),"")</f>
        <v/>
      </c>
      <c r="AI2353" s="51" t="str">
        <f aca="false">IF(AND(AC2353=1,AA2353&lt;1),IF(AND(C2354=C2353,AA2354=AA2353+1),IF(AC2354=1,"",INDEX(DATAS,AA2353+1)),INDEX(DATAS,AA2353+1)),"")</f>
        <v/>
      </c>
    </row>
    <row r="2354" customFormat="false" ht="15" hidden="false" customHeight="false" outlineLevel="0" collapsed="false">
      <c r="A2354" s="51" t="n">
        <v>46309</v>
      </c>
      <c r="B2354" s="0" t="n">
        <v>11</v>
      </c>
      <c r="C2354" s="0" t="n">
        <v>6652</v>
      </c>
      <c r="E2354" s="0" t="n">
        <v>0</v>
      </c>
      <c r="F2354" s="46" t="s">
        <v>1258</v>
      </c>
      <c r="I2354" s="46" t="s">
        <v>181</v>
      </c>
      <c r="U2354" s="0" t="n">
        <v>486</v>
      </c>
      <c r="V2354" s="0" t="n">
        <v>4</v>
      </c>
      <c r="W2354" s="51" t="n">
        <v>46297</v>
      </c>
      <c r="X2354" s="46" t="n">
        <f aca="false">IF(I2354="Male",0,1)</f>
        <v>1</v>
      </c>
      <c r="Y2354" s="46" t="n">
        <f aca="false">IF(OR(I2354="DNB",I2354="Dry DNB"),1,0)</f>
        <v>0</v>
      </c>
      <c r="Z2354" s="46" t="n">
        <f aca="false">IF(ISNUMBER(W2354),A2354-W2354,"")</f>
        <v>12</v>
      </c>
      <c r="AA2354" s="46" t="n">
        <f aca="false">MATCH(A2354,DATAS,0)</f>
        <v>1</v>
      </c>
      <c r="AB2354" s="46" t="n">
        <f aca="false">IF(AND(E2354&gt;0,OR(AND(B2354&gt;=1,B2354&lt;=6),B2354=10)),1,0)</f>
        <v>0</v>
      </c>
      <c r="AC2354" s="46" t="n">
        <f aca="false">IF(AND(E2354&gt;0,B2354=10),1,0)</f>
        <v>0</v>
      </c>
      <c r="AD2354" s="0" t="str">
        <f aca="false">IF(AND(C2353=C2354,AA2353=AA2354-1),AB2353,"")</f>
        <v/>
      </c>
      <c r="AE2354" s="0" t="str">
        <f aca="false">IF(AND(C2353=C2354,AA2353=AA2354-1),AC2353,"")</f>
        <v/>
      </c>
      <c r="AF2354" s="0" t="str">
        <f aca="false">IF(AA2354=1,"",IF(AND(AB2354=1,AD2354&lt;&gt;1),1,0))</f>
        <v/>
      </c>
      <c r="AG2354" s="0" t="str">
        <f aca="false">IF(AA2354=1,"",IF(AND(AC2354=1,AE2354&lt;&gt;1),1,0))</f>
        <v/>
      </c>
      <c r="AH2354" s="51" t="str">
        <f aca="false">IF(AND(E2354&gt;0,AA2354&lt;1,NOT(AND(C2355=C2354,AA2355=AA2354+1))),INDEX(DATAS,AA2354+1),"")</f>
        <v/>
      </c>
      <c r="AI2354" s="51" t="str">
        <f aca="false">IF(AND(AC2354=1,AA2354&lt;1),IF(AND(C2355=C2354,AA2355=AA2354+1),IF(AC2355=1,"",INDEX(DATAS,AA2354+1)),INDEX(DATAS,AA2354+1)),"")</f>
        <v/>
      </c>
    </row>
    <row r="2355" customFormat="false" ht="15" hidden="false" customHeight="false" outlineLevel="0" collapsed="false">
      <c r="A2355" s="51" t="n">
        <v>46309</v>
      </c>
      <c r="B2355" s="0" t="n">
        <v>8</v>
      </c>
      <c r="C2355" s="0" t="n">
        <v>6653</v>
      </c>
      <c r="E2355" s="0" t="n">
        <v>0</v>
      </c>
      <c r="F2355" s="46" t="s">
        <v>1258</v>
      </c>
      <c r="I2355" s="46" t="s">
        <v>152</v>
      </c>
      <c r="L2355" s="0" t="n">
        <v>85</v>
      </c>
      <c r="U2355" s="0" t="n">
        <v>486</v>
      </c>
      <c r="V2355" s="0" t="n">
        <v>1</v>
      </c>
      <c r="W2355" s="51" t="n">
        <v>46225</v>
      </c>
      <c r="X2355" s="46" t="n">
        <f aca="false">IF(I2355="Male",0,1)</f>
        <v>1</v>
      </c>
      <c r="Y2355" s="46" t="n">
        <f aca="false">IF(OR(I2355="DNB",I2355="Dry DNB"),1,0)</f>
        <v>0</v>
      </c>
      <c r="Z2355" s="46" t="n">
        <f aca="false">IF(ISNUMBER(W2355),A2355-W2355,"")</f>
        <v>84</v>
      </c>
      <c r="AA2355" s="46" t="n">
        <f aca="false">MATCH(A2355,DATAS,0)</f>
        <v>1</v>
      </c>
      <c r="AB2355" s="46" t="n">
        <f aca="false">IF(AND(E2355&gt;0,OR(AND(B2355&gt;=1,B2355&lt;=6),B2355=10)),1,0)</f>
        <v>0</v>
      </c>
      <c r="AC2355" s="46" t="n">
        <f aca="false">IF(AND(E2355&gt;0,B2355=10),1,0)</f>
        <v>0</v>
      </c>
      <c r="AD2355" s="0" t="str">
        <f aca="false">IF(AND(C2354=C2355,AA2354=AA2355-1),AB2354,"")</f>
        <v/>
      </c>
      <c r="AE2355" s="0" t="str">
        <f aca="false">IF(AND(C2354=C2355,AA2354=AA2355-1),AC2354,"")</f>
        <v/>
      </c>
      <c r="AF2355" s="0" t="str">
        <f aca="false">IF(AA2355=1,"",IF(AND(AB2355=1,AD2355&lt;&gt;1),1,0))</f>
        <v/>
      </c>
      <c r="AG2355" s="0" t="str">
        <f aca="false">IF(AA2355=1,"",IF(AND(AC2355=1,AE2355&lt;&gt;1),1,0))</f>
        <v/>
      </c>
      <c r="AH2355" s="51" t="str">
        <f aca="false">IF(AND(E2355&gt;0,AA2355&lt;1,NOT(AND(C2356=C2355,AA2356=AA2355+1))),INDEX(DATAS,AA2355+1),"")</f>
        <v/>
      </c>
      <c r="AI2355" s="51" t="str">
        <f aca="false">IF(AND(AC2355=1,AA2355&lt;1),IF(AND(C2356=C2355,AA2356=AA2355+1),IF(AC2356=1,"",INDEX(DATAS,AA2355+1)),INDEX(DATAS,AA2355+1)),"")</f>
        <v/>
      </c>
    </row>
    <row r="2356" customFormat="false" ht="15" hidden="false" customHeight="false" outlineLevel="0" collapsed="false">
      <c r="A2356" s="51" t="n">
        <v>46309</v>
      </c>
      <c r="B2356" s="0" t="n">
        <v>8</v>
      </c>
      <c r="C2356" s="0" t="n">
        <v>6654</v>
      </c>
      <c r="E2356" s="0" t="n">
        <v>0</v>
      </c>
      <c r="F2356" s="46" t="s">
        <v>1259</v>
      </c>
      <c r="I2356" s="46" t="s">
        <v>152</v>
      </c>
      <c r="L2356" s="0" t="n">
        <v>49</v>
      </c>
      <c r="U2356" s="0" t="n">
        <v>485</v>
      </c>
      <c r="V2356" s="0" t="n">
        <v>1</v>
      </c>
      <c r="W2356" s="51" t="n">
        <v>46261</v>
      </c>
      <c r="X2356" s="46" t="n">
        <f aca="false">IF(I2356="Male",0,1)</f>
        <v>1</v>
      </c>
      <c r="Y2356" s="46" t="n">
        <f aca="false">IF(OR(I2356="DNB",I2356="Dry DNB"),1,0)</f>
        <v>0</v>
      </c>
      <c r="Z2356" s="46" t="n">
        <f aca="false">IF(ISNUMBER(W2356),A2356-W2356,"")</f>
        <v>48</v>
      </c>
      <c r="AA2356" s="46" t="n">
        <f aca="false">MATCH(A2356,DATAS,0)</f>
        <v>1</v>
      </c>
      <c r="AB2356" s="46" t="n">
        <f aca="false">IF(AND(E2356&gt;0,OR(AND(B2356&gt;=1,B2356&lt;=6),B2356=10)),1,0)</f>
        <v>0</v>
      </c>
      <c r="AC2356" s="46" t="n">
        <f aca="false">IF(AND(E2356&gt;0,B2356=10),1,0)</f>
        <v>0</v>
      </c>
      <c r="AD2356" s="0" t="str">
        <f aca="false">IF(AND(C2355=C2356,AA2355=AA2356-1),AB2355,"")</f>
        <v/>
      </c>
      <c r="AE2356" s="0" t="str">
        <f aca="false">IF(AND(C2355=C2356,AA2355=AA2356-1),AC2355,"")</f>
        <v/>
      </c>
      <c r="AF2356" s="0" t="str">
        <f aca="false">IF(AA2356=1,"",IF(AND(AB2356=1,AD2356&lt;&gt;1),1,0))</f>
        <v/>
      </c>
      <c r="AG2356" s="0" t="str">
        <f aca="false">IF(AA2356=1,"",IF(AND(AC2356=1,AE2356&lt;&gt;1),1,0))</f>
        <v/>
      </c>
      <c r="AH2356" s="51" t="str">
        <f aca="false">IF(AND(E2356&gt;0,AA2356&lt;1,NOT(AND(C2357=C2356,AA2357=AA2356+1))),INDEX(DATAS,AA2356+1),"")</f>
        <v/>
      </c>
      <c r="AI2356" s="51" t="str">
        <f aca="false">IF(AND(AC2356=1,AA2356&lt;1),IF(AND(C2357=C2356,AA2357=AA2356+1),IF(AC2357=1,"",INDEX(DATAS,AA2356+1)),INDEX(DATAS,AA2356+1)),"")</f>
        <v/>
      </c>
    </row>
    <row r="2357" customFormat="false" ht="15" hidden="false" customHeight="false" outlineLevel="0" collapsed="false">
      <c r="A2357" s="51" t="n">
        <v>46309</v>
      </c>
      <c r="B2357" s="0" t="n">
        <v>8</v>
      </c>
      <c r="C2357" s="0" t="n">
        <v>6655</v>
      </c>
      <c r="E2357" s="0" t="n">
        <v>0</v>
      </c>
      <c r="F2357" s="46" t="s">
        <v>1259</v>
      </c>
      <c r="I2357" s="46" t="s">
        <v>152</v>
      </c>
      <c r="L2357" s="0" t="n">
        <v>56</v>
      </c>
      <c r="U2357" s="0" t="n">
        <v>485</v>
      </c>
      <c r="V2357" s="0" t="n">
        <v>3</v>
      </c>
      <c r="W2357" s="51" t="n">
        <v>46254</v>
      </c>
      <c r="X2357" s="46" t="n">
        <f aca="false">IF(I2357="Male",0,1)</f>
        <v>1</v>
      </c>
      <c r="Y2357" s="46" t="n">
        <f aca="false">IF(OR(I2357="DNB",I2357="Dry DNB"),1,0)</f>
        <v>0</v>
      </c>
      <c r="Z2357" s="46" t="n">
        <f aca="false">IF(ISNUMBER(W2357),A2357-W2357,"")</f>
        <v>55</v>
      </c>
      <c r="AA2357" s="46" t="n">
        <f aca="false">MATCH(A2357,DATAS,0)</f>
        <v>1</v>
      </c>
      <c r="AB2357" s="46" t="n">
        <f aca="false">IF(AND(E2357&gt;0,OR(AND(B2357&gt;=1,B2357&lt;=6),B2357=10)),1,0)</f>
        <v>0</v>
      </c>
      <c r="AC2357" s="46" t="n">
        <f aca="false">IF(AND(E2357&gt;0,B2357=10),1,0)</f>
        <v>0</v>
      </c>
      <c r="AD2357" s="0" t="str">
        <f aca="false">IF(AND(C2356=C2357,AA2356=AA2357-1),AB2356,"")</f>
        <v/>
      </c>
      <c r="AE2357" s="0" t="str">
        <f aca="false">IF(AND(C2356=C2357,AA2356=AA2357-1),AC2356,"")</f>
        <v/>
      </c>
      <c r="AF2357" s="0" t="str">
        <f aca="false">IF(AA2357=1,"",IF(AND(AB2357=1,AD2357&lt;&gt;1),1,0))</f>
        <v/>
      </c>
      <c r="AG2357" s="0" t="str">
        <f aca="false">IF(AA2357=1,"",IF(AND(AC2357=1,AE2357&lt;&gt;1),1,0))</f>
        <v/>
      </c>
      <c r="AH2357" s="51" t="str">
        <f aca="false">IF(AND(E2357&gt;0,AA2357&lt;1,NOT(AND(C2358=C2357,AA2358=AA2357+1))),INDEX(DATAS,AA2357+1),"")</f>
        <v/>
      </c>
      <c r="AI2357" s="51" t="str">
        <f aca="false">IF(AND(AC2357=1,AA2357&lt;1),IF(AND(C2358=C2357,AA2358=AA2357+1),IF(AC2358=1,"",INDEX(DATAS,AA2357+1)),INDEX(DATAS,AA2357+1)),"")</f>
        <v/>
      </c>
    </row>
    <row r="2358" customFormat="false" ht="15" hidden="false" customHeight="false" outlineLevel="0" collapsed="false">
      <c r="A2358" s="51" t="n">
        <v>46309</v>
      </c>
      <c r="B2358" s="0" t="n">
        <v>8</v>
      </c>
      <c r="C2358" s="0" t="n">
        <v>6656</v>
      </c>
      <c r="E2358" s="0" t="n">
        <v>0</v>
      </c>
      <c r="F2358" s="46" t="s">
        <v>1259</v>
      </c>
      <c r="I2358" s="46" t="s">
        <v>152</v>
      </c>
      <c r="L2358" s="0" t="n">
        <v>86</v>
      </c>
      <c r="U2358" s="0" t="n">
        <v>485</v>
      </c>
      <c r="V2358" s="0" t="n">
        <v>1</v>
      </c>
      <c r="W2358" s="51" t="n">
        <v>46224</v>
      </c>
      <c r="X2358" s="46" t="n">
        <f aca="false">IF(I2358="Male",0,1)</f>
        <v>1</v>
      </c>
      <c r="Y2358" s="46" t="n">
        <f aca="false">IF(OR(I2358="DNB",I2358="Dry DNB"),1,0)</f>
        <v>0</v>
      </c>
      <c r="Z2358" s="46" t="n">
        <f aca="false">IF(ISNUMBER(W2358),A2358-W2358,"")</f>
        <v>85</v>
      </c>
      <c r="AA2358" s="46" t="n">
        <f aca="false">MATCH(A2358,DATAS,0)</f>
        <v>1</v>
      </c>
      <c r="AB2358" s="46" t="n">
        <f aca="false">IF(AND(E2358&gt;0,OR(AND(B2358&gt;=1,B2358&lt;=6),B2358=10)),1,0)</f>
        <v>0</v>
      </c>
      <c r="AC2358" s="46" t="n">
        <f aca="false">IF(AND(E2358&gt;0,B2358=10),1,0)</f>
        <v>0</v>
      </c>
      <c r="AD2358" s="0" t="str">
        <f aca="false">IF(AND(C2357=C2358,AA2357=AA2358-1),AB2357,"")</f>
        <v/>
      </c>
      <c r="AE2358" s="0" t="str">
        <f aca="false">IF(AND(C2357=C2358,AA2357=AA2358-1),AC2357,"")</f>
        <v/>
      </c>
      <c r="AF2358" s="0" t="str">
        <f aca="false">IF(AA2358=1,"",IF(AND(AB2358=1,AD2358&lt;&gt;1),1,0))</f>
        <v/>
      </c>
      <c r="AG2358" s="0" t="str">
        <f aca="false">IF(AA2358=1,"",IF(AND(AC2358=1,AE2358&lt;&gt;1),1,0))</f>
        <v/>
      </c>
      <c r="AH2358" s="51" t="str">
        <f aca="false">IF(AND(E2358&gt;0,AA2358&lt;1,NOT(AND(C2359=C2358,AA2359=AA2358+1))),INDEX(DATAS,AA2358+1),"")</f>
        <v/>
      </c>
      <c r="AI2358" s="51" t="str">
        <f aca="false">IF(AND(AC2358=1,AA2358&lt;1),IF(AND(C2359=C2358,AA2359=AA2358+1),IF(AC2359=1,"",INDEX(DATAS,AA2358+1)),INDEX(DATAS,AA2358+1)),"")</f>
        <v/>
      </c>
    </row>
    <row r="2359" customFormat="false" ht="15" hidden="false" customHeight="false" outlineLevel="0" collapsed="false">
      <c r="A2359" s="51" t="n">
        <v>46309</v>
      </c>
      <c r="B2359" s="0" t="n">
        <v>8</v>
      </c>
      <c r="C2359" s="0" t="n">
        <v>6657</v>
      </c>
      <c r="E2359" s="0" t="n">
        <v>0</v>
      </c>
      <c r="F2359" s="46" t="s">
        <v>1259</v>
      </c>
      <c r="I2359" s="46" t="s">
        <v>152</v>
      </c>
      <c r="L2359" s="0" t="n">
        <v>94</v>
      </c>
      <c r="U2359" s="0" t="n">
        <v>485</v>
      </c>
      <c r="V2359" s="0" t="n">
        <v>1</v>
      </c>
      <c r="W2359" s="51" t="n">
        <v>46216</v>
      </c>
      <c r="X2359" s="46" t="n">
        <f aca="false">IF(I2359="Male",0,1)</f>
        <v>1</v>
      </c>
      <c r="Y2359" s="46" t="n">
        <f aca="false">IF(OR(I2359="DNB",I2359="Dry DNB"),1,0)</f>
        <v>0</v>
      </c>
      <c r="Z2359" s="46" t="n">
        <f aca="false">IF(ISNUMBER(W2359),A2359-W2359,"")</f>
        <v>93</v>
      </c>
      <c r="AA2359" s="46" t="n">
        <f aca="false">MATCH(A2359,DATAS,0)</f>
        <v>1</v>
      </c>
      <c r="AB2359" s="46" t="n">
        <f aca="false">IF(AND(E2359&gt;0,OR(AND(B2359&gt;=1,B2359&lt;=6),B2359=10)),1,0)</f>
        <v>0</v>
      </c>
      <c r="AC2359" s="46" t="n">
        <f aca="false">IF(AND(E2359&gt;0,B2359=10),1,0)</f>
        <v>0</v>
      </c>
      <c r="AD2359" s="0" t="str">
        <f aca="false">IF(AND(C2358=C2359,AA2358=AA2359-1),AB2358,"")</f>
        <v/>
      </c>
      <c r="AE2359" s="0" t="str">
        <f aca="false">IF(AND(C2358=C2359,AA2358=AA2359-1),AC2358,"")</f>
        <v/>
      </c>
      <c r="AF2359" s="0" t="str">
        <f aca="false">IF(AA2359=1,"",IF(AND(AB2359=1,AD2359&lt;&gt;1),1,0))</f>
        <v/>
      </c>
      <c r="AG2359" s="0" t="str">
        <f aca="false">IF(AA2359=1,"",IF(AND(AC2359=1,AE2359&lt;&gt;1),1,0))</f>
        <v/>
      </c>
      <c r="AH2359" s="51" t="str">
        <f aca="false">IF(AND(E2359&gt;0,AA2359&lt;1,NOT(AND(C2360=C2359,AA2360=AA2359+1))),INDEX(DATAS,AA2359+1),"")</f>
        <v/>
      </c>
      <c r="AI2359" s="51" t="str">
        <f aca="false">IF(AND(AC2359=1,AA2359&lt;1),IF(AND(C2360=C2359,AA2360=AA2359+1),IF(AC2360=1,"",INDEX(DATAS,AA2359+1)),INDEX(DATAS,AA2359+1)),"")</f>
        <v/>
      </c>
    </row>
    <row r="2360" customFormat="false" ht="15" hidden="false" customHeight="false" outlineLevel="0" collapsed="false">
      <c r="A2360" s="51" t="n">
        <v>46309</v>
      </c>
      <c r="B2360" s="0" t="n">
        <v>8</v>
      </c>
      <c r="C2360" s="0" t="n">
        <v>6658</v>
      </c>
      <c r="E2360" s="0" t="n">
        <v>0</v>
      </c>
      <c r="F2360" s="46" t="s">
        <v>1259</v>
      </c>
      <c r="I2360" s="46" t="s">
        <v>152</v>
      </c>
      <c r="L2360" s="0" t="n">
        <v>27</v>
      </c>
      <c r="U2360" s="0" t="n">
        <v>485</v>
      </c>
      <c r="V2360" s="0" t="n">
        <v>4</v>
      </c>
      <c r="W2360" s="51" t="n">
        <v>46283</v>
      </c>
      <c r="X2360" s="46" t="n">
        <f aca="false">IF(I2360="Male",0,1)</f>
        <v>1</v>
      </c>
      <c r="Y2360" s="46" t="n">
        <f aca="false">IF(OR(I2360="DNB",I2360="Dry DNB"),1,0)</f>
        <v>0</v>
      </c>
      <c r="Z2360" s="46" t="n">
        <f aca="false">IF(ISNUMBER(W2360),A2360-W2360,"")</f>
        <v>26</v>
      </c>
      <c r="AA2360" s="46" t="n">
        <f aca="false">MATCH(A2360,DATAS,0)</f>
        <v>1</v>
      </c>
      <c r="AB2360" s="46" t="n">
        <f aca="false">IF(AND(E2360&gt;0,OR(AND(B2360&gt;=1,B2360&lt;=6),B2360=10)),1,0)</f>
        <v>0</v>
      </c>
      <c r="AC2360" s="46" t="n">
        <f aca="false">IF(AND(E2360&gt;0,B2360=10),1,0)</f>
        <v>0</v>
      </c>
      <c r="AD2360" s="0" t="str">
        <f aca="false">IF(AND(C2359=C2360,AA2359=AA2360-1),AB2359,"")</f>
        <v/>
      </c>
      <c r="AE2360" s="0" t="str">
        <f aca="false">IF(AND(C2359=C2360,AA2359=AA2360-1),AC2359,"")</f>
        <v/>
      </c>
      <c r="AF2360" s="0" t="str">
        <f aca="false">IF(AA2360=1,"",IF(AND(AB2360=1,AD2360&lt;&gt;1),1,0))</f>
        <v/>
      </c>
      <c r="AG2360" s="0" t="str">
        <f aca="false">IF(AA2360=1,"",IF(AND(AC2360=1,AE2360&lt;&gt;1),1,0))</f>
        <v/>
      </c>
      <c r="AH2360" s="51" t="str">
        <f aca="false">IF(AND(E2360&gt;0,AA2360&lt;1,NOT(AND(C2361=C2360,AA2361=AA2360+1))),INDEX(DATAS,AA2360+1),"")</f>
        <v/>
      </c>
      <c r="AI2360" s="51" t="str">
        <f aca="false">IF(AND(AC2360=1,AA2360&lt;1),IF(AND(C2361=C2360,AA2361=AA2360+1),IF(AC2361=1,"",INDEX(DATAS,AA2360+1)),INDEX(DATAS,AA2360+1)),"")</f>
        <v/>
      </c>
    </row>
    <row r="2361" customFormat="false" ht="15" hidden="false" customHeight="false" outlineLevel="0" collapsed="false">
      <c r="A2361" s="51" t="n">
        <v>46309</v>
      </c>
      <c r="B2361" s="0" t="n">
        <v>8</v>
      </c>
      <c r="C2361" s="0" t="n">
        <v>6659</v>
      </c>
      <c r="E2361" s="0" t="n">
        <v>0</v>
      </c>
      <c r="F2361" s="46" t="s">
        <v>1259</v>
      </c>
      <c r="I2361" s="46" t="s">
        <v>152</v>
      </c>
      <c r="L2361" s="0" t="n">
        <v>29</v>
      </c>
      <c r="U2361" s="0" t="n">
        <v>485</v>
      </c>
      <c r="V2361" s="0" t="n">
        <v>3</v>
      </c>
      <c r="W2361" s="51" t="n">
        <v>46281</v>
      </c>
      <c r="X2361" s="46" t="n">
        <f aca="false">IF(I2361="Male",0,1)</f>
        <v>1</v>
      </c>
      <c r="Y2361" s="46" t="n">
        <f aca="false">IF(OR(I2361="DNB",I2361="Dry DNB"),1,0)</f>
        <v>0</v>
      </c>
      <c r="Z2361" s="46" t="n">
        <f aca="false">IF(ISNUMBER(W2361),A2361-W2361,"")</f>
        <v>28</v>
      </c>
      <c r="AA2361" s="46" t="n">
        <f aca="false">MATCH(A2361,DATAS,0)</f>
        <v>1</v>
      </c>
      <c r="AB2361" s="46" t="n">
        <f aca="false">IF(AND(E2361&gt;0,OR(AND(B2361&gt;=1,B2361&lt;=6),B2361=10)),1,0)</f>
        <v>0</v>
      </c>
      <c r="AC2361" s="46" t="n">
        <f aca="false">IF(AND(E2361&gt;0,B2361=10),1,0)</f>
        <v>0</v>
      </c>
      <c r="AD2361" s="0" t="str">
        <f aca="false">IF(AND(C2360=C2361,AA2360=AA2361-1),AB2360,"")</f>
        <v/>
      </c>
      <c r="AE2361" s="0" t="str">
        <f aca="false">IF(AND(C2360=C2361,AA2360=AA2361-1),AC2360,"")</f>
        <v/>
      </c>
      <c r="AF2361" s="0" t="str">
        <f aca="false">IF(AA2361=1,"",IF(AND(AB2361=1,AD2361&lt;&gt;1),1,0))</f>
        <v/>
      </c>
      <c r="AG2361" s="0" t="str">
        <f aca="false">IF(AA2361=1,"",IF(AND(AC2361=1,AE2361&lt;&gt;1),1,0))</f>
        <v/>
      </c>
      <c r="AH2361" s="51" t="str">
        <f aca="false">IF(AND(E2361&gt;0,AA2361&lt;1,NOT(AND(C2362=C2361,AA2362=AA2361+1))),INDEX(DATAS,AA2361+1),"")</f>
        <v/>
      </c>
      <c r="AI2361" s="51" t="str">
        <f aca="false">IF(AND(AC2361=1,AA2361&lt;1),IF(AND(C2362=C2361,AA2362=AA2361+1),IF(AC2362=1,"",INDEX(DATAS,AA2361+1)),INDEX(DATAS,AA2361+1)),"")</f>
        <v/>
      </c>
    </row>
    <row r="2362" customFormat="false" ht="15" hidden="false" customHeight="false" outlineLevel="0" collapsed="false">
      <c r="A2362" s="51" t="n">
        <v>46309</v>
      </c>
      <c r="B2362" s="0" t="n">
        <v>8</v>
      </c>
      <c r="C2362" s="0" t="n">
        <v>6660</v>
      </c>
      <c r="E2362" s="0" t="n">
        <v>0</v>
      </c>
      <c r="F2362" s="46" t="s">
        <v>1259</v>
      </c>
      <c r="I2362" s="46" t="s">
        <v>152</v>
      </c>
      <c r="L2362" s="0" t="n">
        <v>88</v>
      </c>
      <c r="U2362" s="0" t="n">
        <v>485</v>
      </c>
      <c r="V2362" s="0" t="n">
        <v>1</v>
      </c>
      <c r="W2362" s="51" t="n">
        <v>46222</v>
      </c>
      <c r="X2362" s="46" t="n">
        <f aca="false">IF(I2362="Male",0,1)</f>
        <v>1</v>
      </c>
      <c r="Y2362" s="46" t="n">
        <f aca="false">IF(OR(I2362="DNB",I2362="Dry DNB"),1,0)</f>
        <v>0</v>
      </c>
      <c r="Z2362" s="46" t="n">
        <f aca="false">IF(ISNUMBER(W2362),A2362-W2362,"")</f>
        <v>87</v>
      </c>
      <c r="AA2362" s="46" t="n">
        <f aca="false">MATCH(A2362,DATAS,0)</f>
        <v>1</v>
      </c>
      <c r="AB2362" s="46" t="n">
        <f aca="false">IF(AND(E2362&gt;0,OR(AND(B2362&gt;=1,B2362&lt;=6),B2362=10)),1,0)</f>
        <v>0</v>
      </c>
      <c r="AC2362" s="46" t="n">
        <f aca="false">IF(AND(E2362&gt;0,B2362=10),1,0)</f>
        <v>0</v>
      </c>
      <c r="AD2362" s="0" t="str">
        <f aca="false">IF(AND(C2361=C2362,AA2361=AA2362-1),AB2361,"")</f>
        <v/>
      </c>
      <c r="AE2362" s="0" t="str">
        <f aca="false">IF(AND(C2361=C2362,AA2361=AA2362-1),AC2361,"")</f>
        <v/>
      </c>
      <c r="AF2362" s="0" t="str">
        <f aca="false">IF(AA2362=1,"",IF(AND(AB2362=1,AD2362&lt;&gt;1),1,0))</f>
        <v/>
      </c>
      <c r="AG2362" s="0" t="str">
        <f aca="false">IF(AA2362=1,"",IF(AND(AC2362=1,AE2362&lt;&gt;1),1,0))</f>
        <v/>
      </c>
      <c r="AH2362" s="51" t="str">
        <f aca="false">IF(AND(E2362&gt;0,AA2362&lt;1,NOT(AND(C2363=C2362,AA2363=AA2362+1))),INDEX(DATAS,AA2362+1),"")</f>
        <v/>
      </c>
      <c r="AI2362" s="51" t="str">
        <f aca="false">IF(AND(AC2362=1,AA2362&lt;1),IF(AND(C2363=C2362,AA2363=AA2362+1),IF(AC2363=1,"",INDEX(DATAS,AA2362+1)),INDEX(DATAS,AA2362+1)),"")</f>
        <v/>
      </c>
    </row>
    <row r="2363" customFormat="false" ht="15" hidden="false" customHeight="false" outlineLevel="0" collapsed="false">
      <c r="A2363" s="51" t="n">
        <v>46309</v>
      </c>
      <c r="B2363" s="0" t="n">
        <v>8</v>
      </c>
      <c r="C2363" s="0" t="n">
        <v>6661</v>
      </c>
      <c r="E2363" s="0" t="n">
        <v>0</v>
      </c>
      <c r="F2363" s="46" t="s">
        <v>1260</v>
      </c>
      <c r="I2363" s="46" t="s">
        <v>152</v>
      </c>
      <c r="L2363" s="0" t="n">
        <v>63</v>
      </c>
      <c r="U2363" s="0" t="n">
        <v>483</v>
      </c>
      <c r="V2363" s="0" t="n">
        <v>1</v>
      </c>
      <c r="W2363" s="51" t="n">
        <v>46247</v>
      </c>
      <c r="X2363" s="46" t="n">
        <f aca="false">IF(I2363="Male",0,1)</f>
        <v>1</v>
      </c>
      <c r="Y2363" s="46" t="n">
        <f aca="false">IF(OR(I2363="DNB",I2363="Dry DNB"),1,0)</f>
        <v>0</v>
      </c>
      <c r="Z2363" s="46" t="n">
        <f aca="false">IF(ISNUMBER(W2363),A2363-W2363,"")</f>
        <v>62</v>
      </c>
      <c r="AA2363" s="46" t="n">
        <f aca="false">MATCH(A2363,DATAS,0)</f>
        <v>1</v>
      </c>
      <c r="AB2363" s="46" t="n">
        <f aca="false">IF(AND(E2363&gt;0,OR(AND(B2363&gt;=1,B2363&lt;=6),B2363=10)),1,0)</f>
        <v>0</v>
      </c>
      <c r="AC2363" s="46" t="n">
        <f aca="false">IF(AND(E2363&gt;0,B2363=10),1,0)</f>
        <v>0</v>
      </c>
      <c r="AD2363" s="0" t="str">
        <f aca="false">IF(AND(C2362=C2363,AA2362=AA2363-1),AB2362,"")</f>
        <v/>
      </c>
      <c r="AE2363" s="0" t="str">
        <f aca="false">IF(AND(C2362=C2363,AA2362=AA2363-1),AC2362,"")</f>
        <v/>
      </c>
      <c r="AF2363" s="0" t="str">
        <f aca="false">IF(AA2363=1,"",IF(AND(AB2363=1,AD2363&lt;&gt;1),1,0))</f>
        <v/>
      </c>
      <c r="AG2363" s="0" t="str">
        <f aca="false">IF(AA2363=1,"",IF(AND(AC2363=1,AE2363&lt;&gt;1),1,0))</f>
        <v/>
      </c>
      <c r="AH2363" s="51" t="str">
        <f aca="false">IF(AND(E2363&gt;0,AA2363&lt;1,NOT(AND(C2364=C2363,AA2364=AA2363+1))),INDEX(DATAS,AA2363+1),"")</f>
        <v/>
      </c>
      <c r="AI2363" s="51" t="str">
        <f aca="false">IF(AND(AC2363=1,AA2363&lt;1),IF(AND(C2364=C2363,AA2364=AA2363+1),IF(AC2364=1,"",INDEX(DATAS,AA2363+1)),INDEX(DATAS,AA2363+1)),"")</f>
        <v/>
      </c>
    </row>
    <row r="2364" customFormat="false" ht="15" hidden="false" customHeight="false" outlineLevel="0" collapsed="false">
      <c r="A2364" s="51" t="n">
        <v>46309</v>
      </c>
      <c r="B2364" s="0" t="n">
        <v>8</v>
      </c>
      <c r="C2364" s="0" t="n">
        <v>6663</v>
      </c>
      <c r="E2364" s="0" t="n">
        <v>0</v>
      </c>
      <c r="F2364" s="46" t="s">
        <v>1261</v>
      </c>
      <c r="I2364" s="46" t="s">
        <v>152</v>
      </c>
      <c r="L2364" s="0" t="n">
        <v>73</v>
      </c>
      <c r="U2364" s="0" t="n">
        <v>482</v>
      </c>
      <c r="V2364" s="0" t="n">
        <v>1</v>
      </c>
      <c r="W2364" s="51" t="n">
        <v>46237</v>
      </c>
      <c r="X2364" s="46" t="n">
        <f aca="false">IF(I2364="Male",0,1)</f>
        <v>1</v>
      </c>
      <c r="Y2364" s="46" t="n">
        <f aca="false">IF(OR(I2364="DNB",I2364="Dry DNB"),1,0)</f>
        <v>0</v>
      </c>
      <c r="Z2364" s="46" t="n">
        <f aca="false">IF(ISNUMBER(W2364),A2364-W2364,"")</f>
        <v>72</v>
      </c>
      <c r="AA2364" s="46" t="n">
        <f aca="false">MATCH(A2364,DATAS,0)</f>
        <v>1</v>
      </c>
      <c r="AB2364" s="46" t="n">
        <f aca="false">IF(AND(E2364&gt;0,OR(AND(B2364&gt;=1,B2364&lt;=6),B2364=10)),1,0)</f>
        <v>0</v>
      </c>
      <c r="AC2364" s="46" t="n">
        <f aca="false">IF(AND(E2364&gt;0,B2364=10),1,0)</f>
        <v>0</v>
      </c>
      <c r="AD2364" s="0" t="str">
        <f aca="false">IF(AND(C2363=C2364,AA2363=AA2364-1),AB2363,"")</f>
        <v/>
      </c>
      <c r="AE2364" s="0" t="str">
        <f aca="false">IF(AND(C2363=C2364,AA2363=AA2364-1),AC2363,"")</f>
        <v/>
      </c>
      <c r="AF2364" s="0" t="str">
        <f aca="false">IF(AA2364=1,"",IF(AND(AB2364=1,AD2364&lt;&gt;1),1,0))</f>
        <v/>
      </c>
      <c r="AG2364" s="0" t="str">
        <f aca="false">IF(AA2364=1,"",IF(AND(AC2364=1,AE2364&lt;&gt;1),1,0))</f>
        <v/>
      </c>
      <c r="AH2364" s="51" t="str">
        <f aca="false">IF(AND(E2364&gt;0,AA2364&lt;1,NOT(AND(C2365=C2364,AA2365=AA2364+1))),INDEX(DATAS,AA2364+1),"")</f>
        <v/>
      </c>
      <c r="AI2364" s="51" t="str">
        <f aca="false">IF(AND(AC2364=1,AA2364&lt;1),IF(AND(C2365=C2364,AA2365=AA2364+1),IF(AC2365=1,"",INDEX(DATAS,AA2364+1)),INDEX(DATAS,AA2364+1)),"")</f>
        <v/>
      </c>
    </row>
    <row r="2365" customFormat="false" ht="15" hidden="false" customHeight="false" outlineLevel="0" collapsed="false">
      <c r="A2365" s="51" t="n">
        <v>46309</v>
      </c>
      <c r="B2365" s="0" t="n">
        <v>8</v>
      </c>
      <c r="C2365" s="0" t="n">
        <v>6665</v>
      </c>
      <c r="E2365" s="0" t="n">
        <v>0</v>
      </c>
      <c r="F2365" s="46" t="s">
        <v>1261</v>
      </c>
      <c r="I2365" s="46" t="s">
        <v>152</v>
      </c>
      <c r="L2365" s="0" t="n">
        <v>78</v>
      </c>
      <c r="U2365" s="0" t="n">
        <v>482</v>
      </c>
      <c r="V2365" s="0" t="n">
        <v>1</v>
      </c>
      <c r="W2365" s="51" t="n">
        <v>46232</v>
      </c>
      <c r="X2365" s="46" t="n">
        <f aca="false">IF(I2365="Male",0,1)</f>
        <v>1</v>
      </c>
      <c r="Y2365" s="46" t="n">
        <f aca="false">IF(OR(I2365="DNB",I2365="Dry DNB"),1,0)</f>
        <v>0</v>
      </c>
      <c r="Z2365" s="46" t="n">
        <f aca="false">IF(ISNUMBER(W2365),A2365-W2365,"")</f>
        <v>77</v>
      </c>
      <c r="AA2365" s="46" t="n">
        <f aca="false">MATCH(A2365,DATAS,0)</f>
        <v>1</v>
      </c>
      <c r="AB2365" s="46" t="n">
        <f aca="false">IF(AND(E2365&gt;0,OR(AND(B2365&gt;=1,B2365&lt;=6),B2365=10)),1,0)</f>
        <v>0</v>
      </c>
      <c r="AC2365" s="46" t="n">
        <f aca="false">IF(AND(E2365&gt;0,B2365=10),1,0)</f>
        <v>0</v>
      </c>
      <c r="AD2365" s="0" t="str">
        <f aca="false">IF(AND(C2364=C2365,AA2364=AA2365-1),AB2364,"")</f>
        <v/>
      </c>
      <c r="AE2365" s="0" t="str">
        <f aca="false">IF(AND(C2364=C2365,AA2364=AA2365-1),AC2364,"")</f>
        <v/>
      </c>
      <c r="AF2365" s="0" t="str">
        <f aca="false">IF(AA2365=1,"",IF(AND(AB2365=1,AD2365&lt;&gt;1),1,0))</f>
        <v/>
      </c>
      <c r="AG2365" s="0" t="str">
        <f aca="false">IF(AA2365=1,"",IF(AND(AC2365=1,AE2365&lt;&gt;1),1,0))</f>
        <v/>
      </c>
      <c r="AH2365" s="51" t="str">
        <f aca="false">IF(AND(E2365&gt;0,AA2365&lt;1,NOT(AND(C2366=C2365,AA2366=AA2365+1))),INDEX(DATAS,AA2365+1),"")</f>
        <v/>
      </c>
      <c r="AI2365" s="51" t="str">
        <f aca="false">IF(AND(AC2365=1,AA2365&lt;1),IF(AND(C2366=C2365,AA2366=AA2365+1),IF(AC2366=1,"",INDEX(DATAS,AA2365+1)),INDEX(DATAS,AA2365+1)),"")</f>
        <v/>
      </c>
    </row>
    <row r="2366" customFormat="false" ht="15" hidden="false" customHeight="false" outlineLevel="0" collapsed="false">
      <c r="A2366" s="51" t="n">
        <v>46309</v>
      </c>
      <c r="B2366" s="0" t="n">
        <v>11</v>
      </c>
      <c r="C2366" s="0" t="n">
        <v>6666</v>
      </c>
      <c r="E2366" s="0" t="n">
        <v>0</v>
      </c>
      <c r="F2366" s="46" t="s">
        <v>1261</v>
      </c>
      <c r="I2366" s="46" t="s">
        <v>181</v>
      </c>
      <c r="U2366" s="0" t="n">
        <v>482</v>
      </c>
      <c r="V2366" s="0" t="n">
        <v>3</v>
      </c>
      <c r="W2366" s="51" t="n">
        <v>46303</v>
      </c>
      <c r="X2366" s="46" t="n">
        <f aca="false">IF(I2366="Male",0,1)</f>
        <v>1</v>
      </c>
      <c r="Y2366" s="46" t="n">
        <f aca="false">IF(OR(I2366="DNB",I2366="Dry DNB"),1,0)</f>
        <v>0</v>
      </c>
      <c r="Z2366" s="46" t="n">
        <f aca="false">IF(ISNUMBER(W2366),A2366-W2366,"")</f>
        <v>6</v>
      </c>
      <c r="AA2366" s="46" t="n">
        <f aca="false">MATCH(A2366,DATAS,0)</f>
        <v>1</v>
      </c>
      <c r="AB2366" s="46" t="n">
        <f aca="false">IF(AND(E2366&gt;0,OR(AND(B2366&gt;=1,B2366&lt;=6),B2366=10)),1,0)</f>
        <v>0</v>
      </c>
      <c r="AC2366" s="46" t="n">
        <f aca="false">IF(AND(E2366&gt;0,B2366=10),1,0)</f>
        <v>0</v>
      </c>
      <c r="AD2366" s="0" t="str">
        <f aca="false">IF(AND(C2365=C2366,AA2365=AA2366-1),AB2365,"")</f>
        <v/>
      </c>
      <c r="AE2366" s="0" t="str">
        <f aca="false">IF(AND(C2365=C2366,AA2365=AA2366-1),AC2365,"")</f>
        <v/>
      </c>
      <c r="AF2366" s="0" t="str">
        <f aca="false">IF(AA2366=1,"",IF(AND(AB2366=1,AD2366&lt;&gt;1),1,0))</f>
        <v/>
      </c>
      <c r="AG2366" s="0" t="str">
        <f aca="false">IF(AA2366=1,"",IF(AND(AC2366=1,AE2366&lt;&gt;1),1,0))</f>
        <v/>
      </c>
      <c r="AH2366" s="51" t="str">
        <f aca="false">IF(AND(E2366&gt;0,AA2366&lt;1,NOT(AND(C2367=C2366,AA2367=AA2366+1))),INDEX(DATAS,AA2366+1),"")</f>
        <v/>
      </c>
      <c r="AI2366" s="51" t="str">
        <f aca="false">IF(AND(AC2366=1,AA2366&lt;1),IF(AND(C2367=C2366,AA2367=AA2366+1),IF(AC2367=1,"",INDEX(DATAS,AA2366+1)),INDEX(DATAS,AA2366+1)),"")</f>
        <v/>
      </c>
    </row>
    <row r="2367" customFormat="false" ht="15" hidden="false" customHeight="false" outlineLevel="0" collapsed="false">
      <c r="A2367" s="51" t="n">
        <v>46309</v>
      </c>
      <c r="B2367" s="0" t="n">
        <v>11</v>
      </c>
      <c r="C2367" s="0" t="n">
        <v>6668</v>
      </c>
      <c r="E2367" s="0" t="n">
        <v>0</v>
      </c>
      <c r="F2367" s="46" t="s">
        <v>1261</v>
      </c>
      <c r="I2367" s="46" t="s">
        <v>181</v>
      </c>
      <c r="U2367" s="0" t="n">
        <v>482</v>
      </c>
      <c r="V2367" s="0" t="n">
        <v>2</v>
      </c>
      <c r="W2367" s="51" t="n">
        <v>46296</v>
      </c>
      <c r="X2367" s="46" t="n">
        <f aca="false">IF(I2367="Male",0,1)</f>
        <v>1</v>
      </c>
      <c r="Y2367" s="46" t="n">
        <f aca="false">IF(OR(I2367="DNB",I2367="Dry DNB"),1,0)</f>
        <v>0</v>
      </c>
      <c r="Z2367" s="46" t="n">
        <f aca="false">IF(ISNUMBER(W2367),A2367-W2367,"")</f>
        <v>13</v>
      </c>
      <c r="AA2367" s="46" t="n">
        <f aca="false">MATCH(A2367,DATAS,0)</f>
        <v>1</v>
      </c>
      <c r="AB2367" s="46" t="n">
        <f aca="false">IF(AND(E2367&gt;0,OR(AND(B2367&gt;=1,B2367&lt;=6),B2367=10)),1,0)</f>
        <v>0</v>
      </c>
      <c r="AC2367" s="46" t="n">
        <f aca="false">IF(AND(E2367&gt;0,B2367=10),1,0)</f>
        <v>0</v>
      </c>
      <c r="AD2367" s="0" t="str">
        <f aca="false">IF(AND(C2366=C2367,AA2366=AA2367-1),AB2366,"")</f>
        <v/>
      </c>
      <c r="AE2367" s="0" t="str">
        <f aca="false">IF(AND(C2366=C2367,AA2366=AA2367-1),AC2366,"")</f>
        <v/>
      </c>
      <c r="AF2367" s="0" t="str">
        <f aca="false">IF(AA2367=1,"",IF(AND(AB2367=1,AD2367&lt;&gt;1),1,0))</f>
        <v/>
      </c>
      <c r="AG2367" s="0" t="str">
        <f aca="false">IF(AA2367=1,"",IF(AND(AC2367=1,AE2367&lt;&gt;1),1,0))</f>
        <v/>
      </c>
      <c r="AH2367" s="51" t="str">
        <f aca="false">IF(AND(E2367&gt;0,AA2367&lt;1,NOT(AND(C2368=C2367,AA2368=AA2367+1))),INDEX(DATAS,AA2367+1),"")</f>
        <v/>
      </c>
      <c r="AI2367" s="51" t="str">
        <f aca="false">IF(AND(AC2367=1,AA2367&lt;1),IF(AND(C2368=C2367,AA2368=AA2367+1),IF(AC2368=1,"",INDEX(DATAS,AA2367+1)),INDEX(DATAS,AA2367+1)),"")</f>
        <v/>
      </c>
    </row>
    <row r="2368" customFormat="false" ht="15" hidden="false" customHeight="false" outlineLevel="0" collapsed="false">
      <c r="A2368" s="51" t="n">
        <v>46309</v>
      </c>
      <c r="B2368" s="0" t="n">
        <v>8</v>
      </c>
      <c r="C2368" s="0" t="n">
        <v>6669</v>
      </c>
      <c r="E2368" s="0" t="n">
        <v>0</v>
      </c>
      <c r="F2368" s="46" t="s">
        <v>1261</v>
      </c>
      <c r="I2368" s="46" t="s">
        <v>152</v>
      </c>
      <c r="L2368" s="0" t="n">
        <v>65</v>
      </c>
      <c r="U2368" s="0" t="n">
        <v>482</v>
      </c>
      <c r="V2368" s="0" t="n">
        <v>1</v>
      </c>
      <c r="W2368" s="51" t="n">
        <v>46245</v>
      </c>
      <c r="X2368" s="46" t="n">
        <f aca="false">IF(I2368="Male",0,1)</f>
        <v>1</v>
      </c>
      <c r="Y2368" s="46" t="n">
        <f aca="false">IF(OR(I2368="DNB",I2368="Dry DNB"),1,0)</f>
        <v>0</v>
      </c>
      <c r="Z2368" s="46" t="n">
        <f aca="false">IF(ISNUMBER(W2368),A2368-W2368,"")</f>
        <v>64</v>
      </c>
      <c r="AA2368" s="46" t="n">
        <f aca="false">MATCH(A2368,DATAS,0)</f>
        <v>1</v>
      </c>
      <c r="AB2368" s="46" t="n">
        <f aca="false">IF(AND(E2368&gt;0,OR(AND(B2368&gt;=1,B2368&lt;=6),B2368=10)),1,0)</f>
        <v>0</v>
      </c>
      <c r="AC2368" s="46" t="n">
        <f aca="false">IF(AND(E2368&gt;0,B2368=10),1,0)</f>
        <v>0</v>
      </c>
      <c r="AD2368" s="0" t="str">
        <f aca="false">IF(AND(C2367=C2368,AA2367=AA2368-1),AB2367,"")</f>
        <v/>
      </c>
      <c r="AE2368" s="0" t="str">
        <f aca="false">IF(AND(C2367=C2368,AA2367=AA2368-1),AC2367,"")</f>
        <v/>
      </c>
      <c r="AF2368" s="0" t="str">
        <f aca="false">IF(AA2368=1,"",IF(AND(AB2368=1,AD2368&lt;&gt;1),1,0))</f>
        <v/>
      </c>
      <c r="AG2368" s="0" t="str">
        <f aca="false">IF(AA2368=1,"",IF(AND(AC2368=1,AE2368&lt;&gt;1),1,0))</f>
        <v/>
      </c>
      <c r="AH2368" s="51" t="str">
        <f aca="false">IF(AND(E2368&gt;0,AA2368&lt;1,NOT(AND(C2369=C2368,AA2369=AA2368+1))),INDEX(DATAS,AA2368+1),"")</f>
        <v/>
      </c>
      <c r="AI2368" s="51" t="str">
        <f aca="false">IF(AND(AC2368=1,AA2368&lt;1),IF(AND(C2369=C2368,AA2369=AA2368+1),IF(AC2369=1,"",INDEX(DATAS,AA2368+1)),INDEX(DATAS,AA2368+1)),"")</f>
        <v/>
      </c>
    </row>
    <row r="2369" customFormat="false" ht="15" hidden="false" customHeight="false" outlineLevel="0" collapsed="false">
      <c r="A2369" s="51" t="n">
        <v>46309</v>
      </c>
      <c r="B2369" s="0" t="n">
        <v>8</v>
      </c>
      <c r="C2369" s="0" t="n">
        <v>6670</v>
      </c>
      <c r="E2369" s="0" t="n">
        <v>0</v>
      </c>
      <c r="F2369" s="46" t="s">
        <v>1262</v>
      </c>
      <c r="I2369" s="46" t="s">
        <v>152</v>
      </c>
      <c r="L2369" s="0" t="n">
        <v>84</v>
      </c>
      <c r="U2369" s="0" t="n">
        <v>481</v>
      </c>
      <c r="V2369" s="0" t="n">
        <v>1</v>
      </c>
      <c r="W2369" s="51" t="n">
        <v>46226</v>
      </c>
      <c r="X2369" s="46" t="n">
        <f aca="false">IF(I2369="Male",0,1)</f>
        <v>1</v>
      </c>
      <c r="Y2369" s="46" t="n">
        <f aca="false">IF(OR(I2369="DNB",I2369="Dry DNB"),1,0)</f>
        <v>0</v>
      </c>
      <c r="Z2369" s="46" t="n">
        <f aca="false">IF(ISNUMBER(W2369),A2369-W2369,"")</f>
        <v>83</v>
      </c>
      <c r="AA2369" s="46" t="n">
        <f aca="false">MATCH(A2369,DATAS,0)</f>
        <v>1</v>
      </c>
      <c r="AB2369" s="46" t="n">
        <f aca="false">IF(AND(E2369&gt;0,OR(AND(B2369&gt;=1,B2369&lt;=6),B2369=10)),1,0)</f>
        <v>0</v>
      </c>
      <c r="AC2369" s="46" t="n">
        <f aca="false">IF(AND(E2369&gt;0,B2369=10),1,0)</f>
        <v>0</v>
      </c>
      <c r="AD2369" s="0" t="str">
        <f aca="false">IF(AND(C2368=C2369,AA2368=AA2369-1),AB2368,"")</f>
        <v/>
      </c>
      <c r="AE2369" s="0" t="str">
        <f aca="false">IF(AND(C2368=C2369,AA2368=AA2369-1),AC2368,"")</f>
        <v/>
      </c>
      <c r="AF2369" s="0" t="str">
        <f aca="false">IF(AA2369=1,"",IF(AND(AB2369=1,AD2369&lt;&gt;1),1,0))</f>
        <v/>
      </c>
      <c r="AG2369" s="0" t="str">
        <f aca="false">IF(AA2369=1,"",IF(AND(AC2369=1,AE2369&lt;&gt;1),1,0))</f>
        <v/>
      </c>
      <c r="AH2369" s="51" t="str">
        <f aca="false">IF(AND(E2369&gt;0,AA2369&lt;1,NOT(AND(C2370=C2369,AA2370=AA2369+1))),INDEX(DATAS,AA2369+1),"")</f>
        <v/>
      </c>
      <c r="AI2369" s="51" t="str">
        <f aca="false">IF(AND(AC2369=1,AA2369&lt;1),IF(AND(C2370=C2369,AA2370=AA2369+1),IF(AC2370=1,"",INDEX(DATAS,AA2369+1)),INDEX(DATAS,AA2369+1)),"")</f>
        <v/>
      </c>
    </row>
    <row r="2370" customFormat="false" ht="15" hidden="false" customHeight="false" outlineLevel="0" collapsed="false">
      <c r="A2370" s="51" t="n">
        <v>46309</v>
      </c>
      <c r="B2370" s="0" t="n">
        <v>8</v>
      </c>
      <c r="C2370" s="0" t="n">
        <v>6671</v>
      </c>
      <c r="E2370" s="0" t="n">
        <v>0</v>
      </c>
      <c r="F2370" s="46" t="s">
        <v>1262</v>
      </c>
      <c r="I2370" s="46" t="s">
        <v>152</v>
      </c>
      <c r="L2370" s="0" t="n">
        <v>77</v>
      </c>
      <c r="U2370" s="0" t="n">
        <v>481</v>
      </c>
      <c r="V2370" s="0" t="n">
        <v>1</v>
      </c>
      <c r="W2370" s="51" t="n">
        <v>46233</v>
      </c>
      <c r="X2370" s="46" t="n">
        <f aca="false">IF(I2370="Male",0,1)</f>
        <v>1</v>
      </c>
      <c r="Y2370" s="46" t="n">
        <f aca="false">IF(OR(I2370="DNB",I2370="Dry DNB"),1,0)</f>
        <v>0</v>
      </c>
      <c r="Z2370" s="46" t="n">
        <f aca="false">IF(ISNUMBER(W2370),A2370-W2370,"")</f>
        <v>76</v>
      </c>
      <c r="AA2370" s="46" t="n">
        <f aca="false">MATCH(A2370,DATAS,0)</f>
        <v>1</v>
      </c>
      <c r="AB2370" s="46" t="n">
        <f aca="false">IF(AND(E2370&gt;0,OR(AND(B2370&gt;=1,B2370&lt;=6),B2370=10)),1,0)</f>
        <v>0</v>
      </c>
      <c r="AC2370" s="46" t="n">
        <f aca="false">IF(AND(E2370&gt;0,B2370=10),1,0)</f>
        <v>0</v>
      </c>
      <c r="AD2370" s="0" t="str">
        <f aca="false">IF(AND(C2369=C2370,AA2369=AA2370-1),AB2369,"")</f>
        <v/>
      </c>
      <c r="AE2370" s="0" t="str">
        <f aca="false">IF(AND(C2369=C2370,AA2369=AA2370-1),AC2369,"")</f>
        <v/>
      </c>
      <c r="AF2370" s="0" t="str">
        <f aca="false">IF(AA2370=1,"",IF(AND(AB2370=1,AD2370&lt;&gt;1),1,0))</f>
        <v/>
      </c>
      <c r="AG2370" s="0" t="str">
        <f aca="false">IF(AA2370=1,"",IF(AND(AC2370=1,AE2370&lt;&gt;1),1,0))</f>
        <v/>
      </c>
      <c r="AH2370" s="51" t="str">
        <f aca="false">IF(AND(E2370&gt;0,AA2370&lt;1,NOT(AND(C2371=C2370,AA2371=AA2370+1))),INDEX(DATAS,AA2370+1),"")</f>
        <v/>
      </c>
      <c r="AI2370" s="51" t="str">
        <f aca="false">IF(AND(AC2370=1,AA2370&lt;1),IF(AND(C2371=C2370,AA2371=AA2370+1),IF(AC2371=1,"",INDEX(DATAS,AA2370+1)),INDEX(DATAS,AA2370+1)),"")</f>
        <v/>
      </c>
    </row>
    <row r="2371" customFormat="false" ht="15" hidden="false" customHeight="false" outlineLevel="0" collapsed="false">
      <c r="A2371" s="51" t="n">
        <v>46309</v>
      </c>
      <c r="B2371" s="0" t="n">
        <v>8</v>
      </c>
      <c r="C2371" s="0" t="n">
        <v>6674</v>
      </c>
      <c r="E2371" s="0" t="n">
        <v>0</v>
      </c>
      <c r="F2371" s="46" t="s">
        <v>1263</v>
      </c>
      <c r="I2371" s="46" t="s">
        <v>152</v>
      </c>
      <c r="L2371" s="0" t="n">
        <v>63</v>
      </c>
      <c r="U2371" s="0" t="n">
        <v>479</v>
      </c>
      <c r="V2371" s="0" t="n">
        <v>1</v>
      </c>
      <c r="W2371" s="51" t="n">
        <v>46247</v>
      </c>
      <c r="X2371" s="46" t="n">
        <f aca="false">IF(I2371="Male",0,1)</f>
        <v>1</v>
      </c>
      <c r="Y2371" s="46" t="n">
        <f aca="false">IF(OR(I2371="DNB",I2371="Dry DNB"),1,0)</f>
        <v>0</v>
      </c>
      <c r="Z2371" s="46" t="n">
        <f aca="false">IF(ISNUMBER(W2371),A2371-W2371,"")</f>
        <v>62</v>
      </c>
      <c r="AA2371" s="46" t="n">
        <f aca="false">MATCH(A2371,DATAS,0)</f>
        <v>1</v>
      </c>
      <c r="AB2371" s="46" t="n">
        <f aca="false">IF(AND(E2371&gt;0,OR(AND(B2371&gt;=1,B2371&lt;=6),B2371=10)),1,0)</f>
        <v>0</v>
      </c>
      <c r="AC2371" s="46" t="n">
        <f aca="false">IF(AND(E2371&gt;0,B2371=10),1,0)</f>
        <v>0</v>
      </c>
      <c r="AD2371" s="0" t="str">
        <f aca="false">IF(AND(C2370=C2371,AA2370=AA2371-1),AB2370,"")</f>
        <v/>
      </c>
      <c r="AE2371" s="0" t="str">
        <f aca="false">IF(AND(C2370=C2371,AA2370=AA2371-1),AC2370,"")</f>
        <v/>
      </c>
      <c r="AF2371" s="0" t="str">
        <f aca="false">IF(AA2371=1,"",IF(AND(AB2371=1,AD2371&lt;&gt;1),1,0))</f>
        <v/>
      </c>
      <c r="AG2371" s="0" t="str">
        <f aca="false">IF(AA2371=1,"",IF(AND(AC2371=1,AE2371&lt;&gt;1),1,0))</f>
        <v/>
      </c>
      <c r="AH2371" s="51" t="str">
        <f aca="false">IF(AND(E2371&gt;0,AA2371&lt;1,NOT(AND(C2372=C2371,AA2372=AA2371+1))),INDEX(DATAS,AA2371+1),"")</f>
        <v/>
      </c>
      <c r="AI2371" s="51" t="str">
        <f aca="false">IF(AND(AC2371=1,AA2371&lt;1),IF(AND(C2372=C2371,AA2372=AA2371+1),IF(AC2372=1,"",INDEX(DATAS,AA2371+1)),INDEX(DATAS,AA2371+1)),"")</f>
        <v/>
      </c>
    </row>
    <row r="2372" customFormat="false" ht="15" hidden="false" customHeight="false" outlineLevel="0" collapsed="false">
      <c r="A2372" s="51" t="n">
        <v>46309</v>
      </c>
      <c r="B2372" s="0" t="n">
        <v>8</v>
      </c>
      <c r="C2372" s="0" t="n">
        <v>6675</v>
      </c>
      <c r="E2372" s="0" t="n">
        <v>0</v>
      </c>
      <c r="F2372" s="46" t="s">
        <v>1263</v>
      </c>
      <c r="I2372" s="46" t="s">
        <v>152</v>
      </c>
      <c r="L2372" s="0" t="n">
        <v>87</v>
      </c>
      <c r="U2372" s="0" t="n">
        <v>479</v>
      </c>
      <c r="V2372" s="0" t="n">
        <v>1</v>
      </c>
      <c r="W2372" s="51" t="n">
        <v>46223</v>
      </c>
      <c r="X2372" s="46" t="n">
        <f aca="false">IF(I2372="Male",0,1)</f>
        <v>1</v>
      </c>
      <c r="Y2372" s="46" t="n">
        <f aca="false">IF(OR(I2372="DNB",I2372="Dry DNB"),1,0)</f>
        <v>0</v>
      </c>
      <c r="Z2372" s="46" t="n">
        <f aca="false">IF(ISNUMBER(W2372),A2372-W2372,"")</f>
        <v>86</v>
      </c>
      <c r="AA2372" s="46" t="n">
        <f aca="false">MATCH(A2372,DATAS,0)</f>
        <v>1</v>
      </c>
      <c r="AB2372" s="46" t="n">
        <f aca="false">IF(AND(E2372&gt;0,OR(AND(B2372&gt;=1,B2372&lt;=6),B2372=10)),1,0)</f>
        <v>0</v>
      </c>
      <c r="AC2372" s="46" t="n">
        <f aca="false">IF(AND(E2372&gt;0,B2372=10),1,0)</f>
        <v>0</v>
      </c>
      <c r="AD2372" s="0" t="str">
        <f aca="false">IF(AND(C2371=C2372,AA2371=AA2372-1),AB2371,"")</f>
        <v/>
      </c>
      <c r="AE2372" s="0" t="str">
        <f aca="false">IF(AND(C2371=C2372,AA2371=AA2372-1),AC2371,"")</f>
        <v/>
      </c>
      <c r="AF2372" s="0" t="str">
        <f aca="false">IF(AA2372=1,"",IF(AND(AB2372=1,AD2372&lt;&gt;1),1,0))</f>
        <v/>
      </c>
      <c r="AG2372" s="0" t="str">
        <f aca="false">IF(AA2372=1,"",IF(AND(AC2372=1,AE2372&lt;&gt;1),1,0))</f>
        <v/>
      </c>
      <c r="AH2372" s="51" t="str">
        <f aca="false">IF(AND(E2372&gt;0,AA2372&lt;1,NOT(AND(C2373=C2372,AA2373=AA2372+1))),INDEX(DATAS,AA2372+1),"")</f>
        <v/>
      </c>
      <c r="AI2372" s="51" t="str">
        <f aca="false">IF(AND(AC2372=1,AA2372&lt;1),IF(AND(C2373=C2372,AA2373=AA2372+1),IF(AC2373=1,"",INDEX(DATAS,AA2372+1)),INDEX(DATAS,AA2372+1)),"")</f>
        <v/>
      </c>
    </row>
    <row r="2373" customFormat="false" ht="15" hidden="false" customHeight="false" outlineLevel="0" collapsed="false">
      <c r="A2373" s="51" t="n">
        <v>46309</v>
      </c>
      <c r="B2373" s="0" t="n">
        <v>8</v>
      </c>
      <c r="C2373" s="0" t="n">
        <v>6676</v>
      </c>
      <c r="E2373" s="0" t="n">
        <v>0</v>
      </c>
      <c r="F2373" s="46" t="s">
        <v>1263</v>
      </c>
      <c r="I2373" s="46" t="s">
        <v>152</v>
      </c>
      <c r="L2373" s="0" t="n">
        <v>76</v>
      </c>
      <c r="U2373" s="0" t="n">
        <v>479</v>
      </c>
      <c r="V2373" s="0" t="n">
        <v>1</v>
      </c>
      <c r="W2373" s="51" t="n">
        <v>46234</v>
      </c>
      <c r="X2373" s="46" t="n">
        <f aca="false">IF(I2373="Male",0,1)</f>
        <v>1</v>
      </c>
      <c r="Y2373" s="46" t="n">
        <f aca="false">IF(OR(I2373="DNB",I2373="Dry DNB"),1,0)</f>
        <v>0</v>
      </c>
      <c r="Z2373" s="46" t="n">
        <f aca="false">IF(ISNUMBER(W2373),A2373-W2373,"")</f>
        <v>75</v>
      </c>
      <c r="AA2373" s="46" t="n">
        <f aca="false">MATCH(A2373,DATAS,0)</f>
        <v>1</v>
      </c>
      <c r="AB2373" s="46" t="n">
        <f aca="false">IF(AND(E2373&gt;0,OR(AND(B2373&gt;=1,B2373&lt;=6),B2373=10)),1,0)</f>
        <v>0</v>
      </c>
      <c r="AC2373" s="46" t="n">
        <f aca="false">IF(AND(E2373&gt;0,B2373=10),1,0)</f>
        <v>0</v>
      </c>
      <c r="AD2373" s="0" t="str">
        <f aca="false">IF(AND(C2372=C2373,AA2372=AA2373-1),AB2372,"")</f>
        <v/>
      </c>
      <c r="AE2373" s="0" t="str">
        <f aca="false">IF(AND(C2372=C2373,AA2372=AA2373-1),AC2372,"")</f>
        <v/>
      </c>
      <c r="AF2373" s="0" t="str">
        <f aca="false">IF(AA2373=1,"",IF(AND(AB2373=1,AD2373&lt;&gt;1),1,0))</f>
        <v/>
      </c>
      <c r="AG2373" s="0" t="str">
        <f aca="false">IF(AA2373=1,"",IF(AND(AC2373=1,AE2373&lt;&gt;1),1,0))</f>
        <v/>
      </c>
      <c r="AH2373" s="51" t="str">
        <f aca="false">IF(AND(E2373&gt;0,AA2373&lt;1,NOT(AND(C2374=C2373,AA2374=AA2373+1))),INDEX(DATAS,AA2373+1),"")</f>
        <v/>
      </c>
      <c r="AI2373" s="51" t="str">
        <f aca="false">IF(AND(AC2373=1,AA2373&lt;1),IF(AND(C2374=C2373,AA2374=AA2373+1),IF(AC2374=1,"",INDEX(DATAS,AA2373+1)),INDEX(DATAS,AA2373+1)),"")</f>
        <v/>
      </c>
    </row>
    <row r="2374" customFormat="false" ht="15" hidden="false" customHeight="false" outlineLevel="0" collapsed="false">
      <c r="A2374" s="51" t="n">
        <v>46309</v>
      </c>
      <c r="B2374" s="0" t="n">
        <v>11</v>
      </c>
      <c r="C2374" s="0" t="n">
        <v>6678</v>
      </c>
      <c r="E2374" s="0" t="n">
        <v>0</v>
      </c>
      <c r="F2374" s="46" t="s">
        <v>1264</v>
      </c>
      <c r="I2374" s="46" t="s">
        <v>181</v>
      </c>
      <c r="U2374" s="0" t="n">
        <v>478</v>
      </c>
      <c r="V2374" s="0" t="n">
        <v>2</v>
      </c>
      <c r="W2374" s="51" t="n">
        <v>46303</v>
      </c>
      <c r="X2374" s="46" t="n">
        <f aca="false">IF(I2374="Male",0,1)</f>
        <v>1</v>
      </c>
      <c r="Y2374" s="46" t="n">
        <f aca="false">IF(OR(I2374="DNB",I2374="Dry DNB"),1,0)</f>
        <v>0</v>
      </c>
      <c r="Z2374" s="46" t="n">
        <f aca="false">IF(ISNUMBER(W2374),A2374-W2374,"")</f>
        <v>6</v>
      </c>
      <c r="AA2374" s="46" t="n">
        <f aca="false">MATCH(A2374,DATAS,0)</f>
        <v>1</v>
      </c>
      <c r="AB2374" s="46" t="n">
        <f aca="false">IF(AND(E2374&gt;0,OR(AND(B2374&gt;=1,B2374&lt;=6),B2374=10)),1,0)</f>
        <v>0</v>
      </c>
      <c r="AC2374" s="46" t="n">
        <f aca="false">IF(AND(E2374&gt;0,B2374=10),1,0)</f>
        <v>0</v>
      </c>
      <c r="AD2374" s="0" t="str">
        <f aca="false">IF(AND(C2373=C2374,AA2373=AA2374-1),AB2373,"")</f>
        <v/>
      </c>
      <c r="AE2374" s="0" t="str">
        <f aca="false">IF(AND(C2373=C2374,AA2373=AA2374-1),AC2373,"")</f>
        <v/>
      </c>
      <c r="AF2374" s="0" t="str">
        <f aca="false">IF(AA2374=1,"",IF(AND(AB2374=1,AD2374&lt;&gt;1),1,0))</f>
        <v/>
      </c>
      <c r="AG2374" s="0" t="str">
        <f aca="false">IF(AA2374=1,"",IF(AND(AC2374=1,AE2374&lt;&gt;1),1,0))</f>
        <v/>
      </c>
      <c r="AH2374" s="51" t="str">
        <f aca="false">IF(AND(E2374&gt;0,AA2374&lt;1,NOT(AND(C2375=C2374,AA2375=AA2374+1))),INDEX(DATAS,AA2374+1),"")</f>
        <v/>
      </c>
      <c r="AI2374" s="51" t="str">
        <f aca="false">IF(AND(AC2374=1,AA2374&lt;1),IF(AND(C2375=C2374,AA2375=AA2374+1),IF(AC2375=1,"",INDEX(DATAS,AA2374+1)),INDEX(DATAS,AA2374+1)),"")</f>
        <v/>
      </c>
    </row>
    <row r="2375" customFormat="false" ht="15" hidden="false" customHeight="false" outlineLevel="0" collapsed="false">
      <c r="A2375" s="51" t="n">
        <v>46309</v>
      </c>
      <c r="B2375" s="0" t="n">
        <v>8</v>
      </c>
      <c r="C2375" s="0" t="n">
        <v>6679</v>
      </c>
      <c r="E2375" s="0" t="n">
        <v>0</v>
      </c>
      <c r="F2375" s="46" t="s">
        <v>1264</v>
      </c>
      <c r="I2375" s="46" t="s">
        <v>152</v>
      </c>
      <c r="L2375" s="0" t="n">
        <v>62</v>
      </c>
      <c r="U2375" s="0" t="n">
        <v>478</v>
      </c>
      <c r="V2375" s="0" t="n">
        <v>2</v>
      </c>
      <c r="W2375" s="51" t="n">
        <v>46248</v>
      </c>
      <c r="X2375" s="46" t="n">
        <f aca="false">IF(I2375="Male",0,1)</f>
        <v>1</v>
      </c>
      <c r="Y2375" s="46" t="n">
        <f aca="false">IF(OR(I2375="DNB",I2375="Dry DNB"),1,0)</f>
        <v>0</v>
      </c>
      <c r="Z2375" s="46" t="n">
        <f aca="false">IF(ISNUMBER(W2375),A2375-W2375,"")</f>
        <v>61</v>
      </c>
      <c r="AA2375" s="46" t="n">
        <f aca="false">MATCH(A2375,DATAS,0)</f>
        <v>1</v>
      </c>
      <c r="AB2375" s="46" t="n">
        <f aca="false">IF(AND(E2375&gt;0,OR(AND(B2375&gt;=1,B2375&lt;=6),B2375=10)),1,0)</f>
        <v>0</v>
      </c>
      <c r="AC2375" s="46" t="n">
        <f aca="false">IF(AND(E2375&gt;0,B2375=10),1,0)</f>
        <v>0</v>
      </c>
      <c r="AD2375" s="0" t="str">
        <f aca="false">IF(AND(C2374=C2375,AA2374=AA2375-1),AB2374,"")</f>
        <v/>
      </c>
      <c r="AE2375" s="0" t="str">
        <f aca="false">IF(AND(C2374=C2375,AA2374=AA2375-1),AC2374,"")</f>
        <v/>
      </c>
      <c r="AF2375" s="0" t="str">
        <f aca="false">IF(AA2375=1,"",IF(AND(AB2375=1,AD2375&lt;&gt;1),1,0))</f>
        <v/>
      </c>
      <c r="AG2375" s="0" t="str">
        <f aca="false">IF(AA2375=1,"",IF(AND(AC2375=1,AE2375&lt;&gt;1),1,0))</f>
        <v/>
      </c>
      <c r="AH2375" s="51" t="str">
        <f aca="false">IF(AND(E2375&gt;0,AA2375&lt;1,NOT(AND(C2376=C2375,AA2376=AA2375+1))),INDEX(DATAS,AA2375+1),"")</f>
        <v/>
      </c>
      <c r="AI2375" s="51" t="str">
        <f aca="false">IF(AND(AC2375=1,AA2375&lt;1),IF(AND(C2376=C2375,AA2376=AA2375+1),IF(AC2376=1,"",INDEX(DATAS,AA2375+1)),INDEX(DATAS,AA2375+1)),"")</f>
        <v/>
      </c>
    </row>
    <row r="2376" customFormat="false" ht="15" hidden="false" customHeight="false" outlineLevel="0" collapsed="false">
      <c r="A2376" s="51" t="n">
        <v>46309</v>
      </c>
      <c r="B2376" s="0" t="n">
        <v>8</v>
      </c>
      <c r="C2376" s="0" t="n">
        <v>6680</v>
      </c>
      <c r="E2376" s="0" t="n">
        <v>0</v>
      </c>
      <c r="F2376" s="46" t="s">
        <v>1265</v>
      </c>
      <c r="I2376" s="46" t="s">
        <v>152</v>
      </c>
      <c r="L2376" s="0" t="n">
        <v>45</v>
      </c>
      <c r="U2376" s="0" t="n">
        <v>477</v>
      </c>
      <c r="V2376" s="0" t="n">
        <v>2</v>
      </c>
      <c r="W2376" s="51" t="n">
        <v>46265</v>
      </c>
      <c r="X2376" s="46" t="n">
        <f aca="false">IF(I2376="Male",0,1)</f>
        <v>1</v>
      </c>
      <c r="Y2376" s="46" t="n">
        <f aca="false">IF(OR(I2376="DNB",I2376="Dry DNB"),1,0)</f>
        <v>0</v>
      </c>
      <c r="Z2376" s="46" t="n">
        <f aca="false">IF(ISNUMBER(W2376),A2376-W2376,"")</f>
        <v>44</v>
      </c>
      <c r="AA2376" s="46" t="n">
        <f aca="false">MATCH(A2376,DATAS,0)</f>
        <v>1</v>
      </c>
      <c r="AB2376" s="46" t="n">
        <f aca="false">IF(AND(E2376&gt;0,OR(AND(B2376&gt;=1,B2376&lt;=6),B2376=10)),1,0)</f>
        <v>0</v>
      </c>
      <c r="AC2376" s="46" t="n">
        <f aca="false">IF(AND(E2376&gt;0,B2376=10),1,0)</f>
        <v>0</v>
      </c>
      <c r="AD2376" s="0" t="str">
        <f aca="false">IF(AND(C2375=C2376,AA2375=AA2376-1),AB2375,"")</f>
        <v/>
      </c>
      <c r="AE2376" s="0" t="str">
        <f aca="false">IF(AND(C2375=C2376,AA2375=AA2376-1),AC2375,"")</f>
        <v/>
      </c>
      <c r="AF2376" s="0" t="str">
        <f aca="false">IF(AA2376=1,"",IF(AND(AB2376=1,AD2376&lt;&gt;1),1,0))</f>
        <v/>
      </c>
      <c r="AG2376" s="0" t="str">
        <f aca="false">IF(AA2376=1,"",IF(AND(AC2376=1,AE2376&lt;&gt;1),1,0))</f>
        <v/>
      </c>
      <c r="AH2376" s="51" t="str">
        <f aca="false">IF(AND(E2376&gt;0,AA2376&lt;1,NOT(AND(C2377=C2376,AA2377=AA2376+1))),INDEX(DATAS,AA2376+1),"")</f>
        <v/>
      </c>
      <c r="AI2376" s="51" t="str">
        <f aca="false">IF(AND(AC2376=1,AA2376&lt;1),IF(AND(C2377=C2376,AA2377=AA2376+1),IF(AC2377=1,"",INDEX(DATAS,AA2376+1)),INDEX(DATAS,AA2376+1)),"")</f>
        <v/>
      </c>
    </row>
    <row r="2377" customFormat="false" ht="15" hidden="false" customHeight="false" outlineLevel="0" collapsed="false">
      <c r="A2377" s="51" t="n">
        <v>46309</v>
      </c>
      <c r="B2377" s="0" t="n">
        <v>8</v>
      </c>
      <c r="C2377" s="0" t="n">
        <v>6681</v>
      </c>
      <c r="E2377" s="0" t="n">
        <v>0</v>
      </c>
      <c r="F2377" s="46" t="s">
        <v>1266</v>
      </c>
      <c r="I2377" s="46" t="s">
        <v>152</v>
      </c>
      <c r="L2377" s="0" t="n">
        <v>77</v>
      </c>
      <c r="U2377" s="0" t="n">
        <v>476</v>
      </c>
      <c r="V2377" s="0" t="n">
        <v>1</v>
      </c>
      <c r="W2377" s="51" t="n">
        <v>46233</v>
      </c>
      <c r="X2377" s="46" t="n">
        <f aca="false">IF(I2377="Male",0,1)</f>
        <v>1</v>
      </c>
      <c r="Y2377" s="46" t="n">
        <f aca="false">IF(OR(I2377="DNB",I2377="Dry DNB"),1,0)</f>
        <v>0</v>
      </c>
      <c r="Z2377" s="46" t="n">
        <f aca="false">IF(ISNUMBER(W2377),A2377-W2377,"")</f>
        <v>76</v>
      </c>
      <c r="AA2377" s="46" t="n">
        <f aca="false">MATCH(A2377,DATAS,0)</f>
        <v>1</v>
      </c>
      <c r="AB2377" s="46" t="n">
        <f aca="false">IF(AND(E2377&gt;0,OR(AND(B2377&gt;=1,B2377&lt;=6),B2377=10)),1,0)</f>
        <v>0</v>
      </c>
      <c r="AC2377" s="46" t="n">
        <f aca="false">IF(AND(E2377&gt;0,B2377=10),1,0)</f>
        <v>0</v>
      </c>
      <c r="AD2377" s="0" t="str">
        <f aca="false">IF(AND(C2376=C2377,AA2376=AA2377-1),AB2376,"")</f>
        <v/>
      </c>
      <c r="AE2377" s="0" t="str">
        <f aca="false">IF(AND(C2376=C2377,AA2376=AA2377-1),AC2376,"")</f>
        <v/>
      </c>
      <c r="AF2377" s="0" t="str">
        <f aca="false">IF(AA2377=1,"",IF(AND(AB2377=1,AD2377&lt;&gt;1),1,0))</f>
        <v/>
      </c>
      <c r="AG2377" s="0" t="str">
        <f aca="false">IF(AA2377=1,"",IF(AND(AC2377=1,AE2377&lt;&gt;1),1,0))</f>
        <v/>
      </c>
      <c r="AH2377" s="51" t="str">
        <f aca="false">IF(AND(E2377&gt;0,AA2377&lt;1,NOT(AND(C2378=C2377,AA2378=AA2377+1))),INDEX(DATAS,AA2377+1),"")</f>
        <v/>
      </c>
      <c r="AI2377" s="51" t="str">
        <f aca="false">IF(AND(AC2377=1,AA2377&lt;1),IF(AND(C2378=C2377,AA2378=AA2377+1),IF(AC2378=1,"",INDEX(DATAS,AA2377+1)),INDEX(DATAS,AA2377+1)),"")</f>
        <v/>
      </c>
    </row>
    <row r="2378" customFormat="false" ht="15" hidden="false" customHeight="false" outlineLevel="0" collapsed="false">
      <c r="A2378" s="51" t="n">
        <v>46309</v>
      </c>
      <c r="B2378" s="0" t="n">
        <v>8</v>
      </c>
      <c r="C2378" s="0" t="n">
        <v>6682</v>
      </c>
      <c r="E2378" s="0" t="n">
        <v>0</v>
      </c>
      <c r="F2378" s="46" t="s">
        <v>1266</v>
      </c>
      <c r="I2378" s="46" t="s">
        <v>152</v>
      </c>
      <c r="L2378" s="0" t="n">
        <v>63</v>
      </c>
      <c r="U2378" s="0" t="n">
        <v>476</v>
      </c>
      <c r="V2378" s="0" t="n">
        <v>1</v>
      </c>
      <c r="W2378" s="51" t="n">
        <v>46247</v>
      </c>
      <c r="X2378" s="46" t="n">
        <f aca="false">IF(I2378="Male",0,1)</f>
        <v>1</v>
      </c>
      <c r="Y2378" s="46" t="n">
        <f aca="false">IF(OR(I2378="DNB",I2378="Dry DNB"),1,0)</f>
        <v>0</v>
      </c>
      <c r="Z2378" s="46" t="n">
        <f aca="false">IF(ISNUMBER(W2378),A2378-W2378,"")</f>
        <v>62</v>
      </c>
      <c r="AA2378" s="46" t="n">
        <f aca="false">MATCH(A2378,DATAS,0)</f>
        <v>1</v>
      </c>
      <c r="AB2378" s="46" t="n">
        <f aca="false">IF(AND(E2378&gt;0,OR(AND(B2378&gt;=1,B2378&lt;=6),B2378=10)),1,0)</f>
        <v>0</v>
      </c>
      <c r="AC2378" s="46" t="n">
        <f aca="false">IF(AND(E2378&gt;0,B2378=10),1,0)</f>
        <v>0</v>
      </c>
      <c r="AD2378" s="0" t="str">
        <f aca="false">IF(AND(C2377=C2378,AA2377=AA2378-1),AB2377,"")</f>
        <v/>
      </c>
      <c r="AE2378" s="0" t="str">
        <f aca="false">IF(AND(C2377=C2378,AA2377=AA2378-1),AC2377,"")</f>
        <v/>
      </c>
      <c r="AF2378" s="0" t="str">
        <f aca="false">IF(AA2378=1,"",IF(AND(AB2378=1,AD2378&lt;&gt;1),1,0))</f>
        <v/>
      </c>
      <c r="AG2378" s="0" t="str">
        <f aca="false">IF(AA2378=1,"",IF(AND(AC2378=1,AE2378&lt;&gt;1),1,0))</f>
        <v/>
      </c>
      <c r="AH2378" s="51" t="str">
        <f aca="false">IF(AND(E2378&gt;0,AA2378&lt;1,NOT(AND(C2379=C2378,AA2379=AA2378+1))),INDEX(DATAS,AA2378+1),"")</f>
        <v/>
      </c>
      <c r="AI2378" s="51" t="str">
        <f aca="false">IF(AND(AC2378=1,AA2378&lt;1),IF(AND(C2379=C2378,AA2379=AA2378+1),IF(AC2379=1,"",INDEX(DATAS,AA2378+1)),INDEX(DATAS,AA2378+1)),"")</f>
        <v/>
      </c>
    </row>
    <row r="2379" customFormat="false" ht="15" hidden="false" customHeight="false" outlineLevel="0" collapsed="false">
      <c r="A2379" s="51" t="n">
        <v>46309</v>
      </c>
      <c r="B2379" s="0" t="n">
        <v>11</v>
      </c>
      <c r="C2379" s="0" t="n">
        <v>6683</v>
      </c>
      <c r="E2379" s="0" t="n">
        <v>0</v>
      </c>
      <c r="F2379" s="46" t="s">
        <v>1267</v>
      </c>
      <c r="I2379" s="46" t="s">
        <v>181</v>
      </c>
      <c r="U2379" s="0" t="n">
        <v>475</v>
      </c>
      <c r="V2379" s="0" t="n">
        <v>4</v>
      </c>
      <c r="W2379" s="51" t="n">
        <v>46285</v>
      </c>
      <c r="X2379" s="46" t="n">
        <f aca="false">IF(I2379="Male",0,1)</f>
        <v>1</v>
      </c>
      <c r="Y2379" s="46" t="n">
        <f aca="false">IF(OR(I2379="DNB",I2379="Dry DNB"),1,0)</f>
        <v>0</v>
      </c>
      <c r="Z2379" s="46" t="n">
        <f aca="false">IF(ISNUMBER(W2379),A2379-W2379,"")</f>
        <v>24</v>
      </c>
      <c r="AA2379" s="46" t="n">
        <f aca="false">MATCH(A2379,DATAS,0)</f>
        <v>1</v>
      </c>
      <c r="AB2379" s="46" t="n">
        <f aca="false">IF(AND(E2379&gt;0,OR(AND(B2379&gt;=1,B2379&lt;=6),B2379=10)),1,0)</f>
        <v>0</v>
      </c>
      <c r="AC2379" s="46" t="n">
        <f aca="false">IF(AND(E2379&gt;0,B2379=10),1,0)</f>
        <v>0</v>
      </c>
      <c r="AD2379" s="0" t="str">
        <f aca="false">IF(AND(C2378=C2379,AA2378=AA2379-1),AB2378,"")</f>
        <v/>
      </c>
      <c r="AE2379" s="0" t="str">
        <f aca="false">IF(AND(C2378=C2379,AA2378=AA2379-1),AC2378,"")</f>
        <v/>
      </c>
      <c r="AF2379" s="0" t="str">
        <f aca="false">IF(AA2379=1,"",IF(AND(AB2379=1,AD2379&lt;&gt;1),1,0))</f>
        <v/>
      </c>
      <c r="AG2379" s="0" t="str">
        <f aca="false">IF(AA2379=1,"",IF(AND(AC2379=1,AE2379&lt;&gt;1),1,0))</f>
        <v/>
      </c>
      <c r="AH2379" s="51" t="str">
        <f aca="false">IF(AND(E2379&gt;0,AA2379&lt;1,NOT(AND(C2380=C2379,AA2380=AA2379+1))),INDEX(DATAS,AA2379+1),"")</f>
        <v/>
      </c>
      <c r="AI2379" s="51" t="str">
        <f aca="false">IF(AND(AC2379=1,AA2379&lt;1),IF(AND(C2380=C2379,AA2380=AA2379+1),IF(AC2380=1,"",INDEX(DATAS,AA2379+1)),INDEX(DATAS,AA2379+1)),"")</f>
        <v/>
      </c>
    </row>
    <row r="2380" customFormat="false" ht="15" hidden="false" customHeight="false" outlineLevel="0" collapsed="false">
      <c r="A2380" s="51" t="n">
        <v>46309</v>
      </c>
      <c r="B2380" s="0" t="n">
        <v>8</v>
      </c>
      <c r="C2380" s="0" t="n">
        <v>6684</v>
      </c>
      <c r="E2380" s="0" t="n">
        <v>0</v>
      </c>
      <c r="F2380" s="46" t="s">
        <v>1267</v>
      </c>
      <c r="I2380" s="46" t="s">
        <v>152</v>
      </c>
      <c r="L2380" s="0" t="n">
        <v>73</v>
      </c>
      <c r="U2380" s="0" t="n">
        <v>475</v>
      </c>
      <c r="V2380" s="0" t="n">
        <v>1</v>
      </c>
      <c r="W2380" s="51" t="n">
        <v>46237</v>
      </c>
      <c r="X2380" s="46" t="n">
        <f aca="false">IF(I2380="Male",0,1)</f>
        <v>1</v>
      </c>
      <c r="Y2380" s="46" t="n">
        <f aca="false">IF(OR(I2380="DNB",I2380="Dry DNB"),1,0)</f>
        <v>0</v>
      </c>
      <c r="Z2380" s="46" t="n">
        <f aca="false">IF(ISNUMBER(W2380),A2380-W2380,"")</f>
        <v>72</v>
      </c>
      <c r="AA2380" s="46" t="n">
        <f aca="false">MATCH(A2380,DATAS,0)</f>
        <v>1</v>
      </c>
      <c r="AB2380" s="46" t="n">
        <f aca="false">IF(AND(E2380&gt;0,OR(AND(B2380&gt;=1,B2380&lt;=6),B2380=10)),1,0)</f>
        <v>0</v>
      </c>
      <c r="AC2380" s="46" t="n">
        <f aca="false">IF(AND(E2380&gt;0,B2380=10),1,0)</f>
        <v>0</v>
      </c>
      <c r="AD2380" s="0" t="str">
        <f aca="false">IF(AND(C2379=C2380,AA2379=AA2380-1),AB2379,"")</f>
        <v/>
      </c>
      <c r="AE2380" s="0" t="str">
        <f aca="false">IF(AND(C2379=C2380,AA2379=AA2380-1),AC2379,"")</f>
        <v/>
      </c>
      <c r="AF2380" s="0" t="str">
        <f aca="false">IF(AA2380=1,"",IF(AND(AB2380=1,AD2380&lt;&gt;1),1,0))</f>
        <v/>
      </c>
      <c r="AG2380" s="0" t="str">
        <f aca="false">IF(AA2380=1,"",IF(AND(AC2380=1,AE2380&lt;&gt;1),1,0))</f>
        <v/>
      </c>
      <c r="AH2380" s="51" t="str">
        <f aca="false">IF(AND(E2380&gt;0,AA2380&lt;1,NOT(AND(C2381=C2380,AA2381=AA2380+1))),INDEX(DATAS,AA2380+1),"")</f>
        <v/>
      </c>
      <c r="AI2380" s="51" t="str">
        <f aca="false">IF(AND(AC2380=1,AA2380&lt;1),IF(AND(C2381=C2380,AA2381=AA2380+1),IF(AC2381=1,"",INDEX(DATAS,AA2380+1)),INDEX(DATAS,AA2380+1)),"")</f>
        <v/>
      </c>
    </row>
    <row r="2381" customFormat="false" ht="15" hidden="false" customHeight="false" outlineLevel="0" collapsed="false">
      <c r="A2381" s="51" t="n">
        <v>46309</v>
      </c>
      <c r="B2381" s="0" t="n">
        <v>11</v>
      </c>
      <c r="C2381" s="0" t="n">
        <v>6685</v>
      </c>
      <c r="E2381" s="0" t="n">
        <v>0</v>
      </c>
      <c r="F2381" s="46" t="s">
        <v>1267</v>
      </c>
      <c r="I2381" s="46" t="s">
        <v>181</v>
      </c>
      <c r="U2381" s="0" t="n">
        <v>475</v>
      </c>
      <c r="V2381" s="0" t="n">
        <v>2</v>
      </c>
      <c r="W2381" s="51" t="n">
        <v>46303</v>
      </c>
      <c r="X2381" s="46" t="n">
        <f aca="false">IF(I2381="Male",0,1)</f>
        <v>1</v>
      </c>
      <c r="Y2381" s="46" t="n">
        <f aca="false">IF(OR(I2381="DNB",I2381="Dry DNB"),1,0)</f>
        <v>0</v>
      </c>
      <c r="Z2381" s="46" t="n">
        <f aca="false">IF(ISNUMBER(W2381),A2381-W2381,"")</f>
        <v>6</v>
      </c>
      <c r="AA2381" s="46" t="n">
        <f aca="false">MATCH(A2381,DATAS,0)</f>
        <v>1</v>
      </c>
      <c r="AB2381" s="46" t="n">
        <f aca="false">IF(AND(E2381&gt;0,OR(AND(B2381&gt;=1,B2381&lt;=6),B2381=10)),1,0)</f>
        <v>0</v>
      </c>
      <c r="AC2381" s="46" t="n">
        <f aca="false">IF(AND(E2381&gt;0,B2381=10),1,0)</f>
        <v>0</v>
      </c>
      <c r="AD2381" s="0" t="str">
        <f aca="false">IF(AND(C2380=C2381,AA2380=AA2381-1),AB2380,"")</f>
        <v/>
      </c>
      <c r="AE2381" s="0" t="str">
        <f aca="false">IF(AND(C2380=C2381,AA2380=AA2381-1),AC2380,"")</f>
        <v/>
      </c>
      <c r="AF2381" s="0" t="str">
        <f aca="false">IF(AA2381=1,"",IF(AND(AB2381=1,AD2381&lt;&gt;1),1,0))</f>
        <v/>
      </c>
      <c r="AG2381" s="0" t="str">
        <f aca="false">IF(AA2381=1,"",IF(AND(AC2381=1,AE2381&lt;&gt;1),1,0))</f>
        <v/>
      </c>
      <c r="AH2381" s="51" t="str">
        <f aca="false">IF(AND(E2381&gt;0,AA2381&lt;1,NOT(AND(C2382=C2381,AA2382=AA2381+1))),INDEX(DATAS,AA2381+1),"")</f>
        <v/>
      </c>
      <c r="AI2381" s="51" t="str">
        <f aca="false">IF(AND(AC2381=1,AA2381&lt;1),IF(AND(C2382=C2381,AA2382=AA2381+1),IF(AC2382=1,"",INDEX(DATAS,AA2381+1)),INDEX(DATAS,AA2381+1)),"")</f>
        <v/>
      </c>
    </row>
    <row r="2382" customFormat="false" ht="15" hidden="false" customHeight="false" outlineLevel="0" collapsed="false">
      <c r="A2382" s="51" t="n">
        <v>46309</v>
      </c>
      <c r="B2382" s="0" t="n">
        <v>8</v>
      </c>
      <c r="C2382" s="0" t="n">
        <v>6687</v>
      </c>
      <c r="E2382" s="0" t="n">
        <v>0</v>
      </c>
      <c r="F2382" s="46" t="s">
        <v>1267</v>
      </c>
      <c r="I2382" s="46" t="s">
        <v>152</v>
      </c>
      <c r="L2382" s="0" t="n">
        <v>55</v>
      </c>
      <c r="U2382" s="0" t="n">
        <v>475</v>
      </c>
      <c r="V2382" s="0" t="n">
        <v>1</v>
      </c>
      <c r="X2382" s="46" t="n">
        <f aca="false">IF(I2382="Male",0,1)</f>
        <v>1</v>
      </c>
      <c r="Y2382" s="46" t="n">
        <f aca="false">IF(OR(I2382="DNB",I2382="Dry DNB"),1,0)</f>
        <v>0</v>
      </c>
      <c r="Z2382" s="0" t="str">
        <f aca="false">IF(ISNUMBER(W2382),A2382-W2382,"")</f>
        <v/>
      </c>
      <c r="AA2382" s="46" t="n">
        <f aca="false">MATCH(A2382,DATAS,0)</f>
        <v>1</v>
      </c>
      <c r="AB2382" s="46" t="n">
        <f aca="false">IF(AND(E2382&gt;0,OR(AND(B2382&gt;=1,B2382&lt;=6),B2382=10)),1,0)</f>
        <v>0</v>
      </c>
      <c r="AC2382" s="46" t="n">
        <f aca="false">IF(AND(E2382&gt;0,B2382=10),1,0)</f>
        <v>0</v>
      </c>
      <c r="AD2382" s="0" t="str">
        <f aca="false">IF(AND(C2381=C2382,AA2381=AA2382-1),AB2381,"")</f>
        <v/>
      </c>
      <c r="AE2382" s="0" t="str">
        <f aca="false">IF(AND(C2381=C2382,AA2381=AA2382-1),AC2381,"")</f>
        <v/>
      </c>
      <c r="AF2382" s="0" t="str">
        <f aca="false">IF(AA2382=1,"",IF(AND(AB2382=1,AD2382&lt;&gt;1),1,0))</f>
        <v/>
      </c>
      <c r="AG2382" s="0" t="str">
        <f aca="false">IF(AA2382=1,"",IF(AND(AC2382=1,AE2382&lt;&gt;1),1,0))</f>
        <v/>
      </c>
      <c r="AH2382" s="51" t="str">
        <f aca="false">IF(AND(E2382&gt;0,AA2382&lt;1,NOT(AND(C2383=C2382,AA2383=AA2382+1))),INDEX(DATAS,AA2382+1),"")</f>
        <v/>
      </c>
      <c r="AI2382" s="51" t="str">
        <f aca="false">IF(AND(AC2382=1,AA2382&lt;1),IF(AND(C2383=C2382,AA2383=AA2382+1),IF(AC2383=1,"",INDEX(DATAS,AA2382+1)),INDEX(DATAS,AA2382+1)),"")</f>
        <v/>
      </c>
    </row>
    <row r="2383" customFormat="false" ht="15" hidden="false" customHeight="false" outlineLevel="0" collapsed="false">
      <c r="A2383" s="51" t="n">
        <v>46309</v>
      </c>
      <c r="B2383" s="0" t="n">
        <v>8</v>
      </c>
      <c r="C2383" s="0" t="n">
        <v>6688</v>
      </c>
      <c r="E2383" s="0" t="n">
        <v>0</v>
      </c>
      <c r="F2383" s="46" t="s">
        <v>1267</v>
      </c>
      <c r="I2383" s="46" t="s">
        <v>152</v>
      </c>
      <c r="L2383" s="0" t="n">
        <v>53</v>
      </c>
      <c r="U2383" s="0" t="n">
        <v>475</v>
      </c>
      <c r="V2383" s="0" t="n">
        <v>2</v>
      </c>
      <c r="W2383" s="51" t="n">
        <v>46257</v>
      </c>
      <c r="X2383" s="46" t="n">
        <f aca="false">IF(I2383="Male",0,1)</f>
        <v>1</v>
      </c>
      <c r="Y2383" s="46" t="n">
        <f aca="false">IF(OR(I2383="DNB",I2383="Dry DNB"),1,0)</f>
        <v>0</v>
      </c>
      <c r="Z2383" s="46" t="n">
        <f aca="false">IF(ISNUMBER(W2383),A2383-W2383,"")</f>
        <v>52</v>
      </c>
      <c r="AA2383" s="46" t="n">
        <f aca="false">MATCH(A2383,DATAS,0)</f>
        <v>1</v>
      </c>
      <c r="AB2383" s="46" t="n">
        <f aca="false">IF(AND(E2383&gt;0,OR(AND(B2383&gt;=1,B2383&lt;=6),B2383=10)),1,0)</f>
        <v>0</v>
      </c>
      <c r="AC2383" s="46" t="n">
        <f aca="false">IF(AND(E2383&gt;0,B2383=10),1,0)</f>
        <v>0</v>
      </c>
      <c r="AD2383" s="0" t="str">
        <f aca="false">IF(AND(C2382=C2383,AA2382=AA2383-1),AB2382,"")</f>
        <v/>
      </c>
      <c r="AE2383" s="0" t="str">
        <f aca="false">IF(AND(C2382=C2383,AA2382=AA2383-1),AC2382,"")</f>
        <v/>
      </c>
      <c r="AF2383" s="0" t="str">
        <f aca="false">IF(AA2383=1,"",IF(AND(AB2383=1,AD2383&lt;&gt;1),1,0))</f>
        <v/>
      </c>
      <c r="AG2383" s="0" t="str">
        <f aca="false">IF(AA2383=1,"",IF(AND(AC2383=1,AE2383&lt;&gt;1),1,0))</f>
        <v/>
      </c>
      <c r="AH2383" s="51" t="str">
        <f aca="false">IF(AND(E2383&gt;0,AA2383&lt;1,NOT(AND(C2384=C2383,AA2384=AA2383+1))),INDEX(DATAS,AA2383+1),"")</f>
        <v/>
      </c>
      <c r="AI2383" s="51" t="str">
        <f aca="false">IF(AND(AC2383=1,AA2383&lt;1),IF(AND(C2384=C2383,AA2384=AA2383+1),IF(AC2384=1,"",INDEX(DATAS,AA2383+1)),INDEX(DATAS,AA2383+1)),"")</f>
        <v/>
      </c>
    </row>
    <row r="2384" customFormat="false" ht="15" hidden="false" customHeight="false" outlineLevel="0" collapsed="false">
      <c r="A2384" s="51" t="n">
        <v>46309</v>
      </c>
      <c r="B2384" s="0" t="n">
        <v>8</v>
      </c>
      <c r="C2384" s="0" t="n">
        <v>6689</v>
      </c>
      <c r="E2384" s="0" t="n">
        <v>0</v>
      </c>
      <c r="F2384" s="46" t="s">
        <v>1268</v>
      </c>
      <c r="I2384" s="46" t="s">
        <v>152</v>
      </c>
      <c r="L2384" s="0" t="n">
        <v>81</v>
      </c>
      <c r="U2384" s="0" t="n">
        <v>474</v>
      </c>
      <c r="V2384" s="0" t="n">
        <v>1</v>
      </c>
      <c r="W2384" s="51" t="n">
        <v>46229</v>
      </c>
      <c r="X2384" s="46" t="n">
        <f aca="false">IF(I2384="Male",0,1)</f>
        <v>1</v>
      </c>
      <c r="Y2384" s="46" t="n">
        <f aca="false">IF(OR(I2384="DNB",I2384="Dry DNB"),1,0)</f>
        <v>0</v>
      </c>
      <c r="Z2384" s="46" t="n">
        <f aca="false">IF(ISNUMBER(W2384),A2384-W2384,"")</f>
        <v>80</v>
      </c>
      <c r="AA2384" s="46" t="n">
        <f aca="false">MATCH(A2384,DATAS,0)</f>
        <v>1</v>
      </c>
      <c r="AB2384" s="46" t="n">
        <f aca="false">IF(AND(E2384&gt;0,OR(AND(B2384&gt;=1,B2384&lt;=6),B2384=10)),1,0)</f>
        <v>0</v>
      </c>
      <c r="AC2384" s="46" t="n">
        <f aca="false">IF(AND(E2384&gt;0,B2384=10),1,0)</f>
        <v>0</v>
      </c>
      <c r="AD2384" s="0" t="str">
        <f aca="false">IF(AND(C2383=C2384,AA2383=AA2384-1),AB2383,"")</f>
        <v/>
      </c>
      <c r="AE2384" s="0" t="str">
        <f aca="false">IF(AND(C2383=C2384,AA2383=AA2384-1),AC2383,"")</f>
        <v/>
      </c>
      <c r="AF2384" s="0" t="str">
        <f aca="false">IF(AA2384=1,"",IF(AND(AB2384=1,AD2384&lt;&gt;1),1,0))</f>
        <v/>
      </c>
      <c r="AG2384" s="0" t="str">
        <f aca="false">IF(AA2384=1,"",IF(AND(AC2384=1,AE2384&lt;&gt;1),1,0))</f>
        <v/>
      </c>
      <c r="AH2384" s="51" t="str">
        <f aca="false">IF(AND(E2384&gt;0,AA2384&lt;1,NOT(AND(C2385=C2384,AA2385=AA2384+1))),INDEX(DATAS,AA2384+1),"")</f>
        <v/>
      </c>
      <c r="AI2384" s="51" t="str">
        <f aca="false">IF(AND(AC2384=1,AA2384&lt;1),IF(AND(C2385=C2384,AA2385=AA2384+1),IF(AC2385=1,"",INDEX(DATAS,AA2384+1)),INDEX(DATAS,AA2384+1)),"")</f>
        <v/>
      </c>
    </row>
    <row r="2385" customFormat="false" ht="15" hidden="false" customHeight="false" outlineLevel="0" collapsed="false">
      <c r="A2385" s="51" t="n">
        <v>46309</v>
      </c>
      <c r="B2385" s="0" t="n">
        <v>8</v>
      </c>
      <c r="C2385" s="0" t="n">
        <v>6690</v>
      </c>
      <c r="E2385" s="0" t="n">
        <v>0</v>
      </c>
      <c r="F2385" s="46" t="s">
        <v>1269</v>
      </c>
      <c r="I2385" s="46" t="s">
        <v>152</v>
      </c>
      <c r="L2385" s="0" t="n">
        <v>50</v>
      </c>
      <c r="U2385" s="0" t="n">
        <v>472</v>
      </c>
      <c r="V2385" s="0" t="n">
        <v>1</v>
      </c>
      <c r="W2385" s="51" t="n">
        <v>46260</v>
      </c>
      <c r="X2385" s="46" t="n">
        <f aca="false">IF(I2385="Male",0,1)</f>
        <v>1</v>
      </c>
      <c r="Y2385" s="46" t="n">
        <f aca="false">IF(OR(I2385="DNB",I2385="Dry DNB"),1,0)</f>
        <v>0</v>
      </c>
      <c r="Z2385" s="46" t="n">
        <f aca="false">IF(ISNUMBER(W2385),A2385-W2385,"")</f>
        <v>49</v>
      </c>
      <c r="AA2385" s="46" t="n">
        <f aca="false">MATCH(A2385,DATAS,0)</f>
        <v>1</v>
      </c>
      <c r="AB2385" s="46" t="n">
        <f aca="false">IF(AND(E2385&gt;0,OR(AND(B2385&gt;=1,B2385&lt;=6),B2385=10)),1,0)</f>
        <v>0</v>
      </c>
      <c r="AC2385" s="46" t="n">
        <f aca="false">IF(AND(E2385&gt;0,B2385=10),1,0)</f>
        <v>0</v>
      </c>
      <c r="AD2385" s="0" t="str">
        <f aca="false">IF(AND(C2384=C2385,AA2384=AA2385-1),AB2384,"")</f>
        <v/>
      </c>
      <c r="AE2385" s="0" t="str">
        <f aca="false">IF(AND(C2384=C2385,AA2384=AA2385-1),AC2384,"")</f>
        <v/>
      </c>
      <c r="AF2385" s="0" t="str">
        <f aca="false">IF(AA2385=1,"",IF(AND(AB2385=1,AD2385&lt;&gt;1),1,0))</f>
        <v/>
      </c>
      <c r="AG2385" s="0" t="str">
        <f aca="false">IF(AA2385=1,"",IF(AND(AC2385=1,AE2385&lt;&gt;1),1,0))</f>
        <v/>
      </c>
      <c r="AH2385" s="51" t="str">
        <f aca="false">IF(AND(E2385&gt;0,AA2385&lt;1,NOT(AND(C2386=C2385,AA2386=AA2385+1))),INDEX(DATAS,AA2385+1),"")</f>
        <v/>
      </c>
      <c r="AI2385" s="51" t="str">
        <f aca="false">IF(AND(AC2385=1,AA2385&lt;1),IF(AND(C2386=C2385,AA2386=AA2385+1),IF(AC2386=1,"",INDEX(DATAS,AA2385+1)),INDEX(DATAS,AA2385+1)),"")</f>
        <v/>
      </c>
    </row>
    <row r="2386" customFormat="false" ht="15" hidden="false" customHeight="false" outlineLevel="0" collapsed="false">
      <c r="A2386" s="51" t="n">
        <v>46309</v>
      </c>
      <c r="B2386" s="0" t="n">
        <v>11</v>
      </c>
      <c r="C2386" s="0" t="n">
        <v>6691</v>
      </c>
      <c r="E2386" s="0" t="n">
        <v>0</v>
      </c>
      <c r="F2386" s="46" t="s">
        <v>1269</v>
      </c>
      <c r="I2386" s="46" t="s">
        <v>181</v>
      </c>
      <c r="U2386" s="0" t="n">
        <v>472</v>
      </c>
      <c r="V2386" s="0" t="n">
        <v>3</v>
      </c>
      <c r="W2386" s="51" t="n">
        <v>46309</v>
      </c>
      <c r="X2386" s="46" t="n">
        <f aca="false">IF(I2386="Male",0,1)</f>
        <v>1</v>
      </c>
      <c r="Y2386" s="46" t="n">
        <f aca="false">IF(OR(I2386="DNB",I2386="Dry DNB"),1,0)</f>
        <v>0</v>
      </c>
      <c r="Z2386" s="46" t="n">
        <f aca="false">IF(ISNUMBER(W2386),A2386-W2386,"")</f>
        <v>0</v>
      </c>
      <c r="AA2386" s="46" t="n">
        <f aca="false">MATCH(A2386,DATAS,0)</f>
        <v>1</v>
      </c>
      <c r="AB2386" s="46" t="n">
        <f aca="false">IF(AND(E2386&gt;0,OR(AND(B2386&gt;=1,B2386&lt;=6),B2386=10)),1,0)</f>
        <v>0</v>
      </c>
      <c r="AC2386" s="46" t="n">
        <f aca="false">IF(AND(E2386&gt;0,B2386=10),1,0)</f>
        <v>0</v>
      </c>
      <c r="AD2386" s="0" t="str">
        <f aca="false">IF(AND(C2385=C2386,AA2385=AA2386-1),AB2385,"")</f>
        <v/>
      </c>
      <c r="AE2386" s="0" t="str">
        <f aca="false">IF(AND(C2385=C2386,AA2385=AA2386-1),AC2385,"")</f>
        <v/>
      </c>
      <c r="AF2386" s="0" t="str">
        <f aca="false">IF(AA2386=1,"",IF(AND(AB2386=1,AD2386&lt;&gt;1),1,0))</f>
        <v/>
      </c>
      <c r="AG2386" s="0" t="str">
        <f aca="false">IF(AA2386=1,"",IF(AND(AC2386=1,AE2386&lt;&gt;1),1,0))</f>
        <v/>
      </c>
      <c r="AH2386" s="51" t="str">
        <f aca="false">IF(AND(E2386&gt;0,AA2386&lt;1,NOT(AND(C2387=C2386,AA2387=AA2386+1))),INDEX(DATAS,AA2386+1),"")</f>
        <v/>
      </c>
      <c r="AI2386" s="51" t="str">
        <f aca="false">IF(AND(AC2386=1,AA2386&lt;1),IF(AND(C2387=C2386,AA2387=AA2386+1),IF(AC2387=1,"",INDEX(DATAS,AA2386+1)),INDEX(DATAS,AA2386+1)),"")</f>
        <v/>
      </c>
    </row>
    <row r="2387" customFormat="false" ht="15" hidden="false" customHeight="false" outlineLevel="0" collapsed="false">
      <c r="A2387" s="51" t="n">
        <v>46309</v>
      </c>
      <c r="B2387" s="0" t="n">
        <v>8</v>
      </c>
      <c r="C2387" s="0" t="n">
        <v>6692</v>
      </c>
      <c r="E2387" s="0" t="n">
        <v>0</v>
      </c>
      <c r="F2387" s="46" t="s">
        <v>1269</v>
      </c>
      <c r="I2387" s="46" t="s">
        <v>152</v>
      </c>
      <c r="L2387" s="0" t="n">
        <v>70</v>
      </c>
      <c r="U2387" s="0" t="n">
        <v>472</v>
      </c>
      <c r="V2387" s="0" t="n">
        <v>1</v>
      </c>
      <c r="W2387" s="51" t="n">
        <v>46240</v>
      </c>
      <c r="X2387" s="46" t="n">
        <f aca="false">IF(I2387="Male",0,1)</f>
        <v>1</v>
      </c>
      <c r="Y2387" s="46" t="n">
        <f aca="false">IF(OR(I2387="DNB",I2387="Dry DNB"),1,0)</f>
        <v>0</v>
      </c>
      <c r="Z2387" s="46" t="n">
        <f aca="false">IF(ISNUMBER(W2387),A2387-W2387,"")</f>
        <v>69</v>
      </c>
      <c r="AA2387" s="46" t="n">
        <f aca="false">MATCH(A2387,DATAS,0)</f>
        <v>1</v>
      </c>
      <c r="AB2387" s="46" t="n">
        <f aca="false">IF(AND(E2387&gt;0,OR(AND(B2387&gt;=1,B2387&lt;=6),B2387=10)),1,0)</f>
        <v>0</v>
      </c>
      <c r="AC2387" s="46" t="n">
        <f aca="false">IF(AND(E2387&gt;0,B2387=10),1,0)</f>
        <v>0</v>
      </c>
      <c r="AD2387" s="0" t="str">
        <f aca="false">IF(AND(C2386=C2387,AA2386=AA2387-1),AB2386,"")</f>
        <v/>
      </c>
      <c r="AE2387" s="0" t="str">
        <f aca="false">IF(AND(C2386=C2387,AA2386=AA2387-1),AC2386,"")</f>
        <v/>
      </c>
      <c r="AF2387" s="0" t="str">
        <f aca="false">IF(AA2387=1,"",IF(AND(AB2387=1,AD2387&lt;&gt;1),1,0))</f>
        <v/>
      </c>
      <c r="AG2387" s="0" t="str">
        <f aca="false">IF(AA2387=1,"",IF(AND(AC2387=1,AE2387&lt;&gt;1),1,0))</f>
        <v/>
      </c>
      <c r="AH2387" s="51" t="str">
        <f aca="false">IF(AND(E2387&gt;0,AA2387&lt;1,NOT(AND(C2388=C2387,AA2388=AA2387+1))),INDEX(DATAS,AA2387+1),"")</f>
        <v/>
      </c>
      <c r="AI2387" s="51" t="str">
        <f aca="false">IF(AND(AC2387=1,AA2387&lt;1),IF(AND(C2388=C2387,AA2388=AA2387+1),IF(AC2388=1,"",INDEX(DATAS,AA2387+1)),INDEX(DATAS,AA2387+1)),"")</f>
        <v/>
      </c>
    </row>
    <row r="2388" customFormat="false" ht="15" hidden="false" customHeight="false" outlineLevel="0" collapsed="false">
      <c r="A2388" s="51" t="n">
        <v>46309</v>
      </c>
      <c r="B2388" s="0" t="n">
        <v>8</v>
      </c>
      <c r="C2388" s="0" t="n">
        <v>6693</v>
      </c>
      <c r="E2388" s="0" t="n">
        <v>0</v>
      </c>
      <c r="F2388" s="46" t="s">
        <v>1269</v>
      </c>
      <c r="I2388" s="46" t="s">
        <v>152</v>
      </c>
      <c r="L2388" s="0" t="n">
        <v>76</v>
      </c>
      <c r="U2388" s="0" t="n">
        <v>472</v>
      </c>
      <c r="V2388" s="0" t="n">
        <v>1</v>
      </c>
      <c r="W2388" s="51" t="n">
        <v>46234</v>
      </c>
      <c r="X2388" s="46" t="n">
        <f aca="false">IF(I2388="Male",0,1)</f>
        <v>1</v>
      </c>
      <c r="Y2388" s="46" t="n">
        <f aca="false">IF(OR(I2388="DNB",I2388="Dry DNB"),1,0)</f>
        <v>0</v>
      </c>
      <c r="Z2388" s="46" t="n">
        <f aca="false">IF(ISNUMBER(W2388),A2388-W2388,"")</f>
        <v>75</v>
      </c>
      <c r="AA2388" s="46" t="n">
        <f aca="false">MATCH(A2388,DATAS,0)</f>
        <v>1</v>
      </c>
      <c r="AB2388" s="46" t="n">
        <f aca="false">IF(AND(E2388&gt;0,OR(AND(B2388&gt;=1,B2388&lt;=6),B2388=10)),1,0)</f>
        <v>0</v>
      </c>
      <c r="AC2388" s="46" t="n">
        <f aca="false">IF(AND(E2388&gt;0,B2388=10),1,0)</f>
        <v>0</v>
      </c>
      <c r="AD2388" s="0" t="str">
        <f aca="false">IF(AND(C2387=C2388,AA2387=AA2388-1),AB2387,"")</f>
        <v/>
      </c>
      <c r="AE2388" s="0" t="str">
        <f aca="false">IF(AND(C2387=C2388,AA2387=AA2388-1),AC2387,"")</f>
        <v/>
      </c>
      <c r="AF2388" s="0" t="str">
        <f aca="false">IF(AA2388=1,"",IF(AND(AB2388=1,AD2388&lt;&gt;1),1,0))</f>
        <v/>
      </c>
      <c r="AG2388" s="0" t="str">
        <f aca="false">IF(AA2388=1,"",IF(AND(AC2388=1,AE2388&lt;&gt;1),1,0))</f>
        <v/>
      </c>
      <c r="AH2388" s="51" t="str">
        <f aca="false">IF(AND(E2388&gt;0,AA2388&lt;1,NOT(AND(C2389=C2388,AA2389=AA2388+1))),INDEX(DATAS,AA2388+1),"")</f>
        <v/>
      </c>
      <c r="AI2388" s="51" t="str">
        <f aca="false">IF(AND(AC2388=1,AA2388&lt;1),IF(AND(C2389=C2388,AA2389=AA2388+1),IF(AC2389=1,"",INDEX(DATAS,AA2388+1)),INDEX(DATAS,AA2388+1)),"")</f>
        <v/>
      </c>
    </row>
    <row r="2389" customFormat="false" ht="15" hidden="false" customHeight="false" outlineLevel="0" collapsed="false">
      <c r="A2389" s="51" t="n">
        <v>46309</v>
      </c>
      <c r="B2389" s="0" t="n">
        <v>8</v>
      </c>
      <c r="C2389" s="0" t="n">
        <v>6694</v>
      </c>
      <c r="E2389" s="0" t="n">
        <v>0</v>
      </c>
      <c r="F2389" s="46" t="s">
        <v>1269</v>
      </c>
      <c r="I2389" s="46" t="s">
        <v>152</v>
      </c>
      <c r="L2389" s="0" t="n">
        <v>64</v>
      </c>
      <c r="U2389" s="0" t="n">
        <v>472</v>
      </c>
      <c r="V2389" s="0" t="n">
        <v>1</v>
      </c>
      <c r="W2389" s="51" t="n">
        <v>46246</v>
      </c>
      <c r="X2389" s="46" t="n">
        <f aca="false">IF(I2389="Male",0,1)</f>
        <v>1</v>
      </c>
      <c r="Y2389" s="46" t="n">
        <f aca="false">IF(OR(I2389="DNB",I2389="Dry DNB"),1,0)</f>
        <v>0</v>
      </c>
      <c r="Z2389" s="46" t="n">
        <f aca="false">IF(ISNUMBER(W2389),A2389-W2389,"")</f>
        <v>63</v>
      </c>
      <c r="AA2389" s="46" t="n">
        <f aca="false">MATCH(A2389,DATAS,0)</f>
        <v>1</v>
      </c>
      <c r="AB2389" s="46" t="n">
        <f aca="false">IF(AND(E2389&gt;0,OR(AND(B2389&gt;=1,B2389&lt;=6),B2389=10)),1,0)</f>
        <v>0</v>
      </c>
      <c r="AC2389" s="46" t="n">
        <f aca="false">IF(AND(E2389&gt;0,B2389=10),1,0)</f>
        <v>0</v>
      </c>
      <c r="AD2389" s="0" t="str">
        <f aca="false">IF(AND(C2388=C2389,AA2388=AA2389-1),AB2388,"")</f>
        <v/>
      </c>
      <c r="AE2389" s="0" t="str">
        <f aca="false">IF(AND(C2388=C2389,AA2388=AA2389-1),AC2388,"")</f>
        <v/>
      </c>
      <c r="AF2389" s="0" t="str">
        <f aca="false">IF(AA2389=1,"",IF(AND(AB2389=1,AD2389&lt;&gt;1),1,0))</f>
        <v/>
      </c>
      <c r="AG2389" s="0" t="str">
        <f aca="false">IF(AA2389=1,"",IF(AND(AC2389=1,AE2389&lt;&gt;1),1,0))</f>
        <v/>
      </c>
      <c r="AH2389" s="51" t="str">
        <f aca="false">IF(AND(E2389&gt;0,AA2389&lt;1,NOT(AND(C2390=C2389,AA2390=AA2389+1))),INDEX(DATAS,AA2389+1),"")</f>
        <v/>
      </c>
      <c r="AI2389" s="51" t="str">
        <f aca="false">IF(AND(AC2389=1,AA2389&lt;1),IF(AND(C2390=C2389,AA2390=AA2389+1),IF(AC2390=1,"",INDEX(DATAS,AA2389+1)),INDEX(DATAS,AA2389+1)),"")</f>
        <v/>
      </c>
    </row>
    <row r="2390" customFormat="false" ht="15" hidden="false" customHeight="false" outlineLevel="0" collapsed="false">
      <c r="A2390" s="51" t="n">
        <v>46309</v>
      </c>
      <c r="B2390" s="0" t="n">
        <v>8</v>
      </c>
      <c r="C2390" s="0" t="n">
        <v>6695</v>
      </c>
      <c r="E2390" s="0" t="n">
        <v>0</v>
      </c>
      <c r="F2390" s="46" t="s">
        <v>1269</v>
      </c>
      <c r="I2390" s="46" t="s">
        <v>152</v>
      </c>
      <c r="L2390" s="0" t="n">
        <v>55</v>
      </c>
      <c r="U2390" s="0" t="n">
        <v>472</v>
      </c>
      <c r="V2390" s="0" t="n">
        <v>1</v>
      </c>
      <c r="W2390" s="51" t="n">
        <v>46255</v>
      </c>
      <c r="X2390" s="46" t="n">
        <f aca="false">IF(I2390="Male",0,1)</f>
        <v>1</v>
      </c>
      <c r="Y2390" s="46" t="n">
        <f aca="false">IF(OR(I2390="DNB",I2390="Dry DNB"),1,0)</f>
        <v>0</v>
      </c>
      <c r="Z2390" s="46" t="n">
        <f aca="false">IF(ISNUMBER(W2390),A2390-W2390,"")</f>
        <v>54</v>
      </c>
      <c r="AA2390" s="46" t="n">
        <f aca="false">MATCH(A2390,DATAS,0)</f>
        <v>1</v>
      </c>
      <c r="AB2390" s="46" t="n">
        <f aca="false">IF(AND(E2390&gt;0,OR(AND(B2390&gt;=1,B2390&lt;=6),B2390=10)),1,0)</f>
        <v>0</v>
      </c>
      <c r="AC2390" s="46" t="n">
        <f aca="false">IF(AND(E2390&gt;0,B2390=10),1,0)</f>
        <v>0</v>
      </c>
      <c r="AD2390" s="0" t="str">
        <f aca="false">IF(AND(C2389=C2390,AA2389=AA2390-1),AB2389,"")</f>
        <v/>
      </c>
      <c r="AE2390" s="0" t="str">
        <f aca="false">IF(AND(C2389=C2390,AA2389=AA2390-1),AC2389,"")</f>
        <v/>
      </c>
      <c r="AF2390" s="0" t="str">
        <f aca="false">IF(AA2390=1,"",IF(AND(AB2390=1,AD2390&lt;&gt;1),1,0))</f>
        <v/>
      </c>
      <c r="AG2390" s="0" t="str">
        <f aca="false">IF(AA2390=1,"",IF(AND(AC2390=1,AE2390&lt;&gt;1),1,0))</f>
        <v/>
      </c>
      <c r="AH2390" s="51" t="str">
        <f aca="false">IF(AND(E2390&gt;0,AA2390&lt;1,NOT(AND(C2391=C2390,AA2391=AA2390+1))),INDEX(DATAS,AA2390+1),"")</f>
        <v/>
      </c>
      <c r="AI2390" s="51" t="str">
        <f aca="false">IF(AND(AC2390=1,AA2390&lt;1),IF(AND(C2391=C2390,AA2391=AA2390+1),IF(AC2391=1,"",INDEX(DATAS,AA2390+1)),INDEX(DATAS,AA2390+1)),"")</f>
        <v/>
      </c>
    </row>
    <row r="2391" customFormat="false" ht="15" hidden="false" customHeight="false" outlineLevel="0" collapsed="false">
      <c r="A2391" s="51" t="n">
        <v>46309</v>
      </c>
      <c r="B2391" s="0" t="n">
        <v>8</v>
      </c>
      <c r="C2391" s="0" t="n">
        <v>6696</v>
      </c>
      <c r="E2391" s="0" t="n">
        <v>0</v>
      </c>
      <c r="F2391" s="46" t="s">
        <v>1269</v>
      </c>
      <c r="I2391" s="46" t="s">
        <v>152</v>
      </c>
      <c r="L2391" s="0" t="n">
        <v>81</v>
      </c>
      <c r="U2391" s="0" t="n">
        <v>472</v>
      </c>
      <c r="V2391" s="0" t="n">
        <v>1</v>
      </c>
      <c r="W2391" s="51" t="n">
        <v>46229</v>
      </c>
      <c r="X2391" s="46" t="n">
        <f aca="false">IF(I2391="Male",0,1)</f>
        <v>1</v>
      </c>
      <c r="Y2391" s="46" t="n">
        <f aca="false">IF(OR(I2391="DNB",I2391="Dry DNB"),1,0)</f>
        <v>0</v>
      </c>
      <c r="Z2391" s="46" t="n">
        <f aca="false">IF(ISNUMBER(W2391),A2391-W2391,"")</f>
        <v>80</v>
      </c>
      <c r="AA2391" s="46" t="n">
        <f aca="false">MATCH(A2391,DATAS,0)</f>
        <v>1</v>
      </c>
      <c r="AB2391" s="46" t="n">
        <f aca="false">IF(AND(E2391&gt;0,OR(AND(B2391&gt;=1,B2391&lt;=6),B2391=10)),1,0)</f>
        <v>0</v>
      </c>
      <c r="AC2391" s="46" t="n">
        <f aca="false">IF(AND(E2391&gt;0,B2391=10),1,0)</f>
        <v>0</v>
      </c>
      <c r="AD2391" s="0" t="str">
        <f aca="false">IF(AND(C2390=C2391,AA2390=AA2391-1),AB2390,"")</f>
        <v/>
      </c>
      <c r="AE2391" s="0" t="str">
        <f aca="false">IF(AND(C2390=C2391,AA2390=AA2391-1),AC2390,"")</f>
        <v/>
      </c>
      <c r="AF2391" s="0" t="str">
        <f aca="false">IF(AA2391=1,"",IF(AND(AB2391=1,AD2391&lt;&gt;1),1,0))</f>
        <v/>
      </c>
      <c r="AG2391" s="0" t="str">
        <f aca="false">IF(AA2391=1,"",IF(AND(AC2391=1,AE2391&lt;&gt;1),1,0))</f>
        <v/>
      </c>
      <c r="AH2391" s="51" t="str">
        <f aca="false">IF(AND(E2391&gt;0,AA2391&lt;1,NOT(AND(C2392=C2391,AA2392=AA2391+1))),INDEX(DATAS,AA2391+1),"")</f>
        <v/>
      </c>
      <c r="AI2391" s="51" t="str">
        <f aca="false">IF(AND(AC2391=1,AA2391&lt;1),IF(AND(C2392=C2391,AA2392=AA2391+1),IF(AC2392=1,"",INDEX(DATAS,AA2391+1)),INDEX(DATAS,AA2391+1)),"")</f>
        <v/>
      </c>
    </row>
    <row r="2392" customFormat="false" ht="15" hidden="false" customHeight="false" outlineLevel="0" collapsed="false">
      <c r="A2392" s="51" t="n">
        <v>46309</v>
      </c>
      <c r="B2392" s="0" t="n">
        <v>8</v>
      </c>
      <c r="C2392" s="0" t="n">
        <v>6697</v>
      </c>
      <c r="E2392" s="0" t="n">
        <v>0</v>
      </c>
      <c r="F2392" s="46" t="s">
        <v>1270</v>
      </c>
      <c r="I2392" s="46" t="s">
        <v>152</v>
      </c>
      <c r="L2392" s="0" t="n">
        <v>72</v>
      </c>
      <c r="U2392" s="0" t="n">
        <v>471</v>
      </c>
      <c r="V2392" s="0" t="n">
        <v>1</v>
      </c>
      <c r="W2392" s="51" t="n">
        <v>46238</v>
      </c>
      <c r="X2392" s="46" t="n">
        <f aca="false">IF(I2392="Male",0,1)</f>
        <v>1</v>
      </c>
      <c r="Y2392" s="46" t="n">
        <f aca="false">IF(OR(I2392="DNB",I2392="Dry DNB"),1,0)</f>
        <v>0</v>
      </c>
      <c r="Z2392" s="46" t="n">
        <f aca="false">IF(ISNUMBER(W2392),A2392-W2392,"")</f>
        <v>71</v>
      </c>
      <c r="AA2392" s="46" t="n">
        <f aca="false">MATCH(A2392,DATAS,0)</f>
        <v>1</v>
      </c>
      <c r="AB2392" s="46" t="n">
        <f aca="false">IF(AND(E2392&gt;0,OR(AND(B2392&gt;=1,B2392&lt;=6),B2392=10)),1,0)</f>
        <v>0</v>
      </c>
      <c r="AC2392" s="46" t="n">
        <f aca="false">IF(AND(E2392&gt;0,B2392=10),1,0)</f>
        <v>0</v>
      </c>
      <c r="AD2392" s="0" t="str">
        <f aca="false">IF(AND(C2391=C2392,AA2391=AA2392-1),AB2391,"")</f>
        <v/>
      </c>
      <c r="AE2392" s="0" t="str">
        <f aca="false">IF(AND(C2391=C2392,AA2391=AA2392-1),AC2391,"")</f>
        <v/>
      </c>
      <c r="AF2392" s="0" t="str">
        <f aca="false">IF(AA2392=1,"",IF(AND(AB2392=1,AD2392&lt;&gt;1),1,0))</f>
        <v/>
      </c>
      <c r="AG2392" s="0" t="str">
        <f aca="false">IF(AA2392=1,"",IF(AND(AC2392=1,AE2392&lt;&gt;1),1,0))</f>
        <v/>
      </c>
      <c r="AH2392" s="51" t="str">
        <f aca="false">IF(AND(E2392&gt;0,AA2392&lt;1,NOT(AND(C2393=C2392,AA2393=AA2392+1))),INDEX(DATAS,AA2392+1),"")</f>
        <v/>
      </c>
      <c r="AI2392" s="51" t="str">
        <f aca="false">IF(AND(AC2392=1,AA2392&lt;1),IF(AND(C2393=C2392,AA2393=AA2392+1),IF(AC2393=1,"",INDEX(DATAS,AA2392+1)),INDEX(DATAS,AA2392+1)),"")</f>
        <v/>
      </c>
    </row>
    <row r="2393" customFormat="false" ht="15" hidden="false" customHeight="false" outlineLevel="0" collapsed="false">
      <c r="A2393" s="51" t="n">
        <v>46309</v>
      </c>
      <c r="B2393" s="0" t="n">
        <v>11</v>
      </c>
      <c r="C2393" s="0" t="n">
        <v>6698</v>
      </c>
      <c r="E2393" s="0" t="n">
        <v>0</v>
      </c>
      <c r="F2393" s="46" t="s">
        <v>1270</v>
      </c>
      <c r="I2393" s="46" t="s">
        <v>181</v>
      </c>
      <c r="U2393" s="0" t="n">
        <v>471</v>
      </c>
      <c r="V2393" s="0" t="n">
        <v>4</v>
      </c>
      <c r="W2393" s="51" t="n">
        <v>46303</v>
      </c>
      <c r="X2393" s="46" t="n">
        <f aca="false">IF(I2393="Male",0,1)</f>
        <v>1</v>
      </c>
      <c r="Y2393" s="46" t="n">
        <f aca="false">IF(OR(I2393="DNB",I2393="Dry DNB"),1,0)</f>
        <v>0</v>
      </c>
      <c r="Z2393" s="46" t="n">
        <f aca="false">IF(ISNUMBER(W2393),A2393-W2393,"")</f>
        <v>6</v>
      </c>
      <c r="AA2393" s="46" t="n">
        <f aca="false">MATCH(A2393,DATAS,0)</f>
        <v>1</v>
      </c>
      <c r="AB2393" s="46" t="n">
        <f aca="false">IF(AND(E2393&gt;0,OR(AND(B2393&gt;=1,B2393&lt;=6),B2393=10)),1,0)</f>
        <v>0</v>
      </c>
      <c r="AC2393" s="46" t="n">
        <f aca="false">IF(AND(E2393&gt;0,B2393=10),1,0)</f>
        <v>0</v>
      </c>
      <c r="AD2393" s="0" t="str">
        <f aca="false">IF(AND(C2392=C2393,AA2392=AA2393-1),AB2392,"")</f>
        <v/>
      </c>
      <c r="AE2393" s="0" t="str">
        <f aca="false">IF(AND(C2392=C2393,AA2392=AA2393-1),AC2392,"")</f>
        <v/>
      </c>
      <c r="AF2393" s="0" t="str">
        <f aca="false">IF(AA2393=1,"",IF(AND(AB2393=1,AD2393&lt;&gt;1),1,0))</f>
        <v/>
      </c>
      <c r="AG2393" s="0" t="str">
        <f aca="false">IF(AA2393=1,"",IF(AND(AC2393=1,AE2393&lt;&gt;1),1,0))</f>
        <v/>
      </c>
      <c r="AH2393" s="51" t="str">
        <f aca="false">IF(AND(E2393&gt;0,AA2393&lt;1,NOT(AND(C2394=C2393,AA2394=AA2393+1))),INDEX(DATAS,AA2393+1),"")</f>
        <v/>
      </c>
      <c r="AI2393" s="51" t="str">
        <f aca="false">IF(AND(AC2393=1,AA2393&lt;1),IF(AND(C2394=C2393,AA2394=AA2393+1),IF(AC2394=1,"",INDEX(DATAS,AA2393+1)),INDEX(DATAS,AA2393+1)),"")</f>
        <v/>
      </c>
    </row>
    <row r="2394" customFormat="false" ht="15" hidden="false" customHeight="false" outlineLevel="0" collapsed="false">
      <c r="A2394" s="51" t="n">
        <v>46309</v>
      </c>
      <c r="B2394" s="0" t="n">
        <v>11</v>
      </c>
      <c r="C2394" s="0" t="n">
        <v>6700</v>
      </c>
      <c r="E2394" s="0" t="n">
        <v>0</v>
      </c>
      <c r="F2394" s="46" t="s">
        <v>1270</v>
      </c>
      <c r="I2394" s="46" t="s">
        <v>181</v>
      </c>
      <c r="U2394" s="0" t="n">
        <v>471</v>
      </c>
      <c r="V2394" s="0" t="n">
        <v>2</v>
      </c>
      <c r="W2394" s="51" t="n">
        <v>46296</v>
      </c>
      <c r="X2394" s="46" t="n">
        <f aca="false">IF(I2394="Male",0,1)</f>
        <v>1</v>
      </c>
      <c r="Y2394" s="46" t="n">
        <f aca="false">IF(OR(I2394="DNB",I2394="Dry DNB"),1,0)</f>
        <v>0</v>
      </c>
      <c r="Z2394" s="46" t="n">
        <f aca="false">IF(ISNUMBER(W2394),A2394-W2394,"")</f>
        <v>13</v>
      </c>
      <c r="AA2394" s="46" t="n">
        <f aca="false">MATCH(A2394,DATAS,0)</f>
        <v>1</v>
      </c>
      <c r="AB2394" s="46" t="n">
        <f aca="false">IF(AND(E2394&gt;0,OR(AND(B2394&gt;=1,B2394&lt;=6),B2394=10)),1,0)</f>
        <v>0</v>
      </c>
      <c r="AC2394" s="46" t="n">
        <f aca="false">IF(AND(E2394&gt;0,B2394=10),1,0)</f>
        <v>0</v>
      </c>
      <c r="AD2394" s="0" t="str">
        <f aca="false">IF(AND(C2393=C2394,AA2393=AA2394-1),AB2393,"")</f>
        <v/>
      </c>
      <c r="AE2394" s="0" t="str">
        <f aca="false">IF(AND(C2393=C2394,AA2393=AA2394-1),AC2393,"")</f>
        <v/>
      </c>
      <c r="AF2394" s="0" t="str">
        <f aca="false">IF(AA2394=1,"",IF(AND(AB2394=1,AD2394&lt;&gt;1),1,0))</f>
        <v/>
      </c>
      <c r="AG2394" s="0" t="str">
        <f aca="false">IF(AA2394=1,"",IF(AND(AC2394=1,AE2394&lt;&gt;1),1,0))</f>
        <v/>
      </c>
      <c r="AH2394" s="51" t="str">
        <f aca="false">IF(AND(E2394&gt;0,AA2394&lt;1,NOT(AND(C2395=C2394,AA2395=AA2394+1))),INDEX(DATAS,AA2394+1),"")</f>
        <v/>
      </c>
      <c r="AI2394" s="51" t="str">
        <f aca="false">IF(AND(AC2394=1,AA2394&lt;1),IF(AND(C2395=C2394,AA2395=AA2394+1),IF(AC2395=1,"",INDEX(DATAS,AA2394+1)),INDEX(DATAS,AA2394+1)),"")</f>
        <v/>
      </c>
    </row>
    <row r="2395" customFormat="false" ht="15" hidden="false" customHeight="false" outlineLevel="0" collapsed="false">
      <c r="A2395" s="51" t="n">
        <v>46309</v>
      </c>
      <c r="B2395" s="0" t="n">
        <v>8</v>
      </c>
      <c r="C2395" s="0" t="n">
        <v>6701</v>
      </c>
      <c r="E2395" s="0" t="n">
        <v>0</v>
      </c>
      <c r="F2395" s="46" t="s">
        <v>1271</v>
      </c>
      <c r="I2395" s="46" t="s">
        <v>152</v>
      </c>
      <c r="L2395" s="0" t="n">
        <v>63</v>
      </c>
      <c r="U2395" s="0" t="n">
        <v>470</v>
      </c>
      <c r="V2395" s="0" t="n">
        <v>1</v>
      </c>
      <c r="W2395" s="51" t="n">
        <v>46247</v>
      </c>
      <c r="X2395" s="46" t="n">
        <f aca="false">IF(I2395="Male",0,1)</f>
        <v>1</v>
      </c>
      <c r="Y2395" s="46" t="n">
        <f aca="false">IF(OR(I2395="DNB",I2395="Dry DNB"),1,0)</f>
        <v>0</v>
      </c>
      <c r="Z2395" s="46" t="n">
        <f aca="false">IF(ISNUMBER(W2395),A2395-W2395,"")</f>
        <v>62</v>
      </c>
      <c r="AA2395" s="46" t="n">
        <f aca="false">MATCH(A2395,DATAS,0)</f>
        <v>1</v>
      </c>
      <c r="AB2395" s="46" t="n">
        <f aca="false">IF(AND(E2395&gt;0,OR(AND(B2395&gt;=1,B2395&lt;=6),B2395=10)),1,0)</f>
        <v>0</v>
      </c>
      <c r="AC2395" s="46" t="n">
        <f aca="false">IF(AND(E2395&gt;0,B2395=10),1,0)</f>
        <v>0</v>
      </c>
      <c r="AD2395" s="0" t="str">
        <f aca="false">IF(AND(C2394=C2395,AA2394=AA2395-1),AB2394,"")</f>
        <v/>
      </c>
      <c r="AE2395" s="0" t="str">
        <f aca="false">IF(AND(C2394=C2395,AA2394=AA2395-1),AC2394,"")</f>
        <v/>
      </c>
      <c r="AF2395" s="0" t="str">
        <f aca="false">IF(AA2395=1,"",IF(AND(AB2395=1,AD2395&lt;&gt;1),1,0))</f>
        <v/>
      </c>
      <c r="AG2395" s="0" t="str">
        <f aca="false">IF(AA2395=1,"",IF(AND(AC2395=1,AE2395&lt;&gt;1),1,0))</f>
        <v/>
      </c>
      <c r="AH2395" s="51" t="str">
        <f aca="false">IF(AND(E2395&gt;0,AA2395&lt;1,NOT(AND(C2396=C2395,AA2396=AA2395+1))),INDEX(DATAS,AA2395+1),"")</f>
        <v/>
      </c>
      <c r="AI2395" s="51" t="str">
        <f aca="false">IF(AND(AC2395=1,AA2395&lt;1),IF(AND(C2396=C2395,AA2396=AA2395+1),IF(AC2396=1,"",INDEX(DATAS,AA2395+1)),INDEX(DATAS,AA2395+1)),"")</f>
        <v/>
      </c>
    </row>
    <row r="2396" customFormat="false" ht="15" hidden="false" customHeight="false" outlineLevel="0" collapsed="false">
      <c r="A2396" s="51" t="n">
        <v>46309</v>
      </c>
      <c r="B2396" s="0" t="n">
        <v>11</v>
      </c>
      <c r="C2396" s="0" t="n">
        <v>6702</v>
      </c>
      <c r="E2396" s="0" t="n">
        <v>0</v>
      </c>
      <c r="F2396" s="46" t="s">
        <v>1271</v>
      </c>
      <c r="I2396" s="46" t="s">
        <v>181</v>
      </c>
      <c r="U2396" s="0" t="n">
        <v>470</v>
      </c>
      <c r="V2396" s="0" t="n">
        <v>2</v>
      </c>
      <c r="W2396" s="51" t="n">
        <v>46303</v>
      </c>
      <c r="X2396" s="46" t="n">
        <f aca="false">IF(I2396="Male",0,1)</f>
        <v>1</v>
      </c>
      <c r="Y2396" s="46" t="n">
        <f aca="false">IF(OR(I2396="DNB",I2396="Dry DNB"),1,0)</f>
        <v>0</v>
      </c>
      <c r="Z2396" s="46" t="n">
        <f aca="false">IF(ISNUMBER(W2396),A2396-W2396,"")</f>
        <v>6</v>
      </c>
      <c r="AA2396" s="46" t="n">
        <f aca="false">MATCH(A2396,DATAS,0)</f>
        <v>1</v>
      </c>
      <c r="AB2396" s="46" t="n">
        <f aca="false">IF(AND(E2396&gt;0,OR(AND(B2396&gt;=1,B2396&lt;=6),B2396=10)),1,0)</f>
        <v>0</v>
      </c>
      <c r="AC2396" s="46" t="n">
        <f aca="false">IF(AND(E2396&gt;0,B2396=10),1,0)</f>
        <v>0</v>
      </c>
      <c r="AD2396" s="0" t="str">
        <f aca="false">IF(AND(C2395=C2396,AA2395=AA2396-1),AB2395,"")</f>
        <v/>
      </c>
      <c r="AE2396" s="0" t="str">
        <f aca="false">IF(AND(C2395=C2396,AA2395=AA2396-1),AC2395,"")</f>
        <v/>
      </c>
      <c r="AF2396" s="0" t="str">
        <f aca="false">IF(AA2396=1,"",IF(AND(AB2396=1,AD2396&lt;&gt;1),1,0))</f>
        <v/>
      </c>
      <c r="AG2396" s="0" t="str">
        <f aca="false">IF(AA2396=1,"",IF(AND(AC2396=1,AE2396&lt;&gt;1),1,0))</f>
        <v/>
      </c>
      <c r="AH2396" s="51" t="str">
        <f aca="false">IF(AND(E2396&gt;0,AA2396&lt;1,NOT(AND(C2397=C2396,AA2397=AA2396+1))),INDEX(DATAS,AA2396+1),"")</f>
        <v/>
      </c>
      <c r="AI2396" s="51" t="str">
        <f aca="false">IF(AND(AC2396=1,AA2396&lt;1),IF(AND(C2397=C2396,AA2397=AA2396+1),IF(AC2397=1,"",INDEX(DATAS,AA2396+1)),INDEX(DATAS,AA2396+1)),"")</f>
        <v/>
      </c>
    </row>
    <row r="2397" customFormat="false" ht="15" hidden="false" customHeight="false" outlineLevel="0" collapsed="false">
      <c r="A2397" s="51" t="n">
        <v>46309</v>
      </c>
      <c r="B2397" s="0" t="n">
        <v>11</v>
      </c>
      <c r="C2397" s="0" t="n">
        <v>6703</v>
      </c>
      <c r="E2397" s="0" t="n">
        <v>0</v>
      </c>
      <c r="F2397" s="46" t="s">
        <v>1271</v>
      </c>
      <c r="I2397" s="46" t="s">
        <v>181</v>
      </c>
      <c r="U2397" s="0" t="n">
        <v>470</v>
      </c>
      <c r="V2397" s="0" t="n">
        <v>1</v>
      </c>
      <c r="W2397" s="51" t="n">
        <v>46289</v>
      </c>
      <c r="X2397" s="46" t="n">
        <f aca="false">IF(I2397="Male",0,1)</f>
        <v>1</v>
      </c>
      <c r="Y2397" s="46" t="n">
        <f aca="false">IF(OR(I2397="DNB",I2397="Dry DNB"),1,0)</f>
        <v>0</v>
      </c>
      <c r="Z2397" s="46" t="n">
        <f aca="false">IF(ISNUMBER(W2397),A2397-W2397,"")</f>
        <v>20</v>
      </c>
      <c r="AA2397" s="46" t="n">
        <f aca="false">MATCH(A2397,DATAS,0)</f>
        <v>1</v>
      </c>
      <c r="AB2397" s="46" t="n">
        <f aca="false">IF(AND(E2397&gt;0,OR(AND(B2397&gt;=1,B2397&lt;=6),B2397=10)),1,0)</f>
        <v>0</v>
      </c>
      <c r="AC2397" s="46" t="n">
        <f aca="false">IF(AND(E2397&gt;0,B2397=10),1,0)</f>
        <v>0</v>
      </c>
      <c r="AD2397" s="0" t="str">
        <f aca="false">IF(AND(C2396=C2397,AA2396=AA2397-1),AB2396,"")</f>
        <v/>
      </c>
      <c r="AE2397" s="0" t="str">
        <f aca="false">IF(AND(C2396=C2397,AA2396=AA2397-1),AC2396,"")</f>
        <v/>
      </c>
      <c r="AF2397" s="0" t="str">
        <f aca="false">IF(AA2397=1,"",IF(AND(AB2397=1,AD2397&lt;&gt;1),1,0))</f>
        <v/>
      </c>
      <c r="AG2397" s="0" t="str">
        <f aca="false">IF(AA2397=1,"",IF(AND(AC2397=1,AE2397&lt;&gt;1),1,0))</f>
        <v/>
      </c>
      <c r="AH2397" s="51" t="str">
        <f aca="false">IF(AND(E2397&gt;0,AA2397&lt;1,NOT(AND(C2398=C2397,AA2398=AA2397+1))),INDEX(DATAS,AA2397+1),"")</f>
        <v/>
      </c>
      <c r="AI2397" s="51" t="str">
        <f aca="false">IF(AND(AC2397=1,AA2397&lt;1),IF(AND(C2398=C2397,AA2398=AA2397+1),IF(AC2398=1,"",INDEX(DATAS,AA2397+1)),INDEX(DATAS,AA2397+1)),"")</f>
        <v/>
      </c>
    </row>
    <row r="2398" customFormat="false" ht="15" hidden="false" customHeight="false" outlineLevel="0" collapsed="false">
      <c r="A2398" s="51" t="n">
        <v>46309</v>
      </c>
      <c r="B2398" s="0" t="n">
        <v>8</v>
      </c>
      <c r="C2398" s="0" t="n">
        <v>6704</v>
      </c>
      <c r="E2398" s="0" t="n">
        <v>0</v>
      </c>
      <c r="F2398" s="46" t="s">
        <v>1272</v>
      </c>
      <c r="I2398" s="46" t="s">
        <v>189</v>
      </c>
      <c r="U2398" s="0" t="n">
        <v>469</v>
      </c>
      <c r="V2398" s="0" t="n">
        <v>1</v>
      </c>
      <c r="W2398" s="51" t="n">
        <v>46237</v>
      </c>
      <c r="X2398" s="46" t="n">
        <f aca="false">IF(I2398="Male",0,1)</f>
        <v>1</v>
      </c>
      <c r="Y2398" s="46" t="n">
        <f aca="false">IF(OR(I2398="DNB",I2398="Dry DNB"),1,0)</f>
        <v>0</v>
      </c>
      <c r="Z2398" s="46" t="n">
        <f aca="false">IF(ISNUMBER(W2398),A2398-W2398,"")</f>
        <v>72</v>
      </c>
      <c r="AA2398" s="46" t="n">
        <f aca="false">MATCH(A2398,DATAS,0)</f>
        <v>1</v>
      </c>
      <c r="AB2398" s="46" t="n">
        <f aca="false">IF(AND(E2398&gt;0,OR(AND(B2398&gt;=1,B2398&lt;=6),B2398=10)),1,0)</f>
        <v>0</v>
      </c>
      <c r="AC2398" s="46" t="n">
        <f aca="false">IF(AND(E2398&gt;0,B2398=10),1,0)</f>
        <v>0</v>
      </c>
      <c r="AD2398" s="0" t="str">
        <f aca="false">IF(AND(C2397=C2398,AA2397=AA2398-1),AB2397,"")</f>
        <v/>
      </c>
      <c r="AE2398" s="0" t="str">
        <f aca="false">IF(AND(C2397=C2398,AA2397=AA2398-1),AC2397,"")</f>
        <v/>
      </c>
      <c r="AF2398" s="0" t="str">
        <f aca="false">IF(AA2398=1,"",IF(AND(AB2398=1,AD2398&lt;&gt;1),1,0))</f>
        <v/>
      </c>
      <c r="AG2398" s="0" t="str">
        <f aca="false">IF(AA2398=1,"",IF(AND(AC2398=1,AE2398&lt;&gt;1),1,0))</f>
        <v/>
      </c>
      <c r="AH2398" s="51" t="str">
        <f aca="false">IF(AND(E2398&gt;0,AA2398&lt;1,NOT(AND(C2399=C2398,AA2399=AA2398+1))),INDEX(DATAS,AA2398+1),"")</f>
        <v/>
      </c>
      <c r="AI2398" s="51" t="str">
        <f aca="false">IF(AND(AC2398=1,AA2398&lt;1),IF(AND(C2399=C2398,AA2399=AA2398+1),IF(AC2399=1,"",INDEX(DATAS,AA2398+1)),INDEX(DATAS,AA2398+1)),"")</f>
        <v/>
      </c>
    </row>
    <row r="2399" customFormat="false" ht="15" hidden="false" customHeight="false" outlineLevel="0" collapsed="false">
      <c r="A2399" s="51" t="n">
        <v>46309</v>
      </c>
      <c r="B2399" s="0" t="n">
        <v>11</v>
      </c>
      <c r="C2399" s="0" t="n">
        <v>6705</v>
      </c>
      <c r="E2399" s="0" t="n">
        <v>0</v>
      </c>
      <c r="F2399" s="46" t="s">
        <v>1272</v>
      </c>
      <c r="I2399" s="46" t="s">
        <v>181</v>
      </c>
      <c r="U2399" s="0" t="n">
        <v>469</v>
      </c>
      <c r="V2399" s="0" t="n">
        <v>3</v>
      </c>
      <c r="W2399" s="51" t="n">
        <v>46287</v>
      </c>
      <c r="X2399" s="46" t="n">
        <f aca="false">IF(I2399="Male",0,1)</f>
        <v>1</v>
      </c>
      <c r="Y2399" s="46" t="n">
        <f aca="false">IF(OR(I2399="DNB",I2399="Dry DNB"),1,0)</f>
        <v>0</v>
      </c>
      <c r="Z2399" s="46" t="n">
        <f aca="false">IF(ISNUMBER(W2399),A2399-W2399,"")</f>
        <v>22</v>
      </c>
      <c r="AA2399" s="46" t="n">
        <f aca="false">MATCH(A2399,DATAS,0)</f>
        <v>1</v>
      </c>
      <c r="AB2399" s="46" t="n">
        <f aca="false">IF(AND(E2399&gt;0,OR(AND(B2399&gt;=1,B2399&lt;=6),B2399=10)),1,0)</f>
        <v>0</v>
      </c>
      <c r="AC2399" s="46" t="n">
        <f aca="false">IF(AND(E2399&gt;0,B2399=10),1,0)</f>
        <v>0</v>
      </c>
      <c r="AD2399" s="0" t="str">
        <f aca="false">IF(AND(C2398=C2399,AA2398=AA2399-1),AB2398,"")</f>
        <v/>
      </c>
      <c r="AE2399" s="0" t="str">
        <f aca="false">IF(AND(C2398=C2399,AA2398=AA2399-1),AC2398,"")</f>
        <v/>
      </c>
      <c r="AF2399" s="0" t="str">
        <f aca="false">IF(AA2399=1,"",IF(AND(AB2399=1,AD2399&lt;&gt;1),1,0))</f>
        <v/>
      </c>
      <c r="AG2399" s="0" t="str">
        <f aca="false">IF(AA2399=1,"",IF(AND(AC2399=1,AE2399&lt;&gt;1),1,0))</f>
        <v/>
      </c>
      <c r="AH2399" s="51" t="str">
        <f aca="false">IF(AND(E2399&gt;0,AA2399&lt;1,NOT(AND(C2400=C2399,AA2400=AA2399+1))),INDEX(DATAS,AA2399+1),"")</f>
        <v/>
      </c>
      <c r="AI2399" s="51" t="str">
        <f aca="false">IF(AND(AC2399=1,AA2399&lt;1),IF(AND(C2400=C2399,AA2400=AA2399+1),IF(AC2400=1,"",INDEX(DATAS,AA2399+1)),INDEX(DATAS,AA2399+1)),"")</f>
        <v/>
      </c>
    </row>
    <row r="2400" customFormat="false" ht="15" hidden="false" customHeight="false" outlineLevel="0" collapsed="false">
      <c r="A2400" s="51" t="n">
        <v>46309</v>
      </c>
      <c r="B2400" s="0" t="n">
        <v>11</v>
      </c>
      <c r="C2400" s="0" t="n">
        <v>6706</v>
      </c>
      <c r="E2400" s="0" t="n">
        <v>0</v>
      </c>
      <c r="F2400" s="46" t="s">
        <v>1273</v>
      </c>
      <c r="I2400" s="46" t="s">
        <v>181</v>
      </c>
      <c r="U2400" s="0" t="n">
        <v>467</v>
      </c>
      <c r="V2400" s="0" t="n">
        <v>2</v>
      </c>
      <c r="W2400" s="51" t="n">
        <v>46290</v>
      </c>
      <c r="X2400" s="46" t="n">
        <f aca="false">IF(I2400="Male",0,1)</f>
        <v>1</v>
      </c>
      <c r="Y2400" s="46" t="n">
        <f aca="false">IF(OR(I2400="DNB",I2400="Dry DNB"),1,0)</f>
        <v>0</v>
      </c>
      <c r="Z2400" s="46" t="n">
        <f aca="false">IF(ISNUMBER(W2400),A2400-W2400,"")</f>
        <v>19</v>
      </c>
      <c r="AA2400" s="46" t="n">
        <f aca="false">MATCH(A2400,DATAS,0)</f>
        <v>1</v>
      </c>
      <c r="AB2400" s="46" t="n">
        <f aca="false">IF(AND(E2400&gt;0,OR(AND(B2400&gt;=1,B2400&lt;=6),B2400=10)),1,0)</f>
        <v>0</v>
      </c>
      <c r="AC2400" s="46" t="n">
        <f aca="false">IF(AND(E2400&gt;0,B2400=10),1,0)</f>
        <v>0</v>
      </c>
      <c r="AD2400" s="0" t="str">
        <f aca="false">IF(AND(C2399=C2400,AA2399=AA2400-1),AB2399,"")</f>
        <v/>
      </c>
      <c r="AE2400" s="0" t="str">
        <f aca="false">IF(AND(C2399=C2400,AA2399=AA2400-1),AC2399,"")</f>
        <v/>
      </c>
      <c r="AF2400" s="0" t="str">
        <f aca="false">IF(AA2400=1,"",IF(AND(AB2400=1,AD2400&lt;&gt;1),1,0))</f>
        <v/>
      </c>
      <c r="AG2400" s="0" t="str">
        <f aca="false">IF(AA2400=1,"",IF(AND(AC2400=1,AE2400&lt;&gt;1),1,0))</f>
        <v/>
      </c>
      <c r="AH2400" s="51" t="str">
        <f aca="false">IF(AND(E2400&gt;0,AA2400&lt;1,NOT(AND(C2401=C2400,AA2401=AA2400+1))),INDEX(DATAS,AA2400+1),"")</f>
        <v/>
      </c>
      <c r="AI2400" s="51" t="str">
        <f aca="false">IF(AND(AC2400=1,AA2400&lt;1),IF(AND(C2401=C2400,AA2401=AA2400+1),IF(AC2401=1,"",INDEX(DATAS,AA2400+1)),INDEX(DATAS,AA2400+1)),"")</f>
        <v/>
      </c>
    </row>
    <row r="2401" customFormat="false" ht="15" hidden="false" customHeight="false" outlineLevel="0" collapsed="false">
      <c r="A2401" s="51" t="n">
        <v>46309</v>
      </c>
      <c r="B2401" s="0" t="n">
        <v>8</v>
      </c>
      <c r="C2401" s="0" t="n">
        <v>6707</v>
      </c>
      <c r="E2401" s="0" t="n">
        <v>0</v>
      </c>
      <c r="F2401" s="46" t="s">
        <v>1273</v>
      </c>
      <c r="I2401" s="46" t="s">
        <v>152</v>
      </c>
      <c r="L2401" s="0" t="n">
        <v>48</v>
      </c>
      <c r="U2401" s="0" t="n">
        <v>467</v>
      </c>
      <c r="V2401" s="0" t="n">
        <v>2</v>
      </c>
      <c r="W2401" s="51" t="n">
        <v>46262</v>
      </c>
      <c r="X2401" s="46" t="n">
        <f aca="false">IF(I2401="Male",0,1)</f>
        <v>1</v>
      </c>
      <c r="Y2401" s="46" t="n">
        <f aca="false">IF(OR(I2401="DNB",I2401="Dry DNB"),1,0)</f>
        <v>0</v>
      </c>
      <c r="Z2401" s="46" t="n">
        <f aca="false">IF(ISNUMBER(W2401),A2401-W2401,"")</f>
        <v>47</v>
      </c>
      <c r="AA2401" s="46" t="n">
        <f aca="false">MATCH(A2401,DATAS,0)</f>
        <v>1</v>
      </c>
      <c r="AB2401" s="46" t="n">
        <f aca="false">IF(AND(E2401&gt;0,OR(AND(B2401&gt;=1,B2401&lt;=6),B2401=10)),1,0)</f>
        <v>0</v>
      </c>
      <c r="AC2401" s="46" t="n">
        <f aca="false">IF(AND(E2401&gt;0,B2401=10),1,0)</f>
        <v>0</v>
      </c>
      <c r="AD2401" s="0" t="str">
        <f aca="false">IF(AND(C2400=C2401,AA2400=AA2401-1),AB2400,"")</f>
        <v/>
      </c>
      <c r="AE2401" s="0" t="str">
        <f aca="false">IF(AND(C2400=C2401,AA2400=AA2401-1),AC2400,"")</f>
        <v/>
      </c>
      <c r="AF2401" s="0" t="str">
        <f aca="false">IF(AA2401=1,"",IF(AND(AB2401=1,AD2401&lt;&gt;1),1,0))</f>
        <v/>
      </c>
      <c r="AG2401" s="0" t="str">
        <f aca="false">IF(AA2401=1,"",IF(AND(AC2401=1,AE2401&lt;&gt;1),1,0))</f>
        <v/>
      </c>
      <c r="AH2401" s="51" t="str">
        <f aca="false">IF(AND(E2401&gt;0,AA2401&lt;1,NOT(AND(C2402=C2401,AA2402=AA2401+1))),INDEX(DATAS,AA2401+1),"")</f>
        <v/>
      </c>
      <c r="AI2401" s="51" t="str">
        <f aca="false">IF(AND(AC2401=1,AA2401&lt;1),IF(AND(C2402=C2401,AA2402=AA2401+1),IF(AC2402=1,"",INDEX(DATAS,AA2401+1)),INDEX(DATAS,AA2401+1)),"")</f>
        <v/>
      </c>
    </row>
    <row r="2402" customFormat="false" ht="15" hidden="false" customHeight="false" outlineLevel="0" collapsed="false">
      <c r="A2402" s="51" t="n">
        <v>46309</v>
      </c>
      <c r="B2402" s="0" t="n">
        <v>11</v>
      </c>
      <c r="C2402" s="0" t="n">
        <v>6708</v>
      </c>
      <c r="E2402" s="0" t="n">
        <v>0</v>
      </c>
      <c r="F2402" s="46" t="s">
        <v>1273</v>
      </c>
      <c r="I2402" s="46" t="s">
        <v>181</v>
      </c>
      <c r="U2402" s="0" t="n">
        <v>467</v>
      </c>
      <c r="V2402" s="0" t="n">
        <v>2</v>
      </c>
      <c r="W2402" s="51" t="n">
        <v>46291</v>
      </c>
      <c r="X2402" s="46" t="n">
        <f aca="false">IF(I2402="Male",0,1)</f>
        <v>1</v>
      </c>
      <c r="Y2402" s="46" t="n">
        <f aca="false">IF(OR(I2402="DNB",I2402="Dry DNB"),1,0)</f>
        <v>0</v>
      </c>
      <c r="Z2402" s="46" t="n">
        <f aca="false">IF(ISNUMBER(W2402),A2402-W2402,"")</f>
        <v>18</v>
      </c>
      <c r="AA2402" s="46" t="n">
        <f aca="false">MATCH(A2402,DATAS,0)</f>
        <v>1</v>
      </c>
      <c r="AB2402" s="46" t="n">
        <f aca="false">IF(AND(E2402&gt;0,OR(AND(B2402&gt;=1,B2402&lt;=6),B2402=10)),1,0)</f>
        <v>0</v>
      </c>
      <c r="AC2402" s="46" t="n">
        <f aca="false">IF(AND(E2402&gt;0,B2402=10),1,0)</f>
        <v>0</v>
      </c>
      <c r="AD2402" s="0" t="str">
        <f aca="false">IF(AND(C2401=C2402,AA2401=AA2402-1),AB2401,"")</f>
        <v/>
      </c>
      <c r="AE2402" s="0" t="str">
        <f aca="false">IF(AND(C2401=C2402,AA2401=AA2402-1),AC2401,"")</f>
        <v/>
      </c>
      <c r="AF2402" s="0" t="str">
        <f aca="false">IF(AA2402=1,"",IF(AND(AB2402=1,AD2402&lt;&gt;1),1,0))</f>
        <v/>
      </c>
      <c r="AG2402" s="0" t="str">
        <f aca="false">IF(AA2402=1,"",IF(AND(AC2402=1,AE2402&lt;&gt;1),1,0))</f>
        <v/>
      </c>
      <c r="AH2402" s="51" t="str">
        <f aca="false">IF(AND(E2402&gt;0,AA2402&lt;1,NOT(AND(C2403=C2402,AA2403=AA2402+1))),INDEX(DATAS,AA2402+1),"")</f>
        <v/>
      </c>
      <c r="AI2402" s="51" t="str">
        <f aca="false">IF(AND(AC2402=1,AA2402&lt;1),IF(AND(C2403=C2402,AA2403=AA2402+1),IF(AC2403=1,"",INDEX(DATAS,AA2402+1)),INDEX(DATAS,AA2402+1)),"")</f>
        <v/>
      </c>
    </row>
    <row r="2403" customFormat="false" ht="15" hidden="false" customHeight="false" outlineLevel="0" collapsed="false">
      <c r="A2403" s="51" t="n">
        <v>46309</v>
      </c>
      <c r="B2403" s="0" t="n">
        <v>11</v>
      </c>
      <c r="C2403" s="0" t="n">
        <v>6709</v>
      </c>
      <c r="E2403" s="0" t="n">
        <v>0</v>
      </c>
      <c r="F2403" s="46" t="s">
        <v>1273</v>
      </c>
      <c r="I2403" s="46" t="s">
        <v>181</v>
      </c>
      <c r="U2403" s="0" t="n">
        <v>467</v>
      </c>
      <c r="V2403" s="0" t="n">
        <v>1</v>
      </c>
      <c r="W2403" s="51" t="n">
        <v>46289</v>
      </c>
      <c r="X2403" s="46" t="n">
        <f aca="false">IF(I2403="Male",0,1)</f>
        <v>1</v>
      </c>
      <c r="Y2403" s="46" t="n">
        <f aca="false">IF(OR(I2403="DNB",I2403="Dry DNB"),1,0)</f>
        <v>0</v>
      </c>
      <c r="Z2403" s="46" t="n">
        <f aca="false">IF(ISNUMBER(W2403),A2403-W2403,"")</f>
        <v>20</v>
      </c>
      <c r="AA2403" s="46" t="n">
        <f aca="false">MATCH(A2403,DATAS,0)</f>
        <v>1</v>
      </c>
      <c r="AB2403" s="46" t="n">
        <f aca="false">IF(AND(E2403&gt;0,OR(AND(B2403&gt;=1,B2403&lt;=6),B2403=10)),1,0)</f>
        <v>0</v>
      </c>
      <c r="AC2403" s="46" t="n">
        <f aca="false">IF(AND(E2403&gt;0,B2403=10),1,0)</f>
        <v>0</v>
      </c>
      <c r="AD2403" s="0" t="str">
        <f aca="false">IF(AND(C2402=C2403,AA2402=AA2403-1),AB2402,"")</f>
        <v/>
      </c>
      <c r="AE2403" s="0" t="str">
        <f aca="false">IF(AND(C2402=C2403,AA2402=AA2403-1),AC2402,"")</f>
        <v/>
      </c>
      <c r="AF2403" s="0" t="str">
        <f aca="false">IF(AA2403=1,"",IF(AND(AB2403=1,AD2403&lt;&gt;1),1,0))</f>
        <v/>
      </c>
      <c r="AG2403" s="0" t="str">
        <f aca="false">IF(AA2403=1,"",IF(AND(AC2403=1,AE2403&lt;&gt;1),1,0))</f>
        <v/>
      </c>
      <c r="AH2403" s="51" t="str">
        <f aca="false">IF(AND(E2403&gt;0,AA2403&lt;1,NOT(AND(C2404=C2403,AA2404=AA2403+1))),INDEX(DATAS,AA2403+1),"")</f>
        <v/>
      </c>
      <c r="AI2403" s="51" t="str">
        <f aca="false">IF(AND(AC2403=1,AA2403&lt;1),IF(AND(C2404=C2403,AA2404=AA2403+1),IF(AC2404=1,"",INDEX(DATAS,AA2403+1)),INDEX(DATAS,AA2403+1)),"")</f>
        <v/>
      </c>
    </row>
    <row r="2404" customFormat="false" ht="15" hidden="false" customHeight="false" outlineLevel="0" collapsed="false">
      <c r="A2404" s="51" t="n">
        <v>46309</v>
      </c>
      <c r="B2404" s="0" t="n">
        <v>11</v>
      </c>
      <c r="C2404" s="0" t="n">
        <v>6710</v>
      </c>
      <c r="E2404" s="0" t="n">
        <v>0</v>
      </c>
      <c r="F2404" s="46" t="s">
        <v>1273</v>
      </c>
      <c r="I2404" s="46" t="s">
        <v>189</v>
      </c>
      <c r="U2404" s="0" t="n">
        <v>467</v>
      </c>
      <c r="V2404" s="0" t="n">
        <v>1</v>
      </c>
      <c r="W2404" s="51" t="n">
        <v>46282</v>
      </c>
      <c r="X2404" s="46" t="n">
        <f aca="false">IF(I2404="Male",0,1)</f>
        <v>1</v>
      </c>
      <c r="Y2404" s="46" t="n">
        <f aca="false">IF(OR(I2404="DNB",I2404="Dry DNB"),1,0)</f>
        <v>0</v>
      </c>
      <c r="Z2404" s="46" t="n">
        <f aca="false">IF(ISNUMBER(W2404),A2404-W2404,"")</f>
        <v>27</v>
      </c>
      <c r="AA2404" s="46" t="n">
        <f aca="false">MATCH(A2404,DATAS,0)</f>
        <v>1</v>
      </c>
      <c r="AB2404" s="46" t="n">
        <f aca="false">IF(AND(E2404&gt;0,OR(AND(B2404&gt;=1,B2404&lt;=6),B2404=10)),1,0)</f>
        <v>0</v>
      </c>
      <c r="AC2404" s="46" t="n">
        <f aca="false">IF(AND(E2404&gt;0,B2404=10),1,0)</f>
        <v>0</v>
      </c>
      <c r="AD2404" s="0" t="str">
        <f aca="false">IF(AND(C2403=C2404,AA2403=AA2404-1),AB2403,"")</f>
        <v/>
      </c>
      <c r="AE2404" s="0" t="str">
        <f aca="false">IF(AND(C2403=C2404,AA2403=AA2404-1),AC2403,"")</f>
        <v/>
      </c>
      <c r="AF2404" s="0" t="str">
        <f aca="false">IF(AA2404=1,"",IF(AND(AB2404=1,AD2404&lt;&gt;1),1,0))</f>
        <v/>
      </c>
      <c r="AG2404" s="0" t="str">
        <f aca="false">IF(AA2404=1,"",IF(AND(AC2404=1,AE2404&lt;&gt;1),1,0))</f>
        <v/>
      </c>
      <c r="AH2404" s="51" t="str">
        <f aca="false">IF(AND(E2404&gt;0,AA2404&lt;1,NOT(AND(C2405=C2404,AA2405=AA2404+1))),INDEX(DATAS,AA2404+1),"")</f>
        <v/>
      </c>
      <c r="AI2404" s="51" t="str">
        <f aca="false">IF(AND(AC2404=1,AA2404&lt;1),IF(AND(C2405=C2404,AA2405=AA2404+1),IF(AC2405=1,"",INDEX(DATAS,AA2404+1)),INDEX(DATAS,AA2404+1)),"")</f>
        <v/>
      </c>
    </row>
    <row r="2405" customFormat="false" ht="15" hidden="false" customHeight="false" outlineLevel="0" collapsed="false">
      <c r="A2405" s="51" t="n">
        <v>46309</v>
      </c>
      <c r="B2405" s="0" t="n">
        <v>11</v>
      </c>
      <c r="C2405" s="0" t="n">
        <v>6711</v>
      </c>
      <c r="E2405" s="0" t="n">
        <v>0</v>
      </c>
      <c r="F2405" s="46" t="s">
        <v>1273</v>
      </c>
      <c r="I2405" s="46" t="s">
        <v>181</v>
      </c>
      <c r="U2405" s="0" t="n">
        <v>467</v>
      </c>
      <c r="V2405" s="0" t="n">
        <v>4</v>
      </c>
      <c r="W2405" s="51" t="n">
        <v>46299</v>
      </c>
      <c r="X2405" s="46" t="n">
        <f aca="false">IF(I2405="Male",0,1)</f>
        <v>1</v>
      </c>
      <c r="Y2405" s="46" t="n">
        <f aca="false">IF(OR(I2405="DNB",I2405="Dry DNB"),1,0)</f>
        <v>0</v>
      </c>
      <c r="Z2405" s="46" t="n">
        <f aca="false">IF(ISNUMBER(W2405),A2405-W2405,"")</f>
        <v>10</v>
      </c>
      <c r="AA2405" s="46" t="n">
        <f aca="false">MATCH(A2405,DATAS,0)</f>
        <v>1</v>
      </c>
      <c r="AB2405" s="46" t="n">
        <f aca="false">IF(AND(E2405&gt;0,OR(AND(B2405&gt;=1,B2405&lt;=6),B2405=10)),1,0)</f>
        <v>0</v>
      </c>
      <c r="AC2405" s="46" t="n">
        <f aca="false">IF(AND(E2405&gt;0,B2405=10),1,0)</f>
        <v>0</v>
      </c>
      <c r="AD2405" s="0" t="str">
        <f aca="false">IF(AND(C2404=C2405,AA2404=AA2405-1),AB2404,"")</f>
        <v/>
      </c>
      <c r="AE2405" s="0" t="str">
        <f aca="false">IF(AND(C2404=C2405,AA2404=AA2405-1),AC2404,"")</f>
        <v/>
      </c>
      <c r="AF2405" s="0" t="str">
        <f aca="false">IF(AA2405=1,"",IF(AND(AB2405=1,AD2405&lt;&gt;1),1,0))</f>
        <v/>
      </c>
      <c r="AG2405" s="0" t="str">
        <f aca="false">IF(AA2405=1,"",IF(AND(AC2405=1,AE2405&lt;&gt;1),1,0))</f>
        <v/>
      </c>
      <c r="AH2405" s="51" t="str">
        <f aca="false">IF(AND(E2405&gt;0,AA2405&lt;1,NOT(AND(C2406=C2405,AA2406=AA2405+1))),INDEX(DATAS,AA2405+1),"")</f>
        <v/>
      </c>
      <c r="AI2405" s="51" t="str">
        <f aca="false">IF(AND(AC2405=1,AA2405&lt;1),IF(AND(C2406=C2405,AA2406=AA2405+1),IF(AC2406=1,"",INDEX(DATAS,AA2405+1)),INDEX(DATAS,AA2405+1)),"")</f>
        <v/>
      </c>
    </row>
    <row r="2406" customFormat="false" ht="15" hidden="false" customHeight="false" outlineLevel="0" collapsed="false">
      <c r="A2406" s="51" t="n">
        <v>46309</v>
      </c>
      <c r="B2406" s="0" t="n">
        <v>8</v>
      </c>
      <c r="C2406" s="0" t="n">
        <v>6712</v>
      </c>
      <c r="E2406" s="0" t="n">
        <v>0</v>
      </c>
      <c r="F2406" s="46" t="s">
        <v>1273</v>
      </c>
      <c r="I2406" s="46" t="s">
        <v>152</v>
      </c>
      <c r="L2406" s="0" t="n">
        <v>38</v>
      </c>
      <c r="U2406" s="0" t="n">
        <v>467</v>
      </c>
      <c r="V2406" s="0" t="n">
        <v>2</v>
      </c>
      <c r="W2406" s="51" t="n">
        <v>46272</v>
      </c>
      <c r="X2406" s="46" t="n">
        <f aca="false">IF(I2406="Male",0,1)</f>
        <v>1</v>
      </c>
      <c r="Y2406" s="46" t="n">
        <f aca="false">IF(OR(I2406="DNB",I2406="Dry DNB"),1,0)</f>
        <v>0</v>
      </c>
      <c r="Z2406" s="46" t="n">
        <f aca="false">IF(ISNUMBER(W2406),A2406-W2406,"")</f>
        <v>37</v>
      </c>
      <c r="AA2406" s="46" t="n">
        <f aca="false">MATCH(A2406,DATAS,0)</f>
        <v>1</v>
      </c>
      <c r="AB2406" s="46" t="n">
        <f aca="false">IF(AND(E2406&gt;0,OR(AND(B2406&gt;=1,B2406&lt;=6),B2406=10)),1,0)</f>
        <v>0</v>
      </c>
      <c r="AC2406" s="46" t="n">
        <f aca="false">IF(AND(E2406&gt;0,B2406=10),1,0)</f>
        <v>0</v>
      </c>
      <c r="AD2406" s="0" t="str">
        <f aca="false">IF(AND(C2405=C2406,AA2405=AA2406-1),AB2405,"")</f>
        <v/>
      </c>
      <c r="AE2406" s="0" t="str">
        <f aca="false">IF(AND(C2405=C2406,AA2405=AA2406-1),AC2405,"")</f>
        <v/>
      </c>
      <c r="AF2406" s="0" t="str">
        <f aca="false">IF(AA2406=1,"",IF(AND(AB2406=1,AD2406&lt;&gt;1),1,0))</f>
        <v/>
      </c>
      <c r="AG2406" s="0" t="str">
        <f aca="false">IF(AA2406=1,"",IF(AND(AC2406=1,AE2406&lt;&gt;1),1,0))</f>
        <v/>
      </c>
      <c r="AH2406" s="51" t="str">
        <f aca="false">IF(AND(E2406&gt;0,AA2406&lt;1,NOT(AND(C2407=C2406,AA2407=AA2406+1))),INDEX(DATAS,AA2406+1),"")</f>
        <v/>
      </c>
      <c r="AI2406" s="51" t="str">
        <f aca="false">IF(AND(AC2406=1,AA2406&lt;1),IF(AND(C2407=C2406,AA2407=AA2406+1),IF(AC2407=1,"",INDEX(DATAS,AA2406+1)),INDEX(DATAS,AA2406+1)),"")</f>
        <v/>
      </c>
    </row>
    <row r="2407" customFormat="false" ht="15" hidden="false" customHeight="false" outlineLevel="0" collapsed="false">
      <c r="A2407" s="51" t="n">
        <v>46309</v>
      </c>
      <c r="B2407" s="0" t="n">
        <v>11</v>
      </c>
      <c r="C2407" s="0" t="n">
        <v>6713</v>
      </c>
      <c r="E2407" s="0" t="n">
        <v>0</v>
      </c>
      <c r="F2407" s="46" t="s">
        <v>1273</v>
      </c>
      <c r="I2407" s="46" t="s">
        <v>181</v>
      </c>
      <c r="U2407" s="0" t="n">
        <v>467</v>
      </c>
      <c r="V2407" s="0" t="n">
        <v>2</v>
      </c>
      <c r="W2407" s="51" t="n">
        <v>46309</v>
      </c>
      <c r="X2407" s="46" t="n">
        <f aca="false">IF(I2407="Male",0,1)</f>
        <v>1</v>
      </c>
      <c r="Y2407" s="46" t="n">
        <f aca="false">IF(OR(I2407="DNB",I2407="Dry DNB"),1,0)</f>
        <v>0</v>
      </c>
      <c r="Z2407" s="46" t="n">
        <f aca="false">IF(ISNUMBER(W2407),A2407-W2407,"")</f>
        <v>0</v>
      </c>
      <c r="AA2407" s="46" t="n">
        <f aca="false">MATCH(A2407,DATAS,0)</f>
        <v>1</v>
      </c>
      <c r="AB2407" s="46" t="n">
        <f aca="false">IF(AND(E2407&gt;0,OR(AND(B2407&gt;=1,B2407&lt;=6),B2407=10)),1,0)</f>
        <v>0</v>
      </c>
      <c r="AC2407" s="46" t="n">
        <f aca="false">IF(AND(E2407&gt;0,B2407=10),1,0)</f>
        <v>0</v>
      </c>
      <c r="AD2407" s="0" t="str">
        <f aca="false">IF(AND(C2406=C2407,AA2406=AA2407-1),AB2406,"")</f>
        <v/>
      </c>
      <c r="AE2407" s="0" t="str">
        <f aca="false">IF(AND(C2406=C2407,AA2406=AA2407-1),AC2406,"")</f>
        <v/>
      </c>
      <c r="AF2407" s="0" t="str">
        <f aca="false">IF(AA2407=1,"",IF(AND(AB2407=1,AD2407&lt;&gt;1),1,0))</f>
        <v/>
      </c>
      <c r="AG2407" s="0" t="str">
        <f aca="false">IF(AA2407=1,"",IF(AND(AC2407=1,AE2407&lt;&gt;1),1,0))</f>
        <v/>
      </c>
      <c r="AH2407" s="51" t="str">
        <f aca="false">IF(AND(E2407&gt;0,AA2407&lt;1,NOT(AND(C2408=C2407,AA2408=AA2407+1))),INDEX(DATAS,AA2407+1),"")</f>
        <v/>
      </c>
      <c r="AI2407" s="51" t="str">
        <f aca="false">IF(AND(AC2407=1,AA2407&lt;1),IF(AND(C2408=C2407,AA2408=AA2407+1),IF(AC2408=1,"",INDEX(DATAS,AA2407+1)),INDEX(DATAS,AA2407+1)),"")</f>
        <v/>
      </c>
    </row>
    <row r="2408" customFormat="false" ht="15" hidden="false" customHeight="false" outlineLevel="0" collapsed="false">
      <c r="A2408" s="51" t="n">
        <v>46309</v>
      </c>
      <c r="B2408" s="0" t="n">
        <v>8</v>
      </c>
      <c r="C2408" s="0" t="n">
        <v>6715</v>
      </c>
      <c r="E2408" s="0" t="n">
        <v>0</v>
      </c>
      <c r="F2408" s="46" t="s">
        <v>1274</v>
      </c>
      <c r="I2408" s="46" t="s">
        <v>152</v>
      </c>
      <c r="L2408" s="0" t="n">
        <v>39</v>
      </c>
      <c r="U2408" s="0" t="n">
        <v>465</v>
      </c>
      <c r="V2408" s="0" t="n">
        <v>2</v>
      </c>
      <c r="W2408" s="51" t="n">
        <v>46271</v>
      </c>
      <c r="X2408" s="46" t="n">
        <f aca="false">IF(I2408="Male",0,1)</f>
        <v>1</v>
      </c>
      <c r="Y2408" s="46" t="n">
        <f aca="false">IF(OR(I2408="DNB",I2408="Dry DNB"),1,0)</f>
        <v>0</v>
      </c>
      <c r="Z2408" s="46" t="n">
        <f aca="false">IF(ISNUMBER(W2408),A2408-W2408,"")</f>
        <v>38</v>
      </c>
      <c r="AA2408" s="46" t="n">
        <f aca="false">MATCH(A2408,DATAS,0)</f>
        <v>1</v>
      </c>
      <c r="AB2408" s="46" t="n">
        <f aca="false">IF(AND(E2408&gt;0,OR(AND(B2408&gt;=1,B2408&lt;=6),B2408=10)),1,0)</f>
        <v>0</v>
      </c>
      <c r="AC2408" s="46" t="n">
        <f aca="false">IF(AND(E2408&gt;0,B2408=10),1,0)</f>
        <v>0</v>
      </c>
      <c r="AD2408" s="0" t="str">
        <f aca="false">IF(AND(C2407=C2408,AA2407=AA2408-1),AB2407,"")</f>
        <v/>
      </c>
      <c r="AE2408" s="0" t="str">
        <f aca="false">IF(AND(C2407=C2408,AA2407=AA2408-1),AC2407,"")</f>
        <v/>
      </c>
      <c r="AF2408" s="0" t="str">
        <f aca="false">IF(AA2408=1,"",IF(AND(AB2408=1,AD2408&lt;&gt;1),1,0))</f>
        <v/>
      </c>
      <c r="AG2408" s="0" t="str">
        <f aca="false">IF(AA2408=1,"",IF(AND(AC2408=1,AE2408&lt;&gt;1),1,0))</f>
        <v/>
      </c>
      <c r="AH2408" s="51" t="str">
        <f aca="false">IF(AND(E2408&gt;0,AA2408&lt;1,NOT(AND(C2409=C2408,AA2409=AA2408+1))),INDEX(DATAS,AA2408+1),"")</f>
        <v/>
      </c>
      <c r="AI2408" s="51" t="str">
        <f aca="false">IF(AND(AC2408=1,AA2408&lt;1),IF(AND(C2409=C2408,AA2409=AA2408+1),IF(AC2409=1,"",INDEX(DATAS,AA2408+1)),INDEX(DATAS,AA2408+1)),"")</f>
        <v/>
      </c>
    </row>
    <row r="2409" customFormat="false" ht="15" hidden="false" customHeight="false" outlineLevel="0" collapsed="false">
      <c r="A2409" s="51" t="n">
        <v>46309</v>
      </c>
      <c r="B2409" s="0" t="n">
        <v>8</v>
      </c>
      <c r="C2409" s="0" t="n">
        <v>6716</v>
      </c>
      <c r="E2409" s="0" t="n">
        <v>0</v>
      </c>
      <c r="F2409" s="46" t="s">
        <v>1274</v>
      </c>
      <c r="I2409" s="46" t="s">
        <v>152</v>
      </c>
      <c r="L2409" s="0" t="n">
        <v>70</v>
      </c>
      <c r="U2409" s="0" t="n">
        <v>465</v>
      </c>
      <c r="V2409" s="0" t="n">
        <v>1</v>
      </c>
      <c r="W2409" s="51" t="n">
        <v>46240</v>
      </c>
      <c r="X2409" s="46" t="n">
        <f aca="false">IF(I2409="Male",0,1)</f>
        <v>1</v>
      </c>
      <c r="Y2409" s="46" t="n">
        <f aca="false">IF(OR(I2409="DNB",I2409="Dry DNB"),1,0)</f>
        <v>0</v>
      </c>
      <c r="Z2409" s="46" t="n">
        <f aca="false">IF(ISNUMBER(W2409),A2409-W2409,"")</f>
        <v>69</v>
      </c>
      <c r="AA2409" s="46" t="n">
        <f aca="false">MATCH(A2409,DATAS,0)</f>
        <v>1</v>
      </c>
      <c r="AB2409" s="46" t="n">
        <f aca="false">IF(AND(E2409&gt;0,OR(AND(B2409&gt;=1,B2409&lt;=6),B2409=10)),1,0)</f>
        <v>0</v>
      </c>
      <c r="AC2409" s="46" t="n">
        <f aca="false">IF(AND(E2409&gt;0,B2409=10),1,0)</f>
        <v>0</v>
      </c>
      <c r="AD2409" s="0" t="str">
        <f aca="false">IF(AND(C2408=C2409,AA2408=AA2409-1),AB2408,"")</f>
        <v/>
      </c>
      <c r="AE2409" s="0" t="str">
        <f aca="false">IF(AND(C2408=C2409,AA2408=AA2409-1),AC2408,"")</f>
        <v/>
      </c>
      <c r="AF2409" s="0" t="str">
        <f aca="false">IF(AA2409=1,"",IF(AND(AB2409=1,AD2409&lt;&gt;1),1,0))</f>
        <v/>
      </c>
      <c r="AG2409" s="0" t="str">
        <f aca="false">IF(AA2409=1,"",IF(AND(AC2409=1,AE2409&lt;&gt;1),1,0))</f>
        <v/>
      </c>
      <c r="AH2409" s="51" t="str">
        <f aca="false">IF(AND(E2409&gt;0,AA2409&lt;1,NOT(AND(C2410=C2409,AA2410=AA2409+1))),INDEX(DATAS,AA2409+1),"")</f>
        <v/>
      </c>
      <c r="AI2409" s="51" t="str">
        <f aca="false">IF(AND(AC2409=1,AA2409&lt;1),IF(AND(C2410=C2409,AA2410=AA2409+1),IF(AC2410=1,"",INDEX(DATAS,AA2409+1)),INDEX(DATAS,AA2409+1)),"")</f>
        <v/>
      </c>
    </row>
    <row r="2410" customFormat="false" ht="15" hidden="false" customHeight="false" outlineLevel="0" collapsed="false">
      <c r="A2410" s="51" t="n">
        <v>46309</v>
      </c>
      <c r="B2410" s="0" t="n">
        <v>8</v>
      </c>
      <c r="C2410" s="0" t="n">
        <v>6717</v>
      </c>
      <c r="E2410" s="0" t="n">
        <v>0</v>
      </c>
      <c r="F2410" s="46" t="s">
        <v>1274</v>
      </c>
      <c r="I2410" s="46" t="s">
        <v>152</v>
      </c>
      <c r="L2410" s="0" t="n">
        <v>73</v>
      </c>
      <c r="U2410" s="0" t="n">
        <v>465</v>
      </c>
      <c r="V2410" s="0" t="n">
        <v>1</v>
      </c>
      <c r="W2410" s="51" t="n">
        <v>46237</v>
      </c>
      <c r="X2410" s="46" t="n">
        <f aca="false">IF(I2410="Male",0,1)</f>
        <v>1</v>
      </c>
      <c r="Y2410" s="46" t="n">
        <f aca="false">IF(OR(I2410="DNB",I2410="Dry DNB"),1,0)</f>
        <v>0</v>
      </c>
      <c r="Z2410" s="46" t="n">
        <f aca="false">IF(ISNUMBER(W2410),A2410-W2410,"")</f>
        <v>72</v>
      </c>
      <c r="AA2410" s="46" t="n">
        <f aca="false">MATCH(A2410,DATAS,0)</f>
        <v>1</v>
      </c>
      <c r="AB2410" s="46" t="n">
        <f aca="false">IF(AND(E2410&gt;0,OR(AND(B2410&gt;=1,B2410&lt;=6),B2410=10)),1,0)</f>
        <v>0</v>
      </c>
      <c r="AC2410" s="46" t="n">
        <f aca="false">IF(AND(E2410&gt;0,B2410=10),1,0)</f>
        <v>0</v>
      </c>
      <c r="AD2410" s="0" t="str">
        <f aca="false">IF(AND(C2409=C2410,AA2409=AA2410-1),AB2409,"")</f>
        <v/>
      </c>
      <c r="AE2410" s="0" t="str">
        <f aca="false">IF(AND(C2409=C2410,AA2409=AA2410-1),AC2409,"")</f>
        <v/>
      </c>
      <c r="AF2410" s="0" t="str">
        <f aca="false">IF(AA2410=1,"",IF(AND(AB2410=1,AD2410&lt;&gt;1),1,0))</f>
        <v/>
      </c>
      <c r="AG2410" s="0" t="str">
        <f aca="false">IF(AA2410=1,"",IF(AND(AC2410=1,AE2410&lt;&gt;1),1,0))</f>
        <v/>
      </c>
      <c r="AH2410" s="51" t="str">
        <f aca="false">IF(AND(E2410&gt;0,AA2410&lt;1,NOT(AND(C2411=C2410,AA2411=AA2410+1))),INDEX(DATAS,AA2410+1),"")</f>
        <v/>
      </c>
      <c r="AI2410" s="51" t="str">
        <f aca="false">IF(AND(AC2410=1,AA2410&lt;1),IF(AND(C2411=C2410,AA2411=AA2410+1),IF(AC2411=1,"",INDEX(DATAS,AA2410+1)),INDEX(DATAS,AA2410+1)),"")</f>
        <v/>
      </c>
    </row>
    <row r="2411" customFormat="false" ht="15" hidden="false" customHeight="false" outlineLevel="0" collapsed="false">
      <c r="A2411" s="51" t="n">
        <v>46309</v>
      </c>
      <c r="B2411" s="0" t="n">
        <v>8</v>
      </c>
      <c r="C2411" s="0" t="n">
        <v>6718</v>
      </c>
      <c r="E2411" s="0" t="n">
        <v>0</v>
      </c>
      <c r="F2411" s="46" t="s">
        <v>1274</v>
      </c>
      <c r="I2411" s="46" t="s">
        <v>152</v>
      </c>
      <c r="L2411" s="0" t="n">
        <v>61</v>
      </c>
      <c r="U2411" s="0" t="n">
        <v>465</v>
      </c>
      <c r="V2411" s="0" t="n">
        <v>1</v>
      </c>
      <c r="W2411" s="51" t="n">
        <v>46249</v>
      </c>
      <c r="X2411" s="46" t="n">
        <f aca="false">IF(I2411="Male",0,1)</f>
        <v>1</v>
      </c>
      <c r="Y2411" s="46" t="n">
        <f aca="false">IF(OR(I2411="DNB",I2411="Dry DNB"),1,0)</f>
        <v>0</v>
      </c>
      <c r="Z2411" s="46" t="n">
        <f aca="false">IF(ISNUMBER(W2411),A2411-W2411,"")</f>
        <v>60</v>
      </c>
      <c r="AA2411" s="46" t="n">
        <f aca="false">MATCH(A2411,DATAS,0)</f>
        <v>1</v>
      </c>
      <c r="AB2411" s="46" t="n">
        <f aca="false">IF(AND(E2411&gt;0,OR(AND(B2411&gt;=1,B2411&lt;=6),B2411=10)),1,0)</f>
        <v>0</v>
      </c>
      <c r="AC2411" s="46" t="n">
        <f aca="false">IF(AND(E2411&gt;0,B2411=10),1,0)</f>
        <v>0</v>
      </c>
      <c r="AD2411" s="0" t="str">
        <f aca="false">IF(AND(C2410=C2411,AA2410=AA2411-1),AB2410,"")</f>
        <v/>
      </c>
      <c r="AE2411" s="0" t="str">
        <f aca="false">IF(AND(C2410=C2411,AA2410=AA2411-1),AC2410,"")</f>
        <v/>
      </c>
      <c r="AF2411" s="0" t="str">
        <f aca="false">IF(AA2411=1,"",IF(AND(AB2411=1,AD2411&lt;&gt;1),1,0))</f>
        <v/>
      </c>
      <c r="AG2411" s="0" t="str">
        <f aca="false">IF(AA2411=1,"",IF(AND(AC2411=1,AE2411&lt;&gt;1),1,0))</f>
        <v/>
      </c>
      <c r="AH2411" s="51" t="str">
        <f aca="false">IF(AND(E2411&gt;0,AA2411&lt;1,NOT(AND(C2412=C2411,AA2412=AA2411+1))),INDEX(DATAS,AA2411+1),"")</f>
        <v/>
      </c>
      <c r="AI2411" s="51" t="str">
        <f aca="false">IF(AND(AC2411=1,AA2411&lt;1),IF(AND(C2412=C2411,AA2412=AA2411+1),IF(AC2412=1,"",INDEX(DATAS,AA2411+1)),INDEX(DATAS,AA2411+1)),"")</f>
        <v/>
      </c>
    </row>
    <row r="2412" customFormat="false" ht="15" hidden="false" customHeight="false" outlineLevel="0" collapsed="false">
      <c r="A2412" s="51" t="n">
        <v>46309</v>
      </c>
      <c r="B2412" s="0" t="n">
        <v>8</v>
      </c>
      <c r="C2412" s="0" t="n">
        <v>6720</v>
      </c>
      <c r="E2412" s="0" t="n">
        <v>0</v>
      </c>
      <c r="F2412" s="46" t="s">
        <v>1274</v>
      </c>
      <c r="I2412" s="46" t="s">
        <v>152</v>
      </c>
      <c r="L2412" s="0" t="n">
        <v>63</v>
      </c>
      <c r="U2412" s="0" t="n">
        <v>465</v>
      </c>
      <c r="V2412" s="0" t="n">
        <v>1</v>
      </c>
      <c r="W2412" s="51" t="n">
        <v>46247</v>
      </c>
      <c r="X2412" s="46" t="n">
        <f aca="false">IF(I2412="Male",0,1)</f>
        <v>1</v>
      </c>
      <c r="Y2412" s="46" t="n">
        <f aca="false">IF(OR(I2412="DNB",I2412="Dry DNB"),1,0)</f>
        <v>0</v>
      </c>
      <c r="Z2412" s="46" t="n">
        <f aca="false">IF(ISNUMBER(W2412),A2412-W2412,"")</f>
        <v>62</v>
      </c>
      <c r="AA2412" s="46" t="n">
        <f aca="false">MATCH(A2412,DATAS,0)</f>
        <v>1</v>
      </c>
      <c r="AB2412" s="46" t="n">
        <f aca="false">IF(AND(E2412&gt;0,OR(AND(B2412&gt;=1,B2412&lt;=6),B2412=10)),1,0)</f>
        <v>0</v>
      </c>
      <c r="AC2412" s="46" t="n">
        <f aca="false">IF(AND(E2412&gt;0,B2412=10),1,0)</f>
        <v>0</v>
      </c>
      <c r="AD2412" s="0" t="str">
        <f aca="false">IF(AND(C2411=C2412,AA2411=AA2412-1),AB2411,"")</f>
        <v/>
      </c>
      <c r="AE2412" s="0" t="str">
        <f aca="false">IF(AND(C2411=C2412,AA2411=AA2412-1),AC2411,"")</f>
        <v/>
      </c>
      <c r="AF2412" s="0" t="str">
        <f aca="false">IF(AA2412=1,"",IF(AND(AB2412=1,AD2412&lt;&gt;1),1,0))</f>
        <v/>
      </c>
      <c r="AG2412" s="0" t="str">
        <f aca="false">IF(AA2412=1,"",IF(AND(AC2412=1,AE2412&lt;&gt;1),1,0))</f>
        <v/>
      </c>
      <c r="AH2412" s="51" t="str">
        <f aca="false">IF(AND(E2412&gt;0,AA2412&lt;1,NOT(AND(C2413=C2412,AA2413=AA2412+1))),INDEX(DATAS,AA2412+1),"")</f>
        <v/>
      </c>
      <c r="AI2412" s="51" t="str">
        <f aca="false">IF(AND(AC2412=1,AA2412&lt;1),IF(AND(C2413=C2412,AA2413=AA2412+1),IF(AC2413=1,"",INDEX(DATAS,AA2412+1)),INDEX(DATAS,AA2412+1)),"")</f>
        <v/>
      </c>
    </row>
    <row r="2413" customFormat="false" ht="15" hidden="false" customHeight="false" outlineLevel="0" collapsed="false">
      <c r="A2413" s="51" t="n">
        <v>46309</v>
      </c>
      <c r="B2413" s="0" t="n">
        <v>8</v>
      </c>
      <c r="C2413" s="0" t="n">
        <v>6721</v>
      </c>
      <c r="E2413" s="0" t="n">
        <v>0</v>
      </c>
      <c r="F2413" s="46" t="s">
        <v>1274</v>
      </c>
      <c r="I2413" s="46" t="s">
        <v>152</v>
      </c>
      <c r="L2413" s="0" t="n">
        <v>53</v>
      </c>
      <c r="U2413" s="0" t="n">
        <v>465</v>
      </c>
      <c r="V2413" s="0" t="n">
        <v>1</v>
      </c>
      <c r="W2413" s="51" t="n">
        <v>46257</v>
      </c>
      <c r="X2413" s="46" t="n">
        <f aca="false">IF(I2413="Male",0,1)</f>
        <v>1</v>
      </c>
      <c r="Y2413" s="46" t="n">
        <f aca="false">IF(OR(I2413="DNB",I2413="Dry DNB"),1,0)</f>
        <v>0</v>
      </c>
      <c r="Z2413" s="46" t="n">
        <f aca="false">IF(ISNUMBER(W2413),A2413-W2413,"")</f>
        <v>52</v>
      </c>
      <c r="AA2413" s="46" t="n">
        <f aca="false">MATCH(A2413,DATAS,0)</f>
        <v>1</v>
      </c>
      <c r="AB2413" s="46" t="n">
        <f aca="false">IF(AND(E2413&gt;0,OR(AND(B2413&gt;=1,B2413&lt;=6),B2413=10)),1,0)</f>
        <v>0</v>
      </c>
      <c r="AC2413" s="46" t="n">
        <f aca="false">IF(AND(E2413&gt;0,B2413=10),1,0)</f>
        <v>0</v>
      </c>
      <c r="AD2413" s="0" t="str">
        <f aca="false">IF(AND(C2412=C2413,AA2412=AA2413-1),AB2412,"")</f>
        <v/>
      </c>
      <c r="AE2413" s="0" t="str">
        <f aca="false">IF(AND(C2412=C2413,AA2412=AA2413-1),AC2412,"")</f>
        <v/>
      </c>
      <c r="AF2413" s="0" t="str">
        <f aca="false">IF(AA2413=1,"",IF(AND(AB2413=1,AD2413&lt;&gt;1),1,0))</f>
        <v/>
      </c>
      <c r="AG2413" s="0" t="str">
        <f aca="false">IF(AA2413=1,"",IF(AND(AC2413=1,AE2413&lt;&gt;1),1,0))</f>
        <v/>
      </c>
      <c r="AH2413" s="51" t="str">
        <f aca="false">IF(AND(E2413&gt;0,AA2413&lt;1,NOT(AND(C2414=C2413,AA2414=AA2413+1))),INDEX(DATAS,AA2413+1),"")</f>
        <v/>
      </c>
      <c r="AI2413" s="51" t="str">
        <f aca="false">IF(AND(AC2413=1,AA2413&lt;1),IF(AND(C2414=C2413,AA2414=AA2413+1),IF(AC2414=1,"",INDEX(DATAS,AA2413+1)),INDEX(DATAS,AA2413+1)),"")</f>
        <v/>
      </c>
    </row>
    <row r="2414" customFormat="false" ht="15" hidden="false" customHeight="false" outlineLevel="0" collapsed="false">
      <c r="A2414" s="51" t="n">
        <v>46309</v>
      </c>
      <c r="B2414" s="0" t="n">
        <v>8</v>
      </c>
      <c r="C2414" s="0" t="n">
        <v>6722</v>
      </c>
      <c r="E2414" s="0" t="n">
        <v>0</v>
      </c>
      <c r="F2414" s="46" t="s">
        <v>1274</v>
      </c>
      <c r="I2414" s="46" t="s">
        <v>152</v>
      </c>
      <c r="L2414" s="0" t="n">
        <v>71</v>
      </c>
      <c r="U2414" s="0" t="n">
        <v>465</v>
      </c>
      <c r="V2414" s="0" t="n">
        <v>1</v>
      </c>
      <c r="W2414" s="51" t="n">
        <v>46239</v>
      </c>
      <c r="X2414" s="46" t="n">
        <f aca="false">IF(I2414="Male",0,1)</f>
        <v>1</v>
      </c>
      <c r="Y2414" s="46" t="n">
        <f aca="false">IF(OR(I2414="DNB",I2414="Dry DNB"),1,0)</f>
        <v>0</v>
      </c>
      <c r="Z2414" s="46" t="n">
        <f aca="false">IF(ISNUMBER(W2414),A2414-W2414,"")</f>
        <v>70</v>
      </c>
      <c r="AA2414" s="46" t="n">
        <f aca="false">MATCH(A2414,DATAS,0)</f>
        <v>1</v>
      </c>
      <c r="AB2414" s="46" t="n">
        <f aca="false">IF(AND(E2414&gt;0,OR(AND(B2414&gt;=1,B2414&lt;=6),B2414=10)),1,0)</f>
        <v>0</v>
      </c>
      <c r="AC2414" s="46" t="n">
        <f aca="false">IF(AND(E2414&gt;0,B2414=10),1,0)</f>
        <v>0</v>
      </c>
      <c r="AD2414" s="0" t="str">
        <f aca="false">IF(AND(C2413=C2414,AA2413=AA2414-1),AB2413,"")</f>
        <v/>
      </c>
      <c r="AE2414" s="0" t="str">
        <f aca="false">IF(AND(C2413=C2414,AA2413=AA2414-1),AC2413,"")</f>
        <v/>
      </c>
      <c r="AF2414" s="0" t="str">
        <f aca="false">IF(AA2414=1,"",IF(AND(AB2414=1,AD2414&lt;&gt;1),1,0))</f>
        <v/>
      </c>
      <c r="AG2414" s="0" t="str">
        <f aca="false">IF(AA2414=1,"",IF(AND(AC2414=1,AE2414&lt;&gt;1),1,0))</f>
        <v/>
      </c>
      <c r="AH2414" s="51" t="str">
        <f aca="false">IF(AND(E2414&gt;0,AA2414&lt;1,NOT(AND(C2415=C2414,AA2415=AA2414+1))),INDEX(DATAS,AA2414+1),"")</f>
        <v/>
      </c>
      <c r="AI2414" s="51" t="str">
        <f aca="false">IF(AND(AC2414=1,AA2414&lt;1),IF(AND(C2415=C2414,AA2415=AA2414+1),IF(AC2415=1,"",INDEX(DATAS,AA2414+1)),INDEX(DATAS,AA2414+1)),"")</f>
        <v/>
      </c>
    </row>
    <row r="2415" customFormat="false" ht="15" hidden="false" customHeight="false" outlineLevel="0" collapsed="false">
      <c r="A2415" s="51" t="n">
        <v>46309</v>
      </c>
      <c r="B2415" s="0" t="n">
        <v>8</v>
      </c>
      <c r="C2415" s="0" t="n">
        <v>6723</v>
      </c>
      <c r="E2415" s="0" t="n">
        <v>0</v>
      </c>
      <c r="F2415" s="46" t="s">
        <v>1274</v>
      </c>
      <c r="I2415" s="46" t="s">
        <v>152</v>
      </c>
      <c r="L2415" s="0" t="n">
        <v>55</v>
      </c>
      <c r="U2415" s="0" t="n">
        <v>465</v>
      </c>
      <c r="V2415" s="0" t="n">
        <v>1</v>
      </c>
      <c r="W2415" s="51" t="n">
        <v>46255</v>
      </c>
      <c r="X2415" s="46" t="n">
        <f aca="false">IF(I2415="Male",0,1)</f>
        <v>1</v>
      </c>
      <c r="Y2415" s="46" t="n">
        <f aca="false">IF(OR(I2415="DNB",I2415="Dry DNB"),1,0)</f>
        <v>0</v>
      </c>
      <c r="Z2415" s="46" t="n">
        <f aca="false">IF(ISNUMBER(W2415),A2415-W2415,"")</f>
        <v>54</v>
      </c>
      <c r="AA2415" s="46" t="n">
        <f aca="false">MATCH(A2415,DATAS,0)</f>
        <v>1</v>
      </c>
      <c r="AB2415" s="46" t="n">
        <f aca="false">IF(AND(E2415&gt;0,OR(AND(B2415&gt;=1,B2415&lt;=6),B2415=10)),1,0)</f>
        <v>0</v>
      </c>
      <c r="AC2415" s="46" t="n">
        <f aca="false">IF(AND(E2415&gt;0,B2415=10),1,0)</f>
        <v>0</v>
      </c>
      <c r="AD2415" s="0" t="str">
        <f aca="false">IF(AND(C2414=C2415,AA2414=AA2415-1),AB2414,"")</f>
        <v/>
      </c>
      <c r="AE2415" s="0" t="str">
        <f aca="false">IF(AND(C2414=C2415,AA2414=AA2415-1),AC2414,"")</f>
        <v/>
      </c>
      <c r="AF2415" s="0" t="str">
        <f aca="false">IF(AA2415=1,"",IF(AND(AB2415=1,AD2415&lt;&gt;1),1,0))</f>
        <v/>
      </c>
      <c r="AG2415" s="0" t="str">
        <f aca="false">IF(AA2415=1,"",IF(AND(AC2415=1,AE2415&lt;&gt;1),1,0))</f>
        <v/>
      </c>
      <c r="AH2415" s="51" t="str">
        <f aca="false">IF(AND(E2415&gt;0,AA2415&lt;1,NOT(AND(C2416=C2415,AA2416=AA2415+1))),INDEX(DATAS,AA2415+1),"")</f>
        <v/>
      </c>
      <c r="AI2415" s="51" t="str">
        <f aca="false">IF(AND(AC2415=1,AA2415&lt;1),IF(AND(C2416=C2415,AA2416=AA2415+1),IF(AC2416=1,"",INDEX(DATAS,AA2415+1)),INDEX(DATAS,AA2415+1)),"")</f>
        <v/>
      </c>
    </row>
    <row r="2416" customFormat="false" ht="15" hidden="false" customHeight="false" outlineLevel="0" collapsed="false">
      <c r="A2416" s="51" t="n">
        <v>46309</v>
      </c>
      <c r="B2416" s="0" t="n">
        <v>11</v>
      </c>
      <c r="C2416" s="0" t="n">
        <v>6725</v>
      </c>
      <c r="E2416" s="0" t="n">
        <v>0</v>
      </c>
      <c r="F2416" s="46" t="s">
        <v>1275</v>
      </c>
      <c r="I2416" s="46" t="s">
        <v>181</v>
      </c>
      <c r="U2416" s="0" t="n">
        <v>464</v>
      </c>
      <c r="V2416" s="0" t="n">
        <v>4</v>
      </c>
      <c r="W2416" s="51" t="n">
        <v>46305</v>
      </c>
      <c r="X2416" s="46" t="n">
        <f aca="false">IF(I2416="Male",0,1)</f>
        <v>1</v>
      </c>
      <c r="Y2416" s="46" t="n">
        <f aca="false">IF(OR(I2416="DNB",I2416="Dry DNB"),1,0)</f>
        <v>0</v>
      </c>
      <c r="Z2416" s="46" t="n">
        <f aca="false">IF(ISNUMBER(W2416),A2416-W2416,"")</f>
        <v>4</v>
      </c>
      <c r="AA2416" s="46" t="n">
        <f aca="false">MATCH(A2416,DATAS,0)</f>
        <v>1</v>
      </c>
      <c r="AB2416" s="46" t="n">
        <f aca="false">IF(AND(E2416&gt;0,OR(AND(B2416&gt;=1,B2416&lt;=6),B2416=10)),1,0)</f>
        <v>0</v>
      </c>
      <c r="AC2416" s="46" t="n">
        <f aca="false">IF(AND(E2416&gt;0,B2416=10),1,0)</f>
        <v>0</v>
      </c>
      <c r="AD2416" s="0" t="str">
        <f aca="false">IF(AND(C2415=C2416,AA2415=AA2416-1),AB2415,"")</f>
        <v/>
      </c>
      <c r="AE2416" s="0" t="str">
        <f aca="false">IF(AND(C2415=C2416,AA2415=AA2416-1),AC2415,"")</f>
        <v/>
      </c>
      <c r="AF2416" s="0" t="str">
        <f aca="false">IF(AA2416=1,"",IF(AND(AB2416=1,AD2416&lt;&gt;1),1,0))</f>
        <v/>
      </c>
      <c r="AG2416" s="0" t="str">
        <f aca="false">IF(AA2416=1,"",IF(AND(AC2416=1,AE2416&lt;&gt;1),1,0))</f>
        <v/>
      </c>
      <c r="AH2416" s="51" t="str">
        <f aca="false">IF(AND(E2416&gt;0,AA2416&lt;1,NOT(AND(C2417=C2416,AA2417=AA2416+1))),INDEX(DATAS,AA2416+1),"")</f>
        <v/>
      </c>
      <c r="AI2416" s="51" t="str">
        <f aca="false">IF(AND(AC2416=1,AA2416&lt;1),IF(AND(C2417=C2416,AA2417=AA2416+1),IF(AC2417=1,"",INDEX(DATAS,AA2416+1)),INDEX(DATAS,AA2416+1)),"")</f>
        <v/>
      </c>
    </row>
    <row r="2417" customFormat="false" ht="15" hidden="false" customHeight="false" outlineLevel="0" collapsed="false">
      <c r="A2417" s="51" t="n">
        <v>46309</v>
      </c>
      <c r="B2417" s="0" t="n">
        <v>11</v>
      </c>
      <c r="C2417" s="0" t="n">
        <v>6727</v>
      </c>
      <c r="E2417" s="0" t="n">
        <v>0</v>
      </c>
      <c r="F2417" s="46" t="s">
        <v>1276</v>
      </c>
      <c r="I2417" s="46" t="s">
        <v>181</v>
      </c>
      <c r="U2417" s="0" t="n">
        <v>463</v>
      </c>
      <c r="V2417" s="0" t="n">
        <v>2</v>
      </c>
      <c r="W2417" s="51" t="n">
        <v>46309</v>
      </c>
      <c r="X2417" s="46" t="n">
        <f aca="false">IF(I2417="Male",0,1)</f>
        <v>1</v>
      </c>
      <c r="Y2417" s="46" t="n">
        <f aca="false">IF(OR(I2417="DNB",I2417="Dry DNB"),1,0)</f>
        <v>0</v>
      </c>
      <c r="Z2417" s="46" t="n">
        <f aca="false">IF(ISNUMBER(W2417),A2417-W2417,"")</f>
        <v>0</v>
      </c>
      <c r="AA2417" s="46" t="n">
        <f aca="false">MATCH(A2417,DATAS,0)</f>
        <v>1</v>
      </c>
      <c r="AB2417" s="46" t="n">
        <f aca="false">IF(AND(E2417&gt;0,OR(AND(B2417&gt;=1,B2417&lt;=6),B2417=10)),1,0)</f>
        <v>0</v>
      </c>
      <c r="AC2417" s="46" t="n">
        <f aca="false">IF(AND(E2417&gt;0,B2417=10),1,0)</f>
        <v>0</v>
      </c>
      <c r="AD2417" s="0" t="str">
        <f aca="false">IF(AND(C2416=C2417,AA2416=AA2417-1),AB2416,"")</f>
        <v/>
      </c>
      <c r="AE2417" s="0" t="str">
        <f aca="false">IF(AND(C2416=C2417,AA2416=AA2417-1),AC2416,"")</f>
        <v/>
      </c>
      <c r="AF2417" s="0" t="str">
        <f aca="false">IF(AA2417=1,"",IF(AND(AB2417=1,AD2417&lt;&gt;1),1,0))</f>
        <v/>
      </c>
      <c r="AG2417" s="0" t="str">
        <f aca="false">IF(AA2417=1,"",IF(AND(AC2417=1,AE2417&lt;&gt;1),1,0))</f>
        <v/>
      </c>
      <c r="AH2417" s="51" t="str">
        <f aca="false">IF(AND(E2417&gt;0,AA2417&lt;1,NOT(AND(C2418=C2417,AA2418=AA2417+1))),INDEX(DATAS,AA2417+1),"")</f>
        <v/>
      </c>
      <c r="AI2417" s="51" t="str">
        <f aca="false">IF(AND(AC2417=1,AA2417&lt;1),IF(AND(C2418=C2417,AA2418=AA2417+1),IF(AC2418=1,"",INDEX(DATAS,AA2417+1)),INDEX(DATAS,AA2417+1)),"")</f>
        <v/>
      </c>
    </row>
    <row r="2418" customFormat="false" ht="15" hidden="false" customHeight="false" outlineLevel="0" collapsed="false">
      <c r="A2418" s="51" t="n">
        <v>46309</v>
      </c>
      <c r="B2418" s="0" t="n">
        <v>8</v>
      </c>
      <c r="C2418" s="0" t="n">
        <v>6728</v>
      </c>
      <c r="E2418" s="0" t="n">
        <v>0</v>
      </c>
      <c r="F2418" s="46" t="s">
        <v>1276</v>
      </c>
      <c r="I2418" s="46" t="s">
        <v>152</v>
      </c>
      <c r="L2418" s="0" t="n">
        <v>68</v>
      </c>
      <c r="U2418" s="0" t="n">
        <v>463</v>
      </c>
      <c r="V2418" s="0" t="n">
        <v>1</v>
      </c>
      <c r="W2418" s="51" t="n">
        <v>46242</v>
      </c>
      <c r="X2418" s="46" t="n">
        <f aca="false">IF(I2418="Male",0,1)</f>
        <v>1</v>
      </c>
      <c r="Y2418" s="46" t="n">
        <f aca="false">IF(OR(I2418="DNB",I2418="Dry DNB"),1,0)</f>
        <v>0</v>
      </c>
      <c r="Z2418" s="46" t="n">
        <f aca="false">IF(ISNUMBER(W2418),A2418-W2418,"")</f>
        <v>67</v>
      </c>
      <c r="AA2418" s="46" t="n">
        <f aca="false">MATCH(A2418,DATAS,0)</f>
        <v>1</v>
      </c>
      <c r="AB2418" s="46" t="n">
        <f aca="false">IF(AND(E2418&gt;0,OR(AND(B2418&gt;=1,B2418&lt;=6),B2418=10)),1,0)</f>
        <v>0</v>
      </c>
      <c r="AC2418" s="46" t="n">
        <f aca="false">IF(AND(E2418&gt;0,B2418=10),1,0)</f>
        <v>0</v>
      </c>
      <c r="AD2418" s="0" t="str">
        <f aca="false">IF(AND(C2417=C2418,AA2417=AA2418-1),AB2417,"")</f>
        <v/>
      </c>
      <c r="AE2418" s="0" t="str">
        <f aca="false">IF(AND(C2417=C2418,AA2417=AA2418-1),AC2417,"")</f>
        <v/>
      </c>
      <c r="AF2418" s="0" t="str">
        <f aca="false">IF(AA2418=1,"",IF(AND(AB2418=1,AD2418&lt;&gt;1),1,0))</f>
        <v/>
      </c>
      <c r="AG2418" s="0" t="str">
        <f aca="false">IF(AA2418=1,"",IF(AND(AC2418=1,AE2418&lt;&gt;1),1,0))</f>
        <v/>
      </c>
      <c r="AH2418" s="51" t="str">
        <f aca="false">IF(AND(E2418&gt;0,AA2418&lt;1,NOT(AND(C2419=C2418,AA2419=AA2418+1))),INDEX(DATAS,AA2418+1),"")</f>
        <v/>
      </c>
      <c r="AI2418" s="51" t="str">
        <f aca="false">IF(AND(AC2418=1,AA2418&lt;1),IF(AND(C2419=C2418,AA2419=AA2418+1),IF(AC2419=1,"",INDEX(DATAS,AA2418+1)),INDEX(DATAS,AA2418+1)),"")</f>
        <v/>
      </c>
    </row>
    <row r="2419" customFormat="false" ht="15" hidden="false" customHeight="false" outlineLevel="0" collapsed="false">
      <c r="A2419" s="51" t="n">
        <v>46309</v>
      </c>
      <c r="B2419" s="0" t="n">
        <v>8</v>
      </c>
      <c r="C2419" s="0" t="n">
        <v>6730</v>
      </c>
      <c r="E2419" s="0" t="n">
        <v>0</v>
      </c>
      <c r="F2419" s="46" t="s">
        <v>1276</v>
      </c>
      <c r="I2419" s="46" t="s">
        <v>152</v>
      </c>
      <c r="L2419" s="0" t="n">
        <v>43</v>
      </c>
      <c r="U2419" s="0" t="n">
        <v>463</v>
      </c>
      <c r="V2419" s="0" t="n">
        <v>1</v>
      </c>
      <c r="W2419" s="51" t="n">
        <v>46267</v>
      </c>
      <c r="X2419" s="46" t="n">
        <f aca="false">IF(I2419="Male",0,1)</f>
        <v>1</v>
      </c>
      <c r="Y2419" s="46" t="n">
        <f aca="false">IF(OR(I2419="DNB",I2419="Dry DNB"),1,0)</f>
        <v>0</v>
      </c>
      <c r="Z2419" s="46" t="n">
        <f aca="false">IF(ISNUMBER(W2419),A2419-W2419,"")</f>
        <v>42</v>
      </c>
      <c r="AA2419" s="46" t="n">
        <f aca="false">MATCH(A2419,DATAS,0)</f>
        <v>1</v>
      </c>
      <c r="AB2419" s="46" t="n">
        <f aca="false">IF(AND(E2419&gt;0,OR(AND(B2419&gt;=1,B2419&lt;=6),B2419=10)),1,0)</f>
        <v>0</v>
      </c>
      <c r="AC2419" s="46" t="n">
        <f aca="false">IF(AND(E2419&gt;0,B2419=10),1,0)</f>
        <v>0</v>
      </c>
      <c r="AD2419" s="0" t="str">
        <f aca="false">IF(AND(C2418=C2419,AA2418=AA2419-1),AB2418,"")</f>
        <v/>
      </c>
      <c r="AE2419" s="0" t="str">
        <f aca="false">IF(AND(C2418=C2419,AA2418=AA2419-1),AC2418,"")</f>
        <v/>
      </c>
      <c r="AF2419" s="0" t="str">
        <f aca="false">IF(AA2419=1,"",IF(AND(AB2419=1,AD2419&lt;&gt;1),1,0))</f>
        <v/>
      </c>
      <c r="AG2419" s="0" t="str">
        <f aca="false">IF(AA2419=1,"",IF(AND(AC2419=1,AE2419&lt;&gt;1),1,0))</f>
        <v/>
      </c>
      <c r="AH2419" s="51" t="str">
        <f aca="false">IF(AND(E2419&gt;0,AA2419&lt;1,NOT(AND(C2420=C2419,AA2420=AA2419+1))),INDEX(DATAS,AA2419+1),"")</f>
        <v/>
      </c>
      <c r="AI2419" s="51" t="str">
        <f aca="false">IF(AND(AC2419=1,AA2419&lt;1),IF(AND(C2420=C2419,AA2420=AA2419+1),IF(AC2420=1,"",INDEX(DATAS,AA2419+1)),INDEX(DATAS,AA2419+1)),"")</f>
        <v/>
      </c>
    </row>
    <row r="2420" customFormat="false" ht="15" hidden="false" customHeight="false" outlineLevel="0" collapsed="false">
      <c r="A2420" s="51" t="n">
        <v>46309</v>
      </c>
      <c r="B2420" s="0" t="n">
        <v>11</v>
      </c>
      <c r="C2420" s="0" t="n">
        <v>6732</v>
      </c>
      <c r="E2420" s="0" t="n">
        <v>0</v>
      </c>
      <c r="F2420" s="46" t="s">
        <v>1277</v>
      </c>
      <c r="I2420" s="46" t="s">
        <v>181</v>
      </c>
      <c r="U2420" s="0" t="n">
        <v>462</v>
      </c>
      <c r="V2420" s="0" t="n">
        <v>3</v>
      </c>
      <c r="W2420" s="51" t="n">
        <v>46286</v>
      </c>
      <c r="X2420" s="46" t="n">
        <f aca="false">IF(I2420="Male",0,1)</f>
        <v>1</v>
      </c>
      <c r="Y2420" s="46" t="n">
        <f aca="false">IF(OR(I2420="DNB",I2420="Dry DNB"),1,0)</f>
        <v>0</v>
      </c>
      <c r="Z2420" s="46" t="n">
        <f aca="false">IF(ISNUMBER(W2420),A2420-W2420,"")</f>
        <v>23</v>
      </c>
      <c r="AA2420" s="46" t="n">
        <f aca="false">MATCH(A2420,DATAS,0)</f>
        <v>1</v>
      </c>
      <c r="AB2420" s="46" t="n">
        <f aca="false">IF(AND(E2420&gt;0,OR(AND(B2420&gt;=1,B2420&lt;=6),B2420=10)),1,0)</f>
        <v>0</v>
      </c>
      <c r="AC2420" s="46" t="n">
        <f aca="false">IF(AND(E2420&gt;0,B2420=10),1,0)</f>
        <v>0</v>
      </c>
      <c r="AD2420" s="0" t="str">
        <f aca="false">IF(AND(C2419=C2420,AA2419=AA2420-1),AB2419,"")</f>
        <v/>
      </c>
      <c r="AE2420" s="0" t="str">
        <f aca="false">IF(AND(C2419=C2420,AA2419=AA2420-1),AC2419,"")</f>
        <v/>
      </c>
      <c r="AF2420" s="0" t="str">
        <f aca="false">IF(AA2420=1,"",IF(AND(AB2420=1,AD2420&lt;&gt;1),1,0))</f>
        <v/>
      </c>
      <c r="AG2420" s="0" t="str">
        <f aca="false">IF(AA2420=1,"",IF(AND(AC2420=1,AE2420&lt;&gt;1),1,0))</f>
        <v/>
      </c>
      <c r="AH2420" s="51" t="str">
        <f aca="false">IF(AND(E2420&gt;0,AA2420&lt;1,NOT(AND(C2421=C2420,AA2421=AA2420+1))),INDEX(DATAS,AA2420+1),"")</f>
        <v/>
      </c>
      <c r="AI2420" s="51" t="str">
        <f aca="false">IF(AND(AC2420=1,AA2420&lt;1),IF(AND(C2421=C2420,AA2421=AA2420+1),IF(AC2421=1,"",INDEX(DATAS,AA2420+1)),INDEX(DATAS,AA2420+1)),"")</f>
        <v/>
      </c>
    </row>
    <row r="2421" customFormat="false" ht="15" hidden="false" customHeight="false" outlineLevel="0" collapsed="false">
      <c r="A2421" s="51" t="n">
        <v>46309</v>
      </c>
      <c r="B2421" s="0" t="n">
        <v>8</v>
      </c>
      <c r="C2421" s="0" t="n">
        <v>6733</v>
      </c>
      <c r="E2421" s="0" t="n">
        <v>0</v>
      </c>
      <c r="F2421" s="46" t="s">
        <v>1277</v>
      </c>
      <c r="I2421" s="46" t="s">
        <v>152</v>
      </c>
      <c r="L2421" s="0" t="n">
        <v>62</v>
      </c>
      <c r="U2421" s="0" t="n">
        <v>462</v>
      </c>
      <c r="V2421" s="0" t="n">
        <v>1</v>
      </c>
      <c r="W2421" s="51" t="n">
        <v>46248</v>
      </c>
      <c r="X2421" s="46" t="n">
        <f aca="false">IF(I2421="Male",0,1)</f>
        <v>1</v>
      </c>
      <c r="Y2421" s="46" t="n">
        <f aca="false">IF(OR(I2421="DNB",I2421="Dry DNB"),1,0)</f>
        <v>0</v>
      </c>
      <c r="Z2421" s="46" t="n">
        <f aca="false">IF(ISNUMBER(W2421),A2421-W2421,"")</f>
        <v>61</v>
      </c>
      <c r="AA2421" s="46" t="n">
        <f aca="false">MATCH(A2421,DATAS,0)</f>
        <v>1</v>
      </c>
      <c r="AB2421" s="46" t="n">
        <f aca="false">IF(AND(E2421&gt;0,OR(AND(B2421&gt;=1,B2421&lt;=6),B2421=10)),1,0)</f>
        <v>0</v>
      </c>
      <c r="AC2421" s="46" t="n">
        <f aca="false">IF(AND(E2421&gt;0,B2421=10),1,0)</f>
        <v>0</v>
      </c>
      <c r="AD2421" s="0" t="str">
        <f aca="false">IF(AND(C2420=C2421,AA2420=AA2421-1),AB2420,"")</f>
        <v/>
      </c>
      <c r="AE2421" s="0" t="str">
        <f aca="false">IF(AND(C2420=C2421,AA2420=AA2421-1),AC2420,"")</f>
        <v/>
      </c>
      <c r="AF2421" s="0" t="str">
        <f aca="false">IF(AA2421=1,"",IF(AND(AB2421=1,AD2421&lt;&gt;1),1,0))</f>
        <v/>
      </c>
      <c r="AG2421" s="0" t="str">
        <f aca="false">IF(AA2421=1,"",IF(AND(AC2421=1,AE2421&lt;&gt;1),1,0))</f>
        <v/>
      </c>
      <c r="AH2421" s="51" t="str">
        <f aca="false">IF(AND(E2421&gt;0,AA2421&lt;1,NOT(AND(C2422=C2421,AA2422=AA2421+1))),INDEX(DATAS,AA2421+1),"")</f>
        <v/>
      </c>
      <c r="AI2421" s="51" t="str">
        <f aca="false">IF(AND(AC2421=1,AA2421&lt;1),IF(AND(C2422=C2421,AA2422=AA2421+1),IF(AC2422=1,"",INDEX(DATAS,AA2421+1)),INDEX(DATAS,AA2421+1)),"")</f>
        <v/>
      </c>
    </row>
    <row r="2422" customFormat="false" ht="15" hidden="false" customHeight="false" outlineLevel="0" collapsed="false">
      <c r="A2422" s="51" t="n">
        <v>46309</v>
      </c>
      <c r="B2422" s="0" t="n">
        <v>8</v>
      </c>
      <c r="C2422" s="0" t="n">
        <v>6734</v>
      </c>
      <c r="E2422" s="0" t="n">
        <v>0</v>
      </c>
      <c r="F2422" s="46" t="s">
        <v>1278</v>
      </c>
      <c r="I2422" s="46" t="s">
        <v>152</v>
      </c>
      <c r="L2422" s="0" t="n">
        <v>28</v>
      </c>
      <c r="U2422" s="0" t="n">
        <v>461</v>
      </c>
      <c r="V2422" s="0" t="n">
        <v>2</v>
      </c>
      <c r="W2422" s="51" t="n">
        <v>46282</v>
      </c>
      <c r="X2422" s="46" t="n">
        <f aca="false">IF(I2422="Male",0,1)</f>
        <v>1</v>
      </c>
      <c r="Y2422" s="46" t="n">
        <f aca="false">IF(OR(I2422="DNB",I2422="Dry DNB"),1,0)</f>
        <v>0</v>
      </c>
      <c r="Z2422" s="46" t="n">
        <f aca="false">IF(ISNUMBER(W2422),A2422-W2422,"")</f>
        <v>27</v>
      </c>
      <c r="AA2422" s="46" t="n">
        <f aca="false">MATCH(A2422,DATAS,0)</f>
        <v>1</v>
      </c>
      <c r="AB2422" s="46" t="n">
        <f aca="false">IF(AND(E2422&gt;0,OR(AND(B2422&gt;=1,B2422&lt;=6),B2422=10)),1,0)</f>
        <v>0</v>
      </c>
      <c r="AC2422" s="46" t="n">
        <f aca="false">IF(AND(E2422&gt;0,B2422=10),1,0)</f>
        <v>0</v>
      </c>
      <c r="AD2422" s="0" t="str">
        <f aca="false">IF(AND(C2421=C2422,AA2421=AA2422-1),AB2421,"")</f>
        <v/>
      </c>
      <c r="AE2422" s="0" t="str">
        <f aca="false">IF(AND(C2421=C2422,AA2421=AA2422-1),AC2421,"")</f>
        <v/>
      </c>
      <c r="AF2422" s="0" t="str">
        <f aca="false">IF(AA2422=1,"",IF(AND(AB2422=1,AD2422&lt;&gt;1),1,0))</f>
        <v/>
      </c>
      <c r="AG2422" s="0" t="str">
        <f aca="false">IF(AA2422=1,"",IF(AND(AC2422=1,AE2422&lt;&gt;1),1,0))</f>
        <v/>
      </c>
      <c r="AH2422" s="51" t="str">
        <f aca="false">IF(AND(E2422&gt;0,AA2422&lt;1,NOT(AND(C2423=C2422,AA2423=AA2422+1))),INDEX(DATAS,AA2422+1),"")</f>
        <v/>
      </c>
      <c r="AI2422" s="51" t="str">
        <f aca="false">IF(AND(AC2422=1,AA2422&lt;1),IF(AND(C2423=C2422,AA2423=AA2422+1),IF(AC2423=1,"",INDEX(DATAS,AA2422+1)),INDEX(DATAS,AA2422+1)),"")</f>
        <v/>
      </c>
    </row>
    <row r="2423" customFormat="false" ht="15" hidden="false" customHeight="false" outlineLevel="0" collapsed="false">
      <c r="A2423" s="51" t="n">
        <v>46309</v>
      </c>
      <c r="B2423" s="0" t="n">
        <v>8</v>
      </c>
      <c r="C2423" s="0" t="n">
        <v>6735</v>
      </c>
      <c r="E2423" s="0" t="n">
        <v>0</v>
      </c>
      <c r="F2423" s="46" t="s">
        <v>1279</v>
      </c>
      <c r="I2423" s="46" t="s">
        <v>152</v>
      </c>
      <c r="L2423" s="0" t="n">
        <v>63</v>
      </c>
      <c r="U2423" s="0" t="n">
        <v>460</v>
      </c>
      <c r="V2423" s="0" t="n">
        <v>1</v>
      </c>
      <c r="W2423" s="51" t="n">
        <v>46247</v>
      </c>
      <c r="X2423" s="46" t="n">
        <f aca="false">IF(I2423="Male",0,1)</f>
        <v>1</v>
      </c>
      <c r="Y2423" s="46" t="n">
        <f aca="false">IF(OR(I2423="DNB",I2423="Dry DNB"),1,0)</f>
        <v>0</v>
      </c>
      <c r="Z2423" s="46" t="n">
        <f aca="false">IF(ISNUMBER(W2423),A2423-W2423,"")</f>
        <v>62</v>
      </c>
      <c r="AA2423" s="46" t="n">
        <f aca="false">MATCH(A2423,DATAS,0)</f>
        <v>1</v>
      </c>
      <c r="AB2423" s="46" t="n">
        <f aca="false">IF(AND(E2423&gt;0,OR(AND(B2423&gt;=1,B2423&lt;=6),B2423=10)),1,0)</f>
        <v>0</v>
      </c>
      <c r="AC2423" s="46" t="n">
        <f aca="false">IF(AND(E2423&gt;0,B2423=10),1,0)</f>
        <v>0</v>
      </c>
      <c r="AD2423" s="0" t="str">
        <f aca="false">IF(AND(C2422=C2423,AA2422=AA2423-1),AB2422,"")</f>
        <v/>
      </c>
      <c r="AE2423" s="0" t="str">
        <f aca="false">IF(AND(C2422=C2423,AA2422=AA2423-1),AC2422,"")</f>
        <v/>
      </c>
      <c r="AF2423" s="0" t="str">
        <f aca="false">IF(AA2423=1,"",IF(AND(AB2423=1,AD2423&lt;&gt;1),1,0))</f>
        <v/>
      </c>
      <c r="AG2423" s="0" t="str">
        <f aca="false">IF(AA2423=1,"",IF(AND(AC2423=1,AE2423&lt;&gt;1),1,0))</f>
        <v/>
      </c>
      <c r="AH2423" s="51" t="str">
        <f aca="false">IF(AND(E2423&gt;0,AA2423&lt;1,NOT(AND(C2424=C2423,AA2424=AA2423+1))),INDEX(DATAS,AA2423+1),"")</f>
        <v/>
      </c>
      <c r="AI2423" s="51" t="str">
        <f aca="false">IF(AND(AC2423=1,AA2423&lt;1),IF(AND(C2424=C2423,AA2424=AA2423+1),IF(AC2424=1,"",INDEX(DATAS,AA2423+1)),INDEX(DATAS,AA2423+1)),"")</f>
        <v/>
      </c>
    </row>
    <row r="2424" customFormat="false" ht="15" hidden="false" customHeight="false" outlineLevel="0" collapsed="false">
      <c r="A2424" s="51" t="n">
        <v>46309</v>
      </c>
      <c r="B2424" s="0" t="n">
        <v>8</v>
      </c>
      <c r="C2424" s="0" t="n">
        <v>6736</v>
      </c>
      <c r="E2424" s="0" t="n">
        <v>0</v>
      </c>
      <c r="F2424" s="46" t="s">
        <v>1279</v>
      </c>
      <c r="I2424" s="46" t="s">
        <v>152</v>
      </c>
      <c r="L2424" s="0" t="n">
        <v>66</v>
      </c>
      <c r="U2424" s="0" t="n">
        <v>460</v>
      </c>
      <c r="V2424" s="0" t="n">
        <v>1</v>
      </c>
      <c r="W2424" s="51" t="n">
        <v>46244</v>
      </c>
      <c r="X2424" s="46" t="n">
        <f aca="false">IF(I2424="Male",0,1)</f>
        <v>1</v>
      </c>
      <c r="Y2424" s="46" t="n">
        <f aca="false">IF(OR(I2424="DNB",I2424="Dry DNB"),1,0)</f>
        <v>0</v>
      </c>
      <c r="Z2424" s="46" t="n">
        <f aca="false">IF(ISNUMBER(W2424),A2424-W2424,"")</f>
        <v>65</v>
      </c>
      <c r="AA2424" s="46" t="n">
        <f aca="false">MATCH(A2424,DATAS,0)</f>
        <v>1</v>
      </c>
      <c r="AB2424" s="46" t="n">
        <f aca="false">IF(AND(E2424&gt;0,OR(AND(B2424&gt;=1,B2424&lt;=6),B2424=10)),1,0)</f>
        <v>0</v>
      </c>
      <c r="AC2424" s="46" t="n">
        <f aca="false">IF(AND(E2424&gt;0,B2424=10),1,0)</f>
        <v>0</v>
      </c>
      <c r="AD2424" s="0" t="str">
        <f aca="false">IF(AND(C2423=C2424,AA2423=AA2424-1),AB2423,"")</f>
        <v/>
      </c>
      <c r="AE2424" s="0" t="str">
        <f aca="false">IF(AND(C2423=C2424,AA2423=AA2424-1),AC2423,"")</f>
        <v/>
      </c>
      <c r="AF2424" s="0" t="str">
        <f aca="false">IF(AA2424=1,"",IF(AND(AB2424=1,AD2424&lt;&gt;1),1,0))</f>
        <v/>
      </c>
      <c r="AG2424" s="0" t="str">
        <f aca="false">IF(AA2424=1,"",IF(AND(AC2424=1,AE2424&lt;&gt;1),1,0))</f>
        <v/>
      </c>
      <c r="AH2424" s="51" t="str">
        <f aca="false">IF(AND(E2424&gt;0,AA2424&lt;1,NOT(AND(C2425=C2424,AA2425=AA2424+1))),INDEX(DATAS,AA2424+1),"")</f>
        <v/>
      </c>
      <c r="AI2424" s="51" t="str">
        <f aca="false">IF(AND(AC2424=1,AA2424&lt;1),IF(AND(C2425=C2424,AA2425=AA2424+1),IF(AC2425=1,"",INDEX(DATAS,AA2424+1)),INDEX(DATAS,AA2424+1)),"")</f>
        <v/>
      </c>
    </row>
    <row r="2425" customFormat="false" ht="15" hidden="false" customHeight="false" outlineLevel="0" collapsed="false">
      <c r="A2425" s="51" t="n">
        <v>46309</v>
      </c>
      <c r="B2425" s="0" t="n">
        <v>13</v>
      </c>
      <c r="C2425" s="0" t="n">
        <v>6737</v>
      </c>
      <c r="E2425" s="0" t="n">
        <v>0</v>
      </c>
      <c r="F2425" s="46" t="s">
        <v>1279</v>
      </c>
      <c r="I2425" s="46" t="s">
        <v>189</v>
      </c>
      <c r="U2425" s="0" t="n">
        <v>460</v>
      </c>
      <c r="V2425" s="0" t="n">
        <v>0</v>
      </c>
      <c r="X2425" s="46" t="n">
        <f aca="false">IF(I2425="Male",0,1)</f>
        <v>1</v>
      </c>
      <c r="Y2425" s="46" t="n">
        <f aca="false">IF(OR(I2425="DNB",I2425="Dry DNB"),1,0)</f>
        <v>0</v>
      </c>
      <c r="Z2425" s="0" t="str">
        <f aca="false">IF(ISNUMBER(W2425),A2425-W2425,"")</f>
        <v/>
      </c>
      <c r="AA2425" s="46" t="n">
        <f aca="false">MATCH(A2425,DATAS,0)</f>
        <v>1</v>
      </c>
      <c r="AB2425" s="46" t="n">
        <f aca="false">IF(AND(E2425&gt;0,OR(AND(B2425&gt;=1,B2425&lt;=6),B2425=10)),1,0)</f>
        <v>0</v>
      </c>
      <c r="AC2425" s="46" t="n">
        <f aca="false">IF(AND(E2425&gt;0,B2425=10),1,0)</f>
        <v>0</v>
      </c>
      <c r="AD2425" s="0" t="str">
        <f aca="false">IF(AND(C2424=C2425,AA2424=AA2425-1),AB2424,"")</f>
        <v/>
      </c>
      <c r="AE2425" s="0" t="str">
        <f aca="false">IF(AND(C2424=C2425,AA2424=AA2425-1),AC2424,"")</f>
        <v/>
      </c>
      <c r="AF2425" s="0" t="str">
        <f aca="false">IF(AA2425=1,"",IF(AND(AB2425=1,AD2425&lt;&gt;1),1,0))</f>
        <v/>
      </c>
      <c r="AG2425" s="0" t="str">
        <f aca="false">IF(AA2425=1,"",IF(AND(AC2425=1,AE2425&lt;&gt;1),1,0))</f>
        <v/>
      </c>
      <c r="AH2425" s="51" t="str">
        <f aca="false">IF(AND(E2425&gt;0,AA2425&lt;1,NOT(AND(C2426=C2425,AA2426=AA2425+1))),INDEX(DATAS,AA2425+1),"")</f>
        <v/>
      </c>
      <c r="AI2425" s="51" t="str">
        <f aca="false">IF(AND(AC2425=1,AA2425&lt;1),IF(AND(C2426=C2425,AA2426=AA2425+1),IF(AC2426=1,"",INDEX(DATAS,AA2425+1)),INDEX(DATAS,AA2425+1)),"")</f>
        <v/>
      </c>
    </row>
    <row r="2426" customFormat="false" ht="15" hidden="false" customHeight="false" outlineLevel="0" collapsed="false">
      <c r="A2426" s="51" t="n">
        <v>46309</v>
      </c>
      <c r="B2426" s="0" t="n">
        <v>8</v>
      </c>
      <c r="C2426" s="0" t="n">
        <v>6738</v>
      </c>
      <c r="E2426" s="0" t="n">
        <v>0</v>
      </c>
      <c r="F2426" s="46" t="s">
        <v>1279</v>
      </c>
      <c r="I2426" s="46" t="s">
        <v>152</v>
      </c>
      <c r="L2426" s="0" t="n">
        <v>58</v>
      </c>
      <c r="U2426" s="0" t="n">
        <v>460</v>
      </c>
      <c r="V2426" s="0" t="n">
        <v>1</v>
      </c>
      <c r="W2426" s="51" t="n">
        <v>46252</v>
      </c>
      <c r="X2426" s="46" t="n">
        <f aca="false">IF(I2426="Male",0,1)</f>
        <v>1</v>
      </c>
      <c r="Y2426" s="46" t="n">
        <f aca="false">IF(OR(I2426="DNB",I2426="Dry DNB"),1,0)</f>
        <v>0</v>
      </c>
      <c r="Z2426" s="46" t="n">
        <f aca="false">IF(ISNUMBER(W2426),A2426-W2426,"")</f>
        <v>57</v>
      </c>
      <c r="AA2426" s="46" t="n">
        <f aca="false">MATCH(A2426,DATAS,0)</f>
        <v>1</v>
      </c>
      <c r="AB2426" s="46" t="n">
        <f aca="false">IF(AND(E2426&gt;0,OR(AND(B2426&gt;=1,B2426&lt;=6),B2426=10)),1,0)</f>
        <v>0</v>
      </c>
      <c r="AC2426" s="46" t="n">
        <f aca="false">IF(AND(E2426&gt;0,B2426=10),1,0)</f>
        <v>0</v>
      </c>
      <c r="AD2426" s="0" t="str">
        <f aca="false">IF(AND(C2425=C2426,AA2425=AA2426-1),AB2425,"")</f>
        <v/>
      </c>
      <c r="AE2426" s="0" t="str">
        <f aca="false">IF(AND(C2425=C2426,AA2425=AA2426-1),AC2425,"")</f>
        <v/>
      </c>
      <c r="AF2426" s="0" t="str">
        <f aca="false">IF(AA2426=1,"",IF(AND(AB2426=1,AD2426&lt;&gt;1),1,0))</f>
        <v/>
      </c>
      <c r="AG2426" s="0" t="str">
        <f aca="false">IF(AA2426=1,"",IF(AND(AC2426=1,AE2426&lt;&gt;1),1,0))</f>
        <v/>
      </c>
      <c r="AH2426" s="51" t="str">
        <f aca="false">IF(AND(E2426&gt;0,AA2426&lt;1,NOT(AND(C2427=C2426,AA2427=AA2426+1))),INDEX(DATAS,AA2426+1),"")</f>
        <v/>
      </c>
      <c r="AI2426" s="51" t="str">
        <f aca="false">IF(AND(AC2426=1,AA2426&lt;1),IF(AND(C2427=C2426,AA2427=AA2426+1),IF(AC2427=1,"",INDEX(DATAS,AA2426+1)),INDEX(DATAS,AA2426+1)),"")</f>
        <v/>
      </c>
    </row>
    <row r="2427" customFormat="false" ht="15" hidden="false" customHeight="false" outlineLevel="0" collapsed="false">
      <c r="A2427" s="51" t="n">
        <v>46309</v>
      </c>
      <c r="B2427" s="0" t="n">
        <v>11</v>
      </c>
      <c r="C2427" s="0" t="n">
        <v>6739</v>
      </c>
      <c r="E2427" s="0" t="n">
        <v>0</v>
      </c>
      <c r="F2427" s="46" t="s">
        <v>1279</v>
      </c>
      <c r="I2427" s="46" t="s">
        <v>181</v>
      </c>
      <c r="U2427" s="0" t="n">
        <v>460</v>
      </c>
      <c r="V2427" s="0" t="n">
        <v>1</v>
      </c>
      <c r="W2427" s="51" t="n">
        <v>46290</v>
      </c>
      <c r="X2427" s="46" t="n">
        <f aca="false">IF(I2427="Male",0,1)</f>
        <v>1</v>
      </c>
      <c r="Y2427" s="46" t="n">
        <f aca="false">IF(OR(I2427="DNB",I2427="Dry DNB"),1,0)</f>
        <v>0</v>
      </c>
      <c r="Z2427" s="46" t="n">
        <f aca="false">IF(ISNUMBER(W2427),A2427-W2427,"")</f>
        <v>19</v>
      </c>
      <c r="AA2427" s="46" t="n">
        <f aca="false">MATCH(A2427,DATAS,0)</f>
        <v>1</v>
      </c>
      <c r="AB2427" s="46" t="n">
        <f aca="false">IF(AND(E2427&gt;0,OR(AND(B2427&gt;=1,B2427&lt;=6),B2427=10)),1,0)</f>
        <v>0</v>
      </c>
      <c r="AC2427" s="46" t="n">
        <f aca="false">IF(AND(E2427&gt;0,B2427=10),1,0)</f>
        <v>0</v>
      </c>
      <c r="AD2427" s="0" t="str">
        <f aca="false">IF(AND(C2426=C2427,AA2426=AA2427-1),AB2426,"")</f>
        <v/>
      </c>
      <c r="AE2427" s="0" t="str">
        <f aca="false">IF(AND(C2426=C2427,AA2426=AA2427-1),AC2426,"")</f>
        <v/>
      </c>
      <c r="AF2427" s="0" t="str">
        <f aca="false">IF(AA2427=1,"",IF(AND(AB2427=1,AD2427&lt;&gt;1),1,0))</f>
        <v/>
      </c>
      <c r="AG2427" s="0" t="str">
        <f aca="false">IF(AA2427=1,"",IF(AND(AC2427=1,AE2427&lt;&gt;1),1,0))</f>
        <v/>
      </c>
      <c r="AH2427" s="51" t="str">
        <f aca="false">IF(AND(E2427&gt;0,AA2427&lt;1,NOT(AND(C2428=C2427,AA2428=AA2427+1))),INDEX(DATAS,AA2427+1),"")</f>
        <v/>
      </c>
      <c r="AI2427" s="51" t="str">
        <f aca="false">IF(AND(AC2427=1,AA2427&lt;1),IF(AND(C2428=C2427,AA2428=AA2427+1),IF(AC2428=1,"",INDEX(DATAS,AA2427+1)),INDEX(DATAS,AA2427+1)),"")</f>
        <v/>
      </c>
    </row>
    <row r="2428" customFormat="false" ht="15" hidden="false" customHeight="false" outlineLevel="0" collapsed="false">
      <c r="A2428" s="51" t="n">
        <v>46309</v>
      </c>
      <c r="B2428" s="0" t="n">
        <v>11</v>
      </c>
      <c r="C2428" s="0" t="n">
        <v>6740</v>
      </c>
      <c r="E2428" s="0" t="n">
        <v>0</v>
      </c>
      <c r="F2428" s="46" t="s">
        <v>1280</v>
      </c>
      <c r="I2428" s="46" t="s">
        <v>181</v>
      </c>
      <c r="U2428" s="0" t="n">
        <v>456</v>
      </c>
      <c r="V2428" s="0" t="n">
        <v>3</v>
      </c>
      <c r="W2428" s="51" t="n">
        <v>46287</v>
      </c>
      <c r="X2428" s="46" t="n">
        <f aca="false">IF(I2428="Male",0,1)</f>
        <v>1</v>
      </c>
      <c r="Y2428" s="46" t="n">
        <f aca="false">IF(OR(I2428="DNB",I2428="Dry DNB"),1,0)</f>
        <v>0</v>
      </c>
      <c r="Z2428" s="46" t="n">
        <f aca="false">IF(ISNUMBER(W2428),A2428-W2428,"")</f>
        <v>22</v>
      </c>
      <c r="AA2428" s="46" t="n">
        <f aca="false">MATCH(A2428,DATAS,0)</f>
        <v>1</v>
      </c>
      <c r="AB2428" s="46" t="n">
        <f aca="false">IF(AND(E2428&gt;0,OR(AND(B2428&gt;=1,B2428&lt;=6),B2428=10)),1,0)</f>
        <v>0</v>
      </c>
      <c r="AC2428" s="46" t="n">
        <f aca="false">IF(AND(E2428&gt;0,B2428=10),1,0)</f>
        <v>0</v>
      </c>
      <c r="AD2428" s="0" t="str">
        <f aca="false">IF(AND(C2427=C2428,AA2427=AA2428-1),AB2427,"")</f>
        <v/>
      </c>
      <c r="AE2428" s="0" t="str">
        <f aca="false">IF(AND(C2427=C2428,AA2427=AA2428-1),AC2427,"")</f>
        <v/>
      </c>
      <c r="AF2428" s="0" t="str">
        <f aca="false">IF(AA2428=1,"",IF(AND(AB2428=1,AD2428&lt;&gt;1),1,0))</f>
        <v/>
      </c>
      <c r="AG2428" s="0" t="str">
        <f aca="false">IF(AA2428=1,"",IF(AND(AC2428=1,AE2428&lt;&gt;1),1,0))</f>
        <v/>
      </c>
      <c r="AH2428" s="51" t="str">
        <f aca="false">IF(AND(E2428&gt;0,AA2428&lt;1,NOT(AND(C2429=C2428,AA2429=AA2428+1))),INDEX(DATAS,AA2428+1),"")</f>
        <v/>
      </c>
      <c r="AI2428" s="51" t="str">
        <f aca="false">IF(AND(AC2428=1,AA2428&lt;1),IF(AND(C2429=C2428,AA2429=AA2428+1),IF(AC2429=1,"",INDEX(DATAS,AA2428+1)),INDEX(DATAS,AA2428+1)),"")</f>
        <v/>
      </c>
    </row>
    <row r="2429" customFormat="false" ht="15" hidden="false" customHeight="false" outlineLevel="0" collapsed="false">
      <c r="A2429" s="51" t="n">
        <v>46309</v>
      </c>
      <c r="B2429" s="0" t="n">
        <v>8</v>
      </c>
      <c r="C2429" s="0" t="n">
        <v>6741</v>
      </c>
      <c r="E2429" s="0" t="n">
        <v>0</v>
      </c>
      <c r="F2429" s="46" t="s">
        <v>1281</v>
      </c>
      <c r="I2429" s="46" t="s">
        <v>152</v>
      </c>
      <c r="L2429" s="0" t="n">
        <v>65</v>
      </c>
      <c r="U2429" s="0" t="n">
        <v>458</v>
      </c>
      <c r="V2429" s="0" t="n">
        <v>1</v>
      </c>
      <c r="W2429" s="51" t="n">
        <v>46245</v>
      </c>
      <c r="X2429" s="46" t="n">
        <f aca="false">IF(I2429="Male",0,1)</f>
        <v>1</v>
      </c>
      <c r="Y2429" s="46" t="n">
        <f aca="false">IF(OR(I2429="DNB",I2429="Dry DNB"),1,0)</f>
        <v>0</v>
      </c>
      <c r="Z2429" s="46" t="n">
        <f aca="false">IF(ISNUMBER(W2429),A2429-W2429,"")</f>
        <v>64</v>
      </c>
      <c r="AA2429" s="46" t="n">
        <f aca="false">MATCH(A2429,DATAS,0)</f>
        <v>1</v>
      </c>
      <c r="AB2429" s="46" t="n">
        <f aca="false">IF(AND(E2429&gt;0,OR(AND(B2429&gt;=1,B2429&lt;=6),B2429=10)),1,0)</f>
        <v>0</v>
      </c>
      <c r="AC2429" s="46" t="n">
        <f aca="false">IF(AND(E2429&gt;0,B2429=10),1,0)</f>
        <v>0</v>
      </c>
      <c r="AD2429" s="0" t="str">
        <f aca="false">IF(AND(C2428=C2429,AA2428=AA2429-1),AB2428,"")</f>
        <v/>
      </c>
      <c r="AE2429" s="0" t="str">
        <f aca="false">IF(AND(C2428=C2429,AA2428=AA2429-1),AC2428,"")</f>
        <v/>
      </c>
      <c r="AF2429" s="0" t="str">
        <f aca="false">IF(AA2429=1,"",IF(AND(AB2429=1,AD2429&lt;&gt;1),1,0))</f>
        <v/>
      </c>
      <c r="AG2429" s="0" t="str">
        <f aca="false">IF(AA2429=1,"",IF(AND(AC2429=1,AE2429&lt;&gt;1),1,0))</f>
        <v/>
      </c>
      <c r="AH2429" s="51" t="str">
        <f aca="false">IF(AND(E2429&gt;0,AA2429&lt;1,NOT(AND(C2430=C2429,AA2430=AA2429+1))),INDEX(DATAS,AA2429+1),"")</f>
        <v/>
      </c>
      <c r="AI2429" s="51" t="str">
        <f aca="false">IF(AND(AC2429=1,AA2429&lt;1),IF(AND(C2430=C2429,AA2430=AA2429+1),IF(AC2430=1,"",INDEX(DATAS,AA2429+1)),INDEX(DATAS,AA2429+1)),"")</f>
        <v/>
      </c>
    </row>
    <row r="2430" customFormat="false" ht="15" hidden="false" customHeight="false" outlineLevel="0" collapsed="false">
      <c r="A2430" s="51" t="n">
        <v>46309</v>
      </c>
      <c r="B2430" s="0" t="n">
        <v>8</v>
      </c>
      <c r="C2430" s="0" t="n">
        <v>6742</v>
      </c>
      <c r="E2430" s="0" t="n">
        <v>0</v>
      </c>
      <c r="F2430" s="46" t="s">
        <v>1281</v>
      </c>
      <c r="I2430" s="46" t="s">
        <v>152</v>
      </c>
      <c r="L2430" s="0" t="n">
        <v>55</v>
      </c>
      <c r="U2430" s="0" t="n">
        <v>458</v>
      </c>
      <c r="V2430" s="0" t="n">
        <v>1</v>
      </c>
      <c r="W2430" s="51" t="n">
        <v>46255</v>
      </c>
      <c r="X2430" s="46" t="n">
        <f aca="false">IF(I2430="Male",0,1)</f>
        <v>1</v>
      </c>
      <c r="Y2430" s="46" t="n">
        <f aca="false">IF(OR(I2430="DNB",I2430="Dry DNB"),1,0)</f>
        <v>0</v>
      </c>
      <c r="Z2430" s="46" t="n">
        <f aca="false">IF(ISNUMBER(W2430),A2430-W2430,"")</f>
        <v>54</v>
      </c>
      <c r="AA2430" s="46" t="n">
        <f aca="false">MATCH(A2430,DATAS,0)</f>
        <v>1</v>
      </c>
      <c r="AB2430" s="46" t="n">
        <f aca="false">IF(AND(E2430&gt;0,OR(AND(B2430&gt;=1,B2430&lt;=6),B2430=10)),1,0)</f>
        <v>0</v>
      </c>
      <c r="AC2430" s="46" t="n">
        <f aca="false">IF(AND(E2430&gt;0,B2430=10),1,0)</f>
        <v>0</v>
      </c>
      <c r="AD2430" s="0" t="str">
        <f aca="false">IF(AND(C2429=C2430,AA2429=AA2430-1),AB2429,"")</f>
        <v/>
      </c>
      <c r="AE2430" s="0" t="str">
        <f aca="false">IF(AND(C2429=C2430,AA2429=AA2430-1),AC2429,"")</f>
        <v/>
      </c>
      <c r="AF2430" s="0" t="str">
        <f aca="false">IF(AA2430=1,"",IF(AND(AB2430=1,AD2430&lt;&gt;1),1,0))</f>
        <v/>
      </c>
      <c r="AG2430" s="0" t="str">
        <f aca="false">IF(AA2430=1,"",IF(AND(AC2430=1,AE2430&lt;&gt;1),1,0))</f>
        <v/>
      </c>
      <c r="AH2430" s="51" t="str">
        <f aca="false">IF(AND(E2430&gt;0,AA2430&lt;1,NOT(AND(C2431=C2430,AA2431=AA2430+1))),INDEX(DATAS,AA2430+1),"")</f>
        <v/>
      </c>
      <c r="AI2430" s="51" t="str">
        <f aca="false">IF(AND(AC2430=1,AA2430&lt;1),IF(AND(C2431=C2430,AA2431=AA2430+1),IF(AC2431=1,"",INDEX(DATAS,AA2430+1)),INDEX(DATAS,AA2430+1)),"")</f>
        <v/>
      </c>
    </row>
    <row r="2431" customFormat="false" ht="15" hidden="false" customHeight="false" outlineLevel="0" collapsed="false">
      <c r="A2431" s="51" t="n">
        <v>46309</v>
      </c>
      <c r="B2431" s="0" t="n">
        <v>11</v>
      </c>
      <c r="C2431" s="0" t="n">
        <v>6743</v>
      </c>
      <c r="E2431" s="0" t="n">
        <v>0</v>
      </c>
      <c r="F2431" s="46" t="s">
        <v>1281</v>
      </c>
      <c r="I2431" s="46" t="s">
        <v>181</v>
      </c>
      <c r="U2431" s="0" t="n">
        <v>458</v>
      </c>
      <c r="V2431" s="0" t="n">
        <v>2</v>
      </c>
      <c r="W2431" s="51" t="n">
        <v>46289</v>
      </c>
      <c r="X2431" s="46" t="n">
        <f aca="false">IF(I2431="Male",0,1)</f>
        <v>1</v>
      </c>
      <c r="Y2431" s="46" t="n">
        <f aca="false">IF(OR(I2431="DNB",I2431="Dry DNB"),1,0)</f>
        <v>0</v>
      </c>
      <c r="Z2431" s="46" t="n">
        <f aca="false">IF(ISNUMBER(W2431),A2431-W2431,"")</f>
        <v>20</v>
      </c>
      <c r="AA2431" s="46" t="n">
        <f aca="false">MATCH(A2431,DATAS,0)</f>
        <v>1</v>
      </c>
      <c r="AB2431" s="46" t="n">
        <f aca="false">IF(AND(E2431&gt;0,OR(AND(B2431&gt;=1,B2431&lt;=6),B2431=10)),1,0)</f>
        <v>0</v>
      </c>
      <c r="AC2431" s="46" t="n">
        <f aca="false">IF(AND(E2431&gt;0,B2431=10),1,0)</f>
        <v>0</v>
      </c>
      <c r="AD2431" s="0" t="str">
        <f aca="false">IF(AND(C2430=C2431,AA2430=AA2431-1),AB2430,"")</f>
        <v/>
      </c>
      <c r="AE2431" s="0" t="str">
        <f aca="false">IF(AND(C2430=C2431,AA2430=AA2431-1),AC2430,"")</f>
        <v/>
      </c>
      <c r="AF2431" s="0" t="str">
        <f aca="false">IF(AA2431=1,"",IF(AND(AB2431=1,AD2431&lt;&gt;1),1,0))</f>
        <v/>
      </c>
      <c r="AG2431" s="0" t="str">
        <f aca="false">IF(AA2431=1,"",IF(AND(AC2431=1,AE2431&lt;&gt;1),1,0))</f>
        <v/>
      </c>
      <c r="AH2431" s="51" t="str">
        <f aca="false">IF(AND(E2431&gt;0,AA2431&lt;1,NOT(AND(C2432=C2431,AA2432=AA2431+1))),INDEX(DATAS,AA2431+1),"")</f>
        <v/>
      </c>
      <c r="AI2431" s="51" t="str">
        <f aca="false">IF(AND(AC2431=1,AA2431&lt;1),IF(AND(C2432=C2431,AA2432=AA2431+1),IF(AC2432=1,"",INDEX(DATAS,AA2431+1)),INDEX(DATAS,AA2431+1)),"")</f>
        <v/>
      </c>
    </row>
    <row r="2432" customFormat="false" ht="15" hidden="false" customHeight="false" outlineLevel="0" collapsed="false">
      <c r="A2432" s="51" t="n">
        <v>46309</v>
      </c>
      <c r="B2432" s="0" t="n">
        <v>11</v>
      </c>
      <c r="C2432" s="0" t="n">
        <v>6744</v>
      </c>
      <c r="E2432" s="0" t="n">
        <v>0</v>
      </c>
      <c r="F2432" s="46" t="s">
        <v>1282</v>
      </c>
      <c r="I2432" s="46" t="s">
        <v>181</v>
      </c>
      <c r="U2432" s="0" t="n">
        <v>457</v>
      </c>
      <c r="V2432" s="0" t="n">
        <v>3</v>
      </c>
      <c r="W2432" s="51" t="n">
        <v>46294</v>
      </c>
      <c r="X2432" s="46" t="n">
        <f aca="false">IF(I2432="Male",0,1)</f>
        <v>1</v>
      </c>
      <c r="Y2432" s="46" t="n">
        <f aca="false">IF(OR(I2432="DNB",I2432="Dry DNB"),1,0)</f>
        <v>0</v>
      </c>
      <c r="Z2432" s="46" t="n">
        <f aca="false">IF(ISNUMBER(W2432),A2432-W2432,"")</f>
        <v>15</v>
      </c>
      <c r="AA2432" s="46" t="n">
        <f aca="false">MATCH(A2432,DATAS,0)</f>
        <v>1</v>
      </c>
      <c r="AB2432" s="46" t="n">
        <f aca="false">IF(AND(E2432&gt;0,OR(AND(B2432&gt;=1,B2432&lt;=6),B2432=10)),1,0)</f>
        <v>0</v>
      </c>
      <c r="AC2432" s="46" t="n">
        <f aca="false">IF(AND(E2432&gt;0,B2432=10),1,0)</f>
        <v>0</v>
      </c>
      <c r="AD2432" s="0" t="str">
        <f aca="false">IF(AND(C2431=C2432,AA2431=AA2432-1),AB2431,"")</f>
        <v/>
      </c>
      <c r="AE2432" s="0" t="str">
        <f aca="false">IF(AND(C2431=C2432,AA2431=AA2432-1),AC2431,"")</f>
        <v/>
      </c>
      <c r="AF2432" s="0" t="str">
        <f aca="false">IF(AA2432=1,"",IF(AND(AB2432=1,AD2432&lt;&gt;1),1,0))</f>
        <v/>
      </c>
      <c r="AG2432" s="0" t="str">
        <f aca="false">IF(AA2432=1,"",IF(AND(AC2432=1,AE2432&lt;&gt;1),1,0))</f>
        <v/>
      </c>
      <c r="AH2432" s="51" t="str">
        <f aca="false">IF(AND(E2432&gt;0,AA2432&lt;1,NOT(AND(C2433=C2432,AA2433=AA2432+1))),INDEX(DATAS,AA2432+1),"")</f>
        <v/>
      </c>
      <c r="AI2432" s="51" t="str">
        <f aca="false">IF(AND(AC2432=1,AA2432&lt;1),IF(AND(C2433=C2432,AA2433=AA2432+1),IF(AC2433=1,"",INDEX(DATAS,AA2432+1)),INDEX(DATAS,AA2432+1)),"")</f>
        <v/>
      </c>
    </row>
    <row r="2433" customFormat="false" ht="15" hidden="false" customHeight="false" outlineLevel="0" collapsed="false">
      <c r="A2433" s="51" t="n">
        <v>46309</v>
      </c>
      <c r="B2433" s="0" t="n">
        <v>11</v>
      </c>
      <c r="C2433" s="0" t="n">
        <v>6745</v>
      </c>
      <c r="E2433" s="0" t="n">
        <v>0</v>
      </c>
      <c r="F2433" s="46" t="s">
        <v>1282</v>
      </c>
      <c r="I2433" s="46" t="s">
        <v>181</v>
      </c>
      <c r="U2433" s="0" t="n">
        <v>457</v>
      </c>
      <c r="V2433" s="0" t="n">
        <v>2</v>
      </c>
      <c r="W2433" s="51" t="n">
        <v>46296</v>
      </c>
      <c r="X2433" s="46" t="n">
        <f aca="false">IF(I2433="Male",0,1)</f>
        <v>1</v>
      </c>
      <c r="Y2433" s="46" t="n">
        <f aca="false">IF(OR(I2433="DNB",I2433="Dry DNB"),1,0)</f>
        <v>0</v>
      </c>
      <c r="Z2433" s="46" t="n">
        <f aca="false">IF(ISNUMBER(W2433),A2433-W2433,"")</f>
        <v>13</v>
      </c>
      <c r="AA2433" s="46" t="n">
        <f aca="false">MATCH(A2433,DATAS,0)</f>
        <v>1</v>
      </c>
      <c r="AB2433" s="46" t="n">
        <f aca="false">IF(AND(E2433&gt;0,OR(AND(B2433&gt;=1,B2433&lt;=6),B2433=10)),1,0)</f>
        <v>0</v>
      </c>
      <c r="AC2433" s="46" t="n">
        <f aca="false">IF(AND(E2433&gt;0,B2433=10),1,0)</f>
        <v>0</v>
      </c>
      <c r="AD2433" s="0" t="str">
        <f aca="false">IF(AND(C2432=C2433,AA2432=AA2433-1),AB2432,"")</f>
        <v/>
      </c>
      <c r="AE2433" s="0" t="str">
        <f aca="false">IF(AND(C2432=C2433,AA2432=AA2433-1),AC2432,"")</f>
        <v/>
      </c>
      <c r="AF2433" s="0" t="str">
        <f aca="false">IF(AA2433=1,"",IF(AND(AB2433=1,AD2433&lt;&gt;1),1,0))</f>
        <v/>
      </c>
      <c r="AG2433" s="0" t="str">
        <f aca="false">IF(AA2433=1,"",IF(AND(AC2433=1,AE2433&lt;&gt;1),1,0))</f>
        <v/>
      </c>
      <c r="AH2433" s="51" t="str">
        <f aca="false">IF(AND(E2433&gt;0,AA2433&lt;1,NOT(AND(C2434=C2433,AA2434=AA2433+1))),INDEX(DATAS,AA2433+1),"")</f>
        <v/>
      </c>
      <c r="AI2433" s="51" t="str">
        <f aca="false">IF(AND(AC2433=1,AA2433&lt;1),IF(AND(C2434=C2433,AA2434=AA2433+1),IF(AC2434=1,"",INDEX(DATAS,AA2433+1)),INDEX(DATAS,AA2433+1)),"")</f>
        <v/>
      </c>
    </row>
    <row r="2434" customFormat="false" ht="15" hidden="false" customHeight="false" outlineLevel="0" collapsed="false">
      <c r="A2434" s="51" t="n">
        <v>46309</v>
      </c>
      <c r="B2434" s="0" t="n">
        <v>11</v>
      </c>
      <c r="C2434" s="0" t="n">
        <v>6748</v>
      </c>
      <c r="E2434" s="0" t="n">
        <v>0</v>
      </c>
      <c r="F2434" s="46" t="s">
        <v>1283</v>
      </c>
      <c r="I2434" s="46" t="s">
        <v>181</v>
      </c>
      <c r="U2434" s="0" t="n">
        <v>455</v>
      </c>
      <c r="V2434" s="0" t="n">
        <v>3</v>
      </c>
      <c r="W2434" s="51" t="n">
        <v>46296</v>
      </c>
      <c r="X2434" s="46" t="n">
        <f aca="false">IF(I2434="Male",0,1)</f>
        <v>1</v>
      </c>
      <c r="Y2434" s="46" t="n">
        <f aca="false">IF(OR(I2434="DNB",I2434="Dry DNB"),1,0)</f>
        <v>0</v>
      </c>
      <c r="Z2434" s="46" t="n">
        <f aca="false">IF(ISNUMBER(W2434),A2434-W2434,"")</f>
        <v>13</v>
      </c>
      <c r="AA2434" s="46" t="n">
        <f aca="false">MATCH(A2434,DATAS,0)</f>
        <v>1</v>
      </c>
      <c r="AB2434" s="46" t="n">
        <f aca="false">IF(AND(E2434&gt;0,OR(AND(B2434&gt;=1,B2434&lt;=6),B2434=10)),1,0)</f>
        <v>0</v>
      </c>
      <c r="AC2434" s="46" t="n">
        <f aca="false">IF(AND(E2434&gt;0,B2434=10),1,0)</f>
        <v>0</v>
      </c>
      <c r="AD2434" s="0" t="str">
        <f aca="false">IF(AND(C2433=C2434,AA2433=AA2434-1),AB2433,"")</f>
        <v/>
      </c>
      <c r="AE2434" s="0" t="str">
        <f aca="false">IF(AND(C2433=C2434,AA2433=AA2434-1),AC2433,"")</f>
        <v/>
      </c>
      <c r="AF2434" s="0" t="str">
        <f aca="false">IF(AA2434=1,"",IF(AND(AB2434=1,AD2434&lt;&gt;1),1,0))</f>
        <v/>
      </c>
      <c r="AG2434" s="0" t="str">
        <f aca="false">IF(AA2434=1,"",IF(AND(AC2434=1,AE2434&lt;&gt;1),1,0))</f>
        <v/>
      </c>
      <c r="AH2434" s="51" t="str">
        <f aca="false">IF(AND(E2434&gt;0,AA2434&lt;1,NOT(AND(C2435=C2434,AA2435=AA2434+1))),INDEX(DATAS,AA2434+1),"")</f>
        <v/>
      </c>
      <c r="AI2434" s="51" t="str">
        <f aca="false">IF(AND(AC2434=1,AA2434&lt;1),IF(AND(C2435=C2434,AA2435=AA2434+1),IF(AC2435=1,"",INDEX(DATAS,AA2434+1)),INDEX(DATAS,AA2434+1)),"")</f>
        <v/>
      </c>
    </row>
    <row r="2435" customFormat="false" ht="15" hidden="false" customHeight="false" outlineLevel="0" collapsed="false">
      <c r="A2435" s="51" t="n">
        <v>46309</v>
      </c>
      <c r="B2435" s="0" t="n">
        <v>8</v>
      </c>
      <c r="C2435" s="0" t="n">
        <v>6749</v>
      </c>
      <c r="E2435" s="0" t="n">
        <v>0</v>
      </c>
      <c r="F2435" s="46" t="s">
        <v>1283</v>
      </c>
      <c r="I2435" s="46" t="s">
        <v>152</v>
      </c>
      <c r="L2435" s="0" t="n">
        <v>55</v>
      </c>
      <c r="U2435" s="0" t="n">
        <v>455</v>
      </c>
      <c r="V2435" s="0" t="n">
        <v>1</v>
      </c>
      <c r="X2435" s="46" t="n">
        <f aca="false">IF(I2435="Male",0,1)</f>
        <v>1</v>
      </c>
      <c r="Y2435" s="46" t="n">
        <f aca="false">IF(OR(I2435="DNB",I2435="Dry DNB"),1,0)</f>
        <v>0</v>
      </c>
      <c r="Z2435" s="0" t="str">
        <f aca="false">IF(ISNUMBER(W2435),A2435-W2435,"")</f>
        <v/>
      </c>
      <c r="AA2435" s="46" t="n">
        <f aca="false">MATCH(A2435,DATAS,0)</f>
        <v>1</v>
      </c>
      <c r="AB2435" s="46" t="n">
        <f aca="false">IF(AND(E2435&gt;0,OR(AND(B2435&gt;=1,B2435&lt;=6),B2435=10)),1,0)</f>
        <v>0</v>
      </c>
      <c r="AC2435" s="46" t="n">
        <f aca="false">IF(AND(E2435&gt;0,B2435=10),1,0)</f>
        <v>0</v>
      </c>
      <c r="AD2435" s="0" t="str">
        <f aca="false">IF(AND(C2434=C2435,AA2434=AA2435-1),AB2434,"")</f>
        <v/>
      </c>
      <c r="AE2435" s="0" t="str">
        <f aca="false">IF(AND(C2434=C2435,AA2434=AA2435-1),AC2434,"")</f>
        <v/>
      </c>
      <c r="AF2435" s="0" t="str">
        <f aca="false">IF(AA2435=1,"",IF(AND(AB2435=1,AD2435&lt;&gt;1),1,0))</f>
        <v/>
      </c>
      <c r="AG2435" s="0" t="str">
        <f aca="false">IF(AA2435=1,"",IF(AND(AC2435=1,AE2435&lt;&gt;1),1,0))</f>
        <v/>
      </c>
      <c r="AH2435" s="51" t="str">
        <f aca="false">IF(AND(E2435&gt;0,AA2435&lt;1,NOT(AND(C2436=C2435,AA2436=AA2435+1))),INDEX(DATAS,AA2435+1),"")</f>
        <v/>
      </c>
      <c r="AI2435" s="51" t="str">
        <f aca="false">IF(AND(AC2435=1,AA2435&lt;1),IF(AND(C2436=C2435,AA2436=AA2435+1),IF(AC2436=1,"",INDEX(DATAS,AA2435+1)),INDEX(DATAS,AA2435+1)),"")</f>
        <v/>
      </c>
    </row>
    <row r="2436" customFormat="false" ht="15" hidden="false" customHeight="false" outlineLevel="0" collapsed="false">
      <c r="A2436" s="51" t="n">
        <v>46309</v>
      </c>
      <c r="B2436" s="0" t="n">
        <v>8</v>
      </c>
      <c r="C2436" s="0" t="n">
        <v>6750</v>
      </c>
      <c r="E2436" s="0" t="n">
        <v>0</v>
      </c>
      <c r="F2436" s="46" t="s">
        <v>1283</v>
      </c>
      <c r="I2436" s="46" t="s">
        <v>152</v>
      </c>
      <c r="L2436" s="0" t="n">
        <v>56</v>
      </c>
      <c r="U2436" s="0" t="n">
        <v>455</v>
      </c>
      <c r="V2436" s="0" t="n">
        <v>1</v>
      </c>
      <c r="W2436" s="51" t="n">
        <v>46254</v>
      </c>
      <c r="X2436" s="46" t="n">
        <f aca="false">IF(I2436="Male",0,1)</f>
        <v>1</v>
      </c>
      <c r="Y2436" s="46" t="n">
        <f aca="false">IF(OR(I2436="DNB",I2436="Dry DNB"),1,0)</f>
        <v>0</v>
      </c>
      <c r="Z2436" s="46" t="n">
        <f aca="false">IF(ISNUMBER(W2436),A2436-W2436,"")</f>
        <v>55</v>
      </c>
      <c r="AA2436" s="46" t="n">
        <f aca="false">MATCH(A2436,DATAS,0)</f>
        <v>1</v>
      </c>
      <c r="AB2436" s="46" t="n">
        <f aca="false">IF(AND(E2436&gt;0,OR(AND(B2436&gt;=1,B2436&lt;=6),B2436=10)),1,0)</f>
        <v>0</v>
      </c>
      <c r="AC2436" s="46" t="n">
        <f aca="false">IF(AND(E2436&gt;0,B2436=10),1,0)</f>
        <v>0</v>
      </c>
      <c r="AD2436" s="0" t="str">
        <f aca="false">IF(AND(C2435=C2436,AA2435=AA2436-1),AB2435,"")</f>
        <v/>
      </c>
      <c r="AE2436" s="0" t="str">
        <f aca="false">IF(AND(C2435=C2436,AA2435=AA2436-1),AC2435,"")</f>
        <v/>
      </c>
      <c r="AF2436" s="0" t="str">
        <f aca="false">IF(AA2436=1,"",IF(AND(AB2436=1,AD2436&lt;&gt;1),1,0))</f>
        <v/>
      </c>
      <c r="AG2436" s="0" t="str">
        <f aca="false">IF(AA2436=1,"",IF(AND(AC2436=1,AE2436&lt;&gt;1),1,0))</f>
        <v/>
      </c>
      <c r="AH2436" s="51" t="str">
        <f aca="false">IF(AND(E2436&gt;0,AA2436&lt;1,NOT(AND(C2437=C2436,AA2437=AA2436+1))),INDEX(DATAS,AA2436+1),"")</f>
        <v/>
      </c>
      <c r="AI2436" s="51" t="str">
        <f aca="false">IF(AND(AC2436=1,AA2436&lt;1),IF(AND(C2437=C2436,AA2437=AA2436+1),IF(AC2437=1,"",INDEX(DATAS,AA2436+1)),INDEX(DATAS,AA2436+1)),"")</f>
        <v/>
      </c>
    </row>
    <row r="2437" customFormat="false" ht="15" hidden="false" customHeight="false" outlineLevel="0" collapsed="false">
      <c r="A2437" s="51" t="n">
        <v>46309</v>
      </c>
      <c r="B2437" s="0" t="n">
        <v>13</v>
      </c>
      <c r="C2437" s="0" t="n">
        <v>6751</v>
      </c>
      <c r="E2437" s="0" t="n">
        <v>0</v>
      </c>
      <c r="F2437" s="46" t="s">
        <v>1283</v>
      </c>
      <c r="I2437" s="46" t="s">
        <v>189</v>
      </c>
      <c r="U2437" s="0" t="n">
        <v>455</v>
      </c>
      <c r="V2437" s="0" t="n">
        <v>0</v>
      </c>
      <c r="X2437" s="46" t="n">
        <f aca="false">IF(I2437="Male",0,1)</f>
        <v>1</v>
      </c>
      <c r="Y2437" s="46" t="n">
        <f aca="false">IF(OR(I2437="DNB",I2437="Dry DNB"),1,0)</f>
        <v>0</v>
      </c>
      <c r="Z2437" s="0" t="str">
        <f aca="false">IF(ISNUMBER(W2437),A2437-W2437,"")</f>
        <v/>
      </c>
      <c r="AA2437" s="46" t="n">
        <f aca="false">MATCH(A2437,DATAS,0)</f>
        <v>1</v>
      </c>
      <c r="AB2437" s="46" t="n">
        <f aca="false">IF(AND(E2437&gt;0,OR(AND(B2437&gt;=1,B2437&lt;=6),B2437=10)),1,0)</f>
        <v>0</v>
      </c>
      <c r="AC2437" s="46" t="n">
        <f aca="false">IF(AND(E2437&gt;0,B2437=10),1,0)</f>
        <v>0</v>
      </c>
      <c r="AD2437" s="0" t="str">
        <f aca="false">IF(AND(C2436=C2437,AA2436=AA2437-1),AB2436,"")</f>
        <v/>
      </c>
      <c r="AE2437" s="0" t="str">
        <f aca="false">IF(AND(C2436=C2437,AA2436=AA2437-1),AC2436,"")</f>
        <v/>
      </c>
      <c r="AF2437" s="0" t="str">
        <f aca="false">IF(AA2437=1,"",IF(AND(AB2437=1,AD2437&lt;&gt;1),1,0))</f>
        <v/>
      </c>
      <c r="AG2437" s="0" t="str">
        <f aca="false">IF(AA2437=1,"",IF(AND(AC2437=1,AE2437&lt;&gt;1),1,0))</f>
        <v/>
      </c>
      <c r="AH2437" s="51" t="str">
        <f aca="false">IF(AND(E2437&gt;0,AA2437&lt;1,NOT(AND(C2438=C2437,AA2438=AA2437+1))),INDEX(DATAS,AA2437+1),"")</f>
        <v/>
      </c>
      <c r="AI2437" s="51" t="str">
        <f aca="false">IF(AND(AC2437=1,AA2437&lt;1),IF(AND(C2438=C2437,AA2438=AA2437+1),IF(AC2438=1,"",INDEX(DATAS,AA2437+1)),INDEX(DATAS,AA2437+1)),"")</f>
        <v/>
      </c>
    </row>
    <row r="2438" customFormat="false" ht="15" hidden="false" customHeight="false" outlineLevel="0" collapsed="false">
      <c r="A2438" s="51" t="n">
        <v>46309</v>
      </c>
      <c r="B2438" s="0" t="n">
        <v>8</v>
      </c>
      <c r="C2438" s="0" t="n">
        <v>6752</v>
      </c>
      <c r="E2438" s="0" t="n">
        <v>0</v>
      </c>
      <c r="F2438" s="46" t="s">
        <v>1283</v>
      </c>
      <c r="I2438" s="46" t="s">
        <v>152</v>
      </c>
      <c r="L2438" s="0" t="n">
        <v>57</v>
      </c>
      <c r="U2438" s="0" t="n">
        <v>455</v>
      </c>
      <c r="V2438" s="0" t="n">
        <v>1</v>
      </c>
      <c r="W2438" s="51" t="n">
        <v>46253</v>
      </c>
      <c r="X2438" s="46" t="n">
        <f aca="false">IF(I2438="Male",0,1)</f>
        <v>1</v>
      </c>
      <c r="Y2438" s="46" t="n">
        <f aca="false">IF(OR(I2438="DNB",I2438="Dry DNB"),1,0)</f>
        <v>0</v>
      </c>
      <c r="Z2438" s="46" t="n">
        <f aca="false">IF(ISNUMBER(W2438),A2438-W2438,"")</f>
        <v>56</v>
      </c>
      <c r="AA2438" s="46" t="n">
        <f aca="false">MATCH(A2438,DATAS,0)</f>
        <v>1</v>
      </c>
      <c r="AB2438" s="46" t="n">
        <f aca="false">IF(AND(E2438&gt;0,OR(AND(B2438&gt;=1,B2438&lt;=6),B2438=10)),1,0)</f>
        <v>0</v>
      </c>
      <c r="AC2438" s="46" t="n">
        <f aca="false">IF(AND(E2438&gt;0,B2438=10),1,0)</f>
        <v>0</v>
      </c>
      <c r="AD2438" s="0" t="str">
        <f aca="false">IF(AND(C2437=C2438,AA2437=AA2438-1),AB2437,"")</f>
        <v/>
      </c>
      <c r="AE2438" s="0" t="str">
        <f aca="false">IF(AND(C2437=C2438,AA2437=AA2438-1),AC2437,"")</f>
        <v/>
      </c>
      <c r="AF2438" s="0" t="str">
        <f aca="false">IF(AA2438=1,"",IF(AND(AB2438=1,AD2438&lt;&gt;1),1,0))</f>
        <v/>
      </c>
      <c r="AG2438" s="0" t="str">
        <f aca="false">IF(AA2438=1,"",IF(AND(AC2438=1,AE2438&lt;&gt;1),1,0))</f>
        <v/>
      </c>
      <c r="AH2438" s="51" t="str">
        <f aca="false">IF(AND(E2438&gt;0,AA2438&lt;1,NOT(AND(C2439=C2438,AA2439=AA2438+1))),INDEX(DATAS,AA2438+1),"")</f>
        <v/>
      </c>
      <c r="AI2438" s="51" t="str">
        <f aca="false">IF(AND(AC2438=1,AA2438&lt;1),IF(AND(C2439=C2438,AA2439=AA2438+1),IF(AC2439=1,"",INDEX(DATAS,AA2438+1)),INDEX(DATAS,AA2438+1)),"")</f>
        <v/>
      </c>
    </row>
    <row r="2439" customFormat="false" ht="15" hidden="false" customHeight="false" outlineLevel="0" collapsed="false">
      <c r="A2439" s="51" t="n">
        <v>46309</v>
      </c>
      <c r="B2439" s="0" t="n">
        <v>8</v>
      </c>
      <c r="C2439" s="0" t="n">
        <v>6753</v>
      </c>
      <c r="E2439" s="0" t="n">
        <v>0</v>
      </c>
      <c r="F2439" s="46" t="s">
        <v>1284</v>
      </c>
      <c r="I2439" s="46" t="s">
        <v>152</v>
      </c>
      <c r="L2439" s="0" t="n">
        <v>52</v>
      </c>
      <c r="U2439" s="0" t="n">
        <v>454</v>
      </c>
      <c r="V2439" s="0" t="n">
        <v>1</v>
      </c>
      <c r="W2439" s="51" t="n">
        <v>46258</v>
      </c>
      <c r="X2439" s="46" t="n">
        <f aca="false">IF(I2439="Male",0,1)</f>
        <v>1</v>
      </c>
      <c r="Y2439" s="46" t="n">
        <f aca="false">IF(OR(I2439="DNB",I2439="Dry DNB"),1,0)</f>
        <v>0</v>
      </c>
      <c r="Z2439" s="46" t="n">
        <f aca="false">IF(ISNUMBER(W2439),A2439-W2439,"")</f>
        <v>51</v>
      </c>
      <c r="AA2439" s="46" t="n">
        <f aca="false">MATCH(A2439,DATAS,0)</f>
        <v>1</v>
      </c>
      <c r="AB2439" s="46" t="n">
        <f aca="false">IF(AND(E2439&gt;0,OR(AND(B2439&gt;=1,B2439&lt;=6),B2439=10)),1,0)</f>
        <v>0</v>
      </c>
      <c r="AC2439" s="46" t="n">
        <f aca="false">IF(AND(E2439&gt;0,B2439=10),1,0)</f>
        <v>0</v>
      </c>
      <c r="AD2439" s="0" t="str">
        <f aca="false">IF(AND(C2438=C2439,AA2438=AA2439-1),AB2438,"")</f>
        <v/>
      </c>
      <c r="AE2439" s="0" t="str">
        <f aca="false">IF(AND(C2438=C2439,AA2438=AA2439-1),AC2438,"")</f>
        <v/>
      </c>
      <c r="AF2439" s="0" t="str">
        <f aca="false">IF(AA2439=1,"",IF(AND(AB2439=1,AD2439&lt;&gt;1),1,0))</f>
        <v/>
      </c>
      <c r="AG2439" s="0" t="str">
        <f aca="false">IF(AA2439=1,"",IF(AND(AC2439=1,AE2439&lt;&gt;1),1,0))</f>
        <v/>
      </c>
      <c r="AH2439" s="51" t="str">
        <f aca="false">IF(AND(E2439&gt;0,AA2439&lt;1,NOT(AND(C2440=C2439,AA2440=AA2439+1))),INDEX(DATAS,AA2439+1),"")</f>
        <v/>
      </c>
      <c r="AI2439" s="51" t="str">
        <f aca="false">IF(AND(AC2439=1,AA2439&lt;1),IF(AND(C2440=C2439,AA2440=AA2439+1),IF(AC2440=1,"",INDEX(DATAS,AA2439+1)),INDEX(DATAS,AA2439+1)),"")</f>
        <v/>
      </c>
    </row>
    <row r="2440" customFormat="false" ht="15" hidden="false" customHeight="false" outlineLevel="0" collapsed="false">
      <c r="A2440" s="51" t="n">
        <v>46309</v>
      </c>
      <c r="B2440" s="0" t="n">
        <v>8</v>
      </c>
      <c r="C2440" s="0" t="n">
        <v>6755</v>
      </c>
      <c r="E2440" s="0" t="n">
        <v>0</v>
      </c>
      <c r="F2440" s="46" t="s">
        <v>1285</v>
      </c>
      <c r="I2440" s="46" t="s">
        <v>152</v>
      </c>
      <c r="L2440" s="0" t="n">
        <v>49</v>
      </c>
      <c r="U2440" s="0" t="n">
        <v>452</v>
      </c>
      <c r="V2440" s="0" t="n">
        <v>1</v>
      </c>
      <c r="W2440" s="51" t="n">
        <v>46261</v>
      </c>
      <c r="X2440" s="46" t="n">
        <f aca="false">IF(I2440="Male",0,1)</f>
        <v>1</v>
      </c>
      <c r="Y2440" s="46" t="n">
        <f aca="false">IF(OR(I2440="DNB",I2440="Dry DNB"),1,0)</f>
        <v>0</v>
      </c>
      <c r="Z2440" s="46" t="n">
        <f aca="false">IF(ISNUMBER(W2440),A2440-W2440,"")</f>
        <v>48</v>
      </c>
      <c r="AA2440" s="46" t="n">
        <f aca="false">MATCH(A2440,DATAS,0)</f>
        <v>1</v>
      </c>
      <c r="AB2440" s="46" t="n">
        <f aca="false">IF(AND(E2440&gt;0,OR(AND(B2440&gt;=1,B2440&lt;=6),B2440=10)),1,0)</f>
        <v>0</v>
      </c>
      <c r="AC2440" s="46" t="n">
        <f aca="false">IF(AND(E2440&gt;0,B2440=10),1,0)</f>
        <v>0</v>
      </c>
      <c r="AD2440" s="0" t="str">
        <f aca="false">IF(AND(C2439=C2440,AA2439=AA2440-1),AB2439,"")</f>
        <v/>
      </c>
      <c r="AE2440" s="0" t="str">
        <f aca="false">IF(AND(C2439=C2440,AA2439=AA2440-1),AC2439,"")</f>
        <v/>
      </c>
      <c r="AF2440" s="0" t="str">
        <f aca="false">IF(AA2440=1,"",IF(AND(AB2440=1,AD2440&lt;&gt;1),1,0))</f>
        <v/>
      </c>
      <c r="AG2440" s="0" t="str">
        <f aca="false">IF(AA2440=1,"",IF(AND(AC2440=1,AE2440&lt;&gt;1),1,0))</f>
        <v/>
      </c>
      <c r="AH2440" s="51" t="str">
        <f aca="false">IF(AND(E2440&gt;0,AA2440&lt;1,NOT(AND(C2441=C2440,AA2441=AA2440+1))),INDEX(DATAS,AA2440+1),"")</f>
        <v/>
      </c>
      <c r="AI2440" s="51" t="str">
        <f aca="false">IF(AND(AC2440=1,AA2440&lt;1),IF(AND(C2441=C2440,AA2441=AA2440+1),IF(AC2441=1,"",INDEX(DATAS,AA2440+1)),INDEX(DATAS,AA2440+1)),"")</f>
        <v/>
      </c>
    </row>
    <row r="2441" customFormat="false" ht="15" hidden="false" customHeight="false" outlineLevel="0" collapsed="false">
      <c r="A2441" s="51" t="n">
        <v>46309</v>
      </c>
      <c r="B2441" s="0" t="n">
        <v>8</v>
      </c>
      <c r="C2441" s="0" t="n">
        <v>6756</v>
      </c>
      <c r="E2441" s="0" t="n">
        <v>0</v>
      </c>
      <c r="F2441" s="46" t="s">
        <v>1285</v>
      </c>
      <c r="I2441" s="46" t="s">
        <v>152</v>
      </c>
      <c r="L2441" s="0" t="n">
        <v>50</v>
      </c>
      <c r="U2441" s="0" t="n">
        <v>452</v>
      </c>
      <c r="V2441" s="0" t="n">
        <v>1</v>
      </c>
      <c r="W2441" s="51" t="n">
        <v>46260</v>
      </c>
      <c r="X2441" s="46" t="n">
        <f aca="false">IF(I2441="Male",0,1)</f>
        <v>1</v>
      </c>
      <c r="Y2441" s="46" t="n">
        <f aca="false">IF(OR(I2441="DNB",I2441="Dry DNB"),1,0)</f>
        <v>0</v>
      </c>
      <c r="Z2441" s="46" t="n">
        <f aca="false">IF(ISNUMBER(W2441),A2441-W2441,"")</f>
        <v>49</v>
      </c>
      <c r="AA2441" s="46" t="n">
        <f aca="false">MATCH(A2441,DATAS,0)</f>
        <v>1</v>
      </c>
      <c r="AB2441" s="46" t="n">
        <f aca="false">IF(AND(E2441&gt;0,OR(AND(B2441&gt;=1,B2441&lt;=6),B2441=10)),1,0)</f>
        <v>0</v>
      </c>
      <c r="AC2441" s="46" t="n">
        <f aca="false">IF(AND(E2441&gt;0,B2441=10),1,0)</f>
        <v>0</v>
      </c>
      <c r="AD2441" s="0" t="str">
        <f aca="false">IF(AND(C2440=C2441,AA2440=AA2441-1),AB2440,"")</f>
        <v/>
      </c>
      <c r="AE2441" s="0" t="str">
        <f aca="false">IF(AND(C2440=C2441,AA2440=AA2441-1),AC2440,"")</f>
        <v/>
      </c>
      <c r="AF2441" s="0" t="str">
        <f aca="false">IF(AA2441=1,"",IF(AND(AB2441=1,AD2441&lt;&gt;1),1,0))</f>
        <v/>
      </c>
      <c r="AG2441" s="0" t="str">
        <f aca="false">IF(AA2441=1,"",IF(AND(AC2441=1,AE2441&lt;&gt;1),1,0))</f>
        <v/>
      </c>
      <c r="AH2441" s="51" t="str">
        <f aca="false">IF(AND(E2441&gt;0,AA2441&lt;1,NOT(AND(C2442=C2441,AA2442=AA2441+1))),INDEX(DATAS,AA2441+1),"")</f>
        <v/>
      </c>
      <c r="AI2441" s="51" t="str">
        <f aca="false">IF(AND(AC2441=1,AA2441&lt;1),IF(AND(C2442=C2441,AA2442=AA2441+1),IF(AC2442=1,"",INDEX(DATAS,AA2441+1)),INDEX(DATAS,AA2441+1)),"")</f>
        <v/>
      </c>
    </row>
    <row r="2442" customFormat="false" ht="15" hidden="false" customHeight="false" outlineLevel="0" collapsed="false">
      <c r="A2442" s="51" t="n">
        <v>46309</v>
      </c>
      <c r="B2442" s="0" t="n">
        <v>8</v>
      </c>
      <c r="C2442" s="0" t="n">
        <v>6757</v>
      </c>
      <c r="E2442" s="0" t="n">
        <v>0</v>
      </c>
      <c r="F2442" s="46" t="s">
        <v>1285</v>
      </c>
      <c r="I2442" s="46" t="s">
        <v>152</v>
      </c>
      <c r="L2442" s="0" t="n">
        <v>57</v>
      </c>
      <c r="U2442" s="0" t="n">
        <v>452</v>
      </c>
      <c r="V2442" s="0" t="n">
        <v>1</v>
      </c>
      <c r="W2442" s="51" t="n">
        <v>46253</v>
      </c>
      <c r="X2442" s="46" t="n">
        <f aca="false">IF(I2442="Male",0,1)</f>
        <v>1</v>
      </c>
      <c r="Y2442" s="46" t="n">
        <f aca="false">IF(OR(I2442="DNB",I2442="Dry DNB"),1,0)</f>
        <v>0</v>
      </c>
      <c r="Z2442" s="46" t="n">
        <f aca="false">IF(ISNUMBER(W2442),A2442-W2442,"")</f>
        <v>56</v>
      </c>
      <c r="AA2442" s="46" t="n">
        <f aca="false">MATCH(A2442,DATAS,0)</f>
        <v>1</v>
      </c>
      <c r="AB2442" s="46" t="n">
        <f aca="false">IF(AND(E2442&gt;0,OR(AND(B2442&gt;=1,B2442&lt;=6),B2442=10)),1,0)</f>
        <v>0</v>
      </c>
      <c r="AC2442" s="46" t="n">
        <f aca="false">IF(AND(E2442&gt;0,B2442=10),1,0)</f>
        <v>0</v>
      </c>
      <c r="AD2442" s="0" t="str">
        <f aca="false">IF(AND(C2441=C2442,AA2441=AA2442-1),AB2441,"")</f>
        <v/>
      </c>
      <c r="AE2442" s="0" t="str">
        <f aca="false">IF(AND(C2441=C2442,AA2441=AA2442-1),AC2441,"")</f>
        <v/>
      </c>
      <c r="AF2442" s="0" t="str">
        <f aca="false">IF(AA2442=1,"",IF(AND(AB2442=1,AD2442&lt;&gt;1),1,0))</f>
        <v/>
      </c>
      <c r="AG2442" s="0" t="str">
        <f aca="false">IF(AA2442=1,"",IF(AND(AC2442=1,AE2442&lt;&gt;1),1,0))</f>
        <v/>
      </c>
      <c r="AH2442" s="51" t="str">
        <f aca="false">IF(AND(E2442&gt;0,AA2442&lt;1,NOT(AND(C2443=C2442,AA2443=AA2442+1))),INDEX(DATAS,AA2442+1),"")</f>
        <v/>
      </c>
      <c r="AI2442" s="51" t="str">
        <f aca="false">IF(AND(AC2442=1,AA2442&lt;1),IF(AND(C2443=C2442,AA2443=AA2442+1),IF(AC2443=1,"",INDEX(DATAS,AA2442+1)),INDEX(DATAS,AA2442+1)),"")</f>
        <v/>
      </c>
    </row>
    <row r="2443" customFormat="false" ht="15" hidden="false" customHeight="false" outlineLevel="0" collapsed="false">
      <c r="A2443" s="51" t="n">
        <v>46309</v>
      </c>
      <c r="B2443" s="0" t="n">
        <v>11</v>
      </c>
      <c r="C2443" s="0" t="n">
        <v>6758</v>
      </c>
      <c r="E2443" s="0" t="n">
        <v>0</v>
      </c>
      <c r="F2443" s="46" t="s">
        <v>1285</v>
      </c>
      <c r="I2443" s="46" t="s">
        <v>181</v>
      </c>
      <c r="U2443" s="0" t="n">
        <v>452</v>
      </c>
      <c r="V2443" s="0" t="n">
        <v>2</v>
      </c>
      <c r="W2443" s="51" t="n">
        <v>46289</v>
      </c>
      <c r="X2443" s="46" t="n">
        <f aca="false">IF(I2443="Male",0,1)</f>
        <v>1</v>
      </c>
      <c r="Y2443" s="46" t="n">
        <f aca="false">IF(OR(I2443="DNB",I2443="Dry DNB"),1,0)</f>
        <v>0</v>
      </c>
      <c r="Z2443" s="46" t="n">
        <f aca="false">IF(ISNUMBER(W2443),A2443-W2443,"")</f>
        <v>20</v>
      </c>
      <c r="AA2443" s="46" t="n">
        <f aca="false">MATCH(A2443,DATAS,0)</f>
        <v>1</v>
      </c>
      <c r="AB2443" s="46" t="n">
        <f aca="false">IF(AND(E2443&gt;0,OR(AND(B2443&gt;=1,B2443&lt;=6),B2443=10)),1,0)</f>
        <v>0</v>
      </c>
      <c r="AC2443" s="46" t="n">
        <f aca="false">IF(AND(E2443&gt;0,B2443=10),1,0)</f>
        <v>0</v>
      </c>
      <c r="AD2443" s="0" t="str">
        <f aca="false">IF(AND(C2442=C2443,AA2442=AA2443-1),AB2442,"")</f>
        <v/>
      </c>
      <c r="AE2443" s="0" t="str">
        <f aca="false">IF(AND(C2442=C2443,AA2442=AA2443-1),AC2442,"")</f>
        <v/>
      </c>
      <c r="AF2443" s="0" t="str">
        <f aca="false">IF(AA2443=1,"",IF(AND(AB2443=1,AD2443&lt;&gt;1),1,0))</f>
        <v/>
      </c>
      <c r="AG2443" s="0" t="str">
        <f aca="false">IF(AA2443=1,"",IF(AND(AC2443=1,AE2443&lt;&gt;1),1,0))</f>
        <v/>
      </c>
      <c r="AH2443" s="51" t="str">
        <f aca="false">IF(AND(E2443&gt;0,AA2443&lt;1,NOT(AND(C2444=C2443,AA2444=AA2443+1))),INDEX(DATAS,AA2443+1),"")</f>
        <v/>
      </c>
      <c r="AI2443" s="51" t="str">
        <f aca="false">IF(AND(AC2443=1,AA2443&lt;1),IF(AND(C2444=C2443,AA2444=AA2443+1),IF(AC2444=1,"",INDEX(DATAS,AA2443+1)),INDEX(DATAS,AA2443+1)),"")</f>
        <v/>
      </c>
    </row>
    <row r="2444" customFormat="false" ht="15" hidden="false" customHeight="false" outlineLevel="0" collapsed="false">
      <c r="A2444" s="51" t="n">
        <v>46309</v>
      </c>
      <c r="B2444" s="0" t="n">
        <v>11</v>
      </c>
      <c r="C2444" s="0" t="n">
        <v>6759</v>
      </c>
      <c r="E2444" s="0" t="n">
        <v>0</v>
      </c>
      <c r="F2444" s="46" t="s">
        <v>1285</v>
      </c>
      <c r="I2444" s="46" t="s">
        <v>181</v>
      </c>
      <c r="U2444" s="0" t="n">
        <v>452</v>
      </c>
      <c r="V2444" s="0" t="n">
        <v>2</v>
      </c>
      <c r="W2444" s="51" t="n">
        <v>46286</v>
      </c>
      <c r="X2444" s="46" t="n">
        <f aca="false">IF(I2444="Male",0,1)</f>
        <v>1</v>
      </c>
      <c r="Y2444" s="46" t="n">
        <f aca="false">IF(OR(I2444="DNB",I2444="Dry DNB"),1,0)</f>
        <v>0</v>
      </c>
      <c r="Z2444" s="46" t="n">
        <f aca="false">IF(ISNUMBER(W2444),A2444-W2444,"")</f>
        <v>23</v>
      </c>
      <c r="AA2444" s="46" t="n">
        <f aca="false">MATCH(A2444,DATAS,0)</f>
        <v>1</v>
      </c>
      <c r="AB2444" s="46" t="n">
        <f aca="false">IF(AND(E2444&gt;0,OR(AND(B2444&gt;=1,B2444&lt;=6),B2444=10)),1,0)</f>
        <v>0</v>
      </c>
      <c r="AC2444" s="46" t="n">
        <f aca="false">IF(AND(E2444&gt;0,B2444=10),1,0)</f>
        <v>0</v>
      </c>
      <c r="AD2444" s="0" t="str">
        <f aca="false">IF(AND(C2443=C2444,AA2443=AA2444-1),AB2443,"")</f>
        <v/>
      </c>
      <c r="AE2444" s="0" t="str">
        <f aca="false">IF(AND(C2443=C2444,AA2443=AA2444-1),AC2443,"")</f>
        <v/>
      </c>
      <c r="AF2444" s="0" t="str">
        <f aca="false">IF(AA2444=1,"",IF(AND(AB2444=1,AD2444&lt;&gt;1),1,0))</f>
        <v/>
      </c>
      <c r="AG2444" s="0" t="str">
        <f aca="false">IF(AA2444=1,"",IF(AND(AC2444=1,AE2444&lt;&gt;1),1,0))</f>
        <v/>
      </c>
      <c r="AH2444" s="51" t="str">
        <f aca="false">IF(AND(E2444&gt;0,AA2444&lt;1,NOT(AND(C2445=C2444,AA2445=AA2444+1))),INDEX(DATAS,AA2444+1),"")</f>
        <v/>
      </c>
      <c r="AI2444" s="51" t="str">
        <f aca="false">IF(AND(AC2444=1,AA2444&lt;1),IF(AND(C2445=C2444,AA2445=AA2444+1),IF(AC2445=1,"",INDEX(DATAS,AA2444+1)),INDEX(DATAS,AA2444+1)),"")</f>
        <v/>
      </c>
    </row>
    <row r="2445" customFormat="false" ht="15" hidden="false" customHeight="false" outlineLevel="0" collapsed="false">
      <c r="A2445" s="51" t="n">
        <v>46309</v>
      </c>
      <c r="B2445" s="0" t="n">
        <v>8</v>
      </c>
      <c r="C2445" s="0" t="n">
        <v>6760</v>
      </c>
      <c r="E2445" s="0" t="n">
        <v>0</v>
      </c>
      <c r="F2445" s="46" t="s">
        <v>1285</v>
      </c>
      <c r="I2445" s="46" t="s">
        <v>152</v>
      </c>
      <c r="L2445" s="0" t="n">
        <v>57</v>
      </c>
      <c r="U2445" s="0" t="n">
        <v>452</v>
      </c>
      <c r="V2445" s="0" t="n">
        <v>1</v>
      </c>
      <c r="W2445" s="51" t="n">
        <v>46253</v>
      </c>
      <c r="X2445" s="46" t="n">
        <f aca="false">IF(I2445="Male",0,1)</f>
        <v>1</v>
      </c>
      <c r="Y2445" s="46" t="n">
        <f aca="false">IF(OR(I2445="DNB",I2445="Dry DNB"),1,0)</f>
        <v>0</v>
      </c>
      <c r="Z2445" s="46" t="n">
        <f aca="false">IF(ISNUMBER(W2445),A2445-W2445,"")</f>
        <v>56</v>
      </c>
      <c r="AA2445" s="46" t="n">
        <f aca="false">MATCH(A2445,DATAS,0)</f>
        <v>1</v>
      </c>
      <c r="AB2445" s="46" t="n">
        <f aca="false">IF(AND(E2445&gt;0,OR(AND(B2445&gt;=1,B2445&lt;=6),B2445=10)),1,0)</f>
        <v>0</v>
      </c>
      <c r="AC2445" s="46" t="n">
        <f aca="false">IF(AND(E2445&gt;0,B2445=10),1,0)</f>
        <v>0</v>
      </c>
      <c r="AD2445" s="0" t="str">
        <f aca="false">IF(AND(C2444=C2445,AA2444=AA2445-1),AB2444,"")</f>
        <v/>
      </c>
      <c r="AE2445" s="0" t="str">
        <f aca="false">IF(AND(C2444=C2445,AA2444=AA2445-1),AC2444,"")</f>
        <v/>
      </c>
      <c r="AF2445" s="0" t="str">
        <f aca="false">IF(AA2445=1,"",IF(AND(AB2445=1,AD2445&lt;&gt;1),1,0))</f>
        <v/>
      </c>
      <c r="AG2445" s="0" t="str">
        <f aca="false">IF(AA2445=1,"",IF(AND(AC2445=1,AE2445&lt;&gt;1),1,0))</f>
        <v/>
      </c>
      <c r="AH2445" s="51" t="str">
        <f aca="false">IF(AND(E2445&gt;0,AA2445&lt;1,NOT(AND(C2446=C2445,AA2446=AA2445+1))),INDEX(DATAS,AA2445+1),"")</f>
        <v/>
      </c>
      <c r="AI2445" s="51" t="str">
        <f aca="false">IF(AND(AC2445=1,AA2445&lt;1),IF(AND(C2446=C2445,AA2446=AA2445+1),IF(AC2446=1,"",INDEX(DATAS,AA2445+1)),INDEX(DATAS,AA2445+1)),"")</f>
        <v/>
      </c>
    </row>
    <row r="2446" customFormat="false" ht="15" hidden="false" customHeight="false" outlineLevel="0" collapsed="false">
      <c r="A2446" s="51" t="n">
        <v>46309</v>
      </c>
      <c r="B2446" s="0" t="n">
        <v>8</v>
      </c>
      <c r="C2446" s="0" t="n">
        <v>6761</v>
      </c>
      <c r="E2446" s="0" t="n">
        <v>0</v>
      </c>
      <c r="F2446" s="46" t="s">
        <v>1285</v>
      </c>
      <c r="I2446" s="46" t="s">
        <v>152</v>
      </c>
      <c r="L2446" s="0" t="n">
        <v>50</v>
      </c>
      <c r="U2446" s="0" t="n">
        <v>452</v>
      </c>
      <c r="V2446" s="0" t="n">
        <v>1</v>
      </c>
      <c r="W2446" s="51" t="n">
        <v>46260</v>
      </c>
      <c r="X2446" s="46" t="n">
        <f aca="false">IF(I2446="Male",0,1)</f>
        <v>1</v>
      </c>
      <c r="Y2446" s="46" t="n">
        <f aca="false">IF(OR(I2446="DNB",I2446="Dry DNB"),1,0)</f>
        <v>0</v>
      </c>
      <c r="Z2446" s="46" t="n">
        <f aca="false">IF(ISNUMBER(W2446),A2446-W2446,"")</f>
        <v>49</v>
      </c>
      <c r="AA2446" s="46" t="n">
        <f aca="false">MATCH(A2446,DATAS,0)</f>
        <v>1</v>
      </c>
      <c r="AB2446" s="46" t="n">
        <f aca="false">IF(AND(E2446&gt;0,OR(AND(B2446&gt;=1,B2446&lt;=6),B2446=10)),1,0)</f>
        <v>0</v>
      </c>
      <c r="AC2446" s="46" t="n">
        <f aca="false">IF(AND(E2446&gt;0,B2446=10),1,0)</f>
        <v>0</v>
      </c>
      <c r="AD2446" s="0" t="str">
        <f aca="false">IF(AND(C2445=C2446,AA2445=AA2446-1),AB2445,"")</f>
        <v/>
      </c>
      <c r="AE2446" s="0" t="str">
        <f aca="false">IF(AND(C2445=C2446,AA2445=AA2446-1),AC2445,"")</f>
        <v/>
      </c>
      <c r="AF2446" s="0" t="str">
        <f aca="false">IF(AA2446=1,"",IF(AND(AB2446=1,AD2446&lt;&gt;1),1,0))</f>
        <v/>
      </c>
      <c r="AG2446" s="0" t="str">
        <f aca="false">IF(AA2446=1,"",IF(AND(AC2446=1,AE2446&lt;&gt;1),1,0))</f>
        <v/>
      </c>
      <c r="AH2446" s="51" t="str">
        <f aca="false">IF(AND(E2446&gt;0,AA2446&lt;1,NOT(AND(C2447=C2446,AA2447=AA2446+1))),INDEX(DATAS,AA2446+1),"")</f>
        <v/>
      </c>
      <c r="AI2446" s="51" t="str">
        <f aca="false">IF(AND(AC2446=1,AA2446&lt;1),IF(AND(C2447=C2446,AA2447=AA2446+1),IF(AC2447=1,"",INDEX(DATAS,AA2446+1)),INDEX(DATAS,AA2446+1)),"")</f>
        <v/>
      </c>
    </row>
    <row r="2447" customFormat="false" ht="15" hidden="false" customHeight="false" outlineLevel="0" collapsed="false">
      <c r="A2447" s="51" t="n">
        <v>46309</v>
      </c>
      <c r="B2447" s="0" t="n">
        <v>11</v>
      </c>
      <c r="C2447" s="0" t="n">
        <v>6763</v>
      </c>
      <c r="E2447" s="0" t="n">
        <v>0</v>
      </c>
      <c r="F2447" s="46" t="s">
        <v>1286</v>
      </c>
      <c r="I2447" s="46" t="s">
        <v>181</v>
      </c>
      <c r="U2447" s="0" t="n">
        <v>450</v>
      </c>
      <c r="V2447" s="0" t="n">
        <v>3</v>
      </c>
      <c r="W2447" s="51" t="n">
        <v>46300</v>
      </c>
      <c r="X2447" s="46" t="n">
        <f aca="false">IF(I2447="Male",0,1)</f>
        <v>1</v>
      </c>
      <c r="Y2447" s="46" t="n">
        <f aca="false">IF(OR(I2447="DNB",I2447="Dry DNB"),1,0)</f>
        <v>0</v>
      </c>
      <c r="Z2447" s="46" t="n">
        <f aca="false">IF(ISNUMBER(W2447),A2447-W2447,"")</f>
        <v>9</v>
      </c>
      <c r="AA2447" s="46" t="n">
        <f aca="false">MATCH(A2447,DATAS,0)</f>
        <v>1</v>
      </c>
      <c r="AB2447" s="46" t="n">
        <f aca="false">IF(AND(E2447&gt;0,OR(AND(B2447&gt;=1,B2447&lt;=6),B2447=10)),1,0)</f>
        <v>0</v>
      </c>
      <c r="AC2447" s="46" t="n">
        <f aca="false">IF(AND(E2447&gt;0,B2447=10),1,0)</f>
        <v>0</v>
      </c>
      <c r="AD2447" s="0" t="str">
        <f aca="false">IF(AND(C2446=C2447,AA2446=AA2447-1),AB2446,"")</f>
        <v/>
      </c>
      <c r="AE2447" s="0" t="str">
        <f aca="false">IF(AND(C2446=C2447,AA2446=AA2447-1),AC2446,"")</f>
        <v/>
      </c>
      <c r="AF2447" s="0" t="str">
        <f aca="false">IF(AA2447=1,"",IF(AND(AB2447=1,AD2447&lt;&gt;1),1,0))</f>
        <v/>
      </c>
      <c r="AG2447" s="0" t="str">
        <f aca="false">IF(AA2447=1,"",IF(AND(AC2447=1,AE2447&lt;&gt;1),1,0))</f>
        <v/>
      </c>
      <c r="AH2447" s="51" t="str">
        <f aca="false">IF(AND(E2447&gt;0,AA2447&lt;1,NOT(AND(C2448=C2447,AA2448=AA2447+1))),INDEX(DATAS,AA2447+1),"")</f>
        <v/>
      </c>
      <c r="AI2447" s="51" t="str">
        <f aca="false">IF(AND(AC2447=1,AA2447&lt;1),IF(AND(C2448=C2447,AA2448=AA2447+1),IF(AC2448=1,"",INDEX(DATAS,AA2447+1)),INDEX(DATAS,AA2447+1)),"")</f>
        <v/>
      </c>
    </row>
    <row r="2448" customFormat="false" ht="15" hidden="false" customHeight="false" outlineLevel="0" collapsed="false">
      <c r="A2448" s="51" t="n">
        <v>46309</v>
      </c>
      <c r="B2448" s="0" t="n">
        <v>8</v>
      </c>
      <c r="C2448" s="0" t="n">
        <v>6764</v>
      </c>
      <c r="E2448" s="0" t="n">
        <v>0</v>
      </c>
      <c r="F2448" s="46" t="s">
        <v>1286</v>
      </c>
      <c r="I2448" s="46" t="s">
        <v>152</v>
      </c>
      <c r="L2448" s="0" t="n">
        <v>57</v>
      </c>
      <c r="U2448" s="0" t="n">
        <v>450</v>
      </c>
      <c r="V2448" s="0" t="n">
        <v>1</v>
      </c>
      <c r="W2448" s="51" t="n">
        <v>46253</v>
      </c>
      <c r="X2448" s="46" t="n">
        <f aca="false">IF(I2448="Male",0,1)</f>
        <v>1</v>
      </c>
      <c r="Y2448" s="46" t="n">
        <f aca="false">IF(OR(I2448="DNB",I2448="Dry DNB"),1,0)</f>
        <v>0</v>
      </c>
      <c r="Z2448" s="46" t="n">
        <f aca="false">IF(ISNUMBER(W2448),A2448-W2448,"")</f>
        <v>56</v>
      </c>
      <c r="AA2448" s="46" t="n">
        <f aca="false">MATCH(A2448,DATAS,0)</f>
        <v>1</v>
      </c>
      <c r="AB2448" s="46" t="n">
        <f aca="false">IF(AND(E2448&gt;0,OR(AND(B2448&gt;=1,B2448&lt;=6),B2448=10)),1,0)</f>
        <v>0</v>
      </c>
      <c r="AC2448" s="46" t="n">
        <f aca="false">IF(AND(E2448&gt;0,B2448=10),1,0)</f>
        <v>0</v>
      </c>
      <c r="AD2448" s="0" t="str">
        <f aca="false">IF(AND(C2447=C2448,AA2447=AA2448-1),AB2447,"")</f>
        <v/>
      </c>
      <c r="AE2448" s="0" t="str">
        <f aca="false">IF(AND(C2447=C2448,AA2447=AA2448-1),AC2447,"")</f>
        <v/>
      </c>
      <c r="AF2448" s="0" t="str">
        <f aca="false">IF(AA2448=1,"",IF(AND(AB2448=1,AD2448&lt;&gt;1),1,0))</f>
        <v/>
      </c>
      <c r="AG2448" s="0" t="str">
        <f aca="false">IF(AA2448=1,"",IF(AND(AC2448=1,AE2448&lt;&gt;1),1,0))</f>
        <v/>
      </c>
      <c r="AH2448" s="51" t="str">
        <f aca="false">IF(AND(E2448&gt;0,AA2448&lt;1,NOT(AND(C2449=C2448,AA2449=AA2448+1))),INDEX(DATAS,AA2448+1),"")</f>
        <v/>
      </c>
      <c r="AI2448" s="51" t="str">
        <f aca="false">IF(AND(AC2448=1,AA2448&lt;1),IF(AND(C2449=C2448,AA2449=AA2448+1),IF(AC2449=1,"",INDEX(DATAS,AA2448+1)),INDEX(DATAS,AA2448+1)),"")</f>
        <v/>
      </c>
    </row>
    <row r="2449" customFormat="false" ht="15" hidden="false" customHeight="false" outlineLevel="0" collapsed="false">
      <c r="A2449" s="51" t="n">
        <v>46309</v>
      </c>
      <c r="B2449" s="0" t="n">
        <v>8</v>
      </c>
      <c r="C2449" s="0" t="n">
        <v>6765</v>
      </c>
      <c r="E2449" s="0" t="n">
        <v>0</v>
      </c>
      <c r="F2449" s="46" t="s">
        <v>1287</v>
      </c>
      <c r="I2449" s="46" t="s">
        <v>152</v>
      </c>
      <c r="L2449" s="0" t="n">
        <v>37</v>
      </c>
      <c r="U2449" s="0" t="n">
        <v>448</v>
      </c>
      <c r="V2449" s="0" t="n">
        <v>2</v>
      </c>
      <c r="W2449" s="51" t="n">
        <v>46273</v>
      </c>
      <c r="X2449" s="46" t="n">
        <f aca="false">IF(I2449="Male",0,1)</f>
        <v>1</v>
      </c>
      <c r="Y2449" s="46" t="n">
        <f aca="false">IF(OR(I2449="DNB",I2449="Dry DNB"),1,0)</f>
        <v>0</v>
      </c>
      <c r="Z2449" s="46" t="n">
        <f aca="false">IF(ISNUMBER(W2449),A2449-W2449,"")</f>
        <v>36</v>
      </c>
      <c r="AA2449" s="46" t="n">
        <f aca="false">MATCH(A2449,DATAS,0)</f>
        <v>1</v>
      </c>
      <c r="AB2449" s="46" t="n">
        <f aca="false">IF(AND(E2449&gt;0,OR(AND(B2449&gt;=1,B2449&lt;=6),B2449=10)),1,0)</f>
        <v>0</v>
      </c>
      <c r="AC2449" s="46" t="n">
        <f aca="false">IF(AND(E2449&gt;0,B2449=10),1,0)</f>
        <v>0</v>
      </c>
      <c r="AD2449" s="0" t="str">
        <f aca="false">IF(AND(C2448=C2449,AA2448=AA2449-1),AB2448,"")</f>
        <v/>
      </c>
      <c r="AE2449" s="0" t="str">
        <f aca="false">IF(AND(C2448=C2449,AA2448=AA2449-1),AC2448,"")</f>
        <v/>
      </c>
      <c r="AF2449" s="0" t="str">
        <f aca="false">IF(AA2449=1,"",IF(AND(AB2449=1,AD2449&lt;&gt;1),1,0))</f>
        <v/>
      </c>
      <c r="AG2449" s="0" t="str">
        <f aca="false">IF(AA2449=1,"",IF(AND(AC2449=1,AE2449&lt;&gt;1),1,0))</f>
        <v/>
      </c>
      <c r="AH2449" s="51" t="str">
        <f aca="false">IF(AND(E2449&gt;0,AA2449&lt;1,NOT(AND(C2450=C2449,AA2450=AA2449+1))),INDEX(DATAS,AA2449+1),"")</f>
        <v/>
      </c>
      <c r="AI2449" s="51" t="str">
        <f aca="false">IF(AND(AC2449=1,AA2449&lt;1),IF(AND(C2450=C2449,AA2450=AA2449+1),IF(AC2450=1,"",INDEX(DATAS,AA2449+1)),INDEX(DATAS,AA2449+1)),"")</f>
        <v/>
      </c>
    </row>
    <row r="2450" customFormat="false" ht="15" hidden="false" customHeight="false" outlineLevel="0" collapsed="false">
      <c r="A2450" s="51" t="n">
        <v>46309</v>
      </c>
      <c r="B2450" s="0" t="n">
        <v>11</v>
      </c>
      <c r="C2450" s="0" t="n">
        <v>6767</v>
      </c>
      <c r="E2450" s="0" t="n">
        <v>0</v>
      </c>
      <c r="F2450" s="46" t="s">
        <v>1287</v>
      </c>
      <c r="I2450" s="46" t="s">
        <v>181</v>
      </c>
      <c r="U2450" s="0" t="n">
        <v>448</v>
      </c>
      <c r="V2450" s="0" t="n">
        <v>3</v>
      </c>
      <c r="W2450" s="51" t="n">
        <v>46294</v>
      </c>
      <c r="X2450" s="46" t="n">
        <f aca="false">IF(I2450="Male",0,1)</f>
        <v>1</v>
      </c>
      <c r="Y2450" s="46" t="n">
        <f aca="false">IF(OR(I2450="DNB",I2450="Dry DNB"),1,0)</f>
        <v>0</v>
      </c>
      <c r="Z2450" s="46" t="n">
        <f aca="false">IF(ISNUMBER(W2450),A2450-W2450,"")</f>
        <v>15</v>
      </c>
      <c r="AA2450" s="46" t="n">
        <f aca="false">MATCH(A2450,DATAS,0)</f>
        <v>1</v>
      </c>
      <c r="AB2450" s="46" t="n">
        <f aca="false">IF(AND(E2450&gt;0,OR(AND(B2450&gt;=1,B2450&lt;=6),B2450=10)),1,0)</f>
        <v>0</v>
      </c>
      <c r="AC2450" s="46" t="n">
        <f aca="false">IF(AND(E2450&gt;0,B2450=10),1,0)</f>
        <v>0</v>
      </c>
      <c r="AD2450" s="0" t="str">
        <f aca="false">IF(AND(C2449=C2450,AA2449=AA2450-1),AB2449,"")</f>
        <v/>
      </c>
      <c r="AE2450" s="0" t="str">
        <f aca="false">IF(AND(C2449=C2450,AA2449=AA2450-1),AC2449,"")</f>
        <v/>
      </c>
      <c r="AF2450" s="0" t="str">
        <f aca="false">IF(AA2450=1,"",IF(AND(AB2450=1,AD2450&lt;&gt;1),1,0))</f>
        <v/>
      </c>
      <c r="AG2450" s="0" t="str">
        <f aca="false">IF(AA2450=1,"",IF(AND(AC2450=1,AE2450&lt;&gt;1),1,0))</f>
        <v/>
      </c>
      <c r="AH2450" s="51" t="str">
        <f aca="false">IF(AND(E2450&gt;0,AA2450&lt;1,NOT(AND(C2451=C2450,AA2451=AA2450+1))),INDEX(DATAS,AA2450+1),"")</f>
        <v/>
      </c>
      <c r="AI2450" s="51" t="str">
        <f aca="false">IF(AND(AC2450=1,AA2450&lt;1),IF(AND(C2451=C2450,AA2451=AA2450+1),IF(AC2451=1,"",INDEX(DATAS,AA2450+1)),INDEX(DATAS,AA2450+1)),"")</f>
        <v/>
      </c>
    </row>
    <row r="2451" customFormat="false" ht="15" hidden="false" customHeight="false" outlineLevel="0" collapsed="false">
      <c r="A2451" s="51" t="n">
        <v>46309</v>
      </c>
      <c r="B2451" s="0" t="n">
        <v>8</v>
      </c>
      <c r="C2451" s="0" t="n">
        <v>6768</v>
      </c>
      <c r="E2451" s="0" t="n">
        <v>0</v>
      </c>
      <c r="F2451" s="46" t="s">
        <v>1287</v>
      </c>
      <c r="I2451" s="46" t="s">
        <v>152</v>
      </c>
      <c r="L2451" s="0" t="n">
        <v>27</v>
      </c>
      <c r="U2451" s="0" t="n">
        <v>448</v>
      </c>
      <c r="V2451" s="0" t="n">
        <v>2</v>
      </c>
      <c r="W2451" s="51" t="n">
        <v>46283</v>
      </c>
      <c r="X2451" s="46" t="n">
        <f aca="false">IF(I2451="Male",0,1)</f>
        <v>1</v>
      </c>
      <c r="Y2451" s="46" t="n">
        <f aca="false">IF(OR(I2451="DNB",I2451="Dry DNB"),1,0)</f>
        <v>0</v>
      </c>
      <c r="Z2451" s="46" t="n">
        <f aca="false">IF(ISNUMBER(W2451),A2451-W2451,"")</f>
        <v>26</v>
      </c>
      <c r="AA2451" s="46" t="n">
        <f aca="false">MATCH(A2451,DATAS,0)</f>
        <v>1</v>
      </c>
      <c r="AB2451" s="46" t="n">
        <f aca="false">IF(AND(E2451&gt;0,OR(AND(B2451&gt;=1,B2451&lt;=6),B2451=10)),1,0)</f>
        <v>0</v>
      </c>
      <c r="AC2451" s="46" t="n">
        <f aca="false">IF(AND(E2451&gt;0,B2451=10),1,0)</f>
        <v>0</v>
      </c>
      <c r="AD2451" s="0" t="str">
        <f aca="false">IF(AND(C2450=C2451,AA2450=AA2451-1),AB2450,"")</f>
        <v/>
      </c>
      <c r="AE2451" s="0" t="str">
        <f aca="false">IF(AND(C2450=C2451,AA2450=AA2451-1),AC2450,"")</f>
        <v/>
      </c>
      <c r="AF2451" s="0" t="str">
        <f aca="false">IF(AA2451=1,"",IF(AND(AB2451=1,AD2451&lt;&gt;1),1,0))</f>
        <v/>
      </c>
      <c r="AG2451" s="0" t="str">
        <f aca="false">IF(AA2451=1,"",IF(AND(AC2451=1,AE2451&lt;&gt;1),1,0))</f>
        <v/>
      </c>
      <c r="AH2451" s="51" t="str">
        <f aca="false">IF(AND(E2451&gt;0,AA2451&lt;1,NOT(AND(C2452=C2451,AA2452=AA2451+1))),INDEX(DATAS,AA2451+1),"")</f>
        <v/>
      </c>
      <c r="AI2451" s="51" t="str">
        <f aca="false">IF(AND(AC2451=1,AA2451&lt;1),IF(AND(C2452=C2451,AA2452=AA2451+1),IF(AC2452=1,"",INDEX(DATAS,AA2451+1)),INDEX(DATAS,AA2451+1)),"")</f>
        <v/>
      </c>
    </row>
    <row r="2452" customFormat="false" ht="15" hidden="false" customHeight="false" outlineLevel="0" collapsed="false">
      <c r="A2452" s="51" t="n">
        <v>46309</v>
      </c>
      <c r="B2452" s="0" t="n">
        <v>8</v>
      </c>
      <c r="C2452" s="0" t="n">
        <v>6770</v>
      </c>
      <c r="E2452" s="0" t="n">
        <v>0</v>
      </c>
      <c r="F2452" s="46" t="s">
        <v>1288</v>
      </c>
      <c r="I2452" s="46" t="s">
        <v>152</v>
      </c>
      <c r="L2452" s="0" t="n">
        <v>28</v>
      </c>
      <c r="U2452" s="0" t="n">
        <v>446</v>
      </c>
      <c r="V2452" s="0" t="n">
        <v>1</v>
      </c>
      <c r="W2452" s="51" t="n">
        <v>46282</v>
      </c>
      <c r="X2452" s="46" t="n">
        <f aca="false">IF(I2452="Male",0,1)</f>
        <v>1</v>
      </c>
      <c r="Y2452" s="46" t="n">
        <f aca="false">IF(OR(I2452="DNB",I2452="Dry DNB"),1,0)</f>
        <v>0</v>
      </c>
      <c r="Z2452" s="46" t="n">
        <f aca="false">IF(ISNUMBER(W2452),A2452-W2452,"")</f>
        <v>27</v>
      </c>
      <c r="AA2452" s="46" t="n">
        <f aca="false">MATCH(A2452,DATAS,0)</f>
        <v>1</v>
      </c>
      <c r="AB2452" s="46" t="n">
        <f aca="false">IF(AND(E2452&gt;0,OR(AND(B2452&gt;=1,B2452&lt;=6),B2452=10)),1,0)</f>
        <v>0</v>
      </c>
      <c r="AC2452" s="46" t="n">
        <f aca="false">IF(AND(E2452&gt;0,B2452=10),1,0)</f>
        <v>0</v>
      </c>
      <c r="AD2452" s="0" t="str">
        <f aca="false">IF(AND(C2451=C2452,AA2451=AA2452-1),AB2451,"")</f>
        <v/>
      </c>
      <c r="AE2452" s="0" t="str">
        <f aca="false">IF(AND(C2451=C2452,AA2451=AA2452-1),AC2451,"")</f>
        <v/>
      </c>
      <c r="AF2452" s="0" t="str">
        <f aca="false">IF(AA2452=1,"",IF(AND(AB2452=1,AD2452&lt;&gt;1),1,0))</f>
        <v/>
      </c>
      <c r="AG2452" s="0" t="str">
        <f aca="false">IF(AA2452=1,"",IF(AND(AC2452=1,AE2452&lt;&gt;1),1,0))</f>
        <v/>
      </c>
      <c r="AH2452" s="51" t="str">
        <f aca="false">IF(AND(E2452&gt;0,AA2452&lt;1,NOT(AND(C2453=C2452,AA2453=AA2452+1))),INDEX(DATAS,AA2452+1),"")</f>
        <v/>
      </c>
      <c r="AI2452" s="51" t="str">
        <f aca="false">IF(AND(AC2452=1,AA2452&lt;1),IF(AND(C2453=C2452,AA2453=AA2452+1),IF(AC2453=1,"",INDEX(DATAS,AA2452+1)),INDEX(DATAS,AA2452+1)),"")</f>
        <v/>
      </c>
    </row>
    <row r="2453" customFormat="false" ht="15" hidden="false" customHeight="false" outlineLevel="0" collapsed="false">
      <c r="A2453" s="51" t="n">
        <v>46309</v>
      </c>
      <c r="B2453" s="0" t="n">
        <v>8</v>
      </c>
      <c r="C2453" s="0" t="n">
        <v>6771</v>
      </c>
      <c r="E2453" s="0" t="n">
        <v>0</v>
      </c>
      <c r="F2453" s="46" t="s">
        <v>1288</v>
      </c>
      <c r="I2453" s="46" t="s">
        <v>152</v>
      </c>
      <c r="L2453" s="0" t="n">
        <v>42</v>
      </c>
      <c r="U2453" s="0" t="n">
        <v>446</v>
      </c>
      <c r="V2453" s="0" t="n">
        <v>1</v>
      </c>
      <c r="W2453" s="51" t="n">
        <v>46268</v>
      </c>
      <c r="X2453" s="46" t="n">
        <f aca="false">IF(I2453="Male",0,1)</f>
        <v>1</v>
      </c>
      <c r="Y2453" s="46" t="n">
        <f aca="false">IF(OR(I2453="DNB",I2453="Dry DNB"),1,0)</f>
        <v>0</v>
      </c>
      <c r="Z2453" s="46" t="n">
        <f aca="false">IF(ISNUMBER(W2453),A2453-W2453,"")</f>
        <v>41</v>
      </c>
      <c r="AA2453" s="46" t="n">
        <f aca="false">MATCH(A2453,DATAS,0)</f>
        <v>1</v>
      </c>
      <c r="AB2453" s="46" t="n">
        <f aca="false">IF(AND(E2453&gt;0,OR(AND(B2453&gt;=1,B2453&lt;=6),B2453=10)),1,0)</f>
        <v>0</v>
      </c>
      <c r="AC2453" s="46" t="n">
        <f aca="false">IF(AND(E2453&gt;0,B2453=10),1,0)</f>
        <v>0</v>
      </c>
      <c r="AD2453" s="0" t="str">
        <f aca="false">IF(AND(C2452=C2453,AA2452=AA2453-1),AB2452,"")</f>
        <v/>
      </c>
      <c r="AE2453" s="0" t="str">
        <f aca="false">IF(AND(C2452=C2453,AA2452=AA2453-1),AC2452,"")</f>
        <v/>
      </c>
      <c r="AF2453" s="0" t="str">
        <f aca="false">IF(AA2453=1,"",IF(AND(AB2453=1,AD2453&lt;&gt;1),1,0))</f>
        <v/>
      </c>
      <c r="AG2453" s="0" t="str">
        <f aca="false">IF(AA2453=1,"",IF(AND(AC2453=1,AE2453&lt;&gt;1),1,0))</f>
        <v/>
      </c>
      <c r="AH2453" s="51" t="str">
        <f aca="false">IF(AND(E2453&gt;0,AA2453&lt;1,NOT(AND(C2454=C2453,AA2454=AA2453+1))),INDEX(DATAS,AA2453+1),"")</f>
        <v/>
      </c>
      <c r="AI2453" s="51" t="str">
        <f aca="false">IF(AND(AC2453=1,AA2453&lt;1),IF(AND(C2454=C2453,AA2454=AA2453+1),IF(AC2454=1,"",INDEX(DATAS,AA2453+1)),INDEX(DATAS,AA2453+1)),"")</f>
        <v/>
      </c>
    </row>
    <row r="2454" customFormat="false" ht="15" hidden="false" customHeight="false" outlineLevel="0" collapsed="false">
      <c r="A2454" s="51" t="n">
        <v>46309</v>
      </c>
      <c r="B2454" s="0" t="n">
        <v>11</v>
      </c>
      <c r="C2454" s="0" t="n">
        <v>6772</v>
      </c>
      <c r="E2454" s="0" t="n">
        <v>0</v>
      </c>
      <c r="F2454" s="46" t="s">
        <v>1288</v>
      </c>
      <c r="I2454" s="46" t="s">
        <v>181</v>
      </c>
      <c r="U2454" s="0" t="n">
        <v>446</v>
      </c>
      <c r="V2454" s="0" t="n">
        <v>3</v>
      </c>
      <c r="W2454" s="51" t="n">
        <v>46305</v>
      </c>
      <c r="X2454" s="46" t="n">
        <f aca="false">IF(I2454="Male",0,1)</f>
        <v>1</v>
      </c>
      <c r="Y2454" s="46" t="n">
        <f aca="false">IF(OR(I2454="DNB",I2454="Dry DNB"),1,0)</f>
        <v>0</v>
      </c>
      <c r="Z2454" s="46" t="n">
        <f aca="false">IF(ISNUMBER(W2454),A2454-W2454,"")</f>
        <v>4</v>
      </c>
      <c r="AA2454" s="46" t="n">
        <f aca="false">MATCH(A2454,DATAS,0)</f>
        <v>1</v>
      </c>
      <c r="AB2454" s="46" t="n">
        <f aca="false">IF(AND(E2454&gt;0,OR(AND(B2454&gt;=1,B2454&lt;=6),B2454=10)),1,0)</f>
        <v>0</v>
      </c>
      <c r="AC2454" s="46" t="n">
        <f aca="false">IF(AND(E2454&gt;0,B2454=10),1,0)</f>
        <v>0</v>
      </c>
      <c r="AD2454" s="0" t="str">
        <f aca="false">IF(AND(C2453=C2454,AA2453=AA2454-1),AB2453,"")</f>
        <v/>
      </c>
      <c r="AE2454" s="0" t="str">
        <f aca="false">IF(AND(C2453=C2454,AA2453=AA2454-1),AC2453,"")</f>
        <v/>
      </c>
      <c r="AF2454" s="0" t="str">
        <f aca="false">IF(AA2454=1,"",IF(AND(AB2454=1,AD2454&lt;&gt;1),1,0))</f>
        <v/>
      </c>
      <c r="AG2454" s="0" t="str">
        <f aca="false">IF(AA2454=1,"",IF(AND(AC2454=1,AE2454&lt;&gt;1),1,0))</f>
        <v/>
      </c>
      <c r="AH2454" s="51" t="str">
        <f aca="false">IF(AND(E2454&gt;0,AA2454&lt;1,NOT(AND(C2455=C2454,AA2455=AA2454+1))),INDEX(DATAS,AA2454+1),"")</f>
        <v/>
      </c>
      <c r="AI2454" s="51" t="str">
        <f aca="false">IF(AND(AC2454=1,AA2454&lt;1),IF(AND(C2455=C2454,AA2455=AA2454+1),IF(AC2455=1,"",INDEX(DATAS,AA2454+1)),INDEX(DATAS,AA2454+1)),"")</f>
        <v/>
      </c>
    </row>
    <row r="2455" customFormat="false" ht="15" hidden="false" customHeight="false" outlineLevel="0" collapsed="false">
      <c r="A2455" s="51" t="n">
        <v>46309</v>
      </c>
      <c r="B2455" s="0" t="n">
        <v>8</v>
      </c>
      <c r="C2455" s="0" t="n">
        <v>6773</v>
      </c>
      <c r="E2455" s="0" t="n">
        <v>0</v>
      </c>
      <c r="F2455" s="46" t="s">
        <v>1288</v>
      </c>
      <c r="I2455" s="46" t="s">
        <v>152</v>
      </c>
      <c r="L2455" s="0" t="n">
        <v>43</v>
      </c>
      <c r="U2455" s="0" t="n">
        <v>446</v>
      </c>
      <c r="V2455" s="0" t="n">
        <v>1</v>
      </c>
      <c r="W2455" s="51" t="n">
        <v>46267</v>
      </c>
      <c r="X2455" s="46" t="n">
        <f aca="false">IF(I2455="Male",0,1)</f>
        <v>1</v>
      </c>
      <c r="Y2455" s="46" t="n">
        <f aca="false">IF(OR(I2455="DNB",I2455="Dry DNB"),1,0)</f>
        <v>0</v>
      </c>
      <c r="Z2455" s="46" t="n">
        <f aca="false">IF(ISNUMBER(W2455),A2455-W2455,"")</f>
        <v>42</v>
      </c>
      <c r="AA2455" s="46" t="n">
        <f aca="false">MATCH(A2455,DATAS,0)</f>
        <v>1</v>
      </c>
      <c r="AB2455" s="46" t="n">
        <f aca="false">IF(AND(E2455&gt;0,OR(AND(B2455&gt;=1,B2455&lt;=6),B2455=10)),1,0)</f>
        <v>0</v>
      </c>
      <c r="AC2455" s="46" t="n">
        <f aca="false">IF(AND(E2455&gt;0,B2455=10),1,0)</f>
        <v>0</v>
      </c>
      <c r="AD2455" s="0" t="str">
        <f aca="false">IF(AND(C2454=C2455,AA2454=AA2455-1),AB2454,"")</f>
        <v/>
      </c>
      <c r="AE2455" s="0" t="str">
        <f aca="false">IF(AND(C2454=C2455,AA2454=AA2455-1),AC2454,"")</f>
        <v/>
      </c>
      <c r="AF2455" s="0" t="str">
        <f aca="false">IF(AA2455=1,"",IF(AND(AB2455=1,AD2455&lt;&gt;1),1,0))</f>
        <v/>
      </c>
      <c r="AG2455" s="0" t="str">
        <f aca="false">IF(AA2455=1,"",IF(AND(AC2455=1,AE2455&lt;&gt;1),1,0))</f>
        <v/>
      </c>
      <c r="AH2455" s="51" t="str">
        <f aca="false">IF(AND(E2455&gt;0,AA2455&lt;1,NOT(AND(C2456=C2455,AA2456=AA2455+1))),INDEX(DATAS,AA2455+1),"")</f>
        <v/>
      </c>
      <c r="AI2455" s="51" t="str">
        <f aca="false">IF(AND(AC2455=1,AA2455&lt;1),IF(AND(C2456=C2455,AA2456=AA2455+1),IF(AC2456=1,"",INDEX(DATAS,AA2455+1)),INDEX(DATAS,AA2455+1)),"")</f>
        <v/>
      </c>
    </row>
    <row r="2456" customFormat="false" ht="15" hidden="false" customHeight="false" outlineLevel="0" collapsed="false">
      <c r="A2456" s="51" t="n">
        <v>46309</v>
      </c>
      <c r="B2456" s="0" t="n">
        <v>8</v>
      </c>
      <c r="C2456" s="0" t="n">
        <v>6774</v>
      </c>
      <c r="E2456" s="0" t="n">
        <v>0</v>
      </c>
      <c r="F2456" s="46" t="s">
        <v>1288</v>
      </c>
      <c r="I2456" s="46" t="s">
        <v>152</v>
      </c>
      <c r="L2456" s="0" t="n">
        <v>42</v>
      </c>
      <c r="U2456" s="0" t="n">
        <v>446</v>
      </c>
      <c r="V2456" s="0" t="n">
        <v>1</v>
      </c>
      <c r="W2456" s="51" t="n">
        <v>46268</v>
      </c>
      <c r="X2456" s="46" t="n">
        <f aca="false">IF(I2456="Male",0,1)</f>
        <v>1</v>
      </c>
      <c r="Y2456" s="46" t="n">
        <f aca="false">IF(OR(I2456="DNB",I2456="Dry DNB"),1,0)</f>
        <v>0</v>
      </c>
      <c r="Z2456" s="46" t="n">
        <f aca="false">IF(ISNUMBER(W2456),A2456-W2456,"")</f>
        <v>41</v>
      </c>
      <c r="AA2456" s="46" t="n">
        <f aca="false">MATCH(A2456,DATAS,0)</f>
        <v>1</v>
      </c>
      <c r="AB2456" s="46" t="n">
        <f aca="false">IF(AND(E2456&gt;0,OR(AND(B2456&gt;=1,B2456&lt;=6),B2456=10)),1,0)</f>
        <v>0</v>
      </c>
      <c r="AC2456" s="46" t="n">
        <f aca="false">IF(AND(E2456&gt;0,B2456=10),1,0)</f>
        <v>0</v>
      </c>
      <c r="AD2456" s="0" t="str">
        <f aca="false">IF(AND(C2455=C2456,AA2455=AA2456-1),AB2455,"")</f>
        <v/>
      </c>
      <c r="AE2456" s="0" t="str">
        <f aca="false">IF(AND(C2455=C2456,AA2455=AA2456-1),AC2455,"")</f>
        <v/>
      </c>
      <c r="AF2456" s="0" t="str">
        <f aca="false">IF(AA2456=1,"",IF(AND(AB2456=1,AD2456&lt;&gt;1),1,0))</f>
        <v/>
      </c>
      <c r="AG2456" s="0" t="str">
        <f aca="false">IF(AA2456=1,"",IF(AND(AC2456=1,AE2456&lt;&gt;1),1,0))</f>
        <v/>
      </c>
      <c r="AH2456" s="51" t="str">
        <f aca="false">IF(AND(E2456&gt;0,AA2456&lt;1,NOT(AND(C2457=C2456,AA2457=AA2456+1))),INDEX(DATAS,AA2456+1),"")</f>
        <v/>
      </c>
      <c r="AI2456" s="51" t="str">
        <f aca="false">IF(AND(AC2456=1,AA2456&lt;1),IF(AND(C2457=C2456,AA2457=AA2456+1),IF(AC2457=1,"",INDEX(DATAS,AA2456+1)),INDEX(DATAS,AA2456+1)),"")</f>
        <v/>
      </c>
    </row>
    <row r="2457" customFormat="false" ht="15" hidden="false" customHeight="false" outlineLevel="0" collapsed="false">
      <c r="A2457" s="51" t="n">
        <v>46309</v>
      </c>
      <c r="B2457" s="0" t="n">
        <v>8</v>
      </c>
      <c r="C2457" s="0" t="n">
        <v>6775</v>
      </c>
      <c r="E2457" s="0" t="n">
        <v>0</v>
      </c>
      <c r="F2457" s="46" t="s">
        <v>1288</v>
      </c>
      <c r="I2457" s="46" t="s">
        <v>152</v>
      </c>
      <c r="L2457" s="0" t="n">
        <v>48</v>
      </c>
      <c r="U2457" s="0" t="n">
        <v>446</v>
      </c>
      <c r="V2457" s="0" t="n">
        <v>1</v>
      </c>
      <c r="W2457" s="51" t="n">
        <v>46262</v>
      </c>
      <c r="X2457" s="46" t="n">
        <f aca="false">IF(I2457="Male",0,1)</f>
        <v>1</v>
      </c>
      <c r="Y2457" s="46" t="n">
        <f aca="false">IF(OR(I2457="DNB",I2457="Dry DNB"),1,0)</f>
        <v>0</v>
      </c>
      <c r="Z2457" s="46" t="n">
        <f aca="false">IF(ISNUMBER(W2457),A2457-W2457,"")</f>
        <v>47</v>
      </c>
      <c r="AA2457" s="46" t="n">
        <f aca="false">MATCH(A2457,DATAS,0)</f>
        <v>1</v>
      </c>
      <c r="AB2457" s="46" t="n">
        <f aca="false">IF(AND(E2457&gt;0,OR(AND(B2457&gt;=1,B2457&lt;=6),B2457=10)),1,0)</f>
        <v>0</v>
      </c>
      <c r="AC2457" s="46" t="n">
        <f aca="false">IF(AND(E2457&gt;0,B2457=10),1,0)</f>
        <v>0</v>
      </c>
      <c r="AD2457" s="0" t="str">
        <f aca="false">IF(AND(C2456=C2457,AA2456=AA2457-1),AB2456,"")</f>
        <v/>
      </c>
      <c r="AE2457" s="0" t="str">
        <f aca="false">IF(AND(C2456=C2457,AA2456=AA2457-1),AC2456,"")</f>
        <v/>
      </c>
      <c r="AF2457" s="0" t="str">
        <f aca="false">IF(AA2457=1,"",IF(AND(AB2457=1,AD2457&lt;&gt;1),1,0))</f>
        <v/>
      </c>
      <c r="AG2457" s="0" t="str">
        <f aca="false">IF(AA2457=1,"",IF(AND(AC2457=1,AE2457&lt;&gt;1),1,0))</f>
        <v/>
      </c>
      <c r="AH2457" s="51" t="str">
        <f aca="false">IF(AND(E2457&gt;0,AA2457&lt;1,NOT(AND(C2458=C2457,AA2458=AA2457+1))),INDEX(DATAS,AA2457+1),"")</f>
        <v/>
      </c>
      <c r="AI2457" s="51" t="str">
        <f aca="false">IF(AND(AC2457=1,AA2457&lt;1),IF(AND(C2458=C2457,AA2458=AA2457+1),IF(AC2458=1,"",INDEX(DATAS,AA2457+1)),INDEX(DATAS,AA2457+1)),"")</f>
        <v/>
      </c>
    </row>
    <row r="2458" customFormat="false" ht="15" hidden="false" customHeight="false" outlineLevel="0" collapsed="false">
      <c r="A2458" s="51" t="n">
        <v>46309</v>
      </c>
      <c r="B2458" s="0" t="n">
        <v>11</v>
      </c>
      <c r="C2458" s="0" t="n">
        <v>6776</v>
      </c>
      <c r="E2458" s="0" t="n">
        <v>0</v>
      </c>
      <c r="F2458" s="46" t="s">
        <v>1288</v>
      </c>
      <c r="I2458" s="46" t="s">
        <v>181</v>
      </c>
      <c r="U2458" s="0" t="n">
        <v>446</v>
      </c>
      <c r="V2458" s="0" t="n">
        <v>3</v>
      </c>
      <c r="W2458" s="51" t="n">
        <v>46291</v>
      </c>
      <c r="X2458" s="46" t="n">
        <f aca="false">IF(I2458="Male",0,1)</f>
        <v>1</v>
      </c>
      <c r="Y2458" s="46" t="n">
        <f aca="false">IF(OR(I2458="DNB",I2458="Dry DNB"),1,0)</f>
        <v>0</v>
      </c>
      <c r="Z2458" s="46" t="n">
        <f aca="false">IF(ISNUMBER(W2458),A2458-W2458,"")</f>
        <v>18</v>
      </c>
      <c r="AA2458" s="46" t="n">
        <f aca="false">MATCH(A2458,DATAS,0)</f>
        <v>1</v>
      </c>
      <c r="AB2458" s="46" t="n">
        <f aca="false">IF(AND(E2458&gt;0,OR(AND(B2458&gt;=1,B2458&lt;=6),B2458=10)),1,0)</f>
        <v>0</v>
      </c>
      <c r="AC2458" s="46" t="n">
        <f aca="false">IF(AND(E2458&gt;0,B2458=10),1,0)</f>
        <v>0</v>
      </c>
      <c r="AD2458" s="0" t="str">
        <f aca="false">IF(AND(C2457=C2458,AA2457=AA2458-1),AB2457,"")</f>
        <v/>
      </c>
      <c r="AE2458" s="0" t="str">
        <f aca="false">IF(AND(C2457=C2458,AA2457=AA2458-1),AC2457,"")</f>
        <v/>
      </c>
      <c r="AF2458" s="0" t="str">
        <f aca="false">IF(AA2458=1,"",IF(AND(AB2458=1,AD2458&lt;&gt;1),1,0))</f>
        <v/>
      </c>
      <c r="AG2458" s="0" t="str">
        <f aca="false">IF(AA2458=1,"",IF(AND(AC2458=1,AE2458&lt;&gt;1),1,0))</f>
        <v/>
      </c>
      <c r="AH2458" s="51" t="str">
        <f aca="false">IF(AND(E2458&gt;0,AA2458&lt;1,NOT(AND(C2459=C2458,AA2459=AA2458+1))),INDEX(DATAS,AA2458+1),"")</f>
        <v/>
      </c>
      <c r="AI2458" s="51" t="str">
        <f aca="false">IF(AND(AC2458=1,AA2458&lt;1),IF(AND(C2459=C2458,AA2459=AA2458+1),IF(AC2459=1,"",INDEX(DATAS,AA2458+1)),INDEX(DATAS,AA2458+1)),"")</f>
        <v/>
      </c>
    </row>
    <row r="2459" customFormat="false" ht="15" hidden="false" customHeight="false" outlineLevel="0" collapsed="false">
      <c r="A2459" s="51" t="n">
        <v>46309</v>
      </c>
      <c r="B2459" s="0" t="n">
        <v>11</v>
      </c>
      <c r="C2459" s="0" t="n">
        <v>6777</v>
      </c>
      <c r="E2459" s="0" t="n">
        <v>0</v>
      </c>
      <c r="F2459" s="46" t="s">
        <v>1289</v>
      </c>
      <c r="I2459" s="46" t="s">
        <v>181</v>
      </c>
      <c r="U2459" s="0" t="n">
        <v>445</v>
      </c>
      <c r="V2459" s="0" t="n">
        <v>2</v>
      </c>
      <c r="W2459" s="51" t="n">
        <v>46290</v>
      </c>
      <c r="X2459" s="46" t="n">
        <f aca="false">IF(I2459="Male",0,1)</f>
        <v>1</v>
      </c>
      <c r="Y2459" s="46" t="n">
        <f aca="false">IF(OR(I2459="DNB",I2459="Dry DNB"),1,0)</f>
        <v>0</v>
      </c>
      <c r="Z2459" s="46" t="n">
        <f aca="false">IF(ISNUMBER(W2459),A2459-W2459,"")</f>
        <v>19</v>
      </c>
      <c r="AA2459" s="46" t="n">
        <f aca="false">MATCH(A2459,DATAS,0)</f>
        <v>1</v>
      </c>
      <c r="AB2459" s="46" t="n">
        <f aca="false">IF(AND(E2459&gt;0,OR(AND(B2459&gt;=1,B2459&lt;=6),B2459=10)),1,0)</f>
        <v>0</v>
      </c>
      <c r="AC2459" s="46" t="n">
        <f aca="false">IF(AND(E2459&gt;0,B2459=10),1,0)</f>
        <v>0</v>
      </c>
      <c r="AD2459" s="0" t="str">
        <f aca="false">IF(AND(C2458=C2459,AA2458=AA2459-1),AB2458,"")</f>
        <v/>
      </c>
      <c r="AE2459" s="0" t="str">
        <f aca="false">IF(AND(C2458=C2459,AA2458=AA2459-1),AC2458,"")</f>
        <v/>
      </c>
      <c r="AF2459" s="0" t="str">
        <f aca="false">IF(AA2459=1,"",IF(AND(AB2459=1,AD2459&lt;&gt;1),1,0))</f>
        <v/>
      </c>
      <c r="AG2459" s="0" t="str">
        <f aca="false">IF(AA2459=1,"",IF(AND(AC2459=1,AE2459&lt;&gt;1),1,0))</f>
        <v/>
      </c>
      <c r="AH2459" s="51" t="str">
        <f aca="false">IF(AND(E2459&gt;0,AA2459&lt;1,NOT(AND(C2460=C2459,AA2460=AA2459+1))),INDEX(DATAS,AA2459+1),"")</f>
        <v/>
      </c>
      <c r="AI2459" s="51" t="str">
        <f aca="false">IF(AND(AC2459=1,AA2459&lt;1),IF(AND(C2460=C2459,AA2460=AA2459+1),IF(AC2460=1,"",INDEX(DATAS,AA2459+1)),INDEX(DATAS,AA2459+1)),"")</f>
        <v/>
      </c>
    </row>
    <row r="2460" customFormat="false" ht="15" hidden="false" customHeight="false" outlineLevel="0" collapsed="false">
      <c r="A2460" s="51" t="n">
        <v>46309</v>
      </c>
      <c r="B2460" s="0" t="n">
        <v>8</v>
      </c>
      <c r="C2460" s="0" t="n">
        <v>6778</v>
      </c>
      <c r="E2460" s="0" t="n">
        <v>0</v>
      </c>
      <c r="F2460" s="46" t="s">
        <v>1289</v>
      </c>
      <c r="I2460" s="46" t="s">
        <v>152</v>
      </c>
      <c r="L2460" s="0" t="n">
        <v>51</v>
      </c>
      <c r="U2460" s="0" t="n">
        <v>445</v>
      </c>
      <c r="V2460" s="0" t="n">
        <v>1</v>
      </c>
      <c r="W2460" s="51" t="n">
        <v>46259</v>
      </c>
      <c r="X2460" s="46" t="n">
        <f aca="false">IF(I2460="Male",0,1)</f>
        <v>1</v>
      </c>
      <c r="Y2460" s="46" t="n">
        <f aca="false">IF(OR(I2460="DNB",I2460="Dry DNB"),1,0)</f>
        <v>0</v>
      </c>
      <c r="Z2460" s="46" t="n">
        <f aca="false">IF(ISNUMBER(W2460),A2460-W2460,"")</f>
        <v>50</v>
      </c>
      <c r="AA2460" s="46" t="n">
        <f aca="false">MATCH(A2460,DATAS,0)</f>
        <v>1</v>
      </c>
      <c r="AB2460" s="46" t="n">
        <f aca="false">IF(AND(E2460&gt;0,OR(AND(B2460&gt;=1,B2460&lt;=6),B2460=10)),1,0)</f>
        <v>0</v>
      </c>
      <c r="AC2460" s="46" t="n">
        <f aca="false">IF(AND(E2460&gt;0,B2460=10),1,0)</f>
        <v>0</v>
      </c>
      <c r="AD2460" s="0" t="str">
        <f aca="false">IF(AND(C2459=C2460,AA2459=AA2460-1),AB2459,"")</f>
        <v/>
      </c>
      <c r="AE2460" s="0" t="str">
        <f aca="false">IF(AND(C2459=C2460,AA2459=AA2460-1),AC2459,"")</f>
        <v/>
      </c>
      <c r="AF2460" s="0" t="str">
        <f aca="false">IF(AA2460=1,"",IF(AND(AB2460=1,AD2460&lt;&gt;1),1,0))</f>
        <v/>
      </c>
      <c r="AG2460" s="0" t="str">
        <f aca="false">IF(AA2460=1,"",IF(AND(AC2460=1,AE2460&lt;&gt;1),1,0))</f>
        <v/>
      </c>
      <c r="AH2460" s="51" t="str">
        <f aca="false">IF(AND(E2460&gt;0,AA2460&lt;1,NOT(AND(C2461=C2460,AA2461=AA2460+1))),INDEX(DATAS,AA2460+1),"")</f>
        <v/>
      </c>
      <c r="AI2460" s="51" t="str">
        <f aca="false">IF(AND(AC2460=1,AA2460&lt;1),IF(AND(C2461=C2460,AA2461=AA2460+1),IF(AC2461=1,"",INDEX(DATAS,AA2460+1)),INDEX(DATAS,AA2460+1)),"")</f>
        <v/>
      </c>
    </row>
    <row r="2461" customFormat="false" ht="15" hidden="false" customHeight="false" outlineLevel="0" collapsed="false">
      <c r="A2461" s="51" t="n">
        <v>46309</v>
      </c>
      <c r="B2461" s="0" t="n">
        <v>13</v>
      </c>
      <c r="C2461" s="0" t="n">
        <v>6779</v>
      </c>
      <c r="E2461" s="0" t="n">
        <v>0</v>
      </c>
      <c r="F2461" s="46" t="s">
        <v>1290</v>
      </c>
      <c r="I2461" s="46" t="s">
        <v>181</v>
      </c>
      <c r="U2461" s="0" t="n">
        <v>444</v>
      </c>
      <c r="V2461" s="0" t="n">
        <v>1</v>
      </c>
      <c r="W2461" s="51" t="n">
        <v>46268</v>
      </c>
      <c r="X2461" s="46" t="n">
        <f aca="false">IF(I2461="Male",0,1)</f>
        <v>1</v>
      </c>
      <c r="Y2461" s="46" t="n">
        <f aca="false">IF(OR(I2461="DNB",I2461="Dry DNB"),1,0)</f>
        <v>0</v>
      </c>
      <c r="Z2461" s="46" t="n">
        <f aca="false">IF(ISNUMBER(W2461),A2461-W2461,"")</f>
        <v>41</v>
      </c>
      <c r="AA2461" s="46" t="n">
        <f aca="false">MATCH(A2461,DATAS,0)</f>
        <v>1</v>
      </c>
      <c r="AB2461" s="46" t="n">
        <f aca="false">IF(AND(E2461&gt;0,OR(AND(B2461&gt;=1,B2461&lt;=6),B2461=10)),1,0)</f>
        <v>0</v>
      </c>
      <c r="AC2461" s="46" t="n">
        <f aca="false">IF(AND(E2461&gt;0,B2461=10),1,0)</f>
        <v>0</v>
      </c>
      <c r="AD2461" s="0" t="str">
        <f aca="false">IF(AND(C2460=C2461,AA2460=AA2461-1),AB2460,"")</f>
        <v/>
      </c>
      <c r="AE2461" s="0" t="str">
        <f aca="false">IF(AND(C2460=C2461,AA2460=AA2461-1),AC2460,"")</f>
        <v/>
      </c>
      <c r="AF2461" s="0" t="str">
        <f aca="false">IF(AA2461=1,"",IF(AND(AB2461=1,AD2461&lt;&gt;1),1,0))</f>
        <v/>
      </c>
      <c r="AG2461" s="0" t="str">
        <f aca="false">IF(AA2461=1,"",IF(AND(AC2461=1,AE2461&lt;&gt;1),1,0))</f>
        <v/>
      </c>
      <c r="AH2461" s="51" t="str">
        <f aca="false">IF(AND(E2461&gt;0,AA2461&lt;1,NOT(AND(C2462=C2461,AA2462=AA2461+1))),INDEX(DATAS,AA2461+1),"")</f>
        <v/>
      </c>
      <c r="AI2461" s="51" t="str">
        <f aca="false">IF(AND(AC2461=1,AA2461&lt;1),IF(AND(C2462=C2461,AA2462=AA2461+1),IF(AC2462=1,"",INDEX(DATAS,AA2461+1)),INDEX(DATAS,AA2461+1)),"")</f>
        <v/>
      </c>
    </row>
    <row r="2462" customFormat="false" ht="15" hidden="false" customHeight="false" outlineLevel="0" collapsed="false">
      <c r="A2462" s="51" t="n">
        <v>46309</v>
      </c>
      <c r="B2462" s="0" t="n">
        <v>11</v>
      </c>
      <c r="C2462" s="0" t="n">
        <v>6780</v>
      </c>
      <c r="E2462" s="0" t="n">
        <v>0</v>
      </c>
      <c r="F2462" s="46" t="s">
        <v>1290</v>
      </c>
      <c r="I2462" s="46" t="s">
        <v>181</v>
      </c>
      <c r="U2462" s="0" t="n">
        <v>444</v>
      </c>
      <c r="V2462" s="0" t="n">
        <v>2</v>
      </c>
      <c r="W2462" s="51" t="n">
        <v>46288</v>
      </c>
      <c r="X2462" s="46" t="n">
        <f aca="false">IF(I2462="Male",0,1)</f>
        <v>1</v>
      </c>
      <c r="Y2462" s="46" t="n">
        <f aca="false">IF(OR(I2462="DNB",I2462="Dry DNB"),1,0)</f>
        <v>0</v>
      </c>
      <c r="Z2462" s="46" t="n">
        <f aca="false">IF(ISNUMBER(W2462),A2462-W2462,"")</f>
        <v>21</v>
      </c>
      <c r="AA2462" s="46" t="n">
        <f aca="false">MATCH(A2462,DATAS,0)</f>
        <v>1</v>
      </c>
      <c r="AB2462" s="46" t="n">
        <f aca="false">IF(AND(E2462&gt;0,OR(AND(B2462&gt;=1,B2462&lt;=6),B2462=10)),1,0)</f>
        <v>0</v>
      </c>
      <c r="AC2462" s="46" t="n">
        <f aca="false">IF(AND(E2462&gt;0,B2462=10),1,0)</f>
        <v>0</v>
      </c>
      <c r="AD2462" s="0" t="str">
        <f aca="false">IF(AND(C2461=C2462,AA2461=AA2462-1),AB2461,"")</f>
        <v/>
      </c>
      <c r="AE2462" s="0" t="str">
        <f aca="false">IF(AND(C2461=C2462,AA2461=AA2462-1),AC2461,"")</f>
        <v/>
      </c>
      <c r="AF2462" s="0" t="str">
        <f aca="false">IF(AA2462=1,"",IF(AND(AB2462=1,AD2462&lt;&gt;1),1,0))</f>
        <v/>
      </c>
      <c r="AG2462" s="0" t="str">
        <f aca="false">IF(AA2462=1,"",IF(AND(AC2462=1,AE2462&lt;&gt;1),1,0))</f>
        <v/>
      </c>
      <c r="AH2462" s="51" t="str">
        <f aca="false">IF(AND(E2462&gt;0,AA2462&lt;1,NOT(AND(C2463=C2462,AA2463=AA2462+1))),INDEX(DATAS,AA2462+1),"")</f>
        <v/>
      </c>
      <c r="AI2462" s="51" t="str">
        <f aca="false">IF(AND(AC2462=1,AA2462&lt;1),IF(AND(C2463=C2462,AA2463=AA2462+1),IF(AC2463=1,"",INDEX(DATAS,AA2462+1)),INDEX(DATAS,AA2462+1)),"")</f>
        <v/>
      </c>
    </row>
    <row r="2463" customFormat="false" ht="15" hidden="false" customHeight="false" outlineLevel="0" collapsed="false">
      <c r="A2463" s="51" t="n">
        <v>46309</v>
      </c>
      <c r="B2463" s="0" t="n">
        <v>11</v>
      </c>
      <c r="C2463" s="0" t="n">
        <v>6781</v>
      </c>
      <c r="E2463" s="0" t="n">
        <v>0</v>
      </c>
      <c r="F2463" s="46" t="s">
        <v>1290</v>
      </c>
      <c r="I2463" s="46" t="s">
        <v>181</v>
      </c>
      <c r="U2463" s="0" t="n">
        <v>444</v>
      </c>
      <c r="V2463" s="0" t="n">
        <v>1</v>
      </c>
      <c r="W2463" s="51" t="n">
        <v>46295</v>
      </c>
      <c r="X2463" s="46" t="n">
        <f aca="false">IF(I2463="Male",0,1)</f>
        <v>1</v>
      </c>
      <c r="Y2463" s="46" t="n">
        <f aca="false">IF(OR(I2463="DNB",I2463="Dry DNB"),1,0)</f>
        <v>0</v>
      </c>
      <c r="Z2463" s="46" t="n">
        <f aca="false">IF(ISNUMBER(W2463),A2463-W2463,"")</f>
        <v>14</v>
      </c>
      <c r="AA2463" s="46" t="n">
        <f aca="false">MATCH(A2463,DATAS,0)</f>
        <v>1</v>
      </c>
      <c r="AB2463" s="46" t="n">
        <f aca="false">IF(AND(E2463&gt;0,OR(AND(B2463&gt;=1,B2463&lt;=6),B2463=10)),1,0)</f>
        <v>0</v>
      </c>
      <c r="AC2463" s="46" t="n">
        <f aca="false">IF(AND(E2463&gt;0,B2463=10),1,0)</f>
        <v>0</v>
      </c>
      <c r="AD2463" s="0" t="str">
        <f aca="false">IF(AND(C2462=C2463,AA2462=AA2463-1),AB2462,"")</f>
        <v/>
      </c>
      <c r="AE2463" s="0" t="str">
        <f aca="false">IF(AND(C2462=C2463,AA2462=AA2463-1),AC2462,"")</f>
        <v/>
      </c>
      <c r="AF2463" s="0" t="str">
        <f aca="false">IF(AA2463=1,"",IF(AND(AB2463=1,AD2463&lt;&gt;1),1,0))</f>
        <v/>
      </c>
      <c r="AG2463" s="0" t="str">
        <f aca="false">IF(AA2463=1,"",IF(AND(AC2463=1,AE2463&lt;&gt;1),1,0))</f>
        <v/>
      </c>
      <c r="AH2463" s="51" t="str">
        <f aca="false">IF(AND(E2463&gt;0,AA2463&lt;1,NOT(AND(C2464=C2463,AA2464=AA2463+1))),INDEX(DATAS,AA2463+1),"")</f>
        <v/>
      </c>
      <c r="AI2463" s="51" t="str">
        <f aca="false">IF(AND(AC2463=1,AA2463&lt;1),IF(AND(C2464=C2463,AA2464=AA2463+1),IF(AC2464=1,"",INDEX(DATAS,AA2463+1)),INDEX(DATAS,AA2463+1)),"")</f>
        <v/>
      </c>
    </row>
    <row r="2464" customFormat="false" ht="15" hidden="false" customHeight="false" outlineLevel="0" collapsed="false">
      <c r="A2464" s="51" t="n">
        <v>46309</v>
      </c>
      <c r="B2464" s="0" t="n">
        <v>13</v>
      </c>
      <c r="C2464" s="0" t="n">
        <v>6782</v>
      </c>
      <c r="E2464" s="0" t="n">
        <v>0</v>
      </c>
      <c r="F2464" s="46" t="s">
        <v>1290</v>
      </c>
      <c r="I2464" s="46" t="s">
        <v>189</v>
      </c>
      <c r="U2464" s="0" t="n">
        <v>444</v>
      </c>
      <c r="V2464" s="0" t="n">
        <v>0</v>
      </c>
      <c r="X2464" s="46" t="n">
        <f aca="false">IF(I2464="Male",0,1)</f>
        <v>1</v>
      </c>
      <c r="Y2464" s="46" t="n">
        <f aca="false">IF(OR(I2464="DNB",I2464="Dry DNB"),1,0)</f>
        <v>0</v>
      </c>
      <c r="Z2464" s="0" t="str">
        <f aca="false">IF(ISNUMBER(W2464),A2464-W2464,"")</f>
        <v/>
      </c>
      <c r="AA2464" s="46" t="n">
        <f aca="false">MATCH(A2464,DATAS,0)</f>
        <v>1</v>
      </c>
      <c r="AB2464" s="46" t="n">
        <f aca="false">IF(AND(E2464&gt;0,OR(AND(B2464&gt;=1,B2464&lt;=6),B2464=10)),1,0)</f>
        <v>0</v>
      </c>
      <c r="AC2464" s="46" t="n">
        <f aca="false">IF(AND(E2464&gt;0,B2464=10),1,0)</f>
        <v>0</v>
      </c>
      <c r="AD2464" s="0" t="str">
        <f aca="false">IF(AND(C2463=C2464,AA2463=AA2464-1),AB2463,"")</f>
        <v/>
      </c>
      <c r="AE2464" s="0" t="str">
        <f aca="false">IF(AND(C2463=C2464,AA2463=AA2464-1),AC2463,"")</f>
        <v/>
      </c>
      <c r="AF2464" s="0" t="str">
        <f aca="false">IF(AA2464=1,"",IF(AND(AB2464=1,AD2464&lt;&gt;1),1,0))</f>
        <v/>
      </c>
      <c r="AG2464" s="0" t="str">
        <f aca="false">IF(AA2464=1,"",IF(AND(AC2464=1,AE2464&lt;&gt;1),1,0))</f>
        <v/>
      </c>
      <c r="AH2464" s="51" t="str">
        <f aca="false">IF(AND(E2464&gt;0,AA2464&lt;1,NOT(AND(C2465=C2464,AA2465=AA2464+1))),INDEX(DATAS,AA2464+1),"")</f>
        <v/>
      </c>
      <c r="AI2464" s="51" t="str">
        <f aca="false">IF(AND(AC2464=1,AA2464&lt;1),IF(AND(C2465=C2464,AA2465=AA2464+1),IF(AC2465=1,"",INDEX(DATAS,AA2464+1)),INDEX(DATAS,AA2464+1)),"")</f>
        <v/>
      </c>
    </row>
    <row r="2465" customFormat="false" ht="15" hidden="false" customHeight="false" outlineLevel="0" collapsed="false">
      <c r="A2465" s="51" t="n">
        <v>46309</v>
      </c>
      <c r="B2465" s="0" t="n">
        <v>8</v>
      </c>
      <c r="C2465" s="0" t="n">
        <v>6783</v>
      </c>
      <c r="E2465" s="0" t="n">
        <v>0</v>
      </c>
      <c r="F2465" s="46" t="s">
        <v>1290</v>
      </c>
      <c r="I2465" s="46" t="s">
        <v>152</v>
      </c>
      <c r="L2465" s="0" t="n">
        <v>42</v>
      </c>
      <c r="U2465" s="0" t="n">
        <v>444</v>
      </c>
      <c r="V2465" s="0" t="n">
        <v>1</v>
      </c>
      <c r="W2465" s="51" t="n">
        <v>46268</v>
      </c>
      <c r="X2465" s="46" t="n">
        <f aca="false">IF(I2465="Male",0,1)</f>
        <v>1</v>
      </c>
      <c r="Y2465" s="46" t="n">
        <f aca="false">IF(OR(I2465="DNB",I2465="Dry DNB"),1,0)</f>
        <v>0</v>
      </c>
      <c r="Z2465" s="46" t="n">
        <f aca="false">IF(ISNUMBER(W2465),A2465-W2465,"")</f>
        <v>41</v>
      </c>
      <c r="AA2465" s="46" t="n">
        <f aca="false">MATCH(A2465,DATAS,0)</f>
        <v>1</v>
      </c>
      <c r="AB2465" s="46" t="n">
        <f aca="false">IF(AND(E2465&gt;0,OR(AND(B2465&gt;=1,B2465&lt;=6),B2465=10)),1,0)</f>
        <v>0</v>
      </c>
      <c r="AC2465" s="46" t="n">
        <f aca="false">IF(AND(E2465&gt;0,B2465=10),1,0)</f>
        <v>0</v>
      </c>
      <c r="AD2465" s="0" t="str">
        <f aca="false">IF(AND(C2464=C2465,AA2464=AA2465-1),AB2464,"")</f>
        <v/>
      </c>
      <c r="AE2465" s="0" t="str">
        <f aca="false">IF(AND(C2464=C2465,AA2464=AA2465-1),AC2464,"")</f>
        <v/>
      </c>
      <c r="AF2465" s="0" t="str">
        <f aca="false">IF(AA2465=1,"",IF(AND(AB2465=1,AD2465&lt;&gt;1),1,0))</f>
        <v/>
      </c>
      <c r="AG2465" s="0" t="str">
        <f aca="false">IF(AA2465=1,"",IF(AND(AC2465=1,AE2465&lt;&gt;1),1,0))</f>
        <v/>
      </c>
      <c r="AH2465" s="51" t="str">
        <f aca="false">IF(AND(E2465&gt;0,AA2465&lt;1,NOT(AND(C2466=C2465,AA2466=AA2465+1))),INDEX(DATAS,AA2465+1),"")</f>
        <v/>
      </c>
      <c r="AI2465" s="51" t="str">
        <f aca="false">IF(AND(AC2465=1,AA2465&lt;1),IF(AND(C2466=C2465,AA2466=AA2465+1),IF(AC2466=1,"",INDEX(DATAS,AA2465+1)),INDEX(DATAS,AA2465+1)),"")</f>
        <v/>
      </c>
    </row>
    <row r="2466" customFormat="false" ht="15" hidden="false" customHeight="false" outlineLevel="0" collapsed="false">
      <c r="A2466" s="51" t="n">
        <v>46309</v>
      </c>
      <c r="B2466" s="0" t="n">
        <v>11</v>
      </c>
      <c r="C2466" s="0" t="n">
        <v>6785</v>
      </c>
      <c r="E2466" s="0" t="n">
        <v>0</v>
      </c>
      <c r="F2466" s="46" t="s">
        <v>1291</v>
      </c>
      <c r="I2466" s="46" t="s">
        <v>181</v>
      </c>
      <c r="U2466" s="0" t="n">
        <v>443</v>
      </c>
      <c r="V2466" s="0" t="n">
        <v>3</v>
      </c>
      <c r="W2466" s="51" t="n">
        <v>46309</v>
      </c>
      <c r="X2466" s="46" t="n">
        <f aca="false">IF(I2466="Male",0,1)</f>
        <v>1</v>
      </c>
      <c r="Y2466" s="46" t="n">
        <f aca="false">IF(OR(I2466="DNB",I2466="Dry DNB"),1,0)</f>
        <v>0</v>
      </c>
      <c r="Z2466" s="46" t="n">
        <f aca="false">IF(ISNUMBER(W2466),A2466-W2466,"")</f>
        <v>0</v>
      </c>
      <c r="AA2466" s="46" t="n">
        <f aca="false">MATCH(A2466,DATAS,0)</f>
        <v>1</v>
      </c>
      <c r="AB2466" s="46" t="n">
        <f aca="false">IF(AND(E2466&gt;0,OR(AND(B2466&gt;=1,B2466&lt;=6),B2466=10)),1,0)</f>
        <v>0</v>
      </c>
      <c r="AC2466" s="46" t="n">
        <f aca="false">IF(AND(E2466&gt;0,B2466=10),1,0)</f>
        <v>0</v>
      </c>
      <c r="AD2466" s="0" t="str">
        <f aca="false">IF(AND(C2465=C2466,AA2465=AA2466-1),AB2465,"")</f>
        <v/>
      </c>
      <c r="AE2466" s="0" t="str">
        <f aca="false">IF(AND(C2465=C2466,AA2465=AA2466-1),AC2465,"")</f>
        <v/>
      </c>
      <c r="AF2466" s="0" t="str">
        <f aca="false">IF(AA2466=1,"",IF(AND(AB2466=1,AD2466&lt;&gt;1),1,0))</f>
        <v/>
      </c>
      <c r="AG2466" s="0" t="str">
        <f aca="false">IF(AA2466=1,"",IF(AND(AC2466=1,AE2466&lt;&gt;1),1,0))</f>
        <v/>
      </c>
      <c r="AH2466" s="51" t="str">
        <f aca="false">IF(AND(E2466&gt;0,AA2466&lt;1,NOT(AND(C2467=C2466,AA2467=AA2466+1))),INDEX(DATAS,AA2466+1),"")</f>
        <v/>
      </c>
      <c r="AI2466" s="51" t="str">
        <f aca="false">IF(AND(AC2466=1,AA2466&lt;1),IF(AND(C2467=C2466,AA2467=AA2466+1),IF(AC2467=1,"",INDEX(DATAS,AA2466+1)),INDEX(DATAS,AA2466+1)),"")</f>
        <v/>
      </c>
    </row>
    <row r="2467" customFormat="false" ht="15" hidden="false" customHeight="false" outlineLevel="0" collapsed="false">
      <c r="A2467" s="51" t="n">
        <v>46309</v>
      </c>
      <c r="B2467" s="0" t="n">
        <v>11</v>
      </c>
      <c r="C2467" s="0" t="n">
        <v>6786</v>
      </c>
      <c r="E2467" s="0" t="n">
        <v>0</v>
      </c>
      <c r="F2467" s="46" t="s">
        <v>1291</v>
      </c>
      <c r="I2467" s="46" t="s">
        <v>181</v>
      </c>
      <c r="U2467" s="0" t="n">
        <v>443</v>
      </c>
      <c r="V2467" s="0" t="n">
        <v>2</v>
      </c>
      <c r="W2467" s="51" t="n">
        <v>46293</v>
      </c>
      <c r="X2467" s="46" t="n">
        <f aca="false">IF(I2467="Male",0,1)</f>
        <v>1</v>
      </c>
      <c r="Y2467" s="46" t="n">
        <f aca="false">IF(OR(I2467="DNB",I2467="Dry DNB"),1,0)</f>
        <v>0</v>
      </c>
      <c r="Z2467" s="46" t="n">
        <f aca="false">IF(ISNUMBER(W2467),A2467-W2467,"")</f>
        <v>16</v>
      </c>
      <c r="AA2467" s="46" t="n">
        <f aca="false">MATCH(A2467,DATAS,0)</f>
        <v>1</v>
      </c>
      <c r="AB2467" s="46" t="n">
        <f aca="false">IF(AND(E2467&gt;0,OR(AND(B2467&gt;=1,B2467&lt;=6),B2467=10)),1,0)</f>
        <v>0</v>
      </c>
      <c r="AC2467" s="46" t="n">
        <f aca="false">IF(AND(E2467&gt;0,B2467=10),1,0)</f>
        <v>0</v>
      </c>
      <c r="AD2467" s="0" t="str">
        <f aca="false">IF(AND(C2466=C2467,AA2466=AA2467-1),AB2466,"")</f>
        <v/>
      </c>
      <c r="AE2467" s="0" t="str">
        <f aca="false">IF(AND(C2466=C2467,AA2466=AA2467-1),AC2466,"")</f>
        <v/>
      </c>
      <c r="AF2467" s="0" t="str">
        <f aca="false">IF(AA2467=1,"",IF(AND(AB2467=1,AD2467&lt;&gt;1),1,0))</f>
        <v/>
      </c>
      <c r="AG2467" s="0" t="str">
        <f aca="false">IF(AA2467=1,"",IF(AND(AC2467=1,AE2467&lt;&gt;1),1,0))</f>
        <v/>
      </c>
      <c r="AH2467" s="51" t="str">
        <f aca="false">IF(AND(E2467&gt;0,AA2467&lt;1,NOT(AND(C2468=C2467,AA2468=AA2467+1))),INDEX(DATAS,AA2467+1),"")</f>
        <v/>
      </c>
      <c r="AI2467" s="51" t="str">
        <f aca="false">IF(AND(AC2467=1,AA2467&lt;1),IF(AND(C2468=C2467,AA2468=AA2467+1),IF(AC2468=1,"",INDEX(DATAS,AA2467+1)),INDEX(DATAS,AA2467+1)),"")</f>
        <v/>
      </c>
    </row>
    <row r="2468" customFormat="false" ht="15" hidden="false" customHeight="false" outlineLevel="0" collapsed="false">
      <c r="A2468" s="51" t="n">
        <v>46309</v>
      </c>
      <c r="B2468" s="0" t="n">
        <v>11</v>
      </c>
      <c r="C2468" s="0" t="n">
        <v>6787</v>
      </c>
      <c r="E2468" s="0" t="n">
        <v>0</v>
      </c>
      <c r="F2468" s="46" t="s">
        <v>1291</v>
      </c>
      <c r="I2468" s="46" t="s">
        <v>189</v>
      </c>
      <c r="U2468" s="0" t="n">
        <v>443</v>
      </c>
      <c r="V2468" s="0" t="n">
        <v>1</v>
      </c>
      <c r="W2468" s="51" t="n">
        <v>46274</v>
      </c>
      <c r="X2468" s="46" t="n">
        <f aca="false">IF(I2468="Male",0,1)</f>
        <v>1</v>
      </c>
      <c r="Y2468" s="46" t="n">
        <f aca="false">IF(OR(I2468="DNB",I2468="Dry DNB"),1,0)</f>
        <v>0</v>
      </c>
      <c r="Z2468" s="46" t="n">
        <f aca="false">IF(ISNUMBER(W2468),A2468-W2468,"")</f>
        <v>35</v>
      </c>
      <c r="AA2468" s="46" t="n">
        <f aca="false">MATCH(A2468,DATAS,0)</f>
        <v>1</v>
      </c>
      <c r="AB2468" s="46" t="n">
        <f aca="false">IF(AND(E2468&gt;0,OR(AND(B2468&gt;=1,B2468&lt;=6),B2468=10)),1,0)</f>
        <v>0</v>
      </c>
      <c r="AC2468" s="46" t="n">
        <f aca="false">IF(AND(E2468&gt;0,B2468=10),1,0)</f>
        <v>0</v>
      </c>
      <c r="AD2468" s="0" t="str">
        <f aca="false">IF(AND(C2467=C2468,AA2467=AA2468-1),AB2467,"")</f>
        <v/>
      </c>
      <c r="AE2468" s="0" t="str">
        <f aca="false">IF(AND(C2467=C2468,AA2467=AA2468-1),AC2467,"")</f>
        <v/>
      </c>
      <c r="AF2468" s="0" t="str">
        <f aca="false">IF(AA2468=1,"",IF(AND(AB2468=1,AD2468&lt;&gt;1),1,0))</f>
        <v/>
      </c>
      <c r="AG2468" s="0" t="str">
        <f aca="false">IF(AA2468=1,"",IF(AND(AC2468=1,AE2468&lt;&gt;1),1,0))</f>
        <v/>
      </c>
      <c r="AH2468" s="51" t="str">
        <f aca="false">IF(AND(E2468&gt;0,AA2468&lt;1,NOT(AND(C2469=C2468,AA2469=AA2468+1))),INDEX(DATAS,AA2468+1),"")</f>
        <v/>
      </c>
      <c r="AI2468" s="51" t="str">
        <f aca="false">IF(AND(AC2468=1,AA2468&lt;1),IF(AND(C2469=C2468,AA2469=AA2468+1),IF(AC2469=1,"",INDEX(DATAS,AA2468+1)),INDEX(DATAS,AA2468+1)),"")</f>
        <v/>
      </c>
    </row>
    <row r="2469" customFormat="false" ht="15" hidden="false" customHeight="false" outlineLevel="0" collapsed="false">
      <c r="A2469" s="51" t="n">
        <v>46309</v>
      </c>
      <c r="B2469" s="0" t="n">
        <v>13</v>
      </c>
      <c r="C2469" s="0" t="n">
        <v>6788</v>
      </c>
      <c r="E2469" s="0" t="n">
        <v>0</v>
      </c>
      <c r="F2469" s="46" t="s">
        <v>1291</v>
      </c>
      <c r="I2469" s="46" t="s">
        <v>189</v>
      </c>
      <c r="U2469" s="0" t="n">
        <v>443</v>
      </c>
      <c r="V2469" s="0" t="n">
        <v>0</v>
      </c>
      <c r="X2469" s="46" t="n">
        <f aca="false">IF(I2469="Male",0,1)</f>
        <v>1</v>
      </c>
      <c r="Y2469" s="46" t="n">
        <f aca="false">IF(OR(I2469="DNB",I2469="Dry DNB"),1,0)</f>
        <v>0</v>
      </c>
      <c r="Z2469" s="0" t="str">
        <f aca="false">IF(ISNUMBER(W2469),A2469-W2469,"")</f>
        <v/>
      </c>
      <c r="AA2469" s="46" t="n">
        <f aca="false">MATCH(A2469,DATAS,0)</f>
        <v>1</v>
      </c>
      <c r="AB2469" s="46" t="n">
        <f aca="false">IF(AND(E2469&gt;0,OR(AND(B2469&gt;=1,B2469&lt;=6),B2469=10)),1,0)</f>
        <v>0</v>
      </c>
      <c r="AC2469" s="46" t="n">
        <f aca="false">IF(AND(E2469&gt;0,B2469=10),1,0)</f>
        <v>0</v>
      </c>
      <c r="AD2469" s="0" t="str">
        <f aca="false">IF(AND(C2468=C2469,AA2468=AA2469-1),AB2468,"")</f>
        <v/>
      </c>
      <c r="AE2469" s="0" t="str">
        <f aca="false">IF(AND(C2468=C2469,AA2468=AA2469-1),AC2468,"")</f>
        <v/>
      </c>
      <c r="AF2469" s="0" t="str">
        <f aca="false">IF(AA2469=1,"",IF(AND(AB2469=1,AD2469&lt;&gt;1),1,0))</f>
        <v/>
      </c>
      <c r="AG2469" s="0" t="str">
        <f aca="false">IF(AA2469=1,"",IF(AND(AC2469=1,AE2469&lt;&gt;1),1,0))</f>
        <v/>
      </c>
      <c r="AH2469" s="51" t="str">
        <f aca="false">IF(AND(E2469&gt;0,AA2469&lt;1,NOT(AND(C2470=C2469,AA2470=AA2469+1))),INDEX(DATAS,AA2469+1),"")</f>
        <v/>
      </c>
      <c r="AI2469" s="51" t="str">
        <f aca="false">IF(AND(AC2469=1,AA2469&lt;1),IF(AND(C2470=C2469,AA2470=AA2469+1),IF(AC2470=1,"",INDEX(DATAS,AA2469+1)),INDEX(DATAS,AA2469+1)),"")</f>
        <v/>
      </c>
    </row>
    <row r="2470" customFormat="false" ht="15" hidden="false" customHeight="false" outlineLevel="0" collapsed="false">
      <c r="A2470" s="51" t="n">
        <v>46309</v>
      </c>
      <c r="B2470" s="0" t="n">
        <v>8</v>
      </c>
      <c r="C2470" s="0" t="n">
        <v>6789</v>
      </c>
      <c r="E2470" s="0" t="n">
        <v>0</v>
      </c>
      <c r="F2470" s="46" t="s">
        <v>1292</v>
      </c>
      <c r="I2470" s="46" t="s">
        <v>152</v>
      </c>
      <c r="L2470" s="0" t="n">
        <v>43</v>
      </c>
      <c r="U2470" s="0" t="n">
        <v>442</v>
      </c>
      <c r="V2470" s="0" t="n">
        <v>1</v>
      </c>
      <c r="W2470" s="51" t="n">
        <v>46267</v>
      </c>
      <c r="X2470" s="46" t="n">
        <f aca="false">IF(I2470="Male",0,1)</f>
        <v>1</v>
      </c>
      <c r="Y2470" s="46" t="n">
        <f aca="false">IF(OR(I2470="DNB",I2470="Dry DNB"),1,0)</f>
        <v>0</v>
      </c>
      <c r="Z2470" s="46" t="n">
        <f aca="false">IF(ISNUMBER(W2470),A2470-W2470,"")</f>
        <v>42</v>
      </c>
      <c r="AA2470" s="46" t="n">
        <f aca="false">MATCH(A2470,DATAS,0)</f>
        <v>1</v>
      </c>
      <c r="AB2470" s="46" t="n">
        <f aca="false">IF(AND(E2470&gt;0,OR(AND(B2470&gt;=1,B2470&lt;=6),B2470=10)),1,0)</f>
        <v>0</v>
      </c>
      <c r="AC2470" s="46" t="n">
        <f aca="false">IF(AND(E2470&gt;0,B2470=10),1,0)</f>
        <v>0</v>
      </c>
      <c r="AD2470" s="0" t="str">
        <f aca="false">IF(AND(C2469=C2470,AA2469=AA2470-1),AB2469,"")</f>
        <v/>
      </c>
      <c r="AE2470" s="0" t="str">
        <f aca="false">IF(AND(C2469=C2470,AA2469=AA2470-1),AC2469,"")</f>
        <v/>
      </c>
      <c r="AF2470" s="0" t="str">
        <f aca="false">IF(AA2470=1,"",IF(AND(AB2470=1,AD2470&lt;&gt;1),1,0))</f>
        <v/>
      </c>
      <c r="AG2470" s="0" t="str">
        <f aca="false">IF(AA2470=1,"",IF(AND(AC2470=1,AE2470&lt;&gt;1),1,0))</f>
        <v/>
      </c>
      <c r="AH2470" s="51" t="str">
        <f aca="false">IF(AND(E2470&gt;0,AA2470&lt;1,NOT(AND(C2471=C2470,AA2471=AA2470+1))),INDEX(DATAS,AA2470+1),"")</f>
        <v/>
      </c>
      <c r="AI2470" s="51" t="str">
        <f aca="false">IF(AND(AC2470=1,AA2470&lt;1),IF(AND(C2471=C2470,AA2471=AA2470+1),IF(AC2471=1,"",INDEX(DATAS,AA2470+1)),INDEX(DATAS,AA2470+1)),"")</f>
        <v/>
      </c>
    </row>
    <row r="2471" customFormat="false" ht="15" hidden="false" customHeight="false" outlineLevel="0" collapsed="false">
      <c r="A2471" s="51" t="n">
        <v>46309</v>
      </c>
      <c r="B2471" s="0" t="n">
        <v>8</v>
      </c>
      <c r="C2471" s="0" t="n">
        <v>6790</v>
      </c>
      <c r="E2471" s="0" t="n">
        <v>0</v>
      </c>
      <c r="F2471" s="46" t="s">
        <v>1292</v>
      </c>
      <c r="I2471" s="46" t="s">
        <v>152</v>
      </c>
      <c r="L2471" s="0" t="n">
        <v>47</v>
      </c>
      <c r="U2471" s="0" t="n">
        <v>442</v>
      </c>
      <c r="V2471" s="0" t="n">
        <v>1</v>
      </c>
      <c r="W2471" s="51" t="n">
        <v>46263</v>
      </c>
      <c r="X2471" s="46" t="n">
        <f aca="false">IF(I2471="Male",0,1)</f>
        <v>1</v>
      </c>
      <c r="Y2471" s="46" t="n">
        <f aca="false">IF(OR(I2471="DNB",I2471="Dry DNB"),1,0)</f>
        <v>0</v>
      </c>
      <c r="Z2471" s="46" t="n">
        <f aca="false">IF(ISNUMBER(W2471),A2471-W2471,"")</f>
        <v>46</v>
      </c>
      <c r="AA2471" s="46" t="n">
        <f aca="false">MATCH(A2471,DATAS,0)</f>
        <v>1</v>
      </c>
      <c r="AB2471" s="46" t="n">
        <f aca="false">IF(AND(E2471&gt;0,OR(AND(B2471&gt;=1,B2471&lt;=6),B2471=10)),1,0)</f>
        <v>0</v>
      </c>
      <c r="AC2471" s="46" t="n">
        <f aca="false">IF(AND(E2471&gt;0,B2471=10),1,0)</f>
        <v>0</v>
      </c>
      <c r="AD2471" s="0" t="str">
        <f aca="false">IF(AND(C2470=C2471,AA2470=AA2471-1),AB2470,"")</f>
        <v/>
      </c>
      <c r="AE2471" s="0" t="str">
        <f aca="false">IF(AND(C2470=C2471,AA2470=AA2471-1),AC2470,"")</f>
        <v/>
      </c>
      <c r="AF2471" s="0" t="str">
        <f aca="false">IF(AA2471=1,"",IF(AND(AB2471=1,AD2471&lt;&gt;1),1,0))</f>
        <v/>
      </c>
      <c r="AG2471" s="0" t="str">
        <f aca="false">IF(AA2471=1,"",IF(AND(AC2471=1,AE2471&lt;&gt;1),1,0))</f>
        <v/>
      </c>
      <c r="AH2471" s="51" t="str">
        <f aca="false">IF(AND(E2471&gt;0,AA2471&lt;1,NOT(AND(C2472=C2471,AA2472=AA2471+1))),INDEX(DATAS,AA2471+1),"")</f>
        <v/>
      </c>
      <c r="AI2471" s="51" t="str">
        <f aca="false">IF(AND(AC2471=1,AA2471&lt;1),IF(AND(C2472=C2471,AA2472=AA2471+1),IF(AC2472=1,"",INDEX(DATAS,AA2471+1)),INDEX(DATAS,AA2471+1)),"")</f>
        <v/>
      </c>
    </row>
    <row r="2472" customFormat="false" ht="15" hidden="false" customHeight="false" outlineLevel="0" collapsed="false">
      <c r="A2472" s="51" t="n">
        <v>46309</v>
      </c>
      <c r="B2472" s="0" t="n">
        <v>13</v>
      </c>
      <c r="C2472" s="0" t="n">
        <v>6791</v>
      </c>
      <c r="E2472" s="0" t="n">
        <v>0</v>
      </c>
      <c r="F2472" s="46" t="s">
        <v>1292</v>
      </c>
      <c r="I2472" s="46" t="s">
        <v>189</v>
      </c>
      <c r="U2472" s="0" t="n">
        <v>442</v>
      </c>
      <c r="V2472" s="0" t="n">
        <v>0</v>
      </c>
      <c r="X2472" s="46" t="n">
        <f aca="false">IF(I2472="Male",0,1)</f>
        <v>1</v>
      </c>
      <c r="Y2472" s="46" t="n">
        <f aca="false">IF(OR(I2472="DNB",I2472="Dry DNB"),1,0)</f>
        <v>0</v>
      </c>
      <c r="Z2472" s="0" t="str">
        <f aca="false">IF(ISNUMBER(W2472),A2472-W2472,"")</f>
        <v/>
      </c>
      <c r="AA2472" s="46" t="n">
        <f aca="false">MATCH(A2472,DATAS,0)</f>
        <v>1</v>
      </c>
      <c r="AB2472" s="46" t="n">
        <f aca="false">IF(AND(E2472&gt;0,OR(AND(B2472&gt;=1,B2472&lt;=6),B2472=10)),1,0)</f>
        <v>0</v>
      </c>
      <c r="AC2472" s="46" t="n">
        <f aca="false">IF(AND(E2472&gt;0,B2472=10),1,0)</f>
        <v>0</v>
      </c>
      <c r="AD2472" s="0" t="str">
        <f aca="false">IF(AND(C2471=C2472,AA2471=AA2472-1),AB2471,"")</f>
        <v/>
      </c>
      <c r="AE2472" s="0" t="str">
        <f aca="false">IF(AND(C2471=C2472,AA2471=AA2472-1),AC2471,"")</f>
        <v/>
      </c>
      <c r="AF2472" s="0" t="str">
        <f aca="false">IF(AA2472=1,"",IF(AND(AB2472=1,AD2472&lt;&gt;1),1,0))</f>
        <v/>
      </c>
      <c r="AG2472" s="0" t="str">
        <f aca="false">IF(AA2472=1,"",IF(AND(AC2472=1,AE2472&lt;&gt;1),1,0))</f>
        <v/>
      </c>
      <c r="AH2472" s="51" t="str">
        <f aca="false">IF(AND(E2472&gt;0,AA2472&lt;1,NOT(AND(C2473=C2472,AA2473=AA2472+1))),INDEX(DATAS,AA2472+1),"")</f>
        <v/>
      </c>
      <c r="AI2472" s="51" t="str">
        <f aca="false">IF(AND(AC2472=1,AA2472&lt;1),IF(AND(C2473=C2472,AA2473=AA2472+1),IF(AC2473=1,"",INDEX(DATAS,AA2472+1)),INDEX(DATAS,AA2472+1)),"")</f>
        <v/>
      </c>
    </row>
    <row r="2473" customFormat="false" ht="15" hidden="false" customHeight="false" outlineLevel="0" collapsed="false">
      <c r="A2473" s="51" t="n">
        <v>46309</v>
      </c>
      <c r="B2473" s="0" t="n">
        <v>8</v>
      </c>
      <c r="C2473" s="0" t="n">
        <v>6792</v>
      </c>
      <c r="E2473" s="0" t="n">
        <v>0</v>
      </c>
      <c r="F2473" s="46" t="s">
        <v>1292</v>
      </c>
      <c r="I2473" s="46" t="s">
        <v>152</v>
      </c>
      <c r="L2473" s="0" t="n">
        <v>41</v>
      </c>
      <c r="U2473" s="0" t="n">
        <v>442</v>
      </c>
      <c r="V2473" s="0" t="n">
        <v>1</v>
      </c>
      <c r="W2473" s="51" t="n">
        <v>46269</v>
      </c>
      <c r="X2473" s="46" t="n">
        <f aca="false">IF(I2473="Male",0,1)</f>
        <v>1</v>
      </c>
      <c r="Y2473" s="46" t="n">
        <f aca="false">IF(OR(I2473="DNB",I2473="Dry DNB"),1,0)</f>
        <v>0</v>
      </c>
      <c r="Z2473" s="46" t="n">
        <f aca="false">IF(ISNUMBER(W2473),A2473-W2473,"")</f>
        <v>40</v>
      </c>
      <c r="AA2473" s="46" t="n">
        <f aca="false">MATCH(A2473,DATAS,0)</f>
        <v>1</v>
      </c>
      <c r="AB2473" s="46" t="n">
        <f aca="false">IF(AND(E2473&gt;0,OR(AND(B2473&gt;=1,B2473&lt;=6),B2473=10)),1,0)</f>
        <v>0</v>
      </c>
      <c r="AC2473" s="46" t="n">
        <f aca="false">IF(AND(E2473&gt;0,B2473=10),1,0)</f>
        <v>0</v>
      </c>
      <c r="AD2473" s="0" t="str">
        <f aca="false">IF(AND(C2472=C2473,AA2472=AA2473-1),AB2472,"")</f>
        <v/>
      </c>
      <c r="AE2473" s="0" t="str">
        <f aca="false">IF(AND(C2472=C2473,AA2472=AA2473-1),AC2472,"")</f>
        <v/>
      </c>
      <c r="AF2473" s="0" t="str">
        <f aca="false">IF(AA2473=1,"",IF(AND(AB2473=1,AD2473&lt;&gt;1),1,0))</f>
        <v/>
      </c>
      <c r="AG2473" s="0" t="str">
        <f aca="false">IF(AA2473=1,"",IF(AND(AC2473=1,AE2473&lt;&gt;1),1,0))</f>
        <v/>
      </c>
      <c r="AH2473" s="51" t="str">
        <f aca="false">IF(AND(E2473&gt;0,AA2473&lt;1,NOT(AND(C2474=C2473,AA2474=AA2473+1))),INDEX(DATAS,AA2473+1),"")</f>
        <v/>
      </c>
      <c r="AI2473" s="51" t="str">
        <f aca="false">IF(AND(AC2473=1,AA2473&lt;1),IF(AND(C2474=C2473,AA2474=AA2473+1),IF(AC2474=1,"",INDEX(DATAS,AA2473+1)),INDEX(DATAS,AA2473+1)),"")</f>
        <v/>
      </c>
    </row>
    <row r="2474" customFormat="false" ht="15" hidden="false" customHeight="false" outlineLevel="0" collapsed="false">
      <c r="A2474" s="51" t="n">
        <v>46309</v>
      </c>
      <c r="B2474" s="0" t="n">
        <v>8</v>
      </c>
      <c r="C2474" s="0" t="n">
        <v>6793</v>
      </c>
      <c r="E2474" s="0" t="n">
        <v>0</v>
      </c>
      <c r="F2474" s="46" t="s">
        <v>1293</v>
      </c>
      <c r="I2474" s="46" t="s">
        <v>152</v>
      </c>
      <c r="L2474" s="0" t="n">
        <v>52</v>
      </c>
      <c r="U2474" s="0" t="n">
        <v>441</v>
      </c>
      <c r="V2474" s="0" t="n">
        <v>1</v>
      </c>
      <c r="W2474" s="51" t="n">
        <v>46258</v>
      </c>
      <c r="X2474" s="46" t="n">
        <f aca="false">IF(I2474="Male",0,1)</f>
        <v>1</v>
      </c>
      <c r="Y2474" s="46" t="n">
        <f aca="false">IF(OR(I2474="DNB",I2474="Dry DNB"),1,0)</f>
        <v>0</v>
      </c>
      <c r="Z2474" s="46" t="n">
        <f aca="false">IF(ISNUMBER(W2474),A2474-W2474,"")</f>
        <v>51</v>
      </c>
      <c r="AA2474" s="46" t="n">
        <f aca="false">MATCH(A2474,DATAS,0)</f>
        <v>1</v>
      </c>
      <c r="AB2474" s="46" t="n">
        <f aca="false">IF(AND(E2474&gt;0,OR(AND(B2474&gt;=1,B2474&lt;=6),B2474=10)),1,0)</f>
        <v>0</v>
      </c>
      <c r="AC2474" s="46" t="n">
        <f aca="false">IF(AND(E2474&gt;0,B2474=10),1,0)</f>
        <v>0</v>
      </c>
      <c r="AD2474" s="0" t="str">
        <f aca="false">IF(AND(C2473=C2474,AA2473=AA2474-1),AB2473,"")</f>
        <v/>
      </c>
      <c r="AE2474" s="0" t="str">
        <f aca="false">IF(AND(C2473=C2474,AA2473=AA2474-1),AC2473,"")</f>
        <v/>
      </c>
      <c r="AF2474" s="0" t="str">
        <f aca="false">IF(AA2474=1,"",IF(AND(AB2474=1,AD2474&lt;&gt;1),1,0))</f>
        <v/>
      </c>
      <c r="AG2474" s="0" t="str">
        <f aca="false">IF(AA2474=1,"",IF(AND(AC2474=1,AE2474&lt;&gt;1),1,0))</f>
        <v/>
      </c>
      <c r="AH2474" s="51" t="str">
        <f aca="false">IF(AND(E2474&gt;0,AA2474&lt;1,NOT(AND(C2475=C2474,AA2475=AA2474+1))),INDEX(DATAS,AA2474+1),"")</f>
        <v/>
      </c>
      <c r="AI2474" s="51" t="str">
        <f aca="false">IF(AND(AC2474=1,AA2474&lt;1),IF(AND(C2475=C2474,AA2475=AA2474+1),IF(AC2475=1,"",INDEX(DATAS,AA2474+1)),INDEX(DATAS,AA2474+1)),"")</f>
        <v/>
      </c>
    </row>
    <row r="2475" customFormat="false" ht="15" hidden="false" customHeight="false" outlineLevel="0" collapsed="false">
      <c r="A2475" s="51" t="n">
        <v>46309</v>
      </c>
      <c r="B2475" s="0" t="n">
        <v>11</v>
      </c>
      <c r="C2475" s="0" t="n">
        <v>6795</v>
      </c>
      <c r="E2475" s="0" t="n">
        <v>0</v>
      </c>
      <c r="F2475" s="46" t="s">
        <v>1294</v>
      </c>
      <c r="I2475" s="46" t="s">
        <v>181</v>
      </c>
      <c r="U2475" s="0" t="n">
        <v>440</v>
      </c>
      <c r="V2475" s="0" t="n">
        <v>3</v>
      </c>
      <c r="W2475" s="51" t="n">
        <v>46308</v>
      </c>
      <c r="X2475" s="46" t="n">
        <f aca="false">IF(I2475="Male",0,1)</f>
        <v>1</v>
      </c>
      <c r="Y2475" s="46" t="n">
        <f aca="false">IF(OR(I2475="DNB",I2475="Dry DNB"),1,0)</f>
        <v>0</v>
      </c>
      <c r="Z2475" s="46" t="n">
        <f aca="false">IF(ISNUMBER(W2475),A2475-W2475,"")</f>
        <v>1</v>
      </c>
      <c r="AA2475" s="46" t="n">
        <f aca="false">MATCH(A2475,DATAS,0)</f>
        <v>1</v>
      </c>
      <c r="AB2475" s="46" t="n">
        <f aca="false">IF(AND(E2475&gt;0,OR(AND(B2475&gt;=1,B2475&lt;=6),B2475=10)),1,0)</f>
        <v>0</v>
      </c>
      <c r="AC2475" s="46" t="n">
        <f aca="false">IF(AND(E2475&gt;0,B2475=10),1,0)</f>
        <v>0</v>
      </c>
      <c r="AD2475" s="0" t="str">
        <f aca="false">IF(AND(C2474=C2475,AA2474=AA2475-1),AB2474,"")</f>
        <v/>
      </c>
      <c r="AE2475" s="0" t="str">
        <f aca="false">IF(AND(C2474=C2475,AA2474=AA2475-1),AC2474,"")</f>
        <v/>
      </c>
      <c r="AF2475" s="0" t="str">
        <f aca="false">IF(AA2475=1,"",IF(AND(AB2475=1,AD2475&lt;&gt;1),1,0))</f>
        <v/>
      </c>
      <c r="AG2475" s="0" t="str">
        <f aca="false">IF(AA2475=1,"",IF(AND(AC2475=1,AE2475&lt;&gt;1),1,0))</f>
        <v/>
      </c>
      <c r="AH2475" s="51" t="str">
        <f aca="false">IF(AND(E2475&gt;0,AA2475&lt;1,NOT(AND(C2476=C2475,AA2476=AA2475+1))),INDEX(DATAS,AA2475+1),"")</f>
        <v/>
      </c>
      <c r="AI2475" s="51" t="str">
        <f aca="false">IF(AND(AC2475=1,AA2475&lt;1),IF(AND(C2476=C2475,AA2476=AA2475+1),IF(AC2476=1,"",INDEX(DATAS,AA2475+1)),INDEX(DATAS,AA2475+1)),"")</f>
        <v/>
      </c>
    </row>
    <row r="2476" customFormat="false" ht="15" hidden="false" customHeight="false" outlineLevel="0" collapsed="false">
      <c r="A2476" s="51" t="n">
        <v>46309</v>
      </c>
      <c r="B2476" s="0" t="n">
        <v>11</v>
      </c>
      <c r="C2476" s="0" t="n">
        <v>6796</v>
      </c>
      <c r="E2476" s="0" t="n">
        <v>0</v>
      </c>
      <c r="F2476" s="46" t="s">
        <v>1294</v>
      </c>
      <c r="I2476" s="46" t="s">
        <v>181</v>
      </c>
      <c r="U2476" s="0" t="n">
        <v>440</v>
      </c>
      <c r="V2476" s="0" t="n">
        <v>2</v>
      </c>
      <c r="W2476" s="51" t="n">
        <v>46302</v>
      </c>
      <c r="X2476" s="46" t="n">
        <f aca="false">IF(I2476="Male",0,1)</f>
        <v>1</v>
      </c>
      <c r="Y2476" s="46" t="n">
        <f aca="false">IF(OR(I2476="DNB",I2476="Dry DNB"),1,0)</f>
        <v>0</v>
      </c>
      <c r="Z2476" s="46" t="n">
        <f aca="false">IF(ISNUMBER(W2476),A2476-W2476,"")</f>
        <v>7</v>
      </c>
      <c r="AA2476" s="46" t="n">
        <f aca="false">MATCH(A2476,DATAS,0)</f>
        <v>1</v>
      </c>
      <c r="AB2476" s="46" t="n">
        <f aca="false">IF(AND(E2476&gt;0,OR(AND(B2476&gt;=1,B2476&lt;=6),B2476=10)),1,0)</f>
        <v>0</v>
      </c>
      <c r="AC2476" s="46" t="n">
        <f aca="false">IF(AND(E2476&gt;0,B2476=10),1,0)</f>
        <v>0</v>
      </c>
      <c r="AD2476" s="0" t="str">
        <f aca="false">IF(AND(C2475=C2476,AA2475=AA2476-1),AB2475,"")</f>
        <v/>
      </c>
      <c r="AE2476" s="0" t="str">
        <f aca="false">IF(AND(C2475=C2476,AA2475=AA2476-1),AC2475,"")</f>
        <v/>
      </c>
      <c r="AF2476" s="0" t="str">
        <f aca="false">IF(AA2476=1,"",IF(AND(AB2476=1,AD2476&lt;&gt;1),1,0))</f>
        <v/>
      </c>
      <c r="AG2476" s="0" t="str">
        <f aca="false">IF(AA2476=1,"",IF(AND(AC2476=1,AE2476&lt;&gt;1),1,0))</f>
        <v/>
      </c>
      <c r="AH2476" s="51" t="str">
        <f aca="false">IF(AND(E2476&gt;0,AA2476&lt;1,NOT(AND(C2477=C2476,AA2477=AA2476+1))),INDEX(DATAS,AA2476+1),"")</f>
        <v/>
      </c>
      <c r="AI2476" s="51" t="str">
        <f aca="false">IF(AND(AC2476=1,AA2476&lt;1),IF(AND(C2477=C2476,AA2477=AA2476+1),IF(AC2477=1,"",INDEX(DATAS,AA2476+1)),INDEX(DATAS,AA2476+1)),"")</f>
        <v/>
      </c>
    </row>
    <row r="2477" customFormat="false" ht="15" hidden="false" customHeight="false" outlineLevel="0" collapsed="false">
      <c r="A2477" s="51" t="n">
        <v>46309</v>
      </c>
      <c r="B2477" s="0" t="n">
        <v>13</v>
      </c>
      <c r="C2477" s="0" t="n">
        <v>6797</v>
      </c>
      <c r="E2477" s="0" t="n">
        <v>0</v>
      </c>
      <c r="F2477" s="46" t="s">
        <v>1294</v>
      </c>
      <c r="I2477" s="46" t="s">
        <v>189</v>
      </c>
      <c r="U2477" s="0" t="n">
        <v>440</v>
      </c>
      <c r="V2477" s="0" t="n">
        <v>0</v>
      </c>
      <c r="X2477" s="46" t="n">
        <f aca="false">IF(I2477="Male",0,1)</f>
        <v>1</v>
      </c>
      <c r="Y2477" s="46" t="n">
        <f aca="false">IF(OR(I2477="DNB",I2477="Dry DNB"),1,0)</f>
        <v>0</v>
      </c>
      <c r="Z2477" s="0" t="str">
        <f aca="false">IF(ISNUMBER(W2477),A2477-W2477,"")</f>
        <v/>
      </c>
      <c r="AA2477" s="46" t="n">
        <f aca="false">MATCH(A2477,DATAS,0)</f>
        <v>1</v>
      </c>
      <c r="AB2477" s="46" t="n">
        <f aca="false">IF(AND(E2477&gt;0,OR(AND(B2477&gt;=1,B2477&lt;=6),B2477=10)),1,0)</f>
        <v>0</v>
      </c>
      <c r="AC2477" s="46" t="n">
        <f aca="false">IF(AND(E2477&gt;0,B2477=10),1,0)</f>
        <v>0</v>
      </c>
      <c r="AD2477" s="0" t="str">
        <f aca="false">IF(AND(C2476=C2477,AA2476=AA2477-1),AB2476,"")</f>
        <v/>
      </c>
      <c r="AE2477" s="0" t="str">
        <f aca="false">IF(AND(C2476=C2477,AA2476=AA2477-1),AC2476,"")</f>
        <v/>
      </c>
      <c r="AF2477" s="0" t="str">
        <f aca="false">IF(AA2477=1,"",IF(AND(AB2477=1,AD2477&lt;&gt;1),1,0))</f>
        <v/>
      </c>
      <c r="AG2477" s="0" t="str">
        <f aca="false">IF(AA2477=1,"",IF(AND(AC2477=1,AE2477&lt;&gt;1),1,0))</f>
        <v/>
      </c>
      <c r="AH2477" s="51" t="str">
        <f aca="false">IF(AND(E2477&gt;0,AA2477&lt;1,NOT(AND(C2478=C2477,AA2478=AA2477+1))),INDEX(DATAS,AA2477+1),"")</f>
        <v/>
      </c>
      <c r="AI2477" s="51" t="str">
        <f aca="false">IF(AND(AC2477=1,AA2477&lt;1),IF(AND(C2478=C2477,AA2478=AA2477+1),IF(AC2478=1,"",INDEX(DATAS,AA2477+1)),INDEX(DATAS,AA2477+1)),"")</f>
        <v/>
      </c>
    </row>
    <row r="2478" customFormat="false" ht="15" hidden="false" customHeight="false" outlineLevel="0" collapsed="false">
      <c r="A2478" s="51" t="n">
        <v>46309</v>
      </c>
      <c r="B2478" s="0" t="n">
        <v>8</v>
      </c>
      <c r="C2478" s="0" t="n">
        <v>6798</v>
      </c>
      <c r="E2478" s="0" t="n">
        <v>0</v>
      </c>
      <c r="F2478" s="46" t="s">
        <v>1294</v>
      </c>
      <c r="I2478" s="46" t="s">
        <v>152</v>
      </c>
      <c r="L2478" s="0" t="n">
        <v>38</v>
      </c>
      <c r="U2478" s="0" t="n">
        <v>440</v>
      </c>
      <c r="V2478" s="0" t="n">
        <v>1</v>
      </c>
      <c r="W2478" s="51" t="n">
        <v>46272</v>
      </c>
      <c r="X2478" s="46" t="n">
        <f aca="false">IF(I2478="Male",0,1)</f>
        <v>1</v>
      </c>
      <c r="Y2478" s="46" t="n">
        <f aca="false">IF(OR(I2478="DNB",I2478="Dry DNB"),1,0)</f>
        <v>0</v>
      </c>
      <c r="Z2478" s="46" t="n">
        <f aca="false">IF(ISNUMBER(W2478),A2478-W2478,"")</f>
        <v>37</v>
      </c>
      <c r="AA2478" s="46" t="n">
        <f aca="false">MATCH(A2478,DATAS,0)</f>
        <v>1</v>
      </c>
      <c r="AB2478" s="46" t="n">
        <f aca="false">IF(AND(E2478&gt;0,OR(AND(B2478&gt;=1,B2478&lt;=6),B2478=10)),1,0)</f>
        <v>0</v>
      </c>
      <c r="AC2478" s="46" t="n">
        <f aca="false">IF(AND(E2478&gt;0,B2478=10),1,0)</f>
        <v>0</v>
      </c>
      <c r="AD2478" s="0" t="str">
        <f aca="false">IF(AND(C2477=C2478,AA2477=AA2478-1),AB2477,"")</f>
        <v/>
      </c>
      <c r="AE2478" s="0" t="str">
        <f aca="false">IF(AND(C2477=C2478,AA2477=AA2478-1),AC2477,"")</f>
        <v/>
      </c>
      <c r="AF2478" s="0" t="str">
        <f aca="false">IF(AA2478=1,"",IF(AND(AB2478=1,AD2478&lt;&gt;1),1,0))</f>
        <v/>
      </c>
      <c r="AG2478" s="0" t="str">
        <f aca="false">IF(AA2478=1,"",IF(AND(AC2478=1,AE2478&lt;&gt;1),1,0))</f>
        <v/>
      </c>
      <c r="AH2478" s="51" t="str">
        <f aca="false">IF(AND(E2478&gt;0,AA2478&lt;1,NOT(AND(C2479=C2478,AA2479=AA2478+1))),INDEX(DATAS,AA2478+1),"")</f>
        <v/>
      </c>
      <c r="AI2478" s="51" t="str">
        <f aca="false">IF(AND(AC2478=1,AA2478&lt;1),IF(AND(C2479=C2478,AA2479=AA2478+1),IF(AC2479=1,"",INDEX(DATAS,AA2478+1)),INDEX(DATAS,AA2478+1)),"")</f>
        <v/>
      </c>
    </row>
    <row r="2479" customFormat="false" ht="15" hidden="false" customHeight="false" outlineLevel="0" collapsed="false">
      <c r="A2479" s="51" t="n">
        <v>46309</v>
      </c>
      <c r="B2479" s="0" t="n">
        <v>11</v>
      </c>
      <c r="C2479" s="0" t="n">
        <v>6799</v>
      </c>
      <c r="E2479" s="0" t="n">
        <v>0</v>
      </c>
      <c r="F2479" s="46" t="s">
        <v>1294</v>
      </c>
      <c r="I2479" s="46" t="s">
        <v>181</v>
      </c>
      <c r="U2479" s="0" t="n">
        <v>440</v>
      </c>
      <c r="V2479" s="0" t="n">
        <v>2</v>
      </c>
      <c r="W2479" s="51" t="n">
        <v>46289</v>
      </c>
      <c r="X2479" s="46" t="n">
        <f aca="false">IF(I2479="Male",0,1)</f>
        <v>1</v>
      </c>
      <c r="Y2479" s="46" t="n">
        <f aca="false">IF(OR(I2479="DNB",I2479="Dry DNB"),1,0)</f>
        <v>0</v>
      </c>
      <c r="Z2479" s="46" t="n">
        <f aca="false">IF(ISNUMBER(W2479),A2479-W2479,"")</f>
        <v>20</v>
      </c>
      <c r="AA2479" s="46" t="n">
        <f aca="false">MATCH(A2479,DATAS,0)</f>
        <v>1</v>
      </c>
      <c r="AB2479" s="46" t="n">
        <f aca="false">IF(AND(E2479&gt;0,OR(AND(B2479&gt;=1,B2479&lt;=6),B2479=10)),1,0)</f>
        <v>0</v>
      </c>
      <c r="AC2479" s="46" t="n">
        <f aca="false">IF(AND(E2479&gt;0,B2479=10),1,0)</f>
        <v>0</v>
      </c>
      <c r="AD2479" s="0" t="str">
        <f aca="false">IF(AND(C2478=C2479,AA2478=AA2479-1),AB2478,"")</f>
        <v/>
      </c>
      <c r="AE2479" s="0" t="str">
        <f aca="false">IF(AND(C2478=C2479,AA2478=AA2479-1),AC2478,"")</f>
        <v/>
      </c>
      <c r="AF2479" s="0" t="str">
        <f aca="false">IF(AA2479=1,"",IF(AND(AB2479=1,AD2479&lt;&gt;1),1,0))</f>
        <v/>
      </c>
      <c r="AG2479" s="0" t="str">
        <f aca="false">IF(AA2479=1,"",IF(AND(AC2479=1,AE2479&lt;&gt;1),1,0))</f>
        <v/>
      </c>
      <c r="AH2479" s="51" t="str">
        <f aca="false">IF(AND(E2479&gt;0,AA2479&lt;1,NOT(AND(C2480=C2479,AA2480=AA2479+1))),INDEX(DATAS,AA2479+1),"")</f>
        <v/>
      </c>
      <c r="AI2479" s="51" t="str">
        <f aca="false">IF(AND(AC2479=1,AA2479&lt;1),IF(AND(C2480=C2479,AA2480=AA2479+1),IF(AC2480=1,"",INDEX(DATAS,AA2479+1)),INDEX(DATAS,AA2479+1)),"")</f>
        <v/>
      </c>
    </row>
    <row r="2480" customFormat="false" ht="15" hidden="false" customHeight="false" outlineLevel="0" collapsed="false">
      <c r="A2480" s="51" t="n">
        <v>46309</v>
      </c>
      <c r="B2480" s="0" t="n">
        <v>8</v>
      </c>
      <c r="C2480" s="0" t="n">
        <v>6800</v>
      </c>
      <c r="E2480" s="0" t="n">
        <v>0</v>
      </c>
      <c r="F2480" s="46" t="s">
        <v>1294</v>
      </c>
      <c r="I2480" s="46" t="s">
        <v>152</v>
      </c>
      <c r="L2480" s="0" t="n">
        <v>44</v>
      </c>
      <c r="U2480" s="0" t="n">
        <v>440</v>
      </c>
      <c r="V2480" s="0" t="n">
        <v>1</v>
      </c>
      <c r="W2480" s="51" t="n">
        <v>46266</v>
      </c>
      <c r="X2480" s="46" t="n">
        <f aca="false">IF(I2480="Male",0,1)</f>
        <v>1</v>
      </c>
      <c r="Y2480" s="46" t="n">
        <f aca="false">IF(OR(I2480="DNB",I2480="Dry DNB"),1,0)</f>
        <v>0</v>
      </c>
      <c r="Z2480" s="46" t="n">
        <f aca="false">IF(ISNUMBER(W2480),A2480-W2480,"")</f>
        <v>43</v>
      </c>
      <c r="AA2480" s="46" t="n">
        <f aca="false">MATCH(A2480,DATAS,0)</f>
        <v>1</v>
      </c>
      <c r="AB2480" s="46" t="n">
        <f aca="false">IF(AND(E2480&gt;0,OR(AND(B2480&gt;=1,B2480&lt;=6),B2480=10)),1,0)</f>
        <v>0</v>
      </c>
      <c r="AC2480" s="46" t="n">
        <f aca="false">IF(AND(E2480&gt;0,B2480=10),1,0)</f>
        <v>0</v>
      </c>
      <c r="AD2480" s="0" t="str">
        <f aca="false">IF(AND(C2479=C2480,AA2479=AA2480-1),AB2479,"")</f>
        <v/>
      </c>
      <c r="AE2480" s="0" t="str">
        <f aca="false">IF(AND(C2479=C2480,AA2479=AA2480-1),AC2479,"")</f>
        <v/>
      </c>
      <c r="AF2480" s="0" t="str">
        <f aca="false">IF(AA2480=1,"",IF(AND(AB2480=1,AD2480&lt;&gt;1),1,0))</f>
        <v/>
      </c>
      <c r="AG2480" s="0" t="str">
        <f aca="false">IF(AA2480=1,"",IF(AND(AC2480=1,AE2480&lt;&gt;1),1,0))</f>
        <v/>
      </c>
      <c r="AH2480" s="51" t="str">
        <f aca="false">IF(AND(E2480&gt;0,AA2480&lt;1,NOT(AND(C2481=C2480,AA2481=AA2480+1))),INDEX(DATAS,AA2480+1),"")</f>
        <v/>
      </c>
      <c r="AI2480" s="51" t="str">
        <f aca="false">IF(AND(AC2480=1,AA2480&lt;1),IF(AND(C2481=C2480,AA2481=AA2480+1),IF(AC2481=1,"",INDEX(DATAS,AA2480+1)),INDEX(DATAS,AA2480+1)),"")</f>
        <v/>
      </c>
    </row>
    <row r="2481" customFormat="false" ht="15" hidden="false" customHeight="false" outlineLevel="0" collapsed="false">
      <c r="A2481" s="51" t="n">
        <v>46309</v>
      </c>
      <c r="B2481" s="0" t="n">
        <v>13</v>
      </c>
      <c r="C2481" s="0" t="n">
        <v>6801</v>
      </c>
      <c r="E2481" s="0" t="n">
        <v>0</v>
      </c>
      <c r="F2481" s="46" t="s">
        <v>1294</v>
      </c>
      <c r="I2481" s="46" t="s">
        <v>189</v>
      </c>
      <c r="U2481" s="0" t="n">
        <v>440</v>
      </c>
      <c r="V2481" s="0" t="n">
        <v>0</v>
      </c>
      <c r="X2481" s="46" t="n">
        <f aca="false">IF(I2481="Male",0,1)</f>
        <v>1</v>
      </c>
      <c r="Y2481" s="46" t="n">
        <f aca="false">IF(OR(I2481="DNB",I2481="Dry DNB"),1,0)</f>
        <v>0</v>
      </c>
      <c r="Z2481" s="0" t="str">
        <f aca="false">IF(ISNUMBER(W2481),A2481-W2481,"")</f>
        <v/>
      </c>
      <c r="AA2481" s="46" t="n">
        <f aca="false">MATCH(A2481,DATAS,0)</f>
        <v>1</v>
      </c>
      <c r="AB2481" s="46" t="n">
        <f aca="false">IF(AND(E2481&gt;0,OR(AND(B2481&gt;=1,B2481&lt;=6),B2481=10)),1,0)</f>
        <v>0</v>
      </c>
      <c r="AC2481" s="46" t="n">
        <f aca="false">IF(AND(E2481&gt;0,B2481=10),1,0)</f>
        <v>0</v>
      </c>
      <c r="AD2481" s="0" t="str">
        <f aca="false">IF(AND(C2480=C2481,AA2480=AA2481-1),AB2480,"")</f>
        <v/>
      </c>
      <c r="AE2481" s="0" t="str">
        <f aca="false">IF(AND(C2480=C2481,AA2480=AA2481-1),AC2480,"")</f>
        <v/>
      </c>
      <c r="AF2481" s="0" t="str">
        <f aca="false">IF(AA2481=1,"",IF(AND(AB2481=1,AD2481&lt;&gt;1),1,0))</f>
        <v/>
      </c>
      <c r="AG2481" s="0" t="str">
        <f aca="false">IF(AA2481=1,"",IF(AND(AC2481=1,AE2481&lt;&gt;1),1,0))</f>
        <v/>
      </c>
      <c r="AH2481" s="51" t="str">
        <f aca="false">IF(AND(E2481&gt;0,AA2481&lt;1,NOT(AND(C2482=C2481,AA2482=AA2481+1))),INDEX(DATAS,AA2481+1),"")</f>
        <v/>
      </c>
      <c r="AI2481" s="51" t="str">
        <f aca="false">IF(AND(AC2481=1,AA2481&lt;1),IF(AND(C2482=C2481,AA2482=AA2481+1),IF(AC2482=1,"",INDEX(DATAS,AA2481+1)),INDEX(DATAS,AA2481+1)),"")</f>
        <v/>
      </c>
    </row>
    <row r="2482" customFormat="false" ht="15" hidden="false" customHeight="false" outlineLevel="0" collapsed="false">
      <c r="A2482" s="51" t="n">
        <v>46309</v>
      </c>
      <c r="B2482" s="0" t="n">
        <v>13</v>
      </c>
      <c r="C2482" s="0" t="n">
        <v>6802</v>
      </c>
      <c r="E2482" s="0" t="n">
        <v>0</v>
      </c>
      <c r="F2482" s="46" t="s">
        <v>1295</v>
      </c>
      <c r="I2482" s="46" t="s">
        <v>181</v>
      </c>
      <c r="U2482" s="0" t="n">
        <v>439</v>
      </c>
      <c r="V2482" s="0" t="n">
        <v>1</v>
      </c>
      <c r="W2482" s="51" t="n">
        <v>46267</v>
      </c>
      <c r="X2482" s="46" t="n">
        <f aca="false">IF(I2482="Male",0,1)</f>
        <v>1</v>
      </c>
      <c r="Y2482" s="46" t="n">
        <f aca="false">IF(OR(I2482="DNB",I2482="Dry DNB"),1,0)</f>
        <v>0</v>
      </c>
      <c r="Z2482" s="46" t="n">
        <f aca="false">IF(ISNUMBER(W2482),A2482-W2482,"")</f>
        <v>42</v>
      </c>
      <c r="AA2482" s="46" t="n">
        <f aca="false">MATCH(A2482,DATAS,0)</f>
        <v>1</v>
      </c>
      <c r="AB2482" s="46" t="n">
        <f aca="false">IF(AND(E2482&gt;0,OR(AND(B2482&gt;=1,B2482&lt;=6),B2482=10)),1,0)</f>
        <v>0</v>
      </c>
      <c r="AC2482" s="46" t="n">
        <f aca="false">IF(AND(E2482&gt;0,B2482=10),1,0)</f>
        <v>0</v>
      </c>
      <c r="AD2482" s="0" t="str">
        <f aca="false">IF(AND(C2481=C2482,AA2481=AA2482-1),AB2481,"")</f>
        <v/>
      </c>
      <c r="AE2482" s="0" t="str">
        <f aca="false">IF(AND(C2481=C2482,AA2481=AA2482-1),AC2481,"")</f>
        <v/>
      </c>
      <c r="AF2482" s="0" t="str">
        <f aca="false">IF(AA2482=1,"",IF(AND(AB2482=1,AD2482&lt;&gt;1),1,0))</f>
        <v/>
      </c>
      <c r="AG2482" s="0" t="str">
        <f aca="false">IF(AA2482=1,"",IF(AND(AC2482=1,AE2482&lt;&gt;1),1,0))</f>
        <v/>
      </c>
      <c r="AH2482" s="51" t="str">
        <f aca="false">IF(AND(E2482&gt;0,AA2482&lt;1,NOT(AND(C2483=C2482,AA2483=AA2482+1))),INDEX(DATAS,AA2482+1),"")</f>
        <v/>
      </c>
      <c r="AI2482" s="51" t="str">
        <f aca="false">IF(AND(AC2482=1,AA2482&lt;1),IF(AND(C2483=C2482,AA2483=AA2482+1),IF(AC2483=1,"",INDEX(DATAS,AA2482+1)),INDEX(DATAS,AA2482+1)),"")</f>
        <v/>
      </c>
    </row>
    <row r="2483" customFormat="false" ht="15" hidden="false" customHeight="false" outlineLevel="0" collapsed="false">
      <c r="A2483" s="51" t="n">
        <v>46309</v>
      </c>
      <c r="B2483" s="0" t="n">
        <v>11</v>
      </c>
      <c r="C2483" s="0" t="n">
        <v>6803</v>
      </c>
      <c r="E2483" s="0" t="n">
        <v>0</v>
      </c>
      <c r="F2483" s="46" t="s">
        <v>1295</v>
      </c>
      <c r="I2483" s="46" t="s">
        <v>181</v>
      </c>
      <c r="U2483" s="0" t="n">
        <v>439</v>
      </c>
      <c r="V2483" s="0" t="n">
        <v>2</v>
      </c>
      <c r="W2483" s="51" t="n">
        <v>46295</v>
      </c>
      <c r="X2483" s="46" t="n">
        <f aca="false">IF(I2483="Male",0,1)</f>
        <v>1</v>
      </c>
      <c r="Y2483" s="46" t="n">
        <f aca="false">IF(OR(I2483="DNB",I2483="Dry DNB"),1,0)</f>
        <v>0</v>
      </c>
      <c r="Z2483" s="46" t="n">
        <f aca="false">IF(ISNUMBER(W2483),A2483-W2483,"")</f>
        <v>14</v>
      </c>
      <c r="AA2483" s="46" t="n">
        <f aca="false">MATCH(A2483,DATAS,0)</f>
        <v>1</v>
      </c>
      <c r="AB2483" s="46" t="n">
        <f aca="false">IF(AND(E2483&gt;0,OR(AND(B2483&gt;=1,B2483&lt;=6),B2483=10)),1,0)</f>
        <v>0</v>
      </c>
      <c r="AC2483" s="46" t="n">
        <f aca="false">IF(AND(E2483&gt;0,B2483=10),1,0)</f>
        <v>0</v>
      </c>
      <c r="AD2483" s="0" t="str">
        <f aca="false">IF(AND(C2482=C2483,AA2482=AA2483-1),AB2482,"")</f>
        <v/>
      </c>
      <c r="AE2483" s="0" t="str">
        <f aca="false">IF(AND(C2482=C2483,AA2482=AA2483-1),AC2482,"")</f>
        <v/>
      </c>
      <c r="AF2483" s="0" t="str">
        <f aca="false">IF(AA2483=1,"",IF(AND(AB2483=1,AD2483&lt;&gt;1),1,0))</f>
        <v/>
      </c>
      <c r="AG2483" s="0" t="str">
        <f aca="false">IF(AA2483=1,"",IF(AND(AC2483=1,AE2483&lt;&gt;1),1,0))</f>
        <v/>
      </c>
      <c r="AH2483" s="51" t="str">
        <f aca="false">IF(AND(E2483&gt;0,AA2483&lt;1,NOT(AND(C2484=C2483,AA2484=AA2483+1))),INDEX(DATAS,AA2483+1),"")</f>
        <v/>
      </c>
      <c r="AI2483" s="51" t="str">
        <f aca="false">IF(AND(AC2483=1,AA2483&lt;1),IF(AND(C2484=C2483,AA2484=AA2483+1),IF(AC2484=1,"",INDEX(DATAS,AA2483+1)),INDEX(DATAS,AA2483+1)),"")</f>
        <v/>
      </c>
    </row>
    <row r="2484" customFormat="false" ht="15" hidden="false" customHeight="false" outlineLevel="0" collapsed="false">
      <c r="A2484" s="51" t="n">
        <v>46309</v>
      </c>
      <c r="B2484" s="0" t="n">
        <v>11</v>
      </c>
      <c r="C2484" s="0" t="n">
        <v>6804</v>
      </c>
      <c r="E2484" s="0" t="n">
        <v>0</v>
      </c>
      <c r="F2484" s="46" t="s">
        <v>1295</v>
      </c>
      <c r="I2484" s="46" t="s">
        <v>181</v>
      </c>
      <c r="U2484" s="0" t="n">
        <v>439</v>
      </c>
      <c r="V2484" s="0" t="n">
        <v>1</v>
      </c>
      <c r="W2484" s="51" t="n">
        <v>46294</v>
      </c>
      <c r="X2484" s="46" t="n">
        <f aca="false">IF(I2484="Male",0,1)</f>
        <v>1</v>
      </c>
      <c r="Y2484" s="46" t="n">
        <f aca="false">IF(OR(I2484="DNB",I2484="Dry DNB"),1,0)</f>
        <v>0</v>
      </c>
      <c r="Z2484" s="46" t="n">
        <f aca="false">IF(ISNUMBER(W2484),A2484-W2484,"")</f>
        <v>15</v>
      </c>
      <c r="AA2484" s="46" t="n">
        <f aca="false">MATCH(A2484,DATAS,0)</f>
        <v>1</v>
      </c>
      <c r="AB2484" s="46" t="n">
        <f aca="false">IF(AND(E2484&gt;0,OR(AND(B2484&gt;=1,B2484&lt;=6),B2484=10)),1,0)</f>
        <v>0</v>
      </c>
      <c r="AC2484" s="46" t="n">
        <f aca="false">IF(AND(E2484&gt;0,B2484=10),1,0)</f>
        <v>0</v>
      </c>
      <c r="AD2484" s="0" t="str">
        <f aca="false">IF(AND(C2483=C2484,AA2483=AA2484-1),AB2483,"")</f>
        <v/>
      </c>
      <c r="AE2484" s="0" t="str">
        <f aca="false">IF(AND(C2483=C2484,AA2483=AA2484-1),AC2483,"")</f>
        <v/>
      </c>
      <c r="AF2484" s="0" t="str">
        <f aca="false">IF(AA2484=1,"",IF(AND(AB2484=1,AD2484&lt;&gt;1),1,0))</f>
        <v/>
      </c>
      <c r="AG2484" s="0" t="str">
        <f aca="false">IF(AA2484=1,"",IF(AND(AC2484=1,AE2484&lt;&gt;1),1,0))</f>
        <v/>
      </c>
      <c r="AH2484" s="51" t="str">
        <f aca="false">IF(AND(E2484&gt;0,AA2484&lt;1,NOT(AND(C2485=C2484,AA2485=AA2484+1))),INDEX(DATAS,AA2484+1),"")</f>
        <v/>
      </c>
      <c r="AI2484" s="51" t="str">
        <f aca="false">IF(AND(AC2484=1,AA2484&lt;1),IF(AND(C2485=C2484,AA2485=AA2484+1),IF(AC2485=1,"",INDEX(DATAS,AA2484+1)),INDEX(DATAS,AA2484+1)),"")</f>
        <v/>
      </c>
    </row>
    <row r="2485" customFormat="false" ht="15" hidden="false" customHeight="false" outlineLevel="0" collapsed="false">
      <c r="A2485" s="51" t="n">
        <v>46309</v>
      </c>
      <c r="B2485" s="0" t="n">
        <v>13</v>
      </c>
      <c r="C2485" s="0" t="n">
        <v>6806</v>
      </c>
      <c r="E2485" s="0" t="n">
        <v>0</v>
      </c>
      <c r="F2485" s="46" t="s">
        <v>1295</v>
      </c>
      <c r="I2485" s="46" t="s">
        <v>189</v>
      </c>
      <c r="U2485" s="0" t="n">
        <v>439</v>
      </c>
      <c r="V2485" s="0" t="n">
        <v>0</v>
      </c>
      <c r="X2485" s="46" t="n">
        <f aca="false">IF(I2485="Male",0,1)</f>
        <v>1</v>
      </c>
      <c r="Y2485" s="46" t="n">
        <f aca="false">IF(OR(I2485="DNB",I2485="Dry DNB"),1,0)</f>
        <v>0</v>
      </c>
      <c r="Z2485" s="0" t="str">
        <f aca="false">IF(ISNUMBER(W2485),A2485-W2485,"")</f>
        <v/>
      </c>
      <c r="AA2485" s="46" t="n">
        <f aca="false">MATCH(A2485,DATAS,0)</f>
        <v>1</v>
      </c>
      <c r="AB2485" s="46" t="n">
        <f aca="false">IF(AND(E2485&gt;0,OR(AND(B2485&gt;=1,B2485&lt;=6),B2485=10)),1,0)</f>
        <v>0</v>
      </c>
      <c r="AC2485" s="46" t="n">
        <f aca="false">IF(AND(E2485&gt;0,B2485=10),1,0)</f>
        <v>0</v>
      </c>
      <c r="AD2485" s="0" t="str">
        <f aca="false">IF(AND(C2484=C2485,AA2484=AA2485-1),AB2484,"")</f>
        <v/>
      </c>
      <c r="AE2485" s="0" t="str">
        <f aca="false">IF(AND(C2484=C2485,AA2484=AA2485-1),AC2484,"")</f>
        <v/>
      </c>
      <c r="AF2485" s="0" t="str">
        <f aca="false">IF(AA2485=1,"",IF(AND(AB2485=1,AD2485&lt;&gt;1),1,0))</f>
        <v/>
      </c>
      <c r="AG2485" s="0" t="str">
        <f aca="false">IF(AA2485=1,"",IF(AND(AC2485=1,AE2485&lt;&gt;1),1,0))</f>
        <v/>
      </c>
      <c r="AH2485" s="51" t="str">
        <f aca="false">IF(AND(E2485&gt;0,AA2485&lt;1,NOT(AND(C2486=C2485,AA2486=AA2485+1))),INDEX(DATAS,AA2485+1),"")</f>
        <v/>
      </c>
      <c r="AI2485" s="51" t="str">
        <f aca="false">IF(AND(AC2485=1,AA2485&lt;1),IF(AND(C2486=C2485,AA2486=AA2485+1),IF(AC2486=1,"",INDEX(DATAS,AA2485+1)),INDEX(DATAS,AA2485+1)),"")</f>
        <v/>
      </c>
    </row>
    <row r="2486" customFormat="false" ht="15" hidden="false" customHeight="false" outlineLevel="0" collapsed="false">
      <c r="A2486" s="51" t="n">
        <v>46309</v>
      </c>
      <c r="B2486" s="0" t="n">
        <v>11</v>
      </c>
      <c r="C2486" s="0" t="n">
        <v>6808</v>
      </c>
      <c r="E2486" s="0" t="n">
        <v>0</v>
      </c>
      <c r="F2486" s="46" t="s">
        <v>1295</v>
      </c>
      <c r="I2486" s="46" t="s">
        <v>181</v>
      </c>
      <c r="U2486" s="0" t="n">
        <v>439</v>
      </c>
      <c r="V2486" s="0" t="n">
        <v>1</v>
      </c>
      <c r="W2486" s="51" t="n">
        <v>46305</v>
      </c>
      <c r="X2486" s="46" t="n">
        <f aca="false">IF(I2486="Male",0,1)</f>
        <v>1</v>
      </c>
      <c r="Y2486" s="46" t="n">
        <f aca="false">IF(OR(I2486="DNB",I2486="Dry DNB"),1,0)</f>
        <v>0</v>
      </c>
      <c r="Z2486" s="46" t="n">
        <f aca="false">IF(ISNUMBER(W2486),A2486-W2486,"")</f>
        <v>4</v>
      </c>
      <c r="AA2486" s="46" t="n">
        <f aca="false">MATCH(A2486,DATAS,0)</f>
        <v>1</v>
      </c>
      <c r="AB2486" s="46" t="n">
        <f aca="false">IF(AND(E2486&gt;0,OR(AND(B2486&gt;=1,B2486&lt;=6),B2486=10)),1,0)</f>
        <v>0</v>
      </c>
      <c r="AC2486" s="46" t="n">
        <f aca="false">IF(AND(E2486&gt;0,B2486=10),1,0)</f>
        <v>0</v>
      </c>
      <c r="AD2486" s="0" t="str">
        <f aca="false">IF(AND(C2485=C2486,AA2485=AA2486-1),AB2485,"")</f>
        <v/>
      </c>
      <c r="AE2486" s="0" t="str">
        <f aca="false">IF(AND(C2485=C2486,AA2485=AA2486-1),AC2485,"")</f>
        <v/>
      </c>
      <c r="AF2486" s="0" t="str">
        <f aca="false">IF(AA2486=1,"",IF(AND(AB2486=1,AD2486&lt;&gt;1),1,0))</f>
        <v/>
      </c>
      <c r="AG2486" s="0" t="str">
        <f aca="false">IF(AA2486=1,"",IF(AND(AC2486=1,AE2486&lt;&gt;1),1,0))</f>
        <v/>
      </c>
      <c r="AH2486" s="51" t="str">
        <f aca="false">IF(AND(E2486&gt;0,AA2486&lt;1,NOT(AND(C2487=C2486,AA2487=AA2486+1))),INDEX(DATAS,AA2486+1),"")</f>
        <v/>
      </c>
      <c r="AI2486" s="51" t="str">
        <f aca="false">IF(AND(AC2486=1,AA2486&lt;1),IF(AND(C2487=C2486,AA2487=AA2486+1),IF(AC2487=1,"",INDEX(DATAS,AA2486+1)),INDEX(DATAS,AA2486+1)),"")</f>
        <v/>
      </c>
    </row>
    <row r="2487" customFormat="false" ht="15" hidden="false" customHeight="false" outlineLevel="0" collapsed="false">
      <c r="A2487" s="51" t="n">
        <v>46309</v>
      </c>
      <c r="B2487" s="0" t="n">
        <v>11</v>
      </c>
      <c r="C2487" s="0" t="n">
        <v>6809</v>
      </c>
      <c r="E2487" s="0" t="n">
        <v>0</v>
      </c>
      <c r="F2487" s="46" t="s">
        <v>1296</v>
      </c>
      <c r="I2487" s="46" t="s">
        <v>189</v>
      </c>
      <c r="U2487" s="0" t="n">
        <v>438</v>
      </c>
      <c r="V2487" s="0" t="n">
        <v>1</v>
      </c>
      <c r="W2487" s="51" t="n">
        <v>46279</v>
      </c>
      <c r="X2487" s="46" t="n">
        <f aca="false">IF(I2487="Male",0,1)</f>
        <v>1</v>
      </c>
      <c r="Y2487" s="46" t="n">
        <f aca="false">IF(OR(I2487="DNB",I2487="Dry DNB"),1,0)</f>
        <v>0</v>
      </c>
      <c r="Z2487" s="46" t="n">
        <f aca="false">IF(ISNUMBER(W2487),A2487-W2487,"")</f>
        <v>30</v>
      </c>
      <c r="AA2487" s="46" t="n">
        <f aca="false">MATCH(A2487,DATAS,0)</f>
        <v>1</v>
      </c>
      <c r="AB2487" s="46" t="n">
        <f aca="false">IF(AND(E2487&gt;0,OR(AND(B2487&gt;=1,B2487&lt;=6),B2487=10)),1,0)</f>
        <v>0</v>
      </c>
      <c r="AC2487" s="46" t="n">
        <f aca="false">IF(AND(E2487&gt;0,B2487=10),1,0)</f>
        <v>0</v>
      </c>
      <c r="AD2487" s="0" t="str">
        <f aca="false">IF(AND(C2486=C2487,AA2486=AA2487-1),AB2486,"")</f>
        <v/>
      </c>
      <c r="AE2487" s="0" t="str">
        <f aca="false">IF(AND(C2486=C2487,AA2486=AA2487-1),AC2486,"")</f>
        <v/>
      </c>
      <c r="AF2487" s="0" t="str">
        <f aca="false">IF(AA2487=1,"",IF(AND(AB2487=1,AD2487&lt;&gt;1),1,0))</f>
        <v/>
      </c>
      <c r="AG2487" s="0" t="str">
        <f aca="false">IF(AA2487=1,"",IF(AND(AC2487=1,AE2487&lt;&gt;1),1,0))</f>
        <v/>
      </c>
      <c r="AH2487" s="51" t="str">
        <f aca="false">IF(AND(E2487&gt;0,AA2487&lt;1,NOT(AND(C2488=C2487,AA2488=AA2487+1))),INDEX(DATAS,AA2487+1),"")</f>
        <v/>
      </c>
      <c r="AI2487" s="51" t="str">
        <f aca="false">IF(AND(AC2487=1,AA2487&lt;1),IF(AND(C2488=C2487,AA2488=AA2487+1),IF(AC2488=1,"",INDEX(DATAS,AA2487+1)),INDEX(DATAS,AA2487+1)),"")</f>
        <v/>
      </c>
    </row>
    <row r="2488" customFormat="false" ht="15" hidden="false" customHeight="false" outlineLevel="0" collapsed="false">
      <c r="A2488" s="51" t="n">
        <v>46309</v>
      </c>
      <c r="B2488" s="0" t="n">
        <v>8</v>
      </c>
      <c r="C2488" s="0" t="n">
        <v>6810</v>
      </c>
      <c r="E2488" s="0" t="n">
        <v>0</v>
      </c>
      <c r="F2488" s="46" t="s">
        <v>1296</v>
      </c>
      <c r="I2488" s="46" t="s">
        <v>152</v>
      </c>
      <c r="L2488" s="0" t="n">
        <v>36</v>
      </c>
      <c r="U2488" s="0" t="n">
        <v>438</v>
      </c>
      <c r="V2488" s="0" t="n">
        <v>1</v>
      </c>
      <c r="W2488" s="51" t="n">
        <v>46274</v>
      </c>
      <c r="X2488" s="46" t="n">
        <f aca="false">IF(I2488="Male",0,1)</f>
        <v>1</v>
      </c>
      <c r="Y2488" s="46" t="n">
        <f aca="false">IF(OR(I2488="DNB",I2488="Dry DNB"),1,0)</f>
        <v>0</v>
      </c>
      <c r="Z2488" s="46" t="n">
        <f aca="false">IF(ISNUMBER(W2488),A2488-W2488,"")</f>
        <v>35</v>
      </c>
      <c r="AA2488" s="46" t="n">
        <f aca="false">MATCH(A2488,DATAS,0)</f>
        <v>1</v>
      </c>
      <c r="AB2488" s="46" t="n">
        <f aca="false">IF(AND(E2488&gt;0,OR(AND(B2488&gt;=1,B2488&lt;=6),B2488=10)),1,0)</f>
        <v>0</v>
      </c>
      <c r="AC2488" s="46" t="n">
        <f aca="false">IF(AND(E2488&gt;0,B2488=10),1,0)</f>
        <v>0</v>
      </c>
      <c r="AD2488" s="0" t="str">
        <f aca="false">IF(AND(C2487=C2488,AA2487=AA2488-1),AB2487,"")</f>
        <v/>
      </c>
      <c r="AE2488" s="0" t="str">
        <f aca="false">IF(AND(C2487=C2488,AA2487=AA2488-1),AC2487,"")</f>
        <v/>
      </c>
      <c r="AF2488" s="0" t="str">
        <f aca="false">IF(AA2488=1,"",IF(AND(AB2488=1,AD2488&lt;&gt;1),1,0))</f>
        <v/>
      </c>
      <c r="AG2488" s="0" t="str">
        <f aca="false">IF(AA2488=1,"",IF(AND(AC2488=1,AE2488&lt;&gt;1),1,0))</f>
        <v/>
      </c>
      <c r="AH2488" s="51" t="str">
        <f aca="false">IF(AND(E2488&gt;0,AA2488&lt;1,NOT(AND(C2489=C2488,AA2489=AA2488+1))),INDEX(DATAS,AA2488+1),"")</f>
        <v/>
      </c>
      <c r="AI2488" s="51" t="str">
        <f aca="false">IF(AND(AC2488=1,AA2488&lt;1),IF(AND(C2489=C2488,AA2489=AA2488+1),IF(AC2489=1,"",INDEX(DATAS,AA2488+1)),INDEX(DATAS,AA2488+1)),"")</f>
        <v/>
      </c>
    </row>
    <row r="2489" customFormat="false" ht="15" hidden="false" customHeight="false" outlineLevel="0" collapsed="false">
      <c r="A2489" s="51" t="n">
        <v>46309</v>
      </c>
      <c r="B2489" s="0" t="n">
        <v>11</v>
      </c>
      <c r="C2489" s="0" t="n">
        <v>6811</v>
      </c>
      <c r="E2489" s="0" t="n">
        <v>0</v>
      </c>
      <c r="F2489" s="46" t="s">
        <v>1297</v>
      </c>
      <c r="I2489" s="46" t="s">
        <v>189</v>
      </c>
      <c r="U2489" s="0" t="n">
        <v>433</v>
      </c>
      <c r="V2489" s="0" t="n">
        <v>1</v>
      </c>
      <c r="W2489" s="51" t="n">
        <v>46274</v>
      </c>
      <c r="X2489" s="46" t="n">
        <f aca="false">IF(I2489="Male",0,1)</f>
        <v>1</v>
      </c>
      <c r="Y2489" s="46" t="n">
        <f aca="false">IF(OR(I2489="DNB",I2489="Dry DNB"),1,0)</f>
        <v>0</v>
      </c>
      <c r="Z2489" s="46" t="n">
        <f aca="false">IF(ISNUMBER(W2489),A2489-W2489,"")</f>
        <v>35</v>
      </c>
      <c r="AA2489" s="46" t="n">
        <f aca="false">MATCH(A2489,DATAS,0)</f>
        <v>1</v>
      </c>
      <c r="AB2489" s="46" t="n">
        <f aca="false">IF(AND(E2489&gt;0,OR(AND(B2489&gt;=1,B2489&lt;=6),B2489=10)),1,0)</f>
        <v>0</v>
      </c>
      <c r="AC2489" s="46" t="n">
        <f aca="false">IF(AND(E2489&gt;0,B2489=10),1,0)</f>
        <v>0</v>
      </c>
      <c r="AD2489" s="0" t="str">
        <f aca="false">IF(AND(C2488=C2489,AA2488=AA2489-1),AB2488,"")</f>
        <v/>
      </c>
      <c r="AE2489" s="0" t="str">
        <f aca="false">IF(AND(C2488=C2489,AA2488=AA2489-1),AC2488,"")</f>
        <v/>
      </c>
      <c r="AF2489" s="0" t="str">
        <f aca="false">IF(AA2489=1,"",IF(AND(AB2489=1,AD2489&lt;&gt;1),1,0))</f>
        <v/>
      </c>
      <c r="AG2489" s="0" t="str">
        <f aca="false">IF(AA2489=1,"",IF(AND(AC2489=1,AE2489&lt;&gt;1),1,0))</f>
        <v/>
      </c>
      <c r="AH2489" s="51" t="str">
        <f aca="false">IF(AND(E2489&gt;0,AA2489&lt;1,NOT(AND(C2490=C2489,AA2490=AA2489+1))),INDEX(DATAS,AA2489+1),"")</f>
        <v/>
      </c>
      <c r="AI2489" s="51" t="str">
        <f aca="false">IF(AND(AC2489=1,AA2489&lt;1),IF(AND(C2490=C2489,AA2490=AA2489+1),IF(AC2490=1,"",INDEX(DATAS,AA2489+1)),INDEX(DATAS,AA2489+1)),"")</f>
        <v/>
      </c>
    </row>
    <row r="2490" customFormat="false" ht="15" hidden="false" customHeight="false" outlineLevel="0" collapsed="false">
      <c r="A2490" s="51" t="n">
        <v>46309</v>
      </c>
      <c r="B2490" s="0" t="n">
        <v>11</v>
      </c>
      <c r="C2490" s="0" t="n">
        <v>6812</v>
      </c>
      <c r="E2490" s="0" t="n">
        <v>0</v>
      </c>
      <c r="F2490" s="46" t="s">
        <v>1297</v>
      </c>
      <c r="I2490" s="46" t="s">
        <v>189</v>
      </c>
      <c r="U2490" s="0" t="n">
        <v>433</v>
      </c>
      <c r="V2490" s="0" t="n">
        <v>1</v>
      </c>
      <c r="W2490" s="51" t="n">
        <v>46280</v>
      </c>
      <c r="X2490" s="46" t="n">
        <f aca="false">IF(I2490="Male",0,1)</f>
        <v>1</v>
      </c>
      <c r="Y2490" s="46" t="n">
        <f aca="false">IF(OR(I2490="DNB",I2490="Dry DNB"),1,0)</f>
        <v>0</v>
      </c>
      <c r="Z2490" s="46" t="n">
        <f aca="false">IF(ISNUMBER(W2490),A2490-W2490,"")</f>
        <v>29</v>
      </c>
      <c r="AA2490" s="46" t="n">
        <f aca="false">MATCH(A2490,DATAS,0)</f>
        <v>1</v>
      </c>
      <c r="AB2490" s="46" t="n">
        <f aca="false">IF(AND(E2490&gt;0,OR(AND(B2490&gt;=1,B2490&lt;=6),B2490=10)),1,0)</f>
        <v>0</v>
      </c>
      <c r="AC2490" s="46" t="n">
        <f aca="false">IF(AND(E2490&gt;0,B2490=10),1,0)</f>
        <v>0</v>
      </c>
      <c r="AD2490" s="0" t="str">
        <f aca="false">IF(AND(C2489=C2490,AA2489=AA2490-1),AB2489,"")</f>
        <v/>
      </c>
      <c r="AE2490" s="0" t="str">
        <f aca="false">IF(AND(C2489=C2490,AA2489=AA2490-1),AC2489,"")</f>
        <v/>
      </c>
      <c r="AF2490" s="0" t="str">
        <f aca="false">IF(AA2490=1,"",IF(AND(AB2490=1,AD2490&lt;&gt;1),1,0))</f>
        <v/>
      </c>
      <c r="AG2490" s="0" t="str">
        <f aca="false">IF(AA2490=1,"",IF(AND(AC2490=1,AE2490&lt;&gt;1),1,0))</f>
        <v/>
      </c>
      <c r="AH2490" s="51" t="str">
        <f aca="false">IF(AND(E2490&gt;0,AA2490&lt;1,NOT(AND(C2491=C2490,AA2491=AA2490+1))),INDEX(DATAS,AA2490+1),"")</f>
        <v/>
      </c>
      <c r="AI2490" s="51" t="str">
        <f aca="false">IF(AND(AC2490=1,AA2490&lt;1),IF(AND(C2491=C2490,AA2491=AA2490+1),IF(AC2491=1,"",INDEX(DATAS,AA2490+1)),INDEX(DATAS,AA2490+1)),"")</f>
        <v/>
      </c>
    </row>
    <row r="2491" customFormat="false" ht="15" hidden="false" customHeight="false" outlineLevel="0" collapsed="false">
      <c r="A2491" s="51" t="n">
        <v>46309</v>
      </c>
      <c r="B2491" s="0" t="n">
        <v>11</v>
      </c>
      <c r="C2491" s="0" t="n">
        <v>6813</v>
      </c>
      <c r="E2491" s="0" t="n">
        <v>0</v>
      </c>
      <c r="F2491" s="46" t="s">
        <v>1297</v>
      </c>
      <c r="I2491" s="46" t="s">
        <v>181</v>
      </c>
      <c r="U2491" s="0" t="n">
        <v>433</v>
      </c>
      <c r="V2491" s="0" t="n">
        <v>2</v>
      </c>
      <c r="W2491" s="51" t="n">
        <v>46294</v>
      </c>
      <c r="X2491" s="46" t="n">
        <f aca="false">IF(I2491="Male",0,1)</f>
        <v>1</v>
      </c>
      <c r="Y2491" s="46" t="n">
        <f aca="false">IF(OR(I2491="DNB",I2491="Dry DNB"),1,0)</f>
        <v>0</v>
      </c>
      <c r="Z2491" s="46" t="n">
        <f aca="false">IF(ISNUMBER(W2491),A2491-W2491,"")</f>
        <v>15</v>
      </c>
      <c r="AA2491" s="46" t="n">
        <f aca="false">MATCH(A2491,DATAS,0)</f>
        <v>1</v>
      </c>
      <c r="AB2491" s="46" t="n">
        <f aca="false">IF(AND(E2491&gt;0,OR(AND(B2491&gt;=1,B2491&lt;=6),B2491=10)),1,0)</f>
        <v>0</v>
      </c>
      <c r="AC2491" s="46" t="n">
        <f aca="false">IF(AND(E2491&gt;0,B2491=10),1,0)</f>
        <v>0</v>
      </c>
      <c r="AD2491" s="0" t="str">
        <f aca="false">IF(AND(C2490=C2491,AA2490=AA2491-1),AB2490,"")</f>
        <v/>
      </c>
      <c r="AE2491" s="0" t="str">
        <f aca="false">IF(AND(C2490=C2491,AA2490=AA2491-1),AC2490,"")</f>
        <v/>
      </c>
      <c r="AF2491" s="0" t="str">
        <f aca="false">IF(AA2491=1,"",IF(AND(AB2491=1,AD2491&lt;&gt;1),1,0))</f>
        <v/>
      </c>
      <c r="AG2491" s="0" t="str">
        <f aca="false">IF(AA2491=1,"",IF(AND(AC2491=1,AE2491&lt;&gt;1),1,0))</f>
        <v/>
      </c>
      <c r="AH2491" s="51" t="str">
        <f aca="false">IF(AND(E2491&gt;0,AA2491&lt;1,NOT(AND(C2492=C2491,AA2492=AA2491+1))),INDEX(DATAS,AA2491+1),"")</f>
        <v/>
      </c>
      <c r="AI2491" s="51" t="str">
        <f aca="false">IF(AND(AC2491=1,AA2491&lt;1),IF(AND(C2492=C2491,AA2492=AA2491+1),IF(AC2492=1,"",INDEX(DATAS,AA2491+1)),INDEX(DATAS,AA2491+1)),"")</f>
        <v/>
      </c>
    </row>
    <row r="2492" customFormat="false" ht="15" hidden="false" customHeight="false" outlineLevel="0" collapsed="false">
      <c r="A2492" s="51" t="n">
        <v>46309</v>
      </c>
      <c r="B2492" s="0" t="n">
        <v>8</v>
      </c>
      <c r="C2492" s="0" t="n">
        <v>6814</v>
      </c>
      <c r="E2492" s="0" t="n">
        <v>0</v>
      </c>
      <c r="F2492" s="46" t="s">
        <v>1297</v>
      </c>
      <c r="I2492" s="46" t="s">
        <v>152</v>
      </c>
      <c r="L2492" s="0" t="n">
        <v>35</v>
      </c>
      <c r="U2492" s="0" t="n">
        <v>433</v>
      </c>
      <c r="V2492" s="0" t="n">
        <v>1</v>
      </c>
      <c r="W2492" s="51" t="n">
        <v>46275</v>
      </c>
      <c r="X2492" s="46" t="n">
        <f aca="false">IF(I2492="Male",0,1)</f>
        <v>1</v>
      </c>
      <c r="Y2492" s="46" t="n">
        <f aca="false">IF(OR(I2492="DNB",I2492="Dry DNB"),1,0)</f>
        <v>0</v>
      </c>
      <c r="Z2492" s="46" t="n">
        <f aca="false">IF(ISNUMBER(W2492),A2492-W2492,"")</f>
        <v>34</v>
      </c>
      <c r="AA2492" s="46" t="n">
        <f aca="false">MATCH(A2492,DATAS,0)</f>
        <v>1</v>
      </c>
      <c r="AB2492" s="46" t="n">
        <f aca="false">IF(AND(E2492&gt;0,OR(AND(B2492&gt;=1,B2492&lt;=6),B2492=10)),1,0)</f>
        <v>0</v>
      </c>
      <c r="AC2492" s="46" t="n">
        <f aca="false">IF(AND(E2492&gt;0,B2492=10),1,0)</f>
        <v>0</v>
      </c>
      <c r="AD2492" s="0" t="str">
        <f aca="false">IF(AND(C2491=C2492,AA2491=AA2492-1),AB2491,"")</f>
        <v/>
      </c>
      <c r="AE2492" s="0" t="str">
        <f aca="false">IF(AND(C2491=C2492,AA2491=AA2492-1),AC2491,"")</f>
        <v/>
      </c>
      <c r="AF2492" s="0" t="str">
        <f aca="false">IF(AA2492=1,"",IF(AND(AB2492=1,AD2492&lt;&gt;1),1,0))</f>
        <v/>
      </c>
      <c r="AG2492" s="0" t="str">
        <f aca="false">IF(AA2492=1,"",IF(AND(AC2492=1,AE2492&lt;&gt;1),1,0))</f>
        <v/>
      </c>
      <c r="AH2492" s="51" t="str">
        <f aca="false">IF(AND(E2492&gt;0,AA2492&lt;1,NOT(AND(C2493=C2492,AA2493=AA2492+1))),INDEX(DATAS,AA2492+1),"")</f>
        <v/>
      </c>
      <c r="AI2492" s="51" t="str">
        <f aca="false">IF(AND(AC2492=1,AA2492&lt;1),IF(AND(C2493=C2492,AA2493=AA2492+1),IF(AC2493=1,"",INDEX(DATAS,AA2492+1)),INDEX(DATAS,AA2492+1)),"")</f>
        <v/>
      </c>
    </row>
    <row r="2493" customFormat="false" ht="15" hidden="false" customHeight="false" outlineLevel="0" collapsed="false">
      <c r="A2493" s="51" t="n">
        <v>46309</v>
      </c>
      <c r="B2493" s="0" t="n">
        <v>13</v>
      </c>
      <c r="C2493" s="0" t="n">
        <v>6815</v>
      </c>
      <c r="E2493" s="0" t="n">
        <v>0</v>
      </c>
      <c r="F2493" s="46" t="s">
        <v>1298</v>
      </c>
      <c r="I2493" s="46" t="s">
        <v>181</v>
      </c>
      <c r="U2493" s="0" t="n">
        <v>435</v>
      </c>
      <c r="V2493" s="0" t="n">
        <v>1</v>
      </c>
      <c r="W2493" s="51" t="n">
        <v>46267</v>
      </c>
      <c r="X2493" s="46" t="n">
        <f aca="false">IF(I2493="Male",0,1)</f>
        <v>1</v>
      </c>
      <c r="Y2493" s="46" t="n">
        <f aca="false">IF(OR(I2493="DNB",I2493="Dry DNB"),1,0)</f>
        <v>0</v>
      </c>
      <c r="Z2493" s="46" t="n">
        <f aca="false">IF(ISNUMBER(W2493),A2493-W2493,"")</f>
        <v>42</v>
      </c>
      <c r="AA2493" s="46" t="n">
        <f aca="false">MATCH(A2493,DATAS,0)</f>
        <v>1</v>
      </c>
      <c r="AB2493" s="46" t="n">
        <f aca="false">IF(AND(E2493&gt;0,OR(AND(B2493&gt;=1,B2493&lt;=6),B2493=10)),1,0)</f>
        <v>0</v>
      </c>
      <c r="AC2493" s="46" t="n">
        <f aca="false">IF(AND(E2493&gt;0,B2493=10),1,0)</f>
        <v>0</v>
      </c>
      <c r="AD2493" s="0" t="str">
        <f aca="false">IF(AND(C2492=C2493,AA2492=AA2493-1),AB2492,"")</f>
        <v/>
      </c>
      <c r="AE2493" s="0" t="str">
        <f aca="false">IF(AND(C2492=C2493,AA2492=AA2493-1),AC2492,"")</f>
        <v/>
      </c>
      <c r="AF2493" s="0" t="str">
        <f aca="false">IF(AA2493=1,"",IF(AND(AB2493=1,AD2493&lt;&gt;1),1,0))</f>
        <v/>
      </c>
      <c r="AG2493" s="0" t="str">
        <f aca="false">IF(AA2493=1,"",IF(AND(AC2493=1,AE2493&lt;&gt;1),1,0))</f>
        <v/>
      </c>
      <c r="AH2493" s="51" t="str">
        <f aca="false">IF(AND(E2493&gt;0,AA2493&lt;1,NOT(AND(C2494=C2493,AA2494=AA2493+1))),INDEX(DATAS,AA2493+1),"")</f>
        <v/>
      </c>
      <c r="AI2493" s="51" t="str">
        <f aca="false">IF(AND(AC2493=1,AA2493&lt;1),IF(AND(C2494=C2493,AA2494=AA2493+1),IF(AC2494=1,"",INDEX(DATAS,AA2493+1)),INDEX(DATAS,AA2493+1)),"")</f>
        <v/>
      </c>
    </row>
    <row r="2494" customFormat="false" ht="15" hidden="false" customHeight="false" outlineLevel="0" collapsed="false">
      <c r="A2494" s="51" t="n">
        <v>46309</v>
      </c>
      <c r="B2494" s="0" t="n">
        <v>8</v>
      </c>
      <c r="C2494" s="0" t="n">
        <v>6816</v>
      </c>
      <c r="E2494" s="0" t="n">
        <v>0</v>
      </c>
      <c r="F2494" s="46" t="s">
        <v>1297</v>
      </c>
      <c r="I2494" s="46" t="s">
        <v>152</v>
      </c>
      <c r="L2494" s="0" t="n">
        <v>36</v>
      </c>
      <c r="U2494" s="0" t="n">
        <v>433</v>
      </c>
      <c r="V2494" s="0" t="n">
        <v>1</v>
      </c>
      <c r="W2494" s="51" t="n">
        <v>46274</v>
      </c>
      <c r="X2494" s="46" t="n">
        <f aca="false">IF(I2494="Male",0,1)</f>
        <v>1</v>
      </c>
      <c r="Y2494" s="46" t="n">
        <f aca="false">IF(OR(I2494="DNB",I2494="Dry DNB"),1,0)</f>
        <v>0</v>
      </c>
      <c r="Z2494" s="46" t="n">
        <f aca="false">IF(ISNUMBER(W2494),A2494-W2494,"")</f>
        <v>35</v>
      </c>
      <c r="AA2494" s="46" t="n">
        <f aca="false">MATCH(A2494,DATAS,0)</f>
        <v>1</v>
      </c>
      <c r="AB2494" s="46" t="n">
        <f aca="false">IF(AND(E2494&gt;0,OR(AND(B2494&gt;=1,B2494&lt;=6),B2494=10)),1,0)</f>
        <v>0</v>
      </c>
      <c r="AC2494" s="46" t="n">
        <f aca="false">IF(AND(E2494&gt;0,B2494=10),1,0)</f>
        <v>0</v>
      </c>
      <c r="AD2494" s="0" t="str">
        <f aca="false">IF(AND(C2493=C2494,AA2493=AA2494-1),AB2493,"")</f>
        <v/>
      </c>
      <c r="AE2494" s="0" t="str">
        <f aca="false">IF(AND(C2493=C2494,AA2493=AA2494-1),AC2493,"")</f>
        <v/>
      </c>
      <c r="AF2494" s="0" t="str">
        <f aca="false">IF(AA2494=1,"",IF(AND(AB2494=1,AD2494&lt;&gt;1),1,0))</f>
        <v/>
      </c>
      <c r="AG2494" s="0" t="str">
        <f aca="false">IF(AA2494=1,"",IF(AND(AC2494=1,AE2494&lt;&gt;1),1,0))</f>
        <v/>
      </c>
      <c r="AH2494" s="51" t="str">
        <f aca="false">IF(AND(E2494&gt;0,AA2494&lt;1,NOT(AND(C2495=C2494,AA2495=AA2494+1))),INDEX(DATAS,AA2494+1),"")</f>
        <v/>
      </c>
      <c r="AI2494" s="51" t="str">
        <f aca="false">IF(AND(AC2494=1,AA2494&lt;1),IF(AND(C2495=C2494,AA2495=AA2494+1),IF(AC2495=1,"",INDEX(DATAS,AA2494+1)),INDEX(DATAS,AA2494+1)),"")</f>
        <v/>
      </c>
    </row>
    <row r="2495" customFormat="false" ht="15" hidden="false" customHeight="false" outlineLevel="0" collapsed="false">
      <c r="A2495" s="51" t="n">
        <v>46309</v>
      </c>
      <c r="B2495" s="0" t="n">
        <v>11</v>
      </c>
      <c r="C2495" s="0" t="n">
        <v>6817</v>
      </c>
      <c r="E2495" s="0" t="n">
        <v>0</v>
      </c>
      <c r="F2495" s="46" t="s">
        <v>1297</v>
      </c>
      <c r="I2495" s="46" t="s">
        <v>189</v>
      </c>
      <c r="U2495" s="0" t="n">
        <v>433</v>
      </c>
      <c r="V2495" s="0" t="n">
        <v>1</v>
      </c>
      <c r="W2495" s="51" t="n">
        <v>46274</v>
      </c>
      <c r="X2495" s="46" t="n">
        <f aca="false">IF(I2495="Male",0,1)</f>
        <v>1</v>
      </c>
      <c r="Y2495" s="46" t="n">
        <f aca="false">IF(OR(I2495="DNB",I2495="Dry DNB"),1,0)</f>
        <v>0</v>
      </c>
      <c r="Z2495" s="46" t="n">
        <f aca="false">IF(ISNUMBER(W2495),A2495-W2495,"")</f>
        <v>35</v>
      </c>
      <c r="AA2495" s="46" t="n">
        <f aca="false">MATCH(A2495,DATAS,0)</f>
        <v>1</v>
      </c>
      <c r="AB2495" s="46" t="n">
        <f aca="false">IF(AND(E2495&gt;0,OR(AND(B2495&gt;=1,B2495&lt;=6),B2495=10)),1,0)</f>
        <v>0</v>
      </c>
      <c r="AC2495" s="46" t="n">
        <f aca="false">IF(AND(E2495&gt;0,B2495=10),1,0)</f>
        <v>0</v>
      </c>
      <c r="AD2495" s="0" t="str">
        <f aca="false">IF(AND(C2494=C2495,AA2494=AA2495-1),AB2494,"")</f>
        <v/>
      </c>
      <c r="AE2495" s="0" t="str">
        <f aca="false">IF(AND(C2494=C2495,AA2494=AA2495-1),AC2494,"")</f>
        <v/>
      </c>
      <c r="AF2495" s="0" t="str">
        <f aca="false">IF(AA2495=1,"",IF(AND(AB2495=1,AD2495&lt;&gt;1),1,0))</f>
        <v/>
      </c>
      <c r="AG2495" s="0" t="str">
        <f aca="false">IF(AA2495=1,"",IF(AND(AC2495=1,AE2495&lt;&gt;1),1,0))</f>
        <v/>
      </c>
      <c r="AH2495" s="51" t="str">
        <f aca="false">IF(AND(E2495&gt;0,AA2495&lt;1,NOT(AND(C2496=C2495,AA2496=AA2495+1))),INDEX(DATAS,AA2495+1),"")</f>
        <v/>
      </c>
      <c r="AI2495" s="51" t="str">
        <f aca="false">IF(AND(AC2495=1,AA2495&lt;1),IF(AND(C2496=C2495,AA2496=AA2495+1),IF(AC2496=1,"",INDEX(DATAS,AA2495+1)),INDEX(DATAS,AA2495+1)),"")</f>
        <v/>
      </c>
    </row>
    <row r="2496" customFormat="false" ht="15" hidden="false" customHeight="false" outlineLevel="0" collapsed="false">
      <c r="A2496" s="51" t="n">
        <v>46309</v>
      </c>
      <c r="B2496" s="0" t="n">
        <v>11</v>
      </c>
      <c r="C2496" s="0" t="n">
        <v>6818</v>
      </c>
      <c r="E2496" s="0" t="n">
        <v>0</v>
      </c>
      <c r="F2496" s="46" t="s">
        <v>1297</v>
      </c>
      <c r="I2496" s="46" t="s">
        <v>181</v>
      </c>
      <c r="U2496" s="0" t="n">
        <v>433</v>
      </c>
      <c r="V2496" s="0" t="n">
        <v>1</v>
      </c>
      <c r="W2496" s="51" t="n">
        <v>46277</v>
      </c>
      <c r="X2496" s="46" t="n">
        <f aca="false">IF(I2496="Male",0,1)</f>
        <v>1</v>
      </c>
      <c r="Y2496" s="46" t="n">
        <f aca="false">IF(OR(I2496="DNB",I2496="Dry DNB"),1,0)</f>
        <v>0</v>
      </c>
      <c r="Z2496" s="46" t="n">
        <f aca="false">IF(ISNUMBER(W2496),A2496-W2496,"")</f>
        <v>32</v>
      </c>
      <c r="AA2496" s="46" t="n">
        <f aca="false">MATCH(A2496,DATAS,0)</f>
        <v>1</v>
      </c>
      <c r="AB2496" s="46" t="n">
        <f aca="false">IF(AND(E2496&gt;0,OR(AND(B2496&gt;=1,B2496&lt;=6),B2496=10)),1,0)</f>
        <v>0</v>
      </c>
      <c r="AC2496" s="46" t="n">
        <f aca="false">IF(AND(E2496&gt;0,B2496=10),1,0)</f>
        <v>0</v>
      </c>
      <c r="AD2496" s="0" t="str">
        <f aca="false">IF(AND(C2495=C2496,AA2495=AA2496-1),AB2495,"")</f>
        <v/>
      </c>
      <c r="AE2496" s="0" t="str">
        <f aca="false">IF(AND(C2495=C2496,AA2495=AA2496-1),AC2495,"")</f>
        <v/>
      </c>
      <c r="AF2496" s="0" t="str">
        <f aca="false">IF(AA2496=1,"",IF(AND(AB2496=1,AD2496&lt;&gt;1),1,0))</f>
        <v/>
      </c>
      <c r="AG2496" s="0" t="str">
        <f aca="false">IF(AA2496=1,"",IF(AND(AC2496=1,AE2496&lt;&gt;1),1,0))</f>
        <v/>
      </c>
      <c r="AH2496" s="51" t="str">
        <f aca="false">IF(AND(E2496&gt;0,AA2496&lt;1,NOT(AND(C2497=C2496,AA2497=AA2496+1))),INDEX(DATAS,AA2496+1),"")</f>
        <v/>
      </c>
      <c r="AI2496" s="51" t="str">
        <f aca="false">IF(AND(AC2496=1,AA2496&lt;1),IF(AND(C2497=C2496,AA2497=AA2496+1),IF(AC2497=1,"",INDEX(DATAS,AA2496+1)),INDEX(DATAS,AA2496+1)),"")</f>
        <v/>
      </c>
    </row>
    <row r="2497" customFormat="false" ht="15" hidden="false" customHeight="false" outlineLevel="0" collapsed="false">
      <c r="A2497" s="51" t="n">
        <v>46309</v>
      </c>
      <c r="B2497" s="0" t="n">
        <v>8</v>
      </c>
      <c r="C2497" s="0" t="n">
        <v>6819</v>
      </c>
      <c r="E2497" s="0" t="n">
        <v>0</v>
      </c>
      <c r="F2497" s="46" t="s">
        <v>1297</v>
      </c>
      <c r="I2497" s="46" t="s">
        <v>152</v>
      </c>
      <c r="L2497" s="0" t="n">
        <v>37</v>
      </c>
      <c r="U2497" s="0" t="n">
        <v>433</v>
      </c>
      <c r="V2497" s="0" t="n">
        <v>1</v>
      </c>
      <c r="W2497" s="51" t="n">
        <v>46273</v>
      </c>
      <c r="X2497" s="46" t="n">
        <f aca="false">IF(I2497="Male",0,1)</f>
        <v>1</v>
      </c>
      <c r="Y2497" s="46" t="n">
        <f aca="false">IF(OR(I2497="DNB",I2497="Dry DNB"),1,0)</f>
        <v>0</v>
      </c>
      <c r="Z2497" s="46" t="n">
        <f aca="false">IF(ISNUMBER(W2497),A2497-W2497,"")</f>
        <v>36</v>
      </c>
      <c r="AA2497" s="46" t="n">
        <f aca="false">MATCH(A2497,DATAS,0)</f>
        <v>1</v>
      </c>
      <c r="AB2497" s="46" t="n">
        <f aca="false">IF(AND(E2497&gt;0,OR(AND(B2497&gt;=1,B2497&lt;=6),B2497=10)),1,0)</f>
        <v>0</v>
      </c>
      <c r="AC2497" s="46" t="n">
        <f aca="false">IF(AND(E2497&gt;0,B2497=10),1,0)</f>
        <v>0</v>
      </c>
      <c r="AD2497" s="0" t="str">
        <f aca="false">IF(AND(C2496=C2497,AA2496=AA2497-1),AB2496,"")</f>
        <v/>
      </c>
      <c r="AE2497" s="0" t="str">
        <f aca="false">IF(AND(C2496=C2497,AA2496=AA2497-1),AC2496,"")</f>
        <v/>
      </c>
      <c r="AF2497" s="0" t="str">
        <f aca="false">IF(AA2497=1,"",IF(AND(AB2497=1,AD2497&lt;&gt;1),1,0))</f>
        <v/>
      </c>
      <c r="AG2497" s="0" t="str">
        <f aca="false">IF(AA2497=1,"",IF(AND(AC2497=1,AE2497&lt;&gt;1),1,0))</f>
        <v/>
      </c>
      <c r="AH2497" s="51" t="str">
        <f aca="false">IF(AND(E2497&gt;0,AA2497&lt;1,NOT(AND(C2498=C2497,AA2498=AA2497+1))),INDEX(DATAS,AA2497+1),"")</f>
        <v/>
      </c>
      <c r="AI2497" s="51" t="str">
        <f aca="false">IF(AND(AC2497=1,AA2497&lt;1),IF(AND(C2498=C2497,AA2498=AA2497+1),IF(AC2498=1,"",INDEX(DATAS,AA2497+1)),INDEX(DATAS,AA2497+1)),"")</f>
        <v/>
      </c>
    </row>
    <row r="2498" customFormat="false" ht="15" hidden="false" customHeight="false" outlineLevel="0" collapsed="false">
      <c r="A2498" s="51" t="n">
        <v>46309</v>
      </c>
      <c r="B2498" s="0" t="n">
        <v>8</v>
      </c>
      <c r="C2498" s="0" t="n">
        <v>6820</v>
      </c>
      <c r="E2498" s="0" t="n">
        <v>0</v>
      </c>
      <c r="F2498" s="46" t="s">
        <v>1297</v>
      </c>
      <c r="I2498" s="46" t="s">
        <v>152</v>
      </c>
      <c r="L2498" s="0" t="n">
        <v>35</v>
      </c>
      <c r="U2498" s="0" t="n">
        <v>433</v>
      </c>
      <c r="V2498" s="0" t="n">
        <v>1</v>
      </c>
      <c r="W2498" s="51" t="n">
        <v>46275</v>
      </c>
      <c r="X2498" s="46" t="n">
        <f aca="false">IF(I2498="Male",0,1)</f>
        <v>1</v>
      </c>
      <c r="Y2498" s="46" t="n">
        <f aca="false">IF(OR(I2498="DNB",I2498="Dry DNB"),1,0)</f>
        <v>0</v>
      </c>
      <c r="Z2498" s="46" t="n">
        <f aca="false">IF(ISNUMBER(W2498),A2498-W2498,"")</f>
        <v>34</v>
      </c>
      <c r="AA2498" s="46" t="n">
        <f aca="false">MATCH(A2498,DATAS,0)</f>
        <v>1</v>
      </c>
      <c r="AB2498" s="46" t="n">
        <f aca="false">IF(AND(E2498&gt;0,OR(AND(B2498&gt;=1,B2498&lt;=6),B2498=10)),1,0)</f>
        <v>0</v>
      </c>
      <c r="AC2498" s="46" t="n">
        <f aca="false">IF(AND(E2498&gt;0,B2498=10),1,0)</f>
        <v>0</v>
      </c>
      <c r="AD2498" s="0" t="str">
        <f aca="false">IF(AND(C2497=C2498,AA2497=AA2498-1),AB2497,"")</f>
        <v/>
      </c>
      <c r="AE2498" s="0" t="str">
        <f aca="false">IF(AND(C2497=C2498,AA2497=AA2498-1),AC2497,"")</f>
        <v/>
      </c>
      <c r="AF2498" s="0" t="str">
        <f aca="false">IF(AA2498=1,"",IF(AND(AB2498=1,AD2498&lt;&gt;1),1,0))</f>
        <v/>
      </c>
      <c r="AG2498" s="0" t="str">
        <f aca="false">IF(AA2498=1,"",IF(AND(AC2498=1,AE2498&lt;&gt;1),1,0))</f>
        <v/>
      </c>
      <c r="AH2498" s="51" t="str">
        <f aca="false">IF(AND(E2498&gt;0,AA2498&lt;1,NOT(AND(C2499=C2498,AA2499=AA2498+1))),INDEX(DATAS,AA2498+1),"")</f>
        <v/>
      </c>
      <c r="AI2498" s="51" t="str">
        <f aca="false">IF(AND(AC2498=1,AA2498&lt;1),IF(AND(C2499=C2498,AA2499=AA2498+1),IF(AC2499=1,"",INDEX(DATAS,AA2498+1)),INDEX(DATAS,AA2498+1)),"")</f>
        <v/>
      </c>
    </row>
    <row r="2499" customFormat="false" ht="15" hidden="false" customHeight="false" outlineLevel="0" collapsed="false">
      <c r="A2499" s="51" t="n">
        <v>46309</v>
      </c>
      <c r="B2499" s="0" t="n">
        <v>8</v>
      </c>
      <c r="C2499" s="0" t="n">
        <v>6821</v>
      </c>
      <c r="E2499" s="0" t="n">
        <v>0</v>
      </c>
      <c r="F2499" s="46" t="s">
        <v>1297</v>
      </c>
      <c r="I2499" s="46" t="s">
        <v>152</v>
      </c>
      <c r="L2499" s="0" t="n">
        <v>28</v>
      </c>
      <c r="U2499" s="0" t="n">
        <v>433</v>
      </c>
      <c r="V2499" s="0" t="n">
        <v>1</v>
      </c>
      <c r="W2499" s="51" t="n">
        <v>46282</v>
      </c>
      <c r="X2499" s="46" t="n">
        <f aca="false">IF(I2499="Male",0,1)</f>
        <v>1</v>
      </c>
      <c r="Y2499" s="46" t="n">
        <f aca="false">IF(OR(I2499="DNB",I2499="Dry DNB"),1,0)</f>
        <v>0</v>
      </c>
      <c r="Z2499" s="46" t="n">
        <f aca="false">IF(ISNUMBER(W2499),A2499-W2499,"")</f>
        <v>27</v>
      </c>
      <c r="AA2499" s="46" t="n">
        <f aca="false">MATCH(A2499,DATAS,0)</f>
        <v>1</v>
      </c>
      <c r="AB2499" s="46" t="n">
        <f aca="false">IF(AND(E2499&gt;0,OR(AND(B2499&gt;=1,B2499&lt;=6),B2499=10)),1,0)</f>
        <v>0</v>
      </c>
      <c r="AC2499" s="46" t="n">
        <f aca="false">IF(AND(E2499&gt;0,B2499=10),1,0)</f>
        <v>0</v>
      </c>
      <c r="AD2499" s="0" t="str">
        <f aca="false">IF(AND(C2498=C2499,AA2498=AA2499-1),AB2498,"")</f>
        <v/>
      </c>
      <c r="AE2499" s="0" t="str">
        <f aca="false">IF(AND(C2498=C2499,AA2498=AA2499-1),AC2498,"")</f>
        <v/>
      </c>
      <c r="AF2499" s="0" t="str">
        <f aca="false">IF(AA2499=1,"",IF(AND(AB2499=1,AD2499&lt;&gt;1),1,0))</f>
        <v/>
      </c>
      <c r="AG2499" s="0" t="str">
        <f aca="false">IF(AA2499=1,"",IF(AND(AC2499=1,AE2499&lt;&gt;1),1,0))</f>
        <v/>
      </c>
      <c r="AH2499" s="51" t="str">
        <f aca="false">IF(AND(E2499&gt;0,AA2499&lt;1,NOT(AND(C2500=C2499,AA2500=AA2499+1))),INDEX(DATAS,AA2499+1),"")</f>
        <v/>
      </c>
      <c r="AI2499" s="51" t="str">
        <f aca="false">IF(AND(AC2499=1,AA2499&lt;1),IF(AND(C2500=C2499,AA2500=AA2499+1),IF(AC2500=1,"",INDEX(DATAS,AA2499+1)),INDEX(DATAS,AA2499+1)),"")</f>
        <v/>
      </c>
    </row>
    <row r="2500" customFormat="false" ht="15" hidden="false" customHeight="false" outlineLevel="0" collapsed="false">
      <c r="A2500" s="51" t="n">
        <v>46309</v>
      </c>
      <c r="B2500" s="0" t="n">
        <v>8</v>
      </c>
      <c r="C2500" s="0" t="n">
        <v>6822</v>
      </c>
      <c r="E2500" s="0" t="n">
        <v>0</v>
      </c>
      <c r="F2500" s="46" t="s">
        <v>1297</v>
      </c>
      <c r="I2500" s="46" t="s">
        <v>152</v>
      </c>
      <c r="L2500" s="0" t="n">
        <v>28</v>
      </c>
      <c r="U2500" s="0" t="n">
        <v>433</v>
      </c>
      <c r="V2500" s="0" t="n">
        <v>1</v>
      </c>
      <c r="W2500" s="51" t="n">
        <v>46282</v>
      </c>
      <c r="X2500" s="46" t="n">
        <f aca="false">IF(I2500="Male",0,1)</f>
        <v>1</v>
      </c>
      <c r="Y2500" s="46" t="n">
        <f aca="false">IF(OR(I2500="DNB",I2500="Dry DNB"),1,0)</f>
        <v>0</v>
      </c>
      <c r="Z2500" s="46" t="n">
        <f aca="false">IF(ISNUMBER(W2500),A2500-W2500,"")</f>
        <v>27</v>
      </c>
      <c r="AA2500" s="46" t="n">
        <f aca="false">MATCH(A2500,DATAS,0)</f>
        <v>1</v>
      </c>
      <c r="AB2500" s="46" t="n">
        <f aca="false">IF(AND(E2500&gt;0,OR(AND(B2500&gt;=1,B2500&lt;=6),B2500=10)),1,0)</f>
        <v>0</v>
      </c>
      <c r="AC2500" s="46" t="n">
        <f aca="false">IF(AND(E2500&gt;0,B2500=10),1,0)</f>
        <v>0</v>
      </c>
      <c r="AD2500" s="0" t="str">
        <f aca="false">IF(AND(C2499=C2500,AA2499=AA2500-1),AB2499,"")</f>
        <v/>
      </c>
      <c r="AE2500" s="0" t="str">
        <f aca="false">IF(AND(C2499=C2500,AA2499=AA2500-1),AC2499,"")</f>
        <v/>
      </c>
      <c r="AF2500" s="0" t="str">
        <f aca="false">IF(AA2500=1,"",IF(AND(AB2500=1,AD2500&lt;&gt;1),1,0))</f>
        <v/>
      </c>
      <c r="AG2500" s="0" t="str">
        <f aca="false">IF(AA2500=1,"",IF(AND(AC2500=1,AE2500&lt;&gt;1),1,0))</f>
        <v/>
      </c>
      <c r="AH2500" s="51" t="str">
        <f aca="false">IF(AND(E2500&gt;0,AA2500&lt;1,NOT(AND(C2501=C2500,AA2501=AA2500+1))),INDEX(DATAS,AA2500+1),"")</f>
        <v/>
      </c>
      <c r="AI2500" s="51" t="str">
        <f aca="false">IF(AND(AC2500=1,AA2500&lt;1),IF(AND(C2501=C2500,AA2501=AA2500+1),IF(AC2501=1,"",INDEX(DATAS,AA2500+1)),INDEX(DATAS,AA2500+1)),"")</f>
        <v/>
      </c>
    </row>
    <row r="2501" customFormat="false" ht="15" hidden="false" customHeight="false" outlineLevel="0" collapsed="false">
      <c r="A2501" s="51" t="n">
        <v>46309</v>
      </c>
      <c r="B2501" s="0" t="n">
        <v>11</v>
      </c>
      <c r="C2501" s="0" t="n">
        <v>6823</v>
      </c>
      <c r="E2501" s="0" t="n">
        <v>0</v>
      </c>
      <c r="F2501" s="46" t="s">
        <v>1297</v>
      </c>
      <c r="I2501" s="46" t="s">
        <v>181</v>
      </c>
      <c r="U2501" s="0" t="n">
        <v>433</v>
      </c>
      <c r="V2501" s="0" t="n">
        <v>1</v>
      </c>
      <c r="W2501" s="51" t="n">
        <v>46294</v>
      </c>
      <c r="X2501" s="46" t="n">
        <f aca="false">IF(I2501="Male",0,1)</f>
        <v>1</v>
      </c>
      <c r="Y2501" s="46" t="n">
        <f aca="false">IF(OR(I2501="DNB",I2501="Dry DNB"),1,0)</f>
        <v>0</v>
      </c>
      <c r="Z2501" s="46" t="n">
        <f aca="false">IF(ISNUMBER(W2501),A2501-W2501,"")</f>
        <v>15</v>
      </c>
      <c r="AA2501" s="46" t="n">
        <f aca="false">MATCH(A2501,DATAS,0)</f>
        <v>1</v>
      </c>
      <c r="AB2501" s="46" t="n">
        <f aca="false">IF(AND(E2501&gt;0,OR(AND(B2501&gt;=1,B2501&lt;=6),B2501=10)),1,0)</f>
        <v>0</v>
      </c>
      <c r="AC2501" s="46" t="n">
        <f aca="false">IF(AND(E2501&gt;0,B2501=10),1,0)</f>
        <v>0</v>
      </c>
      <c r="AD2501" s="0" t="str">
        <f aca="false">IF(AND(C2500=C2501,AA2500=AA2501-1),AB2500,"")</f>
        <v/>
      </c>
      <c r="AE2501" s="0" t="str">
        <f aca="false">IF(AND(C2500=C2501,AA2500=AA2501-1),AC2500,"")</f>
        <v/>
      </c>
      <c r="AF2501" s="0" t="str">
        <f aca="false">IF(AA2501=1,"",IF(AND(AB2501=1,AD2501&lt;&gt;1),1,0))</f>
        <v/>
      </c>
      <c r="AG2501" s="0" t="str">
        <f aca="false">IF(AA2501=1,"",IF(AND(AC2501=1,AE2501&lt;&gt;1),1,0))</f>
        <v/>
      </c>
      <c r="AH2501" s="51" t="str">
        <f aca="false">IF(AND(E2501&gt;0,AA2501&lt;1,NOT(AND(C2502=C2501,AA2502=AA2501+1))),INDEX(DATAS,AA2501+1),"")</f>
        <v/>
      </c>
      <c r="AI2501" s="51" t="str">
        <f aca="false">IF(AND(AC2501=1,AA2501&lt;1),IF(AND(C2502=C2501,AA2502=AA2501+1),IF(AC2502=1,"",INDEX(DATAS,AA2501+1)),INDEX(DATAS,AA2501+1)),"")</f>
        <v/>
      </c>
    </row>
    <row r="2502" customFormat="false" ht="15" hidden="false" customHeight="false" outlineLevel="0" collapsed="false">
      <c r="A2502" s="51" t="n">
        <v>46309</v>
      </c>
      <c r="B2502" s="0" t="n">
        <v>11</v>
      </c>
      <c r="C2502" s="0" t="n">
        <v>6824</v>
      </c>
      <c r="E2502" s="0" t="n">
        <v>0</v>
      </c>
      <c r="F2502" s="46" t="s">
        <v>1297</v>
      </c>
      <c r="I2502" s="46" t="s">
        <v>181</v>
      </c>
      <c r="U2502" s="0" t="n">
        <v>433</v>
      </c>
      <c r="V2502" s="0" t="n">
        <v>2</v>
      </c>
      <c r="W2502" s="51" t="n">
        <v>46308</v>
      </c>
      <c r="X2502" s="46" t="n">
        <f aca="false">IF(I2502="Male",0,1)</f>
        <v>1</v>
      </c>
      <c r="Y2502" s="46" t="n">
        <f aca="false">IF(OR(I2502="DNB",I2502="Dry DNB"),1,0)</f>
        <v>0</v>
      </c>
      <c r="Z2502" s="46" t="n">
        <f aca="false">IF(ISNUMBER(W2502),A2502-W2502,"")</f>
        <v>1</v>
      </c>
      <c r="AA2502" s="46" t="n">
        <f aca="false">MATCH(A2502,DATAS,0)</f>
        <v>1</v>
      </c>
      <c r="AB2502" s="46" t="n">
        <f aca="false">IF(AND(E2502&gt;0,OR(AND(B2502&gt;=1,B2502&lt;=6),B2502=10)),1,0)</f>
        <v>0</v>
      </c>
      <c r="AC2502" s="46" t="n">
        <f aca="false">IF(AND(E2502&gt;0,B2502=10),1,0)</f>
        <v>0</v>
      </c>
      <c r="AD2502" s="0" t="str">
        <f aca="false">IF(AND(C2501=C2502,AA2501=AA2502-1),AB2501,"")</f>
        <v/>
      </c>
      <c r="AE2502" s="0" t="str">
        <f aca="false">IF(AND(C2501=C2502,AA2501=AA2502-1),AC2501,"")</f>
        <v/>
      </c>
      <c r="AF2502" s="0" t="str">
        <f aca="false">IF(AA2502=1,"",IF(AND(AB2502=1,AD2502&lt;&gt;1),1,0))</f>
        <v/>
      </c>
      <c r="AG2502" s="0" t="str">
        <f aca="false">IF(AA2502=1,"",IF(AND(AC2502=1,AE2502&lt;&gt;1),1,0))</f>
        <v/>
      </c>
      <c r="AH2502" s="51" t="str">
        <f aca="false">IF(AND(E2502&gt;0,AA2502&lt;1,NOT(AND(C2503=C2502,AA2503=AA2502+1))),INDEX(DATAS,AA2502+1),"")</f>
        <v/>
      </c>
      <c r="AI2502" s="51" t="str">
        <f aca="false">IF(AND(AC2502=1,AA2502&lt;1),IF(AND(C2503=C2502,AA2503=AA2502+1),IF(AC2503=1,"",INDEX(DATAS,AA2502+1)),INDEX(DATAS,AA2502+1)),"")</f>
        <v/>
      </c>
    </row>
    <row r="2503" customFormat="false" ht="15" hidden="false" customHeight="false" outlineLevel="0" collapsed="false">
      <c r="A2503" s="51" t="n">
        <v>46309</v>
      </c>
      <c r="B2503" s="0" t="n">
        <v>11</v>
      </c>
      <c r="C2503" s="0" t="n">
        <v>6827</v>
      </c>
      <c r="E2503" s="0" t="n">
        <v>0</v>
      </c>
      <c r="F2503" s="46" t="s">
        <v>1299</v>
      </c>
      <c r="I2503" s="46" t="s">
        <v>181</v>
      </c>
      <c r="U2503" s="0" t="n">
        <v>432</v>
      </c>
      <c r="V2503" s="0" t="n">
        <v>2</v>
      </c>
      <c r="W2503" s="51" t="n">
        <v>46301</v>
      </c>
      <c r="X2503" s="46" t="n">
        <f aca="false">IF(I2503="Male",0,1)</f>
        <v>1</v>
      </c>
      <c r="Y2503" s="46" t="n">
        <f aca="false">IF(OR(I2503="DNB",I2503="Dry DNB"),1,0)</f>
        <v>0</v>
      </c>
      <c r="Z2503" s="46" t="n">
        <f aca="false">IF(ISNUMBER(W2503),A2503-W2503,"")</f>
        <v>8</v>
      </c>
      <c r="AA2503" s="46" t="n">
        <f aca="false">MATCH(A2503,DATAS,0)</f>
        <v>1</v>
      </c>
      <c r="AB2503" s="46" t="n">
        <f aca="false">IF(AND(E2503&gt;0,OR(AND(B2503&gt;=1,B2503&lt;=6),B2503=10)),1,0)</f>
        <v>0</v>
      </c>
      <c r="AC2503" s="46" t="n">
        <f aca="false">IF(AND(E2503&gt;0,B2503=10),1,0)</f>
        <v>0</v>
      </c>
      <c r="AD2503" s="0" t="str">
        <f aca="false">IF(AND(C2502=C2503,AA2502=AA2503-1),AB2502,"")</f>
        <v/>
      </c>
      <c r="AE2503" s="0" t="str">
        <f aca="false">IF(AND(C2502=C2503,AA2502=AA2503-1),AC2502,"")</f>
        <v/>
      </c>
      <c r="AF2503" s="0" t="str">
        <f aca="false">IF(AA2503=1,"",IF(AND(AB2503=1,AD2503&lt;&gt;1),1,0))</f>
        <v/>
      </c>
      <c r="AG2503" s="0" t="str">
        <f aca="false">IF(AA2503=1,"",IF(AND(AC2503=1,AE2503&lt;&gt;1),1,0))</f>
        <v/>
      </c>
      <c r="AH2503" s="51" t="str">
        <f aca="false">IF(AND(E2503&gt;0,AA2503&lt;1,NOT(AND(C2504=C2503,AA2504=AA2503+1))),INDEX(DATAS,AA2503+1),"")</f>
        <v/>
      </c>
      <c r="AI2503" s="51" t="str">
        <f aca="false">IF(AND(AC2503=1,AA2503&lt;1),IF(AND(C2504=C2503,AA2504=AA2503+1),IF(AC2504=1,"",INDEX(DATAS,AA2503+1)),INDEX(DATAS,AA2503+1)),"")</f>
        <v/>
      </c>
    </row>
    <row r="2504" customFormat="false" ht="15" hidden="false" customHeight="false" outlineLevel="0" collapsed="false">
      <c r="A2504" s="51" t="n">
        <v>46309</v>
      </c>
      <c r="B2504" s="0" t="n">
        <v>11</v>
      </c>
      <c r="C2504" s="0" t="n">
        <v>6828</v>
      </c>
      <c r="E2504" s="0" t="n">
        <v>0</v>
      </c>
      <c r="F2504" s="46" t="s">
        <v>1299</v>
      </c>
      <c r="I2504" s="46" t="s">
        <v>181</v>
      </c>
      <c r="U2504" s="0" t="n">
        <v>432</v>
      </c>
      <c r="V2504" s="0" t="n">
        <v>1</v>
      </c>
      <c r="W2504" s="51" t="n">
        <v>46296</v>
      </c>
      <c r="X2504" s="46" t="n">
        <f aca="false">IF(I2504="Male",0,1)</f>
        <v>1</v>
      </c>
      <c r="Y2504" s="46" t="n">
        <f aca="false">IF(OR(I2504="DNB",I2504="Dry DNB"),1,0)</f>
        <v>0</v>
      </c>
      <c r="Z2504" s="46" t="n">
        <f aca="false">IF(ISNUMBER(W2504),A2504-W2504,"")</f>
        <v>13</v>
      </c>
      <c r="AA2504" s="46" t="n">
        <f aca="false">MATCH(A2504,DATAS,0)</f>
        <v>1</v>
      </c>
      <c r="AB2504" s="46" t="n">
        <f aca="false">IF(AND(E2504&gt;0,OR(AND(B2504&gt;=1,B2504&lt;=6),B2504=10)),1,0)</f>
        <v>0</v>
      </c>
      <c r="AC2504" s="46" t="n">
        <f aca="false">IF(AND(E2504&gt;0,B2504=10),1,0)</f>
        <v>0</v>
      </c>
      <c r="AD2504" s="0" t="str">
        <f aca="false">IF(AND(C2503=C2504,AA2503=AA2504-1),AB2503,"")</f>
        <v/>
      </c>
      <c r="AE2504" s="0" t="str">
        <f aca="false">IF(AND(C2503=C2504,AA2503=AA2504-1),AC2503,"")</f>
        <v/>
      </c>
      <c r="AF2504" s="0" t="str">
        <f aca="false">IF(AA2504=1,"",IF(AND(AB2504=1,AD2504&lt;&gt;1),1,0))</f>
        <v/>
      </c>
      <c r="AG2504" s="0" t="str">
        <f aca="false">IF(AA2504=1,"",IF(AND(AC2504=1,AE2504&lt;&gt;1),1,0))</f>
        <v/>
      </c>
      <c r="AH2504" s="51" t="str">
        <f aca="false">IF(AND(E2504&gt;0,AA2504&lt;1,NOT(AND(C2505=C2504,AA2505=AA2504+1))),INDEX(DATAS,AA2504+1),"")</f>
        <v/>
      </c>
      <c r="AI2504" s="51" t="str">
        <f aca="false">IF(AND(AC2504=1,AA2504&lt;1),IF(AND(C2505=C2504,AA2505=AA2504+1),IF(AC2505=1,"",INDEX(DATAS,AA2504+1)),INDEX(DATAS,AA2504+1)),"")</f>
        <v/>
      </c>
    </row>
    <row r="2505" customFormat="false" ht="15" hidden="false" customHeight="false" outlineLevel="0" collapsed="false">
      <c r="A2505" s="51" t="n">
        <v>46309</v>
      </c>
      <c r="B2505" s="0" t="n">
        <v>11</v>
      </c>
      <c r="C2505" s="0" t="n">
        <v>6829</v>
      </c>
      <c r="E2505" s="0" t="n">
        <v>0</v>
      </c>
      <c r="F2505" s="46" t="s">
        <v>1299</v>
      </c>
      <c r="I2505" s="46" t="s">
        <v>181</v>
      </c>
      <c r="U2505" s="0" t="n">
        <v>432</v>
      </c>
      <c r="V2505" s="0" t="n">
        <v>2</v>
      </c>
      <c r="W2505" s="51" t="n">
        <v>46293</v>
      </c>
      <c r="X2505" s="46" t="n">
        <f aca="false">IF(I2505="Male",0,1)</f>
        <v>1</v>
      </c>
      <c r="Y2505" s="46" t="n">
        <f aca="false">IF(OR(I2505="DNB",I2505="Dry DNB"),1,0)</f>
        <v>0</v>
      </c>
      <c r="Z2505" s="46" t="n">
        <f aca="false">IF(ISNUMBER(W2505),A2505-W2505,"")</f>
        <v>16</v>
      </c>
      <c r="AA2505" s="46" t="n">
        <f aca="false">MATCH(A2505,DATAS,0)</f>
        <v>1</v>
      </c>
      <c r="AB2505" s="46" t="n">
        <f aca="false">IF(AND(E2505&gt;0,OR(AND(B2505&gt;=1,B2505&lt;=6),B2505=10)),1,0)</f>
        <v>0</v>
      </c>
      <c r="AC2505" s="46" t="n">
        <f aca="false">IF(AND(E2505&gt;0,B2505=10),1,0)</f>
        <v>0</v>
      </c>
      <c r="AD2505" s="0" t="str">
        <f aca="false">IF(AND(C2504=C2505,AA2504=AA2505-1),AB2504,"")</f>
        <v/>
      </c>
      <c r="AE2505" s="0" t="str">
        <f aca="false">IF(AND(C2504=C2505,AA2504=AA2505-1),AC2504,"")</f>
        <v/>
      </c>
      <c r="AF2505" s="0" t="str">
        <f aca="false">IF(AA2505=1,"",IF(AND(AB2505=1,AD2505&lt;&gt;1),1,0))</f>
        <v/>
      </c>
      <c r="AG2505" s="0" t="str">
        <f aca="false">IF(AA2505=1,"",IF(AND(AC2505=1,AE2505&lt;&gt;1),1,0))</f>
        <v/>
      </c>
      <c r="AH2505" s="51" t="str">
        <f aca="false">IF(AND(E2505&gt;0,AA2505&lt;1,NOT(AND(C2506=C2505,AA2506=AA2505+1))),INDEX(DATAS,AA2505+1),"")</f>
        <v/>
      </c>
      <c r="AI2505" s="51" t="str">
        <f aca="false">IF(AND(AC2505=1,AA2505&lt;1),IF(AND(C2506=C2505,AA2506=AA2505+1),IF(AC2506=1,"",INDEX(DATAS,AA2505+1)),INDEX(DATAS,AA2505+1)),"")</f>
        <v/>
      </c>
    </row>
    <row r="2506" customFormat="false" ht="15" hidden="false" customHeight="false" outlineLevel="0" collapsed="false">
      <c r="A2506" s="51" t="n">
        <v>46309</v>
      </c>
      <c r="B2506" s="0" t="n">
        <v>11</v>
      </c>
      <c r="C2506" s="0" t="n">
        <v>6831</v>
      </c>
      <c r="E2506" s="0" t="n">
        <v>0</v>
      </c>
      <c r="F2506" s="46" t="s">
        <v>1300</v>
      </c>
      <c r="I2506" s="46" t="s">
        <v>189</v>
      </c>
      <c r="U2506" s="0" t="n">
        <v>431</v>
      </c>
      <c r="V2506" s="0" t="n">
        <v>1</v>
      </c>
      <c r="W2506" s="51" t="n">
        <v>46277</v>
      </c>
      <c r="X2506" s="46" t="n">
        <f aca="false">IF(I2506="Male",0,1)</f>
        <v>1</v>
      </c>
      <c r="Y2506" s="46" t="n">
        <f aca="false">IF(OR(I2506="DNB",I2506="Dry DNB"),1,0)</f>
        <v>0</v>
      </c>
      <c r="Z2506" s="46" t="n">
        <f aca="false">IF(ISNUMBER(W2506),A2506-W2506,"")</f>
        <v>32</v>
      </c>
      <c r="AA2506" s="46" t="n">
        <f aca="false">MATCH(A2506,DATAS,0)</f>
        <v>1</v>
      </c>
      <c r="AB2506" s="46" t="n">
        <f aca="false">IF(AND(E2506&gt;0,OR(AND(B2506&gt;=1,B2506&lt;=6),B2506=10)),1,0)</f>
        <v>0</v>
      </c>
      <c r="AC2506" s="46" t="n">
        <f aca="false">IF(AND(E2506&gt;0,B2506=10),1,0)</f>
        <v>0</v>
      </c>
      <c r="AD2506" s="0" t="str">
        <f aca="false">IF(AND(C2505=C2506,AA2505=AA2506-1),AB2505,"")</f>
        <v/>
      </c>
      <c r="AE2506" s="0" t="str">
        <f aca="false">IF(AND(C2505=C2506,AA2505=AA2506-1),AC2505,"")</f>
        <v/>
      </c>
      <c r="AF2506" s="0" t="str">
        <f aca="false">IF(AA2506=1,"",IF(AND(AB2506=1,AD2506&lt;&gt;1),1,0))</f>
        <v/>
      </c>
      <c r="AG2506" s="0" t="str">
        <f aca="false">IF(AA2506=1,"",IF(AND(AC2506=1,AE2506&lt;&gt;1),1,0))</f>
        <v/>
      </c>
      <c r="AH2506" s="51" t="str">
        <f aca="false">IF(AND(E2506&gt;0,AA2506&lt;1,NOT(AND(C2507=C2506,AA2507=AA2506+1))),INDEX(DATAS,AA2506+1),"")</f>
        <v/>
      </c>
      <c r="AI2506" s="51" t="str">
        <f aca="false">IF(AND(AC2506=1,AA2506&lt;1),IF(AND(C2507=C2506,AA2507=AA2506+1),IF(AC2507=1,"",INDEX(DATAS,AA2506+1)),INDEX(DATAS,AA2506+1)),"")</f>
        <v/>
      </c>
    </row>
    <row r="2507" customFormat="false" ht="15" hidden="false" customHeight="false" outlineLevel="0" collapsed="false">
      <c r="A2507" s="51" t="n">
        <v>46309</v>
      </c>
      <c r="B2507" s="0" t="n">
        <v>11</v>
      </c>
      <c r="C2507" s="0" t="n">
        <v>6832</v>
      </c>
      <c r="E2507" s="0" t="n">
        <v>0</v>
      </c>
      <c r="F2507" s="46" t="s">
        <v>1300</v>
      </c>
      <c r="I2507" s="46" t="s">
        <v>181</v>
      </c>
      <c r="U2507" s="0" t="n">
        <v>431</v>
      </c>
      <c r="V2507" s="0" t="n">
        <v>2</v>
      </c>
      <c r="W2507" s="51" t="n">
        <v>46303</v>
      </c>
      <c r="X2507" s="46" t="n">
        <f aca="false">IF(I2507="Male",0,1)</f>
        <v>1</v>
      </c>
      <c r="Y2507" s="46" t="n">
        <f aca="false">IF(OR(I2507="DNB",I2507="Dry DNB"),1,0)</f>
        <v>0</v>
      </c>
      <c r="Z2507" s="46" t="n">
        <f aca="false">IF(ISNUMBER(W2507),A2507-W2507,"")</f>
        <v>6</v>
      </c>
      <c r="AA2507" s="46" t="n">
        <f aca="false">MATCH(A2507,DATAS,0)</f>
        <v>1</v>
      </c>
      <c r="AB2507" s="46" t="n">
        <f aca="false">IF(AND(E2507&gt;0,OR(AND(B2507&gt;=1,B2507&lt;=6),B2507=10)),1,0)</f>
        <v>0</v>
      </c>
      <c r="AC2507" s="46" t="n">
        <f aca="false">IF(AND(E2507&gt;0,B2507=10),1,0)</f>
        <v>0</v>
      </c>
      <c r="AD2507" s="0" t="str">
        <f aca="false">IF(AND(C2506=C2507,AA2506=AA2507-1),AB2506,"")</f>
        <v/>
      </c>
      <c r="AE2507" s="0" t="str">
        <f aca="false">IF(AND(C2506=C2507,AA2506=AA2507-1),AC2506,"")</f>
        <v/>
      </c>
      <c r="AF2507" s="0" t="str">
        <f aca="false">IF(AA2507=1,"",IF(AND(AB2507=1,AD2507&lt;&gt;1),1,0))</f>
        <v/>
      </c>
      <c r="AG2507" s="0" t="str">
        <f aca="false">IF(AA2507=1,"",IF(AND(AC2507=1,AE2507&lt;&gt;1),1,0))</f>
        <v/>
      </c>
      <c r="AH2507" s="51" t="str">
        <f aca="false">IF(AND(E2507&gt;0,AA2507&lt;1,NOT(AND(C2508=C2507,AA2508=AA2507+1))),INDEX(DATAS,AA2507+1),"")</f>
        <v/>
      </c>
      <c r="AI2507" s="51" t="str">
        <f aca="false">IF(AND(AC2507=1,AA2507&lt;1),IF(AND(C2508=C2507,AA2508=AA2507+1),IF(AC2508=1,"",INDEX(DATAS,AA2507+1)),INDEX(DATAS,AA2507+1)),"")</f>
        <v/>
      </c>
    </row>
    <row r="2508" customFormat="false" ht="15" hidden="false" customHeight="false" outlineLevel="0" collapsed="false">
      <c r="A2508" s="51" t="n">
        <v>46309</v>
      </c>
      <c r="B2508" s="0" t="n">
        <v>11</v>
      </c>
      <c r="C2508" s="0" t="n">
        <v>6833</v>
      </c>
      <c r="E2508" s="0" t="n">
        <v>0</v>
      </c>
      <c r="F2508" s="46" t="s">
        <v>1300</v>
      </c>
      <c r="I2508" s="46" t="s">
        <v>181</v>
      </c>
      <c r="U2508" s="0" t="n">
        <v>431</v>
      </c>
      <c r="V2508" s="0" t="n">
        <v>2</v>
      </c>
      <c r="W2508" s="51" t="n">
        <v>46303</v>
      </c>
      <c r="X2508" s="46" t="n">
        <f aca="false">IF(I2508="Male",0,1)</f>
        <v>1</v>
      </c>
      <c r="Y2508" s="46" t="n">
        <f aca="false">IF(OR(I2508="DNB",I2508="Dry DNB"),1,0)</f>
        <v>0</v>
      </c>
      <c r="Z2508" s="46" t="n">
        <f aca="false">IF(ISNUMBER(W2508),A2508-W2508,"")</f>
        <v>6</v>
      </c>
      <c r="AA2508" s="46" t="n">
        <f aca="false">MATCH(A2508,DATAS,0)</f>
        <v>1</v>
      </c>
      <c r="AB2508" s="46" t="n">
        <f aca="false">IF(AND(E2508&gt;0,OR(AND(B2508&gt;=1,B2508&lt;=6),B2508=10)),1,0)</f>
        <v>0</v>
      </c>
      <c r="AC2508" s="46" t="n">
        <f aca="false">IF(AND(E2508&gt;0,B2508=10),1,0)</f>
        <v>0</v>
      </c>
      <c r="AD2508" s="0" t="str">
        <f aca="false">IF(AND(C2507=C2508,AA2507=AA2508-1),AB2507,"")</f>
        <v/>
      </c>
      <c r="AE2508" s="0" t="str">
        <f aca="false">IF(AND(C2507=C2508,AA2507=AA2508-1),AC2507,"")</f>
        <v/>
      </c>
      <c r="AF2508" s="0" t="str">
        <f aca="false">IF(AA2508=1,"",IF(AND(AB2508=1,AD2508&lt;&gt;1),1,0))</f>
        <v/>
      </c>
      <c r="AG2508" s="0" t="str">
        <f aca="false">IF(AA2508=1,"",IF(AND(AC2508=1,AE2508&lt;&gt;1),1,0))</f>
        <v/>
      </c>
      <c r="AH2508" s="51" t="str">
        <f aca="false">IF(AND(E2508&gt;0,AA2508&lt;1,NOT(AND(C2509=C2508,AA2509=AA2508+1))),INDEX(DATAS,AA2508+1),"")</f>
        <v/>
      </c>
      <c r="AI2508" s="51" t="str">
        <f aca="false">IF(AND(AC2508=1,AA2508&lt;1),IF(AND(C2509=C2508,AA2509=AA2508+1),IF(AC2509=1,"",INDEX(DATAS,AA2508+1)),INDEX(DATAS,AA2508+1)),"")</f>
        <v/>
      </c>
    </row>
    <row r="2509" customFormat="false" ht="15" hidden="false" customHeight="false" outlineLevel="0" collapsed="false">
      <c r="A2509" s="51" t="n">
        <v>46309</v>
      </c>
      <c r="B2509" s="0" t="n">
        <v>8</v>
      </c>
      <c r="C2509" s="0" t="n">
        <v>6835</v>
      </c>
      <c r="E2509" s="0" t="n">
        <v>0</v>
      </c>
      <c r="F2509" s="46" t="s">
        <v>1301</v>
      </c>
      <c r="I2509" s="46" t="s">
        <v>152</v>
      </c>
      <c r="L2509" s="0" t="n">
        <v>28</v>
      </c>
      <c r="U2509" s="0" t="n">
        <v>430</v>
      </c>
      <c r="V2509" s="0" t="n">
        <v>1</v>
      </c>
      <c r="W2509" s="51" t="n">
        <v>46282</v>
      </c>
      <c r="X2509" s="46" t="n">
        <f aca="false">IF(I2509="Male",0,1)</f>
        <v>1</v>
      </c>
      <c r="Y2509" s="46" t="n">
        <f aca="false">IF(OR(I2509="DNB",I2509="Dry DNB"),1,0)</f>
        <v>0</v>
      </c>
      <c r="Z2509" s="46" t="n">
        <f aca="false">IF(ISNUMBER(W2509),A2509-W2509,"")</f>
        <v>27</v>
      </c>
      <c r="AA2509" s="46" t="n">
        <f aca="false">MATCH(A2509,DATAS,0)</f>
        <v>1</v>
      </c>
      <c r="AB2509" s="46" t="n">
        <f aca="false">IF(AND(E2509&gt;0,OR(AND(B2509&gt;=1,B2509&lt;=6),B2509=10)),1,0)</f>
        <v>0</v>
      </c>
      <c r="AC2509" s="46" t="n">
        <f aca="false">IF(AND(E2509&gt;0,B2509=10),1,0)</f>
        <v>0</v>
      </c>
      <c r="AD2509" s="0" t="str">
        <f aca="false">IF(AND(C2508=C2509,AA2508=AA2509-1),AB2508,"")</f>
        <v/>
      </c>
      <c r="AE2509" s="0" t="str">
        <f aca="false">IF(AND(C2508=C2509,AA2508=AA2509-1),AC2508,"")</f>
        <v/>
      </c>
      <c r="AF2509" s="0" t="str">
        <f aca="false">IF(AA2509=1,"",IF(AND(AB2509=1,AD2509&lt;&gt;1),1,0))</f>
        <v/>
      </c>
      <c r="AG2509" s="0" t="str">
        <f aca="false">IF(AA2509=1,"",IF(AND(AC2509=1,AE2509&lt;&gt;1),1,0))</f>
        <v/>
      </c>
      <c r="AH2509" s="51" t="str">
        <f aca="false">IF(AND(E2509&gt;0,AA2509&lt;1,NOT(AND(C2510=C2509,AA2510=AA2509+1))),INDEX(DATAS,AA2509+1),"")</f>
        <v/>
      </c>
      <c r="AI2509" s="51" t="str">
        <f aca="false">IF(AND(AC2509=1,AA2509&lt;1),IF(AND(C2510=C2509,AA2510=AA2509+1),IF(AC2510=1,"",INDEX(DATAS,AA2509+1)),INDEX(DATAS,AA2509+1)),"")</f>
        <v/>
      </c>
    </row>
    <row r="2510" customFormat="false" ht="15" hidden="false" customHeight="false" outlineLevel="0" collapsed="false">
      <c r="A2510" s="51" t="n">
        <v>46309</v>
      </c>
      <c r="B2510" s="0" t="n">
        <v>8</v>
      </c>
      <c r="C2510" s="0" t="n">
        <v>6837</v>
      </c>
      <c r="E2510" s="0" t="n">
        <v>0</v>
      </c>
      <c r="F2510" s="46" t="s">
        <v>1302</v>
      </c>
      <c r="I2510" s="46" t="s">
        <v>152</v>
      </c>
      <c r="L2510" s="0" t="n">
        <v>36</v>
      </c>
      <c r="U2510" s="0" t="n">
        <v>429</v>
      </c>
      <c r="V2510" s="0" t="n">
        <v>1</v>
      </c>
      <c r="W2510" s="51" t="n">
        <v>46274</v>
      </c>
      <c r="X2510" s="46" t="n">
        <f aca="false">IF(I2510="Male",0,1)</f>
        <v>1</v>
      </c>
      <c r="Y2510" s="46" t="n">
        <f aca="false">IF(OR(I2510="DNB",I2510="Dry DNB"),1,0)</f>
        <v>0</v>
      </c>
      <c r="Z2510" s="46" t="n">
        <f aca="false">IF(ISNUMBER(W2510),A2510-W2510,"")</f>
        <v>35</v>
      </c>
      <c r="AA2510" s="46" t="n">
        <f aca="false">MATCH(A2510,DATAS,0)</f>
        <v>1</v>
      </c>
      <c r="AB2510" s="46" t="n">
        <f aca="false">IF(AND(E2510&gt;0,OR(AND(B2510&gt;=1,B2510&lt;=6),B2510=10)),1,0)</f>
        <v>0</v>
      </c>
      <c r="AC2510" s="46" t="n">
        <f aca="false">IF(AND(E2510&gt;0,B2510=10),1,0)</f>
        <v>0</v>
      </c>
      <c r="AD2510" s="0" t="str">
        <f aca="false">IF(AND(C2509=C2510,AA2509=AA2510-1),AB2509,"")</f>
        <v/>
      </c>
      <c r="AE2510" s="0" t="str">
        <f aca="false">IF(AND(C2509=C2510,AA2509=AA2510-1),AC2509,"")</f>
        <v/>
      </c>
      <c r="AF2510" s="0" t="str">
        <f aca="false">IF(AA2510=1,"",IF(AND(AB2510=1,AD2510&lt;&gt;1),1,0))</f>
        <v/>
      </c>
      <c r="AG2510" s="0" t="str">
        <f aca="false">IF(AA2510=1,"",IF(AND(AC2510=1,AE2510&lt;&gt;1),1,0))</f>
        <v/>
      </c>
      <c r="AH2510" s="51" t="str">
        <f aca="false">IF(AND(E2510&gt;0,AA2510&lt;1,NOT(AND(C2511=C2510,AA2511=AA2510+1))),INDEX(DATAS,AA2510+1),"")</f>
        <v/>
      </c>
      <c r="AI2510" s="51" t="str">
        <f aca="false">IF(AND(AC2510=1,AA2510&lt;1),IF(AND(C2511=C2510,AA2511=AA2510+1),IF(AC2511=1,"",INDEX(DATAS,AA2510+1)),INDEX(DATAS,AA2510+1)),"")</f>
        <v/>
      </c>
    </row>
    <row r="2511" customFormat="false" ht="15" hidden="false" customHeight="false" outlineLevel="0" collapsed="false">
      <c r="A2511" s="51" t="n">
        <v>46309</v>
      </c>
      <c r="B2511" s="0" t="n">
        <v>11</v>
      </c>
      <c r="C2511" s="0" t="n">
        <v>6839</v>
      </c>
      <c r="E2511" s="0" t="n">
        <v>0</v>
      </c>
      <c r="F2511" s="46" t="s">
        <v>1303</v>
      </c>
      <c r="I2511" s="46" t="s">
        <v>181</v>
      </c>
      <c r="U2511" s="0" t="n">
        <v>428</v>
      </c>
      <c r="V2511" s="0" t="n">
        <v>2</v>
      </c>
      <c r="W2511" s="51" t="n">
        <v>46296</v>
      </c>
      <c r="X2511" s="46" t="n">
        <f aca="false">IF(I2511="Male",0,1)</f>
        <v>1</v>
      </c>
      <c r="Y2511" s="46" t="n">
        <f aca="false">IF(OR(I2511="DNB",I2511="Dry DNB"),1,0)</f>
        <v>0</v>
      </c>
      <c r="Z2511" s="46" t="n">
        <f aca="false">IF(ISNUMBER(W2511),A2511-W2511,"")</f>
        <v>13</v>
      </c>
      <c r="AA2511" s="46" t="n">
        <f aca="false">MATCH(A2511,DATAS,0)</f>
        <v>1</v>
      </c>
      <c r="AB2511" s="46" t="n">
        <f aca="false">IF(AND(E2511&gt;0,OR(AND(B2511&gt;=1,B2511&lt;=6),B2511=10)),1,0)</f>
        <v>0</v>
      </c>
      <c r="AC2511" s="46" t="n">
        <f aca="false">IF(AND(E2511&gt;0,B2511=10),1,0)</f>
        <v>0</v>
      </c>
      <c r="AD2511" s="0" t="str">
        <f aca="false">IF(AND(C2510=C2511,AA2510=AA2511-1),AB2510,"")</f>
        <v/>
      </c>
      <c r="AE2511" s="0" t="str">
        <f aca="false">IF(AND(C2510=C2511,AA2510=AA2511-1),AC2510,"")</f>
        <v/>
      </c>
      <c r="AF2511" s="0" t="str">
        <f aca="false">IF(AA2511=1,"",IF(AND(AB2511=1,AD2511&lt;&gt;1),1,0))</f>
        <v/>
      </c>
      <c r="AG2511" s="0" t="str">
        <f aca="false">IF(AA2511=1,"",IF(AND(AC2511=1,AE2511&lt;&gt;1),1,0))</f>
        <v/>
      </c>
      <c r="AH2511" s="51" t="str">
        <f aca="false">IF(AND(E2511&gt;0,AA2511&lt;1,NOT(AND(C2512=C2511,AA2512=AA2511+1))),INDEX(DATAS,AA2511+1),"")</f>
        <v/>
      </c>
      <c r="AI2511" s="51" t="str">
        <f aca="false">IF(AND(AC2511=1,AA2511&lt;1),IF(AND(C2512=C2511,AA2512=AA2511+1),IF(AC2512=1,"",INDEX(DATAS,AA2511+1)),INDEX(DATAS,AA2511+1)),"")</f>
        <v/>
      </c>
    </row>
    <row r="2512" customFormat="false" ht="15" hidden="false" customHeight="false" outlineLevel="0" collapsed="false">
      <c r="A2512" s="51" t="n">
        <v>46309</v>
      </c>
      <c r="B2512" s="0" t="n">
        <v>11</v>
      </c>
      <c r="C2512" s="0" t="n">
        <v>6841</v>
      </c>
      <c r="E2512" s="0" t="n">
        <v>0</v>
      </c>
      <c r="F2512" s="46" t="s">
        <v>1304</v>
      </c>
      <c r="I2512" s="46" t="s">
        <v>181</v>
      </c>
      <c r="U2512" s="0" t="n">
        <v>487</v>
      </c>
      <c r="V2512" s="0" t="n">
        <v>1</v>
      </c>
      <c r="W2512" s="51" t="n">
        <v>46295</v>
      </c>
      <c r="X2512" s="46" t="n">
        <f aca="false">IF(I2512="Male",0,1)</f>
        <v>1</v>
      </c>
      <c r="Y2512" s="46" t="n">
        <f aca="false">IF(OR(I2512="DNB",I2512="Dry DNB"),1,0)</f>
        <v>0</v>
      </c>
      <c r="Z2512" s="46" t="n">
        <f aca="false">IF(ISNUMBER(W2512),A2512-W2512,"")</f>
        <v>14</v>
      </c>
      <c r="AA2512" s="46" t="n">
        <f aca="false">MATCH(A2512,DATAS,0)</f>
        <v>1</v>
      </c>
      <c r="AB2512" s="46" t="n">
        <f aca="false">IF(AND(E2512&gt;0,OR(AND(B2512&gt;=1,B2512&lt;=6),B2512=10)),1,0)</f>
        <v>0</v>
      </c>
      <c r="AC2512" s="46" t="n">
        <f aca="false">IF(AND(E2512&gt;0,B2512=10),1,0)</f>
        <v>0</v>
      </c>
      <c r="AD2512" s="0" t="str">
        <f aca="false">IF(AND(C2511=C2512,AA2511=AA2512-1),AB2511,"")</f>
        <v/>
      </c>
      <c r="AE2512" s="0" t="str">
        <f aca="false">IF(AND(C2511=C2512,AA2511=AA2512-1),AC2511,"")</f>
        <v/>
      </c>
      <c r="AF2512" s="0" t="str">
        <f aca="false">IF(AA2512=1,"",IF(AND(AB2512=1,AD2512&lt;&gt;1),1,0))</f>
        <v/>
      </c>
      <c r="AG2512" s="0" t="str">
        <f aca="false">IF(AA2512=1,"",IF(AND(AC2512=1,AE2512&lt;&gt;1),1,0))</f>
        <v/>
      </c>
      <c r="AH2512" s="51" t="str">
        <f aca="false">IF(AND(E2512&gt;0,AA2512&lt;1,NOT(AND(C2513=C2512,AA2513=AA2512+1))),INDEX(DATAS,AA2512+1),"")</f>
        <v/>
      </c>
      <c r="AI2512" s="51" t="str">
        <f aca="false">IF(AND(AC2512=1,AA2512&lt;1),IF(AND(C2513=C2512,AA2513=AA2512+1),IF(AC2513=1,"",INDEX(DATAS,AA2512+1)),INDEX(DATAS,AA2512+1)),"")</f>
        <v/>
      </c>
    </row>
    <row r="2513" customFormat="false" ht="15" hidden="false" customHeight="false" outlineLevel="0" collapsed="false">
      <c r="A2513" s="51" t="n">
        <v>46309</v>
      </c>
      <c r="B2513" s="0" t="n">
        <v>11</v>
      </c>
      <c r="C2513" s="0" t="n">
        <v>6842</v>
      </c>
      <c r="E2513" s="0" t="n">
        <v>0</v>
      </c>
      <c r="F2513" s="46" t="s">
        <v>1305</v>
      </c>
      <c r="I2513" s="46" t="s">
        <v>181</v>
      </c>
      <c r="U2513" s="0" t="n">
        <v>427</v>
      </c>
      <c r="V2513" s="0" t="n">
        <v>1</v>
      </c>
      <c r="W2513" s="51" t="n">
        <v>46285</v>
      </c>
      <c r="X2513" s="46" t="n">
        <f aca="false">IF(I2513="Male",0,1)</f>
        <v>1</v>
      </c>
      <c r="Y2513" s="46" t="n">
        <f aca="false">IF(OR(I2513="DNB",I2513="Dry DNB"),1,0)</f>
        <v>0</v>
      </c>
      <c r="Z2513" s="46" t="n">
        <f aca="false">IF(ISNUMBER(W2513),A2513-W2513,"")</f>
        <v>24</v>
      </c>
      <c r="AA2513" s="46" t="n">
        <f aca="false">MATCH(A2513,DATAS,0)</f>
        <v>1</v>
      </c>
      <c r="AB2513" s="46" t="n">
        <f aca="false">IF(AND(E2513&gt;0,OR(AND(B2513&gt;=1,B2513&lt;=6),B2513=10)),1,0)</f>
        <v>0</v>
      </c>
      <c r="AC2513" s="46" t="n">
        <f aca="false">IF(AND(E2513&gt;0,B2513=10),1,0)</f>
        <v>0</v>
      </c>
      <c r="AD2513" s="0" t="str">
        <f aca="false">IF(AND(C2512=C2513,AA2512=AA2513-1),AB2512,"")</f>
        <v/>
      </c>
      <c r="AE2513" s="0" t="str">
        <f aca="false">IF(AND(C2512=C2513,AA2512=AA2513-1),AC2512,"")</f>
        <v/>
      </c>
      <c r="AF2513" s="0" t="str">
        <f aca="false">IF(AA2513=1,"",IF(AND(AB2513=1,AD2513&lt;&gt;1),1,0))</f>
        <v/>
      </c>
      <c r="AG2513" s="0" t="str">
        <f aca="false">IF(AA2513=1,"",IF(AND(AC2513=1,AE2513&lt;&gt;1),1,0))</f>
        <v/>
      </c>
      <c r="AH2513" s="51" t="str">
        <f aca="false">IF(AND(E2513&gt;0,AA2513&lt;1,NOT(AND(C2514=C2513,AA2514=AA2513+1))),INDEX(DATAS,AA2513+1),"")</f>
        <v/>
      </c>
      <c r="AI2513" s="51" t="str">
        <f aca="false">IF(AND(AC2513=1,AA2513&lt;1),IF(AND(C2514=C2513,AA2514=AA2513+1),IF(AC2514=1,"",INDEX(DATAS,AA2513+1)),INDEX(DATAS,AA2513+1)),"")</f>
        <v/>
      </c>
    </row>
    <row r="2514" customFormat="false" ht="15" hidden="false" customHeight="false" outlineLevel="0" collapsed="false">
      <c r="A2514" s="51" t="n">
        <v>46309</v>
      </c>
      <c r="B2514" s="0" t="n">
        <v>13</v>
      </c>
      <c r="C2514" s="0" t="n">
        <v>6843</v>
      </c>
      <c r="E2514" s="0" t="n">
        <v>0</v>
      </c>
      <c r="F2514" s="46" t="s">
        <v>1305</v>
      </c>
      <c r="I2514" s="46" t="s">
        <v>189</v>
      </c>
      <c r="U2514" s="0" t="n">
        <v>427</v>
      </c>
      <c r="V2514" s="0" t="n">
        <v>0</v>
      </c>
      <c r="X2514" s="46" t="n">
        <f aca="false">IF(I2514="Male",0,1)</f>
        <v>1</v>
      </c>
      <c r="Y2514" s="46" t="n">
        <f aca="false">IF(OR(I2514="DNB",I2514="Dry DNB"),1,0)</f>
        <v>0</v>
      </c>
      <c r="Z2514" s="0" t="str">
        <f aca="false">IF(ISNUMBER(W2514),A2514-W2514,"")</f>
        <v/>
      </c>
      <c r="AA2514" s="46" t="n">
        <f aca="false">MATCH(A2514,DATAS,0)</f>
        <v>1</v>
      </c>
      <c r="AB2514" s="46" t="n">
        <f aca="false">IF(AND(E2514&gt;0,OR(AND(B2514&gt;=1,B2514&lt;=6),B2514=10)),1,0)</f>
        <v>0</v>
      </c>
      <c r="AC2514" s="46" t="n">
        <f aca="false">IF(AND(E2514&gt;0,B2514=10),1,0)</f>
        <v>0</v>
      </c>
      <c r="AD2514" s="0" t="str">
        <f aca="false">IF(AND(C2513=C2514,AA2513=AA2514-1),AB2513,"")</f>
        <v/>
      </c>
      <c r="AE2514" s="0" t="str">
        <f aca="false">IF(AND(C2513=C2514,AA2513=AA2514-1),AC2513,"")</f>
        <v/>
      </c>
      <c r="AF2514" s="0" t="str">
        <f aca="false">IF(AA2514=1,"",IF(AND(AB2514=1,AD2514&lt;&gt;1),1,0))</f>
        <v/>
      </c>
      <c r="AG2514" s="0" t="str">
        <f aca="false">IF(AA2514=1,"",IF(AND(AC2514=1,AE2514&lt;&gt;1),1,0))</f>
        <v/>
      </c>
      <c r="AH2514" s="51" t="str">
        <f aca="false">IF(AND(E2514&gt;0,AA2514&lt;1,NOT(AND(C2515=C2514,AA2515=AA2514+1))),INDEX(DATAS,AA2514+1),"")</f>
        <v/>
      </c>
      <c r="AI2514" s="51" t="str">
        <f aca="false">IF(AND(AC2514=1,AA2514&lt;1),IF(AND(C2515=C2514,AA2515=AA2514+1),IF(AC2515=1,"",INDEX(DATAS,AA2514+1)),INDEX(DATAS,AA2514+1)),"")</f>
        <v/>
      </c>
    </row>
    <row r="2515" customFormat="false" ht="15" hidden="false" customHeight="false" outlineLevel="0" collapsed="false">
      <c r="A2515" s="51" t="n">
        <v>46309</v>
      </c>
      <c r="B2515" s="0" t="n">
        <v>11</v>
      </c>
      <c r="C2515" s="0" t="n">
        <v>6845</v>
      </c>
      <c r="E2515" s="0" t="n">
        <v>0</v>
      </c>
      <c r="F2515" s="46" t="s">
        <v>1305</v>
      </c>
      <c r="I2515" s="46" t="s">
        <v>181</v>
      </c>
      <c r="U2515" s="0" t="n">
        <v>427</v>
      </c>
      <c r="V2515" s="0" t="n">
        <v>2</v>
      </c>
      <c r="W2515" s="51" t="n">
        <v>46302</v>
      </c>
      <c r="X2515" s="46" t="n">
        <f aca="false">IF(I2515="Male",0,1)</f>
        <v>1</v>
      </c>
      <c r="Y2515" s="46" t="n">
        <f aca="false">IF(OR(I2515="DNB",I2515="Dry DNB"),1,0)</f>
        <v>0</v>
      </c>
      <c r="Z2515" s="46" t="n">
        <f aca="false">IF(ISNUMBER(W2515),A2515-W2515,"")</f>
        <v>7</v>
      </c>
      <c r="AA2515" s="46" t="n">
        <f aca="false">MATCH(A2515,DATAS,0)</f>
        <v>1</v>
      </c>
      <c r="AB2515" s="46" t="n">
        <f aca="false">IF(AND(E2515&gt;0,OR(AND(B2515&gt;=1,B2515&lt;=6),B2515=10)),1,0)</f>
        <v>0</v>
      </c>
      <c r="AC2515" s="46" t="n">
        <f aca="false">IF(AND(E2515&gt;0,B2515=10),1,0)</f>
        <v>0</v>
      </c>
      <c r="AD2515" s="0" t="str">
        <f aca="false">IF(AND(C2514=C2515,AA2514=AA2515-1),AB2514,"")</f>
        <v/>
      </c>
      <c r="AE2515" s="0" t="str">
        <f aca="false">IF(AND(C2514=C2515,AA2514=AA2515-1),AC2514,"")</f>
        <v/>
      </c>
      <c r="AF2515" s="0" t="str">
        <f aca="false">IF(AA2515=1,"",IF(AND(AB2515=1,AD2515&lt;&gt;1),1,0))</f>
        <v/>
      </c>
      <c r="AG2515" s="0" t="str">
        <f aca="false">IF(AA2515=1,"",IF(AND(AC2515=1,AE2515&lt;&gt;1),1,0))</f>
        <v/>
      </c>
      <c r="AH2515" s="51" t="str">
        <f aca="false">IF(AND(E2515&gt;0,AA2515&lt;1,NOT(AND(C2516=C2515,AA2516=AA2515+1))),INDEX(DATAS,AA2515+1),"")</f>
        <v/>
      </c>
      <c r="AI2515" s="51" t="str">
        <f aca="false">IF(AND(AC2515=1,AA2515&lt;1),IF(AND(C2516=C2515,AA2516=AA2515+1),IF(AC2516=1,"",INDEX(DATAS,AA2515+1)),INDEX(DATAS,AA2515+1)),"")</f>
        <v/>
      </c>
    </row>
    <row r="2516" customFormat="false" ht="15" hidden="false" customHeight="false" outlineLevel="0" collapsed="false">
      <c r="A2516" s="51" t="n">
        <v>46309</v>
      </c>
      <c r="B2516" s="0" t="n">
        <v>11</v>
      </c>
      <c r="C2516" s="0" t="n">
        <v>6846</v>
      </c>
      <c r="E2516" s="0" t="n">
        <v>0</v>
      </c>
      <c r="F2516" s="46" t="s">
        <v>1306</v>
      </c>
      <c r="I2516" s="46" t="s">
        <v>181</v>
      </c>
      <c r="U2516" s="0" t="n">
        <v>426</v>
      </c>
      <c r="V2516" s="0" t="n">
        <v>1</v>
      </c>
      <c r="W2516" s="51" t="n">
        <v>46296</v>
      </c>
      <c r="X2516" s="46" t="n">
        <f aca="false">IF(I2516="Male",0,1)</f>
        <v>1</v>
      </c>
      <c r="Y2516" s="46" t="n">
        <f aca="false">IF(OR(I2516="DNB",I2516="Dry DNB"),1,0)</f>
        <v>0</v>
      </c>
      <c r="Z2516" s="46" t="n">
        <f aca="false">IF(ISNUMBER(W2516),A2516-W2516,"")</f>
        <v>13</v>
      </c>
      <c r="AA2516" s="46" t="n">
        <f aca="false">MATCH(A2516,DATAS,0)</f>
        <v>1</v>
      </c>
      <c r="AB2516" s="46" t="n">
        <f aca="false">IF(AND(E2516&gt;0,OR(AND(B2516&gt;=1,B2516&lt;=6),B2516=10)),1,0)</f>
        <v>0</v>
      </c>
      <c r="AC2516" s="46" t="n">
        <f aca="false">IF(AND(E2516&gt;0,B2516=10),1,0)</f>
        <v>0</v>
      </c>
      <c r="AD2516" s="0" t="str">
        <f aca="false">IF(AND(C2515=C2516,AA2515=AA2516-1),AB2515,"")</f>
        <v/>
      </c>
      <c r="AE2516" s="0" t="str">
        <f aca="false">IF(AND(C2515=C2516,AA2515=AA2516-1),AC2515,"")</f>
        <v/>
      </c>
      <c r="AF2516" s="0" t="str">
        <f aca="false">IF(AA2516=1,"",IF(AND(AB2516=1,AD2516&lt;&gt;1),1,0))</f>
        <v/>
      </c>
      <c r="AG2516" s="0" t="str">
        <f aca="false">IF(AA2516=1,"",IF(AND(AC2516=1,AE2516&lt;&gt;1),1,0))</f>
        <v/>
      </c>
      <c r="AH2516" s="51" t="str">
        <f aca="false">IF(AND(E2516&gt;0,AA2516&lt;1,NOT(AND(C2517=C2516,AA2517=AA2516+1))),INDEX(DATAS,AA2516+1),"")</f>
        <v/>
      </c>
      <c r="AI2516" s="51" t="str">
        <f aca="false">IF(AND(AC2516=1,AA2516&lt;1),IF(AND(C2517=C2516,AA2517=AA2516+1),IF(AC2517=1,"",INDEX(DATAS,AA2516+1)),INDEX(DATAS,AA2516+1)),"")</f>
        <v/>
      </c>
    </row>
    <row r="2517" customFormat="false" ht="15" hidden="false" customHeight="false" outlineLevel="0" collapsed="false">
      <c r="A2517" s="51" t="n">
        <v>46309</v>
      </c>
      <c r="B2517" s="0" t="n">
        <v>8</v>
      </c>
      <c r="C2517" s="0" t="n">
        <v>6847</v>
      </c>
      <c r="E2517" s="0" t="n">
        <v>0</v>
      </c>
      <c r="F2517" s="46" t="s">
        <v>1307</v>
      </c>
      <c r="I2517" s="46" t="s">
        <v>152</v>
      </c>
      <c r="L2517" s="0" t="n">
        <v>33</v>
      </c>
      <c r="U2517" s="0" t="n">
        <v>425</v>
      </c>
      <c r="V2517" s="0" t="n">
        <v>1</v>
      </c>
      <c r="W2517" s="51" t="n">
        <v>46277</v>
      </c>
      <c r="X2517" s="46" t="n">
        <f aca="false">IF(I2517="Male",0,1)</f>
        <v>1</v>
      </c>
      <c r="Y2517" s="46" t="n">
        <f aca="false">IF(OR(I2517="DNB",I2517="Dry DNB"),1,0)</f>
        <v>0</v>
      </c>
      <c r="Z2517" s="46" t="n">
        <f aca="false">IF(ISNUMBER(W2517),A2517-W2517,"")</f>
        <v>32</v>
      </c>
      <c r="AA2517" s="46" t="n">
        <f aca="false">MATCH(A2517,DATAS,0)</f>
        <v>1</v>
      </c>
      <c r="AB2517" s="46" t="n">
        <f aca="false">IF(AND(E2517&gt;0,OR(AND(B2517&gt;=1,B2517&lt;=6),B2517=10)),1,0)</f>
        <v>0</v>
      </c>
      <c r="AC2517" s="46" t="n">
        <f aca="false">IF(AND(E2517&gt;0,B2517=10),1,0)</f>
        <v>0</v>
      </c>
      <c r="AD2517" s="0" t="str">
        <f aca="false">IF(AND(C2516=C2517,AA2516=AA2517-1),AB2516,"")</f>
        <v/>
      </c>
      <c r="AE2517" s="0" t="str">
        <f aca="false">IF(AND(C2516=C2517,AA2516=AA2517-1),AC2516,"")</f>
        <v/>
      </c>
      <c r="AF2517" s="0" t="str">
        <f aca="false">IF(AA2517=1,"",IF(AND(AB2517=1,AD2517&lt;&gt;1),1,0))</f>
        <v/>
      </c>
      <c r="AG2517" s="0" t="str">
        <f aca="false">IF(AA2517=1,"",IF(AND(AC2517=1,AE2517&lt;&gt;1),1,0))</f>
        <v/>
      </c>
      <c r="AH2517" s="51" t="str">
        <f aca="false">IF(AND(E2517&gt;0,AA2517&lt;1,NOT(AND(C2518=C2517,AA2518=AA2517+1))),INDEX(DATAS,AA2517+1),"")</f>
        <v/>
      </c>
      <c r="AI2517" s="51" t="str">
        <f aca="false">IF(AND(AC2517=1,AA2517&lt;1),IF(AND(C2518=C2517,AA2518=AA2517+1),IF(AC2518=1,"",INDEX(DATAS,AA2517+1)),INDEX(DATAS,AA2517+1)),"")</f>
        <v/>
      </c>
    </row>
    <row r="2518" customFormat="false" ht="15" hidden="false" customHeight="false" outlineLevel="0" collapsed="false">
      <c r="A2518" s="51" t="n">
        <v>46309</v>
      </c>
      <c r="B2518" s="0" t="n">
        <v>8</v>
      </c>
      <c r="C2518" s="0" t="n">
        <v>6848</v>
      </c>
      <c r="E2518" s="0" t="n">
        <v>0</v>
      </c>
      <c r="F2518" s="46" t="s">
        <v>1308</v>
      </c>
      <c r="I2518" s="46" t="s">
        <v>152</v>
      </c>
      <c r="L2518" s="0" t="n">
        <v>28</v>
      </c>
      <c r="U2518" s="0" t="n">
        <v>424</v>
      </c>
      <c r="V2518" s="0" t="n">
        <v>1</v>
      </c>
      <c r="W2518" s="51" t="n">
        <v>46282</v>
      </c>
      <c r="X2518" s="46" t="n">
        <f aca="false">IF(I2518="Male",0,1)</f>
        <v>1</v>
      </c>
      <c r="Y2518" s="46" t="n">
        <f aca="false">IF(OR(I2518="DNB",I2518="Dry DNB"),1,0)</f>
        <v>0</v>
      </c>
      <c r="Z2518" s="46" t="n">
        <f aca="false">IF(ISNUMBER(W2518),A2518-W2518,"")</f>
        <v>27</v>
      </c>
      <c r="AA2518" s="46" t="n">
        <f aca="false">MATCH(A2518,DATAS,0)</f>
        <v>1</v>
      </c>
      <c r="AB2518" s="46" t="n">
        <f aca="false">IF(AND(E2518&gt;0,OR(AND(B2518&gt;=1,B2518&lt;=6),B2518=10)),1,0)</f>
        <v>0</v>
      </c>
      <c r="AC2518" s="46" t="n">
        <f aca="false">IF(AND(E2518&gt;0,B2518=10),1,0)</f>
        <v>0</v>
      </c>
      <c r="AD2518" s="0" t="str">
        <f aca="false">IF(AND(C2517=C2518,AA2517=AA2518-1),AB2517,"")</f>
        <v/>
      </c>
      <c r="AE2518" s="0" t="str">
        <f aca="false">IF(AND(C2517=C2518,AA2517=AA2518-1),AC2517,"")</f>
        <v/>
      </c>
      <c r="AF2518" s="0" t="str">
        <f aca="false">IF(AA2518=1,"",IF(AND(AB2518=1,AD2518&lt;&gt;1),1,0))</f>
        <v/>
      </c>
      <c r="AG2518" s="0" t="str">
        <f aca="false">IF(AA2518=1,"",IF(AND(AC2518=1,AE2518&lt;&gt;1),1,0))</f>
        <v/>
      </c>
      <c r="AH2518" s="51" t="str">
        <f aca="false">IF(AND(E2518&gt;0,AA2518&lt;1,NOT(AND(C2519=C2518,AA2519=AA2518+1))),INDEX(DATAS,AA2518+1),"")</f>
        <v/>
      </c>
      <c r="AI2518" s="51" t="str">
        <f aca="false">IF(AND(AC2518=1,AA2518&lt;1),IF(AND(C2519=C2518,AA2519=AA2518+1),IF(AC2519=1,"",INDEX(DATAS,AA2518+1)),INDEX(DATAS,AA2518+1)),"")</f>
        <v/>
      </c>
    </row>
    <row r="2519" customFormat="false" ht="15" hidden="false" customHeight="false" outlineLevel="0" collapsed="false">
      <c r="A2519" s="51" t="n">
        <v>46309</v>
      </c>
      <c r="B2519" s="0" t="n">
        <v>8</v>
      </c>
      <c r="C2519" s="0" t="n">
        <v>6849</v>
      </c>
      <c r="E2519" s="0" t="n">
        <v>0</v>
      </c>
      <c r="F2519" s="46" t="s">
        <v>1308</v>
      </c>
      <c r="I2519" s="46" t="s">
        <v>152</v>
      </c>
      <c r="L2519" s="0" t="n">
        <v>29</v>
      </c>
      <c r="U2519" s="0" t="n">
        <v>424</v>
      </c>
      <c r="V2519" s="0" t="n">
        <v>1</v>
      </c>
      <c r="W2519" s="51" t="n">
        <v>46281</v>
      </c>
      <c r="X2519" s="46" t="n">
        <f aca="false">IF(I2519="Male",0,1)</f>
        <v>1</v>
      </c>
      <c r="Y2519" s="46" t="n">
        <f aca="false">IF(OR(I2519="DNB",I2519="Dry DNB"),1,0)</f>
        <v>0</v>
      </c>
      <c r="Z2519" s="46" t="n">
        <f aca="false">IF(ISNUMBER(W2519),A2519-W2519,"")</f>
        <v>28</v>
      </c>
      <c r="AA2519" s="46" t="n">
        <f aca="false">MATCH(A2519,DATAS,0)</f>
        <v>1</v>
      </c>
      <c r="AB2519" s="46" t="n">
        <f aca="false">IF(AND(E2519&gt;0,OR(AND(B2519&gt;=1,B2519&lt;=6),B2519=10)),1,0)</f>
        <v>0</v>
      </c>
      <c r="AC2519" s="46" t="n">
        <f aca="false">IF(AND(E2519&gt;0,B2519=10),1,0)</f>
        <v>0</v>
      </c>
      <c r="AD2519" s="0" t="str">
        <f aca="false">IF(AND(C2518=C2519,AA2518=AA2519-1),AB2518,"")</f>
        <v/>
      </c>
      <c r="AE2519" s="0" t="str">
        <f aca="false">IF(AND(C2518=C2519,AA2518=AA2519-1),AC2518,"")</f>
        <v/>
      </c>
      <c r="AF2519" s="0" t="str">
        <f aca="false">IF(AA2519=1,"",IF(AND(AB2519=1,AD2519&lt;&gt;1),1,0))</f>
        <v/>
      </c>
      <c r="AG2519" s="0" t="str">
        <f aca="false">IF(AA2519=1,"",IF(AND(AC2519=1,AE2519&lt;&gt;1),1,0))</f>
        <v/>
      </c>
      <c r="AH2519" s="51" t="str">
        <f aca="false">IF(AND(E2519&gt;0,AA2519&lt;1,NOT(AND(C2520=C2519,AA2520=AA2519+1))),INDEX(DATAS,AA2519+1),"")</f>
        <v/>
      </c>
      <c r="AI2519" s="51" t="str">
        <f aca="false">IF(AND(AC2519=1,AA2519&lt;1),IF(AND(C2520=C2519,AA2520=AA2519+1),IF(AC2520=1,"",INDEX(DATAS,AA2519+1)),INDEX(DATAS,AA2519+1)),"")</f>
        <v/>
      </c>
    </row>
    <row r="2520" customFormat="false" ht="15" hidden="false" customHeight="false" outlineLevel="0" collapsed="false">
      <c r="A2520" s="51" t="n">
        <v>46309</v>
      </c>
      <c r="B2520" s="0" t="n">
        <v>13</v>
      </c>
      <c r="C2520" s="0" t="n">
        <v>6850</v>
      </c>
      <c r="E2520" s="0" t="n">
        <v>0</v>
      </c>
      <c r="F2520" s="46" t="s">
        <v>1309</v>
      </c>
      <c r="I2520" s="46" t="s">
        <v>179</v>
      </c>
      <c r="U2520" s="0" t="n">
        <v>395</v>
      </c>
      <c r="V2520" s="0" t="n">
        <v>0</v>
      </c>
      <c r="X2520" s="46" t="n">
        <f aca="false">IF(I2520="Male",0,1)</f>
        <v>1</v>
      </c>
      <c r="Y2520" s="46" t="n">
        <f aca="false">IF(OR(I2520="DNB",I2520="Dry DNB"),1,0)</f>
        <v>0</v>
      </c>
      <c r="Z2520" s="0" t="str">
        <f aca="false">IF(ISNUMBER(W2520),A2520-W2520,"")</f>
        <v/>
      </c>
      <c r="AA2520" s="46" t="n">
        <f aca="false">MATCH(A2520,DATAS,0)</f>
        <v>1</v>
      </c>
      <c r="AB2520" s="46" t="n">
        <f aca="false">IF(AND(E2520&gt;0,OR(AND(B2520&gt;=1,B2520&lt;=6),B2520=10)),1,0)</f>
        <v>0</v>
      </c>
      <c r="AC2520" s="46" t="n">
        <f aca="false">IF(AND(E2520&gt;0,B2520=10),1,0)</f>
        <v>0</v>
      </c>
      <c r="AD2520" s="0" t="str">
        <f aca="false">IF(AND(C2519=C2520,AA2519=AA2520-1),AB2519,"")</f>
        <v/>
      </c>
      <c r="AE2520" s="0" t="str">
        <f aca="false">IF(AND(C2519=C2520,AA2519=AA2520-1),AC2519,"")</f>
        <v/>
      </c>
      <c r="AF2520" s="0" t="str">
        <f aca="false">IF(AA2520=1,"",IF(AND(AB2520=1,AD2520&lt;&gt;1),1,0))</f>
        <v/>
      </c>
      <c r="AG2520" s="0" t="str">
        <f aca="false">IF(AA2520=1,"",IF(AND(AC2520=1,AE2520&lt;&gt;1),1,0))</f>
        <v/>
      </c>
      <c r="AH2520" s="51" t="str">
        <f aca="false">IF(AND(E2520&gt;0,AA2520&lt;1,NOT(AND(C2521=C2520,AA2521=AA2520+1))),INDEX(DATAS,AA2520+1),"")</f>
        <v/>
      </c>
      <c r="AI2520" s="51" t="str">
        <f aca="false">IF(AND(AC2520=1,AA2520&lt;1),IF(AND(C2521=C2520,AA2521=AA2520+1),IF(AC2521=1,"",INDEX(DATAS,AA2520+1)),INDEX(DATAS,AA2520+1)),"")</f>
        <v/>
      </c>
    </row>
    <row r="2521" customFormat="false" ht="15" hidden="false" customHeight="false" outlineLevel="0" collapsed="false">
      <c r="A2521" s="51" t="n">
        <v>46309</v>
      </c>
      <c r="B2521" s="0" t="n">
        <v>11</v>
      </c>
      <c r="C2521" s="0" t="n">
        <v>6852</v>
      </c>
      <c r="E2521" s="0" t="n">
        <v>0</v>
      </c>
      <c r="F2521" s="46" t="s">
        <v>1310</v>
      </c>
      <c r="I2521" s="46" t="s">
        <v>181</v>
      </c>
      <c r="U2521" s="0" t="n">
        <v>437</v>
      </c>
      <c r="V2521" s="0" t="n">
        <v>2</v>
      </c>
      <c r="W2521" s="51" t="n">
        <v>46303</v>
      </c>
      <c r="X2521" s="46" t="n">
        <f aca="false">IF(I2521="Male",0,1)</f>
        <v>1</v>
      </c>
      <c r="Y2521" s="46" t="n">
        <f aca="false">IF(OR(I2521="DNB",I2521="Dry DNB"),1,0)</f>
        <v>0</v>
      </c>
      <c r="Z2521" s="46" t="n">
        <f aca="false">IF(ISNUMBER(W2521),A2521-W2521,"")</f>
        <v>6</v>
      </c>
      <c r="AA2521" s="46" t="n">
        <f aca="false">MATCH(A2521,DATAS,0)</f>
        <v>1</v>
      </c>
      <c r="AB2521" s="46" t="n">
        <f aca="false">IF(AND(E2521&gt;0,OR(AND(B2521&gt;=1,B2521&lt;=6),B2521=10)),1,0)</f>
        <v>0</v>
      </c>
      <c r="AC2521" s="46" t="n">
        <f aca="false">IF(AND(E2521&gt;0,B2521=10),1,0)</f>
        <v>0</v>
      </c>
      <c r="AD2521" s="0" t="str">
        <f aca="false">IF(AND(C2520=C2521,AA2520=AA2521-1),AB2520,"")</f>
        <v/>
      </c>
      <c r="AE2521" s="0" t="str">
        <f aca="false">IF(AND(C2520=C2521,AA2520=AA2521-1),AC2520,"")</f>
        <v/>
      </c>
      <c r="AF2521" s="0" t="str">
        <f aca="false">IF(AA2521=1,"",IF(AND(AB2521=1,AD2521&lt;&gt;1),1,0))</f>
        <v/>
      </c>
      <c r="AG2521" s="0" t="str">
        <f aca="false">IF(AA2521=1,"",IF(AND(AC2521=1,AE2521&lt;&gt;1),1,0))</f>
        <v/>
      </c>
      <c r="AH2521" s="51" t="str">
        <f aca="false">IF(AND(E2521&gt;0,AA2521&lt;1,NOT(AND(C2522=C2521,AA2522=AA2521+1))),INDEX(DATAS,AA2521+1),"")</f>
        <v/>
      </c>
      <c r="AI2521" s="51" t="str">
        <f aca="false">IF(AND(AC2521=1,AA2521&lt;1),IF(AND(C2522=C2521,AA2522=AA2521+1),IF(AC2522=1,"",INDEX(DATAS,AA2521+1)),INDEX(DATAS,AA2521+1)),"")</f>
        <v/>
      </c>
    </row>
    <row r="2522" customFormat="false" ht="15" hidden="false" customHeight="false" outlineLevel="0" collapsed="false">
      <c r="A2522" s="51" t="n">
        <v>46309</v>
      </c>
      <c r="B2522" s="0" t="n">
        <v>11</v>
      </c>
      <c r="C2522" s="0" t="n">
        <v>6853</v>
      </c>
      <c r="E2522" s="0" t="n">
        <v>0</v>
      </c>
      <c r="F2522" s="46" t="s">
        <v>1308</v>
      </c>
      <c r="I2522" s="46" t="s">
        <v>181</v>
      </c>
      <c r="U2522" s="0" t="n">
        <v>424</v>
      </c>
      <c r="V2522" s="0" t="n">
        <v>1</v>
      </c>
      <c r="W2522" s="51" t="n">
        <v>46294</v>
      </c>
      <c r="X2522" s="46" t="n">
        <f aca="false">IF(I2522="Male",0,1)</f>
        <v>1</v>
      </c>
      <c r="Y2522" s="46" t="n">
        <f aca="false">IF(OR(I2522="DNB",I2522="Dry DNB"),1,0)</f>
        <v>0</v>
      </c>
      <c r="Z2522" s="46" t="n">
        <f aca="false">IF(ISNUMBER(W2522),A2522-W2522,"")</f>
        <v>15</v>
      </c>
      <c r="AA2522" s="46" t="n">
        <f aca="false">MATCH(A2522,DATAS,0)</f>
        <v>1</v>
      </c>
      <c r="AB2522" s="46" t="n">
        <f aca="false">IF(AND(E2522&gt;0,OR(AND(B2522&gt;=1,B2522&lt;=6),B2522=10)),1,0)</f>
        <v>0</v>
      </c>
      <c r="AC2522" s="46" t="n">
        <f aca="false">IF(AND(E2522&gt;0,B2522=10),1,0)</f>
        <v>0</v>
      </c>
      <c r="AD2522" s="0" t="str">
        <f aca="false">IF(AND(C2521=C2522,AA2521=AA2522-1),AB2521,"")</f>
        <v/>
      </c>
      <c r="AE2522" s="0" t="str">
        <f aca="false">IF(AND(C2521=C2522,AA2521=AA2522-1),AC2521,"")</f>
        <v/>
      </c>
      <c r="AF2522" s="0" t="str">
        <f aca="false">IF(AA2522=1,"",IF(AND(AB2522=1,AD2522&lt;&gt;1),1,0))</f>
        <v/>
      </c>
      <c r="AG2522" s="0" t="str">
        <f aca="false">IF(AA2522=1,"",IF(AND(AC2522=1,AE2522&lt;&gt;1),1,0))</f>
        <v/>
      </c>
      <c r="AH2522" s="51" t="str">
        <f aca="false">IF(AND(E2522&gt;0,AA2522&lt;1,NOT(AND(C2523=C2522,AA2523=AA2522+1))),INDEX(DATAS,AA2522+1),"")</f>
        <v/>
      </c>
      <c r="AI2522" s="51" t="str">
        <f aca="false">IF(AND(AC2522=1,AA2522&lt;1),IF(AND(C2523=C2522,AA2523=AA2522+1),IF(AC2523=1,"",INDEX(DATAS,AA2522+1)),INDEX(DATAS,AA2522+1)),"")</f>
        <v/>
      </c>
    </row>
    <row r="2523" customFormat="false" ht="15" hidden="false" customHeight="false" outlineLevel="0" collapsed="false">
      <c r="A2523" s="51" t="n">
        <v>46309</v>
      </c>
      <c r="B2523" s="0" t="n">
        <v>11</v>
      </c>
      <c r="C2523" s="0" t="n">
        <v>6854</v>
      </c>
      <c r="E2523" s="0" t="n">
        <v>0</v>
      </c>
      <c r="F2523" s="46" t="s">
        <v>1311</v>
      </c>
      <c r="I2523" s="46" t="s">
        <v>181</v>
      </c>
      <c r="U2523" s="0" t="n">
        <v>423</v>
      </c>
      <c r="V2523" s="0" t="n">
        <v>1</v>
      </c>
      <c r="W2523" s="51" t="n">
        <v>46285</v>
      </c>
      <c r="X2523" s="46" t="n">
        <f aca="false">IF(I2523="Male",0,1)</f>
        <v>1</v>
      </c>
      <c r="Y2523" s="46" t="n">
        <f aca="false">IF(OR(I2523="DNB",I2523="Dry DNB"),1,0)</f>
        <v>0</v>
      </c>
      <c r="Z2523" s="46" t="n">
        <f aca="false">IF(ISNUMBER(W2523),A2523-W2523,"")</f>
        <v>24</v>
      </c>
      <c r="AA2523" s="46" t="n">
        <f aca="false">MATCH(A2523,DATAS,0)</f>
        <v>1</v>
      </c>
      <c r="AB2523" s="46" t="n">
        <f aca="false">IF(AND(E2523&gt;0,OR(AND(B2523&gt;=1,B2523&lt;=6),B2523=10)),1,0)</f>
        <v>0</v>
      </c>
      <c r="AC2523" s="46" t="n">
        <f aca="false">IF(AND(E2523&gt;0,B2523=10),1,0)</f>
        <v>0</v>
      </c>
      <c r="AD2523" s="0" t="str">
        <f aca="false">IF(AND(C2522=C2523,AA2522=AA2523-1),AB2522,"")</f>
        <v/>
      </c>
      <c r="AE2523" s="0" t="str">
        <f aca="false">IF(AND(C2522=C2523,AA2522=AA2523-1),AC2522,"")</f>
        <v/>
      </c>
      <c r="AF2523" s="0" t="str">
        <f aca="false">IF(AA2523=1,"",IF(AND(AB2523=1,AD2523&lt;&gt;1),1,0))</f>
        <v/>
      </c>
      <c r="AG2523" s="0" t="str">
        <f aca="false">IF(AA2523=1,"",IF(AND(AC2523=1,AE2523&lt;&gt;1),1,0))</f>
        <v/>
      </c>
      <c r="AH2523" s="51" t="str">
        <f aca="false">IF(AND(E2523&gt;0,AA2523&lt;1,NOT(AND(C2524=C2523,AA2524=AA2523+1))),INDEX(DATAS,AA2523+1),"")</f>
        <v/>
      </c>
      <c r="AI2523" s="51" t="str">
        <f aca="false">IF(AND(AC2523=1,AA2523&lt;1),IF(AND(C2524=C2523,AA2524=AA2523+1),IF(AC2524=1,"",INDEX(DATAS,AA2523+1)),INDEX(DATAS,AA2523+1)),"")</f>
        <v/>
      </c>
    </row>
    <row r="2524" customFormat="false" ht="15" hidden="false" customHeight="false" outlineLevel="0" collapsed="false">
      <c r="A2524" s="51" t="n">
        <v>46309</v>
      </c>
      <c r="B2524" s="0" t="n">
        <v>11</v>
      </c>
      <c r="C2524" s="0" t="n">
        <v>6855</v>
      </c>
      <c r="E2524" s="0" t="n">
        <v>0</v>
      </c>
      <c r="F2524" s="46" t="s">
        <v>1311</v>
      </c>
      <c r="I2524" s="46" t="s">
        <v>181</v>
      </c>
      <c r="U2524" s="0" t="n">
        <v>423</v>
      </c>
      <c r="V2524" s="0" t="n">
        <v>2</v>
      </c>
      <c r="W2524" s="51" t="n">
        <v>46305</v>
      </c>
      <c r="X2524" s="46" t="n">
        <f aca="false">IF(I2524="Male",0,1)</f>
        <v>1</v>
      </c>
      <c r="Y2524" s="46" t="n">
        <f aca="false">IF(OR(I2524="DNB",I2524="Dry DNB"),1,0)</f>
        <v>0</v>
      </c>
      <c r="Z2524" s="46" t="n">
        <f aca="false">IF(ISNUMBER(W2524),A2524-W2524,"")</f>
        <v>4</v>
      </c>
      <c r="AA2524" s="46" t="n">
        <f aca="false">MATCH(A2524,DATAS,0)</f>
        <v>1</v>
      </c>
      <c r="AB2524" s="46" t="n">
        <f aca="false">IF(AND(E2524&gt;0,OR(AND(B2524&gt;=1,B2524&lt;=6),B2524=10)),1,0)</f>
        <v>0</v>
      </c>
      <c r="AC2524" s="46" t="n">
        <f aca="false">IF(AND(E2524&gt;0,B2524=10),1,0)</f>
        <v>0</v>
      </c>
      <c r="AD2524" s="0" t="str">
        <f aca="false">IF(AND(C2523=C2524,AA2523=AA2524-1),AB2523,"")</f>
        <v/>
      </c>
      <c r="AE2524" s="0" t="str">
        <f aca="false">IF(AND(C2523=C2524,AA2523=AA2524-1),AC2523,"")</f>
        <v/>
      </c>
      <c r="AF2524" s="0" t="str">
        <f aca="false">IF(AA2524=1,"",IF(AND(AB2524=1,AD2524&lt;&gt;1),1,0))</f>
        <v/>
      </c>
      <c r="AG2524" s="0" t="str">
        <f aca="false">IF(AA2524=1,"",IF(AND(AC2524=1,AE2524&lt;&gt;1),1,0))</f>
        <v/>
      </c>
      <c r="AH2524" s="51" t="str">
        <f aca="false">IF(AND(E2524&gt;0,AA2524&lt;1,NOT(AND(C2525=C2524,AA2525=AA2524+1))),INDEX(DATAS,AA2524+1),"")</f>
        <v/>
      </c>
      <c r="AI2524" s="51" t="str">
        <f aca="false">IF(AND(AC2524=1,AA2524&lt;1),IF(AND(C2525=C2524,AA2525=AA2524+1),IF(AC2525=1,"",INDEX(DATAS,AA2524+1)),INDEX(DATAS,AA2524+1)),"")</f>
        <v/>
      </c>
    </row>
    <row r="2525" customFormat="false" ht="15" hidden="false" customHeight="false" outlineLevel="0" collapsed="false">
      <c r="A2525" s="51" t="n">
        <v>46309</v>
      </c>
      <c r="B2525" s="0" t="n">
        <v>11</v>
      </c>
      <c r="C2525" s="0" t="n">
        <v>6856</v>
      </c>
      <c r="E2525" s="0" t="n">
        <v>0</v>
      </c>
      <c r="F2525" s="46" t="s">
        <v>1311</v>
      </c>
      <c r="I2525" s="46" t="s">
        <v>181</v>
      </c>
      <c r="U2525" s="0" t="n">
        <v>423</v>
      </c>
      <c r="V2525" s="0" t="n">
        <v>1</v>
      </c>
      <c r="W2525" s="51" t="n">
        <v>46295</v>
      </c>
      <c r="X2525" s="46" t="n">
        <f aca="false">IF(I2525="Male",0,1)</f>
        <v>1</v>
      </c>
      <c r="Y2525" s="46" t="n">
        <f aca="false">IF(OR(I2525="DNB",I2525="Dry DNB"),1,0)</f>
        <v>0</v>
      </c>
      <c r="Z2525" s="46" t="n">
        <f aca="false">IF(ISNUMBER(W2525),A2525-W2525,"")</f>
        <v>14</v>
      </c>
      <c r="AA2525" s="46" t="n">
        <f aca="false">MATCH(A2525,DATAS,0)</f>
        <v>1</v>
      </c>
      <c r="AB2525" s="46" t="n">
        <f aca="false">IF(AND(E2525&gt;0,OR(AND(B2525&gt;=1,B2525&lt;=6),B2525=10)),1,0)</f>
        <v>0</v>
      </c>
      <c r="AC2525" s="46" t="n">
        <f aca="false">IF(AND(E2525&gt;0,B2525=10),1,0)</f>
        <v>0</v>
      </c>
      <c r="AD2525" s="0" t="str">
        <f aca="false">IF(AND(C2524=C2525,AA2524=AA2525-1),AB2524,"")</f>
        <v/>
      </c>
      <c r="AE2525" s="0" t="str">
        <f aca="false">IF(AND(C2524=C2525,AA2524=AA2525-1),AC2524,"")</f>
        <v/>
      </c>
      <c r="AF2525" s="0" t="str">
        <f aca="false">IF(AA2525=1,"",IF(AND(AB2525=1,AD2525&lt;&gt;1),1,0))</f>
        <v/>
      </c>
      <c r="AG2525" s="0" t="str">
        <f aca="false">IF(AA2525=1,"",IF(AND(AC2525=1,AE2525&lt;&gt;1),1,0))</f>
        <v/>
      </c>
      <c r="AH2525" s="51" t="str">
        <f aca="false">IF(AND(E2525&gt;0,AA2525&lt;1,NOT(AND(C2526=C2525,AA2526=AA2525+1))),INDEX(DATAS,AA2525+1),"")</f>
        <v/>
      </c>
      <c r="AI2525" s="51" t="str">
        <f aca="false">IF(AND(AC2525=1,AA2525&lt;1),IF(AND(C2526=C2525,AA2526=AA2525+1),IF(AC2526=1,"",INDEX(DATAS,AA2525+1)),INDEX(DATAS,AA2525+1)),"")</f>
        <v/>
      </c>
    </row>
    <row r="2526" customFormat="false" ht="15" hidden="false" customHeight="false" outlineLevel="0" collapsed="false">
      <c r="A2526" s="51" t="n">
        <v>46309</v>
      </c>
      <c r="B2526" s="0" t="n">
        <v>13</v>
      </c>
      <c r="C2526" s="0" t="n">
        <v>6857</v>
      </c>
      <c r="E2526" s="0" t="n">
        <v>0</v>
      </c>
      <c r="F2526" s="46" t="s">
        <v>1311</v>
      </c>
      <c r="I2526" s="46" t="s">
        <v>189</v>
      </c>
      <c r="U2526" s="0" t="n">
        <v>423</v>
      </c>
      <c r="V2526" s="0" t="n">
        <v>0</v>
      </c>
      <c r="X2526" s="46" t="n">
        <f aca="false">IF(I2526="Male",0,1)</f>
        <v>1</v>
      </c>
      <c r="Y2526" s="46" t="n">
        <f aca="false">IF(OR(I2526="DNB",I2526="Dry DNB"),1,0)</f>
        <v>0</v>
      </c>
      <c r="Z2526" s="0" t="str">
        <f aca="false">IF(ISNUMBER(W2526),A2526-W2526,"")</f>
        <v/>
      </c>
      <c r="AA2526" s="46" t="n">
        <f aca="false">MATCH(A2526,DATAS,0)</f>
        <v>1</v>
      </c>
      <c r="AB2526" s="46" t="n">
        <f aca="false">IF(AND(E2526&gt;0,OR(AND(B2526&gt;=1,B2526&lt;=6),B2526=10)),1,0)</f>
        <v>0</v>
      </c>
      <c r="AC2526" s="46" t="n">
        <f aca="false">IF(AND(E2526&gt;0,B2526=10),1,0)</f>
        <v>0</v>
      </c>
      <c r="AD2526" s="0" t="str">
        <f aca="false">IF(AND(C2525=C2526,AA2525=AA2526-1),AB2525,"")</f>
        <v/>
      </c>
      <c r="AE2526" s="0" t="str">
        <f aca="false">IF(AND(C2525=C2526,AA2525=AA2526-1),AC2525,"")</f>
        <v/>
      </c>
      <c r="AF2526" s="0" t="str">
        <f aca="false">IF(AA2526=1,"",IF(AND(AB2526=1,AD2526&lt;&gt;1),1,0))</f>
        <v/>
      </c>
      <c r="AG2526" s="0" t="str">
        <f aca="false">IF(AA2526=1,"",IF(AND(AC2526=1,AE2526&lt;&gt;1),1,0))</f>
        <v/>
      </c>
      <c r="AH2526" s="51" t="str">
        <f aca="false">IF(AND(E2526&gt;0,AA2526&lt;1,NOT(AND(C2527=C2526,AA2527=AA2526+1))),INDEX(DATAS,AA2526+1),"")</f>
        <v/>
      </c>
      <c r="AI2526" s="51" t="str">
        <f aca="false">IF(AND(AC2526=1,AA2526&lt;1),IF(AND(C2527=C2526,AA2527=AA2526+1),IF(AC2527=1,"",INDEX(DATAS,AA2526+1)),INDEX(DATAS,AA2526+1)),"")</f>
        <v/>
      </c>
    </row>
    <row r="2527" customFormat="false" ht="15" hidden="false" customHeight="false" outlineLevel="0" collapsed="false">
      <c r="A2527" s="51" t="n">
        <v>46309</v>
      </c>
      <c r="B2527" s="0" t="n">
        <v>11</v>
      </c>
      <c r="C2527" s="0" t="n">
        <v>6859</v>
      </c>
      <c r="E2527" s="0" t="n">
        <v>0</v>
      </c>
      <c r="F2527" s="46" t="s">
        <v>1312</v>
      </c>
      <c r="I2527" s="46" t="s">
        <v>181</v>
      </c>
      <c r="U2527" s="0" t="n">
        <v>422</v>
      </c>
      <c r="V2527" s="0" t="n">
        <v>1</v>
      </c>
      <c r="W2527" s="51" t="n">
        <v>46296</v>
      </c>
      <c r="X2527" s="46" t="n">
        <f aca="false">IF(I2527="Male",0,1)</f>
        <v>1</v>
      </c>
      <c r="Y2527" s="46" t="n">
        <f aca="false">IF(OR(I2527="DNB",I2527="Dry DNB"),1,0)</f>
        <v>0</v>
      </c>
      <c r="Z2527" s="46" t="n">
        <f aca="false">IF(ISNUMBER(W2527),A2527-W2527,"")</f>
        <v>13</v>
      </c>
      <c r="AA2527" s="46" t="n">
        <f aca="false">MATCH(A2527,DATAS,0)</f>
        <v>1</v>
      </c>
      <c r="AB2527" s="46" t="n">
        <f aca="false">IF(AND(E2527&gt;0,OR(AND(B2527&gt;=1,B2527&lt;=6),B2527=10)),1,0)</f>
        <v>0</v>
      </c>
      <c r="AC2527" s="46" t="n">
        <f aca="false">IF(AND(E2527&gt;0,B2527=10),1,0)</f>
        <v>0</v>
      </c>
      <c r="AD2527" s="0" t="str">
        <f aca="false">IF(AND(C2526=C2527,AA2526=AA2527-1),AB2526,"")</f>
        <v/>
      </c>
      <c r="AE2527" s="0" t="str">
        <f aca="false">IF(AND(C2526=C2527,AA2526=AA2527-1),AC2526,"")</f>
        <v/>
      </c>
      <c r="AF2527" s="0" t="str">
        <f aca="false">IF(AA2527=1,"",IF(AND(AB2527=1,AD2527&lt;&gt;1),1,0))</f>
        <v/>
      </c>
      <c r="AG2527" s="0" t="str">
        <f aca="false">IF(AA2527=1,"",IF(AND(AC2527=1,AE2527&lt;&gt;1),1,0))</f>
        <v/>
      </c>
      <c r="AH2527" s="51" t="str">
        <f aca="false">IF(AND(E2527&gt;0,AA2527&lt;1,NOT(AND(C2528=C2527,AA2528=AA2527+1))),INDEX(DATAS,AA2527+1),"")</f>
        <v/>
      </c>
      <c r="AI2527" s="51" t="str">
        <f aca="false">IF(AND(AC2527=1,AA2527&lt;1),IF(AND(C2528=C2527,AA2528=AA2527+1),IF(AC2528=1,"",INDEX(DATAS,AA2527+1)),INDEX(DATAS,AA2527+1)),"")</f>
        <v/>
      </c>
    </row>
    <row r="2528" customFormat="false" ht="15" hidden="false" customHeight="false" outlineLevel="0" collapsed="false">
      <c r="A2528" s="51" t="n">
        <v>46309</v>
      </c>
      <c r="B2528" s="0" t="n">
        <v>11</v>
      </c>
      <c r="C2528" s="0" t="n">
        <v>6864</v>
      </c>
      <c r="E2528" s="0" t="n">
        <v>0</v>
      </c>
      <c r="F2528" s="46" t="s">
        <v>1313</v>
      </c>
      <c r="I2528" s="46" t="s">
        <v>181</v>
      </c>
      <c r="U2528" s="0" t="n">
        <v>421</v>
      </c>
      <c r="V2528" s="0" t="n">
        <v>1</v>
      </c>
      <c r="W2528" s="51" t="n">
        <v>46295</v>
      </c>
      <c r="X2528" s="46" t="n">
        <f aca="false">IF(I2528="Male",0,1)</f>
        <v>1</v>
      </c>
      <c r="Y2528" s="46" t="n">
        <f aca="false">IF(OR(I2528="DNB",I2528="Dry DNB"),1,0)</f>
        <v>0</v>
      </c>
      <c r="Z2528" s="46" t="n">
        <f aca="false">IF(ISNUMBER(W2528),A2528-W2528,"")</f>
        <v>14</v>
      </c>
      <c r="AA2528" s="46" t="n">
        <f aca="false">MATCH(A2528,DATAS,0)</f>
        <v>1</v>
      </c>
      <c r="AB2528" s="46" t="n">
        <f aca="false">IF(AND(E2528&gt;0,OR(AND(B2528&gt;=1,B2528&lt;=6),B2528=10)),1,0)</f>
        <v>0</v>
      </c>
      <c r="AC2528" s="46" t="n">
        <f aca="false">IF(AND(E2528&gt;0,B2528=10),1,0)</f>
        <v>0</v>
      </c>
      <c r="AD2528" s="0" t="str">
        <f aca="false">IF(AND(C2527=C2528,AA2527=AA2528-1),AB2527,"")</f>
        <v/>
      </c>
      <c r="AE2528" s="0" t="str">
        <f aca="false">IF(AND(C2527=C2528,AA2527=AA2528-1),AC2527,"")</f>
        <v/>
      </c>
      <c r="AF2528" s="0" t="str">
        <f aca="false">IF(AA2528=1,"",IF(AND(AB2528=1,AD2528&lt;&gt;1),1,0))</f>
        <v/>
      </c>
      <c r="AG2528" s="0" t="str">
        <f aca="false">IF(AA2528=1,"",IF(AND(AC2528=1,AE2528&lt;&gt;1),1,0))</f>
        <v/>
      </c>
      <c r="AH2528" s="51" t="str">
        <f aca="false">IF(AND(E2528&gt;0,AA2528&lt;1,NOT(AND(C2529=C2528,AA2529=AA2528+1))),INDEX(DATAS,AA2528+1),"")</f>
        <v/>
      </c>
      <c r="AI2528" s="51" t="str">
        <f aca="false">IF(AND(AC2528=1,AA2528&lt;1),IF(AND(C2529=C2528,AA2529=AA2528+1),IF(AC2529=1,"",INDEX(DATAS,AA2528+1)),INDEX(DATAS,AA2528+1)),"")</f>
        <v/>
      </c>
    </row>
    <row r="2529" customFormat="false" ht="15" hidden="false" customHeight="false" outlineLevel="0" collapsed="false">
      <c r="A2529" s="51" t="n">
        <v>46309</v>
      </c>
      <c r="B2529" s="0" t="n">
        <v>13</v>
      </c>
      <c r="C2529" s="0" t="n">
        <v>6865</v>
      </c>
      <c r="E2529" s="0" t="n">
        <v>0</v>
      </c>
      <c r="F2529" s="46" t="s">
        <v>1313</v>
      </c>
      <c r="I2529" s="46" t="s">
        <v>189</v>
      </c>
      <c r="U2529" s="0" t="n">
        <v>421</v>
      </c>
      <c r="V2529" s="0" t="n">
        <v>0</v>
      </c>
      <c r="X2529" s="46" t="n">
        <f aca="false">IF(I2529="Male",0,1)</f>
        <v>1</v>
      </c>
      <c r="Y2529" s="46" t="n">
        <f aca="false">IF(OR(I2529="DNB",I2529="Dry DNB"),1,0)</f>
        <v>0</v>
      </c>
      <c r="Z2529" s="0" t="str">
        <f aca="false">IF(ISNUMBER(W2529),A2529-W2529,"")</f>
        <v/>
      </c>
      <c r="AA2529" s="46" t="n">
        <f aca="false">MATCH(A2529,DATAS,0)</f>
        <v>1</v>
      </c>
      <c r="AB2529" s="46" t="n">
        <f aca="false">IF(AND(E2529&gt;0,OR(AND(B2529&gt;=1,B2529&lt;=6),B2529=10)),1,0)</f>
        <v>0</v>
      </c>
      <c r="AC2529" s="46" t="n">
        <f aca="false">IF(AND(E2529&gt;0,B2529=10),1,0)</f>
        <v>0</v>
      </c>
      <c r="AD2529" s="0" t="str">
        <f aca="false">IF(AND(C2528=C2529,AA2528=AA2529-1),AB2528,"")</f>
        <v/>
      </c>
      <c r="AE2529" s="0" t="str">
        <f aca="false">IF(AND(C2528=C2529,AA2528=AA2529-1),AC2528,"")</f>
        <v/>
      </c>
      <c r="AF2529" s="0" t="str">
        <f aca="false">IF(AA2529=1,"",IF(AND(AB2529=1,AD2529&lt;&gt;1),1,0))</f>
        <v/>
      </c>
      <c r="AG2529" s="0" t="str">
        <f aca="false">IF(AA2529=1,"",IF(AND(AC2529=1,AE2529&lt;&gt;1),1,0))</f>
        <v/>
      </c>
      <c r="AH2529" s="51" t="str">
        <f aca="false">IF(AND(E2529&gt;0,AA2529&lt;1,NOT(AND(C2530=C2529,AA2530=AA2529+1))),INDEX(DATAS,AA2529+1),"")</f>
        <v/>
      </c>
      <c r="AI2529" s="51" t="str">
        <f aca="false">IF(AND(AC2529=1,AA2529&lt;1),IF(AND(C2530=C2529,AA2530=AA2529+1),IF(AC2530=1,"",INDEX(DATAS,AA2529+1)),INDEX(DATAS,AA2529+1)),"")</f>
        <v/>
      </c>
    </row>
    <row r="2530" customFormat="false" ht="15" hidden="false" customHeight="false" outlineLevel="0" collapsed="false">
      <c r="A2530" s="51" t="n">
        <v>46309</v>
      </c>
      <c r="B2530" s="0" t="n">
        <v>11</v>
      </c>
      <c r="C2530" s="0" t="n">
        <v>6866</v>
      </c>
      <c r="E2530" s="0" t="n">
        <v>0</v>
      </c>
      <c r="F2530" s="46" t="s">
        <v>1314</v>
      </c>
      <c r="I2530" s="46" t="s">
        <v>181</v>
      </c>
      <c r="U2530" s="0" t="n">
        <v>420</v>
      </c>
      <c r="V2530" s="0" t="n">
        <v>1</v>
      </c>
      <c r="W2530" s="51" t="n">
        <v>46288</v>
      </c>
      <c r="X2530" s="46" t="n">
        <f aca="false">IF(I2530="Male",0,1)</f>
        <v>1</v>
      </c>
      <c r="Y2530" s="46" t="n">
        <f aca="false">IF(OR(I2530="DNB",I2530="Dry DNB"),1,0)</f>
        <v>0</v>
      </c>
      <c r="Z2530" s="46" t="n">
        <f aca="false">IF(ISNUMBER(W2530),A2530-W2530,"")</f>
        <v>21</v>
      </c>
      <c r="AA2530" s="46" t="n">
        <f aca="false">MATCH(A2530,DATAS,0)</f>
        <v>1</v>
      </c>
      <c r="AB2530" s="46" t="n">
        <f aca="false">IF(AND(E2530&gt;0,OR(AND(B2530&gt;=1,B2530&lt;=6),B2530=10)),1,0)</f>
        <v>0</v>
      </c>
      <c r="AC2530" s="46" t="n">
        <f aca="false">IF(AND(E2530&gt;0,B2530=10),1,0)</f>
        <v>0</v>
      </c>
      <c r="AD2530" s="0" t="str">
        <f aca="false">IF(AND(C2529=C2530,AA2529=AA2530-1),AB2529,"")</f>
        <v/>
      </c>
      <c r="AE2530" s="0" t="str">
        <f aca="false">IF(AND(C2529=C2530,AA2529=AA2530-1),AC2529,"")</f>
        <v/>
      </c>
      <c r="AF2530" s="0" t="str">
        <f aca="false">IF(AA2530=1,"",IF(AND(AB2530=1,AD2530&lt;&gt;1),1,0))</f>
        <v/>
      </c>
      <c r="AG2530" s="0" t="str">
        <f aca="false">IF(AA2530=1,"",IF(AND(AC2530=1,AE2530&lt;&gt;1),1,0))</f>
        <v/>
      </c>
      <c r="AH2530" s="51" t="str">
        <f aca="false">IF(AND(E2530&gt;0,AA2530&lt;1,NOT(AND(C2531=C2530,AA2531=AA2530+1))),INDEX(DATAS,AA2530+1),"")</f>
        <v/>
      </c>
      <c r="AI2530" s="51" t="str">
        <f aca="false">IF(AND(AC2530=1,AA2530&lt;1),IF(AND(C2531=C2530,AA2531=AA2530+1),IF(AC2531=1,"",INDEX(DATAS,AA2530+1)),INDEX(DATAS,AA2530+1)),"")</f>
        <v/>
      </c>
    </row>
    <row r="2531" customFormat="false" ht="15" hidden="false" customHeight="false" outlineLevel="0" collapsed="false">
      <c r="A2531" s="51" t="n">
        <v>46309</v>
      </c>
      <c r="B2531" s="0" t="n">
        <v>11</v>
      </c>
      <c r="C2531" s="0" t="n">
        <v>6867</v>
      </c>
      <c r="E2531" s="0" t="n">
        <v>0</v>
      </c>
      <c r="F2531" s="46" t="s">
        <v>1314</v>
      </c>
      <c r="I2531" s="46" t="s">
        <v>181</v>
      </c>
      <c r="U2531" s="0" t="n">
        <v>420</v>
      </c>
      <c r="V2531" s="0" t="n">
        <v>1</v>
      </c>
      <c r="W2531" s="51" t="n">
        <v>46293</v>
      </c>
      <c r="X2531" s="46" t="n">
        <f aca="false">IF(I2531="Male",0,1)</f>
        <v>1</v>
      </c>
      <c r="Y2531" s="46" t="n">
        <f aca="false">IF(OR(I2531="DNB",I2531="Dry DNB"),1,0)</f>
        <v>0</v>
      </c>
      <c r="Z2531" s="46" t="n">
        <f aca="false">IF(ISNUMBER(W2531),A2531-W2531,"")</f>
        <v>16</v>
      </c>
      <c r="AA2531" s="46" t="n">
        <f aca="false">MATCH(A2531,DATAS,0)</f>
        <v>1</v>
      </c>
      <c r="AB2531" s="46" t="n">
        <f aca="false">IF(AND(E2531&gt;0,OR(AND(B2531&gt;=1,B2531&lt;=6),B2531=10)),1,0)</f>
        <v>0</v>
      </c>
      <c r="AC2531" s="46" t="n">
        <f aca="false">IF(AND(E2531&gt;0,B2531=10),1,0)</f>
        <v>0</v>
      </c>
      <c r="AD2531" s="0" t="str">
        <f aca="false">IF(AND(C2530=C2531,AA2530=AA2531-1),AB2530,"")</f>
        <v/>
      </c>
      <c r="AE2531" s="0" t="str">
        <f aca="false">IF(AND(C2530=C2531,AA2530=AA2531-1),AC2530,"")</f>
        <v/>
      </c>
      <c r="AF2531" s="0" t="str">
        <f aca="false">IF(AA2531=1,"",IF(AND(AB2531=1,AD2531&lt;&gt;1),1,0))</f>
        <v/>
      </c>
      <c r="AG2531" s="0" t="str">
        <f aca="false">IF(AA2531=1,"",IF(AND(AC2531=1,AE2531&lt;&gt;1),1,0))</f>
        <v/>
      </c>
      <c r="AH2531" s="51" t="str">
        <f aca="false">IF(AND(E2531&gt;0,AA2531&lt;1,NOT(AND(C2532=C2531,AA2532=AA2531+1))),INDEX(DATAS,AA2531+1),"")</f>
        <v/>
      </c>
      <c r="AI2531" s="51" t="str">
        <f aca="false">IF(AND(AC2531=1,AA2531&lt;1),IF(AND(C2532=C2531,AA2532=AA2531+1),IF(AC2532=1,"",INDEX(DATAS,AA2531+1)),INDEX(DATAS,AA2531+1)),"")</f>
        <v/>
      </c>
    </row>
    <row r="2532" customFormat="false" ht="15" hidden="false" customHeight="false" outlineLevel="0" collapsed="false">
      <c r="A2532" s="51" t="n">
        <v>46309</v>
      </c>
      <c r="B2532" s="0" t="n">
        <v>13</v>
      </c>
      <c r="C2532" s="0" t="n">
        <v>6868</v>
      </c>
      <c r="E2532" s="0" t="n">
        <v>0</v>
      </c>
      <c r="F2532" s="46" t="s">
        <v>1314</v>
      </c>
      <c r="I2532" s="46" t="s">
        <v>189</v>
      </c>
      <c r="U2532" s="0" t="n">
        <v>420</v>
      </c>
      <c r="V2532" s="0" t="n">
        <v>0</v>
      </c>
      <c r="X2532" s="46" t="n">
        <f aca="false">IF(I2532="Male",0,1)</f>
        <v>1</v>
      </c>
      <c r="Y2532" s="46" t="n">
        <f aca="false">IF(OR(I2532="DNB",I2532="Dry DNB"),1,0)</f>
        <v>0</v>
      </c>
      <c r="Z2532" s="0" t="str">
        <f aca="false">IF(ISNUMBER(W2532),A2532-W2532,"")</f>
        <v/>
      </c>
      <c r="AA2532" s="46" t="n">
        <f aca="false">MATCH(A2532,DATAS,0)</f>
        <v>1</v>
      </c>
      <c r="AB2532" s="46" t="n">
        <f aca="false">IF(AND(E2532&gt;0,OR(AND(B2532&gt;=1,B2532&lt;=6),B2532=10)),1,0)</f>
        <v>0</v>
      </c>
      <c r="AC2532" s="46" t="n">
        <f aca="false">IF(AND(E2532&gt;0,B2532=10),1,0)</f>
        <v>0</v>
      </c>
      <c r="AD2532" s="0" t="str">
        <f aca="false">IF(AND(C2531=C2532,AA2531=AA2532-1),AB2531,"")</f>
        <v/>
      </c>
      <c r="AE2532" s="0" t="str">
        <f aca="false">IF(AND(C2531=C2532,AA2531=AA2532-1),AC2531,"")</f>
        <v/>
      </c>
      <c r="AF2532" s="0" t="str">
        <f aca="false">IF(AA2532=1,"",IF(AND(AB2532=1,AD2532&lt;&gt;1),1,0))</f>
        <v/>
      </c>
      <c r="AG2532" s="0" t="str">
        <f aca="false">IF(AA2532=1,"",IF(AND(AC2532=1,AE2532&lt;&gt;1),1,0))</f>
        <v/>
      </c>
      <c r="AH2532" s="51" t="str">
        <f aca="false">IF(AND(E2532&gt;0,AA2532&lt;1,NOT(AND(C2533=C2532,AA2533=AA2532+1))),INDEX(DATAS,AA2532+1),"")</f>
        <v/>
      </c>
      <c r="AI2532" s="51" t="str">
        <f aca="false">IF(AND(AC2532=1,AA2532&lt;1),IF(AND(C2533=C2532,AA2533=AA2532+1),IF(AC2533=1,"",INDEX(DATAS,AA2532+1)),INDEX(DATAS,AA2532+1)),"")</f>
        <v/>
      </c>
    </row>
    <row r="2533" customFormat="false" ht="15" hidden="false" customHeight="false" outlineLevel="0" collapsed="false">
      <c r="A2533" s="51" t="n">
        <v>46309</v>
      </c>
      <c r="B2533" s="0" t="n">
        <v>11</v>
      </c>
      <c r="C2533" s="0" t="n">
        <v>6869</v>
      </c>
      <c r="E2533" s="0" t="n">
        <v>0</v>
      </c>
      <c r="F2533" s="46" t="s">
        <v>1314</v>
      </c>
      <c r="I2533" s="46" t="s">
        <v>181</v>
      </c>
      <c r="U2533" s="0" t="n">
        <v>420</v>
      </c>
      <c r="V2533" s="0" t="n">
        <v>1</v>
      </c>
      <c r="W2533" s="51" t="n">
        <v>46300</v>
      </c>
      <c r="X2533" s="46" t="n">
        <f aca="false">IF(I2533="Male",0,1)</f>
        <v>1</v>
      </c>
      <c r="Y2533" s="46" t="n">
        <f aca="false">IF(OR(I2533="DNB",I2533="Dry DNB"),1,0)</f>
        <v>0</v>
      </c>
      <c r="Z2533" s="46" t="n">
        <f aca="false">IF(ISNUMBER(W2533),A2533-W2533,"")</f>
        <v>9</v>
      </c>
      <c r="AA2533" s="46" t="n">
        <f aca="false">MATCH(A2533,DATAS,0)</f>
        <v>1</v>
      </c>
      <c r="AB2533" s="46" t="n">
        <f aca="false">IF(AND(E2533&gt;0,OR(AND(B2533&gt;=1,B2533&lt;=6),B2533=10)),1,0)</f>
        <v>0</v>
      </c>
      <c r="AC2533" s="46" t="n">
        <f aca="false">IF(AND(E2533&gt;0,B2533=10),1,0)</f>
        <v>0</v>
      </c>
      <c r="AD2533" s="0" t="str">
        <f aca="false">IF(AND(C2532=C2533,AA2532=AA2533-1),AB2532,"")</f>
        <v/>
      </c>
      <c r="AE2533" s="0" t="str">
        <f aca="false">IF(AND(C2532=C2533,AA2532=AA2533-1),AC2532,"")</f>
        <v/>
      </c>
      <c r="AF2533" s="0" t="str">
        <f aca="false">IF(AA2533=1,"",IF(AND(AB2533=1,AD2533&lt;&gt;1),1,0))</f>
        <v/>
      </c>
      <c r="AG2533" s="0" t="str">
        <f aca="false">IF(AA2533=1,"",IF(AND(AC2533=1,AE2533&lt;&gt;1),1,0))</f>
        <v/>
      </c>
      <c r="AH2533" s="51" t="str">
        <f aca="false">IF(AND(E2533&gt;0,AA2533&lt;1,NOT(AND(C2534=C2533,AA2534=AA2533+1))),INDEX(DATAS,AA2533+1),"")</f>
        <v/>
      </c>
      <c r="AI2533" s="51" t="str">
        <f aca="false">IF(AND(AC2533=1,AA2533&lt;1),IF(AND(C2534=C2533,AA2534=AA2533+1),IF(AC2534=1,"",INDEX(DATAS,AA2533+1)),INDEX(DATAS,AA2533+1)),"")</f>
        <v/>
      </c>
    </row>
    <row r="2534" customFormat="false" ht="15" hidden="false" customHeight="false" outlineLevel="0" collapsed="false">
      <c r="A2534" s="51" t="n">
        <v>46309</v>
      </c>
      <c r="B2534" s="0" t="n">
        <v>11</v>
      </c>
      <c r="C2534" s="0" t="n">
        <v>6870</v>
      </c>
      <c r="E2534" s="0" t="n">
        <v>0</v>
      </c>
      <c r="F2534" s="46" t="s">
        <v>1314</v>
      </c>
      <c r="I2534" s="46" t="s">
        <v>181</v>
      </c>
      <c r="U2534" s="0" t="n">
        <v>420</v>
      </c>
      <c r="V2534" s="0" t="n">
        <v>1</v>
      </c>
      <c r="W2534" s="51" t="n">
        <v>46289</v>
      </c>
      <c r="X2534" s="46" t="n">
        <f aca="false">IF(I2534="Male",0,1)</f>
        <v>1</v>
      </c>
      <c r="Y2534" s="46" t="n">
        <f aca="false">IF(OR(I2534="DNB",I2534="Dry DNB"),1,0)</f>
        <v>0</v>
      </c>
      <c r="Z2534" s="46" t="n">
        <f aca="false">IF(ISNUMBER(W2534),A2534-W2534,"")</f>
        <v>20</v>
      </c>
      <c r="AA2534" s="46" t="n">
        <f aca="false">MATCH(A2534,DATAS,0)</f>
        <v>1</v>
      </c>
      <c r="AB2534" s="46" t="n">
        <f aca="false">IF(AND(E2534&gt;0,OR(AND(B2534&gt;=1,B2534&lt;=6),B2534=10)),1,0)</f>
        <v>0</v>
      </c>
      <c r="AC2534" s="46" t="n">
        <f aca="false">IF(AND(E2534&gt;0,B2534=10),1,0)</f>
        <v>0</v>
      </c>
      <c r="AD2534" s="0" t="str">
        <f aca="false">IF(AND(C2533=C2534,AA2533=AA2534-1),AB2533,"")</f>
        <v/>
      </c>
      <c r="AE2534" s="0" t="str">
        <f aca="false">IF(AND(C2533=C2534,AA2533=AA2534-1),AC2533,"")</f>
        <v/>
      </c>
      <c r="AF2534" s="0" t="str">
        <f aca="false">IF(AA2534=1,"",IF(AND(AB2534=1,AD2534&lt;&gt;1),1,0))</f>
        <v/>
      </c>
      <c r="AG2534" s="0" t="str">
        <f aca="false">IF(AA2534=1,"",IF(AND(AC2534=1,AE2534&lt;&gt;1),1,0))</f>
        <v/>
      </c>
      <c r="AH2534" s="51" t="str">
        <f aca="false">IF(AND(E2534&gt;0,AA2534&lt;1,NOT(AND(C2535=C2534,AA2535=AA2534+1))),INDEX(DATAS,AA2534+1),"")</f>
        <v/>
      </c>
      <c r="AI2534" s="51" t="str">
        <f aca="false">IF(AND(AC2534=1,AA2534&lt;1),IF(AND(C2535=C2534,AA2535=AA2534+1),IF(AC2535=1,"",INDEX(DATAS,AA2534+1)),INDEX(DATAS,AA2534+1)),"")</f>
        <v/>
      </c>
    </row>
    <row r="2535" customFormat="false" ht="15" hidden="false" customHeight="false" outlineLevel="0" collapsed="false">
      <c r="A2535" s="51" t="n">
        <v>46309</v>
      </c>
      <c r="B2535" s="0" t="n">
        <v>11</v>
      </c>
      <c r="C2535" s="0" t="n">
        <v>6871</v>
      </c>
      <c r="E2535" s="0" t="n">
        <v>0</v>
      </c>
      <c r="F2535" s="46" t="s">
        <v>1315</v>
      </c>
      <c r="I2535" s="46" t="s">
        <v>181</v>
      </c>
      <c r="U2535" s="0" t="n">
        <v>419</v>
      </c>
      <c r="V2535" s="0" t="n">
        <v>1</v>
      </c>
      <c r="W2535" s="51" t="n">
        <v>46309</v>
      </c>
      <c r="X2535" s="46" t="n">
        <f aca="false">IF(I2535="Male",0,1)</f>
        <v>1</v>
      </c>
      <c r="Y2535" s="46" t="n">
        <f aca="false">IF(OR(I2535="DNB",I2535="Dry DNB"),1,0)</f>
        <v>0</v>
      </c>
      <c r="Z2535" s="46" t="n">
        <f aca="false">IF(ISNUMBER(W2535),A2535-W2535,"")</f>
        <v>0</v>
      </c>
      <c r="AA2535" s="46" t="n">
        <f aca="false">MATCH(A2535,DATAS,0)</f>
        <v>1</v>
      </c>
      <c r="AB2535" s="46" t="n">
        <f aca="false">IF(AND(E2535&gt;0,OR(AND(B2535&gt;=1,B2535&lt;=6),B2535=10)),1,0)</f>
        <v>0</v>
      </c>
      <c r="AC2535" s="46" t="n">
        <f aca="false">IF(AND(E2535&gt;0,B2535=10),1,0)</f>
        <v>0</v>
      </c>
      <c r="AD2535" s="0" t="str">
        <f aca="false">IF(AND(C2534=C2535,AA2534=AA2535-1),AB2534,"")</f>
        <v/>
      </c>
      <c r="AE2535" s="0" t="str">
        <f aca="false">IF(AND(C2534=C2535,AA2534=AA2535-1),AC2534,"")</f>
        <v/>
      </c>
      <c r="AF2535" s="0" t="str">
        <f aca="false">IF(AA2535=1,"",IF(AND(AB2535=1,AD2535&lt;&gt;1),1,0))</f>
        <v/>
      </c>
      <c r="AG2535" s="0" t="str">
        <f aca="false">IF(AA2535=1,"",IF(AND(AC2535=1,AE2535&lt;&gt;1),1,0))</f>
        <v/>
      </c>
      <c r="AH2535" s="51" t="str">
        <f aca="false">IF(AND(E2535&gt;0,AA2535&lt;1,NOT(AND(C2536=C2535,AA2536=AA2535+1))),INDEX(DATAS,AA2535+1),"")</f>
        <v/>
      </c>
      <c r="AI2535" s="51" t="str">
        <f aca="false">IF(AND(AC2535=1,AA2535&lt;1),IF(AND(C2536=C2535,AA2536=AA2535+1),IF(AC2536=1,"",INDEX(DATAS,AA2535+1)),INDEX(DATAS,AA2535+1)),"")</f>
        <v/>
      </c>
    </row>
    <row r="2536" customFormat="false" ht="15" hidden="false" customHeight="false" outlineLevel="0" collapsed="false">
      <c r="A2536" s="51" t="n">
        <v>46309</v>
      </c>
      <c r="B2536" s="0" t="n">
        <v>11</v>
      </c>
      <c r="C2536" s="0" t="n">
        <v>6872</v>
      </c>
      <c r="E2536" s="0" t="n">
        <v>0</v>
      </c>
      <c r="F2536" s="46" t="s">
        <v>1315</v>
      </c>
      <c r="I2536" s="46" t="s">
        <v>181</v>
      </c>
      <c r="U2536" s="0" t="n">
        <v>419</v>
      </c>
      <c r="V2536" s="0" t="n">
        <v>1</v>
      </c>
      <c r="W2536" s="51" t="n">
        <v>46289</v>
      </c>
      <c r="X2536" s="46" t="n">
        <f aca="false">IF(I2536="Male",0,1)</f>
        <v>1</v>
      </c>
      <c r="Y2536" s="46" t="n">
        <f aca="false">IF(OR(I2536="DNB",I2536="Dry DNB"),1,0)</f>
        <v>0</v>
      </c>
      <c r="Z2536" s="46" t="n">
        <f aca="false">IF(ISNUMBER(W2536),A2536-W2536,"")</f>
        <v>20</v>
      </c>
      <c r="AA2536" s="46" t="n">
        <f aca="false">MATCH(A2536,DATAS,0)</f>
        <v>1</v>
      </c>
      <c r="AB2536" s="46" t="n">
        <f aca="false">IF(AND(E2536&gt;0,OR(AND(B2536&gt;=1,B2536&lt;=6),B2536=10)),1,0)</f>
        <v>0</v>
      </c>
      <c r="AC2536" s="46" t="n">
        <f aca="false">IF(AND(E2536&gt;0,B2536=10),1,0)</f>
        <v>0</v>
      </c>
      <c r="AD2536" s="0" t="str">
        <f aca="false">IF(AND(C2535=C2536,AA2535=AA2536-1),AB2535,"")</f>
        <v/>
      </c>
      <c r="AE2536" s="0" t="str">
        <f aca="false">IF(AND(C2535=C2536,AA2535=AA2536-1),AC2535,"")</f>
        <v/>
      </c>
      <c r="AF2536" s="0" t="str">
        <f aca="false">IF(AA2536=1,"",IF(AND(AB2536=1,AD2536&lt;&gt;1),1,0))</f>
        <v/>
      </c>
      <c r="AG2536" s="0" t="str">
        <f aca="false">IF(AA2536=1,"",IF(AND(AC2536=1,AE2536&lt;&gt;1),1,0))</f>
        <v/>
      </c>
      <c r="AH2536" s="51" t="str">
        <f aca="false">IF(AND(E2536&gt;0,AA2536&lt;1,NOT(AND(C2537=C2536,AA2537=AA2536+1))),INDEX(DATAS,AA2536+1),"")</f>
        <v/>
      </c>
      <c r="AI2536" s="51" t="str">
        <f aca="false">IF(AND(AC2536=1,AA2536&lt;1),IF(AND(C2537=C2536,AA2537=AA2536+1),IF(AC2537=1,"",INDEX(DATAS,AA2536+1)),INDEX(DATAS,AA2536+1)),"")</f>
        <v/>
      </c>
    </row>
    <row r="2537" customFormat="false" ht="15" hidden="false" customHeight="false" outlineLevel="0" collapsed="false">
      <c r="A2537" s="51" t="n">
        <v>46309</v>
      </c>
      <c r="B2537" s="0" t="n">
        <v>11</v>
      </c>
      <c r="C2537" s="0" t="n">
        <v>6873</v>
      </c>
      <c r="E2537" s="0" t="n">
        <v>0</v>
      </c>
      <c r="F2537" s="46" t="s">
        <v>1315</v>
      </c>
      <c r="I2537" s="46" t="s">
        <v>181</v>
      </c>
      <c r="U2537" s="0" t="n">
        <v>419</v>
      </c>
      <c r="V2537" s="0" t="n">
        <v>1</v>
      </c>
      <c r="W2537" s="51" t="n">
        <v>46286</v>
      </c>
      <c r="X2537" s="46" t="n">
        <f aca="false">IF(I2537="Male",0,1)</f>
        <v>1</v>
      </c>
      <c r="Y2537" s="46" t="n">
        <f aca="false">IF(OR(I2537="DNB",I2537="Dry DNB"),1,0)</f>
        <v>0</v>
      </c>
      <c r="Z2537" s="46" t="n">
        <f aca="false">IF(ISNUMBER(W2537),A2537-W2537,"")</f>
        <v>23</v>
      </c>
      <c r="AA2537" s="46" t="n">
        <f aca="false">MATCH(A2537,DATAS,0)</f>
        <v>1</v>
      </c>
      <c r="AB2537" s="46" t="n">
        <f aca="false">IF(AND(E2537&gt;0,OR(AND(B2537&gt;=1,B2537&lt;=6),B2537=10)),1,0)</f>
        <v>0</v>
      </c>
      <c r="AC2537" s="46" t="n">
        <f aca="false">IF(AND(E2537&gt;0,B2537=10),1,0)</f>
        <v>0</v>
      </c>
      <c r="AD2537" s="0" t="str">
        <f aca="false">IF(AND(C2536=C2537,AA2536=AA2537-1),AB2536,"")</f>
        <v/>
      </c>
      <c r="AE2537" s="0" t="str">
        <f aca="false">IF(AND(C2536=C2537,AA2536=AA2537-1),AC2536,"")</f>
        <v/>
      </c>
      <c r="AF2537" s="0" t="str">
        <f aca="false">IF(AA2537=1,"",IF(AND(AB2537=1,AD2537&lt;&gt;1),1,0))</f>
        <v/>
      </c>
      <c r="AG2537" s="0" t="str">
        <f aca="false">IF(AA2537=1,"",IF(AND(AC2537=1,AE2537&lt;&gt;1),1,0))</f>
        <v/>
      </c>
      <c r="AH2537" s="51" t="str">
        <f aca="false">IF(AND(E2537&gt;0,AA2537&lt;1,NOT(AND(C2538=C2537,AA2538=AA2537+1))),INDEX(DATAS,AA2537+1),"")</f>
        <v/>
      </c>
      <c r="AI2537" s="51" t="str">
        <f aca="false">IF(AND(AC2537=1,AA2537&lt;1),IF(AND(C2538=C2537,AA2538=AA2537+1),IF(AC2538=1,"",INDEX(DATAS,AA2537+1)),INDEX(DATAS,AA2537+1)),"")</f>
        <v/>
      </c>
    </row>
    <row r="2538" customFormat="false" ht="15" hidden="false" customHeight="false" outlineLevel="0" collapsed="false">
      <c r="A2538" s="51" t="n">
        <v>46309</v>
      </c>
      <c r="B2538" s="0" t="n">
        <v>11</v>
      </c>
      <c r="C2538" s="0" t="n">
        <v>6875</v>
      </c>
      <c r="E2538" s="0" t="n">
        <v>0</v>
      </c>
      <c r="F2538" s="46" t="s">
        <v>1316</v>
      </c>
      <c r="I2538" s="46" t="s">
        <v>181</v>
      </c>
      <c r="U2538" s="0" t="n">
        <v>418</v>
      </c>
      <c r="V2538" s="0" t="n">
        <v>1</v>
      </c>
      <c r="W2538" s="51" t="n">
        <v>46288</v>
      </c>
      <c r="X2538" s="46" t="n">
        <f aca="false">IF(I2538="Male",0,1)</f>
        <v>1</v>
      </c>
      <c r="Y2538" s="46" t="n">
        <f aca="false">IF(OR(I2538="DNB",I2538="Dry DNB"),1,0)</f>
        <v>0</v>
      </c>
      <c r="Z2538" s="46" t="n">
        <f aca="false">IF(ISNUMBER(W2538),A2538-W2538,"")</f>
        <v>21</v>
      </c>
      <c r="AA2538" s="46" t="n">
        <f aca="false">MATCH(A2538,DATAS,0)</f>
        <v>1</v>
      </c>
      <c r="AB2538" s="46" t="n">
        <f aca="false">IF(AND(E2538&gt;0,OR(AND(B2538&gt;=1,B2538&lt;=6),B2538=10)),1,0)</f>
        <v>0</v>
      </c>
      <c r="AC2538" s="46" t="n">
        <f aca="false">IF(AND(E2538&gt;0,B2538=10),1,0)</f>
        <v>0</v>
      </c>
      <c r="AD2538" s="0" t="str">
        <f aca="false">IF(AND(C2537=C2538,AA2537=AA2538-1),AB2537,"")</f>
        <v/>
      </c>
      <c r="AE2538" s="0" t="str">
        <f aca="false">IF(AND(C2537=C2538,AA2537=AA2538-1),AC2537,"")</f>
        <v/>
      </c>
      <c r="AF2538" s="0" t="str">
        <f aca="false">IF(AA2538=1,"",IF(AND(AB2538=1,AD2538&lt;&gt;1),1,0))</f>
        <v/>
      </c>
      <c r="AG2538" s="0" t="str">
        <f aca="false">IF(AA2538=1,"",IF(AND(AC2538=1,AE2538&lt;&gt;1),1,0))</f>
        <v/>
      </c>
      <c r="AH2538" s="51" t="str">
        <f aca="false">IF(AND(E2538&gt;0,AA2538&lt;1,NOT(AND(C2539=C2538,AA2539=AA2538+1))),INDEX(DATAS,AA2538+1),"")</f>
        <v/>
      </c>
      <c r="AI2538" s="51" t="str">
        <f aca="false">IF(AND(AC2538=1,AA2538&lt;1),IF(AND(C2539=C2538,AA2539=AA2538+1),IF(AC2539=1,"",INDEX(DATAS,AA2538+1)),INDEX(DATAS,AA2538+1)),"")</f>
        <v/>
      </c>
    </row>
    <row r="2539" customFormat="false" ht="15" hidden="false" customHeight="false" outlineLevel="0" collapsed="false">
      <c r="A2539" s="51" t="n">
        <v>46309</v>
      </c>
      <c r="B2539" s="0" t="n">
        <v>11</v>
      </c>
      <c r="C2539" s="0" t="n">
        <v>6876</v>
      </c>
      <c r="E2539" s="0" t="n">
        <v>0</v>
      </c>
      <c r="F2539" s="46" t="s">
        <v>1316</v>
      </c>
      <c r="I2539" s="46" t="s">
        <v>181</v>
      </c>
      <c r="U2539" s="0" t="n">
        <v>418</v>
      </c>
      <c r="V2539" s="0" t="n">
        <v>1</v>
      </c>
      <c r="W2539" s="51" t="n">
        <v>46296</v>
      </c>
      <c r="X2539" s="46" t="n">
        <f aca="false">IF(I2539="Male",0,1)</f>
        <v>1</v>
      </c>
      <c r="Y2539" s="46" t="n">
        <f aca="false">IF(OR(I2539="DNB",I2539="Dry DNB"),1,0)</f>
        <v>0</v>
      </c>
      <c r="Z2539" s="46" t="n">
        <f aca="false">IF(ISNUMBER(W2539),A2539-W2539,"")</f>
        <v>13</v>
      </c>
      <c r="AA2539" s="46" t="n">
        <f aca="false">MATCH(A2539,DATAS,0)</f>
        <v>1</v>
      </c>
      <c r="AB2539" s="46" t="n">
        <f aca="false">IF(AND(E2539&gt;0,OR(AND(B2539&gt;=1,B2539&lt;=6),B2539=10)),1,0)</f>
        <v>0</v>
      </c>
      <c r="AC2539" s="46" t="n">
        <f aca="false">IF(AND(E2539&gt;0,B2539=10),1,0)</f>
        <v>0</v>
      </c>
      <c r="AD2539" s="0" t="str">
        <f aca="false">IF(AND(C2538=C2539,AA2538=AA2539-1),AB2538,"")</f>
        <v/>
      </c>
      <c r="AE2539" s="0" t="str">
        <f aca="false">IF(AND(C2538=C2539,AA2538=AA2539-1),AC2538,"")</f>
        <v/>
      </c>
      <c r="AF2539" s="0" t="str">
        <f aca="false">IF(AA2539=1,"",IF(AND(AB2539=1,AD2539&lt;&gt;1),1,0))</f>
        <v/>
      </c>
      <c r="AG2539" s="0" t="str">
        <f aca="false">IF(AA2539=1,"",IF(AND(AC2539=1,AE2539&lt;&gt;1),1,0))</f>
        <v/>
      </c>
      <c r="AH2539" s="51" t="str">
        <f aca="false">IF(AND(E2539&gt;0,AA2539&lt;1,NOT(AND(C2540=C2539,AA2540=AA2539+1))),INDEX(DATAS,AA2539+1),"")</f>
        <v/>
      </c>
      <c r="AI2539" s="51" t="str">
        <f aca="false">IF(AND(AC2539=1,AA2539&lt;1),IF(AND(C2540=C2539,AA2540=AA2539+1),IF(AC2540=1,"",INDEX(DATAS,AA2539+1)),INDEX(DATAS,AA2539+1)),"")</f>
        <v/>
      </c>
    </row>
    <row r="2540" customFormat="false" ht="15" hidden="false" customHeight="false" outlineLevel="0" collapsed="false">
      <c r="A2540" s="51" t="n">
        <v>46309</v>
      </c>
      <c r="B2540" s="0" t="n">
        <v>13</v>
      </c>
      <c r="C2540" s="0" t="n">
        <v>6877</v>
      </c>
      <c r="E2540" s="0" t="n">
        <v>0</v>
      </c>
      <c r="F2540" s="46" t="s">
        <v>1316</v>
      </c>
      <c r="I2540" s="46" t="s">
        <v>189</v>
      </c>
      <c r="U2540" s="0" t="n">
        <v>418</v>
      </c>
      <c r="V2540" s="0" t="n">
        <v>0</v>
      </c>
      <c r="X2540" s="46" t="n">
        <f aca="false">IF(I2540="Male",0,1)</f>
        <v>1</v>
      </c>
      <c r="Y2540" s="46" t="n">
        <f aca="false">IF(OR(I2540="DNB",I2540="Dry DNB"),1,0)</f>
        <v>0</v>
      </c>
      <c r="Z2540" s="0" t="str">
        <f aca="false">IF(ISNUMBER(W2540),A2540-W2540,"")</f>
        <v/>
      </c>
      <c r="AA2540" s="46" t="n">
        <f aca="false">MATCH(A2540,DATAS,0)</f>
        <v>1</v>
      </c>
      <c r="AB2540" s="46" t="n">
        <f aca="false">IF(AND(E2540&gt;0,OR(AND(B2540&gt;=1,B2540&lt;=6),B2540=10)),1,0)</f>
        <v>0</v>
      </c>
      <c r="AC2540" s="46" t="n">
        <f aca="false">IF(AND(E2540&gt;0,B2540=10),1,0)</f>
        <v>0</v>
      </c>
      <c r="AD2540" s="0" t="str">
        <f aca="false">IF(AND(C2539=C2540,AA2539=AA2540-1),AB2539,"")</f>
        <v/>
      </c>
      <c r="AE2540" s="0" t="str">
        <f aca="false">IF(AND(C2539=C2540,AA2539=AA2540-1),AC2539,"")</f>
        <v/>
      </c>
      <c r="AF2540" s="0" t="str">
        <f aca="false">IF(AA2540=1,"",IF(AND(AB2540=1,AD2540&lt;&gt;1),1,0))</f>
        <v/>
      </c>
      <c r="AG2540" s="0" t="str">
        <f aca="false">IF(AA2540=1,"",IF(AND(AC2540=1,AE2540&lt;&gt;1),1,0))</f>
        <v/>
      </c>
      <c r="AH2540" s="51" t="str">
        <f aca="false">IF(AND(E2540&gt;0,AA2540&lt;1,NOT(AND(C2541=C2540,AA2541=AA2540+1))),INDEX(DATAS,AA2540+1),"")</f>
        <v/>
      </c>
      <c r="AI2540" s="51" t="str">
        <f aca="false">IF(AND(AC2540=1,AA2540&lt;1),IF(AND(C2541=C2540,AA2541=AA2540+1),IF(AC2541=1,"",INDEX(DATAS,AA2540+1)),INDEX(DATAS,AA2540+1)),"")</f>
        <v/>
      </c>
    </row>
    <row r="2541" customFormat="false" ht="15" hidden="false" customHeight="false" outlineLevel="0" collapsed="false">
      <c r="A2541" s="51" t="n">
        <v>46309</v>
      </c>
      <c r="B2541" s="0" t="n">
        <v>11</v>
      </c>
      <c r="C2541" s="0" t="n">
        <v>6879</v>
      </c>
      <c r="E2541" s="0" t="n">
        <v>0</v>
      </c>
      <c r="F2541" s="46" t="s">
        <v>1316</v>
      </c>
      <c r="I2541" s="46" t="s">
        <v>181</v>
      </c>
      <c r="U2541" s="0" t="n">
        <v>418</v>
      </c>
      <c r="V2541" s="0" t="n">
        <v>1</v>
      </c>
      <c r="W2541" s="51" t="n">
        <v>46296</v>
      </c>
      <c r="X2541" s="46" t="n">
        <f aca="false">IF(I2541="Male",0,1)</f>
        <v>1</v>
      </c>
      <c r="Y2541" s="46" t="n">
        <f aca="false">IF(OR(I2541="DNB",I2541="Dry DNB"),1,0)</f>
        <v>0</v>
      </c>
      <c r="Z2541" s="46" t="n">
        <f aca="false">IF(ISNUMBER(W2541),A2541-W2541,"")</f>
        <v>13</v>
      </c>
      <c r="AA2541" s="46" t="n">
        <f aca="false">MATCH(A2541,DATAS,0)</f>
        <v>1</v>
      </c>
      <c r="AB2541" s="46" t="n">
        <f aca="false">IF(AND(E2541&gt;0,OR(AND(B2541&gt;=1,B2541&lt;=6),B2541=10)),1,0)</f>
        <v>0</v>
      </c>
      <c r="AC2541" s="46" t="n">
        <f aca="false">IF(AND(E2541&gt;0,B2541=10),1,0)</f>
        <v>0</v>
      </c>
      <c r="AD2541" s="0" t="str">
        <f aca="false">IF(AND(C2540=C2541,AA2540=AA2541-1),AB2540,"")</f>
        <v/>
      </c>
      <c r="AE2541" s="0" t="str">
        <f aca="false">IF(AND(C2540=C2541,AA2540=AA2541-1),AC2540,"")</f>
        <v/>
      </c>
      <c r="AF2541" s="0" t="str">
        <f aca="false">IF(AA2541=1,"",IF(AND(AB2541=1,AD2541&lt;&gt;1),1,0))</f>
        <v/>
      </c>
      <c r="AG2541" s="0" t="str">
        <f aca="false">IF(AA2541=1,"",IF(AND(AC2541=1,AE2541&lt;&gt;1),1,0))</f>
        <v/>
      </c>
      <c r="AH2541" s="51" t="str">
        <f aca="false">IF(AND(E2541&gt;0,AA2541&lt;1,NOT(AND(C2542=C2541,AA2542=AA2541+1))),INDEX(DATAS,AA2541+1),"")</f>
        <v/>
      </c>
      <c r="AI2541" s="51" t="str">
        <f aca="false">IF(AND(AC2541=1,AA2541&lt;1),IF(AND(C2542=C2541,AA2542=AA2541+1),IF(AC2542=1,"",INDEX(DATAS,AA2541+1)),INDEX(DATAS,AA2541+1)),"")</f>
        <v/>
      </c>
    </row>
    <row r="2542" customFormat="false" ht="15" hidden="false" customHeight="false" outlineLevel="0" collapsed="false">
      <c r="A2542" s="51" t="n">
        <v>46309</v>
      </c>
      <c r="B2542" s="0" t="n">
        <v>11</v>
      </c>
      <c r="C2542" s="0" t="n">
        <v>6880</v>
      </c>
      <c r="E2542" s="0" t="n">
        <v>0</v>
      </c>
      <c r="F2542" s="46" t="s">
        <v>1317</v>
      </c>
      <c r="I2542" s="46" t="s">
        <v>181</v>
      </c>
      <c r="U2542" s="0" t="n">
        <v>417</v>
      </c>
      <c r="V2542" s="0" t="n">
        <v>1</v>
      </c>
      <c r="W2542" s="51" t="n">
        <v>46295</v>
      </c>
      <c r="X2542" s="46" t="n">
        <f aca="false">IF(I2542="Male",0,1)</f>
        <v>1</v>
      </c>
      <c r="Y2542" s="46" t="n">
        <f aca="false">IF(OR(I2542="DNB",I2542="Dry DNB"),1,0)</f>
        <v>0</v>
      </c>
      <c r="Z2542" s="46" t="n">
        <f aca="false">IF(ISNUMBER(W2542),A2542-W2542,"")</f>
        <v>14</v>
      </c>
      <c r="AA2542" s="46" t="n">
        <f aca="false">MATCH(A2542,DATAS,0)</f>
        <v>1</v>
      </c>
      <c r="AB2542" s="46" t="n">
        <f aca="false">IF(AND(E2542&gt;0,OR(AND(B2542&gt;=1,B2542&lt;=6),B2542=10)),1,0)</f>
        <v>0</v>
      </c>
      <c r="AC2542" s="46" t="n">
        <f aca="false">IF(AND(E2542&gt;0,B2542=10),1,0)</f>
        <v>0</v>
      </c>
      <c r="AD2542" s="0" t="str">
        <f aca="false">IF(AND(C2541=C2542,AA2541=AA2542-1),AB2541,"")</f>
        <v/>
      </c>
      <c r="AE2542" s="0" t="str">
        <f aca="false">IF(AND(C2541=C2542,AA2541=AA2542-1),AC2541,"")</f>
        <v/>
      </c>
      <c r="AF2542" s="0" t="str">
        <f aca="false">IF(AA2542=1,"",IF(AND(AB2542=1,AD2542&lt;&gt;1),1,0))</f>
        <v/>
      </c>
      <c r="AG2542" s="0" t="str">
        <f aca="false">IF(AA2542=1,"",IF(AND(AC2542=1,AE2542&lt;&gt;1),1,0))</f>
        <v/>
      </c>
      <c r="AH2542" s="51" t="str">
        <f aca="false">IF(AND(E2542&gt;0,AA2542&lt;1,NOT(AND(C2543=C2542,AA2543=AA2542+1))),INDEX(DATAS,AA2542+1),"")</f>
        <v/>
      </c>
      <c r="AI2542" s="51" t="str">
        <f aca="false">IF(AND(AC2542=1,AA2542&lt;1),IF(AND(C2543=C2542,AA2543=AA2542+1),IF(AC2543=1,"",INDEX(DATAS,AA2542+1)),INDEX(DATAS,AA2542+1)),"")</f>
        <v/>
      </c>
    </row>
    <row r="2543" customFormat="false" ht="15" hidden="false" customHeight="false" outlineLevel="0" collapsed="false">
      <c r="A2543" s="51" t="n">
        <v>46309</v>
      </c>
      <c r="B2543" s="0" t="n">
        <v>11</v>
      </c>
      <c r="C2543" s="0" t="n">
        <v>6882</v>
      </c>
      <c r="E2543" s="0" t="n">
        <v>0</v>
      </c>
      <c r="F2543" s="46" t="s">
        <v>1317</v>
      </c>
      <c r="I2543" s="46" t="s">
        <v>181</v>
      </c>
      <c r="U2543" s="0" t="n">
        <v>417</v>
      </c>
      <c r="V2543" s="0" t="n">
        <v>1</v>
      </c>
      <c r="W2543" s="51" t="n">
        <v>46296</v>
      </c>
      <c r="X2543" s="46" t="n">
        <f aca="false">IF(I2543="Male",0,1)</f>
        <v>1</v>
      </c>
      <c r="Y2543" s="46" t="n">
        <f aca="false">IF(OR(I2543="DNB",I2543="Dry DNB"),1,0)</f>
        <v>0</v>
      </c>
      <c r="Z2543" s="46" t="n">
        <f aca="false">IF(ISNUMBER(W2543),A2543-W2543,"")</f>
        <v>13</v>
      </c>
      <c r="AA2543" s="46" t="n">
        <f aca="false">MATCH(A2543,DATAS,0)</f>
        <v>1</v>
      </c>
      <c r="AB2543" s="46" t="n">
        <f aca="false">IF(AND(E2543&gt;0,OR(AND(B2543&gt;=1,B2543&lt;=6),B2543=10)),1,0)</f>
        <v>0</v>
      </c>
      <c r="AC2543" s="46" t="n">
        <f aca="false">IF(AND(E2543&gt;0,B2543=10),1,0)</f>
        <v>0</v>
      </c>
      <c r="AD2543" s="0" t="str">
        <f aca="false">IF(AND(C2542=C2543,AA2542=AA2543-1),AB2542,"")</f>
        <v/>
      </c>
      <c r="AE2543" s="0" t="str">
        <f aca="false">IF(AND(C2542=C2543,AA2542=AA2543-1),AC2542,"")</f>
        <v/>
      </c>
      <c r="AF2543" s="0" t="str">
        <f aca="false">IF(AA2543=1,"",IF(AND(AB2543=1,AD2543&lt;&gt;1),1,0))</f>
        <v/>
      </c>
      <c r="AG2543" s="0" t="str">
        <f aca="false">IF(AA2543=1,"",IF(AND(AC2543=1,AE2543&lt;&gt;1),1,0))</f>
        <v/>
      </c>
      <c r="AH2543" s="51" t="str">
        <f aca="false">IF(AND(E2543&gt;0,AA2543&lt;1,NOT(AND(C2544=C2543,AA2544=AA2543+1))),INDEX(DATAS,AA2543+1),"")</f>
        <v/>
      </c>
      <c r="AI2543" s="51" t="str">
        <f aca="false">IF(AND(AC2543=1,AA2543&lt;1),IF(AND(C2544=C2543,AA2544=AA2543+1),IF(AC2544=1,"",INDEX(DATAS,AA2543+1)),INDEX(DATAS,AA2543+1)),"")</f>
        <v/>
      </c>
    </row>
    <row r="2544" customFormat="false" ht="15" hidden="false" customHeight="false" outlineLevel="0" collapsed="false">
      <c r="A2544" s="51" t="n">
        <v>46309</v>
      </c>
      <c r="B2544" s="0" t="n">
        <v>11</v>
      </c>
      <c r="C2544" s="0" t="n">
        <v>6883</v>
      </c>
      <c r="E2544" s="0" t="n">
        <v>0</v>
      </c>
      <c r="F2544" s="46" t="s">
        <v>1317</v>
      </c>
      <c r="I2544" s="46" t="s">
        <v>181</v>
      </c>
      <c r="U2544" s="0" t="n">
        <v>417</v>
      </c>
      <c r="V2544" s="0" t="n">
        <v>1</v>
      </c>
      <c r="W2544" s="51" t="n">
        <v>46290</v>
      </c>
      <c r="X2544" s="46" t="n">
        <f aca="false">IF(I2544="Male",0,1)</f>
        <v>1</v>
      </c>
      <c r="Y2544" s="46" t="n">
        <f aca="false">IF(OR(I2544="DNB",I2544="Dry DNB"),1,0)</f>
        <v>0</v>
      </c>
      <c r="Z2544" s="46" t="n">
        <f aca="false">IF(ISNUMBER(W2544),A2544-W2544,"")</f>
        <v>19</v>
      </c>
      <c r="AA2544" s="46" t="n">
        <f aca="false">MATCH(A2544,DATAS,0)</f>
        <v>1</v>
      </c>
      <c r="AB2544" s="46" t="n">
        <f aca="false">IF(AND(E2544&gt;0,OR(AND(B2544&gt;=1,B2544&lt;=6),B2544=10)),1,0)</f>
        <v>0</v>
      </c>
      <c r="AC2544" s="46" t="n">
        <f aca="false">IF(AND(E2544&gt;0,B2544=10),1,0)</f>
        <v>0</v>
      </c>
      <c r="AD2544" s="0" t="str">
        <f aca="false">IF(AND(C2543=C2544,AA2543=AA2544-1),AB2543,"")</f>
        <v/>
      </c>
      <c r="AE2544" s="0" t="str">
        <f aca="false">IF(AND(C2543=C2544,AA2543=AA2544-1),AC2543,"")</f>
        <v/>
      </c>
      <c r="AF2544" s="0" t="str">
        <f aca="false">IF(AA2544=1,"",IF(AND(AB2544=1,AD2544&lt;&gt;1),1,0))</f>
        <v/>
      </c>
      <c r="AG2544" s="0" t="str">
        <f aca="false">IF(AA2544=1,"",IF(AND(AC2544=1,AE2544&lt;&gt;1),1,0))</f>
        <v/>
      </c>
      <c r="AH2544" s="51" t="str">
        <f aca="false">IF(AND(E2544&gt;0,AA2544&lt;1,NOT(AND(C2545=C2544,AA2545=AA2544+1))),INDEX(DATAS,AA2544+1),"")</f>
        <v/>
      </c>
      <c r="AI2544" s="51" t="str">
        <f aca="false">IF(AND(AC2544=1,AA2544&lt;1),IF(AND(C2545=C2544,AA2545=AA2544+1),IF(AC2545=1,"",INDEX(DATAS,AA2544+1)),INDEX(DATAS,AA2544+1)),"")</f>
        <v/>
      </c>
    </row>
    <row r="2545" customFormat="false" ht="15" hidden="false" customHeight="false" outlineLevel="0" collapsed="false">
      <c r="A2545" s="51" t="n">
        <v>46309</v>
      </c>
      <c r="B2545" s="0" t="n">
        <v>13</v>
      </c>
      <c r="C2545" s="0" t="n">
        <v>6884</v>
      </c>
      <c r="E2545" s="0" t="n">
        <v>0</v>
      </c>
      <c r="F2545" s="46" t="s">
        <v>1318</v>
      </c>
      <c r="I2545" s="46" t="s">
        <v>189</v>
      </c>
      <c r="U2545" s="0" t="n">
        <v>416</v>
      </c>
      <c r="V2545" s="0" t="n">
        <v>0</v>
      </c>
      <c r="X2545" s="46" t="n">
        <f aca="false">IF(I2545="Male",0,1)</f>
        <v>1</v>
      </c>
      <c r="Y2545" s="46" t="n">
        <f aca="false">IF(OR(I2545="DNB",I2545="Dry DNB"),1,0)</f>
        <v>0</v>
      </c>
      <c r="Z2545" s="0" t="str">
        <f aca="false">IF(ISNUMBER(W2545),A2545-W2545,"")</f>
        <v/>
      </c>
      <c r="AA2545" s="46" t="n">
        <f aca="false">MATCH(A2545,DATAS,0)</f>
        <v>1</v>
      </c>
      <c r="AB2545" s="46" t="n">
        <f aca="false">IF(AND(E2545&gt;0,OR(AND(B2545&gt;=1,B2545&lt;=6),B2545=10)),1,0)</f>
        <v>0</v>
      </c>
      <c r="AC2545" s="46" t="n">
        <f aca="false">IF(AND(E2545&gt;0,B2545=10),1,0)</f>
        <v>0</v>
      </c>
      <c r="AD2545" s="0" t="str">
        <f aca="false">IF(AND(C2544=C2545,AA2544=AA2545-1),AB2544,"")</f>
        <v/>
      </c>
      <c r="AE2545" s="0" t="str">
        <f aca="false">IF(AND(C2544=C2545,AA2544=AA2545-1),AC2544,"")</f>
        <v/>
      </c>
      <c r="AF2545" s="0" t="str">
        <f aca="false">IF(AA2545=1,"",IF(AND(AB2545=1,AD2545&lt;&gt;1),1,0))</f>
        <v/>
      </c>
      <c r="AG2545" s="0" t="str">
        <f aca="false">IF(AA2545=1,"",IF(AND(AC2545=1,AE2545&lt;&gt;1),1,0))</f>
        <v/>
      </c>
      <c r="AH2545" s="51" t="str">
        <f aca="false">IF(AND(E2545&gt;0,AA2545&lt;1,NOT(AND(C2546=C2545,AA2546=AA2545+1))),INDEX(DATAS,AA2545+1),"")</f>
        <v/>
      </c>
      <c r="AI2545" s="51" t="str">
        <f aca="false">IF(AND(AC2545=1,AA2545&lt;1),IF(AND(C2546=C2545,AA2546=AA2545+1),IF(AC2546=1,"",INDEX(DATAS,AA2545+1)),INDEX(DATAS,AA2545+1)),"")</f>
        <v/>
      </c>
    </row>
    <row r="2546" customFormat="false" ht="15" hidden="false" customHeight="false" outlineLevel="0" collapsed="false">
      <c r="A2546" s="51" t="n">
        <v>46309</v>
      </c>
      <c r="B2546" s="0" t="n">
        <v>11</v>
      </c>
      <c r="C2546" s="0" t="n">
        <v>6885</v>
      </c>
      <c r="E2546" s="0" t="n">
        <v>0</v>
      </c>
      <c r="F2546" s="46" t="s">
        <v>1318</v>
      </c>
      <c r="I2546" s="46" t="s">
        <v>181</v>
      </c>
      <c r="U2546" s="0" t="n">
        <v>416</v>
      </c>
      <c r="V2546" s="0" t="n">
        <v>1</v>
      </c>
      <c r="W2546" s="51" t="n">
        <v>46296</v>
      </c>
      <c r="X2546" s="46" t="n">
        <f aca="false">IF(I2546="Male",0,1)</f>
        <v>1</v>
      </c>
      <c r="Y2546" s="46" t="n">
        <f aca="false">IF(OR(I2546="DNB",I2546="Dry DNB"),1,0)</f>
        <v>0</v>
      </c>
      <c r="Z2546" s="46" t="n">
        <f aca="false">IF(ISNUMBER(W2546),A2546-W2546,"")</f>
        <v>13</v>
      </c>
      <c r="AA2546" s="46" t="n">
        <f aca="false">MATCH(A2546,DATAS,0)</f>
        <v>1</v>
      </c>
      <c r="AB2546" s="46" t="n">
        <f aca="false">IF(AND(E2546&gt;0,OR(AND(B2546&gt;=1,B2546&lt;=6),B2546=10)),1,0)</f>
        <v>0</v>
      </c>
      <c r="AC2546" s="46" t="n">
        <f aca="false">IF(AND(E2546&gt;0,B2546=10),1,0)</f>
        <v>0</v>
      </c>
      <c r="AD2546" s="0" t="str">
        <f aca="false">IF(AND(C2545=C2546,AA2545=AA2546-1),AB2545,"")</f>
        <v/>
      </c>
      <c r="AE2546" s="0" t="str">
        <f aca="false">IF(AND(C2545=C2546,AA2545=AA2546-1),AC2545,"")</f>
        <v/>
      </c>
      <c r="AF2546" s="0" t="str">
        <f aca="false">IF(AA2546=1,"",IF(AND(AB2546=1,AD2546&lt;&gt;1),1,0))</f>
        <v/>
      </c>
      <c r="AG2546" s="0" t="str">
        <f aca="false">IF(AA2546=1,"",IF(AND(AC2546=1,AE2546&lt;&gt;1),1,0))</f>
        <v/>
      </c>
      <c r="AH2546" s="51" t="str">
        <f aca="false">IF(AND(E2546&gt;0,AA2546&lt;1,NOT(AND(C2547=C2546,AA2547=AA2546+1))),INDEX(DATAS,AA2546+1),"")</f>
        <v/>
      </c>
      <c r="AI2546" s="51" t="str">
        <f aca="false">IF(AND(AC2546=1,AA2546&lt;1),IF(AND(C2547=C2546,AA2547=AA2546+1),IF(AC2547=1,"",INDEX(DATAS,AA2546+1)),INDEX(DATAS,AA2546+1)),"")</f>
        <v/>
      </c>
    </row>
    <row r="2547" customFormat="false" ht="15" hidden="false" customHeight="false" outlineLevel="0" collapsed="false">
      <c r="A2547" s="51" t="n">
        <v>46309</v>
      </c>
      <c r="B2547" s="0" t="n">
        <v>11</v>
      </c>
      <c r="C2547" s="0" t="n">
        <v>6886</v>
      </c>
      <c r="E2547" s="0" t="n">
        <v>0</v>
      </c>
      <c r="F2547" s="46" t="s">
        <v>1318</v>
      </c>
      <c r="I2547" s="46" t="s">
        <v>181</v>
      </c>
      <c r="U2547" s="0" t="n">
        <v>416</v>
      </c>
      <c r="V2547" s="0" t="n">
        <v>1</v>
      </c>
      <c r="W2547" s="51" t="n">
        <v>46298</v>
      </c>
      <c r="X2547" s="46" t="n">
        <f aca="false">IF(I2547="Male",0,1)</f>
        <v>1</v>
      </c>
      <c r="Y2547" s="46" t="n">
        <f aca="false">IF(OR(I2547="DNB",I2547="Dry DNB"),1,0)</f>
        <v>0</v>
      </c>
      <c r="Z2547" s="46" t="n">
        <f aca="false">IF(ISNUMBER(W2547),A2547-W2547,"")</f>
        <v>11</v>
      </c>
      <c r="AA2547" s="46" t="n">
        <f aca="false">MATCH(A2547,DATAS,0)</f>
        <v>1</v>
      </c>
      <c r="AB2547" s="46" t="n">
        <f aca="false">IF(AND(E2547&gt;0,OR(AND(B2547&gt;=1,B2547&lt;=6),B2547=10)),1,0)</f>
        <v>0</v>
      </c>
      <c r="AC2547" s="46" t="n">
        <f aca="false">IF(AND(E2547&gt;0,B2547=10),1,0)</f>
        <v>0</v>
      </c>
      <c r="AD2547" s="0" t="str">
        <f aca="false">IF(AND(C2546=C2547,AA2546=AA2547-1),AB2546,"")</f>
        <v/>
      </c>
      <c r="AE2547" s="0" t="str">
        <f aca="false">IF(AND(C2546=C2547,AA2546=AA2547-1),AC2546,"")</f>
        <v/>
      </c>
      <c r="AF2547" s="0" t="str">
        <f aca="false">IF(AA2547=1,"",IF(AND(AB2547=1,AD2547&lt;&gt;1),1,0))</f>
        <v/>
      </c>
      <c r="AG2547" s="0" t="str">
        <f aca="false">IF(AA2547=1,"",IF(AND(AC2547=1,AE2547&lt;&gt;1),1,0))</f>
        <v/>
      </c>
      <c r="AH2547" s="51" t="str">
        <f aca="false">IF(AND(E2547&gt;0,AA2547&lt;1,NOT(AND(C2548=C2547,AA2548=AA2547+1))),INDEX(DATAS,AA2547+1),"")</f>
        <v/>
      </c>
      <c r="AI2547" s="51" t="str">
        <f aca="false">IF(AND(AC2547=1,AA2547&lt;1),IF(AND(C2548=C2547,AA2548=AA2547+1),IF(AC2548=1,"",INDEX(DATAS,AA2547+1)),INDEX(DATAS,AA2547+1)),"")</f>
        <v/>
      </c>
    </row>
    <row r="2548" customFormat="false" ht="15" hidden="false" customHeight="false" outlineLevel="0" collapsed="false">
      <c r="A2548" s="51" t="n">
        <v>46309</v>
      </c>
      <c r="B2548" s="0" t="n">
        <v>13</v>
      </c>
      <c r="C2548" s="0" t="n">
        <v>6887</v>
      </c>
      <c r="E2548" s="0" t="n">
        <v>0</v>
      </c>
      <c r="F2548" s="46" t="s">
        <v>1319</v>
      </c>
      <c r="I2548" s="46" t="s">
        <v>189</v>
      </c>
      <c r="U2548" s="0" t="n">
        <v>415</v>
      </c>
      <c r="V2548" s="0" t="n">
        <v>0</v>
      </c>
      <c r="X2548" s="46" t="n">
        <f aca="false">IF(I2548="Male",0,1)</f>
        <v>1</v>
      </c>
      <c r="Y2548" s="46" t="n">
        <f aca="false">IF(OR(I2548="DNB",I2548="Dry DNB"),1,0)</f>
        <v>0</v>
      </c>
      <c r="Z2548" s="0" t="str">
        <f aca="false">IF(ISNUMBER(W2548),A2548-W2548,"")</f>
        <v/>
      </c>
      <c r="AA2548" s="46" t="n">
        <f aca="false">MATCH(A2548,DATAS,0)</f>
        <v>1</v>
      </c>
      <c r="AB2548" s="46" t="n">
        <f aca="false">IF(AND(E2548&gt;0,OR(AND(B2548&gt;=1,B2548&lt;=6),B2548=10)),1,0)</f>
        <v>0</v>
      </c>
      <c r="AC2548" s="46" t="n">
        <f aca="false">IF(AND(E2548&gt;0,B2548=10),1,0)</f>
        <v>0</v>
      </c>
      <c r="AD2548" s="0" t="str">
        <f aca="false">IF(AND(C2547=C2548,AA2547=AA2548-1),AB2547,"")</f>
        <v/>
      </c>
      <c r="AE2548" s="0" t="str">
        <f aca="false">IF(AND(C2547=C2548,AA2547=AA2548-1),AC2547,"")</f>
        <v/>
      </c>
      <c r="AF2548" s="0" t="str">
        <f aca="false">IF(AA2548=1,"",IF(AND(AB2548=1,AD2548&lt;&gt;1),1,0))</f>
        <v/>
      </c>
      <c r="AG2548" s="0" t="str">
        <f aca="false">IF(AA2548=1,"",IF(AND(AC2548=1,AE2548&lt;&gt;1),1,0))</f>
        <v/>
      </c>
      <c r="AH2548" s="51" t="str">
        <f aca="false">IF(AND(E2548&gt;0,AA2548&lt;1,NOT(AND(C2549=C2548,AA2549=AA2548+1))),INDEX(DATAS,AA2548+1),"")</f>
        <v/>
      </c>
      <c r="AI2548" s="51" t="str">
        <f aca="false">IF(AND(AC2548=1,AA2548&lt;1),IF(AND(C2549=C2548,AA2549=AA2548+1),IF(AC2549=1,"",INDEX(DATAS,AA2548+1)),INDEX(DATAS,AA2548+1)),"")</f>
        <v/>
      </c>
    </row>
    <row r="2549" customFormat="false" ht="15" hidden="false" customHeight="false" outlineLevel="0" collapsed="false">
      <c r="A2549" s="51" t="n">
        <v>46309</v>
      </c>
      <c r="B2549" s="0" t="n">
        <v>13</v>
      </c>
      <c r="C2549" s="0" t="n">
        <v>6888</v>
      </c>
      <c r="E2549" s="0" t="n">
        <v>0</v>
      </c>
      <c r="F2549" s="46" t="s">
        <v>1319</v>
      </c>
      <c r="I2549" s="46" t="s">
        <v>189</v>
      </c>
      <c r="U2549" s="0" t="n">
        <v>415</v>
      </c>
      <c r="V2549" s="0" t="n">
        <v>0</v>
      </c>
      <c r="X2549" s="46" t="n">
        <f aca="false">IF(I2549="Male",0,1)</f>
        <v>1</v>
      </c>
      <c r="Y2549" s="46" t="n">
        <f aca="false">IF(OR(I2549="DNB",I2549="Dry DNB"),1,0)</f>
        <v>0</v>
      </c>
      <c r="Z2549" s="0" t="str">
        <f aca="false">IF(ISNUMBER(W2549),A2549-W2549,"")</f>
        <v/>
      </c>
      <c r="AA2549" s="46" t="n">
        <f aca="false">MATCH(A2549,DATAS,0)</f>
        <v>1</v>
      </c>
      <c r="AB2549" s="46" t="n">
        <f aca="false">IF(AND(E2549&gt;0,OR(AND(B2549&gt;=1,B2549&lt;=6),B2549=10)),1,0)</f>
        <v>0</v>
      </c>
      <c r="AC2549" s="46" t="n">
        <f aca="false">IF(AND(E2549&gt;0,B2549=10),1,0)</f>
        <v>0</v>
      </c>
      <c r="AD2549" s="0" t="str">
        <f aca="false">IF(AND(C2548=C2549,AA2548=AA2549-1),AB2548,"")</f>
        <v/>
      </c>
      <c r="AE2549" s="0" t="str">
        <f aca="false">IF(AND(C2548=C2549,AA2548=AA2549-1),AC2548,"")</f>
        <v/>
      </c>
      <c r="AF2549" s="0" t="str">
        <f aca="false">IF(AA2549=1,"",IF(AND(AB2549=1,AD2549&lt;&gt;1),1,0))</f>
        <v/>
      </c>
      <c r="AG2549" s="0" t="str">
        <f aca="false">IF(AA2549=1,"",IF(AND(AC2549=1,AE2549&lt;&gt;1),1,0))</f>
        <v/>
      </c>
      <c r="AH2549" s="51" t="str">
        <f aca="false">IF(AND(E2549&gt;0,AA2549&lt;1,NOT(AND(C2550=C2549,AA2550=AA2549+1))),INDEX(DATAS,AA2549+1),"")</f>
        <v/>
      </c>
      <c r="AI2549" s="51" t="str">
        <f aca="false">IF(AND(AC2549=1,AA2549&lt;1),IF(AND(C2550=C2549,AA2550=AA2549+1),IF(AC2550=1,"",INDEX(DATAS,AA2549+1)),INDEX(DATAS,AA2549+1)),"")</f>
        <v/>
      </c>
    </row>
    <row r="2550" customFormat="false" ht="15" hidden="false" customHeight="false" outlineLevel="0" collapsed="false">
      <c r="A2550" s="51" t="n">
        <v>46309</v>
      </c>
      <c r="B2550" s="0" t="n">
        <v>11</v>
      </c>
      <c r="C2550" s="0" t="n">
        <v>6889</v>
      </c>
      <c r="E2550" s="0" t="n">
        <v>0</v>
      </c>
      <c r="F2550" s="46" t="s">
        <v>1319</v>
      </c>
      <c r="I2550" s="46" t="s">
        <v>181</v>
      </c>
      <c r="U2550" s="0" t="n">
        <v>415</v>
      </c>
      <c r="V2550" s="0" t="n">
        <v>1</v>
      </c>
      <c r="W2550" s="51" t="n">
        <v>46296</v>
      </c>
      <c r="X2550" s="46" t="n">
        <f aca="false">IF(I2550="Male",0,1)</f>
        <v>1</v>
      </c>
      <c r="Y2550" s="46" t="n">
        <f aca="false">IF(OR(I2550="DNB",I2550="Dry DNB"),1,0)</f>
        <v>0</v>
      </c>
      <c r="Z2550" s="46" t="n">
        <f aca="false">IF(ISNUMBER(W2550),A2550-W2550,"")</f>
        <v>13</v>
      </c>
      <c r="AA2550" s="46" t="n">
        <f aca="false">MATCH(A2550,DATAS,0)</f>
        <v>1</v>
      </c>
      <c r="AB2550" s="46" t="n">
        <f aca="false">IF(AND(E2550&gt;0,OR(AND(B2550&gt;=1,B2550&lt;=6),B2550=10)),1,0)</f>
        <v>0</v>
      </c>
      <c r="AC2550" s="46" t="n">
        <f aca="false">IF(AND(E2550&gt;0,B2550=10),1,0)</f>
        <v>0</v>
      </c>
      <c r="AD2550" s="0" t="str">
        <f aca="false">IF(AND(C2549=C2550,AA2549=AA2550-1),AB2549,"")</f>
        <v/>
      </c>
      <c r="AE2550" s="0" t="str">
        <f aca="false">IF(AND(C2549=C2550,AA2549=AA2550-1),AC2549,"")</f>
        <v/>
      </c>
      <c r="AF2550" s="0" t="str">
        <f aca="false">IF(AA2550=1,"",IF(AND(AB2550=1,AD2550&lt;&gt;1),1,0))</f>
        <v/>
      </c>
      <c r="AG2550" s="0" t="str">
        <f aca="false">IF(AA2550=1,"",IF(AND(AC2550=1,AE2550&lt;&gt;1),1,0))</f>
        <v/>
      </c>
      <c r="AH2550" s="51" t="str">
        <f aca="false">IF(AND(E2550&gt;0,AA2550&lt;1,NOT(AND(C2551=C2550,AA2551=AA2550+1))),INDEX(DATAS,AA2550+1),"")</f>
        <v/>
      </c>
      <c r="AI2550" s="51" t="str">
        <f aca="false">IF(AND(AC2550=1,AA2550&lt;1),IF(AND(C2551=C2550,AA2551=AA2550+1),IF(AC2551=1,"",INDEX(DATAS,AA2550+1)),INDEX(DATAS,AA2550+1)),"")</f>
        <v/>
      </c>
    </row>
    <row r="2551" customFormat="false" ht="15" hidden="false" customHeight="false" outlineLevel="0" collapsed="false">
      <c r="A2551" s="51" t="n">
        <v>46309</v>
      </c>
      <c r="B2551" s="0" t="n">
        <v>13</v>
      </c>
      <c r="C2551" s="0" t="n">
        <v>6890</v>
      </c>
      <c r="E2551" s="0" t="n">
        <v>0</v>
      </c>
      <c r="F2551" s="46" t="s">
        <v>1319</v>
      </c>
      <c r="I2551" s="46" t="s">
        <v>189</v>
      </c>
      <c r="U2551" s="0" t="n">
        <v>415</v>
      </c>
      <c r="V2551" s="0" t="n">
        <v>0</v>
      </c>
      <c r="X2551" s="46" t="n">
        <f aca="false">IF(I2551="Male",0,1)</f>
        <v>1</v>
      </c>
      <c r="Y2551" s="46" t="n">
        <f aca="false">IF(OR(I2551="DNB",I2551="Dry DNB"),1,0)</f>
        <v>0</v>
      </c>
      <c r="Z2551" s="0" t="str">
        <f aca="false">IF(ISNUMBER(W2551),A2551-W2551,"")</f>
        <v/>
      </c>
      <c r="AA2551" s="46" t="n">
        <f aca="false">MATCH(A2551,DATAS,0)</f>
        <v>1</v>
      </c>
      <c r="AB2551" s="46" t="n">
        <f aca="false">IF(AND(E2551&gt;0,OR(AND(B2551&gt;=1,B2551&lt;=6),B2551=10)),1,0)</f>
        <v>0</v>
      </c>
      <c r="AC2551" s="46" t="n">
        <f aca="false">IF(AND(E2551&gt;0,B2551=10),1,0)</f>
        <v>0</v>
      </c>
      <c r="AD2551" s="0" t="str">
        <f aca="false">IF(AND(C2550=C2551,AA2550=AA2551-1),AB2550,"")</f>
        <v/>
      </c>
      <c r="AE2551" s="0" t="str">
        <f aca="false">IF(AND(C2550=C2551,AA2550=AA2551-1),AC2550,"")</f>
        <v/>
      </c>
      <c r="AF2551" s="0" t="str">
        <f aca="false">IF(AA2551=1,"",IF(AND(AB2551=1,AD2551&lt;&gt;1),1,0))</f>
        <v/>
      </c>
      <c r="AG2551" s="0" t="str">
        <f aca="false">IF(AA2551=1,"",IF(AND(AC2551=1,AE2551&lt;&gt;1),1,0))</f>
        <v/>
      </c>
      <c r="AH2551" s="51" t="str">
        <f aca="false">IF(AND(E2551&gt;0,AA2551&lt;1,NOT(AND(C2552=C2551,AA2552=AA2551+1))),INDEX(DATAS,AA2551+1),"")</f>
        <v/>
      </c>
      <c r="AI2551" s="51" t="str">
        <f aca="false">IF(AND(AC2551=1,AA2551&lt;1),IF(AND(C2552=C2551,AA2552=AA2551+1),IF(AC2552=1,"",INDEX(DATAS,AA2551+1)),INDEX(DATAS,AA2551+1)),"")</f>
        <v/>
      </c>
    </row>
    <row r="2552" customFormat="false" ht="15" hidden="false" customHeight="false" outlineLevel="0" collapsed="false">
      <c r="A2552" s="51" t="n">
        <v>46309</v>
      </c>
      <c r="B2552" s="0" t="n">
        <v>11</v>
      </c>
      <c r="C2552" s="0" t="n">
        <v>6891</v>
      </c>
      <c r="E2552" s="0" t="n">
        <v>0</v>
      </c>
      <c r="F2552" s="46" t="s">
        <v>1319</v>
      </c>
      <c r="I2552" s="46" t="s">
        <v>181</v>
      </c>
      <c r="U2552" s="0" t="n">
        <v>415</v>
      </c>
      <c r="V2552" s="0" t="n">
        <v>1</v>
      </c>
      <c r="W2552" s="51" t="n">
        <v>46296</v>
      </c>
      <c r="X2552" s="46" t="n">
        <f aca="false">IF(I2552="Male",0,1)</f>
        <v>1</v>
      </c>
      <c r="Y2552" s="46" t="n">
        <f aca="false">IF(OR(I2552="DNB",I2552="Dry DNB"),1,0)</f>
        <v>0</v>
      </c>
      <c r="Z2552" s="46" t="n">
        <f aca="false">IF(ISNUMBER(W2552),A2552-W2552,"")</f>
        <v>13</v>
      </c>
      <c r="AA2552" s="46" t="n">
        <f aca="false">MATCH(A2552,DATAS,0)</f>
        <v>1</v>
      </c>
      <c r="AB2552" s="46" t="n">
        <f aca="false">IF(AND(E2552&gt;0,OR(AND(B2552&gt;=1,B2552&lt;=6),B2552=10)),1,0)</f>
        <v>0</v>
      </c>
      <c r="AC2552" s="46" t="n">
        <f aca="false">IF(AND(E2552&gt;0,B2552=10),1,0)</f>
        <v>0</v>
      </c>
      <c r="AD2552" s="0" t="str">
        <f aca="false">IF(AND(C2551=C2552,AA2551=AA2552-1),AB2551,"")</f>
        <v/>
      </c>
      <c r="AE2552" s="0" t="str">
        <f aca="false">IF(AND(C2551=C2552,AA2551=AA2552-1),AC2551,"")</f>
        <v/>
      </c>
      <c r="AF2552" s="0" t="str">
        <f aca="false">IF(AA2552=1,"",IF(AND(AB2552=1,AD2552&lt;&gt;1),1,0))</f>
        <v/>
      </c>
      <c r="AG2552" s="0" t="str">
        <f aca="false">IF(AA2552=1,"",IF(AND(AC2552=1,AE2552&lt;&gt;1),1,0))</f>
        <v/>
      </c>
      <c r="AH2552" s="51" t="str">
        <f aca="false">IF(AND(E2552&gt;0,AA2552&lt;1,NOT(AND(C2553=C2552,AA2553=AA2552+1))),INDEX(DATAS,AA2552+1),"")</f>
        <v/>
      </c>
      <c r="AI2552" s="51" t="str">
        <f aca="false">IF(AND(AC2552=1,AA2552&lt;1),IF(AND(C2553=C2552,AA2553=AA2552+1),IF(AC2553=1,"",INDEX(DATAS,AA2552+1)),INDEX(DATAS,AA2552+1)),"")</f>
        <v/>
      </c>
    </row>
    <row r="2553" customFormat="false" ht="15" hidden="false" customHeight="false" outlineLevel="0" collapsed="false">
      <c r="A2553" s="51" t="n">
        <v>46309</v>
      </c>
      <c r="B2553" s="0" t="n">
        <v>13</v>
      </c>
      <c r="C2553" s="0" t="n">
        <v>6892</v>
      </c>
      <c r="E2553" s="0" t="n">
        <v>0</v>
      </c>
      <c r="F2553" s="46" t="s">
        <v>1319</v>
      </c>
      <c r="I2553" s="46" t="s">
        <v>189</v>
      </c>
      <c r="U2553" s="0" t="n">
        <v>415</v>
      </c>
      <c r="V2553" s="0" t="n">
        <v>0</v>
      </c>
      <c r="X2553" s="46" t="n">
        <f aca="false">IF(I2553="Male",0,1)</f>
        <v>1</v>
      </c>
      <c r="Y2553" s="46" t="n">
        <f aca="false">IF(OR(I2553="DNB",I2553="Dry DNB"),1,0)</f>
        <v>0</v>
      </c>
      <c r="Z2553" s="0" t="str">
        <f aca="false">IF(ISNUMBER(W2553),A2553-W2553,"")</f>
        <v/>
      </c>
      <c r="AA2553" s="46" t="n">
        <f aca="false">MATCH(A2553,DATAS,0)</f>
        <v>1</v>
      </c>
      <c r="AB2553" s="46" t="n">
        <f aca="false">IF(AND(E2553&gt;0,OR(AND(B2553&gt;=1,B2553&lt;=6),B2553=10)),1,0)</f>
        <v>0</v>
      </c>
      <c r="AC2553" s="46" t="n">
        <f aca="false">IF(AND(E2553&gt;0,B2553=10),1,0)</f>
        <v>0</v>
      </c>
      <c r="AD2553" s="0" t="str">
        <f aca="false">IF(AND(C2552=C2553,AA2552=AA2553-1),AB2552,"")</f>
        <v/>
      </c>
      <c r="AE2553" s="0" t="str">
        <f aca="false">IF(AND(C2552=C2553,AA2552=AA2553-1),AC2552,"")</f>
        <v/>
      </c>
      <c r="AF2553" s="0" t="str">
        <f aca="false">IF(AA2553=1,"",IF(AND(AB2553=1,AD2553&lt;&gt;1),1,0))</f>
        <v/>
      </c>
      <c r="AG2553" s="0" t="str">
        <f aca="false">IF(AA2553=1,"",IF(AND(AC2553=1,AE2553&lt;&gt;1),1,0))</f>
        <v/>
      </c>
      <c r="AH2553" s="51" t="str">
        <f aca="false">IF(AND(E2553&gt;0,AA2553&lt;1,NOT(AND(C2554=C2553,AA2554=AA2553+1))),INDEX(DATAS,AA2553+1),"")</f>
        <v/>
      </c>
      <c r="AI2553" s="51" t="str">
        <f aca="false">IF(AND(AC2553=1,AA2553&lt;1),IF(AND(C2554=C2553,AA2554=AA2553+1),IF(AC2554=1,"",INDEX(DATAS,AA2553+1)),INDEX(DATAS,AA2553+1)),"")</f>
        <v/>
      </c>
    </row>
    <row r="2554" customFormat="false" ht="15" hidden="false" customHeight="false" outlineLevel="0" collapsed="false">
      <c r="A2554" s="51" t="n">
        <v>46309</v>
      </c>
      <c r="B2554" s="0" t="n">
        <v>11</v>
      </c>
      <c r="C2554" s="0" t="n">
        <v>6893</v>
      </c>
      <c r="E2554" s="0" t="n">
        <v>0</v>
      </c>
      <c r="F2554" s="46" t="s">
        <v>1319</v>
      </c>
      <c r="I2554" s="46" t="s">
        <v>181</v>
      </c>
      <c r="U2554" s="0" t="n">
        <v>415</v>
      </c>
      <c r="V2554" s="0" t="n">
        <v>1</v>
      </c>
      <c r="W2554" s="51" t="n">
        <v>46296</v>
      </c>
      <c r="X2554" s="46" t="n">
        <f aca="false">IF(I2554="Male",0,1)</f>
        <v>1</v>
      </c>
      <c r="Y2554" s="46" t="n">
        <f aca="false">IF(OR(I2554="DNB",I2554="Dry DNB"),1,0)</f>
        <v>0</v>
      </c>
      <c r="Z2554" s="46" t="n">
        <f aca="false">IF(ISNUMBER(W2554),A2554-W2554,"")</f>
        <v>13</v>
      </c>
      <c r="AA2554" s="46" t="n">
        <f aca="false">MATCH(A2554,DATAS,0)</f>
        <v>1</v>
      </c>
      <c r="AB2554" s="46" t="n">
        <f aca="false">IF(AND(E2554&gt;0,OR(AND(B2554&gt;=1,B2554&lt;=6),B2554=10)),1,0)</f>
        <v>0</v>
      </c>
      <c r="AC2554" s="46" t="n">
        <f aca="false">IF(AND(E2554&gt;0,B2554=10),1,0)</f>
        <v>0</v>
      </c>
      <c r="AD2554" s="0" t="str">
        <f aca="false">IF(AND(C2553=C2554,AA2553=AA2554-1),AB2553,"")</f>
        <v/>
      </c>
      <c r="AE2554" s="0" t="str">
        <f aca="false">IF(AND(C2553=C2554,AA2553=AA2554-1),AC2553,"")</f>
        <v/>
      </c>
      <c r="AF2554" s="0" t="str">
        <f aca="false">IF(AA2554=1,"",IF(AND(AB2554=1,AD2554&lt;&gt;1),1,0))</f>
        <v/>
      </c>
      <c r="AG2554" s="0" t="str">
        <f aca="false">IF(AA2554=1,"",IF(AND(AC2554=1,AE2554&lt;&gt;1),1,0))</f>
        <v/>
      </c>
      <c r="AH2554" s="51" t="str">
        <f aca="false">IF(AND(E2554&gt;0,AA2554&lt;1,NOT(AND(C2555=C2554,AA2555=AA2554+1))),INDEX(DATAS,AA2554+1),"")</f>
        <v/>
      </c>
      <c r="AI2554" s="51" t="str">
        <f aca="false">IF(AND(AC2554=1,AA2554&lt;1),IF(AND(C2555=C2554,AA2555=AA2554+1),IF(AC2555=1,"",INDEX(DATAS,AA2554+1)),INDEX(DATAS,AA2554+1)),"")</f>
        <v/>
      </c>
    </row>
    <row r="2555" customFormat="false" ht="15" hidden="false" customHeight="false" outlineLevel="0" collapsed="false">
      <c r="A2555" s="51" t="n">
        <v>46309</v>
      </c>
      <c r="B2555" s="0" t="n">
        <v>13</v>
      </c>
      <c r="C2555" s="0" t="n">
        <v>6894</v>
      </c>
      <c r="E2555" s="0" t="n">
        <v>0</v>
      </c>
      <c r="F2555" s="46" t="s">
        <v>1319</v>
      </c>
      <c r="I2555" s="46" t="s">
        <v>189</v>
      </c>
      <c r="U2555" s="0" t="n">
        <v>415</v>
      </c>
      <c r="V2555" s="0" t="n">
        <v>0</v>
      </c>
      <c r="X2555" s="46" t="n">
        <f aca="false">IF(I2555="Male",0,1)</f>
        <v>1</v>
      </c>
      <c r="Y2555" s="46" t="n">
        <f aca="false">IF(OR(I2555="DNB",I2555="Dry DNB"),1,0)</f>
        <v>0</v>
      </c>
      <c r="Z2555" s="0" t="str">
        <f aca="false">IF(ISNUMBER(W2555),A2555-W2555,"")</f>
        <v/>
      </c>
      <c r="AA2555" s="46" t="n">
        <f aca="false">MATCH(A2555,DATAS,0)</f>
        <v>1</v>
      </c>
      <c r="AB2555" s="46" t="n">
        <f aca="false">IF(AND(E2555&gt;0,OR(AND(B2555&gt;=1,B2555&lt;=6),B2555=10)),1,0)</f>
        <v>0</v>
      </c>
      <c r="AC2555" s="46" t="n">
        <f aca="false">IF(AND(E2555&gt;0,B2555=10),1,0)</f>
        <v>0</v>
      </c>
      <c r="AD2555" s="0" t="str">
        <f aca="false">IF(AND(C2554=C2555,AA2554=AA2555-1),AB2554,"")</f>
        <v/>
      </c>
      <c r="AE2555" s="0" t="str">
        <f aca="false">IF(AND(C2554=C2555,AA2554=AA2555-1),AC2554,"")</f>
        <v/>
      </c>
      <c r="AF2555" s="0" t="str">
        <f aca="false">IF(AA2555=1,"",IF(AND(AB2555=1,AD2555&lt;&gt;1),1,0))</f>
        <v/>
      </c>
      <c r="AG2555" s="0" t="str">
        <f aca="false">IF(AA2555=1,"",IF(AND(AC2555=1,AE2555&lt;&gt;1),1,0))</f>
        <v/>
      </c>
      <c r="AH2555" s="51" t="str">
        <f aca="false">IF(AND(E2555&gt;0,AA2555&lt;1,NOT(AND(C2556=C2555,AA2556=AA2555+1))),INDEX(DATAS,AA2555+1),"")</f>
        <v/>
      </c>
      <c r="AI2555" s="51" t="str">
        <f aca="false">IF(AND(AC2555=1,AA2555&lt;1),IF(AND(C2556=C2555,AA2556=AA2555+1),IF(AC2556=1,"",INDEX(DATAS,AA2555+1)),INDEX(DATAS,AA2555+1)),"")</f>
        <v/>
      </c>
    </row>
    <row r="2556" customFormat="false" ht="15" hidden="false" customHeight="false" outlineLevel="0" collapsed="false">
      <c r="A2556" s="51" t="n">
        <v>46309</v>
      </c>
      <c r="B2556" s="0" t="n">
        <v>13</v>
      </c>
      <c r="C2556" s="0" t="n">
        <v>6896</v>
      </c>
      <c r="E2556" s="0" t="n">
        <v>0</v>
      </c>
      <c r="F2556" s="46" t="s">
        <v>1319</v>
      </c>
      <c r="I2556" s="46" t="s">
        <v>189</v>
      </c>
      <c r="U2556" s="0" t="n">
        <v>415</v>
      </c>
      <c r="V2556" s="0" t="n">
        <v>0</v>
      </c>
      <c r="X2556" s="46" t="n">
        <f aca="false">IF(I2556="Male",0,1)</f>
        <v>1</v>
      </c>
      <c r="Y2556" s="46" t="n">
        <f aca="false">IF(OR(I2556="DNB",I2556="Dry DNB"),1,0)</f>
        <v>0</v>
      </c>
      <c r="Z2556" s="0" t="str">
        <f aca="false">IF(ISNUMBER(W2556),A2556-W2556,"")</f>
        <v/>
      </c>
      <c r="AA2556" s="46" t="n">
        <f aca="false">MATCH(A2556,DATAS,0)</f>
        <v>1</v>
      </c>
      <c r="AB2556" s="46" t="n">
        <f aca="false">IF(AND(E2556&gt;0,OR(AND(B2556&gt;=1,B2556&lt;=6),B2556=10)),1,0)</f>
        <v>0</v>
      </c>
      <c r="AC2556" s="46" t="n">
        <f aca="false">IF(AND(E2556&gt;0,B2556=10),1,0)</f>
        <v>0</v>
      </c>
      <c r="AD2556" s="0" t="str">
        <f aca="false">IF(AND(C2555=C2556,AA2555=AA2556-1),AB2555,"")</f>
        <v/>
      </c>
      <c r="AE2556" s="0" t="str">
        <f aca="false">IF(AND(C2555=C2556,AA2555=AA2556-1),AC2555,"")</f>
        <v/>
      </c>
      <c r="AF2556" s="0" t="str">
        <f aca="false">IF(AA2556=1,"",IF(AND(AB2556=1,AD2556&lt;&gt;1),1,0))</f>
        <v/>
      </c>
      <c r="AG2556" s="0" t="str">
        <f aca="false">IF(AA2556=1,"",IF(AND(AC2556=1,AE2556&lt;&gt;1),1,0))</f>
        <v/>
      </c>
      <c r="AH2556" s="51" t="str">
        <f aca="false">IF(AND(E2556&gt;0,AA2556&lt;1,NOT(AND(C2557=C2556,AA2557=AA2556+1))),INDEX(DATAS,AA2556+1),"")</f>
        <v/>
      </c>
      <c r="AI2556" s="51" t="str">
        <f aca="false">IF(AND(AC2556=1,AA2556&lt;1),IF(AND(C2557=C2556,AA2557=AA2556+1),IF(AC2557=1,"",INDEX(DATAS,AA2556+1)),INDEX(DATAS,AA2556+1)),"")</f>
        <v/>
      </c>
    </row>
    <row r="2557" customFormat="false" ht="15" hidden="false" customHeight="false" outlineLevel="0" collapsed="false">
      <c r="A2557" s="51" t="n">
        <v>46309</v>
      </c>
      <c r="B2557" s="0" t="n">
        <v>11</v>
      </c>
      <c r="C2557" s="0" t="n">
        <v>6897</v>
      </c>
      <c r="E2557" s="0" t="n">
        <v>0</v>
      </c>
      <c r="F2557" s="46" t="s">
        <v>1320</v>
      </c>
      <c r="I2557" s="46" t="s">
        <v>181</v>
      </c>
      <c r="U2557" s="0" t="n">
        <v>414</v>
      </c>
      <c r="V2557" s="0" t="n">
        <v>1</v>
      </c>
      <c r="W2557" s="51" t="n">
        <v>46293</v>
      </c>
      <c r="X2557" s="46" t="n">
        <f aca="false">IF(I2557="Male",0,1)</f>
        <v>1</v>
      </c>
      <c r="Y2557" s="46" t="n">
        <f aca="false">IF(OR(I2557="DNB",I2557="Dry DNB"),1,0)</f>
        <v>0</v>
      </c>
      <c r="Z2557" s="46" t="n">
        <f aca="false">IF(ISNUMBER(W2557),A2557-W2557,"")</f>
        <v>16</v>
      </c>
      <c r="AA2557" s="46" t="n">
        <f aca="false">MATCH(A2557,DATAS,0)</f>
        <v>1</v>
      </c>
      <c r="AB2557" s="46" t="n">
        <f aca="false">IF(AND(E2557&gt;0,OR(AND(B2557&gt;=1,B2557&lt;=6),B2557=10)),1,0)</f>
        <v>0</v>
      </c>
      <c r="AC2557" s="46" t="n">
        <f aca="false">IF(AND(E2557&gt;0,B2557=10),1,0)</f>
        <v>0</v>
      </c>
      <c r="AD2557" s="0" t="str">
        <f aca="false">IF(AND(C2556=C2557,AA2556=AA2557-1),AB2556,"")</f>
        <v/>
      </c>
      <c r="AE2557" s="0" t="str">
        <f aca="false">IF(AND(C2556=C2557,AA2556=AA2557-1),AC2556,"")</f>
        <v/>
      </c>
      <c r="AF2557" s="0" t="str">
        <f aca="false">IF(AA2557=1,"",IF(AND(AB2557=1,AD2557&lt;&gt;1),1,0))</f>
        <v/>
      </c>
      <c r="AG2557" s="0" t="str">
        <f aca="false">IF(AA2557=1,"",IF(AND(AC2557=1,AE2557&lt;&gt;1),1,0))</f>
        <v/>
      </c>
      <c r="AH2557" s="51" t="str">
        <f aca="false">IF(AND(E2557&gt;0,AA2557&lt;1,NOT(AND(C2558=C2557,AA2558=AA2557+1))),INDEX(DATAS,AA2557+1),"")</f>
        <v/>
      </c>
      <c r="AI2557" s="51" t="str">
        <f aca="false">IF(AND(AC2557=1,AA2557&lt;1),IF(AND(C2558=C2557,AA2558=AA2557+1),IF(AC2558=1,"",INDEX(DATAS,AA2557+1)),INDEX(DATAS,AA2557+1)),"")</f>
        <v/>
      </c>
    </row>
    <row r="2558" customFormat="false" ht="15" hidden="false" customHeight="false" outlineLevel="0" collapsed="false">
      <c r="A2558" s="51" t="n">
        <v>46309</v>
      </c>
      <c r="B2558" s="0" t="n">
        <v>11</v>
      </c>
      <c r="C2558" s="0" t="n">
        <v>6898</v>
      </c>
      <c r="E2558" s="0" t="n">
        <v>0</v>
      </c>
      <c r="F2558" s="46" t="s">
        <v>1321</v>
      </c>
      <c r="I2558" s="46" t="s">
        <v>181</v>
      </c>
      <c r="U2558" s="0" t="n">
        <v>413</v>
      </c>
      <c r="V2558" s="0" t="n">
        <v>1</v>
      </c>
      <c r="W2558" s="51" t="n">
        <v>46295</v>
      </c>
      <c r="X2558" s="46" t="n">
        <f aca="false">IF(I2558="Male",0,1)</f>
        <v>1</v>
      </c>
      <c r="Y2558" s="46" t="n">
        <f aca="false">IF(OR(I2558="DNB",I2558="Dry DNB"),1,0)</f>
        <v>0</v>
      </c>
      <c r="Z2558" s="46" t="n">
        <f aca="false">IF(ISNUMBER(W2558),A2558-W2558,"")</f>
        <v>14</v>
      </c>
      <c r="AA2558" s="46" t="n">
        <f aca="false">MATCH(A2558,DATAS,0)</f>
        <v>1</v>
      </c>
      <c r="AB2558" s="46" t="n">
        <f aca="false">IF(AND(E2558&gt;0,OR(AND(B2558&gt;=1,B2558&lt;=6),B2558=10)),1,0)</f>
        <v>0</v>
      </c>
      <c r="AC2558" s="46" t="n">
        <f aca="false">IF(AND(E2558&gt;0,B2558=10),1,0)</f>
        <v>0</v>
      </c>
      <c r="AD2558" s="0" t="str">
        <f aca="false">IF(AND(C2557=C2558,AA2557=AA2558-1),AB2557,"")</f>
        <v/>
      </c>
      <c r="AE2558" s="0" t="str">
        <f aca="false">IF(AND(C2557=C2558,AA2557=AA2558-1),AC2557,"")</f>
        <v/>
      </c>
      <c r="AF2558" s="0" t="str">
        <f aca="false">IF(AA2558=1,"",IF(AND(AB2558=1,AD2558&lt;&gt;1),1,0))</f>
        <v/>
      </c>
      <c r="AG2558" s="0" t="str">
        <f aca="false">IF(AA2558=1,"",IF(AND(AC2558=1,AE2558&lt;&gt;1),1,0))</f>
        <v/>
      </c>
      <c r="AH2558" s="51" t="str">
        <f aca="false">IF(AND(E2558&gt;0,AA2558&lt;1,NOT(AND(C2559=C2558,AA2559=AA2558+1))),INDEX(DATAS,AA2558+1),"")</f>
        <v/>
      </c>
      <c r="AI2558" s="51" t="str">
        <f aca="false">IF(AND(AC2558=1,AA2558&lt;1),IF(AND(C2559=C2558,AA2559=AA2558+1),IF(AC2559=1,"",INDEX(DATAS,AA2558+1)),INDEX(DATAS,AA2558+1)),"")</f>
        <v/>
      </c>
    </row>
    <row r="2559" customFormat="false" ht="15" hidden="false" customHeight="false" outlineLevel="0" collapsed="false">
      <c r="A2559" s="51" t="n">
        <v>46309</v>
      </c>
      <c r="B2559" s="0" t="n">
        <v>11</v>
      </c>
      <c r="C2559" s="0" t="n">
        <v>6899</v>
      </c>
      <c r="E2559" s="0" t="n">
        <v>0</v>
      </c>
      <c r="F2559" s="46" t="s">
        <v>1321</v>
      </c>
      <c r="I2559" s="46" t="s">
        <v>181</v>
      </c>
      <c r="U2559" s="0" t="n">
        <v>413</v>
      </c>
      <c r="V2559" s="0" t="n">
        <v>1</v>
      </c>
      <c r="W2559" s="51" t="n">
        <v>46295</v>
      </c>
      <c r="X2559" s="46" t="n">
        <f aca="false">IF(I2559="Male",0,1)</f>
        <v>1</v>
      </c>
      <c r="Y2559" s="46" t="n">
        <f aca="false">IF(OR(I2559="DNB",I2559="Dry DNB"),1,0)</f>
        <v>0</v>
      </c>
      <c r="Z2559" s="46" t="n">
        <f aca="false">IF(ISNUMBER(W2559),A2559-W2559,"")</f>
        <v>14</v>
      </c>
      <c r="AA2559" s="46" t="n">
        <f aca="false">MATCH(A2559,DATAS,0)</f>
        <v>1</v>
      </c>
      <c r="AB2559" s="46" t="n">
        <f aca="false">IF(AND(E2559&gt;0,OR(AND(B2559&gt;=1,B2559&lt;=6),B2559=10)),1,0)</f>
        <v>0</v>
      </c>
      <c r="AC2559" s="46" t="n">
        <f aca="false">IF(AND(E2559&gt;0,B2559=10),1,0)</f>
        <v>0</v>
      </c>
      <c r="AD2559" s="0" t="str">
        <f aca="false">IF(AND(C2558=C2559,AA2558=AA2559-1),AB2558,"")</f>
        <v/>
      </c>
      <c r="AE2559" s="0" t="str">
        <f aca="false">IF(AND(C2558=C2559,AA2558=AA2559-1),AC2558,"")</f>
        <v/>
      </c>
      <c r="AF2559" s="0" t="str">
        <f aca="false">IF(AA2559=1,"",IF(AND(AB2559=1,AD2559&lt;&gt;1),1,0))</f>
        <v/>
      </c>
      <c r="AG2559" s="0" t="str">
        <f aca="false">IF(AA2559=1,"",IF(AND(AC2559=1,AE2559&lt;&gt;1),1,0))</f>
        <v/>
      </c>
      <c r="AH2559" s="51" t="str">
        <f aca="false">IF(AND(E2559&gt;0,AA2559&lt;1,NOT(AND(C2560=C2559,AA2560=AA2559+1))),INDEX(DATAS,AA2559+1),"")</f>
        <v/>
      </c>
      <c r="AI2559" s="51" t="str">
        <f aca="false">IF(AND(AC2559=1,AA2559&lt;1),IF(AND(C2560=C2559,AA2560=AA2559+1),IF(AC2560=1,"",INDEX(DATAS,AA2559+1)),INDEX(DATAS,AA2559+1)),"")</f>
        <v/>
      </c>
    </row>
    <row r="2560" customFormat="false" ht="15" hidden="false" customHeight="false" outlineLevel="0" collapsed="false">
      <c r="A2560" s="51" t="n">
        <v>46309</v>
      </c>
      <c r="B2560" s="0" t="n">
        <v>11</v>
      </c>
      <c r="C2560" s="0" t="n">
        <v>6900</v>
      </c>
      <c r="E2560" s="0" t="n">
        <v>0</v>
      </c>
      <c r="F2560" s="46" t="s">
        <v>1321</v>
      </c>
      <c r="I2560" s="46" t="s">
        <v>181</v>
      </c>
      <c r="U2560" s="0" t="n">
        <v>413</v>
      </c>
      <c r="V2560" s="0" t="n">
        <v>1</v>
      </c>
      <c r="W2560" s="51" t="n">
        <v>46295</v>
      </c>
      <c r="X2560" s="46" t="n">
        <f aca="false">IF(I2560="Male",0,1)</f>
        <v>1</v>
      </c>
      <c r="Y2560" s="46" t="n">
        <f aca="false">IF(OR(I2560="DNB",I2560="Dry DNB"),1,0)</f>
        <v>0</v>
      </c>
      <c r="Z2560" s="46" t="n">
        <f aca="false">IF(ISNUMBER(W2560),A2560-W2560,"")</f>
        <v>14</v>
      </c>
      <c r="AA2560" s="46" t="n">
        <f aca="false">MATCH(A2560,DATAS,0)</f>
        <v>1</v>
      </c>
      <c r="AB2560" s="46" t="n">
        <f aca="false">IF(AND(E2560&gt;0,OR(AND(B2560&gt;=1,B2560&lt;=6),B2560=10)),1,0)</f>
        <v>0</v>
      </c>
      <c r="AC2560" s="46" t="n">
        <f aca="false">IF(AND(E2560&gt;0,B2560=10),1,0)</f>
        <v>0</v>
      </c>
      <c r="AD2560" s="0" t="str">
        <f aca="false">IF(AND(C2559=C2560,AA2559=AA2560-1),AB2559,"")</f>
        <v/>
      </c>
      <c r="AE2560" s="0" t="str">
        <f aca="false">IF(AND(C2559=C2560,AA2559=AA2560-1),AC2559,"")</f>
        <v/>
      </c>
      <c r="AF2560" s="0" t="str">
        <f aca="false">IF(AA2560=1,"",IF(AND(AB2560=1,AD2560&lt;&gt;1),1,0))</f>
        <v/>
      </c>
      <c r="AG2560" s="0" t="str">
        <f aca="false">IF(AA2560=1,"",IF(AND(AC2560=1,AE2560&lt;&gt;1),1,0))</f>
        <v/>
      </c>
      <c r="AH2560" s="51" t="str">
        <f aca="false">IF(AND(E2560&gt;0,AA2560&lt;1,NOT(AND(C2561=C2560,AA2561=AA2560+1))),INDEX(DATAS,AA2560+1),"")</f>
        <v/>
      </c>
      <c r="AI2560" s="51" t="str">
        <f aca="false">IF(AND(AC2560=1,AA2560&lt;1),IF(AND(C2561=C2560,AA2561=AA2560+1),IF(AC2561=1,"",INDEX(DATAS,AA2560+1)),INDEX(DATAS,AA2560+1)),"")</f>
        <v/>
      </c>
    </row>
    <row r="2561" customFormat="false" ht="15" hidden="false" customHeight="false" outlineLevel="0" collapsed="false">
      <c r="A2561" s="51" t="n">
        <v>46309</v>
      </c>
      <c r="B2561" s="0" t="n">
        <v>13</v>
      </c>
      <c r="C2561" s="0" t="n">
        <v>6902</v>
      </c>
      <c r="E2561" s="0" t="n">
        <v>0</v>
      </c>
      <c r="F2561" s="46" t="s">
        <v>1321</v>
      </c>
      <c r="I2561" s="46" t="s">
        <v>189</v>
      </c>
      <c r="U2561" s="0" t="n">
        <v>413</v>
      </c>
      <c r="V2561" s="0" t="n">
        <v>0</v>
      </c>
      <c r="X2561" s="46" t="n">
        <f aca="false">IF(I2561="Male",0,1)</f>
        <v>1</v>
      </c>
      <c r="Y2561" s="46" t="n">
        <f aca="false">IF(OR(I2561="DNB",I2561="Dry DNB"),1,0)</f>
        <v>0</v>
      </c>
      <c r="Z2561" s="0" t="str">
        <f aca="false">IF(ISNUMBER(W2561),A2561-W2561,"")</f>
        <v/>
      </c>
      <c r="AA2561" s="46" t="n">
        <f aca="false">MATCH(A2561,DATAS,0)</f>
        <v>1</v>
      </c>
      <c r="AB2561" s="46" t="n">
        <f aca="false">IF(AND(E2561&gt;0,OR(AND(B2561&gt;=1,B2561&lt;=6),B2561=10)),1,0)</f>
        <v>0</v>
      </c>
      <c r="AC2561" s="46" t="n">
        <f aca="false">IF(AND(E2561&gt;0,B2561=10),1,0)</f>
        <v>0</v>
      </c>
      <c r="AD2561" s="0" t="str">
        <f aca="false">IF(AND(C2560=C2561,AA2560=AA2561-1),AB2560,"")</f>
        <v/>
      </c>
      <c r="AE2561" s="0" t="str">
        <f aca="false">IF(AND(C2560=C2561,AA2560=AA2561-1),AC2560,"")</f>
        <v/>
      </c>
      <c r="AF2561" s="0" t="str">
        <f aca="false">IF(AA2561=1,"",IF(AND(AB2561=1,AD2561&lt;&gt;1),1,0))</f>
        <v/>
      </c>
      <c r="AG2561" s="0" t="str">
        <f aca="false">IF(AA2561=1,"",IF(AND(AC2561=1,AE2561&lt;&gt;1),1,0))</f>
        <v/>
      </c>
      <c r="AH2561" s="51" t="str">
        <f aca="false">IF(AND(E2561&gt;0,AA2561&lt;1,NOT(AND(C2562=C2561,AA2562=AA2561+1))),INDEX(DATAS,AA2561+1),"")</f>
        <v/>
      </c>
      <c r="AI2561" s="51" t="str">
        <f aca="false">IF(AND(AC2561=1,AA2561&lt;1),IF(AND(C2562=C2561,AA2562=AA2561+1),IF(AC2562=1,"",INDEX(DATAS,AA2561+1)),INDEX(DATAS,AA2561+1)),"")</f>
        <v/>
      </c>
    </row>
    <row r="2562" customFormat="false" ht="15" hidden="false" customHeight="false" outlineLevel="0" collapsed="false">
      <c r="A2562" s="51" t="n">
        <v>46309</v>
      </c>
      <c r="B2562" s="0" t="n">
        <v>11</v>
      </c>
      <c r="C2562" s="0" t="n">
        <v>6903</v>
      </c>
      <c r="E2562" s="0" t="n">
        <v>0</v>
      </c>
      <c r="F2562" s="46" t="s">
        <v>1322</v>
      </c>
      <c r="I2562" s="46" t="s">
        <v>181</v>
      </c>
      <c r="U2562" s="0" t="n">
        <v>412</v>
      </c>
      <c r="V2562" s="0" t="n">
        <v>1</v>
      </c>
      <c r="W2562" s="51" t="n">
        <v>46309</v>
      </c>
      <c r="X2562" s="46" t="n">
        <f aca="false">IF(I2562="Male",0,1)</f>
        <v>1</v>
      </c>
      <c r="Y2562" s="46" t="n">
        <f aca="false">IF(OR(I2562="DNB",I2562="Dry DNB"),1,0)</f>
        <v>0</v>
      </c>
      <c r="Z2562" s="46" t="n">
        <f aca="false">IF(ISNUMBER(W2562),A2562-W2562,"")</f>
        <v>0</v>
      </c>
      <c r="AA2562" s="46" t="n">
        <f aca="false">MATCH(A2562,DATAS,0)</f>
        <v>1</v>
      </c>
      <c r="AB2562" s="46" t="n">
        <f aca="false">IF(AND(E2562&gt;0,OR(AND(B2562&gt;=1,B2562&lt;=6),B2562=10)),1,0)</f>
        <v>0</v>
      </c>
      <c r="AC2562" s="46" t="n">
        <f aca="false">IF(AND(E2562&gt;0,B2562=10),1,0)</f>
        <v>0</v>
      </c>
      <c r="AD2562" s="0" t="str">
        <f aca="false">IF(AND(C2561=C2562,AA2561=AA2562-1),AB2561,"")</f>
        <v/>
      </c>
      <c r="AE2562" s="0" t="str">
        <f aca="false">IF(AND(C2561=C2562,AA2561=AA2562-1),AC2561,"")</f>
        <v/>
      </c>
      <c r="AF2562" s="0" t="str">
        <f aca="false">IF(AA2562=1,"",IF(AND(AB2562=1,AD2562&lt;&gt;1),1,0))</f>
        <v/>
      </c>
      <c r="AG2562" s="0" t="str">
        <f aca="false">IF(AA2562=1,"",IF(AND(AC2562=1,AE2562&lt;&gt;1),1,0))</f>
        <v/>
      </c>
      <c r="AH2562" s="51" t="str">
        <f aca="false">IF(AND(E2562&gt;0,AA2562&lt;1,NOT(AND(C2563=C2562,AA2563=AA2562+1))),INDEX(DATAS,AA2562+1),"")</f>
        <v/>
      </c>
      <c r="AI2562" s="51" t="str">
        <f aca="false">IF(AND(AC2562=1,AA2562&lt;1),IF(AND(C2563=C2562,AA2563=AA2562+1),IF(AC2563=1,"",INDEX(DATAS,AA2562+1)),INDEX(DATAS,AA2562+1)),"")</f>
        <v/>
      </c>
    </row>
    <row r="2563" customFormat="false" ht="15" hidden="false" customHeight="false" outlineLevel="0" collapsed="false">
      <c r="A2563" s="51" t="n">
        <v>46309</v>
      </c>
      <c r="B2563" s="0" t="n">
        <v>13</v>
      </c>
      <c r="C2563" s="0" t="n">
        <v>6904</v>
      </c>
      <c r="E2563" s="0" t="n">
        <v>0</v>
      </c>
      <c r="F2563" s="46" t="s">
        <v>1322</v>
      </c>
      <c r="I2563" s="46" t="s">
        <v>189</v>
      </c>
      <c r="U2563" s="0" t="n">
        <v>412</v>
      </c>
      <c r="V2563" s="0" t="n">
        <v>0</v>
      </c>
      <c r="X2563" s="46" t="n">
        <f aca="false">IF(I2563="Male",0,1)</f>
        <v>1</v>
      </c>
      <c r="Y2563" s="46" t="n">
        <f aca="false">IF(OR(I2563="DNB",I2563="Dry DNB"),1,0)</f>
        <v>0</v>
      </c>
      <c r="Z2563" s="0" t="str">
        <f aca="false">IF(ISNUMBER(W2563),A2563-W2563,"")</f>
        <v/>
      </c>
      <c r="AA2563" s="46" t="n">
        <f aca="false">MATCH(A2563,DATAS,0)</f>
        <v>1</v>
      </c>
      <c r="AB2563" s="46" t="n">
        <f aca="false">IF(AND(E2563&gt;0,OR(AND(B2563&gt;=1,B2563&lt;=6),B2563=10)),1,0)</f>
        <v>0</v>
      </c>
      <c r="AC2563" s="46" t="n">
        <f aca="false">IF(AND(E2563&gt;0,B2563=10),1,0)</f>
        <v>0</v>
      </c>
      <c r="AD2563" s="0" t="str">
        <f aca="false">IF(AND(C2562=C2563,AA2562=AA2563-1),AB2562,"")</f>
        <v/>
      </c>
      <c r="AE2563" s="0" t="str">
        <f aca="false">IF(AND(C2562=C2563,AA2562=AA2563-1),AC2562,"")</f>
        <v/>
      </c>
      <c r="AF2563" s="0" t="str">
        <f aca="false">IF(AA2563=1,"",IF(AND(AB2563=1,AD2563&lt;&gt;1),1,0))</f>
        <v/>
      </c>
      <c r="AG2563" s="0" t="str">
        <f aca="false">IF(AA2563=1,"",IF(AND(AC2563=1,AE2563&lt;&gt;1),1,0))</f>
        <v/>
      </c>
      <c r="AH2563" s="51" t="str">
        <f aca="false">IF(AND(E2563&gt;0,AA2563&lt;1,NOT(AND(C2564=C2563,AA2564=AA2563+1))),INDEX(DATAS,AA2563+1),"")</f>
        <v/>
      </c>
      <c r="AI2563" s="51" t="str">
        <f aca="false">IF(AND(AC2563=1,AA2563&lt;1),IF(AND(C2564=C2563,AA2564=AA2563+1),IF(AC2564=1,"",INDEX(DATAS,AA2563+1)),INDEX(DATAS,AA2563+1)),"")</f>
        <v/>
      </c>
    </row>
    <row r="2564" customFormat="false" ht="15" hidden="false" customHeight="false" outlineLevel="0" collapsed="false">
      <c r="A2564" s="51" t="n">
        <v>46309</v>
      </c>
      <c r="B2564" s="0" t="n">
        <v>13</v>
      </c>
      <c r="C2564" s="0" t="n">
        <v>6905</v>
      </c>
      <c r="E2564" s="0" t="n">
        <v>0</v>
      </c>
      <c r="F2564" s="46" t="s">
        <v>1322</v>
      </c>
      <c r="I2564" s="46" t="s">
        <v>189</v>
      </c>
      <c r="U2564" s="0" t="n">
        <v>412</v>
      </c>
      <c r="V2564" s="0" t="n">
        <v>0</v>
      </c>
      <c r="X2564" s="46" t="n">
        <f aca="false">IF(I2564="Male",0,1)</f>
        <v>1</v>
      </c>
      <c r="Y2564" s="46" t="n">
        <f aca="false">IF(OR(I2564="DNB",I2564="Dry DNB"),1,0)</f>
        <v>0</v>
      </c>
      <c r="Z2564" s="0" t="str">
        <f aca="false">IF(ISNUMBER(W2564),A2564-W2564,"")</f>
        <v/>
      </c>
      <c r="AA2564" s="46" t="n">
        <f aca="false">MATCH(A2564,DATAS,0)</f>
        <v>1</v>
      </c>
      <c r="AB2564" s="46" t="n">
        <f aca="false">IF(AND(E2564&gt;0,OR(AND(B2564&gt;=1,B2564&lt;=6),B2564=10)),1,0)</f>
        <v>0</v>
      </c>
      <c r="AC2564" s="46" t="n">
        <f aca="false">IF(AND(E2564&gt;0,B2564=10),1,0)</f>
        <v>0</v>
      </c>
      <c r="AD2564" s="0" t="str">
        <f aca="false">IF(AND(C2563=C2564,AA2563=AA2564-1),AB2563,"")</f>
        <v/>
      </c>
      <c r="AE2564" s="0" t="str">
        <f aca="false">IF(AND(C2563=C2564,AA2563=AA2564-1),AC2563,"")</f>
        <v/>
      </c>
      <c r="AF2564" s="0" t="str">
        <f aca="false">IF(AA2564=1,"",IF(AND(AB2564=1,AD2564&lt;&gt;1),1,0))</f>
        <v/>
      </c>
      <c r="AG2564" s="0" t="str">
        <f aca="false">IF(AA2564=1,"",IF(AND(AC2564=1,AE2564&lt;&gt;1),1,0))</f>
        <v/>
      </c>
      <c r="AH2564" s="51" t="str">
        <f aca="false">IF(AND(E2564&gt;0,AA2564&lt;1,NOT(AND(C2565=C2564,AA2565=AA2564+1))),INDEX(DATAS,AA2564+1),"")</f>
        <v/>
      </c>
      <c r="AI2564" s="51" t="str">
        <f aca="false">IF(AND(AC2564=1,AA2564&lt;1),IF(AND(C2565=C2564,AA2565=AA2564+1),IF(AC2565=1,"",INDEX(DATAS,AA2564+1)),INDEX(DATAS,AA2564+1)),"")</f>
        <v/>
      </c>
    </row>
    <row r="2565" customFormat="false" ht="15" hidden="false" customHeight="false" outlineLevel="0" collapsed="false">
      <c r="A2565" s="51" t="n">
        <v>46309</v>
      </c>
      <c r="B2565" s="0" t="n">
        <v>11</v>
      </c>
      <c r="C2565" s="0" t="n">
        <v>6906</v>
      </c>
      <c r="E2565" s="0" t="n">
        <v>0</v>
      </c>
      <c r="F2565" s="46" t="s">
        <v>1322</v>
      </c>
      <c r="I2565" s="46" t="s">
        <v>181</v>
      </c>
      <c r="U2565" s="0" t="n">
        <v>412</v>
      </c>
      <c r="V2565" s="0" t="n">
        <v>1</v>
      </c>
      <c r="W2565" s="51" t="n">
        <v>46295</v>
      </c>
      <c r="X2565" s="46" t="n">
        <f aca="false">IF(I2565="Male",0,1)</f>
        <v>1</v>
      </c>
      <c r="Y2565" s="46" t="n">
        <f aca="false">IF(OR(I2565="DNB",I2565="Dry DNB"),1,0)</f>
        <v>0</v>
      </c>
      <c r="Z2565" s="46" t="n">
        <f aca="false">IF(ISNUMBER(W2565),A2565-W2565,"")</f>
        <v>14</v>
      </c>
      <c r="AA2565" s="46" t="n">
        <f aca="false">MATCH(A2565,DATAS,0)</f>
        <v>1</v>
      </c>
      <c r="AB2565" s="46" t="n">
        <f aca="false">IF(AND(E2565&gt;0,OR(AND(B2565&gt;=1,B2565&lt;=6),B2565=10)),1,0)</f>
        <v>0</v>
      </c>
      <c r="AC2565" s="46" t="n">
        <f aca="false">IF(AND(E2565&gt;0,B2565=10),1,0)</f>
        <v>0</v>
      </c>
      <c r="AD2565" s="0" t="str">
        <f aca="false">IF(AND(C2564=C2565,AA2564=AA2565-1),AB2564,"")</f>
        <v/>
      </c>
      <c r="AE2565" s="0" t="str">
        <f aca="false">IF(AND(C2564=C2565,AA2564=AA2565-1),AC2564,"")</f>
        <v/>
      </c>
      <c r="AF2565" s="0" t="str">
        <f aca="false">IF(AA2565=1,"",IF(AND(AB2565=1,AD2565&lt;&gt;1),1,0))</f>
        <v/>
      </c>
      <c r="AG2565" s="0" t="str">
        <f aca="false">IF(AA2565=1,"",IF(AND(AC2565=1,AE2565&lt;&gt;1),1,0))</f>
        <v/>
      </c>
      <c r="AH2565" s="51" t="str">
        <f aca="false">IF(AND(E2565&gt;0,AA2565&lt;1,NOT(AND(C2566=C2565,AA2566=AA2565+1))),INDEX(DATAS,AA2565+1),"")</f>
        <v/>
      </c>
      <c r="AI2565" s="51" t="str">
        <f aca="false">IF(AND(AC2565=1,AA2565&lt;1),IF(AND(C2566=C2565,AA2566=AA2565+1),IF(AC2566=1,"",INDEX(DATAS,AA2565+1)),INDEX(DATAS,AA2565+1)),"")</f>
        <v/>
      </c>
    </row>
    <row r="2566" customFormat="false" ht="15" hidden="false" customHeight="false" outlineLevel="0" collapsed="false">
      <c r="A2566" s="51" t="n">
        <v>46309</v>
      </c>
      <c r="B2566" s="0" t="n">
        <v>11</v>
      </c>
      <c r="C2566" s="0" t="n">
        <v>6907</v>
      </c>
      <c r="E2566" s="0" t="n">
        <v>0</v>
      </c>
      <c r="F2566" s="46" t="s">
        <v>1323</v>
      </c>
      <c r="I2566" s="46" t="s">
        <v>181</v>
      </c>
      <c r="U2566" s="0" t="n">
        <v>411</v>
      </c>
      <c r="V2566" s="0" t="n">
        <v>1</v>
      </c>
      <c r="W2566" s="51" t="n">
        <v>46303</v>
      </c>
      <c r="X2566" s="46" t="n">
        <f aca="false">IF(I2566="Male",0,1)</f>
        <v>1</v>
      </c>
      <c r="Y2566" s="46" t="n">
        <f aca="false">IF(OR(I2566="DNB",I2566="Dry DNB"),1,0)</f>
        <v>0</v>
      </c>
      <c r="Z2566" s="46" t="n">
        <f aca="false">IF(ISNUMBER(W2566),A2566-W2566,"")</f>
        <v>6</v>
      </c>
      <c r="AA2566" s="46" t="n">
        <f aca="false">MATCH(A2566,DATAS,0)</f>
        <v>1</v>
      </c>
      <c r="AB2566" s="46" t="n">
        <f aca="false">IF(AND(E2566&gt;0,OR(AND(B2566&gt;=1,B2566&lt;=6),B2566=10)),1,0)</f>
        <v>0</v>
      </c>
      <c r="AC2566" s="46" t="n">
        <f aca="false">IF(AND(E2566&gt;0,B2566=10),1,0)</f>
        <v>0</v>
      </c>
      <c r="AD2566" s="0" t="str">
        <f aca="false">IF(AND(C2565=C2566,AA2565=AA2566-1),AB2565,"")</f>
        <v/>
      </c>
      <c r="AE2566" s="0" t="str">
        <f aca="false">IF(AND(C2565=C2566,AA2565=AA2566-1),AC2565,"")</f>
        <v/>
      </c>
      <c r="AF2566" s="0" t="str">
        <f aca="false">IF(AA2566=1,"",IF(AND(AB2566=1,AD2566&lt;&gt;1),1,0))</f>
        <v/>
      </c>
      <c r="AG2566" s="0" t="str">
        <f aca="false">IF(AA2566=1,"",IF(AND(AC2566=1,AE2566&lt;&gt;1),1,0))</f>
        <v/>
      </c>
      <c r="AH2566" s="51" t="str">
        <f aca="false">IF(AND(E2566&gt;0,AA2566&lt;1,NOT(AND(C2567=C2566,AA2567=AA2566+1))),INDEX(DATAS,AA2566+1),"")</f>
        <v/>
      </c>
      <c r="AI2566" s="51" t="str">
        <f aca="false">IF(AND(AC2566=1,AA2566&lt;1),IF(AND(C2567=C2566,AA2567=AA2566+1),IF(AC2567=1,"",INDEX(DATAS,AA2566+1)),INDEX(DATAS,AA2566+1)),"")</f>
        <v/>
      </c>
    </row>
    <row r="2567" customFormat="false" ht="15" hidden="false" customHeight="false" outlineLevel="0" collapsed="false">
      <c r="A2567" s="51" t="n">
        <v>46309</v>
      </c>
      <c r="B2567" s="0" t="n">
        <v>11</v>
      </c>
      <c r="C2567" s="0" t="n">
        <v>6908</v>
      </c>
      <c r="E2567" s="0" t="n">
        <v>0</v>
      </c>
      <c r="F2567" s="46" t="s">
        <v>1323</v>
      </c>
      <c r="I2567" s="46" t="s">
        <v>181</v>
      </c>
      <c r="U2567" s="0" t="n">
        <v>411</v>
      </c>
      <c r="V2567" s="0" t="n">
        <v>1</v>
      </c>
      <c r="W2567" s="51" t="n">
        <v>46304</v>
      </c>
      <c r="X2567" s="46" t="n">
        <f aca="false">IF(I2567="Male",0,1)</f>
        <v>1</v>
      </c>
      <c r="Y2567" s="46" t="n">
        <f aca="false">IF(OR(I2567="DNB",I2567="Dry DNB"),1,0)</f>
        <v>0</v>
      </c>
      <c r="Z2567" s="46" t="n">
        <f aca="false">IF(ISNUMBER(W2567),A2567-W2567,"")</f>
        <v>5</v>
      </c>
      <c r="AA2567" s="46" t="n">
        <f aca="false">MATCH(A2567,DATAS,0)</f>
        <v>1</v>
      </c>
      <c r="AB2567" s="46" t="n">
        <f aca="false">IF(AND(E2567&gt;0,OR(AND(B2567&gt;=1,B2567&lt;=6),B2567=10)),1,0)</f>
        <v>0</v>
      </c>
      <c r="AC2567" s="46" t="n">
        <f aca="false">IF(AND(E2567&gt;0,B2567=10),1,0)</f>
        <v>0</v>
      </c>
      <c r="AD2567" s="0" t="str">
        <f aca="false">IF(AND(C2566=C2567,AA2566=AA2567-1),AB2566,"")</f>
        <v/>
      </c>
      <c r="AE2567" s="0" t="str">
        <f aca="false">IF(AND(C2566=C2567,AA2566=AA2567-1),AC2566,"")</f>
        <v/>
      </c>
      <c r="AF2567" s="0" t="str">
        <f aca="false">IF(AA2567=1,"",IF(AND(AB2567=1,AD2567&lt;&gt;1),1,0))</f>
        <v/>
      </c>
      <c r="AG2567" s="0" t="str">
        <f aca="false">IF(AA2567=1,"",IF(AND(AC2567=1,AE2567&lt;&gt;1),1,0))</f>
        <v/>
      </c>
      <c r="AH2567" s="51" t="str">
        <f aca="false">IF(AND(E2567&gt;0,AA2567&lt;1,NOT(AND(C2568=C2567,AA2568=AA2567+1))),INDEX(DATAS,AA2567+1),"")</f>
        <v/>
      </c>
      <c r="AI2567" s="51" t="str">
        <f aca="false">IF(AND(AC2567=1,AA2567&lt;1),IF(AND(C2568=C2567,AA2568=AA2567+1),IF(AC2568=1,"",INDEX(DATAS,AA2567+1)),INDEX(DATAS,AA2567+1)),"")</f>
        <v/>
      </c>
    </row>
    <row r="2568" customFormat="false" ht="15" hidden="false" customHeight="false" outlineLevel="0" collapsed="false">
      <c r="A2568" s="51" t="n">
        <v>46309</v>
      </c>
      <c r="B2568" s="0" t="n">
        <v>13</v>
      </c>
      <c r="C2568" s="0" t="n">
        <v>6909</v>
      </c>
      <c r="E2568" s="0" t="n">
        <v>0</v>
      </c>
      <c r="F2568" s="46" t="s">
        <v>1323</v>
      </c>
      <c r="I2568" s="46" t="s">
        <v>189</v>
      </c>
      <c r="U2568" s="0" t="n">
        <v>411</v>
      </c>
      <c r="V2568" s="0" t="n">
        <v>0</v>
      </c>
      <c r="X2568" s="46" t="n">
        <f aca="false">IF(I2568="Male",0,1)</f>
        <v>1</v>
      </c>
      <c r="Y2568" s="46" t="n">
        <f aca="false">IF(OR(I2568="DNB",I2568="Dry DNB"),1,0)</f>
        <v>0</v>
      </c>
      <c r="Z2568" s="0" t="str">
        <f aca="false">IF(ISNUMBER(W2568),A2568-W2568,"")</f>
        <v/>
      </c>
      <c r="AA2568" s="46" t="n">
        <f aca="false">MATCH(A2568,DATAS,0)</f>
        <v>1</v>
      </c>
      <c r="AB2568" s="46" t="n">
        <f aca="false">IF(AND(E2568&gt;0,OR(AND(B2568&gt;=1,B2568&lt;=6),B2568=10)),1,0)</f>
        <v>0</v>
      </c>
      <c r="AC2568" s="46" t="n">
        <f aca="false">IF(AND(E2568&gt;0,B2568=10),1,0)</f>
        <v>0</v>
      </c>
      <c r="AD2568" s="0" t="str">
        <f aca="false">IF(AND(C2567=C2568,AA2567=AA2568-1),AB2567,"")</f>
        <v/>
      </c>
      <c r="AE2568" s="0" t="str">
        <f aca="false">IF(AND(C2567=C2568,AA2567=AA2568-1),AC2567,"")</f>
        <v/>
      </c>
      <c r="AF2568" s="0" t="str">
        <f aca="false">IF(AA2568=1,"",IF(AND(AB2568=1,AD2568&lt;&gt;1),1,0))</f>
        <v/>
      </c>
      <c r="AG2568" s="0" t="str">
        <f aca="false">IF(AA2568=1,"",IF(AND(AC2568=1,AE2568&lt;&gt;1),1,0))</f>
        <v/>
      </c>
      <c r="AH2568" s="51" t="str">
        <f aca="false">IF(AND(E2568&gt;0,AA2568&lt;1,NOT(AND(C2569=C2568,AA2569=AA2568+1))),INDEX(DATAS,AA2568+1),"")</f>
        <v/>
      </c>
      <c r="AI2568" s="51" t="str">
        <f aca="false">IF(AND(AC2568=1,AA2568&lt;1),IF(AND(C2569=C2568,AA2569=AA2568+1),IF(AC2569=1,"",INDEX(DATAS,AA2568+1)),INDEX(DATAS,AA2568+1)),"")</f>
        <v/>
      </c>
    </row>
    <row r="2569" customFormat="false" ht="15" hidden="false" customHeight="false" outlineLevel="0" collapsed="false">
      <c r="A2569" s="51" t="n">
        <v>46309</v>
      </c>
      <c r="B2569" s="0" t="n">
        <v>13</v>
      </c>
      <c r="C2569" s="0" t="n">
        <v>6910</v>
      </c>
      <c r="E2569" s="0" t="n">
        <v>0</v>
      </c>
      <c r="F2569" s="46" t="s">
        <v>1324</v>
      </c>
      <c r="I2569" s="46" t="s">
        <v>189</v>
      </c>
      <c r="U2569" s="0" t="n">
        <v>410</v>
      </c>
      <c r="V2569" s="0" t="n">
        <v>0</v>
      </c>
      <c r="X2569" s="46" t="n">
        <f aca="false">IF(I2569="Male",0,1)</f>
        <v>1</v>
      </c>
      <c r="Y2569" s="46" t="n">
        <f aca="false">IF(OR(I2569="DNB",I2569="Dry DNB"),1,0)</f>
        <v>0</v>
      </c>
      <c r="Z2569" s="0" t="str">
        <f aca="false">IF(ISNUMBER(W2569),A2569-W2569,"")</f>
        <v/>
      </c>
      <c r="AA2569" s="46" t="n">
        <f aca="false">MATCH(A2569,DATAS,0)</f>
        <v>1</v>
      </c>
      <c r="AB2569" s="46" t="n">
        <f aca="false">IF(AND(E2569&gt;0,OR(AND(B2569&gt;=1,B2569&lt;=6),B2569=10)),1,0)</f>
        <v>0</v>
      </c>
      <c r="AC2569" s="46" t="n">
        <f aca="false">IF(AND(E2569&gt;0,B2569=10),1,0)</f>
        <v>0</v>
      </c>
      <c r="AD2569" s="0" t="str">
        <f aca="false">IF(AND(C2568=C2569,AA2568=AA2569-1),AB2568,"")</f>
        <v/>
      </c>
      <c r="AE2569" s="0" t="str">
        <f aca="false">IF(AND(C2568=C2569,AA2568=AA2569-1),AC2568,"")</f>
        <v/>
      </c>
      <c r="AF2569" s="0" t="str">
        <f aca="false">IF(AA2569=1,"",IF(AND(AB2569=1,AD2569&lt;&gt;1),1,0))</f>
        <v/>
      </c>
      <c r="AG2569" s="0" t="str">
        <f aca="false">IF(AA2569=1,"",IF(AND(AC2569=1,AE2569&lt;&gt;1),1,0))</f>
        <v/>
      </c>
      <c r="AH2569" s="51" t="str">
        <f aca="false">IF(AND(E2569&gt;0,AA2569&lt;1,NOT(AND(C2570=C2569,AA2570=AA2569+1))),INDEX(DATAS,AA2569+1),"")</f>
        <v/>
      </c>
      <c r="AI2569" s="51" t="str">
        <f aca="false">IF(AND(AC2569=1,AA2569&lt;1),IF(AND(C2570=C2569,AA2570=AA2569+1),IF(AC2570=1,"",INDEX(DATAS,AA2569+1)),INDEX(DATAS,AA2569+1)),"")</f>
        <v/>
      </c>
    </row>
    <row r="2570" customFormat="false" ht="15" hidden="false" customHeight="false" outlineLevel="0" collapsed="false">
      <c r="A2570" s="51" t="n">
        <v>46309</v>
      </c>
      <c r="B2570" s="0" t="n">
        <v>11</v>
      </c>
      <c r="C2570" s="0" t="n">
        <v>6911</v>
      </c>
      <c r="E2570" s="0" t="n">
        <v>0</v>
      </c>
      <c r="F2570" s="46" t="s">
        <v>1324</v>
      </c>
      <c r="I2570" s="46" t="s">
        <v>181</v>
      </c>
      <c r="U2570" s="0" t="n">
        <v>410</v>
      </c>
      <c r="V2570" s="0" t="n">
        <v>1</v>
      </c>
      <c r="W2570" s="51" t="n">
        <v>46293</v>
      </c>
      <c r="X2570" s="46" t="n">
        <f aca="false">IF(I2570="Male",0,1)</f>
        <v>1</v>
      </c>
      <c r="Y2570" s="46" t="n">
        <f aca="false">IF(OR(I2570="DNB",I2570="Dry DNB"),1,0)</f>
        <v>0</v>
      </c>
      <c r="Z2570" s="46" t="n">
        <f aca="false">IF(ISNUMBER(W2570),A2570-W2570,"")</f>
        <v>16</v>
      </c>
      <c r="AA2570" s="46" t="n">
        <f aca="false">MATCH(A2570,DATAS,0)</f>
        <v>1</v>
      </c>
      <c r="AB2570" s="46" t="n">
        <f aca="false">IF(AND(E2570&gt;0,OR(AND(B2570&gt;=1,B2570&lt;=6),B2570=10)),1,0)</f>
        <v>0</v>
      </c>
      <c r="AC2570" s="46" t="n">
        <f aca="false">IF(AND(E2570&gt;0,B2570=10),1,0)</f>
        <v>0</v>
      </c>
      <c r="AD2570" s="0" t="str">
        <f aca="false">IF(AND(C2569=C2570,AA2569=AA2570-1),AB2569,"")</f>
        <v/>
      </c>
      <c r="AE2570" s="0" t="str">
        <f aca="false">IF(AND(C2569=C2570,AA2569=AA2570-1),AC2569,"")</f>
        <v/>
      </c>
      <c r="AF2570" s="0" t="str">
        <f aca="false">IF(AA2570=1,"",IF(AND(AB2570=1,AD2570&lt;&gt;1),1,0))</f>
        <v/>
      </c>
      <c r="AG2570" s="0" t="str">
        <f aca="false">IF(AA2570=1,"",IF(AND(AC2570=1,AE2570&lt;&gt;1),1,0))</f>
        <v/>
      </c>
      <c r="AH2570" s="51" t="str">
        <f aca="false">IF(AND(E2570&gt;0,AA2570&lt;1,NOT(AND(C2571=C2570,AA2571=AA2570+1))),INDEX(DATAS,AA2570+1),"")</f>
        <v/>
      </c>
      <c r="AI2570" s="51" t="str">
        <f aca="false">IF(AND(AC2570=1,AA2570&lt;1),IF(AND(C2571=C2570,AA2571=AA2570+1),IF(AC2571=1,"",INDEX(DATAS,AA2570+1)),INDEX(DATAS,AA2570+1)),"")</f>
        <v/>
      </c>
    </row>
    <row r="2571" customFormat="false" ht="15" hidden="false" customHeight="false" outlineLevel="0" collapsed="false">
      <c r="A2571" s="51" t="n">
        <v>46309</v>
      </c>
      <c r="B2571" s="0" t="n">
        <v>13</v>
      </c>
      <c r="C2571" s="0" t="n">
        <v>6913</v>
      </c>
      <c r="E2571" s="0" t="n">
        <v>0</v>
      </c>
      <c r="F2571" s="46" t="s">
        <v>1324</v>
      </c>
      <c r="I2571" s="46" t="s">
        <v>189</v>
      </c>
      <c r="U2571" s="0" t="n">
        <v>410</v>
      </c>
      <c r="V2571" s="0" t="n">
        <v>0</v>
      </c>
      <c r="X2571" s="46" t="n">
        <f aca="false">IF(I2571="Male",0,1)</f>
        <v>1</v>
      </c>
      <c r="Y2571" s="46" t="n">
        <f aca="false">IF(OR(I2571="DNB",I2571="Dry DNB"),1,0)</f>
        <v>0</v>
      </c>
      <c r="Z2571" s="0" t="str">
        <f aca="false">IF(ISNUMBER(W2571),A2571-W2571,"")</f>
        <v/>
      </c>
      <c r="AA2571" s="46" t="n">
        <f aca="false">MATCH(A2571,DATAS,0)</f>
        <v>1</v>
      </c>
      <c r="AB2571" s="46" t="n">
        <f aca="false">IF(AND(E2571&gt;0,OR(AND(B2571&gt;=1,B2571&lt;=6),B2571=10)),1,0)</f>
        <v>0</v>
      </c>
      <c r="AC2571" s="46" t="n">
        <f aca="false">IF(AND(E2571&gt;0,B2571=10),1,0)</f>
        <v>0</v>
      </c>
      <c r="AD2571" s="0" t="str">
        <f aca="false">IF(AND(C2570=C2571,AA2570=AA2571-1),AB2570,"")</f>
        <v/>
      </c>
      <c r="AE2571" s="0" t="str">
        <f aca="false">IF(AND(C2570=C2571,AA2570=AA2571-1),AC2570,"")</f>
        <v/>
      </c>
      <c r="AF2571" s="0" t="str">
        <f aca="false">IF(AA2571=1,"",IF(AND(AB2571=1,AD2571&lt;&gt;1),1,0))</f>
        <v/>
      </c>
      <c r="AG2571" s="0" t="str">
        <f aca="false">IF(AA2571=1,"",IF(AND(AC2571=1,AE2571&lt;&gt;1),1,0))</f>
        <v/>
      </c>
      <c r="AH2571" s="51" t="str">
        <f aca="false">IF(AND(E2571&gt;0,AA2571&lt;1,NOT(AND(C2572=C2571,AA2572=AA2571+1))),INDEX(DATAS,AA2571+1),"")</f>
        <v/>
      </c>
      <c r="AI2571" s="51" t="str">
        <f aca="false">IF(AND(AC2571=1,AA2571&lt;1),IF(AND(C2572=C2571,AA2572=AA2571+1),IF(AC2572=1,"",INDEX(DATAS,AA2571+1)),INDEX(DATAS,AA2571+1)),"")</f>
        <v/>
      </c>
    </row>
    <row r="2572" customFormat="false" ht="15" hidden="false" customHeight="false" outlineLevel="0" collapsed="false">
      <c r="A2572" s="51" t="n">
        <v>46309</v>
      </c>
      <c r="B2572" s="0" t="n">
        <v>13</v>
      </c>
      <c r="C2572" s="0" t="n">
        <v>6914</v>
      </c>
      <c r="E2572" s="0" t="n">
        <v>0</v>
      </c>
      <c r="F2572" s="46" t="s">
        <v>1324</v>
      </c>
      <c r="I2572" s="46" t="s">
        <v>189</v>
      </c>
      <c r="U2572" s="0" t="n">
        <v>410</v>
      </c>
      <c r="V2572" s="0" t="n">
        <v>0</v>
      </c>
      <c r="X2572" s="46" t="n">
        <f aca="false">IF(I2572="Male",0,1)</f>
        <v>1</v>
      </c>
      <c r="Y2572" s="46" t="n">
        <f aca="false">IF(OR(I2572="DNB",I2572="Dry DNB"),1,0)</f>
        <v>0</v>
      </c>
      <c r="Z2572" s="0" t="str">
        <f aca="false">IF(ISNUMBER(W2572),A2572-W2572,"")</f>
        <v/>
      </c>
      <c r="AA2572" s="46" t="n">
        <f aca="false">MATCH(A2572,DATAS,0)</f>
        <v>1</v>
      </c>
      <c r="AB2572" s="46" t="n">
        <f aca="false">IF(AND(E2572&gt;0,OR(AND(B2572&gt;=1,B2572&lt;=6),B2572=10)),1,0)</f>
        <v>0</v>
      </c>
      <c r="AC2572" s="46" t="n">
        <f aca="false">IF(AND(E2572&gt;0,B2572=10),1,0)</f>
        <v>0</v>
      </c>
      <c r="AD2572" s="0" t="str">
        <f aca="false">IF(AND(C2571=C2572,AA2571=AA2572-1),AB2571,"")</f>
        <v/>
      </c>
      <c r="AE2572" s="0" t="str">
        <f aca="false">IF(AND(C2571=C2572,AA2571=AA2572-1),AC2571,"")</f>
        <v/>
      </c>
      <c r="AF2572" s="0" t="str">
        <f aca="false">IF(AA2572=1,"",IF(AND(AB2572=1,AD2572&lt;&gt;1),1,0))</f>
        <v/>
      </c>
      <c r="AG2572" s="0" t="str">
        <f aca="false">IF(AA2572=1,"",IF(AND(AC2572=1,AE2572&lt;&gt;1),1,0))</f>
        <v/>
      </c>
      <c r="AH2572" s="51" t="str">
        <f aca="false">IF(AND(E2572&gt;0,AA2572&lt;1,NOT(AND(C2573=C2572,AA2573=AA2572+1))),INDEX(DATAS,AA2572+1),"")</f>
        <v/>
      </c>
      <c r="AI2572" s="51" t="str">
        <f aca="false">IF(AND(AC2572=1,AA2572&lt;1),IF(AND(C2573=C2572,AA2573=AA2572+1),IF(AC2573=1,"",INDEX(DATAS,AA2572+1)),INDEX(DATAS,AA2572+1)),"")</f>
        <v/>
      </c>
    </row>
    <row r="2573" customFormat="false" ht="15" hidden="false" customHeight="false" outlineLevel="0" collapsed="false">
      <c r="A2573" s="51" t="n">
        <v>46309</v>
      </c>
      <c r="B2573" s="0" t="n">
        <v>13</v>
      </c>
      <c r="C2573" s="0" t="n">
        <v>6915</v>
      </c>
      <c r="E2573" s="0" t="n">
        <v>0</v>
      </c>
      <c r="F2573" s="46" t="s">
        <v>1325</v>
      </c>
      <c r="I2573" s="46" t="s">
        <v>189</v>
      </c>
      <c r="U2573" s="0" t="n">
        <v>409</v>
      </c>
      <c r="V2573" s="0" t="n">
        <v>0</v>
      </c>
      <c r="X2573" s="46" t="n">
        <f aca="false">IF(I2573="Male",0,1)</f>
        <v>1</v>
      </c>
      <c r="Y2573" s="46" t="n">
        <f aca="false">IF(OR(I2573="DNB",I2573="Dry DNB"),1,0)</f>
        <v>0</v>
      </c>
      <c r="Z2573" s="0" t="str">
        <f aca="false">IF(ISNUMBER(W2573),A2573-W2573,"")</f>
        <v/>
      </c>
      <c r="AA2573" s="46" t="n">
        <f aca="false">MATCH(A2573,DATAS,0)</f>
        <v>1</v>
      </c>
      <c r="AB2573" s="46" t="n">
        <f aca="false">IF(AND(E2573&gt;0,OR(AND(B2573&gt;=1,B2573&lt;=6),B2573=10)),1,0)</f>
        <v>0</v>
      </c>
      <c r="AC2573" s="46" t="n">
        <f aca="false">IF(AND(E2573&gt;0,B2573=10),1,0)</f>
        <v>0</v>
      </c>
      <c r="AD2573" s="0" t="str">
        <f aca="false">IF(AND(C2572=C2573,AA2572=AA2573-1),AB2572,"")</f>
        <v/>
      </c>
      <c r="AE2573" s="0" t="str">
        <f aca="false">IF(AND(C2572=C2573,AA2572=AA2573-1),AC2572,"")</f>
        <v/>
      </c>
      <c r="AF2573" s="0" t="str">
        <f aca="false">IF(AA2573=1,"",IF(AND(AB2573=1,AD2573&lt;&gt;1),1,0))</f>
        <v/>
      </c>
      <c r="AG2573" s="0" t="str">
        <f aca="false">IF(AA2573=1,"",IF(AND(AC2573=1,AE2573&lt;&gt;1),1,0))</f>
        <v/>
      </c>
      <c r="AH2573" s="51" t="str">
        <f aca="false">IF(AND(E2573&gt;0,AA2573&lt;1,NOT(AND(C2574=C2573,AA2574=AA2573+1))),INDEX(DATAS,AA2573+1),"")</f>
        <v/>
      </c>
      <c r="AI2573" s="51" t="str">
        <f aca="false">IF(AND(AC2573=1,AA2573&lt;1),IF(AND(C2574=C2573,AA2574=AA2573+1),IF(AC2574=1,"",INDEX(DATAS,AA2573+1)),INDEX(DATAS,AA2573+1)),"")</f>
        <v/>
      </c>
    </row>
    <row r="2574" customFormat="false" ht="15" hidden="false" customHeight="false" outlineLevel="0" collapsed="false">
      <c r="A2574" s="51" t="n">
        <v>46309</v>
      </c>
      <c r="B2574" s="0" t="n">
        <v>11</v>
      </c>
      <c r="C2574" s="0" t="n">
        <v>6916</v>
      </c>
      <c r="E2574" s="0" t="n">
        <v>0</v>
      </c>
      <c r="F2574" s="46" t="s">
        <v>1325</v>
      </c>
      <c r="I2574" s="46" t="s">
        <v>181</v>
      </c>
      <c r="U2574" s="0" t="n">
        <v>409</v>
      </c>
      <c r="V2574" s="0" t="n">
        <v>1</v>
      </c>
      <c r="W2574" s="51" t="n">
        <v>46294</v>
      </c>
      <c r="X2574" s="46" t="n">
        <f aca="false">IF(I2574="Male",0,1)</f>
        <v>1</v>
      </c>
      <c r="Y2574" s="46" t="n">
        <f aca="false">IF(OR(I2574="DNB",I2574="Dry DNB"),1,0)</f>
        <v>0</v>
      </c>
      <c r="Z2574" s="46" t="n">
        <f aca="false">IF(ISNUMBER(W2574),A2574-W2574,"")</f>
        <v>15</v>
      </c>
      <c r="AA2574" s="46" t="n">
        <f aca="false">MATCH(A2574,DATAS,0)</f>
        <v>1</v>
      </c>
      <c r="AB2574" s="46" t="n">
        <f aca="false">IF(AND(E2574&gt;0,OR(AND(B2574&gt;=1,B2574&lt;=6),B2574=10)),1,0)</f>
        <v>0</v>
      </c>
      <c r="AC2574" s="46" t="n">
        <f aca="false">IF(AND(E2574&gt;0,B2574=10),1,0)</f>
        <v>0</v>
      </c>
      <c r="AD2574" s="0" t="str">
        <f aca="false">IF(AND(C2573=C2574,AA2573=AA2574-1),AB2573,"")</f>
        <v/>
      </c>
      <c r="AE2574" s="0" t="str">
        <f aca="false">IF(AND(C2573=C2574,AA2573=AA2574-1),AC2573,"")</f>
        <v/>
      </c>
      <c r="AF2574" s="0" t="str">
        <f aca="false">IF(AA2574=1,"",IF(AND(AB2574=1,AD2574&lt;&gt;1),1,0))</f>
        <v/>
      </c>
      <c r="AG2574" s="0" t="str">
        <f aca="false">IF(AA2574=1,"",IF(AND(AC2574=1,AE2574&lt;&gt;1),1,0))</f>
        <v/>
      </c>
      <c r="AH2574" s="51" t="str">
        <f aca="false">IF(AND(E2574&gt;0,AA2574&lt;1,NOT(AND(C2575=C2574,AA2575=AA2574+1))),INDEX(DATAS,AA2574+1),"")</f>
        <v/>
      </c>
      <c r="AI2574" s="51" t="str">
        <f aca="false">IF(AND(AC2574=1,AA2574&lt;1),IF(AND(C2575=C2574,AA2575=AA2574+1),IF(AC2575=1,"",INDEX(DATAS,AA2574+1)),INDEX(DATAS,AA2574+1)),"")</f>
        <v/>
      </c>
    </row>
    <row r="2575" customFormat="false" ht="15" hidden="false" customHeight="false" outlineLevel="0" collapsed="false">
      <c r="A2575" s="51" t="n">
        <v>46309</v>
      </c>
      <c r="B2575" s="0" t="n">
        <v>11</v>
      </c>
      <c r="C2575" s="0" t="n">
        <v>6917</v>
      </c>
      <c r="E2575" s="0" t="n">
        <v>0</v>
      </c>
      <c r="F2575" s="46" t="s">
        <v>1325</v>
      </c>
      <c r="I2575" s="46" t="s">
        <v>181</v>
      </c>
      <c r="U2575" s="0" t="n">
        <v>409</v>
      </c>
      <c r="V2575" s="0" t="n">
        <v>1</v>
      </c>
      <c r="W2575" s="51" t="n">
        <v>46303</v>
      </c>
      <c r="X2575" s="46" t="n">
        <f aca="false">IF(I2575="Male",0,1)</f>
        <v>1</v>
      </c>
      <c r="Y2575" s="46" t="n">
        <f aca="false">IF(OR(I2575="DNB",I2575="Dry DNB"),1,0)</f>
        <v>0</v>
      </c>
      <c r="Z2575" s="46" t="n">
        <f aca="false">IF(ISNUMBER(W2575),A2575-W2575,"")</f>
        <v>6</v>
      </c>
      <c r="AA2575" s="46" t="n">
        <f aca="false">MATCH(A2575,DATAS,0)</f>
        <v>1</v>
      </c>
      <c r="AB2575" s="46" t="n">
        <f aca="false">IF(AND(E2575&gt;0,OR(AND(B2575&gt;=1,B2575&lt;=6),B2575=10)),1,0)</f>
        <v>0</v>
      </c>
      <c r="AC2575" s="46" t="n">
        <f aca="false">IF(AND(E2575&gt;0,B2575=10),1,0)</f>
        <v>0</v>
      </c>
      <c r="AD2575" s="0" t="str">
        <f aca="false">IF(AND(C2574=C2575,AA2574=AA2575-1),AB2574,"")</f>
        <v/>
      </c>
      <c r="AE2575" s="0" t="str">
        <f aca="false">IF(AND(C2574=C2575,AA2574=AA2575-1),AC2574,"")</f>
        <v/>
      </c>
      <c r="AF2575" s="0" t="str">
        <f aca="false">IF(AA2575=1,"",IF(AND(AB2575=1,AD2575&lt;&gt;1),1,0))</f>
        <v/>
      </c>
      <c r="AG2575" s="0" t="str">
        <f aca="false">IF(AA2575=1,"",IF(AND(AC2575=1,AE2575&lt;&gt;1),1,0))</f>
        <v/>
      </c>
      <c r="AH2575" s="51" t="str">
        <f aca="false">IF(AND(E2575&gt;0,AA2575&lt;1,NOT(AND(C2576=C2575,AA2576=AA2575+1))),INDEX(DATAS,AA2575+1),"")</f>
        <v/>
      </c>
      <c r="AI2575" s="51" t="str">
        <f aca="false">IF(AND(AC2575=1,AA2575&lt;1),IF(AND(C2576=C2575,AA2576=AA2575+1),IF(AC2576=1,"",INDEX(DATAS,AA2575+1)),INDEX(DATAS,AA2575+1)),"")</f>
        <v/>
      </c>
    </row>
    <row r="2576" customFormat="false" ht="15" hidden="false" customHeight="false" outlineLevel="0" collapsed="false">
      <c r="A2576" s="51" t="n">
        <v>46309</v>
      </c>
      <c r="B2576" s="0" t="n">
        <v>13</v>
      </c>
      <c r="C2576" s="0" t="n">
        <v>6918</v>
      </c>
      <c r="E2576" s="0" t="n">
        <v>0</v>
      </c>
      <c r="F2576" s="46" t="s">
        <v>1325</v>
      </c>
      <c r="I2576" s="46" t="s">
        <v>189</v>
      </c>
      <c r="U2576" s="0" t="n">
        <v>409</v>
      </c>
      <c r="V2576" s="0" t="n">
        <v>0</v>
      </c>
      <c r="X2576" s="46" t="n">
        <f aca="false">IF(I2576="Male",0,1)</f>
        <v>1</v>
      </c>
      <c r="Y2576" s="46" t="n">
        <f aca="false">IF(OR(I2576="DNB",I2576="Dry DNB"),1,0)</f>
        <v>0</v>
      </c>
      <c r="Z2576" s="0" t="str">
        <f aca="false">IF(ISNUMBER(W2576),A2576-W2576,"")</f>
        <v/>
      </c>
      <c r="AA2576" s="46" t="n">
        <f aca="false">MATCH(A2576,DATAS,0)</f>
        <v>1</v>
      </c>
      <c r="AB2576" s="46" t="n">
        <f aca="false">IF(AND(E2576&gt;0,OR(AND(B2576&gt;=1,B2576&lt;=6),B2576=10)),1,0)</f>
        <v>0</v>
      </c>
      <c r="AC2576" s="46" t="n">
        <f aca="false">IF(AND(E2576&gt;0,B2576=10),1,0)</f>
        <v>0</v>
      </c>
      <c r="AD2576" s="0" t="str">
        <f aca="false">IF(AND(C2575=C2576,AA2575=AA2576-1),AB2575,"")</f>
        <v/>
      </c>
      <c r="AE2576" s="0" t="str">
        <f aca="false">IF(AND(C2575=C2576,AA2575=AA2576-1),AC2575,"")</f>
        <v/>
      </c>
      <c r="AF2576" s="0" t="str">
        <f aca="false">IF(AA2576=1,"",IF(AND(AB2576=1,AD2576&lt;&gt;1),1,0))</f>
        <v/>
      </c>
      <c r="AG2576" s="0" t="str">
        <f aca="false">IF(AA2576=1,"",IF(AND(AC2576=1,AE2576&lt;&gt;1),1,0))</f>
        <v/>
      </c>
      <c r="AH2576" s="51" t="str">
        <f aca="false">IF(AND(E2576&gt;0,AA2576&lt;1,NOT(AND(C2577=C2576,AA2577=AA2576+1))),INDEX(DATAS,AA2576+1),"")</f>
        <v/>
      </c>
      <c r="AI2576" s="51" t="str">
        <f aca="false">IF(AND(AC2576=1,AA2576&lt;1),IF(AND(C2577=C2576,AA2577=AA2576+1),IF(AC2577=1,"",INDEX(DATAS,AA2576+1)),INDEX(DATAS,AA2576+1)),"")</f>
        <v/>
      </c>
    </row>
    <row r="2577" customFormat="false" ht="15" hidden="false" customHeight="false" outlineLevel="0" collapsed="false">
      <c r="A2577" s="51" t="n">
        <v>46309</v>
      </c>
      <c r="B2577" s="0" t="n">
        <v>11</v>
      </c>
      <c r="C2577" s="0" t="n">
        <v>6919</v>
      </c>
      <c r="E2577" s="0" t="n">
        <v>0</v>
      </c>
      <c r="F2577" s="46" t="s">
        <v>1326</v>
      </c>
      <c r="I2577" s="46" t="s">
        <v>181</v>
      </c>
      <c r="U2577" s="0" t="n">
        <v>408</v>
      </c>
      <c r="V2577" s="0" t="n">
        <v>1</v>
      </c>
      <c r="W2577" s="51" t="n">
        <v>46293</v>
      </c>
      <c r="X2577" s="46" t="n">
        <f aca="false">IF(I2577="Male",0,1)</f>
        <v>1</v>
      </c>
      <c r="Y2577" s="46" t="n">
        <f aca="false">IF(OR(I2577="DNB",I2577="Dry DNB"),1,0)</f>
        <v>0</v>
      </c>
      <c r="Z2577" s="46" t="n">
        <f aca="false">IF(ISNUMBER(W2577),A2577-W2577,"")</f>
        <v>16</v>
      </c>
      <c r="AA2577" s="46" t="n">
        <f aca="false">MATCH(A2577,DATAS,0)</f>
        <v>1</v>
      </c>
      <c r="AB2577" s="46" t="n">
        <f aca="false">IF(AND(E2577&gt;0,OR(AND(B2577&gt;=1,B2577&lt;=6),B2577=10)),1,0)</f>
        <v>0</v>
      </c>
      <c r="AC2577" s="46" t="n">
        <f aca="false">IF(AND(E2577&gt;0,B2577=10),1,0)</f>
        <v>0</v>
      </c>
      <c r="AD2577" s="0" t="str">
        <f aca="false">IF(AND(C2576=C2577,AA2576=AA2577-1),AB2576,"")</f>
        <v/>
      </c>
      <c r="AE2577" s="0" t="str">
        <f aca="false">IF(AND(C2576=C2577,AA2576=AA2577-1),AC2576,"")</f>
        <v/>
      </c>
      <c r="AF2577" s="0" t="str">
        <f aca="false">IF(AA2577=1,"",IF(AND(AB2577=1,AD2577&lt;&gt;1),1,0))</f>
        <v/>
      </c>
      <c r="AG2577" s="0" t="str">
        <f aca="false">IF(AA2577=1,"",IF(AND(AC2577=1,AE2577&lt;&gt;1),1,0))</f>
        <v/>
      </c>
      <c r="AH2577" s="51" t="str">
        <f aca="false">IF(AND(E2577&gt;0,AA2577&lt;1,NOT(AND(C2578=C2577,AA2578=AA2577+1))),INDEX(DATAS,AA2577+1),"")</f>
        <v/>
      </c>
      <c r="AI2577" s="51" t="str">
        <f aca="false">IF(AND(AC2577=1,AA2577&lt;1),IF(AND(C2578=C2577,AA2578=AA2577+1),IF(AC2578=1,"",INDEX(DATAS,AA2577+1)),INDEX(DATAS,AA2577+1)),"")</f>
        <v/>
      </c>
    </row>
    <row r="2578" customFormat="false" ht="15" hidden="false" customHeight="false" outlineLevel="0" collapsed="false">
      <c r="A2578" s="51" t="n">
        <v>46309</v>
      </c>
      <c r="B2578" s="0" t="n">
        <v>13</v>
      </c>
      <c r="C2578" s="0" t="n">
        <v>6920</v>
      </c>
      <c r="E2578" s="0" t="n">
        <v>0</v>
      </c>
      <c r="F2578" s="46" t="s">
        <v>1327</v>
      </c>
      <c r="I2578" s="46" t="s">
        <v>189</v>
      </c>
      <c r="U2578" s="0" t="n">
        <v>406</v>
      </c>
      <c r="V2578" s="0" t="n">
        <v>0</v>
      </c>
      <c r="X2578" s="46" t="n">
        <f aca="false">IF(I2578="Male",0,1)</f>
        <v>1</v>
      </c>
      <c r="Y2578" s="46" t="n">
        <f aca="false">IF(OR(I2578="DNB",I2578="Dry DNB"),1,0)</f>
        <v>0</v>
      </c>
      <c r="Z2578" s="0" t="str">
        <f aca="false">IF(ISNUMBER(W2578),A2578-W2578,"")</f>
        <v/>
      </c>
      <c r="AA2578" s="46" t="n">
        <f aca="false">MATCH(A2578,DATAS,0)</f>
        <v>1</v>
      </c>
      <c r="AB2578" s="46" t="n">
        <f aca="false">IF(AND(E2578&gt;0,OR(AND(B2578&gt;=1,B2578&lt;=6),B2578=10)),1,0)</f>
        <v>0</v>
      </c>
      <c r="AC2578" s="46" t="n">
        <f aca="false">IF(AND(E2578&gt;0,B2578=10),1,0)</f>
        <v>0</v>
      </c>
      <c r="AD2578" s="0" t="str">
        <f aca="false">IF(AND(C2577=C2578,AA2577=AA2578-1),AB2577,"")</f>
        <v/>
      </c>
      <c r="AE2578" s="0" t="str">
        <f aca="false">IF(AND(C2577=C2578,AA2577=AA2578-1),AC2577,"")</f>
        <v/>
      </c>
      <c r="AF2578" s="0" t="str">
        <f aca="false">IF(AA2578=1,"",IF(AND(AB2578=1,AD2578&lt;&gt;1),1,0))</f>
        <v/>
      </c>
      <c r="AG2578" s="0" t="str">
        <f aca="false">IF(AA2578=1,"",IF(AND(AC2578=1,AE2578&lt;&gt;1),1,0))</f>
        <v/>
      </c>
      <c r="AH2578" s="51" t="str">
        <f aca="false">IF(AND(E2578&gt;0,AA2578&lt;1,NOT(AND(C2579=C2578,AA2579=AA2578+1))),INDEX(DATAS,AA2578+1),"")</f>
        <v/>
      </c>
      <c r="AI2578" s="51" t="str">
        <f aca="false">IF(AND(AC2578=1,AA2578&lt;1),IF(AND(C2579=C2578,AA2579=AA2578+1),IF(AC2579=1,"",INDEX(DATAS,AA2578+1)),INDEX(DATAS,AA2578+1)),"")</f>
        <v/>
      </c>
    </row>
    <row r="2579" customFormat="false" ht="15" hidden="false" customHeight="false" outlineLevel="0" collapsed="false">
      <c r="A2579" s="51" t="n">
        <v>46309</v>
      </c>
      <c r="B2579" s="0" t="n">
        <v>11</v>
      </c>
      <c r="C2579" s="0" t="n">
        <v>6921</v>
      </c>
      <c r="E2579" s="0" t="n">
        <v>0</v>
      </c>
      <c r="F2579" s="46" t="s">
        <v>1327</v>
      </c>
      <c r="I2579" s="46" t="s">
        <v>181</v>
      </c>
      <c r="U2579" s="0" t="n">
        <v>406</v>
      </c>
      <c r="V2579" s="0" t="n">
        <v>1</v>
      </c>
      <c r="W2579" s="51" t="n">
        <v>46309</v>
      </c>
      <c r="X2579" s="46" t="n">
        <f aca="false">IF(I2579="Male",0,1)</f>
        <v>1</v>
      </c>
      <c r="Y2579" s="46" t="n">
        <f aca="false">IF(OR(I2579="DNB",I2579="Dry DNB"),1,0)</f>
        <v>0</v>
      </c>
      <c r="Z2579" s="46" t="n">
        <f aca="false">IF(ISNUMBER(W2579),A2579-W2579,"")</f>
        <v>0</v>
      </c>
      <c r="AA2579" s="46" t="n">
        <f aca="false">MATCH(A2579,DATAS,0)</f>
        <v>1</v>
      </c>
      <c r="AB2579" s="46" t="n">
        <f aca="false">IF(AND(E2579&gt;0,OR(AND(B2579&gt;=1,B2579&lt;=6),B2579=10)),1,0)</f>
        <v>0</v>
      </c>
      <c r="AC2579" s="46" t="n">
        <f aca="false">IF(AND(E2579&gt;0,B2579=10),1,0)</f>
        <v>0</v>
      </c>
      <c r="AD2579" s="0" t="str">
        <f aca="false">IF(AND(C2578=C2579,AA2578=AA2579-1),AB2578,"")</f>
        <v/>
      </c>
      <c r="AE2579" s="0" t="str">
        <f aca="false">IF(AND(C2578=C2579,AA2578=AA2579-1),AC2578,"")</f>
        <v/>
      </c>
      <c r="AF2579" s="0" t="str">
        <f aca="false">IF(AA2579=1,"",IF(AND(AB2579=1,AD2579&lt;&gt;1),1,0))</f>
        <v/>
      </c>
      <c r="AG2579" s="0" t="str">
        <f aca="false">IF(AA2579=1,"",IF(AND(AC2579=1,AE2579&lt;&gt;1),1,0))</f>
        <v/>
      </c>
      <c r="AH2579" s="51" t="str">
        <f aca="false">IF(AND(E2579&gt;0,AA2579&lt;1,NOT(AND(C2580=C2579,AA2580=AA2579+1))),INDEX(DATAS,AA2579+1),"")</f>
        <v/>
      </c>
      <c r="AI2579" s="51" t="str">
        <f aca="false">IF(AND(AC2579=1,AA2579&lt;1),IF(AND(C2580=C2579,AA2580=AA2579+1),IF(AC2580=1,"",INDEX(DATAS,AA2579+1)),INDEX(DATAS,AA2579+1)),"")</f>
        <v/>
      </c>
    </row>
    <row r="2580" customFormat="false" ht="15" hidden="false" customHeight="false" outlineLevel="0" collapsed="false">
      <c r="A2580" s="51" t="n">
        <v>46309</v>
      </c>
      <c r="B2580" s="0" t="n">
        <v>13</v>
      </c>
      <c r="C2580" s="0" t="n">
        <v>6922</v>
      </c>
      <c r="E2580" s="0" t="n">
        <v>0</v>
      </c>
      <c r="F2580" s="46" t="s">
        <v>1327</v>
      </c>
      <c r="I2580" s="46" t="s">
        <v>189</v>
      </c>
      <c r="U2580" s="0" t="n">
        <v>406</v>
      </c>
      <c r="V2580" s="0" t="n">
        <v>0</v>
      </c>
      <c r="X2580" s="46" t="n">
        <f aca="false">IF(I2580="Male",0,1)</f>
        <v>1</v>
      </c>
      <c r="Y2580" s="46" t="n">
        <f aca="false">IF(OR(I2580="DNB",I2580="Dry DNB"),1,0)</f>
        <v>0</v>
      </c>
      <c r="Z2580" s="0" t="str">
        <f aca="false">IF(ISNUMBER(W2580),A2580-W2580,"")</f>
        <v/>
      </c>
      <c r="AA2580" s="46" t="n">
        <f aca="false">MATCH(A2580,DATAS,0)</f>
        <v>1</v>
      </c>
      <c r="AB2580" s="46" t="n">
        <f aca="false">IF(AND(E2580&gt;0,OR(AND(B2580&gt;=1,B2580&lt;=6),B2580=10)),1,0)</f>
        <v>0</v>
      </c>
      <c r="AC2580" s="46" t="n">
        <f aca="false">IF(AND(E2580&gt;0,B2580=10),1,0)</f>
        <v>0</v>
      </c>
      <c r="AD2580" s="0" t="str">
        <f aca="false">IF(AND(C2579=C2580,AA2579=AA2580-1),AB2579,"")</f>
        <v/>
      </c>
      <c r="AE2580" s="0" t="str">
        <f aca="false">IF(AND(C2579=C2580,AA2579=AA2580-1),AC2579,"")</f>
        <v/>
      </c>
      <c r="AF2580" s="0" t="str">
        <f aca="false">IF(AA2580=1,"",IF(AND(AB2580=1,AD2580&lt;&gt;1),1,0))</f>
        <v/>
      </c>
      <c r="AG2580" s="0" t="str">
        <f aca="false">IF(AA2580=1,"",IF(AND(AC2580=1,AE2580&lt;&gt;1),1,0))</f>
        <v/>
      </c>
      <c r="AH2580" s="51" t="str">
        <f aca="false">IF(AND(E2580&gt;0,AA2580&lt;1,NOT(AND(C2581=C2580,AA2581=AA2580+1))),INDEX(DATAS,AA2580+1),"")</f>
        <v/>
      </c>
      <c r="AI2580" s="51" t="str">
        <f aca="false">IF(AND(AC2580=1,AA2580&lt;1),IF(AND(C2581=C2580,AA2581=AA2580+1),IF(AC2581=1,"",INDEX(DATAS,AA2580+1)),INDEX(DATAS,AA2580+1)),"")</f>
        <v/>
      </c>
    </row>
    <row r="2581" customFormat="false" ht="15" hidden="false" customHeight="false" outlineLevel="0" collapsed="false">
      <c r="A2581" s="51" t="n">
        <v>46309</v>
      </c>
      <c r="B2581" s="0" t="n">
        <v>13</v>
      </c>
      <c r="C2581" s="0" t="n">
        <v>6923</v>
      </c>
      <c r="E2581" s="0" t="n">
        <v>0</v>
      </c>
      <c r="F2581" s="46" t="s">
        <v>1327</v>
      </c>
      <c r="I2581" s="46" t="s">
        <v>189</v>
      </c>
      <c r="U2581" s="0" t="n">
        <v>406</v>
      </c>
      <c r="V2581" s="0" t="n">
        <v>0</v>
      </c>
      <c r="X2581" s="46" t="n">
        <f aca="false">IF(I2581="Male",0,1)</f>
        <v>1</v>
      </c>
      <c r="Y2581" s="46" t="n">
        <f aca="false">IF(OR(I2581="DNB",I2581="Dry DNB"),1,0)</f>
        <v>0</v>
      </c>
      <c r="Z2581" s="0" t="str">
        <f aca="false">IF(ISNUMBER(W2581),A2581-W2581,"")</f>
        <v/>
      </c>
      <c r="AA2581" s="46" t="n">
        <f aca="false">MATCH(A2581,DATAS,0)</f>
        <v>1</v>
      </c>
      <c r="AB2581" s="46" t="n">
        <f aca="false">IF(AND(E2581&gt;0,OR(AND(B2581&gt;=1,B2581&lt;=6),B2581=10)),1,0)</f>
        <v>0</v>
      </c>
      <c r="AC2581" s="46" t="n">
        <f aca="false">IF(AND(E2581&gt;0,B2581=10),1,0)</f>
        <v>0</v>
      </c>
      <c r="AD2581" s="0" t="str">
        <f aca="false">IF(AND(C2580=C2581,AA2580=AA2581-1),AB2580,"")</f>
        <v/>
      </c>
      <c r="AE2581" s="0" t="str">
        <f aca="false">IF(AND(C2580=C2581,AA2580=AA2581-1),AC2580,"")</f>
        <v/>
      </c>
      <c r="AF2581" s="0" t="str">
        <f aca="false">IF(AA2581=1,"",IF(AND(AB2581=1,AD2581&lt;&gt;1),1,0))</f>
        <v/>
      </c>
      <c r="AG2581" s="0" t="str">
        <f aca="false">IF(AA2581=1,"",IF(AND(AC2581=1,AE2581&lt;&gt;1),1,0))</f>
        <v/>
      </c>
      <c r="AH2581" s="51" t="str">
        <f aca="false">IF(AND(E2581&gt;0,AA2581&lt;1,NOT(AND(C2582=C2581,AA2582=AA2581+1))),INDEX(DATAS,AA2581+1),"")</f>
        <v/>
      </c>
      <c r="AI2581" s="51" t="str">
        <f aca="false">IF(AND(AC2581=1,AA2581&lt;1),IF(AND(C2582=C2581,AA2582=AA2581+1),IF(AC2582=1,"",INDEX(DATAS,AA2581+1)),INDEX(DATAS,AA2581+1)),"")</f>
        <v/>
      </c>
    </row>
    <row r="2582" customFormat="false" ht="15" hidden="false" customHeight="false" outlineLevel="0" collapsed="false">
      <c r="A2582" s="51" t="n">
        <v>46309</v>
      </c>
      <c r="B2582" s="0" t="n">
        <v>11</v>
      </c>
      <c r="C2582" s="0" t="n">
        <v>6924</v>
      </c>
      <c r="E2582" s="0" t="n">
        <v>0</v>
      </c>
      <c r="F2582" s="46" t="s">
        <v>1328</v>
      </c>
      <c r="I2582" s="46" t="s">
        <v>181</v>
      </c>
      <c r="U2582" s="0" t="n">
        <v>405</v>
      </c>
      <c r="V2582" s="0" t="n">
        <v>1</v>
      </c>
      <c r="W2582" s="51" t="n">
        <v>46302</v>
      </c>
      <c r="X2582" s="46" t="n">
        <f aca="false">IF(I2582="Male",0,1)</f>
        <v>1</v>
      </c>
      <c r="Y2582" s="46" t="n">
        <f aca="false">IF(OR(I2582="DNB",I2582="Dry DNB"),1,0)</f>
        <v>0</v>
      </c>
      <c r="Z2582" s="46" t="n">
        <f aca="false">IF(ISNUMBER(W2582),A2582-W2582,"")</f>
        <v>7</v>
      </c>
      <c r="AA2582" s="46" t="n">
        <f aca="false">MATCH(A2582,DATAS,0)</f>
        <v>1</v>
      </c>
      <c r="AB2582" s="46" t="n">
        <f aca="false">IF(AND(E2582&gt;0,OR(AND(B2582&gt;=1,B2582&lt;=6),B2582=10)),1,0)</f>
        <v>0</v>
      </c>
      <c r="AC2582" s="46" t="n">
        <f aca="false">IF(AND(E2582&gt;0,B2582=10),1,0)</f>
        <v>0</v>
      </c>
      <c r="AD2582" s="0" t="str">
        <f aca="false">IF(AND(C2581=C2582,AA2581=AA2582-1),AB2581,"")</f>
        <v/>
      </c>
      <c r="AE2582" s="0" t="str">
        <f aca="false">IF(AND(C2581=C2582,AA2581=AA2582-1),AC2581,"")</f>
        <v/>
      </c>
      <c r="AF2582" s="0" t="str">
        <f aca="false">IF(AA2582=1,"",IF(AND(AB2582=1,AD2582&lt;&gt;1),1,0))</f>
        <v/>
      </c>
      <c r="AG2582" s="0" t="str">
        <f aca="false">IF(AA2582=1,"",IF(AND(AC2582=1,AE2582&lt;&gt;1),1,0))</f>
        <v/>
      </c>
      <c r="AH2582" s="51" t="str">
        <f aca="false">IF(AND(E2582&gt;0,AA2582&lt;1,NOT(AND(C2583=C2582,AA2583=AA2582+1))),INDEX(DATAS,AA2582+1),"")</f>
        <v/>
      </c>
      <c r="AI2582" s="51" t="str">
        <f aca="false">IF(AND(AC2582=1,AA2582&lt;1),IF(AND(C2583=C2582,AA2583=AA2582+1),IF(AC2583=1,"",INDEX(DATAS,AA2582+1)),INDEX(DATAS,AA2582+1)),"")</f>
        <v/>
      </c>
    </row>
    <row r="2583" customFormat="false" ht="15" hidden="false" customHeight="false" outlineLevel="0" collapsed="false">
      <c r="A2583" s="51" t="n">
        <v>46309</v>
      </c>
      <c r="B2583" s="0" t="n">
        <v>11</v>
      </c>
      <c r="C2583" s="0" t="n">
        <v>6925</v>
      </c>
      <c r="E2583" s="0" t="n">
        <v>0</v>
      </c>
      <c r="F2583" s="46" t="s">
        <v>1328</v>
      </c>
      <c r="I2583" s="46" t="s">
        <v>181</v>
      </c>
      <c r="U2583" s="0" t="n">
        <v>405</v>
      </c>
      <c r="V2583" s="0" t="n">
        <v>1</v>
      </c>
      <c r="W2583" s="51" t="n">
        <v>46303</v>
      </c>
      <c r="X2583" s="46" t="n">
        <f aca="false">IF(I2583="Male",0,1)</f>
        <v>1</v>
      </c>
      <c r="Y2583" s="46" t="n">
        <f aca="false">IF(OR(I2583="DNB",I2583="Dry DNB"),1,0)</f>
        <v>0</v>
      </c>
      <c r="Z2583" s="46" t="n">
        <f aca="false">IF(ISNUMBER(W2583),A2583-W2583,"")</f>
        <v>6</v>
      </c>
      <c r="AA2583" s="46" t="n">
        <f aca="false">MATCH(A2583,DATAS,0)</f>
        <v>1</v>
      </c>
      <c r="AB2583" s="46" t="n">
        <f aca="false">IF(AND(E2583&gt;0,OR(AND(B2583&gt;=1,B2583&lt;=6),B2583=10)),1,0)</f>
        <v>0</v>
      </c>
      <c r="AC2583" s="46" t="n">
        <f aca="false">IF(AND(E2583&gt;0,B2583=10),1,0)</f>
        <v>0</v>
      </c>
      <c r="AD2583" s="0" t="str">
        <f aca="false">IF(AND(C2582=C2583,AA2582=AA2583-1),AB2582,"")</f>
        <v/>
      </c>
      <c r="AE2583" s="0" t="str">
        <f aca="false">IF(AND(C2582=C2583,AA2582=AA2583-1),AC2582,"")</f>
        <v/>
      </c>
      <c r="AF2583" s="0" t="str">
        <f aca="false">IF(AA2583=1,"",IF(AND(AB2583=1,AD2583&lt;&gt;1),1,0))</f>
        <v/>
      </c>
      <c r="AG2583" s="0" t="str">
        <f aca="false">IF(AA2583=1,"",IF(AND(AC2583=1,AE2583&lt;&gt;1),1,0))</f>
        <v/>
      </c>
      <c r="AH2583" s="51" t="str">
        <f aca="false">IF(AND(E2583&gt;0,AA2583&lt;1,NOT(AND(C2584=C2583,AA2584=AA2583+1))),INDEX(DATAS,AA2583+1),"")</f>
        <v/>
      </c>
      <c r="AI2583" s="51" t="str">
        <f aca="false">IF(AND(AC2583=1,AA2583&lt;1),IF(AND(C2584=C2583,AA2584=AA2583+1),IF(AC2584=1,"",INDEX(DATAS,AA2583+1)),INDEX(DATAS,AA2583+1)),"")</f>
        <v/>
      </c>
    </row>
    <row r="2584" customFormat="false" ht="15" hidden="false" customHeight="false" outlineLevel="0" collapsed="false">
      <c r="A2584" s="51" t="n">
        <v>46309</v>
      </c>
      <c r="B2584" s="0" t="n">
        <v>11</v>
      </c>
      <c r="C2584" s="0" t="n">
        <v>6926</v>
      </c>
      <c r="E2584" s="0" t="n">
        <v>0</v>
      </c>
      <c r="F2584" s="46" t="s">
        <v>1328</v>
      </c>
      <c r="I2584" s="46" t="s">
        <v>181</v>
      </c>
      <c r="U2584" s="0" t="n">
        <v>405</v>
      </c>
      <c r="V2584" s="0" t="n">
        <v>1</v>
      </c>
      <c r="W2584" s="51" t="n">
        <v>46303</v>
      </c>
      <c r="X2584" s="46" t="n">
        <f aca="false">IF(I2584="Male",0,1)</f>
        <v>1</v>
      </c>
      <c r="Y2584" s="46" t="n">
        <f aca="false">IF(OR(I2584="DNB",I2584="Dry DNB"),1,0)</f>
        <v>0</v>
      </c>
      <c r="Z2584" s="46" t="n">
        <f aca="false">IF(ISNUMBER(W2584),A2584-W2584,"")</f>
        <v>6</v>
      </c>
      <c r="AA2584" s="46" t="n">
        <f aca="false">MATCH(A2584,DATAS,0)</f>
        <v>1</v>
      </c>
      <c r="AB2584" s="46" t="n">
        <f aca="false">IF(AND(E2584&gt;0,OR(AND(B2584&gt;=1,B2584&lt;=6),B2584=10)),1,0)</f>
        <v>0</v>
      </c>
      <c r="AC2584" s="46" t="n">
        <f aca="false">IF(AND(E2584&gt;0,B2584=10),1,0)</f>
        <v>0</v>
      </c>
      <c r="AD2584" s="0" t="str">
        <f aca="false">IF(AND(C2583=C2584,AA2583=AA2584-1),AB2583,"")</f>
        <v/>
      </c>
      <c r="AE2584" s="0" t="str">
        <f aca="false">IF(AND(C2583=C2584,AA2583=AA2584-1),AC2583,"")</f>
        <v/>
      </c>
      <c r="AF2584" s="0" t="str">
        <f aca="false">IF(AA2584=1,"",IF(AND(AB2584=1,AD2584&lt;&gt;1),1,0))</f>
        <v/>
      </c>
      <c r="AG2584" s="0" t="str">
        <f aca="false">IF(AA2584=1,"",IF(AND(AC2584=1,AE2584&lt;&gt;1),1,0))</f>
        <v/>
      </c>
      <c r="AH2584" s="51" t="str">
        <f aca="false">IF(AND(E2584&gt;0,AA2584&lt;1,NOT(AND(C2585=C2584,AA2585=AA2584+1))),INDEX(DATAS,AA2584+1),"")</f>
        <v/>
      </c>
      <c r="AI2584" s="51" t="str">
        <f aca="false">IF(AND(AC2584=1,AA2584&lt;1),IF(AND(C2585=C2584,AA2585=AA2584+1),IF(AC2585=1,"",INDEX(DATAS,AA2584+1)),INDEX(DATAS,AA2584+1)),"")</f>
        <v/>
      </c>
    </row>
    <row r="2585" customFormat="false" ht="15" hidden="false" customHeight="false" outlineLevel="0" collapsed="false">
      <c r="A2585" s="51" t="n">
        <v>46309</v>
      </c>
      <c r="B2585" s="0" t="n">
        <v>13</v>
      </c>
      <c r="C2585" s="0" t="n">
        <v>6927</v>
      </c>
      <c r="E2585" s="0" t="n">
        <v>0</v>
      </c>
      <c r="F2585" s="46" t="s">
        <v>1329</v>
      </c>
      <c r="I2585" s="46" t="s">
        <v>189</v>
      </c>
      <c r="U2585" s="0" t="n">
        <v>403</v>
      </c>
      <c r="V2585" s="0" t="n">
        <v>0</v>
      </c>
      <c r="X2585" s="46" t="n">
        <f aca="false">IF(I2585="Male",0,1)</f>
        <v>1</v>
      </c>
      <c r="Y2585" s="46" t="n">
        <f aca="false">IF(OR(I2585="DNB",I2585="Dry DNB"),1,0)</f>
        <v>0</v>
      </c>
      <c r="Z2585" s="0" t="str">
        <f aca="false">IF(ISNUMBER(W2585),A2585-W2585,"")</f>
        <v/>
      </c>
      <c r="AA2585" s="46" t="n">
        <f aca="false">MATCH(A2585,DATAS,0)</f>
        <v>1</v>
      </c>
      <c r="AB2585" s="46" t="n">
        <f aca="false">IF(AND(E2585&gt;0,OR(AND(B2585&gt;=1,B2585&lt;=6),B2585=10)),1,0)</f>
        <v>0</v>
      </c>
      <c r="AC2585" s="46" t="n">
        <f aca="false">IF(AND(E2585&gt;0,B2585=10),1,0)</f>
        <v>0</v>
      </c>
      <c r="AD2585" s="0" t="str">
        <f aca="false">IF(AND(C2584=C2585,AA2584=AA2585-1),AB2584,"")</f>
        <v/>
      </c>
      <c r="AE2585" s="0" t="str">
        <f aca="false">IF(AND(C2584=C2585,AA2584=AA2585-1),AC2584,"")</f>
        <v/>
      </c>
      <c r="AF2585" s="0" t="str">
        <f aca="false">IF(AA2585=1,"",IF(AND(AB2585=1,AD2585&lt;&gt;1),1,0))</f>
        <v/>
      </c>
      <c r="AG2585" s="0" t="str">
        <f aca="false">IF(AA2585=1,"",IF(AND(AC2585=1,AE2585&lt;&gt;1),1,0))</f>
        <v/>
      </c>
      <c r="AH2585" s="51" t="str">
        <f aca="false">IF(AND(E2585&gt;0,AA2585&lt;1,NOT(AND(C2586=C2585,AA2586=AA2585+1))),INDEX(DATAS,AA2585+1),"")</f>
        <v/>
      </c>
      <c r="AI2585" s="51" t="str">
        <f aca="false">IF(AND(AC2585=1,AA2585&lt;1),IF(AND(C2586=C2585,AA2586=AA2585+1),IF(AC2586=1,"",INDEX(DATAS,AA2585+1)),INDEX(DATAS,AA2585+1)),"")</f>
        <v/>
      </c>
    </row>
    <row r="2586" customFormat="false" ht="15" hidden="false" customHeight="false" outlineLevel="0" collapsed="false">
      <c r="A2586" s="51" t="n">
        <v>46309</v>
      </c>
      <c r="B2586" s="0" t="n">
        <v>13</v>
      </c>
      <c r="C2586" s="0" t="n">
        <v>6928</v>
      </c>
      <c r="E2586" s="0" t="n">
        <v>0</v>
      </c>
      <c r="F2586" s="46" t="s">
        <v>1330</v>
      </c>
      <c r="I2586" s="46" t="s">
        <v>189</v>
      </c>
      <c r="U2586" s="0" t="n">
        <v>402</v>
      </c>
      <c r="V2586" s="0" t="n">
        <v>0</v>
      </c>
      <c r="X2586" s="46" t="n">
        <f aca="false">IF(I2586="Male",0,1)</f>
        <v>1</v>
      </c>
      <c r="Y2586" s="46" t="n">
        <f aca="false">IF(OR(I2586="DNB",I2586="Dry DNB"),1,0)</f>
        <v>0</v>
      </c>
      <c r="Z2586" s="0" t="str">
        <f aca="false">IF(ISNUMBER(W2586),A2586-W2586,"")</f>
        <v/>
      </c>
      <c r="AA2586" s="46" t="n">
        <f aca="false">MATCH(A2586,DATAS,0)</f>
        <v>1</v>
      </c>
      <c r="AB2586" s="46" t="n">
        <f aca="false">IF(AND(E2586&gt;0,OR(AND(B2586&gt;=1,B2586&lt;=6),B2586=10)),1,0)</f>
        <v>0</v>
      </c>
      <c r="AC2586" s="46" t="n">
        <f aca="false">IF(AND(E2586&gt;0,B2586=10),1,0)</f>
        <v>0</v>
      </c>
      <c r="AD2586" s="0" t="str">
        <f aca="false">IF(AND(C2585=C2586,AA2585=AA2586-1),AB2585,"")</f>
        <v/>
      </c>
      <c r="AE2586" s="0" t="str">
        <f aca="false">IF(AND(C2585=C2586,AA2585=AA2586-1),AC2585,"")</f>
        <v/>
      </c>
      <c r="AF2586" s="0" t="str">
        <f aca="false">IF(AA2586=1,"",IF(AND(AB2586=1,AD2586&lt;&gt;1),1,0))</f>
        <v/>
      </c>
      <c r="AG2586" s="0" t="str">
        <f aca="false">IF(AA2586=1,"",IF(AND(AC2586=1,AE2586&lt;&gt;1),1,0))</f>
        <v/>
      </c>
      <c r="AH2586" s="51" t="str">
        <f aca="false">IF(AND(E2586&gt;0,AA2586&lt;1,NOT(AND(C2587=C2586,AA2587=AA2586+1))),INDEX(DATAS,AA2586+1),"")</f>
        <v/>
      </c>
      <c r="AI2586" s="51" t="str">
        <f aca="false">IF(AND(AC2586=1,AA2586&lt;1),IF(AND(C2587=C2586,AA2587=AA2586+1),IF(AC2587=1,"",INDEX(DATAS,AA2586+1)),INDEX(DATAS,AA2586+1)),"")</f>
        <v/>
      </c>
    </row>
    <row r="2587" customFormat="false" ht="15" hidden="false" customHeight="false" outlineLevel="0" collapsed="false">
      <c r="A2587" s="51" t="n">
        <v>46309</v>
      </c>
      <c r="B2587" s="0" t="n">
        <v>11</v>
      </c>
      <c r="C2587" s="0" t="n">
        <v>6929</v>
      </c>
      <c r="E2587" s="0" t="n">
        <v>0</v>
      </c>
      <c r="F2587" s="46" t="s">
        <v>1330</v>
      </c>
      <c r="I2587" s="46" t="s">
        <v>181</v>
      </c>
      <c r="U2587" s="0" t="n">
        <v>402</v>
      </c>
      <c r="V2587" s="0" t="n">
        <v>1</v>
      </c>
      <c r="W2587" s="51" t="n">
        <v>46305</v>
      </c>
      <c r="X2587" s="46" t="n">
        <f aca="false">IF(I2587="Male",0,1)</f>
        <v>1</v>
      </c>
      <c r="Y2587" s="46" t="n">
        <f aca="false">IF(OR(I2587="DNB",I2587="Dry DNB"),1,0)</f>
        <v>0</v>
      </c>
      <c r="Z2587" s="46" t="n">
        <f aca="false">IF(ISNUMBER(W2587),A2587-W2587,"")</f>
        <v>4</v>
      </c>
      <c r="AA2587" s="46" t="n">
        <f aca="false">MATCH(A2587,DATAS,0)</f>
        <v>1</v>
      </c>
      <c r="AB2587" s="46" t="n">
        <f aca="false">IF(AND(E2587&gt;0,OR(AND(B2587&gt;=1,B2587&lt;=6),B2587=10)),1,0)</f>
        <v>0</v>
      </c>
      <c r="AC2587" s="46" t="n">
        <f aca="false">IF(AND(E2587&gt;0,B2587=10),1,0)</f>
        <v>0</v>
      </c>
      <c r="AD2587" s="0" t="str">
        <f aca="false">IF(AND(C2586=C2587,AA2586=AA2587-1),AB2586,"")</f>
        <v/>
      </c>
      <c r="AE2587" s="0" t="str">
        <f aca="false">IF(AND(C2586=C2587,AA2586=AA2587-1),AC2586,"")</f>
        <v/>
      </c>
      <c r="AF2587" s="0" t="str">
        <f aca="false">IF(AA2587=1,"",IF(AND(AB2587=1,AD2587&lt;&gt;1),1,0))</f>
        <v/>
      </c>
      <c r="AG2587" s="0" t="str">
        <f aca="false">IF(AA2587=1,"",IF(AND(AC2587=1,AE2587&lt;&gt;1),1,0))</f>
        <v/>
      </c>
      <c r="AH2587" s="51" t="str">
        <f aca="false">IF(AND(E2587&gt;0,AA2587&lt;1,NOT(AND(C2588=C2587,AA2588=AA2587+1))),INDEX(DATAS,AA2587+1),"")</f>
        <v/>
      </c>
      <c r="AI2587" s="51" t="str">
        <f aca="false">IF(AND(AC2587=1,AA2587&lt;1),IF(AND(C2588=C2587,AA2588=AA2587+1),IF(AC2588=1,"",INDEX(DATAS,AA2587+1)),INDEX(DATAS,AA2587+1)),"")</f>
        <v/>
      </c>
    </row>
    <row r="2588" customFormat="false" ht="15" hidden="false" customHeight="false" outlineLevel="0" collapsed="false">
      <c r="A2588" s="51" t="n">
        <v>46309</v>
      </c>
      <c r="B2588" s="0" t="n">
        <v>13</v>
      </c>
      <c r="C2588" s="0" t="n">
        <v>6930</v>
      </c>
      <c r="E2588" s="0" t="n">
        <v>0</v>
      </c>
      <c r="F2588" s="46" t="s">
        <v>1330</v>
      </c>
      <c r="I2588" s="46" t="s">
        <v>189</v>
      </c>
      <c r="U2588" s="0" t="n">
        <v>402</v>
      </c>
      <c r="V2588" s="0" t="n">
        <v>0</v>
      </c>
      <c r="X2588" s="46" t="n">
        <f aca="false">IF(I2588="Male",0,1)</f>
        <v>1</v>
      </c>
      <c r="Y2588" s="46" t="n">
        <f aca="false">IF(OR(I2588="DNB",I2588="Dry DNB"),1,0)</f>
        <v>0</v>
      </c>
      <c r="Z2588" s="0" t="str">
        <f aca="false">IF(ISNUMBER(W2588),A2588-W2588,"")</f>
        <v/>
      </c>
      <c r="AA2588" s="46" t="n">
        <f aca="false">MATCH(A2588,DATAS,0)</f>
        <v>1</v>
      </c>
      <c r="AB2588" s="46" t="n">
        <f aca="false">IF(AND(E2588&gt;0,OR(AND(B2588&gt;=1,B2588&lt;=6),B2588=10)),1,0)</f>
        <v>0</v>
      </c>
      <c r="AC2588" s="46" t="n">
        <f aca="false">IF(AND(E2588&gt;0,B2588=10),1,0)</f>
        <v>0</v>
      </c>
      <c r="AD2588" s="0" t="str">
        <f aca="false">IF(AND(C2587=C2588,AA2587=AA2588-1),AB2587,"")</f>
        <v/>
      </c>
      <c r="AE2588" s="0" t="str">
        <f aca="false">IF(AND(C2587=C2588,AA2587=AA2588-1),AC2587,"")</f>
        <v/>
      </c>
      <c r="AF2588" s="0" t="str">
        <f aca="false">IF(AA2588=1,"",IF(AND(AB2588=1,AD2588&lt;&gt;1),1,0))</f>
        <v/>
      </c>
      <c r="AG2588" s="0" t="str">
        <f aca="false">IF(AA2588=1,"",IF(AND(AC2588=1,AE2588&lt;&gt;1),1,0))</f>
        <v/>
      </c>
      <c r="AH2588" s="51" t="str">
        <f aca="false">IF(AND(E2588&gt;0,AA2588&lt;1,NOT(AND(C2589=C2588,AA2589=AA2588+1))),INDEX(DATAS,AA2588+1),"")</f>
        <v/>
      </c>
      <c r="AI2588" s="51" t="str">
        <f aca="false">IF(AND(AC2588=1,AA2588&lt;1),IF(AND(C2589=C2588,AA2589=AA2588+1),IF(AC2589=1,"",INDEX(DATAS,AA2588+1)),INDEX(DATAS,AA2588+1)),"")</f>
        <v/>
      </c>
    </row>
    <row r="2589" customFormat="false" ht="15" hidden="false" customHeight="false" outlineLevel="0" collapsed="false">
      <c r="A2589" s="51" t="n">
        <v>46309</v>
      </c>
      <c r="B2589" s="0" t="n">
        <v>13</v>
      </c>
      <c r="C2589" s="0" t="n">
        <v>6931</v>
      </c>
      <c r="E2589" s="0" t="n">
        <v>0</v>
      </c>
      <c r="F2589" s="46" t="s">
        <v>1331</v>
      </c>
      <c r="I2589" s="46" t="s">
        <v>189</v>
      </c>
      <c r="U2589" s="0" t="n">
        <v>401</v>
      </c>
      <c r="V2589" s="0" t="n">
        <v>0</v>
      </c>
      <c r="X2589" s="46" t="n">
        <f aca="false">IF(I2589="Male",0,1)</f>
        <v>1</v>
      </c>
      <c r="Y2589" s="46" t="n">
        <f aca="false">IF(OR(I2589="DNB",I2589="Dry DNB"),1,0)</f>
        <v>0</v>
      </c>
      <c r="Z2589" s="0" t="str">
        <f aca="false">IF(ISNUMBER(W2589),A2589-W2589,"")</f>
        <v/>
      </c>
      <c r="AA2589" s="46" t="n">
        <f aca="false">MATCH(A2589,DATAS,0)</f>
        <v>1</v>
      </c>
      <c r="AB2589" s="46" t="n">
        <f aca="false">IF(AND(E2589&gt;0,OR(AND(B2589&gt;=1,B2589&lt;=6),B2589=10)),1,0)</f>
        <v>0</v>
      </c>
      <c r="AC2589" s="46" t="n">
        <f aca="false">IF(AND(E2589&gt;0,B2589=10),1,0)</f>
        <v>0</v>
      </c>
      <c r="AD2589" s="0" t="str">
        <f aca="false">IF(AND(C2588=C2589,AA2588=AA2589-1),AB2588,"")</f>
        <v/>
      </c>
      <c r="AE2589" s="0" t="str">
        <f aca="false">IF(AND(C2588=C2589,AA2588=AA2589-1),AC2588,"")</f>
        <v/>
      </c>
      <c r="AF2589" s="0" t="str">
        <f aca="false">IF(AA2589=1,"",IF(AND(AB2589=1,AD2589&lt;&gt;1),1,0))</f>
        <v/>
      </c>
      <c r="AG2589" s="0" t="str">
        <f aca="false">IF(AA2589=1,"",IF(AND(AC2589=1,AE2589&lt;&gt;1),1,0))</f>
        <v/>
      </c>
      <c r="AH2589" s="51" t="str">
        <f aca="false">IF(AND(E2589&gt;0,AA2589&lt;1,NOT(AND(C2590=C2589,AA2590=AA2589+1))),INDEX(DATAS,AA2589+1),"")</f>
        <v/>
      </c>
      <c r="AI2589" s="51" t="str">
        <f aca="false">IF(AND(AC2589=1,AA2589&lt;1),IF(AND(C2590=C2589,AA2590=AA2589+1),IF(AC2590=1,"",INDEX(DATAS,AA2589+1)),INDEX(DATAS,AA2589+1)),"")</f>
        <v/>
      </c>
    </row>
    <row r="2590" customFormat="false" ht="15" hidden="false" customHeight="false" outlineLevel="0" collapsed="false">
      <c r="A2590" s="51" t="n">
        <v>46309</v>
      </c>
      <c r="B2590" s="0" t="n">
        <v>11</v>
      </c>
      <c r="C2590" s="0" t="n">
        <v>6932</v>
      </c>
      <c r="E2590" s="0" t="n">
        <v>0</v>
      </c>
      <c r="F2590" s="46" t="s">
        <v>1331</v>
      </c>
      <c r="I2590" s="46" t="s">
        <v>181</v>
      </c>
      <c r="U2590" s="0" t="n">
        <v>401</v>
      </c>
      <c r="V2590" s="0" t="n">
        <v>1</v>
      </c>
      <c r="W2590" s="51" t="n">
        <v>46304</v>
      </c>
      <c r="X2590" s="46" t="n">
        <f aca="false">IF(I2590="Male",0,1)</f>
        <v>1</v>
      </c>
      <c r="Y2590" s="46" t="n">
        <f aca="false">IF(OR(I2590="DNB",I2590="Dry DNB"),1,0)</f>
        <v>0</v>
      </c>
      <c r="Z2590" s="46" t="n">
        <f aca="false">IF(ISNUMBER(W2590),A2590-W2590,"")</f>
        <v>5</v>
      </c>
      <c r="AA2590" s="46" t="n">
        <f aca="false">MATCH(A2590,DATAS,0)</f>
        <v>1</v>
      </c>
      <c r="AB2590" s="46" t="n">
        <f aca="false">IF(AND(E2590&gt;0,OR(AND(B2590&gt;=1,B2590&lt;=6),B2590=10)),1,0)</f>
        <v>0</v>
      </c>
      <c r="AC2590" s="46" t="n">
        <f aca="false">IF(AND(E2590&gt;0,B2590=10),1,0)</f>
        <v>0</v>
      </c>
      <c r="AD2590" s="0" t="str">
        <f aca="false">IF(AND(C2589=C2590,AA2589=AA2590-1),AB2589,"")</f>
        <v/>
      </c>
      <c r="AE2590" s="0" t="str">
        <f aca="false">IF(AND(C2589=C2590,AA2589=AA2590-1),AC2589,"")</f>
        <v/>
      </c>
      <c r="AF2590" s="0" t="str">
        <f aca="false">IF(AA2590=1,"",IF(AND(AB2590=1,AD2590&lt;&gt;1),1,0))</f>
        <v/>
      </c>
      <c r="AG2590" s="0" t="str">
        <f aca="false">IF(AA2590=1,"",IF(AND(AC2590=1,AE2590&lt;&gt;1),1,0))</f>
        <v/>
      </c>
      <c r="AH2590" s="51" t="str">
        <f aca="false">IF(AND(E2590&gt;0,AA2590&lt;1,NOT(AND(C2591=C2590,AA2591=AA2590+1))),INDEX(DATAS,AA2590+1),"")</f>
        <v/>
      </c>
      <c r="AI2590" s="51" t="str">
        <f aca="false">IF(AND(AC2590=1,AA2590&lt;1),IF(AND(C2591=C2590,AA2591=AA2590+1),IF(AC2591=1,"",INDEX(DATAS,AA2590+1)),INDEX(DATAS,AA2590+1)),"")</f>
        <v/>
      </c>
    </row>
    <row r="2591" customFormat="false" ht="15" hidden="false" customHeight="false" outlineLevel="0" collapsed="false">
      <c r="A2591" s="51" t="n">
        <v>46309</v>
      </c>
      <c r="B2591" s="0" t="n">
        <v>13</v>
      </c>
      <c r="C2591" s="0" t="n">
        <v>6933</v>
      </c>
      <c r="E2591" s="0" t="n">
        <v>0</v>
      </c>
      <c r="F2591" s="46" t="s">
        <v>1332</v>
      </c>
      <c r="I2591" s="46" t="s">
        <v>189</v>
      </c>
      <c r="U2591" s="0" t="n">
        <v>400</v>
      </c>
      <c r="V2591" s="0" t="n">
        <v>0</v>
      </c>
      <c r="X2591" s="46" t="n">
        <f aca="false">IF(I2591="Male",0,1)</f>
        <v>1</v>
      </c>
      <c r="Y2591" s="46" t="n">
        <f aca="false">IF(OR(I2591="DNB",I2591="Dry DNB"),1,0)</f>
        <v>0</v>
      </c>
      <c r="Z2591" s="0" t="str">
        <f aca="false">IF(ISNUMBER(W2591),A2591-W2591,"")</f>
        <v/>
      </c>
      <c r="AA2591" s="46" t="n">
        <f aca="false">MATCH(A2591,DATAS,0)</f>
        <v>1</v>
      </c>
      <c r="AB2591" s="46" t="n">
        <f aca="false">IF(AND(E2591&gt;0,OR(AND(B2591&gt;=1,B2591&lt;=6),B2591=10)),1,0)</f>
        <v>0</v>
      </c>
      <c r="AC2591" s="46" t="n">
        <f aca="false">IF(AND(E2591&gt;0,B2591=10),1,0)</f>
        <v>0</v>
      </c>
      <c r="AD2591" s="0" t="str">
        <f aca="false">IF(AND(C2590=C2591,AA2590=AA2591-1),AB2590,"")</f>
        <v/>
      </c>
      <c r="AE2591" s="0" t="str">
        <f aca="false">IF(AND(C2590=C2591,AA2590=AA2591-1),AC2590,"")</f>
        <v/>
      </c>
      <c r="AF2591" s="0" t="str">
        <f aca="false">IF(AA2591=1,"",IF(AND(AB2591=1,AD2591&lt;&gt;1),1,0))</f>
        <v/>
      </c>
      <c r="AG2591" s="0" t="str">
        <f aca="false">IF(AA2591=1,"",IF(AND(AC2591=1,AE2591&lt;&gt;1),1,0))</f>
        <v/>
      </c>
      <c r="AH2591" s="51" t="str">
        <f aca="false">IF(AND(E2591&gt;0,AA2591&lt;1,NOT(AND(C2592=C2591,AA2592=AA2591+1))),INDEX(DATAS,AA2591+1),"")</f>
        <v/>
      </c>
      <c r="AI2591" s="51" t="str">
        <f aca="false">IF(AND(AC2591=1,AA2591&lt;1),IF(AND(C2592=C2591,AA2592=AA2591+1),IF(AC2592=1,"",INDEX(DATAS,AA2591+1)),INDEX(DATAS,AA2591+1)),"")</f>
        <v/>
      </c>
    </row>
    <row r="2592" customFormat="false" ht="15" hidden="false" customHeight="false" outlineLevel="0" collapsed="false">
      <c r="A2592" s="51" t="n">
        <v>46309</v>
      </c>
      <c r="B2592" s="0" t="n">
        <v>11</v>
      </c>
      <c r="C2592" s="0" t="n">
        <v>6934</v>
      </c>
      <c r="E2592" s="0" t="n">
        <v>0</v>
      </c>
      <c r="F2592" s="46" t="s">
        <v>1332</v>
      </c>
      <c r="I2592" s="46" t="s">
        <v>181</v>
      </c>
      <c r="U2592" s="0" t="n">
        <v>400</v>
      </c>
      <c r="V2592" s="0" t="n">
        <v>1</v>
      </c>
      <c r="W2592" s="51" t="n">
        <v>46307</v>
      </c>
      <c r="X2592" s="46" t="n">
        <f aca="false">IF(I2592="Male",0,1)</f>
        <v>1</v>
      </c>
      <c r="Y2592" s="46" t="n">
        <f aca="false">IF(OR(I2592="DNB",I2592="Dry DNB"),1,0)</f>
        <v>0</v>
      </c>
      <c r="Z2592" s="46" t="n">
        <f aca="false">IF(ISNUMBER(W2592),A2592-W2592,"")</f>
        <v>2</v>
      </c>
      <c r="AA2592" s="46" t="n">
        <f aca="false">MATCH(A2592,DATAS,0)</f>
        <v>1</v>
      </c>
      <c r="AB2592" s="46" t="n">
        <f aca="false">IF(AND(E2592&gt;0,OR(AND(B2592&gt;=1,B2592&lt;=6),B2592=10)),1,0)</f>
        <v>0</v>
      </c>
      <c r="AC2592" s="46" t="n">
        <f aca="false">IF(AND(E2592&gt;0,B2592=10),1,0)</f>
        <v>0</v>
      </c>
      <c r="AD2592" s="0" t="str">
        <f aca="false">IF(AND(C2591=C2592,AA2591=AA2592-1),AB2591,"")</f>
        <v/>
      </c>
      <c r="AE2592" s="0" t="str">
        <f aca="false">IF(AND(C2591=C2592,AA2591=AA2592-1),AC2591,"")</f>
        <v/>
      </c>
      <c r="AF2592" s="0" t="str">
        <f aca="false">IF(AA2592=1,"",IF(AND(AB2592=1,AD2592&lt;&gt;1),1,0))</f>
        <v/>
      </c>
      <c r="AG2592" s="0" t="str">
        <f aca="false">IF(AA2592=1,"",IF(AND(AC2592=1,AE2592&lt;&gt;1),1,0))</f>
        <v/>
      </c>
      <c r="AH2592" s="51" t="str">
        <f aca="false">IF(AND(E2592&gt;0,AA2592&lt;1,NOT(AND(C2593=C2592,AA2593=AA2592+1))),INDEX(DATAS,AA2592+1),"")</f>
        <v/>
      </c>
      <c r="AI2592" s="51" t="str">
        <f aca="false">IF(AND(AC2592=1,AA2592&lt;1),IF(AND(C2593=C2592,AA2593=AA2592+1),IF(AC2593=1,"",INDEX(DATAS,AA2592+1)),INDEX(DATAS,AA2592+1)),"")</f>
        <v/>
      </c>
    </row>
    <row r="2593" customFormat="false" ht="15" hidden="false" customHeight="false" outlineLevel="0" collapsed="false">
      <c r="A2593" s="51" t="n">
        <v>46309</v>
      </c>
      <c r="B2593" s="0" t="n">
        <v>13</v>
      </c>
      <c r="C2593" s="0" t="n">
        <v>6935</v>
      </c>
      <c r="E2593" s="0" t="n">
        <v>0</v>
      </c>
      <c r="F2593" s="46" t="s">
        <v>1332</v>
      </c>
      <c r="I2593" s="46" t="s">
        <v>189</v>
      </c>
      <c r="U2593" s="0" t="n">
        <v>400</v>
      </c>
      <c r="V2593" s="0" t="n">
        <v>0</v>
      </c>
      <c r="X2593" s="46" t="n">
        <f aca="false">IF(I2593="Male",0,1)</f>
        <v>1</v>
      </c>
      <c r="Y2593" s="46" t="n">
        <f aca="false">IF(OR(I2593="DNB",I2593="Dry DNB"),1,0)</f>
        <v>0</v>
      </c>
      <c r="Z2593" s="0" t="str">
        <f aca="false">IF(ISNUMBER(W2593),A2593-W2593,"")</f>
        <v/>
      </c>
      <c r="AA2593" s="46" t="n">
        <f aca="false">MATCH(A2593,DATAS,0)</f>
        <v>1</v>
      </c>
      <c r="AB2593" s="46" t="n">
        <f aca="false">IF(AND(E2593&gt;0,OR(AND(B2593&gt;=1,B2593&lt;=6),B2593=10)),1,0)</f>
        <v>0</v>
      </c>
      <c r="AC2593" s="46" t="n">
        <f aca="false">IF(AND(E2593&gt;0,B2593=10),1,0)</f>
        <v>0</v>
      </c>
      <c r="AD2593" s="0" t="str">
        <f aca="false">IF(AND(C2592=C2593,AA2592=AA2593-1),AB2592,"")</f>
        <v/>
      </c>
      <c r="AE2593" s="0" t="str">
        <f aca="false">IF(AND(C2592=C2593,AA2592=AA2593-1),AC2592,"")</f>
        <v/>
      </c>
      <c r="AF2593" s="0" t="str">
        <f aca="false">IF(AA2593=1,"",IF(AND(AB2593=1,AD2593&lt;&gt;1),1,0))</f>
        <v/>
      </c>
      <c r="AG2593" s="0" t="str">
        <f aca="false">IF(AA2593=1,"",IF(AND(AC2593=1,AE2593&lt;&gt;1),1,0))</f>
        <v/>
      </c>
      <c r="AH2593" s="51" t="str">
        <f aca="false">IF(AND(E2593&gt;0,AA2593&lt;1,NOT(AND(C2594=C2593,AA2594=AA2593+1))),INDEX(DATAS,AA2593+1),"")</f>
        <v/>
      </c>
      <c r="AI2593" s="51" t="str">
        <f aca="false">IF(AND(AC2593=1,AA2593&lt;1),IF(AND(C2594=C2593,AA2594=AA2593+1),IF(AC2594=1,"",INDEX(DATAS,AA2593+1)),INDEX(DATAS,AA2593+1)),"")</f>
        <v/>
      </c>
    </row>
    <row r="2594" customFormat="false" ht="15" hidden="false" customHeight="false" outlineLevel="0" collapsed="false">
      <c r="A2594" s="51" t="n">
        <v>46309</v>
      </c>
      <c r="B2594" s="0" t="n">
        <v>13</v>
      </c>
      <c r="C2594" s="0" t="n">
        <v>6937</v>
      </c>
      <c r="E2594" s="0" t="n">
        <v>0</v>
      </c>
      <c r="F2594" s="46" t="s">
        <v>1333</v>
      </c>
      <c r="I2594" s="46" t="s">
        <v>189</v>
      </c>
      <c r="U2594" s="0" t="n">
        <v>399</v>
      </c>
      <c r="V2594" s="0" t="n">
        <v>0</v>
      </c>
      <c r="X2594" s="46" t="n">
        <f aca="false">IF(I2594="Male",0,1)</f>
        <v>1</v>
      </c>
      <c r="Y2594" s="46" t="n">
        <f aca="false">IF(OR(I2594="DNB",I2594="Dry DNB"),1,0)</f>
        <v>0</v>
      </c>
      <c r="Z2594" s="0" t="str">
        <f aca="false">IF(ISNUMBER(W2594),A2594-W2594,"")</f>
        <v/>
      </c>
      <c r="AA2594" s="46" t="n">
        <f aca="false">MATCH(A2594,DATAS,0)</f>
        <v>1</v>
      </c>
      <c r="AB2594" s="46" t="n">
        <f aca="false">IF(AND(E2594&gt;0,OR(AND(B2594&gt;=1,B2594&lt;=6),B2594=10)),1,0)</f>
        <v>0</v>
      </c>
      <c r="AC2594" s="46" t="n">
        <f aca="false">IF(AND(E2594&gt;0,B2594=10),1,0)</f>
        <v>0</v>
      </c>
      <c r="AD2594" s="0" t="str">
        <f aca="false">IF(AND(C2593=C2594,AA2593=AA2594-1),AB2593,"")</f>
        <v/>
      </c>
      <c r="AE2594" s="0" t="str">
        <f aca="false">IF(AND(C2593=C2594,AA2593=AA2594-1),AC2593,"")</f>
        <v/>
      </c>
      <c r="AF2594" s="0" t="str">
        <f aca="false">IF(AA2594=1,"",IF(AND(AB2594=1,AD2594&lt;&gt;1),1,0))</f>
        <v/>
      </c>
      <c r="AG2594" s="0" t="str">
        <f aca="false">IF(AA2594=1,"",IF(AND(AC2594=1,AE2594&lt;&gt;1),1,0))</f>
        <v/>
      </c>
      <c r="AH2594" s="51" t="str">
        <f aca="false">IF(AND(E2594&gt;0,AA2594&lt;1,NOT(AND(C2595=C2594,AA2595=AA2594+1))),INDEX(DATAS,AA2594+1),"")</f>
        <v/>
      </c>
      <c r="AI2594" s="51" t="str">
        <f aca="false">IF(AND(AC2594=1,AA2594&lt;1),IF(AND(C2595=C2594,AA2595=AA2594+1),IF(AC2595=1,"",INDEX(DATAS,AA2594+1)),INDEX(DATAS,AA2594+1)),"")</f>
        <v/>
      </c>
    </row>
    <row r="2595" customFormat="false" ht="15" hidden="false" customHeight="false" outlineLevel="0" collapsed="false">
      <c r="A2595" s="51" t="n">
        <v>46309</v>
      </c>
      <c r="B2595" s="0" t="n">
        <v>13</v>
      </c>
      <c r="C2595" s="0" t="n">
        <v>6938</v>
      </c>
      <c r="E2595" s="0" t="n">
        <v>0</v>
      </c>
      <c r="F2595" s="46" t="s">
        <v>1333</v>
      </c>
      <c r="I2595" s="46" t="s">
        <v>189</v>
      </c>
      <c r="U2595" s="0" t="n">
        <v>399</v>
      </c>
      <c r="V2595" s="0" t="n">
        <v>0</v>
      </c>
      <c r="X2595" s="46" t="n">
        <f aca="false">IF(I2595="Male",0,1)</f>
        <v>1</v>
      </c>
      <c r="Y2595" s="46" t="n">
        <f aca="false">IF(OR(I2595="DNB",I2595="Dry DNB"),1,0)</f>
        <v>0</v>
      </c>
      <c r="Z2595" s="0" t="str">
        <f aca="false">IF(ISNUMBER(W2595),A2595-W2595,"")</f>
        <v/>
      </c>
      <c r="AA2595" s="46" t="n">
        <f aca="false">MATCH(A2595,DATAS,0)</f>
        <v>1</v>
      </c>
      <c r="AB2595" s="46" t="n">
        <f aca="false">IF(AND(E2595&gt;0,OR(AND(B2595&gt;=1,B2595&lt;=6),B2595=10)),1,0)</f>
        <v>0</v>
      </c>
      <c r="AC2595" s="46" t="n">
        <f aca="false">IF(AND(E2595&gt;0,B2595=10),1,0)</f>
        <v>0</v>
      </c>
      <c r="AD2595" s="0" t="str">
        <f aca="false">IF(AND(C2594=C2595,AA2594=AA2595-1),AB2594,"")</f>
        <v/>
      </c>
      <c r="AE2595" s="0" t="str">
        <f aca="false">IF(AND(C2594=C2595,AA2594=AA2595-1),AC2594,"")</f>
        <v/>
      </c>
      <c r="AF2595" s="0" t="str">
        <f aca="false">IF(AA2595=1,"",IF(AND(AB2595=1,AD2595&lt;&gt;1),1,0))</f>
        <v/>
      </c>
      <c r="AG2595" s="0" t="str">
        <f aca="false">IF(AA2595=1,"",IF(AND(AC2595=1,AE2595&lt;&gt;1),1,0))</f>
        <v/>
      </c>
      <c r="AH2595" s="51" t="str">
        <f aca="false">IF(AND(E2595&gt;0,AA2595&lt;1,NOT(AND(C2596=C2595,AA2596=AA2595+1))),INDEX(DATAS,AA2595+1),"")</f>
        <v/>
      </c>
      <c r="AI2595" s="51" t="str">
        <f aca="false">IF(AND(AC2595=1,AA2595&lt;1),IF(AND(C2596=C2595,AA2596=AA2595+1),IF(AC2596=1,"",INDEX(DATAS,AA2595+1)),INDEX(DATAS,AA2595+1)),"")</f>
        <v/>
      </c>
    </row>
    <row r="2596" customFormat="false" ht="15" hidden="false" customHeight="false" outlineLevel="0" collapsed="false">
      <c r="A2596" s="51" t="n">
        <v>46309</v>
      </c>
      <c r="B2596" s="0" t="n">
        <v>13</v>
      </c>
      <c r="C2596" s="0" t="n">
        <v>6939</v>
      </c>
      <c r="E2596" s="0" t="n">
        <v>0</v>
      </c>
      <c r="F2596" s="46" t="s">
        <v>1333</v>
      </c>
      <c r="I2596" s="46" t="s">
        <v>189</v>
      </c>
      <c r="U2596" s="0" t="n">
        <v>399</v>
      </c>
      <c r="V2596" s="0" t="n">
        <v>0</v>
      </c>
      <c r="X2596" s="46" t="n">
        <f aca="false">IF(I2596="Male",0,1)</f>
        <v>1</v>
      </c>
      <c r="Y2596" s="46" t="n">
        <f aca="false">IF(OR(I2596="DNB",I2596="Dry DNB"),1,0)</f>
        <v>0</v>
      </c>
      <c r="Z2596" s="0" t="str">
        <f aca="false">IF(ISNUMBER(W2596),A2596-W2596,"")</f>
        <v/>
      </c>
      <c r="AA2596" s="46" t="n">
        <f aca="false">MATCH(A2596,DATAS,0)</f>
        <v>1</v>
      </c>
      <c r="AB2596" s="46" t="n">
        <f aca="false">IF(AND(E2596&gt;0,OR(AND(B2596&gt;=1,B2596&lt;=6),B2596=10)),1,0)</f>
        <v>0</v>
      </c>
      <c r="AC2596" s="46" t="n">
        <f aca="false">IF(AND(E2596&gt;0,B2596=10),1,0)</f>
        <v>0</v>
      </c>
      <c r="AD2596" s="0" t="str">
        <f aca="false">IF(AND(C2595=C2596,AA2595=AA2596-1),AB2595,"")</f>
        <v/>
      </c>
      <c r="AE2596" s="0" t="str">
        <f aca="false">IF(AND(C2595=C2596,AA2595=AA2596-1),AC2595,"")</f>
        <v/>
      </c>
      <c r="AF2596" s="0" t="str">
        <f aca="false">IF(AA2596=1,"",IF(AND(AB2596=1,AD2596&lt;&gt;1),1,0))</f>
        <v/>
      </c>
      <c r="AG2596" s="0" t="str">
        <f aca="false">IF(AA2596=1,"",IF(AND(AC2596=1,AE2596&lt;&gt;1),1,0))</f>
        <v/>
      </c>
      <c r="AH2596" s="51" t="str">
        <f aca="false">IF(AND(E2596&gt;0,AA2596&lt;1,NOT(AND(C2597=C2596,AA2597=AA2596+1))),INDEX(DATAS,AA2596+1),"")</f>
        <v/>
      </c>
      <c r="AI2596" s="51" t="str">
        <f aca="false">IF(AND(AC2596=1,AA2596&lt;1),IF(AND(C2597=C2596,AA2597=AA2596+1),IF(AC2597=1,"",INDEX(DATAS,AA2596+1)),INDEX(DATAS,AA2596+1)),"")</f>
        <v/>
      </c>
    </row>
    <row r="2597" customFormat="false" ht="15" hidden="false" customHeight="false" outlineLevel="0" collapsed="false">
      <c r="A2597" s="51" t="n">
        <v>46309</v>
      </c>
      <c r="B2597" s="0" t="n">
        <v>13</v>
      </c>
      <c r="C2597" s="0" t="n">
        <v>6940</v>
      </c>
      <c r="E2597" s="0" t="n">
        <v>0</v>
      </c>
      <c r="F2597" s="46" t="s">
        <v>1309</v>
      </c>
      <c r="I2597" s="46" t="s">
        <v>179</v>
      </c>
      <c r="U2597" s="0" t="n">
        <v>395</v>
      </c>
      <c r="V2597" s="0" t="n">
        <v>0</v>
      </c>
      <c r="X2597" s="46" t="n">
        <f aca="false">IF(I2597="Male",0,1)</f>
        <v>1</v>
      </c>
      <c r="Y2597" s="46" t="n">
        <f aca="false">IF(OR(I2597="DNB",I2597="Dry DNB"),1,0)</f>
        <v>0</v>
      </c>
      <c r="Z2597" s="0" t="str">
        <f aca="false">IF(ISNUMBER(W2597),A2597-W2597,"")</f>
        <v/>
      </c>
      <c r="AA2597" s="46" t="n">
        <f aca="false">MATCH(A2597,DATAS,0)</f>
        <v>1</v>
      </c>
      <c r="AB2597" s="46" t="n">
        <f aca="false">IF(AND(E2597&gt;0,OR(AND(B2597&gt;=1,B2597&lt;=6),B2597=10)),1,0)</f>
        <v>0</v>
      </c>
      <c r="AC2597" s="46" t="n">
        <f aca="false">IF(AND(E2597&gt;0,B2597=10),1,0)</f>
        <v>0</v>
      </c>
      <c r="AD2597" s="0" t="str">
        <f aca="false">IF(AND(C2596=C2597,AA2596=AA2597-1),AB2596,"")</f>
        <v/>
      </c>
      <c r="AE2597" s="0" t="str">
        <f aca="false">IF(AND(C2596=C2597,AA2596=AA2597-1),AC2596,"")</f>
        <v/>
      </c>
      <c r="AF2597" s="0" t="str">
        <f aca="false">IF(AA2597=1,"",IF(AND(AB2597=1,AD2597&lt;&gt;1),1,0))</f>
        <v/>
      </c>
      <c r="AG2597" s="0" t="str">
        <f aca="false">IF(AA2597=1,"",IF(AND(AC2597=1,AE2597&lt;&gt;1),1,0))</f>
        <v/>
      </c>
      <c r="AH2597" s="51" t="str">
        <f aca="false">IF(AND(E2597&gt;0,AA2597&lt;1,NOT(AND(C2598=C2597,AA2598=AA2597+1))),INDEX(DATAS,AA2597+1),"")</f>
        <v/>
      </c>
      <c r="AI2597" s="51" t="str">
        <f aca="false">IF(AND(AC2597=1,AA2597&lt;1),IF(AND(C2598=C2597,AA2598=AA2597+1),IF(AC2598=1,"",INDEX(DATAS,AA2597+1)),INDEX(DATAS,AA2597+1)),"")</f>
        <v/>
      </c>
    </row>
    <row r="2598" customFormat="false" ht="15" hidden="false" customHeight="false" outlineLevel="0" collapsed="false">
      <c r="A2598" s="51" t="n">
        <v>46309</v>
      </c>
      <c r="B2598" s="0" t="n">
        <v>13</v>
      </c>
      <c r="C2598" s="0" t="n">
        <v>6941</v>
      </c>
      <c r="E2598" s="0" t="n">
        <v>0</v>
      </c>
      <c r="F2598" s="46" t="s">
        <v>1309</v>
      </c>
      <c r="I2598" s="46" t="s">
        <v>179</v>
      </c>
      <c r="U2598" s="0" t="n">
        <v>395</v>
      </c>
      <c r="V2598" s="0" t="n">
        <v>0</v>
      </c>
      <c r="X2598" s="46" t="n">
        <f aca="false">IF(I2598="Male",0,1)</f>
        <v>1</v>
      </c>
      <c r="Y2598" s="46" t="n">
        <f aca="false">IF(OR(I2598="DNB",I2598="Dry DNB"),1,0)</f>
        <v>0</v>
      </c>
      <c r="Z2598" s="0" t="str">
        <f aca="false">IF(ISNUMBER(W2598),A2598-W2598,"")</f>
        <v/>
      </c>
      <c r="AA2598" s="46" t="n">
        <f aca="false">MATCH(A2598,DATAS,0)</f>
        <v>1</v>
      </c>
      <c r="AB2598" s="46" t="n">
        <f aca="false">IF(AND(E2598&gt;0,OR(AND(B2598&gt;=1,B2598&lt;=6),B2598=10)),1,0)</f>
        <v>0</v>
      </c>
      <c r="AC2598" s="46" t="n">
        <f aca="false">IF(AND(E2598&gt;0,B2598=10),1,0)</f>
        <v>0</v>
      </c>
      <c r="AD2598" s="0" t="str">
        <f aca="false">IF(AND(C2597=C2598,AA2597=AA2598-1),AB2597,"")</f>
        <v/>
      </c>
      <c r="AE2598" s="0" t="str">
        <f aca="false">IF(AND(C2597=C2598,AA2597=AA2598-1),AC2597,"")</f>
        <v/>
      </c>
      <c r="AF2598" s="0" t="str">
        <f aca="false">IF(AA2598=1,"",IF(AND(AB2598=1,AD2598&lt;&gt;1),1,0))</f>
        <v/>
      </c>
      <c r="AG2598" s="0" t="str">
        <f aca="false">IF(AA2598=1,"",IF(AND(AC2598=1,AE2598&lt;&gt;1),1,0))</f>
        <v/>
      </c>
      <c r="AH2598" s="51" t="str">
        <f aca="false">IF(AND(E2598&gt;0,AA2598&lt;1,NOT(AND(C2599=C2598,AA2599=AA2598+1))),INDEX(DATAS,AA2598+1),"")</f>
        <v/>
      </c>
      <c r="AI2598" s="51" t="str">
        <f aca="false">IF(AND(AC2598=1,AA2598&lt;1),IF(AND(C2599=C2598,AA2599=AA2598+1),IF(AC2599=1,"",INDEX(DATAS,AA2598+1)),INDEX(DATAS,AA2598+1)),"")</f>
        <v/>
      </c>
    </row>
    <row r="2599" customFormat="false" ht="15" hidden="false" customHeight="false" outlineLevel="0" collapsed="false">
      <c r="A2599" s="51" t="n">
        <v>46309</v>
      </c>
      <c r="B2599" s="0" t="n">
        <v>13</v>
      </c>
      <c r="C2599" s="0" t="n">
        <v>6942</v>
      </c>
      <c r="E2599" s="0" t="n">
        <v>0</v>
      </c>
      <c r="F2599" s="46" t="s">
        <v>1309</v>
      </c>
      <c r="I2599" s="46" t="s">
        <v>179</v>
      </c>
      <c r="U2599" s="0" t="n">
        <v>395</v>
      </c>
      <c r="V2599" s="0" t="n">
        <v>0</v>
      </c>
      <c r="X2599" s="46" t="n">
        <f aca="false">IF(I2599="Male",0,1)</f>
        <v>1</v>
      </c>
      <c r="Y2599" s="46" t="n">
        <f aca="false">IF(OR(I2599="DNB",I2599="Dry DNB"),1,0)</f>
        <v>0</v>
      </c>
      <c r="Z2599" s="0" t="str">
        <f aca="false">IF(ISNUMBER(W2599),A2599-W2599,"")</f>
        <v/>
      </c>
      <c r="AA2599" s="46" t="n">
        <f aca="false">MATCH(A2599,DATAS,0)</f>
        <v>1</v>
      </c>
      <c r="AB2599" s="46" t="n">
        <f aca="false">IF(AND(E2599&gt;0,OR(AND(B2599&gt;=1,B2599&lt;=6),B2599=10)),1,0)</f>
        <v>0</v>
      </c>
      <c r="AC2599" s="46" t="n">
        <f aca="false">IF(AND(E2599&gt;0,B2599=10),1,0)</f>
        <v>0</v>
      </c>
      <c r="AD2599" s="0" t="str">
        <f aca="false">IF(AND(C2598=C2599,AA2598=AA2599-1),AB2598,"")</f>
        <v/>
      </c>
      <c r="AE2599" s="0" t="str">
        <f aca="false">IF(AND(C2598=C2599,AA2598=AA2599-1),AC2598,"")</f>
        <v/>
      </c>
      <c r="AF2599" s="0" t="str">
        <f aca="false">IF(AA2599=1,"",IF(AND(AB2599=1,AD2599&lt;&gt;1),1,0))</f>
        <v/>
      </c>
      <c r="AG2599" s="0" t="str">
        <f aca="false">IF(AA2599=1,"",IF(AND(AC2599=1,AE2599&lt;&gt;1),1,0))</f>
        <v/>
      </c>
      <c r="AH2599" s="51" t="str">
        <f aca="false">IF(AND(E2599&gt;0,AA2599&lt;1,NOT(AND(C2600=C2599,AA2600=AA2599+1))),INDEX(DATAS,AA2599+1),"")</f>
        <v/>
      </c>
      <c r="AI2599" s="51" t="str">
        <f aca="false">IF(AND(AC2599=1,AA2599&lt;1),IF(AND(C2600=C2599,AA2600=AA2599+1),IF(AC2600=1,"",INDEX(DATAS,AA2599+1)),INDEX(DATAS,AA2599+1)),"")</f>
        <v/>
      </c>
    </row>
    <row r="2600" customFormat="false" ht="15" hidden="false" customHeight="false" outlineLevel="0" collapsed="false">
      <c r="A2600" s="51" t="n">
        <v>46309</v>
      </c>
      <c r="B2600" s="0" t="n">
        <v>13</v>
      </c>
      <c r="C2600" s="0" t="n">
        <v>6943</v>
      </c>
      <c r="E2600" s="0" t="n">
        <v>0</v>
      </c>
      <c r="F2600" s="46" t="s">
        <v>1309</v>
      </c>
      <c r="I2600" s="46" t="s">
        <v>179</v>
      </c>
      <c r="U2600" s="0" t="n">
        <v>395</v>
      </c>
      <c r="V2600" s="0" t="n">
        <v>0</v>
      </c>
      <c r="X2600" s="46" t="n">
        <f aca="false">IF(I2600="Male",0,1)</f>
        <v>1</v>
      </c>
      <c r="Y2600" s="46" t="n">
        <f aca="false">IF(OR(I2600="DNB",I2600="Dry DNB"),1,0)</f>
        <v>0</v>
      </c>
      <c r="Z2600" s="0" t="str">
        <f aca="false">IF(ISNUMBER(W2600),A2600-W2600,"")</f>
        <v/>
      </c>
      <c r="AA2600" s="46" t="n">
        <f aca="false">MATCH(A2600,DATAS,0)</f>
        <v>1</v>
      </c>
      <c r="AB2600" s="46" t="n">
        <f aca="false">IF(AND(E2600&gt;0,OR(AND(B2600&gt;=1,B2600&lt;=6),B2600=10)),1,0)</f>
        <v>0</v>
      </c>
      <c r="AC2600" s="46" t="n">
        <f aca="false">IF(AND(E2600&gt;0,B2600=10),1,0)</f>
        <v>0</v>
      </c>
      <c r="AD2600" s="0" t="str">
        <f aca="false">IF(AND(C2599=C2600,AA2599=AA2600-1),AB2599,"")</f>
        <v/>
      </c>
      <c r="AE2600" s="0" t="str">
        <f aca="false">IF(AND(C2599=C2600,AA2599=AA2600-1),AC2599,"")</f>
        <v/>
      </c>
      <c r="AF2600" s="0" t="str">
        <f aca="false">IF(AA2600=1,"",IF(AND(AB2600=1,AD2600&lt;&gt;1),1,0))</f>
        <v/>
      </c>
      <c r="AG2600" s="0" t="str">
        <f aca="false">IF(AA2600=1,"",IF(AND(AC2600=1,AE2600&lt;&gt;1),1,0))</f>
        <v/>
      </c>
      <c r="AH2600" s="51" t="str">
        <f aca="false">IF(AND(E2600&gt;0,AA2600&lt;1,NOT(AND(C2601=C2600,AA2601=AA2600+1))),INDEX(DATAS,AA2600+1),"")</f>
        <v/>
      </c>
      <c r="AI2600" s="51" t="str">
        <f aca="false">IF(AND(AC2600=1,AA2600&lt;1),IF(AND(C2601=C2600,AA2601=AA2600+1),IF(AC2601=1,"",INDEX(DATAS,AA2600+1)),INDEX(DATAS,AA2600+1)),"")</f>
        <v/>
      </c>
    </row>
    <row r="2601" customFormat="false" ht="15" hidden="false" customHeight="false" outlineLevel="0" collapsed="false">
      <c r="A2601" s="51" t="n">
        <v>46309</v>
      </c>
      <c r="B2601" s="0" t="n">
        <v>13</v>
      </c>
      <c r="C2601" s="0" t="n">
        <v>6944</v>
      </c>
      <c r="E2601" s="0" t="n">
        <v>0</v>
      </c>
      <c r="F2601" s="46" t="s">
        <v>1309</v>
      </c>
      <c r="I2601" s="46" t="s">
        <v>179</v>
      </c>
      <c r="U2601" s="0" t="n">
        <v>395</v>
      </c>
      <c r="V2601" s="0" t="n">
        <v>0</v>
      </c>
      <c r="X2601" s="46" t="n">
        <f aca="false">IF(I2601="Male",0,1)</f>
        <v>1</v>
      </c>
      <c r="Y2601" s="46" t="n">
        <f aca="false">IF(OR(I2601="DNB",I2601="Dry DNB"),1,0)</f>
        <v>0</v>
      </c>
      <c r="Z2601" s="0" t="str">
        <f aca="false">IF(ISNUMBER(W2601),A2601-W2601,"")</f>
        <v/>
      </c>
      <c r="AA2601" s="46" t="n">
        <f aca="false">MATCH(A2601,DATAS,0)</f>
        <v>1</v>
      </c>
      <c r="AB2601" s="46" t="n">
        <f aca="false">IF(AND(E2601&gt;0,OR(AND(B2601&gt;=1,B2601&lt;=6),B2601=10)),1,0)</f>
        <v>0</v>
      </c>
      <c r="AC2601" s="46" t="n">
        <f aca="false">IF(AND(E2601&gt;0,B2601=10),1,0)</f>
        <v>0</v>
      </c>
      <c r="AD2601" s="0" t="str">
        <f aca="false">IF(AND(C2600=C2601,AA2600=AA2601-1),AB2600,"")</f>
        <v/>
      </c>
      <c r="AE2601" s="0" t="str">
        <f aca="false">IF(AND(C2600=C2601,AA2600=AA2601-1),AC2600,"")</f>
        <v/>
      </c>
      <c r="AF2601" s="0" t="str">
        <f aca="false">IF(AA2601=1,"",IF(AND(AB2601=1,AD2601&lt;&gt;1),1,0))</f>
        <v/>
      </c>
      <c r="AG2601" s="0" t="str">
        <f aca="false">IF(AA2601=1,"",IF(AND(AC2601=1,AE2601&lt;&gt;1),1,0))</f>
        <v/>
      </c>
      <c r="AH2601" s="51" t="str">
        <f aca="false">IF(AND(E2601&gt;0,AA2601&lt;1,NOT(AND(C2602=C2601,AA2602=AA2601+1))),INDEX(DATAS,AA2601+1),"")</f>
        <v/>
      </c>
      <c r="AI2601" s="51" t="str">
        <f aca="false">IF(AND(AC2601=1,AA2601&lt;1),IF(AND(C2602=C2601,AA2602=AA2601+1),IF(AC2602=1,"",INDEX(DATAS,AA2601+1)),INDEX(DATAS,AA2601+1)),"")</f>
        <v/>
      </c>
    </row>
    <row r="2602" customFormat="false" ht="15" hidden="false" customHeight="false" outlineLevel="0" collapsed="false">
      <c r="A2602" s="51" t="n">
        <v>46309</v>
      </c>
      <c r="B2602" s="0" t="n">
        <v>13</v>
      </c>
      <c r="C2602" s="0" t="n">
        <v>6945</v>
      </c>
      <c r="E2602" s="0" t="n">
        <v>0</v>
      </c>
      <c r="F2602" s="46" t="s">
        <v>1309</v>
      </c>
      <c r="I2602" s="46" t="s">
        <v>179</v>
      </c>
      <c r="U2602" s="0" t="n">
        <v>395</v>
      </c>
      <c r="V2602" s="0" t="n">
        <v>0</v>
      </c>
      <c r="X2602" s="46" t="n">
        <f aca="false">IF(I2602="Male",0,1)</f>
        <v>1</v>
      </c>
      <c r="Y2602" s="46" t="n">
        <f aca="false">IF(OR(I2602="DNB",I2602="Dry DNB"),1,0)</f>
        <v>0</v>
      </c>
      <c r="Z2602" s="0" t="str">
        <f aca="false">IF(ISNUMBER(W2602),A2602-W2602,"")</f>
        <v/>
      </c>
      <c r="AA2602" s="46" t="n">
        <f aca="false">MATCH(A2602,DATAS,0)</f>
        <v>1</v>
      </c>
      <c r="AB2602" s="46" t="n">
        <f aca="false">IF(AND(E2602&gt;0,OR(AND(B2602&gt;=1,B2602&lt;=6),B2602=10)),1,0)</f>
        <v>0</v>
      </c>
      <c r="AC2602" s="46" t="n">
        <f aca="false">IF(AND(E2602&gt;0,B2602=10),1,0)</f>
        <v>0</v>
      </c>
      <c r="AD2602" s="0" t="str">
        <f aca="false">IF(AND(C2601=C2602,AA2601=AA2602-1),AB2601,"")</f>
        <v/>
      </c>
      <c r="AE2602" s="0" t="str">
        <f aca="false">IF(AND(C2601=C2602,AA2601=AA2602-1),AC2601,"")</f>
        <v/>
      </c>
      <c r="AF2602" s="0" t="str">
        <f aca="false">IF(AA2602=1,"",IF(AND(AB2602=1,AD2602&lt;&gt;1),1,0))</f>
        <v/>
      </c>
      <c r="AG2602" s="0" t="str">
        <f aca="false">IF(AA2602=1,"",IF(AND(AC2602=1,AE2602&lt;&gt;1),1,0))</f>
        <v/>
      </c>
      <c r="AH2602" s="51" t="str">
        <f aca="false">IF(AND(E2602&gt;0,AA2602&lt;1,NOT(AND(C2603=C2602,AA2603=AA2602+1))),INDEX(DATAS,AA2602+1),"")</f>
        <v/>
      </c>
      <c r="AI2602" s="51" t="str">
        <f aca="false">IF(AND(AC2602=1,AA2602&lt;1),IF(AND(C2603=C2602,AA2603=AA2602+1),IF(AC2603=1,"",INDEX(DATAS,AA2602+1)),INDEX(DATAS,AA2602+1)),"")</f>
        <v/>
      </c>
    </row>
    <row r="2603" customFormat="false" ht="15" hidden="false" customHeight="false" outlineLevel="0" collapsed="false">
      <c r="A2603" s="51" t="n">
        <v>46309</v>
      </c>
      <c r="B2603" s="0" t="n">
        <v>13</v>
      </c>
      <c r="C2603" s="0" t="n">
        <v>6946</v>
      </c>
      <c r="E2603" s="0" t="n">
        <v>0</v>
      </c>
      <c r="F2603" s="46" t="s">
        <v>1309</v>
      </c>
      <c r="I2603" s="46" t="s">
        <v>179</v>
      </c>
      <c r="U2603" s="0" t="n">
        <v>395</v>
      </c>
      <c r="V2603" s="0" t="n">
        <v>0</v>
      </c>
      <c r="X2603" s="46" t="n">
        <f aca="false">IF(I2603="Male",0,1)</f>
        <v>1</v>
      </c>
      <c r="Y2603" s="46" t="n">
        <f aca="false">IF(OR(I2603="DNB",I2603="Dry DNB"),1,0)</f>
        <v>0</v>
      </c>
      <c r="Z2603" s="0" t="str">
        <f aca="false">IF(ISNUMBER(W2603),A2603-W2603,"")</f>
        <v/>
      </c>
      <c r="AA2603" s="46" t="n">
        <f aca="false">MATCH(A2603,DATAS,0)</f>
        <v>1</v>
      </c>
      <c r="AB2603" s="46" t="n">
        <f aca="false">IF(AND(E2603&gt;0,OR(AND(B2603&gt;=1,B2603&lt;=6),B2603=10)),1,0)</f>
        <v>0</v>
      </c>
      <c r="AC2603" s="46" t="n">
        <f aca="false">IF(AND(E2603&gt;0,B2603=10),1,0)</f>
        <v>0</v>
      </c>
      <c r="AD2603" s="0" t="str">
        <f aca="false">IF(AND(C2602=C2603,AA2602=AA2603-1),AB2602,"")</f>
        <v/>
      </c>
      <c r="AE2603" s="0" t="str">
        <f aca="false">IF(AND(C2602=C2603,AA2602=AA2603-1),AC2602,"")</f>
        <v/>
      </c>
      <c r="AF2603" s="0" t="str">
        <f aca="false">IF(AA2603=1,"",IF(AND(AB2603=1,AD2603&lt;&gt;1),1,0))</f>
        <v/>
      </c>
      <c r="AG2603" s="0" t="str">
        <f aca="false">IF(AA2603=1,"",IF(AND(AC2603=1,AE2603&lt;&gt;1),1,0))</f>
        <v/>
      </c>
      <c r="AH2603" s="51" t="str">
        <f aca="false">IF(AND(E2603&gt;0,AA2603&lt;1,NOT(AND(C2604=C2603,AA2604=AA2603+1))),INDEX(DATAS,AA2603+1),"")</f>
        <v/>
      </c>
      <c r="AI2603" s="51" t="str">
        <f aca="false">IF(AND(AC2603=1,AA2603&lt;1),IF(AND(C2604=C2603,AA2604=AA2603+1),IF(AC2604=1,"",INDEX(DATAS,AA2603+1)),INDEX(DATAS,AA2603+1)),"")</f>
        <v/>
      </c>
    </row>
    <row r="2604" customFormat="false" ht="15" hidden="false" customHeight="false" outlineLevel="0" collapsed="false">
      <c r="A2604" s="51" t="n">
        <v>46309</v>
      </c>
      <c r="B2604" s="0" t="n">
        <v>13</v>
      </c>
      <c r="C2604" s="0" t="n">
        <v>6947</v>
      </c>
      <c r="E2604" s="0" t="n">
        <v>0</v>
      </c>
      <c r="F2604" s="46" t="s">
        <v>1334</v>
      </c>
      <c r="I2604" s="46" t="s">
        <v>179</v>
      </c>
      <c r="U2604" s="0" t="n">
        <v>394</v>
      </c>
      <c r="V2604" s="0" t="n">
        <v>0</v>
      </c>
      <c r="X2604" s="46" t="n">
        <f aca="false">IF(I2604="Male",0,1)</f>
        <v>1</v>
      </c>
      <c r="Y2604" s="46" t="n">
        <f aca="false">IF(OR(I2604="DNB",I2604="Dry DNB"),1,0)</f>
        <v>0</v>
      </c>
      <c r="Z2604" s="0" t="str">
        <f aca="false">IF(ISNUMBER(W2604),A2604-W2604,"")</f>
        <v/>
      </c>
      <c r="AA2604" s="46" t="n">
        <f aca="false">MATCH(A2604,DATAS,0)</f>
        <v>1</v>
      </c>
      <c r="AB2604" s="46" t="n">
        <f aca="false">IF(AND(E2604&gt;0,OR(AND(B2604&gt;=1,B2604&lt;=6),B2604=10)),1,0)</f>
        <v>0</v>
      </c>
      <c r="AC2604" s="46" t="n">
        <f aca="false">IF(AND(E2604&gt;0,B2604=10),1,0)</f>
        <v>0</v>
      </c>
      <c r="AD2604" s="0" t="str">
        <f aca="false">IF(AND(C2603=C2604,AA2603=AA2604-1),AB2603,"")</f>
        <v/>
      </c>
      <c r="AE2604" s="0" t="str">
        <f aca="false">IF(AND(C2603=C2604,AA2603=AA2604-1),AC2603,"")</f>
        <v/>
      </c>
      <c r="AF2604" s="0" t="str">
        <f aca="false">IF(AA2604=1,"",IF(AND(AB2604=1,AD2604&lt;&gt;1),1,0))</f>
        <v/>
      </c>
      <c r="AG2604" s="0" t="str">
        <f aca="false">IF(AA2604=1,"",IF(AND(AC2604=1,AE2604&lt;&gt;1),1,0))</f>
        <v/>
      </c>
      <c r="AH2604" s="51" t="str">
        <f aca="false">IF(AND(E2604&gt;0,AA2604&lt;1,NOT(AND(C2605=C2604,AA2605=AA2604+1))),INDEX(DATAS,AA2604+1),"")</f>
        <v/>
      </c>
      <c r="AI2604" s="51" t="str">
        <f aca="false">IF(AND(AC2604=1,AA2604&lt;1),IF(AND(C2605=C2604,AA2605=AA2604+1),IF(AC2605=1,"",INDEX(DATAS,AA2604+1)),INDEX(DATAS,AA2604+1)),"")</f>
        <v/>
      </c>
    </row>
    <row r="2605" customFormat="false" ht="15" hidden="false" customHeight="false" outlineLevel="0" collapsed="false">
      <c r="A2605" s="51" t="n">
        <v>46309</v>
      </c>
      <c r="B2605" s="0" t="n">
        <v>13</v>
      </c>
      <c r="C2605" s="0" t="n">
        <v>6948</v>
      </c>
      <c r="E2605" s="0" t="n">
        <v>0</v>
      </c>
      <c r="F2605" s="46" t="s">
        <v>1334</v>
      </c>
      <c r="I2605" s="46" t="s">
        <v>179</v>
      </c>
      <c r="U2605" s="0" t="n">
        <v>394</v>
      </c>
      <c r="V2605" s="0" t="n">
        <v>0</v>
      </c>
      <c r="X2605" s="46" t="n">
        <f aca="false">IF(I2605="Male",0,1)</f>
        <v>1</v>
      </c>
      <c r="Y2605" s="46" t="n">
        <f aca="false">IF(OR(I2605="DNB",I2605="Dry DNB"),1,0)</f>
        <v>0</v>
      </c>
      <c r="Z2605" s="0" t="str">
        <f aca="false">IF(ISNUMBER(W2605),A2605-W2605,"")</f>
        <v/>
      </c>
      <c r="AA2605" s="46" t="n">
        <f aca="false">MATCH(A2605,DATAS,0)</f>
        <v>1</v>
      </c>
      <c r="AB2605" s="46" t="n">
        <f aca="false">IF(AND(E2605&gt;0,OR(AND(B2605&gt;=1,B2605&lt;=6),B2605=10)),1,0)</f>
        <v>0</v>
      </c>
      <c r="AC2605" s="46" t="n">
        <f aca="false">IF(AND(E2605&gt;0,B2605=10),1,0)</f>
        <v>0</v>
      </c>
      <c r="AD2605" s="0" t="str">
        <f aca="false">IF(AND(C2604=C2605,AA2604=AA2605-1),AB2604,"")</f>
        <v/>
      </c>
      <c r="AE2605" s="0" t="str">
        <f aca="false">IF(AND(C2604=C2605,AA2604=AA2605-1),AC2604,"")</f>
        <v/>
      </c>
      <c r="AF2605" s="0" t="str">
        <f aca="false">IF(AA2605=1,"",IF(AND(AB2605=1,AD2605&lt;&gt;1),1,0))</f>
        <v/>
      </c>
      <c r="AG2605" s="0" t="str">
        <f aca="false">IF(AA2605=1,"",IF(AND(AC2605=1,AE2605&lt;&gt;1),1,0))</f>
        <v/>
      </c>
      <c r="AH2605" s="51" t="str">
        <f aca="false">IF(AND(E2605&gt;0,AA2605&lt;1,NOT(AND(C2606=C2605,AA2606=AA2605+1))),INDEX(DATAS,AA2605+1),"")</f>
        <v/>
      </c>
      <c r="AI2605" s="51" t="str">
        <f aca="false">IF(AND(AC2605=1,AA2605&lt;1),IF(AND(C2606=C2605,AA2606=AA2605+1),IF(AC2606=1,"",INDEX(DATAS,AA2605+1)),INDEX(DATAS,AA2605+1)),"")</f>
        <v/>
      </c>
    </row>
    <row r="2606" customFormat="false" ht="15" hidden="false" customHeight="false" outlineLevel="0" collapsed="false">
      <c r="A2606" s="51" t="n">
        <v>46309</v>
      </c>
      <c r="B2606" s="0" t="n">
        <v>13</v>
      </c>
      <c r="C2606" s="0" t="n">
        <v>6949</v>
      </c>
      <c r="E2606" s="0" t="n">
        <v>0</v>
      </c>
      <c r="F2606" s="46" t="s">
        <v>1334</v>
      </c>
      <c r="I2606" s="46" t="s">
        <v>179</v>
      </c>
      <c r="U2606" s="0" t="n">
        <v>394</v>
      </c>
      <c r="V2606" s="0" t="n">
        <v>0</v>
      </c>
      <c r="X2606" s="46" t="n">
        <f aca="false">IF(I2606="Male",0,1)</f>
        <v>1</v>
      </c>
      <c r="Y2606" s="46" t="n">
        <f aca="false">IF(OR(I2606="DNB",I2606="Dry DNB"),1,0)</f>
        <v>0</v>
      </c>
      <c r="Z2606" s="0" t="str">
        <f aca="false">IF(ISNUMBER(W2606),A2606-W2606,"")</f>
        <v/>
      </c>
      <c r="AA2606" s="46" t="n">
        <f aca="false">MATCH(A2606,DATAS,0)</f>
        <v>1</v>
      </c>
      <c r="AB2606" s="46" t="n">
        <f aca="false">IF(AND(E2606&gt;0,OR(AND(B2606&gt;=1,B2606&lt;=6),B2606=10)),1,0)</f>
        <v>0</v>
      </c>
      <c r="AC2606" s="46" t="n">
        <f aca="false">IF(AND(E2606&gt;0,B2606=10),1,0)</f>
        <v>0</v>
      </c>
      <c r="AD2606" s="0" t="str">
        <f aca="false">IF(AND(C2605=C2606,AA2605=AA2606-1),AB2605,"")</f>
        <v/>
      </c>
      <c r="AE2606" s="0" t="str">
        <f aca="false">IF(AND(C2605=C2606,AA2605=AA2606-1),AC2605,"")</f>
        <v/>
      </c>
      <c r="AF2606" s="0" t="str">
        <f aca="false">IF(AA2606=1,"",IF(AND(AB2606=1,AD2606&lt;&gt;1),1,0))</f>
        <v/>
      </c>
      <c r="AG2606" s="0" t="str">
        <f aca="false">IF(AA2606=1,"",IF(AND(AC2606=1,AE2606&lt;&gt;1),1,0))</f>
        <v/>
      </c>
      <c r="AH2606" s="51" t="str">
        <f aca="false">IF(AND(E2606&gt;0,AA2606&lt;1,NOT(AND(C2607=C2606,AA2607=AA2606+1))),INDEX(DATAS,AA2606+1),"")</f>
        <v/>
      </c>
      <c r="AI2606" s="51" t="str">
        <f aca="false">IF(AND(AC2606=1,AA2606&lt;1),IF(AND(C2607=C2606,AA2607=AA2606+1),IF(AC2607=1,"",INDEX(DATAS,AA2606+1)),INDEX(DATAS,AA2606+1)),"")</f>
        <v/>
      </c>
    </row>
    <row r="2607" customFormat="false" ht="15" hidden="false" customHeight="false" outlineLevel="0" collapsed="false">
      <c r="A2607" s="51" t="n">
        <v>46309</v>
      </c>
      <c r="B2607" s="0" t="n">
        <v>13</v>
      </c>
      <c r="C2607" s="0" t="n">
        <v>6950</v>
      </c>
      <c r="E2607" s="0" t="n">
        <v>0</v>
      </c>
      <c r="F2607" s="46" t="s">
        <v>1334</v>
      </c>
      <c r="I2607" s="46" t="s">
        <v>179</v>
      </c>
      <c r="U2607" s="0" t="n">
        <v>394</v>
      </c>
      <c r="V2607" s="0" t="n">
        <v>0</v>
      </c>
      <c r="X2607" s="46" t="n">
        <f aca="false">IF(I2607="Male",0,1)</f>
        <v>1</v>
      </c>
      <c r="Y2607" s="46" t="n">
        <f aca="false">IF(OR(I2607="DNB",I2607="Dry DNB"),1,0)</f>
        <v>0</v>
      </c>
      <c r="Z2607" s="0" t="str">
        <f aca="false">IF(ISNUMBER(W2607),A2607-W2607,"")</f>
        <v/>
      </c>
      <c r="AA2607" s="46" t="n">
        <f aca="false">MATCH(A2607,DATAS,0)</f>
        <v>1</v>
      </c>
      <c r="AB2607" s="46" t="n">
        <f aca="false">IF(AND(E2607&gt;0,OR(AND(B2607&gt;=1,B2607&lt;=6),B2607=10)),1,0)</f>
        <v>0</v>
      </c>
      <c r="AC2607" s="46" t="n">
        <f aca="false">IF(AND(E2607&gt;0,B2607=10),1,0)</f>
        <v>0</v>
      </c>
      <c r="AD2607" s="0" t="str">
        <f aca="false">IF(AND(C2606=C2607,AA2606=AA2607-1),AB2606,"")</f>
        <v/>
      </c>
      <c r="AE2607" s="0" t="str">
        <f aca="false">IF(AND(C2606=C2607,AA2606=AA2607-1),AC2606,"")</f>
        <v/>
      </c>
      <c r="AF2607" s="0" t="str">
        <f aca="false">IF(AA2607=1,"",IF(AND(AB2607=1,AD2607&lt;&gt;1),1,0))</f>
        <v/>
      </c>
      <c r="AG2607" s="0" t="str">
        <f aca="false">IF(AA2607=1,"",IF(AND(AC2607=1,AE2607&lt;&gt;1),1,0))</f>
        <v/>
      </c>
      <c r="AH2607" s="51" t="str">
        <f aca="false">IF(AND(E2607&gt;0,AA2607&lt;1,NOT(AND(C2608=C2607,AA2608=AA2607+1))),INDEX(DATAS,AA2607+1),"")</f>
        <v/>
      </c>
      <c r="AI2607" s="51" t="str">
        <f aca="false">IF(AND(AC2607=1,AA2607&lt;1),IF(AND(C2608=C2607,AA2608=AA2607+1),IF(AC2608=1,"",INDEX(DATAS,AA2607+1)),INDEX(DATAS,AA2607+1)),"")</f>
        <v/>
      </c>
    </row>
    <row r="2608" customFormat="false" ht="15" hidden="false" customHeight="false" outlineLevel="0" collapsed="false">
      <c r="A2608" s="51" t="n">
        <v>46309</v>
      </c>
      <c r="B2608" s="0" t="n">
        <v>13</v>
      </c>
      <c r="C2608" s="0" t="n">
        <v>6951</v>
      </c>
      <c r="E2608" s="0" t="n">
        <v>0</v>
      </c>
      <c r="F2608" s="46" t="s">
        <v>1335</v>
      </c>
      <c r="I2608" s="46" t="s">
        <v>179</v>
      </c>
      <c r="U2608" s="0" t="n">
        <v>393</v>
      </c>
      <c r="V2608" s="0" t="n">
        <v>0</v>
      </c>
      <c r="X2608" s="46" t="n">
        <f aca="false">IF(I2608="Male",0,1)</f>
        <v>1</v>
      </c>
      <c r="Y2608" s="46" t="n">
        <f aca="false">IF(OR(I2608="DNB",I2608="Dry DNB"),1,0)</f>
        <v>0</v>
      </c>
      <c r="Z2608" s="0" t="str">
        <f aca="false">IF(ISNUMBER(W2608),A2608-W2608,"")</f>
        <v/>
      </c>
      <c r="AA2608" s="46" t="n">
        <f aca="false">MATCH(A2608,DATAS,0)</f>
        <v>1</v>
      </c>
      <c r="AB2608" s="46" t="n">
        <f aca="false">IF(AND(E2608&gt;0,OR(AND(B2608&gt;=1,B2608&lt;=6),B2608=10)),1,0)</f>
        <v>0</v>
      </c>
      <c r="AC2608" s="46" t="n">
        <f aca="false">IF(AND(E2608&gt;0,B2608=10),1,0)</f>
        <v>0</v>
      </c>
      <c r="AD2608" s="0" t="str">
        <f aca="false">IF(AND(C2607=C2608,AA2607=AA2608-1),AB2607,"")</f>
        <v/>
      </c>
      <c r="AE2608" s="0" t="str">
        <f aca="false">IF(AND(C2607=C2608,AA2607=AA2608-1),AC2607,"")</f>
        <v/>
      </c>
      <c r="AF2608" s="0" t="str">
        <f aca="false">IF(AA2608=1,"",IF(AND(AB2608=1,AD2608&lt;&gt;1),1,0))</f>
        <v/>
      </c>
      <c r="AG2608" s="0" t="str">
        <f aca="false">IF(AA2608=1,"",IF(AND(AC2608=1,AE2608&lt;&gt;1),1,0))</f>
        <v/>
      </c>
      <c r="AH2608" s="51" t="str">
        <f aca="false">IF(AND(E2608&gt;0,AA2608&lt;1,NOT(AND(C2609=C2608,AA2609=AA2608+1))),INDEX(DATAS,AA2608+1),"")</f>
        <v/>
      </c>
      <c r="AI2608" s="51" t="str">
        <f aca="false">IF(AND(AC2608=1,AA2608&lt;1),IF(AND(C2609=C2608,AA2609=AA2608+1),IF(AC2609=1,"",INDEX(DATAS,AA2608+1)),INDEX(DATAS,AA2608+1)),"")</f>
        <v/>
      </c>
    </row>
    <row r="2609" customFormat="false" ht="15" hidden="false" customHeight="false" outlineLevel="0" collapsed="false">
      <c r="A2609" s="51" t="n">
        <v>46309</v>
      </c>
      <c r="B2609" s="0" t="n">
        <v>13</v>
      </c>
      <c r="C2609" s="0" t="n">
        <v>6953</v>
      </c>
      <c r="E2609" s="0" t="n">
        <v>0</v>
      </c>
      <c r="F2609" s="46" t="s">
        <v>1335</v>
      </c>
      <c r="I2609" s="46" t="s">
        <v>179</v>
      </c>
      <c r="U2609" s="0" t="n">
        <v>393</v>
      </c>
      <c r="V2609" s="0" t="n">
        <v>0</v>
      </c>
      <c r="X2609" s="46" t="n">
        <f aca="false">IF(I2609="Male",0,1)</f>
        <v>1</v>
      </c>
      <c r="Y2609" s="46" t="n">
        <f aca="false">IF(OR(I2609="DNB",I2609="Dry DNB"),1,0)</f>
        <v>0</v>
      </c>
      <c r="Z2609" s="0" t="str">
        <f aca="false">IF(ISNUMBER(W2609),A2609-W2609,"")</f>
        <v/>
      </c>
      <c r="AA2609" s="46" t="n">
        <f aca="false">MATCH(A2609,DATAS,0)</f>
        <v>1</v>
      </c>
      <c r="AB2609" s="46" t="n">
        <f aca="false">IF(AND(E2609&gt;0,OR(AND(B2609&gt;=1,B2609&lt;=6),B2609=10)),1,0)</f>
        <v>0</v>
      </c>
      <c r="AC2609" s="46" t="n">
        <f aca="false">IF(AND(E2609&gt;0,B2609=10),1,0)</f>
        <v>0</v>
      </c>
      <c r="AD2609" s="0" t="str">
        <f aca="false">IF(AND(C2608=C2609,AA2608=AA2609-1),AB2608,"")</f>
        <v/>
      </c>
      <c r="AE2609" s="0" t="str">
        <f aca="false">IF(AND(C2608=C2609,AA2608=AA2609-1),AC2608,"")</f>
        <v/>
      </c>
      <c r="AF2609" s="0" t="str">
        <f aca="false">IF(AA2609=1,"",IF(AND(AB2609=1,AD2609&lt;&gt;1),1,0))</f>
        <v/>
      </c>
      <c r="AG2609" s="0" t="str">
        <f aca="false">IF(AA2609=1,"",IF(AND(AC2609=1,AE2609&lt;&gt;1),1,0))</f>
        <v/>
      </c>
      <c r="AH2609" s="51" t="str">
        <f aca="false">IF(AND(E2609&gt;0,AA2609&lt;1,NOT(AND(C2610=C2609,AA2610=AA2609+1))),INDEX(DATAS,AA2609+1),"")</f>
        <v/>
      </c>
      <c r="AI2609" s="51" t="str">
        <f aca="false">IF(AND(AC2609=1,AA2609&lt;1),IF(AND(C2610=C2609,AA2610=AA2609+1),IF(AC2610=1,"",INDEX(DATAS,AA2609+1)),INDEX(DATAS,AA2609+1)),"")</f>
        <v/>
      </c>
    </row>
    <row r="2610" customFormat="false" ht="15" hidden="false" customHeight="false" outlineLevel="0" collapsed="false">
      <c r="A2610" s="51" t="n">
        <v>46309</v>
      </c>
      <c r="B2610" s="0" t="n">
        <v>13</v>
      </c>
      <c r="C2610" s="0" t="n">
        <v>6954</v>
      </c>
      <c r="E2610" s="0" t="n">
        <v>0</v>
      </c>
      <c r="F2610" s="46" t="s">
        <v>1335</v>
      </c>
      <c r="I2610" s="46" t="s">
        <v>179</v>
      </c>
      <c r="U2610" s="0" t="n">
        <v>393</v>
      </c>
      <c r="V2610" s="0" t="n">
        <v>0</v>
      </c>
      <c r="X2610" s="46" t="n">
        <f aca="false">IF(I2610="Male",0,1)</f>
        <v>1</v>
      </c>
      <c r="Y2610" s="46" t="n">
        <f aca="false">IF(OR(I2610="DNB",I2610="Dry DNB"),1,0)</f>
        <v>0</v>
      </c>
      <c r="Z2610" s="0" t="str">
        <f aca="false">IF(ISNUMBER(W2610),A2610-W2610,"")</f>
        <v/>
      </c>
      <c r="AA2610" s="46" t="n">
        <f aca="false">MATCH(A2610,DATAS,0)</f>
        <v>1</v>
      </c>
      <c r="AB2610" s="46" t="n">
        <f aca="false">IF(AND(E2610&gt;0,OR(AND(B2610&gt;=1,B2610&lt;=6),B2610=10)),1,0)</f>
        <v>0</v>
      </c>
      <c r="AC2610" s="46" t="n">
        <f aca="false">IF(AND(E2610&gt;0,B2610=10),1,0)</f>
        <v>0</v>
      </c>
      <c r="AD2610" s="0" t="str">
        <f aca="false">IF(AND(C2609=C2610,AA2609=AA2610-1),AB2609,"")</f>
        <v/>
      </c>
      <c r="AE2610" s="0" t="str">
        <f aca="false">IF(AND(C2609=C2610,AA2609=AA2610-1),AC2609,"")</f>
        <v/>
      </c>
      <c r="AF2610" s="0" t="str">
        <f aca="false">IF(AA2610=1,"",IF(AND(AB2610=1,AD2610&lt;&gt;1),1,0))</f>
        <v/>
      </c>
      <c r="AG2610" s="0" t="str">
        <f aca="false">IF(AA2610=1,"",IF(AND(AC2610=1,AE2610&lt;&gt;1),1,0))</f>
        <v/>
      </c>
      <c r="AH2610" s="51" t="str">
        <f aca="false">IF(AND(E2610&gt;0,AA2610&lt;1,NOT(AND(C2611=C2610,AA2611=AA2610+1))),INDEX(DATAS,AA2610+1),"")</f>
        <v/>
      </c>
      <c r="AI2610" s="51" t="str">
        <f aca="false">IF(AND(AC2610=1,AA2610&lt;1),IF(AND(C2611=C2610,AA2611=AA2610+1),IF(AC2611=1,"",INDEX(DATAS,AA2610+1)),INDEX(DATAS,AA2610+1)),"")</f>
        <v/>
      </c>
    </row>
    <row r="2611" customFormat="false" ht="15" hidden="false" customHeight="false" outlineLevel="0" collapsed="false">
      <c r="A2611" s="51" t="n">
        <v>46309</v>
      </c>
      <c r="B2611" s="0" t="n">
        <v>11</v>
      </c>
      <c r="C2611" s="0" t="n">
        <v>6955</v>
      </c>
      <c r="E2611" s="0" t="n">
        <v>0</v>
      </c>
      <c r="F2611" s="46" t="s">
        <v>1335</v>
      </c>
      <c r="I2611" s="46" t="s">
        <v>181</v>
      </c>
      <c r="U2611" s="0" t="n">
        <v>393</v>
      </c>
      <c r="V2611" s="0" t="n">
        <v>1</v>
      </c>
      <c r="W2611" s="51" t="n">
        <v>46309</v>
      </c>
      <c r="X2611" s="46" t="n">
        <f aca="false">IF(I2611="Male",0,1)</f>
        <v>1</v>
      </c>
      <c r="Y2611" s="46" t="n">
        <f aca="false">IF(OR(I2611="DNB",I2611="Dry DNB"),1,0)</f>
        <v>0</v>
      </c>
      <c r="Z2611" s="46" t="n">
        <f aca="false">IF(ISNUMBER(W2611),A2611-W2611,"")</f>
        <v>0</v>
      </c>
      <c r="AA2611" s="46" t="n">
        <f aca="false">MATCH(A2611,DATAS,0)</f>
        <v>1</v>
      </c>
      <c r="AB2611" s="46" t="n">
        <f aca="false">IF(AND(E2611&gt;0,OR(AND(B2611&gt;=1,B2611&lt;=6),B2611=10)),1,0)</f>
        <v>0</v>
      </c>
      <c r="AC2611" s="46" t="n">
        <f aca="false">IF(AND(E2611&gt;0,B2611=10),1,0)</f>
        <v>0</v>
      </c>
      <c r="AD2611" s="0" t="str">
        <f aca="false">IF(AND(C2610=C2611,AA2610=AA2611-1),AB2610,"")</f>
        <v/>
      </c>
      <c r="AE2611" s="0" t="str">
        <f aca="false">IF(AND(C2610=C2611,AA2610=AA2611-1),AC2610,"")</f>
        <v/>
      </c>
      <c r="AF2611" s="0" t="str">
        <f aca="false">IF(AA2611=1,"",IF(AND(AB2611=1,AD2611&lt;&gt;1),1,0))</f>
        <v/>
      </c>
      <c r="AG2611" s="0" t="str">
        <f aca="false">IF(AA2611=1,"",IF(AND(AC2611=1,AE2611&lt;&gt;1),1,0))</f>
        <v/>
      </c>
      <c r="AH2611" s="51" t="str">
        <f aca="false">IF(AND(E2611&gt;0,AA2611&lt;1,NOT(AND(C2612=C2611,AA2612=AA2611+1))),INDEX(DATAS,AA2611+1),"")</f>
        <v/>
      </c>
      <c r="AI2611" s="51" t="str">
        <f aca="false">IF(AND(AC2611=1,AA2611&lt;1),IF(AND(C2612=C2611,AA2612=AA2611+1),IF(AC2612=1,"",INDEX(DATAS,AA2611+1)),INDEX(DATAS,AA2611+1)),"")</f>
        <v/>
      </c>
    </row>
    <row r="2612" customFormat="false" ht="15" hidden="false" customHeight="false" outlineLevel="0" collapsed="false">
      <c r="A2612" s="51" t="n">
        <v>46309</v>
      </c>
      <c r="B2612" s="0" t="n">
        <v>13</v>
      </c>
      <c r="C2612" s="0" t="n">
        <v>6957</v>
      </c>
      <c r="E2612" s="0" t="n">
        <v>0</v>
      </c>
      <c r="F2612" s="46" t="s">
        <v>1336</v>
      </c>
      <c r="I2612" s="46" t="s">
        <v>179</v>
      </c>
      <c r="U2612" s="0" t="n">
        <v>392</v>
      </c>
      <c r="V2612" s="0" t="n">
        <v>0</v>
      </c>
      <c r="X2612" s="46" t="n">
        <f aca="false">IF(I2612="Male",0,1)</f>
        <v>1</v>
      </c>
      <c r="Y2612" s="46" t="n">
        <f aca="false">IF(OR(I2612="DNB",I2612="Dry DNB"),1,0)</f>
        <v>0</v>
      </c>
      <c r="Z2612" s="0" t="str">
        <f aca="false">IF(ISNUMBER(W2612),A2612-W2612,"")</f>
        <v/>
      </c>
      <c r="AA2612" s="46" t="n">
        <f aca="false">MATCH(A2612,DATAS,0)</f>
        <v>1</v>
      </c>
      <c r="AB2612" s="46" t="n">
        <f aca="false">IF(AND(E2612&gt;0,OR(AND(B2612&gt;=1,B2612&lt;=6),B2612=10)),1,0)</f>
        <v>0</v>
      </c>
      <c r="AC2612" s="46" t="n">
        <f aca="false">IF(AND(E2612&gt;0,B2612=10),1,0)</f>
        <v>0</v>
      </c>
      <c r="AD2612" s="0" t="str">
        <f aca="false">IF(AND(C2611=C2612,AA2611=AA2612-1),AB2611,"")</f>
        <v/>
      </c>
      <c r="AE2612" s="0" t="str">
        <f aca="false">IF(AND(C2611=C2612,AA2611=AA2612-1),AC2611,"")</f>
        <v/>
      </c>
      <c r="AF2612" s="0" t="str">
        <f aca="false">IF(AA2612=1,"",IF(AND(AB2612=1,AD2612&lt;&gt;1),1,0))</f>
        <v/>
      </c>
      <c r="AG2612" s="0" t="str">
        <f aca="false">IF(AA2612=1,"",IF(AND(AC2612=1,AE2612&lt;&gt;1),1,0))</f>
        <v/>
      </c>
      <c r="AH2612" s="51" t="str">
        <f aca="false">IF(AND(E2612&gt;0,AA2612&lt;1,NOT(AND(C2613=C2612,AA2613=AA2612+1))),INDEX(DATAS,AA2612+1),"")</f>
        <v/>
      </c>
      <c r="AI2612" s="51" t="str">
        <f aca="false">IF(AND(AC2612=1,AA2612&lt;1),IF(AND(C2613=C2612,AA2613=AA2612+1),IF(AC2613=1,"",INDEX(DATAS,AA2612+1)),INDEX(DATAS,AA2612+1)),"")</f>
        <v/>
      </c>
    </row>
    <row r="2613" customFormat="false" ht="15" hidden="false" customHeight="false" outlineLevel="0" collapsed="false">
      <c r="A2613" s="51" t="n">
        <v>46309</v>
      </c>
      <c r="B2613" s="0" t="n">
        <v>13</v>
      </c>
      <c r="C2613" s="0" t="n">
        <v>6958</v>
      </c>
      <c r="E2613" s="0" t="n">
        <v>0</v>
      </c>
      <c r="F2613" s="46" t="s">
        <v>1337</v>
      </c>
      <c r="I2613" s="46" t="s">
        <v>179</v>
      </c>
      <c r="U2613" s="0" t="n">
        <v>391</v>
      </c>
      <c r="V2613" s="0" t="n">
        <v>0</v>
      </c>
      <c r="X2613" s="46" t="n">
        <f aca="false">IF(I2613="Male",0,1)</f>
        <v>1</v>
      </c>
      <c r="Y2613" s="46" t="n">
        <f aca="false">IF(OR(I2613="DNB",I2613="Dry DNB"),1,0)</f>
        <v>0</v>
      </c>
      <c r="Z2613" s="0" t="str">
        <f aca="false">IF(ISNUMBER(W2613),A2613-W2613,"")</f>
        <v/>
      </c>
      <c r="AA2613" s="46" t="n">
        <f aca="false">MATCH(A2613,DATAS,0)</f>
        <v>1</v>
      </c>
      <c r="AB2613" s="46" t="n">
        <f aca="false">IF(AND(E2613&gt;0,OR(AND(B2613&gt;=1,B2613&lt;=6),B2613=10)),1,0)</f>
        <v>0</v>
      </c>
      <c r="AC2613" s="46" t="n">
        <f aca="false">IF(AND(E2613&gt;0,B2613=10),1,0)</f>
        <v>0</v>
      </c>
      <c r="AD2613" s="0" t="str">
        <f aca="false">IF(AND(C2612=C2613,AA2612=AA2613-1),AB2612,"")</f>
        <v/>
      </c>
      <c r="AE2613" s="0" t="str">
        <f aca="false">IF(AND(C2612=C2613,AA2612=AA2613-1),AC2612,"")</f>
        <v/>
      </c>
      <c r="AF2613" s="0" t="str">
        <f aca="false">IF(AA2613=1,"",IF(AND(AB2613=1,AD2613&lt;&gt;1),1,0))</f>
        <v/>
      </c>
      <c r="AG2613" s="0" t="str">
        <f aca="false">IF(AA2613=1,"",IF(AND(AC2613=1,AE2613&lt;&gt;1),1,0))</f>
        <v/>
      </c>
      <c r="AH2613" s="51" t="str">
        <f aca="false">IF(AND(E2613&gt;0,AA2613&lt;1,NOT(AND(C2614=C2613,AA2614=AA2613+1))),INDEX(DATAS,AA2613+1),"")</f>
        <v/>
      </c>
      <c r="AI2613" s="51" t="str">
        <f aca="false">IF(AND(AC2613=1,AA2613&lt;1),IF(AND(C2614=C2613,AA2614=AA2613+1),IF(AC2614=1,"",INDEX(DATAS,AA2613+1)),INDEX(DATAS,AA2613+1)),"")</f>
        <v/>
      </c>
    </row>
    <row r="2614" customFormat="false" ht="15" hidden="false" customHeight="false" outlineLevel="0" collapsed="false">
      <c r="A2614" s="51" t="n">
        <v>46309</v>
      </c>
      <c r="B2614" s="0" t="n">
        <v>13</v>
      </c>
      <c r="C2614" s="0" t="n">
        <v>6959</v>
      </c>
      <c r="E2614" s="0" t="n">
        <v>0</v>
      </c>
      <c r="F2614" s="46" t="s">
        <v>1337</v>
      </c>
      <c r="I2614" s="46" t="s">
        <v>179</v>
      </c>
      <c r="U2614" s="0" t="n">
        <v>391</v>
      </c>
      <c r="V2614" s="0" t="n">
        <v>0</v>
      </c>
      <c r="X2614" s="46" t="n">
        <f aca="false">IF(I2614="Male",0,1)</f>
        <v>1</v>
      </c>
      <c r="Y2614" s="46" t="n">
        <f aca="false">IF(OR(I2614="DNB",I2614="Dry DNB"),1,0)</f>
        <v>0</v>
      </c>
      <c r="Z2614" s="0" t="str">
        <f aca="false">IF(ISNUMBER(W2614),A2614-W2614,"")</f>
        <v/>
      </c>
      <c r="AA2614" s="46" t="n">
        <f aca="false">MATCH(A2614,DATAS,0)</f>
        <v>1</v>
      </c>
      <c r="AB2614" s="46" t="n">
        <f aca="false">IF(AND(E2614&gt;0,OR(AND(B2614&gt;=1,B2614&lt;=6),B2614=10)),1,0)</f>
        <v>0</v>
      </c>
      <c r="AC2614" s="46" t="n">
        <f aca="false">IF(AND(E2614&gt;0,B2614=10),1,0)</f>
        <v>0</v>
      </c>
      <c r="AD2614" s="0" t="str">
        <f aca="false">IF(AND(C2613=C2614,AA2613=AA2614-1),AB2613,"")</f>
        <v/>
      </c>
      <c r="AE2614" s="0" t="str">
        <f aca="false">IF(AND(C2613=C2614,AA2613=AA2614-1),AC2613,"")</f>
        <v/>
      </c>
      <c r="AF2614" s="0" t="str">
        <f aca="false">IF(AA2614=1,"",IF(AND(AB2614=1,AD2614&lt;&gt;1),1,0))</f>
        <v/>
      </c>
      <c r="AG2614" s="0" t="str">
        <f aca="false">IF(AA2614=1,"",IF(AND(AC2614=1,AE2614&lt;&gt;1),1,0))</f>
        <v/>
      </c>
      <c r="AH2614" s="51" t="str">
        <f aca="false">IF(AND(E2614&gt;0,AA2614&lt;1,NOT(AND(C2615=C2614,AA2615=AA2614+1))),INDEX(DATAS,AA2614+1),"")</f>
        <v/>
      </c>
      <c r="AI2614" s="51" t="str">
        <f aca="false">IF(AND(AC2614=1,AA2614&lt;1),IF(AND(C2615=C2614,AA2615=AA2614+1),IF(AC2615=1,"",INDEX(DATAS,AA2614+1)),INDEX(DATAS,AA2614+1)),"")</f>
        <v/>
      </c>
    </row>
    <row r="2615" customFormat="false" ht="15" hidden="false" customHeight="false" outlineLevel="0" collapsed="false">
      <c r="A2615" s="51" t="n">
        <v>46309</v>
      </c>
      <c r="B2615" s="0" t="n">
        <v>13</v>
      </c>
      <c r="C2615" s="0" t="n">
        <v>6960</v>
      </c>
      <c r="E2615" s="0" t="n">
        <v>0</v>
      </c>
      <c r="F2615" s="46" t="s">
        <v>1337</v>
      </c>
      <c r="I2615" s="46" t="s">
        <v>179</v>
      </c>
      <c r="U2615" s="0" t="n">
        <v>391</v>
      </c>
      <c r="V2615" s="0" t="n">
        <v>0</v>
      </c>
      <c r="X2615" s="46" t="n">
        <f aca="false">IF(I2615="Male",0,1)</f>
        <v>1</v>
      </c>
      <c r="Y2615" s="46" t="n">
        <f aca="false">IF(OR(I2615="DNB",I2615="Dry DNB"),1,0)</f>
        <v>0</v>
      </c>
      <c r="Z2615" s="0" t="str">
        <f aca="false">IF(ISNUMBER(W2615),A2615-W2615,"")</f>
        <v/>
      </c>
      <c r="AA2615" s="46" t="n">
        <f aca="false">MATCH(A2615,DATAS,0)</f>
        <v>1</v>
      </c>
      <c r="AB2615" s="46" t="n">
        <f aca="false">IF(AND(E2615&gt;0,OR(AND(B2615&gt;=1,B2615&lt;=6),B2615=10)),1,0)</f>
        <v>0</v>
      </c>
      <c r="AC2615" s="46" t="n">
        <f aca="false">IF(AND(E2615&gt;0,B2615=10),1,0)</f>
        <v>0</v>
      </c>
      <c r="AD2615" s="0" t="str">
        <f aca="false">IF(AND(C2614=C2615,AA2614=AA2615-1),AB2614,"")</f>
        <v/>
      </c>
      <c r="AE2615" s="0" t="str">
        <f aca="false">IF(AND(C2614=C2615,AA2614=AA2615-1),AC2614,"")</f>
        <v/>
      </c>
      <c r="AF2615" s="0" t="str">
        <f aca="false">IF(AA2615=1,"",IF(AND(AB2615=1,AD2615&lt;&gt;1),1,0))</f>
        <v/>
      </c>
      <c r="AG2615" s="0" t="str">
        <f aca="false">IF(AA2615=1,"",IF(AND(AC2615=1,AE2615&lt;&gt;1),1,0))</f>
        <v/>
      </c>
      <c r="AH2615" s="51" t="str">
        <f aca="false">IF(AND(E2615&gt;0,AA2615&lt;1,NOT(AND(C2616=C2615,AA2616=AA2615+1))),INDEX(DATAS,AA2615+1),"")</f>
        <v/>
      </c>
      <c r="AI2615" s="51" t="str">
        <f aca="false">IF(AND(AC2615=1,AA2615&lt;1),IF(AND(C2616=C2615,AA2616=AA2615+1),IF(AC2616=1,"",INDEX(DATAS,AA2615+1)),INDEX(DATAS,AA2615+1)),"")</f>
        <v/>
      </c>
    </row>
    <row r="2616" customFormat="false" ht="15" hidden="false" customHeight="false" outlineLevel="0" collapsed="false">
      <c r="A2616" s="51" t="n">
        <v>46309</v>
      </c>
      <c r="B2616" s="0" t="n">
        <v>13</v>
      </c>
      <c r="C2616" s="0" t="n">
        <v>6961</v>
      </c>
      <c r="E2616" s="0" t="n">
        <v>0</v>
      </c>
      <c r="F2616" s="46" t="s">
        <v>1338</v>
      </c>
      <c r="I2616" s="46" t="s">
        <v>179</v>
      </c>
      <c r="U2616" s="0" t="n">
        <v>390</v>
      </c>
      <c r="V2616" s="0" t="n">
        <v>0</v>
      </c>
      <c r="X2616" s="46" t="n">
        <f aca="false">IF(I2616="Male",0,1)</f>
        <v>1</v>
      </c>
      <c r="Y2616" s="46" t="n">
        <f aca="false">IF(OR(I2616="DNB",I2616="Dry DNB"),1,0)</f>
        <v>0</v>
      </c>
      <c r="Z2616" s="0" t="str">
        <f aca="false">IF(ISNUMBER(W2616),A2616-W2616,"")</f>
        <v/>
      </c>
      <c r="AA2616" s="46" t="n">
        <f aca="false">MATCH(A2616,DATAS,0)</f>
        <v>1</v>
      </c>
      <c r="AB2616" s="46" t="n">
        <f aca="false">IF(AND(E2616&gt;0,OR(AND(B2616&gt;=1,B2616&lt;=6),B2616=10)),1,0)</f>
        <v>0</v>
      </c>
      <c r="AC2616" s="46" t="n">
        <f aca="false">IF(AND(E2616&gt;0,B2616=10),1,0)</f>
        <v>0</v>
      </c>
      <c r="AD2616" s="0" t="str">
        <f aca="false">IF(AND(C2615=C2616,AA2615=AA2616-1),AB2615,"")</f>
        <v/>
      </c>
      <c r="AE2616" s="0" t="str">
        <f aca="false">IF(AND(C2615=C2616,AA2615=AA2616-1),AC2615,"")</f>
        <v/>
      </c>
      <c r="AF2616" s="0" t="str">
        <f aca="false">IF(AA2616=1,"",IF(AND(AB2616=1,AD2616&lt;&gt;1),1,0))</f>
        <v/>
      </c>
      <c r="AG2616" s="0" t="str">
        <f aca="false">IF(AA2616=1,"",IF(AND(AC2616=1,AE2616&lt;&gt;1),1,0))</f>
        <v/>
      </c>
      <c r="AH2616" s="51" t="str">
        <f aca="false">IF(AND(E2616&gt;0,AA2616&lt;1,NOT(AND(C2617=C2616,AA2617=AA2616+1))),INDEX(DATAS,AA2616+1),"")</f>
        <v/>
      </c>
      <c r="AI2616" s="51" t="str">
        <f aca="false">IF(AND(AC2616=1,AA2616&lt;1),IF(AND(C2617=C2616,AA2617=AA2616+1),IF(AC2617=1,"",INDEX(DATAS,AA2616+1)),INDEX(DATAS,AA2616+1)),"")</f>
        <v/>
      </c>
    </row>
    <row r="2617" customFormat="false" ht="15" hidden="false" customHeight="false" outlineLevel="0" collapsed="false">
      <c r="A2617" s="51" t="n">
        <v>46309</v>
      </c>
      <c r="B2617" s="0" t="n">
        <v>13</v>
      </c>
      <c r="C2617" s="0" t="n">
        <v>6962</v>
      </c>
      <c r="E2617" s="0" t="n">
        <v>0</v>
      </c>
      <c r="F2617" s="46" t="s">
        <v>1338</v>
      </c>
      <c r="I2617" s="46" t="s">
        <v>179</v>
      </c>
      <c r="U2617" s="0" t="n">
        <v>390</v>
      </c>
      <c r="V2617" s="0" t="n">
        <v>0</v>
      </c>
      <c r="X2617" s="46" t="n">
        <f aca="false">IF(I2617="Male",0,1)</f>
        <v>1</v>
      </c>
      <c r="Y2617" s="46" t="n">
        <f aca="false">IF(OR(I2617="DNB",I2617="Dry DNB"),1,0)</f>
        <v>0</v>
      </c>
      <c r="Z2617" s="0" t="str">
        <f aca="false">IF(ISNUMBER(W2617),A2617-W2617,"")</f>
        <v/>
      </c>
      <c r="AA2617" s="46" t="n">
        <f aca="false">MATCH(A2617,DATAS,0)</f>
        <v>1</v>
      </c>
      <c r="AB2617" s="46" t="n">
        <f aca="false">IF(AND(E2617&gt;0,OR(AND(B2617&gt;=1,B2617&lt;=6),B2617=10)),1,0)</f>
        <v>0</v>
      </c>
      <c r="AC2617" s="46" t="n">
        <f aca="false">IF(AND(E2617&gt;0,B2617=10),1,0)</f>
        <v>0</v>
      </c>
      <c r="AD2617" s="0" t="str">
        <f aca="false">IF(AND(C2616=C2617,AA2616=AA2617-1),AB2616,"")</f>
        <v/>
      </c>
      <c r="AE2617" s="0" t="str">
        <f aca="false">IF(AND(C2616=C2617,AA2616=AA2617-1),AC2616,"")</f>
        <v/>
      </c>
      <c r="AF2617" s="0" t="str">
        <f aca="false">IF(AA2617=1,"",IF(AND(AB2617=1,AD2617&lt;&gt;1),1,0))</f>
        <v/>
      </c>
      <c r="AG2617" s="0" t="str">
        <f aca="false">IF(AA2617=1,"",IF(AND(AC2617=1,AE2617&lt;&gt;1),1,0))</f>
        <v/>
      </c>
      <c r="AH2617" s="51" t="str">
        <f aca="false">IF(AND(E2617&gt;0,AA2617&lt;1,NOT(AND(C2618=C2617,AA2618=AA2617+1))),INDEX(DATAS,AA2617+1),"")</f>
        <v/>
      </c>
      <c r="AI2617" s="51" t="str">
        <f aca="false">IF(AND(AC2617=1,AA2617&lt;1),IF(AND(C2618=C2617,AA2618=AA2617+1),IF(AC2618=1,"",INDEX(DATAS,AA2617+1)),INDEX(DATAS,AA2617+1)),"")</f>
        <v/>
      </c>
    </row>
    <row r="2618" customFormat="false" ht="15" hidden="false" customHeight="false" outlineLevel="0" collapsed="false">
      <c r="A2618" s="51" t="n">
        <v>46309</v>
      </c>
      <c r="B2618" s="0" t="n">
        <v>13</v>
      </c>
      <c r="C2618" s="0" t="n">
        <v>6963</v>
      </c>
      <c r="E2618" s="0" t="n">
        <v>0</v>
      </c>
      <c r="F2618" s="46" t="s">
        <v>1338</v>
      </c>
      <c r="I2618" s="46" t="s">
        <v>179</v>
      </c>
      <c r="U2618" s="0" t="n">
        <v>390</v>
      </c>
      <c r="V2618" s="0" t="n">
        <v>0</v>
      </c>
      <c r="X2618" s="46" t="n">
        <f aca="false">IF(I2618="Male",0,1)</f>
        <v>1</v>
      </c>
      <c r="Y2618" s="46" t="n">
        <f aca="false">IF(OR(I2618="DNB",I2618="Dry DNB"),1,0)</f>
        <v>0</v>
      </c>
      <c r="Z2618" s="0" t="str">
        <f aca="false">IF(ISNUMBER(W2618),A2618-W2618,"")</f>
        <v/>
      </c>
      <c r="AA2618" s="46" t="n">
        <f aca="false">MATCH(A2618,DATAS,0)</f>
        <v>1</v>
      </c>
      <c r="AB2618" s="46" t="n">
        <f aca="false">IF(AND(E2618&gt;0,OR(AND(B2618&gt;=1,B2618&lt;=6),B2618=10)),1,0)</f>
        <v>0</v>
      </c>
      <c r="AC2618" s="46" t="n">
        <f aca="false">IF(AND(E2618&gt;0,B2618=10),1,0)</f>
        <v>0</v>
      </c>
      <c r="AD2618" s="0" t="str">
        <f aca="false">IF(AND(C2617=C2618,AA2617=AA2618-1),AB2617,"")</f>
        <v/>
      </c>
      <c r="AE2618" s="0" t="str">
        <f aca="false">IF(AND(C2617=C2618,AA2617=AA2618-1),AC2617,"")</f>
        <v/>
      </c>
      <c r="AF2618" s="0" t="str">
        <f aca="false">IF(AA2618=1,"",IF(AND(AB2618=1,AD2618&lt;&gt;1),1,0))</f>
        <v/>
      </c>
      <c r="AG2618" s="0" t="str">
        <f aca="false">IF(AA2618=1,"",IF(AND(AC2618=1,AE2618&lt;&gt;1),1,0))</f>
        <v/>
      </c>
      <c r="AH2618" s="51" t="str">
        <f aca="false">IF(AND(E2618&gt;0,AA2618&lt;1,NOT(AND(C2619=C2618,AA2619=AA2618+1))),INDEX(DATAS,AA2618+1),"")</f>
        <v/>
      </c>
      <c r="AI2618" s="51" t="str">
        <f aca="false">IF(AND(AC2618=1,AA2618&lt;1),IF(AND(C2619=C2618,AA2619=AA2618+1),IF(AC2619=1,"",INDEX(DATAS,AA2618+1)),INDEX(DATAS,AA2618+1)),"")</f>
        <v/>
      </c>
    </row>
    <row r="2619" customFormat="false" ht="15" hidden="false" customHeight="false" outlineLevel="0" collapsed="false">
      <c r="A2619" s="51" t="n">
        <v>46309</v>
      </c>
      <c r="B2619" s="0" t="n">
        <v>13</v>
      </c>
      <c r="C2619" s="0" t="n">
        <v>6964</v>
      </c>
      <c r="E2619" s="0" t="n">
        <v>0</v>
      </c>
      <c r="F2619" s="46" t="s">
        <v>1338</v>
      </c>
      <c r="I2619" s="46" t="s">
        <v>179</v>
      </c>
      <c r="U2619" s="0" t="n">
        <v>390</v>
      </c>
      <c r="V2619" s="0" t="n">
        <v>0</v>
      </c>
      <c r="X2619" s="46" t="n">
        <f aca="false">IF(I2619="Male",0,1)</f>
        <v>1</v>
      </c>
      <c r="Y2619" s="46" t="n">
        <f aca="false">IF(OR(I2619="DNB",I2619="Dry DNB"),1,0)</f>
        <v>0</v>
      </c>
      <c r="Z2619" s="0" t="str">
        <f aca="false">IF(ISNUMBER(W2619),A2619-W2619,"")</f>
        <v/>
      </c>
      <c r="AA2619" s="46" t="n">
        <f aca="false">MATCH(A2619,DATAS,0)</f>
        <v>1</v>
      </c>
      <c r="AB2619" s="46" t="n">
        <f aca="false">IF(AND(E2619&gt;0,OR(AND(B2619&gt;=1,B2619&lt;=6),B2619=10)),1,0)</f>
        <v>0</v>
      </c>
      <c r="AC2619" s="46" t="n">
        <f aca="false">IF(AND(E2619&gt;0,B2619=10),1,0)</f>
        <v>0</v>
      </c>
      <c r="AD2619" s="0" t="str">
        <f aca="false">IF(AND(C2618=C2619,AA2618=AA2619-1),AB2618,"")</f>
        <v/>
      </c>
      <c r="AE2619" s="0" t="str">
        <f aca="false">IF(AND(C2618=C2619,AA2618=AA2619-1),AC2618,"")</f>
        <v/>
      </c>
      <c r="AF2619" s="0" t="str">
        <f aca="false">IF(AA2619=1,"",IF(AND(AB2619=1,AD2619&lt;&gt;1),1,0))</f>
        <v/>
      </c>
      <c r="AG2619" s="0" t="str">
        <f aca="false">IF(AA2619=1,"",IF(AND(AC2619=1,AE2619&lt;&gt;1),1,0))</f>
        <v/>
      </c>
      <c r="AH2619" s="51" t="str">
        <f aca="false">IF(AND(E2619&gt;0,AA2619&lt;1,NOT(AND(C2620=C2619,AA2620=AA2619+1))),INDEX(DATAS,AA2619+1),"")</f>
        <v/>
      </c>
      <c r="AI2619" s="51" t="str">
        <f aca="false">IF(AND(AC2619=1,AA2619&lt;1),IF(AND(C2620=C2619,AA2620=AA2619+1),IF(AC2620=1,"",INDEX(DATAS,AA2619+1)),INDEX(DATAS,AA2619+1)),"")</f>
        <v/>
      </c>
    </row>
    <row r="2620" customFormat="false" ht="15" hidden="false" customHeight="false" outlineLevel="0" collapsed="false">
      <c r="A2620" s="51" t="n">
        <v>46309</v>
      </c>
      <c r="B2620" s="0" t="n">
        <v>13</v>
      </c>
      <c r="C2620" s="0" t="n">
        <v>6965</v>
      </c>
      <c r="E2620" s="0" t="n">
        <v>0</v>
      </c>
      <c r="F2620" s="46" t="s">
        <v>1338</v>
      </c>
      <c r="I2620" s="46" t="s">
        <v>179</v>
      </c>
      <c r="U2620" s="0" t="n">
        <v>390</v>
      </c>
      <c r="V2620" s="0" t="n">
        <v>0</v>
      </c>
      <c r="X2620" s="46" t="n">
        <f aca="false">IF(I2620="Male",0,1)</f>
        <v>1</v>
      </c>
      <c r="Y2620" s="46" t="n">
        <f aca="false">IF(OR(I2620="DNB",I2620="Dry DNB"),1,0)</f>
        <v>0</v>
      </c>
      <c r="Z2620" s="0" t="str">
        <f aca="false">IF(ISNUMBER(W2620),A2620-W2620,"")</f>
        <v/>
      </c>
      <c r="AA2620" s="46" t="n">
        <f aca="false">MATCH(A2620,DATAS,0)</f>
        <v>1</v>
      </c>
      <c r="AB2620" s="46" t="n">
        <f aca="false">IF(AND(E2620&gt;0,OR(AND(B2620&gt;=1,B2620&lt;=6),B2620=10)),1,0)</f>
        <v>0</v>
      </c>
      <c r="AC2620" s="46" t="n">
        <f aca="false">IF(AND(E2620&gt;0,B2620=10),1,0)</f>
        <v>0</v>
      </c>
      <c r="AD2620" s="0" t="str">
        <f aca="false">IF(AND(C2619=C2620,AA2619=AA2620-1),AB2619,"")</f>
        <v/>
      </c>
      <c r="AE2620" s="0" t="str">
        <f aca="false">IF(AND(C2619=C2620,AA2619=AA2620-1),AC2619,"")</f>
        <v/>
      </c>
      <c r="AF2620" s="0" t="str">
        <f aca="false">IF(AA2620=1,"",IF(AND(AB2620=1,AD2620&lt;&gt;1),1,0))</f>
        <v/>
      </c>
      <c r="AG2620" s="0" t="str">
        <f aca="false">IF(AA2620=1,"",IF(AND(AC2620=1,AE2620&lt;&gt;1),1,0))</f>
        <v/>
      </c>
      <c r="AH2620" s="51" t="str">
        <f aca="false">IF(AND(E2620&gt;0,AA2620&lt;1,NOT(AND(C2621=C2620,AA2621=AA2620+1))),INDEX(DATAS,AA2620+1),"")</f>
        <v/>
      </c>
      <c r="AI2620" s="51" t="str">
        <f aca="false">IF(AND(AC2620=1,AA2620&lt;1),IF(AND(C2621=C2620,AA2621=AA2620+1),IF(AC2621=1,"",INDEX(DATAS,AA2620+1)),INDEX(DATAS,AA2620+1)),"")</f>
        <v/>
      </c>
    </row>
    <row r="2621" customFormat="false" ht="15" hidden="false" customHeight="false" outlineLevel="0" collapsed="false">
      <c r="A2621" s="51" t="n">
        <v>46309</v>
      </c>
      <c r="B2621" s="0" t="n">
        <v>13</v>
      </c>
      <c r="C2621" s="0" t="n">
        <v>6966</v>
      </c>
      <c r="E2621" s="0" t="n">
        <v>0</v>
      </c>
      <c r="F2621" s="46" t="s">
        <v>1338</v>
      </c>
      <c r="I2621" s="46" t="s">
        <v>179</v>
      </c>
      <c r="U2621" s="0" t="n">
        <v>390</v>
      </c>
      <c r="V2621" s="0" t="n">
        <v>0</v>
      </c>
      <c r="X2621" s="46" t="n">
        <f aca="false">IF(I2621="Male",0,1)</f>
        <v>1</v>
      </c>
      <c r="Y2621" s="46" t="n">
        <f aca="false">IF(OR(I2621="DNB",I2621="Dry DNB"),1,0)</f>
        <v>0</v>
      </c>
      <c r="Z2621" s="0" t="str">
        <f aca="false">IF(ISNUMBER(W2621),A2621-W2621,"")</f>
        <v/>
      </c>
      <c r="AA2621" s="46" t="n">
        <f aca="false">MATCH(A2621,DATAS,0)</f>
        <v>1</v>
      </c>
      <c r="AB2621" s="46" t="n">
        <f aca="false">IF(AND(E2621&gt;0,OR(AND(B2621&gt;=1,B2621&lt;=6),B2621=10)),1,0)</f>
        <v>0</v>
      </c>
      <c r="AC2621" s="46" t="n">
        <f aca="false">IF(AND(E2621&gt;0,B2621=10),1,0)</f>
        <v>0</v>
      </c>
      <c r="AD2621" s="0" t="str">
        <f aca="false">IF(AND(C2620=C2621,AA2620=AA2621-1),AB2620,"")</f>
        <v/>
      </c>
      <c r="AE2621" s="0" t="str">
        <f aca="false">IF(AND(C2620=C2621,AA2620=AA2621-1),AC2620,"")</f>
        <v/>
      </c>
      <c r="AF2621" s="0" t="str">
        <f aca="false">IF(AA2621=1,"",IF(AND(AB2621=1,AD2621&lt;&gt;1),1,0))</f>
        <v/>
      </c>
      <c r="AG2621" s="0" t="str">
        <f aca="false">IF(AA2621=1,"",IF(AND(AC2621=1,AE2621&lt;&gt;1),1,0))</f>
        <v/>
      </c>
      <c r="AH2621" s="51" t="str">
        <f aca="false">IF(AND(E2621&gt;0,AA2621&lt;1,NOT(AND(C2622=C2621,AA2622=AA2621+1))),INDEX(DATAS,AA2621+1),"")</f>
        <v/>
      </c>
      <c r="AI2621" s="51" t="str">
        <f aca="false">IF(AND(AC2621=1,AA2621&lt;1),IF(AND(C2622=C2621,AA2622=AA2621+1),IF(AC2622=1,"",INDEX(DATAS,AA2621+1)),INDEX(DATAS,AA2621+1)),"")</f>
        <v/>
      </c>
    </row>
    <row r="2622" customFormat="false" ht="15" hidden="false" customHeight="false" outlineLevel="0" collapsed="false">
      <c r="A2622" s="51" t="n">
        <v>46309</v>
      </c>
      <c r="B2622" s="0" t="n">
        <v>13</v>
      </c>
      <c r="C2622" s="0" t="n">
        <v>6967</v>
      </c>
      <c r="E2622" s="0" t="n">
        <v>0</v>
      </c>
      <c r="F2622" s="46" t="s">
        <v>1338</v>
      </c>
      <c r="I2622" s="46" t="s">
        <v>179</v>
      </c>
      <c r="U2622" s="0" t="n">
        <v>390</v>
      </c>
      <c r="V2622" s="0" t="n">
        <v>0</v>
      </c>
      <c r="X2622" s="46" t="n">
        <f aca="false">IF(I2622="Male",0,1)</f>
        <v>1</v>
      </c>
      <c r="Y2622" s="46" t="n">
        <f aca="false">IF(OR(I2622="DNB",I2622="Dry DNB"),1,0)</f>
        <v>0</v>
      </c>
      <c r="Z2622" s="0" t="str">
        <f aca="false">IF(ISNUMBER(W2622),A2622-W2622,"")</f>
        <v/>
      </c>
      <c r="AA2622" s="46" t="n">
        <f aca="false">MATCH(A2622,DATAS,0)</f>
        <v>1</v>
      </c>
      <c r="AB2622" s="46" t="n">
        <f aca="false">IF(AND(E2622&gt;0,OR(AND(B2622&gt;=1,B2622&lt;=6),B2622=10)),1,0)</f>
        <v>0</v>
      </c>
      <c r="AC2622" s="46" t="n">
        <f aca="false">IF(AND(E2622&gt;0,B2622=10),1,0)</f>
        <v>0</v>
      </c>
      <c r="AD2622" s="0" t="str">
        <f aca="false">IF(AND(C2621=C2622,AA2621=AA2622-1),AB2621,"")</f>
        <v/>
      </c>
      <c r="AE2622" s="0" t="str">
        <f aca="false">IF(AND(C2621=C2622,AA2621=AA2622-1),AC2621,"")</f>
        <v/>
      </c>
      <c r="AF2622" s="0" t="str">
        <f aca="false">IF(AA2622=1,"",IF(AND(AB2622=1,AD2622&lt;&gt;1),1,0))</f>
        <v/>
      </c>
      <c r="AG2622" s="0" t="str">
        <f aca="false">IF(AA2622=1,"",IF(AND(AC2622=1,AE2622&lt;&gt;1),1,0))</f>
        <v/>
      </c>
      <c r="AH2622" s="51" t="str">
        <f aca="false">IF(AND(E2622&gt;0,AA2622&lt;1,NOT(AND(C2623=C2622,AA2623=AA2622+1))),INDEX(DATAS,AA2622+1),"")</f>
        <v/>
      </c>
      <c r="AI2622" s="51" t="str">
        <f aca="false">IF(AND(AC2622=1,AA2622&lt;1),IF(AND(C2623=C2622,AA2623=AA2622+1),IF(AC2623=1,"",INDEX(DATAS,AA2622+1)),INDEX(DATAS,AA2622+1)),"")</f>
        <v/>
      </c>
    </row>
    <row r="2623" customFormat="false" ht="15" hidden="false" customHeight="false" outlineLevel="0" collapsed="false">
      <c r="A2623" s="51" t="n">
        <v>46309</v>
      </c>
      <c r="B2623" s="0" t="n">
        <v>13</v>
      </c>
      <c r="C2623" s="0" t="n">
        <v>6968</v>
      </c>
      <c r="E2623" s="0" t="n">
        <v>0</v>
      </c>
      <c r="F2623" s="46" t="s">
        <v>1338</v>
      </c>
      <c r="I2623" s="46" t="s">
        <v>179</v>
      </c>
      <c r="U2623" s="0" t="n">
        <v>390</v>
      </c>
      <c r="V2623" s="0" t="n">
        <v>0</v>
      </c>
      <c r="X2623" s="46" t="n">
        <f aca="false">IF(I2623="Male",0,1)</f>
        <v>1</v>
      </c>
      <c r="Y2623" s="46" t="n">
        <f aca="false">IF(OR(I2623="DNB",I2623="Dry DNB"),1,0)</f>
        <v>0</v>
      </c>
      <c r="Z2623" s="0" t="str">
        <f aca="false">IF(ISNUMBER(W2623),A2623-W2623,"")</f>
        <v/>
      </c>
      <c r="AA2623" s="46" t="n">
        <f aca="false">MATCH(A2623,DATAS,0)</f>
        <v>1</v>
      </c>
      <c r="AB2623" s="46" t="n">
        <f aca="false">IF(AND(E2623&gt;0,OR(AND(B2623&gt;=1,B2623&lt;=6),B2623=10)),1,0)</f>
        <v>0</v>
      </c>
      <c r="AC2623" s="46" t="n">
        <f aca="false">IF(AND(E2623&gt;0,B2623=10),1,0)</f>
        <v>0</v>
      </c>
      <c r="AD2623" s="0" t="str">
        <f aca="false">IF(AND(C2622=C2623,AA2622=AA2623-1),AB2622,"")</f>
        <v/>
      </c>
      <c r="AE2623" s="0" t="str">
        <f aca="false">IF(AND(C2622=C2623,AA2622=AA2623-1),AC2622,"")</f>
        <v/>
      </c>
      <c r="AF2623" s="0" t="str">
        <f aca="false">IF(AA2623=1,"",IF(AND(AB2623=1,AD2623&lt;&gt;1),1,0))</f>
        <v/>
      </c>
      <c r="AG2623" s="0" t="str">
        <f aca="false">IF(AA2623=1,"",IF(AND(AC2623=1,AE2623&lt;&gt;1),1,0))</f>
        <v/>
      </c>
      <c r="AH2623" s="51" t="str">
        <f aca="false">IF(AND(E2623&gt;0,AA2623&lt;1,NOT(AND(C2624=C2623,AA2624=AA2623+1))),INDEX(DATAS,AA2623+1),"")</f>
        <v/>
      </c>
      <c r="AI2623" s="51" t="str">
        <f aca="false">IF(AND(AC2623=1,AA2623&lt;1),IF(AND(C2624=C2623,AA2624=AA2623+1),IF(AC2624=1,"",INDEX(DATAS,AA2623+1)),INDEX(DATAS,AA2623+1)),"")</f>
        <v/>
      </c>
    </row>
    <row r="2624" customFormat="false" ht="15" hidden="false" customHeight="false" outlineLevel="0" collapsed="false">
      <c r="A2624" s="51" t="n">
        <v>46309</v>
      </c>
      <c r="B2624" s="0" t="n">
        <v>13</v>
      </c>
      <c r="C2624" s="0" t="n">
        <v>6969</v>
      </c>
      <c r="E2624" s="0" t="n">
        <v>0</v>
      </c>
      <c r="F2624" s="46" t="s">
        <v>1338</v>
      </c>
      <c r="I2624" s="46" t="s">
        <v>179</v>
      </c>
      <c r="U2624" s="0" t="n">
        <v>390</v>
      </c>
      <c r="V2624" s="0" t="n">
        <v>0</v>
      </c>
      <c r="X2624" s="46" t="n">
        <f aca="false">IF(I2624="Male",0,1)</f>
        <v>1</v>
      </c>
      <c r="Y2624" s="46" t="n">
        <f aca="false">IF(OR(I2624="DNB",I2624="Dry DNB"),1,0)</f>
        <v>0</v>
      </c>
      <c r="Z2624" s="0" t="str">
        <f aca="false">IF(ISNUMBER(W2624),A2624-W2624,"")</f>
        <v/>
      </c>
      <c r="AA2624" s="46" t="n">
        <f aca="false">MATCH(A2624,DATAS,0)</f>
        <v>1</v>
      </c>
      <c r="AB2624" s="46" t="n">
        <f aca="false">IF(AND(E2624&gt;0,OR(AND(B2624&gt;=1,B2624&lt;=6),B2624=10)),1,0)</f>
        <v>0</v>
      </c>
      <c r="AC2624" s="46" t="n">
        <f aca="false">IF(AND(E2624&gt;0,B2624=10),1,0)</f>
        <v>0</v>
      </c>
      <c r="AD2624" s="0" t="str">
        <f aca="false">IF(AND(C2623=C2624,AA2623=AA2624-1),AB2623,"")</f>
        <v/>
      </c>
      <c r="AE2624" s="0" t="str">
        <f aca="false">IF(AND(C2623=C2624,AA2623=AA2624-1),AC2623,"")</f>
        <v/>
      </c>
      <c r="AF2624" s="0" t="str">
        <f aca="false">IF(AA2624=1,"",IF(AND(AB2624=1,AD2624&lt;&gt;1),1,0))</f>
        <v/>
      </c>
      <c r="AG2624" s="0" t="str">
        <f aca="false">IF(AA2624=1,"",IF(AND(AC2624=1,AE2624&lt;&gt;1),1,0))</f>
        <v/>
      </c>
      <c r="AH2624" s="51" t="str">
        <f aca="false">IF(AND(E2624&gt;0,AA2624&lt;1,NOT(AND(C2625=C2624,AA2625=AA2624+1))),INDEX(DATAS,AA2624+1),"")</f>
        <v/>
      </c>
      <c r="AI2624" s="51" t="str">
        <f aca="false">IF(AND(AC2624=1,AA2624&lt;1),IF(AND(C2625=C2624,AA2625=AA2624+1),IF(AC2625=1,"",INDEX(DATAS,AA2624+1)),INDEX(DATAS,AA2624+1)),"")</f>
        <v/>
      </c>
    </row>
    <row r="2625" customFormat="false" ht="15" hidden="false" customHeight="false" outlineLevel="0" collapsed="false">
      <c r="A2625" s="51" t="n">
        <v>46309</v>
      </c>
      <c r="B2625" s="0" t="n">
        <v>13</v>
      </c>
      <c r="C2625" s="0" t="n">
        <v>6970</v>
      </c>
      <c r="E2625" s="0" t="n">
        <v>0</v>
      </c>
      <c r="F2625" s="46" t="s">
        <v>1339</v>
      </c>
      <c r="I2625" s="46" t="s">
        <v>179</v>
      </c>
      <c r="U2625" s="0" t="n">
        <v>389</v>
      </c>
      <c r="V2625" s="0" t="n">
        <v>0</v>
      </c>
      <c r="X2625" s="46" t="n">
        <f aca="false">IF(I2625="Male",0,1)</f>
        <v>1</v>
      </c>
      <c r="Y2625" s="46" t="n">
        <f aca="false">IF(OR(I2625="DNB",I2625="Dry DNB"),1,0)</f>
        <v>0</v>
      </c>
      <c r="Z2625" s="0" t="str">
        <f aca="false">IF(ISNUMBER(W2625),A2625-W2625,"")</f>
        <v/>
      </c>
      <c r="AA2625" s="46" t="n">
        <f aca="false">MATCH(A2625,DATAS,0)</f>
        <v>1</v>
      </c>
      <c r="AB2625" s="46" t="n">
        <f aca="false">IF(AND(E2625&gt;0,OR(AND(B2625&gt;=1,B2625&lt;=6),B2625=10)),1,0)</f>
        <v>0</v>
      </c>
      <c r="AC2625" s="46" t="n">
        <f aca="false">IF(AND(E2625&gt;0,B2625=10),1,0)</f>
        <v>0</v>
      </c>
      <c r="AD2625" s="0" t="str">
        <f aca="false">IF(AND(C2624=C2625,AA2624=AA2625-1),AB2624,"")</f>
        <v/>
      </c>
      <c r="AE2625" s="0" t="str">
        <f aca="false">IF(AND(C2624=C2625,AA2624=AA2625-1),AC2624,"")</f>
        <v/>
      </c>
      <c r="AF2625" s="0" t="str">
        <f aca="false">IF(AA2625=1,"",IF(AND(AB2625=1,AD2625&lt;&gt;1),1,0))</f>
        <v/>
      </c>
      <c r="AG2625" s="0" t="str">
        <f aca="false">IF(AA2625=1,"",IF(AND(AC2625=1,AE2625&lt;&gt;1),1,0))</f>
        <v/>
      </c>
      <c r="AH2625" s="51" t="str">
        <f aca="false">IF(AND(E2625&gt;0,AA2625&lt;1,NOT(AND(C2626=C2625,AA2626=AA2625+1))),INDEX(DATAS,AA2625+1),"")</f>
        <v/>
      </c>
      <c r="AI2625" s="51" t="str">
        <f aca="false">IF(AND(AC2625=1,AA2625&lt;1),IF(AND(C2626=C2625,AA2626=AA2625+1),IF(AC2626=1,"",INDEX(DATAS,AA2625+1)),INDEX(DATAS,AA2625+1)),"")</f>
        <v/>
      </c>
    </row>
    <row r="2626" customFormat="false" ht="15" hidden="false" customHeight="false" outlineLevel="0" collapsed="false">
      <c r="A2626" s="51" t="n">
        <v>46309</v>
      </c>
      <c r="B2626" s="0" t="n">
        <v>13</v>
      </c>
      <c r="C2626" s="0" t="n">
        <v>6972</v>
      </c>
      <c r="E2626" s="0" t="n">
        <v>0</v>
      </c>
      <c r="F2626" s="46" t="s">
        <v>1339</v>
      </c>
      <c r="I2626" s="46" t="s">
        <v>179</v>
      </c>
      <c r="U2626" s="0" t="n">
        <v>389</v>
      </c>
      <c r="V2626" s="0" t="n">
        <v>0</v>
      </c>
      <c r="X2626" s="46" t="n">
        <f aca="false">IF(I2626="Male",0,1)</f>
        <v>1</v>
      </c>
      <c r="Y2626" s="46" t="n">
        <f aca="false">IF(OR(I2626="DNB",I2626="Dry DNB"),1,0)</f>
        <v>0</v>
      </c>
      <c r="Z2626" s="0" t="str">
        <f aca="false">IF(ISNUMBER(W2626),A2626-W2626,"")</f>
        <v/>
      </c>
      <c r="AA2626" s="46" t="n">
        <f aca="false">MATCH(A2626,DATAS,0)</f>
        <v>1</v>
      </c>
      <c r="AB2626" s="46" t="n">
        <f aca="false">IF(AND(E2626&gt;0,OR(AND(B2626&gt;=1,B2626&lt;=6),B2626=10)),1,0)</f>
        <v>0</v>
      </c>
      <c r="AC2626" s="46" t="n">
        <f aca="false">IF(AND(E2626&gt;0,B2626=10),1,0)</f>
        <v>0</v>
      </c>
      <c r="AD2626" s="0" t="str">
        <f aca="false">IF(AND(C2625=C2626,AA2625=AA2626-1),AB2625,"")</f>
        <v/>
      </c>
      <c r="AE2626" s="0" t="str">
        <f aca="false">IF(AND(C2625=C2626,AA2625=AA2626-1),AC2625,"")</f>
        <v/>
      </c>
      <c r="AF2626" s="0" t="str">
        <f aca="false">IF(AA2626=1,"",IF(AND(AB2626=1,AD2626&lt;&gt;1),1,0))</f>
        <v/>
      </c>
      <c r="AG2626" s="0" t="str">
        <f aca="false">IF(AA2626=1,"",IF(AND(AC2626=1,AE2626&lt;&gt;1),1,0))</f>
        <v/>
      </c>
      <c r="AH2626" s="51" t="str">
        <f aca="false">IF(AND(E2626&gt;0,AA2626&lt;1,NOT(AND(C2627=C2626,AA2627=AA2626+1))),INDEX(DATAS,AA2626+1),"")</f>
        <v/>
      </c>
      <c r="AI2626" s="51" t="str">
        <f aca="false">IF(AND(AC2626=1,AA2626&lt;1),IF(AND(C2627=C2626,AA2627=AA2626+1),IF(AC2627=1,"",INDEX(DATAS,AA2626+1)),INDEX(DATAS,AA2626+1)),"")</f>
        <v/>
      </c>
    </row>
    <row r="2627" customFormat="false" ht="15" hidden="false" customHeight="false" outlineLevel="0" collapsed="false">
      <c r="A2627" s="51" t="n">
        <v>46309</v>
      </c>
      <c r="B2627" s="0" t="n">
        <v>13</v>
      </c>
      <c r="C2627" s="0" t="n">
        <v>6973</v>
      </c>
      <c r="E2627" s="0" t="n">
        <v>0</v>
      </c>
      <c r="F2627" s="46" t="s">
        <v>1339</v>
      </c>
      <c r="I2627" s="46" t="s">
        <v>179</v>
      </c>
      <c r="U2627" s="0" t="n">
        <v>389</v>
      </c>
      <c r="V2627" s="0" t="n">
        <v>0</v>
      </c>
      <c r="X2627" s="46" t="n">
        <f aca="false">IF(I2627="Male",0,1)</f>
        <v>1</v>
      </c>
      <c r="Y2627" s="46" t="n">
        <f aca="false">IF(OR(I2627="DNB",I2627="Dry DNB"),1,0)</f>
        <v>0</v>
      </c>
      <c r="Z2627" s="0" t="str">
        <f aca="false">IF(ISNUMBER(W2627),A2627-W2627,"")</f>
        <v/>
      </c>
      <c r="AA2627" s="46" t="n">
        <f aca="false">MATCH(A2627,DATAS,0)</f>
        <v>1</v>
      </c>
      <c r="AB2627" s="46" t="n">
        <f aca="false">IF(AND(E2627&gt;0,OR(AND(B2627&gt;=1,B2627&lt;=6),B2627=10)),1,0)</f>
        <v>0</v>
      </c>
      <c r="AC2627" s="46" t="n">
        <f aca="false">IF(AND(E2627&gt;0,B2627=10),1,0)</f>
        <v>0</v>
      </c>
      <c r="AD2627" s="0" t="str">
        <f aca="false">IF(AND(C2626=C2627,AA2626=AA2627-1),AB2626,"")</f>
        <v/>
      </c>
      <c r="AE2627" s="0" t="str">
        <f aca="false">IF(AND(C2626=C2627,AA2626=AA2627-1),AC2626,"")</f>
        <v/>
      </c>
      <c r="AF2627" s="0" t="str">
        <f aca="false">IF(AA2627=1,"",IF(AND(AB2627=1,AD2627&lt;&gt;1),1,0))</f>
        <v/>
      </c>
      <c r="AG2627" s="0" t="str">
        <f aca="false">IF(AA2627=1,"",IF(AND(AC2627=1,AE2627&lt;&gt;1),1,0))</f>
        <v/>
      </c>
      <c r="AH2627" s="51" t="str">
        <f aca="false">IF(AND(E2627&gt;0,AA2627&lt;1,NOT(AND(C2628=C2627,AA2628=AA2627+1))),INDEX(DATAS,AA2627+1),"")</f>
        <v/>
      </c>
      <c r="AI2627" s="51" t="str">
        <f aca="false">IF(AND(AC2627=1,AA2627&lt;1),IF(AND(C2628=C2627,AA2628=AA2627+1),IF(AC2628=1,"",INDEX(DATAS,AA2627+1)),INDEX(DATAS,AA2627+1)),"")</f>
        <v/>
      </c>
    </row>
    <row r="2628" customFormat="false" ht="15" hidden="false" customHeight="false" outlineLevel="0" collapsed="false">
      <c r="A2628" s="51" t="n">
        <v>46309</v>
      </c>
      <c r="B2628" s="0" t="n">
        <v>13</v>
      </c>
      <c r="C2628" s="0" t="n">
        <v>6974</v>
      </c>
      <c r="E2628" s="0" t="n">
        <v>0</v>
      </c>
      <c r="F2628" s="46" t="s">
        <v>1339</v>
      </c>
      <c r="I2628" s="46" t="s">
        <v>179</v>
      </c>
      <c r="U2628" s="0" t="n">
        <v>389</v>
      </c>
      <c r="V2628" s="0" t="n">
        <v>0</v>
      </c>
      <c r="X2628" s="46" t="n">
        <f aca="false">IF(I2628="Male",0,1)</f>
        <v>1</v>
      </c>
      <c r="Y2628" s="46" t="n">
        <f aca="false">IF(OR(I2628="DNB",I2628="Dry DNB"),1,0)</f>
        <v>0</v>
      </c>
      <c r="Z2628" s="0" t="str">
        <f aca="false">IF(ISNUMBER(W2628),A2628-W2628,"")</f>
        <v/>
      </c>
      <c r="AA2628" s="46" t="n">
        <f aca="false">MATCH(A2628,DATAS,0)</f>
        <v>1</v>
      </c>
      <c r="AB2628" s="46" t="n">
        <f aca="false">IF(AND(E2628&gt;0,OR(AND(B2628&gt;=1,B2628&lt;=6),B2628=10)),1,0)</f>
        <v>0</v>
      </c>
      <c r="AC2628" s="46" t="n">
        <f aca="false">IF(AND(E2628&gt;0,B2628=10),1,0)</f>
        <v>0</v>
      </c>
      <c r="AD2628" s="0" t="str">
        <f aca="false">IF(AND(C2627=C2628,AA2627=AA2628-1),AB2627,"")</f>
        <v/>
      </c>
      <c r="AE2628" s="0" t="str">
        <f aca="false">IF(AND(C2627=C2628,AA2627=AA2628-1),AC2627,"")</f>
        <v/>
      </c>
      <c r="AF2628" s="0" t="str">
        <f aca="false">IF(AA2628=1,"",IF(AND(AB2628=1,AD2628&lt;&gt;1),1,0))</f>
        <v/>
      </c>
      <c r="AG2628" s="0" t="str">
        <f aca="false">IF(AA2628=1,"",IF(AND(AC2628=1,AE2628&lt;&gt;1),1,0))</f>
        <v/>
      </c>
      <c r="AH2628" s="51" t="str">
        <f aca="false">IF(AND(E2628&gt;0,AA2628&lt;1,NOT(AND(C2629=C2628,AA2629=AA2628+1))),INDEX(DATAS,AA2628+1),"")</f>
        <v/>
      </c>
      <c r="AI2628" s="51" t="str">
        <f aca="false">IF(AND(AC2628=1,AA2628&lt;1),IF(AND(C2629=C2628,AA2629=AA2628+1),IF(AC2629=1,"",INDEX(DATAS,AA2628+1)),INDEX(DATAS,AA2628+1)),"")</f>
        <v/>
      </c>
    </row>
    <row r="2629" customFormat="false" ht="15" hidden="false" customHeight="false" outlineLevel="0" collapsed="false">
      <c r="A2629" s="51" t="n">
        <v>46309</v>
      </c>
      <c r="B2629" s="0" t="n">
        <v>13</v>
      </c>
      <c r="C2629" s="0" t="n">
        <v>6975</v>
      </c>
      <c r="E2629" s="0" t="n">
        <v>0</v>
      </c>
      <c r="F2629" s="46" t="s">
        <v>1340</v>
      </c>
      <c r="I2629" s="46" t="s">
        <v>179</v>
      </c>
      <c r="U2629" s="0" t="n">
        <v>388</v>
      </c>
      <c r="V2629" s="0" t="n">
        <v>0</v>
      </c>
      <c r="X2629" s="46" t="n">
        <f aca="false">IF(I2629="Male",0,1)</f>
        <v>1</v>
      </c>
      <c r="Y2629" s="46" t="n">
        <f aca="false">IF(OR(I2629="DNB",I2629="Dry DNB"),1,0)</f>
        <v>0</v>
      </c>
      <c r="Z2629" s="0" t="str">
        <f aca="false">IF(ISNUMBER(W2629),A2629-W2629,"")</f>
        <v/>
      </c>
      <c r="AA2629" s="46" t="n">
        <f aca="false">MATCH(A2629,DATAS,0)</f>
        <v>1</v>
      </c>
      <c r="AB2629" s="46" t="n">
        <f aca="false">IF(AND(E2629&gt;0,OR(AND(B2629&gt;=1,B2629&lt;=6),B2629=10)),1,0)</f>
        <v>0</v>
      </c>
      <c r="AC2629" s="46" t="n">
        <f aca="false">IF(AND(E2629&gt;0,B2629=10),1,0)</f>
        <v>0</v>
      </c>
      <c r="AD2629" s="0" t="str">
        <f aca="false">IF(AND(C2628=C2629,AA2628=AA2629-1),AB2628,"")</f>
        <v/>
      </c>
      <c r="AE2629" s="0" t="str">
        <f aca="false">IF(AND(C2628=C2629,AA2628=AA2629-1),AC2628,"")</f>
        <v/>
      </c>
      <c r="AF2629" s="0" t="str">
        <f aca="false">IF(AA2629=1,"",IF(AND(AB2629=1,AD2629&lt;&gt;1),1,0))</f>
        <v/>
      </c>
      <c r="AG2629" s="0" t="str">
        <f aca="false">IF(AA2629=1,"",IF(AND(AC2629=1,AE2629&lt;&gt;1),1,0))</f>
        <v/>
      </c>
      <c r="AH2629" s="51" t="str">
        <f aca="false">IF(AND(E2629&gt;0,AA2629&lt;1,NOT(AND(C2630=C2629,AA2630=AA2629+1))),INDEX(DATAS,AA2629+1),"")</f>
        <v/>
      </c>
      <c r="AI2629" s="51" t="str">
        <f aca="false">IF(AND(AC2629=1,AA2629&lt;1),IF(AND(C2630=C2629,AA2630=AA2629+1),IF(AC2630=1,"",INDEX(DATAS,AA2629+1)),INDEX(DATAS,AA2629+1)),"")</f>
        <v/>
      </c>
    </row>
    <row r="2630" customFormat="false" ht="15" hidden="false" customHeight="false" outlineLevel="0" collapsed="false">
      <c r="A2630" s="51" t="n">
        <v>46309</v>
      </c>
      <c r="B2630" s="0" t="n">
        <v>13</v>
      </c>
      <c r="C2630" s="0" t="n">
        <v>6977</v>
      </c>
      <c r="E2630" s="0" t="n">
        <v>0</v>
      </c>
      <c r="F2630" s="46" t="s">
        <v>1340</v>
      </c>
      <c r="I2630" s="46" t="s">
        <v>179</v>
      </c>
      <c r="U2630" s="0" t="n">
        <v>388</v>
      </c>
      <c r="V2630" s="0" t="n">
        <v>0</v>
      </c>
      <c r="X2630" s="46" t="n">
        <f aca="false">IF(I2630="Male",0,1)</f>
        <v>1</v>
      </c>
      <c r="Y2630" s="46" t="n">
        <f aca="false">IF(OR(I2630="DNB",I2630="Dry DNB"),1,0)</f>
        <v>0</v>
      </c>
      <c r="Z2630" s="0" t="str">
        <f aca="false">IF(ISNUMBER(W2630),A2630-W2630,"")</f>
        <v/>
      </c>
      <c r="AA2630" s="46" t="n">
        <f aca="false">MATCH(A2630,DATAS,0)</f>
        <v>1</v>
      </c>
      <c r="AB2630" s="46" t="n">
        <f aca="false">IF(AND(E2630&gt;0,OR(AND(B2630&gt;=1,B2630&lt;=6),B2630=10)),1,0)</f>
        <v>0</v>
      </c>
      <c r="AC2630" s="46" t="n">
        <f aca="false">IF(AND(E2630&gt;0,B2630=10),1,0)</f>
        <v>0</v>
      </c>
      <c r="AD2630" s="0" t="str">
        <f aca="false">IF(AND(C2629=C2630,AA2629=AA2630-1),AB2629,"")</f>
        <v/>
      </c>
      <c r="AE2630" s="0" t="str">
        <f aca="false">IF(AND(C2629=C2630,AA2629=AA2630-1),AC2629,"")</f>
        <v/>
      </c>
      <c r="AF2630" s="0" t="str">
        <f aca="false">IF(AA2630=1,"",IF(AND(AB2630=1,AD2630&lt;&gt;1),1,0))</f>
        <v/>
      </c>
      <c r="AG2630" s="0" t="str">
        <f aca="false">IF(AA2630=1,"",IF(AND(AC2630=1,AE2630&lt;&gt;1),1,0))</f>
        <v/>
      </c>
      <c r="AH2630" s="51" t="str">
        <f aca="false">IF(AND(E2630&gt;0,AA2630&lt;1,NOT(AND(C2631=C2630,AA2631=AA2630+1))),INDEX(DATAS,AA2630+1),"")</f>
        <v/>
      </c>
      <c r="AI2630" s="51" t="str">
        <f aca="false">IF(AND(AC2630=1,AA2630&lt;1),IF(AND(C2631=C2630,AA2631=AA2630+1),IF(AC2631=1,"",INDEX(DATAS,AA2630+1)),INDEX(DATAS,AA2630+1)),"")</f>
        <v/>
      </c>
    </row>
    <row r="2631" customFormat="false" ht="15" hidden="false" customHeight="false" outlineLevel="0" collapsed="false">
      <c r="A2631" s="51" t="n">
        <v>46309</v>
      </c>
      <c r="B2631" s="0" t="n">
        <v>13</v>
      </c>
      <c r="C2631" s="0" t="n">
        <v>6978</v>
      </c>
      <c r="E2631" s="0" t="n">
        <v>0</v>
      </c>
      <c r="F2631" s="46" t="s">
        <v>1340</v>
      </c>
      <c r="I2631" s="46" t="s">
        <v>179</v>
      </c>
      <c r="U2631" s="0" t="n">
        <v>388</v>
      </c>
      <c r="V2631" s="0" t="n">
        <v>0</v>
      </c>
      <c r="X2631" s="46" t="n">
        <f aca="false">IF(I2631="Male",0,1)</f>
        <v>1</v>
      </c>
      <c r="Y2631" s="46" t="n">
        <f aca="false">IF(OR(I2631="DNB",I2631="Dry DNB"),1,0)</f>
        <v>0</v>
      </c>
      <c r="Z2631" s="0" t="str">
        <f aca="false">IF(ISNUMBER(W2631),A2631-W2631,"")</f>
        <v/>
      </c>
      <c r="AA2631" s="46" t="n">
        <f aca="false">MATCH(A2631,DATAS,0)</f>
        <v>1</v>
      </c>
      <c r="AB2631" s="46" t="n">
        <f aca="false">IF(AND(E2631&gt;0,OR(AND(B2631&gt;=1,B2631&lt;=6),B2631=10)),1,0)</f>
        <v>0</v>
      </c>
      <c r="AC2631" s="46" t="n">
        <f aca="false">IF(AND(E2631&gt;0,B2631=10),1,0)</f>
        <v>0</v>
      </c>
      <c r="AD2631" s="0" t="str">
        <f aca="false">IF(AND(C2630=C2631,AA2630=AA2631-1),AB2630,"")</f>
        <v/>
      </c>
      <c r="AE2631" s="0" t="str">
        <f aca="false">IF(AND(C2630=C2631,AA2630=AA2631-1),AC2630,"")</f>
        <v/>
      </c>
      <c r="AF2631" s="0" t="str">
        <f aca="false">IF(AA2631=1,"",IF(AND(AB2631=1,AD2631&lt;&gt;1),1,0))</f>
        <v/>
      </c>
      <c r="AG2631" s="0" t="str">
        <f aca="false">IF(AA2631=1,"",IF(AND(AC2631=1,AE2631&lt;&gt;1),1,0))</f>
        <v/>
      </c>
      <c r="AH2631" s="51" t="str">
        <f aca="false">IF(AND(E2631&gt;0,AA2631&lt;1,NOT(AND(C2632=C2631,AA2632=AA2631+1))),INDEX(DATAS,AA2631+1),"")</f>
        <v/>
      </c>
      <c r="AI2631" s="51" t="str">
        <f aca="false">IF(AND(AC2631=1,AA2631&lt;1),IF(AND(C2632=C2631,AA2632=AA2631+1),IF(AC2632=1,"",INDEX(DATAS,AA2631+1)),INDEX(DATAS,AA2631+1)),"")</f>
        <v/>
      </c>
    </row>
    <row r="2632" customFormat="false" ht="15" hidden="false" customHeight="false" outlineLevel="0" collapsed="false">
      <c r="A2632" s="51" t="n">
        <v>46309</v>
      </c>
      <c r="B2632" s="0" t="n">
        <v>13</v>
      </c>
      <c r="C2632" s="0" t="n">
        <v>6979</v>
      </c>
      <c r="E2632" s="0" t="n">
        <v>0</v>
      </c>
      <c r="F2632" s="46" t="s">
        <v>1340</v>
      </c>
      <c r="I2632" s="46" t="s">
        <v>179</v>
      </c>
      <c r="U2632" s="0" t="n">
        <v>388</v>
      </c>
      <c r="V2632" s="0" t="n">
        <v>0</v>
      </c>
      <c r="X2632" s="46" t="n">
        <f aca="false">IF(I2632="Male",0,1)</f>
        <v>1</v>
      </c>
      <c r="Y2632" s="46" t="n">
        <f aca="false">IF(OR(I2632="DNB",I2632="Dry DNB"),1,0)</f>
        <v>0</v>
      </c>
      <c r="Z2632" s="0" t="str">
        <f aca="false">IF(ISNUMBER(W2632),A2632-W2632,"")</f>
        <v/>
      </c>
      <c r="AA2632" s="46" t="n">
        <f aca="false">MATCH(A2632,DATAS,0)</f>
        <v>1</v>
      </c>
      <c r="AB2632" s="46" t="n">
        <f aca="false">IF(AND(E2632&gt;0,OR(AND(B2632&gt;=1,B2632&lt;=6),B2632=10)),1,0)</f>
        <v>0</v>
      </c>
      <c r="AC2632" s="46" t="n">
        <f aca="false">IF(AND(E2632&gt;0,B2632=10),1,0)</f>
        <v>0</v>
      </c>
      <c r="AD2632" s="0" t="str">
        <f aca="false">IF(AND(C2631=C2632,AA2631=AA2632-1),AB2631,"")</f>
        <v/>
      </c>
      <c r="AE2632" s="0" t="str">
        <f aca="false">IF(AND(C2631=C2632,AA2631=AA2632-1),AC2631,"")</f>
        <v/>
      </c>
      <c r="AF2632" s="0" t="str">
        <f aca="false">IF(AA2632=1,"",IF(AND(AB2632=1,AD2632&lt;&gt;1),1,0))</f>
        <v/>
      </c>
      <c r="AG2632" s="0" t="str">
        <f aca="false">IF(AA2632=1,"",IF(AND(AC2632=1,AE2632&lt;&gt;1),1,0))</f>
        <v/>
      </c>
      <c r="AH2632" s="51" t="str">
        <f aca="false">IF(AND(E2632&gt;0,AA2632&lt;1,NOT(AND(C2633=C2632,AA2633=AA2632+1))),INDEX(DATAS,AA2632+1),"")</f>
        <v/>
      </c>
      <c r="AI2632" s="51" t="str">
        <f aca="false">IF(AND(AC2632=1,AA2632&lt;1),IF(AND(C2633=C2632,AA2633=AA2632+1),IF(AC2633=1,"",INDEX(DATAS,AA2632+1)),INDEX(DATAS,AA2632+1)),"")</f>
        <v/>
      </c>
    </row>
    <row r="2633" customFormat="false" ht="15" hidden="false" customHeight="false" outlineLevel="0" collapsed="false">
      <c r="A2633" s="51" t="n">
        <v>46309</v>
      </c>
      <c r="B2633" s="0" t="n">
        <v>13</v>
      </c>
      <c r="C2633" s="0" t="n">
        <v>6980</v>
      </c>
      <c r="E2633" s="0" t="n">
        <v>0</v>
      </c>
      <c r="F2633" s="46" t="s">
        <v>1341</v>
      </c>
      <c r="I2633" s="46" t="s">
        <v>179</v>
      </c>
      <c r="U2633" s="0" t="n">
        <v>387</v>
      </c>
      <c r="V2633" s="0" t="n">
        <v>0</v>
      </c>
      <c r="X2633" s="46" t="n">
        <f aca="false">IF(I2633="Male",0,1)</f>
        <v>1</v>
      </c>
      <c r="Y2633" s="46" t="n">
        <f aca="false">IF(OR(I2633="DNB",I2633="Dry DNB"),1,0)</f>
        <v>0</v>
      </c>
      <c r="Z2633" s="0" t="str">
        <f aca="false">IF(ISNUMBER(W2633),A2633-W2633,"")</f>
        <v/>
      </c>
      <c r="AA2633" s="46" t="n">
        <f aca="false">MATCH(A2633,DATAS,0)</f>
        <v>1</v>
      </c>
      <c r="AB2633" s="46" t="n">
        <f aca="false">IF(AND(E2633&gt;0,OR(AND(B2633&gt;=1,B2633&lt;=6),B2633=10)),1,0)</f>
        <v>0</v>
      </c>
      <c r="AC2633" s="46" t="n">
        <f aca="false">IF(AND(E2633&gt;0,B2633=10),1,0)</f>
        <v>0</v>
      </c>
      <c r="AD2633" s="0" t="str">
        <f aca="false">IF(AND(C2632=C2633,AA2632=AA2633-1),AB2632,"")</f>
        <v/>
      </c>
      <c r="AE2633" s="0" t="str">
        <f aca="false">IF(AND(C2632=C2633,AA2632=AA2633-1),AC2632,"")</f>
        <v/>
      </c>
      <c r="AF2633" s="0" t="str">
        <f aca="false">IF(AA2633=1,"",IF(AND(AB2633=1,AD2633&lt;&gt;1),1,0))</f>
        <v/>
      </c>
      <c r="AG2633" s="0" t="str">
        <f aca="false">IF(AA2633=1,"",IF(AND(AC2633=1,AE2633&lt;&gt;1),1,0))</f>
        <v/>
      </c>
      <c r="AH2633" s="51" t="str">
        <f aca="false">IF(AND(E2633&gt;0,AA2633&lt;1,NOT(AND(C2634=C2633,AA2634=AA2633+1))),INDEX(DATAS,AA2633+1),"")</f>
        <v/>
      </c>
      <c r="AI2633" s="51" t="str">
        <f aca="false">IF(AND(AC2633=1,AA2633&lt;1),IF(AND(C2634=C2633,AA2634=AA2633+1),IF(AC2634=1,"",INDEX(DATAS,AA2633+1)),INDEX(DATAS,AA2633+1)),"")</f>
        <v/>
      </c>
    </row>
    <row r="2634" customFormat="false" ht="15" hidden="false" customHeight="false" outlineLevel="0" collapsed="false">
      <c r="A2634" s="51" t="n">
        <v>46309</v>
      </c>
      <c r="B2634" s="0" t="n">
        <v>13</v>
      </c>
      <c r="C2634" s="0" t="n">
        <v>6982</v>
      </c>
      <c r="E2634" s="0" t="n">
        <v>0</v>
      </c>
      <c r="F2634" s="46" t="s">
        <v>1342</v>
      </c>
      <c r="I2634" s="46" t="s">
        <v>179</v>
      </c>
      <c r="U2634" s="0" t="n">
        <v>385</v>
      </c>
      <c r="V2634" s="0" t="n">
        <v>0</v>
      </c>
      <c r="X2634" s="46" t="n">
        <f aca="false">IF(I2634="Male",0,1)</f>
        <v>1</v>
      </c>
      <c r="Y2634" s="46" t="n">
        <f aca="false">IF(OR(I2634="DNB",I2634="Dry DNB"),1,0)</f>
        <v>0</v>
      </c>
      <c r="Z2634" s="0" t="str">
        <f aca="false">IF(ISNUMBER(W2634),A2634-W2634,"")</f>
        <v/>
      </c>
      <c r="AA2634" s="46" t="n">
        <f aca="false">MATCH(A2634,DATAS,0)</f>
        <v>1</v>
      </c>
      <c r="AB2634" s="46" t="n">
        <f aca="false">IF(AND(E2634&gt;0,OR(AND(B2634&gt;=1,B2634&lt;=6),B2634=10)),1,0)</f>
        <v>0</v>
      </c>
      <c r="AC2634" s="46" t="n">
        <f aca="false">IF(AND(E2634&gt;0,B2634=10),1,0)</f>
        <v>0</v>
      </c>
      <c r="AD2634" s="0" t="str">
        <f aca="false">IF(AND(C2633=C2634,AA2633=AA2634-1),AB2633,"")</f>
        <v/>
      </c>
      <c r="AE2634" s="0" t="str">
        <f aca="false">IF(AND(C2633=C2634,AA2633=AA2634-1),AC2633,"")</f>
        <v/>
      </c>
      <c r="AF2634" s="0" t="str">
        <f aca="false">IF(AA2634=1,"",IF(AND(AB2634=1,AD2634&lt;&gt;1),1,0))</f>
        <v/>
      </c>
      <c r="AG2634" s="0" t="str">
        <f aca="false">IF(AA2634=1,"",IF(AND(AC2634=1,AE2634&lt;&gt;1),1,0))</f>
        <v/>
      </c>
      <c r="AH2634" s="51" t="str">
        <f aca="false">IF(AND(E2634&gt;0,AA2634&lt;1,NOT(AND(C2635=C2634,AA2635=AA2634+1))),INDEX(DATAS,AA2634+1),"")</f>
        <v/>
      </c>
      <c r="AI2634" s="51" t="str">
        <f aca="false">IF(AND(AC2634=1,AA2634&lt;1),IF(AND(C2635=C2634,AA2635=AA2634+1),IF(AC2635=1,"",INDEX(DATAS,AA2634+1)),INDEX(DATAS,AA2634+1)),"")</f>
        <v/>
      </c>
    </row>
    <row r="2635" customFormat="false" ht="15" hidden="false" customHeight="false" outlineLevel="0" collapsed="false">
      <c r="A2635" s="51" t="n">
        <v>46309</v>
      </c>
      <c r="B2635" s="0" t="n">
        <v>13</v>
      </c>
      <c r="C2635" s="0" t="n">
        <v>6983</v>
      </c>
      <c r="E2635" s="0" t="n">
        <v>0</v>
      </c>
      <c r="F2635" s="46" t="s">
        <v>1342</v>
      </c>
      <c r="I2635" s="46" t="s">
        <v>179</v>
      </c>
      <c r="U2635" s="0" t="n">
        <v>385</v>
      </c>
      <c r="V2635" s="0" t="n">
        <v>0</v>
      </c>
      <c r="X2635" s="46" t="n">
        <f aca="false">IF(I2635="Male",0,1)</f>
        <v>1</v>
      </c>
      <c r="Y2635" s="46" t="n">
        <f aca="false">IF(OR(I2635="DNB",I2635="Dry DNB"),1,0)</f>
        <v>0</v>
      </c>
      <c r="Z2635" s="0" t="str">
        <f aca="false">IF(ISNUMBER(W2635),A2635-W2635,"")</f>
        <v/>
      </c>
      <c r="AA2635" s="46" t="n">
        <f aca="false">MATCH(A2635,DATAS,0)</f>
        <v>1</v>
      </c>
      <c r="AB2635" s="46" t="n">
        <f aca="false">IF(AND(E2635&gt;0,OR(AND(B2635&gt;=1,B2635&lt;=6),B2635=10)),1,0)</f>
        <v>0</v>
      </c>
      <c r="AC2635" s="46" t="n">
        <f aca="false">IF(AND(E2635&gt;0,B2635=10),1,0)</f>
        <v>0</v>
      </c>
      <c r="AD2635" s="0" t="str">
        <f aca="false">IF(AND(C2634=C2635,AA2634=AA2635-1),AB2634,"")</f>
        <v/>
      </c>
      <c r="AE2635" s="0" t="str">
        <f aca="false">IF(AND(C2634=C2635,AA2634=AA2635-1),AC2634,"")</f>
        <v/>
      </c>
      <c r="AF2635" s="0" t="str">
        <f aca="false">IF(AA2635=1,"",IF(AND(AB2635=1,AD2635&lt;&gt;1),1,0))</f>
        <v/>
      </c>
      <c r="AG2635" s="0" t="str">
        <f aca="false">IF(AA2635=1,"",IF(AND(AC2635=1,AE2635&lt;&gt;1),1,0))</f>
        <v/>
      </c>
      <c r="AH2635" s="51" t="str">
        <f aca="false">IF(AND(E2635&gt;0,AA2635&lt;1,NOT(AND(C2636=C2635,AA2636=AA2635+1))),INDEX(DATAS,AA2635+1),"")</f>
        <v/>
      </c>
      <c r="AI2635" s="51" t="str">
        <f aca="false">IF(AND(AC2635=1,AA2635&lt;1),IF(AND(C2636=C2635,AA2636=AA2635+1),IF(AC2636=1,"",INDEX(DATAS,AA2635+1)),INDEX(DATAS,AA2635+1)),"")</f>
        <v/>
      </c>
    </row>
    <row r="2636" customFormat="false" ht="15" hidden="false" customHeight="false" outlineLevel="0" collapsed="false">
      <c r="A2636" s="51" t="n">
        <v>46309</v>
      </c>
      <c r="B2636" s="0" t="n">
        <v>13</v>
      </c>
      <c r="C2636" s="0" t="n">
        <v>6984</v>
      </c>
      <c r="E2636" s="0" t="n">
        <v>0</v>
      </c>
      <c r="F2636" s="46" t="s">
        <v>1342</v>
      </c>
      <c r="I2636" s="46" t="s">
        <v>179</v>
      </c>
      <c r="U2636" s="0" t="n">
        <v>385</v>
      </c>
      <c r="V2636" s="0" t="n">
        <v>0</v>
      </c>
      <c r="X2636" s="46" t="n">
        <f aca="false">IF(I2636="Male",0,1)</f>
        <v>1</v>
      </c>
      <c r="Y2636" s="46" t="n">
        <f aca="false">IF(OR(I2636="DNB",I2636="Dry DNB"),1,0)</f>
        <v>0</v>
      </c>
      <c r="Z2636" s="0" t="str">
        <f aca="false">IF(ISNUMBER(W2636),A2636-W2636,"")</f>
        <v/>
      </c>
      <c r="AA2636" s="46" t="n">
        <f aca="false">MATCH(A2636,DATAS,0)</f>
        <v>1</v>
      </c>
      <c r="AB2636" s="46" t="n">
        <f aca="false">IF(AND(E2636&gt;0,OR(AND(B2636&gt;=1,B2636&lt;=6),B2636=10)),1,0)</f>
        <v>0</v>
      </c>
      <c r="AC2636" s="46" t="n">
        <f aca="false">IF(AND(E2636&gt;0,B2636=10),1,0)</f>
        <v>0</v>
      </c>
      <c r="AD2636" s="0" t="str">
        <f aca="false">IF(AND(C2635=C2636,AA2635=AA2636-1),AB2635,"")</f>
        <v/>
      </c>
      <c r="AE2636" s="0" t="str">
        <f aca="false">IF(AND(C2635=C2636,AA2635=AA2636-1),AC2635,"")</f>
        <v/>
      </c>
      <c r="AF2636" s="0" t="str">
        <f aca="false">IF(AA2636=1,"",IF(AND(AB2636=1,AD2636&lt;&gt;1),1,0))</f>
        <v/>
      </c>
      <c r="AG2636" s="0" t="str">
        <f aca="false">IF(AA2636=1,"",IF(AND(AC2636=1,AE2636&lt;&gt;1),1,0))</f>
        <v/>
      </c>
      <c r="AH2636" s="51" t="str">
        <f aca="false">IF(AND(E2636&gt;0,AA2636&lt;1,NOT(AND(C2637=C2636,AA2637=AA2636+1))),INDEX(DATAS,AA2636+1),"")</f>
        <v/>
      </c>
      <c r="AI2636" s="51" t="str">
        <f aca="false">IF(AND(AC2636=1,AA2636&lt;1),IF(AND(C2637=C2636,AA2637=AA2636+1),IF(AC2637=1,"",INDEX(DATAS,AA2636+1)),INDEX(DATAS,AA2636+1)),"")</f>
        <v/>
      </c>
    </row>
    <row r="2637" customFormat="false" ht="15" hidden="false" customHeight="false" outlineLevel="0" collapsed="false">
      <c r="A2637" s="51" t="n">
        <v>46309</v>
      </c>
      <c r="B2637" s="0" t="n">
        <v>13</v>
      </c>
      <c r="C2637" s="0" t="n">
        <v>6985</v>
      </c>
      <c r="E2637" s="0" t="n">
        <v>0</v>
      </c>
      <c r="F2637" s="46" t="s">
        <v>1342</v>
      </c>
      <c r="I2637" s="46" t="s">
        <v>179</v>
      </c>
      <c r="U2637" s="0" t="n">
        <v>385</v>
      </c>
      <c r="V2637" s="0" t="n">
        <v>0</v>
      </c>
      <c r="X2637" s="46" t="n">
        <f aca="false">IF(I2637="Male",0,1)</f>
        <v>1</v>
      </c>
      <c r="Y2637" s="46" t="n">
        <f aca="false">IF(OR(I2637="DNB",I2637="Dry DNB"),1,0)</f>
        <v>0</v>
      </c>
      <c r="Z2637" s="0" t="str">
        <f aca="false">IF(ISNUMBER(W2637),A2637-W2637,"")</f>
        <v/>
      </c>
      <c r="AA2637" s="46" t="n">
        <f aca="false">MATCH(A2637,DATAS,0)</f>
        <v>1</v>
      </c>
      <c r="AB2637" s="46" t="n">
        <f aca="false">IF(AND(E2637&gt;0,OR(AND(B2637&gt;=1,B2637&lt;=6),B2637=10)),1,0)</f>
        <v>0</v>
      </c>
      <c r="AC2637" s="46" t="n">
        <f aca="false">IF(AND(E2637&gt;0,B2637=10),1,0)</f>
        <v>0</v>
      </c>
      <c r="AD2637" s="0" t="str">
        <f aca="false">IF(AND(C2636=C2637,AA2636=AA2637-1),AB2636,"")</f>
        <v/>
      </c>
      <c r="AE2637" s="0" t="str">
        <f aca="false">IF(AND(C2636=C2637,AA2636=AA2637-1),AC2636,"")</f>
        <v/>
      </c>
      <c r="AF2637" s="0" t="str">
        <f aca="false">IF(AA2637=1,"",IF(AND(AB2637=1,AD2637&lt;&gt;1),1,0))</f>
        <v/>
      </c>
      <c r="AG2637" s="0" t="str">
        <f aca="false">IF(AA2637=1,"",IF(AND(AC2637=1,AE2637&lt;&gt;1),1,0))</f>
        <v/>
      </c>
      <c r="AH2637" s="51" t="str">
        <f aca="false">IF(AND(E2637&gt;0,AA2637&lt;1,NOT(AND(C2638=C2637,AA2638=AA2637+1))),INDEX(DATAS,AA2637+1),"")</f>
        <v/>
      </c>
      <c r="AI2637" s="51" t="str">
        <f aca="false">IF(AND(AC2637=1,AA2637&lt;1),IF(AND(C2638=C2637,AA2638=AA2637+1),IF(AC2638=1,"",INDEX(DATAS,AA2637+1)),INDEX(DATAS,AA2637+1)),"")</f>
        <v/>
      </c>
    </row>
    <row r="2638" customFormat="false" ht="15" hidden="false" customHeight="false" outlineLevel="0" collapsed="false">
      <c r="A2638" s="51" t="n">
        <v>46309</v>
      </c>
      <c r="B2638" s="0" t="n">
        <v>13</v>
      </c>
      <c r="C2638" s="0" t="n">
        <v>6986</v>
      </c>
      <c r="E2638" s="0" t="n">
        <v>0</v>
      </c>
      <c r="F2638" s="46" t="s">
        <v>1343</v>
      </c>
      <c r="I2638" s="46" t="s">
        <v>179</v>
      </c>
      <c r="U2638" s="0" t="n">
        <v>384</v>
      </c>
      <c r="V2638" s="0" t="n">
        <v>0</v>
      </c>
      <c r="X2638" s="46" t="n">
        <f aca="false">IF(I2638="Male",0,1)</f>
        <v>1</v>
      </c>
      <c r="Y2638" s="46" t="n">
        <f aca="false">IF(OR(I2638="DNB",I2638="Dry DNB"),1,0)</f>
        <v>0</v>
      </c>
      <c r="Z2638" s="0" t="str">
        <f aca="false">IF(ISNUMBER(W2638),A2638-W2638,"")</f>
        <v/>
      </c>
      <c r="AA2638" s="46" t="n">
        <f aca="false">MATCH(A2638,DATAS,0)</f>
        <v>1</v>
      </c>
      <c r="AB2638" s="46" t="n">
        <f aca="false">IF(AND(E2638&gt;0,OR(AND(B2638&gt;=1,B2638&lt;=6),B2638=10)),1,0)</f>
        <v>0</v>
      </c>
      <c r="AC2638" s="46" t="n">
        <f aca="false">IF(AND(E2638&gt;0,B2638=10),1,0)</f>
        <v>0</v>
      </c>
      <c r="AD2638" s="0" t="str">
        <f aca="false">IF(AND(C2637=C2638,AA2637=AA2638-1),AB2637,"")</f>
        <v/>
      </c>
      <c r="AE2638" s="0" t="str">
        <f aca="false">IF(AND(C2637=C2638,AA2637=AA2638-1),AC2637,"")</f>
        <v/>
      </c>
      <c r="AF2638" s="0" t="str">
        <f aca="false">IF(AA2638=1,"",IF(AND(AB2638=1,AD2638&lt;&gt;1),1,0))</f>
        <v/>
      </c>
      <c r="AG2638" s="0" t="str">
        <f aca="false">IF(AA2638=1,"",IF(AND(AC2638=1,AE2638&lt;&gt;1),1,0))</f>
        <v/>
      </c>
      <c r="AH2638" s="51" t="str">
        <f aca="false">IF(AND(E2638&gt;0,AA2638&lt;1,NOT(AND(C2639=C2638,AA2639=AA2638+1))),INDEX(DATAS,AA2638+1),"")</f>
        <v/>
      </c>
      <c r="AI2638" s="51" t="str">
        <f aca="false">IF(AND(AC2638=1,AA2638&lt;1),IF(AND(C2639=C2638,AA2639=AA2638+1),IF(AC2639=1,"",INDEX(DATAS,AA2638+1)),INDEX(DATAS,AA2638+1)),"")</f>
        <v/>
      </c>
    </row>
    <row r="2639" customFormat="false" ht="15" hidden="false" customHeight="false" outlineLevel="0" collapsed="false">
      <c r="A2639" s="51" t="n">
        <v>46309</v>
      </c>
      <c r="B2639" s="0" t="n">
        <v>13</v>
      </c>
      <c r="C2639" s="0" t="n">
        <v>6987</v>
      </c>
      <c r="E2639" s="0" t="n">
        <v>0</v>
      </c>
      <c r="F2639" s="46" t="s">
        <v>1343</v>
      </c>
      <c r="I2639" s="46" t="s">
        <v>179</v>
      </c>
      <c r="U2639" s="0" t="n">
        <v>384</v>
      </c>
      <c r="V2639" s="0" t="n">
        <v>0</v>
      </c>
      <c r="X2639" s="46" t="n">
        <f aca="false">IF(I2639="Male",0,1)</f>
        <v>1</v>
      </c>
      <c r="Y2639" s="46" t="n">
        <f aca="false">IF(OR(I2639="DNB",I2639="Dry DNB"),1,0)</f>
        <v>0</v>
      </c>
      <c r="Z2639" s="0" t="str">
        <f aca="false">IF(ISNUMBER(W2639),A2639-W2639,"")</f>
        <v/>
      </c>
      <c r="AA2639" s="46" t="n">
        <f aca="false">MATCH(A2639,DATAS,0)</f>
        <v>1</v>
      </c>
      <c r="AB2639" s="46" t="n">
        <f aca="false">IF(AND(E2639&gt;0,OR(AND(B2639&gt;=1,B2639&lt;=6),B2639=10)),1,0)</f>
        <v>0</v>
      </c>
      <c r="AC2639" s="46" t="n">
        <f aca="false">IF(AND(E2639&gt;0,B2639=10),1,0)</f>
        <v>0</v>
      </c>
      <c r="AD2639" s="0" t="str">
        <f aca="false">IF(AND(C2638=C2639,AA2638=AA2639-1),AB2638,"")</f>
        <v/>
      </c>
      <c r="AE2639" s="0" t="str">
        <f aca="false">IF(AND(C2638=C2639,AA2638=AA2639-1),AC2638,"")</f>
        <v/>
      </c>
      <c r="AF2639" s="0" t="str">
        <f aca="false">IF(AA2639=1,"",IF(AND(AB2639=1,AD2639&lt;&gt;1),1,0))</f>
        <v/>
      </c>
      <c r="AG2639" s="0" t="str">
        <f aca="false">IF(AA2639=1,"",IF(AND(AC2639=1,AE2639&lt;&gt;1),1,0))</f>
        <v/>
      </c>
      <c r="AH2639" s="51" t="str">
        <f aca="false">IF(AND(E2639&gt;0,AA2639&lt;1,NOT(AND(C2640=C2639,AA2640=AA2639+1))),INDEX(DATAS,AA2639+1),"")</f>
        <v/>
      </c>
      <c r="AI2639" s="51" t="str">
        <f aca="false">IF(AND(AC2639=1,AA2639&lt;1),IF(AND(C2640=C2639,AA2640=AA2639+1),IF(AC2640=1,"",INDEX(DATAS,AA2639+1)),INDEX(DATAS,AA2639+1)),"")</f>
        <v/>
      </c>
    </row>
    <row r="2640" customFormat="false" ht="15" hidden="false" customHeight="false" outlineLevel="0" collapsed="false">
      <c r="A2640" s="51" t="n">
        <v>46309</v>
      </c>
      <c r="B2640" s="0" t="n">
        <v>13</v>
      </c>
      <c r="C2640" s="0" t="n">
        <v>6988</v>
      </c>
      <c r="E2640" s="0" t="n">
        <v>0</v>
      </c>
      <c r="F2640" s="46" t="s">
        <v>1343</v>
      </c>
      <c r="I2640" s="46" t="s">
        <v>179</v>
      </c>
      <c r="U2640" s="0" t="n">
        <v>384</v>
      </c>
      <c r="V2640" s="0" t="n">
        <v>0</v>
      </c>
      <c r="X2640" s="46" t="n">
        <f aca="false">IF(I2640="Male",0,1)</f>
        <v>1</v>
      </c>
      <c r="Y2640" s="46" t="n">
        <f aca="false">IF(OR(I2640="DNB",I2640="Dry DNB"),1,0)</f>
        <v>0</v>
      </c>
      <c r="Z2640" s="0" t="str">
        <f aca="false">IF(ISNUMBER(W2640),A2640-W2640,"")</f>
        <v/>
      </c>
      <c r="AA2640" s="46" t="n">
        <f aca="false">MATCH(A2640,DATAS,0)</f>
        <v>1</v>
      </c>
      <c r="AB2640" s="46" t="n">
        <f aca="false">IF(AND(E2640&gt;0,OR(AND(B2640&gt;=1,B2640&lt;=6),B2640=10)),1,0)</f>
        <v>0</v>
      </c>
      <c r="AC2640" s="46" t="n">
        <f aca="false">IF(AND(E2640&gt;0,B2640=10),1,0)</f>
        <v>0</v>
      </c>
      <c r="AD2640" s="0" t="str">
        <f aca="false">IF(AND(C2639=C2640,AA2639=AA2640-1),AB2639,"")</f>
        <v/>
      </c>
      <c r="AE2640" s="0" t="str">
        <f aca="false">IF(AND(C2639=C2640,AA2639=AA2640-1),AC2639,"")</f>
        <v/>
      </c>
      <c r="AF2640" s="0" t="str">
        <f aca="false">IF(AA2640=1,"",IF(AND(AB2640=1,AD2640&lt;&gt;1),1,0))</f>
        <v/>
      </c>
      <c r="AG2640" s="0" t="str">
        <f aca="false">IF(AA2640=1,"",IF(AND(AC2640=1,AE2640&lt;&gt;1),1,0))</f>
        <v/>
      </c>
      <c r="AH2640" s="51" t="str">
        <f aca="false">IF(AND(E2640&gt;0,AA2640&lt;1,NOT(AND(C2641=C2640,AA2641=AA2640+1))),INDEX(DATAS,AA2640+1),"")</f>
        <v/>
      </c>
      <c r="AI2640" s="51" t="str">
        <f aca="false">IF(AND(AC2640=1,AA2640&lt;1),IF(AND(C2641=C2640,AA2641=AA2640+1),IF(AC2641=1,"",INDEX(DATAS,AA2640+1)),INDEX(DATAS,AA2640+1)),"")</f>
        <v/>
      </c>
    </row>
    <row r="2641" customFormat="false" ht="15" hidden="false" customHeight="false" outlineLevel="0" collapsed="false">
      <c r="A2641" s="51" t="n">
        <v>46309</v>
      </c>
      <c r="B2641" s="0" t="n">
        <v>13</v>
      </c>
      <c r="C2641" s="0" t="n">
        <v>6989</v>
      </c>
      <c r="E2641" s="0" t="n">
        <v>0</v>
      </c>
      <c r="F2641" s="46" t="s">
        <v>1343</v>
      </c>
      <c r="I2641" s="46" t="s">
        <v>179</v>
      </c>
      <c r="U2641" s="0" t="n">
        <v>384</v>
      </c>
      <c r="V2641" s="0" t="n">
        <v>0</v>
      </c>
      <c r="X2641" s="46" t="n">
        <f aca="false">IF(I2641="Male",0,1)</f>
        <v>1</v>
      </c>
      <c r="Y2641" s="46" t="n">
        <f aca="false">IF(OR(I2641="DNB",I2641="Dry DNB"),1,0)</f>
        <v>0</v>
      </c>
      <c r="Z2641" s="0" t="str">
        <f aca="false">IF(ISNUMBER(W2641),A2641-W2641,"")</f>
        <v/>
      </c>
      <c r="AA2641" s="46" t="n">
        <f aca="false">MATCH(A2641,DATAS,0)</f>
        <v>1</v>
      </c>
      <c r="AB2641" s="46" t="n">
        <f aca="false">IF(AND(E2641&gt;0,OR(AND(B2641&gt;=1,B2641&lt;=6),B2641=10)),1,0)</f>
        <v>0</v>
      </c>
      <c r="AC2641" s="46" t="n">
        <f aca="false">IF(AND(E2641&gt;0,B2641=10),1,0)</f>
        <v>0</v>
      </c>
      <c r="AD2641" s="0" t="str">
        <f aca="false">IF(AND(C2640=C2641,AA2640=AA2641-1),AB2640,"")</f>
        <v/>
      </c>
      <c r="AE2641" s="0" t="str">
        <f aca="false">IF(AND(C2640=C2641,AA2640=AA2641-1),AC2640,"")</f>
        <v/>
      </c>
      <c r="AF2641" s="0" t="str">
        <f aca="false">IF(AA2641=1,"",IF(AND(AB2641=1,AD2641&lt;&gt;1),1,0))</f>
        <v/>
      </c>
      <c r="AG2641" s="0" t="str">
        <f aca="false">IF(AA2641=1,"",IF(AND(AC2641=1,AE2641&lt;&gt;1),1,0))</f>
        <v/>
      </c>
      <c r="AH2641" s="51" t="str">
        <f aca="false">IF(AND(E2641&gt;0,AA2641&lt;1,NOT(AND(C2642=C2641,AA2642=AA2641+1))),INDEX(DATAS,AA2641+1),"")</f>
        <v/>
      </c>
      <c r="AI2641" s="51" t="str">
        <f aca="false">IF(AND(AC2641=1,AA2641&lt;1),IF(AND(C2642=C2641,AA2642=AA2641+1),IF(AC2642=1,"",INDEX(DATAS,AA2641+1)),INDEX(DATAS,AA2641+1)),"")</f>
        <v/>
      </c>
    </row>
    <row r="2642" customFormat="false" ht="15" hidden="false" customHeight="false" outlineLevel="0" collapsed="false">
      <c r="A2642" s="51" t="n">
        <v>46309</v>
      </c>
      <c r="B2642" s="0" t="n">
        <v>13</v>
      </c>
      <c r="C2642" s="0" t="n">
        <v>6990</v>
      </c>
      <c r="E2642" s="0" t="n">
        <v>0</v>
      </c>
      <c r="F2642" s="46" t="s">
        <v>1344</v>
      </c>
      <c r="I2642" s="46" t="s">
        <v>179</v>
      </c>
      <c r="U2642" s="0" t="n">
        <v>383</v>
      </c>
      <c r="V2642" s="0" t="n">
        <v>0</v>
      </c>
      <c r="X2642" s="46" t="n">
        <f aca="false">IF(I2642="Male",0,1)</f>
        <v>1</v>
      </c>
      <c r="Y2642" s="46" t="n">
        <f aca="false">IF(OR(I2642="DNB",I2642="Dry DNB"),1,0)</f>
        <v>0</v>
      </c>
      <c r="Z2642" s="0" t="str">
        <f aca="false">IF(ISNUMBER(W2642),A2642-W2642,"")</f>
        <v/>
      </c>
      <c r="AA2642" s="46" t="n">
        <f aca="false">MATCH(A2642,DATAS,0)</f>
        <v>1</v>
      </c>
      <c r="AB2642" s="46" t="n">
        <f aca="false">IF(AND(E2642&gt;0,OR(AND(B2642&gt;=1,B2642&lt;=6),B2642=10)),1,0)</f>
        <v>0</v>
      </c>
      <c r="AC2642" s="46" t="n">
        <f aca="false">IF(AND(E2642&gt;0,B2642=10),1,0)</f>
        <v>0</v>
      </c>
      <c r="AD2642" s="0" t="str">
        <f aca="false">IF(AND(C2641=C2642,AA2641=AA2642-1),AB2641,"")</f>
        <v/>
      </c>
      <c r="AE2642" s="0" t="str">
        <f aca="false">IF(AND(C2641=C2642,AA2641=AA2642-1),AC2641,"")</f>
        <v/>
      </c>
      <c r="AF2642" s="0" t="str">
        <f aca="false">IF(AA2642=1,"",IF(AND(AB2642=1,AD2642&lt;&gt;1),1,0))</f>
        <v/>
      </c>
      <c r="AG2642" s="0" t="str">
        <f aca="false">IF(AA2642=1,"",IF(AND(AC2642=1,AE2642&lt;&gt;1),1,0))</f>
        <v/>
      </c>
      <c r="AH2642" s="51" t="str">
        <f aca="false">IF(AND(E2642&gt;0,AA2642&lt;1,NOT(AND(C2643=C2642,AA2643=AA2642+1))),INDEX(DATAS,AA2642+1),"")</f>
        <v/>
      </c>
      <c r="AI2642" s="51" t="str">
        <f aca="false">IF(AND(AC2642=1,AA2642&lt;1),IF(AND(C2643=C2642,AA2643=AA2642+1),IF(AC2643=1,"",INDEX(DATAS,AA2642+1)),INDEX(DATAS,AA2642+1)),"")</f>
        <v/>
      </c>
    </row>
    <row r="2643" customFormat="false" ht="15" hidden="false" customHeight="false" outlineLevel="0" collapsed="false">
      <c r="A2643" s="51" t="n">
        <v>46309</v>
      </c>
      <c r="B2643" s="0" t="n">
        <v>13</v>
      </c>
      <c r="C2643" s="0" t="n">
        <v>6991</v>
      </c>
      <c r="E2643" s="0" t="n">
        <v>0</v>
      </c>
      <c r="F2643" s="46" t="s">
        <v>1344</v>
      </c>
      <c r="I2643" s="46" t="s">
        <v>179</v>
      </c>
      <c r="U2643" s="0" t="n">
        <v>383</v>
      </c>
      <c r="V2643" s="0" t="n">
        <v>0</v>
      </c>
      <c r="X2643" s="46" t="n">
        <f aca="false">IF(I2643="Male",0,1)</f>
        <v>1</v>
      </c>
      <c r="Y2643" s="46" t="n">
        <f aca="false">IF(OR(I2643="DNB",I2643="Dry DNB"),1,0)</f>
        <v>0</v>
      </c>
      <c r="Z2643" s="0" t="str">
        <f aca="false">IF(ISNUMBER(W2643),A2643-W2643,"")</f>
        <v/>
      </c>
      <c r="AA2643" s="46" t="n">
        <f aca="false">MATCH(A2643,DATAS,0)</f>
        <v>1</v>
      </c>
      <c r="AB2643" s="46" t="n">
        <f aca="false">IF(AND(E2643&gt;0,OR(AND(B2643&gt;=1,B2643&lt;=6),B2643=10)),1,0)</f>
        <v>0</v>
      </c>
      <c r="AC2643" s="46" t="n">
        <f aca="false">IF(AND(E2643&gt;0,B2643=10),1,0)</f>
        <v>0</v>
      </c>
      <c r="AD2643" s="0" t="str">
        <f aca="false">IF(AND(C2642=C2643,AA2642=AA2643-1),AB2642,"")</f>
        <v/>
      </c>
      <c r="AE2643" s="0" t="str">
        <f aca="false">IF(AND(C2642=C2643,AA2642=AA2643-1),AC2642,"")</f>
        <v/>
      </c>
      <c r="AF2643" s="0" t="str">
        <f aca="false">IF(AA2643=1,"",IF(AND(AB2643=1,AD2643&lt;&gt;1),1,0))</f>
        <v/>
      </c>
      <c r="AG2643" s="0" t="str">
        <f aca="false">IF(AA2643=1,"",IF(AND(AC2643=1,AE2643&lt;&gt;1),1,0))</f>
        <v/>
      </c>
      <c r="AH2643" s="51" t="str">
        <f aca="false">IF(AND(E2643&gt;0,AA2643&lt;1,NOT(AND(C2644=C2643,AA2644=AA2643+1))),INDEX(DATAS,AA2643+1),"")</f>
        <v/>
      </c>
      <c r="AI2643" s="51" t="str">
        <f aca="false">IF(AND(AC2643=1,AA2643&lt;1),IF(AND(C2644=C2643,AA2644=AA2643+1),IF(AC2644=1,"",INDEX(DATAS,AA2643+1)),INDEX(DATAS,AA2643+1)),"")</f>
        <v/>
      </c>
    </row>
    <row r="2644" customFormat="false" ht="15" hidden="false" customHeight="false" outlineLevel="0" collapsed="false">
      <c r="A2644" s="51" t="n">
        <v>46309</v>
      </c>
      <c r="B2644" s="0" t="n">
        <v>13</v>
      </c>
      <c r="C2644" s="0" t="n">
        <v>6992</v>
      </c>
      <c r="E2644" s="0" t="n">
        <v>0</v>
      </c>
      <c r="F2644" s="46" t="s">
        <v>1344</v>
      </c>
      <c r="I2644" s="46" t="s">
        <v>179</v>
      </c>
      <c r="U2644" s="0" t="n">
        <v>383</v>
      </c>
      <c r="V2644" s="0" t="n">
        <v>0</v>
      </c>
      <c r="X2644" s="46" t="n">
        <f aca="false">IF(I2644="Male",0,1)</f>
        <v>1</v>
      </c>
      <c r="Y2644" s="46" t="n">
        <f aca="false">IF(OR(I2644="DNB",I2644="Dry DNB"),1,0)</f>
        <v>0</v>
      </c>
      <c r="Z2644" s="0" t="str">
        <f aca="false">IF(ISNUMBER(W2644),A2644-W2644,"")</f>
        <v/>
      </c>
      <c r="AA2644" s="46" t="n">
        <f aca="false">MATCH(A2644,DATAS,0)</f>
        <v>1</v>
      </c>
      <c r="AB2644" s="46" t="n">
        <f aca="false">IF(AND(E2644&gt;0,OR(AND(B2644&gt;=1,B2644&lt;=6),B2644=10)),1,0)</f>
        <v>0</v>
      </c>
      <c r="AC2644" s="46" t="n">
        <f aca="false">IF(AND(E2644&gt;0,B2644=10),1,0)</f>
        <v>0</v>
      </c>
      <c r="AD2644" s="0" t="str">
        <f aca="false">IF(AND(C2643=C2644,AA2643=AA2644-1),AB2643,"")</f>
        <v/>
      </c>
      <c r="AE2644" s="0" t="str">
        <f aca="false">IF(AND(C2643=C2644,AA2643=AA2644-1),AC2643,"")</f>
        <v/>
      </c>
      <c r="AF2644" s="0" t="str">
        <f aca="false">IF(AA2644=1,"",IF(AND(AB2644=1,AD2644&lt;&gt;1),1,0))</f>
        <v/>
      </c>
      <c r="AG2644" s="0" t="str">
        <f aca="false">IF(AA2644=1,"",IF(AND(AC2644=1,AE2644&lt;&gt;1),1,0))</f>
        <v/>
      </c>
      <c r="AH2644" s="51" t="str">
        <f aca="false">IF(AND(E2644&gt;0,AA2644&lt;1,NOT(AND(C2645=C2644,AA2645=AA2644+1))),INDEX(DATAS,AA2644+1),"")</f>
        <v/>
      </c>
      <c r="AI2644" s="51" t="str">
        <f aca="false">IF(AND(AC2644=1,AA2644&lt;1),IF(AND(C2645=C2644,AA2645=AA2644+1),IF(AC2645=1,"",INDEX(DATAS,AA2644+1)),INDEX(DATAS,AA2644+1)),"")</f>
        <v/>
      </c>
    </row>
    <row r="2645" customFormat="false" ht="15" hidden="false" customHeight="false" outlineLevel="0" collapsed="false">
      <c r="A2645" s="51" t="n">
        <v>46309</v>
      </c>
      <c r="B2645" s="0" t="n">
        <v>13</v>
      </c>
      <c r="C2645" s="0" t="n">
        <v>6993</v>
      </c>
      <c r="E2645" s="0" t="n">
        <v>0</v>
      </c>
      <c r="F2645" s="46" t="s">
        <v>1344</v>
      </c>
      <c r="I2645" s="46" t="s">
        <v>179</v>
      </c>
      <c r="U2645" s="0" t="n">
        <v>383</v>
      </c>
      <c r="V2645" s="0" t="n">
        <v>0</v>
      </c>
      <c r="X2645" s="46" t="n">
        <f aca="false">IF(I2645="Male",0,1)</f>
        <v>1</v>
      </c>
      <c r="Y2645" s="46" t="n">
        <f aca="false">IF(OR(I2645="DNB",I2645="Dry DNB"),1,0)</f>
        <v>0</v>
      </c>
      <c r="Z2645" s="0" t="str">
        <f aca="false">IF(ISNUMBER(W2645),A2645-W2645,"")</f>
        <v/>
      </c>
      <c r="AA2645" s="46" t="n">
        <f aca="false">MATCH(A2645,DATAS,0)</f>
        <v>1</v>
      </c>
      <c r="AB2645" s="46" t="n">
        <f aca="false">IF(AND(E2645&gt;0,OR(AND(B2645&gt;=1,B2645&lt;=6),B2645=10)),1,0)</f>
        <v>0</v>
      </c>
      <c r="AC2645" s="46" t="n">
        <f aca="false">IF(AND(E2645&gt;0,B2645=10),1,0)</f>
        <v>0</v>
      </c>
      <c r="AD2645" s="0" t="str">
        <f aca="false">IF(AND(C2644=C2645,AA2644=AA2645-1),AB2644,"")</f>
        <v/>
      </c>
      <c r="AE2645" s="0" t="str">
        <f aca="false">IF(AND(C2644=C2645,AA2644=AA2645-1),AC2644,"")</f>
        <v/>
      </c>
      <c r="AF2645" s="0" t="str">
        <f aca="false">IF(AA2645=1,"",IF(AND(AB2645=1,AD2645&lt;&gt;1),1,0))</f>
        <v/>
      </c>
      <c r="AG2645" s="0" t="str">
        <f aca="false">IF(AA2645=1,"",IF(AND(AC2645=1,AE2645&lt;&gt;1),1,0))</f>
        <v/>
      </c>
      <c r="AH2645" s="51" t="str">
        <f aca="false">IF(AND(E2645&gt;0,AA2645&lt;1,NOT(AND(C2646=C2645,AA2646=AA2645+1))),INDEX(DATAS,AA2645+1),"")</f>
        <v/>
      </c>
      <c r="AI2645" s="51" t="str">
        <f aca="false">IF(AND(AC2645=1,AA2645&lt;1),IF(AND(C2646=C2645,AA2646=AA2645+1),IF(AC2646=1,"",INDEX(DATAS,AA2645+1)),INDEX(DATAS,AA2645+1)),"")</f>
        <v/>
      </c>
    </row>
    <row r="2646" customFormat="false" ht="15" hidden="false" customHeight="false" outlineLevel="0" collapsed="false">
      <c r="A2646" s="51" t="n">
        <v>46309</v>
      </c>
      <c r="B2646" s="0" t="n">
        <v>13</v>
      </c>
      <c r="C2646" s="0" t="n">
        <v>6994</v>
      </c>
      <c r="E2646" s="0" t="n">
        <v>0</v>
      </c>
      <c r="F2646" s="46" t="s">
        <v>1345</v>
      </c>
      <c r="I2646" s="46" t="s">
        <v>179</v>
      </c>
      <c r="U2646" s="0" t="n">
        <v>382</v>
      </c>
      <c r="V2646" s="0" t="n">
        <v>0</v>
      </c>
      <c r="X2646" s="46" t="n">
        <f aca="false">IF(I2646="Male",0,1)</f>
        <v>1</v>
      </c>
      <c r="Y2646" s="46" t="n">
        <f aca="false">IF(OR(I2646="DNB",I2646="Dry DNB"),1,0)</f>
        <v>0</v>
      </c>
      <c r="Z2646" s="0" t="str">
        <f aca="false">IF(ISNUMBER(W2646),A2646-W2646,"")</f>
        <v/>
      </c>
      <c r="AA2646" s="46" t="n">
        <f aca="false">MATCH(A2646,DATAS,0)</f>
        <v>1</v>
      </c>
      <c r="AB2646" s="46" t="n">
        <f aca="false">IF(AND(E2646&gt;0,OR(AND(B2646&gt;=1,B2646&lt;=6),B2646=10)),1,0)</f>
        <v>0</v>
      </c>
      <c r="AC2646" s="46" t="n">
        <f aca="false">IF(AND(E2646&gt;0,B2646=10),1,0)</f>
        <v>0</v>
      </c>
      <c r="AD2646" s="0" t="str">
        <f aca="false">IF(AND(C2645=C2646,AA2645=AA2646-1),AB2645,"")</f>
        <v/>
      </c>
      <c r="AE2646" s="0" t="str">
        <f aca="false">IF(AND(C2645=C2646,AA2645=AA2646-1),AC2645,"")</f>
        <v/>
      </c>
      <c r="AF2646" s="0" t="str">
        <f aca="false">IF(AA2646=1,"",IF(AND(AB2646=1,AD2646&lt;&gt;1),1,0))</f>
        <v/>
      </c>
      <c r="AG2646" s="0" t="str">
        <f aca="false">IF(AA2646=1,"",IF(AND(AC2646=1,AE2646&lt;&gt;1),1,0))</f>
        <v/>
      </c>
      <c r="AH2646" s="51" t="str">
        <f aca="false">IF(AND(E2646&gt;0,AA2646&lt;1,NOT(AND(C2647=C2646,AA2647=AA2646+1))),INDEX(DATAS,AA2646+1),"")</f>
        <v/>
      </c>
      <c r="AI2646" s="51" t="str">
        <f aca="false">IF(AND(AC2646=1,AA2646&lt;1),IF(AND(C2647=C2646,AA2647=AA2646+1),IF(AC2647=1,"",INDEX(DATAS,AA2646+1)),INDEX(DATAS,AA2646+1)),"")</f>
        <v/>
      </c>
    </row>
    <row r="2647" customFormat="false" ht="15" hidden="false" customHeight="false" outlineLevel="0" collapsed="false">
      <c r="A2647" s="51" t="n">
        <v>46309</v>
      </c>
      <c r="B2647" s="0" t="n">
        <v>13</v>
      </c>
      <c r="C2647" s="0" t="n">
        <v>6995</v>
      </c>
      <c r="E2647" s="0" t="n">
        <v>0</v>
      </c>
      <c r="F2647" s="46" t="s">
        <v>1345</v>
      </c>
      <c r="I2647" s="46" t="s">
        <v>179</v>
      </c>
      <c r="U2647" s="0" t="n">
        <v>382</v>
      </c>
      <c r="V2647" s="0" t="n">
        <v>0</v>
      </c>
      <c r="X2647" s="46" t="n">
        <f aca="false">IF(I2647="Male",0,1)</f>
        <v>1</v>
      </c>
      <c r="Y2647" s="46" t="n">
        <f aca="false">IF(OR(I2647="DNB",I2647="Dry DNB"),1,0)</f>
        <v>0</v>
      </c>
      <c r="Z2647" s="0" t="str">
        <f aca="false">IF(ISNUMBER(W2647),A2647-W2647,"")</f>
        <v/>
      </c>
      <c r="AA2647" s="46" t="n">
        <f aca="false">MATCH(A2647,DATAS,0)</f>
        <v>1</v>
      </c>
      <c r="AB2647" s="46" t="n">
        <f aca="false">IF(AND(E2647&gt;0,OR(AND(B2647&gt;=1,B2647&lt;=6),B2647=10)),1,0)</f>
        <v>0</v>
      </c>
      <c r="AC2647" s="46" t="n">
        <f aca="false">IF(AND(E2647&gt;0,B2647=10),1,0)</f>
        <v>0</v>
      </c>
      <c r="AD2647" s="0" t="str">
        <f aca="false">IF(AND(C2646=C2647,AA2646=AA2647-1),AB2646,"")</f>
        <v/>
      </c>
      <c r="AE2647" s="0" t="str">
        <f aca="false">IF(AND(C2646=C2647,AA2646=AA2647-1),AC2646,"")</f>
        <v/>
      </c>
      <c r="AF2647" s="0" t="str">
        <f aca="false">IF(AA2647=1,"",IF(AND(AB2647=1,AD2647&lt;&gt;1),1,0))</f>
        <v/>
      </c>
      <c r="AG2647" s="0" t="str">
        <f aca="false">IF(AA2647=1,"",IF(AND(AC2647=1,AE2647&lt;&gt;1),1,0))</f>
        <v/>
      </c>
      <c r="AH2647" s="51" t="str">
        <f aca="false">IF(AND(E2647&gt;0,AA2647&lt;1,NOT(AND(C2648=C2647,AA2648=AA2647+1))),INDEX(DATAS,AA2647+1),"")</f>
        <v/>
      </c>
      <c r="AI2647" s="51" t="str">
        <f aca="false">IF(AND(AC2647=1,AA2647&lt;1),IF(AND(C2648=C2647,AA2648=AA2647+1),IF(AC2648=1,"",INDEX(DATAS,AA2647+1)),INDEX(DATAS,AA2647+1)),"")</f>
        <v/>
      </c>
    </row>
    <row r="2648" customFormat="false" ht="15" hidden="false" customHeight="false" outlineLevel="0" collapsed="false">
      <c r="A2648" s="51" t="n">
        <v>46309</v>
      </c>
      <c r="B2648" s="0" t="n">
        <v>13</v>
      </c>
      <c r="C2648" s="0" t="n">
        <v>6996</v>
      </c>
      <c r="E2648" s="0" t="n">
        <v>0</v>
      </c>
      <c r="F2648" s="46" t="s">
        <v>1345</v>
      </c>
      <c r="I2648" s="46" t="s">
        <v>179</v>
      </c>
      <c r="U2648" s="0" t="n">
        <v>382</v>
      </c>
      <c r="V2648" s="0" t="n">
        <v>0</v>
      </c>
      <c r="X2648" s="46" t="n">
        <f aca="false">IF(I2648="Male",0,1)</f>
        <v>1</v>
      </c>
      <c r="Y2648" s="46" t="n">
        <f aca="false">IF(OR(I2648="DNB",I2648="Dry DNB"),1,0)</f>
        <v>0</v>
      </c>
      <c r="Z2648" s="0" t="str">
        <f aca="false">IF(ISNUMBER(W2648),A2648-W2648,"")</f>
        <v/>
      </c>
      <c r="AA2648" s="46" t="n">
        <f aca="false">MATCH(A2648,DATAS,0)</f>
        <v>1</v>
      </c>
      <c r="AB2648" s="46" t="n">
        <f aca="false">IF(AND(E2648&gt;0,OR(AND(B2648&gt;=1,B2648&lt;=6),B2648=10)),1,0)</f>
        <v>0</v>
      </c>
      <c r="AC2648" s="46" t="n">
        <f aca="false">IF(AND(E2648&gt;0,B2648=10),1,0)</f>
        <v>0</v>
      </c>
      <c r="AD2648" s="0" t="str">
        <f aca="false">IF(AND(C2647=C2648,AA2647=AA2648-1),AB2647,"")</f>
        <v/>
      </c>
      <c r="AE2648" s="0" t="str">
        <f aca="false">IF(AND(C2647=C2648,AA2647=AA2648-1),AC2647,"")</f>
        <v/>
      </c>
      <c r="AF2648" s="0" t="str">
        <f aca="false">IF(AA2648=1,"",IF(AND(AB2648=1,AD2648&lt;&gt;1),1,0))</f>
        <v/>
      </c>
      <c r="AG2648" s="0" t="str">
        <f aca="false">IF(AA2648=1,"",IF(AND(AC2648=1,AE2648&lt;&gt;1),1,0))</f>
        <v/>
      </c>
      <c r="AH2648" s="51" t="str">
        <f aca="false">IF(AND(E2648&gt;0,AA2648&lt;1,NOT(AND(C2649=C2648,AA2649=AA2648+1))),INDEX(DATAS,AA2648+1),"")</f>
        <v/>
      </c>
      <c r="AI2648" s="51" t="str">
        <f aca="false">IF(AND(AC2648=1,AA2648&lt;1),IF(AND(C2649=C2648,AA2649=AA2648+1),IF(AC2649=1,"",INDEX(DATAS,AA2648+1)),INDEX(DATAS,AA2648+1)),"")</f>
        <v/>
      </c>
    </row>
    <row r="2649" customFormat="false" ht="15" hidden="false" customHeight="false" outlineLevel="0" collapsed="false">
      <c r="A2649" s="51" t="n">
        <v>46309</v>
      </c>
      <c r="B2649" s="0" t="n">
        <v>13</v>
      </c>
      <c r="C2649" s="0" t="n">
        <v>6997</v>
      </c>
      <c r="E2649" s="0" t="n">
        <v>0</v>
      </c>
      <c r="F2649" s="46" t="s">
        <v>1346</v>
      </c>
      <c r="I2649" s="46" t="s">
        <v>179</v>
      </c>
      <c r="U2649" s="0" t="n">
        <v>381</v>
      </c>
      <c r="V2649" s="0" t="n">
        <v>0</v>
      </c>
      <c r="X2649" s="46" t="n">
        <f aca="false">IF(I2649="Male",0,1)</f>
        <v>1</v>
      </c>
      <c r="Y2649" s="46" t="n">
        <f aca="false">IF(OR(I2649="DNB",I2649="Dry DNB"),1,0)</f>
        <v>0</v>
      </c>
      <c r="Z2649" s="0" t="str">
        <f aca="false">IF(ISNUMBER(W2649),A2649-W2649,"")</f>
        <v/>
      </c>
      <c r="AA2649" s="46" t="n">
        <f aca="false">MATCH(A2649,DATAS,0)</f>
        <v>1</v>
      </c>
      <c r="AB2649" s="46" t="n">
        <f aca="false">IF(AND(E2649&gt;0,OR(AND(B2649&gt;=1,B2649&lt;=6),B2649=10)),1,0)</f>
        <v>0</v>
      </c>
      <c r="AC2649" s="46" t="n">
        <f aca="false">IF(AND(E2649&gt;0,B2649=10),1,0)</f>
        <v>0</v>
      </c>
      <c r="AD2649" s="0" t="str">
        <f aca="false">IF(AND(C2648=C2649,AA2648=AA2649-1),AB2648,"")</f>
        <v/>
      </c>
      <c r="AE2649" s="0" t="str">
        <f aca="false">IF(AND(C2648=C2649,AA2648=AA2649-1),AC2648,"")</f>
        <v/>
      </c>
      <c r="AF2649" s="0" t="str">
        <f aca="false">IF(AA2649=1,"",IF(AND(AB2649=1,AD2649&lt;&gt;1),1,0))</f>
        <v/>
      </c>
      <c r="AG2649" s="0" t="str">
        <f aca="false">IF(AA2649=1,"",IF(AND(AC2649=1,AE2649&lt;&gt;1),1,0))</f>
        <v/>
      </c>
      <c r="AH2649" s="51" t="str">
        <f aca="false">IF(AND(E2649&gt;0,AA2649&lt;1,NOT(AND(C2650=C2649,AA2650=AA2649+1))),INDEX(DATAS,AA2649+1),"")</f>
        <v/>
      </c>
      <c r="AI2649" s="51" t="str">
        <f aca="false">IF(AND(AC2649=1,AA2649&lt;1),IF(AND(C2650=C2649,AA2650=AA2649+1),IF(AC2650=1,"",INDEX(DATAS,AA2649+1)),INDEX(DATAS,AA2649+1)),"")</f>
        <v/>
      </c>
    </row>
    <row r="2650" customFormat="false" ht="15" hidden="false" customHeight="false" outlineLevel="0" collapsed="false">
      <c r="A2650" s="51" t="n">
        <v>46309</v>
      </c>
      <c r="B2650" s="0" t="n">
        <v>13</v>
      </c>
      <c r="C2650" s="0" t="n">
        <v>6998</v>
      </c>
      <c r="E2650" s="0" t="n">
        <v>0</v>
      </c>
      <c r="F2650" s="46" t="s">
        <v>1346</v>
      </c>
      <c r="I2650" s="46" t="s">
        <v>179</v>
      </c>
      <c r="U2650" s="0" t="n">
        <v>381</v>
      </c>
      <c r="V2650" s="0" t="n">
        <v>0</v>
      </c>
      <c r="X2650" s="46" t="n">
        <f aca="false">IF(I2650="Male",0,1)</f>
        <v>1</v>
      </c>
      <c r="Y2650" s="46" t="n">
        <f aca="false">IF(OR(I2650="DNB",I2650="Dry DNB"),1,0)</f>
        <v>0</v>
      </c>
      <c r="Z2650" s="0" t="str">
        <f aca="false">IF(ISNUMBER(W2650),A2650-W2650,"")</f>
        <v/>
      </c>
      <c r="AA2650" s="46" t="n">
        <f aca="false">MATCH(A2650,DATAS,0)</f>
        <v>1</v>
      </c>
      <c r="AB2650" s="46" t="n">
        <f aca="false">IF(AND(E2650&gt;0,OR(AND(B2650&gt;=1,B2650&lt;=6),B2650=10)),1,0)</f>
        <v>0</v>
      </c>
      <c r="AC2650" s="46" t="n">
        <f aca="false">IF(AND(E2650&gt;0,B2650=10),1,0)</f>
        <v>0</v>
      </c>
      <c r="AD2650" s="0" t="str">
        <f aca="false">IF(AND(C2649=C2650,AA2649=AA2650-1),AB2649,"")</f>
        <v/>
      </c>
      <c r="AE2650" s="0" t="str">
        <f aca="false">IF(AND(C2649=C2650,AA2649=AA2650-1),AC2649,"")</f>
        <v/>
      </c>
      <c r="AF2650" s="0" t="str">
        <f aca="false">IF(AA2650=1,"",IF(AND(AB2650=1,AD2650&lt;&gt;1),1,0))</f>
        <v/>
      </c>
      <c r="AG2650" s="0" t="str">
        <f aca="false">IF(AA2650=1,"",IF(AND(AC2650=1,AE2650&lt;&gt;1),1,0))</f>
        <v/>
      </c>
      <c r="AH2650" s="51" t="str">
        <f aca="false">IF(AND(E2650&gt;0,AA2650&lt;1,NOT(AND(C2651=C2650,AA2651=AA2650+1))),INDEX(DATAS,AA2650+1),"")</f>
        <v/>
      </c>
      <c r="AI2650" s="51" t="str">
        <f aca="false">IF(AND(AC2650=1,AA2650&lt;1),IF(AND(C2651=C2650,AA2651=AA2650+1),IF(AC2651=1,"",INDEX(DATAS,AA2650+1)),INDEX(DATAS,AA2650+1)),"")</f>
        <v/>
      </c>
    </row>
    <row r="2651" customFormat="false" ht="15" hidden="false" customHeight="false" outlineLevel="0" collapsed="false">
      <c r="A2651" s="51" t="n">
        <v>46309</v>
      </c>
      <c r="B2651" s="0" t="n">
        <v>13</v>
      </c>
      <c r="C2651" s="0" t="n">
        <v>6999</v>
      </c>
      <c r="E2651" s="0" t="n">
        <v>0</v>
      </c>
      <c r="F2651" s="46" t="s">
        <v>1347</v>
      </c>
      <c r="I2651" s="46" t="s">
        <v>179</v>
      </c>
      <c r="U2651" s="0" t="n">
        <v>379</v>
      </c>
      <c r="V2651" s="0" t="n">
        <v>0</v>
      </c>
      <c r="X2651" s="46" t="n">
        <f aca="false">IF(I2651="Male",0,1)</f>
        <v>1</v>
      </c>
      <c r="Y2651" s="46" t="n">
        <f aca="false">IF(OR(I2651="DNB",I2651="Dry DNB"),1,0)</f>
        <v>0</v>
      </c>
      <c r="Z2651" s="0" t="str">
        <f aca="false">IF(ISNUMBER(W2651),A2651-W2651,"")</f>
        <v/>
      </c>
      <c r="AA2651" s="46" t="n">
        <f aca="false">MATCH(A2651,DATAS,0)</f>
        <v>1</v>
      </c>
      <c r="AB2651" s="46" t="n">
        <f aca="false">IF(AND(E2651&gt;0,OR(AND(B2651&gt;=1,B2651&lt;=6),B2651=10)),1,0)</f>
        <v>0</v>
      </c>
      <c r="AC2651" s="46" t="n">
        <f aca="false">IF(AND(E2651&gt;0,B2651=10),1,0)</f>
        <v>0</v>
      </c>
      <c r="AD2651" s="0" t="str">
        <f aca="false">IF(AND(C2650=C2651,AA2650=AA2651-1),AB2650,"")</f>
        <v/>
      </c>
      <c r="AE2651" s="0" t="str">
        <f aca="false">IF(AND(C2650=C2651,AA2650=AA2651-1),AC2650,"")</f>
        <v/>
      </c>
      <c r="AF2651" s="0" t="str">
        <f aca="false">IF(AA2651=1,"",IF(AND(AB2651=1,AD2651&lt;&gt;1),1,0))</f>
        <v/>
      </c>
      <c r="AG2651" s="0" t="str">
        <f aca="false">IF(AA2651=1,"",IF(AND(AC2651=1,AE2651&lt;&gt;1),1,0))</f>
        <v/>
      </c>
      <c r="AH2651" s="51" t="str">
        <f aca="false">IF(AND(E2651&gt;0,AA2651&lt;1,NOT(AND(C2652=C2651,AA2652=AA2651+1))),INDEX(DATAS,AA2651+1),"")</f>
        <v/>
      </c>
      <c r="AI2651" s="51" t="str">
        <f aca="false">IF(AND(AC2651=1,AA2651&lt;1),IF(AND(C2652=C2651,AA2652=AA2651+1),IF(AC2652=1,"",INDEX(DATAS,AA2651+1)),INDEX(DATAS,AA2651+1)),"")</f>
        <v/>
      </c>
    </row>
    <row r="2652" customFormat="false" ht="15" hidden="false" customHeight="false" outlineLevel="0" collapsed="false">
      <c r="A2652" s="51" t="n">
        <v>46309</v>
      </c>
      <c r="B2652" s="0" t="n">
        <v>13</v>
      </c>
      <c r="C2652" s="0" t="n">
        <v>7000</v>
      </c>
      <c r="E2652" s="0" t="n">
        <v>0</v>
      </c>
      <c r="F2652" s="46" t="s">
        <v>1347</v>
      </c>
      <c r="I2652" s="46" t="s">
        <v>179</v>
      </c>
      <c r="U2652" s="0" t="n">
        <v>379</v>
      </c>
      <c r="V2652" s="0" t="n">
        <v>0</v>
      </c>
      <c r="X2652" s="46" t="n">
        <f aca="false">IF(I2652="Male",0,1)</f>
        <v>1</v>
      </c>
      <c r="Y2652" s="46" t="n">
        <f aca="false">IF(OR(I2652="DNB",I2652="Dry DNB"),1,0)</f>
        <v>0</v>
      </c>
      <c r="Z2652" s="0" t="str">
        <f aca="false">IF(ISNUMBER(W2652),A2652-W2652,"")</f>
        <v/>
      </c>
      <c r="AA2652" s="46" t="n">
        <f aca="false">MATCH(A2652,DATAS,0)</f>
        <v>1</v>
      </c>
      <c r="AB2652" s="46" t="n">
        <f aca="false">IF(AND(E2652&gt;0,OR(AND(B2652&gt;=1,B2652&lt;=6),B2652=10)),1,0)</f>
        <v>0</v>
      </c>
      <c r="AC2652" s="46" t="n">
        <f aca="false">IF(AND(E2652&gt;0,B2652=10),1,0)</f>
        <v>0</v>
      </c>
      <c r="AD2652" s="0" t="str">
        <f aca="false">IF(AND(C2651=C2652,AA2651=AA2652-1),AB2651,"")</f>
        <v/>
      </c>
      <c r="AE2652" s="0" t="str">
        <f aca="false">IF(AND(C2651=C2652,AA2651=AA2652-1),AC2651,"")</f>
        <v/>
      </c>
      <c r="AF2652" s="0" t="str">
        <f aca="false">IF(AA2652=1,"",IF(AND(AB2652=1,AD2652&lt;&gt;1),1,0))</f>
        <v/>
      </c>
      <c r="AG2652" s="0" t="str">
        <f aca="false">IF(AA2652=1,"",IF(AND(AC2652=1,AE2652&lt;&gt;1),1,0))</f>
        <v/>
      </c>
      <c r="AH2652" s="51" t="str">
        <f aca="false">IF(AND(E2652&gt;0,AA2652&lt;1,NOT(AND(C2653=C2652,AA2653=AA2652+1))),INDEX(DATAS,AA2652+1),"")</f>
        <v/>
      </c>
      <c r="AI2652" s="51" t="str">
        <f aca="false">IF(AND(AC2652=1,AA2652&lt;1),IF(AND(C2653=C2652,AA2653=AA2652+1),IF(AC2653=1,"",INDEX(DATAS,AA2652+1)),INDEX(DATAS,AA2652+1)),"")</f>
        <v/>
      </c>
    </row>
    <row r="2653" customFormat="false" ht="15" hidden="false" customHeight="false" outlineLevel="0" collapsed="false">
      <c r="A2653" s="51" t="n">
        <v>46309</v>
      </c>
      <c r="B2653" s="0" t="n">
        <v>13</v>
      </c>
      <c r="C2653" s="0" t="n">
        <v>7001</v>
      </c>
      <c r="E2653" s="0" t="n">
        <v>0</v>
      </c>
      <c r="F2653" s="46" t="s">
        <v>1347</v>
      </c>
      <c r="I2653" s="46" t="s">
        <v>179</v>
      </c>
      <c r="U2653" s="0" t="n">
        <v>379</v>
      </c>
      <c r="V2653" s="0" t="n">
        <v>0</v>
      </c>
      <c r="X2653" s="46" t="n">
        <f aca="false">IF(I2653="Male",0,1)</f>
        <v>1</v>
      </c>
      <c r="Y2653" s="46" t="n">
        <f aca="false">IF(OR(I2653="DNB",I2653="Dry DNB"),1,0)</f>
        <v>0</v>
      </c>
      <c r="Z2653" s="0" t="str">
        <f aca="false">IF(ISNUMBER(W2653),A2653-W2653,"")</f>
        <v/>
      </c>
      <c r="AA2653" s="46" t="n">
        <f aca="false">MATCH(A2653,DATAS,0)</f>
        <v>1</v>
      </c>
      <c r="AB2653" s="46" t="n">
        <f aca="false">IF(AND(E2653&gt;0,OR(AND(B2653&gt;=1,B2653&lt;=6),B2653=10)),1,0)</f>
        <v>0</v>
      </c>
      <c r="AC2653" s="46" t="n">
        <f aca="false">IF(AND(E2653&gt;0,B2653=10),1,0)</f>
        <v>0</v>
      </c>
      <c r="AD2653" s="0" t="str">
        <f aca="false">IF(AND(C2652=C2653,AA2652=AA2653-1),AB2652,"")</f>
        <v/>
      </c>
      <c r="AE2653" s="0" t="str">
        <f aca="false">IF(AND(C2652=C2653,AA2652=AA2653-1),AC2652,"")</f>
        <v/>
      </c>
      <c r="AF2653" s="0" t="str">
        <f aca="false">IF(AA2653=1,"",IF(AND(AB2653=1,AD2653&lt;&gt;1),1,0))</f>
        <v/>
      </c>
      <c r="AG2653" s="0" t="str">
        <f aca="false">IF(AA2653=1,"",IF(AND(AC2653=1,AE2653&lt;&gt;1),1,0))</f>
        <v/>
      </c>
      <c r="AH2653" s="51" t="str">
        <f aca="false">IF(AND(E2653&gt;0,AA2653&lt;1,NOT(AND(C2654=C2653,AA2654=AA2653+1))),INDEX(DATAS,AA2653+1),"")</f>
        <v/>
      </c>
      <c r="AI2653" s="51" t="str">
        <f aca="false">IF(AND(AC2653=1,AA2653&lt;1),IF(AND(C2654=C2653,AA2654=AA2653+1),IF(AC2654=1,"",INDEX(DATAS,AA2653+1)),INDEX(DATAS,AA2653+1)),"")</f>
        <v/>
      </c>
    </row>
    <row r="2654" customFormat="false" ht="15" hidden="false" customHeight="false" outlineLevel="0" collapsed="false">
      <c r="A2654" s="51" t="n">
        <v>46309</v>
      </c>
      <c r="B2654" s="0" t="n">
        <v>13</v>
      </c>
      <c r="C2654" s="0" t="n">
        <v>7002</v>
      </c>
      <c r="E2654" s="0" t="n">
        <v>0</v>
      </c>
      <c r="F2654" s="46" t="s">
        <v>1347</v>
      </c>
      <c r="I2654" s="46" t="s">
        <v>179</v>
      </c>
      <c r="U2654" s="0" t="n">
        <v>379</v>
      </c>
      <c r="V2654" s="0" t="n">
        <v>0</v>
      </c>
      <c r="X2654" s="46" t="n">
        <f aca="false">IF(I2654="Male",0,1)</f>
        <v>1</v>
      </c>
      <c r="Y2654" s="46" t="n">
        <f aca="false">IF(OR(I2654="DNB",I2654="Dry DNB"),1,0)</f>
        <v>0</v>
      </c>
      <c r="Z2654" s="0" t="str">
        <f aca="false">IF(ISNUMBER(W2654),A2654-W2654,"")</f>
        <v/>
      </c>
      <c r="AA2654" s="46" t="n">
        <f aca="false">MATCH(A2654,DATAS,0)</f>
        <v>1</v>
      </c>
      <c r="AB2654" s="46" t="n">
        <f aca="false">IF(AND(E2654&gt;0,OR(AND(B2654&gt;=1,B2654&lt;=6),B2654=10)),1,0)</f>
        <v>0</v>
      </c>
      <c r="AC2654" s="46" t="n">
        <f aca="false">IF(AND(E2654&gt;0,B2654=10),1,0)</f>
        <v>0</v>
      </c>
      <c r="AD2654" s="0" t="str">
        <f aca="false">IF(AND(C2653=C2654,AA2653=AA2654-1),AB2653,"")</f>
        <v/>
      </c>
      <c r="AE2654" s="0" t="str">
        <f aca="false">IF(AND(C2653=C2654,AA2653=AA2654-1),AC2653,"")</f>
        <v/>
      </c>
      <c r="AF2654" s="0" t="str">
        <f aca="false">IF(AA2654=1,"",IF(AND(AB2654=1,AD2654&lt;&gt;1),1,0))</f>
        <v/>
      </c>
      <c r="AG2654" s="0" t="str">
        <f aca="false">IF(AA2654=1,"",IF(AND(AC2654=1,AE2654&lt;&gt;1),1,0))</f>
        <v/>
      </c>
      <c r="AH2654" s="51" t="str">
        <f aca="false">IF(AND(E2654&gt;0,AA2654&lt;1,NOT(AND(C2655=C2654,AA2655=AA2654+1))),INDEX(DATAS,AA2654+1),"")</f>
        <v/>
      </c>
      <c r="AI2654" s="51" t="str">
        <f aca="false">IF(AND(AC2654=1,AA2654&lt;1),IF(AND(C2655=C2654,AA2655=AA2654+1),IF(AC2655=1,"",INDEX(DATAS,AA2654+1)),INDEX(DATAS,AA2654+1)),"")</f>
        <v/>
      </c>
    </row>
    <row r="2655" customFormat="false" ht="15" hidden="false" customHeight="false" outlineLevel="0" collapsed="false">
      <c r="A2655" s="51" t="n">
        <v>46309</v>
      </c>
      <c r="B2655" s="0" t="n">
        <v>13</v>
      </c>
      <c r="C2655" s="0" t="n">
        <v>7003</v>
      </c>
      <c r="E2655" s="0" t="n">
        <v>0</v>
      </c>
      <c r="F2655" s="46" t="s">
        <v>1347</v>
      </c>
      <c r="I2655" s="46" t="s">
        <v>179</v>
      </c>
      <c r="U2655" s="0" t="n">
        <v>379</v>
      </c>
      <c r="V2655" s="0" t="n">
        <v>0</v>
      </c>
      <c r="X2655" s="46" t="n">
        <f aca="false">IF(I2655="Male",0,1)</f>
        <v>1</v>
      </c>
      <c r="Y2655" s="46" t="n">
        <f aca="false">IF(OR(I2655="DNB",I2655="Dry DNB"),1,0)</f>
        <v>0</v>
      </c>
      <c r="Z2655" s="0" t="str">
        <f aca="false">IF(ISNUMBER(W2655),A2655-W2655,"")</f>
        <v/>
      </c>
      <c r="AA2655" s="46" t="n">
        <f aca="false">MATCH(A2655,DATAS,0)</f>
        <v>1</v>
      </c>
      <c r="AB2655" s="46" t="n">
        <f aca="false">IF(AND(E2655&gt;0,OR(AND(B2655&gt;=1,B2655&lt;=6),B2655=10)),1,0)</f>
        <v>0</v>
      </c>
      <c r="AC2655" s="46" t="n">
        <f aca="false">IF(AND(E2655&gt;0,B2655=10),1,0)</f>
        <v>0</v>
      </c>
      <c r="AD2655" s="0" t="str">
        <f aca="false">IF(AND(C2654=C2655,AA2654=AA2655-1),AB2654,"")</f>
        <v/>
      </c>
      <c r="AE2655" s="0" t="str">
        <f aca="false">IF(AND(C2654=C2655,AA2654=AA2655-1),AC2654,"")</f>
        <v/>
      </c>
      <c r="AF2655" s="0" t="str">
        <f aca="false">IF(AA2655=1,"",IF(AND(AB2655=1,AD2655&lt;&gt;1),1,0))</f>
        <v/>
      </c>
      <c r="AG2655" s="0" t="str">
        <f aca="false">IF(AA2655=1,"",IF(AND(AC2655=1,AE2655&lt;&gt;1),1,0))</f>
        <v/>
      </c>
      <c r="AH2655" s="51" t="str">
        <f aca="false">IF(AND(E2655&gt;0,AA2655&lt;1,NOT(AND(C2656=C2655,AA2656=AA2655+1))),INDEX(DATAS,AA2655+1),"")</f>
        <v/>
      </c>
      <c r="AI2655" s="51" t="str">
        <f aca="false">IF(AND(AC2655=1,AA2655&lt;1),IF(AND(C2656=C2655,AA2656=AA2655+1),IF(AC2656=1,"",INDEX(DATAS,AA2655+1)),INDEX(DATAS,AA2655+1)),"")</f>
        <v/>
      </c>
    </row>
    <row r="2656" customFormat="false" ht="15" hidden="false" customHeight="false" outlineLevel="0" collapsed="false">
      <c r="A2656" s="51" t="n">
        <v>46309</v>
      </c>
      <c r="B2656" s="0" t="n">
        <v>13</v>
      </c>
      <c r="C2656" s="0" t="n">
        <v>7004</v>
      </c>
      <c r="E2656" s="0" t="n">
        <v>0</v>
      </c>
      <c r="F2656" s="46" t="s">
        <v>1347</v>
      </c>
      <c r="I2656" s="46" t="s">
        <v>179</v>
      </c>
      <c r="U2656" s="0" t="n">
        <v>379</v>
      </c>
      <c r="V2656" s="0" t="n">
        <v>0</v>
      </c>
      <c r="X2656" s="46" t="n">
        <f aca="false">IF(I2656="Male",0,1)</f>
        <v>1</v>
      </c>
      <c r="Y2656" s="46" t="n">
        <f aca="false">IF(OR(I2656="DNB",I2656="Dry DNB"),1,0)</f>
        <v>0</v>
      </c>
      <c r="Z2656" s="0" t="str">
        <f aca="false">IF(ISNUMBER(W2656),A2656-W2656,"")</f>
        <v/>
      </c>
      <c r="AA2656" s="46" t="n">
        <f aca="false">MATCH(A2656,DATAS,0)</f>
        <v>1</v>
      </c>
      <c r="AB2656" s="46" t="n">
        <f aca="false">IF(AND(E2656&gt;0,OR(AND(B2656&gt;=1,B2656&lt;=6),B2656=10)),1,0)</f>
        <v>0</v>
      </c>
      <c r="AC2656" s="46" t="n">
        <f aca="false">IF(AND(E2656&gt;0,B2656=10),1,0)</f>
        <v>0</v>
      </c>
      <c r="AD2656" s="0" t="str">
        <f aca="false">IF(AND(C2655=C2656,AA2655=AA2656-1),AB2655,"")</f>
        <v/>
      </c>
      <c r="AE2656" s="0" t="str">
        <f aca="false">IF(AND(C2655=C2656,AA2655=AA2656-1),AC2655,"")</f>
        <v/>
      </c>
      <c r="AF2656" s="0" t="str">
        <f aca="false">IF(AA2656=1,"",IF(AND(AB2656=1,AD2656&lt;&gt;1),1,0))</f>
        <v/>
      </c>
      <c r="AG2656" s="0" t="str">
        <f aca="false">IF(AA2656=1,"",IF(AND(AC2656=1,AE2656&lt;&gt;1),1,0))</f>
        <v/>
      </c>
      <c r="AH2656" s="51" t="str">
        <f aca="false">IF(AND(E2656&gt;0,AA2656&lt;1,NOT(AND(C2657=C2656,AA2657=AA2656+1))),INDEX(DATAS,AA2656+1),"")</f>
        <v/>
      </c>
      <c r="AI2656" s="51" t="str">
        <f aca="false">IF(AND(AC2656=1,AA2656&lt;1),IF(AND(C2657=C2656,AA2657=AA2656+1),IF(AC2657=1,"",INDEX(DATAS,AA2656+1)),INDEX(DATAS,AA2656+1)),"")</f>
        <v/>
      </c>
    </row>
    <row r="2657" customFormat="false" ht="15" hidden="false" customHeight="false" outlineLevel="0" collapsed="false">
      <c r="A2657" s="51" t="n">
        <v>46309</v>
      </c>
      <c r="B2657" s="0" t="n">
        <v>13</v>
      </c>
      <c r="C2657" s="0" t="n">
        <v>7005</v>
      </c>
      <c r="E2657" s="0" t="n">
        <v>0</v>
      </c>
      <c r="F2657" s="46" t="s">
        <v>1347</v>
      </c>
      <c r="I2657" s="46" t="s">
        <v>179</v>
      </c>
      <c r="U2657" s="0" t="n">
        <v>379</v>
      </c>
      <c r="V2657" s="0" t="n">
        <v>0</v>
      </c>
      <c r="X2657" s="46" t="n">
        <f aca="false">IF(I2657="Male",0,1)</f>
        <v>1</v>
      </c>
      <c r="Y2657" s="46" t="n">
        <f aca="false">IF(OR(I2657="DNB",I2657="Dry DNB"),1,0)</f>
        <v>0</v>
      </c>
      <c r="Z2657" s="0" t="str">
        <f aca="false">IF(ISNUMBER(W2657),A2657-W2657,"")</f>
        <v/>
      </c>
      <c r="AA2657" s="46" t="n">
        <f aca="false">MATCH(A2657,DATAS,0)</f>
        <v>1</v>
      </c>
      <c r="AB2657" s="46" t="n">
        <f aca="false">IF(AND(E2657&gt;0,OR(AND(B2657&gt;=1,B2657&lt;=6),B2657=10)),1,0)</f>
        <v>0</v>
      </c>
      <c r="AC2657" s="46" t="n">
        <f aca="false">IF(AND(E2657&gt;0,B2657=10),1,0)</f>
        <v>0</v>
      </c>
      <c r="AD2657" s="0" t="str">
        <f aca="false">IF(AND(C2656=C2657,AA2656=AA2657-1),AB2656,"")</f>
        <v/>
      </c>
      <c r="AE2657" s="0" t="str">
        <f aca="false">IF(AND(C2656=C2657,AA2656=AA2657-1),AC2656,"")</f>
        <v/>
      </c>
      <c r="AF2657" s="0" t="str">
        <f aca="false">IF(AA2657=1,"",IF(AND(AB2657=1,AD2657&lt;&gt;1),1,0))</f>
        <v/>
      </c>
      <c r="AG2657" s="0" t="str">
        <f aca="false">IF(AA2657=1,"",IF(AND(AC2657=1,AE2657&lt;&gt;1),1,0))</f>
        <v/>
      </c>
      <c r="AH2657" s="51" t="str">
        <f aca="false">IF(AND(E2657&gt;0,AA2657&lt;1,NOT(AND(C2658=C2657,AA2658=AA2657+1))),INDEX(DATAS,AA2657+1),"")</f>
        <v/>
      </c>
      <c r="AI2657" s="51" t="str">
        <f aca="false">IF(AND(AC2657=1,AA2657&lt;1),IF(AND(C2658=C2657,AA2658=AA2657+1),IF(AC2658=1,"",INDEX(DATAS,AA2657+1)),INDEX(DATAS,AA2657+1)),"")</f>
        <v/>
      </c>
    </row>
    <row r="2658" customFormat="false" ht="15" hidden="false" customHeight="false" outlineLevel="0" collapsed="false">
      <c r="A2658" s="51" t="n">
        <v>46309</v>
      </c>
      <c r="B2658" s="0" t="n">
        <v>13</v>
      </c>
      <c r="C2658" s="0" t="n">
        <v>7006</v>
      </c>
      <c r="E2658" s="0" t="n">
        <v>0</v>
      </c>
      <c r="F2658" s="46" t="s">
        <v>1347</v>
      </c>
      <c r="I2658" s="46" t="s">
        <v>179</v>
      </c>
      <c r="U2658" s="0" t="n">
        <v>379</v>
      </c>
      <c r="V2658" s="0" t="n">
        <v>0</v>
      </c>
      <c r="X2658" s="46" t="n">
        <f aca="false">IF(I2658="Male",0,1)</f>
        <v>1</v>
      </c>
      <c r="Y2658" s="46" t="n">
        <f aca="false">IF(OR(I2658="DNB",I2658="Dry DNB"),1,0)</f>
        <v>0</v>
      </c>
      <c r="Z2658" s="0" t="str">
        <f aca="false">IF(ISNUMBER(W2658),A2658-W2658,"")</f>
        <v/>
      </c>
      <c r="AA2658" s="46" t="n">
        <f aca="false">MATCH(A2658,DATAS,0)</f>
        <v>1</v>
      </c>
      <c r="AB2658" s="46" t="n">
        <f aca="false">IF(AND(E2658&gt;0,OR(AND(B2658&gt;=1,B2658&lt;=6),B2658=10)),1,0)</f>
        <v>0</v>
      </c>
      <c r="AC2658" s="46" t="n">
        <f aca="false">IF(AND(E2658&gt;0,B2658=10),1,0)</f>
        <v>0</v>
      </c>
      <c r="AD2658" s="0" t="str">
        <f aca="false">IF(AND(C2657=C2658,AA2657=AA2658-1),AB2657,"")</f>
        <v/>
      </c>
      <c r="AE2658" s="0" t="str">
        <f aca="false">IF(AND(C2657=C2658,AA2657=AA2658-1),AC2657,"")</f>
        <v/>
      </c>
      <c r="AF2658" s="0" t="str">
        <f aca="false">IF(AA2658=1,"",IF(AND(AB2658=1,AD2658&lt;&gt;1),1,0))</f>
        <v/>
      </c>
      <c r="AG2658" s="0" t="str">
        <f aca="false">IF(AA2658=1,"",IF(AND(AC2658=1,AE2658&lt;&gt;1),1,0))</f>
        <v/>
      </c>
      <c r="AH2658" s="51" t="str">
        <f aca="false">IF(AND(E2658&gt;0,AA2658&lt;1,NOT(AND(C2659=C2658,AA2659=AA2658+1))),INDEX(DATAS,AA2658+1),"")</f>
        <v/>
      </c>
      <c r="AI2658" s="51" t="str">
        <f aca="false">IF(AND(AC2658=1,AA2658&lt;1),IF(AND(C2659=C2658,AA2659=AA2658+1),IF(AC2659=1,"",INDEX(DATAS,AA2658+1)),INDEX(DATAS,AA2658+1)),"")</f>
        <v/>
      </c>
    </row>
    <row r="2659" customFormat="false" ht="15" hidden="false" customHeight="false" outlineLevel="0" collapsed="false">
      <c r="A2659" s="51" t="n">
        <v>46309</v>
      </c>
      <c r="B2659" s="0" t="n">
        <v>13</v>
      </c>
      <c r="C2659" s="0" t="n">
        <v>7007</v>
      </c>
      <c r="E2659" s="0" t="n">
        <v>0</v>
      </c>
      <c r="F2659" s="46" t="s">
        <v>1348</v>
      </c>
      <c r="I2659" s="46" t="s">
        <v>179</v>
      </c>
      <c r="U2659" s="0" t="n">
        <v>378</v>
      </c>
      <c r="V2659" s="0" t="n">
        <v>0</v>
      </c>
      <c r="X2659" s="46" t="n">
        <f aca="false">IF(I2659="Male",0,1)</f>
        <v>1</v>
      </c>
      <c r="Y2659" s="46" t="n">
        <f aca="false">IF(OR(I2659="DNB",I2659="Dry DNB"),1,0)</f>
        <v>0</v>
      </c>
      <c r="Z2659" s="0" t="str">
        <f aca="false">IF(ISNUMBER(W2659),A2659-W2659,"")</f>
        <v/>
      </c>
      <c r="AA2659" s="46" t="n">
        <f aca="false">MATCH(A2659,DATAS,0)</f>
        <v>1</v>
      </c>
      <c r="AB2659" s="46" t="n">
        <f aca="false">IF(AND(E2659&gt;0,OR(AND(B2659&gt;=1,B2659&lt;=6),B2659=10)),1,0)</f>
        <v>0</v>
      </c>
      <c r="AC2659" s="46" t="n">
        <f aca="false">IF(AND(E2659&gt;0,B2659=10),1,0)</f>
        <v>0</v>
      </c>
      <c r="AD2659" s="0" t="str">
        <f aca="false">IF(AND(C2658=C2659,AA2658=AA2659-1),AB2658,"")</f>
        <v/>
      </c>
      <c r="AE2659" s="0" t="str">
        <f aca="false">IF(AND(C2658=C2659,AA2658=AA2659-1),AC2658,"")</f>
        <v/>
      </c>
      <c r="AF2659" s="0" t="str">
        <f aca="false">IF(AA2659=1,"",IF(AND(AB2659=1,AD2659&lt;&gt;1),1,0))</f>
        <v/>
      </c>
      <c r="AG2659" s="0" t="str">
        <f aca="false">IF(AA2659=1,"",IF(AND(AC2659=1,AE2659&lt;&gt;1),1,0))</f>
        <v/>
      </c>
      <c r="AH2659" s="51" t="str">
        <f aca="false">IF(AND(E2659&gt;0,AA2659&lt;1,NOT(AND(C2660=C2659,AA2660=AA2659+1))),INDEX(DATAS,AA2659+1),"")</f>
        <v/>
      </c>
      <c r="AI2659" s="51" t="str">
        <f aca="false">IF(AND(AC2659=1,AA2659&lt;1),IF(AND(C2660=C2659,AA2660=AA2659+1),IF(AC2660=1,"",INDEX(DATAS,AA2659+1)),INDEX(DATAS,AA2659+1)),"")</f>
        <v/>
      </c>
    </row>
    <row r="2660" customFormat="false" ht="15" hidden="false" customHeight="false" outlineLevel="0" collapsed="false">
      <c r="A2660" s="51" t="n">
        <v>46309</v>
      </c>
      <c r="B2660" s="0" t="n">
        <v>13</v>
      </c>
      <c r="C2660" s="0" t="n">
        <v>7008</v>
      </c>
      <c r="E2660" s="0" t="n">
        <v>0</v>
      </c>
      <c r="F2660" s="46" t="s">
        <v>1348</v>
      </c>
      <c r="I2660" s="46" t="s">
        <v>179</v>
      </c>
      <c r="U2660" s="0" t="n">
        <v>378</v>
      </c>
      <c r="V2660" s="0" t="n">
        <v>0</v>
      </c>
      <c r="X2660" s="46" t="n">
        <f aca="false">IF(I2660="Male",0,1)</f>
        <v>1</v>
      </c>
      <c r="Y2660" s="46" t="n">
        <f aca="false">IF(OR(I2660="DNB",I2660="Dry DNB"),1,0)</f>
        <v>0</v>
      </c>
      <c r="Z2660" s="0" t="str">
        <f aca="false">IF(ISNUMBER(W2660),A2660-W2660,"")</f>
        <v/>
      </c>
      <c r="AA2660" s="46" t="n">
        <f aca="false">MATCH(A2660,DATAS,0)</f>
        <v>1</v>
      </c>
      <c r="AB2660" s="46" t="n">
        <f aca="false">IF(AND(E2660&gt;0,OR(AND(B2660&gt;=1,B2660&lt;=6),B2660=10)),1,0)</f>
        <v>0</v>
      </c>
      <c r="AC2660" s="46" t="n">
        <f aca="false">IF(AND(E2660&gt;0,B2660=10),1,0)</f>
        <v>0</v>
      </c>
      <c r="AD2660" s="0" t="str">
        <f aca="false">IF(AND(C2659=C2660,AA2659=AA2660-1),AB2659,"")</f>
        <v/>
      </c>
      <c r="AE2660" s="0" t="str">
        <f aca="false">IF(AND(C2659=C2660,AA2659=AA2660-1),AC2659,"")</f>
        <v/>
      </c>
      <c r="AF2660" s="0" t="str">
        <f aca="false">IF(AA2660=1,"",IF(AND(AB2660=1,AD2660&lt;&gt;1),1,0))</f>
        <v/>
      </c>
      <c r="AG2660" s="0" t="str">
        <f aca="false">IF(AA2660=1,"",IF(AND(AC2660=1,AE2660&lt;&gt;1),1,0))</f>
        <v/>
      </c>
      <c r="AH2660" s="51" t="str">
        <f aca="false">IF(AND(E2660&gt;0,AA2660&lt;1,NOT(AND(C2661=C2660,AA2661=AA2660+1))),INDEX(DATAS,AA2660+1),"")</f>
        <v/>
      </c>
      <c r="AI2660" s="51" t="str">
        <f aca="false">IF(AND(AC2660=1,AA2660&lt;1),IF(AND(C2661=C2660,AA2661=AA2660+1),IF(AC2661=1,"",INDEX(DATAS,AA2660+1)),INDEX(DATAS,AA2660+1)),"")</f>
        <v/>
      </c>
    </row>
    <row r="2661" customFormat="false" ht="15" hidden="false" customHeight="false" outlineLevel="0" collapsed="false">
      <c r="A2661" s="51" t="n">
        <v>46309</v>
      </c>
      <c r="B2661" s="0" t="n">
        <v>13</v>
      </c>
      <c r="C2661" s="0" t="n">
        <v>7009</v>
      </c>
      <c r="E2661" s="0" t="n">
        <v>0</v>
      </c>
      <c r="F2661" s="46" t="s">
        <v>1349</v>
      </c>
      <c r="I2661" s="46" t="s">
        <v>179</v>
      </c>
      <c r="U2661" s="0" t="n">
        <v>377</v>
      </c>
      <c r="V2661" s="0" t="n">
        <v>0</v>
      </c>
      <c r="X2661" s="46" t="n">
        <f aca="false">IF(I2661="Male",0,1)</f>
        <v>1</v>
      </c>
      <c r="Y2661" s="46" t="n">
        <f aca="false">IF(OR(I2661="DNB",I2661="Dry DNB"),1,0)</f>
        <v>0</v>
      </c>
      <c r="Z2661" s="0" t="str">
        <f aca="false">IF(ISNUMBER(W2661),A2661-W2661,"")</f>
        <v/>
      </c>
      <c r="AA2661" s="46" t="n">
        <f aca="false">MATCH(A2661,DATAS,0)</f>
        <v>1</v>
      </c>
      <c r="AB2661" s="46" t="n">
        <f aca="false">IF(AND(E2661&gt;0,OR(AND(B2661&gt;=1,B2661&lt;=6),B2661=10)),1,0)</f>
        <v>0</v>
      </c>
      <c r="AC2661" s="46" t="n">
        <f aca="false">IF(AND(E2661&gt;0,B2661=10),1,0)</f>
        <v>0</v>
      </c>
      <c r="AD2661" s="0" t="str">
        <f aca="false">IF(AND(C2660=C2661,AA2660=AA2661-1),AB2660,"")</f>
        <v/>
      </c>
      <c r="AE2661" s="0" t="str">
        <f aca="false">IF(AND(C2660=C2661,AA2660=AA2661-1),AC2660,"")</f>
        <v/>
      </c>
      <c r="AF2661" s="0" t="str">
        <f aca="false">IF(AA2661=1,"",IF(AND(AB2661=1,AD2661&lt;&gt;1),1,0))</f>
        <v/>
      </c>
      <c r="AG2661" s="0" t="str">
        <f aca="false">IF(AA2661=1,"",IF(AND(AC2661=1,AE2661&lt;&gt;1),1,0))</f>
        <v/>
      </c>
      <c r="AH2661" s="51" t="str">
        <f aca="false">IF(AND(E2661&gt;0,AA2661&lt;1,NOT(AND(C2662=C2661,AA2662=AA2661+1))),INDEX(DATAS,AA2661+1),"")</f>
        <v/>
      </c>
      <c r="AI2661" s="51" t="str">
        <f aca="false">IF(AND(AC2661=1,AA2661&lt;1),IF(AND(C2662=C2661,AA2662=AA2661+1),IF(AC2662=1,"",INDEX(DATAS,AA2661+1)),INDEX(DATAS,AA2661+1)),"")</f>
        <v/>
      </c>
    </row>
    <row r="2662" customFormat="false" ht="15" hidden="false" customHeight="false" outlineLevel="0" collapsed="false">
      <c r="A2662" s="51" t="n">
        <v>46309</v>
      </c>
      <c r="B2662" s="0" t="n">
        <v>13</v>
      </c>
      <c r="C2662" s="0" t="n">
        <v>7010</v>
      </c>
      <c r="E2662" s="0" t="n">
        <v>0</v>
      </c>
      <c r="F2662" s="46" t="s">
        <v>1349</v>
      </c>
      <c r="I2662" s="46" t="s">
        <v>179</v>
      </c>
      <c r="U2662" s="0" t="n">
        <v>377</v>
      </c>
      <c r="V2662" s="0" t="n">
        <v>0</v>
      </c>
      <c r="X2662" s="46" t="n">
        <f aca="false">IF(I2662="Male",0,1)</f>
        <v>1</v>
      </c>
      <c r="Y2662" s="46" t="n">
        <f aca="false">IF(OR(I2662="DNB",I2662="Dry DNB"),1,0)</f>
        <v>0</v>
      </c>
      <c r="Z2662" s="0" t="str">
        <f aca="false">IF(ISNUMBER(W2662),A2662-W2662,"")</f>
        <v/>
      </c>
      <c r="AA2662" s="46" t="n">
        <f aca="false">MATCH(A2662,DATAS,0)</f>
        <v>1</v>
      </c>
      <c r="AB2662" s="46" t="n">
        <f aca="false">IF(AND(E2662&gt;0,OR(AND(B2662&gt;=1,B2662&lt;=6),B2662=10)),1,0)</f>
        <v>0</v>
      </c>
      <c r="AC2662" s="46" t="n">
        <f aca="false">IF(AND(E2662&gt;0,B2662=10),1,0)</f>
        <v>0</v>
      </c>
      <c r="AD2662" s="0" t="str">
        <f aca="false">IF(AND(C2661=C2662,AA2661=AA2662-1),AB2661,"")</f>
        <v/>
      </c>
      <c r="AE2662" s="0" t="str">
        <f aca="false">IF(AND(C2661=C2662,AA2661=AA2662-1),AC2661,"")</f>
        <v/>
      </c>
      <c r="AF2662" s="0" t="str">
        <f aca="false">IF(AA2662=1,"",IF(AND(AB2662=1,AD2662&lt;&gt;1),1,0))</f>
        <v/>
      </c>
      <c r="AG2662" s="0" t="str">
        <f aca="false">IF(AA2662=1,"",IF(AND(AC2662=1,AE2662&lt;&gt;1),1,0))</f>
        <v/>
      </c>
      <c r="AH2662" s="51" t="str">
        <f aca="false">IF(AND(E2662&gt;0,AA2662&lt;1,NOT(AND(C2663=C2662,AA2663=AA2662+1))),INDEX(DATAS,AA2662+1),"")</f>
        <v/>
      </c>
      <c r="AI2662" s="51" t="str">
        <f aca="false">IF(AND(AC2662=1,AA2662&lt;1),IF(AND(C2663=C2662,AA2663=AA2662+1),IF(AC2663=1,"",INDEX(DATAS,AA2662+1)),INDEX(DATAS,AA2662+1)),"")</f>
        <v/>
      </c>
    </row>
    <row r="2663" customFormat="false" ht="15" hidden="false" customHeight="false" outlineLevel="0" collapsed="false">
      <c r="A2663" s="51" t="n">
        <v>46309</v>
      </c>
      <c r="B2663" s="0" t="n">
        <v>13</v>
      </c>
      <c r="C2663" s="0" t="n">
        <v>7012</v>
      </c>
      <c r="E2663" s="0" t="n">
        <v>0</v>
      </c>
      <c r="F2663" s="46" t="s">
        <v>1350</v>
      </c>
      <c r="I2663" s="46" t="s">
        <v>179</v>
      </c>
      <c r="U2663" s="0" t="n">
        <v>376</v>
      </c>
      <c r="V2663" s="0" t="n">
        <v>0</v>
      </c>
      <c r="X2663" s="46" t="n">
        <f aca="false">IF(I2663="Male",0,1)</f>
        <v>1</v>
      </c>
      <c r="Y2663" s="46" t="n">
        <f aca="false">IF(OR(I2663="DNB",I2663="Dry DNB"),1,0)</f>
        <v>0</v>
      </c>
      <c r="Z2663" s="0" t="str">
        <f aca="false">IF(ISNUMBER(W2663),A2663-W2663,"")</f>
        <v/>
      </c>
      <c r="AA2663" s="46" t="n">
        <f aca="false">MATCH(A2663,DATAS,0)</f>
        <v>1</v>
      </c>
      <c r="AB2663" s="46" t="n">
        <f aca="false">IF(AND(E2663&gt;0,OR(AND(B2663&gt;=1,B2663&lt;=6),B2663=10)),1,0)</f>
        <v>0</v>
      </c>
      <c r="AC2663" s="46" t="n">
        <f aca="false">IF(AND(E2663&gt;0,B2663=10),1,0)</f>
        <v>0</v>
      </c>
      <c r="AD2663" s="0" t="str">
        <f aca="false">IF(AND(C2662=C2663,AA2662=AA2663-1),AB2662,"")</f>
        <v/>
      </c>
      <c r="AE2663" s="0" t="str">
        <f aca="false">IF(AND(C2662=C2663,AA2662=AA2663-1),AC2662,"")</f>
        <v/>
      </c>
      <c r="AF2663" s="0" t="str">
        <f aca="false">IF(AA2663=1,"",IF(AND(AB2663=1,AD2663&lt;&gt;1),1,0))</f>
        <v/>
      </c>
      <c r="AG2663" s="0" t="str">
        <f aca="false">IF(AA2663=1,"",IF(AND(AC2663=1,AE2663&lt;&gt;1),1,0))</f>
        <v/>
      </c>
      <c r="AH2663" s="51" t="str">
        <f aca="false">IF(AND(E2663&gt;0,AA2663&lt;1,NOT(AND(C2664=C2663,AA2664=AA2663+1))),INDEX(DATAS,AA2663+1),"")</f>
        <v/>
      </c>
      <c r="AI2663" s="51" t="str">
        <f aca="false">IF(AND(AC2663=1,AA2663&lt;1),IF(AND(C2664=C2663,AA2664=AA2663+1),IF(AC2664=1,"",INDEX(DATAS,AA2663+1)),INDEX(DATAS,AA2663+1)),"")</f>
        <v/>
      </c>
    </row>
    <row r="2664" customFormat="false" ht="15" hidden="false" customHeight="false" outlineLevel="0" collapsed="false">
      <c r="A2664" s="51" t="n">
        <v>46309</v>
      </c>
      <c r="B2664" s="0" t="n">
        <v>13</v>
      </c>
      <c r="C2664" s="0" t="n">
        <v>7014</v>
      </c>
      <c r="E2664" s="0" t="n">
        <v>0</v>
      </c>
      <c r="F2664" s="46" t="s">
        <v>1351</v>
      </c>
      <c r="I2664" s="46" t="s">
        <v>179</v>
      </c>
      <c r="U2664" s="0" t="n">
        <v>374</v>
      </c>
      <c r="V2664" s="0" t="n">
        <v>0</v>
      </c>
      <c r="X2664" s="46" t="n">
        <f aca="false">IF(I2664="Male",0,1)</f>
        <v>1</v>
      </c>
      <c r="Y2664" s="46" t="n">
        <f aca="false">IF(OR(I2664="DNB",I2664="Dry DNB"),1,0)</f>
        <v>0</v>
      </c>
      <c r="Z2664" s="0" t="str">
        <f aca="false">IF(ISNUMBER(W2664),A2664-W2664,"")</f>
        <v/>
      </c>
      <c r="AA2664" s="46" t="n">
        <f aca="false">MATCH(A2664,DATAS,0)</f>
        <v>1</v>
      </c>
      <c r="AB2664" s="46" t="n">
        <f aca="false">IF(AND(E2664&gt;0,OR(AND(B2664&gt;=1,B2664&lt;=6),B2664=10)),1,0)</f>
        <v>0</v>
      </c>
      <c r="AC2664" s="46" t="n">
        <f aca="false">IF(AND(E2664&gt;0,B2664=10),1,0)</f>
        <v>0</v>
      </c>
      <c r="AD2664" s="0" t="str">
        <f aca="false">IF(AND(C2663=C2664,AA2663=AA2664-1),AB2663,"")</f>
        <v/>
      </c>
      <c r="AE2664" s="0" t="str">
        <f aca="false">IF(AND(C2663=C2664,AA2663=AA2664-1),AC2663,"")</f>
        <v/>
      </c>
      <c r="AF2664" s="0" t="str">
        <f aca="false">IF(AA2664=1,"",IF(AND(AB2664=1,AD2664&lt;&gt;1),1,0))</f>
        <v/>
      </c>
      <c r="AG2664" s="0" t="str">
        <f aca="false">IF(AA2664=1,"",IF(AND(AC2664=1,AE2664&lt;&gt;1),1,0))</f>
        <v/>
      </c>
      <c r="AH2664" s="51" t="str">
        <f aca="false">IF(AND(E2664&gt;0,AA2664&lt;1,NOT(AND(C2665=C2664,AA2665=AA2664+1))),INDEX(DATAS,AA2664+1),"")</f>
        <v/>
      </c>
      <c r="AI2664" s="51" t="str">
        <f aca="false">IF(AND(AC2664=1,AA2664&lt;1),IF(AND(C2665=C2664,AA2665=AA2664+1),IF(AC2665=1,"",INDEX(DATAS,AA2664+1)),INDEX(DATAS,AA2664+1)),"")</f>
        <v/>
      </c>
    </row>
    <row r="2665" customFormat="false" ht="15" hidden="false" customHeight="false" outlineLevel="0" collapsed="false">
      <c r="A2665" s="51" t="n">
        <v>46309</v>
      </c>
      <c r="B2665" s="0" t="n">
        <v>13</v>
      </c>
      <c r="C2665" s="0" t="n">
        <v>7015</v>
      </c>
      <c r="E2665" s="0" t="n">
        <v>0</v>
      </c>
      <c r="F2665" s="46" t="s">
        <v>1351</v>
      </c>
      <c r="I2665" s="46" t="s">
        <v>179</v>
      </c>
      <c r="U2665" s="0" t="n">
        <v>374</v>
      </c>
      <c r="V2665" s="0" t="n">
        <v>0</v>
      </c>
      <c r="X2665" s="46" t="n">
        <f aca="false">IF(I2665="Male",0,1)</f>
        <v>1</v>
      </c>
      <c r="Y2665" s="46" t="n">
        <f aca="false">IF(OR(I2665="DNB",I2665="Dry DNB"),1,0)</f>
        <v>0</v>
      </c>
      <c r="Z2665" s="0" t="str">
        <f aca="false">IF(ISNUMBER(W2665),A2665-W2665,"")</f>
        <v/>
      </c>
      <c r="AA2665" s="46" t="n">
        <f aca="false">MATCH(A2665,DATAS,0)</f>
        <v>1</v>
      </c>
      <c r="AB2665" s="46" t="n">
        <f aca="false">IF(AND(E2665&gt;0,OR(AND(B2665&gt;=1,B2665&lt;=6),B2665=10)),1,0)</f>
        <v>0</v>
      </c>
      <c r="AC2665" s="46" t="n">
        <f aca="false">IF(AND(E2665&gt;0,B2665=10),1,0)</f>
        <v>0</v>
      </c>
      <c r="AD2665" s="0" t="str">
        <f aca="false">IF(AND(C2664=C2665,AA2664=AA2665-1),AB2664,"")</f>
        <v/>
      </c>
      <c r="AE2665" s="0" t="str">
        <f aca="false">IF(AND(C2664=C2665,AA2664=AA2665-1),AC2664,"")</f>
        <v/>
      </c>
      <c r="AF2665" s="0" t="str">
        <f aca="false">IF(AA2665=1,"",IF(AND(AB2665=1,AD2665&lt;&gt;1),1,0))</f>
        <v/>
      </c>
      <c r="AG2665" s="0" t="str">
        <f aca="false">IF(AA2665=1,"",IF(AND(AC2665=1,AE2665&lt;&gt;1),1,0))</f>
        <v/>
      </c>
      <c r="AH2665" s="51" t="str">
        <f aca="false">IF(AND(E2665&gt;0,AA2665&lt;1,NOT(AND(C2666=C2665,AA2666=AA2665+1))),INDEX(DATAS,AA2665+1),"")</f>
        <v/>
      </c>
      <c r="AI2665" s="51" t="str">
        <f aca="false">IF(AND(AC2665=1,AA2665&lt;1),IF(AND(C2666=C2665,AA2666=AA2665+1),IF(AC2666=1,"",INDEX(DATAS,AA2665+1)),INDEX(DATAS,AA2665+1)),"")</f>
        <v/>
      </c>
    </row>
    <row r="2666" customFormat="false" ht="15" hidden="false" customHeight="false" outlineLevel="0" collapsed="false">
      <c r="A2666" s="51" t="n">
        <v>46309</v>
      </c>
      <c r="B2666" s="0" t="n">
        <v>13</v>
      </c>
      <c r="C2666" s="0" t="n">
        <v>7016</v>
      </c>
      <c r="E2666" s="0" t="n">
        <v>0</v>
      </c>
      <c r="F2666" s="46" t="s">
        <v>1351</v>
      </c>
      <c r="I2666" s="46" t="s">
        <v>179</v>
      </c>
      <c r="U2666" s="0" t="n">
        <v>374</v>
      </c>
      <c r="V2666" s="0" t="n">
        <v>0</v>
      </c>
      <c r="X2666" s="46" t="n">
        <f aca="false">IF(I2666="Male",0,1)</f>
        <v>1</v>
      </c>
      <c r="Y2666" s="46" t="n">
        <f aca="false">IF(OR(I2666="DNB",I2666="Dry DNB"),1,0)</f>
        <v>0</v>
      </c>
      <c r="Z2666" s="0" t="str">
        <f aca="false">IF(ISNUMBER(W2666),A2666-W2666,"")</f>
        <v/>
      </c>
      <c r="AA2666" s="46" t="n">
        <f aca="false">MATCH(A2666,DATAS,0)</f>
        <v>1</v>
      </c>
      <c r="AB2666" s="46" t="n">
        <f aca="false">IF(AND(E2666&gt;0,OR(AND(B2666&gt;=1,B2666&lt;=6),B2666=10)),1,0)</f>
        <v>0</v>
      </c>
      <c r="AC2666" s="46" t="n">
        <f aca="false">IF(AND(E2666&gt;0,B2666=10),1,0)</f>
        <v>0</v>
      </c>
      <c r="AD2666" s="0" t="str">
        <f aca="false">IF(AND(C2665=C2666,AA2665=AA2666-1),AB2665,"")</f>
        <v/>
      </c>
      <c r="AE2666" s="0" t="str">
        <f aca="false">IF(AND(C2665=C2666,AA2665=AA2666-1),AC2665,"")</f>
        <v/>
      </c>
      <c r="AF2666" s="0" t="str">
        <f aca="false">IF(AA2666=1,"",IF(AND(AB2666=1,AD2666&lt;&gt;1),1,0))</f>
        <v/>
      </c>
      <c r="AG2666" s="0" t="str">
        <f aca="false">IF(AA2666=1,"",IF(AND(AC2666=1,AE2666&lt;&gt;1),1,0))</f>
        <v/>
      </c>
      <c r="AH2666" s="51" t="str">
        <f aca="false">IF(AND(E2666&gt;0,AA2666&lt;1,NOT(AND(C2667=C2666,AA2667=AA2666+1))),INDEX(DATAS,AA2666+1),"")</f>
        <v/>
      </c>
      <c r="AI2666" s="51" t="str">
        <f aca="false">IF(AND(AC2666=1,AA2666&lt;1),IF(AND(C2667=C2666,AA2667=AA2666+1),IF(AC2667=1,"",INDEX(DATAS,AA2666+1)),INDEX(DATAS,AA2666+1)),"")</f>
        <v/>
      </c>
    </row>
    <row r="2667" customFormat="false" ht="15" hidden="false" customHeight="false" outlineLevel="0" collapsed="false">
      <c r="A2667" s="51" t="n">
        <v>46309</v>
      </c>
      <c r="B2667" s="0" t="n">
        <v>13</v>
      </c>
      <c r="C2667" s="0" t="n">
        <v>7018</v>
      </c>
      <c r="E2667" s="0" t="n">
        <v>0</v>
      </c>
      <c r="F2667" s="46" t="s">
        <v>1352</v>
      </c>
      <c r="I2667" s="46" t="s">
        <v>179</v>
      </c>
      <c r="U2667" s="0" t="n">
        <v>373</v>
      </c>
      <c r="V2667" s="0" t="n">
        <v>0</v>
      </c>
      <c r="X2667" s="46" t="n">
        <f aca="false">IF(I2667="Male",0,1)</f>
        <v>1</v>
      </c>
      <c r="Y2667" s="46" t="n">
        <f aca="false">IF(OR(I2667="DNB",I2667="Dry DNB"),1,0)</f>
        <v>0</v>
      </c>
      <c r="Z2667" s="0" t="str">
        <f aca="false">IF(ISNUMBER(W2667),A2667-W2667,"")</f>
        <v/>
      </c>
      <c r="AA2667" s="46" t="n">
        <f aca="false">MATCH(A2667,DATAS,0)</f>
        <v>1</v>
      </c>
      <c r="AB2667" s="46" t="n">
        <f aca="false">IF(AND(E2667&gt;0,OR(AND(B2667&gt;=1,B2667&lt;=6),B2667=10)),1,0)</f>
        <v>0</v>
      </c>
      <c r="AC2667" s="46" t="n">
        <f aca="false">IF(AND(E2667&gt;0,B2667=10),1,0)</f>
        <v>0</v>
      </c>
      <c r="AD2667" s="0" t="str">
        <f aca="false">IF(AND(C2666=C2667,AA2666=AA2667-1),AB2666,"")</f>
        <v/>
      </c>
      <c r="AE2667" s="0" t="str">
        <f aca="false">IF(AND(C2666=C2667,AA2666=AA2667-1),AC2666,"")</f>
        <v/>
      </c>
      <c r="AF2667" s="0" t="str">
        <f aca="false">IF(AA2667=1,"",IF(AND(AB2667=1,AD2667&lt;&gt;1),1,0))</f>
        <v/>
      </c>
      <c r="AG2667" s="0" t="str">
        <f aca="false">IF(AA2667=1,"",IF(AND(AC2667=1,AE2667&lt;&gt;1),1,0))</f>
        <v/>
      </c>
      <c r="AH2667" s="51" t="str">
        <f aca="false">IF(AND(E2667&gt;0,AA2667&lt;1,NOT(AND(C2668=C2667,AA2668=AA2667+1))),INDEX(DATAS,AA2667+1),"")</f>
        <v/>
      </c>
      <c r="AI2667" s="51" t="str">
        <f aca="false">IF(AND(AC2667=1,AA2667&lt;1),IF(AND(C2668=C2667,AA2668=AA2667+1),IF(AC2668=1,"",INDEX(DATAS,AA2667+1)),INDEX(DATAS,AA2667+1)),"")</f>
        <v/>
      </c>
    </row>
    <row r="2668" customFormat="false" ht="15" hidden="false" customHeight="false" outlineLevel="0" collapsed="false">
      <c r="A2668" s="51" t="n">
        <v>46309</v>
      </c>
      <c r="B2668" s="0" t="n">
        <v>13</v>
      </c>
      <c r="C2668" s="0" t="n">
        <v>7019</v>
      </c>
      <c r="E2668" s="0" t="n">
        <v>0</v>
      </c>
      <c r="F2668" s="46" t="s">
        <v>1352</v>
      </c>
      <c r="I2668" s="46" t="s">
        <v>179</v>
      </c>
      <c r="U2668" s="0" t="n">
        <v>373</v>
      </c>
      <c r="V2668" s="0" t="n">
        <v>0</v>
      </c>
      <c r="X2668" s="46" t="n">
        <f aca="false">IF(I2668="Male",0,1)</f>
        <v>1</v>
      </c>
      <c r="Y2668" s="46" t="n">
        <f aca="false">IF(OR(I2668="DNB",I2668="Dry DNB"),1,0)</f>
        <v>0</v>
      </c>
      <c r="Z2668" s="0" t="str">
        <f aca="false">IF(ISNUMBER(W2668),A2668-W2668,"")</f>
        <v/>
      </c>
      <c r="AA2668" s="46" t="n">
        <f aca="false">MATCH(A2668,DATAS,0)</f>
        <v>1</v>
      </c>
      <c r="AB2668" s="46" t="n">
        <f aca="false">IF(AND(E2668&gt;0,OR(AND(B2668&gt;=1,B2668&lt;=6),B2668=10)),1,0)</f>
        <v>0</v>
      </c>
      <c r="AC2668" s="46" t="n">
        <f aca="false">IF(AND(E2668&gt;0,B2668=10),1,0)</f>
        <v>0</v>
      </c>
      <c r="AD2668" s="0" t="str">
        <f aca="false">IF(AND(C2667=C2668,AA2667=AA2668-1),AB2667,"")</f>
        <v/>
      </c>
      <c r="AE2668" s="0" t="str">
        <f aca="false">IF(AND(C2667=C2668,AA2667=AA2668-1),AC2667,"")</f>
        <v/>
      </c>
      <c r="AF2668" s="0" t="str">
        <f aca="false">IF(AA2668=1,"",IF(AND(AB2668=1,AD2668&lt;&gt;1),1,0))</f>
        <v/>
      </c>
      <c r="AG2668" s="0" t="str">
        <f aca="false">IF(AA2668=1,"",IF(AND(AC2668=1,AE2668&lt;&gt;1),1,0))</f>
        <v/>
      </c>
      <c r="AH2668" s="51" t="str">
        <f aca="false">IF(AND(E2668&gt;0,AA2668&lt;1,NOT(AND(C2669=C2668,AA2669=AA2668+1))),INDEX(DATAS,AA2668+1),"")</f>
        <v/>
      </c>
      <c r="AI2668" s="51" t="str">
        <f aca="false">IF(AND(AC2668=1,AA2668&lt;1),IF(AND(C2669=C2668,AA2669=AA2668+1),IF(AC2669=1,"",INDEX(DATAS,AA2668+1)),INDEX(DATAS,AA2668+1)),"")</f>
        <v/>
      </c>
    </row>
    <row r="2669" customFormat="false" ht="15" hidden="false" customHeight="false" outlineLevel="0" collapsed="false">
      <c r="A2669" s="51" t="n">
        <v>46309</v>
      </c>
      <c r="B2669" s="0" t="n">
        <v>13</v>
      </c>
      <c r="C2669" s="0" t="n">
        <v>7020</v>
      </c>
      <c r="E2669" s="0" t="n">
        <v>0</v>
      </c>
      <c r="F2669" s="46" t="s">
        <v>1352</v>
      </c>
      <c r="I2669" s="46" t="s">
        <v>179</v>
      </c>
      <c r="U2669" s="0" t="n">
        <v>373</v>
      </c>
      <c r="V2669" s="0" t="n">
        <v>0</v>
      </c>
      <c r="X2669" s="46" t="n">
        <f aca="false">IF(I2669="Male",0,1)</f>
        <v>1</v>
      </c>
      <c r="Y2669" s="46" t="n">
        <f aca="false">IF(OR(I2669="DNB",I2669="Dry DNB"),1,0)</f>
        <v>0</v>
      </c>
      <c r="Z2669" s="0" t="str">
        <f aca="false">IF(ISNUMBER(W2669),A2669-W2669,"")</f>
        <v/>
      </c>
      <c r="AA2669" s="46" t="n">
        <f aca="false">MATCH(A2669,DATAS,0)</f>
        <v>1</v>
      </c>
      <c r="AB2669" s="46" t="n">
        <f aca="false">IF(AND(E2669&gt;0,OR(AND(B2669&gt;=1,B2669&lt;=6),B2669=10)),1,0)</f>
        <v>0</v>
      </c>
      <c r="AC2669" s="46" t="n">
        <f aca="false">IF(AND(E2669&gt;0,B2669=10),1,0)</f>
        <v>0</v>
      </c>
      <c r="AD2669" s="0" t="str">
        <f aca="false">IF(AND(C2668=C2669,AA2668=AA2669-1),AB2668,"")</f>
        <v/>
      </c>
      <c r="AE2669" s="0" t="str">
        <f aca="false">IF(AND(C2668=C2669,AA2668=AA2669-1),AC2668,"")</f>
        <v/>
      </c>
      <c r="AF2669" s="0" t="str">
        <f aca="false">IF(AA2669=1,"",IF(AND(AB2669=1,AD2669&lt;&gt;1),1,0))</f>
        <v/>
      </c>
      <c r="AG2669" s="0" t="str">
        <f aca="false">IF(AA2669=1,"",IF(AND(AC2669=1,AE2669&lt;&gt;1),1,0))</f>
        <v/>
      </c>
      <c r="AH2669" s="51" t="str">
        <f aca="false">IF(AND(E2669&gt;0,AA2669&lt;1,NOT(AND(C2670=C2669,AA2670=AA2669+1))),INDEX(DATAS,AA2669+1),"")</f>
        <v/>
      </c>
      <c r="AI2669" s="51" t="str">
        <f aca="false">IF(AND(AC2669=1,AA2669&lt;1),IF(AND(C2670=C2669,AA2670=AA2669+1),IF(AC2670=1,"",INDEX(DATAS,AA2669+1)),INDEX(DATAS,AA2669+1)),"")</f>
        <v/>
      </c>
    </row>
    <row r="2670" customFormat="false" ht="15" hidden="false" customHeight="false" outlineLevel="0" collapsed="false">
      <c r="A2670" s="51" t="n">
        <v>46309</v>
      </c>
      <c r="B2670" s="0" t="n">
        <v>13</v>
      </c>
      <c r="C2670" s="0" t="n">
        <v>7021</v>
      </c>
      <c r="E2670" s="0" t="n">
        <v>0</v>
      </c>
      <c r="F2670" s="46" t="s">
        <v>1352</v>
      </c>
      <c r="I2670" s="46" t="s">
        <v>179</v>
      </c>
      <c r="U2670" s="0" t="n">
        <v>373</v>
      </c>
      <c r="V2670" s="0" t="n">
        <v>0</v>
      </c>
      <c r="X2670" s="46" t="n">
        <f aca="false">IF(I2670="Male",0,1)</f>
        <v>1</v>
      </c>
      <c r="Y2670" s="46" t="n">
        <f aca="false">IF(OR(I2670="DNB",I2670="Dry DNB"),1,0)</f>
        <v>0</v>
      </c>
      <c r="Z2670" s="0" t="str">
        <f aca="false">IF(ISNUMBER(W2670),A2670-W2670,"")</f>
        <v/>
      </c>
      <c r="AA2670" s="46" t="n">
        <f aca="false">MATCH(A2670,DATAS,0)</f>
        <v>1</v>
      </c>
      <c r="AB2670" s="46" t="n">
        <f aca="false">IF(AND(E2670&gt;0,OR(AND(B2670&gt;=1,B2670&lt;=6),B2670=10)),1,0)</f>
        <v>0</v>
      </c>
      <c r="AC2670" s="46" t="n">
        <f aca="false">IF(AND(E2670&gt;0,B2670=10),1,0)</f>
        <v>0</v>
      </c>
      <c r="AD2670" s="0" t="str">
        <f aca="false">IF(AND(C2669=C2670,AA2669=AA2670-1),AB2669,"")</f>
        <v/>
      </c>
      <c r="AE2670" s="0" t="str">
        <f aca="false">IF(AND(C2669=C2670,AA2669=AA2670-1),AC2669,"")</f>
        <v/>
      </c>
      <c r="AF2670" s="0" t="str">
        <f aca="false">IF(AA2670=1,"",IF(AND(AB2670=1,AD2670&lt;&gt;1),1,0))</f>
        <v/>
      </c>
      <c r="AG2670" s="0" t="str">
        <f aca="false">IF(AA2670=1,"",IF(AND(AC2670=1,AE2670&lt;&gt;1),1,0))</f>
        <v/>
      </c>
      <c r="AH2670" s="51" t="str">
        <f aca="false">IF(AND(E2670&gt;0,AA2670&lt;1,NOT(AND(C2671=C2670,AA2671=AA2670+1))),INDEX(DATAS,AA2670+1),"")</f>
        <v/>
      </c>
      <c r="AI2670" s="51" t="str">
        <f aca="false">IF(AND(AC2670=1,AA2670&lt;1),IF(AND(C2671=C2670,AA2671=AA2670+1),IF(AC2671=1,"",INDEX(DATAS,AA2670+1)),INDEX(DATAS,AA2670+1)),"")</f>
        <v/>
      </c>
    </row>
    <row r="2671" customFormat="false" ht="15" hidden="false" customHeight="false" outlineLevel="0" collapsed="false">
      <c r="A2671" s="51" t="n">
        <v>46309</v>
      </c>
      <c r="B2671" s="0" t="n">
        <v>13</v>
      </c>
      <c r="C2671" s="0" t="n">
        <v>7022</v>
      </c>
      <c r="E2671" s="0" t="n">
        <v>0</v>
      </c>
      <c r="F2671" s="46" t="s">
        <v>1352</v>
      </c>
      <c r="I2671" s="46" t="s">
        <v>179</v>
      </c>
      <c r="U2671" s="0" t="n">
        <v>373</v>
      </c>
      <c r="V2671" s="0" t="n">
        <v>0</v>
      </c>
      <c r="X2671" s="46" t="n">
        <f aca="false">IF(I2671="Male",0,1)</f>
        <v>1</v>
      </c>
      <c r="Y2671" s="46" t="n">
        <f aca="false">IF(OR(I2671="DNB",I2671="Dry DNB"),1,0)</f>
        <v>0</v>
      </c>
      <c r="Z2671" s="0" t="str">
        <f aca="false">IF(ISNUMBER(W2671),A2671-W2671,"")</f>
        <v/>
      </c>
      <c r="AA2671" s="46" t="n">
        <f aca="false">MATCH(A2671,DATAS,0)</f>
        <v>1</v>
      </c>
      <c r="AB2671" s="46" t="n">
        <f aca="false">IF(AND(E2671&gt;0,OR(AND(B2671&gt;=1,B2671&lt;=6),B2671=10)),1,0)</f>
        <v>0</v>
      </c>
      <c r="AC2671" s="46" t="n">
        <f aca="false">IF(AND(E2671&gt;0,B2671=10),1,0)</f>
        <v>0</v>
      </c>
      <c r="AD2671" s="0" t="str">
        <f aca="false">IF(AND(C2670=C2671,AA2670=AA2671-1),AB2670,"")</f>
        <v/>
      </c>
      <c r="AE2671" s="0" t="str">
        <f aca="false">IF(AND(C2670=C2671,AA2670=AA2671-1),AC2670,"")</f>
        <v/>
      </c>
      <c r="AF2671" s="0" t="str">
        <f aca="false">IF(AA2671=1,"",IF(AND(AB2671=1,AD2671&lt;&gt;1),1,0))</f>
        <v/>
      </c>
      <c r="AG2671" s="0" t="str">
        <f aca="false">IF(AA2671=1,"",IF(AND(AC2671=1,AE2671&lt;&gt;1),1,0))</f>
        <v/>
      </c>
      <c r="AH2671" s="51" t="str">
        <f aca="false">IF(AND(E2671&gt;0,AA2671&lt;1,NOT(AND(C2672=C2671,AA2672=AA2671+1))),INDEX(DATAS,AA2671+1),"")</f>
        <v/>
      </c>
      <c r="AI2671" s="51" t="str">
        <f aca="false">IF(AND(AC2671=1,AA2671&lt;1),IF(AND(C2672=C2671,AA2672=AA2671+1),IF(AC2672=1,"",INDEX(DATAS,AA2671+1)),INDEX(DATAS,AA2671+1)),"")</f>
        <v/>
      </c>
    </row>
    <row r="2672" customFormat="false" ht="15" hidden="false" customHeight="false" outlineLevel="0" collapsed="false">
      <c r="A2672" s="51" t="n">
        <v>46309</v>
      </c>
      <c r="B2672" s="0" t="n">
        <v>13</v>
      </c>
      <c r="C2672" s="0" t="n">
        <v>7023</v>
      </c>
      <c r="E2672" s="0" t="n">
        <v>0</v>
      </c>
      <c r="F2672" s="46" t="s">
        <v>1353</v>
      </c>
      <c r="I2672" s="46" t="s">
        <v>179</v>
      </c>
      <c r="U2672" s="0" t="n">
        <v>371</v>
      </c>
      <c r="V2672" s="0" t="n">
        <v>0</v>
      </c>
      <c r="X2672" s="46" t="n">
        <f aca="false">IF(I2672="Male",0,1)</f>
        <v>1</v>
      </c>
      <c r="Y2672" s="46" t="n">
        <f aca="false">IF(OR(I2672="DNB",I2672="Dry DNB"),1,0)</f>
        <v>0</v>
      </c>
      <c r="Z2672" s="0" t="str">
        <f aca="false">IF(ISNUMBER(W2672),A2672-W2672,"")</f>
        <v/>
      </c>
      <c r="AA2672" s="46" t="n">
        <f aca="false">MATCH(A2672,DATAS,0)</f>
        <v>1</v>
      </c>
      <c r="AB2672" s="46" t="n">
        <f aca="false">IF(AND(E2672&gt;0,OR(AND(B2672&gt;=1,B2672&lt;=6),B2672=10)),1,0)</f>
        <v>0</v>
      </c>
      <c r="AC2672" s="46" t="n">
        <f aca="false">IF(AND(E2672&gt;0,B2672=10),1,0)</f>
        <v>0</v>
      </c>
      <c r="AD2672" s="0" t="str">
        <f aca="false">IF(AND(C2671=C2672,AA2671=AA2672-1),AB2671,"")</f>
        <v/>
      </c>
      <c r="AE2672" s="0" t="str">
        <f aca="false">IF(AND(C2671=C2672,AA2671=AA2672-1),AC2671,"")</f>
        <v/>
      </c>
      <c r="AF2672" s="0" t="str">
        <f aca="false">IF(AA2672=1,"",IF(AND(AB2672=1,AD2672&lt;&gt;1),1,0))</f>
        <v/>
      </c>
      <c r="AG2672" s="0" t="str">
        <f aca="false">IF(AA2672=1,"",IF(AND(AC2672=1,AE2672&lt;&gt;1),1,0))</f>
        <v/>
      </c>
      <c r="AH2672" s="51" t="str">
        <f aca="false">IF(AND(E2672&gt;0,AA2672&lt;1,NOT(AND(C2673=C2672,AA2673=AA2672+1))),INDEX(DATAS,AA2672+1),"")</f>
        <v/>
      </c>
      <c r="AI2672" s="51" t="str">
        <f aca="false">IF(AND(AC2672=1,AA2672&lt;1),IF(AND(C2673=C2672,AA2673=AA2672+1),IF(AC2673=1,"",INDEX(DATAS,AA2672+1)),INDEX(DATAS,AA2672+1)),"")</f>
        <v/>
      </c>
    </row>
    <row r="2673" customFormat="false" ht="15" hidden="false" customHeight="false" outlineLevel="0" collapsed="false">
      <c r="A2673" s="51" t="n">
        <v>46309</v>
      </c>
      <c r="B2673" s="0" t="n">
        <v>13</v>
      </c>
      <c r="C2673" s="0" t="n">
        <v>7024</v>
      </c>
      <c r="E2673" s="0" t="n">
        <v>0</v>
      </c>
      <c r="F2673" s="46" t="s">
        <v>1354</v>
      </c>
      <c r="I2673" s="46" t="s">
        <v>179</v>
      </c>
      <c r="U2673" s="0" t="n">
        <v>372</v>
      </c>
      <c r="V2673" s="0" t="n">
        <v>0</v>
      </c>
      <c r="X2673" s="46" t="n">
        <f aca="false">IF(I2673="Male",0,1)</f>
        <v>1</v>
      </c>
      <c r="Y2673" s="46" t="n">
        <f aca="false">IF(OR(I2673="DNB",I2673="Dry DNB"),1,0)</f>
        <v>0</v>
      </c>
      <c r="Z2673" s="0" t="str">
        <f aca="false">IF(ISNUMBER(W2673),A2673-W2673,"")</f>
        <v/>
      </c>
      <c r="AA2673" s="46" t="n">
        <f aca="false">MATCH(A2673,DATAS,0)</f>
        <v>1</v>
      </c>
      <c r="AB2673" s="46" t="n">
        <f aca="false">IF(AND(E2673&gt;0,OR(AND(B2673&gt;=1,B2673&lt;=6),B2673=10)),1,0)</f>
        <v>0</v>
      </c>
      <c r="AC2673" s="46" t="n">
        <f aca="false">IF(AND(E2673&gt;0,B2673=10),1,0)</f>
        <v>0</v>
      </c>
      <c r="AD2673" s="0" t="str">
        <f aca="false">IF(AND(C2672=C2673,AA2672=AA2673-1),AB2672,"")</f>
        <v/>
      </c>
      <c r="AE2673" s="0" t="str">
        <f aca="false">IF(AND(C2672=C2673,AA2672=AA2673-1),AC2672,"")</f>
        <v/>
      </c>
      <c r="AF2673" s="0" t="str">
        <f aca="false">IF(AA2673=1,"",IF(AND(AB2673=1,AD2673&lt;&gt;1),1,0))</f>
        <v/>
      </c>
      <c r="AG2673" s="0" t="str">
        <f aca="false">IF(AA2673=1,"",IF(AND(AC2673=1,AE2673&lt;&gt;1),1,0))</f>
        <v/>
      </c>
      <c r="AH2673" s="51" t="str">
        <f aca="false">IF(AND(E2673&gt;0,AA2673&lt;1,NOT(AND(C2674=C2673,AA2674=AA2673+1))),INDEX(DATAS,AA2673+1),"")</f>
        <v/>
      </c>
      <c r="AI2673" s="51" t="str">
        <f aca="false">IF(AND(AC2673=1,AA2673&lt;1),IF(AND(C2674=C2673,AA2674=AA2673+1),IF(AC2674=1,"",INDEX(DATAS,AA2673+1)),INDEX(DATAS,AA2673+1)),"")</f>
        <v/>
      </c>
    </row>
    <row r="2674" customFormat="false" ht="15" hidden="false" customHeight="false" outlineLevel="0" collapsed="false">
      <c r="A2674" s="51" t="n">
        <v>46309</v>
      </c>
      <c r="B2674" s="0" t="n">
        <v>13</v>
      </c>
      <c r="C2674" s="0" t="n">
        <v>7025</v>
      </c>
      <c r="E2674" s="0" t="n">
        <v>0</v>
      </c>
      <c r="F2674" s="46" t="s">
        <v>1354</v>
      </c>
      <c r="I2674" s="46" t="s">
        <v>179</v>
      </c>
      <c r="U2674" s="0" t="n">
        <v>372</v>
      </c>
      <c r="V2674" s="0" t="n">
        <v>0</v>
      </c>
      <c r="X2674" s="46" t="n">
        <f aca="false">IF(I2674="Male",0,1)</f>
        <v>1</v>
      </c>
      <c r="Y2674" s="46" t="n">
        <f aca="false">IF(OR(I2674="DNB",I2674="Dry DNB"),1,0)</f>
        <v>0</v>
      </c>
      <c r="Z2674" s="0" t="str">
        <f aca="false">IF(ISNUMBER(W2674),A2674-W2674,"")</f>
        <v/>
      </c>
      <c r="AA2674" s="46" t="n">
        <f aca="false">MATCH(A2674,DATAS,0)</f>
        <v>1</v>
      </c>
      <c r="AB2674" s="46" t="n">
        <f aca="false">IF(AND(E2674&gt;0,OR(AND(B2674&gt;=1,B2674&lt;=6),B2674=10)),1,0)</f>
        <v>0</v>
      </c>
      <c r="AC2674" s="46" t="n">
        <f aca="false">IF(AND(E2674&gt;0,B2674=10),1,0)</f>
        <v>0</v>
      </c>
      <c r="AD2674" s="0" t="str">
        <f aca="false">IF(AND(C2673=C2674,AA2673=AA2674-1),AB2673,"")</f>
        <v/>
      </c>
      <c r="AE2674" s="0" t="str">
        <f aca="false">IF(AND(C2673=C2674,AA2673=AA2674-1),AC2673,"")</f>
        <v/>
      </c>
      <c r="AF2674" s="0" t="str">
        <f aca="false">IF(AA2674=1,"",IF(AND(AB2674=1,AD2674&lt;&gt;1),1,0))</f>
        <v/>
      </c>
      <c r="AG2674" s="0" t="str">
        <f aca="false">IF(AA2674=1,"",IF(AND(AC2674=1,AE2674&lt;&gt;1),1,0))</f>
        <v/>
      </c>
      <c r="AH2674" s="51" t="str">
        <f aca="false">IF(AND(E2674&gt;0,AA2674&lt;1,NOT(AND(C2675=C2674,AA2675=AA2674+1))),INDEX(DATAS,AA2674+1),"")</f>
        <v/>
      </c>
      <c r="AI2674" s="51" t="str">
        <f aca="false">IF(AND(AC2674=1,AA2674&lt;1),IF(AND(C2675=C2674,AA2675=AA2674+1),IF(AC2675=1,"",INDEX(DATAS,AA2674+1)),INDEX(DATAS,AA2674+1)),"")</f>
        <v/>
      </c>
    </row>
    <row r="2675" customFormat="false" ht="15" hidden="false" customHeight="false" outlineLevel="0" collapsed="false">
      <c r="A2675" s="51" t="n">
        <v>46309</v>
      </c>
      <c r="B2675" s="0" t="n">
        <v>13</v>
      </c>
      <c r="C2675" s="0" t="n">
        <v>7026</v>
      </c>
      <c r="E2675" s="0" t="n">
        <v>0</v>
      </c>
      <c r="F2675" s="46" t="s">
        <v>1353</v>
      </c>
      <c r="I2675" s="46" t="s">
        <v>179</v>
      </c>
      <c r="U2675" s="0" t="n">
        <v>371</v>
      </c>
      <c r="V2675" s="0" t="n">
        <v>0</v>
      </c>
      <c r="X2675" s="46" t="n">
        <f aca="false">IF(I2675="Male",0,1)</f>
        <v>1</v>
      </c>
      <c r="Y2675" s="46" t="n">
        <f aca="false">IF(OR(I2675="DNB",I2675="Dry DNB"),1,0)</f>
        <v>0</v>
      </c>
      <c r="Z2675" s="0" t="str">
        <f aca="false">IF(ISNUMBER(W2675),A2675-W2675,"")</f>
        <v/>
      </c>
      <c r="AA2675" s="46" t="n">
        <f aca="false">MATCH(A2675,DATAS,0)</f>
        <v>1</v>
      </c>
      <c r="AB2675" s="46" t="n">
        <f aca="false">IF(AND(E2675&gt;0,OR(AND(B2675&gt;=1,B2675&lt;=6),B2675=10)),1,0)</f>
        <v>0</v>
      </c>
      <c r="AC2675" s="46" t="n">
        <f aca="false">IF(AND(E2675&gt;0,B2675=10),1,0)</f>
        <v>0</v>
      </c>
      <c r="AD2675" s="0" t="str">
        <f aca="false">IF(AND(C2674=C2675,AA2674=AA2675-1),AB2674,"")</f>
        <v/>
      </c>
      <c r="AE2675" s="0" t="str">
        <f aca="false">IF(AND(C2674=C2675,AA2674=AA2675-1),AC2674,"")</f>
        <v/>
      </c>
      <c r="AF2675" s="0" t="str">
        <f aca="false">IF(AA2675=1,"",IF(AND(AB2675=1,AD2675&lt;&gt;1),1,0))</f>
        <v/>
      </c>
      <c r="AG2675" s="0" t="str">
        <f aca="false">IF(AA2675=1,"",IF(AND(AC2675=1,AE2675&lt;&gt;1),1,0))</f>
        <v/>
      </c>
      <c r="AH2675" s="51" t="str">
        <f aca="false">IF(AND(E2675&gt;0,AA2675&lt;1,NOT(AND(C2676=C2675,AA2676=AA2675+1))),INDEX(DATAS,AA2675+1),"")</f>
        <v/>
      </c>
      <c r="AI2675" s="51" t="str">
        <f aca="false">IF(AND(AC2675=1,AA2675&lt;1),IF(AND(C2676=C2675,AA2676=AA2675+1),IF(AC2676=1,"",INDEX(DATAS,AA2675+1)),INDEX(DATAS,AA2675+1)),"")</f>
        <v/>
      </c>
    </row>
    <row r="2676" customFormat="false" ht="15" hidden="false" customHeight="false" outlineLevel="0" collapsed="false">
      <c r="A2676" s="51" t="n">
        <v>46309</v>
      </c>
      <c r="B2676" s="0" t="n">
        <v>13</v>
      </c>
      <c r="C2676" s="0" t="n">
        <v>7027</v>
      </c>
      <c r="E2676" s="0" t="n">
        <v>0</v>
      </c>
      <c r="F2676" s="46" t="s">
        <v>1355</v>
      </c>
      <c r="I2676" s="46" t="s">
        <v>179</v>
      </c>
      <c r="U2676" s="0" t="n">
        <v>370</v>
      </c>
      <c r="V2676" s="0" t="n">
        <v>0</v>
      </c>
      <c r="X2676" s="46" t="n">
        <f aca="false">IF(I2676="Male",0,1)</f>
        <v>1</v>
      </c>
      <c r="Y2676" s="46" t="n">
        <f aca="false">IF(OR(I2676="DNB",I2676="Dry DNB"),1,0)</f>
        <v>0</v>
      </c>
      <c r="Z2676" s="0" t="str">
        <f aca="false">IF(ISNUMBER(W2676),A2676-W2676,"")</f>
        <v/>
      </c>
      <c r="AA2676" s="46" t="n">
        <f aca="false">MATCH(A2676,DATAS,0)</f>
        <v>1</v>
      </c>
      <c r="AB2676" s="46" t="n">
        <f aca="false">IF(AND(E2676&gt;0,OR(AND(B2676&gt;=1,B2676&lt;=6),B2676=10)),1,0)</f>
        <v>0</v>
      </c>
      <c r="AC2676" s="46" t="n">
        <f aca="false">IF(AND(E2676&gt;0,B2676=10),1,0)</f>
        <v>0</v>
      </c>
      <c r="AD2676" s="0" t="str">
        <f aca="false">IF(AND(C2675=C2676,AA2675=AA2676-1),AB2675,"")</f>
        <v/>
      </c>
      <c r="AE2676" s="0" t="str">
        <f aca="false">IF(AND(C2675=C2676,AA2675=AA2676-1),AC2675,"")</f>
        <v/>
      </c>
      <c r="AF2676" s="0" t="str">
        <f aca="false">IF(AA2676=1,"",IF(AND(AB2676=1,AD2676&lt;&gt;1),1,0))</f>
        <v/>
      </c>
      <c r="AG2676" s="0" t="str">
        <f aca="false">IF(AA2676=1,"",IF(AND(AC2676=1,AE2676&lt;&gt;1),1,0))</f>
        <v/>
      </c>
      <c r="AH2676" s="51" t="str">
        <f aca="false">IF(AND(E2676&gt;0,AA2676&lt;1,NOT(AND(C2677=C2676,AA2677=AA2676+1))),INDEX(DATAS,AA2676+1),"")</f>
        <v/>
      </c>
      <c r="AI2676" s="51" t="str">
        <f aca="false">IF(AND(AC2676=1,AA2676&lt;1),IF(AND(C2677=C2676,AA2677=AA2676+1),IF(AC2677=1,"",INDEX(DATAS,AA2676+1)),INDEX(DATAS,AA2676+1)),"")</f>
        <v/>
      </c>
    </row>
    <row r="2677" customFormat="false" ht="15" hidden="false" customHeight="false" outlineLevel="0" collapsed="false">
      <c r="A2677" s="51" t="n">
        <v>46309</v>
      </c>
      <c r="B2677" s="0" t="n">
        <v>13</v>
      </c>
      <c r="C2677" s="0" t="n">
        <v>7028</v>
      </c>
      <c r="E2677" s="0" t="n">
        <v>0</v>
      </c>
      <c r="F2677" s="46" t="s">
        <v>1355</v>
      </c>
      <c r="I2677" s="46" t="s">
        <v>179</v>
      </c>
      <c r="U2677" s="0" t="n">
        <v>370</v>
      </c>
      <c r="V2677" s="0" t="n">
        <v>0</v>
      </c>
      <c r="X2677" s="46" t="n">
        <f aca="false">IF(I2677="Male",0,1)</f>
        <v>1</v>
      </c>
      <c r="Y2677" s="46" t="n">
        <f aca="false">IF(OR(I2677="DNB",I2677="Dry DNB"),1,0)</f>
        <v>0</v>
      </c>
      <c r="Z2677" s="0" t="str">
        <f aca="false">IF(ISNUMBER(W2677),A2677-W2677,"")</f>
        <v/>
      </c>
      <c r="AA2677" s="46" t="n">
        <f aca="false">MATCH(A2677,DATAS,0)</f>
        <v>1</v>
      </c>
      <c r="AB2677" s="46" t="n">
        <f aca="false">IF(AND(E2677&gt;0,OR(AND(B2677&gt;=1,B2677&lt;=6),B2677=10)),1,0)</f>
        <v>0</v>
      </c>
      <c r="AC2677" s="46" t="n">
        <f aca="false">IF(AND(E2677&gt;0,B2677=10),1,0)</f>
        <v>0</v>
      </c>
      <c r="AD2677" s="0" t="str">
        <f aca="false">IF(AND(C2676=C2677,AA2676=AA2677-1),AB2676,"")</f>
        <v/>
      </c>
      <c r="AE2677" s="0" t="str">
        <f aca="false">IF(AND(C2676=C2677,AA2676=AA2677-1),AC2676,"")</f>
        <v/>
      </c>
      <c r="AF2677" s="0" t="str">
        <f aca="false">IF(AA2677=1,"",IF(AND(AB2677=1,AD2677&lt;&gt;1),1,0))</f>
        <v/>
      </c>
      <c r="AG2677" s="0" t="str">
        <f aca="false">IF(AA2677=1,"",IF(AND(AC2677=1,AE2677&lt;&gt;1),1,0))</f>
        <v/>
      </c>
      <c r="AH2677" s="51" t="str">
        <f aca="false">IF(AND(E2677&gt;0,AA2677&lt;1,NOT(AND(C2678=C2677,AA2678=AA2677+1))),INDEX(DATAS,AA2677+1),"")</f>
        <v/>
      </c>
      <c r="AI2677" s="51" t="str">
        <f aca="false">IF(AND(AC2677=1,AA2677&lt;1),IF(AND(C2678=C2677,AA2678=AA2677+1),IF(AC2678=1,"",INDEX(DATAS,AA2677+1)),INDEX(DATAS,AA2677+1)),"")</f>
        <v/>
      </c>
    </row>
    <row r="2678" customFormat="false" ht="15" hidden="false" customHeight="false" outlineLevel="0" collapsed="false">
      <c r="A2678" s="51" t="n">
        <v>46309</v>
      </c>
      <c r="B2678" s="0" t="n">
        <v>13</v>
      </c>
      <c r="C2678" s="0" t="n">
        <v>7029</v>
      </c>
      <c r="E2678" s="0" t="n">
        <v>0</v>
      </c>
      <c r="F2678" s="46" t="s">
        <v>1355</v>
      </c>
      <c r="I2678" s="46" t="s">
        <v>179</v>
      </c>
      <c r="U2678" s="0" t="n">
        <v>370</v>
      </c>
      <c r="V2678" s="0" t="n">
        <v>0</v>
      </c>
      <c r="X2678" s="46" t="n">
        <f aca="false">IF(I2678="Male",0,1)</f>
        <v>1</v>
      </c>
      <c r="Y2678" s="46" t="n">
        <f aca="false">IF(OR(I2678="DNB",I2678="Dry DNB"),1,0)</f>
        <v>0</v>
      </c>
      <c r="Z2678" s="0" t="str">
        <f aca="false">IF(ISNUMBER(W2678),A2678-W2678,"")</f>
        <v/>
      </c>
      <c r="AA2678" s="46" t="n">
        <f aca="false">MATCH(A2678,DATAS,0)</f>
        <v>1</v>
      </c>
      <c r="AB2678" s="46" t="n">
        <f aca="false">IF(AND(E2678&gt;0,OR(AND(B2678&gt;=1,B2678&lt;=6),B2678=10)),1,0)</f>
        <v>0</v>
      </c>
      <c r="AC2678" s="46" t="n">
        <f aca="false">IF(AND(E2678&gt;0,B2678=10),1,0)</f>
        <v>0</v>
      </c>
      <c r="AD2678" s="0" t="str">
        <f aca="false">IF(AND(C2677=C2678,AA2677=AA2678-1),AB2677,"")</f>
        <v/>
      </c>
      <c r="AE2678" s="0" t="str">
        <f aca="false">IF(AND(C2677=C2678,AA2677=AA2678-1),AC2677,"")</f>
        <v/>
      </c>
      <c r="AF2678" s="0" t="str">
        <f aca="false">IF(AA2678=1,"",IF(AND(AB2678=1,AD2678&lt;&gt;1),1,0))</f>
        <v/>
      </c>
      <c r="AG2678" s="0" t="str">
        <f aca="false">IF(AA2678=1,"",IF(AND(AC2678=1,AE2678&lt;&gt;1),1,0))</f>
        <v/>
      </c>
      <c r="AH2678" s="51" t="str">
        <f aca="false">IF(AND(E2678&gt;0,AA2678&lt;1,NOT(AND(C2679=C2678,AA2679=AA2678+1))),INDEX(DATAS,AA2678+1),"")</f>
        <v/>
      </c>
      <c r="AI2678" s="51" t="str">
        <f aca="false">IF(AND(AC2678=1,AA2678&lt;1),IF(AND(C2679=C2678,AA2679=AA2678+1),IF(AC2679=1,"",INDEX(DATAS,AA2678+1)),INDEX(DATAS,AA2678+1)),"")</f>
        <v/>
      </c>
    </row>
    <row r="2679" customFormat="false" ht="15" hidden="false" customHeight="false" outlineLevel="0" collapsed="false">
      <c r="A2679" s="51" t="n">
        <v>46309</v>
      </c>
      <c r="B2679" s="0" t="n">
        <v>13</v>
      </c>
      <c r="C2679" s="0" t="n">
        <v>7030</v>
      </c>
      <c r="E2679" s="0" t="n">
        <v>0</v>
      </c>
      <c r="F2679" s="46" t="s">
        <v>1355</v>
      </c>
      <c r="I2679" s="46" t="s">
        <v>179</v>
      </c>
      <c r="U2679" s="0" t="n">
        <v>370</v>
      </c>
      <c r="V2679" s="0" t="n">
        <v>0</v>
      </c>
      <c r="X2679" s="46" t="n">
        <f aca="false">IF(I2679="Male",0,1)</f>
        <v>1</v>
      </c>
      <c r="Y2679" s="46" t="n">
        <f aca="false">IF(OR(I2679="DNB",I2679="Dry DNB"),1,0)</f>
        <v>0</v>
      </c>
      <c r="Z2679" s="0" t="str">
        <f aca="false">IF(ISNUMBER(W2679),A2679-W2679,"")</f>
        <v/>
      </c>
      <c r="AA2679" s="46" t="n">
        <f aca="false">MATCH(A2679,DATAS,0)</f>
        <v>1</v>
      </c>
      <c r="AB2679" s="46" t="n">
        <f aca="false">IF(AND(E2679&gt;0,OR(AND(B2679&gt;=1,B2679&lt;=6),B2679=10)),1,0)</f>
        <v>0</v>
      </c>
      <c r="AC2679" s="46" t="n">
        <f aca="false">IF(AND(E2679&gt;0,B2679=10),1,0)</f>
        <v>0</v>
      </c>
      <c r="AD2679" s="0" t="str">
        <f aca="false">IF(AND(C2678=C2679,AA2678=AA2679-1),AB2678,"")</f>
        <v/>
      </c>
      <c r="AE2679" s="0" t="str">
        <f aca="false">IF(AND(C2678=C2679,AA2678=AA2679-1),AC2678,"")</f>
        <v/>
      </c>
      <c r="AF2679" s="0" t="str">
        <f aca="false">IF(AA2679=1,"",IF(AND(AB2679=1,AD2679&lt;&gt;1),1,0))</f>
        <v/>
      </c>
      <c r="AG2679" s="0" t="str">
        <f aca="false">IF(AA2679=1,"",IF(AND(AC2679=1,AE2679&lt;&gt;1),1,0))</f>
        <v/>
      </c>
      <c r="AH2679" s="51" t="str">
        <f aca="false">IF(AND(E2679&gt;0,AA2679&lt;1,NOT(AND(C2680=C2679,AA2680=AA2679+1))),INDEX(DATAS,AA2679+1),"")</f>
        <v/>
      </c>
      <c r="AI2679" s="51" t="str">
        <f aca="false">IF(AND(AC2679=1,AA2679&lt;1),IF(AND(C2680=C2679,AA2680=AA2679+1),IF(AC2680=1,"",INDEX(DATAS,AA2679+1)),INDEX(DATAS,AA2679+1)),"")</f>
        <v/>
      </c>
    </row>
    <row r="2680" customFormat="false" ht="15" hidden="false" customHeight="false" outlineLevel="0" collapsed="false">
      <c r="A2680" s="51" t="n">
        <v>46309</v>
      </c>
      <c r="B2680" s="0" t="n">
        <v>13</v>
      </c>
      <c r="C2680" s="0" t="n">
        <v>7031</v>
      </c>
      <c r="E2680" s="0" t="n">
        <v>0</v>
      </c>
      <c r="F2680" s="46" t="s">
        <v>1356</v>
      </c>
      <c r="I2680" s="46" t="s">
        <v>179</v>
      </c>
      <c r="U2680" s="0" t="n">
        <v>369</v>
      </c>
      <c r="V2680" s="0" t="n">
        <v>0</v>
      </c>
      <c r="X2680" s="46" t="n">
        <f aca="false">IF(I2680="Male",0,1)</f>
        <v>1</v>
      </c>
      <c r="Y2680" s="46" t="n">
        <f aca="false">IF(OR(I2680="DNB",I2680="Dry DNB"),1,0)</f>
        <v>0</v>
      </c>
      <c r="Z2680" s="0" t="str">
        <f aca="false">IF(ISNUMBER(W2680),A2680-W2680,"")</f>
        <v/>
      </c>
      <c r="AA2680" s="46" t="n">
        <f aca="false">MATCH(A2680,DATAS,0)</f>
        <v>1</v>
      </c>
      <c r="AB2680" s="46" t="n">
        <f aca="false">IF(AND(E2680&gt;0,OR(AND(B2680&gt;=1,B2680&lt;=6),B2680=10)),1,0)</f>
        <v>0</v>
      </c>
      <c r="AC2680" s="46" t="n">
        <f aca="false">IF(AND(E2680&gt;0,B2680=10),1,0)</f>
        <v>0</v>
      </c>
      <c r="AD2680" s="0" t="str">
        <f aca="false">IF(AND(C2679=C2680,AA2679=AA2680-1),AB2679,"")</f>
        <v/>
      </c>
      <c r="AE2680" s="0" t="str">
        <f aca="false">IF(AND(C2679=C2680,AA2679=AA2680-1),AC2679,"")</f>
        <v/>
      </c>
      <c r="AF2680" s="0" t="str">
        <f aca="false">IF(AA2680=1,"",IF(AND(AB2680=1,AD2680&lt;&gt;1),1,0))</f>
        <v/>
      </c>
      <c r="AG2680" s="0" t="str">
        <f aca="false">IF(AA2680=1,"",IF(AND(AC2680=1,AE2680&lt;&gt;1),1,0))</f>
        <v/>
      </c>
      <c r="AH2680" s="51" t="str">
        <f aca="false">IF(AND(E2680&gt;0,AA2680&lt;1,NOT(AND(C2681=C2680,AA2681=AA2680+1))),INDEX(DATAS,AA2680+1),"")</f>
        <v/>
      </c>
      <c r="AI2680" s="51" t="str">
        <f aca="false">IF(AND(AC2680=1,AA2680&lt;1),IF(AND(C2681=C2680,AA2681=AA2680+1),IF(AC2681=1,"",INDEX(DATAS,AA2680+1)),INDEX(DATAS,AA2680+1)),"")</f>
        <v/>
      </c>
    </row>
    <row r="2681" customFormat="false" ht="15" hidden="false" customHeight="false" outlineLevel="0" collapsed="false">
      <c r="A2681" s="51" t="n">
        <v>46309</v>
      </c>
      <c r="B2681" s="0" t="n">
        <v>13</v>
      </c>
      <c r="C2681" s="0" t="n">
        <v>7032</v>
      </c>
      <c r="E2681" s="0" t="n">
        <v>0</v>
      </c>
      <c r="F2681" s="46" t="s">
        <v>1356</v>
      </c>
      <c r="I2681" s="46" t="s">
        <v>179</v>
      </c>
      <c r="U2681" s="0" t="n">
        <v>369</v>
      </c>
      <c r="V2681" s="0" t="n">
        <v>0</v>
      </c>
      <c r="X2681" s="46" t="n">
        <f aca="false">IF(I2681="Male",0,1)</f>
        <v>1</v>
      </c>
      <c r="Y2681" s="46" t="n">
        <f aca="false">IF(OR(I2681="DNB",I2681="Dry DNB"),1,0)</f>
        <v>0</v>
      </c>
      <c r="Z2681" s="0" t="str">
        <f aca="false">IF(ISNUMBER(W2681),A2681-W2681,"")</f>
        <v/>
      </c>
      <c r="AA2681" s="46" t="n">
        <f aca="false">MATCH(A2681,DATAS,0)</f>
        <v>1</v>
      </c>
      <c r="AB2681" s="46" t="n">
        <f aca="false">IF(AND(E2681&gt;0,OR(AND(B2681&gt;=1,B2681&lt;=6),B2681=10)),1,0)</f>
        <v>0</v>
      </c>
      <c r="AC2681" s="46" t="n">
        <f aca="false">IF(AND(E2681&gt;0,B2681=10),1,0)</f>
        <v>0</v>
      </c>
      <c r="AD2681" s="0" t="str">
        <f aca="false">IF(AND(C2680=C2681,AA2680=AA2681-1),AB2680,"")</f>
        <v/>
      </c>
      <c r="AE2681" s="0" t="str">
        <f aca="false">IF(AND(C2680=C2681,AA2680=AA2681-1),AC2680,"")</f>
        <v/>
      </c>
      <c r="AF2681" s="0" t="str">
        <f aca="false">IF(AA2681=1,"",IF(AND(AB2681=1,AD2681&lt;&gt;1),1,0))</f>
        <v/>
      </c>
      <c r="AG2681" s="0" t="str">
        <f aca="false">IF(AA2681=1,"",IF(AND(AC2681=1,AE2681&lt;&gt;1),1,0))</f>
        <v/>
      </c>
      <c r="AH2681" s="51" t="str">
        <f aca="false">IF(AND(E2681&gt;0,AA2681&lt;1,NOT(AND(C2682=C2681,AA2682=AA2681+1))),INDEX(DATAS,AA2681+1),"")</f>
        <v/>
      </c>
      <c r="AI2681" s="51" t="str">
        <f aca="false">IF(AND(AC2681=1,AA2681&lt;1),IF(AND(C2682=C2681,AA2682=AA2681+1),IF(AC2682=1,"",INDEX(DATAS,AA2681+1)),INDEX(DATAS,AA2681+1)),"")</f>
        <v/>
      </c>
    </row>
    <row r="2682" customFormat="false" ht="15" hidden="false" customHeight="false" outlineLevel="0" collapsed="false">
      <c r="A2682" s="51" t="n">
        <v>46309</v>
      </c>
      <c r="B2682" s="0" t="n">
        <v>13</v>
      </c>
      <c r="C2682" s="0" t="n">
        <v>7033</v>
      </c>
      <c r="E2682" s="0" t="n">
        <v>0</v>
      </c>
      <c r="F2682" s="46" t="s">
        <v>1356</v>
      </c>
      <c r="I2682" s="46" t="s">
        <v>179</v>
      </c>
      <c r="U2682" s="0" t="n">
        <v>369</v>
      </c>
      <c r="V2682" s="0" t="n">
        <v>0</v>
      </c>
      <c r="X2682" s="46" t="n">
        <f aca="false">IF(I2682="Male",0,1)</f>
        <v>1</v>
      </c>
      <c r="Y2682" s="46" t="n">
        <f aca="false">IF(OR(I2682="DNB",I2682="Dry DNB"),1,0)</f>
        <v>0</v>
      </c>
      <c r="Z2682" s="0" t="str">
        <f aca="false">IF(ISNUMBER(W2682),A2682-W2682,"")</f>
        <v/>
      </c>
      <c r="AA2682" s="46" t="n">
        <f aca="false">MATCH(A2682,DATAS,0)</f>
        <v>1</v>
      </c>
      <c r="AB2682" s="46" t="n">
        <f aca="false">IF(AND(E2682&gt;0,OR(AND(B2682&gt;=1,B2682&lt;=6),B2682=10)),1,0)</f>
        <v>0</v>
      </c>
      <c r="AC2682" s="46" t="n">
        <f aca="false">IF(AND(E2682&gt;0,B2682=10),1,0)</f>
        <v>0</v>
      </c>
      <c r="AD2682" s="0" t="str">
        <f aca="false">IF(AND(C2681=C2682,AA2681=AA2682-1),AB2681,"")</f>
        <v/>
      </c>
      <c r="AE2682" s="0" t="str">
        <f aca="false">IF(AND(C2681=C2682,AA2681=AA2682-1),AC2681,"")</f>
        <v/>
      </c>
      <c r="AF2682" s="0" t="str">
        <f aca="false">IF(AA2682=1,"",IF(AND(AB2682=1,AD2682&lt;&gt;1),1,0))</f>
        <v/>
      </c>
      <c r="AG2682" s="0" t="str">
        <f aca="false">IF(AA2682=1,"",IF(AND(AC2682=1,AE2682&lt;&gt;1),1,0))</f>
        <v/>
      </c>
      <c r="AH2682" s="51" t="str">
        <f aca="false">IF(AND(E2682&gt;0,AA2682&lt;1,NOT(AND(C2683=C2682,AA2683=AA2682+1))),INDEX(DATAS,AA2682+1),"")</f>
        <v/>
      </c>
      <c r="AI2682" s="51" t="str">
        <f aca="false">IF(AND(AC2682=1,AA2682&lt;1),IF(AND(C2683=C2682,AA2683=AA2682+1),IF(AC2683=1,"",INDEX(DATAS,AA2682+1)),INDEX(DATAS,AA2682+1)),"")</f>
        <v/>
      </c>
    </row>
    <row r="2683" customFormat="false" ht="15" hidden="false" customHeight="false" outlineLevel="0" collapsed="false">
      <c r="A2683" s="51" t="n">
        <v>46309</v>
      </c>
      <c r="B2683" s="0" t="n">
        <v>13</v>
      </c>
      <c r="C2683" s="0" t="n">
        <v>7035</v>
      </c>
      <c r="E2683" s="0" t="n">
        <v>0</v>
      </c>
      <c r="F2683" s="46" t="s">
        <v>1357</v>
      </c>
      <c r="I2683" s="46" t="s">
        <v>179</v>
      </c>
      <c r="U2683" s="0" t="n">
        <v>367</v>
      </c>
      <c r="V2683" s="0" t="n">
        <v>0</v>
      </c>
      <c r="X2683" s="46" t="n">
        <f aca="false">IF(I2683="Male",0,1)</f>
        <v>1</v>
      </c>
      <c r="Y2683" s="46" t="n">
        <f aca="false">IF(OR(I2683="DNB",I2683="Dry DNB"),1,0)</f>
        <v>0</v>
      </c>
      <c r="Z2683" s="0" t="str">
        <f aca="false">IF(ISNUMBER(W2683),A2683-W2683,"")</f>
        <v/>
      </c>
      <c r="AA2683" s="46" t="n">
        <f aca="false">MATCH(A2683,DATAS,0)</f>
        <v>1</v>
      </c>
      <c r="AB2683" s="46" t="n">
        <f aca="false">IF(AND(E2683&gt;0,OR(AND(B2683&gt;=1,B2683&lt;=6),B2683=10)),1,0)</f>
        <v>0</v>
      </c>
      <c r="AC2683" s="46" t="n">
        <f aca="false">IF(AND(E2683&gt;0,B2683=10),1,0)</f>
        <v>0</v>
      </c>
      <c r="AD2683" s="0" t="str">
        <f aca="false">IF(AND(C2682=C2683,AA2682=AA2683-1),AB2682,"")</f>
        <v/>
      </c>
      <c r="AE2683" s="0" t="str">
        <f aca="false">IF(AND(C2682=C2683,AA2682=AA2683-1),AC2682,"")</f>
        <v/>
      </c>
      <c r="AF2683" s="0" t="str">
        <f aca="false">IF(AA2683=1,"",IF(AND(AB2683=1,AD2683&lt;&gt;1),1,0))</f>
        <v/>
      </c>
      <c r="AG2683" s="0" t="str">
        <f aca="false">IF(AA2683=1,"",IF(AND(AC2683=1,AE2683&lt;&gt;1),1,0))</f>
        <v/>
      </c>
      <c r="AH2683" s="51" t="str">
        <f aca="false">IF(AND(E2683&gt;0,AA2683&lt;1,NOT(AND(C2684=C2683,AA2684=AA2683+1))),INDEX(DATAS,AA2683+1),"")</f>
        <v/>
      </c>
      <c r="AI2683" s="51" t="str">
        <f aca="false">IF(AND(AC2683=1,AA2683&lt;1),IF(AND(C2684=C2683,AA2684=AA2683+1),IF(AC2684=1,"",INDEX(DATAS,AA2683+1)),INDEX(DATAS,AA2683+1)),"")</f>
        <v/>
      </c>
    </row>
    <row r="2684" customFormat="false" ht="15" hidden="false" customHeight="false" outlineLevel="0" collapsed="false">
      <c r="A2684" s="51" t="n">
        <v>46309</v>
      </c>
      <c r="B2684" s="0" t="n">
        <v>13</v>
      </c>
      <c r="C2684" s="0" t="n">
        <v>7036</v>
      </c>
      <c r="E2684" s="0" t="n">
        <v>0</v>
      </c>
      <c r="F2684" s="46" t="s">
        <v>1358</v>
      </c>
      <c r="I2684" s="46" t="s">
        <v>179</v>
      </c>
      <c r="U2684" s="0" t="n">
        <v>366</v>
      </c>
      <c r="V2684" s="0" t="n">
        <v>0</v>
      </c>
      <c r="X2684" s="46" t="n">
        <f aca="false">IF(I2684="Male",0,1)</f>
        <v>1</v>
      </c>
      <c r="Y2684" s="46" t="n">
        <f aca="false">IF(OR(I2684="DNB",I2684="Dry DNB"),1,0)</f>
        <v>0</v>
      </c>
      <c r="Z2684" s="0" t="str">
        <f aca="false">IF(ISNUMBER(W2684),A2684-W2684,"")</f>
        <v/>
      </c>
      <c r="AA2684" s="46" t="n">
        <f aca="false">MATCH(A2684,DATAS,0)</f>
        <v>1</v>
      </c>
      <c r="AB2684" s="46" t="n">
        <f aca="false">IF(AND(E2684&gt;0,OR(AND(B2684&gt;=1,B2684&lt;=6),B2684=10)),1,0)</f>
        <v>0</v>
      </c>
      <c r="AC2684" s="46" t="n">
        <f aca="false">IF(AND(E2684&gt;0,B2684=10),1,0)</f>
        <v>0</v>
      </c>
      <c r="AD2684" s="0" t="str">
        <f aca="false">IF(AND(C2683=C2684,AA2683=AA2684-1),AB2683,"")</f>
        <v/>
      </c>
      <c r="AE2684" s="0" t="str">
        <f aca="false">IF(AND(C2683=C2684,AA2683=AA2684-1),AC2683,"")</f>
        <v/>
      </c>
      <c r="AF2684" s="0" t="str">
        <f aca="false">IF(AA2684=1,"",IF(AND(AB2684=1,AD2684&lt;&gt;1),1,0))</f>
        <v/>
      </c>
      <c r="AG2684" s="0" t="str">
        <f aca="false">IF(AA2684=1,"",IF(AND(AC2684=1,AE2684&lt;&gt;1),1,0))</f>
        <v/>
      </c>
      <c r="AH2684" s="51" t="str">
        <f aca="false">IF(AND(E2684&gt;0,AA2684&lt;1,NOT(AND(C2685=C2684,AA2685=AA2684+1))),INDEX(DATAS,AA2684+1),"")</f>
        <v/>
      </c>
      <c r="AI2684" s="51" t="str">
        <f aca="false">IF(AND(AC2684=1,AA2684&lt;1),IF(AND(C2685=C2684,AA2685=AA2684+1),IF(AC2685=1,"",INDEX(DATAS,AA2684+1)),INDEX(DATAS,AA2684+1)),"")</f>
        <v/>
      </c>
    </row>
    <row r="2685" customFormat="false" ht="15" hidden="false" customHeight="false" outlineLevel="0" collapsed="false">
      <c r="A2685" s="51" t="n">
        <v>46309</v>
      </c>
      <c r="B2685" s="0" t="n">
        <v>13</v>
      </c>
      <c r="C2685" s="0" t="n">
        <v>7037</v>
      </c>
      <c r="E2685" s="0" t="n">
        <v>0</v>
      </c>
      <c r="F2685" s="46" t="s">
        <v>1358</v>
      </c>
      <c r="I2685" s="46" t="s">
        <v>179</v>
      </c>
      <c r="U2685" s="0" t="n">
        <v>366</v>
      </c>
      <c r="V2685" s="0" t="n">
        <v>0</v>
      </c>
      <c r="X2685" s="46" t="n">
        <f aca="false">IF(I2685="Male",0,1)</f>
        <v>1</v>
      </c>
      <c r="Y2685" s="46" t="n">
        <f aca="false">IF(OR(I2685="DNB",I2685="Dry DNB"),1,0)</f>
        <v>0</v>
      </c>
      <c r="Z2685" s="0" t="str">
        <f aca="false">IF(ISNUMBER(W2685),A2685-W2685,"")</f>
        <v/>
      </c>
      <c r="AA2685" s="46" t="n">
        <f aca="false">MATCH(A2685,DATAS,0)</f>
        <v>1</v>
      </c>
      <c r="AB2685" s="46" t="n">
        <f aca="false">IF(AND(E2685&gt;0,OR(AND(B2685&gt;=1,B2685&lt;=6),B2685=10)),1,0)</f>
        <v>0</v>
      </c>
      <c r="AC2685" s="46" t="n">
        <f aca="false">IF(AND(E2685&gt;0,B2685=10),1,0)</f>
        <v>0</v>
      </c>
      <c r="AD2685" s="0" t="str">
        <f aca="false">IF(AND(C2684=C2685,AA2684=AA2685-1),AB2684,"")</f>
        <v/>
      </c>
      <c r="AE2685" s="0" t="str">
        <f aca="false">IF(AND(C2684=C2685,AA2684=AA2685-1),AC2684,"")</f>
        <v/>
      </c>
      <c r="AF2685" s="0" t="str">
        <f aca="false">IF(AA2685=1,"",IF(AND(AB2685=1,AD2685&lt;&gt;1),1,0))</f>
        <v/>
      </c>
      <c r="AG2685" s="0" t="str">
        <f aca="false">IF(AA2685=1,"",IF(AND(AC2685=1,AE2685&lt;&gt;1),1,0))</f>
        <v/>
      </c>
      <c r="AH2685" s="51" t="str">
        <f aca="false">IF(AND(E2685&gt;0,AA2685&lt;1,NOT(AND(C2686=C2685,AA2686=AA2685+1))),INDEX(DATAS,AA2685+1),"")</f>
        <v/>
      </c>
      <c r="AI2685" s="51" t="str">
        <f aca="false">IF(AND(AC2685=1,AA2685&lt;1),IF(AND(C2686=C2685,AA2686=AA2685+1),IF(AC2686=1,"",INDEX(DATAS,AA2685+1)),INDEX(DATAS,AA2685+1)),"")</f>
        <v/>
      </c>
    </row>
    <row r="2686" customFormat="false" ht="15" hidden="false" customHeight="false" outlineLevel="0" collapsed="false">
      <c r="A2686" s="51" t="n">
        <v>46309</v>
      </c>
      <c r="B2686" s="0" t="n">
        <v>13</v>
      </c>
      <c r="C2686" s="0" t="n">
        <v>7038</v>
      </c>
      <c r="E2686" s="0" t="n">
        <v>0</v>
      </c>
      <c r="F2686" s="46" t="s">
        <v>1359</v>
      </c>
      <c r="I2686" s="46" t="s">
        <v>179</v>
      </c>
      <c r="U2686" s="0" t="n">
        <v>365</v>
      </c>
      <c r="V2686" s="0" t="n">
        <v>0</v>
      </c>
      <c r="X2686" s="46" t="n">
        <f aca="false">IF(I2686="Male",0,1)</f>
        <v>1</v>
      </c>
      <c r="Y2686" s="46" t="n">
        <f aca="false">IF(OR(I2686="DNB",I2686="Dry DNB"),1,0)</f>
        <v>0</v>
      </c>
      <c r="Z2686" s="0" t="str">
        <f aca="false">IF(ISNUMBER(W2686),A2686-W2686,"")</f>
        <v/>
      </c>
      <c r="AA2686" s="46" t="n">
        <f aca="false">MATCH(A2686,DATAS,0)</f>
        <v>1</v>
      </c>
      <c r="AB2686" s="46" t="n">
        <f aca="false">IF(AND(E2686&gt;0,OR(AND(B2686&gt;=1,B2686&lt;=6),B2686=10)),1,0)</f>
        <v>0</v>
      </c>
      <c r="AC2686" s="46" t="n">
        <f aca="false">IF(AND(E2686&gt;0,B2686=10),1,0)</f>
        <v>0</v>
      </c>
      <c r="AD2686" s="0" t="str">
        <f aca="false">IF(AND(C2685=C2686,AA2685=AA2686-1),AB2685,"")</f>
        <v/>
      </c>
      <c r="AE2686" s="0" t="str">
        <f aca="false">IF(AND(C2685=C2686,AA2685=AA2686-1),AC2685,"")</f>
        <v/>
      </c>
      <c r="AF2686" s="0" t="str">
        <f aca="false">IF(AA2686=1,"",IF(AND(AB2686=1,AD2686&lt;&gt;1),1,0))</f>
        <v/>
      </c>
      <c r="AG2686" s="0" t="str">
        <f aca="false">IF(AA2686=1,"",IF(AND(AC2686=1,AE2686&lt;&gt;1),1,0))</f>
        <v/>
      </c>
      <c r="AH2686" s="51" t="str">
        <f aca="false">IF(AND(E2686&gt;0,AA2686&lt;1,NOT(AND(C2687=C2686,AA2687=AA2686+1))),INDEX(DATAS,AA2686+1),"")</f>
        <v/>
      </c>
      <c r="AI2686" s="51" t="str">
        <f aca="false">IF(AND(AC2686=1,AA2686&lt;1),IF(AND(C2687=C2686,AA2687=AA2686+1),IF(AC2687=1,"",INDEX(DATAS,AA2686+1)),INDEX(DATAS,AA2686+1)),"")</f>
        <v/>
      </c>
    </row>
    <row r="2687" customFormat="false" ht="15" hidden="false" customHeight="false" outlineLevel="0" collapsed="false">
      <c r="A2687" s="51" t="n">
        <v>46309</v>
      </c>
      <c r="B2687" s="0" t="n">
        <v>13</v>
      </c>
      <c r="C2687" s="0" t="n">
        <v>7039</v>
      </c>
      <c r="E2687" s="0" t="n">
        <v>0</v>
      </c>
      <c r="F2687" s="46" t="s">
        <v>1360</v>
      </c>
      <c r="I2687" s="46" t="s">
        <v>179</v>
      </c>
      <c r="U2687" s="0" t="n">
        <v>364</v>
      </c>
      <c r="V2687" s="0" t="n">
        <v>0</v>
      </c>
      <c r="X2687" s="46" t="n">
        <f aca="false">IF(I2687="Male",0,1)</f>
        <v>1</v>
      </c>
      <c r="Y2687" s="46" t="n">
        <f aca="false">IF(OR(I2687="DNB",I2687="Dry DNB"),1,0)</f>
        <v>0</v>
      </c>
      <c r="Z2687" s="0" t="str">
        <f aca="false">IF(ISNUMBER(W2687),A2687-W2687,"")</f>
        <v/>
      </c>
      <c r="AA2687" s="46" t="n">
        <f aca="false">MATCH(A2687,DATAS,0)</f>
        <v>1</v>
      </c>
      <c r="AB2687" s="46" t="n">
        <f aca="false">IF(AND(E2687&gt;0,OR(AND(B2687&gt;=1,B2687&lt;=6),B2687=10)),1,0)</f>
        <v>0</v>
      </c>
      <c r="AC2687" s="46" t="n">
        <f aca="false">IF(AND(E2687&gt;0,B2687=10),1,0)</f>
        <v>0</v>
      </c>
      <c r="AD2687" s="0" t="str">
        <f aca="false">IF(AND(C2686=C2687,AA2686=AA2687-1),AB2686,"")</f>
        <v/>
      </c>
      <c r="AE2687" s="0" t="str">
        <f aca="false">IF(AND(C2686=C2687,AA2686=AA2687-1),AC2686,"")</f>
        <v/>
      </c>
      <c r="AF2687" s="0" t="str">
        <f aca="false">IF(AA2687=1,"",IF(AND(AB2687=1,AD2687&lt;&gt;1),1,0))</f>
        <v/>
      </c>
      <c r="AG2687" s="0" t="str">
        <f aca="false">IF(AA2687=1,"",IF(AND(AC2687=1,AE2687&lt;&gt;1),1,0))</f>
        <v/>
      </c>
      <c r="AH2687" s="51" t="str">
        <f aca="false">IF(AND(E2687&gt;0,AA2687&lt;1,NOT(AND(C2688=C2687,AA2688=AA2687+1))),INDEX(DATAS,AA2687+1),"")</f>
        <v/>
      </c>
      <c r="AI2687" s="51" t="str">
        <f aca="false">IF(AND(AC2687=1,AA2687&lt;1),IF(AND(C2688=C2687,AA2688=AA2687+1),IF(AC2688=1,"",INDEX(DATAS,AA2687+1)),INDEX(DATAS,AA2687+1)),"")</f>
        <v/>
      </c>
    </row>
    <row r="2688" customFormat="false" ht="15" hidden="false" customHeight="false" outlineLevel="0" collapsed="false">
      <c r="A2688" s="51" t="n">
        <v>46309</v>
      </c>
      <c r="B2688" s="0" t="n">
        <v>13</v>
      </c>
      <c r="C2688" s="0" t="n">
        <v>7040</v>
      </c>
      <c r="E2688" s="0" t="n">
        <v>0</v>
      </c>
      <c r="F2688" s="46" t="s">
        <v>1361</v>
      </c>
      <c r="I2688" s="46" t="s">
        <v>179</v>
      </c>
      <c r="U2688" s="0" t="n">
        <v>362</v>
      </c>
      <c r="V2688" s="0" t="n">
        <v>0</v>
      </c>
      <c r="X2688" s="46" t="n">
        <f aca="false">IF(I2688="Male",0,1)</f>
        <v>1</v>
      </c>
      <c r="Y2688" s="46" t="n">
        <f aca="false">IF(OR(I2688="DNB",I2688="Dry DNB"),1,0)</f>
        <v>0</v>
      </c>
      <c r="Z2688" s="0" t="str">
        <f aca="false">IF(ISNUMBER(W2688),A2688-W2688,"")</f>
        <v/>
      </c>
      <c r="AA2688" s="46" t="n">
        <f aca="false">MATCH(A2688,DATAS,0)</f>
        <v>1</v>
      </c>
      <c r="AB2688" s="46" t="n">
        <f aca="false">IF(AND(E2688&gt;0,OR(AND(B2688&gt;=1,B2688&lt;=6),B2688=10)),1,0)</f>
        <v>0</v>
      </c>
      <c r="AC2688" s="46" t="n">
        <f aca="false">IF(AND(E2688&gt;0,B2688=10),1,0)</f>
        <v>0</v>
      </c>
      <c r="AD2688" s="0" t="str">
        <f aca="false">IF(AND(C2687=C2688,AA2687=AA2688-1),AB2687,"")</f>
        <v/>
      </c>
      <c r="AE2688" s="0" t="str">
        <f aca="false">IF(AND(C2687=C2688,AA2687=AA2688-1),AC2687,"")</f>
        <v/>
      </c>
      <c r="AF2688" s="0" t="str">
        <f aca="false">IF(AA2688=1,"",IF(AND(AB2688=1,AD2688&lt;&gt;1),1,0))</f>
        <v/>
      </c>
      <c r="AG2688" s="0" t="str">
        <f aca="false">IF(AA2688=1,"",IF(AND(AC2688=1,AE2688&lt;&gt;1),1,0))</f>
        <v/>
      </c>
      <c r="AH2688" s="51" t="str">
        <f aca="false">IF(AND(E2688&gt;0,AA2688&lt;1,NOT(AND(C2689=C2688,AA2689=AA2688+1))),INDEX(DATAS,AA2688+1),"")</f>
        <v/>
      </c>
      <c r="AI2688" s="51" t="str">
        <f aca="false">IF(AND(AC2688=1,AA2688&lt;1),IF(AND(C2689=C2688,AA2689=AA2688+1),IF(AC2689=1,"",INDEX(DATAS,AA2688+1)),INDEX(DATAS,AA2688+1)),"")</f>
        <v/>
      </c>
    </row>
    <row r="2689" customFormat="false" ht="15" hidden="false" customHeight="false" outlineLevel="0" collapsed="false">
      <c r="A2689" s="51" t="n">
        <v>46309</v>
      </c>
      <c r="B2689" s="0" t="n">
        <v>13</v>
      </c>
      <c r="C2689" s="0" t="n">
        <v>7041</v>
      </c>
      <c r="E2689" s="0" t="n">
        <v>0</v>
      </c>
      <c r="F2689" s="46" t="s">
        <v>1360</v>
      </c>
      <c r="I2689" s="46" t="s">
        <v>179</v>
      </c>
      <c r="U2689" s="0" t="n">
        <v>364</v>
      </c>
      <c r="V2689" s="0" t="n">
        <v>0</v>
      </c>
      <c r="X2689" s="46" t="n">
        <f aca="false">IF(I2689="Male",0,1)</f>
        <v>1</v>
      </c>
      <c r="Y2689" s="46" t="n">
        <f aca="false">IF(OR(I2689="DNB",I2689="Dry DNB"),1,0)</f>
        <v>0</v>
      </c>
      <c r="Z2689" s="0" t="str">
        <f aca="false">IF(ISNUMBER(W2689),A2689-W2689,"")</f>
        <v/>
      </c>
      <c r="AA2689" s="46" t="n">
        <f aca="false">MATCH(A2689,DATAS,0)</f>
        <v>1</v>
      </c>
      <c r="AB2689" s="46" t="n">
        <f aca="false">IF(AND(E2689&gt;0,OR(AND(B2689&gt;=1,B2689&lt;=6),B2689=10)),1,0)</f>
        <v>0</v>
      </c>
      <c r="AC2689" s="46" t="n">
        <f aca="false">IF(AND(E2689&gt;0,B2689=10),1,0)</f>
        <v>0</v>
      </c>
      <c r="AD2689" s="0" t="str">
        <f aca="false">IF(AND(C2688=C2689,AA2688=AA2689-1),AB2688,"")</f>
        <v/>
      </c>
      <c r="AE2689" s="0" t="str">
        <f aca="false">IF(AND(C2688=C2689,AA2688=AA2689-1),AC2688,"")</f>
        <v/>
      </c>
      <c r="AF2689" s="0" t="str">
        <f aca="false">IF(AA2689=1,"",IF(AND(AB2689=1,AD2689&lt;&gt;1),1,0))</f>
        <v/>
      </c>
      <c r="AG2689" s="0" t="str">
        <f aca="false">IF(AA2689=1,"",IF(AND(AC2689=1,AE2689&lt;&gt;1),1,0))</f>
        <v/>
      </c>
      <c r="AH2689" s="51" t="str">
        <f aca="false">IF(AND(E2689&gt;0,AA2689&lt;1,NOT(AND(C2690=C2689,AA2690=AA2689+1))),INDEX(DATAS,AA2689+1),"")</f>
        <v/>
      </c>
      <c r="AI2689" s="51" t="str">
        <f aca="false">IF(AND(AC2689=1,AA2689&lt;1),IF(AND(C2690=C2689,AA2690=AA2689+1),IF(AC2690=1,"",INDEX(DATAS,AA2689+1)),INDEX(DATAS,AA2689+1)),"")</f>
        <v/>
      </c>
    </row>
    <row r="2690" customFormat="false" ht="15" hidden="false" customHeight="false" outlineLevel="0" collapsed="false">
      <c r="A2690" s="51" t="n">
        <v>46309</v>
      </c>
      <c r="B2690" s="0" t="n">
        <v>13</v>
      </c>
      <c r="C2690" s="0" t="n">
        <v>7042</v>
      </c>
      <c r="E2690" s="0" t="n">
        <v>0</v>
      </c>
      <c r="F2690" s="46" t="s">
        <v>1360</v>
      </c>
      <c r="I2690" s="46" t="s">
        <v>179</v>
      </c>
      <c r="U2690" s="0" t="n">
        <v>364</v>
      </c>
      <c r="V2690" s="0" t="n">
        <v>0</v>
      </c>
      <c r="X2690" s="46" t="n">
        <f aca="false">IF(I2690="Male",0,1)</f>
        <v>1</v>
      </c>
      <c r="Y2690" s="46" t="n">
        <f aca="false">IF(OR(I2690="DNB",I2690="Dry DNB"),1,0)</f>
        <v>0</v>
      </c>
      <c r="Z2690" s="0" t="str">
        <f aca="false">IF(ISNUMBER(W2690),A2690-W2690,"")</f>
        <v/>
      </c>
      <c r="AA2690" s="46" t="n">
        <f aca="false">MATCH(A2690,DATAS,0)</f>
        <v>1</v>
      </c>
      <c r="AB2690" s="46" t="n">
        <f aca="false">IF(AND(E2690&gt;0,OR(AND(B2690&gt;=1,B2690&lt;=6),B2690=10)),1,0)</f>
        <v>0</v>
      </c>
      <c r="AC2690" s="46" t="n">
        <f aca="false">IF(AND(E2690&gt;0,B2690=10),1,0)</f>
        <v>0</v>
      </c>
      <c r="AD2690" s="0" t="str">
        <f aca="false">IF(AND(C2689=C2690,AA2689=AA2690-1),AB2689,"")</f>
        <v/>
      </c>
      <c r="AE2690" s="0" t="str">
        <f aca="false">IF(AND(C2689=C2690,AA2689=AA2690-1),AC2689,"")</f>
        <v/>
      </c>
      <c r="AF2690" s="0" t="str">
        <f aca="false">IF(AA2690=1,"",IF(AND(AB2690=1,AD2690&lt;&gt;1),1,0))</f>
        <v/>
      </c>
      <c r="AG2690" s="0" t="str">
        <f aca="false">IF(AA2690=1,"",IF(AND(AC2690=1,AE2690&lt;&gt;1),1,0))</f>
        <v/>
      </c>
      <c r="AH2690" s="51" t="str">
        <f aca="false">IF(AND(E2690&gt;0,AA2690&lt;1,NOT(AND(C2691=C2690,AA2691=AA2690+1))),INDEX(DATAS,AA2690+1),"")</f>
        <v/>
      </c>
      <c r="AI2690" s="51" t="str">
        <f aca="false">IF(AND(AC2690=1,AA2690&lt;1),IF(AND(C2691=C2690,AA2691=AA2690+1),IF(AC2691=1,"",INDEX(DATAS,AA2690+1)),INDEX(DATAS,AA2690+1)),"")</f>
        <v/>
      </c>
    </row>
    <row r="2691" customFormat="false" ht="15" hidden="false" customHeight="false" outlineLevel="0" collapsed="false">
      <c r="A2691" s="51" t="n">
        <v>46309</v>
      </c>
      <c r="B2691" s="0" t="n">
        <v>13</v>
      </c>
      <c r="C2691" s="0" t="n">
        <v>7043</v>
      </c>
      <c r="E2691" s="0" t="n">
        <v>0</v>
      </c>
      <c r="F2691" s="46" t="s">
        <v>1360</v>
      </c>
      <c r="I2691" s="46" t="s">
        <v>179</v>
      </c>
      <c r="U2691" s="0" t="n">
        <v>364</v>
      </c>
      <c r="V2691" s="0" t="n">
        <v>0</v>
      </c>
      <c r="X2691" s="46" t="n">
        <f aca="false">IF(I2691="Male",0,1)</f>
        <v>1</v>
      </c>
      <c r="Y2691" s="46" t="n">
        <f aca="false">IF(OR(I2691="DNB",I2691="Dry DNB"),1,0)</f>
        <v>0</v>
      </c>
      <c r="Z2691" s="0" t="str">
        <f aca="false">IF(ISNUMBER(W2691),A2691-W2691,"")</f>
        <v/>
      </c>
      <c r="AA2691" s="46" t="n">
        <f aca="false">MATCH(A2691,DATAS,0)</f>
        <v>1</v>
      </c>
      <c r="AB2691" s="46" t="n">
        <f aca="false">IF(AND(E2691&gt;0,OR(AND(B2691&gt;=1,B2691&lt;=6),B2691=10)),1,0)</f>
        <v>0</v>
      </c>
      <c r="AC2691" s="46" t="n">
        <f aca="false">IF(AND(E2691&gt;0,B2691=10),1,0)</f>
        <v>0</v>
      </c>
      <c r="AD2691" s="0" t="str">
        <f aca="false">IF(AND(C2690=C2691,AA2690=AA2691-1),AB2690,"")</f>
        <v/>
      </c>
      <c r="AE2691" s="0" t="str">
        <f aca="false">IF(AND(C2690=C2691,AA2690=AA2691-1),AC2690,"")</f>
        <v/>
      </c>
      <c r="AF2691" s="0" t="str">
        <f aca="false">IF(AA2691=1,"",IF(AND(AB2691=1,AD2691&lt;&gt;1),1,0))</f>
        <v/>
      </c>
      <c r="AG2691" s="0" t="str">
        <f aca="false">IF(AA2691=1,"",IF(AND(AC2691=1,AE2691&lt;&gt;1),1,0))</f>
        <v/>
      </c>
      <c r="AH2691" s="51" t="str">
        <f aca="false">IF(AND(E2691&gt;0,AA2691&lt;1,NOT(AND(C2692=C2691,AA2692=AA2691+1))),INDEX(DATAS,AA2691+1),"")</f>
        <v/>
      </c>
      <c r="AI2691" s="51" t="str">
        <f aca="false">IF(AND(AC2691=1,AA2691&lt;1),IF(AND(C2692=C2691,AA2692=AA2691+1),IF(AC2692=1,"",INDEX(DATAS,AA2691+1)),INDEX(DATAS,AA2691+1)),"")</f>
        <v/>
      </c>
    </row>
    <row r="2692" customFormat="false" ht="15" hidden="false" customHeight="false" outlineLevel="0" collapsed="false">
      <c r="A2692" s="51" t="n">
        <v>46309</v>
      </c>
      <c r="B2692" s="0" t="n">
        <v>13</v>
      </c>
      <c r="C2692" s="0" t="n">
        <v>7044</v>
      </c>
      <c r="E2692" s="0" t="n">
        <v>0</v>
      </c>
      <c r="F2692" s="46" t="s">
        <v>1360</v>
      </c>
      <c r="I2692" s="46" t="s">
        <v>179</v>
      </c>
      <c r="U2692" s="0" t="n">
        <v>364</v>
      </c>
      <c r="V2692" s="0" t="n">
        <v>0</v>
      </c>
      <c r="X2692" s="46" t="n">
        <f aca="false">IF(I2692="Male",0,1)</f>
        <v>1</v>
      </c>
      <c r="Y2692" s="46" t="n">
        <f aca="false">IF(OR(I2692="DNB",I2692="Dry DNB"),1,0)</f>
        <v>0</v>
      </c>
      <c r="Z2692" s="0" t="str">
        <f aca="false">IF(ISNUMBER(W2692),A2692-W2692,"")</f>
        <v/>
      </c>
      <c r="AA2692" s="46" t="n">
        <f aca="false">MATCH(A2692,DATAS,0)</f>
        <v>1</v>
      </c>
      <c r="AB2692" s="46" t="n">
        <f aca="false">IF(AND(E2692&gt;0,OR(AND(B2692&gt;=1,B2692&lt;=6),B2692=10)),1,0)</f>
        <v>0</v>
      </c>
      <c r="AC2692" s="46" t="n">
        <f aca="false">IF(AND(E2692&gt;0,B2692=10),1,0)</f>
        <v>0</v>
      </c>
      <c r="AD2692" s="0" t="str">
        <f aca="false">IF(AND(C2691=C2692,AA2691=AA2692-1),AB2691,"")</f>
        <v/>
      </c>
      <c r="AE2692" s="0" t="str">
        <f aca="false">IF(AND(C2691=C2692,AA2691=AA2692-1),AC2691,"")</f>
        <v/>
      </c>
      <c r="AF2692" s="0" t="str">
        <f aca="false">IF(AA2692=1,"",IF(AND(AB2692=1,AD2692&lt;&gt;1),1,0))</f>
        <v/>
      </c>
      <c r="AG2692" s="0" t="str">
        <f aca="false">IF(AA2692=1,"",IF(AND(AC2692=1,AE2692&lt;&gt;1),1,0))</f>
        <v/>
      </c>
      <c r="AH2692" s="51" t="str">
        <f aca="false">IF(AND(E2692&gt;0,AA2692&lt;1,NOT(AND(C2693=C2692,AA2693=AA2692+1))),INDEX(DATAS,AA2692+1),"")</f>
        <v/>
      </c>
      <c r="AI2692" s="51" t="str">
        <f aca="false">IF(AND(AC2692=1,AA2692&lt;1),IF(AND(C2693=C2692,AA2693=AA2692+1),IF(AC2693=1,"",INDEX(DATAS,AA2692+1)),INDEX(DATAS,AA2692+1)),"")</f>
        <v/>
      </c>
    </row>
    <row r="2693" customFormat="false" ht="15" hidden="false" customHeight="false" outlineLevel="0" collapsed="false">
      <c r="A2693" s="51" t="n">
        <v>46309</v>
      </c>
      <c r="B2693" s="0" t="n">
        <v>13</v>
      </c>
      <c r="C2693" s="0" t="n">
        <v>7045</v>
      </c>
      <c r="E2693" s="0" t="n">
        <v>0</v>
      </c>
      <c r="F2693" s="46" t="s">
        <v>1362</v>
      </c>
      <c r="I2693" s="46" t="s">
        <v>179</v>
      </c>
      <c r="U2693" s="0" t="n">
        <v>363</v>
      </c>
      <c r="V2693" s="0" t="n">
        <v>0</v>
      </c>
      <c r="X2693" s="46" t="n">
        <f aca="false">IF(I2693="Male",0,1)</f>
        <v>1</v>
      </c>
      <c r="Y2693" s="46" t="n">
        <f aca="false">IF(OR(I2693="DNB",I2693="Dry DNB"),1,0)</f>
        <v>0</v>
      </c>
      <c r="Z2693" s="0" t="str">
        <f aca="false">IF(ISNUMBER(W2693),A2693-W2693,"")</f>
        <v/>
      </c>
      <c r="AA2693" s="46" t="n">
        <f aca="false">MATCH(A2693,DATAS,0)</f>
        <v>1</v>
      </c>
      <c r="AB2693" s="46" t="n">
        <f aca="false">IF(AND(E2693&gt;0,OR(AND(B2693&gt;=1,B2693&lt;=6),B2693=10)),1,0)</f>
        <v>0</v>
      </c>
      <c r="AC2693" s="46" t="n">
        <f aca="false">IF(AND(E2693&gt;0,B2693=10),1,0)</f>
        <v>0</v>
      </c>
      <c r="AD2693" s="0" t="str">
        <f aca="false">IF(AND(C2692=C2693,AA2692=AA2693-1),AB2692,"")</f>
        <v/>
      </c>
      <c r="AE2693" s="0" t="str">
        <f aca="false">IF(AND(C2692=C2693,AA2692=AA2693-1),AC2692,"")</f>
        <v/>
      </c>
      <c r="AF2693" s="0" t="str">
        <f aca="false">IF(AA2693=1,"",IF(AND(AB2693=1,AD2693&lt;&gt;1),1,0))</f>
        <v/>
      </c>
      <c r="AG2693" s="0" t="str">
        <f aca="false">IF(AA2693=1,"",IF(AND(AC2693=1,AE2693&lt;&gt;1),1,0))</f>
        <v/>
      </c>
      <c r="AH2693" s="51" t="str">
        <f aca="false">IF(AND(E2693&gt;0,AA2693&lt;1,NOT(AND(C2694=C2693,AA2694=AA2693+1))),INDEX(DATAS,AA2693+1),"")</f>
        <v/>
      </c>
      <c r="AI2693" s="51" t="str">
        <f aca="false">IF(AND(AC2693=1,AA2693&lt;1),IF(AND(C2694=C2693,AA2694=AA2693+1),IF(AC2694=1,"",INDEX(DATAS,AA2693+1)),INDEX(DATAS,AA2693+1)),"")</f>
        <v/>
      </c>
    </row>
    <row r="2694" customFormat="false" ht="15" hidden="false" customHeight="false" outlineLevel="0" collapsed="false">
      <c r="A2694" s="51" t="n">
        <v>46309</v>
      </c>
      <c r="B2694" s="0" t="n">
        <v>13</v>
      </c>
      <c r="C2694" s="0" t="n">
        <v>7046</v>
      </c>
      <c r="E2694" s="0" t="n">
        <v>0</v>
      </c>
      <c r="F2694" s="46" t="s">
        <v>1361</v>
      </c>
      <c r="I2694" s="46" t="s">
        <v>179</v>
      </c>
      <c r="U2694" s="0" t="n">
        <v>362</v>
      </c>
      <c r="V2694" s="0" t="n">
        <v>0</v>
      </c>
      <c r="X2694" s="46" t="n">
        <f aca="false">IF(I2694="Male",0,1)</f>
        <v>1</v>
      </c>
      <c r="Y2694" s="46" t="n">
        <f aca="false">IF(OR(I2694="DNB",I2694="Dry DNB"),1,0)</f>
        <v>0</v>
      </c>
      <c r="Z2694" s="0" t="str">
        <f aca="false">IF(ISNUMBER(W2694),A2694-W2694,"")</f>
        <v/>
      </c>
      <c r="AA2694" s="46" t="n">
        <f aca="false">MATCH(A2694,DATAS,0)</f>
        <v>1</v>
      </c>
      <c r="AB2694" s="46" t="n">
        <f aca="false">IF(AND(E2694&gt;0,OR(AND(B2694&gt;=1,B2694&lt;=6),B2694=10)),1,0)</f>
        <v>0</v>
      </c>
      <c r="AC2694" s="46" t="n">
        <f aca="false">IF(AND(E2694&gt;0,B2694=10),1,0)</f>
        <v>0</v>
      </c>
      <c r="AD2694" s="0" t="str">
        <f aca="false">IF(AND(C2693=C2694,AA2693=AA2694-1),AB2693,"")</f>
        <v/>
      </c>
      <c r="AE2694" s="0" t="str">
        <f aca="false">IF(AND(C2693=C2694,AA2693=AA2694-1),AC2693,"")</f>
        <v/>
      </c>
      <c r="AF2694" s="0" t="str">
        <f aca="false">IF(AA2694=1,"",IF(AND(AB2694=1,AD2694&lt;&gt;1),1,0))</f>
        <v/>
      </c>
      <c r="AG2694" s="0" t="str">
        <f aca="false">IF(AA2694=1,"",IF(AND(AC2694=1,AE2694&lt;&gt;1),1,0))</f>
        <v/>
      </c>
      <c r="AH2694" s="51" t="str">
        <f aca="false">IF(AND(E2694&gt;0,AA2694&lt;1,NOT(AND(C2695=C2694,AA2695=AA2694+1))),INDEX(DATAS,AA2694+1),"")</f>
        <v/>
      </c>
      <c r="AI2694" s="51" t="str">
        <f aca="false">IF(AND(AC2694=1,AA2694&lt;1),IF(AND(C2695=C2694,AA2695=AA2694+1),IF(AC2695=1,"",INDEX(DATAS,AA2694+1)),INDEX(DATAS,AA2694+1)),"")</f>
        <v/>
      </c>
    </row>
    <row r="2695" customFormat="false" ht="15" hidden="false" customHeight="false" outlineLevel="0" collapsed="false">
      <c r="A2695" s="51" t="n">
        <v>46309</v>
      </c>
      <c r="B2695" s="0" t="n">
        <v>13</v>
      </c>
      <c r="C2695" s="0" t="n">
        <v>7047</v>
      </c>
      <c r="E2695" s="0" t="n">
        <v>0</v>
      </c>
      <c r="F2695" s="46" t="s">
        <v>1361</v>
      </c>
      <c r="I2695" s="46" t="s">
        <v>179</v>
      </c>
      <c r="U2695" s="0" t="n">
        <v>362</v>
      </c>
      <c r="V2695" s="0" t="n">
        <v>0</v>
      </c>
      <c r="X2695" s="46" t="n">
        <f aca="false">IF(I2695="Male",0,1)</f>
        <v>1</v>
      </c>
      <c r="Y2695" s="46" t="n">
        <f aca="false">IF(OR(I2695="DNB",I2695="Dry DNB"),1,0)</f>
        <v>0</v>
      </c>
      <c r="Z2695" s="0" t="str">
        <f aca="false">IF(ISNUMBER(W2695),A2695-W2695,"")</f>
        <v/>
      </c>
      <c r="AA2695" s="46" t="n">
        <f aca="false">MATCH(A2695,DATAS,0)</f>
        <v>1</v>
      </c>
      <c r="AB2695" s="46" t="n">
        <f aca="false">IF(AND(E2695&gt;0,OR(AND(B2695&gt;=1,B2695&lt;=6),B2695=10)),1,0)</f>
        <v>0</v>
      </c>
      <c r="AC2695" s="46" t="n">
        <f aca="false">IF(AND(E2695&gt;0,B2695=10),1,0)</f>
        <v>0</v>
      </c>
      <c r="AD2695" s="0" t="str">
        <f aca="false">IF(AND(C2694=C2695,AA2694=AA2695-1),AB2694,"")</f>
        <v/>
      </c>
      <c r="AE2695" s="0" t="str">
        <f aca="false">IF(AND(C2694=C2695,AA2694=AA2695-1),AC2694,"")</f>
        <v/>
      </c>
      <c r="AF2695" s="0" t="str">
        <f aca="false">IF(AA2695=1,"",IF(AND(AB2695=1,AD2695&lt;&gt;1),1,0))</f>
        <v/>
      </c>
      <c r="AG2695" s="0" t="str">
        <f aca="false">IF(AA2695=1,"",IF(AND(AC2695=1,AE2695&lt;&gt;1),1,0))</f>
        <v/>
      </c>
      <c r="AH2695" s="51" t="str">
        <f aca="false">IF(AND(E2695&gt;0,AA2695&lt;1,NOT(AND(C2696=C2695,AA2696=AA2695+1))),INDEX(DATAS,AA2695+1),"")</f>
        <v/>
      </c>
      <c r="AI2695" s="51" t="str">
        <f aca="false">IF(AND(AC2695=1,AA2695&lt;1),IF(AND(C2696=C2695,AA2696=AA2695+1),IF(AC2696=1,"",INDEX(DATAS,AA2695+1)),INDEX(DATAS,AA2695+1)),"")</f>
        <v/>
      </c>
    </row>
    <row r="2696" customFormat="false" ht="15" hidden="false" customHeight="false" outlineLevel="0" collapsed="false">
      <c r="A2696" s="51" t="n">
        <v>46309</v>
      </c>
      <c r="B2696" s="0" t="n">
        <v>13</v>
      </c>
      <c r="C2696" s="0" t="n">
        <v>7048</v>
      </c>
      <c r="E2696" s="0" t="n">
        <v>0</v>
      </c>
      <c r="F2696" s="46" t="s">
        <v>1363</v>
      </c>
      <c r="I2696" s="46" t="s">
        <v>179</v>
      </c>
      <c r="U2696" s="0" t="n">
        <v>361</v>
      </c>
      <c r="V2696" s="0" t="n">
        <v>0</v>
      </c>
      <c r="X2696" s="46" t="n">
        <f aca="false">IF(I2696="Male",0,1)</f>
        <v>1</v>
      </c>
      <c r="Y2696" s="46" t="n">
        <f aca="false">IF(OR(I2696="DNB",I2696="Dry DNB"),1,0)</f>
        <v>0</v>
      </c>
      <c r="Z2696" s="0" t="str">
        <f aca="false">IF(ISNUMBER(W2696),A2696-W2696,"")</f>
        <v/>
      </c>
      <c r="AA2696" s="46" t="n">
        <f aca="false">MATCH(A2696,DATAS,0)</f>
        <v>1</v>
      </c>
      <c r="AB2696" s="46" t="n">
        <f aca="false">IF(AND(E2696&gt;0,OR(AND(B2696&gt;=1,B2696&lt;=6),B2696=10)),1,0)</f>
        <v>0</v>
      </c>
      <c r="AC2696" s="46" t="n">
        <f aca="false">IF(AND(E2696&gt;0,B2696=10),1,0)</f>
        <v>0</v>
      </c>
      <c r="AD2696" s="0" t="str">
        <f aca="false">IF(AND(C2695=C2696,AA2695=AA2696-1),AB2695,"")</f>
        <v/>
      </c>
      <c r="AE2696" s="0" t="str">
        <f aca="false">IF(AND(C2695=C2696,AA2695=AA2696-1),AC2695,"")</f>
        <v/>
      </c>
      <c r="AF2696" s="0" t="str">
        <f aca="false">IF(AA2696=1,"",IF(AND(AB2696=1,AD2696&lt;&gt;1),1,0))</f>
        <v/>
      </c>
      <c r="AG2696" s="0" t="str">
        <f aca="false">IF(AA2696=1,"",IF(AND(AC2696=1,AE2696&lt;&gt;1),1,0))</f>
        <v/>
      </c>
      <c r="AH2696" s="51" t="str">
        <f aca="false">IF(AND(E2696&gt;0,AA2696&lt;1,NOT(AND(C2697=C2696,AA2697=AA2696+1))),INDEX(DATAS,AA2696+1),"")</f>
        <v/>
      </c>
      <c r="AI2696" s="51" t="str">
        <f aca="false">IF(AND(AC2696=1,AA2696&lt;1),IF(AND(C2697=C2696,AA2697=AA2696+1),IF(AC2697=1,"",INDEX(DATAS,AA2696+1)),INDEX(DATAS,AA2696+1)),"")</f>
        <v/>
      </c>
    </row>
    <row r="2697" customFormat="false" ht="15" hidden="false" customHeight="false" outlineLevel="0" collapsed="false">
      <c r="A2697" s="51" t="n">
        <v>46309</v>
      </c>
      <c r="B2697" s="0" t="n">
        <v>13</v>
      </c>
      <c r="C2697" s="0" t="n">
        <v>7049</v>
      </c>
      <c r="E2697" s="0" t="n">
        <v>0</v>
      </c>
      <c r="F2697" s="46" t="s">
        <v>1363</v>
      </c>
      <c r="I2697" s="46" t="s">
        <v>179</v>
      </c>
      <c r="U2697" s="0" t="n">
        <v>361</v>
      </c>
      <c r="V2697" s="0" t="n">
        <v>0</v>
      </c>
      <c r="X2697" s="46" t="n">
        <f aca="false">IF(I2697="Male",0,1)</f>
        <v>1</v>
      </c>
      <c r="Y2697" s="46" t="n">
        <f aca="false">IF(OR(I2697="DNB",I2697="Dry DNB"),1,0)</f>
        <v>0</v>
      </c>
      <c r="Z2697" s="0" t="str">
        <f aca="false">IF(ISNUMBER(W2697),A2697-W2697,"")</f>
        <v/>
      </c>
      <c r="AA2697" s="46" t="n">
        <f aca="false">MATCH(A2697,DATAS,0)</f>
        <v>1</v>
      </c>
      <c r="AB2697" s="46" t="n">
        <f aca="false">IF(AND(E2697&gt;0,OR(AND(B2697&gt;=1,B2697&lt;=6),B2697=10)),1,0)</f>
        <v>0</v>
      </c>
      <c r="AC2697" s="46" t="n">
        <f aca="false">IF(AND(E2697&gt;0,B2697=10),1,0)</f>
        <v>0</v>
      </c>
      <c r="AD2697" s="0" t="str">
        <f aca="false">IF(AND(C2696=C2697,AA2696=AA2697-1),AB2696,"")</f>
        <v/>
      </c>
      <c r="AE2697" s="0" t="str">
        <f aca="false">IF(AND(C2696=C2697,AA2696=AA2697-1),AC2696,"")</f>
        <v/>
      </c>
      <c r="AF2697" s="0" t="str">
        <f aca="false">IF(AA2697=1,"",IF(AND(AB2697=1,AD2697&lt;&gt;1),1,0))</f>
        <v/>
      </c>
      <c r="AG2697" s="0" t="str">
        <f aca="false">IF(AA2697=1,"",IF(AND(AC2697=1,AE2697&lt;&gt;1),1,0))</f>
        <v/>
      </c>
      <c r="AH2697" s="51" t="str">
        <f aca="false">IF(AND(E2697&gt;0,AA2697&lt;1,NOT(AND(C2698=C2697,AA2698=AA2697+1))),INDEX(DATAS,AA2697+1),"")</f>
        <v/>
      </c>
      <c r="AI2697" s="51" t="str">
        <f aca="false">IF(AND(AC2697=1,AA2697&lt;1),IF(AND(C2698=C2697,AA2698=AA2697+1),IF(AC2698=1,"",INDEX(DATAS,AA2697+1)),INDEX(DATAS,AA2697+1)),"")</f>
        <v/>
      </c>
    </row>
    <row r="2698" customFormat="false" ht="15" hidden="false" customHeight="false" outlineLevel="0" collapsed="false">
      <c r="A2698" s="51" t="n">
        <v>46309</v>
      </c>
      <c r="B2698" s="0" t="n">
        <v>13</v>
      </c>
      <c r="C2698" s="0" t="n">
        <v>7050</v>
      </c>
      <c r="E2698" s="0" t="n">
        <v>0</v>
      </c>
      <c r="F2698" s="46" t="s">
        <v>1364</v>
      </c>
      <c r="I2698" s="46" t="s">
        <v>179</v>
      </c>
      <c r="U2698" s="0" t="n">
        <v>360</v>
      </c>
      <c r="V2698" s="0" t="n">
        <v>0</v>
      </c>
      <c r="X2698" s="46" t="n">
        <f aca="false">IF(I2698="Male",0,1)</f>
        <v>1</v>
      </c>
      <c r="Y2698" s="46" t="n">
        <f aca="false">IF(OR(I2698="DNB",I2698="Dry DNB"),1,0)</f>
        <v>0</v>
      </c>
      <c r="Z2698" s="0" t="str">
        <f aca="false">IF(ISNUMBER(W2698),A2698-W2698,"")</f>
        <v/>
      </c>
      <c r="AA2698" s="46" t="n">
        <f aca="false">MATCH(A2698,DATAS,0)</f>
        <v>1</v>
      </c>
      <c r="AB2698" s="46" t="n">
        <f aca="false">IF(AND(E2698&gt;0,OR(AND(B2698&gt;=1,B2698&lt;=6),B2698=10)),1,0)</f>
        <v>0</v>
      </c>
      <c r="AC2698" s="46" t="n">
        <f aca="false">IF(AND(E2698&gt;0,B2698=10),1,0)</f>
        <v>0</v>
      </c>
      <c r="AD2698" s="0" t="str">
        <f aca="false">IF(AND(C2697=C2698,AA2697=AA2698-1),AB2697,"")</f>
        <v/>
      </c>
      <c r="AE2698" s="0" t="str">
        <f aca="false">IF(AND(C2697=C2698,AA2697=AA2698-1),AC2697,"")</f>
        <v/>
      </c>
      <c r="AF2698" s="0" t="str">
        <f aca="false">IF(AA2698=1,"",IF(AND(AB2698=1,AD2698&lt;&gt;1),1,0))</f>
        <v/>
      </c>
      <c r="AG2698" s="0" t="str">
        <f aca="false">IF(AA2698=1,"",IF(AND(AC2698=1,AE2698&lt;&gt;1),1,0))</f>
        <v/>
      </c>
      <c r="AH2698" s="51" t="str">
        <f aca="false">IF(AND(E2698&gt;0,AA2698&lt;1,NOT(AND(C2699=C2698,AA2699=AA2698+1))),INDEX(DATAS,AA2698+1),"")</f>
        <v/>
      </c>
      <c r="AI2698" s="51" t="str">
        <f aca="false">IF(AND(AC2698=1,AA2698&lt;1),IF(AND(C2699=C2698,AA2699=AA2698+1),IF(AC2699=1,"",INDEX(DATAS,AA2698+1)),INDEX(DATAS,AA2698+1)),"")</f>
        <v/>
      </c>
    </row>
    <row r="2699" customFormat="false" ht="15" hidden="false" customHeight="false" outlineLevel="0" collapsed="false">
      <c r="A2699" s="51" t="n">
        <v>46309</v>
      </c>
      <c r="B2699" s="0" t="n">
        <v>13</v>
      </c>
      <c r="C2699" s="0" t="n">
        <v>7051</v>
      </c>
      <c r="E2699" s="0" t="n">
        <v>0</v>
      </c>
      <c r="F2699" s="46" t="s">
        <v>1363</v>
      </c>
      <c r="I2699" s="46" t="s">
        <v>179</v>
      </c>
      <c r="U2699" s="0" t="n">
        <v>361</v>
      </c>
      <c r="V2699" s="0" t="n">
        <v>0</v>
      </c>
      <c r="X2699" s="46" t="n">
        <f aca="false">IF(I2699="Male",0,1)</f>
        <v>1</v>
      </c>
      <c r="Y2699" s="46" t="n">
        <f aca="false">IF(OR(I2699="DNB",I2699="Dry DNB"),1,0)</f>
        <v>0</v>
      </c>
      <c r="Z2699" s="0" t="str">
        <f aca="false">IF(ISNUMBER(W2699),A2699-W2699,"")</f>
        <v/>
      </c>
      <c r="AA2699" s="46" t="n">
        <f aca="false">MATCH(A2699,DATAS,0)</f>
        <v>1</v>
      </c>
      <c r="AB2699" s="46" t="n">
        <f aca="false">IF(AND(E2699&gt;0,OR(AND(B2699&gt;=1,B2699&lt;=6),B2699=10)),1,0)</f>
        <v>0</v>
      </c>
      <c r="AC2699" s="46" t="n">
        <f aca="false">IF(AND(E2699&gt;0,B2699=10),1,0)</f>
        <v>0</v>
      </c>
      <c r="AD2699" s="0" t="str">
        <f aca="false">IF(AND(C2698=C2699,AA2698=AA2699-1),AB2698,"")</f>
        <v/>
      </c>
      <c r="AE2699" s="0" t="str">
        <f aca="false">IF(AND(C2698=C2699,AA2698=AA2699-1),AC2698,"")</f>
        <v/>
      </c>
      <c r="AF2699" s="0" t="str">
        <f aca="false">IF(AA2699=1,"",IF(AND(AB2699=1,AD2699&lt;&gt;1),1,0))</f>
        <v/>
      </c>
      <c r="AG2699" s="0" t="str">
        <f aca="false">IF(AA2699=1,"",IF(AND(AC2699=1,AE2699&lt;&gt;1),1,0))</f>
        <v/>
      </c>
      <c r="AH2699" s="51" t="str">
        <f aca="false">IF(AND(E2699&gt;0,AA2699&lt;1,NOT(AND(C2700=C2699,AA2700=AA2699+1))),INDEX(DATAS,AA2699+1),"")</f>
        <v/>
      </c>
      <c r="AI2699" s="51" t="str">
        <f aca="false">IF(AND(AC2699=1,AA2699&lt;1),IF(AND(C2700=C2699,AA2700=AA2699+1),IF(AC2700=1,"",INDEX(DATAS,AA2699+1)),INDEX(DATAS,AA2699+1)),"")</f>
        <v/>
      </c>
    </row>
    <row r="2700" customFormat="false" ht="15" hidden="false" customHeight="false" outlineLevel="0" collapsed="false">
      <c r="A2700" s="51" t="n">
        <v>46309</v>
      </c>
      <c r="B2700" s="0" t="n">
        <v>13</v>
      </c>
      <c r="C2700" s="0" t="n">
        <v>7052</v>
      </c>
      <c r="E2700" s="0" t="n">
        <v>0</v>
      </c>
      <c r="F2700" s="46" t="s">
        <v>1364</v>
      </c>
      <c r="I2700" s="46" t="s">
        <v>179</v>
      </c>
      <c r="U2700" s="0" t="n">
        <v>360</v>
      </c>
      <c r="V2700" s="0" t="n">
        <v>0</v>
      </c>
      <c r="X2700" s="46" t="n">
        <f aca="false">IF(I2700="Male",0,1)</f>
        <v>1</v>
      </c>
      <c r="Y2700" s="46" t="n">
        <f aca="false">IF(OR(I2700="DNB",I2700="Dry DNB"),1,0)</f>
        <v>0</v>
      </c>
      <c r="Z2700" s="0" t="str">
        <f aca="false">IF(ISNUMBER(W2700),A2700-W2700,"")</f>
        <v/>
      </c>
      <c r="AA2700" s="46" t="n">
        <f aca="false">MATCH(A2700,DATAS,0)</f>
        <v>1</v>
      </c>
      <c r="AB2700" s="46" t="n">
        <f aca="false">IF(AND(E2700&gt;0,OR(AND(B2700&gt;=1,B2700&lt;=6),B2700=10)),1,0)</f>
        <v>0</v>
      </c>
      <c r="AC2700" s="46" t="n">
        <f aca="false">IF(AND(E2700&gt;0,B2700=10),1,0)</f>
        <v>0</v>
      </c>
      <c r="AD2700" s="0" t="str">
        <f aca="false">IF(AND(C2699=C2700,AA2699=AA2700-1),AB2699,"")</f>
        <v/>
      </c>
      <c r="AE2700" s="0" t="str">
        <f aca="false">IF(AND(C2699=C2700,AA2699=AA2700-1),AC2699,"")</f>
        <v/>
      </c>
      <c r="AF2700" s="0" t="str">
        <f aca="false">IF(AA2700=1,"",IF(AND(AB2700=1,AD2700&lt;&gt;1),1,0))</f>
        <v/>
      </c>
      <c r="AG2700" s="0" t="str">
        <f aca="false">IF(AA2700=1,"",IF(AND(AC2700=1,AE2700&lt;&gt;1),1,0))</f>
        <v/>
      </c>
      <c r="AH2700" s="51" t="str">
        <f aca="false">IF(AND(E2700&gt;0,AA2700&lt;1,NOT(AND(C2701=C2700,AA2701=AA2700+1))),INDEX(DATAS,AA2700+1),"")</f>
        <v/>
      </c>
      <c r="AI2700" s="51" t="str">
        <f aca="false">IF(AND(AC2700=1,AA2700&lt;1),IF(AND(C2701=C2700,AA2701=AA2700+1),IF(AC2701=1,"",INDEX(DATAS,AA2700+1)),INDEX(DATAS,AA2700+1)),"")</f>
        <v/>
      </c>
    </row>
    <row r="2701" customFormat="false" ht="15" hidden="false" customHeight="false" outlineLevel="0" collapsed="false">
      <c r="A2701" s="51" t="n">
        <v>46309</v>
      </c>
      <c r="B2701" s="0" t="n">
        <v>13</v>
      </c>
      <c r="C2701" s="0" t="n">
        <v>7053</v>
      </c>
      <c r="E2701" s="0" t="n">
        <v>0</v>
      </c>
      <c r="F2701" s="46" t="s">
        <v>1365</v>
      </c>
      <c r="I2701" s="46" t="s">
        <v>179</v>
      </c>
      <c r="U2701" s="0" t="n">
        <v>359</v>
      </c>
      <c r="V2701" s="0" t="n">
        <v>0</v>
      </c>
      <c r="X2701" s="46" t="n">
        <f aca="false">IF(I2701="Male",0,1)</f>
        <v>1</v>
      </c>
      <c r="Y2701" s="46" t="n">
        <f aca="false">IF(OR(I2701="DNB",I2701="Dry DNB"),1,0)</f>
        <v>0</v>
      </c>
      <c r="Z2701" s="0" t="str">
        <f aca="false">IF(ISNUMBER(W2701),A2701-W2701,"")</f>
        <v/>
      </c>
      <c r="AA2701" s="46" t="n">
        <f aca="false">MATCH(A2701,DATAS,0)</f>
        <v>1</v>
      </c>
      <c r="AB2701" s="46" t="n">
        <f aca="false">IF(AND(E2701&gt;0,OR(AND(B2701&gt;=1,B2701&lt;=6),B2701=10)),1,0)</f>
        <v>0</v>
      </c>
      <c r="AC2701" s="46" t="n">
        <f aca="false">IF(AND(E2701&gt;0,B2701=10),1,0)</f>
        <v>0</v>
      </c>
      <c r="AD2701" s="0" t="str">
        <f aca="false">IF(AND(C2700=C2701,AA2700=AA2701-1),AB2700,"")</f>
        <v/>
      </c>
      <c r="AE2701" s="0" t="str">
        <f aca="false">IF(AND(C2700=C2701,AA2700=AA2701-1),AC2700,"")</f>
        <v/>
      </c>
      <c r="AF2701" s="0" t="str">
        <f aca="false">IF(AA2701=1,"",IF(AND(AB2701=1,AD2701&lt;&gt;1),1,0))</f>
        <v/>
      </c>
      <c r="AG2701" s="0" t="str">
        <f aca="false">IF(AA2701=1,"",IF(AND(AC2701=1,AE2701&lt;&gt;1),1,0))</f>
        <v/>
      </c>
      <c r="AH2701" s="51" t="str">
        <f aca="false">IF(AND(E2701&gt;0,AA2701&lt;1,NOT(AND(C2702=C2701,AA2702=AA2701+1))),INDEX(DATAS,AA2701+1),"")</f>
        <v/>
      </c>
      <c r="AI2701" s="51" t="str">
        <f aca="false">IF(AND(AC2701=1,AA2701&lt;1),IF(AND(C2702=C2701,AA2702=AA2701+1),IF(AC2702=1,"",INDEX(DATAS,AA2701+1)),INDEX(DATAS,AA2701+1)),"")</f>
        <v/>
      </c>
    </row>
    <row r="2702" customFormat="false" ht="15" hidden="false" customHeight="false" outlineLevel="0" collapsed="false">
      <c r="A2702" s="51" t="n">
        <v>46309</v>
      </c>
      <c r="B2702" s="0" t="n">
        <v>13</v>
      </c>
      <c r="C2702" s="0" t="n">
        <v>7054</v>
      </c>
      <c r="E2702" s="0" t="n">
        <v>0</v>
      </c>
      <c r="F2702" s="46" t="s">
        <v>1366</v>
      </c>
      <c r="I2702" s="46" t="s">
        <v>179</v>
      </c>
      <c r="U2702" s="0" t="n">
        <v>358</v>
      </c>
      <c r="V2702" s="0" t="n">
        <v>0</v>
      </c>
      <c r="X2702" s="46" t="n">
        <f aca="false">IF(I2702="Male",0,1)</f>
        <v>1</v>
      </c>
      <c r="Y2702" s="46" t="n">
        <f aca="false">IF(OR(I2702="DNB",I2702="Dry DNB"),1,0)</f>
        <v>0</v>
      </c>
      <c r="Z2702" s="0" t="str">
        <f aca="false">IF(ISNUMBER(W2702),A2702-W2702,"")</f>
        <v/>
      </c>
      <c r="AA2702" s="46" t="n">
        <f aca="false">MATCH(A2702,DATAS,0)</f>
        <v>1</v>
      </c>
      <c r="AB2702" s="46" t="n">
        <f aca="false">IF(AND(E2702&gt;0,OR(AND(B2702&gt;=1,B2702&lt;=6),B2702=10)),1,0)</f>
        <v>0</v>
      </c>
      <c r="AC2702" s="46" t="n">
        <f aca="false">IF(AND(E2702&gt;0,B2702=10),1,0)</f>
        <v>0</v>
      </c>
      <c r="AD2702" s="0" t="str">
        <f aca="false">IF(AND(C2701=C2702,AA2701=AA2702-1),AB2701,"")</f>
        <v/>
      </c>
      <c r="AE2702" s="0" t="str">
        <f aca="false">IF(AND(C2701=C2702,AA2701=AA2702-1),AC2701,"")</f>
        <v/>
      </c>
      <c r="AF2702" s="0" t="str">
        <f aca="false">IF(AA2702=1,"",IF(AND(AB2702=1,AD2702&lt;&gt;1),1,0))</f>
        <v/>
      </c>
      <c r="AG2702" s="0" t="str">
        <f aca="false">IF(AA2702=1,"",IF(AND(AC2702=1,AE2702&lt;&gt;1),1,0))</f>
        <v/>
      </c>
      <c r="AH2702" s="51" t="str">
        <f aca="false">IF(AND(E2702&gt;0,AA2702&lt;1,NOT(AND(C2703=C2702,AA2703=AA2702+1))),INDEX(DATAS,AA2702+1),"")</f>
        <v/>
      </c>
      <c r="AI2702" s="51" t="str">
        <f aca="false">IF(AND(AC2702=1,AA2702&lt;1),IF(AND(C2703=C2702,AA2703=AA2702+1),IF(AC2703=1,"",INDEX(DATAS,AA2702+1)),INDEX(DATAS,AA2702+1)),"")</f>
        <v/>
      </c>
    </row>
    <row r="2703" customFormat="false" ht="15" hidden="false" customHeight="false" outlineLevel="0" collapsed="false">
      <c r="A2703" s="51" t="n">
        <v>46309</v>
      </c>
      <c r="B2703" s="0" t="n">
        <v>13</v>
      </c>
      <c r="C2703" s="0" t="n">
        <v>7056</v>
      </c>
      <c r="E2703" s="0" t="n">
        <v>0</v>
      </c>
      <c r="F2703" s="46" t="s">
        <v>1367</v>
      </c>
      <c r="I2703" s="46" t="s">
        <v>179</v>
      </c>
      <c r="U2703" s="0" t="n">
        <v>357</v>
      </c>
      <c r="V2703" s="0" t="n">
        <v>0</v>
      </c>
      <c r="X2703" s="46" t="n">
        <f aca="false">IF(I2703="Male",0,1)</f>
        <v>1</v>
      </c>
      <c r="Y2703" s="46" t="n">
        <f aca="false">IF(OR(I2703="DNB",I2703="Dry DNB"),1,0)</f>
        <v>0</v>
      </c>
      <c r="Z2703" s="0" t="str">
        <f aca="false">IF(ISNUMBER(W2703),A2703-W2703,"")</f>
        <v/>
      </c>
      <c r="AA2703" s="46" t="n">
        <f aca="false">MATCH(A2703,DATAS,0)</f>
        <v>1</v>
      </c>
      <c r="AB2703" s="46" t="n">
        <f aca="false">IF(AND(E2703&gt;0,OR(AND(B2703&gt;=1,B2703&lt;=6),B2703=10)),1,0)</f>
        <v>0</v>
      </c>
      <c r="AC2703" s="46" t="n">
        <f aca="false">IF(AND(E2703&gt;0,B2703=10),1,0)</f>
        <v>0</v>
      </c>
      <c r="AD2703" s="0" t="str">
        <f aca="false">IF(AND(C2702=C2703,AA2702=AA2703-1),AB2702,"")</f>
        <v/>
      </c>
      <c r="AE2703" s="0" t="str">
        <f aca="false">IF(AND(C2702=C2703,AA2702=AA2703-1),AC2702,"")</f>
        <v/>
      </c>
      <c r="AF2703" s="0" t="str">
        <f aca="false">IF(AA2703=1,"",IF(AND(AB2703=1,AD2703&lt;&gt;1),1,0))</f>
        <v/>
      </c>
      <c r="AG2703" s="0" t="str">
        <f aca="false">IF(AA2703=1,"",IF(AND(AC2703=1,AE2703&lt;&gt;1),1,0))</f>
        <v/>
      </c>
      <c r="AH2703" s="51" t="str">
        <f aca="false">IF(AND(E2703&gt;0,AA2703&lt;1,NOT(AND(C2704=C2703,AA2704=AA2703+1))),INDEX(DATAS,AA2703+1),"")</f>
        <v/>
      </c>
      <c r="AI2703" s="51" t="str">
        <f aca="false">IF(AND(AC2703=1,AA2703&lt;1),IF(AND(C2704=C2703,AA2704=AA2703+1),IF(AC2704=1,"",INDEX(DATAS,AA2703+1)),INDEX(DATAS,AA2703+1)),"")</f>
        <v/>
      </c>
    </row>
    <row r="2704" customFormat="false" ht="15" hidden="false" customHeight="false" outlineLevel="0" collapsed="false">
      <c r="A2704" s="51" t="n">
        <v>46309</v>
      </c>
      <c r="B2704" s="0" t="n">
        <v>13</v>
      </c>
      <c r="C2704" s="0" t="n">
        <v>7057</v>
      </c>
      <c r="E2704" s="0" t="n">
        <v>0</v>
      </c>
      <c r="F2704" s="46" t="s">
        <v>1367</v>
      </c>
      <c r="I2704" s="46" t="s">
        <v>179</v>
      </c>
      <c r="U2704" s="0" t="n">
        <v>357</v>
      </c>
      <c r="V2704" s="0" t="n">
        <v>0</v>
      </c>
      <c r="X2704" s="46" t="n">
        <f aca="false">IF(I2704="Male",0,1)</f>
        <v>1</v>
      </c>
      <c r="Y2704" s="46" t="n">
        <f aca="false">IF(OR(I2704="DNB",I2704="Dry DNB"),1,0)</f>
        <v>0</v>
      </c>
      <c r="Z2704" s="0" t="str">
        <f aca="false">IF(ISNUMBER(W2704),A2704-W2704,"")</f>
        <v/>
      </c>
      <c r="AA2704" s="46" t="n">
        <f aca="false">MATCH(A2704,DATAS,0)</f>
        <v>1</v>
      </c>
      <c r="AB2704" s="46" t="n">
        <f aca="false">IF(AND(E2704&gt;0,OR(AND(B2704&gt;=1,B2704&lt;=6),B2704=10)),1,0)</f>
        <v>0</v>
      </c>
      <c r="AC2704" s="46" t="n">
        <f aca="false">IF(AND(E2704&gt;0,B2704=10),1,0)</f>
        <v>0</v>
      </c>
      <c r="AD2704" s="0" t="str">
        <f aca="false">IF(AND(C2703=C2704,AA2703=AA2704-1),AB2703,"")</f>
        <v/>
      </c>
      <c r="AE2704" s="0" t="str">
        <f aca="false">IF(AND(C2703=C2704,AA2703=AA2704-1),AC2703,"")</f>
        <v/>
      </c>
      <c r="AF2704" s="0" t="str">
        <f aca="false">IF(AA2704=1,"",IF(AND(AB2704=1,AD2704&lt;&gt;1),1,0))</f>
        <v/>
      </c>
      <c r="AG2704" s="0" t="str">
        <f aca="false">IF(AA2704=1,"",IF(AND(AC2704=1,AE2704&lt;&gt;1),1,0))</f>
        <v/>
      </c>
      <c r="AH2704" s="51" t="str">
        <f aca="false">IF(AND(E2704&gt;0,AA2704&lt;1,NOT(AND(C2705=C2704,AA2705=AA2704+1))),INDEX(DATAS,AA2704+1),"")</f>
        <v/>
      </c>
      <c r="AI2704" s="51" t="str">
        <f aca="false">IF(AND(AC2704=1,AA2704&lt;1),IF(AND(C2705=C2704,AA2705=AA2704+1),IF(AC2705=1,"",INDEX(DATAS,AA2704+1)),INDEX(DATAS,AA2704+1)),"")</f>
        <v/>
      </c>
    </row>
    <row r="2705" customFormat="false" ht="15" hidden="false" customHeight="false" outlineLevel="0" collapsed="false">
      <c r="A2705" s="51" t="n">
        <v>46309</v>
      </c>
      <c r="B2705" s="0" t="n">
        <v>13</v>
      </c>
      <c r="C2705" s="0" t="n">
        <v>7058</v>
      </c>
      <c r="E2705" s="0" t="n">
        <v>0</v>
      </c>
      <c r="F2705" s="46" t="s">
        <v>1367</v>
      </c>
      <c r="I2705" s="46" t="s">
        <v>179</v>
      </c>
      <c r="U2705" s="0" t="n">
        <v>357</v>
      </c>
      <c r="V2705" s="0" t="n">
        <v>0</v>
      </c>
      <c r="X2705" s="46" t="n">
        <f aca="false">IF(I2705="Male",0,1)</f>
        <v>1</v>
      </c>
      <c r="Y2705" s="46" t="n">
        <f aca="false">IF(OR(I2705="DNB",I2705="Dry DNB"),1,0)</f>
        <v>0</v>
      </c>
      <c r="Z2705" s="0" t="str">
        <f aca="false">IF(ISNUMBER(W2705),A2705-W2705,"")</f>
        <v/>
      </c>
      <c r="AA2705" s="46" t="n">
        <f aca="false">MATCH(A2705,DATAS,0)</f>
        <v>1</v>
      </c>
      <c r="AB2705" s="46" t="n">
        <f aca="false">IF(AND(E2705&gt;0,OR(AND(B2705&gt;=1,B2705&lt;=6),B2705=10)),1,0)</f>
        <v>0</v>
      </c>
      <c r="AC2705" s="46" t="n">
        <f aca="false">IF(AND(E2705&gt;0,B2705=10),1,0)</f>
        <v>0</v>
      </c>
      <c r="AD2705" s="0" t="str">
        <f aca="false">IF(AND(C2704=C2705,AA2704=AA2705-1),AB2704,"")</f>
        <v/>
      </c>
      <c r="AE2705" s="0" t="str">
        <f aca="false">IF(AND(C2704=C2705,AA2704=AA2705-1),AC2704,"")</f>
        <v/>
      </c>
      <c r="AF2705" s="0" t="str">
        <f aca="false">IF(AA2705=1,"",IF(AND(AB2705=1,AD2705&lt;&gt;1),1,0))</f>
        <v/>
      </c>
      <c r="AG2705" s="0" t="str">
        <f aca="false">IF(AA2705=1,"",IF(AND(AC2705=1,AE2705&lt;&gt;1),1,0))</f>
        <v/>
      </c>
      <c r="AH2705" s="51" t="str">
        <f aca="false">IF(AND(E2705&gt;0,AA2705&lt;1,NOT(AND(C2706=C2705,AA2706=AA2705+1))),INDEX(DATAS,AA2705+1),"")</f>
        <v/>
      </c>
      <c r="AI2705" s="51" t="str">
        <f aca="false">IF(AND(AC2705=1,AA2705&lt;1),IF(AND(C2706=C2705,AA2706=AA2705+1),IF(AC2706=1,"",INDEX(DATAS,AA2705+1)),INDEX(DATAS,AA2705+1)),"")</f>
        <v/>
      </c>
    </row>
    <row r="2706" customFormat="false" ht="15" hidden="false" customHeight="false" outlineLevel="0" collapsed="false">
      <c r="A2706" s="51" t="n">
        <v>46309</v>
      </c>
      <c r="B2706" s="0" t="n">
        <v>13</v>
      </c>
      <c r="C2706" s="0" t="n">
        <v>7059</v>
      </c>
      <c r="E2706" s="0" t="n">
        <v>0</v>
      </c>
      <c r="F2706" s="46" t="s">
        <v>1368</v>
      </c>
      <c r="I2706" s="46" t="s">
        <v>179</v>
      </c>
      <c r="U2706" s="0" t="n">
        <v>356</v>
      </c>
      <c r="V2706" s="0" t="n">
        <v>0</v>
      </c>
      <c r="X2706" s="46" t="n">
        <f aca="false">IF(I2706="Male",0,1)</f>
        <v>1</v>
      </c>
      <c r="Y2706" s="46" t="n">
        <f aca="false">IF(OR(I2706="DNB",I2706="Dry DNB"),1,0)</f>
        <v>0</v>
      </c>
      <c r="Z2706" s="0" t="str">
        <f aca="false">IF(ISNUMBER(W2706),A2706-W2706,"")</f>
        <v/>
      </c>
      <c r="AA2706" s="46" t="n">
        <f aca="false">MATCH(A2706,DATAS,0)</f>
        <v>1</v>
      </c>
      <c r="AB2706" s="46" t="n">
        <f aca="false">IF(AND(E2706&gt;0,OR(AND(B2706&gt;=1,B2706&lt;=6),B2706=10)),1,0)</f>
        <v>0</v>
      </c>
      <c r="AC2706" s="46" t="n">
        <f aca="false">IF(AND(E2706&gt;0,B2706=10),1,0)</f>
        <v>0</v>
      </c>
      <c r="AD2706" s="0" t="str">
        <f aca="false">IF(AND(C2705=C2706,AA2705=AA2706-1),AB2705,"")</f>
        <v/>
      </c>
      <c r="AE2706" s="0" t="str">
        <f aca="false">IF(AND(C2705=C2706,AA2705=AA2706-1),AC2705,"")</f>
        <v/>
      </c>
      <c r="AF2706" s="0" t="str">
        <f aca="false">IF(AA2706=1,"",IF(AND(AB2706=1,AD2706&lt;&gt;1),1,0))</f>
        <v/>
      </c>
      <c r="AG2706" s="0" t="str">
        <f aca="false">IF(AA2706=1,"",IF(AND(AC2706=1,AE2706&lt;&gt;1),1,0))</f>
        <v/>
      </c>
      <c r="AH2706" s="51" t="str">
        <f aca="false">IF(AND(E2706&gt;0,AA2706&lt;1,NOT(AND(C2707=C2706,AA2707=AA2706+1))),INDEX(DATAS,AA2706+1),"")</f>
        <v/>
      </c>
      <c r="AI2706" s="51" t="str">
        <f aca="false">IF(AND(AC2706=1,AA2706&lt;1),IF(AND(C2707=C2706,AA2707=AA2706+1),IF(AC2707=1,"",INDEX(DATAS,AA2706+1)),INDEX(DATAS,AA2706+1)),"")</f>
        <v/>
      </c>
    </row>
    <row r="2707" customFormat="false" ht="15" hidden="false" customHeight="false" outlineLevel="0" collapsed="false">
      <c r="A2707" s="51" t="n">
        <v>46309</v>
      </c>
      <c r="B2707" s="0" t="n">
        <v>13</v>
      </c>
      <c r="C2707" s="0" t="n">
        <v>7060</v>
      </c>
      <c r="E2707" s="0" t="n">
        <v>0</v>
      </c>
      <c r="F2707" s="46" t="s">
        <v>1368</v>
      </c>
      <c r="I2707" s="46" t="s">
        <v>179</v>
      </c>
      <c r="U2707" s="0" t="n">
        <v>356</v>
      </c>
      <c r="V2707" s="0" t="n">
        <v>0</v>
      </c>
      <c r="X2707" s="46" t="n">
        <f aca="false">IF(I2707="Male",0,1)</f>
        <v>1</v>
      </c>
      <c r="Y2707" s="46" t="n">
        <f aca="false">IF(OR(I2707="DNB",I2707="Dry DNB"),1,0)</f>
        <v>0</v>
      </c>
      <c r="Z2707" s="0" t="str">
        <f aca="false">IF(ISNUMBER(W2707),A2707-W2707,"")</f>
        <v/>
      </c>
      <c r="AA2707" s="46" t="n">
        <f aca="false">MATCH(A2707,DATAS,0)</f>
        <v>1</v>
      </c>
      <c r="AB2707" s="46" t="n">
        <f aca="false">IF(AND(E2707&gt;0,OR(AND(B2707&gt;=1,B2707&lt;=6),B2707=10)),1,0)</f>
        <v>0</v>
      </c>
      <c r="AC2707" s="46" t="n">
        <f aca="false">IF(AND(E2707&gt;0,B2707=10),1,0)</f>
        <v>0</v>
      </c>
      <c r="AD2707" s="0" t="str">
        <f aca="false">IF(AND(C2706=C2707,AA2706=AA2707-1),AB2706,"")</f>
        <v/>
      </c>
      <c r="AE2707" s="0" t="str">
        <f aca="false">IF(AND(C2706=C2707,AA2706=AA2707-1),AC2706,"")</f>
        <v/>
      </c>
      <c r="AF2707" s="0" t="str">
        <f aca="false">IF(AA2707=1,"",IF(AND(AB2707=1,AD2707&lt;&gt;1),1,0))</f>
        <v/>
      </c>
      <c r="AG2707" s="0" t="str">
        <f aca="false">IF(AA2707=1,"",IF(AND(AC2707=1,AE2707&lt;&gt;1),1,0))</f>
        <v/>
      </c>
      <c r="AH2707" s="51" t="str">
        <f aca="false">IF(AND(E2707&gt;0,AA2707&lt;1,NOT(AND(C2708=C2707,AA2708=AA2707+1))),INDEX(DATAS,AA2707+1),"")</f>
        <v/>
      </c>
      <c r="AI2707" s="51" t="str">
        <f aca="false">IF(AND(AC2707=1,AA2707&lt;1),IF(AND(C2708=C2707,AA2708=AA2707+1),IF(AC2708=1,"",INDEX(DATAS,AA2707+1)),INDEX(DATAS,AA2707+1)),"")</f>
        <v/>
      </c>
    </row>
    <row r="2708" customFormat="false" ht="15" hidden="false" customHeight="false" outlineLevel="0" collapsed="false">
      <c r="A2708" s="51" t="n">
        <v>46309</v>
      </c>
      <c r="B2708" s="0" t="n">
        <v>13</v>
      </c>
      <c r="C2708" s="0" t="n">
        <v>7061</v>
      </c>
      <c r="E2708" s="0" t="n">
        <v>0</v>
      </c>
      <c r="F2708" s="46" t="s">
        <v>1368</v>
      </c>
      <c r="I2708" s="46" t="s">
        <v>179</v>
      </c>
      <c r="U2708" s="0" t="n">
        <v>356</v>
      </c>
      <c r="V2708" s="0" t="n">
        <v>0</v>
      </c>
      <c r="X2708" s="46" t="n">
        <f aca="false">IF(I2708="Male",0,1)</f>
        <v>1</v>
      </c>
      <c r="Y2708" s="46" t="n">
        <f aca="false">IF(OR(I2708="DNB",I2708="Dry DNB"),1,0)</f>
        <v>0</v>
      </c>
      <c r="Z2708" s="0" t="str">
        <f aca="false">IF(ISNUMBER(W2708),A2708-W2708,"")</f>
        <v/>
      </c>
      <c r="AA2708" s="46" t="n">
        <f aca="false">MATCH(A2708,DATAS,0)</f>
        <v>1</v>
      </c>
      <c r="AB2708" s="46" t="n">
        <f aca="false">IF(AND(E2708&gt;0,OR(AND(B2708&gt;=1,B2708&lt;=6),B2708=10)),1,0)</f>
        <v>0</v>
      </c>
      <c r="AC2708" s="46" t="n">
        <f aca="false">IF(AND(E2708&gt;0,B2708=10),1,0)</f>
        <v>0</v>
      </c>
      <c r="AD2708" s="0" t="str">
        <f aca="false">IF(AND(C2707=C2708,AA2707=AA2708-1),AB2707,"")</f>
        <v/>
      </c>
      <c r="AE2708" s="0" t="str">
        <f aca="false">IF(AND(C2707=C2708,AA2707=AA2708-1),AC2707,"")</f>
        <v/>
      </c>
      <c r="AF2708" s="0" t="str">
        <f aca="false">IF(AA2708=1,"",IF(AND(AB2708=1,AD2708&lt;&gt;1),1,0))</f>
        <v/>
      </c>
      <c r="AG2708" s="0" t="str">
        <f aca="false">IF(AA2708=1,"",IF(AND(AC2708=1,AE2708&lt;&gt;1),1,0))</f>
        <v/>
      </c>
      <c r="AH2708" s="51" t="str">
        <f aca="false">IF(AND(E2708&gt;0,AA2708&lt;1,NOT(AND(C2709=C2708,AA2709=AA2708+1))),INDEX(DATAS,AA2708+1),"")</f>
        <v/>
      </c>
      <c r="AI2708" s="51" t="str">
        <f aca="false">IF(AND(AC2708=1,AA2708&lt;1),IF(AND(C2709=C2708,AA2709=AA2708+1),IF(AC2709=1,"",INDEX(DATAS,AA2708+1)),INDEX(DATAS,AA2708+1)),"")</f>
        <v/>
      </c>
    </row>
    <row r="2709" customFormat="false" ht="15" hidden="false" customHeight="false" outlineLevel="0" collapsed="false">
      <c r="A2709" s="51" t="n">
        <v>46309</v>
      </c>
      <c r="B2709" s="0" t="n">
        <v>13</v>
      </c>
      <c r="C2709" s="0" t="n">
        <v>7062</v>
      </c>
      <c r="E2709" s="0" t="n">
        <v>0</v>
      </c>
      <c r="F2709" s="46" t="s">
        <v>1368</v>
      </c>
      <c r="I2709" s="46" t="s">
        <v>179</v>
      </c>
      <c r="U2709" s="0" t="n">
        <v>356</v>
      </c>
      <c r="V2709" s="0" t="n">
        <v>0</v>
      </c>
      <c r="X2709" s="46" t="n">
        <f aca="false">IF(I2709="Male",0,1)</f>
        <v>1</v>
      </c>
      <c r="Y2709" s="46" t="n">
        <f aca="false">IF(OR(I2709="DNB",I2709="Dry DNB"),1,0)</f>
        <v>0</v>
      </c>
      <c r="Z2709" s="0" t="str">
        <f aca="false">IF(ISNUMBER(W2709),A2709-W2709,"")</f>
        <v/>
      </c>
      <c r="AA2709" s="46" t="n">
        <f aca="false">MATCH(A2709,DATAS,0)</f>
        <v>1</v>
      </c>
      <c r="AB2709" s="46" t="n">
        <f aca="false">IF(AND(E2709&gt;0,OR(AND(B2709&gt;=1,B2709&lt;=6),B2709=10)),1,0)</f>
        <v>0</v>
      </c>
      <c r="AC2709" s="46" t="n">
        <f aca="false">IF(AND(E2709&gt;0,B2709=10),1,0)</f>
        <v>0</v>
      </c>
      <c r="AD2709" s="0" t="str">
        <f aca="false">IF(AND(C2708=C2709,AA2708=AA2709-1),AB2708,"")</f>
        <v/>
      </c>
      <c r="AE2709" s="0" t="str">
        <f aca="false">IF(AND(C2708=C2709,AA2708=AA2709-1),AC2708,"")</f>
        <v/>
      </c>
      <c r="AF2709" s="0" t="str">
        <f aca="false">IF(AA2709=1,"",IF(AND(AB2709=1,AD2709&lt;&gt;1),1,0))</f>
        <v/>
      </c>
      <c r="AG2709" s="0" t="str">
        <f aca="false">IF(AA2709=1,"",IF(AND(AC2709=1,AE2709&lt;&gt;1),1,0))</f>
        <v/>
      </c>
      <c r="AH2709" s="51" t="str">
        <f aca="false">IF(AND(E2709&gt;0,AA2709&lt;1,NOT(AND(C2710=C2709,AA2710=AA2709+1))),INDEX(DATAS,AA2709+1),"")</f>
        <v/>
      </c>
      <c r="AI2709" s="51" t="str">
        <f aca="false">IF(AND(AC2709=1,AA2709&lt;1),IF(AND(C2710=C2709,AA2710=AA2709+1),IF(AC2710=1,"",INDEX(DATAS,AA2709+1)),INDEX(DATAS,AA2709+1)),"")</f>
        <v/>
      </c>
    </row>
    <row r="2710" customFormat="false" ht="15" hidden="false" customHeight="false" outlineLevel="0" collapsed="false">
      <c r="A2710" s="51" t="n">
        <v>46309</v>
      </c>
      <c r="B2710" s="0" t="n">
        <v>13</v>
      </c>
      <c r="C2710" s="0" t="n">
        <v>7063</v>
      </c>
      <c r="E2710" s="0" t="n">
        <v>0</v>
      </c>
      <c r="F2710" s="46" t="s">
        <v>1369</v>
      </c>
      <c r="I2710" s="46" t="s">
        <v>179</v>
      </c>
      <c r="U2710" s="0" t="n">
        <v>355</v>
      </c>
      <c r="V2710" s="0" t="n">
        <v>0</v>
      </c>
      <c r="X2710" s="46" t="n">
        <f aca="false">IF(I2710="Male",0,1)</f>
        <v>1</v>
      </c>
      <c r="Y2710" s="46" t="n">
        <f aca="false">IF(OR(I2710="DNB",I2710="Dry DNB"),1,0)</f>
        <v>0</v>
      </c>
      <c r="Z2710" s="0" t="str">
        <f aca="false">IF(ISNUMBER(W2710),A2710-W2710,"")</f>
        <v/>
      </c>
      <c r="AA2710" s="46" t="n">
        <f aca="false">MATCH(A2710,DATAS,0)</f>
        <v>1</v>
      </c>
      <c r="AB2710" s="46" t="n">
        <f aca="false">IF(AND(E2710&gt;0,OR(AND(B2710&gt;=1,B2710&lt;=6),B2710=10)),1,0)</f>
        <v>0</v>
      </c>
      <c r="AC2710" s="46" t="n">
        <f aca="false">IF(AND(E2710&gt;0,B2710=10),1,0)</f>
        <v>0</v>
      </c>
      <c r="AD2710" s="0" t="str">
        <f aca="false">IF(AND(C2709=C2710,AA2709=AA2710-1),AB2709,"")</f>
        <v/>
      </c>
      <c r="AE2710" s="0" t="str">
        <f aca="false">IF(AND(C2709=C2710,AA2709=AA2710-1),AC2709,"")</f>
        <v/>
      </c>
      <c r="AF2710" s="0" t="str">
        <f aca="false">IF(AA2710=1,"",IF(AND(AB2710=1,AD2710&lt;&gt;1),1,0))</f>
        <v/>
      </c>
      <c r="AG2710" s="0" t="str">
        <f aca="false">IF(AA2710=1,"",IF(AND(AC2710=1,AE2710&lt;&gt;1),1,0))</f>
        <v/>
      </c>
      <c r="AH2710" s="51" t="str">
        <f aca="false">IF(AND(E2710&gt;0,AA2710&lt;1,NOT(AND(C2711=C2710,AA2711=AA2710+1))),INDEX(DATAS,AA2710+1),"")</f>
        <v/>
      </c>
      <c r="AI2710" s="51" t="str">
        <f aca="false">IF(AND(AC2710=1,AA2710&lt;1),IF(AND(C2711=C2710,AA2711=AA2710+1),IF(AC2711=1,"",INDEX(DATAS,AA2710+1)),INDEX(DATAS,AA2710+1)),"")</f>
        <v/>
      </c>
    </row>
    <row r="2711" customFormat="false" ht="15" hidden="false" customHeight="false" outlineLevel="0" collapsed="false">
      <c r="A2711" s="51" t="n">
        <v>46309</v>
      </c>
      <c r="B2711" s="0" t="n">
        <v>13</v>
      </c>
      <c r="C2711" s="0" t="n">
        <v>7064</v>
      </c>
      <c r="E2711" s="0" t="n">
        <v>0</v>
      </c>
      <c r="F2711" s="46" t="s">
        <v>1370</v>
      </c>
      <c r="I2711" s="46" t="s">
        <v>179</v>
      </c>
      <c r="U2711" s="0" t="n">
        <v>354</v>
      </c>
      <c r="V2711" s="0" t="n">
        <v>0</v>
      </c>
      <c r="X2711" s="46" t="n">
        <f aca="false">IF(I2711="Male",0,1)</f>
        <v>1</v>
      </c>
      <c r="Y2711" s="46" t="n">
        <f aca="false">IF(OR(I2711="DNB",I2711="Dry DNB"),1,0)</f>
        <v>0</v>
      </c>
      <c r="Z2711" s="0" t="str">
        <f aca="false">IF(ISNUMBER(W2711),A2711-W2711,"")</f>
        <v/>
      </c>
      <c r="AA2711" s="46" t="n">
        <f aca="false">MATCH(A2711,DATAS,0)</f>
        <v>1</v>
      </c>
      <c r="AB2711" s="46" t="n">
        <f aca="false">IF(AND(E2711&gt;0,OR(AND(B2711&gt;=1,B2711&lt;=6),B2711=10)),1,0)</f>
        <v>0</v>
      </c>
      <c r="AC2711" s="46" t="n">
        <f aca="false">IF(AND(E2711&gt;0,B2711=10),1,0)</f>
        <v>0</v>
      </c>
      <c r="AD2711" s="0" t="str">
        <f aca="false">IF(AND(C2710=C2711,AA2710=AA2711-1),AB2710,"")</f>
        <v/>
      </c>
      <c r="AE2711" s="0" t="str">
        <f aca="false">IF(AND(C2710=C2711,AA2710=AA2711-1),AC2710,"")</f>
        <v/>
      </c>
      <c r="AF2711" s="0" t="str">
        <f aca="false">IF(AA2711=1,"",IF(AND(AB2711=1,AD2711&lt;&gt;1),1,0))</f>
        <v/>
      </c>
      <c r="AG2711" s="0" t="str">
        <f aca="false">IF(AA2711=1,"",IF(AND(AC2711=1,AE2711&lt;&gt;1),1,0))</f>
        <v/>
      </c>
      <c r="AH2711" s="51" t="str">
        <f aca="false">IF(AND(E2711&gt;0,AA2711&lt;1,NOT(AND(C2712=C2711,AA2712=AA2711+1))),INDEX(DATAS,AA2711+1),"")</f>
        <v/>
      </c>
      <c r="AI2711" s="51" t="str">
        <f aca="false">IF(AND(AC2711=1,AA2711&lt;1),IF(AND(C2712=C2711,AA2712=AA2711+1),IF(AC2712=1,"",INDEX(DATAS,AA2711+1)),INDEX(DATAS,AA2711+1)),"")</f>
        <v/>
      </c>
    </row>
    <row r="2712" customFormat="false" ht="15" hidden="false" customHeight="false" outlineLevel="0" collapsed="false">
      <c r="A2712" s="51" t="n">
        <v>46309</v>
      </c>
      <c r="B2712" s="0" t="n">
        <v>13</v>
      </c>
      <c r="C2712" s="0" t="n">
        <v>7065</v>
      </c>
      <c r="E2712" s="0" t="n">
        <v>0</v>
      </c>
      <c r="F2712" s="46" t="s">
        <v>1370</v>
      </c>
      <c r="I2712" s="46" t="s">
        <v>179</v>
      </c>
      <c r="U2712" s="0" t="n">
        <v>354</v>
      </c>
      <c r="V2712" s="0" t="n">
        <v>0</v>
      </c>
      <c r="X2712" s="46" t="n">
        <f aca="false">IF(I2712="Male",0,1)</f>
        <v>1</v>
      </c>
      <c r="Y2712" s="46" t="n">
        <f aca="false">IF(OR(I2712="DNB",I2712="Dry DNB"),1,0)</f>
        <v>0</v>
      </c>
      <c r="Z2712" s="0" t="str">
        <f aca="false">IF(ISNUMBER(W2712),A2712-W2712,"")</f>
        <v/>
      </c>
      <c r="AA2712" s="46" t="n">
        <f aca="false">MATCH(A2712,DATAS,0)</f>
        <v>1</v>
      </c>
      <c r="AB2712" s="46" t="n">
        <f aca="false">IF(AND(E2712&gt;0,OR(AND(B2712&gt;=1,B2712&lt;=6),B2712=10)),1,0)</f>
        <v>0</v>
      </c>
      <c r="AC2712" s="46" t="n">
        <f aca="false">IF(AND(E2712&gt;0,B2712=10),1,0)</f>
        <v>0</v>
      </c>
      <c r="AD2712" s="0" t="str">
        <f aca="false">IF(AND(C2711=C2712,AA2711=AA2712-1),AB2711,"")</f>
        <v/>
      </c>
      <c r="AE2712" s="0" t="str">
        <f aca="false">IF(AND(C2711=C2712,AA2711=AA2712-1),AC2711,"")</f>
        <v/>
      </c>
      <c r="AF2712" s="0" t="str">
        <f aca="false">IF(AA2712=1,"",IF(AND(AB2712=1,AD2712&lt;&gt;1),1,0))</f>
        <v/>
      </c>
      <c r="AG2712" s="0" t="str">
        <f aca="false">IF(AA2712=1,"",IF(AND(AC2712=1,AE2712&lt;&gt;1),1,0))</f>
        <v/>
      </c>
      <c r="AH2712" s="51" t="str">
        <f aca="false">IF(AND(E2712&gt;0,AA2712&lt;1,NOT(AND(C2713=C2712,AA2713=AA2712+1))),INDEX(DATAS,AA2712+1),"")</f>
        <v/>
      </c>
      <c r="AI2712" s="51" t="str">
        <f aca="false">IF(AND(AC2712=1,AA2712&lt;1),IF(AND(C2713=C2712,AA2713=AA2712+1),IF(AC2713=1,"",INDEX(DATAS,AA2712+1)),INDEX(DATAS,AA2712+1)),"")</f>
        <v/>
      </c>
    </row>
    <row r="2713" customFormat="false" ht="15" hidden="false" customHeight="false" outlineLevel="0" collapsed="false">
      <c r="A2713" s="51" t="n">
        <v>46309</v>
      </c>
      <c r="B2713" s="0" t="n">
        <v>13</v>
      </c>
      <c r="C2713" s="0" t="n">
        <v>7066</v>
      </c>
      <c r="E2713" s="0" t="n">
        <v>0</v>
      </c>
      <c r="F2713" s="46" t="s">
        <v>1370</v>
      </c>
      <c r="I2713" s="46" t="s">
        <v>179</v>
      </c>
      <c r="U2713" s="0" t="n">
        <v>354</v>
      </c>
      <c r="V2713" s="0" t="n">
        <v>0</v>
      </c>
      <c r="X2713" s="46" t="n">
        <f aca="false">IF(I2713="Male",0,1)</f>
        <v>1</v>
      </c>
      <c r="Y2713" s="46" t="n">
        <f aca="false">IF(OR(I2713="DNB",I2713="Dry DNB"),1,0)</f>
        <v>0</v>
      </c>
      <c r="Z2713" s="0" t="str">
        <f aca="false">IF(ISNUMBER(W2713),A2713-W2713,"")</f>
        <v/>
      </c>
      <c r="AA2713" s="46" t="n">
        <f aca="false">MATCH(A2713,DATAS,0)</f>
        <v>1</v>
      </c>
      <c r="AB2713" s="46" t="n">
        <f aca="false">IF(AND(E2713&gt;0,OR(AND(B2713&gt;=1,B2713&lt;=6),B2713=10)),1,0)</f>
        <v>0</v>
      </c>
      <c r="AC2713" s="46" t="n">
        <f aca="false">IF(AND(E2713&gt;0,B2713=10),1,0)</f>
        <v>0</v>
      </c>
      <c r="AD2713" s="0" t="str">
        <f aca="false">IF(AND(C2712=C2713,AA2712=AA2713-1),AB2712,"")</f>
        <v/>
      </c>
      <c r="AE2713" s="0" t="str">
        <f aca="false">IF(AND(C2712=C2713,AA2712=AA2713-1),AC2712,"")</f>
        <v/>
      </c>
      <c r="AF2713" s="0" t="str">
        <f aca="false">IF(AA2713=1,"",IF(AND(AB2713=1,AD2713&lt;&gt;1),1,0))</f>
        <v/>
      </c>
      <c r="AG2713" s="0" t="str">
        <f aca="false">IF(AA2713=1,"",IF(AND(AC2713=1,AE2713&lt;&gt;1),1,0))</f>
        <v/>
      </c>
      <c r="AH2713" s="51" t="str">
        <f aca="false">IF(AND(E2713&gt;0,AA2713&lt;1,NOT(AND(C2714=C2713,AA2714=AA2713+1))),INDEX(DATAS,AA2713+1),"")</f>
        <v/>
      </c>
      <c r="AI2713" s="51" t="str">
        <f aca="false">IF(AND(AC2713=1,AA2713&lt;1),IF(AND(C2714=C2713,AA2714=AA2713+1),IF(AC2714=1,"",INDEX(DATAS,AA2713+1)),INDEX(DATAS,AA2713+1)),"")</f>
        <v/>
      </c>
    </row>
    <row r="2714" customFormat="false" ht="15" hidden="false" customHeight="false" outlineLevel="0" collapsed="false">
      <c r="A2714" s="51" t="n">
        <v>46309</v>
      </c>
      <c r="B2714" s="0" t="n">
        <v>13</v>
      </c>
      <c r="C2714" s="0" t="n">
        <v>7067</v>
      </c>
      <c r="E2714" s="0" t="n">
        <v>0</v>
      </c>
      <c r="F2714" s="46" t="s">
        <v>1370</v>
      </c>
      <c r="I2714" s="46" t="s">
        <v>179</v>
      </c>
      <c r="U2714" s="0" t="n">
        <v>354</v>
      </c>
      <c r="V2714" s="0" t="n">
        <v>0</v>
      </c>
      <c r="X2714" s="46" t="n">
        <f aca="false">IF(I2714="Male",0,1)</f>
        <v>1</v>
      </c>
      <c r="Y2714" s="46" t="n">
        <f aca="false">IF(OR(I2714="DNB",I2714="Dry DNB"),1,0)</f>
        <v>0</v>
      </c>
      <c r="Z2714" s="0" t="str">
        <f aca="false">IF(ISNUMBER(W2714),A2714-W2714,"")</f>
        <v/>
      </c>
      <c r="AA2714" s="46" t="n">
        <f aca="false">MATCH(A2714,DATAS,0)</f>
        <v>1</v>
      </c>
      <c r="AB2714" s="46" t="n">
        <f aca="false">IF(AND(E2714&gt;0,OR(AND(B2714&gt;=1,B2714&lt;=6),B2714=10)),1,0)</f>
        <v>0</v>
      </c>
      <c r="AC2714" s="46" t="n">
        <f aca="false">IF(AND(E2714&gt;0,B2714=10),1,0)</f>
        <v>0</v>
      </c>
      <c r="AD2714" s="0" t="str">
        <f aca="false">IF(AND(C2713=C2714,AA2713=AA2714-1),AB2713,"")</f>
        <v/>
      </c>
      <c r="AE2714" s="0" t="str">
        <f aca="false">IF(AND(C2713=C2714,AA2713=AA2714-1),AC2713,"")</f>
        <v/>
      </c>
      <c r="AF2714" s="0" t="str">
        <f aca="false">IF(AA2714=1,"",IF(AND(AB2714=1,AD2714&lt;&gt;1),1,0))</f>
        <v/>
      </c>
      <c r="AG2714" s="0" t="str">
        <f aca="false">IF(AA2714=1,"",IF(AND(AC2714=1,AE2714&lt;&gt;1),1,0))</f>
        <v/>
      </c>
      <c r="AH2714" s="51" t="str">
        <f aca="false">IF(AND(E2714&gt;0,AA2714&lt;1,NOT(AND(C2715=C2714,AA2715=AA2714+1))),INDEX(DATAS,AA2714+1),"")</f>
        <v/>
      </c>
      <c r="AI2714" s="51" t="str">
        <f aca="false">IF(AND(AC2714=1,AA2714&lt;1),IF(AND(C2715=C2714,AA2715=AA2714+1),IF(AC2715=1,"",INDEX(DATAS,AA2714+1)),INDEX(DATAS,AA2714+1)),"")</f>
        <v/>
      </c>
    </row>
    <row r="2715" customFormat="false" ht="15" hidden="false" customHeight="false" outlineLevel="0" collapsed="false">
      <c r="A2715" s="51" t="n">
        <v>46309</v>
      </c>
      <c r="B2715" s="0" t="n">
        <v>13</v>
      </c>
      <c r="C2715" s="0" t="n">
        <v>7068</v>
      </c>
      <c r="E2715" s="0" t="n">
        <v>0</v>
      </c>
      <c r="F2715" s="46" t="s">
        <v>1371</v>
      </c>
      <c r="I2715" s="46" t="s">
        <v>179</v>
      </c>
      <c r="U2715" s="0" t="n">
        <v>353</v>
      </c>
      <c r="V2715" s="0" t="n">
        <v>0</v>
      </c>
      <c r="X2715" s="46" t="n">
        <f aca="false">IF(I2715="Male",0,1)</f>
        <v>1</v>
      </c>
      <c r="Y2715" s="46" t="n">
        <f aca="false">IF(OR(I2715="DNB",I2715="Dry DNB"),1,0)</f>
        <v>0</v>
      </c>
      <c r="Z2715" s="0" t="str">
        <f aca="false">IF(ISNUMBER(W2715),A2715-W2715,"")</f>
        <v/>
      </c>
      <c r="AA2715" s="46" t="n">
        <f aca="false">MATCH(A2715,DATAS,0)</f>
        <v>1</v>
      </c>
      <c r="AB2715" s="46" t="n">
        <f aca="false">IF(AND(E2715&gt;0,OR(AND(B2715&gt;=1,B2715&lt;=6),B2715=10)),1,0)</f>
        <v>0</v>
      </c>
      <c r="AC2715" s="46" t="n">
        <f aca="false">IF(AND(E2715&gt;0,B2715=10),1,0)</f>
        <v>0</v>
      </c>
      <c r="AD2715" s="0" t="str">
        <f aca="false">IF(AND(C2714=C2715,AA2714=AA2715-1),AB2714,"")</f>
        <v/>
      </c>
      <c r="AE2715" s="0" t="str">
        <f aca="false">IF(AND(C2714=C2715,AA2714=AA2715-1),AC2714,"")</f>
        <v/>
      </c>
      <c r="AF2715" s="0" t="str">
        <f aca="false">IF(AA2715=1,"",IF(AND(AB2715=1,AD2715&lt;&gt;1),1,0))</f>
        <v/>
      </c>
      <c r="AG2715" s="0" t="str">
        <f aca="false">IF(AA2715=1,"",IF(AND(AC2715=1,AE2715&lt;&gt;1),1,0))</f>
        <v/>
      </c>
      <c r="AH2715" s="51" t="str">
        <f aca="false">IF(AND(E2715&gt;0,AA2715&lt;1,NOT(AND(C2716=C2715,AA2716=AA2715+1))),INDEX(DATAS,AA2715+1),"")</f>
        <v/>
      </c>
      <c r="AI2715" s="51" t="str">
        <f aca="false">IF(AND(AC2715=1,AA2715&lt;1),IF(AND(C2716=C2715,AA2716=AA2715+1),IF(AC2716=1,"",INDEX(DATAS,AA2715+1)),INDEX(DATAS,AA2715+1)),"")</f>
        <v/>
      </c>
    </row>
    <row r="2716" customFormat="false" ht="15" hidden="false" customHeight="false" outlineLevel="0" collapsed="false">
      <c r="A2716" s="51" t="n">
        <v>46309</v>
      </c>
      <c r="B2716" s="0" t="n">
        <v>13</v>
      </c>
      <c r="C2716" s="0" t="n">
        <v>7069</v>
      </c>
      <c r="E2716" s="0" t="n">
        <v>0</v>
      </c>
      <c r="F2716" s="46" t="s">
        <v>1371</v>
      </c>
      <c r="I2716" s="46" t="s">
        <v>179</v>
      </c>
      <c r="U2716" s="0" t="n">
        <v>353</v>
      </c>
      <c r="V2716" s="0" t="n">
        <v>0</v>
      </c>
      <c r="X2716" s="46" t="n">
        <f aca="false">IF(I2716="Male",0,1)</f>
        <v>1</v>
      </c>
      <c r="Y2716" s="46" t="n">
        <f aca="false">IF(OR(I2716="DNB",I2716="Dry DNB"),1,0)</f>
        <v>0</v>
      </c>
      <c r="Z2716" s="0" t="str">
        <f aca="false">IF(ISNUMBER(W2716),A2716-W2716,"")</f>
        <v/>
      </c>
      <c r="AA2716" s="46" t="n">
        <f aca="false">MATCH(A2716,DATAS,0)</f>
        <v>1</v>
      </c>
      <c r="AB2716" s="46" t="n">
        <f aca="false">IF(AND(E2716&gt;0,OR(AND(B2716&gt;=1,B2716&lt;=6),B2716=10)),1,0)</f>
        <v>0</v>
      </c>
      <c r="AC2716" s="46" t="n">
        <f aca="false">IF(AND(E2716&gt;0,B2716=10),1,0)</f>
        <v>0</v>
      </c>
      <c r="AD2716" s="0" t="str">
        <f aca="false">IF(AND(C2715=C2716,AA2715=AA2716-1),AB2715,"")</f>
        <v/>
      </c>
      <c r="AE2716" s="0" t="str">
        <f aca="false">IF(AND(C2715=C2716,AA2715=AA2716-1),AC2715,"")</f>
        <v/>
      </c>
      <c r="AF2716" s="0" t="str">
        <f aca="false">IF(AA2716=1,"",IF(AND(AB2716=1,AD2716&lt;&gt;1),1,0))</f>
        <v/>
      </c>
      <c r="AG2716" s="0" t="str">
        <f aca="false">IF(AA2716=1,"",IF(AND(AC2716=1,AE2716&lt;&gt;1),1,0))</f>
        <v/>
      </c>
      <c r="AH2716" s="51" t="str">
        <f aca="false">IF(AND(E2716&gt;0,AA2716&lt;1,NOT(AND(C2717=C2716,AA2717=AA2716+1))),INDEX(DATAS,AA2716+1),"")</f>
        <v/>
      </c>
      <c r="AI2716" s="51" t="str">
        <f aca="false">IF(AND(AC2716=1,AA2716&lt;1),IF(AND(C2717=C2716,AA2717=AA2716+1),IF(AC2717=1,"",INDEX(DATAS,AA2716+1)),INDEX(DATAS,AA2716+1)),"")</f>
        <v/>
      </c>
    </row>
    <row r="2717" customFormat="false" ht="15" hidden="false" customHeight="false" outlineLevel="0" collapsed="false">
      <c r="A2717" s="51" t="n">
        <v>46309</v>
      </c>
      <c r="B2717" s="0" t="n">
        <v>13</v>
      </c>
      <c r="C2717" s="0" t="n">
        <v>7070</v>
      </c>
      <c r="E2717" s="0" t="n">
        <v>0</v>
      </c>
      <c r="F2717" s="46" t="s">
        <v>1372</v>
      </c>
      <c r="I2717" s="46" t="s">
        <v>179</v>
      </c>
      <c r="U2717" s="0" t="n">
        <v>352</v>
      </c>
      <c r="V2717" s="0" t="n">
        <v>0</v>
      </c>
      <c r="X2717" s="46" t="n">
        <f aca="false">IF(I2717="Male",0,1)</f>
        <v>1</v>
      </c>
      <c r="Y2717" s="46" t="n">
        <f aca="false">IF(OR(I2717="DNB",I2717="Dry DNB"),1,0)</f>
        <v>0</v>
      </c>
      <c r="Z2717" s="0" t="str">
        <f aca="false">IF(ISNUMBER(W2717),A2717-W2717,"")</f>
        <v/>
      </c>
      <c r="AA2717" s="46" t="n">
        <f aca="false">MATCH(A2717,DATAS,0)</f>
        <v>1</v>
      </c>
      <c r="AB2717" s="46" t="n">
        <f aca="false">IF(AND(E2717&gt;0,OR(AND(B2717&gt;=1,B2717&lt;=6),B2717=10)),1,0)</f>
        <v>0</v>
      </c>
      <c r="AC2717" s="46" t="n">
        <f aca="false">IF(AND(E2717&gt;0,B2717=10),1,0)</f>
        <v>0</v>
      </c>
      <c r="AD2717" s="0" t="str">
        <f aca="false">IF(AND(C2716=C2717,AA2716=AA2717-1),AB2716,"")</f>
        <v/>
      </c>
      <c r="AE2717" s="0" t="str">
        <f aca="false">IF(AND(C2716=C2717,AA2716=AA2717-1),AC2716,"")</f>
        <v/>
      </c>
      <c r="AF2717" s="0" t="str">
        <f aca="false">IF(AA2717=1,"",IF(AND(AB2717=1,AD2717&lt;&gt;1),1,0))</f>
        <v/>
      </c>
      <c r="AG2717" s="0" t="str">
        <f aca="false">IF(AA2717=1,"",IF(AND(AC2717=1,AE2717&lt;&gt;1),1,0))</f>
        <v/>
      </c>
      <c r="AH2717" s="51" t="str">
        <f aca="false">IF(AND(E2717&gt;0,AA2717&lt;1,NOT(AND(C2718=C2717,AA2718=AA2717+1))),INDEX(DATAS,AA2717+1),"")</f>
        <v/>
      </c>
      <c r="AI2717" s="51" t="str">
        <f aca="false">IF(AND(AC2717=1,AA2717&lt;1),IF(AND(C2718=C2717,AA2718=AA2717+1),IF(AC2718=1,"",INDEX(DATAS,AA2717+1)),INDEX(DATAS,AA2717+1)),"")</f>
        <v/>
      </c>
    </row>
    <row r="2718" customFormat="false" ht="15" hidden="false" customHeight="false" outlineLevel="0" collapsed="false">
      <c r="A2718" s="51" t="n">
        <v>46309</v>
      </c>
      <c r="B2718" s="0" t="n">
        <v>13</v>
      </c>
      <c r="C2718" s="0" t="n">
        <v>7071</v>
      </c>
      <c r="E2718" s="0" t="n">
        <v>0</v>
      </c>
      <c r="F2718" s="46" t="s">
        <v>1372</v>
      </c>
      <c r="I2718" s="46" t="s">
        <v>179</v>
      </c>
      <c r="U2718" s="0" t="n">
        <v>352</v>
      </c>
      <c r="V2718" s="0" t="n">
        <v>0</v>
      </c>
      <c r="X2718" s="46" t="n">
        <f aca="false">IF(I2718="Male",0,1)</f>
        <v>1</v>
      </c>
      <c r="Y2718" s="46" t="n">
        <f aca="false">IF(OR(I2718="DNB",I2718="Dry DNB"),1,0)</f>
        <v>0</v>
      </c>
      <c r="Z2718" s="0" t="str">
        <f aca="false">IF(ISNUMBER(W2718),A2718-W2718,"")</f>
        <v/>
      </c>
      <c r="AA2718" s="46" t="n">
        <f aca="false">MATCH(A2718,DATAS,0)</f>
        <v>1</v>
      </c>
      <c r="AB2718" s="46" t="n">
        <f aca="false">IF(AND(E2718&gt;0,OR(AND(B2718&gt;=1,B2718&lt;=6),B2718=10)),1,0)</f>
        <v>0</v>
      </c>
      <c r="AC2718" s="46" t="n">
        <f aca="false">IF(AND(E2718&gt;0,B2718=10),1,0)</f>
        <v>0</v>
      </c>
      <c r="AD2718" s="0" t="str">
        <f aca="false">IF(AND(C2717=C2718,AA2717=AA2718-1),AB2717,"")</f>
        <v/>
      </c>
      <c r="AE2718" s="0" t="str">
        <f aca="false">IF(AND(C2717=C2718,AA2717=AA2718-1),AC2717,"")</f>
        <v/>
      </c>
      <c r="AF2718" s="0" t="str">
        <f aca="false">IF(AA2718=1,"",IF(AND(AB2718=1,AD2718&lt;&gt;1),1,0))</f>
        <v/>
      </c>
      <c r="AG2718" s="0" t="str">
        <f aca="false">IF(AA2718=1,"",IF(AND(AC2718=1,AE2718&lt;&gt;1),1,0))</f>
        <v/>
      </c>
      <c r="AH2718" s="51" t="str">
        <f aca="false">IF(AND(E2718&gt;0,AA2718&lt;1,NOT(AND(C2719=C2718,AA2719=AA2718+1))),INDEX(DATAS,AA2718+1),"")</f>
        <v/>
      </c>
      <c r="AI2718" s="51" t="str">
        <f aca="false">IF(AND(AC2718=1,AA2718&lt;1),IF(AND(C2719=C2718,AA2719=AA2718+1),IF(AC2719=1,"",INDEX(DATAS,AA2718+1)),INDEX(DATAS,AA2718+1)),"")</f>
        <v/>
      </c>
    </row>
    <row r="2719" customFormat="false" ht="15" hidden="false" customHeight="false" outlineLevel="0" collapsed="false">
      <c r="A2719" s="51" t="n">
        <v>46309</v>
      </c>
      <c r="B2719" s="0" t="n">
        <v>13</v>
      </c>
      <c r="C2719" s="0" t="n">
        <v>7072</v>
      </c>
      <c r="E2719" s="0" t="n">
        <v>0</v>
      </c>
      <c r="F2719" s="46" t="s">
        <v>1372</v>
      </c>
      <c r="I2719" s="46" t="s">
        <v>179</v>
      </c>
      <c r="U2719" s="0" t="n">
        <v>352</v>
      </c>
      <c r="V2719" s="0" t="n">
        <v>0</v>
      </c>
      <c r="X2719" s="46" t="n">
        <f aca="false">IF(I2719="Male",0,1)</f>
        <v>1</v>
      </c>
      <c r="Y2719" s="46" t="n">
        <f aca="false">IF(OR(I2719="DNB",I2719="Dry DNB"),1,0)</f>
        <v>0</v>
      </c>
      <c r="Z2719" s="0" t="str">
        <f aca="false">IF(ISNUMBER(W2719),A2719-W2719,"")</f>
        <v/>
      </c>
      <c r="AA2719" s="46" t="n">
        <f aca="false">MATCH(A2719,DATAS,0)</f>
        <v>1</v>
      </c>
      <c r="AB2719" s="46" t="n">
        <f aca="false">IF(AND(E2719&gt;0,OR(AND(B2719&gt;=1,B2719&lt;=6),B2719=10)),1,0)</f>
        <v>0</v>
      </c>
      <c r="AC2719" s="46" t="n">
        <f aca="false">IF(AND(E2719&gt;0,B2719=10),1,0)</f>
        <v>0</v>
      </c>
      <c r="AD2719" s="0" t="str">
        <f aca="false">IF(AND(C2718=C2719,AA2718=AA2719-1),AB2718,"")</f>
        <v/>
      </c>
      <c r="AE2719" s="0" t="str">
        <f aca="false">IF(AND(C2718=C2719,AA2718=AA2719-1),AC2718,"")</f>
        <v/>
      </c>
      <c r="AF2719" s="0" t="str">
        <f aca="false">IF(AA2719=1,"",IF(AND(AB2719=1,AD2719&lt;&gt;1),1,0))</f>
        <v/>
      </c>
      <c r="AG2719" s="0" t="str">
        <f aca="false">IF(AA2719=1,"",IF(AND(AC2719=1,AE2719&lt;&gt;1),1,0))</f>
        <v/>
      </c>
      <c r="AH2719" s="51" t="str">
        <f aca="false">IF(AND(E2719&gt;0,AA2719&lt;1,NOT(AND(C2720=C2719,AA2720=AA2719+1))),INDEX(DATAS,AA2719+1),"")</f>
        <v/>
      </c>
      <c r="AI2719" s="51" t="str">
        <f aca="false">IF(AND(AC2719=1,AA2719&lt;1),IF(AND(C2720=C2719,AA2720=AA2719+1),IF(AC2720=1,"",INDEX(DATAS,AA2719+1)),INDEX(DATAS,AA2719+1)),"")</f>
        <v/>
      </c>
    </row>
    <row r="2720" customFormat="false" ht="15" hidden="false" customHeight="false" outlineLevel="0" collapsed="false">
      <c r="A2720" s="51" t="n">
        <v>46309</v>
      </c>
      <c r="B2720" s="0" t="n">
        <v>13</v>
      </c>
      <c r="C2720" s="0" t="n">
        <v>7074</v>
      </c>
      <c r="E2720" s="0" t="n">
        <v>0</v>
      </c>
      <c r="F2720" s="46" t="s">
        <v>1373</v>
      </c>
      <c r="I2720" s="46" t="s">
        <v>179</v>
      </c>
      <c r="U2720" s="0" t="n">
        <v>351</v>
      </c>
      <c r="V2720" s="0" t="n">
        <v>0</v>
      </c>
      <c r="X2720" s="46" t="n">
        <f aca="false">IF(I2720="Male",0,1)</f>
        <v>1</v>
      </c>
      <c r="Y2720" s="46" t="n">
        <f aca="false">IF(OR(I2720="DNB",I2720="Dry DNB"),1,0)</f>
        <v>0</v>
      </c>
      <c r="Z2720" s="0" t="str">
        <f aca="false">IF(ISNUMBER(W2720),A2720-W2720,"")</f>
        <v/>
      </c>
      <c r="AA2720" s="46" t="n">
        <f aca="false">MATCH(A2720,DATAS,0)</f>
        <v>1</v>
      </c>
      <c r="AB2720" s="46" t="n">
        <f aca="false">IF(AND(E2720&gt;0,OR(AND(B2720&gt;=1,B2720&lt;=6),B2720=10)),1,0)</f>
        <v>0</v>
      </c>
      <c r="AC2720" s="46" t="n">
        <f aca="false">IF(AND(E2720&gt;0,B2720=10),1,0)</f>
        <v>0</v>
      </c>
      <c r="AD2720" s="0" t="str">
        <f aca="false">IF(AND(C2719=C2720,AA2719=AA2720-1),AB2719,"")</f>
        <v/>
      </c>
      <c r="AE2720" s="0" t="str">
        <f aca="false">IF(AND(C2719=C2720,AA2719=AA2720-1),AC2719,"")</f>
        <v/>
      </c>
      <c r="AF2720" s="0" t="str">
        <f aca="false">IF(AA2720=1,"",IF(AND(AB2720=1,AD2720&lt;&gt;1),1,0))</f>
        <v/>
      </c>
      <c r="AG2720" s="0" t="str">
        <f aca="false">IF(AA2720=1,"",IF(AND(AC2720=1,AE2720&lt;&gt;1),1,0))</f>
        <v/>
      </c>
      <c r="AH2720" s="51" t="str">
        <f aca="false">IF(AND(E2720&gt;0,AA2720&lt;1,NOT(AND(C2721=C2720,AA2721=AA2720+1))),INDEX(DATAS,AA2720+1),"")</f>
        <v/>
      </c>
      <c r="AI2720" s="51" t="str">
        <f aca="false">IF(AND(AC2720=1,AA2720&lt;1),IF(AND(C2721=C2720,AA2721=AA2720+1),IF(AC2721=1,"",INDEX(DATAS,AA2720+1)),INDEX(DATAS,AA2720+1)),"")</f>
        <v/>
      </c>
    </row>
    <row r="2721" customFormat="false" ht="15" hidden="false" customHeight="false" outlineLevel="0" collapsed="false">
      <c r="A2721" s="51" t="n">
        <v>46309</v>
      </c>
      <c r="B2721" s="0" t="n">
        <v>13</v>
      </c>
      <c r="C2721" s="0" t="n">
        <v>7075</v>
      </c>
      <c r="E2721" s="0" t="n">
        <v>0</v>
      </c>
      <c r="F2721" s="46" t="s">
        <v>1373</v>
      </c>
      <c r="I2721" s="46" t="s">
        <v>179</v>
      </c>
      <c r="U2721" s="0" t="n">
        <v>351</v>
      </c>
      <c r="V2721" s="0" t="n">
        <v>0</v>
      </c>
      <c r="X2721" s="46" t="n">
        <f aca="false">IF(I2721="Male",0,1)</f>
        <v>1</v>
      </c>
      <c r="Y2721" s="46" t="n">
        <f aca="false">IF(OR(I2721="DNB",I2721="Dry DNB"),1,0)</f>
        <v>0</v>
      </c>
      <c r="Z2721" s="0" t="str">
        <f aca="false">IF(ISNUMBER(W2721),A2721-W2721,"")</f>
        <v/>
      </c>
      <c r="AA2721" s="46" t="n">
        <f aca="false">MATCH(A2721,DATAS,0)</f>
        <v>1</v>
      </c>
      <c r="AB2721" s="46" t="n">
        <f aca="false">IF(AND(E2721&gt;0,OR(AND(B2721&gt;=1,B2721&lt;=6),B2721=10)),1,0)</f>
        <v>0</v>
      </c>
      <c r="AC2721" s="46" t="n">
        <f aca="false">IF(AND(E2721&gt;0,B2721=10),1,0)</f>
        <v>0</v>
      </c>
      <c r="AD2721" s="0" t="str">
        <f aca="false">IF(AND(C2720=C2721,AA2720=AA2721-1),AB2720,"")</f>
        <v/>
      </c>
      <c r="AE2721" s="0" t="str">
        <f aca="false">IF(AND(C2720=C2721,AA2720=AA2721-1),AC2720,"")</f>
        <v/>
      </c>
      <c r="AF2721" s="0" t="str">
        <f aca="false">IF(AA2721=1,"",IF(AND(AB2721=1,AD2721&lt;&gt;1),1,0))</f>
        <v/>
      </c>
      <c r="AG2721" s="0" t="str">
        <f aca="false">IF(AA2721=1,"",IF(AND(AC2721=1,AE2721&lt;&gt;1),1,0))</f>
        <v/>
      </c>
      <c r="AH2721" s="51" t="str">
        <f aca="false">IF(AND(E2721&gt;0,AA2721&lt;1,NOT(AND(C2722=C2721,AA2722=AA2721+1))),INDEX(DATAS,AA2721+1),"")</f>
        <v/>
      </c>
      <c r="AI2721" s="51" t="str">
        <f aca="false">IF(AND(AC2721=1,AA2721&lt;1),IF(AND(C2722=C2721,AA2722=AA2721+1),IF(AC2722=1,"",INDEX(DATAS,AA2721+1)),INDEX(DATAS,AA2721+1)),"")</f>
        <v/>
      </c>
    </row>
    <row r="2722" customFormat="false" ht="15" hidden="false" customHeight="false" outlineLevel="0" collapsed="false">
      <c r="A2722" s="51" t="n">
        <v>46309</v>
      </c>
      <c r="B2722" s="0" t="n">
        <v>13</v>
      </c>
      <c r="C2722" s="0" t="n">
        <v>7076</v>
      </c>
      <c r="E2722" s="0" t="n">
        <v>0</v>
      </c>
      <c r="F2722" s="46" t="s">
        <v>1373</v>
      </c>
      <c r="I2722" s="46" t="s">
        <v>179</v>
      </c>
      <c r="U2722" s="0" t="n">
        <v>351</v>
      </c>
      <c r="V2722" s="0" t="n">
        <v>0</v>
      </c>
      <c r="X2722" s="46" t="n">
        <f aca="false">IF(I2722="Male",0,1)</f>
        <v>1</v>
      </c>
      <c r="Y2722" s="46" t="n">
        <f aca="false">IF(OR(I2722="DNB",I2722="Dry DNB"),1,0)</f>
        <v>0</v>
      </c>
      <c r="Z2722" s="0" t="str">
        <f aca="false">IF(ISNUMBER(W2722),A2722-W2722,"")</f>
        <v/>
      </c>
      <c r="AA2722" s="46" t="n">
        <f aca="false">MATCH(A2722,DATAS,0)</f>
        <v>1</v>
      </c>
      <c r="AB2722" s="46" t="n">
        <f aca="false">IF(AND(E2722&gt;0,OR(AND(B2722&gt;=1,B2722&lt;=6),B2722=10)),1,0)</f>
        <v>0</v>
      </c>
      <c r="AC2722" s="46" t="n">
        <f aca="false">IF(AND(E2722&gt;0,B2722=10),1,0)</f>
        <v>0</v>
      </c>
      <c r="AD2722" s="0" t="str">
        <f aca="false">IF(AND(C2721=C2722,AA2721=AA2722-1),AB2721,"")</f>
        <v/>
      </c>
      <c r="AE2722" s="0" t="str">
        <f aca="false">IF(AND(C2721=C2722,AA2721=AA2722-1),AC2721,"")</f>
        <v/>
      </c>
      <c r="AF2722" s="0" t="str">
        <f aca="false">IF(AA2722=1,"",IF(AND(AB2722=1,AD2722&lt;&gt;1),1,0))</f>
        <v/>
      </c>
      <c r="AG2722" s="0" t="str">
        <f aca="false">IF(AA2722=1,"",IF(AND(AC2722=1,AE2722&lt;&gt;1),1,0))</f>
        <v/>
      </c>
      <c r="AH2722" s="51" t="str">
        <f aca="false">IF(AND(E2722&gt;0,AA2722&lt;1,NOT(AND(C2723=C2722,AA2723=AA2722+1))),INDEX(DATAS,AA2722+1),"")</f>
        <v/>
      </c>
      <c r="AI2722" s="51" t="str">
        <f aca="false">IF(AND(AC2722=1,AA2722&lt;1),IF(AND(C2723=C2722,AA2723=AA2722+1),IF(AC2723=1,"",INDEX(DATAS,AA2722+1)),INDEX(DATAS,AA2722+1)),"")</f>
        <v/>
      </c>
    </row>
    <row r="2723" customFormat="false" ht="15" hidden="false" customHeight="false" outlineLevel="0" collapsed="false">
      <c r="A2723" s="51" t="n">
        <v>46309</v>
      </c>
      <c r="B2723" s="0" t="n">
        <v>13</v>
      </c>
      <c r="C2723" s="0" t="n">
        <v>7077</v>
      </c>
      <c r="E2723" s="0" t="n">
        <v>0</v>
      </c>
      <c r="F2723" s="46" t="s">
        <v>1374</v>
      </c>
      <c r="I2723" s="46" t="s">
        <v>179</v>
      </c>
      <c r="U2723" s="0" t="n">
        <v>350</v>
      </c>
      <c r="V2723" s="0" t="n">
        <v>0</v>
      </c>
      <c r="X2723" s="46" t="n">
        <f aca="false">IF(I2723="Male",0,1)</f>
        <v>1</v>
      </c>
      <c r="Y2723" s="46" t="n">
        <f aca="false">IF(OR(I2723="DNB",I2723="Dry DNB"),1,0)</f>
        <v>0</v>
      </c>
      <c r="Z2723" s="0" t="str">
        <f aca="false">IF(ISNUMBER(W2723),A2723-W2723,"")</f>
        <v/>
      </c>
      <c r="AA2723" s="46" t="n">
        <f aca="false">MATCH(A2723,DATAS,0)</f>
        <v>1</v>
      </c>
      <c r="AB2723" s="46" t="n">
        <f aca="false">IF(AND(E2723&gt;0,OR(AND(B2723&gt;=1,B2723&lt;=6),B2723=10)),1,0)</f>
        <v>0</v>
      </c>
      <c r="AC2723" s="46" t="n">
        <f aca="false">IF(AND(E2723&gt;0,B2723=10),1,0)</f>
        <v>0</v>
      </c>
      <c r="AD2723" s="0" t="str">
        <f aca="false">IF(AND(C2722=C2723,AA2722=AA2723-1),AB2722,"")</f>
        <v/>
      </c>
      <c r="AE2723" s="0" t="str">
        <f aca="false">IF(AND(C2722=C2723,AA2722=AA2723-1),AC2722,"")</f>
        <v/>
      </c>
      <c r="AF2723" s="0" t="str">
        <f aca="false">IF(AA2723=1,"",IF(AND(AB2723=1,AD2723&lt;&gt;1),1,0))</f>
        <v/>
      </c>
      <c r="AG2723" s="0" t="str">
        <f aca="false">IF(AA2723=1,"",IF(AND(AC2723=1,AE2723&lt;&gt;1),1,0))</f>
        <v/>
      </c>
      <c r="AH2723" s="51" t="str">
        <f aca="false">IF(AND(E2723&gt;0,AA2723&lt;1,NOT(AND(C2724=C2723,AA2724=AA2723+1))),INDEX(DATAS,AA2723+1),"")</f>
        <v/>
      </c>
      <c r="AI2723" s="51" t="str">
        <f aca="false">IF(AND(AC2723=1,AA2723&lt;1),IF(AND(C2724=C2723,AA2724=AA2723+1),IF(AC2724=1,"",INDEX(DATAS,AA2723+1)),INDEX(DATAS,AA2723+1)),"")</f>
        <v/>
      </c>
    </row>
    <row r="2724" customFormat="false" ht="15" hidden="false" customHeight="false" outlineLevel="0" collapsed="false">
      <c r="A2724" s="51" t="n">
        <v>46309</v>
      </c>
      <c r="B2724" s="0" t="n">
        <v>13</v>
      </c>
      <c r="C2724" s="0" t="n">
        <v>7078</v>
      </c>
      <c r="E2724" s="0" t="n">
        <v>0</v>
      </c>
      <c r="F2724" s="46" t="s">
        <v>1374</v>
      </c>
      <c r="I2724" s="46" t="s">
        <v>179</v>
      </c>
      <c r="U2724" s="0" t="n">
        <v>350</v>
      </c>
      <c r="V2724" s="0" t="n">
        <v>0</v>
      </c>
      <c r="X2724" s="46" t="n">
        <f aca="false">IF(I2724="Male",0,1)</f>
        <v>1</v>
      </c>
      <c r="Y2724" s="46" t="n">
        <f aca="false">IF(OR(I2724="DNB",I2724="Dry DNB"),1,0)</f>
        <v>0</v>
      </c>
      <c r="Z2724" s="0" t="str">
        <f aca="false">IF(ISNUMBER(W2724),A2724-W2724,"")</f>
        <v/>
      </c>
      <c r="AA2724" s="46" t="n">
        <f aca="false">MATCH(A2724,DATAS,0)</f>
        <v>1</v>
      </c>
      <c r="AB2724" s="46" t="n">
        <f aca="false">IF(AND(E2724&gt;0,OR(AND(B2724&gt;=1,B2724&lt;=6),B2724=10)),1,0)</f>
        <v>0</v>
      </c>
      <c r="AC2724" s="46" t="n">
        <f aca="false">IF(AND(E2724&gt;0,B2724=10),1,0)</f>
        <v>0</v>
      </c>
      <c r="AD2724" s="0" t="str">
        <f aca="false">IF(AND(C2723=C2724,AA2723=AA2724-1),AB2723,"")</f>
        <v/>
      </c>
      <c r="AE2724" s="0" t="str">
        <f aca="false">IF(AND(C2723=C2724,AA2723=AA2724-1),AC2723,"")</f>
        <v/>
      </c>
      <c r="AF2724" s="0" t="str">
        <f aca="false">IF(AA2724=1,"",IF(AND(AB2724=1,AD2724&lt;&gt;1),1,0))</f>
        <v/>
      </c>
      <c r="AG2724" s="0" t="str">
        <f aca="false">IF(AA2724=1,"",IF(AND(AC2724=1,AE2724&lt;&gt;1),1,0))</f>
        <v/>
      </c>
      <c r="AH2724" s="51" t="str">
        <f aca="false">IF(AND(E2724&gt;0,AA2724&lt;1,NOT(AND(C2725=C2724,AA2725=AA2724+1))),INDEX(DATAS,AA2724+1),"")</f>
        <v/>
      </c>
      <c r="AI2724" s="51" t="str">
        <f aca="false">IF(AND(AC2724=1,AA2724&lt;1),IF(AND(C2725=C2724,AA2725=AA2724+1),IF(AC2725=1,"",INDEX(DATAS,AA2724+1)),INDEX(DATAS,AA2724+1)),"")</f>
        <v/>
      </c>
    </row>
    <row r="2725" customFormat="false" ht="15" hidden="false" customHeight="false" outlineLevel="0" collapsed="false">
      <c r="A2725" s="51" t="n">
        <v>46309</v>
      </c>
      <c r="B2725" s="0" t="n">
        <v>13</v>
      </c>
      <c r="C2725" s="0" t="n">
        <v>7079</v>
      </c>
      <c r="E2725" s="0" t="n">
        <v>0</v>
      </c>
      <c r="F2725" s="46" t="s">
        <v>1374</v>
      </c>
      <c r="I2725" s="46" t="s">
        <v>179</v>
      </c>
      <c r="U2725" s="0" t="n">
        <v>350</v>
      </c>
      <c r="V2725" s="0" t="n">
        <v>0</v>
      </c>
      <c r="X2725" s="46" t="n">
        <f aca="false">IF(I2725="Male",0,1)</f>
        <v>1</v>
      </c>
      <c r="Y2725" s="46" t="n">
        <f aca="false">IF(OR(I2725="DNB",I2725="Dry DNB"),1,0)</f>
        <v>0</v>
      </c>
      <c r="Z2725" s="0" t="str">
        <f aca="false">IF(ISNUMBER(W2725),A2725-W2725,"")</f>
        <v/>
      </c>
      <c r="AA2725" s="46" t="n">
        <f aca="false">MATCH(A2725,DATAS,0)</f>
        <v>1</v>
      </c>
      <c r="AB2725" s="46" t="n">
        <f aca="false">IF(AND(E2725&gt;0,OR(AND(B2725&gt;=1,B2725&lt;=6),B2725=10)),1,0)</f>
        <v>0</v>
      </c>
      <c r="AC2725" s="46" t="n">
        <f aca="false">IF(AND(E2725&gt;0,B2725=10),1,0)</f>
        <v>0</v>
      </c>
      <c r="AD2725" s="0" t="str">
        <f aca="false">IF(AND(C2724=C2725,AA2724=AA2725-1),AB2724,"")</f>
        <v/>
      </c>
      <c r="AE2725" s="0" t="str">
        <f aca="false">IF(AND(C2724=C2725,AA2724=AA2725-1),AC2724,"")</f>
        <v/>
      </c>
      <c r="AF2725" s="0" t="str">
        <f aca="false">IF(AA2725=1,"",IF(AND(AB2725=1,AD2725&lt;&gt;1),1,0))</f>
        <v/>
      </c>
      <c r="AG2725" s="0" t="str">
        <f aca="false">IF(AA2725=1,"",IF(AND(AC2725=1,AE2725&lt;&gt;1),1,0))</f>
        <v/>
      </c>
      <c r="AH2725" s="51" t="str">
        <f aca="false">IF(AND(E2725&gt;0,AA2725&lt;1,NOT(AND(C2726=C2725,AA2726=AA2725+1))),INDEX(DATAS,AA2725+1),"")</f>
        <v/>
      </c>
      <c r="AI2725" s="51" t="str">
        <f aca="false">IF(AND(AC2725=1,AA2725&lt;1),IF(AND(C2726=C2725,AA2726=AA2725+1),IF(AC2726=1,"",INDEX(DATAS,AA2725+1)),INDEX(DATAS,AA2725+1)),"")</f>
        <v/>
      </c>
    </row>
    <row r="2726" customFormat="false" ht="15" hidden="false" customHeight="false" outlineLevel="0" collapsed="false">
      <c r="A2726" s="51" t="n">
        <v>46309</v>
      </c>
      <c r="B2726" s="0" t="n">
        <v>13</v>
      </c>
      <c r="C2726" s="0" t="n">
        <v>7080</v>
      </c>
      <c r="E2726" s="0" t="n">
        <v>0</v>
      </c>
      <c r="F2726" s="46" t="s">
        <v>1375</v>
      </c>
      <c r="I2726" s="46" t="s">
        <v>179</v>
      </c>
      <c r="U2726" s="0" t="n">
        <v>349</v>
      </c>
      <c r="V2726" s="0" t="n">
        <v>0</v>
      </c>
      <c r="X2726" s="46" t="n">
        <f aca="false">IF(I2726="Male",0,1)</f>
        <v>1</v>
      </c>
      <c r="Y2726" s="46" t="n">
        <f aca="false">IF(OR(I2726="DNB",I2726="Dry DNB"),1,0)</f>
        <v>0</v>
      </c>
      <c r="Z2726" s="0" t="str">
        <f aca="false">IF(ISNUMBER(W2726),A2726-W2726,"")</f>
        <v/>
      </c>
      <c r="AA2726" s="46" t="n">
        <f aca="false">MATCH(A2726,DATAS,0)</f>
        <v>1</v>
      </c>
      <c r="AB2726" s="46" t="n">
        <f aca="false">IF(AND(E2726&gt;0,OR(AND(B2726&gt;=1,B2726&lt;=6),B2726=10)),1,0)</f>
        <v>0</v>
      </c>
      <c r="AC2726" s="46" t="n">
        <f aca="false">IF(AND(E2726&gt;0,B2726=10),1,0)</f>
        <v>0</v>
      </c>
      <c r="AD2726" s="0" t="str">
        <f aca="false">IF(AND(C2725=C2726,AA2725=AA2726-1),AB2725,"")</f>
        <v/>
      </c>
      <c r="AE2726" s="0" t="str">
        <f aca="false">IF(AND(C2725=C2726,AA2725=AA2726-1),AC2725,"")</f>
        <v/>
      </c>
      <c r="AF2726" s="0" t="str">
        <f aca="false">IF(AA2726=1,"",IF(AND(AB2726=1,AD2726&lt;&gt;1),1,0))</f>
        <v/>
      </c>
      <c r="AG2726" s="0" t="str">
        <f aca="false">IF(AA2726=1,"",IF(AND(AC2726=1,AE2726&lt;&gt;1),1,0))</f>
        <v/>
      </c>
      <c r="AH2726" s="51" t="str">
        <f aca="false">IF(AND(E2726&gt;0,AA2726&lt;1,NOT(AND(C2727=C2726,AA2727=AA2726+1))),INDEX(DATAS,AA2726+1),"")</f>
        <v/>
      </c>
      <c r="AI2726" s="51" t="str">
        <f aca="false">IF(AND(AC2726=1,AA2726&lt;1),IF(AND(C2727=C2726,AA2727=AA2726+1),IF(AC2727=1,"",INDEX(DATAS,AA2726+1)),INDEX(DATAS,AA2726+1)),"")</f>
        <v/>
      </c>
    </row>
    <row r="2727" customFormat="false" ht="15" hidden="false" customHeight="false" outlineLevel="0" collapsed="false">
      <c r="A2727" s="51" t="n">
        <v>46309</v>
      </c>
      <c r="B2727" s="0" t="n">
        <v>13</v>
      </c>
      <c r="C2727" s="0" t="n">
        <v>7081</v>
      </c>
      <c r="E2727" s="0" t="n">
        <v>0</v>
      </c>
      <c r="F2727" s="46" t="s">
        <v>1376</v>
      </c>
      <c r="I2727" s="46" t="s">
        <v>179</v>
      </c>
      <c r="U2727" s="0" t="n">
        <v>348</v>
      </c>
      <c r="V2727" s="0" t="n">
        <v>0</v>
      </c>
      <c r="X2727" s="46" t="n">
        <f aca="false">IF(I2727="Male",0,1)</f>
        <v>1</v>
      </c>
      <c r="Y2727" s="46" t="n">
        <f aca="false">IF(OR(I2727="DNB",I2727="Dry DNB"),1,0)</f>
        <v>0</v>
      </c>
      <c r="Z2727" s="0" t="str">
        <f aca="false">IF(ISNUMBER(W2727),A2727-W2727,"")</f>
        <v/>
      </c>
      <c r="AA2727" s="46" t="n">
        <f aca="false">MATCH(A2727,DATAS,0)</f>
        <v>1</v>
      </c>
      <c r="AB2727" s="46" t="n">
        <f aca="false">IF(AND(E2727&gt;0,OR(AND(B2727&gt;=1,B2727&lt;=6),B2727=10)),1,0)</f>
        <v>0</v>
      </c>
      <c r="AC2727" s="46" t="n">
        <f aca="false">IF(AND(E2727&gt;0,B2727=10),1,0)</f>
        <v>0</v>
      </c>
      <c r="AD2727" s="0" t="str">
        <f aca="false">IF(AND(C2726=C2727,AA2726=AA2727-1),AB2726,"")</f>
        <v/>
      </c>
      <c r="AE2727" s="0" t="str">
        <f aca="false">IF(AND(C2726=C2727,AA2726=AA2727-1),AC2726,"")</f>
        <v/>
      </c>
      <c r="AF2727" s="0" t="str">
        <f aca="false">IF(AA2727=1,"",IF(AND(AB2727=1,AD2727&lt;&gt;1),1,0))</f>
        <v/>
      </c>
      <c r="AG2727" s="0" t="str">
        <f aca="false">IF(AA2727=1,"",IF(AND(AC2727=1,AE2727&lt;&gt;1),1,0))</f>
        <v/>
      </c>
      <c r="AH2727" s="51" t="str">
        <f aca="false">IF(AND(E2727&gt;0,AA2727&lt;1,NOT(AND(C2728=C2727,AA2728=AA2727+1))),INDEX(DATAS,AA2727+1),"")</f>
        <v/>
      </c>
      <c r="AI2727" s="51" t="str">
        <f aca="false">IF(AND(AC2727=1,AA2727&lt;1),IF(AND(C2728=C2727,AA2728=AA2727+1),IF(AC2728=1,"",INDEX(DATAS,AA2727+1)),INDEX(DATAS,AA2727+1)),"")</f>
        <v/>
      </c>
    </row>
    <row r="2728" customFormat="false" ht="15" hidden="false" customHeight="false" outlineLevel="0" collapsed="false">
      <c r="A2728" s="51" t="n">
        <v>46309</v>
      </c>
      <c r="B2728" s="0" t="n">
        <v>13</v>
      </c>
      <c r="C2728" s="0" t="n">
        <v>7082</v>
      </c>
      <c r="E2728" s="0" t="n">
        <v>0</v>
      </c>
      <c r="F2728" s="46" t="s">
        <v>1376</v>
      </c>
      <c r="I2728" s="46" t="s">
        <v>179</v>
      </c>
      <c r="U2728" s="0" t="n">
        <v>348</v>
      </c>
      <c r="V2728" s="0" t="n">
        <v>0</v>
      </c>
      <c r="X2728" s="46" t="n">
        <f aca="false">IF(I2728="Male",0,1)</f>
        <v>1</v>
      </c>
      <c r="Y2728" s="46" t="n">
        <f aca="false">IF(OR(I2728="DNB",I2728="Dry DNB"),1,0)</f>
        <v>0</v>
      </c>
      <c r="Z2728" s="0" t="str">
        <f aca="false">IF(ISNUMBER(W2728),A2728-W2728,"")</f>
        <v/>
      </c>
      <c r="AA2728" s="46" t="n">
        <f aca="false">MATCH(A2728,DATAS,0)</f>
        <v>1</v>
      </c>
      <c r="AB2728" s="46" t="n">
        <f aca="false">IF(AND(E2728&gt;0,OR(AND(B2728&gt;=1,B2728&lt;=6),B2728=10)),1,0)</f>
        <v>0</v>
      </c>
      <c r="AC2728" s="46" t="n">
        <f aca="false">IF(AND(E2728&gt;0,B2728=10),1,0)</f>
        <v>0</v>
      </c>
      <c r="AD2728" s="0" t="str">
        <f aca="false">IF(AND(C2727=C2728,AA2727=AA2728-1),AB2727,"")</f>
        <v/>
      </c>
      <c r="AE2728" s="0" t="str">
        <f aca="false">IF(AND(C2727=C2728,AA2727=AA2728-1),AC2727,"")</f>
        <v/>
      </c>
      <c r="AF2728" s="0" t="str">
        <f aca="false">IF(AA2728=1,"",IF(AND(AB2728=1,AD2728&lt;&gt;1),1,0))</f>
        <v/>
      </c>
      <c r="AG2728" s="0" t="str">
        <f aca="false">IF(AA2728=1,"",IF(AND(AC2728=1,AE2728&lt;&gt;1),1,0))</f>
        <v/>
      </c>
      <c r="AH2728" s="51" t="str">
        <f aca="false">IF(AND(E2728&gt;0,AA2728&lt;1,NOT(AND(C2729=C2728,AA2729=AA2728+1))),INDEX(DATAS,AA2728+1),"")</f>
        <v/>
      </c>
      <c r="AI2728" s="51" t="str">
        <f aca="false">IF(AND(AC2728=1,AA2728&lt;1),IF(AND(C2729=C2728,AA2729=AA2728+1),IF(AC2729=1,"",INDEX(DATAS,AA2728+1)),INDEX(DATAS,AA2728+1)),"")</f>
        <v/>
      </c>
    </row>
    <row r="2729" customFormat="false" ht="15" hidden="false" customHeight="false" outlineLevel="0" collapsed="false">
      <c r="A2729" s="51" t="n">
        <v>46309</v>
      </c>
      <c r="B2729" s="0" t="n">
        <v>13</v>
      </c>
      <c r="C2729" s="0" t="n">
        <v>7083</v>
      </c>
      <c r="E2729" s="0" t="n">
        <v>0</v>
      </c>
      <c r="F2729" s="46" t="s">
        <v>1376</v>
      </c>
      <c r="I2729" s="46" t="s">
        <v>179</v>
      </c>
      <c r="U2729" s="0" t="n">
        <v>348</v>
      </c>
      <c r="V2729" s="0" t="n">
        <v>0</v>
      </c>
      <c r="X2729" s="46" t="n">
        <f aca="false">IF(I2729="Male",0,1)</f>
        <v>1</v>
      </c>
      <c r="Y2729" s="46" t="n">
        <f aca="false">IF(OR(I2729="DNB",I2729="Dry DNB"),1,0)</f>
        <v>0</v>
      </c>
      <c r="Z2729" s="0" t="str">
        <f aca="false">IF(ISNUMBER(W2729),A2729-W2729,"")</f>
        <v/>
      </c>
      <c r="AA2729" s="46" t="n">
        <f aca="false">MATCH(A2729,DATAS,0)</f>
        <v>1</v>
      </c>
      <c r="AB2729" s="46" t="n">
        <f aca="false">IF(AND(E2729&gt;0,OR(AND(B2729&gt;=1,B2729&lt;=6),B2729=10)),1,0)</f>
        <v>0</v>
      </c>
      <c r="AC2729" s="46" t="n">
        <f aca="false">IF(AND(E2729&gt;0,B2729=10),1,0)</f>
        <v>0</v>
      </c>
      <c r="AD2729" s="0" t="str">
        <f aca="false">IF(AND(C2728=C2729,AA2728=AA2729-1),AB2728,"")</f>
        <v/>
      </c>
      <c r="AE2729" s="0" t="str">
        <f aca="false">IF(AND(C2728=C2729,AA2728=AA2729-1),AC2728,"")</f>
        <v/>
      </c>
      <c r="AF2729" s="0" t="str">
        <f aca="false">IF(AA2729=1,"",IF(AND(AB2729=1,AD2729&lt;&gt;1),1,0))</f>
        <v/>
      </c>
      <c r="AG2729" s="0" t="str">
        <f aca="false">IF(AA2729=1,"",IF(AND(AC2729=1,AE2729&lt;&gt;1),1,0))</f>
        <v/>
      </c>
      <c r="AH2729" s="51" t="str">
        <f aca="false">IF(AND(E2729&gt;0,AA2729&lt;1,NOT(AND(C2730=C2729,AA2730=AA2729+1))),INDEX(DATAS,AA2729+1),"")</f>
        <v/>
      </c>
      <c r="AI2729" s="51" t="str">
        <f aca="false">IF(AND(AC2729=1,AA2729&lt;1),IF(AND(C2730=C2729,AA2730=AA2729+1),IF(AC2730=1,"",INDEX(DATAS,AA2729+1)),INDEX(DATAS,AA2729+1)),"")</f>
        <v/>
      </c>
    </row>
    <row r="2730" customFormat="false" ht="15" hidden="false" customHeight="false" outlineLevel="0" collapsed="false">
      <c r="A2730" s="51" t="n">
        <v>46309</v>
      </c>
      <c r="B2730" s="0" t="n">
        <v>13</v>
      </c>
      <c r="C2730" s="0" t="n">
        <v>7084</v>
      </c>
      <c r="E2730" s="0" t="n">
        <v>0</v>
      </c>
      <c r="F2730" s="46" t="s">
        <v>1376</v>
      </c>
      <c r="I2730" s="46" t="s">
        <v>179</v>
      </c>
      <c r="U2730" s="0" t="n">
        <v>348</v>
      </c>
      <c r="V2730" s="0" t="n">
        <v>0</v>
      </c>
      <c r="X2730" s="46" t="n">
        <f aca="false">IF(I2730="Male",0,1)</f>
        <v>1</v>
      </c>
      <c r="Y2730" s="46" t="n">
        <f aca="false">IF(OR(I2730="DNB",I2730="Dry DNB"),1,0)</f>
        <v>0</v>
      </c>
      <c r="Z2730" s="0" t="str">
        <f aca="false">IF(ISNUMBER(W2730),A2730-W2730,"")</f>
        <v/>
      </c>
      <c r="AA2730" s="46" t="n">
        <f aca="false">MATCH(A2730,DATAS,0)</f>
        <v>1</v>
      </c>
      <c r="AB2730" s="46" t="n">
        <f aca="false">IF(AND(E2730&gt;0,OR(AND(B2730&gt;=1,B2730&lt;=6),B2730=10)),1,0)</f>
        <v>0</v>
      </c>
      <c r="AC2730" s="46" t="n">
        <f aca="false">IF(AND(E2730&gt;0,B2730=10),1,0)</f>
        <v>0</v>
      </c>
      <c r="AD2730" s="0" t="str">
        <f aca="false">IF(AND(C2729=C2730,AA2729=AA2730-1),AB2729,"")</f>
        <v/>
      </c>
      <c r="AE2730" s="0" t="str">
        <f aca="false">IF(AND(C2729=C2730,AA2729=AA2730-1),AC2729,"")</f>
        <v/>
      </c>
      <c r="AF2730" s="0" t="str">
        <f aca="false">IF(AA2730=1,"",IF(AND(AB2730=1,AD2730&lt;&gt;1),1,0))</f>
        <v/>
      </c>
      <c r="AG2730" s="0" t="str">
        <f aca="false">IF(AA2730=1,"",IF(AND(AC2730=1,AE2730&lt;&gt;1),1,0))</f>
        <v/>
      </c>
      <c r="AH2730" s="51" t="str">
        <f aca="false">IF(AND(E2730&gt;0,AA2730&lt;1,NOT(AND(C2731=C2730,AA2731=AA2730+1))),INDEX(DATAS,AA2730+1),"")</f>
        <v/>
      </c>
      <c r="AI2730" s="51" t="str">
        <f aca="false">IF(AND(AC2730=1,AA2730&lt;1),IF(AND(C2731=C2730,AA2731=AA2730+1),IF(AC2731=1,"",INDEX(DATAS,AA2730+1)),INDEX(DATAS,AA2730+1)),"")</f>
        <v/>
      </c>
    </row>
    <row r="2731" customFormat="false" ht="15" hidden="false" customHeight="false" outlineLevel="0" collapsed="false">
      <c r="A2731" s="51" t="n">
        <v>46309</v>
      </c>
      <c r="B2731" s="0" t="n">
        <v>13</v>
      </c>
      <c r="C2731" s="0" t="n">
        <v>7085</v>
      </c>
      <c r="E2731" s="0" t="n">
        <v>0</v>
      </c>
      <c r="F2731" s="46" t="s">
        <v>1377</v>
      </c>
      <c r="I2731" s="46" t="s">
        <v>179</v>
      </c>
      <c r="U2731" s="0" t="n">
        <v>347</v>
      </c>
      <c r="V2731" s="0" t="n">
        <v>0</v>
      </c>
      <c r="X2731" s="46" t="n">
        <f aca="false">IF(I2731="Male",0,1)</f>
        <v>1</v>
      </c>
      <c r="Y2731" s="46" t="n">
        <f aca="false">IF(OR(I2731="DNB",I2731="Dry DNB"),1,0)</f>
        <v>0</v>
      </c>
      <c r="Z2731" s="0" t="str">
        <f aca="false">IF(ISNUMBER(W2731),A2731-W2731,"")</f>
        <v/>
      </c>
      <c r="AA2731" s="46" t="n">
        <f aca="false">MATCH(A2731,DATAS,0)</f>
        <v>1</v>
      </c>
      <c r="AB2731" s="46" t="n">
        <f aca="false">IF(AND(E2731&gt;0,OR(AND(B2731&gt;=1,B2731&lt;=6),B2731=10)),1,0)</f>
        <v>0</v>
      </c>
      <c r="AC2731" s="46" t="n">
        <f aca="false">IF(AND(E2731&gt;0,B2731=10),1,0)</f>
        <v>0</v>
      </c>
      <c r="AD2731" s="0" t="str">
        <f aca="false">IF(AND(C2730=C2731,AA2730=AA2731-1),AB2730,"")</f>
        <v/>
      </c>
      <c r="AE2731" s="0" t="str">
        <f aca="false">IF(AND(C2730=C2731,AA2730=AA2731-1),AC2730,"")</f>
        <v/>
      </c>
      <c r="AF2731" s="0" t="str">
        <f aca="false">IF(AA2731=1,"",IF(AND(AB2731=1,AD2731&lt;&gt;1),1,0))</f>
        <v/>
      </c>
      <c r="AG2731" s="0" t="str">
        <f aca="false">IF(AA2731=1,"",IF(AND(AC2731=1,AE2731&lt;&gt;1),1,0))</f>
        <v/>
      </c>
      <c r="AH2731" s="51" t="str">
        <f aca="false">IF(AND(E2731&gt;0,AA2731&lt;1,NOT(AND(C2732=C2731,AA2732=AA2731+1))),INDEX(DATAS,AA2731+1),"")</f>
        <v/>
      </c>
      <c r="AI2731" s="51" t="str">
        <f aca="false">IF(AND(AC2731=1,AA2731&lt;1),IF(AND(C2732=C2731,AA2732=AA2731+1),IF(AC2732=1,"",INDEX(DATAS,AA2731+1)),INDEX(DATAS,AA2731+1)),"")</f>
        <v/>
      </c>
    </row>
    <row r="2732" customFormat="false" ht="15" hidden="false" customHeight="false" outlineLevel="0" collapsed="false">
      <c r="A2732" s="51" t="n">
        <v>46309</v>
      </c>
      <c r="B2732" s="0" t="n">
        <v>13</v>
      </c>
      <c r="C2732" s="0" t="n">
        <v>7086</v>
      </c>
      <c r="E2732" s="0" t="n">
        <v>0</v>
      </c>
      <c r="F2732" s="46" t="s">
        <v>1377</v>
      </c>
      <c r="I2732" s="46" t="s">
        <v>179</v>
      </c>
      <c r="U2732" s="0" t="n">
        <v>347</v>
      </c>
      <c r="V2732" s="0" t="n">
        <v>0</v>
      </c>
      <c r="X2732" s="46" t="n">
        <f aca="false">IF(I2732="Male",0,1)</f>
        <v>1</v>
      </c>
      <c r="Y2732" s="46" t="n">
        <f aca="false">IF(OR(I2732="DNB",I2732="Dry DNB"),1,0)</f>
        <v>0</v>
      </c>
      <c r="Z2732" s="0" t="str">
        <f aca="false">IF(ISNUMBER(W2732),A2732-W2732,"")</f>
        <v/>
      </c>
      <c r="AA2732" s="46" t="n">
        <f aca="false">MATCH(A2732,DATAS,0)</f>
        <v>1</v>
      </c>
      <c r="AB2732" s="46" t="n">
        <f aca="false">IF(AND(E2732&gt;0,OR(AND(B2732&gt;=1,B2732&lt;=6),B2732=10)),1,0)</f>
        <v>0</v>
      </c>
      <c r="AC2732" s="46" t="n">
        <f aca="false">IF(AND(E2732&gt;0,B2732=10),1,0)</f>
        <v>0</v>
      </c>
      <c r="AD2732" s="0" t="str">
        <f aca="false">IF(AND(C2731=C2732,AA2731=AA2732-1),AB2731,"")</f>
        <v/>
      </c>
      <c r="AE2732" s="0" t="str">
        <f aca="false">IF(AND(C2731=C2732,AA2731=AA2732-1),AC2731,"")</f>
        <v/>
      </c>
      <c r="AF2732" s="0" t="str">
        <f aca="false">IF(AA2732=1,"",IF(AND(AB2732=1,AD2732&lt;&gt;1),1,0))</f>
        <v/>
      </c>
      <c r="AG2732" s="0" t="str">
        <f aca="false">IF(AA2732=1,"",IF(AND(AC2732=1,AE2732&lt;&gt;1),1,0))</f>
        <v/>
      </c>
      <c r="AH2732" s="51" t="str">
        <f aca="false">IF(AND(E2732&gt;0,AA2732&lt;1,NOT(AND(C2733=C2732,AA2733=AA2732+1))),INDEX(DATAS,AA2732+1),"")</f>
        <v/>
      </c>
      <c r="AI2732" s="51" t="str">
        <f aca="false">IF(AND(AC2732=1,AA2732&lt;1),IF(AND(C2733=C2732,AA2733=AA2732+1),IF(AC2733=1,"",INDEX(DATAS,AA2732+1)),INDEX(DATAS,AA2732+1)),"")</f>
        <v/>
      </c>
    </row>
    <row r="2733" customFormat="false" ht="15" hidden="false" customHeight="false" outlineLevel="0" collapsed="false">
      <c r="A2733" s="51" t="n">
        <v>46309</v>
      </c>
      <c r="B2733" s="0" t="n">
        <v>13</v>
      </c>
      <c r="C2733" s="0" t="n">
        <v>7087</v>
      </c>
      <c r="E2733" s="0" t="n">
        <v>0</v>
      </c>
      <c r="F2733" s="46" t="s">
        <v>1377</v>
      </c>
      <c r="I2733" s="46" t="s">
        <v>179</v>
      </c>
      <c r="U2733" s="0" t="n">
        <v>347</v>
      </c>
      <c r="V2733" s="0" t="n">
        <v>0</v>
      </c>
      <c r="X2733" s="46" t="n">
        <f aca="false">IF(I2733="Male",0,1)</f>
        <v>1</v>
      </c>
      <c r="Y2733" s="46" t="n">
        <f aca="false">IF(OR(I2733="DNB",I2733="Dry DNB"),1,0)</f>
        <v>0</v>
      </c>
      <c r="Z2733" s="0" t="str">
        <f aca="false">IF(ISNUMBER(W2733),A2733-W2733,"")</f>
        <v/>
      </c>
      <c r="AA2733" s="46" t="n">
        <f aca="false">MATCH(A2733,DATAS,0)</f>
        <v>1</v>
      </c>
      <c r="AB2733" s="46" t="n">
        <f aca="false">IF(AND(E2733&gt;0,OR(AND(B2733&gt;=1,B2733&lt;=6),B2733=10)),1,0)</f>
        <v>0</v>
      </c>
      <c r="AC2733" s="46" t="n">
        <f aca="false">IF(AND(E2733&gt;0,B2733=10),1,0)</f>
        <v>0</v>
      </c>
      <c r="AD2733" s="0" t="str">
        <f aca="false">IF(AND(C2732=C2733,AA2732=AA2733-1),AB2732,"")</f>
        <v/>
      </c>
      <c r="AE2733" s="0" t="str">
        <f aca="false">IF(AND(C2732=C2733,AA2732=AA2733-1),AC2732,"")</f>
        <v/>
      </c>
      <c r="AF2733" s="0" t="str">
        <f aca="false">IF(AA2733=1,"",IF(AND(AB2733=1,AD2733&lt;&gt;1),1,0))</f>
        <v/>
      </c>
      <c r="AG2733" s="0" t="str">
        <f aca="false">IF(AA2733=1,"",IF(AND(AC2733=1,AE2733&lt;&gt;1),1,0))</f>
        <v/>
      </c>
      <c r="AH2733" s="51" t="str">
        <f aca="false">IF(AND(E2733&gt;0,AA2733&lt;1,NOT(AND(C2734=C2733,AA2734=AA2733+1))),INDEX(DATAS,AA2733+1),"")</f>
        <v/>
      </c>
      <c r="AI2733" s="51" t="str">
        <f aca="false">IF(AND(AC2733=1,AA2733&lt;1),IF(AND(C2734=C2733,AA2734=AA2733+1),IF(AC2734=1,"",INDEX(DATAS,AA2733+1)),INDEX(DATAS,AA2733+1)),"")</f>
        <v/>
      </c>
    </row>
    <row r="2734" customFormat="false" ht="15" hidden="false" customHeight="false" outlineLevel="0" collapsed="false">
      <c r="A2734" s="51" t="n">
        <v>46309</v>
      </c>
      <c r="B2734" s="0" t="n">
        <v>13</v>
      </c>
      <c r="C2734" s="0" t="n">
        <v>7089</v>
      </c>
      <c r="E2734" s="0" t="n">
        <v>0</v>
      </c>
      <c r="F2734" s="46" t="s">
        <v>1377</v>
      </c>
      <c r="I2734" s="46" t="s">
        <v>179</v>
      </c>
      <c r="U2734" s="0" t="n">
        <v>347</v>
      </c>
      <c r="V2734" s="0" t="n">
        <v>0</v>
      </c>
      <c r="X2734" s="46" t="n">
        <f aca="false">IF(I2734="Male",0,1)</f>
        <v>1</v>
      </c>
      <c r="Y2734" s="46" t="n">
        <f aca="false">IF(OR(I2734="DNB",I2734="Dry DNB"),1,0)</f>
        <v>0</v>
      </c>
      <c r="Z2734" s="0" t="str">
        <f aca="false">IF(ISNUMBER(W2734),A2734-W2734,"")</f>
        <v/>
      </c>
      <c r="AA2734" s="46" t="n">
        <f aca="false">MATCH(A2734,DATAS,0)</f>
        <v>1</v>
      </c>
      <c r="AB2734" s="46" t="n">
        <f aca="false">IF(AND(E2734&gt;0,OR(AND(B2734&gt;=1,B2734&lt;=6),B2734=10)),1,0)</f>
        <v>0</v>
      </c>
      <c r="AC2734" s="46" t="n">
        <f aca="false">IF(AND(E2734&gt;0,B2734=10),1,0)</f>
        <v>0</v>
      </c>
      <c r="AD2734" s="0" t="str">
        <f aca="false">IF(AND(C2733=C2734,AA2733=AA2734-1),AB2733,"")</f>
        <v/>
      </c>
      <c r="AE2734" s="0" t="str">
        <f aca="false">IF(AND(C2733=C2734,AA2733=AA2734-1),AC2733,"")</f>
        <v/>
      </c>
      <c r="AF2734" s="0" t="str">
        <f aca="false">IF(AA2734=1,"",IF(AND(AB2734=1,AD2734&lt;&gt;1),1,0))</f>
        <v/>
      </c>
      <c r="AG2734" s="0" t="str">
        <f aca="false">IF(AA2734=1,"",IF(AND(AC2734=1,AE2734&lt;&gt;1),1,0))</f>
        <v/>
      </c>
      <c r="AH2734" s="51" t="str">
        <f aca="false">IF(AND(E2734&gt;0,AA2734&lt;1,NOT(AND(C2735=C2734,AA2735=AA2734+1))),INDEX(DATAS,AA2734+1),"")</f>
        <v/>
      </c>
      <c r="AI2734" s="51" t="str">
        <f aca="false">IF(AND(AC2734=1,AA2734&lt;1),IF(AND(C2735=C2734,AA2735=AA2734+1),IF(AC2735=1,"",INDEX(DATAS,AA2734+1)),INDEX(DATAS,AA2734+1)),"")</f>
        <v/>
      </c>
    </row>
    <row r="2735" customFormat="false" ht="15" hidden="false" customHeight="false" outlineLevel="0" collapsed="false">
      <c r="A2735" s="51" t="n">
        <v>46309</v>
      </c>
      <c r="B2735" s="0" t="n">
        <v>13</v>
      </c>
      <c r="C2735" s="0" t="n">
        <v>7090</v>
      </c>
      <c r="E2735" s="0" t="n">
        <v>0</v>
      </c>
      <c r="F2735" s="46" t="s">
        <v>1377</v>
      </c>
      <c r="I2735" s="46" t="s">
        <v>179</v>
      </c>
      <c r="U2735" s="0" t="n">
        <v>347</v>
      </c>
      <c r="V2735" s="0" t="n">
        <v>0</v>
      </c>
      <c r="X2735" s="46" t="n">
        <f aca="false">IF(I2735="Male",0,1)</f>
        <v>1</v>
      </c>
      <c r="Y2735" s="46" t="n">
        <f aca="false">IF(OR(I2735="DNB",I2735="Dry DNB"),1,0)</f>
        <v>0</v>
      </c>
      <c r="Z2735" s="0" t="str">
        <f aca="false">IF(ISNUMBER(W2735),A2735-W2735,"")</f>
        <v/>
      </c>
      <c r="AA2735" s="46" t="n">
        <f aca="false">MATCH(A2735,DATAS,0)</f>
        <v>1</v>
      </c>
      <c r="AB2735" s="46" t="n">
        <f aca="false">IF(AND(E2735&gt;0,OR(AND(B2735&gt;=1,B2735&lt;=6),B2735=10)),1,0)</f>
        <v>0</v>
      </c>
      <c r="AC2735" s="46" t="n">
        <f aca="false">IF(AND(E2735&gt;0,B2735=10),1,0)</f>
        <v>0</v>
      </c>
      <c r="AD2735" s="0" t="str">
        <f aca="false">IF(AND(C2734=C2735,AA2734=AA2735-1),AB2734,"")</f>
        <v/>
      </c>
      <c r="AE2735" s="0" t="str">
        <f aca="false">IF(AND(C2734=C2735,AA2734=AA2735-1),AC2734,"")</f>
        <v/>
      </c>
      <c r="AF2735" s="0" t="str">
        <f aca="false">IF(AA2735=1,"",IF(AND(AB2735=1,AD2735&lt;&gt;1),1,0))</f>
        <v/>
      </c>
      <c r="AG2735" s="0" t="str">
        <f aca="false">IF(AA2735=1,"",IF(AND(AC2735=1,AE2735&lt;&gt;1),1,0))</f>
        <v/>
      </c>
      <c r="AH2735" s="51" t="str">
        <f aca="false">IF(AND(E2735&gt;0,AA2735&lt;1,NOT(AND(C2736=C2735,AA2736=AA2735+1))),INDEX(DATAS,AA2735+1),"")</f>
        <v/>
      </c>
      <c r="AI2735" s="51" t="str">
        <f aca="false">IF(AND(AC2735=1,AA2735&lt;1),IF(AND(C2736=C2735,AA2736=AA2735+1),IF(AC2736=1,"",INDEX(DATAS,AA2735+1)),INDEX(DATAS,AA2735+1)),"")</f>
        <v/>
      </c>
    </row>
    <row r="2736" customFormat="false" ht="15" hidden="false" customHeight="false" outlineLevel="0" collapsed="false">
      <c r="A2736" s="51" t="n">
        <v>46309</v>
      </c>
      <c r="B2736" s="0" t="n">
        <v>13</v>
      </c>
      <c r="C2736" s="0" t="n">
        <v>7091</v>
      </c>
      <c r="E2736" s="0" t="n">
        <v>0</v>
      </c>
      <c r="F2736" s="46" t="s">
        <v>1378</v>
      </c>
      <c r="I2736" s="46" t="s">
        <v>179</v>
      </c>
      <c r="U2736" s="0" t="n">
        <v>346</v>
      </c>
      <c r="V2736" s="0" t="n">
        <v>0</v>
      </c>
      <c r="X2736" s="46" t="n">
        <f aca="false">IF(I2736="Male",0,1)</f>
        <v>1</v>
      </c>
      <c r="Y2736" s="46" t="n">
        <f aca="false">IF(OR(I2736="DNB",I2736="Dry DNB"),1,0)</f>
        <v>0</v>
      </c>
      <c r="Z2736" s="0" t="str">
        <f aca="false">IF(ISNUMBER(W2736),A2736-W2736,"")</f>
        <v/>
      </c>
      <c r="AA2736" s="46" t="n">
        <f aca="false">MATCH(A2736,DATAS,0)</f>
        <v>1</v>
      </c>
      <c r="AB2736" s="46" t="n">
        <f aca="false">IF(AND(E2736&gt;0,OR(AND(B2736&gt;=1,B2736&lt;=6),B2736=10)),1,0)</f>
        <v>0</v>
      </c>
      <c r="AC2736" s="46" t="n">
        <f aca="false">IF(AND(E2736&gt;0,B2736=10),1,0)</f>
        <v>0</v>
      </c>
      <c r="AD2736" s="0" t="str">
        <f aca="false">IF(AND(C2735=C2736,AA2735=AA2736-1),AB2735,"")</f>
        <v/>
      </c>
      <c r="AE2736" s="0" t="str">
        <f aca="false">IF(AND(C2735=C2736,AA2735=AA2736-1),AC2735,"")</f>
        <v/>
      </c>
      <c r="AF2736" s="0" t="str">
        <f aca="false">IF(AA2736=1,"",IF(AND(AB2736=1,AD2736&lt;&gt;1),1,0))</f>
        <v/>
      </c>
      <c r="AG2736" s="0" t="str">
        <f aca="false">IF(AA2736=1,"",IF(AND(AC2736=1,AE2736&lt;&gt;1),1,0))</f>
        <v/>
      </c>
      <c r="AH2736" s="51" t="str">
        <f aca="false">IF(AND(E2736&gt;0,AA2736&lt;1,NOT(AND(C2737=C2736,AA2737=AA2736+1))),INDEX(DATAS,AA2736+1),"")</f>
        <v/>
      </c>
      <c r="AI2736" s="51" t="str">
        <f aca="false">IF(AND(AC2736=1,AA2736&lt;1),IF(AND(C2737=C2736,AA2737=AA2736+1),IF(AC2737=1,"",INDEX(DATAS,AA2736+1)),INDEX(DATAS,AA2736+1)),"")</f>
        <v/>
      </c>
    </row>
    <row r="2737" customFormat="false" ht="15" hidden="false" customHeight="false" outlineLevel="0" collapsed="false">
      <c r="A2737" s="51" t="n">
        <v>46309</v>
      </c>
      <c r="B2737" s="0" t="n">
        <v>13</v>
      </c>
      <c r="C2737" s="0" t="n">
        <v>7092</v>
      </c>
      <c r="E2737" s="0" t="n">
        <v>0</v>
      </c>
      <c r="F2737" s="46" t="s">
        <v>1378</v>
      </c>
      <c r="I2737" s="46" t="s">
        <v>179</v>
      </c>
      <c r="U2737" s="0" t="n">
        <v>346</v>
      </c>
      <c r="V2737" s="0" t="n">
        <v>0</v>
      </c>
      <c r="X2737" s="46" t="n">
        <f aca="false">IF(I2737="Male",0,1)</f>
        <v>1</v>
      </c>
      <c r="Y2737" s="46" t="n">
        <f aca="false">IF(OR(I2737="DNB",I2737="Dry DNB"),1,0)</f>
        <v>0</v>
      </c>
      <c r="Z2737" s="0" t="str">
        <f aca="false">IF(ISNUMBER(W2737),A2737-W2737,"")</f>
        <v/>
      </c>
      <c r="AA2737" s="46" t="n">
        <f aca="false">MATCH(A2737,DATAS,0)</f>
        <v>1</v>
      </c>
      <c r="AB2737" s="46" t="n">
        <f aca="false">IF(AND(E2737&gt;0,OR(AND(B2737&gt;=1,B2737&lt;=6),B2737=10)),1,0)</f>
        <v>0</v>
      </c>
      <c r="AC2737" s="46" t="n">
        <f aca="false">IF(AND(E2737&gt;0,B2737=10),1,0)</f>
        <v>0</v>
      </c>
      <c r="AD2737" s="0" t="str">
        <f aca="false">IF(AND(C2736=C2737,AA2736=AA2737-1),AB2736,"")</f>
        <v/>
      </c>
      <c r="AE2737" s="0" t="str">
        <f aca="false">IF(AND(C2736=C2737,AA2736=AA2737-1),AC2736,"")</f>
        <v/>
      </c>
      <c r="AF2737" s="0" t="str">
        <f aca="false">IF(AA2737=1,"",IF(AND(AB2737=1,AD2737&lt;&gt;1),1,0))</f>
        <v/>
      </c>
      <c r="AG2737" s="0" t="str">
        <f aca="false">IF(AA2737=1,"",IF(AND(AC2737=1,AE2737&lt;&gt;1),1,0))</f>
        <v/>
      </c>
      <c r="AH2737" s="51" t="str">
        <f aca="false">IF(AND(E2737&gt;0,AA2737&lt;1,NOT(AND(C2738=C2737,AA2738=AA2737+1))),INDEX(DATAS,AA2737+1),"")</f>
        <v/>
      </c>
      <c r="AI2737" s="51" t="str">
        <f aca="false">IF(AND(AC2737=1,AA2737&lt;1),IF(AND(C2738=C2737,AA2738=AA2737+1),IF(AC2738=1,"",INDEX(DATAS,AA2737+1)),INDEX(DATAS,AA2737+1)),"")</f>
        <v/>
      </c>
    </row>
    <row r="2738" customFormat="false" ht="15" hidden="false" customHeight="false" outlineLevel="0" collapsed="false">
      <c r="A2738" s="51" t="n">
        <v>46309</v>
      </c>
      <c r="B2738" s="0" t="n">
        <v>13</v>
      </c>
      <c r="C2738" s="0" t="n">
        <v>7093</v>
      </c>
      <c r="E2738" s="0" t="n">
        <v>0</v>
      </c>
      <c r="F2738" s="46" t="s">
        <v>1378</v>
      </c>
      <c r="I2738" s="46" t="s">
        <v>179</v>
      </c>
      <c r="U2738" s="0" t="n">
        <v>346</v>
      </c>
      <c r="V2738" s="0" t="n">
        <v>0</v>
      </c>
      <c r="X2738" s="46" t="n">
        <f aca="false">IF(I2738="Male",0,1)</f>
        <v>1</v>
      </c>
      <c r="Y2738" s="46" t="n">
        <f aca="false">IF(OR(I2738="DNB",I2738="Dry DNB"),1,0)</f>
        <v>0</v>
      </c>
      <c r="Z2738" s="0" t="str">
        <f aca="false">IF(ISNUMBER(W2738),A2738-W2738,"")</f>
        <v/>
      </c>
      <c r="AA2738" s="46" t="n">
        <f aca="false">MATCH(A2738,DATAS,0)</f>
        <v>1</v>
      </c>
      <c r="AB2738" s="46" t="n">
        <f aca="false">IF(AND(E2738&gt;0,OR(AND(B2738&gt;=1,B2738&lt;=6),B2738=10)),1,0)</f>
        <v>0</v>
      </c>
      <c r="AC2738" s="46" t="n">
        <f aca="false">IF(AND(E2738&gt;0,B2738=10),1,0)</f>
        <v>0</v>
      </c>
      <c r="AD2738" s="0" t="str">
        <f aca="false">IF(AND(C2737=C2738,AA2737=AA2738-1),AB2737,"")</f>
        <v/>
      </c>
      <c r="AE2738" s="0" t="str">
        <f aca="false">IF(AND(C2737=C2738,AA2737=AA2738-1),AC2737,"")</f>
        <v/>
      </c>
      <c r="AF2738" s="0" t="str">
        <f aca="false">IF(AA2738=1,"",IF(AND(AB2738=1,AD2738&lt;&gt;1),1,0))</f>
        <v/>
      </c>
      <c r="AG2738" s="0" t="str">
        <f aca="false">IF(AA2738=1,"",IF(AND(AC2738=1,AE2738&lt;&gt;1),1,0))</f>
        <v/>
      </c>
      <c r="AH2738" s="51" t="str">
        <f aca="false">IF(AND(E2738&gt;0,AA2738&lt;1,NOT(AND(C2739=C2738,AA2739=AA2738+1))),INDEX(DATAS,AA2738+1),"")</f>
        <v/>
      </c>
      <c r="AI2738" s="51" t="str">
        <f aca="false">IF(AND(AC2738=1,AA2738&lt;1),IF(AND(C2739=C2738,AA2739=AA2738+1),IF(AC2739=1,"",INDEX(DATAS,AA2738+1)),INDEX(DATAS,AA2738+1)),"")</f>
        <v/>
      </c>
    </row>
    <row r="2739" customFormat="false" ht="15" hidden="false" customHeight="false" outlineLevel="0" collapsed="false">
      <c r="A2739" s="51" t="n">
        <v>46309</v>
      </c>
      <c r="B2739" s="0" t="n">
        <v>13</v>
      </c>
      <c r="C2739" s="0" t="n">
        <v>7094</v>
      </c>
      <c r="E2739" s="0" t="n">
        <v>0</v>
      </c>
      <c r="F2739" s="46" t="s">
        <v>1378</v>
      </c>
      <c r="I2739" s="46" t="s">
        <v>179</v>
      </c>
      <c r="U2739" s="0" t="n">
        <v>346</v>
      </c>
      <c r="V2739" s="0" t="n">
        <v>0</v>
      </c>
      <c r="X2739" s="46" t="n">
        <f aca="false">IF(I2739="Male",0,1)</f>
        <v>1</v>
      </c>
      <c r="Y2739" s="46" t="n">
        <f aca="false">IF(OR(I2739="DNB",I2739="Dry DNB"),1,0)</f>
        <v>0</v>
      </c>
      <c r="Z2739" s="0" t="str">
        <f aca="false">IF(ISNUMBER(W2739),A2739-W2739,"")</f>
        <v/>
      </c>
      <c r="AA2739" s="46" t="n">
        <f aca="false">MATCH(A2739,DATAS,0)</f>
        <v>1</v>
      </c>
      <c r="AB2739" s="46" t="n">
        <f aca="false">IF(AND(E2739&gt;0,OR(AND(B2739&gt;=1,B2739&lt;=6),B2739=10)),1,0)</f>
        <v>0</v>
      </c>
      <c r="AC2739" s="46" t="n">
        <f aca="false">IF(AND(E2739&gt;0,B2739=10),1,0)</f>
        <v>0</v>
      </c>
      <c r="AD2739" s="0" t="str">
        <f aca="false">IF(AND(C2738=C2739,AA2738=AA2739-1),AB2738,"")</f>
        <v/>
      </c>
      <c r="AE2739" s="0" t="str">
        <f aca="false">IF(AND(C2738=C2739,AA2738=AA2739-1),AC2738,"")</f>
        <v/>
      </c>
      <c r="AF2739" s="0" t="str">
        <f aca="false">IF(AA2739=1,"",IF(AND(AB2739=1,AD2739&lt;&gt;1),1,0))</f>
        <v/>
      </c>
      <c r="AG2739" s="0" t="str">
        <f aca="false">IF(AA2739=1,"",IF(AND(AC2739=1,AE2739&lt;&gt;1),1,0))</f>
        <v/>
      </c>
      <c r="AH2739" s="51" t="str">
        <f aca="false">IF(AND(E2739&gt;0,AA2739&lt;1,NOT(AND(C2740=C2739,AA2740=AA2739+1))),INDEX(DATAS,AA2739+1),"")</f>
        <v/>
      </c>
      <c r="AI2739" s="51" t="str">
        <f aca="false">IF(AND(AC2739=1,AA2739&lt;1),IF(AND(C2740=C2739,AA2740=AA2739+1),IF(AC2740=1,"",INDEX(DATAS,AA2739+1)),INDEX(DATAS,AA2739+1)),"")</f>
        <v/>
      </c>
    </row>
    <row r="2740" customFormat="false" ht="15" hidden="false" customHeight="false" outlineLevel="0" collapsed="false">
      <c r="A2740" s="51" t="n">
        <v>46309</v>
      </c>
      <c r="B2740" s="0" t="n">
        <v>13</v>
      </c>
      <c r="C2740" s="0" t="n">
        <v>7095</v>
      </c>
      <c r="E2740" s="0" t="n">
        <v>0</v>
      </c>
      <c r="F2740" s="46" t="s">
        <v>1378</v>
      </c>
      <c r="I2740" s="46" t="s">
        <v>179</v>
      </c>
      <c r="U2740" s="0" t="n">
        <v>346</v>
      </c>
      <c r="V2740" s="0" t="n">
        <v>0</v>
      </c>
      <c r="X2740" s="46" t="n">
        <f aca="false">IF(I2740="Male",0,1)</f>
        <v>1</v>
      </c>
      <c r="Y2740" s="46" t="n">
        <f aca="false">IF(OR(I2740="DNB",I2740="Dry DNB"),1,0)</f>
        <v>0</v>
      </c>
      <c r="Z2740" s="0" t="str">
        <f aca="false">IF(ISNUMBER(W2740),A2740-W2740,"")</f>
        <v/>
      </c>
      <c r="AA2740" s="46" t="n">
        <f aca="false">MATCH(A2740,DATAS,0)</f>
        <v>1</v>
      </c>
      <c r="AB2740" s="46" t="n">
        <f aca="false">IF(AND(E2740&gt;0,OR(AND(B2740&gt;=1,B2740&lt;=6),B2740=10)),1,0)</f>
        <v>0</v>
      </c>
      <c r="AC2740" s="46" t="n">
        <f aca="false">IF(AND(E2740&gt;0,B2740=10),1,0)</f>
        <v>0</v>
      </c>
      <c r="AD2740" s="0" t="str">
        <f aca="false">IF(AND(C2739=C2740,AA2739=AA2740-1),AB2739,"")</f>
        <v/>
      </c>
      <c r="AE2740" s="0" t="str">
        <f aca="false">IF(AND(C2739=C2740,AA2739=AA2740-1),AC2739,"")</f>
        <v/>
      </c>
      <c r="AF2740" s="0" t="str">
        <f aca="false">IF(AA2740=1,"",IF(AND(AB2740=1,AD2740&lt;&gt;1),1,0))</f>
        <v/>
      </c>
      <c r="AG2740" s="0" t="str">
        <f aca="false">IF(AA2740=1,"",IF(AND(AC2740=1,AE2740&lt;&gt;1),1,0))</f>
        <v/>
      </c>
      <c r="AH2740" s="51" t="str">
        <f aca="false">IF(AND(E2740&gt;0,AA2740&lt;1,NOT(AND(C2741=C2740,AA2741=AA2740+1))),INDEX(DATAS,AA2740+1),"")</f>
        <v/>
      </c>
      <c r="AI2740" s="51" t="str">
        <f aca="false">IF(AND(AC2740=1,AA2740&lt;1),IF(AND(C2741=C2740,AA2741=AA2740+1),IF(AC2741=1,"",INDEX(DATAS,AA2740+1)),INDEX(DATAS,AA2740+1)),"")</f>
        <v/>
      </c>
    </row>
    <row r="2741" customFormat="false" ht="15" hidden="false" customHeight="false" outlineLevel="0" collapsed="false">
      <c r="A2741" s="51" t="n">
        <v>46309</v>
      </c>
      <c r="B2741" s="0" t="n">
        <v>13</v>
      </c>
      <c r="C2741" s="0" t="n">
        <v>7096</v>
      </c>
      <c r="E2741" s="0" t="n">
        <v>0</v>
      </c>
      <c r="F2741" s="46" t="s">
        <v>1378</v>
      </c>
      <c r="I2741" s="46" t="s">
        <v>179</v>
      </c>
      <c r="U2741" s="0" t="n">
        <v>346</v>
      </c>
      <c r="V2741" s="0" t="n">
        <v>0</v>
      </c>
      <c r="X2741" s="46" t="n">
        <f aca="false">IF(I2741="Male",0,1)</f>
        <v>1</v>
      </c>
      <c r="Y2741" s="46" t="n">
        <f aca="false">IF(OR(I2741="DNB",I2741="Dry DNB"),1,0)</f>
        <v>0</v>
      </c>
      <c r="Z2741" s="0" t="str">
        <f aca="false">IF(ISNUMBER(W2741),A2741-W2741,"")</f>
        <v/>
      </c>
      <c r="AA2741" s="46" t="n">
        <f aca="false">MATCH(A2741,DATAS,0)</f>
        <v>1</v>
      </c>
      <c r="AB2741" s="46" t="n">
        <f aca="false">IF(AND(E2741&gt;0,OR(AND(B2741&gt;=1,B2741&lt;=6),B2741=10)),1,0)</f>
        <v>0</v>
      </c>
      <c r="AC2741" s="46" t="n">
        <f aca="false">IF(AND(E2741&gt;0,B2741=10),1,0)</f>
        <v>0</v>
      </c>
      <c r="AD2741" s="0" t="str">
        <f aca="false">IF(AND(C2740=C2741,AA2740=AA2741-1),AB2740,"")</f>
        <v/>
      </c>
      <c r="AE2741" s="0" t="str">
        <f aca="false">IF(AND(C2740=C2741,AA2740=AA2741-1),AC2740,"")</f>
        <v/>
      </c>
      <c r="AF2741" s="0" t="str">
        <f aca="false">IF(AA2741=1,"",IF(AND(AB2741=1,AD2741&lt;&gt;1),1,0))</f>
        <v/>
      </c>
      <c r="AG2741" s="0" t="str">
        <f aca="false">IF(AA2741=1,"",IF(AND(AC2741=1,AE2741&lt;&gt;1),1,0))</f>
        <v/>
      </c>
      <c r="AH2741" s="51" t="str">
        <f aca="false">IF(AND(E2741&gt;0,AA2741&lt;1,NOT(AND(C2742=C2741,AA2742=AA2741+1))),INDEX(DATAS,AA2741+1),"")</f>
        <v/>
      </c>
      <c r="AI2741" s="51" t="str">
        <f aca="false">IF(AND(AC2741=1,AA2741&lt;1),IF(AND(C2742=C2741,AA2742=AA2741+1),IF(AC2742=1,"",INDEX(DATAS,AA2741+1)),INDEX(DATAS,AA2741+1)),"")</f>
        <v/>
      </c>
    </row>
    <row r="2742" customFormat="false" ht="15" hidden="false" customHeight="false" outlineLevel="0" collapsed="false">
      <c r="A2742" s="51" t="n">
        <v>46309</v>
      </c>
      <c r="B2742" s="0" t="n">
        <v>13</v>
      </c>
      <c r="C2742" s="0" t="n">
        <v>7097</v>
      </c>
      <c r="E2742" s="0" t="n">
        <v>0</v>
      </c>
      <c r="F2742" s="46" t="s">
        <v>1378</v>
      </c>
      <c r="I2742" s="46" t="s">
        <v>179</v>
      </c>
      <c r="U2742" s="0" t="n">
        <v>346</v>
      </c>
      <c r="V2742" s="0" t="n">
        <v>0</v>
      </c>
      <c r="X2742" s="46" t="n">
        <f aca="false">IF(I2742="Male",0,1)</f>
        <v>1</v>
      </c>
      <c r="Y2742" s="46" t="n">
        <f aca="false">IF(OR(I2742="DNB",I2742="Dry DNB"),1,0)</f>
        <v>0</v>
      </c>
      <c r="Z2742" s="0" t="str">
        <f aca="false">IF(ISNUMBER(W2742),A2742-W2742,"")</f>
        <v/>
      </c>
      <c r="AA2742" s="46" t="n">
        <f aca="false">MATCH(A2742,DATAS,0)</f>
        <v>1</v>
      </c>
      <c r="AB2742" s="46" t="n">
        <f aca="false">IF(AND(E2742&gt;0,OR(AND(B2742&gt;=1,B2742&lt;=6),B2742=10)),1,0)</f>
        <v>0</v>
      </c>
      <c r="AC2742" s="46" t="n">
        <f aca="false">IF(AND(E2742&gt;0,B2742=10),1,0)</f>
        <v>0</v>
      </c>
      <c r="AD2742" s="0" t="str">
        <f aca="false">IF(AND(C2741=C2742,AA2741=AA2742-1),AB2741,"")</f>
        <v/>
      </c>
      <c r="AE2742" s="0" t="str">
        <f aca="false">IF(AND(C2741=C2742,AA2741=AA2742-1),AC2741,"")</f>
        <v/>
      </c>
      <c r="AF2742" s="0" t="str">
        <f aca="false">IF(AA2742=1,"",IF(AND(AB2742=1,AD2742&lt;&gt;1),1,0))</f>
        <v/>
      </c>
      <c r="AG2742" s="0" t="str">
        <f aca="false">IF(AA2742=1,"",IF(AND(AC2742=1,AE2742&lt;&gt;1),1,0))</f>
        <v/>
      </c>
      <c r="AH2742" s="51" t="str">
        <f aca="false">IF(AND(E2742&gt;0,AA2742&lt;1,NOT(AND(C2743=C2742,AA2743=AA2742+1))),INDEX(DATAS,AA2742+1),"")</f>
        <v/>
      </c>
      <c r="AI2742" s="51" t="str">
        <f aca="false">IF(AND(AC2742=1,AA2742&lt;1),IF(AND(C2743=C2742,AA2743=AA2742+1),IF(AC2743=1,"",INDEX(DATAS,AA2742+1)),INDEX(DATAS,AA2742+1)),"")</f>
        <v/>
      </c>
    </row>
    <row r="2743" customFormat="false" ht="15" hidden="false" customHeight="false" outlineLevel="0" collapsed="false">
      <c r="A2743" s="51" t="n">
        <v>46309</v>
      </c>
      <c r="B2743" s="0" t="n">
        <v>13</v>
      </c>
      <c r="C2743" s="0" t="n">
        <v>7099</v>
      </c>
      <c r="E2743" s="0" t="n">
        <v>0</v>
      </c>
      <c r="F2743" s="46" t="s">
        <v>1379</v>
      </c>
      <c r="I2743" s="46" t="s">
        <v>179</v>
      </c>
      <c r="U2743" s="0" t="n">
        <v>345</v>
      </c>
      <c r="V2743" s="0" t="n">
        <v>0</v>
      </c>
      <c r="X2743" s="46" t="n">
        <f aca="false">IF(I2743="Male",0,1)</f>
        <v>1</v>
      </c>
      <c r="Y2743" s="46" t="n">
        <f aca="false">IF(OR(I2743="DNB",I2743="Dry DNB"),1,0)</f>
        <v>0</v>
      </c>
      <c r="Z2743" s="0" t="str">
        <f aca="false">IF(ISNUMBER(W2743),A2743-W2743,"")</f>
        <v/>
      </c>
      <c r="AA2743" s="46" t="n">
        <f aca="false">MATCH(A2743,DATAS,0)</f>
        <v>1</v>
      </c>
      <c r="AB2743" s="46" t="n">
        <f aca="false">IF(AND(E2743&gt;0,OR(AND(B2743&gt;=1,B2743&lt;=6),B2743=10)),1,0)</f>
        <v>0</v>
      </c>
      <c r="AC2743" s="46" t="n">
        <f aca="false">IF(AND(E2743&gt;0,B2743=10),1,0)</f>
        <v>0</v>
      </c>
      <c r="AD2743" s="0" t="str">
        <f aca="false">IF(AND(C2742=C2743,AA2742=AA2743-1),AB2742,"")</f>
        <v/>
      </c>
      <c r="AE2743" s="0" t="str">
        <f aca="false">IF(AND(C2742=C2743,AA2742=AA2743-1),AC2742,"")</f>
        <v/>
      </c>
      <c r="AF2743" s="0" t="str">
        <f aca="false">IF(AA2743=1,"",IF(AND(AB2743=1,AD2743&lt;&gt;1),1,0))</f>
        <v/>
      </c>
      <c r="AG2743" s="0" t="str">
        <f aca="false">IF(AA2743=1,"",IF(AND(AC2743=1,AE2743&lt;&gt;1),1,0))</f>
        <v/>
      </c>
      <c r="AH2743" s="51" t="str">
        <f aca="false">IF(AND(E2743&gt;0,AA2743&lt;1,NOT(AND(C2744=C2743,AA2744=AA2743+1))),INDEX(DATAS,AA2743+1),"")</f>
        <v/>
      </c>
      <c r="AI2743" s="51" t="str">
        <f aca="false">IF(AND(AC2743=1,AA2743&lt;1),IF(AND(C2744=C2743,AA2744=AA2743+1),IF(AC2744=1,"",INDEX(DATAS,AA2743+1)),INDEX(DATAS,AA2743+1)),"")</f>
        <v/>
      </c>
    </row>
    <row r="2744" customFormat="false" ht="15" hidden="false" customHeight="false" outlineLevel="0" collapsed="false">
      <c r="A2744" s="51" t="n">
        <v>46309</v>
      </c>
      <c r="B2744" s="0" t="n">
        <v>13</v>
      </c>
      <c r="C2744" s="0" t="n">
        <v>7100</v>
      </c>
      <c r="E2744" s="0" t="n">
        <v>0</v>
      </c>
      <c r="F2744" s="46" t="s">
        <v>1379</v>
      </c>
      <c r="I2744" s="46" t="s">
        <v>179</v>
      </c>
      <c r="U2744" s="0" t="n">
        <v>345</v>
      </c>
      <c r="V2744" s="0" t="n">
        <v>0</v>
      </c>
      <c r="X2744" s="46" t="n">
        <f aca="false">IF(I2744="Male",0,1)</f>
        <v>1</v>
      </c>
      <c r="Y2744" s="46" t="n">
        <f aca="false">IF(OR(I2744="DNB",I2744="Dry DNB"),1,0)</f>
        <v>0</v>
      </c>
      <c r="Z2744" s="0" t="str">
        <f aca="false">IF(ISNUMBER(W2744),A2744-W2744,"")</f>
        <v/>
      </c>
      <c r="AA2744" s="46" t="n">
        <f aca="false">MATCH(A2744,DATAS,0)</f>
        <v>1</v>
      </c>
      <c r="AB2744" s="46" t="n">
        <f aca="false">IF(AND(E2744&gt;0,OR(AND(B2744&gt;=1,B2744&lt;=6),B2744=10)),1,0)</f>
        <v>0</v>
      </c>
      <c r="AC2744" s="46" t="n">
        <f aca="false">IF(AND(E2744&gt;0,B2744=10),1,0)</f>
        <v>0</v>
      </c>
      <c r="AD2744" s="0" t="str">
        <f aca="false">IF(AND(C2743=C2744,AA2743=AA2744-1),AB2743,"")</f>
        <v/>
      </c>
      <c r="AE2744" s="0" t="str">
        <f aca="false">IF(AND(C2743=C2744,AA2743=AA2744-1),AC2743,"")</f>
        <v/>
      </c>
      <c r="AF2744" s="0" t="str">
        <f aca="false">IF(AA2744=1,"",IF(AND(AB2744=1,AD2744&lt;&gt;1),1,0))</f>
        <v/>
      </c>
      <c r="AG2744" s="0" t="str">
        <f aca="false">IF(AA2744=1,"",IF(AND(AC2744=1,AE2744&lt;&gt;1),1,0))</f>
        <v/>
      </c>
      <c r="AH2744" s="51" t="str">
        <f aca="false">IF(AND(E2744&gt;0,AA2744&lt;1,NOT(AND(C2745=C2744,AA2745=AA2744+1))),INDEX(DATAS,AA2744+1),"")</f>
        <v/>
      </c>
      <c r="AI2744" s="51" t="str">
        <f aca="false">IF(AND(AC2744=1,AA2744&lt;1),IF(AND(C2745=C2744,AA2745=AA2744+1),IF(AC2745=1,"",INDEX(DATAS,AA2744+1)),INDEX(DATAS,AA2744+1)),"")</f>
        <v/>
      </c>
    </row>
    <row r="2745" customFormat="false" ht="15" hidden="false" customHeight="false" outlineLevel="0" collapsed="false">
      <c r="A2745" s="51" t="n">
        <v>46309</v>
      </c>
      <c r="B2745" s="0" t="n">
        <v>13</v>
      </c>
      <c r="C2745" s="0" t="n">
        <v>7101</v>
      </c>
      <c r="E2745" s="0" t="n">
        <v>0</v>
      </c>
      <c r="F2745" s="46" t="s">
        <v>1379</v>
      </c>
      <c r="I2745" s="46" t="s">
        <v>179</v>
      </c>
      <c r="U2745" s="0" t="n">
        <v>345</v>
      </c>
      <c r="V2745" s="0" t="n">
        <v>0</v>
      </c>
      <c r="X2745" s="46" t="n">
        <f aca="false">IF(I2745="Male",0,1)</f>
        <v>1</v>
      </c>
      <c r="Y2745" s="46" t="n">
        <f aca="false">IF(OR(I2745="DNB",I2745="Dry DNB"),1,0)</f>
        <v>0</v>
      </c>
      <c r="Z2745" s="0" t="str">
        <f aca="false">IF(ISNUMBER(W2745),A2745-W2745,"")</f>
        <v/>
      </c>
      <c r="AA2745" s="46" t="n">
        <f aca="false">MATCH(A2745,DATAS,0)</f>
        <v>1</v>
      </c>
      <c r="AB2745" s="46" t="n">
        <f aca="false">IF(AND(E2745&gt;0,OR(AND(B2745&gt;=1,B2745&lt;=6),B2745=10)),1,0)</f>
        <v>0</v>
      </c>
      <c r="AC2745" s="46" t="n">
        <f aca="false">IF(AND(E2745&gt;0,B2745=10),1,0)</f>
        <v>0</v>
      </c>
      <c r="AD2745" s="0" t="str">
        <f aca="false">IF(AND(C2744=C2745,AA2744=AA2745-1),AB2744,"")</f>
        <v/>
      </c>
      <c r="AE2745" s="0" t="str">
        <f aca="false">IF(AND(C2744=C2745,AA2744=AA2745-1),AC2744,"")</f>
        <v/>
      </c>
      <c r="AF2745" s="0" t="str">
        <f aca="false">IF(AA2745=1,"",IF(AND(AB2745=1,AD2745&lt;&gt;1),1,0))</f>
        <v/>
      </c>
      <c r="AG2745" s="0" t="str">
        <f aca="false">IF(AA2745=1,"",IF(AND(AC2745=1,AE2745&lt;&gt;1),1,0))</f>
        <v/>
      </c>
      <c r="AH2745" s="51" t="str">
        <f aca="false">IF(AND(E2745&gt;0,AA2745&lt;1,NOT(AND(C2746=C2745,AA2746=AA2745+1))),INDEX(DATAS,AA2745+1),"")</f>
        <v/>
      </c>
      <c r="AI2745" s="51" t="str">
        <f aca="false">IF(AND(AC2745=1,AA2745&lt;1),IF(AND(C2746=C2745,AA2746=AA2745+1),IF(AC2746=1,"",INDEX(DATAS,AA2745+1)),INDEX(DATAS,AA2745+1)),"")</f>
        <v/>
      </c>
    </row>
    <row r="2746" customFormat="false" ht="15" hidden="false" customHeight="false" outlineLevel="0" collapsed="false">
      <c r="A2746" s="51" t="n">
        <v>46309</v>
      </c>
      <c r="B2746" s="0" t="n">
        <v>13</v>
      </c>
      <c r="C2746" s="0" t="n">
        <v>7102</v>
      </c>
      <c r="E2746" s="0" t="n">
        <v>0</v>
      </c>
      <c r="F2746" s="46" t="s">
        <v>1379</v>
      </c>
      <c r="I2746" s="46" t="s">
        <v>179</v>
      </c>
      <c r="U2746" s="0" t="n">
        <v>345</v>
      </c>
      <c r="V2746" s="0" t="n">
        <v>0</v>
      </c>
      <c r="X2746" s="46" t="n">
        <f aca="false">IF(I2746="Male",0,1)</f>
        <v>1</v>
      </c>
      <c r="Y2746" s="46" t="n">
        <f aca="false">IF(OR(I2746="DNB",I2746="Dry DNB"),1,0)</f>
        <v>0</v>
      </c>
      <c r="Z2746" s="0" t="str">
        <f aca="false">IF(ISNUMBER(W2746),A2746-W2746,"")</f>
        <v/>
      </c>
      <c r="AA2746" s="46" t="n">
        <f aca="false">MATCH(A2746,DATAS,0)</f>
        <v>1</v>
      </c>
      <c r="AB2746" s="46" t="n">
        <f aca="false">IF(AND(E2746&gt;0,OR(AND(B2746&gt;=1,B2746&lt;=6),B2746=10)),1,0)</f>
        <v>0</v>
      </c>
      <c r="AC2746" s="46" t="n">
        <f aca="false">IF(AND(E2746&gt;0,B2746=10),1,0)</f>
        <v>0</v>
      </c>
      <c r="AD2746" s="0" t="str">
        <f aca="false">IF(AND(C2745=C2746,AA2745=AA2746-1),AB2745,"")</f>
        <v/>
      </c>
      <c r="AE2746" s="0" t="str">
        <f aca="false">IF(AND(C2745=C2746,AA2745=AA2746-1),AC2745,"")</f>
        <v/>
      </c>
      <c r="AF2746" s="0" t="str">
        <f aca="false">IF(AA2746=1,"",IF(AND(AB2746=1,AD2746&lt;&gt;1),1,0))</f>
        <v/>
      </c>
      <c r="AG2746" s="0" t="str">
        <f aca="false">IF(AA2746=1,"",IF(AND(AC2746=1,AE2746&lt;&gt;1),1,0))</f>
        <v/>
      </c>
      <c r="AH2746" s="51" t="str">
        <f aca="false">IF(AND(E2746&gt;0,AA2746&lt;1,NOT(AND(C2747=C2746,AA2747=AA2746+1))),INDEX(DATAS,AA2746+1),"")</f>
        <v/>
      </c>
      <c r="AI2746" s="51" t="str">
        <f aca="false">IF(AND(AC2746=1,AA2746&lt;1),IF(AND(C2747=C2746,AA2747=AA2746+1),IF(AC2747=1,"",INDEX(DATAS,AA2746+1)),INDEX(DATAS,AA2746+1)),"")</f>
        <v/>
      </c>
    </row>
    <row r="2747" customFormat="false" ht="15" hidden="false" customHeight="false" outlineLevel="0" collapsed="false">
      <c r="A2747" s="51" t="n">
        <v>46309</v>
      </c>
      <c r="B2747" s="0" t="n">
        <v>13</v>
      </c>
      <c r="C2747" s="0" t="n">
        <v>7103</v>
      </c>
      <c r="E2747" s="0" t="n">
        <v>0</v>
      </c>
      <c r="F2747" s="46" t="s">
        <v>1380</v>
      </c>
      <c r="I2747" s="46" t="s">
        <v>179</v>
      </c>
      <c r="U2747" s="0" t="n">
        <v>344</v>
      </c>
      <c r="V2747" s="0" t="n">
        <v>0</v>
      </c>
      <c r="X2747" s="46" t="n">
        <f aca="false">IF(I2747="Male",0,1)</f>
        <v>1</v>
      </c>
      <c r="Y2747" s="46" t="n">
        <f aca="false">IF(OR(I2747="DNB",I2747="Dry DNB"),1,0)</f>
        <v>0</v>
      </c>
      <c r="Z2747" s="0" t="str">
        <f aca="false">IF(ISNUMBER(W2747),A2747-W2747,"")</f>
        <v/>
      </c>
      <c r="AA2747" s="46" t="n">
        <f aca="false">MATCH(A2747,DATAS,0)</f>
        <v>1</v>
      </c>
      <c r="AB2747" s="46" t="n">
        <f aca="false">IF(AND(E2747&gt;0,OR(AND(B2747&gt;=1,B2747&lt;=6),B2747=10)),1,0)</f>
        <v>0</v>
      </c>
      <c r="AC2747" s="46" t="n">
        <f aca="false">IF(AND(E2747&gt;0,B2747=10),1,0)</f>
        <v>0</v>
      </c>
      <c r="AD2747" s="0" t="str">
        <f aca="false">IF(AND(C2746=C2747,AA2746=AA2747-1),AB2746,"")</f>
        <v/>
      </c>
      <c r="AE2747" s="0" t="str">
        <f aca="false">IF(AND(C2746=C2747,AA2746=AA2747-1),AC2746,"")</f>
        <v/>
      </c>
      <c r="AF2747" s="0" t="str">
        <f aca="false">IF(AA2747=1,"",IF(AND(AB2747=1,AD2747&lt;&gt;1),1,0))</f>
        <v/>
      </c>
      <c r="AG2747" s="0" t="str">
        <f aca="false">IF(AA2747=1,"",IF(AND(AC2747=1,AE2747&lt;&gt;1),1,0))</f>
        <v/>
      </c>
      <c r="AH2747" s="51" t="str">
        <f aca="false">IF(AND(E2747&gt;0,AA2747&lt;1,NOT(AND(C2748=C2747,AA2748=AA2747+1))),INDEX(DATAS,AA2747+1),"")</f>
        <v/>
      </c>
      <c r="AI2747" s="51" t="str">
        <f aca="false">IF(AND(AC2747=1,AA2747&lt;1),IF(AND(C2748=C2747,AA2748=AA2747+1),IF(AC2748=1,"",INDEX(DATAS,AA2747+1)),INDEX(DATAS,AA2747+1)),"")</f>
        <v/>
      </c>
    </row>
    <row r="2748" customFormat="false" ht="15" hidden="false" customHeight="false" outlineLevel="0" collapsed="false">
      <c r="A2748" s="51" t="n">
        <v>46309</v>
      </c>
      <c r="B2748" s="0" t="n">
        <v>13</v>
      </c>
      <c r="C2748" s="0" t="n">
        <v>7104</v>
      </c>
      <c r="E2748" s="0" t="n">
        <v>0</v>
      </c>
      <c r="F2748" s="46" t="s">
        <v>1380</v>
      </c>
      <c r="I2748" s="46" t="s">
        <v>179</v>
      </c>
      <c r="U2748" s="0" t="n">
        <v>344</v>
      </c>
      <c r="V2748" s="0" t="n">
        <v>0</v>
      </c>
      <c r="X2748" s="46" t="n">
        <f aca="false">IF(I2748="Male",0,1)</f>
        <v>1</v>
      </c>
      <c r="Y2748" s="46" t="n">
        <f aca="false">IF(OR(I2748="DNB",I2748="Dry DNB"),1,0)</f>
        <v>0</v>
      </c>
      <c r="Z2748" s="0" t="str">
        <f aca="false">IF(ISNUMBER(W2748),A2748-W2748,"")</f>
        <v/>
      </c>
      <c r="AA2748" s="46" t="n">
        <f aca="false">MATCH(A2748,DATAS,0)</f>
        <v>1</v>
      </c>
      <c r="AB2748" s="46" t="n">
        <f aca="false">IF(AND(E2748&gt;0,OR(AND(B2748&gt;=1,B2748&lt;=6),B2748=10)),1,0)</f>
        <v>0</v>
      </c>
      <c r="AC2748" s="46" t="n">
        <f aca="false">IF(AND(E2748&gt;0,B2748=10),1,0)</f>
        <v>0</v>
      </c>
      <c r="AD2748" s="0" t="str">
        <f aca="false">IF(AND(C2747=C2748,AA2747=AA2748-1),AB2747,"")</f>
        <v/>
      </c>
      <c r="AE2748" s="0" t="str">
        <f aca="false">IF(AND(C2747=C2748,AA2747=AA2748-1),AC2747,"")</f>
        <v/>
      </c>
      <c r="AF2748" s="0" t="str">
        <f aca="false">IF(AA2748=1,"",IF(AND(AB2748=1,AD2748&lt;&gt;1),1,0))</f>
        <v/>
      </c>
      <c r="AG2748" s="0" t="str">
        <f aca="false">IF(AA2748=1,"",IF(AND(AC2748=1,AE2748&lt;&gt;1),1,0))</f>
        <v/>
      </c>
      <c r="AH2748" s="51" t="str">
        <f aca="false">IF(AND(E2748&gt;0,AA2748&lt;1,NOT(AND(C2749=C2748,AA2749=AA2748+1))),INDEX(DATAS,AA2748+1),"")</f>
        <v/>
      </c>
      <c r="AI2748" s="51" t="str">
        <f aca="false">IF(AND(AC2748=1,AA2748&lt;1),IF(AND(C2749=C2748,AA2749=AA2748+1),IF(AC2749=1,"",INDEX(DATAS,AA2748+1)),INDEX(DATAS,AA2748+1)),"")</f>
        <v/>
      </c>
    </row>
    <row r="2749" customFormat="false" ht="15" hidden="false" customHeight="false" outlineLevel="0" collapsed="false">
      <c r="A2749" s="51" t="n">
        <v>46309</v>
      </c>
      <c r="B2749" s="0" t="n">
        <v>13</v>
      </c>
      <c r="C2749" s="0" t="n">
        <v>7105</v>
      </c>
      <c r="E2749" s="0" t="n">
        <v>0</v>
      </c>
      <c r="F2749" s="46" t="s">
        <v>1381</v>
      </c>
      <c r="I2749" s="46" t="s">
        <v>179</v>
      </c>
      <c r="U2749" s="0" t="n">
        <v>343</v>
      </c>
      <c r="V2749" s="0" t="n">
        <v>0</v>
      </c>
      <c r="X2749" s="46" t="n">
        <f aca="false">IF(I2749="Male",0,1)</f>
        <v>1</v>
      </c>
      <c r="Y2749" s="46" t="n">
        <f aca="false">IF(OR(I2749="DNB",I2749="Dry DNB"),1,0)</f>
        <v>0</v>
      </c>
      <c r="Z2749" s="0" t="str">
        <f aca="false">IF(ISNUMBER(W2749),A2749-W2749,"")</f>
        <v/>
      </c>
      <c r="AA2749" s="46" t="n">
        <f aca="false">MATCH(A2749,DATAS,0)</f>
        <v>1</v>
      </c>
      <c r="AB2749" s="46" t="n">
        <f aca="false">IF(AND(E2749&gt;0,OR(AND(B2749&gt;=1,B2749&lt;=6),B2749=10)),1,0)</f>
        <v>0</v>
      </c>
      <c r="AC2749" s="46" t="n">
        <f aca="false">IF(AND(E2749&gt;0,B2749=10),1,0)</f>
        <v>0</v>
      </c>
      <c r="AD2749" s="0" t="str">
        <f aca="false">IF(AND(C2748=C2749,AA2748=AA2749-1),AB2748,"")</f>
        <v/>
      </c>
      <c r="AE2749" s="0" t="str">
        <f aca="false">IF(AND(C2748=C2749,AA2748=AA2749-1),AC2748,"")</f>
        <v/>
      </c>
      <c r="AF2749" s="0" t="str">
        <f aca="false">IF(AA2749=1,"",IF(AND(AB2749=1,AD2749&lt;&gt;1),1,0))</f>
        <v/>
      </c>
      <c r="AG2749" s="0" t="str">
        <f aca="false">IF(AA2749=1,"",IF(AND(AC2749=1,AE2749&lt;&gt;1),1,0))</f>
        <v/>
      </c>
      <c r="AH2749" s="51" t="str">
        <f aca="false">IF(AND(E2749&gt;0,AA2749&lt;1,NOT(AND(C2750=C2749,AA2750=AA2749+1))),INDEX(DATAS,AA2749+1),"")</f>
        <v/>
      </c>
      <c r="AI2749" s="51" t="str">
        <f aca="false">IF(AND(AC2749=1,AA2749&lt;1),IF(AND(C2750=C2749,AA2750=AA2749+1),IF(AC2750=1,"",INDEX(DATAS,AA2749+1)),INDEX(DATAS,AA2749+1)),"")</f>
        <v/>
      </c>
    </row>
    <row r="2750" customFormat="false" ht="15" hidden="false" customHeight="false" outlineLevel="0" collapsed="false">
      <c r="A2750" s="51" t="n">
        <v>46309</v>
      </c>
      <c r="B2750" s="0" t="n">
        <v>13</v>
      </c>
      <c r="C2750" s="0" t="n">
        <v>7106</v>
      </c>
      <c r="E2750" s="0" t="n">
        <v>0</v>
      </c>
      <c r="F2750" s="46" t="s">
        <v>1381</v>
      </c>
      <c r="I2750" s="46" t="s">
        <v>179</v>
      </c>
      <c r="U2750" s="0" t="n">
        <v>343</v>
      </c>
      <c r="V2750" s="0" t="n">
        <v>0</v>
      </c>
      <c r="X2750" s="46" t="n">
        <f aca="false">IF(I2750="Male",0,1)</f>
        <v>1</v>
      </c>
      <c r="Y2750" s="46" t="n">
        <f aca="false">IF(OR(I2750="DNB",I2750="Dry DNB"),1,0)</f>
        <v>0</v>
      </c>
      <c r="Z2750" s="0" t="str">
        <f aca="false">IF(ISNUMBER(W2750),A2750-W2750,"")</f>
        <v/>
      </c>
      <c r="AA2750" s="46" t="n">
        <f aca="false">MATCH(A2750,DATAS,0)</f>
        <v>1</v>
      </c>
      <c r="AB2750" s="46" t="n">
        <f aca="false">IF(AND(E2750&gt;0,OR(AND(B2750&gt;=1,B2750&lt;=6),B2750=10)),1,0)</f>
        <v>0</v>
      </c>
      <c r="AC2750" s="46" t="n">
        <f aca="false">IF(AND(E2750&gt;0,B2750=10),1,0)</f>
        <v>0</v>
      </c>
      <c r="AD2750" s="0" t="str">
        <f aca="false">IF(AND(C2749=C2750,AA2749=AA2750-1),AB2749,"")</f>
        <v/>
      </c>
      <c r="AE2750" s="0" t="str">
        <f aca="false">IF(AND(C2749=C2750,AA2749=AA2750-1),AC2749,"")</f>
        <v/>
      </c>
      <c r="AF2750" s="0" t="str">
        <f aca="false">IF(AA2750=1,"",IF(AND(AB2750=1,AD2750&lt;&gt;1),1,0))</f>
        <v/>
      </c>
      <c r="AG2750" s="0" t="str">
        <f aca="false">IF(AA2750=1,"",IF(AND(AC2750=1,AE2750&lt;&gt;1),1,0))</f>
        <v/>
      </c>
      <c r="AH2750" s="51" t="str">
        <f aca="false">IF(AND(E2750&gt;0,AA2750&lt;1,NOT(AND(C2751=C2750,AA2751=AA2750+1))),INDEX(DATAS,AA2750+1),"")</f>
        <v/>
      </c>
      <c r="AI2750" s="51" t="str">
        <f aca="false">IF(AND(AC2750=1,AA2750&lt;1),IF(AND(C2751=C2750,AA2751=AA2750+1),IF(AC2751=1,"",INDEX(DATAS,AA2750+1)),INDEX(DATAS,AA2750+1)),"")</f>
        <v/>
      </c>
    </row>
    <row r="2751" customFormat="false" ht="15" hidden="false" customHeight="false" outlineLevel="0" collapsed="false">
      <c r="A2751" s="51" t="n">
        <v>46309</v>
      </c>
      <c r="B2751" s="0" t="n">
        <v>13</v>
      </c>
      <c r="C2751" s="0" t="n">
        <v>7107</v>
      </c>
      <c r="E2751" s="0" t="n">
        <v>0</v>
      </c>
      <c r="F2751" s="46" t="s">
        <v>1382</v>
      </c>
      <c r="I2751" s="46" t="s">
        <v>179</v>
      </c>
      <c r="U2751" s="0" t="n">
        <v>342</v>
      </c>
      <c r="V2751" s="0" t="n">
        <v>0</v>
      </c>
      <c r="X2751" s="46" t="n">
        <f aca="false">IF(I2751="Male",0,1)</f>
        <v>1</v>
      </c>
      <c r="Y2751" s="46" t="n">
        <f aca="false">IF(OR(I2751="DNB",I2751="Dry DNB"),1,0)</f>
        <v>0</v>
      </c>
      <c r="Z2751" s="0" t="str">
        <f aca="false">IF(ISNUMBER(W2751),A2751-W2751,"")</f>
        <v/>
      </c>
      <c r="AA2751" s="46" t="n">
        <f aca="false">MATCH(A2751,DATAS,0)</f>
        <v>1</v>
      </c>
      <c r="AB2751" s="46" t="n">
        <f aca="false">IF(AND(E2751&gt;0,OR(AND(B2751&gt;=1,B2751&lt;=6),B2751=10)),1,0)</f>
        <v>0</v>
      </c>
      <c r="AC2751" s="46" t="n">
        <f aca="false">IF(AND(E2751&gt;0,B2751=10),1,0)</f>
        <v>0</v>
      </c>
      <c r="AD2751" s="0" t="str">
        <f aca="false">IF(AND(C2750=C2751,AA2750=AA2751-1),AB2750,"")</f>
        <v/>
      </c>
      <c r="AE2751" s="0" t="str">
        <f aca="false">IF(AND(C2750=C2751,AA2750=AA2751-1),AC2750,"")</f>
        <v/>
      </c>
      <c r="AF2751" s="0" t="str">
        <f aca="false">IF(AA2751=1,"",IF(AND(AB2751=1,AD2751&lt;&gt;1),1,0))</f>
        <v/>
      </c>
      <c r="AG2751" s="0" t="str">
        <f aca="false">IF(AA2751=1,"",IF(AND(AC2751=1,AE2751&lt;&gt;1),1,0))</f>
        <v/>
      </c>
      <c r="AH2751" s="51" t="str">
        <f aca="false">IF(AND(E2751&gt;0,AA2751&lt;1,NOT(AND(C2752=C2751,AA2752=AA2751+1))),INDEX(DATAS,AA2751+1),"")</f>
        <v/>
      </c>
      <c r="AI2751" s="51" t="str">
        <f aca="false">IF(AND(AC2751=1,AA2751&lt;1),IF(AND(C2752=C2751,AA2752=AA2751+1),IF(AC2752=1,"",INDEX(DATAS,AA2751+1)),INDEX(DATAS,AA2751+1)),"")</f>
        <v/>
      </c>
    </row>
    <row r="2752" customFormat="false" ht="15" hidden="false" customHeight="false" outlineLevel="0" collapsed="false">
      <c r="A2752" s="51" t="n">
        <v>46309</v>
      </c>
      <c r="B2752" s="0" t="n">
        <v>13</v>
      </c>
      <c r="C2752" s="0" t="n">
        <v>7108</v>
      </c>
      <c r="E2752" s="0" t="n">
        <v>0</v>
      </c>
      <c r="F2752" s="46" t="s">
        <v>1382</v>
      </c>
      <c r="I2752" s="46" t="s">
        <v>179</v>
      </c>
      <c r="U2752" s="0" t="n">
        <v>342</v>
      </c>
      <c r="V2752" s="0" t="n">
        <v>0</v>
      </c>
      <c r="X2752" s="46" t="n">
        <f aca="false">IF(I2752="Male",0,1)</f>
        <v>1</v>
      </c>
      <c r="Y2752" s="46" t="n">
        <f aca="false">IF(OR(I2752="DNB",I2752="Dry DNB"),1,0)</f>
        <v>0</v>
      </c>
      <c r="Z2752" s="0" t="str">
        <f aca="false">IF(ISNUMBER(W2752),A2752-W2752,"")</f>
        <v/>
      </c>
      <c r="AA2752" s="46" t="n">
        <f aca="false">MATCH(A2752,DATAS,0)</f>
        <v>1</v>
      </c>
      <c r="AB2752" s="46" t="n">
        <f aca="false">IF(AND(E2752&gt;0,OR(AND(B2752&gt;=1,B2752&lt;=6),B2752=10)),1,0)</f>
        <v>0</v>
      </c>
      <c r="AC2752" s="46" t="n">
        <f aca="false">IF(AND(E2752&gt;0,B2752=10),1,0)</f>
        <v>0</v>
      </c>
      <c r="AD2752" s="0" t="str">
        <f aca="false">IF(AND(C2751=C2752,AA2751=AA2752-1),AB2751,"")</f>
        <v/>
      </c>
      <c r="AE2752" s="0" t="str">
        <f aca="false">IF(AND(C2751=C2752,AA2751=AA2752-1),AC2751,"")</f>
        <v/>
      </c>
      <c r="AF2752" s="0" t="str">
        <f aca="false">IF(AA2752=1,"",IF(AND(AB2752=1,AD2752&lt;&gt;1),1,0))</f>
        <v/>
      </c>
      <c r="AG2752" s="0" t="str">
        <f aca="false">IF(AA2752=1,"",IF(AND(AC2752=1,AE2752&lt;&gt;1),1,0))</f>
        <v/>
      </c>
      <c r="AH2752" s="51" t="str">
        <f aca="false">IF(AND(E2752&gt;0,AA2752&lt;1,NOT(AND(C2753=C2752,AA2753=AA2752+1))),INDEX(DATAS,AA2752+1),"")</f>
        <v/>
      </c>
      <c r="AI2752" s="51" t="str">
        <f aca="false">IF(AND(AC2752=1,AA2752&lt;1),IF(AND(C2753=C2752,AA2753=AA2752+1),IF(AC2753=1,"",INDEX(DATAS,AA2752+1)),INDEX(DATAS,AA2752+1)),"")</f>
        <v/>
      </c>
    </row>
    <row r="2753" customFormat="false" ht="15" hidden="false" customHeight="false" outlineLevel="0" collapsed="false">
      <c r="A2753" s="51" t="n">
        <v>46309</v>
      </c>
      <c r="B2753" s="0" t="n">
        <v>13</v>
      </c>
      <c r="C2753" s="0" t="n">
        <v>7109</v>
      </c>
      <c r="E2753" s="0" t="n">
        <v>0</v>
      </c>
      <c r="F2753" s="46" t="s">
        <v>1382</v>
      </c>
      <c r="I2753" s="46" t="s">
        <v>179</v>
      </c>
      <c r="U2753" s="0" t="n">
        <v>342</v>
      </c>
      <c r="V2753" s="0" t="n">
        <v>0</v>
      </c>
      <c r="X2753" s="46" t="n">
        <f aca="false">IF(I2753="Male",0,1)</f>
        <v>1</v>
      </c>
      <c r="Y2753" s="46" t="n">
        <f aca="false">IF(OR(I2753="DNB",I2753="Dry DNB"),1,0)</f>
        <v>0</v>
      </c>
      <c r="Z2753" s="0" t="str">
        <f aca="false">IF(ISNUMBER(W2753),A2753-W2753,"")</f>
        <v/>
      </c>
      <c r="AA2753" s="46" t="n">
        <f aca="false">MATCH(A2753,DATAS,0)</f>
        <v>1</v>
      </c>
      <c r="AB2753" s="46" t="n">
        <f aca="false">IF(AND(E2753&gt;0,OR(AND(B2753&gt;=1,B2753&lt;=6),B2753=10)),1,0)</f>
        <v>0</v>
      </c>
      <c r="AC2753" s="46" t="n">
        <f aca="false">IF(AND(E2753&gt;0,B2753=10),1,0)</f>
        <v>0</v>
      </c>
      <c r="AD2753" s="0" t="str">
        <f aca="false">IF(AND(C2752=C2753,AA2752=AA2753-1),AB2752,"")</f>
        <v/>
      </c>
      <c r="AE2753" s="0" t="str">
        <f aca="false">IF(AND(C2752=C2753,AA2752=AA2753-1),AC2752,"")</f>
        <v/>
      </c>
      <c r="AF2753" s="0" t="str">
        <f aca="false">IF(AA2753=1,"",IF(AND(AB2753=1,AD2753&lt;&gt;1),1,0))</f>
        <v/>
      </c>
      <c r="AG2753" s="0" t="str">
        <f aca="false">IF(AA2753=1,"",IF(AND(AC2753=1,AE2753&lt;&gt;1),1,0))</f>
        <v/>
      </c>
      <c r="AH2753" s="51" t="str">
        <f aca="false">IF(AND(E2753&gt;0,AA2753&lt;1,NOT(AND(C2754=C2753,AA2754=AA2753+1))),INDEX(DATAS,AA2753+1),"")</f>
        <v/>
      </c>
      <c r="AI2753" s="51" t="str">
        <f aca="false">IF(AND(AC2753=1,AA2753&lt;1),IF(AND(C2754=C2753,AA2754=AA2753+1),IF(AC2754=1,"",INDEX(DATAS,AA2753+1)),INDEX(DATAS,AA2753+1)),"")</f>
        <v/>
      </c>
    </row>
    <row r="2754" customFormat="false" ht="15" hidden="false" customHeight="false" outlineLevel="0" collapsed="false">
      <c r="A2754" s="51" t="n">
        <v>46309</v>
      </c>
      <c r="B2754" s="0" t="n">
        <v>13</v>
      </c>
      <c r="C2754" s="0" t="n">
        <v>7110</v>
      </c>
      <c r="E2754" s="0" t="n">
        <v>0</v>
      </c>
      <c r="F2754" s="46" t="s">
        <v>1383</v>
      </c>
      <c r="I2754" s="46" t="s">
        <v>179</v>
      </c>
      <c r="U2754" s="0" t="n">
        <v>341</v>
      </c>
      <c r="V2754" s="0" t="n">
        <v>0</v>
      </c>
      <c r="X2754" s="46" t="n">
        <f aca="false">IF(I2754="Male",0,1)</f>
        <v>1</v>
      </c>
      <c r="Y2754" s="46" t="n">
        <f aca="false">IF(OR(I2754="DNB",I2754="Dry DNB"),1,0)</f>
        <v>0</v>
      </c>
      <c r="Z2754" s="0" t="str">
        <f aca="false">IF(ISNUMBER(W2754),A2754-W2754,"")</f>
        <v/>
      </c>
      <c r="AA2754" s="46" t="n">
        <f aca="false">MATCH(A2754,DATAS,0)</f>
        <v>1</v>
      </c>
      <c r="AB2754" s="46" t="n">
        <f aca="false">IF(AND(E2754&gt;0,OR(AND(B2754&gt;=1,B2754&lt;=6),B2754=10)),1,0)</f>
        <v>0</v>
      </c>
      <c r="AC2754" s="46" t="n">
        <f aca="false">IF(AND(E2754&gt;0,B2754=10),1,0)</f>
        <v>0</v>
      </c>
      <c r="AD2754" s="0" t="str">
        <f aca="false">IF(AND(C2753=C2754,AA2753=AA2754-1),AB2753,"")</f>
        <v/>
      </c>
      <c r="AE2754" s="0" t="str">
        <f aca="false">IF(AND(C2753=C2754,AA2753=AA2754-1),AC2753,"")</f>
        <v/>
      </c>
      <c r="AF2754" s="0" t="str">
        <f aca="false">IF(AA2754=1,"",IF(AND(AB2754=1,AD2754&lt;&gt;1),1,0))</f>
        <v/>
      </c>
      <c r="AG2754" s="0" t="str">
        <f aca="false">IF(AA2754=1,"",IF(AND(AC2754=1,AE2754&lt;&gt;1),1,0))</f>
        <v/>
      </c>
      <c r="AH2754" s="51" t="str">
        <f aca="false">IF(AND(E2754&gt;0,AA2754&lt;1,NOT(AND(C2755=C2754,AA2755=AA2754+1))),INDEX(DATAS,AA2754+1),"")</f>
        <v/>
      </c>
      <c r="AI2754" s="51" t="str">
        <f aca="false">IF(AND(AC2754=1,AA2754&lt;1),IF(AND(C2755=C2754,AA2755=AA2754+1),IF(AC2755=1,"",INDEX(DATAS,AA2754+1)),INDEX(DATAS,AA2754+1)),"")</f>
        <v/>
      </c>
    </row>
    <row r="2755" customFormat="false" ht="15" hidden="false" customHeight="false" outlineLevel="0" collapsed="false">
      <c r="A2755" s="51" t="n">
        <v>46309</v>
      </c>
      <c r="B2755" s="0" t="n">
        <v>13</v>
      </c>
      <c r="C2755" s="0" t="n">
        <v>7111</v>
      </c>
      <c r="E2755" s="0" t="n">
        <v>0</v>
      </c>
      <c r="F2755" s="46" t="s">
        <v>1383</v>
      </c>
      <c r="I2755" s="46" t="s">
        <v>179</v>
      </c>
      <c r="U2755" s="0" t="n">
        <v>341</v>
      </c>
      <c r="V2755" s="0" t="n">
        <v>0</v>
      </c>
      <c r="X2755" s="46" t="n">
        <f aca="false">IF(I2755="Male",0,1)</f>
        <v>1</v>
      </c>
      <c r="Y2755" s="46" t="n">
        <f aca="false">IF(OR(I2755="DNB",I2755="Dry DNB"),1,0)</f>
        <v>0</v>
      </c>
      <c r="Z2755" s="0" t="str">
        <f aca="false">IF(ISNUMBER(W2755),A2755-W2755,"")</f>
        <v/>
      </c>
      <c r="AA2755" s="46" t="n">
        <f aca="false">MATCH(A2755,DATAS,0)</f>
        <v>1</v>
      </c>
      <c r="AB2755" s="46" t="n">
        <f aca="false">IF(AND(E2755&gt;0,OR(AND(B2755&gt;=1,B2755&lt;=6),B2755=10)),1,0)</f>
        <v>0</v>
      </c>
      <c r="AC2755" s="46" t="n">
        <f aca="false">IF(AND(E2755&gt;0,B2755=10),1,0)</f>
        <v>0</v>
      </c>
      <c r="AD2755" s="0" t="str">
        <f aca="false">IF(AND(C2754=C2755,AA2754=AA2755-1),AB2754,"")</f>
        <v/>
      </c>
      <c r="AE2755" s="0" t="str">
        <f aca="false">IF(AND(C2754=C2755,AA2754=AA2755-1),AC2754,"")</f>
        <v/>
      </c>
      <c r="AF2755" s="0" t="str">
        <f aca="false">IF(AA2755=1,"",IF(AND(AB2755=1,AD2755&lt;&gt;1),1,0))</f>
        <v/>
      </c>
      <c r="AG2755" s="0" t="str">
        <f aca="false">IF(AA2755=1,"",IF(AND(AC2755=1,AE2755&lt;&gt;1),1,0))</f>
        <v/>
      </c>
      <c r="AH2755" s="51" t="str">
        <f aca="false">IF(AND(E2755&gt;0,AA2755&lt;1,NOT(AND(C2756=C2755,AA2756=AA2755+1))),INDEX(DATAS,AA2755+1),"")</f>
        <v/>
      </c>
      <c r="AI2755" s="51" t="str">
        <f aca="false">IF(AND(AC2755=1,AA2755&lt;1),IF(AND(C2756=C2755,AA2756=AA2755+1),IF(AC2756=1,"",INDEX(DATAS,AA2755+1)),INDEX(DATAS,AA2755+1)),"")</f>
        <v/>
      </c>
    </row>
    <row r="2756" customFormat="false" ht="15" hidden="false" customHeight="false" outlineLevel="0" collapsed="false">
      <c r="A2756" s="51" t="n">
        <v>46309</v>
      </c>
      <c r="B2756" s="0" t="n">
        <v>13</v>
      </c>
      <c r="C2756" s="0" t="n">
        <v>7112</v>
      </c>
      <c r="E2756" s="0" t="n">
        <v>0</v>
      </c>
      <c r="F2756" s="46" t="s">
        <v>1383</v>
      </c>
      <c r="I2756" s="46" t="s">
        <v>179</v>
      </c>
      <c r="U2756" s="0" t="n">
        <v>341</v>
      </c>
      <c r="V2756" s="0" t="n">
        <v>0</v>
      </c>
      <c r="X2756" s="46" t="n">
        <f aca="false">IF(I2756="Male",0,1)</f>
        <v>1</v>
      </c>
      <c r="Y2756" s="46" t="n">
        <f aca="false">IF(OR(I2756="DNB",I2756="Dry DNB"),1,0)</f>
        <v>0</v>
      </c>
      <c r="Z2756" s="0" t="str">
        <f aca="false">IF(ISNUMBER(W2756),A2756-W2756,"")</f>
        <v/>
      </c>
      <c r="AA2756" s="46" t="n">
        <f aca="false">MATCH(A2756,DATAS,0)</f>
        <v>1</v>
      </c>
      <c r="AB2756" s="46" t="n">
        <f aca="false">IF(AND(E2756&gt;0,OR(AND(B2756&gt;=1,B2756&lt;=6),B2756=10)),1,0)</f>
        <v>0</v>
      </c>
      <c r="AC2756" s="46" t="n">
        <f aca="false">IF(AND(E2756&gt;0,B2756=10),1,0)</f>
        <v>0</v>
      </c>
      <c r="AD2756" s="0" t="str">
        <f aca="false">IF(AND(C2755=C2756,AA2755=AA2756-1),AB2755,"")</f>
        <v/>
      </c>
      <c r="AE2756" s="0" t="str">
        <f aca="false">IF(AND(C2755=C2756,AA2755=AA2756-1),AC2755,"")</f>
        <v/>
      </c>
      <c r="AF2756" s="0" t="str">
        <f aca="false">IF(AA2756=1,"",IF(AND(AB2756=1,AD2756&lt;&gt;1),1,0))</f>
        <v/>
      </c>
      <c r="AG2756" s="0" t="str">
        <f aca="false">IF(AA2756=1,"",IF(AND(AC2756=1,AE2756&lt;&gt;1),1,0))</f>
        <v/>
      </c>
      <c r="AH2756" s="51" t="str">
        <f aca="false">IF(AND(E2756&gt;0,AA2756&lt;1,NOT(AND(C2757=C2756,AA2757=AA2756+1))),INDEX(DATAS,AA2756+1),"")</f>
        <v/>
      </c>
      <c r="AI2756" s="51" t="str">
        <f aca="false">IF(AND(AC2756=1,AA2756&lt;1),IF(AND(C2757=C2756,AA2757=AA2756+1),IF(AC2757=1,"",INDEX(DATAS,AA2756+1)),INDEX(DATAS,AA2756+1)),"")</f>
        <v/>
      </c>
    </row>
    <row r="2757" customFormat="false" ht="15" hidden="false" customHeight="false" outlineLevel="0" collapsed="false">
      <c r="A2757" s="51" t="n">
        <v>46309</v>
      </c>
      <c r="B2757" s="0" t="n">
        <v>13</v>
      </c>
      <c r="C2757" s="0" t="n">
        <v>7113</v>
      </c>
      <c r="E2757" s="0" t="n">
        <v>0</v>
      </c>
      <c r="F2757" s="46" t="s">
        <v>1384</v>
      </c>
      <c r="I2757" s="46" t="s">
        <v>179</v>
      </c>
      <c r="U2757" s="0" t="n">
        <v>340</v>
      </c>
      <c r="V2757" s="0" t="n">
        <v>0</v>
      </c>
      <c r="X2757" s="46" t="n">
        <f aca="false">IF(I2757="Male",0,1)</f>
        <v>1</v>
      </c>
      <c r="Y2757" s="46" t="n">
        <f aca="false">IF(OR(I2757="DNB",I2757="Dry DNB"),1,0)</f>
        <v>0</v>
      </c>
      <c r="Z2757" s="0" t="str">
        <f aca="false">IF(ISNUMBER(W2757),A2757-W2757,"")</f>
        <v/>
      </c>
      <c r="AA2757" s="46" t="n">
        <f aca="false">MATCH(A2757,DATAS,0)</f>
        <v>1</v>
      </c>
      <c r="AB2757" s="46" t="n">
        <f aca="false">IF(AND(E2757&gt;0,OR(AND(B2757&gt;=1,B2757&lt;=6),B2757=10)),1,0)</f>
        <v>0</v>
      </c>
      <c r="AC2757" s="46" t="n">
        <f aca="false">IF(AND(E2757&gt;0,B2757=10),1,0)</f>
        <v>0</v>
      </c>
      <c r="AD2757" s="0" t="str">
        <f aca="false">IF(AND(C2756=C2757,AA2756=AA2757-1),AB2756,"")</f>
        <v/>
      </c>
      <c r="AE2757" s="0" t="str">
        <f aca="false">IF(AND(C2756=C2757,AA2756=AA2757-1),AC2756,"")</f>
        <v/>
      </c>
      <c r="AF2757" s="0" t="str">
        <f aca="false">IF(AA2757=1,"",IF(AND(AB2757=1,AD2757&lt;&gt;1),1,0))</f>
        <v/>
      </c>
      <c r="AG2757" s="0" t="str">
        <f aca="false">IF(AA2757=1,"",IF(AND(AC2757=1,AE2757&lt;&gt;1),1,0))</f>
        <v/>
      </c>
      <c r="AH2757" s="51" t="str">
        <f aca="false">IF(AND(E2757&gt;0,AA2757&lt;1,NOT(AND(C2758=C2757,AA2758=AA2757+1))),INDEX(DATAS,AA2757+1),"")</f>
        <v/>
      </c>
      <c r="AI2757" s="51" t="str">
        <f aca="false">IF(AND(AC2757=1,AA2757&lt;1),IF(AND(C2758=C2757,AA2758=AA2757+1),IF(AC2758=1,"",INDEX(DATAS,AA2757+1)),INDEX(DATAS,AA2757+1)),"")</f>
        <v/>
      </c>
    </row>
    <row r="2758" customFormat="false" ht="15" hidden="false" customHeight="false" outlineLevel="0" collapsed="false">
      <c r="A2758" s="51" t="n">
        <v>46309</v>
      </c>
      <c r="B2758" s="0" t="n">
        <v>13</v>
      </c>
      <c r="C2758" s="0" t="n">
        <v>7114</v>
      </c>
      <c r="E2758" s="0" t="n">
        <v>0</v>
      </c>
      <c r="F2758" s="46" t="s">
        <v>1384</v>
      </c>
      <c r="I2758" s="46" t="s">
        <v>179</v>
      </c>
      <c r="U2758" s="0" t="n">
        <v>340</v>
      </c>
      <c r="V2758" s="0" t="n">
        <v>0</v>
      </c>
      <c r="X2758" s="46" t="n">
        <f aca="false">IF(I2758="Male",0,1)</f>
        <v>1</v>
      </c>
      <c r="Y2758" s="46" t="n">
        <f aca="false">IF(OR(I2758="DNB",I2758="Dry DNB"),1,0)</f>
        <v>0</v>
      </c>
      <c r="Z2758" s="0" t="str">
        <f aca="false">IF(ISNUMBER(W2758),A2758-W2758,"")</f>
        <v/>
      </c>
      <c r="AA2758" s="46" t="n">
        <f aca="false">MATCH(A2758,DATAS,0)</f>
        <v>1</v>
      </c>
      <c r="AB2758" s="46" t="n">
        <f aca="false">IF(AND(E2758&gt;0,OR(AND(B2758&gt;=1,B2758&lt;=6),B2758=10)),1,0)</f>
        <v>0</v>
      </c>
      <c r="AC2758" s="46" t="n">
        <f aca="false">IF(AND(E2758&gt;0,B2758=10),1,0)</f>
        <v>0</v>
      </c>
      <c r="AD2758" s="0" t="str">
        <f aca="false">IF(AND(C2757=C2758,AA2757=AA2758-1),AB2757,"")</f>
        <v/>
      </c>
      <c r="AE2758" s="0" t="str">
        <f aca="false">IF(AND(C2757=C2758,AA2757=AA2758-1),AC2757,"")</f>
        <v/>
      </c>
      <c r="AF2758" s="0" t="str">
        <f aca="false">IF(AA2758=1,"",IF(AND(AB2758=1,AD2758&lt;&gt;1),1,0))</f>
        <v/>
      </c>
      <c r="AG2758" s="0" t="str">
        <f aca="false">IF(AA2758=1,"",IF(AND(AC2758=1,AE2758&lt;&gt;1),1,0))</f>
        <v/>
      </c>
      <c r="AH2758" s="51" t="str">
        <f aca="false">IF(AND(E2758&gt;0,AA2758&lt;1,NOT(AND(C2759=C2758,AA2759=AA2758+1))),INDEX(DATAS,AA2758+1),"")</f>
        <v/>
      </c>
      <c r="AI2758" s="51" t="str">
        <f aca="false">IF(AND(AC2758=1,AA2758&lt;1),IF(AND(C2759=C2758,AA2759=AA2758+1),IF(AC2759=1,"",INDEX(DATAS,AA2758+1)),INDEX(DATAS,AA2758+1)),"")</f>
        <v/>
      </c>
    </row>
    <row r="2759" customFormat="false" ht="15" hidden="false" customHeight="false" outlineLevel="0" collapsed="false">
      <c r="A2759" s="51" t="n">
        <v>46309</v>
      </c>
      <c r="B2759" s="0" t="n">
        <v>13</v>
      </c>
      <c r="C2759" s="0" t="n">
        <v>7115</v>
      </c>
      <c r="E2759" s="0" t="n">
        <v>0</v>
      </c>
      <c r="F2759" s="46" t="s">
        <v>1385</v>
      </c>
      <c r="I2759" s="46" t="s">
        <v>179</v>
      </c>
      <c r="U2759" s="0" t="n">
        <v>339</v>
      </c>
      <c r="V2759" s="0" t="n">
        <v>0</v>
      </c>
      <c r="X2759" s="46" t="n">
        <f aca="false">IF(I2759="Male",0,1)</f>
        <v>1</v>
      </c>
      <c r="Y2759" s="46" t="n">
        <f aca="false">IF(OR(I2759="DNB",I2759="Dry DNB"),1,0)</f>
        <v>0</v>
      </c>
      <c r="Z2759" s="0" t="str">
        <f aca="false">IF(ISNUMBER(W2759),A2759-W2759,"")</f>
        <v/>
      </c>
      <c r="AA2759" s="46" t="n">
        <f aca="false">MATCH(A2759,DATAS,0)</f>
        <v>1</v>
      </c>
      <c r="AB2759" s="46" t="n">
        <f aca="false">IF(AND(E2759&gt;0,OR(AND(B2759&gt;=1,B2759&lt;=6),B2759=10)),1,0)</f>
        <v>0</v>
      </c>
      <c r="AC2759" s="46" t="n">
        <f aca="false">IF(AND(E2759&gt;0,B2759=10),1,0)</f>
        <v>0</v>
      </c>
      <c r="AD2759" s="0" t="str">
        <f aca="false">IF(AND(C2758=C2759,AA2758=AA2759-1),AB2758,"")</f>
        <v/>
      </c>
      <c r="AE2759" s="0" t="str">
        <f aca="false">IF(AND(C2758=C2759,AA2758=AA2759-1),AC2758,"")</f>
        <v/>
      </c>
      <c r="AF2759" s="0" t="str">
        <f aca="false">IF(AA2759=1,"",IF(AND(AB2759=1,AD2759&lt;&gt;1),1,0))</f>
        <v/>
      </c>
      <c r="AG2759" s="0" t="str">
        <f aca="false">IF(AA2759=1,"",IF(AND(AC2759=1,AE2759&lt;&gt;1),1,0))</f>
        <v/>
      </c>
      <c r="AH2759" s="51" t="str">
        <f aca="false">IF(AND(E2759&gt;0,AA2759&lt;1,NOT(AND(C2760=C2759,AA2760=AA2759+1))),INDEX(DATAS,AA2759+1),"")</f>
        <v/>
      </c>
      <c r="AI2759" s="51" t="str">
        <f aca="false">IF(AND(AC2759=1,AA2759&lt;1),IF(AND(C2760=C2759,AA2760=AA2759+1),IF(AC2760=1,"",INDEX(DATAS,AA2759+1)),INDEX(DATAS,AA2759+1)),"")</f>
        <v/>
      </c>
    </row>
    <row r="2760" customFormat="false" ht="15" hidden="false" customHeight="false" outlineLevel="0" collapsed="false">
      <c r="A2760" s="51" t="n">
        <v>46309</v>
      </c>
      <c r="B2760" s="0" t="n">
        <v>13</v>
      </c>
      <c r="C2760" s="0" t="n">
        <v>7117</v>
      </c>
      <c r="E2760" s="0" t="n">
        <v>0</v>
      </c>
      <c r="F2760" s="46" t="s">
        <v>1385</v>
      </c>
      <c r="I2760" s="46" t="s">
        <v>179</v>
      </c>
      <c r="U2760" s="0" t="n">
        <v>339</v>
      </c>
      <c r="V2760" s="0" t="n">
        <v>0</v>
      </c>
      <c r="X2760" s="46" t="n">
        <f aca="false">IF(I2760="Male",0,1)</f>
        <v>1</v>
      </c>
      <c r="Y2760" s="46" t="n">
        <f aca="false">IF(OR(I2760="DNB",I2760="Dry DNB"),1,0)</f>
        <v>0</v>
      </c>
      <c r="Z2760" s="0" t="str">
        <f aca="false">IF(ISNUMBER(W2760),A2760-W2760,"")</f>
        <v/>
      </c>
      <c r="AA2760" s="46" t="n">
        <f aca="false">MATCH(A2760,DATAS,0)</f>
        <v>1</v>
      </c>
      <c r="AB2760" s="46" t="n">
        <f aca="false">IF(AND(E2760&gt;0,OR(AND(B2760&gt;=1,B2760&lt;=6),B2760=10)),1,0)</f>
        <v>0</v>
      </c>
      <c r="AC2760" s="46" t="n">
        <f aca="false">IF(AND(E2760&gt;0,B2760=10),1,0)</f>
        <v>0</v>
      </c>
      <c r="AD2760" s="0" t="str">
        <f aca="false">IF(AND(C2759=C2760,AA2759=AA2760-1),AB2759,"")</f>
        <v/>
      </c>
      <c r="AE2760" s="0" t="str">
        <f aca="false">IF(AND(C2759=C2760,AA2759=AA2760-1),AC2759,"")</f>
        <v/>
      </c>
      <c r="AF2760" s="0" t="str">
        <f aca="false">IF(AA2760=1,"",IF(AND(AB2760=1,AD2760&lt;&gt;1),1,0))</f>
        <v/>
      </c>
      <c r="AG2760" s="0" t="str">
        <f aca="false">IF(AA2760=1,"",IF(AND(AC2760=1,AE2760&lt;&gt;1),1,0))</f>
        <v/>
      </c>
      <c r="AH2760" s="51" t="str">
        <f aca="false">IF(AND(E2760&gt;0,AA2760&lt;1,NOT(AND(C2761=C2760,AA2761=AA2760+1))),INDEX(DATAS,AA2760+1),"")</f>
        <v/>
      </c>
      <c r="AI2760" s="51" t="str">
        <f aca="false">IF(AND(AC2760=1,AA2760&lt;1),IF(AND(C2761=C2760,AA2761=AA2760+1),IF(AC2761=1,"",INDEX(DATAS,AA2760+1)),INDEX(DATAS,AA2760+1)),"")</f>
        <v/>
      </c>
    </row>
    <row r="2761" customFormat="false" ht="15" hidden="false" customHeight="false" outlineLevel="0" collapsed="false">
      <c r="A2761" s="51" t="n">
        <v>46309</v>
      </c>
      <c r="B2761" s="0" t="n">
        <v>13</v>
      </c>
      <c r="C2761" s="0" t="n">
        <v>7118</v>
      </c>
      <c r="E2761" s="0" t="n">
        <v>0</v>
      </c>
      <c r="F2761" s="46" t="s">
        <v>1385</v>
      </c>
      <c r="I2761" s="46" t="s">
        <v>179</v>
      </c>
      <c r="U2761" s="0" t="n">
        <v>339</v>
      </c>
      <c r="V2761" s="0" t="n">
        <v>0</v>
      </c>
      <c r="X2761" s="46" t="n">
        <f aca="false">IF(I2761="Male",0,1)</f>
        <v>1</v>
      </c>
      <c r="Y2761" s="46" t="n">
        <f aca="false">IF(OR(I2761="DNB",I2761="Dry DNB"),1,0)</f>
        <v>0</v>
      </c>
      <c r="Z2761" s="0" t="str">
        <f aca="false">IF(ISNUMBER(W2761),A2761-W2761,"")</f>
        <v/>
      </c>
      <c r="AA2761" s="46" t="n">
        <f aca="false">MATCH(A2761,DATAS,0)</f>
        <v>1</v>
      </c>
      <c r="AB2761" s="46" t="n">
        <f aca="false">IF(AND(E2761&gt;0,OR(AND(B2761&gt;=1,B2761&lt;=6),B2761=10)),1,0)</f>
        <v>0</v>
      </c>
      <c r="AC2761" s="46" t="n">
        <f aca="false">IF(AND(E2761&gt;0,B2761=10),1,0)</f>
        <v>0</v>
      </c>
      <c r="AD2761" s="0" t="str">
        <f aca="false">IF(AND(C2760=C2761,AA2760=AA2761-1),AB2760,"")</f>
        <v/>
      </c>
      <c r="AE2761" s="0" t="str">
        <f aca="false">IF(AND(C2760=C2761,AA2760=AA2761-1),AC2760,"")</f>
        <v/>
      </c>
      <c r="AF2761" s="0" t="str">
        <f aca="false">IF(AA2761=1,"",IF(AND(AB2761=1,AD2761&lt;&gt;1),1,0))</f>
        <v/>
      </c>
      <c r="AG2761" s="0" t="str">
        <f aca="false">IF(AA2761=1,"",IF(AND(AC2761=1,AE2761&lt;&gt;1),1,0))</f>
        <v/>
      </c>
      <c r="AH2761" s="51" t="str">
        <f aca="false">IF(AND(E2761&gt;0,AA2761&lt;1,NOT(AND(C2762=C2761,AA2762=AA2761+1))),INDEX(DATAS,AA2761+1),"")</f>
        <v/>
      </c>
      <c r="AI2761" s="51" t="str">
        <f aca="false">IF(AND(AC2761=1,AA2761&lt;1),IF(AND(C2762=C2761,AA2762=AA2761+1),IF(AC2762=1,"",INDEX(DATAS,AA2761+1)),INDEX(DATAS,AA2761+1)),"")</f>
        <v/>
      </c>
    </row>
    <row r="2762" customFormat="false" ht="15" hidden="false" customHeight="false" outlineLevel="0" collapsed="false">
      <c r="A2762" s="51" t="n">
        <v>46309</v>
      </c>
      <c r="B2762" s="0" t="n">
        <v>13</v>
      </c>
      <c r="C2762" s="0" t="n">
        <v>7119</v>
      </c>
      <c r="E2762" s="0" t="n">
        <v>0</v>
      </c>
      <c r="F2762" s="46" t="s">
        <v>1385</v>
      </c>
      <c r="I2762" s="46" t="s">
        <v>179</v>
      </c>
      <c r="U2762" s="0" t="n">
        <v>339</v>
      </c>
      <c r="V2762" s="0" t="n">
        <v>0</v>
      </c>
      <c r="X2762" s="46" t="n">
        <f aca="false">IF(I2762="Male",0,1)</f>
        <v>1</v>
      </c>
      <c r="Y2762" s="46" t="n">
        <f aca="false">IF(OR(I2762="DNB",I2762="Dry DNB"),1,0)</f>
        <v>0</v>
      </c>
      <c r="Z2762" s="0" t="str">
        <f aca="false">IF(ISNUMBER(W2762),A2762-W2762,"")</f>
        <v/>
      </c>
      <c r="AA2762" s="46" t="n">
        <f aca="false">MATCH(A2762,DATAS,0)</f>
        <v>1</v>
      </c>
      <c r="AB2762" s="46" t="n">
        <f aca="false">IF(AND(E2762&gt;0,OR(AND(B2762&gt;=1,B2762&lt;=6),B2762=10)),1,0)</f>
        <v>0</v>
      </c>
      <c r="AC2762" s="46" t="n">
        <f aca="false">IF(AND(E2762&gt;0,B2762=10),1,0)</f>
        <v>0</v>
      </c>
      <c r="AD2762" s="0" t="str">
        <f aca="false">IF(AND(C2761=C2762,AA2761=AA2762-1),AB2761,"")</f>
        <v/>
      </c>
      <c r="AE2762" s="0" t="str">
        <f aca="false">IF(AND(C2761=C2762,AA2761=AA2762-1),AC2761,"")</f>
        <v/>
      </c>
      <c r="AF2762" s="0" t="str">
        <f aca="false">IF(AA2762=1,"",IF(AND(AB2762=1,AD2762&lt;&gt;1),1,0))</f>
        <v/>
      </c>
      <c r="AG2762" s="0" t="str">
        <f aca="false">IF(AA2762=1,"",IF(AND(AC2762=1,AE2762&lt;&gt;1),1,0))</f>
        <v/>
      </c>
      <c r="AH2762" s="51" t="str">
        <f aca="false">IF(AND(E2762&gt;0,AA2762&lt;1,NOT(AND(C2763=C2762,AA2763=AA2762+1))),INDEX(DATAS,AA2762+1),"")</f>
        <v/>
      </c>
      <c r="AI2762" s="51" t="str">
        <f aca="false">IF(AND(AC2762=1,AA2762&lt;1),IF(AND(C2763=C2762,AA2763=AA2762+1),IF(AC2763=1,"",INDEX(DATAS,AA2762+1)),INDEX(DATAS,AA2762+1)),"")</f>
        <v/>
      </c>
    </row>
    <row r="2763" customFormat="false" ht="15" hidden="false" customHeight="false" outlineLevel="0" collapsed="false">
      <c r="A2763" s="51" t="n">
        <v>46309</v>
      </c>
      <c r="B2763" s="0" t="n">
        <v>13</v>
      </c>
      <c r="C2763" s="0" t="n">
        <v>7120</v>
      </c>
      <c r="E2763" s="0" t="n">
        <v>0</v>
      </c>
      <c r="F2763" s="46" t="s">
        <v>1386</v>
      </c>
      <c r="I2763" s="46" t="s">
        <v>179</v>
      </c>
      <c r="U2763" s="0" t="n">
        <v>338</v>
      </c>
      <c r="V2763" s="0" t="n">
        <v>0</v>
      </c>
      <c r="X2763" s="46" t="n">
        <f aca="false">IF(I2763="Male",0,1)</f>
        <v>1</v>
      </c>
      <c r="Y2763" s="46" t="n">
        <f aca="false">IF(OR(I2763="DNB",I2763="Dry DNB"),1,0)</f>
        <v>0</v>
      </c>
      <c r="Z2763" s="0" t="str">
        <f aca="false">IF(ISNUMBER(W2763),A2763-W2763,"")</f>
        <v/>
      </c>
      <c r="AA2763" s="46" t="n">
        <f aca="false">MATCH(A2763,DATAS,0)</f>
        <v>1</v>
      </c>
      <c r="AB2763" s="46" t="n">
        <f aca="false">IF(AND(E2763&gt;0,OR(AND(B2763&gt;=1,B2763&lt;=6),B2763=10)),1,0)</f>
        <v>0</v>
      </c>
      <c r="AC2763" s="46" t="n">
        <f aca="false">IF(AND(E2763&gt;0,B2763=10),1,0)</f>
        <v>0</v>
      </c>
      <c r="AD2763" s="0" t="str">
        <f aca="false">IF(AND(C2762=C2763,AA2762=AA2763-1),AB2762,"")</f>
        <v/>
      </c>
      <c r="AE2763" s="0" t="str">
        <f aca="false">IF(AND(C2762=C2763,AA2762=AA2763-1),AC2762,"")</f>
        <v/>
      </c>
      <c r="AF2763" s="0" t="str">
        <f aca="false">IF(AA2763=1,"",IF(AND(AB2763=1,AD2763&lt;&gt;1),1,0))</f>
        <v/>
      </c>
      <c r="AG2763" s="0" t="str">
        <f aca="false">IF(AA2763=1,"",IF(AND(AC2763=1,AE2763&lt;&gt;1),1,0))</f>
        <v/>
      </c>
      <c r="AH2763" s="51" t="str">
        <f aca="false">IF(AND(E2763&gt;0,AA2763&lt;1,NOT(AND(C2764=C2763,AA2764=AA2763+1))),INDEX(DATAS,AA2763+1),"")</f>
        <v/>
      </c>
      <c r="AI2763" s="51" t="str">
        <f aca="false">IF(AND(AC2763=1,AA2763&lt;1),IF(AND(C2764=C2763,AA2764=AA2763+1),IF(AC2764=1,"",INDEX(DATAS,AA2763+1)),INDEX(DATAS,AA2763+1)),"")</f>
        <v/>
      </c>
    </row>
    <row r="2764" customFormat="false" ht="15" hidden="false" customHeight="false" outlineLevel="0" collapsed="false">
      <c r="A2764" s="51" t="n">
        <v>46309</v>
      </c>
      <c r="B2764" s="0" t="n">
        <v>13</v>
      </c>
      <c r="C2764" s="0" t="n">
        <v>7122</v>
      </c>
      <c r="E2764" s="0" t="n">
        <v>0</v>
      </c>
      <c r="F2764" s="46" t="s">
        <v>1386</v>
      </c>
      <c r="I2764" s="46" t="s">
        <v>179</v>
      </c>
      <c r="U2764" s="0" t="n">
        <v>338</v>
      </c>
      <c r="V2764" s="0" t="n">
        <v>0</v>
      </c>
      <c r="X2764" s="46" t="n">
        <f aca="false">IF(I2764="Male",0,1)</f>
        <v>1</v>
      </c>
      <c r="Y2764" s="46" t="n">
        <f aca="false">IF(OR(I2764="DNB",I2764="Dry DNB"),1,0)</f>
        <v>0</v>
      </c>
      <c r="Z2764" s="0" t="str">
        <f aca="false">IF(ISNUMBER(W2764),A2764-W2764,"")</f>
        <v/>
      </c>
      <c r="AA2764" s="46" t="n">
        <f aca="false">MATCH(A2764,DATAS,0)</f>
        <v>1</v>
      </c>
      <c r="AB2764" s="46" t="n">
        <f aca="false">IF(AND(E2764&gt;0,OR(AND(B2764&gt;=1,B2764&lt;=6),B2764=10)),1,0)</f>
        <v>0</v>
      </c>
      <c r="AC2764" s="46" t="n">
        <f aca="false">IF(AND(E2764&gt;0,B2764=10),1,0)</f>
        <v>0</v>
      </c>
      <c r="AD2764" s="0" t="str">
        <f aca="false">IF(AND(C2763=C2764,AA2763=AA2764-1),AB2763,"")</f>
        <v/>
      </c>
      <c r="AE2764" s="0" t="str">
        <f aca="false">IF(AND(C2763=C2764,AA2763=AA2764-1),AC2763,"")</f>
        <v/>
      </c>
      <c r="AF2764" s="0" t="str">
        <f aca="false">IF(AA2764=1,"",IF(AND(AB2764=1,AD2764&lt;&gt;1),1,0))</f>
        <v/>
      </c>
      <c r="AG2764" s="0" t="str">
        <f aca="false">IF(AA2764=1,"",IF(AND(AC2764=1,AE2764&lt;&gt;1),1,0))</f>
        <v/>
      </c>
      <c r="AH2764" s="51" t="str">
        <f aca="false">IF(AND(E2764&gt;0,AA2764&lt;1,NOT(AND(C2765=C2764,AA2765=AA2764+1))),INDEX(DATAS,AA2764+1),"")</f>
        <v/>
      </c>
      <c r="AI2764" s="51" t="str">
        <f aca="false">IF(AND(AC2764=1,AA2764&lt;1),IF(AND(C2765=C2764,AA2765=AA2764+1),IF(AC2765=1,"",INDEX(DATAS,AA2764+1)),INDEX(DATAS,AA2764+1)),"")</f>
        <v/>
      </c>
    </row>
    <row r="2765" customFormat="false" ht="15" hidden="false" customHeight="false" outlineLevel="0" collapsed="false">
      <c r="A2765" s="51" t="n">
        <v>46309</v>
      </c>
      <c r="B2765" s="0" t="n">
        <v>13</v>
      </c>
      <c r="C2765" s="0" t="n">
        <v>7123</v>
      </c>
      <c r="E2765" s="0" t="n">
        <v>0</v>
      </c>
      <c r="F2765" s="46" t="s">
        <v>1386</v>
      </c>
      <c r="I2765" s="46" t="s">
        <v>179</v>
      </c>
      <c r="U2765" s="0" t="n">
        <v>338</v>
      </c>
      <c r="V2765" s="0" t="n">
        <v>0</v>
      </c>
      <c r="X2765" s="46" t="n">
        <f aca="false">IF(I2765="Male",0,1)</f>
        <v>1</v>
      </c>
      <c r="Y2765" s="46" t="n">
        <f aca="false">IF(OR(I2765="DNB",I2765="Dry DNB"),1,0)</f>
        <v>0</v>
      </c>
      <c r="Z2765" s="0" t="str">
        <f aca="false">IF(ISNUMBER(W2765),A2765-W2765,"")</f>
        <v/>
      </c>
      <c r="AA2765" s="46" t="n">
        <f aca="false">MATCH(A2765,DATAS,0)</f>
        <v>1</v>
      </c>
      <c r="AB2765" s="46" t="n">
        <f aca="false">IF(AND(E2765&gt;0,OR(AND(B2765&gt;=1,B2765&lt;=6),B2765=10)),1,0)</f>
        <v>0</v>
      </c>
      <c r="AC2765" s="46" t="n">
        <f aca="false">IF(AND(E2765&gt;0,B2765=10),1,0)</f>
        <v>0</v>
      </c>
      <c r="AD2765" s="0" t="str">
        <f aca="false">IF(AND(C2764=C2765,AA2764=AA2765-1),AB2764,"")</f>
        <v/>
      </c>
      <c r="AE2765" s="0" t="str">
        <f aca="false">IF(AND(C2764=C2765,AA2764=AA2765-1),AC2764,"")</f>
        <v/>
      </c>
      <c r="AF2765" s="0" t="str">
        <f aca="false">IF(AA2765=1,"",IF(AND(AB2765=1,AD2765&lt;&gt;1),1,0))</f>
        <v/>
      </c>
      <c r="AG2765" s="0" t="str">
        <f aca="false">IF(AA2765=1,"",IF(AND(AC2765=1,AE2765&lt;&gt;1),1,0))</f>
        <v/>
      </c>
      <c r="AH2765" s="51" t="str">
        <f aca="false">IF(AND(E2765&gt;0,AA2765&lt;1,NOT(AND(C2766=C2765,AA2766=AA2765+1))),INDEX(DATAS,AA2765+1),"")</f>
        <v/>
      </c>
      <c r="AI2765" s="51" t="str">
        <f aca="false">IF(AND(AC2765=1,AA2765&lt;1),IF(AND(C2766=C2765,AA2766=AA2765+1),IF(AC2766=1,"",INDEX(DATAS,AA2765+1)),INDEX(DATAS,AA2765+1)),"")</f>
        <v/>
      </c>
    </row>
    <row r="2766" customFormat="false" ht="15" hidden="false" customHeight="false" outlineLevel="0" collapsed="false">
      <c r="A2766" s="51" t="n">
        <v>46309</v>
      </c>
      <c r="B2766" s="0" t="n">
        <v>13</v>
      </c>
      <c r="C2766" s="0" t="n">
        <v>7126</v>
      </c>
      <c r="E2766" s="0" t="n">
        <v>0</v>
      </c>
      <c r="F2766" s="46" t="s">
        <v>1387</v>
      </c>
      <c r="I2766" s="46" t="s">
        <v>179</v>
      </c>
      <c r="U2766" s="0" t="n">
        <v>336</v>
      </c>
      <c r="V2766" s="0" t="n">
        <v>0</v>
      </c>
      <c r="X2766" s="46" t="n">
        <f aca="false">IF(I2766="Male",0,1)</f>
        <v>1</v>
      </c>
      <c r="Y2766" s="46" t="n">
        <f aca="false">IF(OR(I2766="DNB",I2766="Dry DNB"),1,0)</f>
        <v>0</v>
      </c>
      <c r="Z2766" s="0" t="str">
        <f aca="false">IF(ISNUMBER(W2766),A2766-W2766,"")</f>
        <v/>
      </c>
      <c r="AA2766" s="46" t="n">
        <f aca="false">MATCH(A2766,DATAS,0)</f>
        <v>1</v>
      </c>
      <c r="AB2766" s="46" t="n">
        <f aca="false">IF(AND(E2766&gt;0,OR(AND(B2766&gt;=1,B2766&lt;=6),B2766=10)),1,0)</f>
        <v>0</v>
      </c>
      <c r="AC2766" s="46" t="n">
        <f aca="false">IF(AND(E2766&gt;0,B2766=10),1,0)</f>
        <v>0</v>
      </c>
      <c r="AD2766" s="0" t="str">
        <f aca="false">IF(AND(C2765=C2766,AA2765=AA2766-1),AB2765,"")</f>
        <v/>
      </c>
      <c r="AE2766" s="0" t="str">
        <f aca="false">IF(AND(C2765=C2766,AA2765=AA2766-1),AC2765,"")</f>
        <v/>
      </c>
      <c r="AF2766" s="0" t="str">
        <f aca="false">IF(AA2766=1,"",IF(AND(AB2766=1,AD2766&lt;&gt;1),1,0))</f>
        <v/>
      </c>
      <c r="AG2766" s="0" t="str">
        <f aca="false">IF(AA2766=1,"",IF(AND(AC2766=1,AE2766&lt;&gt;1),1,0))</f>
        <v/>
      </c>
      <c r="AH2766" s="51" t="str">
        <f aca="false">IF(AND(E2766&gt;0,AA2766&lt;1,NOT(AND(C2767=C2766,AA2767=AA2766+1))),INDEX(DATAS,AA2766+1),"")</f>
        <v/>
      </c>
      <c r="AI2766" s="51" t="str">
        <f aca="false">IF(AND(AC2766=1,AA2766&lt;1),IF(AND(C2767=C2766,AA2767=AA2766+1),IF(AC2767=1,"",INDEX(DATAS,AA2766+1)),INDEX(DATAS,AA2766+1)),"")</f>
        <v/>
      </c>
    </row>
    <row r="2767" customFormat="false" ht="15" hidden="false" customHeight="false" outlineLevel="0" collapsed="false">
      <c r="A2767" s="51" t="n">
        <v>46309</v>
      </c>
      <c r="B2767" s="0" t="n">
        <v>13</v>
      </c>
      <c r="C2767" s="0" t="n">
        <v>7127</v>
      </c>
      <c r="E2767" s="0" t="n">
        <v>0</v>
      </c>
      <c r="F2767" s="46" t="s">
        <v>1388</v>
      </c>
      <c r="I2767" s="46" t="s">
        <v>179</v>
      </c>
      <c r="U2767" s="0" t="n">
        <v>335</v>
      </c>
      <c r="V2767" s="0" t="n">
        <v>0</v>
      </c>
      <c r="X2767" s="46" t="n">
        <f aca="false">IF(I2767="Male",0,1)</f>
        <v>1</v>
      </c>
      <c r="Y2767" s="46" t="n">
        <f aca="false">IF(OR(I2767="DNB",I2767="Dry DNB"),1,0)</f>
        <v>0</v>
      </c>
      <c r="Z2767" s="0" t="str">
        <f aca="false">IF(ISNUMBER(W2767),A2767-W2767,"")</f>
        <v/>
      </c>
      <c r="AA2767" s="46" t="n">
        <f aca="false">MATCH(A2767,DATAS,0)</f>
        <v>1</v>
      </c>
      <c r="AB2767" s="46" t="n">
        <f aca="false">IF(AND(E2767&gt;0,OR(AND(B2767&gt;=1,B2767&lt;=6),B2767=10)),1,0)</f>
        <v>0</v>
      </c>
      <c r="AC2767" s="46" t="n">
        <f aca="false">IF(AND(E2767&gt;0,B2767=10),1,0)</f>
        <v>0</v>
      </c>
      <c r="AD2767" s="0" t="str">
        <f aca="false">IF(AND(C2766=C2767,AA2766=AA2767-1),AB2766,"")</f>
        <v/>
      </c>
      <c r="AE2767" s="0" t="str">
        <f aca="false">IF(AND(C2766=C2767,AA2766=AA2767-1),AC2766,"")</f>
        <v/>
      </c>
      <c r="AF2767" s="0" t="str">
        <f aca="false">IF(AA2767=1,"",IF(AND(AB2767=1,AD2767&lt;&gt;1),1,0))</f>
        <v/>
      </c>
      <c r="AG2767" s="0" t="str">
        <f aca="false">IF(AA2767=1,"",IF(AND(AC2767=1,AE2767&lt;&gt;1),1,0))</f>
        <v/>
      </c>
      <c r="AH2767" s="51" t="str">
        <f aca="false">IF(AND(E2767&gt;0,AA2767&lt;1,NOT(AND(C2768=C2767,AA2768=AA2767+1))),INDEX(DATAS,AA2767+1),"")</f>
        <v/>
      </c>
      <c r="AI2767" s="51" t="str">
        <f aca="false">IF(AND(AC2767=1,AA2767&lt;1),IF(AND(C2768=C2767,AA2768=AA2767+1),IF(AC2768=1,"",INDEX(DATAS,AA2767+1)),INDEX(DATAS,AA2767+1)),"")</f>
        <v/>
      </c>
    </row>
    <row r="2768" customFormat="false" ht="15" hidden="false" customHeight="false" outlineLevel="0" collapsed="false">
      <c r="A2768" s="51" t="n">
        <v>46309</v>
      </c>
      <c r="B2768" s="0" t="n">
        <v>13</v>
      </c>
      <c r="C2768" s="0" t="n">
        <v>7128</v>
      </c>
      <c r="E2768" s="0" t="n">
        <v>0</v>
      </c>
      <c r="F2768" s="46" t="s">
        <v>1388</v>
      </c>
      <c r="I2768" s="46" t="s">
        <v>179</v>
      </c>
      <c r="U2768" s="0" t="n">
        <v>335</v>
      </c>
      <c r="V2768" s="0" t="n">
        <v>0</v>
      </c>
      <c r="X2768" s="46" t="n">
        <f aca="false">IF(I2768="Male",0,1)</f>
        <v>1</v>
      </c>
      <c r="Y2768" s="46" t="n">
        <f aca="false">IF(OR(I2768="DNB",I2768="Dry DNB"),1,0)</f>
        <v>0</v>
      </c>
      <c r="Z2768" s="0" t="str">
        <f aca="false">IF(ISNUMBER(W2768),A2768-W2768,"")</f>
        <v/>
      </c>
      <c r="AA2768" s="46" t="n">
        <f aca="false">MATCH(A2768,DATAS,0)</f>
        <v>1</v>
      </c>
      <c r="AB2768" s="46" t="n">
        <f aca="false">IF(AND(E2768&gt;0,OR(AND(B2768&gt;=1,B2768&lt;=6),B2768=10)),1,0)</f>
        <v>0</v>
      </c>
      <c r="AC2768" s="46" t="n">
        <f aca="false">IF(AND(E2768&gt;0,B2768=10),1,0)</f>
        <v>0</v>
      </c>
      <c r="AD2768" s="0" t="str">
        <f aca="false">IF(AND(C2767=C2768,AA2767=AA2768-1),AB2767,"")</f>
        <v/>
      </c>
      <c r="AE2768" s="0" t="str">
        <f aca="false">IF(AND(C2767=C2768,AA2767=AA2768-1),AC2767,"")</f>
        <v/>
      </c>
      <c r="AF2768" s="0" t="str">
        <f aca="false">IF(AA2768=1,"",IF(AND(AB2768=1,AD2768&lt;&gt;1),1,0))</f>
        <v/>
      </c>
      <c r="AG2768" s="0" t="str">
        <f aca="false">IF(AA2768=1,"",IF(AND(AC2768=1,AE2768&lt;&gt;1),1,0))</f>
        <v/>
      </c>
      <c r="AH2768" s="51" t="str">
        <f aca="false">IF(AND(E2768&gt;0,AA2768&lt;1,NOT(AND(C2769=C2768,AA2769=AA2768+1))),INDEX(DATAS,AA2768+1),"")</f>
        <v/>
      </c>
      <c r="AI2768" s="51" t="str">
        <f aca="false">IF(AND(AC2768=1,AA2768&lt;1),IF(AND(C2769=C2768,AA2769=AA2768+1),IF(AC2769=1,"",INDEX(DATAS,AA2768+1)),INDEX(DATAS,AA2768+1)),"")</f>
        <v/>
      </c>
    </row>
    <row r="2769" customFormat="false" ht="15" hidden="false" customHeight="false" outlineLevel="0" collapsed="false">
      <c r="A2769" s="51" t="n">
        <v>46309</v>
      </c>
      <c r="B2769" s="0" t="n">
        <v>13</v>
      </c>
      <c r="C2769" s="0" t="n">
        <v>7129</v>
      </c>
      <c r="E2769" s="0" t="n">
        <v>0</v>
      </c>
      <c r="F2769" s="46" t="s">
        <v>1388</v>
      </c>
      <c r="I2769" s="46" t="s">
        <v>179</v>
      </c>
      <c r="U2769" s="0" t="n">
        <v>335</v>
      </c>
      <c r="V2769" s="0" t="n">
        <v>0</v>
      </c>
      <c r="X2769" s="46" t="n">
        <f aca="false">IF(I2769="Male",0,1)</f>
        <v>1</v>
      </c>
      <c r="Y2769" s="46" t="n">
        <f aca="false">IF(OR(I2769="DNB",I2769="Dry DNB"),1,0)</f>
        <v>0</v>
      </c>
      <c r="Z2769" s="0" t="str">
        <f aca="false">IF(ISNUMBER(W2769),A2769-W2769,"")</f>
        <v/>
      </c>
      <c r="AA2769" s="46" t="n">
        <f aca="false">MATCH(A2769,DATAS,0)</f>
        <v>1</v>
      </c>
      <c r="AB2769" s="46" t="n">
        <f aca="false">IF(AND(E2769&gt;0,OR(AND(B2769&gt;=1,B2769&lt;=6),B2769=10)),1,0)</f>
        <v>0</v>
      </c>
      <c r="AC2769" s="46" t="n">
        <f aca="false">IF(AND(E2769&gt;0,B2769=10),1,0)</f>
        <v>0</v>
      </c>
      <c r="AD2769" s="0" t="str">
        <f aca="false">IF(AND(C2768=C2769,AA2768=AA2769-1),AB2768,"")</f>
        <v/>
      </c>
      <c r="AE2769" s="0" t="str">
        <f aca="false">IF(AND(C2768=C2769,AA2768=AA2769-1),AC2768,"")</f>
        <v/>
      </c>
      <c r="AF2769" s="0" t="str">
        <f aca="false">IF(AA2769=1,"",IF(AND(AB2769=1,AD2769&lt;&gt;1),1,0))</f>
        <v/>
      </c>
      <c r="AG2769" s="0" t="str">
        <f aca="false">IF(AA2769=1,"",IF(AND(AC2769=1,AE2769&lt;&gt;1),1,0))</f>
        <v/>
      </c>
      <c r="AH2769" s="51" t="str">
        <f aca="false">IF(AND(E2769&gt;0,AA2769&lt;1,NOT(AND(C2770=C2769,AA2770=AA2769+1))),INDEX(DATAS,AA2769+1),"")</f>
        <v/>
      </c>
      <c r="AI2769" s="51" t="str">
        <f aca="false">IF(AND(AC2769=1,AA2769&lt;1),IF(AND(C2770=C2769,AA2770=AA2769+1),IF(AC2770=1,"",INDEX(DATAS,AA2769+1)),INDEX(DATAS,AA2769+1)),"")</f>
        <v/>
      </c>
    </row>
    <row r="2770" customFormat="false" ht="15" hidden="false" customHeight="false" outlineLevel="0" collapsed="false">
      <c r="A2770" s="51" t="n">
        <v>46309</v>
      </c>
      <c r="B2770" s="0" t="n">
        <v>13</v>
      </c>
      <c r="C2770" s="0" t="n">
        <v>7131</v>
      </c>
      <c r="E2770" s="0" t="n">
        <v>0</v>
      </c>
      <c r="F2770" s="46" t="s">
        <v>1389</v>
      </c>
      <c r="I2770" s="46" t="s">
        <v>179</v>
      </c>
      <c r="U2770" s="0" t="n">
        <v>333</v>
      </c>
      <c r="V2770" s="0" t="n">
        <v>0</v>
      </c>
      <c r="X2770" s="46" t="n">
        <f aca="false">IF(I2770="Male",0,1)</f>
        <v>1</v>
      </c>
      <c r="Y2770" s="46" t="n">
        <f aca="false">IF(OR(I2770="DNB",I2770="Dry DNB"),1,0)</f>
        <v>0</v>
      </c>
      <c r="Z2770" s="0" t="str">
        <f aca="false">IF(ISNUMBER(W2770),A2770-W2770,"")</f>
        <v/>
      </c>
      <c r="AA2770" s="46" t="n">
        <f aca="false">MATCH(A2770,DATAS,0)</f>
        <v>1</v>
      </c>
      <c r="AB2770" s="46" t="n">
        <f aca="false">IF(AND(E2770&gt;0,OR(AND(B2770&gt;=1,B2770&lt;=6),B2770=10)),1,0)</f>
        <v>0</v>
      </c>
      <c r="AC2770" s="46" t="n">
        <f aca="false">IF(AND(E2770&gt;0,B2770=10),1,0)</f>
        <v>0</v>
      </c>
      <c r="AD2770" s="0" t="str">
        <f aca="false">IF(AND(C2769=C2770,AA2769=AA2770-1),AB2769,"")</f>
        <v/>
      </c>
      <c r="AE2770" s="0" t="str">
        <f aca="false">IF(AND(C2769=C2770,AA2769=AA2770-1),AC2769,"")</f>
        <v/>
      </c>
      <c r="AF2770" s="0" t="str">
        <f aca="false">IF(AA2770=1,"",IF(AND(AB2770=1,AD2770&lt;&gt;1),1,0))</f>
        <v/>
      </c>
      <c r="AG2770" s="0" t="str">
        <f aca="false">IF(AA2770=1,"",IF(AND(AC2770=1,AE2770&lt;&gt;1),1,0))</f>
        <v/>
      </c>
      <c r="AH2770" s="51" t="str">
        <f aca="false">IF(AND(E2770&gt;0,AA2770&lt;1,NOT(AND(C2771=C2770,AA2771=AA2770+1))),INDEX(DATAS,AA2770+1),"")</f>
        <v/>
      </c>
      <c r="AI2770" s="51" t="str">
        <f aca="false">IF(AND(AC2770=1,AA2770&lt;1),IF(AND(C2771=C2770,AA2771=AA2770+1),IF(AC2771=1,"",INDEX(DATAS,AA2770+1)),INDEX(DATAS,AA2770+1)),"")</f>
        <v/>
      </c>
    </row>
    <row r="2771" customFormat="false" ht="15" hidden="false" customHeight="false" outlineLevel="0" collapsed="false">
      <c r="A2771" s="51" t="n">
        <v>46309</v>
      </c>
      <c r="B2771" s="0" t="n">
        <v>13</v>
      </c>
      <c r="C2771" s="0" t="n">
        <v>7132</v>
      </c>
      <c r="E2771" s="0" t="n">
        <v>0</v>
      </c>
      <c r="F2771" s="46" t="s">
        <v>1389</v>
      </c>
      <c r="I2771" s="46" t="s">
        <v>179</v>
      </c>
      <c r="U2771" s="0" t="n">
        <v>333</v>
      </c>
      <c r="V2771" s="0" t="n">
        <v>0</v>
      </c>
      <c r="X2771" s="46" t="n">
        <f aca="false">IF(I2771="Male",0,1)</f>
        <v>1</v>
      </c>
      <c r="Y2771" s="46" t="n">
        <f aca="false">IF(OR(I2771="DNB",I2771="Dry DNB"),1,0)</f>
        <v>0</v>
      </c>
      <c r="Z2771" s="0" t="str">
        <f aca="false">IF(ISNUMBER(W2771),A2771-W2771,"")</f>
        <v/>
      </c>
      <c r="AA2771" s="46" t="n">
        <f aca="false">MATCH(A2771,DATAS,0)</f>
        <v>1</v>
      </c>
      <c r="AB2771" s="46" t="n">
        <f aca="false">IF(AND(E2771&gt;0,OR(AND(B2771&gt;=1,B2771&lt;=6),B2771=10)),1,0)</f>
        <v>0</v>
      </c>
      <c r="AC2771" s="46" t="n">
        <f aca="false">IF(AND(E2771&gt;0,B2771=10),1,0)</f>
        <v>0</v>
      </c>
      <c r="AD2771" s="0" t="str">
        <f aca="false">IF(AND(C2770=C2771,AA2770=AA2771-1),AB2770,"")</f>
        <v/>
      </c>
      <c r="AE2771" s="0" t="str">
        <f aca="false">IF(AND(C2770=C2771,AA2770=AA2771-1),AC2770,"")</f>
        <v/>
      </c>
      <c r="AF2771" s="0" t="str">
        <f aca="false">IF(AA2771=1,"",IF(AND(AB2771=1,AD2771&lt;&gt;1),1,0))</f>
        <v/>
      </c>
      <c r="AG2771" s="0" t="str">
        <f aca="false">IF(AA2771=1,"",IF(AND(AC2771=1,AE2771&lt;&gt;1),1,0))</f>
        <v/>
      </c>
      <c r="AH2771" s="51" t="str">
        <f aca="false">IF(AND(E2771&gt;0,AA2771&lt;1,NOT(AND(C2772=C2771,AA2772=AA2771+1))),INDEX(DATAS,AA2771+1),"")</f>
        <v/>
      </c>
      <c r="AI2771" s="51" t="str">
        <f aca="false">IF(AND(AC2771=1,AA2771&lt;1),IF(AND(C2772=C2771,AA2772=AA2771+1),IF(AC2772=1,"",INDEX(DATAS,AA2771+1)),INDEX(DATAS,AA2771+1)),"")</f>
        <v/>
      </c>
    </row>
    <row r="2772" customFormat="false" ht="15" hidden="false" customHeight="false" outlineLevel="0" collapsed="false">
      <c r="A2772" s="51" t="n">
        <v>46309</v>
      </c>
      <c r="B2772" s="0" t="n">
        <v>13</v>
      </c>
      <c r="C2772" s="0" t="n">
        <v>7133</v>
      </c>
      <c r="E2772" s="0" t="n">
        <v>0</v>
      </c>
      <c r="F2772" s="46" t="s">
        <v>1390</v>
      </c>
      <c r="I2772" s="46" t="s">
        <v>179</v>
      </c>
      <c r="U2772" s="0" t="n">
        <v>332</v>
      </c>
      <c r="V2772" s="0" t="n">
        <v>0</v>
      </c>
      <c r="X2772" s="46" t="n">
        <f aca="false">IF(I2772="Male",0,1)</f>
        <v>1</v>
      </c>
      <c r="Y2772" s="46" t="n">
        <f aca="false">IF(OR(I2772="DNB",I2772="Dry DNB"),1,0)</f>
        <v>0</v>
      </c>
      <c r="Z2772" s="0" t="str">
        <f aca="false">IF(ISNUMBER(W2772),A2772-W2772,"")</f>
        <v/>
      </c>
      <c r="AA2772" s="46" t="n">
        <f aca="false">MATCH(A2772,DATAS,0)</f>
        <v>1</v>
      </c>
      <c r="AB2772" s="46" t="n">
        <f aca="false">IF(AND(E2772&gt;0,OR(AND(B2772&gt;=1,B2772&lt;=6),B2772=10)),1,0)</f>
        <v>0</v>
      </c>
      <c r="AC2772" s="46" t="n">
        <f aca="false">IF(AND(E2772&gt;0,B2772=10),1,0)</f>
        <v>0</v>
      </c>
      <c r="AD2772" s="0" t="str">
        <f aca="false">IF(AND(C2771=C2772,AA2771=AA2772-1),AB2771,"")</f>
        <v/>
      </c>
      <c r="AE2772" s="0" t="str">
        <f aca="false">IF(AND(C2771=C2772,AA2771=AA2772-1),AC2771,"")</f>
        <v/>
      </c>
      <c r="AF2772" s="0" t="str">
        <f aca="false">IF(AA2772=1,"",IF(AND(AB2772=1,AD2772&lt;&gt;1),1,0))</f>
        <v/>
      </c>
      <c r="AG2772" s="0" t="str">
        <f aca="false">IF(AA2772=1,"",IF(AND(AC2772=1,AE2772&lt;&gt;1),1,0))</f>
        <v/>
      </c>
      <c r="AH2772" s="51" t="str">
        <f aca="false">IF(AND(E2772&gt;0,AA2772&lt;1,NOT(AND(C2773=C2772,AA2773=AA2772+1))),INDEX(DATAS,AA2772+1),"")</f>
        <v/>
      </c>
      <c r="AI2772" s="51" t="str">
        <f aca="false">IF(AND(AC2772=1,AA2772&lt;1),IF(AND(C2773=C2772,AA2773=AA2772+1),IF(AC2773=1,"",INDEX(DATAS,AA2772+1)),INDEX(DATAS,AA2772+1)),"")</f>
        <v/>
      </c>
    </row>
    <row r="2773" customFormat="false" ht="15" hidden="false" customHeight="false" outlineLevel="0" collapsed="false">
      <c r="A2773" s="51" t="n">
        <v>46309</v>
      </c>
      <c r="B2773" s="0" t="n">
        <v>13</v>
      </c>
      <c r="C2773" s="0" t="n">
        <v>7135</v>
      </c>
      <c r="E2773" s="0" t="n">
        <v>0</v>
      </c>
      <c r="F2773" s="46" t="s">
        <v>1390</v>
      </c>
      <c r="I2773" s="46" t="s">
        <v>179</v>
      </c>
      <c r="U2773" s="0" t="n">
        <v>332</v>
      </c>
      <c r="V2773" s="0" t="n">
        <v>0</v>
      </c>
      <c r="X2773" s="46" t="n">
        <f aca="false">IF(I2773="Male",0,1)</f>
        <v>1</v>
      </c>
      <c r="Y2773" s="46" t="n">
        <f aca="false">IF(OR(I2773="DNB",I2773="Dry DNB"),1,0)</f>
        <v>0</v>
      </c>
      <c r="Z2773" s="0" t="str">
        <f aca="false">IF(ISNUMBER(W2773),A2773-W2773,"")</f>
        <v/>
      </c>
      <c r="AA2773" s="46" t="n">
        <f aca="false">MATCH(A2773,DATAS,0)</f>
        <v>1</v>
      </c>
      <c r="AB2773" s="46" t="n">
        <f aca="false">IF(AND(E2773&gt;0,OR(AND(B2773&gt;=1,B2773&lt;=6),B2773=10)),1,0)</f>
        <v>0</v>
      </c>
      <c r="AC2773" s="46" t="n">
        <f aca="false">IF(AND(E2773&gt;0,B2773=10),1,0)</f>
        <v>0</v>
      </c>
      <c r="AD2773" s="0" t="str">
        <f aca="false">IF(AND(C2772=C2773,AA2772=AA2773-1),AB2772,"")</f>
        <v/>
      </c>
      <c r="AE2773" s="0" t="str">
        <f aca="false">IF(AND(C2772=C2773,AA2772=AA2773-1),AC2772,"")</f>
        <v/>
      </c>
      <c r="AF2773" s="0" t="str">
        <f aca="false">IF(AA2773=1,"",IF(AND(AB2773=1,AD2773&lt;&gt;1),1,0))</f>
        <v/>
      </c>
      <c r="AG2773" s="0" t="str">
        <f aca="false">IF(AA2773=1,"",IF(AND(AC2773=1,AE2773&lt;&gt;1),1,0))</f>
        <v/>
      </c>
      <c r="AH2773" s="51" t="str">
        <f aca="false">IF(AND(E2773&gt;0,AA2773&lt;1,NOT(AND(C2774=C2773,AA2774=AA2773+1))),INDEX(DATAS,AA2773+1),"")</f>
        <v/>
      </c>
      <c r="AI2773" s="51" t="str">
        <f aca="false">IF(AND(AC2773=1,AA2773&lt;1),IF(AND(C2774=C2773,AA2774=AA2773+1),IF(AC2774=1,"",INDEX(DATAS,AA2773+1)),INDEX(DATAS,AA2773+1)),"")</f>
        <v/>
      </c>
    </row>
    <row r="2774" customFormat="false" ht="15" hidden="false" customHeight="false" outlineLevel="0" collapsed="false">
      <c r="A2774" s="51" t="n">
        <v>46309</v>
      </c>
      <c r="B2774" s="0" t="n">
        <v>13</v>
      </c>
      <c r="C2774" s="0" t="n">
        <v>7137</v>
      </c>
      <c r="E2774" s="0" t="n">
        <v>0</v>
      </c>
      <c r="F2774" s="46" t="s">
        <v>1391</v>
      </c>
      <c r="I2774" s="46" t="s">
        <v>179</v>
      </c>
      <c r="U2774" s="0" t="n">
        <v>331</v>
      </c>
      <c r="V2774" s="0" t="n">
        <v>0</v>
      </c>
      <c r="X2774" s="46" t="n">
        <f aca="false">IF(I2774="Male",0,1)</f>
        <v>1</v>
      </c>
      <c r="Y2774" s="46" t="n">
        <f aca="false">IF(OR(I2774="DNB",I2774="Dry DNB"),1,0)</f>
        <v>0</v>
      </c>
      <c r="Z2774" s="0" t="str">
        <f aca="false">IF(ISNUMBER(W2774),A2774-W2774,"")</f>
        <v/>
      </c>
      <c r="AA2774" s="46" t="n">
        <f aca="false">MATCH(A2774,DATAS,0)</f>
        <v>1</v>
      </c>
      <c r="AB2774" s="46" t="n">
        <f aca="false">IF(AND(E2774&gt;0,OR(AND(B2774&gt;=1,B2774&lt;=6),B2774=10)),1,0)</f>
        <v>0</v>
      </c>
      <c r="AC2774" s="46" t="n">
        <f aca="false">IF(AND(E2774&gt;0,B2774=10),1,0)</f>
        <v>0</v>
      </c>
      <c r="AD2774" s="0" t="str">
        <f aca="false">IF(AND(C2773=C2774,AA2773=AA2774-1),AB2773,"")</f>
        <v/>
      </c>
      <c r="AE2774" s="0" t="str">
        <f aca="false">IF(AND(C2773=C2774,AA2773=AA2774-1),AC2773,"")</f>
        <v/>
      </c>
      <c r="AF2774" s="0" t="str">
        <f aca="false">IF(AA2774=1,"",IF(AND(AB2774=1,AD2774&lt;&gt;1),1,0))</f>
        <v/>
      </c>
      <c r="AG2774" s="0" t="str">
        <f aca="false">IF(AA2774=1,"",IF(AND(AC2774=1,AE2774&lt;&gt;1),1,0))</f>
        <v/>
      </c>
      <c r="AH2774" s="51" t="str">
        <f aca="false">IF(AND(E2774&gt;0,AA2774&lt;1,NOT(AND(C2775=C2774,AA2775=AA2774+1))),INDEX(DATAS,AA2774+1),"")</f>
        <v/>
      </c>
      <c r="AI2774" s="51" t="str">
        <f aca="false">IF(AND(AC2774=1,AA2774&lt;1),IF(AND(C2775=C2774,AA2775=AA2774+1),IF(AC2775=1,"",INDEX(DATAS,AA2774+1)),INDEX(DATAS,AA2774+1)),"")</f>
        <v/>
      </c>
    </row>
    <row r="2775" customFormat="false" ht="15" hidden="false" customHeight="false" outlineLevel="0" collapsed="false">
      <c r="A2775" s="51" t="n">
        <v>46309</v>
      </c>
      <c r="B2775" s="0" t="n">
        <v>13</v>
      </c>
      <c r="C2775" s="0" t="n">
        <v>7138</v>
      </c>
      <c r="E2775" s="0" t="n">
        <v>0</v>
      </c>
      <c r="F2775" s="46" t="s">
        <v>1391</v>
      </c>
      <c r="I2775" s="46" t="s">
        <v>179</v>
      </c>
      <c r="U2775" s="0" t="n">
        <v>331</v>
      </c>
      <c r="V2775" s="0" t="n">
        <v>0</v>
      </c>
      <c r="X2775" s="46" t="n">
        <f aca="false">IF(I2775="Male",0,1)</f>
        <v>1</v>
      </c>
      <c r="Y2775" s="46" t="n">
        <f aca="false">IF(OR(I2775="DNB",I2775="Dry DNB"),1,0)</f>
        <v>0</v>
      </c>
      <c r="Z2775" s="0" t="str">
        <f aca="false">IF(ISNUMBER(W2775),A2775-W2775,"")</f>
        <v/>
      </c>
      <c r="AA2775" s="46" t="n">
        <f aca="false">MATCH(A2775,DATAS,0)</f>
        <v>1</v>
      </c>
      <c r="AB2775" s="46" t="n">
        <f aca="false">IF(AND(E2775&gt;0,OR(AND(B2775&gt;=1,B2775&lt;=6),B2775=10)),1,0)</f>
        <v>0</v>
      </c>
      <c r="AC2775" s="46" t="n">
        <f aca="false">IF(AND(E2775&gt;0,B2775=10),1,0)</f>
        <v>0</v>
      </c>
      <c r="AD2775" s="0" t="str">
        <f aca="false">IF(AND(C2774=C2775,AA2774=AA2775-1),AB2774,"")</f>
        <v/>
      </c>
      <c r="AE2775" s="0" t="str">
        <f aca="false">IF(AND(C2774=C2775,AA2774=AA2775-1),AC2774,"")</f>
        <v/>
      </c>
      <c r="AF2775" s="0" t="str">
        <f aca="false">IF(AA2775=1,"",IF(AND(AB2775=1,AD2775&lt;&gt;1),1,0))</f>
        <v/>
      </c>
      <c r="AG2775" s="0" t="str">
        <f aca="false">IF(AA2775=1,"",IF(AND(AC2775=1,AE2775&lt;&gt;1),1,0))</f>
        <v/>
      </c>
      <c r="AH2775" s="51" t="str">
        <f aca="false">IF(AND(E2775&gt;0,AA2775&lt;1,NOT(AND(C2776=C2775,AA2776=AA2775+1))),INDEX(DATAS,AA2775+1),"")</f>
        <v/>
      </c>
      <c r="AI2775" s="51" t="str">
        <f aca="false">IF(AND(AC2775=1,AA2775&lt;1),IF(AND(C2776=C2775,AA2776=AA2775+1),IF(AC2776=1,"",INDEX(DATAS,AA2775+1)),INDEX(DATAS,AA2775+1)),"")</f>
        <v/>
      </c>
    </row>
    <row r="2776" customFormat="false" ht="15" hidden="false" customHeight="false" outlineLevel="0" collapsed="false">
      <c r="A2776" s="51" t="n">
        <v>46309</v>
      </c>
      <c r="B2776" s="0" t="n">
        <v>13</v>
      </c>
      <c r="C2776" s="0" t="n">
        <v>7139</v>
      </c>
      <c r="E2776" s="0" t="n">
        <v>0</v>
      </c>
      <c r="F2776" s="46" t="s">
        <v>1391</v>
      </c>
      <c r="I2776" s="46" t="s">
        <v>179</v>
      </c>
      <c r="U2776" s="0" t="n">
        <v>331</v>
      </c>
      <c r="V2776" s="0" t="n">
        <v>0</v>
      </c>
      <c r="X2776" s="46" t="n">
        <f aca="false">IF(I2776="Male",0,1)</f>
        <v>1</v>
      </c>
      <c r="Y2776" s="46" t="n">
        <f aca="false">IF(OR(I2776="DNB",I2776="Dry DNB"),1,0)</f>
        <v>0</v>
      </c>
      <c r="Z2776" s="0" t="str">
        <f aca="false">IF(ISNUMBER(W2776),A2776-W2776,"")</f>
        <v/>
      </c>
      <c r="AA2776" s="46" t="n">
        <f aca="false">MATCH(A2776,DATAS,0)</f>
        <v>1</v>
      </c>
      <c r="AB2776" s="46" t="n">
        <f aca="false">IF(AND(E2776&gt;0,OR(AND(B2776&gt;=1,B2776&lt;=6),B2776=10)),1,0)</f>
        <v>0</v>
      </c>
      <c r="AC2776" s="46" t="n">
        <f aca="false">IF(AND(E2776&gt;0,B2776=10),1,0)</f>
        <v>0</v>
      </c>
      <c r="AD2776" s="0" t="str">
        <f aca="false">IF(AND(C2775=C2776,AA2775=AA2776-1),AB2775,"")</f>
        <v/>
      </c>
      <c r="AE2776" s="0" t="str">
        <f aca="false">IF(AND(C2775=C2776,AA2775=AA2776-1),AC2775,"")</f>
        <v/>
      </c>
      <c r="AF2776" s="0" t="str">
        <f aca="false">IF(AA2776=1,"",IF(AND(AB2776=1,AD2776&lt;&gt;1),1,0))</f>
        <v/>
      </c>
      <c r="AG2776" s="0" t="str">
        <f aca="false">IF(AA2776=1,"",IF(AND(AC2776=1,AE2776&lt;&gt;1),1,0))</f>
        <v/>
      </c>
      <c r="AH2776" s="51" t="str">
        <f aca="false">IF(AND(E2776&gt;0,AA2776&lt;1,NOT(AND(C2777=C2776,AA2777=AA2776+1))),INDEX(DATAS,AA2776+1),"")</f>
        <v/>
      </c>
      <c r="AI2776" s="51" t="str">
        <f aca="false">IF(AND(AC2776=1,AA2776&lt;1),IF(AND(C2777=C2776,AA2777=AA2776+1),IF(AC2777=1,"",INDEX(DATAS,AA2776+1)),INDEX(DATAS,AA2776+1)),"")</f>
        <v/>
      </c>
    </row>
    <row r="2777" customFormat="false" ht="15" hidden="false" customHeight="false" outlineLevel="0" collapsed="false">
      <c r="A2777" s="51" t="n">
        <v>46309</v>
      </c>
      <c r="B2777" s="0" t="n">
        <v>13</v>
      </c>
      <c r="C2777" s="0" t="n">
        <v>7140</v>
      </c>
      <c r="E2777" s="0" t="n">
        <v>0</v>
      </c>
      <c r="F2777" s="46" t="s">
        <v>1391</v>
      </c>
      <c r="I2777" s="46" t="s">
        <v>179</v>
      </c>
      <c r="U2777" s="0" t="n">
        <v>331</v>
      </c>
      <c r="V2777" s="0" t="n">
        <v>0</v>
      </c>
      <c r="X2777" s="46" t="n">
        <f aca="false">IF(I2777="Male",0,1)</f>
        <v>1</v>
      </c>
      <c r="Y2777" s="46" t="n">
        <f aca="false">IF(OR(I2777="DNB",I2777="Dry DNB"),1,0)</f>
        <v>0</v>
      </c>
      <c r="Z2777" s="0" t="str">
        <f aca="false">IF(ISNUMBER(W2777),A2777-W2777,"")</f>
        <v/>
      </c>
      <c r="AA2777" s="46" t="n">
        <f aca="false">MATCH(A2777,DATAS,0)</f>
        <v>1</v>
      </c>
      <c r="AB2777" s="46" t="n">
        <f aca="false">IF(AND(E2777&gt;0,OR(AND(B2777&gt;=1,B2777&lt;=6),B2777=10)),1,0)</f>
        <v>0</v>
      </c>
      <c r="AC2777" s="46" t="n">
        <f aca="false">IF(AND(E2777&gt;0,B2777=10),1,0)</f>
        <v>0</v>
      </c>
      <c r="AD2777" s="0" t="str">
        <f aca="false">IF(AND(C2776=C2777,AA2776=AA2777-1),AB2776,"")</f>
        <v/>
      </c>
      <c r="AE2777" s="0" t="str">
        <f aca="false">IF(AND(C2776=C2777,AA2776=AA2777-1),AC2776,"")</f>
        <v/>
      </c>
      <c r="AF2777" s="0" t="str">
        <f aca="false">IF(AA2777=1,"",IF(AND(AB2777=1,AD2777&lt;&gt;1),1,0))</f>
        <v/>
      </c>
      <c r="AG2777" s="0" t="str">
        <f aca="false">IF(AA2777=1,"",IF(AND(AC2777=1,AE2777&lt;&gt;1),1,0))</f>
        <v/>
      </c>
      <c r="AH2777" s="51" t="str">
        <f aca="false">IF(AND(E2777&gt;0,AA2777&lt;1,NOT(AND(C2778=C2777,AA2778=AA2777+1))),INDEX(DATAS,AA2777+1),"")</f>
        <v/>
      </c>
      <c r="AI2777" s="51" t="str">
        <f aca="false">IF(AND(AC2777=1,AA2777&lt;1),IF(AND(C2778=C2777,AA2778=AA2777+1),IF(AC2778=1,"",INDEX(DATAS,AA2777+1)),INDEX(DATAS,AA2777+1)),"")</f>
        <v/>
      </c>
    </row>
    <row r="2778" customFormat="false" ht="15" hidden="false" customHeight="false" outlineLevel="0" collapsed="false">
      <c r="A2778" s="51" t="n">
        <v>46309</v>
      </c>
      <c r="B2778" s="0" t="n">
        <v>13</v>
      </c>
      <c r="C2778" s="0" t="n">
        <v>7141</v>
      </c>
      <c r="E2778" s="0" t="n">
        <v>0</v>
      </c>
      <c r="F2778" s="46" t="s">
        <v>1391</v>
      </c>
      <c r="I2778" s="46" t="s">
        <v>179</v>
      </c>
      <c r="U2778" s="0" t="n">
        <v>331</v>
      </c>
      <c r="V2778" s="0" t="n">
        <v>0</v>
      </c>
      <c r="X2778" s="46" t="n">
        <f aca="false">IF(I2778="Male",0,1)</f>
        <v>1</v>
      </c>
      <c r="Y2778" s="46" t="n">
        <f aca="false">IF(OR(I2778="DNB",I2778="Dry DNB"),1,0)</f>
        <v>0</v>
      </c>
      <c r="Z2778" s="0" t="str">
        <f aca="false">IF(ISNUMBER(W2778),A2778-W2778,"")</f>
        <v/>
      </c>
      <c r="AA2778" s="46" t="n">
        <f aca="false">MATCH(A2778,DATAS,0)</f>
        <v>1</v>
      </c>
      <c r="AB2778" s="46" t="n">
        <f aca="false">IF(AND(E2778&gt;0,OR(AND(B2778&gt;=1,B2778&lt;=6),B2778=10)),1,0)</f>
        <v>0</v>
      </c>
      <c r="AC2778" s="46" t="n">
        <f aca="false">IF(AND(E2778&gt;0,B2778=10),1,0)</f>
        <v>0</v>
      </c>
      <c r="AD2778" s="0" t="str">
        <f aca="false">IF(AND(C2777=C2778,AA2777=AA2778-1),AB2777,"")</f>
        <v/>
      </c>
      <c r="AE2778" s="0" t="str">
        <f aca="false">IF(AND(C2777=C2778,AA2777=AA2778-1),AC2777,"")</f>
        <v/>
      </c>
      <c r="AF2778" s="0" t="str">
        <f aca="false">IF(AA2778=1,"",IF(AND(AB2778=1,AD2778&lt;&gt;1),1,0))</f>
        <v/>
      </c>
      <c r="AG2778" s="0" t="str">
        <f aca="false">IF(AA2778=1,"",IF(AND(AC2778=1,AE2778&lt;&gt;1),1,0))</f>
        <v/>
      </c>
      <c r="AH2778" s="51" t="str">
        <f aca="false">IF(AND(E2778&gt;0,AA2778&lt;1,NOT(AND(C2779=C2778,AA2779=AA2778+1))),INDEX(DATAS,AA2778+1),"")</f>
        <v/>
      </c>
      <c r="AI2778" s="51" t="str">
        <f aca="false">IF(AND(AC2778=1,AA2778&lt;1),IF(AND(C2779=C2778,AA2779=AA2778+1),IF(AC2779=1,"",INDEX(DATAS,AA2778+1)),INDEX(DATAS,AA2778+1)),"")</f>
        <v/>
      </c>
    </row>
    <row r="2779" customFormat="false" ht="15" hidden="false" customHeight="false" outlineLevel="0" collapsed="false">
      <c r="A2779" s="51" t="n">
        <v>46309</v>
      </c>
      <c r="B2779" s="0" t="n">
        <v>13</v>
      </c>
      <c r="C2779" s="0" t="n">
        <v>7142</v>
      </c>
      <c r="E2779" s="0" t="n">
        <v>0</v>
      </c>
      <c r="F2779" s="46" t="s">
        <v>1392</v>
      </c>
      <c r="I2779" s="46" t="s">
        <v>179</v>
      </c>
      <c r="U2779" s="0" t="n">
        <v>330</v>
      </c>
      <c r="V2779" s="0" t="n">
        <v>0</v>
      </c>
      <c r="X2779" s="46" t="n">
        <f aca="false">IF(I2779="Male",0,1)</f>
        <v>1</v>
      </c>
      <c r="Y2779" s="46" t="n">
        <f aca="false">IF(OR(I2779="DNB",I2779="Dry DNB"),1,0)</f>
        <v>0</v>
      </c>
      <c r="Z2779" s="0" t="str">
        <f aca="false">IF(ISNUMBER(W2779),A2779-W2779,"")</f>
        <v/>
      </c>
      <c r="AA2779" s="46" t="n">
        <f aca="false">MATCH(A2779,DATAS,0)</f>
        <v>1</v>
      </c>
      <c r="AB2779" s="46" t="n">
        <f aca="false">IF(AND(E2779&gt;0,OR(AND(B2779&gt;=1,B2779&lt;=6),B2779=10)),1,0)</f>
        <v>0</v>
      </c>
      <c r="AC2779" s="46" t="n">
        <f aca="false">IF(AND(E2779&gt;0,B2779=10),1,0)</f>
        <v>0</v>
      </c>
      <c r="AD2779" s="0" t="str">
        <f aca="false">IF(AND(C2778=C2779,AA2778=AA2779-1),AB2778,"")</f>
        <v/>
      </c>
      <c r="AE2779" s="0" t="str">
        <f aca="false">IF(AND(C2778=C2779,AA2778=AA2779-1),AC2778,"")</f>
        <v/>
      </c>
      <c r="AF2779" s="0" t="str">
        <f aca="false">IF(AA2779=1,"",IF(AND(AB2779=1,AD2779&lt;&gt;1),1,0))</f>
        <v/>
      </c>
      <c r="AG2779" s="0" t="str">
        <f aca="false">IF(AA2779=1,"",IF(AND(AC2779=1,AE2779&lt;&gt;1),1,0))</f>
        <v/>
      </c>
      <c r="AH2779" s="51" t="str">
        <f aca="false">IF(AND(E2779&gt;0,AA2779&lt;1,NOT(AND(C2780=C2779,AA2780=AA2779+1))),INDEX(DATAS,AA2779+1),"")</f>
        <v/>
      </c>
      <c r="AI2779" s="51" t="str">
        <f aca="false">IF(AND(AC2779=1,AA2779&lt;1),IF(AND(C2780=C2779,AA2780=AA2779+1),IF(AC2780=1,"",INDEX(DATAS,AA2779+1)),INDEX(DATAS,AA2779+1)),"")</f>
        <v/>
      </c>
    </row>
    <row r="2780" customFormat="false" ht="15" hidden="false" customHeight="false" outlineLevel="0" collapsed="false">
      <c r="A2780" s="51" t="n">
        <v>46309</v>
      </c>
      <c r="B2780" s="0" t="n">
        <v>13</v>
      </c>
      <c r="C2780" s="0" t="n">
        <v>7143</v>
      </c>
      <c r="E2780" s="0" t="n">
        <v>0</v>
      </c>
      <c r="F2780" s="46" t="s">
        <v>1392</v>
      </c>
      <c r="I2780" s="46" t="s">
        <v>179</v>
      </c>
      <c r="U2780" s="0" t="n">
        <v>330</v>
      </c>
      <c r="V2780" s="0" t="n">
        <v>0</v>
      </c>
      <c r="X2780" s="46" t="n">
        <f aca="false">IF(I2780="Male",0,1)</f>
        <v>1</v>
      </c>
      <c r="Y2780" s="46" t="n">
        <f aca="false">IF(OR(I2780="DNB",I2780="Dry DNB"),1,0)</f>
        <v>0</v>
      </c>
      <c r="Z2780" s="0" t="str">
        <f aca="false">IF(ISNUMBER(W2780),A2780-W2780,"")</f>
        <v/>
      </c>
      <c r="AA2780" s="46" t="n">
        <f aca="false">MATCH(A2780,DATAS,0)</f>
        <v>1</v>
      </c>
      <c r="AB2780" s="46" t="n">
        <f aca="false">IF(AND(E2780&gt;0,OR(AND(B2780&gt;=1,B2780&lt;=6),B2780=10)),1,0)</f>
        <v>0</v>
      </c>
      <c r="AC2780" s="46" t="n">
        <f aca="false">IF(AND(E2780&gt;0,B2780=10),1,0)</f>
        <v>0</v>
      </c>
      <c r="AD2780" s="0" t="str">
        <f aca="false">IF(AND(C2779=C2780,AA2779=AA2780-1),AB2779,"")</f>
        <v/>
      </c>
      <c r="AE2780" s="0" t="str">
        <f aca="false">IF(AND(C2779=C2780,AA2779=AA2780-1),AC2779,"")</f>
        <v/>
      </c>
      <c r="AF2780" s="0" t="str">
        <f aca="false">IF(AA2780=1,"",IF(AND(AB2780=1,AD2780&lt;&gt;1),1,0))</f>
        <v/>
      </c>
      <c r="AG2780" s="0" t="str">
        <f aca="false">IF(AA2780=1,"",IF(AND(AC2780=1,AE2780&lt;&gt;1),1,0))</f>
        <v/>
      </c>
      <c r="AH2780" s="51" t="str">
        <f aca="false">IF(AND(E2780&gt;0,AA2780&lt;1,NOT(AND(C2781=C2780,AA2781=AA2780+1))),INDEX(DATAS,AA2780+1),"")</f>
        <v/>
      </c>
      <c r="AI2780" s="51" t="str">
        <f aca="false">IF(AND(AC2780=1,AA2780&lt;1),IF(AND(C2781=C2780,AA2781=AA2780+1),IF(AC2781=1,"",INDEX(DATAS,AA2780+1)),INDEX(DATAS,AA2780+1)),"")</f>
        <v/>
      </c>
    </row>
    <row r="2781" customFormat="false" ht="15" hidden="false" customHeight="false" outlineLevel="0" collapsed="false">
      <c r="A2781" s="51" t="n">
        <v>46309</v>
      </c>
      <c r="B2781" s="0" t="n">
        <v>13</v>
      </c>
      <c r="C2781" s="0" t="n">
        <v>7144</v>
      </c>
      <c r="E2781" s="0" t="n">
        <v>0</v>
      </c>
      <c r="F2781" s="46" t="s">
        <v>1392</v>
      </c>
      <c r="I2781" s="46" t="s">
        <v>179</v>
      </c>
      <c r="U2781" s="0" t="n">
        <v>330</v>
      </c>
      <c r="V2781" s="0" t="n">
        <v>0</v>
      </c>
      <c r="X2781" s="46" t="n">
        <f aca="false">IF(I2781="Male",0,1)</f>
        <v>1</v>
      </c>
      <c r="Y2781" s="46" t="n">
        <f aca="false">IF(OR(I2781="DNB",I2781="Dry DNB"),1,0)</f>
        <v>0</v>
      </c>
      <c r="Z2781" s="0" t="str">
        <f aca="false">IF(ISNUMBER(W2781),A2781-W2781,"")</f>
        <v/>
      </c>
      <c r="AA2781" s="46" t="n">
        <f aca="false">MATCH(A2781,DATAS,0)</f>
        <v>1</v>
      </c>
      <c r="AB2781" s="46" t="n">
        <f aca="false">IF(AND(E2781&gt;0,OR(AND(B2781&gt;=1,B2781&lt;=6),B2781=10)),1,0)</f>
        <v>0</v>
      </c>
      <c r="AC2781" s="46" t="n">
        <f aca="false">IF(AND(E2781&gt;0,B2781=10),1,0)</f>
        <v>0</v>
      </c>
      <c r="AD2781" s="0" t="str">
        <f aca="false">IF(AND(C2780=C2781,AA2780=AA2781-1),AB2780,"")</f>
        <v/>
      </c>
      <c r="AE2781" s="0" t="str">
        <f aca="false">IF(AND(C2780=C2781,AA2780=AA2781-1),AC2780,"")</f>
        <v/>
      </c>
      <c r="AF2781" s="0" t="str">
        <f aca="false">IF(AA2781=1,"",IF(AND(AB2781=1,AD2781&lt;&gt;1),1,0))</f>
        <v/>
      </c>
      <c r="AG2781" s="0" t="str">
        <f aca="false">IF(AA2781=1,"",IF(AND(AC2781=1,AE2781&lt;&gt;1),1,0))</f>
        <v/>
      </c>
      <c r="AH2781" s="51" t="str">
        <f aca="false">IF(AND(E2781&gt;0,AA2781&lt;1,NOT(AND(C2782=C2781,AA2782=AA2781+1))),INDEX(DATAS,AA2781+1),"")</f>
        <v/>
      </c>
      <c r="AI2781" s="51" t="str">
        <f aca="false">IF(AND(AC2781=1,AA2781&lt;1),IF(AND(C2782=C2781,AA2782=AA2781+1),IF(AC2782=1,"",INDEX(DATAS,AA2781+1)),INDEX(DATAS,AA2781+1)),"")</f>
        <v/>
      </c>
    </row>
    <row r="2782" customFormat="false" ht="15" hidden="false" customHeight="false" outlineLevel="0" collapsed="false">
      <c r="A2782" s="51" t="n">
        <v>46309</v>
      </c>
      <c r="B2782" s="0" t="n">
        <v>13</v>
      </c>
      <c r="C2782" s="0" t="n">
        <v>7146</v>
      </c>
      <c r="E2782" s="0" t="n">
        <v>0</v>
      </c>
      <c r="F2782" s="46" t="s">
        <v>1393</v>
      </c>
      <c r="I2782" s="46" t="s">
        <v>179</v>
      </c>
      <c r="U2782" s="0" t="n">
        <v>329</v>
      </c>
      <c r="V2782" s="0" t="n">
        <v>0</v>
      </c>
      <c r="X2782" s="46" t="n">
        <f aca="false">IF(I2782="Male",0,1)</f>
        <v>1</v>
      </c>
      <c r="Y2782" s="46" t="n">
        <f aca="false">IF(OR(I2782="DNB",I2782="Dry DNB"),1,0)</f>
        <v>0</v>
      </c>
      <c r="Z2782" s="0" t="str">
        <f aca="false">IF(ISNUMBER(W2782),A2782-W2782,"")</f>
        <v/>
      </c>
      <c r="AA2782" s="46" t="n">
        <f aca="false">MATCH(A2782,DATAS,0)</f>
        <v>1</v>
      </c>
      <c r="AB2782" s="46" t="n">
        <f aca="false">IF(AND(E2782&gt;0,OR(AND(B2782&gt;=1,B2782&lt;=6),B2782=10)),1,0)</f>
        <v>0</v>
      </c>
      <c r="AC2782" s="46" t="n">
        <f aca="false">IF(AND(E2782&gt;0,B2782=10),1,0)</f>
        <v>0</v>
      </c>
      <c r="AD2782" s="0" t="str">
        <f aca="false">IF(AND(C2781=C2782,AA2781=AA2782-1),AB2781,"")</f>
        <v/>
      </c>
      <c r="AE2782" s="0" t="str">
        <f aca="false">IF(AND(C2781=C2782,AA2781=AA2782-1),AC2781,"")</f>
        <v/>
      </c>
      <c r="AF2782" s="0" t="str">
        <f aca="false">IF(AA2782=1,"",IF(AND(AB2782=1,AD2782&lt;&gt;1),1,0))</f>
        <v/>
      </c>
      <c r="AG2782" s="0" t="str">
        <f aca="false">IF(AA2782=1,"",IF(AND(AC2782=1,AE2782&lt;&gt;1),1,0))</f>
        <v/>
      </c>
      <c r="AH2782" s="51" t="str">
        <f aca="false">IF(AND(E2782&gt;0,AA2782&lt;1,NOT(AND(C2783=C2782,AA2783=AA2782+1))),INDEX(DATAS,AA2782+1),"")</f>
        <v/>
      </c>
      <c r="AI2782" s="51" t="str">
        <f aca="false">IF(AND(AC2782=1,AA2782&lt;1),IF(AND(C2783=C2782,AA2783=AA2782+1),IF(AC2783=1,"",INDEX(DATAS,AA2782+1)),INDEX(DATAS,AA2782+1)),"")</f>
        <v/>
      </c>
    </row>
    <row r="2783" customFormat="false" ht="15" hidden="false" customHeight="false" outlineLevel="0" collapsed="false">
      <c r="A2783" s="51" t="n">
        <v>46309</v>
      </c>
      <c r="B2783" s="0" t="n">
        <v>13</v>
      </c>
      <c r="C2783" s="0" t="n">
        <v>7147</v>
      </c>
      <c r="E2783" s="0" t="n">
        <v>0</v>
      </c>
      <c r="F2783" s="46" t="s">
        <v>1393</v>
      </c>
      <c r="I2783" s="46" t="s">
        <v>179</v>
      </c>
      <c r="U2783" s="0" t="n">
        <v>329</v>
      </c>
      <c r="V2783" s="0" t="n">
        <v>0</v>
      </c>
      <c r="X2783" s="46" t="n">
        <f aca="false">IF(I2783="Male",0,1)</f>
        <v>1</v>
      </c>
      <c r="Y2783" s="46" t="n">
        <f aca="false">IF(OR(I2783="DNB",I2783="Dry DNB"),1,0)</f>
        <v>0</v>
      </c>
      <c r="Z2783" s="0" t="str">
        <f aca="false">IF(ISNUMBER(W2783),A2783-W2783,"")</f>
        <v/>
      </c>
      <c r="AA2783" s="46" t="n">
        <f aca="false">MATCH(A2783,DATAS,0)</f>
        <v>1</v>
      </c>
      <c r="AB2783" s="46" t="n">
        <f aca="false">IF(AND(E2783&gt;0,OR(AND(B2783&gt;=1,B2783&lt;=6),B2783=10)),1,0)</f>
        <v>0</v>
      </c>
      <c r="AC2783" s="46" t="n">
        <f aca="false">IF(AND(E2783&gt;0,B2783=10),1,0)</f>
        <v>0</v>
      </c>
      <c r="AD2783" s="0" t="str">
        <f aca="false">IF(AND(C2782=C2783,AA2782=AA2783-1),AB2782,"")</f>
        <v/>
      </c>
      <c r="AE2783" s="0" t="str">
        <f aca="false">IF(AND(C2782=C2783,AA2782=AA2783-1),AC2782,"")</f>
        <v/>
      </c>
      <c r="AF2783" s="0" t="str">
        <f aca="false">IF(AA2783=1,"",IF(AND(AB2783=1,AD2783&lt;&gt;1),1,0))</f>
        <v/>
      </c>
      <c r="AG2783" s="0" t="str">
        <f aca="false">IF(AA2783=1,"",IF(AND(AC2783=1,AE2783&lt;&gt;1),1,0))</f>
        <v/>
      </c>
      <c r="AH2783" s="51" t="str">
        <f aca="false">IF(AND(E2783&gt;0,AA2783&lt;1,NOT(AND(C2784=C2783,AA2784=AA2783+1))),INDEX(DATAS,AA2783+1),"")</f>
        <v/>
      </c>
      <c r="AI2783" s="51" t="str">
        <f aca="false">IF(AND(AC2783=1,AA2783&lt;1),IF(AND(C2784=C2783,AA2784=AA2783+1),IF(AC2784=1,"",INDEX(DATAS,AA2783+1)),INDEX(DATAS,AA2783+1)),"")</f>
        <v/>
      </c>
    </row>
    <row r="2784" customFormat="false" ht="15" hidden="false" customHeight="false" outlineLevel="0" collapsed="false">
      <c r="A2784" s="51" t="n">
        <v>46309</v>
      </c>
      <c r="B2784" s="0" t="n">
        <v>13</v>
      </c>
      <c r="C2784" s="0" t="n">
        <v>7148</v>
      </c>
      <c r="E2784" s="0" t="n">
        <v>0</v>
      </c>
      <c r="F2784" s="46" t="s">
        <v>1393</v>
      </c>
      <c r="I2784" s="46" t="s">
        <v>179</v>
      </c>
      <c r="U2784" s="0" t="n">
        <v>329</v>
      </c>
      <c r="V2784" s="0" t="n">
        <v>0</v>
      </c>
      <c r="X2784" s="46" t="n">
        <f aca="false">IF(I2784="Male",0,1)</f>
        <v>1</v>
      </c>
      <c r="Y2784" s="46" t="n">
        <f aca="false">IF(OR(I2784="DNB",I2784="Dry DNB"),1,0)</f>
        <v>0</v>
      </c>
      <c r="Z2784" s="0" t="str">
        <f aca="false">IF(ISNUMBER(W2784),A2784-W2784,"")</f>
        <v/>
      </c>
      <c r="AA2784" s="46" t="n">
        <f aca="false">MATCH(A2784,DATAS,0)</f>
        <v>1</v>
      </c>
      <c r="AB2784" s="46" t="n">
        <f aca="false">IF(AND(E2784&gt;0,OR(AND(B2784&gt;=1,B2784&lt;=6),B2784=10)),1,0)</f>
        <v>0</v>
      </c>
      <c r="AC2784" s="46" t="n">
        <f aca="false">IF(AND(E2784&gt;0,B2784=10),1,0)</f>
        <v>0</v>
      </c>
      <c r="AD2784" s="0" t="str">
        <f aca="false">IF(AND(C2783=C2784,AA2783=AA2784-1),AB2783,"")</f>
        <v/>
      </c>
      <c r="AE2784" s="0" t="str">
        <f aca="false">IF(AND(C2783=C2784,AA2783=AA2784-1),AC2783,"")</f>
        <v/>
      </c>
      <c r="AF2784" s="0" t="str">
        <f aca="false">IF(AA2784=1,"",IF(AND(AB2784=1,AD2784&lt;&gt;1),1,0))</f>
        <v/>
      </c>
      <c r="AG2784" s="0" t="str">
        <f aca="false">IF(AA2784=1,"",IF(AND(AC2784=1,AE2784&lt;&gt;1),1,0))</f>
        <v/>
      </c>
      <c r="AH2784" s="51" t="str">
        <f aca="false">IF(AND(E2784&gt;0,AA2784&lt;1,NOT(AND(C2785=C2784,AA2785=AA2784+1))),INDEX(DATAS,AA2784+1),"")</f>
        <v/>
      </c>
      <c r="AI2784" s="51" t="str">
        <f aca="false">IF(AND(AC2784=1,AA2784&lt;1),IF(AND(C2785=C2784,AA2785=AA2784+1),IF(AC2785=1,"",INDEX(DATAS,AA2784+1)),INDEX(DATAS,AA2784+1)),"")</f>
        <v/>
      </c>
    </row>
    <row r="2785" customFormat="false" ht="15" hidden="false" customHeight="false" outlineLevel="0" collapsed="false">
      <c r="A2785" s="51" t="n">
        <v>46309</v>
      </c>
      <c r="B2785" s="0" t="n">
        <v>13</v>
      </c>
      <c r="C2785" s="0" t="n">
        <v>7150</v>
      </c>
      <c r="E2785" s="0" t="n">
        <v>0</v>
      </c>
      <c r="F2785" s="46" t="s">
        <v>1393</v>
      </c>
      <c r="I2785" s="46" t="s">
        <v>179</v>
      </c>
      <c r="U2785" s="0" t="n">
        <v>329</v>
      </c>
      <c r="V2785" s="0" t="n">
        <v>0</v>
      </c>
      <c r="X2785" s="46" t="n">
        <f aca="false">IF(I2785="Male",0,1)</f>
        <v>1</v>
      </c>
      <c r="Y2785" s="46" t="n">
        <f aca="false">IF(OR(I2785="DNB",I2785="Dry DNB"),1,0)</f>
        <v>0</v>
      </c>
      <c r="Z2785" s="0" t="str">
        <f aca="false">IF(ISNUMBER(W2785),A2785-W2785,"")</f>
        <v/>
      </c>
      <c r="AA2785" s="46" t="n">
        <f aca="false">MATCH(A2785,DATAS,0)</f>
        <v>1</v>
      </c>
      <c r="AB2785" s="46" t="n">
        <f aca="false">IF(AND(E2785&gt;0,OR(AND(B2785&gt;=1,B2785&lt;=6),B2785=10)),1,0)</f>
        <v>0</v>
      </c>
      <c r="AC2785" s="46" t="n">
        <f aca="false">IF(AND(E2785&gt;0,B2785=10),1,0)</f>
        <v>0</v>
      </c>
      <c r="AD2785" s="0" t="str">
        <f aca="false">IF(AND(C2784=C2785,AA2784=AA2785-1),AB2784,"")</f>
        <v/>
      </c>
      <c r="AE2785" s="0" t="str">
        <f aca="false">IF(AND(C2784=C2785,AA2784=AA2785-1),AC2784,"")</f>
        <v/>
      </c>
      <c r="AF2785" s="0" t="str">
        <f aca="false">IF(AA2785=1,"",IF(AND(AB2785=1,AD2785&lt;&gt;1),1,0))</f>
        <v/>
      </c>
      <c r="AG2785" s="0" t="str">
        <f aca="false">IF(AA2785=1,"",IF(AND(AC2785=1,AE2785&lt;&gt;1),1,0))</f>
        <v/>
      </c>
      <c r="AH2785" s="51" t="str">
        <f aca="false">IF(AND(E2785&gt;0,AA2785&lt;1,NOT(AND(C2786=C2785,AA2786=AA2785+1))),INDEX(DATAS,AA2785+1),"")</f>
        <v/>
      </c>
      <c r="AI2785" s="51" t="str">
        <f aca="false">IF(AND(AC2785=1,AA2785&lt;1),IF(AND(C2786=C2785,AA2786=AA2785+1),IF(AC2786=1,"",INDEX(DATAS,AA2785+1)),INDEX(DATAS,AA2785+1)),"")</f>
        <v/>
      </c>
    </row>
    <row r="2786" customFormat="false" ht="15" hidden="false" customHeight="false" outlineLevel="0" collapsed="false">
      <c r="A2786" s="51" t="n">
        <v>46309</v>
      </c>
      <c r="B2786" s="0" t="n">
        <v>13</v>
      </c>
      <c r="C2786" s="0" t="n">
        <v>7151</v>
      </c>
      <c r="E2786" s="0" t="n">
        <v>0</v>
      </c>
      <c r="F2786" s="46" t="s">
        <v>1393</v>
      </c>
      <c r="I2786" s="46" t="s">
        <v>179</v>
      </c>
      <c r="U2786" s="0" t="n">
        <v>329</v>
      </c>
      <c r="V2786" s="0" t="n">
        <v>0</v>
      </c>
      <c r="X2786" s="46" t="n">
        <f aca="false">IF(I2786="Male",0,1)</f>
        <v>1</v>
      </c>
      <c r="Y2786" s="46" t="n">
        <f aca="false">IF(OR(I2786="DNB",I2786="Dry DNB"),1,0)</f>
        <v>0</v>
      </c>
      <c r="Z2786" s="0" t="str">
        <f aca="false">IF(ISNUMBER(W2786),A2786-W2786,"")</f>
        <v/>
      </c>
      <c r="AA2786" s="46" t="n">
        <f aca="false">MATCH(A2786,DATAS,0)</f>
        <v>1</v>
      </c>
      <c r="AB2786" s="46" t="n">
        <f aca="false">IF(AND(E2786&gt;0,OR(AND(B2786&gt;=1,B2786&lt;=6),B2786=10)),1,0)</f>
        <v>0</v>
      </c>
      <c r="AC2786" s="46" t="n">
        <f aca="false">IF(AND(E2786&gt;0,B2786=10),1,0)</f>
        <v>0</v>
      </c>
      <c r="AD2786" s="0" t="str">
        <f aca="false">IF(AND(C2785=C2786,AA2785=AA2786-1),AB2785,"")</f>
        <v/>
      </c>
      <c r="AE2786" s="0" t="str">
        <f aca="false">IF(AND(C2785=C2786,AA2785=AA2786-1),AC2785,"")</f>
        <v/>
      </c>
      <c r="AF2786" s="0" t="str">
        <f aca="false">IF(AA2786=1,"",IF(AND(AB2786=1,AD2786&lt;&gt;1),1,0))</f>
        <v/>
      </c>
      <c r="AG2786" s="0" t="str">
        <f aca="false">IF(AA2786=1,"",IF(AND(AC2786=1,AE2786&lt;&gt;1),1,0))</f>
        <v/>
      </c>
      <c r="AH2786" s="51" t="str">
        <f aca="false">IF(AND(E2786&gt;0,AA2786&lt;1,NOT(AND(C2787=C2786,AA2787=AA2786+1))),INDEX(DATAS,AA2786+1),"")</f>
        <v/>
      </c>
      <c r="AI2786" s="51" t="str">
        <f aca="false">IF(AND(AC2786=1,AA2786&lt;1),IF(AND(C2787=C2786,AA2787=AA2786+1),IF(AC2787=1,"",INDEX(DATAS,AA2786+1)),INDEX(DATAS,AA2786+1)),"")</f>
        <v/>
      </c>
    </row>
    <row r="2787" customFormat="false" ht="15" hidden="false" customHeight="false" outlineLevel="0" collapsed="false">
      <c r="A2787" s="51" t="n">
        <v>46309</v>
      </c>
      <c r="B2787" s="0" t="n">
        <v>13</v>
      </c>
      <c r="C2787" s="0" t="n">
        <v>7152</v>
      </c>
      <c r="E2787" s="0" t="n">
        <v>0</v>
      </c>
      <c r="F2787" s="46" t="s">
        <v>1394</v>
      </c>
      <c r="I2787" s="46" t="s">
        <v>179</v>
      </c>
      <c r="U2787" s="0" t="n">
        <v>328</v>
      </c>
      <c r="V2787" s="0" t="n">
        <v>0</v>
      </c>
      <c r="X2787" s="46" t="n">
        <f aca="false">IF(I2787="Male",0,1)</f>
        <v>1</v>
      </c>
      <c r="Y2787" s="46" t="n">
        <f aca="false">IF(OR(I2787="DNB",I2787="Dry DNB"),1,0)</f>
        <v>0</v>
      </c>
      <c r="Z2787" s="0" t="str">
        <f aca="false">IF(ISNUMBER(W2787),A2787-W2787,"")</f>
        <v/>
      </c>
      <c r="AA2787" s="46" t="n">
        <f aca="false">MATCH(A2787,DATAS,0)</f>
        <v>1</v>
      </c>
      <c r="AB2787" s="46" t="n">
        <f aca="false">IF(AND(E2787&gt;0,OR(AND(B2787&gt;=1,B2787&lt;=6),B2787=10)),1,0)</f>
        <v>0</v>
      </c>
      <c r="AC2787" s="46" t="n">
        <f aca="false">IF(AND(E2787&gt;0,B2787=10),1,0)</f>
        <v>0</v>
      </c>
      <c r="AD2787" s="0" t="str">
        <f aca="false">IF(AND(C2786=C2787,AA2786=AA2787-1),AB2786,"")</f>
        <v/>
      </c>
      <c r="AE2787" s="0" t="str">
        <f aca="false">IF(AND(C2786=C2787,AA2786=AA2787-1),AC2786,"")</f>
        <v/>
      </c>
      <c r="AF2787" s="0" t="str">
        <f aca="false">IF(AA2787=1,"",IF(AND(AB2787=1,AD2787&lt;&gt;1),1,0))</f>
        <v/>
      </c>
      <c r="AG2787" s="0" t="str">
        <f aca="false">IF(AA2787=1,"",IF(AND(AC2787=1,AE2787&lt;&gt;1),1,0))</f>
        <v/>
      </c>
      <c r="AH2787" s="51" t="str">
        <f aca="false">IF(AND(E2787&gt;0,AA2787&lt;1,NOT(AND(C2788=C2787,AA2788=AA2787+1))),INDEX(DATAS,AA2787+1),"")</f>
        <v/>
      </c>
      <c r="AI2787" s="51" t="str">
        <f aca="false">IF(AND(AC2787=1,AA2787&lt;1),IF(AND(C2788=C2787,AA2788=AA2787+1),IF(AC2788=1,"",INDEX(DATAS,AA2787+1)),INDEX(DATAS,AA2787+1)),"")</f>
        <v/>
      </c>
    </row>
    <row r="2788" customFormat="false" ht="15" hidden="false" customHeight="false" outlineLevel="0" collapsed="false">
      <c r="A2788" s="51" t="n">
        <v>46309</v>
      </c>
      <c r="B2788" s="0" t="n">
        <v>13</v>
      </c>
      <c r="C2788" s="0" t="n">
        <v>7153</v>
      </c>
      <c r="E2788" s="0" t="n">
        <v>0</v>
      </c>
      <c r="F2788" s="46" t="s">
        <v>1395</v>
      </c>
      <c r="I2788" s="46" t="s">
        <v>179</v>
      </c>
      <c r="U2788" s="0" t="n">
        <v>327</v>
      </c>
      <c r="V2788" s="0" t="n">
        <v>0</v>
      </c>
      <c r="X2788" s="46" t="n">
        <f aca="false">IF(I2788="Male",0,1)</f>
        <v>1</v>
      </c>
      <c r="Y2788" s="46" t="n">
        <f aca="false">IF(OR(I2788="DNB",I2788="Dry DNB"),1,0)</f>
        <v>0</v>
      </c>
      <c r="Z2788" s="0" t="str">
        <f aca="false">IF(ISNUMBER(W2788),A2788-W2788,"")</f>
        <v/>
      </c>
      <c r="AA2788" s="46" t="n">
        <f aca="false">MATCH(A2788,DATAS,0)</f>
        <v>1</v>
      </c>
      <c r="AB2788" s="46" t="n">
        <f aca="false">IF(AND(E2788&gt;0,OR(AND(B2788&gt;=1,B2788&lt;=6),B2788=10)),1,0)</f>
        <v>0</v>
      </c>
      <c r="AC2788" s="46" t="n">
        <f aca="false">IF(AND(E2788&gt;0,B2788=10),1,0)</f>
        <v>0</v>
      </c>
      <c r="AD2788" s="0" t="str">
        <f aca="false">IF(AND(C2787=C2788,AA2787=AA2788-1),AB2787,"")</f>
        <v/>
      </c>
      <c r="AE2788" s="0" t="str">
        <f aca="false">IF(AND(C2787=C2788,AA2787=AA2788-1),AC2787,"")</f>
        <v/>
      </c>
      <c r="AF2788" s="0" t="str">
        <f aca="false">IF(AA2788=1,"",IF(AND(AB2788=1,AD2788&lt;&gt;1),1,0))</f>
        <v/>
      </c>
      <c r="AG2788" s="0" t="str">
        <f aca="false">IF(AA2788=1,"",IF(AND(AC2788=1,AE2788&lt;&gt;1),1,0))</f>
        <v/>
      </c>
      <c r="AH2788" s="51" t="str">
        <f aca="false">IF(AND(E2788&gt;0,AA2788&lt;1,NOT(AND(C2789=C2788,AA2789=AA2788+1))),INDEX(DATAS,AA2788+1),"")</f>
        <v/>
      </c>
      <c r="AI2788" s="51" t="str">
        <f aca="false">IF(AND(AC2788=1,AA2788&lt;1),IF(AND(C2789=C2788,AA2789=AA2788+1),IF(AC2789=1,"",INDEX(DATAS,AA2788+1)),INDEX(DATAS,AA2788+1)),"")</f>
        <v/>
      </c>
    </row>
    <row r="2789" customFormat="false" ht="15" hidden="false" customHeight="false" outlineLevel="0" collapsed="false">
      <c r="A2789" s="51" t="n">
        <v>46309</v>
      </c>
      <c r="B2789" s="0" t="n">
        <v>13</v>
      </c>
      <c r="C2789" s="0" t="n">
        <v>7154</v>
      </c>
      <c r="E2789" s="0" t="n">
        <v>0</v>
      </c>
      <c r="F2789" s="46" t="s">
        <v>1395</v>
      </c>
      <c r="I2789" s="46" t="s">
        <v>179</v>
      </c>
      <c r="U2789" s="0" t="n">
        <v>327</v>
      </c>
      <c r="V2789" s="0" t="n">
        <v>0</v>
      </c>
      <c r="X2789" s="46" t="n">
        <f aca="false">IF(I2789="Male",0,1)</f>
        <v>1</v>
      </c>
      <c r="Y2789" s="46" t="n">
        <f aca="false">IF(OR(I2789="DNB",I2789="Dry DNB"),1,0)</f>
        <v>0</v>
      </c>
      <c r="Z2789" s="0" t="str">
        <f aca="false">IF(ISNUMBER(W2789),A2789-W2789,"")</f>
        <v/>
      </c>
      <c r="AA2789" s="46" t="n">
        <f aca="false">MATCH(A2789,DATAS,0)</f>
        <v>1</v>
      </c>
      <c r="AB2789" s="46" t="n">
        <f aca="false">IF(AND(E2789&gt;0,OR(AND(B2789&gt;=1,B2789&lt;=6),B2789=10)),1,0)</f>
        <v>0</v>
      </c>
      <c r="AC2789" s="46" t="n">
        <f aca="false">IF(AND(E2789&gt;0,B2789=10),1,0)</f>
        <v>0</v>
      </c>
      <c r="AD2789" s="0" t="str">
        <f aca="false">IF(AND(C2788=C2789,AA2788=AA2789-1),AB2788,"")</f>
        <v/>
      </c>
      <c r="AE2789" s="0" t="str">
        <f aca="false">IF(AND(C2788=C2789,AA2788=AA2789-1),AC2788,"")</f>
        <v/>
      </c>
      <c r="AF2789" s="0" t="str">
        <f aca="false">IF(AA2789=1,"",IF(AND(AB2789=1,AD2789&lt;&gt;1),1,0))</f>
        <v/>
      </c>
      <c r="AG2789" s="0" t="str">
        <f aca="false">IF(AA2789=1,"",IF(AND(AC2789=1,AE2789&lt;&gt;1),1,0))</f>
        <v/>
      </c>
      <c r="AH2789" s="51" t="str">
        <f aca="false">IF(AND(E2789&gt;0,AA2789&lt;1,NOT(AND(C2790=C2789,AA2790=AA2789+1))),INDEX(DATAS,AA2789+1),"")</f>
        <v/>
      </c>
      <c r="AI2789" s="51" t="str">
        <f aca="false">IF(AND(AC2789=1,AA2789&lt;1),IF(AND(C2790=C2789,AA2790=AA2789+1),IF(AC2790=1,"",INDEX(DATAS,AA2789+1)),INDEX(DATAS,AA2789+1)),"")</f>
        <v/>
      </c>
    </row>
    <row r="2790" customFormat="false" ht="15" hidden="false" customHeight="false" outlineLevel="0" collapsed="false">
      <c r="A2790" s="51" t="n">
        <v>46309</v>
      </c>
      <c r="B2790" s="0" t="n">
        <v>13</v>
      </c>
      <c r="C2790" s="0" t="n">
        <v>7155</v>
      </c>
      <c r="E2790" s="0" t="n">
        <v>0</v>
      </c>
      <c r="F2790" s="46" t="s">
        <v>1396</v>
      </c>
      <c r="I2790" s="46" t="s">
        <v>179</v>
      </c>
      <c r="U2790" s="0" t="n">
        <v>326</v>
      </c>
      <c r="V2790" s="0" t="n">
        <v>0</v>
      </c>
      <c r="X2790" s="46" t="n">
        <f aca="false">IF(I2790="Male",0,1)</f>
        <v>1</v>
      </c>
      <c r="Y2790" s="46" t="n">
        <f aca="false">IF(OR(I2790="DNB",I2790="Dry DNB"),1,0)</f>
        <v>0</v>
      </c>
      <c r="Z2790" s="0" t="str">
        <f aca="false">IF(ISNUMBER(W2790),A2790-W2790,"")</f>
        <v/>
      </c>
      <c r="AA2790" s="46" t="n">
        <f aca="false">MATCH(A2790,DATAS,0)</f>
        <v>1</v>
      </c>
      <c r="AB2790" s="46" t="n">
        <f aca="false">IF(AND(E2790&gt;0,OR(AND(B2790&gt;=1,B2790&lt;=6),B2790=10)),1,0)</f>
        <v>0</v>
      </c>
      <c r="AC2790" s="46" t="n">
        <f aca="false">IF(AND(E2790&gt;0,B2790=10),1,0)</f>
        <v>0</v>
      </c>
      <c r="AD2790" s="0" t="str">
        <f aca="false">IF(AND(C2789=C2790,AA2789=AA2790-1),AB2789,"")</f>
        <v/>
      </c>
      <c r="AE2790" s="0" t="str">
        <f aca="false">IF(AND(C2789=C2790,AA2789=AA2790-1),AC2789,"")</f>
        <v/>
      </c>
      <c r="AF2790" s="0" t="str">
        <f aca="false">IF(AA2790=1,"",IF(AND(AB2790=1,AD2790&lt;&gt;1),1,0))</f>
        <v/>
      </c>
      <c r="AG2790" s="0" t="str">
        <f aca="false">IF(AA2790=1,"",IF(AND(AC2790=1,AE2790&lt;&gt;1),1,0))</f>
        <v/>
      </c>
      <c r="AH2790" s="51" t="str">
        <f aca="false">IF(AND(E2790&gt;0,AA2790&lt;1,NOT(AND(C2791=C2790,AA2791=AA2790+1))),INDEX(DATAS,AA2790+1),"")</f>
        <v/>
      </c>
      <c r="AI2790" s="51" t="str">
        <f aca="false">IF(AND(AC2790=1,AA2790&lt;1),IF(AND(C2791=C2790,AA2791=AA2790+1),IF(AC2791=1,"",INDEX(DATAS,AA2790+1)),INDEX(DATAS,AA2790+1)),"")</f>
        <v/>
      </c>
    </row>
    <row r="2791" customFormat="false" ht="15" hidden="false" customHeight="false" outlineLevel="0" collapsed="false">
      <c r="A2791" s="51" t="n">
        <v>46309</v>
      </c>
      <c r="B2791" s="0" t="n">
        <v>13</v>
      </c>
      <c r="C2791" s="0" t="n">
        <v>7156</v>
      </c>
      <c r="E2791" s="0" t="n">
        <v>0</v>
      </c>
      <c r="F2791" s="46" t="s">
        <v>1396</v>
      </c>
      <c r="I2791" s="46" t="s">
        <v>179</v>
      </c>
      <c r="U2791" s="0" t="n">
        <v>326</v>
      </c>
      <c r="V2791" s="0" t="n">
        <v>0</v>
      </c>
      <c r="X2791" s="46" t="n">
        <f aca="false">IF(I2791="Male",0,1)</f>
        <v>1</v>
      </c>
      <c r="Y2791" s="46" t="n">
        <f aca="false">IF(OR(I2791="DNB",I2791="Dry DNB"),1,0)</f>
        <v>0</v>
      </c>
      <c r="Z2791" s="0" t="str">
        <f aca="false">IF(ISNUMBER(W2791),A2791-W2791,"")</f>
        <v/>
      </c>
      <c r="AA2791" s="46" t="n">
        <f aca="false">MATCH(A2791,DATAS,0)</f>
        <v>1</v>
      </c>
      <c r="AB2791" s="46" t="n">
        <f aca="false">IF(AND(E2791&gt;0,OR(AND(B2791&gt;=1,B2791&lt;=6),B2791=10)),1,0)</f>
        <v>0</v>
      </c>
      <c r="AC2791" s="46" t="n">
        <f aca="false">IF(AND(E2791&gt;0,B2791=10),1,0)</f>
        <v>0</v>
      </c>
      <c r="AD2791" s="0" t="str">
        <f aca="false">IF(AND(C2790=C2791,AA2790=AA2791-1),AB2790,"")</f>
        <v/>
      </c>
      <c r="AE2791" s="0" t="str">
        <f aca="false">IF(AND(C2790=C2791,AA2790=AA2791-1),AC2790,"")</f>
        <v/>
      </c>
      <c r="AF2791" s="0" t="str">
        <f aca="false">IF(AA2791=1,"",IF(AND(AB2791=1,AD2791&lt;&gt;1),1,0))</f>
        <v/>
      </c>
      <c r="AG2791" s="0" t="str">
        <f aca="false">IF(AA2791=1,"",IF(AND(AC2791=1,AE2791&lt;&gt;1),1,0))</f>
        <v/>
      </c>
      <c r="AH2791" s="51" t="str">
        <f aca="false">IF(AND(E2791&gt;0,AA2791&lt;1,NOT(AND(C2792=C2791,AA2792=AA2791+1))),INDEX(DATAS,AA2791+1),"")</f>
        <v/>
      </c>
      <c r="AI2791" s="51" t="str">
        <f aca="false">IF(AND(AC2791=1,AA2791&lt;1),IF(AND(C2792=C2791,AA2792=AA2791+1),IF(AC2792=1,"",INDEX(DATAS,AA2791+1)),INDEX(DATAS,AA2791+1)),"")</f>
        <v/>
      </c>
    </row>
    <row r="2792" customFormat="false" ht="15" hidden="false" customHeight="false" outlineLevel="0" collapsed="false">
      <c r="A2792" s="51" t="n">
        <v>46309</v>
      </c>
      <c r="B2792" s="0" t="n">
        <v>13</v>
      </c>
      <c r="C2792" s="0" t="n">
        <v>7157</v>
      </c>
      <c r="E2792" s="0" t="n">
        <v>0</v>
      </c>
      <c r="F2792" s="46" t="s">
        <v>1396</v>
      </c>
      <c r="I2792" s="46" t="s">
        <v>179</v>
      </c>
      <c r="U2792" s="0" t="n">
        <v>326</v>
      </c>
      <c r="V2792" s="0" t="n">
        <v>0</v>
      </c>
      <c r="X2792" s="46" t="n">
        <f aca="false">IF(I2792="Male",0,1)</f>
        <v>1</v>
      </c>
      <c r="Y2792" s="46" t="n">
        <f aca="false">IF(OR(I2792="DNB",I2792="Dry DNB"),1,0)</f>
        <v>0</v>
      </c>
      <c r="Z2792" s="0" t="str">
        <f aca="false">IF(ISNUMBER(W2792),A2792-W2792,"")</f>
        <v/>
      </c>
      <c r="AA2792" s="46" t="n">
        <f aca="false">MATCH(A2792,DATAS,0)</f>
        <v>1</v>
      </c>
      <c r="AB2792" s="46" t="n">
        <f aca="false">IF(AND(E2792&gt;0,OR(AND(B2792&gt;=1,B2792&lt;=6),B2792=10)),1,0)</f>
        <v>0</v>
      </c>
      <c r="AC2792" s="46" t="n">
        <f aca="false">IF(AND(E2792&gt;0,B2792=10),1,0)</f>
        <v>0</v>
      </c>
      <c r="AD2792" s="0" t="str">
        <f aca="false">IF(AND(C2791=C2792,AA2791=AA2792-1),AB2791,"")</f>
        <v/>
      </c>
      <c r="AE2792" s="0" t="str">
        <f aca="false">IF(AND(C2791=C2792,AA2791=AA2792-1),AC2791,"")</f>
        <v/>
      </c>
      <c r="AF2792" s="0" t="str">
        <f aca="false">IF(AA2792=1,"",IF(AND(AB2792=1,AD2792&lt;&gt;1),1,0))</f>
        <v/>
      </c>
      <c r="AG2792" s="0" t="str">
        <f aca="false">IF(AA2792=1,"",IF(AND(AC2792=1,AE2792&lt;&gt;1),1,0))</f>
        <v/>
      </c>
      <c r="AH2792" s="51" t="str">
        <f aca="false">IF(AND(E2792&gt;0,AA2792&lt;1,NOT(AND(C2793=C2792,AA2793=AA2792+1))),INDEX(DATAS,AA2792+1),"")</f>
        <v/>
      </c>
      <c r="AI2792" s="51" t="str">
        <f aca="false">IF(AND(AC2792=1,AA2792&lt;1),IF(AND(C2793=C2792,AA2793=AA2792+1),IF(AC2793=1,"",INDEX(DATAS,AA2792+1)),INDEX(DATAS,AA2792+1)),"")</f>
        <v/>
      </c>
    </row>
    <row r="2793" customFormat="false" ht="15" hidden="false" customHeight="false" outlineLevel="0" collapsed="false">
      <c r="A2793" s="51" t="n">
        <v>46309</v>
      </c>
      <c r="B2793" s="0" t="n">
        <v>13</v>
      </c>
      <c r="C2793" s="0" t="n">
        <v>7158</v>
      </c>
      <c r="E2793" s="0" t="n">
        <v>0</v>
      </c>
      <c r="F2793" s="46" t="s">
        <v>1122</v>
      </c>
      <c r="I2793" s="46" t="s">
        <v>179</v>
      </c>
      <c r="U2793" s="0" t="n">
        <v>325</v>
      </c>
      <c r="V2793" s="0" t="n">
        <v>0</v>
      </c>
      <c r="X2793" s="46" t="n">
        <f aca="false">IF(I2793="Male",0,1)</f>
        <v>1</v>
      </c>
      <c r="Y2793" s="46" t="n">
        <f aca="false">IF(OR(I2793="DNB",I2793="Dry DNB"),1,0)</f>
        <v>0</v>
      </c>
      <c r="Z2793" s="0" t="str">
        <f aca="false">IF(ISNUMBER(W2793),A2793-W2793,"")</f>
        <v/>
      </c>
      <c r="AA2793" s="46" t="n">
        <f aca="false">MATCH(A2793,DATAS,0)</f>
        <v>1</v>
      </c>
      <c r="AB2793" s="46" t="n">
        <f aca="false">IF(AND(E2793&gt;0,OR(AND(B2793&gt;=1,B2793&lt;=6),B2793=10)),1,0)</f>
        <v>0</v>
      </c>
      <c r="AC2793" s="46" t="n">
        <f aca="false">IF(AND(E2793&gt;0,B2793=10),1,0)</f>
        <v>0</v>
      </c>
      <c r="AD2793" s="0" t="str">
        <f aca="false">IF(AND(C2792=C2793,AA2792=AA2793-1),AB2792,"")</f>
        <v/>
      </c>
      <c r="AE2793" s="0" t="str">
        <f aca="false">IF(AND(C2792=C2793,AA2792=AA2793-1),AC2792,"")</f>
        <v/>
      </c>
      <c r="AF2793" s="0" t="str">
        <f aca="false">IF(AA2793=1,"",IF(AND(AB2793=1,AD2793&lt;&gt;1),1,0))</f>
        <v/>
      </c>
      <c r="AG2793" s="0" t="str">
        <f aca="false">IF(AA2793=1,"",IF(AND(AC2793=1,AE2793&lt;&gt;1),1,0))</f>
        <v/>
      </c>
      <c r="AH2793" s="51" t="str">
        <f aca="false">IF(AND(E2793&gt;0,AA2793&lt;1,NOT(AND(C2794=C2793,AA2794=AA2793+1))),INDEX(DATAS,AA2793+1),"")</f>
        <v/>
      </c>
      <c r="AI2793" s="51" t="str">
        <f aca="false">IF(AND(AC2793=1,AA2793&lt;1),IF(AND(C2794=C2793,AA2794=AA2793+1),IF(AC2794=1,"",INDEX(DATAS,AA2793+1)),INDEX(DATAS,AA2793+1)),"")</f>
        <v/>
      </c>
    </row>
    <row r="2794" customFormat="false" ht="15" hidden="false" customHeight="false" outlineLevel="0" collapsed="false">
      <c r="A2794" s="51" t="n">
        <v>46309</v>
      </c>
      <c r="B2794" s="0" t="n">
        <v>13</v>
      </c>
      <c r="C2794" s="0" t="n">
        <v>7159</v>
      </c>
      <c r="E2794" s="0" t="n">
        <v>0</v>
      </c>
      <c r="F2794" s="46" t="s">
        <v>1122</v>
      </c>
      <c r="I2794" s="46" t="s">
        <v>179</v>
      </c>
      <c r="U2794" s="0" t="n">
        <v>325</v>
      </c>
      <c r="V2794" s="0" t="n">
        <v>0</v>
      </c>
      <c r="X2794" s="46" t="n">
        <f aca="false">IF(I2794="Male",0,1)</f>
        <v>1</v>
      </c>
      <c r="Y2794" s="46" t="n">
        <f aca="false">IF(OR(I2794="DNB",I2794="Dry DNB"),1,0)</f>
        <v>0</v>
      </c>
      <c r="Z2794" s="0" t="str">
        <f aca="false">IF(ISNUMBER(W2794),A2794-W2794,"")</f>
        <v/>
      </c>
      <c r="AA2794" s="46" t="n">
        <f aca="false">MATCH(A2794,DATAS,0)</f>
        <v>1</v>
      </c>
      <c r="AB2794" s="46" t="n">
        <f aca="false">IF(AND(E2794&gt;0,OR(AND(B2794&gt;=1,B2794&lt;=6),B2794=10)),1,0)</f>
        <v>0</v>
      </c>
      <c r="AC2794" s="46" t="n">
        <f aca="false">IF(AND(E2794&gt;0,B2794=10),1,0)</f>
        <v>0</v>
      </c>
      <c r="AD2794" s="0" t="str">
        <f aca="false">IF(AND(C2793=C2794,AA2793=AA2794-1),AB2793,"")</f>
        <v/>
      </c>
      <c r="AE2794" s="0" t="str">
        <f aca="false">IF(AND(C2793=C2794,AA2793=AA2794-1),AC2793,"")</f>
        <v/>
      </c>
      <c r="AF2794" s="0" t="str">
        <f aca="false">IF(AA2794=1,"",IF(AND(AB2794=1,AD2794&lt;&gt;1),1,0))</f>
        <v/>
      </c>
      <c r="AG2794" s="0" t="str">
        <f aca="false">IF(AA2794=1,"",IF(AND(AC2794=1,AE2794&lt;&gt;1),1,0))</f>
        <v/>
      </c>
      <c r="AH2794" s="51" t="str">
        <f aca="false">IF(AND(E2794&gt;0,AA2794&lt;1,NOT(AND(C2795=C2794,AA2795=AA2794+1))),INDEX(DATAS,AA2794+1),"")</f>
        <v/>
      </c>
      <c r="AI2794" s="51" t="str">
        <f aca="false">IF(AND(AC2794=1,AA2794&lt;1),IF(AND(C2795=C2794,AA2795=AA2794+1),IF(AC2795=1,"",INDEX(DATAS,AA2794+1)),INDEX(DATAS,AA2794+1)),"")</f>
        <v/>
      </c>
    </row>
    <row r="2795" customFormat="false" ht="15" hidden="false" customHeight="false" outlineLevel="0" collapsed="false">
      <c r="A2795" s="51" t="n">
        <v>46309</v>
      </c>
      <c r="B2795" s="0" t="n">
        <v>13</v>
      </c>
      <c r="C2795" s="0" t="n">
        <v>7161</v>
      </c>
      <c r="E2795" s="0" t="n">
        <v>0</v>
      </c>
      <c r="F2795" s="46" t="s">
        <v>1122</v>
      </c>
      <c r="I2795" s="46" t="s">
        <v>179</v>
      </c>
      <c r="U2795" s="0" t="n">
        <v>325</v>
      </c>
      <c r="V2795" s="0" t="n">
        <v>0</v>
      </c>
      <c r="X2795" s="46" t="n">
        <f aca="false">IF(I2795="Male",0,1)</f>
        <v>1</v>
      </c>
      <c r="Y2795" s="46" t="n">
        <f aca="false">IF(OR(I2795="DNB",I2795="Dry DNB"),1,0)</f>
        <v>0</v>
      </c>
      <c r="Z2795" s="0" t="str">
        <f aca="false">IF(ISNUMBER(W2795),A2795-W2795,"")</f>
        <v/>
      </c>
      <c r="AA2795" s="46" t="n">
        <f aca="false">MATCH(A2795,DATAS,0)</f>
        <v>1</v>
      </c>
      <c r="AB2795" s="46" t="n">
        <f aca="false">IF(AND(E2795&gt;0,OR(AND(B2795&gt;=1,B2795&lt;=6),B2795=10)),1,0)</f>
        <v>0</v>
      </c>
      <c r="AC2795" s="46" t="n">
        <f aca="false">IF(AND(E2795&gt;0,B2795=10),1,0)</f>
        <v>0</v>
      </c>
      <c r="AD2795" s="0" t="str">
        <f aca="false">IF(AND(C2794=C2795,AA2794=AA2795-1),AB2794,"")</f>
        <v/>
      </c>
      <c r="AE2795" s="0" t="str">
        <f aca="false">IF(AND(C2794=C2795,AA2794=AA2795-1),AC2794,"")</f>
        <v/>
      </c>
      <c r="AF2795" s="0" t="str">
        <f aca="false">IF(AA2795=1,"",IF(AND(AB2795=1,AD2795&lt;&gt;1),1,0))</f>
        <v/>
      </c>
      <c r="AG2795" s="0" t="str">
        <f aca="false">IF(AA2795=1,"",IF(AND(AC2795=1,AE2795&lt;&gt;1),1,0))</f>
        <v/>
      </c>
      <c r="AH2795" s="51" t="str">
        <f aca="false">IF(AND(E2795&gt;0,AA2795&lt;1,NOT(AND(C2796=C2795,AA2796=AA2795+1))),INDEX(DATAS,AA2795+1),"")</f>
        <v/>
      </c>
      <c r="AI2795" s="51" t="str">
        <f aca="false">IF(AND(AC2795=1,AA2795&lt;1),IF(AND(C2796=C2795,AA2796=AA2795+1),IF(AC2796=1,"",INDEX(DATAS,AA2795+1)),INDEX(DATAS,AA2795+1)),"")</f>
        <v/>
      </c>
    </row>
    <row r="2796" customFormat="false" ht="15" hidden="false" customHeight="false" outlineLevel="0" collapsed="false">
      <c r="A2796" s="51" t="n">
        <v>46309</v>
      </c>
      <c r="B2796" s="0" t="n">
        <v>13</v>
      </c>
      <c r="C2796" s="0" t="n">
        <v>7163</v>
      </c>
      <c r="E2796" s="0" t="n">
        <v>0</v>
      </c>
      <c r="F2796" s="46" t="s">
        <v>1397</v>
      </c>
      <c r="I2796" s="46" t="s">
        <v>179</v>
      </c>
      <c r="U2796" s="0" t="n">
        <v>324</v>
      </c>
      <c r="V2796" s="0" t="n">
        <v>0</v>
      </c>
      <c r="X2796" s="46" t="n">
        <f aca="false">IF(I2796="Male",0,1)</f>
        <v>1</v>
      </c>
      <c r="Y2796" s="46" t="n">
        <f aca="false">IF(OR(I2796="DNB",I2796="Dry DNB"),1,0)</f>
        <v>0</v>
      </c>
      <c r="Z2796" s="0" t="str">
        <f aca="false">IF(ISNUMBER(W2796),A2796-W2796,"")</f>
        <v/>
      </c>
      <c r="AA2796" s="46" t="n">
        <f aca="false">MATCH(A2796,DATAS,0)</f>
        <v>1</v>
      </c>
      <c r="AB2796" s="46" t="n">
        <f aca="false">IF(AND(E2796&gt;0,OR(AND(B2796&gt;=1,B2796&lt;=6),B2796=10)),1,0)</f>
        <v>0</v>
      </c>
      <c r="AC2796" s="46" t="n">
        <f aca="false">IF(AND(E2796&gt;0,B2796=10),1,0)</f>
        <v>0</v>
      </c>
      <c r="AD2796" s="0" t="str">
        <f aca="false">IF(AND(C2795=C2796,AA2795=AA2796-1),AB2795,"")</f>
        <v/>
      </c>
      <c r="AE2796" s="0" t="str">
        <f aca="false">IF(AND(C2795=C2796,AA2795=AA2796-1),AC2795,"")</f>
        <v/>
      </c>
      <c r="AF2796" s="0" t="str">
        <f aca="false">IF(AA2796=1,"",IF(AND(AB2796=1,AD2796&lt;&gt;1),1,0))</f>
        <v/>
      </c>
      <c r="AG2796" s="0" t="str">
        <f aca="false">IF(AA2796=1,"",IF(AND(AC2796=1,AE2796&lt;&gt;1),1,0))</f>
        <v/>
      </c>
      <c r="AH2796" s="51" t="str">
        <f aca="false">IF(AND(E2796&gt;0,AA2796&lt;1,NOT(AND(C2797=C2796,AA2797=AA2796+1))),INDEX(DATAS,AA2796+1),"")</f>
        <v/>
      </c>
      <c r="AI2796" s="51" t="str">
        <f aca="false">IF(AND(AC2796=1,AA2796&lt;1),IF(AND(C2797=C2796,AA2797=AA2796+1),IF(AC2797=1,"",INDEX(DATAS,AA2796+1)),INDEX(DATAS,AA2796+1)),"")</f>
        <v/>
      </c>
    </row>
    <row r="2797" customFormat="false" ht="15" hidden="false" customHeight="false" outlineLevel="0" collapsed="false">
      <c r="A2797" s="51" t="n">
        <v>46309</v>
      </c>
      <c r="B2797" s="0" t="n">
        <v>13</v>
      </c>
      <c r="C2797" s="0" t="n">
        <v>7165</v>
      </c>
      <c r="E2797" s="0" t="n">
        <v>0</v>
      </c>
      <c r="F2797" s="46" t="s">
        <v>1398</v>
      </c>
      <c r="I2797" s="46" t="s">
        <v>179</v>
      </c>
      <c r="U2797" s="0" t="n">
        <v>323</v>
      </c>
      <c r="V2797" s="0" t="n">
        <v>0</v>
      </c>
      <c r="X2797" s="46" t="n">
        <f aca="false">IF(I2797="Male",0,1)</f>
        <v>1</v>
      </c>
      <c r="Y2797" s="46" t="n">
        <f aca="false">IF(OR(I2797="DNB",I2797="Dry DNB"),1,0)</f>
        <v>0</v>
      </c>
      <c r="Z2797" s="0" t="str">
        <f aca="false">IF(ISNUMBER(W2797),A2797-W2797,"")</f>
        <v/>
      </c>
      <c r="AA2797" s="46" t="n">
        <f aca="false">MATCH(A2797,DATAS,0)</f>
        <v>1</v>
      </c>
      <c r="AB2797" s="46" t="n">
        <f aca="false">IF(AND(E2797&gt;0,OR(AND(B2797&gt;=1,B2797&lt;=6),B2797=10)),1,0)</f>
        <v>0</v>
      </c>
      <c r="AC2797" s="46" t="n">
        <f aca="false">IF(AND(E2797&gt;0,B2797=10),1,0)</f>
        <v>0</v>
      </c>
      <c r="AD2797" s="0" t="str">
        <f aca="false">IF(AND(C2796=C2797,AA2796=AA2797-1),AB2796,"")</f>
        <v/>
      </c>
      <c r="AE2797" s="0" t="str">
        <f aca="false">IF(AND(C2796=C2797,AA2796=AA2797-1),AC2796,"")</f>
        <v/>
      </c>
      <c r="AF2797" s="0" t="str">
        <f aca="false">IF(AA2797=1,"",IF(AND(AB2797=1,AD2797&lt;&gt;1),1,0))</f>
        <v/>
      </c>
      <c r="AG2797" s="0" t="str">
        <f aca="false">IF(AA2797=1,"",IF(AND(AC2797=1,AE2797&lt;&gt;1),1,0))</f>
        <v/>
      </c>
      <c r="AH2797" s="51" t="str">
        <f aca="false">IF(AND(E2797&gt;0,AA2797&lt;1,NOT(AND(C2798=C2797,AA2798=AA2797+1))),INDEX(DATAS,AA2797+1),"")</f>
        <v/>
      </c>
      <c r="AI2797" s="51" t="str">
        <f aca="false">IF(AND(AC2797=1,AA2797&lt;1),IF(AND(C2798=C2797,AA2798=AA2797+1),IF(AC2798=1,"",INDEX(DATAS,AA2797+1)),INDEX(DATAS,AA2797+1)),"")</f>
        <v/>
      </c>
    </row>
    <row r="2798" customFormat="false" ht="15" hidden="false" customHeight="false" outlineLevel="0" collapsed="false">
      <c r="A2798" s="51" t="n">
        <v>46309</v>
      </c>
      <c r="B2798" s="0" t="n">
        <v>13</v>
      </c>
      <c r="C2798" s="0" t="n">
        <v>7166</v>
      </c>
      <c r="E2798" s="0" t="n">
        <v>0</v>
      </c>
      <c r="F2798" s="46" t="s">
        <v>1398</v>
      </c>
      <c r="I2798" s="46" t="s">
        <v>179</v>
      </c>
      <c r="U2798" s="0" t="n">
        <v>323</v>
      </c>
      <c r="V2798" s="0" t="n">
        <v>0</v>
      </c>
      <c r="X2798" s="46" t="n">
        <f aca="false">IF(I2798="Male",0,1)</f>
        <v>1</v>
      </c>
      <c r="Y2798" s="46" t="n">
        <f aca="false">IF(OR(I2798="DNB",I2798="Dry DNB"),1,0)</f>
        <v>0</v>
      </c>
      <c r="Z2798" s="0" t="str">
        <f aca="false">IF(ISNUMBER(W2798),A2798-W2798,"")</f>
        <v/>
      </c>
      <c r="AA2798" s="46" t="n">
        <f aca="false">MATCH(A2798,DATAS,0)</f>
        <v>1</v>
      </c>
      <c r="AB2798" s="46" t="n">
        <f aca="false">IF(AND(E2798&gt;0,OR(AND(B2798&gt;=1,B2798&lt;=6),B2798=10)),1,0)</f>
        <v>0</v>
      </c>
      <c r="AC2798" s="46" t="n">
        <f aca="false">IF(AND(E2798&gt;0,B2798=10),1,0)</f>
        <v>0</v>
      </c>
      <c r="AD2798" s="0" t="str">
        <f aca="false">IF(AND(C2797=C2798,AA2797=AA2798-1),AB2797,"")</f>
        <v/>
      </c>
      <c r="AE2798" s="0" t="str">
        <f aca="false">IF(AND(C2797=C2798,AA2797=AA2798-1),AC2797,"")</f>
        <v/>
      </c>
      <c r="AF2798" s="0" t="str">
        <f aca="false">IF(AA2798=1,"",IF(AND(AB2798=1,AD2798&lt;&gt;1),1,0))</f>
        <v/>
      </c>
      <c r="AG2798" s="0" t="str">
        <f aca="false">IF(AA2798=1,"",IF(AND(AC2798=1,AE2798&lt;&gt;1),1,0))</f>
        <v/>
      </c>
      <c r="AH2798" s="51" t="str">
        <f aca="false">IF(AND(E2798&gt;0,AA2798&lt;1,NOT(AND(C2799=C2798,AA2799=AA2798+1))),INDEX(DATAS,AA2798+1),"")</f>
        <v/>
      </c>
      <c r="AI2798" s="51" t="str">
        <f aca="false">IF(AND(AC2798=1,AA2798&lt;1),IF(AND(C2799=C2798,AA2799=AA2798+1),IF(AC2799=1,"",INDEX(DATAS,AA2798+1)),INDEX(DATAS,AA2798+1)),"")</f>
        <v/>
      </c>
    </row>
    <row r="2799" customFormat="false" ht="15" hidden="false" customHeight="false" outlineLevel="0" collapsed="false">
      <c r="A2799" s="51" t="n">
        <v>46309</v>
      </c>
      <c r="B2799" s="0" t="n">
        <v>13</v>
      </c>
      <c r="C2799" s="0" t="n">
        <v>7167</v>
      </c>
      <c r="E2799" s="0" t="n">
        <v>0</v>
      </c>
      <c r="F2799" s="46" t="s">
        <v>1398</v>
      </c>
      <c r="I2799" s="46" t="s">
        <v>179</v>
      </c>
      <c r="U2799" s="0" t="n">
        <v>323</v>
      </c>
      <c r="V2799" s="0" t="n">
        <v>0</v>
      </c>
      <c r="X2799" s="46" t="n">
        <f aca="false">IF(I2799="Male",0,1)</f>
        <v>1</v>
      </c>
      <c r="Y2799" s="46" t="n">
        <f aca="false">IF(OR(I2799="DNB",I2799="Dry DNB"),1,0)</f>
        <v>0</v>
      </c>
      <c r="Z2799" s="0" t="str">
        <f aca="false">IF(ISNUMBER(W2799),A2799-W2799,"")</f>
        <v/>
      </c>
      <c r="AA2799" s="46" t="n">
        <f aca="false">MATCH(A2799,DATAS,0)</f>
        <v>1</v>
      </c>
      <c r="AB2799" s="46" t="n">
        <f aca="false">IF(AND(E2799&gt;0,OR(AND(B2799&gt;=1,B2799&lt;=6),B2799=10)),1,0)</f>
        <v>0</v>
      </c>
      <c r="AC2799" s="46" t="n">
        <f aca="false">IF(AND(E2799&gt;0,B2799=10),1,0)</f>
        <v>0</v>
      </c>
      <c r="AD2799" s="0" t="str">
        <f aca="false">IF(AND(C2798=C2799,AA2798=AA2799-1),AB2798,"")</f>
        <v/>
      </c>
      <c r="AE2799" s="0" t="str">
        <f aca="false">IF(AND(C2798=C2799,AA2798=AA2799-1),AC2798,"")</f>
        <v/>
      </c>
      <c r="AF2799" s="0" t="str">
        <f aca="false">IF(AA2799=1,"",IF(AND(AB2799=1,AD2799&lt;&gt;1),1,0))</f>
        <v/>
      </c>
      <c r="AG2799" s="0" t="str">
        <f aca="false">IF(AA2799=1,"",IF(AND(AC2799=1,AE2799&lt;&gt;1),1,0))</f>
        <v/>
      </c>
      <c r="AH2799" s="51" t="str">
        <f aca="false">IF(AND(E2799&gt;0,AA2799&lt;1,NOT(AND(C2800=C2799,AA2800=AA2799+1))),INDEX(DATAS,AA2799+1),"")</f>
        <v/>
      </c>
      <c r="AI2799" s="51" t="str">
        <f aca="false">IF(AND(AC2799=1,AA2799&lt;1),IF(AND(C2800=C2799,AA2800=AA2799+1),IF(AC2800=1,"",INDEX(DATAS,AA2799+1)),INDEX(DATAS,AA2799+1)),"")</f>
        <v/>
      </c>
    </row>
    <row r="2800" customFormat="false" ht="15" hidden="false" customHeight="false" outlineLevel="0" collapsed="false">
      <c r="A2800" s="51" t="n">
        <v>46309</v>
      </c>
      <c r="B2800" s="0" t="n">
        <v>13</v>
      </c>
      <c r="C2800" s="0" t="n">
        <v>7168</v>
      </c>
      <c r="E2800" s="0" t="n">
        <v>0</v>
      </c>
      <c r="F2800" s="46" t="s">
        <v>1398</v>
      </c>
      <c r="I2800" s="46" t="s">
        <v>179</v>
      </c>
      <c r="U2800" s="0" t="n">
        <v>323</v>
      </c>
      <c r="V2800" s="0" t="n">
        <v>0</v>
      </c>
      <c r="X2800" s="46" t="n">
        <f aca="false">IF(I2800="Male",0,1)</f>
        <v>1</v>
      </c>
      <c r="Y2800" s="46" t="n">
        <f aca="false">IF(OR(I2800="DNB",I2800="Dry DNB"),1,0)</f>
        <v>0</v>
      </c>
      <c r="Z2800" s="0" t="str">
        <f aca="false">IF(ISNUMBER(W2800),A2800-W2800,"")</f>
        <v/>
      </c>
      <c r="AA2800" s="46" t="n">
        <f aca="false">MATCH(A2800,DATAS,0)</f>
        <v>1</v>
      </c>
      <c r="AB2800" s="46" t="n">
        <f aca="false">IF(AND(E2800&gt;0,OR(AND(B2800&gt;=1,B2800&lt;=6),B2800=10)),1,0)</f>
        <v>0</v>
      </c>
      <c r="AC2800" s="46" t="n">
        <f aca="false">IF(AND(E2800&gt;0,B2800=10),1,0)</f>
        <v>0</v>
      </c>
      <c r="AD2800" s="0" t="str">
        <f aca="false">IF(AND(C2799=C2800,AA2799=AA2800-1),AB2799,"")</f>
        <v/>
      </c>
      <c r="AE2800" s="0" t="str">
        <f aca="false">IF(AND(C2799=C2800,AA2799=AA2800-1),AC2799,"")</f>
        <v/>
      </c>
      <c r="AF2800" s="0" t="str">
        <f aca="false">IF(AA2800=1,"",IF(AND(AB2800=1,AD2800&lt;&gt;1),1,0))</f>
        <v/>
      </c>
      <c r="AG2800" s="0" t="str">
        <f aca="false">IF(AA2800=1,"",IF(AND(AC2800=1,AE2800&lt;&gt;1),1,0))</f>
        <v/>
      </c>
      <c r="AH2800" s="51" t="str">
        <f aca="false">IF(AND(E2800&gt;0,AA2800&lt;1,NOT(AND(C2801=C2800,AA2801=AA2800+1))),INDEX(DATAS,AA2800+1),"")</f>
        <v/>
      </c>
      <c r="AI2800" s="51" t="str">
        <f aca="false">IF(AND(AC2800=1,AA2800&lt;1),IF(AND(C2801=C2800,AA2801=AA2800+1),IF(AC2801=1,"",INDEX(DATAS,AA2800+1)),INDEX(DATAS,AA2800+1)),"")</f>
        <v/>
      </c>
    </row>
    <row r="2801" customFormat="false" ht="15" hidden="false" customHeight="false" outlineLevel="0" collapsed="false">
      <c r="A2801" s="51" t="n">
        <v>46309</v>
      </c>
      <c r="B2801" s="0" t="n">
        <v>13</v>
      </c>
      <c r="C2801" s="0" t="n">
        <v>7169</v>
      </c>
      <c r="E2801" s="0" t="n">
        <v>0</v>
      </c>
      <c r="F2801" s="46" t="s">
        <v>1399</v>
      </c>
      <c r="I2801" s="46" t="s">
        <v>179</v>
      </c>
      <c r="U2801" s="0" t="n">
        <v>321</v>
      </c>
      <c r="V2801" s="0" t="n">
        <v>0</v>
      </c>
      <c r="X2801" s="46" t="n">
        <f aca="false">IF(I2801="Male",0,1)</f>
        <v>1</v>
      </c>
      <c r="Y2801" s="46" t="n">
        <f aca="false">IF(OR(I2801="DNB",I2801="Dry DNB"),1,0)</f>
        <v>0</v>
      </c>
      <c r="Z2801" s="0" t="str">
        <f aca="false">IF(ISNUMBER(W2801),A2801-W2801,"")</f>
        <v/>
      </c>
      <c r="AA2801" s="46" t="n">
        <f aca="false">MATCH(A2801,DATAS,0)</f>
        <v>1</v>
      </c>
      <c r="AB2801" s="46" t="n">
        <f aca="false">IF(AND(E2801&gt;0,OR(AND(B2801&gt;=1,B2801&lt;=6),B2801=10)),1,0)</f>
        <v>0</v>
      </c>
      <c r="AC2801" s="46" t="n">
        <f aca="false">IF(AND(E2801&gt;0,B2801=10),1,0)</f>
        <v>0</v>
      </c>
      <c r="AD2801" s="0" t="str">
        <f aca="false">IF(AND(C2800=C2801,AA2800=AA2801-1),AB2800,"")</f>
        <v/>
      </c>
      <c r="AE2801" s="0" t="str">
        <f aca="false">IF(AND(C2800=C2801,AA2800=AA2801-1),AC2800,"")</f>
        <v/>
      </c>
      <c r="AF2801" s="0" t="str">
        <f aca="false">IF(AA2801=1,"",IF(AND(AB2801=1,AD2801&lt;&gt;1),1,0))</f>
        <v/>
      </c>
      <c r="AG2801" s="0" t="str">
        <f aca="false">IF(AA2801=1,"",IF(AND(AC2801=1,AE2801&lt;&gt;1),1,0))</f>
        <v/>
      </c>
      <c r="AH2801" s="51" t="str">
        <f aca="false">IF(AND(E2801&gt;0,AA2801&lt;1,NOT(AND(C2802=C2801,AA2802=AA2801+1))),INDEX(DATAS,AA2801+1),"")</f>
        <v/>
      </c>
      <c r="AI2801" s="51" t="str">
        <f aca="false">IF(AND(AC2801=1,AA2801&lt;1),IF(AND(C2802=C2801,AA2802=AA2801+1),IF(AC2802=1,"",INDEX(DATAS,AA2801+1)),INDEX(DATAS,AA2801+1)),"")</f>
        <v/>
      </c>
    </row>
    <row r="2802" customFormat="false" ht="15" hidden="false" customHeight="false" outlineLevel="0" collapsed="false">
      <c r="A2802" s="51" t="n">
        <v>46309</v>
      </c>
      <c r="B2802" s="0" t="n">
        <v>13</v>
      </c>
      <c r="C2802" s="0" t="n">
        <v>7170</v>
      </c>
      <c r="E2802" s="0" t="n">
        <v>0</v>
      </c>
      <c r="F2802" s="46" t="s">
        <v>1400</v>
      </c>
      <c r="I2802" s="46" t="s">
        <v>179</v>
      </c>
      <c r="U2802" s="0" t="n">
        <v>322</v>
      </c>
      <c r="V2802" s="0" t="n">
        <v>0</v>
      </c>
      <c r="X2802" s="46" t="n">
        <f aca="false">IF(I2802="Male",0,1)</f>
        <v>1</v>
      </c>
      <c r="Y2802" s="46" t="n">
        <f aca="false">IF(OR(I2802="DNB",I2802="Dry DNB"),1,0)</f>
        <v>0</v>
      </c>
      <c r="Z2802" s="0" t="str">
        <f aca="false">IF(ISNUMBER(W2802),A2802-W2802,"")</f>
        <v/>
      </c>
      <c r="AA2802" s="46" t="n">
        <f aca="false">MATCH(A2802,DATAS,0)</f>
        <v>1</v>
      </c>
      <c r="AB2802" s="46" t="n">
        <f aca="false">IF(AND(E2802&gt;0,OR(AND(B2802&gt;=1,B2802&lt;=6),B2802=10)),1,0)</f>
        <v>0</v>
      </c>
      <c r="AC2802" s="46" t="n">
        <f aca="false">IF(AND(E2802&gt;0,B2802=10),1,0)</f>
        <v>0</v>
      </c>
      <c r="AD2802" s="0" t="str">
        <f aca="false">IF(AND(C2801=C2802,AA2801=AA2802-1),AB2801,"")</f>
        <v/>
      </c>
      <c r="AE2802" s="0" t="str">
        <f aca="false">IF(AND(C2801=C2802,AA2801=AA2802-1),AC2801,"")</f>
        <v/>
      </c>
      <c r="AF2802" s="0" t="str">
        <f aca="false">IF(AA2802=1,"",IF(AND(AB2802=1,AD2802&lt;&gt;1),1,0))</f>
        <v/>
      </c>
      <c r="AG2802" s="0" t="str">
        <f aca="false">IF(AA2802=1,"",IF(AND(AC2802=1,AE2802&lt;&gt;1),1,0))</f>
        <v/>
      </c>
      <c r="AH2802" s="51" t="str">
        <f aca="false">IF(AND(E2802&gt;0,AA2802&lt;1,NOT(AND(C2803=C2802,AA2803=AA2802+1))),INDEX(DATAS,AA2802+1),"")</f>
        <v/>
      </c>
      <c r="AI2802" s="51" t="str">
        <f aca="false">IF(AND(AC2802=1,AA2802&lt;1),IF(AND(C2803=C2802,AA2803=AA2802+1),IF(AC2803=1,"",INDEX(DATAS,AA2802+1)),INDEX(DATAS,AA2802+1)),"")</f>
        <v/>
      </c>
    </row>
    <row r="2803" customFormat="false" ht="15" hidden="false" customHeight="false" outlineLevel="0" collapsed="false">
      <c r="A2803" s="51" t="n">
        <v>46309</v>
      </c>
      <c r="B2803" s="0" t="n">
        <v>13</v>
      </c>
      <c r="C2803" s="0" t="n">
        <v>7171</v>
      </c>
      <c r="E2803" s="0" t="n">
        <v>0</v>
      </c>
      <c r="F2803" s="46" t="s">
        <v>1400</v>
      </c>
      <c r="I2803" s="46" t="s">
        <v>179</v>
      </c>
      <c r="U2803" s="0" t="n">
        <v>322</v>
      </c>
      <c r="V2803" s="0" t="n">
        <v>0</v>
      </c>
      <c r="X2803" s="46" t="n">
        <f aca="false">IF(I2803="Male",0,1)</f>
        <v>1</v>
      </c>
      <c r="Y2803" s="46" t="n">
        <f aca="false">IF(OR(I2803="DNB",I2803="Dry DNB"),1,0)</f>
        <v>0</v>
      </c>
      <c r="Z2803" s="0" t="str">
        <f aca="false">IF(ISNUMBER(W2803),A2803-W2803,"")</f>
        <v/>
      </c>
      <c r="AA2803" s="46" t="n">
        <f aca="false">MATCH(A2803,DATAS,0)</f>
        <v>1</v>
      </c>
      <c r="AB2803" s="46" t="n">
        <f aca="false">IF(AND(E2803&gt;0,OR(AND(B2803&gt;=1,B2803&lt;=6),B2803=10)),1,0)</f>
        <v>0</v>
      </c>
      <c r="AC2803" s="46" t="n">
        <f aca="false">IF(AND(E2803&gt;0,B2803=10),1,0)</f>
        <v>0</v>
      </c>
      <c r="AD2803" s="0" t="str">
        <f aca="false">IF(AND(C2802=C2803,AA2802=AA2803-1),AB2802,"")</f>
        <v/>
      </c>
      <c r="AE2803" s="0" t="str">
        <f aca="false">IF(AND(C2802=C2803,AA2802=AA2803-1),AC2802,"")</f>
        <v/>
      </c>
      <c r="AF2803" s="0" t="str">
        <f aca="false">IF(AA2803=1,"",IF(AND(AB2803=1,AD2803&lt;&gt;1),1,0))</f>
        <v/>
      </c>
      <c r="AG2803" s="0" t="str">
        <f aca="false">IF(AA2803=1,"",IF(AND(AC2803=1,AE2803&lt;&gt;1),1,0))</f>
        <v/>
      </c>
      <c r="AH2803" s="51" t="str">
        <f aca="false">IF(AND(E2803&gt;0,AA2803&lt;1,NOT(AND(C2804=C2803,AA2804=AA2803+1))),INDEX(DATAS,AA2803+1),"")</f>
        <v/>
      </c>
      <c r="AI2803" s="51" t="str">
        <f aca="false">IF(AND(AC2803=1,AA2803&lt;1),IF(AND(C2804=C2803,AA2804=AA2803+1),IF(AC2804=1,"",INDEX(DATAS,AA2803+1)),INDEX(DATAS,AA2803+1)),"")</f>
        <v/>
      </c>
    </row>
    <row r="2804" customFormat="false" ht="15" hidden="false" customHeight="false" outlineLevel="0" collapsed="false">
      <c r="A2804" s="51" t="n">
        <v>46309</v>
      </c>
      <c r="B2804" s="0" t="n">
        <v>13</v>
      </c>
      <c r="C2804" s="0" t="n">
        <v>7172</v>
      </c>
      <c r="E2804" s="0" t="n">
        <v>0</v>
      </c>
      <c r="F2804" s="46" t="s">
        <v>1399</v>
      </c>
      <c r="I2804" s="46" t="s">
        <v>179</v>
      </c>
      <c r="U2804" s="0" t="n">
        <v>321</v>
      </c>
      <c r="V2804" s="0" t="n">
        <v>0</v>
      </c>
      <c r="X2804" s="46" t="n">
        <f aca="false">IF(I2804="Male",0,1)</f>
        <v>1</v>
      </c>
      <c r="Y2804" s="46" t="n">
        <f aca="false">IF(OR(I2804="DNB",I2804="Dry DNB"),1,0)</f>
        <v>0</v>
      </c>
      <c r="Z2804" s="0" t="str">
        <f aca="false">IF(ISNUMBER(W2804),A2804-W2804,"")</f>
        <v/>
      </c>
      <c r="AA2804" s="46" t="n">
        <f aca="false">MATCH(A2804,DATAS,0)</f>
        <v>1</v>
      </c>
      <c r="AB2804" s="46" t="n">
        <f aca="false">IF(AND(E2804&gt;0,OR(AND(B2804&gt;=1,B2804&lt;=6),B2804=10)),1,0)</f>
        <v>0</v>
      </c>
      <c r="AC2804" s="46" t="n">
        <f aca="false">IF(AND(E2804&gt;0,B2804=10),1,0)</f>
        <v>0</v>
      </c>
      <c r="AD2804" s="0" t="str">
        <f aca="false">IF(AND(C2803=C2804,AA2803=AA2804-1),AB2803,"")</f>
        <v/>
      </c>
      <c r="AE2804" s="0" t="str">
        <f aca="false">IF(AND(C2803=C2804,AA2803=AA2804-1),AC2803,"")</f>
        <v/>
      </c>
      <c r="AF2804" s="0" t="str">
        <f aca="false">IF(AA2804=1,"",IF(AND(AB2804=1,AD2804&lt;&gt;1),1,0))</f>
        <v/>
      </c>
      <c r="AG2804" s="0" t="str">
        <f aca="false">IF(AA2804=1,"",IF(AND(AC2804=1,AE2804&lt;&gt;1),1,0))</f>
        <v/>
      </c>
      <c r="AH2804" s="51" t="str">
        <f aca="false">IF(AND(E2804&gt;0,AA2804&lt;1,NOT(AND(C2805=C2804,AA2805=AA2804+1))),INDEX(DATAS,AA2804+1),"")</f>
        <v/>
      </c>
      <c r="AI2804" s="51" t="str">
        <f aca="false">IF(AND(AC2804=1,AA2804&lt;1),IF(AND(C2805=C2804,AA2805=AA2804+1),IF(AC2805=1,"",INDEX(DATAS,AA2804+1)),INDEX(DATAS,AA2804+1)),"")</f>
        <v/>
      </c>
    </row>
    <row r="2805" customFormat="false" ht="15" hidden="false" customHeight="false" outlineLevel="0" collapsed="false">
      <c r="A2805" s="51" t="n">
        <v>46309</v>
      </c>
      <c r="B2805" s="0" t="n">
        <v>13</v>
      </c>
      <c r="C2805" s="0" t="n">
        <v>7174</v>
      </c>
      <c r="E2805" s="0" t="n">
        <v>0</v>
      </c>
      <c r="F2805" s="46" t="s">
        <v>1401</v>
      </c>
      <c r="I2805" s="46" t="s">
        <v>179</v>
      </c>
      <c r="U2805" s="0" t="n">
        <v>320</v>
      </c>
      <c r="V2805" s="0" t="n">
        <v>0</v>
      </c>
      <c r="X2805" s="46" t="n">
        <f aca="false">IF(I2805="Male",0,1)</f>
        <v>1</v>
      </c>
      <c r="Y2805" s="46" t="n">
        <f aca="false">IF(OR(I2805="DNB",I2805="Dry DNB"),1,0)</f>
        <v>0</v>
      </c>
      <c r="Z2805" s="0" t="str">
        <f aca="false">IF(ISNUMBER(W2805),A2805-W2805,"")</f>
        <v/>
      </c>
      <c r="AA2805" s="46" t="n">
        <f aca="false">MATCH(A2805,DATAS,0)</f>
        <v>1</v>
      </c>
      <c r="AB2805" s="46" t="n">
        <f aca="false">IF(AND(E2805&gt;0,OR(AND(B2805&gt;=1,B2805&lt;=6),B2805=10)),1,0)</f>
        <v>0</v>
      </c>
      <c r="AC2805" s="46" t="n">
        <f aca="false">IF(AND(E2805&gt;0,B2805=10),1,0)</f>
        <v>0</v>
      </c>
      <c r="AD2805" s="0" t="str">
        <f aca="false">IF(AND(C2804=C2805,AA2804=AA2805-1),AB2804,"")</f>
        <v/>
      </c>
      <c r="AE2805" s="0" t="str">
        <f aca="false">IF(AND(C2804=C2805,AA2804=AA2805-1),AC2804,"")</f>
        <v/>
      </c>
      <c r="AF2805" s="0" t="str">
        <f aca="false">IF(AA2805=1,"",IF(AND(AB2805=1,AD2805&lt;&gt;1),1,0))</f>
        <v/>
      </c>
      <c r="AG2805" s="0" t="str">
        <f aca="false">IF(AA2805=1,"",IF(AND(AC2805=1,AE2805&lt;&gt;1),1,0))</f>
        <v/>
      </c>
      <c r="AH2805" s="51" t="str">
        <f aca="false">IF(AND(E2805&gt;0,AA2805&lt;1,NOT(AND(C2806=C2805,AA2806=AA2805+1))),INDEX(DATAS,AA2805+1),"")</f>
        <v/>
      </c>
      <c r="AI2805" s="51" t="str">
        <f aca="false">IF(AND(AC2805=1,AA2805&lt;1),IF(AND(C2806=C2805,AA2806=AA2805+1),IF(AC2806=1,"",INDEX(DATAS,AA2805+1)),INDEX(DATAS,AA2805+1)),"")</f>
        <v/>
      </c>
    </row>
    <row r="2806" customFormat="false" ht="15" hidden="false" customHeight="false" outlineLevel="0" collapsed="false">
      <c r="A2806" s="51" t="n">
        <v>46309</v>
      </c>
      <c r="B2806" s="0" t="n">
        <v>13</v>
      </c>
      <c r="C2806" s="0" t="n">
        <v>7175</v>
      </c>
      <c r="E2806" s="0" t="n">
        <v>0</v>
      </c>
      <c r="F2806" s="46" t="s">
        <v>1401</v>
      </c>
      <c r="I2806" s="46" t="s">
        <v>179</v>
      </c>
      <c r="U2806" s="0" t="n">
        <v>320</v>
      </c>
      <c r="V2806" s="0" t="n">
        <v>0</v>
      </c>
      <c r="X2806" s="46" t="n">
        <f aca="false">IF(I2806="Male",0,1)</f>
        <v>1</v>
      </c>
      <c r="Y2806" s="46" t="n">
        <f aca="false">IF(OR(I2806="DNB",I2806="Dry DNB"),1,0)</f>
        <v>0</v>
      </c>
      <c r="Z2806" s="0" t="str">
        <f aca="false">IF(ISNUMBER(W2806),A2806-W2806,"")</f>
        <v/>
      </c>
      <c r="AA2806" s="46" t="n">
        <f aca="false">MATCH(A2806,DATAS,0)</f>
        <v>1</v>
      </c>
      <c r="AB2806" s="46" t="n">
        <f aca="false">IF(AND(E2806&gt;0,OR(AND(B2806&gt;=1,B2806&lt;=6),B2806=10)),1,0)</f>
        <v>0</v>
      </c>
      <c r="AC2806" s="46" t="n">
        <f aca="false">IF(AND(E2806&gt;0,B2806=10),1,0)</f>
        <v>0</v>
      </c>
      <c r="AD2806" s="0" t="str">
        <f aca="false">IF(AND(C2805=C2806,AA2805=AA2806-1),AB2805,"")</f>
        <v/>
      </c>
      <c r="AE2806" s="0" t="str">
        <f aca="false">IF(AND(C2805=C2806,AA2805=AA2806-1),AC2805,"")</f>
        <v/>
      </c>
      <c r="AF2806" s="0" t="str">
        <f aca="false">IF(AA2806=1,"",IF(AND(AB2806=1,AD2806&lt;&gt;1),1,0))</f>
        <v/>
      </c>
      <c r="AG2806" s="0" t="str">
        <f aca="false">IF(AA2806=1,"",IF(AND(AC2806=1,AE2806&lt;&gt;1),1,0))</f>
        <v/>
      </c>
      <c r="AH2806" s="51" t="str">
        <f aca="false">IF(AND(E2806&gt;0,AA2806&lt;1,NOT(AND(C2807=C2806,AA2807=AA2806+1))),INDEX(DATAS,AA2806+1),"")</f>
        <v/>
      </c>
      <c r="AI2806" s="51" t="str">
        <f aca="false">IF(AND(AC2806=1,AA2806&lt;1),IF(AND(C2807=C2806,AA2807=AA2806+1),IF(AC2807=1,"",INDEX(DATAS,AA2806+1)),INDEX(DATAS,AA2806+1)),"")</f>
        <v/>
      </c>
    </row>
    <row r="2807" customFormat="false" ht="15" hidden="false" customHeight="false" outlineLevel="0" collapsed="false">
      <c r="A2807" s="51" t="n">
        <v>46309</v>
      </c>
      <c r="B2807" s="0" t="n">
        <v>13</v>
      </c>
      <c r="C2807" s="0" t="n">
        <v>7176</v>
      </c>
      <c r="E2807" s="0" t="n">
        <v>0</v>
      </c>
      <c r="F2807" s="46" t="s">
        <v>1401</v>
      </c>
      <c r="I2807" s="46" t="s">
        <v>179</v>
      </c>
      <c r="U2807" s="0" t="n">
        <v>320</v>
      </c>
      <c r="V2807" s="0" t="n">
        <v>0</v>
      </c>
      <c r="X2807" s="46" t="n">
        <f aca="false">IF(I2807="Male",0,1)</f>
        <v>1</v>
      </c>
      <c r="Y2807" s="46" t="n">
        <f aca="false">IF(OR(I2807="DNB",I2807="Dry DNB"),1,0)</f>
        <v>0</v>
      </c>
      <c r="Z2807" s="0" t="str">
        <f aca="false">IF(ISNUMBER(W2807),A2807-W2807,"")</f>
        <v/>
      </c>
      <c r="AA2807" s="46" t="n">
        <f aca="false">MATCH(A2807,DATAS,0)</f>
        <v>1</v>
      </c>
      <c r="AB2807" s="46" t="n">
        <f aca="false">IF(AND(E2807&gt;0,OR(AND(B2807&gt;=1,B2807&lt;=6),B2807=10)),1,0)</f>
        <v>0</v>
      </c>
      <c r="AC2807" s="46" t="n">
        <f aca="false">IF(AND(E2807&gt;0,B2807=10),1,0)</f>
        <v>0</v>
      </c>
      <c r="AD2807" s="0" t="str">
        <f aca="false">IF(AND(C2806=C2807,AA2806=AA2807-1),AB2806,"")</f>
        <v/>
      </c>
      <c r="AE2807" s="0" t="str">
        <f aca="false">IF(AND(C2806=C2807,AA2806=AA2807-1),AC2806,"")</f>
        <v/>
      </c>
      <c r="AF2807" s="0" t="str">
        <f aca="false">IF(AA2807=1,"",IF(AND(AB2807=1,AD2807&lt;&gt;1),1,0))</f>
        <v/>
      </c>
      <c r="AG2807" s="0" t="str">
        <f aca="false">IF(AA2807=1,"",IF(AND(AC2807=1,AE2807&lt;&gt;1),1,0))</f>
        <v/>
      </c>
      <c r="AH2807" s="51" t="str">
        <f aca="false">IF(AND(E2807&gt;0,AA2807&lt;1,NOT(AND(C2808=C2807,AA2808=AA2807+1))),INDEX(DATAS,AA2807+1),"")</f>
        <v/>
      </c>
      <c r="AI2807" s="51" t="str">
        <f aca="false">IF(AND(AC2807=1,AA2807&lt;1),IF(AND(C2808=C2807,AA2808=AA2807+1),IF(AC2808=1,"",INDEX(DATAS,AA2807+1)),INDEX(DATAS,AA2807+1)),"")</f>
        <v/>
      </c>
    </row>
    <row r="2808" customFormat="false" ht="15" hidden="false" customHeight="false" outlineLevel="0" collapsed="false">
      <c r="A2808" s="51" t="n">
        <v>46309</v>
      </c>
      <c r="B2808" s="0" t="n">
        <v>13</v>
      </c>
      <c r="C2808" s="0" t="n">
        <v>7177</v>
      </c>
      <c r="E2808" s="0" t="n">
        <v>0</v>
      </c>
      <c r="F2808" s="46" t="s">
        <v>1402</v>
      </c>
      <c r="I2808" s="46" t="s">
        <v>179</v>
      </c>
      <c r="U2808" s="0" t="n">
        <v>319</v>
      </c>
      <c r="V2808" s="0" t="n">
        <v>0</v>
      </c>
      <c r="X2808" s="46" t="n">
        <f aca="false">IF(I2808="Male",0,1)</f>
        <v>1</v>
      </c>
      <c r="Y2808" s="46" t="n">
        <f aca="false">IF(OR(I2808="DNB",I2808="Dry DNB"),1,0)</f>
        <v>0</v>
      </c>
      <c r="Z2808" s="0" t="str">
        <f aca="false">IF(ISNUMBER(W2808),A2808-W2808,"")</f>
        <v/>
      </c>
      <c r="AA2808" s="46" t="n">
        <f aca="false">MATCH(A2808,DATAS,0)</f>
        <v>1</v>
      </c>
      <c r="AB2808" s="46" t="n">
        <f aca="false">IF(AND(E2808&gt;0,OR(AND(B2808&gt;=1,B2808&lt;=6),B2808=10)),1,0)</f>
        <v>0</v>
      </c>
      <c r="AC2808" s="46" t="n">
        <f aca="false">IF(AND(E2808&gt;0,B2808=10),1,0)</f>
        <v>0</v>
      </c>
      <c r="AD2808" s="0" t="str">
        <f aca="false">IF(AND(C2807=C2808,AA2807=AA2808-1),AB2807,"")</f>
        <v/>
      </c>
      <c r="AE2808" s="0" t="str">
        <f aca="false">IF(AND(C2807=C2808,AA2807=AA2808-1),AC2807,"")</f>
        <v/>
      </c>
      <c r="AF2808" s="0" t="str">
        <f aca="false">IF(AA2808=1,"",IF(AND(AB2808=1,AD2808&lt;&gt;1),1,0))</f>
        <v/>
      </c>
      <c r="AG2808" s="0" t="str">
        <f aca="false">IF(AA2808=1,"",IF(AND(AC2808=1,AE2808&lt;&gt;1),1,0))</f>
        <v/>
      </c>
      <c r="AH2808" s="51" t="str">
        <f aca="false">IF(AND(E2808&gt;0,AA2808&lt;1,NOT(AND(C2809=C2808,AA2809=AA2808+1))),INDEX(DATAS,AA2808+1),"")</f>
        <v/>
      </c>
      <c r="AI2808" s="51" t="str">
        <f aca="false">IF(AND(AC2808=1,AA2808&lt;1),IF(AND(C2809=C2808,AA2809=AA2808+1),IF(AC2809=1,"",INDEX(DATAS,AA2808+1)),INDEX(DATAS,AA2808+1)),"")</f>
        <v/>
      </c>
    </row>
    <row r="2809" customFormat="false" ht="15" hidden="false" customHeight="false" outlineLevel="0" collapsed="false">
      <c r="A2809" s="51" t="n">
        <v>46309</v>
      </c>
      <c r="B2809" s="0" t="n">
        <v>13</v>
      </c>
      <c r="C2809" s="0" t="n">
        <v>7178</v>
      </c>
      <c r="E2809" s="0" t="n">
        <v>0</v>
      </c>
      <c r="F2809" s="46" t="s">
        <v>1402</v>
      </c>
      <c r="I2809" s="46" t="s">
        <v>179</v>
      </c>
      <c r="U2809" s="0" t="n">
        <v>319</v>
      </c>
      <c r="V2809" s="0" t="n">
        <v>0</v>
      </c>
      <c r="X2809" s="46" t="n">
        <f aca="false">IF(I2809="Male",0,1)</f>
        <v>1</v>
      </c>
      <c r="Y2809" s="46" t="n">
        <f aca="false">IF(OR(I2809="DNB",I2809="Dry DNB"),1,0)</f>
        <v>0</v>
      </c>
      <c r="Z2809" s="0" t="str">
        <f aca="false">IF(ISNUMBER(W2809),A2809-W2809,"")</f>
        <v/>
      </c>
      <c r="AA2809" s="46" t="n">
        <f aca="false">MATCH(A2809,DATAS,0)</f>
        <v>1</v>
      </c>
      <c r="AB2809" s="46" t="n">
        <f aca="false">IF(AND(E2809&gt;0,OR(AND(B2809&gt;=1,B2809&lt;=6),B2809=10)),1,0)</f>
        <v>0</v>
      </c>
      <c r="AC2809" s="46" t="n">
        <f aca="false">IF(AND(E2809&gt;0,B2809=10),1,0)</f>
        <v>0</v>
      </c>
      <c r="AD2809" s="0" t="str">
        <f aca="false">IF(AND(C2808=C2809,AA2808=AA2809-1),AB2808,"")</f>
        <v/>
      </c>
      <c r="AE2809" s="0" t="str">
        <f aca="false">IF(AND(C2808=C2809,AA2808=AA2809-1),AC2808,"")</f>
        <v/>
      </c>
      <c r="AF2809" s="0" t="str">
        <f aca="false">IF(AA2809=1,"",IF(AND(AB2809=1,AD2809&lt;&gt;1),1,0))</f>
        <v/>
      </c>
      <c r="AG2809" s="0" t="str">
        <f aca="false">IF(AA2809=1,"",IF(AND(AC2809=1,AE2809&lt;&gt;1),1,0))</f>
        <v/>
      </c>
      <c r="AH2809" s="51" t="str">
        <f aca="false">IF(AND(E2809&gt;0,AA2809&lt;1,NOT(AND(C2810=C2809,AA2810=AA2809+1))),INDEX(DATAS,AA2809+1),"")</f>
        <v/>
      </c>
      <c r="AI2809" s="51" t="str">
        <f aca="false">IF(AND(AC2809=1,AA2809&lt;1),IF(AND(C2810=C2809,AA2810=AA2809+1),IF(AC2810=1,"",INDEX(DATAS,AA2809+1)),INDEX(DATAS,AA2809+1)),"")</f>
        <v/>
      </c>
    </row>
    <row r="2810" customFormat="false" ht="15" hidden="false" customHeight="false" outlineLevel="0" collapsed="false">
      <c r="A2810" s="51" t="n">
        <v>46309</v>
      </c>
      <c r="B2810" s="0" t="n">
        <v>13</v>
      </c>
      <c r="C2810" s="0" t="n">
        <v>7180</v>
      </c>
      <c r="E2810" s="0" t="n">
        <v>0</v>
      </c>
      <c r="F2810" s="46" t="s">
        <v>1403</v>
      </c>
      <c r="I2810" s="46" t="s">
        <v>179</v>
      </c>
      <c r="U2810" s="0" t="n">
        <v>318</v>
      </c>
      <c r="V2810" s="0" t="n">
        <v>0</v>
      </c>
      <c r="X2810" s="46" t="n">
        <f aca="false">IF(I2810="Male",0,1)</f>
        <v>1</v>
      </c>
      <c r="Y2810" s="46" t="n">
        <f aca="false">IF(OR(I2810="DNB",I2810="Dry DNB"),1,0)</f>
        <v>0</v>
      </c>
      <c r="Z2810" s="0" t="str">
        <f aca="false">IF(ISNUMBER(W2810),A2810-W2810,"")</f>
        <v/>
      </c>
      <c r="AA2810" s="46" t="n">
        <f aca="false">MATCH(A2810,DATAS,0)</f>
        <v>1</v>
      </c>
      <c r="AB2810" s="46" t="n">
        <f aca="false">IF(AND(E2810&gt;0,OR(AND(B2810&gt;=1,B2810&lt;=6),B2810=10)),1,0)</f>
        <v>0</v>
      </c>
      <c r="AC2810" s="46" t="n">
        <f aca="false">IF(AND(E2810&gt;0,B2810=10),1,0)</f>
        <v>0</v>
      </c>
      <c r="AD2810" s="0" t="str">
        <f aca="false">IF(AND(C2809=C2810,AA2809=AA2810-1),AB2809,"")</f>
        <v/>
      </c>
      <c r="AE2810" s="0" t="str">
        <f aca="false">IF(AND(C2809=C2810,AA2809=AA2810-1),AC2809,"")</f>
        <v/>
      </c>
      <c r="AF2810" s="0" t="str">
        <f aca="false">IF(AA2810=1,"",IF(AND(AB2810=1,AD2810&lt;&gt;1),1,0))</f>
        <v/>
      </c>
      <c r="AG2810" s="0" t="str">
        <f aca="false">IF(AA2810=1,"",IF(AND(AC2810=1,AE2810&lt;&gt;1),1,0))</f>
        <v/>
      </c>
      <c r="AH2810" s="51" t="str">
        <f aca="false">IF(AND(E2810&gt;0,AA2810&lt;1,NOT(AND(C2811=C2810,AA2811=AA2810+1))),INDEX(DATAS,AA2810+1),"")</f>
        <v/>
      </c>
      <c r="AI2810" s="51" t="str">
        <f aca="false">IF(AND(AC2810=1,AA2810&lt;1),IF(AND(C2811=C2810,AA2811=AA2810+1),IF(AC2811=1,"",INDEX(DATAS,AA2810+1)),INDEX(DATAS,AA2810+1)),"")</f>
        <v/>
      </c>
    </row>
    <row r="2811" customFormat="false" ht="15" hidden="false" customHeight="false" outlineLevel="0" collapsed="false">
      <c r="A2811" s="51" t="n">
        <v>46309</v>
      </c>
      <c r="B2811" s="0" t="n">
        <v>13</v>
      </c>
      <c r="C2811" s="0" t="n">
        <v>7181</v>
      </c>
      <c r="E2811" s="0" t="n">
        <v>0</v>
      </c>
      <c r="F2811" s="46" t="s">
        <v>1403</v>
      </c>
      <c r="I2811" s="46" t="s">
        <v>179</v>
      </c>
      <c r="U2811" s="0" t="n">
        <v>318</v>
      </c>
      <c r="V2811" s="0" t="n">
        <v>0</v>
      </c>
      <c r="X2811" s="46" t="n">
        <f aca="false">IF(I2811="Male",0,1)</f>
        <v>1</v>
      </c>
      <c r="Y2811" s="46" t="n">
        <f aca="false">IF(OR(I2811="DNB",I2811="Dry DNB"),1,0)</f>
        <v>0</v>
      </c>
      <c r="Z2811" s="0" t="str">
        <f aca="false">IF(ISNUMBER(W2811),A2811-W2811,"")</f>
        <v/>
      </c>
      <c r="AA2811" s="46" t="n">
        <f aca="false">MATCH(A2811,DATAS,0)</f>
        <v>1</v>
      </c>
      <c r="AB2811" s="46" t="n">
        <f aca="false">IF(AND(E2811&gt;0,OR(AND(B2811&gt;=1,B2811&lt;=6),B2811=10)),1,0)</f>
        <v>0</v>
      </c>
      <c r="AC2811" s="46" t="n">
        <f aca="false">IF(AND(E2811&gt;0,B2811=10),1,0)</f>
        <v>0</v>
      </c>
      <c r="AD2811" s="0" t="str">
        <f aca="false">IF(AND(C2810=C2811,AA2810=AA2811-1),AB2810,"")</f>
        <v/>
      </c>
      <c r="AE2811" s="0" t="str">
        <f aca="false">IF(AND(C2810=C2811,AA2810=AA2811-1),AC2810,"")</f>
        <v/>
      </c>
      <c r="AF2811" s="0" t="str">
        <f aca="false">IF(AA2811=1,"",IF(AND(AB2811=1,AD2811&lt;&gt;1),1,0))</f>
        <v/>
      </c>
      <c r="AG2811" s="0" t="str">
        <f aca="false">IF(AA2811=1,"",IF(AND(AC2811=1,AE2811&lt;&gt;1),1,0))</f>
        <v/>
      </c>
      <c r="AH2811" s="51" t="str">
        <f aca="false">IF(AND(E2811&gt;0,AA2811&lt;1,NOT(AND(C2812=C2811,AA2812=AA2811+1))),INDEX(DATAS,AA2811+1),"")</f>
        <v/>
      </c>
      <c r="AI2811" s="51" t="str">
        <f aca="false">IF(AND(AC2811=1,AA2811&lt;1),IF(AND(C2812=C2811,AA2812=AA2811+1),IF(AC2812=1,"",INDEX(DATAS,AA2811+1)),INDEX(DATAS,AA2811+1)),"")</f>
        <v/>
      </c>
    </row>
    <row r="2812" customFormat="false" ht="15" hidden="false" customHeight="false" outlineLevel="0" collapsed="false">
      <c r="A2812" s="51" t="n">
        <v>46309</v>
      </c>
      <c r="B2812" s="0" t="n">
        <v>13</v>
      </c>
      <c r="C2812" s="0" t="n">
        <v>7182</v>
      </c>
      <c r="E2812" s="0" t="n">
        <v>0</v>
      </c>
      <c r="F2812" s="46" t="s">
        <v>1403</v>
      </c>
      <c r="I2812" s="46" t="s">
        <v>179</v>
      </c>
      <c r="U2812" s="0" t="n">
        <v>318</v>
      </c>
      <c r="V2812" s="0" t="n">
        <v>0</v>
      </c>
      <c r="X2812" s="46" t="n">
        <f aca="false">IF(I2812="Male",0,1)</f>
        <v>1</v>
      </c>
      <c r="Y2812" s="46" t="n">
        <f aca="false">IF(OR(I2812="DNB",I2812="Dry DNB"),1,0)</f>
        <v>0</v>
      </c>
      <c r="Z2812" s="0" t="str">
        <f aca="false">IF(ISNUMBER(W2812),A2812-W2812,"")</f>
        <v/>
      </c>
      <c r="AA2812" s="46" t="n">
        <f aca="false">MATCH(A2812,DATAS,0)</f>
        <v>1</v>
      </c>
      <c r="AB2812" s="46" t="n">
        <f aca="false">IF(AND(E2812&gt;0,OR(AND(B2812&gt;=1,B2812&lt;=6),B2812=10)),1,0)</f>
        <v>0</v>
      </c>
      <c r="AC2812" s="46" t="n">
        <f aca="false">IF(AND(E2812&gt;0,B2812=10),1,0)</f>
        <v>0</v>
      </c>
      <c r="AD2812" s="0" t="str">
        <f aca="false">IF(AND(C2811=C2812,AA2811=AA2812-1),AB2811,"")</f>
        <v/>
      </c>
      <c r="AE2812" s="0" t="str">
        <f aca="false">IF(AND(C2811=C2812,AA2811=AA2812-1),AC2811,"")</f>
        <v/>
      </c>
      <c r="AF2812" s="0" t="str">
        <f aca="false">IF(AA2812=1,"",IF(AND(AB2812=1,AD2812&lt;&gt;1),1,0))</f>
        <v/>
      </c>
      <c r="AG2812" s="0" t="str">
        <f aca="false">IF(AA2812=1,"",IF(AND(AC2812=1,AE2812&lt;&gt;1),1,0))</f>
        <v/>
      </c>
      <c r="AH2812" s="51" t="str">
        <f aca="false">IF(AND(E2812&gt;0,AA2812&lt;1,NOT(AND(C2813=C2812,AA2813=AA2812+1))),INDEX(DATAS,AA2812+1),"")</f>
        <v/>
      </c>
      <c r="AI2812" s="51" t="str">
        <f aca="false">IF(AND(AC2812=1,AA2812&lt;1),IF(AND(C2813=C2812,AA2813=AA2812+1),IF(AC2813=1,"",INDEX(DATAS,AA2812+1)),INDEX(DATAS,AA2812+1)),"")</f>
        <v/>
      </c>
    </row>
    <row r="2813" customFormat="false" ht="15" hidden="false" customHeight="false" outlineLevel="0" collapsed="false">
      <c r="A2813" s="51" t="n">
        <v>46309</v>
      </c>
      <c r="B2813" s="0" t="n">
        <v>13</v>
      </c>
      <c r="C2813" s="0" t="n">
        <v>7183</v>
      </c>
      <c r="E2813" s="0" t="n">
        <v>0</v>
      </c>
      <c r="F2813" s="46" t="s">
        <v>1403</v>
      </c>
      <c r="I2813" s="46" t="s">
        <v>179</v>
      </c>
      <c r="U2813" s="0" t="n">
        <v>318</v>
      </c>
      <c r="V2813" s="0" t="n">
        <v>0</v>
      </c>
      <c r="X2813" s="46" t="n">
        <f aca="false">IF(I2813="Male",0,1)</f>
        <v>1</v>
      </c>
      <c r="Y2813" s="46" t="n">
        <f aca="false">IF(OR(I2813="DNB",I2813="Dry DNB"),1,0)</f>
        <v>0</v>
      </c>
      <c r="Z2813" s="0" t="str">
        <f aca="false">IF(ISNUMBER(W2813),A2813-W2813,"")</f>
        <v/>
      </c>
      <c r="AA2813" s="46" t="n">
        <f aca="false">MATCH(A2813,DATAS,0)</f>
        <v>1</v>
      </c>
      <c r="AB2813" s="46" t="n">
        <f aca="false">IF(AND(E2813&gt;0,OR(AND(B2813&gt;=1,B2813&lt;=6),B2813=10)),1,0)</f>
        <v>0</v>
      </c>
      <c r="AC2813" s="46" t="n">
        <f aca="false">IF(AND(E2813&gt;0,B2813=10),1,0)</f>
        <v>0</v>
      </c>
      <c r="AD2813" s="0" t="str">
        <f aca="false">IF(AND(C2812=C2813,AA2812=AA2813-1),AB2812,"")</f>
        <v/>
      </c>
      <c r="AE2813" s="0" t="str">
        <f aca="false">IF(AND(C2812=C2813,AA2812=AA2813-1),AC2812,"")</f>
        <v/>
      </c>
      <c r="AF2813" s="0" t="str">
        <f aca="false">IF(AA2813=1,"",IF(AND(AB2813=1,AD2813&lt;&gt;1),1,0))</f>
        <v/>
      </c>
      <c r="AG2813" s="0" t="str">
        <f aca="false">IF(AA2813=1,"",IF(AND(AC2813=1,AE2813&lt;&gt;1),1,0))</f>
        <v/>
      </c>
      <c r="AH2813" s="51" t="str">
        <f aca="false">IF(AND(E2813&gt;0,AA2813&lt;1,NOT(AND(C2814=C2813,AA2814=AA2813+1))),INDEX(DATAS,AA2813+1),"")</f>
        <v/>
      </c>
      <c r="AI2813" s="51" t="str">
        <f aca="false">IF(AND(AC2813=1,AA2813&lt;1),IF(AND(C2814=C2813,AA2814=AA2813+1),IF(AC2814=1,"",INDEX(DATAS,AA2813+1)),INDEX(DATAS,AA2813+1)),"")</f>
        <v/>
      </c>
    </row>
    <row r="2814" customFormat="false" ht="15" hidden="false" customHeight="false" outlineLevel="0" collapsed="false">
      <c r="A2814" s="51" t="n">
        <v>46309</v>
      </c>
      <c r="B2814" s="0" t="n">
        <v>13</v>
      </c>
      <c r="C2814" s="0" t="n">
        <v>7184</v>
      </c>
      <c r="E2814" s="0" t="n">
        <v>0</v>
      </c>
      <c r="F2814" s="46" t="s">
        <v>1403</v>
      </c>
      <c r="I2814" s="46" t="s">
        <v>179</v>
      </c>
      <c r="U2814" s="0" t="n">
        <v>318</v>
      </c>
      <c r="V2814" s="0" t="n">
        <v>0</v>
      </c>
      <c r="X2814" s="46" t="n">
        <f aca="false">IF(I2814="Male",0,1)</f>
        <v>1</v>
      </c>
      <c r="Y2814" s="46" t="n">
        <f aca="false">IF(OR(I2814="DNB",I2814="Dry DNB"),1,0)</f>
        <v>0</v>
      </c>
      <c r="Z2814" s="0" t="str">
        <f aca="false">IF(ISNUMBER(W2814),A2814-W2814,"")</f>
        <v/>
      </c>
      <c r="AA2814" s="46" t="n">
        <f aca="false">MATCH(A2814,DATAS,0)</f>
        <v>1</v>
      </c>
      <c r="AB2814" s="46" t="n">
        <f aca="false">IF(AND(E2814&gt;0,OR(AND(B2814&gt;=1,B2814&lt;=6),B2814=10)),1,0)</f>
        <v>0</v>
      </c>
      <c r="AC2814" s="46" t="n">
        <f aca="false">IF(AND(E2814&gt;0,B2814=10),1,0)</f>
        <v>0</v>
      </c>
      <c r="AD2814" s="0" t="str">
        <f aca="false">IF(AND(C2813=C2814,AA2813=AA2814-1),AB2813,"")</f>
        <v/>
      </c>
      <c r="AE2814" s="0" t="str">
        <f aca="false">IF(AND(C2813=C2814,AA2813=AA2814-1),AC2813,"")</f>
        <v/>
      </c>
      <c r="AF2814" s="0" t="str">
        <f aca="false">IF(AA2814=1,"",IF(AND(AB2814=1,AD2814&lt;&gt;1),1,0))</f>
        <v/>
      </c>
      <c r="AG2814" s="0" t="str">
        <f aca="false">IF(AA2814=1,"",IF(AND(AC2814=1,AE2814&lt;&gt;1),1,0))</f>
        <v/>
      </c>
      <c r="AH2814" s="51" t="str">
        <f aca="false">IF(AND(E2814&gt;0,AA2814&lt;1,NOT(AND(C2815=C2814,AA2815=AA2814+1))),INDEX(DATAS,AA2814+1),"")</f>
        <v/>
      </c>
      <c r="AI2814" s="51" t="str">
        <f aca="false">IF(AND(AC2814=1,AA2814&lt;1),IF(AND(C2815=C2814,AA2815=AA2814+1),IF(AC2815=1,"",INDEX(DATAS,AA2814+1)),INDEX(DATAS,AA2814+1)),"")</f>
        <v/>
      </c>
    </row>
    <row r="2815" customFormat="false" ht="15" hidden="false" customHeight="false" outlineLevel="0" collapsed="false">
      <c r="A2815" s="51" t="n">
        <v>46309</v>
      </c>
      <c r="B2815" s="0" t="n">
        <v>13</v>
      </c>
      <c r="C2815" s="0" t="n">
        <v>7185</v>
      </c>
      <c r="E2815" s="0" t="n">
        <v>0</v>
      </c>
      <c r="F2815" s="46" t="s">
        <v>1404</v>
      </c>
      <c r="I2815" s="46" t="s">
        <v>179</v>
      </c>
      <c r="U2815" s="0" t="n">
        <v>317</v>
      </c>
      <c r="V2815" s="0" t="n">
        <v>0</v>
      </c>
      <c r="X2815" s="46" t="n">
        <f aca="false">IF(I2815="Male",0,1)</f>
        <v>1</v>
      </c>
      <c r="Y2815" s="46" t="n">
        <f aca="false">IF(OR(I2815="DNB",I2815="Dry DNB"),1,0)</f>
        <v>0</v>
      </c>
      <c r="Z2815" s="0" t="str">
        <f aca="false">IF(ISNUMBER(W2815),A2815-W2815,"")</f>
        <v/>
      </c>
      <c r="AA2815" s="46" t="n">
        <f aca="false">MATCH(A2815,DATAS,0)</f>
        <v>1</v>
      </c>
      <c r="AB2815" s="46" t="n">
        <f aca="false">IF(AND(E2815&gt;0,OR(AND(B2815&gt;=1,B2815&lt;=6),B2815=10)),1,0)</f>
        <v>0</v>
      </c>
      <c r="AC2815" s="46" t="n">
        <f aca="false">IF(AND(E2815&gt;0,B2815=10),1,0)</f>
        <v>0</v>
      </c>
      <c r="AD2815" s="0" t="str">
        <f aca="false">IF(AND(C2814=C2815,AA2814=AA2815-1),AB2814,"")</f>
        <v/>
      </c>
      <c r="AE2815" s="0" t="str">
        <f aca="false">IF(AND(C2814=C2815,AA2814=AA2815-1),AC2814,"")</f>
        <v/>
      </c>
      <c r="AF2815" s="0" t="str">
        <f aca="false">IF(AA2815=1,"",IF(AND(AB2815=1,AD2815&lt;&gt;1),1,0))</f>
        <v/>
      </c>
      <c r="AG2815" s="0" t="str">
        <f aca="false">IF(AA2815=1,"",IF(AND(AC2815=1,AE2815&lt;&gt;1),1,0))</f>
        <v/>
      </c>
      <c r="AH2815" s="51" t="str">
        <f aca="false">IF(AND(E2815&gt;0,AA2815&lt;1,NOT(AND(C2816=C2815,AA2816=AA2815+1))),INDEX(DATAS,AA2815+1),"")</f>
        <v/>
      </c>
      <c r="AI2815" s="51" t="str">
        <f aca="false">IF(AND(AC2815=1,AA2815&lt;1),IF(AND(C2816=C2815,AA2816=AA2815+1),IF(AC2816=1,"",INDEX(DATAS,AA2815+1)),INDEX(DATAS,AA2815+1)),"")</f>
        <v/>
      </c>
    </row>
    <row r="2816" customFormat="false" ht="15" hidden="false" customHeight="false" outlineLevel="0" collapsed="false">
      <c r="A2816" s="51" t="n">
        <v>46309</v>
      </c>
      <c r="B2816" s="0" t="n">
        <v>13</v>
      </c>
      <c r="C2816" s="0" t="n">
        <v>7186</v>
      </c>
      <c r="E2816" s="0" t="n">
        <v>0</v>
      </c>
      <c r="F2816" s="46" t="s">
        <v>1405</v>
      </c>
      <c r="I2816" s="46" t="s">
        <v>179</v>
      </c>
      <c r="U2816" s="0" t="n">
        <v>316</v>
      </c>
      <c r="V2816" s="0" t="n">
        <v>0</v>
      </c>
      <c r="X2816" s="46" t="n">
        <f aca="false">IF(I2816="Male",0,1)</f>
        <v>1</v>
      </c>
      <c r="Y2816" s="46" t="n">
        <f aca="false">IF(OR(I2816="DNB",I2816="Dry DNB"),1,0)</f>
        <v>0</v>
      </c>
      <c r="Z2816" s="0" t="str">
        <f aca="false">IF(ISNUMBER(W2816),A2816-W2816,"")</f>
        <v/>
      </c>
      <c r="AA2816" s="46" t="n">
        <f aca="false">MATCH(A2816,DATAS,0)</f>
        <v>1</v>
      </c>
      <c r="AB2816" s="46" t="n">
        <f aca="false">IF(AND(E2816&gt;0,OR(AND(B2816&gt;=1,B2816&lt;=6),B2816=10)),1,0)</f>
        <v>0</v>
      </c>
      <c r="AC2816" s="46" t="n">
        <f aca="false">IF(AND(E2816&gt;0,B2816=10),1,0)</f>
        <v>0</v>
      </c>
      <c r="AD2816" s="0" t="str">
        <f aca="false">IF(AND(C2815=C2816,AA2815=AA2816-1),AB2815,"")</f>
        <v/>
      </c>
      <c r="AE2816" s="0" t="str">
        <f aca="false">IF(AND(C2815=C2816,AA2815=AA2816-1),AC2815,"")</f>
        <v/>
      </c>
      <c r="AF2816" s="0" t="str">
        <f aca="false">IF(AA2816=1,"",IF(AND(AB2816=1,AD2816&lt;&gt;1),1,0))</f>
        <v/>
      </c>
      <c r="AG2816" s="0" t="str">
        <f aca="false">IF(AA2816=1,"",IF(AND(AC2816=1,AE2816&lt;&gt;1),1,0))</f>
        <v/>
      </c>
      <c r="AH2816" s="51" t="str">
        <f aca="false">IF(AND(E2816&gt;0,AA2816&lt;1,NOT(AND(C2817=C2816,AA2817=AA2816+1))),INDEX(DATAS,AA2816+1),"")</f>
        <v/>
      </c>
      <c r="AI2816" s="51" t="str">
        <f aca="false">IF(AND(AC2816=1,AA2816&lt;1),IF(AND(C2817=C2816,AA2817=AA2816+1),IF(AC2817=1,"",INDEX(DATAS,AA2816+1)),INDEX(DATAS,AA2816+1)),"")</f>
        <v/>
      </c>
    </row>
    <row r="2817" customFormat="false" ht="15" hidden="false" customHeight="false" outlineLevel="0" collapsed="false">
      <c r="A2817" s="51" t="n">
        <v>46309</v>
      </c>
      <c r="B2817" s="0" t="n">
        <v>13</v>
      </c>
      <c r="C2817" s="0" t="n">
        <v>7187</v>
      </c>
      <c r="E2817" s="0" t="n">
        <v>0</v>
      </c>
      <c r="F2817" s="46" t="s">
        <v>1405</v>
      </c>
      <c r="I2817" s="46" t="s">
        <v>179</v>
      </c>
      <c r="U2817" s="0" t="n">
        <v>316</v>
      </c>
      <c r="V2817" s="0" t="n">
        <v>0</v>
      </c>
      <c r="X2817" s="46" t="n">
        <f aca="false">IF(I2817="Male",0,1)</f>
        <v>1</v>
      </c>
      <c r="Y2817" s="46" t="n">
        <f aca="false">IF(OR(I2817="DNB",I2817="Dry DNB"),1,0)</f>
        <v>0</v>
      </c>
      <c r="Z2817" s="0" t="str">
        <f aca="false">IF(ISNUMBER(W2817),A2817-W2817,"")</f>
        <v/>
      </c>
      <c r="AA2817" s="46" t="n">
        <f aca="false">MATCH(A2817,DATAS,0)</f>
        <v>1</v>
      </c>
      <c r="AB2817" s="46" t="n">
        <f aca="false">IF(AND(E2817&gt;0,OR(AND(B2817&gt;=1,B2817&lt;=6),B2817=10)),1,0)</f>
        <v>0</v>
      </c>
      <c r="AC2817" s="46" t="n">
        <f aca="false">IF(AND(E2817&gt;0,B2817=10),1,0)</f>
        <v>0</v>
      </c>
      <c r="AD2817" s="0" t="str">
        <f aca="false">IF(AND(C2816=C2817,AA2816=AA2817-1),AB2816,"")</f>
        <v/>
      </c>
      <c r="AE2817" s="0" t="str">
        <f aca="false">IF(AND(C2816=C2817,AA2816=AA2817-1),AC2816,"")</f>
        <v/>
      </c>
      <c r="AF2817" s="0" t="str">
        <f aca="false">IF(AA2817=1,"",IF(AND(AB2817=1,AD2817&lt;&gt;1),1,0))</f>
        <v/>
      </c>
      <c r="AG2817" s="0" t="str">
        <f aca="false">IF(AA2817=1,"",IF(AND(AC2817=1,AE2817&lt;&gt;1),1,0))</f>
        <v/>
      </c>
      <c r="AH2817" s="51" t="str">
        <f aca="false">IF(AND(E2817&gt;0,AA2817&lt;1,NOT(AND(C2818=C2817,AA2818=AA2817+1))),INDEX(DATAS,AA2817+1),"")</f>
        <v/>
      </c>
      <c r="AI2817" s="51" t="str">
        <f aca="false">IF(AND(AC2817=1,AA2817&lt;1),IF(AND(C2818=C2817,AA2818=AA2817+1),IF(AC2818=1,"",INDEX(DATAS,AA2817+1)),INDEX(DATAS,AA2817+1)),"")</f>
        <v/>
      </c>
    </row>
    <row r="2818" customFormat="false" ht="15" hidden="false" customHeight="false" outlineLevel="0" collapsed="false">
      <c r="A2818" s="51" t="n">
        <v>46309</v>
      </c>
      <c r="B2818" s="0" t="n">
        <v>13</v>
      </c>
      <c r="C2818" s="0" t="n">
        <v>7188</v>
      </c>
      <c r="E2818" s="0" t="n">
        <v>0</v>
      </c>
      <c r="F2818" s="46" t="s">
        <v>1405</v>
      </c>
      <c r="I2818" s="46" t="s">
        <v>179</v>
      </c>
      <c r="U2818" s="0" t="n">
        <v>316</v>
      </c>
      <c r="V2818" s="0" t="n">
        <v>0</v>
      </c>
      <c r="X2818" s="46" t="n">
        <f aca="false">IF(I2818="Male",0,1)</f>
        <v>1</v>
      </c>
      <c r="Y2818" s="46" t="n">
        <f aca="false">IF(OR(I2818="DNB",I2818="Dry DNB"),1,0)</f>
        <v>0</v>
      </c>
      <c r="Z2818" s="0" t="str">
        <f aca="false">IF(ISNUMBER(W2818),A2818-W2818,"")</f>
        <v/>
      </c>
      <c r="AA2818" s="46" t="n">
        <f aca="false">MATCH(A2818,DATAS,0)</f>
        <v>1</v>
      </c>
      <c r="AB2818" s="46" t="n">
        <f aca="false">IF(AND(E2818&gt;0,OR(AND(B2818&gt;=1,B2818&lt;=6),B2818=10)),1,0)</f>
        <v>0</v>
      </c>
      <c r="AC2818" s="46" t="n">
        <f aca="false">IF(AND(E2818&gt;0,B2818=10),1,0)</f>
        <v>0</v>
      </c>
      <c r="AD2818" s="0" t="str">
        <f aca="false">IF(AND(C2817=C2818,AA2817=AA2818-1),AB2817,"")</f>
        <v/>
      </c>
      <c r="AE2818" s="0" t="str">
        <f aca="false">IF(AND(C2817=C2818,AA2817=AA2818-1),AC2817,"")</f>
        <v/>
      </c>
      <c r="AF2818" s="0" t="str">
        <f aca="false">IF(AA2818=1,"",IF(AND(AB2818=1,AD2818&lt;&gt;1),1,0))</f>
        <v/>
      </c>
      <c r="AG2818" s="0" t="str">
        <f aca="false">IF(AA2818=1,"",IF(AND(AC2818=1,AE2818&lt;&gt;1),1,0))</f>
        <v/>
      </c>
      <c r="AH2818" s="51" t="str">
        <f aca="false">IF(AND(E2818&gt;0,AA2818&lt;1,NOT(AND(C2819=C2818,AA2819=AA2818+1))),INDEX(DATAS,AA2818+1),"")</f>
        <v/>
      </c>
      <c r="AI2818" s="51" t="str">
        <f aca="false">IF(AND(AC2818=1,AA2818&lt;1),IF(AND(C2819=C2818,AA2819=AA2818+1),IF(AC2819=1,"",INDEX(DATAS,AA2818+1)),INDEX(DATAS,AA2818+1)),"")</f>
        <v/>
      </c>
    </row>
    <row r="2819" customFormat="false" ht="15" hidden="false" customHeight="false" outlineLevel="0" collapsed="false">
      <c r="A2819" s="51" t="n">
        <v>46309</v>
      </c>
      <c r="B2819" s="0" t="n">
        <v>13</v>
      </c>
      <c r="C2819" s="0" t="n">
        <v>7189</v>
      </c>
      <c r="E2819" s="0" t="n">
        <v>0</v>
      </c>
      <c r="F2819" s="46" t="s">
        <v>1405</v>
      </c>
      <c r="I2819" s="46" t="s">
        <v>179</v>
      </c>
      <c r="U2819" s="0" t="n">
        <v>316</v>
      </c>
      <c r="V2819" s="0" t="n">
        <v>0</v>
      </c>
      <c r="X2819" s="46" t="n">
        <f aca="false">IF(I2819="Male",0,1)</f>
        <v>1</v>
      </c>
      <c r="Y2819" s="46" t="n">
        <f aca="false">IF(OR(I2819="DNB",I2819="Dry DNB"),1,0)</f>
        <v>0</v>
      </c>
      <c r="Z2819" s="0" t="str">
        <f aca="false">IF(ISNUMBER(W2819),A2819-W2819,"")</f>
        <v/>
      </c>
      <c r="AA2819" s="46" t="n">
        <f aca="false">MATCH(A2819,DATAS,0)</f>
        <v>1</v>
      </c>
      <c r="AB2819" s="46" t="n">
        <f aca="false">IF(AND(E2819&gt;0,OR(AND(B2819&gt;=1,B2819&lt;=6),B2819=10)),1,0)</f>
        <v>0</v>
      </c>
      <c r="AC2819" s="46" t="n">
        <f aca="false">IF(AND(E2819&gt;0,B2819=10),1,0)</f>
        <v>0</v>
      </c>
      <c r="AD2819" s="0" t="str">
        <f aca="false">IF(AND(C2818=C2819,AA2818=AA2819-1),AB2818,"")</f>
        <v/>
      </c>
      <c r="AE2819" s="0" t="str">
        <f aca="false">IF(AND(C2818=C2819,AA2818=AA2819-1),AC2818,"")</f>
        <v/>
      </c>
      <c r="AF2819" s="0" t="str">
        <f aca="false">IF(AA2819=1,"",IF(AND(AB2819=1,AD2819&lt;&gt;1),1,0))</f>
        <v/>
      </c>
      <c r="AG2819" s="0" t="str">
        <f aca="false">IF(AA2819=1,"",IF(AND(AC2819=1,AE2819&lt;&gt;1),1,0))</f>
        <v/>
      </c>
      <c r="AH2819" s="51" t="str">
        <f aca="false">IF(AND(E2819&gt;0,AA2819&lt;1,NOT(AND(C2820=C2819,AA2820=AA2819+1))),INDEX(DATAS,AA2819+1),"")</f>
        <v/>
      </c>
      <c r="AI2819" s="51" t="str">
        <f aca="false">IF(AND(AC2819=1,AA2819&lt;1),IF(AND(C2820=C2819,AA2820=AA2819+1),IF(AC2820=1,"",INDEX(DATAS,AA2819+1)),INDEX(DATAS,AA2819+1)),"")</f>
        <v/>
      </c>
    </row>
    <row r="2820" customFormat="false" ht="15" hidden="false" customHeight="false" outlineLevel="0" collapsed="false">
      <c r="A2820" s="51" t="n">
        <v>46309</v>
      </c>
      <c r="B2820" s="0" t="n">
        <v>13</v>
      </c>
      <c r="C2820" s="0" t="n">
        <v>7190</v>
      </c>
      <c r="E2820" s="0" t="n">
        <v>0</v>
      </c>
      <c r="F2820" s="46" t="s">
        <v>1406</v>
      </c>
      <c r="I2820" s="46" t="s">
        <v>179</v>
      </c>
      <c r="U2820" s="0" t="n">
        <v>315</v>
      </c>
      <c r="V2820" s="0" t="n">
        <v>0</v>
      </c>
      <c r="X2820" s="46" t="n">
        <f aca="false">IF(I2820="Male",0,1)</f>
        <v>1</v>
      </c>
      <c r="Y2820" s="46" t="n">
        <f aca="false">IF(OR(I2820="DNB",I2820="Dry DNB"),1,0)</f>
        <v>0</v>
      </c>
      <c r="Z2820" s="0" t="str">
        <f aca="false">IF(ISNUMBER(W2820),A2820-W2820,"")</f>
        <v/>
      </c>
      <c r="AA2820" s="46" t="n">
        <f aca="false">MATCH(A2820,DATAS,0)</f>
        <v>1</v>
      </c>
      <c r="AB2820" s="46" t="n">
        <f aca="false">IF(AND(E2820&gt;0,OR(AND(B2820&gt;=1,B2820&lt;=6),B2820=10)),1,0)</f>
        <v>0</v>
      </c>
      <c r="AC2820" s="46" t="n">
        <f aca="false">IF(AND(E2820&gt;0,B2820=10),1,0)</f>
        <v>0</v>
      </c>
      <c r="AD2820" s="0" t="str">
        <f aca="false">IF(AND(C2819=C2820,AA2819=AA2820-1),AB2819,"")</f>
        <v/>
      </c>
      <c r="AE2820" s="0" t="str">
        <f aca="false">IF(AND(C2819=C2820,AA2819=AA2820-1),AC2819,"")</f>
        <v/>
      </c>
      <c r="AF2820" s="0" t="str">
        <f aca="false">IF(AA2820=1,"",IF(AND(AB2820=1,AD2820&lt;&gt;1),1,0))</f>
        <v/>
      </c>
      <c r="AG2820" s="0" t="str">
        <f aca="false">IF(AA2820=1,"",IF(AND(AC2820=1,AE2820&lt;&gt;1),1,0))</f>
        <v/>
      </c>
      <c r="AH2820" s="51" t="str">
        <f aca="false">IF(AND(E2820&gt;0,AA2820&lt;1,NOT(AND(C2821=C2820,AA2821=AA2820+1))),INDEX(DATAS,AA2820+1),"")</f>
        <v/>
      </c>
      <c r="AI2820" s="51" t="str">
        <f aca="false">IF(AND(AC2820=1,AA2820&lt;1),IF(AND(C2821=C2820,AA2821=AA2820+1),IF(AC2821=1,"",INDEX(DATAS,AA2820+1)),INDEX(DATAS,AA2820+1)),"")</f>
        <v/>
      </c>
    </row>
    <row r="2821" customFormat="false" ht="15" hidden="false" customHeight="false" outlineLevel="0" collapsed="false">
      <c r="A2821" s="51" t="n">
        <v>46309</v>
      </c>
      <c r="B2821" s="0" t="n">
        <v>13</v>
      </c>
      <c r="C2821" s="0" t="n">
        <v>7192</v>
      </c>
      <c r="E2821" s="0" t="n">
        <v>0</v>
      </c>
      <c r="F2821" s="46" t="s">
        <v>1406</v>
      </c>
      <c r="I2821" s="46" t="s">
        <v>179</v>
      </c>
      <c r="U2821" s="0" t="n">
        <v>315</v>
      </c>
      <c r="V2821" s="0" t="n">
        <v>0</v>
      </c>
      <c r="X2821" s="46" t="n">
        <f aca="false">IF(I2821="Male",0,1)</f>
        <v>1</v>
      </c>
      <c r="Y2821" s="46" t="n">
        <f aca="false">IF(OR(I2821="DNB",I2821="Dry DNB"),1,0)</f>
        <v>0</v>
      </c>
      <c r="Z2821" s="0" t="str">
        <f aca="false">IF(ISNUMBER(W2821),A2821-W2821,"")</f>
        <v/>
      </c>
      <c r="AA2821" s="46" t="n">
        <f aca="false">MATCH(A2821,DATAS,0)</f>
        <v>1</v>
      </c>
      <c r="AB2821" s="46" t="n">
        <f aca="false">IF(AND(E2821&gt;0,OR(AND(B2821&gt;=1,B2821&lt;=6),B2821=10)),1,0)</f>
        <v>0</v>
      </c>
      <c r="AC2821" s="46" t="n">
        <f aca="false">IF(AND(E2821&gt;0,B2821=10),1,0)</f>
        <v>0</v>
      </c>
      <c r="AD2821" s="0" t="str">
        <f aca="false">IF(AND(C2820=C2821,AA2820=AA2821-1),AB2820,"")</f>
        <v/>
      </c>
      <c r="AE2821" s="0" t="str">
        <f aca="false">IF(AND(C2820=C2821,AA2820=AA2821-1),AC2820,"")</f>
        <v/>
      </c>
      <c r="AF2821" s="0" t="str">
        <f aca="false">IF(AA2821=1,"",IF(AND(AB2821=1,AD2821&lt;&gt;1),1,0))</f>
        <v/>
      </c>
      <c r="AG2821" s="0" t="str">
        <f aca="false">IF(AA2821=1,"",IF(AND(AC2821=1,AE2821&lt;&gt;1),1,0))</f>
        <v/>
      </c>
      <c r="AH2821" s="51" t="str">
        <f aca="false">IF(AND(E2821&gt;0,AA2821&lt;1,NOT(AND(C2822=C2821,AA2822=AA2821+1))),INDEX(DATAS,AA2821+1),"")</f>
        <v/>
      </c>
      <c r="AI2821" s="51" t="str">
        <f aca="false">IF(AND(AC2821=1,AA2821&lt;1),IF(AND(C2822=C2821,AA2822=AA2821+1),IF(AC2822=1,"",INDEX(DATAS,AA2821+1)),INDEX(DATAS,AA2821+1)),"")</f>
        <v/>
      </c>
    </row>
    <row r="2822" customFormat="false" ht="15" hidden="false" customHeight="false" outlineLevel="0" collapsed="false">
      <c r="A2822" s="51" t="n">
        <v>46309</v>
      </c>
      <c r="B2822" s="0" t="n">
        <v>13</v>
      </c>
      <c r="C2822" s="0" t="n">
        <v>7193</v>
      </c>
      <c r="E2822" s="0" t="n">
        <v>0</v>
      </c>
      <c r="F2822" s="46" t="s">
        <v>1406</v>
      </c>
      <c r="I2822" s="46" t="s">
        <v>179</v>
      </c>
      <c r="U2822" s="0" t="n">
        <v>315</v>
      </c>
      <c r="V2822" s="0" t="n">
        <v>0</v>
      </c>
      <c r="X2822" s="46" t="n">
        <f aca="false">IF(I2822="Male",0,1)</f>
        <v>1</v>
      </c>
      <c r="Y2822" s="46" t="n">
        <f aca="false">IF(OR(I2822="DNB",I2822="Dry DNB"),1,0)</f>
        <v>0</v>
      </c>
      <c r="Z2822" s="0" t="str">
        <f aca="false">IF(ISNUMBER(W2822),A2822-W2822,"")</f>
        <v/>
      </c>
      <c r="AA2822" s="46" t="n">
        <f aca="false">MATCH(A2822,DATAS,0)</f>
        <v>1</v>
      </c>
      <c r="AB2822" s="46" t="n">
        <f aca="false">IF(AND(E2822&gt;0,OR(AND(B2822&gt;=1,B2822&lt;=6),B2822=10)),1,0)</f>
        <v>0</v>
      </c>
      <c r="AC2822" s="46" t="n">
        <f aca="false">IF(AND(E2822&gt;0,B2822=10),1,0)</f>
        <v>0</v>
      </c>
      <c r="AD2822" s="0" t="str">
        <f aca="false">IF(AND(C2821=C2822,AA2821=AA2822-1),AB2821,"")</f>
        <v/>
      </c>
      <c r="AE2822" s="0" t="str">
        <f aca="false">IF(AND(C2821=C2822,AA2821=AA2822-1),AC2821,"")</f>
        <v/>
      </c>
      <c r="AF2822" s="0" t="str">
        <f aca="false">IF(AA2822=1,"",IF(AND(AB2822=1,AD2822&lt;&gt;1),1,0))</f>
        <v/>
      </c>
      <c r="AG2822" s="0" t="str">
        <f aca="false">IF(AA2822=1,"",IF(AND(AC2822=1,AE2822&lt;&gt;1),1,0))</f>
        <v/>
      </c>
      <c r="AH2822" s="51" t="str">
        <f aca="false">IF(AND(E2822&gt;0,AA2822&lt;1,NOT(AND(C2823=C2822,AA2823=AA2822+1))),INDEX(DATAS,AA2822+1),"")</f>
        <v/>
      </c>
      <c r="AI2822" s="51" t="str">
        <f aca="false">IF(AND(AC2822=1,AA2822&lt;1),IF(AND(C2823=C2822,AA2823=AA2822+1),IF(AC2823=1,"",INDEX(DATAS,AA2822+1)),INDEX(DATAS,AA2822+1)),"")</f>
        <v/>
      </c>
    </row>
    <row r="2823" customFormat="false" ht="15" hidden="false" customHeight="false" outlineLevel="0" collapsed="false">
      <c r="A2823" s="51" t="n">
        <v>46309</v>
      </c>
      <c r="B2823" s="0" t="n">
        <v>13</v>
      </c>
      <c r="C2823" s="0" t="n">
        <v>7194</v>
      </c>
      <c r="E2823" s="0" t="n">
        <v>0</v>
      </c>
      <c r="F2823" s="46" t="s">
        <v>1406</v>
      </c>
      <c r="I2823" s="46" t="s">
        <v>179</v>
      </c>
      <c r="U2823" s="0" t="n">
        <v>315</v>
      </c>
      <c r="V2823" s="0" t="n">
        <v>0</v>
      </c>
      <c r="X2823" s="46" t="n">
        <f aca="false">IF(I2823="Male",0,1)</f>
        <v>1</v>
      </c>
      <c r="Y2823" s="46" t="n">
        <f aca="false">IF(OR(I2823="DNB",I2823="Dry DNB"),1,0)</f>
        <v>0</v>
      </c>
      <c r="Z2823" s="0" t="str">
        <f aca="false">IF(ISNUMBER(W2823),A2823-W2823,"")</f>
        <v/>
      </c>
      <c r="AA2823" s="46" t="n">
        <f aca="false">MATCH(A2823,DATAS,0)</f>
        <v>1</v>
      </c>
      <c r="AB2823" s="46" t="n">
        <f aca="false">IF(AND(E2823&gt;0,OR(AND(B2823&gt;=1,B2823&lt;=6),B2823=10)),1,0)</f>
        <v>0</v>
      </c>
      <c r="AC2823" s="46" t="n">
        <f aca="false">IF(AND(E2823&gt;0,B2823=10),1,0)</f>
        <v>0</v>
      </c>
      <c r="AD2823" s="0" t="str">
        <f aca="false">IF(AND(C2822=C2823,AA2822=AA2823-1),AB2822,"")</f>
        <v/>
      </c>
      <c r="AE2823" s="0" t="str">
        <f aca="false">IF(AND(C2822=C2823,AA2822=AA2823-1),AC2822,"")</f>
        <v/>
      </c>
      <c r="AF2823" s="0" t="str">
        <f aca="false">IF(AA2823=1,"",IF(AND(AB2823=1,AD2823&lt;&gt;1),1,0))</f>
        <v/>
      </c>
      <c r="AG2823" s="0" t="str">
        <f aca="false">IF(AA2823=1,"",IF(AND(AC2823=1,AE2823&lt;&gt;1),1,0))</f>
        <v/>
      </c>
      <c r="AH2823" s="51" t="str">
        <f aca="false">IF(AND(E2823&gt;0,AA2823&lt;1,NOT(AND(C2824=C2823,AA2824=AA2823+1))),INDEX(DATAS,AA2823+1),"")</f>
        <v/>
      </c>
      <c r="AI2823" s="51" t="str">
        <f aca="false">IF(AND(AC2823=1,AA2823&lt;1),IF(AND(C2824=C2823,AA2824=AA2823+1),IF(AC2824=1,"",INDEX(DATAS,AA2823+1)),INDEX(DATAS,AA2823+1)),"")</f>
        <v/>
      </c>
    </row>
    <row r="2824" customFormat="false" ht="15" hidden="false" customHeight="false" outlineLevel="0" collapsed="false">
      <c r="A2824" s="51" t="n">
        <v>46309</v>
      </c>
      <c r="B2824" s="0" t="n">
        <v>13</v>
      </c>
      <c r="C2824" s="0" t="n">
        <v>7195</v>
      </c>
      <c r="E2824" s="0" t="n">
        <v>0</v>
      </c>
      <c r="F2824" s="46" t="s">
        <v>1406</v>
      </c>
      <c r="I2824" s="46" t="s">
        <v>179</v>
      </c>
      <c r="U2824" s="0" t="n">
        <v>315</v>
      </c>
      <c r="V2824" s="0" t="n">
        <v>0</v>
      </c>
      <c r="X2824" s="46" t="n">
        <f aca="false">IF(I2824="Male",0,1)</f>
        <v>1</v>
      </c>
      <c r="Y2824" s="46" t="n">
        <f aca="false">IF(OR(I2824="DNB",I2824="Dry DNB"),1,0)</f>
        <v>0</v>
      </c>
      <c r="Z2824" s="0" t="str">
        <f aca="false">IF(ISNUMBER(W2824),A2824-W2824,"")</f>
        <v/>
      </c>
      <c r="AA2824" s="46" t="n">
        <f aca="false">MATCH(A2824,DATAS,0)</f>
        <v>1</v>
      </c>
      <c r="AB2824" s="46" t="n">
        <f aca="false">IF(AND(E2824&gt;0,OR(AND(B2824&gt;=1,B2824&lt;=6),B2824=10)),1,0)</f>
        <v>0</v>
      </c>
      <c r="AC2824" s="46" t="n">
        <f aca="false">IF(AND(E2824&gt;0,B2824=10),1,0)</f>
        <v>0</v>
      </c>
      <c r="AD2824" s="0" t="str">
        <f aca="false">IF(AND(C2823=C2824,AA2823=AA2824-1),AB2823,"")</f>
        <v/>
      </c>
      <c r="AE2824" s="0" t="str">
        <f aca="false">IF(AND(C2823=C2824,AA2823=AA2824-1),AC2823,"")</f>
        <v/>
      </c>
      <c r="AF2824" s="0" t="str">
        <f aca="false">IF(AA2824=1,"",IF(AND(AB2824=1,AD2824&lt;&gt;1),1,0))</f>
        <v/>
      </c>
      <c r="AG2824" s="0" t="str">
        <f aca="false">IF(AA2824=1,"",IF(AND(AC2824=1,AE2824&lt;&gt;1),1,0))</f>
        <v/>
      </c>
      <c r="AH2824" s="51" t="str">
        <f aca="false">IF(AND(E2824&gt;0,AA2824&lt;1,NOT(AND(C2825=C2824,AA2825=AA2824+1))),INDEX(DATAS,AA2824+1),"")</f>
        <v/>
      </c>
      <c r="AI2824" s="51" t="str">
        <f aca="false">IF(AND(AC2824=1,AA2824&lt;1),IF(AND(C2825=C2824,AA2825=AA2824+1),IF(AC2825=1,"",INDEX(DATAS,AA2824+1)),INDEX(DATAS,AA2824+1)),"")</f>
        <v/>
      </c>
    </row>
    <row r="2825" customFormat="false" ht="15" hidden="false" customHeight="false" outlineLevel="0" collapsed="false">
      <c r="A2825" s="51" t="n">
        <v>46309</v>
      </c>
      <c r="B2825" s="0" t="n">
        <v>13</v>
      </c>
      <c r="C2825" s="0" t="n">
        <v>7196</v>
      </c>
      <c r="E2825" s="0" t="n">
        <v>0</v>
      </c>
      <c r="F2825" s="46" t="s">
        <v>1407</v>
      </c>
      <c r="I2825" s="46" t="s">
        <v>179</v>
      </c>
      <c r="U2825" s="0" t="n">
        <v>314</v>
      </c>
      <c r="V2825" s="0" t="n">
        <v>0</v>
      </c>
      <c r="X2825" s="46" t="n">
        <f aca="false">IF(I2825="Male",0,1)</f>
        <v>1</v>
      </c>
      <c r="Y2825" s="46" t="n">
        <f aca="false">IF(OR(I2825="DNB",I2825="Dry DNB"),1,0)</f>
        <v>0</v>
      </c>
      <c r="Z2825" s="0" t="str">
        <f aca="false">IF(ISNUMBER(W2825),A2825-W2825,"")</f>
        <v/>
      </c>
      <c r="AA2825" s="46" t="n">
        <f aca="false">MATCH(A2825,DATAS,0)</f>
        <v>1</v>
      </c>
      <c r="AB2825" s="46" t="n">
        <f aca="false">IF(AND(E2825&gt;0,OR(AND(B2825&gt;=1,B2825&lt;=6),B2825=10)),1,0)</f>
        <v>0</v>
      </c>
      <c r="AC2825" s="46" t="n">
        <f aca="false">IF(AND(E2825&gt;0,B2825=10),1,0)</f>
        <v>0</v>
      </c>
      <c r="AD2825" s="0" t="str">
        <f aca="false">IF(AND(C2824=C2825,AA2824=AA2825-1),AB2824,"")</f>
        <v/>
      </c>
      <c r="AE2825" s="0" t="str">
        <f aca="false">IF(AND(C2824=C2825,AA2824=AA2825-1),AC2824,"")</f>
        <v/>
      </c>
      <c r="AF2825" s="0" t="str">
        <f aca="false">IF(AA2825=1,"",IF(AND(AB2825=1,AD2825&lt;&gt;1),1,0))</f>
        <v/>
      </c>
      <c r="AG2825" s="0" t="str">
        <f aca="false">IF(AA2825=1,"",IF(AND(AC2825=1,AE2825&lt;&gt;1),1,0))</f>
        <v/>
      </c>
      <c r="AH2825" s="51" t="str">
        <f aca="false">IF(AND(E2825&gt;0,AA2825&lt;1,NOT(AND(C2826=C2825,AA2826=AA2825+1))),INDEX(DATAS,AA2825+1),"")</f>
        <v/>
      </c>
      <c r="AI2825" s="51" t="str">
        <f aca="false">IF(AND(AC2825=1,AA2825&lt;1),IF(AND(C2826=C2825,AA2826=AA2825+1),IF(AC2826=1,"",INDEX(DATAS,AA2825+1)),INDEX(DATAS,AA2825+1)),"")</f>
        <v/>
      </c>
    </row>
    <row r="2826" customFormat="false" ht="15" hidden="false" customHeight="false" outlineLevel="0" collapsed="false">
      <c r="A2826" s="51" t="n">
        <v>46309</v>
      </c>
      <c r="B2826" s="0" t="n">
        <v>13</v>
      </c>
      <c r="C2826" s="0" t="n">
        <v>7198</v>
      </c>
      <c r="E2826" s="0" t="n">
        <v>0</v>
      </c>
      <c r="F2826" s="46" t="s">
        <v>1407</v>
      </c>
      <c r="I2826" s="46" t="s">
        <v>179</v>
      </c>
      <c r="U2826" s="0" t="n">
        <v>314</v>
      </c>
      <c r="V2826" s="0" t="n">
        <v>0</v>
      </c>
      <c r="X2826" s="46" t="n">
        <f aca="false">IF(I2826="Male",0,1)</f>
        <v>1</v>
      </c>
      <c r="Y2826" s="46" t="n">
        <f aca="false">IF(OR(I2826="DNB",I2826="Dry DNB"),1,0)</f>
        <v>0</v>
      </c>
      <c r="Z2826" s="0" t="str">
        <f aca="false">IF(ISNUMBER(W2826),A2826-W2826,"")</f>
        <v/>
      </c>
      <c r="AA2826" s="46" t="n">
        <f aca="false">MATCH(A2826,DATAS,0)</f>
        <v>1</v>
      </c>
      <c r="AB2826" s="46" t="n">
        <f aca="false">IF(AND(E2826&gt;0,OR(AND(B2826&gt;=1,B2826&lt;=6),B2826=10)),1,0)</f>
        <v>0</v>
      </c>
      <c r="AC2826" s="46" t="n">
        <f aca="false">IF(AND(E2826&gt;0,B2826=10),1,0)</f>
        <v>0</v>
      </c>
      <c r="AD2826" s="0" t="str">
        <f aca="false">IF(AND(C2825=C2826,AA2825=AA2826-1),AB2825,"")</f>
        <v/>
      </c>
      <c r="AE2826" s="0" t="str">
        <f aca="false">IF(AND(C2825=C2826,AA2825=AA2826-1),AC2825,"")</f>
        <v/>
      </c>
      <c r="AF2826" s="0" t="str">
        <f aca="false">IF(AA2826=1,"",IF(AND(AB2826=1,AD2826&lt;&gt;1),1,0))</f>
        <v/>
      </c>
      <c r="AG2826" s="0" t="str">
        <f aca="false">IF(AA2826=1,"",IF(AND(AC2826=1,AE2826&lt;&gt;1),1,0))</f>
        <v/>
      </c>
      <c r="AH2826" s="51" t="str">
        <f aca="false">IF(AND(E2826&gt;0,AA2826&lt;1,NOT(AND(C2827=C2826,AA2827=AA2826+1))),INDEX(DATAS,AA2826+1),"")</f>
        <v/>
      </c>
      <c r="AI2826" s="51" t="str">
        <f aca="false">IF(AND(AC2826=1,AA2826&lt;1),IF(AND(C2827=C2826,AA2827=AA2826+1),IF(AC2827=1,"",INDEX(DATAS,AA2826+1)),INDEX(DATAS,AA2826+1)),"")</f>
        <v/>
      </c>
    </row>
    <row r="2827" customFormat="false" ht="15" hidden="false" customHeight="false" outlineLevel="0" collapsed="false">
      <c r="A2827" s="51" t="n">
        <v>46309</v>
      </c>
      <c r="B2827" s="0" t="n">
        <v>13</v>
      </c>
      <c r="C2827" s="0" t="n">
        <v>7200</v>
      </c>
      <c r="E2827" s="0" t="n">
        <v>0</v>
      </c>
      <c r="F2827" s="46" t="s">
        <v>1408</v>
      </c>
      <c r="I2827" s="46" t="s">
        <v>179</v>
      </c>
      <c r="U2827" s="0" t="n">
        <v>313</v>
      </c>
      <c r="V2827" s="0" t="n">
        <v>0</v>
      </c>
      <c r="X2827" s="46" t="n">
        <f aca="false">IF(I2827="Male",0,1)</f>
        <v>1</v>
      </c>
      <c r="Y2827" s="46" t="n">
        <f aca="false">IF(OR(I2827="DNB",I2827="Dry DNB"),1,0)</f>
        <v>0</v>
      </c>
      <c r="Z2827" s="0" t="str">
        <f aca="false">IF(ISNUMBER(W2827),A2827-W2827,"")</f>
        <v/>
      </c>
      <c r="AA2827" s="46" t="n">
        <f aca="false">MATCH(A2827,DATAS,0)</f>
        <v>1</v>
      </c>
      <c r="AB2827" s="46" t="n">
        <f aca="false">IF(AND(E2827&gt;0,OR(AND(B2827&gt;=1,B2827&lt;=6),B2827=10)),1,0)</f>
        <v>0</v>
      </c>
      <c r="AC2827" s="46" t="n">
        <f aca="false">IF(AND(E2827&gt;0,B2827=10),1,0)</f>
        <v>0</v>
      </c>
      <c r="AD2827" s="0" t="str">
        <f aca="false">IF(AND(C2826=C2827,AA2826=AA2827-1),AB2826,"")</f>
        <v/>
      </c>
      <c r="AE2827" s="0" t="str">
        <f aca="false">IF(AND(C2826=C2827,AA2826=AA2827-1),AC2826,"")</f>
        <v/>
      </c>
      <c r="AF2827" s="0" t="str">
        <f aca="false">IF(AA2827=1,"",IF(AND(AB2827=1,AD2827&lt;&gt;1),1,0))</f>
        <v/>
      </c>
      <c r="AG2827" s="0" t="str">
        <f aca="false">IF(AA2827=1,"",IF(AND(AC2827=1,AE2827&lt;&gt;1),1,0))</f>
        <v/>
      </c>
      <c r="AH2827" s="51" t="str">
        <f aca="false">IF(AND(E2827&gt;0,AA2827&lt;1,NOT(AND(C2828=C2827,AA2828=AA2827+1))),INDEX(DATAS,AA2827+1),"")</f>
        <v/>
      </c>
      <c r="AI2827" s="51" t="str">
        <f aca="false">IF(AND(AC2827=1,AA2827&lt;1),IF(AND(C2828=C2827,AA2828=AA2827+1),IF(AC2828=1,"",INDEX(DATAS,AA2827+1)),INDEX(DATAS,AA2827+1)),"")</f>
        <v/>
      </c>
    </row>
    <row r="2828" customFormat="false" ht="15" hidden="false" customHeight="false" outlineLevel="0" collapsed="false">
      <c r="A2828" s="51" t="n">
        <v>46309</v>
      </c>
      <c r="B2828" s="0" t="n">
        <v>13</v>
      </c>
      <c r="C2828" s="0" t="n">
        <v>7201</v>
      </c>
      <c r="E2828" s="0" t="n">
        <v>0</v>
      </c>
      <c r="F2828" s="46" t="s">
        <v>1408</v>
      </c>
      <c r="I2828" s="46" t="s">
        <v>179</v>
      </c>
      <c r="U2828" s="0" t="n">
        <v>313</v>
      </c>
      <c r="V2828" s="0" t="n">
        <v>0</v>
      </c>
      <c r="X2828" s="46" t="n">
        <f aca="false">IF(I2828="Male",0,1)</f>
        <v>1</v>
      </c>
      <c r="Y2828" s="46" t="n">
        <f aca="false">IF(OR(I2828="DNB",I2828="Dry DNB"),1,0)</f>
        <v>0</v>
      </c>
      <c r="Z2828" s="0" t="str">
        <f aca="false">IF(ISNUMBER(W2828),A2828-W2828,"")</f>
        <v/>
      </c>
      <c r="AA2828" s="46" t="n">
        <f aca="false">MATCH(A2828,DATAS,0)</f>
        <v>1</v>
      </c>
      <c r="AB2828" s="46" t="n">
        <f aca="false">IF(AND(E2828&gt;0,OR(AND(B2828&gt;=1,B2828&lt;=6),B2828=10)),1,0)</f>
        <v>0</v>
      </c>
      <c r="AC2828" s="46" t="n">
        <f aca="false">IF(AND(E2828&gt;0,B2828=10),1,0)</f>
        <v>0</v>
      </c>
      <c r="AD2828" s="0" t="str">
        <f aca="false">IF(AND(C2827=C2828,AA2827=AA2828-1),AB2827,"")</f>
        <v/>
      </c>
      <c r="AE2828" s="0" t="str">
        <f aca="false">IF(AND(C2827=C2828,AA2827=AA2828-1),AC2827,"")</f>
        <v/>
      </c>
      <c r="AF2828" s="0" t="str">
        <f aca="false">IF(AA2828=1,"",IF(AND(AB2828=1,AD2828&lt;&gt;1),1,0))</f>
        <v/>
      </c>
      <c r="AG2828" s="0" t="str">
        <f aca="false">IF(AA2828=1,"",IF(AND(AC2828=1,AE2828&lt;&gt;1),1,0))</f>
        <v/>
      </c>
      <c r="AH2828" s="51" t="str">
        <f aca="false">IF(AND(E2828&gt;0,AA2828&lt;1,NOT(AND(C2829=C2828,AA2829=AA2828+1))),INDEX(DATAS,AA2828+1),"")</f>
        <v/>
      </c>
      <c r="AI2828" s="51" t="str">
        <f aca="false">IF(AND(AC2828=1,AA2828&lt;1),IF(AND(C2829=C2828,AA2829=AA2828+1),IF(AC2829=1,"",INDEX(DATAS,AA2828+1)),INDEX(DATAS,AA2828+1)),"")</f>
        <v/>
      </c>
    </row>
    <row r="2829" customFormat="false" ht="15" hidden="false" customHeight="false" outlineLevel="0" collapsed="false">
      <c r="A2829" s="51" t="n">
        <v>46309</v>
      </c>
      <c r="B2829" s="0" t="n">
        <v>13</v>
      </c>
      <c r="C2829" s="0" t="n">
        <v>7202</v>
      </c>
      <c r="E2829" s="0" t="n">
        <v>0</v>
      </c>
      <c r="F2829" s="46" t="s">
        <v>1408</v>
      </c>
      <c r="I2829" s="46" t="s">
        <v>179</v>
      </c>
      <c r="U2829" s="0" t="n">
        <v>313</v>
      </c>
      <c r="V2829" s="0" t="n">
        <v>0</v>
      </c>
      <c r="X2829" s="46" t="n">
        <f aca="false">IF(I2829="Male",0,1)</f>
        <v>1</v>
      </c>
      <c r="Y2829" s="46" t="n">
        <f aca="false">IF(OR(I2829="DNB",I2829="Dry DNB"),1,0)</f>
        <v>0</v>
      </c>
      <c r="Z2829" s="0" t="str">
        <f aca="false">IF(ISNUMBER(W2829),A2829-W2829,"")</f>
        <v/>
      </c>
      <c r="AA2829" s="46" t="n">
        <f aca="false">MATCH(A2829,DATAS,0)</f>
        <v>1</v>
      </c>
      <c r="AB2829" s="46" t="n">
        <f aca="false">IF(AND(E2829&gt;0,OR(AND(B2829&gt;=1,B2829&lt;=6),B2829=10)),1,0)</f>
        <v>0</v>
      </c>
      <c r="AC2829" s="46" t="n">
        <f aca="false">IF(AND(E2829&gt;0,B2829=10),1,0)</f>
        <v>0</v>
      </c>
      <c r="AD2829" s="0" t="str">
        <f aca="false">IF(AND(C2828=C2829,AA2828=AA2829-1),AB2828,"")</f>
        <v/>
      </c>
      <c r="AE2829" s="0" t="str">
        <f aca="false">IF(AND(C2828=C2829,AA2828=AA2829-1),AC2828,"")</f>
        <v/>
      </c>
      <c r="AF2829" s="0" t="str">
        <f aca="false">IF(AA2829=1,"",IF(AND(AB2829=1,AD2829&lt;&gt;1),1,0))</f>
        <v/>
      </c>
      <c r="AG2829" s="0" t="str">
        <f aca="false">IF(AA2829=1,"",IF(AND(AC2829=1,AE2829&lt;&gt;1),1,0))</f>
        <v/>
      </c>
      <c r="AH2829" s="51" t="str">
        <f aca="false">IF(AND(E2829&gt;0,AA2829&lt;1,NOT(AND(C2830=C2829,AA2830=AA2829+1))),INDEX(DATAS,AA2829+1),"")</f>
        <v/>
      </c>
      <c r="AI2829" s="51" t="str">
        <f aca="false">IF(AND(AC2829=1,AA2829&lt;1),IF(AND(C2830=C2829,AA2830=AA2829+1),IF(AC2830=1,"",INDEX(DATAS,AA2829+1)),INDEX(DATAS,AA2829+1)),"")</f>
        <v/>
      </c>
    </row>
    <row r="2830" customFormat="false" ht="15" hidden="false" customHeight="false" outlineLevel="0" collapsed="false">
      <c r="A2830" s="51" t="n">
        <v>46309</v>
      </c>
      <c r="B2830" s="0" t="n">
        <v>13</v>
      </c>
      <c r="C2830" s="0" t="n">
        <v>7203</v>
      </c>
      <c r="E2830" s="0" t="n">
        <v>0</v>
      </c>
      <c r="F2830" s="46" t="s">
        <v>1408</v>
      </c>
      <c r="I2830" s="46" t="s">
        <v>179</v>
      </c>
      <c r="U2830" s="0" t="n">
        <v>313</v>
      </c>
      <c r="V2830" s="0" t="n">
        <v>0</v>
      </c>
      <c r="X2830" s="46" t="n">
        <f aca="false">IF(I2830="Male",0,1)</f>
        <v>1</v>
      </c>
      <c r="Y2830" s="46" t="n">
        <f aca="false">IF(OR(I2830="DNB",I2830="Dry DNB"),1,0)</f>
        <v>0</v>
      </c>
      <c r="Z2830" s="0" t="str">
        <f aca="false">IF(ISNUMBER(W2830),A2830-W2830,"")</f>
        <v/>
      </c>
      <c r="AA2830" s="46" t="n">
        <f aca="false">MATCH(A2830,DATAS,0)</f>
        <v>1</v>
      </c>
      <c r="AB2830" s="46" t="n">
        <f aca="false">IF(AND(E2830&gt;0,OR(AND(B2830&gt;=1,B2830&lt;=6),B2830=10)),1,0)</f>
        <v>0</v>
      </c>
      <c r="AC2830" s="46" t="n">
        <f aca="false">IF(AND(E2830&gt;0,B2830=10),1,0)</f>
        <v>0</v>
      </c>
      <c r="AD2830" s="0" t="str">
        <f aca="false">IF(AND(C2829=C2830,AA2829=AA2830-1),AB2829,"")</f>
        <v/>
      </c>
      <c r="AE2830" s="0" t="str">
        <f aca="false">IF(AND(C2829=C2830,AA2829=AA2830-1),AC2829,"")</f>
        <v/>
      </c>
      <c r="AF2830" s="0" t="str">
        <f aca="false">IF(AA2830=1,"",IF(AND(AB2830=1,AD2830&lt;&gt;1),1,0))</f>
        <v/>
      </c>
      <c r="AG2830" s="0" t="str">
        <f aca="false">IF(AA2830=1,"",IF(AND(AC2830=1,AE2830&lt;&gt;1),1,0))</f>
        <v/>
      </c>
      <c r="AH2830" s="51" t="str">
        <f aca="false">IF(AND(E2830&gt;0,AA2830&lt;1,NOT(AND(C2831=C2830,AA2831=AA2830+1))),INDEX(DATAS,AA2830+1),"")</f>
        <v/>
      </c>
      <c r="AI2830" s="51" t="str">
        <f aca="false">IF(AND(AC2830=1,AA2830&lt;1),IF(AND(C2831=C2830,AA2831=AA2830+1),IF(AC2831=1,"",INDEX(DATAS,AA2830+1)),INDEX(DATAS,AA2830+1)),"")</f>
        <v/>
      </c>
    </row>
    <row r="2831" customFormat="false" ht="15" hidden="false" customHeight="false" outlineLevel="0" collapsed="false">
      <c r="A2831" s="51" t="n">
        <v>46309</v>
      </c>
      <c r="B2831" s="0" t="n">
        <v>13</v>
      </c>
      <c r="C2831" s="0" t="n">
        <v>7204</v>
      </c>
      <c r="E2831" s="0" t="n">
        <v>0</v>
      </c>
      <c r="F2831" s="46" t="s">
        <v>1409</v>
      </c>
      <c r="I2831" s="46" t="s">
        <v>179</v>
      </c>
      <c r="U2831" s="0" t="n">
        <v>311</v>
      </c>
      <c r="V2831" s="0" t="n">
        <v>0</v>
      </c>
      <c r="X2831" s="46" t="n">
        <f aca="false">IF(I2831="Male",0,1)</f>
        <v>1</v>
      </c>
      <c r="Y2831" s="46" t="n">
        <f aca="false">IF(OR(I2831="DNB",I2831="Dry DNB"),1,0)</f>
        <v>0</v>
      </c>
      <c r="Z2831" s="0" t="str">
        <f aca="false">IF(ISNUMBER(W2831),A2831-W2831,"")</f>
        <v/>
      </c>
      <c r="AA2831" s="46" t="n">
        <f aca="false">MATCH(A2831,DATAS,0)</f>
        <v>1</v>
      </c>
      <c r="AB2831" s="46" t="n">
        <f aca="false">IF(AND(E2831&gt;0,OR(AND(B2831&gt;=1,B2831&lt;=6),B2831=10)),1,0)</f>
        <v>0</v>
      </c>
      <c r="AC2831" s="46" t="n">
        <f aca="false">IF(AND(E2831&gt;0,B2831=10),1,0)</f>
        <v>0</v>
      </c>
      <c r="AD2831" s="0" t="str">
        <f aca="false">IF(AND(C2830=C2831,AA2830=AA2831-1),AB2830,"")</f>
        <v/>
      </c>
      <c r="AE2831" s="0" t="str">
        <f aca="false">IF(AND(C2830=C2831,AA2830=AA2831-1),AC2830,"")</f>
        <v/>
      </c>
      <c r="AF2831" s="0" t="str">
        <f aca="false">IF(AA2831=1,"",IF(AND(AB2831=1,AD2831&lt;&gt;1),1,0))</f>
        <v/>
      </c>
      <c r="AG2831" s="0" t="str">
        <f aca="false">IF(AA2831=1,"",IF(AND(AC2831=1,AE2831&lt;&gt;1),1,0))</f>
        <v/>
      </c>
      <c r="AH2831" s="51" t="str">
        <f aca="false">IF(AND(E2831&gt;0,AA2831&lt;1,NOT(AND(C2832=C2831,AA2832=AA2831+1))),INDEX(DATAS,AA2831+1),"")</f>
        <v/>
      </c>
      <c r="AI2831" s="51" t="str">
        <f aca="false">IF(AND(AC2831=1,AA2831&lt;1),IF(AND(C2832=C2831,AA2832=AA2831+1),IF(AC2832=1,"",INDEX(DATAS,AA2831+1)),INDEX(DATAS,AA2831+1)),"")</f>
        <v/>
      </c>
    </row>
    <row r="2832" customFormat="false" ht="15" hidden="false" customHeight="false" outlineLevel="0" collapsed="false">
      <c r="A2832" s="51" t="n">
        <v>46309</v>
      </c>
      <c r="B2832" s="0" t="n">
        <v>13</v>
      </c>
      <c r="C2832" s="0" t="n">
        <v>7205</v>
      </c>
      <c r="E2832" s="0" t="n">
        <v>0</v>
      </c>
      <c r="F2832" s="46" t="s">
        <v>1409</v>
      </c>
      <c r="I2832" s="46" t="s">
        <v>179</v>
      </c>
      <c r="U2832" s="0" t="n">
        <v>311</v>
      </c>
      <c r="V2832" s="0" t="n">
        <v>0</v>
      </c>
      <c r="X2832" s="46" t="n">
        <f aca="false">IF(I2832="Male",0,1)</f>
        <v>1</v>
      </c>
      <c r="Y2832" s="46" t="n">
        <f aca="false">IF(OR(I2832="DNB",I2832="Dry DNB"),1,0)</f>
        <v>0</v>
      </c>
      <c r="Z2832" s="0" t="str">
        <f aca="false">IF(ISNUMBER(W2832),A2832-W2832,"")</f>
        <v/>
      </c>
      <c r="AA2832" s="46" t="n">
        <f aca="false">MATCH(A2832,DATAS,0)</f>
        <v>1</v>
      </c>
      <c r="AB2832" s="46" t="n">
        <f aca="false">IF(AND(E2832&gt;0,OR(AND(B2832&gt;=1,B2832&lt;=6),B2832=10)),1,0)</f>
        <v>0</v>
      </c>
      <c r="AC2832" s="46" t="n">
        <f aca="false">IF(AND(E2832&gt;0,B2832=10),1,0)</f>
        <v>0</v>
      </c>
      <c r="AD2832" s="0" t="str">
        <f aca="false">IF(AND(C2831=C2832,AA2831=AA2832-1),AB2831,"")</f>
        <v/>
      </c>
      <c r="AE2832" s="0" t="str">
        <f aca="false">IF(AND(C2831=C2832,AA2831=AA2832-1),AC2831,"")</f>
        <v/>
      </c>
      <c r="AF2832" s="0" t="str">
        <f aca="false">IF(AA2832=1,"",IF(AND(AB2832=1,AD2832&lt;&gt;1),1,0))</f>
        <v/>
      </c>
      <c r="AG2832" s="0" t="str">
        <f aca="false">IF(AA2832=1,"",IF(AND(AC2832=1,AE2832&lt;&gt;1),1,0))</f>
        <v/>
      </c>
      <c r="AH2832" s="51" t="str">
        <f aca="false">IF(AND(E2832&gt;0,AA2832&lt;1,NOT(AND(C2833=C2832,AA2833=AA2832+1))),INDEX(DATAS,AA2832+1),"")</f>
        <v/>
      </c>
      <c r="AI2832" s="51" t="str">
        <f aca="false">IF(AND(AC2832=1,AA2832&lt;1),IF(AND(C2833=C2832,AA2833=AA2832+1),IF(AC2833=1,"",INDEX(DATAS,AA2832+1)),INDEX(DATAS,AA2832+1)),"")</f>
        <v/>
      </c>
    </row>
    <row r="2833" customFormat="false" ht="15" hidden="false" customHeight="false" outlineLevel="0" collapsed="false">
      <c r="A2833" s="51" t="n">
        <v>46309</v>
      </c>
      <c r="B2833" s="0" t="n">
        <v>13</v>
      </c>
      <c r="C2833" s="0" t="n">
        <v>7207</v>
      </c>
      <c r="E2833" s="0" t="n">
        <v>0</v>
      </c>
      <c r="F2833" s="46" t="s">
        <v>1409</v>
      </c>
      <c r="I2833" s="46" t="s">
        <v>179</v>
      </c>
      <c r="U2833" s="0" t="n">
        <v>311</v>
      </c>
      <c r="V2833" s="0" t="n">
        <v>0</v>
      </c>
      <c r="X2833" s="46" t="n">
        <f aca="false">IF(I2833="Male",0,1)</f>
        <v>1</v>
      </c>
      <c r="Y2833" s="46" t="n">
        <f aca="false">IF(OR(I2833="DNB",I2833="Dry DNB"),1,0)</f>
        <v>0</v>
      </c>
      <c r="Z2833" s="0" t="str">
        <f aca="false">IF(ISNUMBER(W2833),A2833-W2833,"")</f>
        <v/>
      </c>
      <c r="AA2833" s="46" t="n">
        <f aca="false">MATCH(A2833,DATAS,0)</f>
        <v>1</v>
      </c>
      <c r="AB2833" s="46" t="n">
        <f aca="false">IF(AND(E2833&gt;0,OR(AND(B2833&gt;=1,B2833&lt;=6),B2833=10)),1,0)</f>
        <v>0</v>
      </c>
      <c r="AC2833" s="46" t="n">
        <f aca="false">IF(AND(E2833&gt;0,B2833=10),1,0)</f>
        <v>0</v>
      </c>
      <c r="AD2833" s="0" t="str">
        <f aca="false">IF(AND(C2832=C2833,AA2832=AA2833-1),AB2832,"")</f>
        <v/>
      </c>
      <c r="AE2833" s="0" t="str">
        <f aca="false">IF(AND(C2832=C2833,AA2832=AA2833-1),AC2832,"")</f>
        <v/>
      </c>
      <c r="AF2833" s="0" t="str">
        <f aca="false">IF(AA2833=1,"",IF(AND(AB2833=1,AD2833&lt;&gt;1),1,0))</f>
        <v/>
      </c>
      <c r="AG2833" s="0" t="str">
        <f aca="false">IF(AA2833=1,"",IF(AND(AC2833=1,AE2833&lt;&gt;1),1,0))</f>
        <v/>
      </c>
      <c r="AH2833" s="51" t="str">
        <f aca="false">IF(AND(E2833&gt;0,AA2833&lt;1,NOT(AND(C2834=C2833,AA2834=AA2833+1))),INDEX(DATAS,AA2833+1),"")</f>
        <v/>
      </c>
      <c r="AI2833" s="51" t="str">
        <f aca="false">IF(AND(AC2833=1,AA2833&lt;1),IF(AND(C2834=C2833,AA2834=AA2833+1),IF(AC2834=1,"",INDEX(DATAS,AA2833+1)),INDEX(DATAS,AA2833+1)),"")</f>
        <v/>
      </c>
    </row>
    <row r="2834" customFormat="false" ht="15" hidden="false" customHeight="false" outlineLevel="0" collapsed="false">
      <c r="A2834" s="51" t="n">
        <v>46309</v>
      </c>
      <c r="B2834" s="0" t="n">
        <v>13</v>
      </c>
      <c r="C2834" s="0" t="n">
        <v>7208</v>
      </c>
      <c r="E2834" s="0" t="n">
        <v>0</v>
      </c>
      <c r="F2834" s="46" t="s">
        <v>1410</v>
      </c>
      <c r="I2834" s="46" t="s">
        <v>179</v>
      </c>
      <c r="U2834" s="0" t="n">
        <v>310</v>
      </c>
      <c r="V2834" s="0" t="n">
        <v>0</v>
      </c>
      <c r="X2834" s="46" t="n">
        <f aca="false">IF(I2834="Male",0,1)</f>
        <v>1</v>
      </c>
      <c r="Y2834" s="46" t="n">
        <f aca="false">IF(OR(I2834="DNB",I2834="Dry DNB"),1,0)</f>
        <v>0</v>
      </c>
      <c r="Z2834" s="0" t="str">
        <f aca="false">IF(ISNUMBER(W2834),A2834-W2834,"")</f>
        <v/>
      </c>
      <c r="AA2834" s="46" t="n">
        <f aca="false">MATCH(A2834,DATAS,0)</f>
        <v>1</v>
      </c>
      <c r="AB2834" s="46" t="n">
        <f aca="false">IF(AND(E2834&gt;0,OR(AND(B2834&gt;=1,B2834&lt;=6),B2834=10)),1,0)</f>
        <v>0</v>
      </c>
      <c r="AC2834" s="46" t="n">
        <f aca="false">IF(AND(E2834&gt;0,B2834=10),1,0)</f>
        <v>0</v>
      </c>
      <c r="AD2834" s="0" t="str">
        <f aca="false">IF(AND(C2833=C2834,AA2833=AA2834-1),AB2833,"")</f>
        <v/>
      </c>
      <c r="AE2834" s="0" t="str">
        <f aca="false">IF(AND(C2833=C2834,AA2833=AA2834-1),AC2833,"")</f>
        <v/>
      </c>
      <c r="AF2834" s="0" t="str">
        <f aca="false">IF(AA2834=1,"",IF(AND(AB2834=1,AD2834&lt;&gt;1),1,0))</f>
        <v/>
      </c>
      <c r="AG2834" s="0" t="str">
        <f aca="false">IF(AA2834=1,"",IF(AND(AC2834=1,AE2834&lt;&gt;1),1,0))</f>
        <v/>
      </c>
      <c r="AH2834" s="51" t="str">
        <f aca="false">IF(AND(E2834&gt;0,AA2834&lt;1,NOT(AND(C2835=C2834,AA2835=AA2834+1))),INDEX(DATAS,AA2834+1),"")</f>
        <v/>
      </c>
      <c r="AI2834" s="51" t="str">
        <f aca="false">IF(AND(AC2834=1,AA2834&lt;1),IF(AND(C2835=C2834,AA2835=AA2834+1),IF(AC2835=1,"",INDEX(DATAS,AA2834+1)),INDEX(DATAS,AA2834+1)),"")</f>
        <v/>
      </c>
    </row>
    <row r="2835" customFormat="false" ht="15" hidden="false" customHeight="false" outlineLevel="0" collapsed="false">
      <c r="A2835" s="51" t="n">
        <v>46309</v>
      </c>
      <c r="B2835" s="0" t="n">
        <v>13</v>
      </c>
      <c r="C2835" s="0" t="n">
        <v>7209</v>
      </c>
      <c r="E2835" s="0" t="n">
        <v>0</v>
      </c>
      <c r="F2835" s="46" t="s">
        <v>1411</v>
      </c>
      <c r="I2835" s="46" t="s">
        <v>179</v>
      </c>
      <c r="U2835" s="0" t="n">
        <v>309</v>
      </c>
      <c r="V2835" s="0" t="n">
        <v>0</v>
      </c>
      <c r="X2835" s="46" t="n">
        <f aca="false">IF(I2835="Male",0,1)</f>
        <v>1</v>
      </c>
      <c r="Y2835" s="46" t="n">
        <f aca="false">IF(OR(I2835="DNB",I2835="Dry DNB"),1,0)</f>
        <v>0</v>
      </c>
      <c r="Z2835" s="0" t="str">
        <f aca="false">IF(ISNUMBER(W2835),A2835-W2835,"")</f>
        <v/>
      </c>
      <c r="AA2835" s="46" t="n">
        <f aca="false">MATCH(A2835,DATAS,0)</f>
        <v>1</v>
      </c>
      <c r="AB2835" s="46" t="n">
        <f aca="false">IF(AND(E2835&gt;0,OR(AND(B2835&gt;=1,B2835&lt;=6),B2835=10)),1,0)</f>
        <v>0</v>
      </c>
      <c r="AC2835" s="46" t="n">
        <f aca="false">IF(AND(E2835&gt;0,B2835=10),1,0)</f>
        <v>0</v>
      </c>
      <c r="AD2835" s="0" t="str">
        <f aca="false">IF(AND(C2834=C2835,AA2834=AA2835-1),AB2834,"")</f>
        <v/>
      </c>
      <c r="AE2835" s="0" t="str">
        <f aca="false">IF(AND(C2834=C2835,AA2834=AA2835-1),AC2834,"")</f>
        <v/>
      </c>
      <c r="AF2835" s="0" t="str">
        <f aca="false">IF(AA2835=1,"",IF(AND(AB2835=1,AD2835&lt;&gt;1),1,0))</f>
        <v/>
      </c>
      <c r="AG2835" s="0" t="str">
        <f aca="false">IF(AA2835=1,"",IF(AND(AC2835=1,AE2835&lt;&gt;1),1,0))</f>
        <v/>
      </c>
      <c r="AH2835" s="51" t="str">
        <f aca="false">IF(AND(E2835&gt;0,AA2835&lt;1,NOT(AND(C2836=C2835,AA2836=AA2835+1))),INDEX(DATAS,AA2835+1),"")</f>
        <v/>
      </c>
      <c r="AI2835" s="51" t="str">
        <f aca="false">IF(AND(AC2835=1,AA2835&lt;1),IF(AND(C2836=C2835,AA2836=AA2835+1),IF(AC2836=1,"",INDEX(DATAS,AA2835+1)),INDEX(DATAS,AA2835+1)),"")</f>
        <v/>
      </c>
    </row>
    <row r="2836" customFormat="false" ht="15" hidden="false" customHeight="false" outlineLevel="0" collapsed="false">
      <c r="A2836" s="51" t="n">
        <v>46309</v>
      </c>
      <c r="B2836" s="0" t="n">
        <v>13</v>
      </c>
      <c r="C2836" s="0" t="n">
        <v>7210</v>
      </c>
      <c r="E2836" s="0" t="n">
        <v>0</v>
      </c>
      <c r="F2836" s="46" t="s">
        <v>1411</v>
      </c>
      <c r="I2836" s="46" t="s">
        <v>179</v>
      </c>
      <c r="U2836" s="0" t="n">
        <v>309</v>
      </c>
      <c r="V2836" s="0" t="n">
        <v>0</v>
      </c>
      <c r="X2836" s="46" t="n">
        <f aca="false">IF(I2836="Male",0,1)</f>
        <v>1</v>
      </c>
      <c r="Y2836" s="46" t="n">
        <f aca="false">IF(OR(I2836="DNB",I2836="Dry DNB"),1,0)</f>
        <v>0</v>
      </c>
      <c r="Z2836" s="0" t="str">
        <f aca="false">IF(ISNUMBER(W2836),A2836-W2836,"")</f>
        <v/>
      </c>
      <c r="AA2836" s="46" t="n">
        <f aca="false">MATCH(A2836,DATAS,0)</f>
        <v>1</v>
      </c>
      <c r="AB2836" s="46" t="n">
        <f aca="false">IF(AND(E2836&gt;0,OR(AND(B2836&gt;=1,B2836&lt;=6),B2836=10)),1,0)</f>
        <v>0</v>
      </c>
      <c r="AC2836" s="46" t="n">
        <f aca="false">IF(AND(E2836&gt;0,B2836=10),1,0)</f>
        <v>0</v>
      </c>
      <c r="AD2836" s="0" t="str">
        <f aca="false">IF(AND(C2835=C2836,AA2835=AA2836-1),AB2835,"")</f>
        <v/>
      </c>
      <c r="AE2836" s="0" t="str">
        <f aca="false">IF(AND(C2835=C2836,AA2835=AA2836-1),AC2835,"")</f>
        <v/>
      </c>
      <c r="AF2836" s="0" t="str">
        <f aca="false">IF(AA2836=1,"",IF(AND(AB2836=1,AD2836&lt;&gt;1),1,0))</f>
        <v/>
      </c>
      <c r="AG2836" s="0" t="str">
        <f aca="false">IF(AA2836=1,"",IF(AND(AC2836=1,AE2836&lt;&gt;1),1,0))</f>
        <v/>
      </c>
      <c r="AH2836" s="51" t="str">
        <f aca="false">IF(AND(E2836&gt;0,AA2836&lt;1,NOT(AND(C2837=C2836,AA2837=AA2836+1))),INDEX(DATAS,AA2836+1),"")</f>
        <v/>
      </c>
      <c r="AI2836" s="51" t="str">
        <f aca="false">IF(AND(AC2836=1,AA2836&lt;1),IF(AND(C2837=C2836,AA2837=AA2836+1),IF(AC2837=1,"",INDEX(DATAS,AA2836+1)),INDEX(DATAS,AA2836+1)),"")</f>
        <v/>
      </c>
    </row>
    <row r="2837" customFormat="false" ht="15" hidden="false" customHeight="false" outlineLevel="0" collapsed="false">
      <c r="A2837" s="51" t="n">
        <v>46309</v>
      </c>
      <c r="B2837" s="0" t="n">
        <v>13</v>
      </c>
      <c r="C2837" s="0" t="n">
        <v>7211</v>
      </c>
      <c r="E2837" s="0" t="n">
        <v>0</v>
      </c>
      <c r="F2837" s="46" t="s">
        <v>1411</v>
      </c>
      <c r="I2837" s="46" t="s">
        <v>179</v>
      </c>
      <c r="U2837" s="0" t="n">
        <v>309</v>
      </c>
      <c r="V2837" s="0" t="n">
        <v>0</v>
      </c>
      <c r="X2837" s="46" t="n">
        <f aca="false">IF(I2837="Male",0,1)</f>
        <v>1</v>
      </c>
      <c r="Y2837" s="46" t="n">
        <f aca="false">IF(OR(I2837="DNB",I2837="Dry DNB"),1,0)</f>
        <v>0</v>
      </c>
      <c r="Z2837" s="0" t="str">
        <f aca="false">IF(ISNUMBER(W2837),A2837-W2837,"")</f>
        <v/>
      </c>
      <c r="AA2837" s="46" t="n">
        <f aca="false">MATCH(A2837,DATAS,0)</f>
        <v>1</v>
      </c>
      <c r="AB2837" s="46" t="n">
        <f aca="false">IF(AND(E2837&gt;0,OR(AND(B2837&gt;=1,B2837&lt;=6),B2837=10)),1,0)</f>
        <v>0</v>
      </c>
      <c r="AC2837" s="46" t="n">
        <f aca="false">IF(AND(E2837&gt;0,B2837=10),1,0)</f>
        <v>0</v>
      </c>
      <c r="AD2837" s="0" t="str">
        <f aca="false">IF(AND(C2836=C2837,AA2836=AA2837-1),AB2836,"")</f>
        <v/>
      </c>
      <c r="AE2837" s="0" t="str">
        <f aca="false">IF(AND(C2836=C2837,AA2836=AA2837-1),AC2836,"")</f>
        <v/>
      </c>
      <c r="AF2837" s="0" t="str">
        <f aca="false">IF(AA2837=1,"",IF(AND(AB2837=1,AD2837&lt;&gt;1),1,0))</f>
        <v/>
      </c>
      <c r="AG2837" s="0" t="str">
        <f aca="false">IF(AA2837=1,"",IF(AND(AC2837=1,AE2837&lt;&gt;1),1,0))</f>
        <v/>
      </c>
      <c r="AH2837" s="51" t="str">
        <f aca="false">IF(AND(E2837&gt;0,AA2837&lt;1,NOT(AND(C2838=C2837,AA2838=AA2837+1))),INDEX(DATAS,AA2837+1),"")</f>
        <v/>
      </c>
      <c r="AI2837" s="51" t="str">
        <f aca="false">IF(AND(AC2837=1,AA2837&lt;1),IF(AND(C2838=C2837,AA2838=AA2837+1),IF(AC2838=1,"",INDEX(DATAS,AA2837+1)),INDEX(DATAS,AA2837+1)),"")</f>
        <v/>
      </c>
    </row>
    <row r="2838" customFormat="false" ht="15" hidden="false" customHeight="false" outlineLevel="0" collapsed="false">
      <c r="A2838" s="51" t="n">
        <v>46309</v>
      </c>
      <c r="B2838" s="0" t="n">
        <v>13</v>
      </c>
      <c r="C2838" s="0" t="n">
        <v>7212</v>
      </c>
      <c r="E2838" s="0" t="n">
        <v>0</v>
      </c>
      <c r="F2838" s="46" t="s">
        <v>1412</v>
      </c>
      <c r="I2838" s="46" t="s">
        <v>179</v>
      </c>
      <c r="U2838" s="0" t="n">
        <v>308</v>
      </c>
      <c r="V2838" s="0" t="n">
        <v>0</v>
      </c>
      <c r="X2838" s="46" t="n">
        <f aca="false">IF(I2838="Male",0,1)</f>
        <v>1</v>
      </c>
      <c r="Y2838" s="46" t="n">
        <f aca="false">IF(OR(I2838="DNB",I2838="Dry DNB"),1,0)</f>
        <v>0</v>
      </c>
      <c r="Z2838" s="0" t="str">
        <f aca="false">IF(ISNUMBER(W2838),A2838-W2838,"")</f>
        <v/>
      </c>
      <c r="AA2838" s="46" t="n">
        <f aca="false">MATCH(A2838,DATAS,0)</f>
        <v>1</v>
      </c>
      <c r="AB2838" s="46" t="n">
        <f aca="false">IF(AND(E2838&gt;0,OR(AND(B2838&gt;=1,B2838&lt;=6),B2838=10)),1,0)</f>
        <v>0</v>
      </c>
      <c r="AC2838" s="46" t="n">
        <f aca="false">IF(AND(E2838&gt;0,B2838=10),1,0)</f>
        <v>0</v>
      </c>
      <c r="AD2838" s="0" t="str">
        <f aca="false">IF(AND(C2837=C2838,AA2837=AA2838-1),AB2837,"")</f>
        <v/>
      </c>
      <c r="AE2838" s="0" t="str">
        <f aca="false">IF(AND(C2837=C2838,AA2837=AA2838-1),AC2837,"")</f>
        <v/>
      </c>
      <c r="AF2838" s="0" t="str">
        <f aca="false">IF(AA2838=1,"",IF(AND(AB2838=1,AD2838&lt;&gt;1),1,0))</f>
        <v/>
      </c>
      <c r="AG2838" s="0" t="str">
        <f aca="false">IF(AA2838=1,"",IF(AND(AC2838=1,AE2838&lt;&gt;1),1,0))</f>
        <v/>
      </c>
      <c r="AH2838" s="51" t="str">
        <f aca="false">IF(AND(E2838&gt;0,AA2838&lt;1,NOT(AND(C2839=C2838,AA2839=AA2838+1))),INDEX(DATAS,AA2838+1),"")</f>
        <v/>
      </c>
      <c r="AI2838" s="51" t="str">
        <f aca="false">IF(AND(AC2838=1,AA2838&lt;1),IF(AND(C2839=C2838,AA2839=AA2838+1),IF(AC2839=1,"",INDEX(DATAS,AA2838+1)),INDEX(DATAS,AA2838+1)),"")</f>
        <v/>
      </c>
    </row>
    <row r="2839" customFormat="false" ht="15" hidden="false" customHeight="false" outlineLevel="0" collapsed="false">
      <c r="A2839" s="51" t="n">
        <v>46309</v>
      </c>
      <c r="B2839" s="0" t="n">
        <v>13</v>
      </c>
      <c r="C2839" s="0" t="n">
        <v>7213</v>
      </c>
      <c r="E2839" s="0" t="n">
        <v>0</v>
      </c>
      <c r="F2839" s="46" t="s">
        <v>1412</v>
      </c>
      <c r="I2839" s="46" t="s">
        <v>179</v>
      </c>
      <c r="U2839" s="0" t="n">
        <v>308</v>
      </c>
      <c r="V2839" s="0" t="n">
        <v>0</v>
      </c>
      <c r="X2839" s="46" t="n">
        <f aca="false">IF(I2839="Male",0,1)</f>
        <v>1</v>
      </c>
      <c r="Y2839" s="46" t="n">
        <f aca="false">IF(OR(I2839="DNB",I2839="Dry DNB"),1,0)</f>
        <v>0</v>
      </c>
      <c r="Z2839" s="0" t="str">
        <f aca="false">IF(ISNUMBER(W2839),A2839-W2839,"")</f>
        <v/>
      </c>
      <c r="AA2839" s="46" t="n">
        <f aca="false">MATCH(A2839,DATAS,0)</f>
        <v>1</v>
      </c>
      <c r="AB2839" s="46" t="n">
        <f aca="false">IF(AND(E2839&gt;0,OR(AND(B2839&gt;=1,B2839&lt;=6),B2839=10)),1,0)</f>
        <v>0</v>
      </c>
      <c r="AC2839" s="46" t="n">
        <f aca="false">IF(AND(E2839&gt;0,B2839=10),1,0)</f>
        <v>0</v>
      </c>
      <c r="AD2839" s="0" t="str">
        <f aca="false">IF(AND(C2838=C2839,AA2838=AA2839-1),AB2838,"")</f>
        <v/>
      </c>
      <c r="AE2839" s="0" t="str">
        <f aca="false">IF(AND(C2838=C2839,AA2838=AA2839-1),AC2838,"")</f>
        <v/>
      </c>
      <c r="AF2839" s="0" t="str">
        <f aca="false">IF(AA2839=1,"",IF(AND(AB2839=1,AD2839&lt;&gt;1),1,0))</f>
        <v/>
      </c>
      <c r="AG2839" s="0" t="str">
        <f aca="false">IF(AA2839=1,"",IF(AND(AC2839=1,AE2839&lt;&gt;1),1,0))</f>
        <v/>
      </c>
      <c r="AH2839" s="51" t="str">
        <f aca="false">IF(AND(E2839&gt;0,AA2839&lt;1,NOT(AND(C2840=C2839,AA2840=AA2839+1))),INDEX(DATAS,AA2839+1),"")</f>
        <v/>
      </c>
      <c r="AI2839" s="51" t="str">
        <f aca="false">IF(AND(AC2839=1,AA2839&lt;1),IF(AND(C2840=C2839,AA2840=AA2839+1),IF(AC2840=1,"",INDEX(DATAS,AA2839+1)),INDEX(DATAS,AA2839+1)),"")</f>
        <v/>
      </c>
    </row>
    <row r="2840" customFormat="false" ht="15" hidden="false" customHeight="false" outlineLevel="0" collapsed="false">
      <c r="A2840" s="51" t="n">
        <v>46309</v>
      </c>
      <c r="B2840" s="0" t="n">
        <v>13</v>
      </c>
      <c r="C2840" s="0" t="n">
        <v>7214</v>
      </c>
      <c r="E2840" s="0" t="n">
        <v>0</v>
      </c>
      <c r="F2840" s="46" t="s">
        <v>1413</v>
      </c>
      <c r="I2840" s="46" t="s">
        <v>179</v>
      </c>
      <c r="U2840" s="0" t="n">
        <v>307</v>
      </c>
      <c r="V2840" s="0" t="n">
        <v>0</v>
      </c>
      <c r="X2840" s="46" t="n">
        <f aca="false">IF(I2840="Male",0,1)</f>
        <v>1</v>
      </c>
      <c r="Y2840" s="46" t="n">
        <f aca="false">IF(OR(I2840="DNB",I2840="Dry DNB"),1,0)</f>
        <v>0</v>
      </c>
      <c r="Z2840" s="0" t="str">
        <f aca="false">IF(ISNUMBER(W2840),A2840-W2840,"")</f>
        <v/>
      </c>
      <c r="AA2840" s="46" t="n">
        <f aca="false">MATCH(A2840,DATAS,0)</f>
        <v>1</v>
      </c>
      <c r="AB2840" s="46" t="n">
        <f aca="false">IF(AND(E2840&gt;0,OR(AND(B2840&gt;=1,B2840&lt;=6),B2840=10)),1,0)</f>
        <v>0</v>
      </c>
      <c r="AC2840" s="46" t="n">
        <f aca="false">IF(AND(E2840&gt;0,B2840=10),1,0)</f>
        <v>0</v>
      </c>
      <c r="AD2840" s="0" t="str">
        <f aca="false">IF(AND(C2839=C2840,AA2839=AA2840-1),AB2839,"")</f>
        <v/>
      </c>
      <c r="AE2840" s="0" t="str">
        <f aca="false">IF(AND(C2839=C2840,AA2839=AA2840-1),AC2839,"")</f>
        <v/>
      </c>
      <c r="AF2840" s="0" t="str">
        <f aca="false">IF(AA2840=1,"",IF(AND(AB2840=1,AD2840&lt;&gt;1),1,0))</f>
        <v/>
      </c>
      <c r="AG2840" s="0" t="str">
        <f aca="false">IF(AA2840=1,"",IF(AND(AC2840=1,AE2840&lt;&gt;1),1,0))</f>
        <v/>
      </c>
      <c r="AH2840" s="51" t="str">
        <f aca="false">IF(AND(E2840&gt;0,AA2840&lt;1,NOT(AND(C2841=C2840,AA2841=AA2840+1))),INDEX(DATAS,AA2840+1),"")</f>
        <v/>
      </c>
      <c r="AI2840" s="51" t="str">
        <f aca="false">IF(AND(AC2840=1,AA2840&lt;1),IF(AND(C2841=C2840,AA2841=AA2840+1),IF(AC2841=1,"",INDEX(DATAS,AA2840+1)),INDEX(DATAS,AA2840+1)),"")</f>
        <v/>
      </c>
    </row>
    <row r="2841" customFormat="false" ht="15" hidden="false" customHeight="false" outlineLevel="0" collapsed="false">
      <c r="A2841" s="51" t="n">
        <v>46309</v>
      </c>
      <c r="B2841" s="0" t="n">
        <v>13</v>
      </c>
      <c r="C2841" s="0" t="n">
        <v>7215</v>
      </c>
      <c r="E2841" s="0" t="n">
        <v>0</v>
      </c>
      <c r="F2841" s="46" t="s">
        <v>1413</v>
      </c>
      <c r="I2841" s="46" t="s">
        <v>179</v>
      </c>
      <c r="U2841" s="0" t="n">
        <v>307</v>
      </c>
      <c r="V2841" s="0" t="n">
        <v>0</v>
      </c>
      <c r="X2841" s="46" t="n">
        <f aca="false">IF(I2841="Male",0,1)</f>
        <v>1</v>
      </c>
      <c r="Y2841" s="46" t="n">
        <f aca="false">IF(OR(I2841="DNB",I2841="Dry DNB"),1,0)</f>
        <v>0</v>
      </c>
      <c r="Z2841" s="0" t="str">
        <f aca="false">IF(ISNUMBER(W2841),A2841-W2841,"")</f>
        <v/>
      </c>
      <c r="AA2841" s="46" t="n">
        <f aca="false">MATCH(A2841,DATAS,0)</f>
        <v>1</v>
      </c>
      <c r="AB2841" s="46" t="n">
        <f aca="false">IF(AND(E2841&gt;0,OR(AND(B2841&gt;=1,B2841&lt;=6),B2841=10)),1,0)</f>
        <v>0</v>
      </c>
      <c r="AC2841" s="46" t="n">
        <f aca="false">IF(AND(E2841&gt;0,B2841=10),1,0)</f>
        <v>0</v>
      </c>
      <c r="AD2841" s="0" t="str">
        <f aca="false">IF(AND(C2840=C2841,AA2840=AA2841-1),AB2840,"")</f>
        <v/>
      </c>
      <c r="AE2841" s="0" t="str">
        <f aca="false">IF(AND(C2840=C2841,AA2840=AA2841-1),AC2840,"")</f>
        <v/>
      </c>
      <c r="AF2841" s="0" t="str">
        <f aca="false">IF(AA2841=1,"",IF(AND(AB2841=1,AD2841&lt;&gt;1),1,0))</f>
        <v/>
      </c>
      <c r="AG2841" s="0" t="str">
        <f aca="false">IF(AA2841=1,"",IF(AND(AC2841=1,AE2841&lt;&gt;1),1,0))</f>
        <v/>
      </c>
      <c r="AH2841" s="51" t="str">
        <f aca="false">IF(AND(E2841&gt;0,AA2841&lt;1,NOT(AND(C2842=C2841,AA2842=AA2841+1))),INDEX(DATAS,AA2841+1),"")</f>
        <v/>
      </c>
      <c r="AI2841" s="51" t="str">
        <f aca="false">IF(AND(AC2841=1,AA2841&lt;1),IF(AND(C2842=C2841,AA2842=AA2841+1),IF(AC2842=1,"",INDEX(DATAS,AA2841+1)),INDEX(DATAS,AA2841+1)),"")</f>
        <v/>
      </c>
    </row>
    <row r="2842" customFormat="false" ht="15" hidden="false" customHeight="false" outlineLevel="0" collapsed="false">
      <c r="A2842" s="51" t="n">
        <v>46309</v>
      </c>
      <c r="B2842" s="0" t="n">
        <v>13</v>
      </c>
      <c r="C2842" s="0" t="n">
        <v>7216</v>
      </c>
      <c r="E2842" s="0" t="n">
        <v>0</v>
      </c>
      <c r="F2842" s="46" t="s">
        <v>1413</v>
      </c>
      <c r="I2842" s="46" t="s">
        <v>179</v>
      </c>
      <c r="U2842" s="0" t="n">
        <v>307</v>
      </c>
      <c r="V2842" s="0" t="n">
        <v>0</v>
      </c>
      <c r="X2842" s="46" t="n">
        <f aca="false">IF(I2842="Male",0,1)</f>
        <v>1</v>
      </c>
      <c r="Y2842" s="46" t="n">
        <f aca="false">IF(OR(I2842="DNB",I2842="Dry DNB"),1,0)</f>
        <v>0</v>
      </c>
      <c r="Z2842" s="0" t="str">
        <f aca="false">IF(ISNUMBER(W2842),A2842-W2842,"")</f>
        <v/>
      </c>
      <c r="AA2842" s="46" t="n">
        <f aca="false">MATCH(A2842,DATAS,0)</f>
        <v>1</v>
      </c>
      <c r="AB2842" s="46" t="n">
        <f aca="false">IF(AND(E2842&gt;0,OR(AND(B2842&gt;=1,B2842&lt;=6),B2842=10)),1,0)</f>
        <v>0</v>
      </c>
      <c r="AC2842" s="46" t="n">
        <f aca="false">IF(AND(E2842&gt;0,B2842=10),1,0)</f>
        <v>0</v>
      </c>
      <c r="AD2842" s="0" t="str">
        <f aca="false">IF(AND(C2841=C2842,AA2841=AA2842-1),AB2841,"")</f>
        <v/>
      </c>
      <c r="AE2842" s="0" t="str">
        <f aca="false">IF(AND(C2841=C2842,AA2841=AA2842-1),AC2841,"")</f>
        <v/>
      </c>
      <c r="AF2842" s="0" t="str">
        <f aca="false">IF(AA2842=1,"",IF(AND(AB2842=1,AD2842&lt;&gt;1),1,0))</f>
        <v/>
      </c>
      <c r="AG2842" s="0" t="str">
        <f aca="false">IF(AA2842=1,"",IF(AND(AC2842=1,AE2842&lt;&gt;1),1,0))</f>
        <v/>
      </c>
      <c r="AH2842" s="51" t="str">
        <f aca="false">IF(AND(E2842&gt;0,AA2842&lt;1,NOT(AND(C2843=C2842,AA2843=AA2842+1))),INDEX(DATAS,AA2842+1),"")</f>
        <v/>
      </c>
      <c r="AI2842" s="51" t="str">
        <f aca="false">IF(AND(AC2842=1,AA2842&lt;1),IF(AND(C2843=C2842,AA2843=AA2842+1),IF(AC2843=1,"",INDEX(DATAS,AA2842+1)),INDEX(DATAS,AA2842+1)),"")</f>
        <v/>
      </c>
    </row>
    <row r="2843" customFormat="false" ht="15" hidden="false" customHeight="false" outlineLevel="0" collapsed="false">
      <c r="A2843" s="51" t="n">
        <v>46309</v>
      </c>
      <c r="B2843" s="0" t="n">
        <v>13</v>
      </c>
      <c r="C2843" s="0" t="n">
        <v>7217</v>
      </c>
      <c r="E2843" s="0" t="n">
        <v>0</v>
      </c>
      <c r="F2843" s="46" t="s">
        <v>1414</v>
      </c>
      <c r="I2843" s="46" t="s">
        <v>179</v>
      </c>
      <c r="U2843" s="0" t="n">
        <v>306</v>
      </c>
      <c r="V2843" s="0" t="n">
        <v>0</v>
      </c>
      <c r="X2843" s="46" t="n">
        <f aca="false">IF(I2843="Male",0,1)</f>
        <v>1</v>
      </c>
      <c r="Y2843" s="46" t="n">
        <f aca="false">IF(OR(I2843="DNB",I2843="Dry DNB"),1,0)</f>
        <v>0</v>
      </c>
      <c r="Z2843" s="0" t="str">
        <f aca="false">IF(ISNUMBER(W2843),A2843-W2843,"")</f>
        <v/>
      </c>
      <c r="AA2843" s="46" t="n">
        <f aca="false">MATCH(A2843,DATAS,0)</f>
        <v>1</v>
      </c>
      <c r="AB2843" s="46" t="n">
        <f aca="false">IF(AND(E2843&gt;0,OR(AND(B2843&gt;=1,B2843&lt;=6),B2843=10)),1,0)</f>
        <v>0</v>
      </c>
      <c r="AC2843" s="46" t="n">
        <f aca="false">IF(AND(E2843&gt;0,B2843=10),1,0)</f>
        <v>0</v>
      </c>
      <c r="AD2843" s="0" t="str">
        <f aca="false">IF(AND(C2842=C2843,AA2842=AA2843-1),AB2842,"")</f>
        <v/>
      </c>
      <c r="AE2843" s="0" t="str">
        <f aca="false">IF(AND(C2842=C2843,AA2842=AA2843-1),AC2842,"")</f>
        <v/>
      </c>
      <c r="AF2843" s="0" t="str">
        <f aca="false">IF(AA2843=1,"",IF(AND(AB2843=1,AD2843&lt;&gt;1),1,0))</f>
        <v/>
      </c>
      <c r="AG2843" s="0" t="str">
        <f aca="false">IF(AA2843=1,"",IF(AND(AC2843=1,AE2843&lt;&gt;1),1,0))</f>
        <v/>
      </c>
      <c r="AH2843" s="51" t="str">
        <f aca="false">IF(AND(E2843&gt;0,AA2843&lt;1,NOT(AND(C2844=C2843,AA2844=AA2843+1))),INDEX(DATAS,AA2843+1),"")</f>
        <v/>
      </c>
      <c r="AI2843" s="51" t="str">
        <f aca="false">IF(AND(AC2843=1,AA2843&lt;1),IF(AND(C2844=C2843,AA2844=AA2843+1),IF(AC2844=1,"",INDEX(DATAS,AA2843+1)),INDEX(DATAS,AA2843+1)),"")</f>
        <v/>
      </c>
    </row>
    <row r="2844" customFormat="false" ht="15" hidden="false" customHeight="false" outlineLevel="0" collapsed="false">
      <c r="A2844" s="51" t="n">
        <v>46309</v>
      </c>
      <c r="B2844" s="0" t="n">
        <v>13</v>
      </c>
      <c r="C2844" s="0" t="n">
        <v>7218</v>
      </c>
      <c r="E2844" s="0" t="n">
        <v>0</v>
      </c>
      <c r="F2844" s="46" t="s">
        <v>1414</v>
      </c>
      <c r="I2844" s="46" t="s">
        <v>179</v>
      </c>
      <c r="U2844" s="0" t="n">
        <v>306</v>
      </c>
      <c r="V2844" s="0" t="n">
        <v>0</v>
      </c>
      <c r="X2844" s="46" t="n">
        <f aca="false">IF(I2844="Male",0,1)</f>
        <v>1</v>
      </c>
      <c r="Y2844" s="46" t="n">
        <f aca="false">IF(OR(I2844="DNB",I2844="Dry DNB"),1,0)</f>
        <v>0</v>
      </c>
      <c r="Z2844" s="0" t="str">
        <f aca="false">IF(ISNUMBER(W2844),A2844-W2844,"")</f>
        <v/>
      </c>
      <c r="AA2844" s="46" t="n">
        <f aca="false">MATCH(A2844,DATAS,0)</f>
        <v>1</v>
      </c>
      <c r="AB2844" s="46" t="n">
        <f aca="false">IF(AND(E2844&gt;0,OR(AND(B2844&gt;=1,B2844&lt;=6),B2844=10)),1,0)</f>
        <v>0</v>
      </c>
      <c r="AC2844" s="46" t="n">
        <f aca="false">IF(AND(E2844&gt;0,B2844=10),1,0)</f>
        <v>0</v>
      </c>
      <c r="AD2844" s="0" t="str">
        <f aca="false">IF(AND(C2843=C2844,AA2843=AA2844-1),AB2843,"")</f>
        <v/>
      </c>
      <c r="AE2844" s="0" t="str">
        <f aca="false">IF(AND(C2843=C2844,AA2843=AA2844-1),AC2843,"")</f>
        <v/>
      </c>
      <c r="AF2844" s="0" t="str">
        <f aca="false">IF(AA2844=1,"",IF(AND(AB2844=1,AD2844&lt;&gt;1),1,0))</f>
        <v/>
      </c>
      <c r="AG2844" s="0" t="str">
        <f aca="false">IF(AA2844=1,"",IF(AND(AC2844=1,AE2844&lt;&gt;1),1,0))</f>
        <v/>
      </c>
      <c r="AH2844" s="51" t="str">
        <f aca="false">IF(AND(E2844&gt;0,AA2844&lt;1,NOT(AND(C2845=C2844,AA2845=AA2844+1))),INDEX(DATAS,AA2844+1),"")</f>
        <v/>
      </c>
      <c r="AI2844" s="51" t="str">
        <f aca="false">IF(AND(AC2844=1,AA2844&lt;1),IF(AND(C2845=C2844,AA2845=AA2844+1),IF(AC2845=1,"",INDEX(DATAS,AA2844+1)),INDEX(DATAS,AA2844+1)),"")</f>
        <v/>
      </c>
    </row>
    <row r="2845" customFormat="false" ht="15" hidden="false" customHeight="false" outlineLevel="0" collapsed="false">
      <c r="A2845" s="51" t="n">
        <v>46309</v>
      </c>
      <c r="B2845" s="0" t="n">
        <v>13</v>
      </c>
      <c r="C2845" s="0" t="n">
        <v>7219</v>
      </c>
      <c r="E2845" s="0" t="n">
        <v>0</v>
      </c>
      <c r="F2845" s="46" t="s">
        <v>1414</v>
      </c>
      <c r="I2845" s="46" t="s">
        <v>179</v>
      </c>
      <c r="U2845" s="0" t="n">
        <v>306</v>
      </c>
      <c r="V2845" s="0" t="n">
        <v>0</v>
      </c>
      <c r="X2845" s="46" t="n">
        <f aca="false">IF(I2845="Male",0,1)</f>
        <v>1</v>
      </c>
      <c r="Y2845" s="46" t="n">
        <f aca="false">IF(OR(I2845="DNB",I2845="Dry DNB"),1,0)</f>
        <v>0</v>
      </c>
      <c r="Z2845" s="0" t="str">
        <f aca="false">IF(ISNUMBER(W2845),A2845-W2845,"")</f>
        <v/>
      </c>
      <c r="AA2845" s="46" t="n">
        <f aca="false">MATCH(A2845,DATAS,0)</f>
        <v>1</v>
      </c>
      <c r="AB2845" s="46" t="n">
        <f aca="false">IF(AND(E2845&gt;0,OR(AND(B2845&gt;=1,B2845&lt;=6),B2845=10)),1,0)</f>
        <v>0</v>
      </c>
      <c r="AC2845" s="46" t="n">
        <f aca="false">IF(AND(E2845&gt;0,B2845=10),1,0)</f>
        <v>0</v>
      </c>
      <c r="AD2845" s="0" t="str">
        <f aca="false">IF(AND(C2844=C2845,AA2844=AA2845-1),AB2844,"")</f>
        <v/>
      </c>
      <c r="AE2845" s="0" t="str">
        <f aca="false">IF(AND(C2844=C2845,AA2844=AA2845-1),AC2844,"")</f>
        <v/>
      </c>
      <c r="AF2845" s="0" t="str">
        <f aca="false">IF(AA2845=1,"",IF(AND(AB2845=1,AD2845&lt;&gt;1),1,0))</f>
        <v/>
      </c>
      <c r="AG2845" s="0" t="str">
        <f aca="false">IF(AA2845=1,"",IF(AND(AC2845=1,AE2845&lt;&gt;1),1,0))</f>
        <v/>
      </c>
      <c r="AH2845" s="51" t="str">
        <f aca="false">IF(AND(E2845&gt;0,AA2845&lt;1,NOT(AND(C2846=C2845,AA2846=AA2845+1))),INDEX(DATAS,AA2845+1),"")</f>
        <v/>
      </c>
      <c r="AI2845" s="51" t="str">
        <f aca="false">IF(AND(AC2845=1,AA2845&lt;1),IF(AND(C2846=C2845,AA2846=AA2845+1),IF(AC2846=1,"",INDEX(DATAS,AA2845+1)),INDEX(DATAS,AA2845+1)),"")</f>
        <v/>
      </c>
    </row>
    <row r="2846" customFormat="false" ht="15" hidden="false" customHeight="false" outlineLevel="0" collapsed="false">
      <c r="A2846" s="51" t="n">
        <v>46309</v>
      </c>
      <c r="B2846" s="0" t="n">
        <v>13</v>
      </c>
      <c r="C2846" s="0" t="n">
        <v>7220</v>
      </c>
      <c r="E2846" s="0" t="n">
        <v>0</v>
      </c>
      <c r="F2846" s="46" t="s">
        <v>1414</v>
      </c>
      <c r="I2846" s="46" t="s">
        <v>179</v>
      </c>
      <c r="U2846" s="0" t="n">
        <v>306</v>
      </c>
      <c r="V2846" s="0" t="n">
        <v>0</v>
      </c>
      <c r="X2846" s="46" t="n">
        <f aca="false">IF(I2846="Male",0,1)</f>
        <v>1</v>
      </c>
      <c r="Y2846" s="46" t="n">
        <f aca="false">IF(OR(I2846="DNB",I2846="Dry DNB"),1,0)</f>
        <v>0</v>
      </c>
      <c r="Z2846" s="0" t="str">
        <f aca="false">IF(ISNUMBER(W2846),A2846-W2846,"")</f>
        <v/>
      </c>
      <c r="AA2846" s="46" t="n">
        <f aca="false">MATCH(A2846,DATAS,0)</f>
        <v>1</v>
      </c>
      <c r="AB2846" s="46" t="n">
        <f aca="false">IF(AND(E2846&gt;0,OR(AND(B2846&gt;=1,B2846&lt;=6),B2846=10)),1,0)</f>
        <v>0</v>
      </c>
      <c r="AC2846" s="46" t="n">
        <f aca="false">IF(AND(E2846&gt;0,B2846=10),1,0)</f>
        <v>0</v>
      </c>
      <c r="AD2846" s="0" t="str">
        <f aca="false">IF(AND(C2845=C2846,AA2845=AA2846-1),AB2845,"")</f>
        <v/>
      </c>
      <c r="AE2846" s="0" t="str">
        <f aca="false">IF(AND(C2845=C2846,AA2845=AA2846-1),AC2845,"")</f>
        <v/>
      </c>
      <c r="AF2846" s="0" t="str">
        <f aca="false">IF(AA2846=1,"",IF(AND(AB2846=1,AD2846&lt;&gt;1),1,0))</f>
        <v/>
      </c>
      <c r="AG2846" s="0" t="str">
        <f aca="false">IF(AA2846=1,"",IF(AND(AC2846=1,AE2846&lt;&gt;1),1,0))</f>
        <v/>
      </c>
      <c r="AH2846" s="51" t="str">
        <f aca="false">IF(AND(E2846&gt;0,AA2846&lt;1,NOT(AND(C2847=C2846,AA2847=AA2846+1))),INDEX(DATAS,AA2846+1),"")</f>
        <v/>
      </c>
      <c r="AI2846" s="51" t="str">
        <f aca="false">IF(AND(AC2846=1,AA2846&lt;1),IF(AND(C2847=C2846,AA2847=AA2846+1),IF(AC2847=1,"",INDEX(DATAS,AA2846+1)),INDEX(DATAS,AA2846+1)),"")</f>
        <v/>
      </c>
    </row>
    <row r="2847" customFormat="false" ht="15" hidden="false" customHeight="false" outlineLevel="0" collapsed="false">
      <c r="A2847" s="51" t="n">
        <v>46309</v>
      </c>
      <c r="B2847" s="0" t="n">
        <v>13</v>
      </c>
      <c r="C2847" s="0" t="n">
        <v>7221</v>
      </c>
      <c r="E2847" s="0" t="n">
        <v>0</v>
      </c>
      <c r="F2847" s="46" t="s">
        <v>1414</v>
      </c>
      <c r="I2847" s="46" t="s">
        <v>179</v>
      </c>
      <c r="U2847" s="0" t="n">
        <v>306</v>
      </c>
      <c r="V2847" s="0" t="n">
        <v>0</v>
      </c>
      <c r="X2847" s="46" t="n">
        <f aca="false">IF(I2847="Male",0,1)</f>
        <v>1</v>
      </c>
      <c r="Y2847" s="46" t="n">
        <f aca="false">IF(OR(I2847="DNB",I2847="Dry DNB"),1,0)</f>
        <v>0</v>
      </c>
      <c r="Z2847" s="0" t="str">
        <f aca="false">IF(ISNUMBER(W2847),A2847-W2847,"")</f>
        <v/>
      </c>
      <c r="AA2847" s="46" t="n">
        <f aca="false">MATCH(A2847,DATAS,0)</f>
        <v>1</v>
      </c>
      <c r="AB2847" s="46" t="n">
        <f aca="false">IF(AND(E2847&gt;0,OR(AND(B2847&gt;=1,B2847&lt;=6),B2847=10)),1,0)</f>
        <v>0</v>
      </c>
      <c r="AC2847" s="46" t="n">
        <f aca="false">IF(AND(E2847&gt;0,B2847=10),1,0)</f>
        <v>0</v>
      </c>
      <c r="AD2847" s="0" t="str">
        <f aca="false">IF(AND(C2846=C2847,AA2846=AA2847-1),AB2846,"")</f>
        <v/>
      </c>
      <c r="AE2847" s="0" t="str">
        <f aca="false">IF(AND(C2846=C2847,AA2846=AA2847-1),AC2846,"")</f>
        <v/>
      </c>
      <c r="AF2847" s="0" t="str">
        <f aca="false">IF(AA2847=1,"",IF(AND(AB2847=1,AD2847&lt;&gt;1),1,0))</f>
        <v/>
      </c>
      <c r="AG2847" s="0" t="str">
        <f aca="false">IF(AA2847=1,"",IF(AND(AC2847=1,AE2847&lt;&gt;1),1,0))</f>
        <v/>
      </c>
      <c r="AH2847" s="51" t="str">
        <f aca="false">IF(AND(E2847&gt;0,AA2847&lt;1,NOT(AND(C2848=C2847,AA2848=AA2847+1))),INDEX(DATAS,AA2847+1),"")</f>
        <v/>
      </c>
      <c r="AI2847" s="51" t="str">
        <f aca="false">IF(AND(AC2847=1,AA2847&lt;1),IF(AND(C2848=C2847,AA2848=AA2847+1),IF(AC2848=1,"",INDEX(DATAS,AA2847+1)),INDEX(DATAS,AA2847+1)),"")</f>
        <v/>
      </c>
    </row>
    <row r="2848" customFormat="false" ht="15" hidden="false" customHeight="false" outlineLevel="0" collapsed="false">
      <c r="A2848" s="51" t="n">
        <v>46309</v>
      </c>
      <c r="B2848" s="0" t="n">
        <v>13</v>
      </c>
      <c r="C2848" s="0" t="n">
        <v>7222</v>
      </c>
      <c r="E2848" s="0" t="n">
        <v>0</v>
      </c>
      <c r="F2848" s="46" t="s">
        <v>1414</v>
      </c>
      <c r="I2848" s="46" t="s">
        <v>179</v>
      </c>
      <c r="U2848" s="0" t="n">
        <v>306</v>
      </c>
      <c r="V2848" s="0" t="n">
        <v>0</v>
      </c>
      <c r="X2848" s="46" t="n">
        <f aca="false">IF(I2848="Male",0,1)</f>
        <v>1</v>
      </c>
      <c r="Y2848" s="46" t="n">
        <f aca="false">IF(OR(I2848="DNB",I2848="Dry DNB"),1,0)</f>
        <v>0</v>
      </c>
      <c r="Z2848" s="0" t="str">
        <f aca="false">IF(ISNUMBER(W2848),A2848-W2848,"")</f>
        <v/>
      </c>
      <c r="AA2848" s="46" t="n">
        <f aca="false">MATCH(A2848,DATAS,0)</f>
        <v>1</v>
      </c>
      <c r="AB2848" s="46" t="n">
        <f aca="false">IF(AND(E2848&gt;0,OR(AND(B2848&gt;=1,B2848&lt;=6),B2848=10)),1,0)</f>
        <v>0</v>
      </c>
      <c r="AC2848" s="46" t="n">
        <f aca="false">IF(AND(E2848&gt;0,B2848=10),1,0)</f>
        <v>0</v>
      </c>
      <c r="AD2848" s="0" t="str">
        <f aca="false">IF(AND(C2847=C2848,AA2847=AA2848-1),AB2847,"")</f>
        <v/>
      </c>
      <c r="AE2848" s="0" t="str">
        <f aca="false">IF(AND(C2847=C2848,AA2847=AA2848-1),AC2847,"")</f>
        <v/>
      </c>
      <c r="AF2848" s="0" t="str">
        <f aca="false">IF(AA2848=1,"",IF(AND(AB2848=1,AD2848&lt;&gt;1),1,0))</f>
        <v/>
      </c>
      <c r="AG2848" s="0" t="str">
        <f aca="false">IF(AA2848=1,"",IF(AND(AC2848=1,AE2848&lt;&gt;1),1,0))</f>
        <v/>
      </c>
      <c r="AH2848" s="51" t="str">
        <f aca="false">IF(AND(E2848&gt;0,AA2848&lt;1,NOT(AND(C2849=C2848,AA2849=AA2848+1))),INDEX(DATAS,AA2848+1),"")</f>
        <v/>
      </c>
      <c r="AI2848" s="51" t="str">
        <f aca="false">IF(AND(AC2848=1,AA2848&lt;1),IF(AND(C2849=C2848,AA2849=AA2848+1),IF(AC2849=1,"",INDEX(DATAS,AA2848+1)),INDEX(DATAS,AA2848+1)),"")</f>
        <v/>
      </c>
    </row>
    <row r="2849" customFormat="false" ht="15" hidden="false" customHeight="false" outlineLevel="0" collapsed="false">
      <c r="A2849" s="51" t="n">
        <v>46309</v>
      </c>
      <c r="B2849" s="0" t="n">
        <v>13</v>
      </c>
      <c r="C2849" s="0" t="n">
        <v>7223</v>
      </c>
      <c r="E2849" s="0" t="n">
        <v>0</v>
      </c>
      <c r="F2849" s="46" t="s">
        <v>1414</v>
      </c>
      <c r="I2849" s="46" t="s">
        <v>179</v>
      </c>
      <c r="U2849" s="0" t="n">
        <v>306</v>
      </c>
      <c r="V2849" s="0" t="n">
        <v>0</v>
      </c>
      <c r="X2849" s="46" t="n">
        <f aca="false">IF(I2849="Male",0,1)</f>
        <v>1</v>
      </c>
      <c r="Y2849" s="46" t="n">
        <f aca="false">IF(OR(I2849="DNB",I2849="Dry DNB"),1,0)</f>
        <v>0</v>
      </c>
      <c r="Z2849" s="0" t="str">
        <f aca="false">IF(ISNUMBER(W2849),A2849-W2849,"")</f>
        <v/>
      </c>
      <c r="AA2849" s="46" t="n">
        <f aca="false">MATCH(A2849,DATAS,0)</f>
        <v>1</v>
      </c>
      <c r="AB2849" s="46" t="n">
        <f aca="false">IF(AND(E2849&gt;0,OR(AND(B2849&gt;=1,B2849&lt;=6),B2849=10)),1,0)</f>
        <v>0</v>
      </c>
      <c r="AC2849" s="46" t="n">
        <f aca="false">IF(AND(E2849&gt;0,B2849=10),1,0)</f>
        <v>0</v>
      </c>
      <c r="AD2849" s="0" t="str">
        <f aca="false">IF(AND(C2848=C2849,AA2848=AA2849-1),AB2848,"")</f>
        <v/>
      </c>
      <c r="AE2849" s="0" t="str">
        <f aca="false">IF(AND(C2848=C2849,AA2848=AA2849-1),AC2848,"")</f>
        <v/>
      </c>
      <c r="AF2849" s="0" t="str">
        <f aca="false">IF(AA2849=1,"",IF(AND(AB2849=1,AD2849&lt;&gt;1),1,0))</f>
        <v/>
      </c>
      <c r="AG2849" s="0" t="str">
        <f aca="false">IF(AA2849=1,"",IF(AND(AC2849=1,AE2849&lt;&gt;1),1,0))</f>
        <v/>
      </c>
      <c r="AH2849" s="51" t="str">
        <f aca="false">IF(AND(E2849&gt;0,AA2849&lt;1,NOT(AND(C2850=C2849,AA2850=AA2849+1))),INDEX(DATAS,AA2849+1),"")</f>
        <v/>
      </c>
      <c r="AI2849" s="51" t="str">
        <f aca="false">IF(AND(AC2849=1,AA2849&lt;1),IF(AND(C2850=C2849,AA2850=AA2849+1),IF(AC2850=1,"",INDEX(DATAS,AA2849+1)),INDEX(DATAS,AA2849+1)),"")</f>
        <v/>
      </c>
    </row>
    <row r="2850" customFormat="false" ht="15" hidden="false" customHeight="false" outlineLevel="0" collapsed="false">
      <c r="A2850" s="51" t="n">
        <v>46309</v>
      </c>
      <c r="B2850" s="0" t="n">
        <v>13</v>
      </c>
      <c r="C2850" s="0" t="n">
        <v>7224</v>
      </c>
      <c r="E2850" s="0" t="n">
        <v>0</v>
      </c>
      <c r="F2850" s="46" t="s">
        <v>1415</v>
      </c>
      <c r="I2850" s="46" t="s">
        <v>179</v>
      </c>
      <c r="U2850" s="0" t="n">
        <v>305</v>
      </c>
      <c r="V2850" s="0" t="n">
        <v>0</v>
      </c>
      <c r="X2850" s="46" t="n">
        <f aca="false">IF(I2850="Male",0,1)</f>
        <v>1</v>
      </c>
      <c r="Y2850" s="46" t="n">
        <f aca="false">IF(OR(I2850="DNB",I2850="Dry DNB"),1,0)</f>
        <v>0</v>
      </c>
      <c r="Z2850" s="0" t="str">
        <f aca="false">IF(ISNUMBER(W2850),A2850-W2850,"")</f>
        <v/>
      </c>
      <c r="AA2850" s="46" t="n">
        <f aca="false">MATCH(A2850,DATAS,0)</f>
        <v>1</v>
      </c>
      <c r="AB2850" s="46" t="n">
        <f aca="false">IF(AND(E2850&gt;0,OR(AND(B2850&gt;=1,B2850&lt;=6),B2850=10)),1,0)</f>
        <v>0</v>
      </c>
      <c r="AC2850" s="46" t="n">
        <f aca="false">IF(AND(E2850&gt;0,B2850=10),1,0)</f>
        <v>0</v>
      </c>
      <c r="AD2850" s="0" t="str">
        <f aca="false">IF(AND(C2849=C2850,AA2849=AA2850-1),AB2849,"")</f>
        <v/>
      </c>
      <c r="AE2850" s="0" t="str">
        <f aca="false">IF(AND(C2849=C2850,AA2849=AA2850-1),AC2849,"")</f>
        <v/>
      </c>
      <c r="AF2850" s="0" t="str">
        <f aca="false">IF(AA2850=1,"",IF(AND(AB2850=1,AD2850&lt;&gt;1),1,0))</f>
        <v/>
      </c>
      <c r="AG2850" s="0" t="str">
        <f aca="false">IF(AA2850=1,"",IF(AND(AC2850=1,AE2850&lt;&gt;1),1,0))</f>
        <v/>
      </c>
      <c r="AH2850" s="51" t="str">
        <f aca="false">IF(AND(E2850&gt;0,AA2850&lt;1,NOT(AND(C2851=C2850,AA2851=AA2850+1))),INDEX(DATAS,AA2850+1),"")</f>
        <v/>
      </c>
      <c r="AI2850" s="51" t="str">
        <f aca="false">IF(AND(AC2850=1,AA2850&lt;1),IF(AND(C2851=C2850,AA2851=AA2850+1),IF(AC2851=1,"",INDEX(DATAS,AA2850+1)),INDEX(DATAS,AA2850+1)),"")</f>
        <v/>
      </c>
    </row>
    <row r="2851" customFormat="false" ht="15" hidden="false" customHeight="false" outlineLevel="0" collapsed="false">
      <c r="A2851" s="51" t="n">
        <v>46309</v>
      </c>
      <c r="B2851" s="0" t="n">
        <v>13</v>
      </c>
      <c r="C2851" s="0" t="n">
        <v>7225</v>
      </c>
      <c r="E2851" s="0" t="n">
        <v>0</v>
      </c>
      <c r="F2851" s="46" t="s">
        <v>1415</v>
      </c>
      <c r="I2851" s="46" t="s">
        <v>179</v>
      </c>
      <c r="U2851" s="0" t="n">
        <v>305</v>
      </c>
      <c r="V2851" s="0" t="n">
        <v>0</v>
      </c>
      <c r="X2851" s="46" t="n">
        <f aca="false">IF(I2851="Male",0,1)</f>
        <v>1</v>
      </c>
      <c r="Y2851" s="46" t="n">
        <f aca="false">IF(OR(I2851="DNB",I2851="Dry DNB"),1,0)</f>
        <v>0</v>
      </c>
      <c r="Z2851" s="0" t="str">
        <f aca="false">IF(ISNUMBER(W2851),A2851-W2851,"")</f>
        <v/>
      </c>
      <c r="AA2851" s="46" t="n">
        <f aca="false">MATCH(A2851,DATAS,0)</f>
        <v>1</v>
      </c>
      <c r="AB2851" s="46" t="n">
        <f aca="false">IF(AND(E2851&gt;0,OR(AND(B2851&gt;=1,B2851&lt;=6),B2851=10)),1,0)</f>
        <v>0</v>
      </c>
      <c r="AC2851" s="46" t="n">
        <f aca="false">IF(AND(E2851&gt;0,B2851=10),1,0)</f>
        <v>0</v>
      </c>
      <c r="AD2851" s="0" t="str">
        <f aca="false">IF(AND(C2850=C2851,AA2850=AA2851-1),AB2850,"")</f>
        <v/>
      </c>
      <c r="AE2851" s="0" t="str">
        <f aca="false">IF(AND(C2850=C2851,AA2850=AA2851-1),AC2850,"")</f>
        <v/>
      </c>
      <c r="AF2851" s="0" t="str">
        <f aca="false">IF(AA2851=1,"",IF(AND(AB2851=1,AD2851&lt;&gt;1),1,0))</f>
        <v/>
      </c>
      <c r="AG2851" s="0" t="str">
        <f aca="false">IF(AA2851=1,"",IF(AND(AC2851=1,AE2851&lt;&gt;1),1,0))</f>
        <v/>
      </c>
      <c r="AH2851" s="51" t="str">
        <f aca="false">IF(AND(E2851&gt;0,AA2851&lt;1,NOT(AND(C2852=C2851,AA2852=AA2851+1))),INDEX(DATAS,AA2851+1),"")</f>
        <v/>
      </c>
      <c r="AI2851" s="51" t="str">
        <f aca="false">IF(AND(AC2851=1,AA2851&lt;1),IF(AND(C2852=C2851,AA2852=AA2851+1),IF(AC2852=1,"",INDEX(DATAS,AA2851+1)),INDEX(DATAS,AA2851+1)),"")</f>
        <v/>
      </c>
    </row>
    <row r="2852" customFormat="false" ht="15" hidden="false" customHeight="false" outlineLevel="0" collapsed="false">
      <c r="A2852" s="51" t="n">
        <v>46309</v>
      </c>
      <c r="B2852" s="0" t="n">
        <v>13</v>
      </c>
      <c r="C2852" s="0" t="n">
        <v>7226</v>
      </c>
      <c r="E2852" s="0" t="n">
        <v>0</v>
      </c>
      <c r="F2852" s="46" t="s">
        <v>1415</v>
      </c>
      <c r="I2852" s="46" t="s">
        <v>179</v>
      </c>
      <c r="U2852" s="0" t="n">
        <v>305</v>
      </c>
      <c r="V2852" s="0" t="n">
        <v>0</v>
      </c>
      <c r="X2852" s="46" t="n">
        <f aca="false">IF(I2852="Male",0,1)</f>
        <v>1</v>
      </c>
      <c r="Y2852" s="46" t="n">
        <f aca="false">IF(OR(I2852="DNB",I2852="Dry DNB"),1,0)</f>
        <v>0</v>
      </c>
      <c r="Z2852" s="0" t="str">
        <f aca="false">IF(ISNUMBER(W2852),A2852-W2852,"")</f>
        <v/>
      </c>
      <c r="AA2852" s="46" t="n">
        <f aca="false">MATCH(A2852,DATAS,0)</f>
        <v>1</v>
      </c>
      <c r="AB2852" s="46" t="n">
        <f aca="false">IF(AND(E2852&gt;0,OR(AND(B2852&gt;=1,B2852&lt;=6),B2852=10)),1,0)</f>
        <v>0</v>
      </c>
      <c r="AC2852" s="46" t="n">
        <f aca="false">IF(AND(E2852&gt;0,B2852=10),1,0)</f>
        <v>0</v>
      </c>
      <c r="AD2852" s="0" t="str">
        <f aca="false">IF(AND(C2851=C2852,AA2851=AA2852-1),AB2851,"")</f>
        <v/>
      </c>
      <c r="AE2852" s="0" t="str">
        <f aca="false">IF(AND(C2851=C2852,AA2851=AA2852-1),AC2851,"")</f>
        <v/>
      </c>
      <c r="AF2852" s="0" t="str">
        <f aca="false">IF(AA2852=1,"",IF(AND(AB2852=1,AD2852&lt;&gt;1),1,0))</f>
        <v/>
      </c>
      <c r="AG2852" s="0" t="str">
        <f aca="false">IF(AA2852=1,"",IF(AND(AC2852=1,AE2852&lt;&gt;1),1,0))</f>
        <v/>
      </c>
      <c r="AH2852" s="51" t="str">
        <f aca="false">IF(AND(E2852&gt;0,AA2852&lt;1,NOT(AND(C2853=C2852,AA2853=AA2852+1))),INDEX(DATAS,AA2852+1),"")</f>
        <v/>
      </c>
      <c r="AI2852" s="51" t="str">
        <f aca="false">IF(AND(AC2852=1,AA2852&lt;1),IF(AND(C2853=C2852,AA2853=AA2852+1),IF(AC2853=1,"",INDEX(DATAS,AA2852+1)),INDEX(DATAS,AA2852+1)),"")</f>
        <v/>
      </c>
    </row>
    <row r="2853" customFormat="false" ht="15" hidden="false" customHeight="false" outlineLevel="0" collapsed="false">
      <c r="A2853" s="51" t="n">
        <v>46309</v>
      </c>
      <c r="B2853" s="0" t="n">
        <v>13</v>
      </c>
      <c r="C2853" s="0" t="n">
        <v>7227</v>
      </c>
      <c r="E2853" s="0" t="n">
        <v>0</v>
      </c>
      <c r="F2853" s="46" t="s">
        <v>1415</v>
      </c>
      <c r="I2853" s="46" t="s">
        <v>179</v>
      </c>
      <c r="U2853" s="0" t="n">
        <v>305</v>
      </c>
      <c r="V2853" s="0" t="n">
        <v>0</v>
      </c>
      <c r="X2853" s="46" t="n">
        <f aca="false">IF(I2853="Male",0,1)</f>
        <v>1</v>
      </c>
      <c r="Y2853" s="46" t="n">
        <f aca="false">IF(OR(I2853="DNB",I2853="Dry DNB"),1,0)</f>
        <v>0</v>
      </c>
      <c r="Z2853" s="0" t="str">
        <f aca="false">IF(ISNUMBER(W2853),A2853-W2853,"")</f>
        <v/>
      </c>
      <c r="AA2853" s="46" t="n">
        <f aca="false">MATCH(A2853,DATAS,0)</f>
        <v>1</v>
      </c>
      <c r="AB2853" s="46" t="n">
        <f aca="false">IF(AND(E2853&gt;0,OR(AND(B2853&gt;=1,B2853&lt;=6),B2853=10)),1,0)</f>
        <v>0</v>
      </c>
      <c r="AC2853" s="46" t="n">
        <f aca="false">IF(AND(E2853&gt;0,B2853=10),1,0)</f>
        <v>0</v>
      </c>
      <c r="AD2853" s="0" t="str">
        <f aca="false">IF(AND(C2852=C2853,AA2852=AA2853-1),AB2852,"")</f>
        <v/>
      </c>
      <c r="AE2853" s="0" t="str">
        <f aca="false">IF(AND(C2852=C2853,AA2852=AA2853-1),AC2852,"")</f>
        <v/>
      </c>
      <c r="AF2853" s="0" t="str">
        <f aca="false">IF(AA2853=1,"",IF(AND(AB2853=1,AD2853&lt;&gt;1),1,0))</f>
        <v/>
      </c>
      <c r="AG2853" s="0" t="str">
        <f aca="false">IF(AA2853=1,"",IF(AND(AC2853=1,AE2853&lt;&gt;1),1,0))</f>
        <v/>
      </c>
      <c r="AH2853" s="51" t="str">
        <f aca="false">IF(AND(E2853&gt;0,AA2853&lt;1,NOT(AND(C2854=C2853,AA2854=AA2853+1))),INDEX(DATAS,AA2853+1),"")</f>
        <v/>
      </c>
      <c r="AI2853" s="51" t="str">
        <f aca="false">IF(AND(AC2853=1,AA2853&lt;1),IF(AND(C2854=C2853,AA2854=AA2853+1),IF(AC2854=1,"",INDEX(DATAS,AA2853+1)),INDEX(DATAS,AA2853+1)),"")</f>
        <v/>
      </c>
    </row>
    <row r="2854" customFormat="false" ht="15" hidden="false" customHeight="false" outlineLevel="0" collapsed="false">
      <c r="A2854" s="51" t="n">
        <v>46309</v>
      </c>
      <c r="B2854" s="0" t="n">
        <v>13</v>
      </c>
      <c r="C2854" s="0" t="n">
        <v>7228</v>
      </c>
      <c r="E2854" s="0" t="n">
        <v>0</v>
      </c>
      <c r="F2854" s="46" t="s">
        <v>1416</v>
      </c>
      <c r="I2854" s="46" t="s">
        <v>179</v>
      </c>
      <c r="U2854" s="0" t="n">
        <v>304</v>
      </c>
      <c r="V2854" s="0" t="n">
        <v>0</v>
      </c>
      <c r="X2854" s="46" t="n">
        <f aca="false">IF(I2854="Male",0,1)</f>
        <v>1</v>
      </c>
      <c r="Y2854" s="46" t="n">
        <f aca="false">IF(OR(I2854="DNB",I2854="Dry DNB"),1,0)</f>
        <v>0</v>
      </c>
      <c r="Z2854" s="0" t="str">
        <f aca="false">IF(ISNUMBER(W2854),A2854-W2854,"")</f>
        <v/>
      </c>
      <c r="AA2854" s="46" t="n">
        <f aca="false">MATCH(A2854,DATAS,0)</f>
        <v>1</v>
      </c>
      <c r="AB2854" s="46" t="n">
        <f aca="false">IF(AND(E2854&gt;0,OR(AND(B2854&gt;=1,B2854&lt;=6),B2854=10)),1,0)</f>
        <v>0</v>
      </c>
      <c r="AC2854" s="46" t="n">
        <f aca="false">IF(AND(E2854&gt;0,B2854=10),1,0)</f>
        <v>0</v>
      </c>
      <c r="AD2854" s="0" t="str">
        <f aca="false">IF(AND(C2853=C2854,AA2853=AA2854-1),AB2853,"")</f>
        <v/>
      </c>
      <c r="AE2854" s="0" t="str">
        <f aca="false">IF(AND(C2853=C2854,AA2853=AA2854-1),AC2853,"")</f>
        <v/>
      </c>
      <c r="AF2854" s="0" t="str">
        <f aca="false">IF(AA2854=1,"",IF(AND(AB2854=1,AD2854&lt;&gt;1),1,0))</f>
        <v/>
      </c>
      <c r="AG2854" s="0" t="str">
        <f aca="false">IF(AA2854=1,"",IF(AND(AC2854=1,AE2854&lt;&gt;1),1,0))</f>
        <v/>
      </c>
      <c r="AH2854" s="51" t="str">
        <f aca="false">IF(AND(E2854&gt;0,AA2854&lt;1,NOT(AND(C2855=C2854,AA2855=AA2854+1))),INDEX(DATAS,AA2854+1),"")</f>
        <v/>
      </c>
      <c r="AI2854" s="51" t="str">
        <f aca="false">IF(AND(AC2854=1,AA2854&lt;1),IF(AND(C2855=C2854,AA2855=AA2854+1),IF(AC2855=1,"",INDEX(DATAS,AA2854+1)),INDEX(DATAS,AA2854+1)),"")</f>
        <v/>
      </c>
    </row>
    <row r="2855" customFormat="false" ht="15" hidden="false" customHeight="false" outlineLevel="0" collapsed="false">
      <c r="A2855" s="51" t="n">
        <v>46309</v>
      </c>
      <c r="B2855" s="0" t="n">
        <v>13</v>
      </c>
      <c r="C2855" s="0" t="n">
        <v>7229</v>
      </c>
      <c r="E2855" s="0" t="n">
        <v>0</v>
      </c>
      <c r="F2855" s="46" t="s">
        <v>1417</v>
      </c>
      <c r="I2855" s="46" t="s">
        <v>179</v>
      </c>
      <c r="U2855" s="0" t="n">
        <v>303</v>
      </c>
      <c r="V2855" s="0" t="n">
        <v>0</v>
      </c>
      <c r="X2855" s="46" t="n">
        <f aca="false">IF(I2855="Male",0,1)</f>
        <v>1</v>
      </c>
      <c r="Y2855" s="46" t="n">
        <f aca="false">IF(OR(I2855="DNB",I2855="Dry DNB"),1,0)</f>
        <v>0</v>
      </c>
      <c r="Z2855" s="0" t="str">
        <f aca="false">IF(ISNUMBER(W2855),A2855-W2855,"")</f>
        <v/>
      </c>
      <c r="AA2855" s="46" t="n">
        <f aca="false">MATCH(A2855,DATAS,0)</f>
        <v>1</v>
      </c>
      <c r="AB2855" s="46" t="n">
        <f aca="false">IF(AND(E2855&gt;0,OR(AND(B2855&gt;=1,B2855&lt;=6),B2855=10)),1,0)</f>
        <v>0</v>
      </c>
      <c r="AC2855" s="46" t="n">
        <f aca="false">IF(AND(E2855&gt;0,B2855=10),1,0)</f>
        <v>0</v>
      </c>
      <c r="AD2855" s="0" t="str">
        <f aca="false">IF(AND(C2854=C2855,AA2854=AA2855-1),AB2854,"")</f>
        <v/>
      </c>
      <c r="AE2855" s="0" t="str">
        <f aca="false">IF(AND(C2854=C2855,AA2854=AA2855-1),AC2854,"")</f>
        <v/>
      </c>
      <c r="AF2855" s="0" t="str">
        <f aca="false">IF(AA2855=1,"",IF(AND(AB2855=1,AD2855&lt;&gt;1),1,0))</f>
        <v/>
      </c>
      <c r="AG2855" s="0" t="str">
        <f aca="false">IF(AA2855=1,"",IF(AND(AC2855=1,AE2855&lt;&gt;1),1,0))</f>
        <v/>
      </c>
      <c r="AH2855" s="51" t="str">
        <f aca="false">IF(AND(E2855&gt;0,AA2855&lt;1,NOT(AND(C2856=C2855,AA2856=AA2855+1))),INDEX(DATAS,AA2855+1),"")</f>
        <v/>
      </c>
      <c r="AI2855" s="51" t="str">
        <f aca="false">IF(AND(AC2855=1,AA2855&lt;1),IF(AND(C2856=C2855,AA2856=AA2855+1),IF(AC2856=1,"",INDEX(DATAS,AA2855+1)),INDEX(DATAS,AA2855+1)),"")</f>
        <v/>
      </c>
    </row>
    <row r="2856" customFormat="false" ht="15" hidden="false" customHeight="false" outlineLevel="0" collapsed="false">
      <c r="A2856" s="51" t="n">
        <v>46309</v>
      </c>
      <c r="B2856" s="0" t="n">
        <v>13</v>
      </c>
      <c r="C2856" s="0" t="n">
        <v>7230</v>
      </c>
      <c r="E2856" s="0" t="n">
        <v>0</v>
      </c>
      <c r="F2856" s="46" t="s">
        <v>1417</v>
      </c>
      <c r="I2856" s="46" t="s">
        <v>179</v>
      </c>
      <c r="U2856" s="0" t="n">
        <v>303</v>
      </c>
      <c r="V2856" s="0" t="n">
        <v>0</v>
      </c>
      <c r="X2856" s="46" t="n">
        <f aca="false">IF(I2856="Male",0,1)</f>
        <v>1</v>
      </c>
      <c r="Y2856" s="46" t="n">
        <f aca="false">IF(OR(I2856="DNB",I2856="Dry DNB"),1,0)</f>
        <v>0</v>
      </c>
      <c r="Z2856" s="0" t="str">
        <f aca="false">IF(ISNUMBER(W2856),A2856-W2856,"")</f>
        <v/>
      </c>
      <c r="AA2856" s="46" t="n">
        <f aca="false">MATCH(A2856,DATAS,0)</f>
        <v>1</v>
      </c>
      <c r="AB2856" s="46" t="n">
        <f aca="false">IF(AND(E2856&gt;0,OR(AND(B2856&gt;=1,B2856&lt;=6),B2856=10)),1,0)</f>
        <v>0</v>
      </c>
      <c r="AC2856" s="46" t="n">
        <f aca="false">IF(AND(E2856&gt;0,B2856=10),1,0)</f>
        <v>0</v>
      </c>
      <c r="AD2856" s="0" t="str">
        <f aca="false">IF(AND(C2855=C2856,AA2855=AA2856-1),AB2855,"")</f>
        <v/>
      </c>
      <c r="AE2856" s="0" t="str">
        <f aca="false">IF(AND(C2855=C2856,AA2855=AA2856-1),AC2855,"")</f>
        <v/>
      </c>
      <c r="AF2856" s="0" t="str">
        <f aca="false">IF(AA2856=1,"",IF(AND(AB2856=1,AD2856&lt;&gt;1),1,0))</f>
        <v/>
      </c>
      <c r="AG2856" s="0" t="str">
        <f aca="false">IF(AA2856=1,"",IF(AND(AC2856=1,AE2856&lt;&gt;1),1,0))</f>
        <v/>
      </c>
      <c r="AH2856" s="51" t="str">
        <f aca="false">IF(AND(E2856&gt;0,AA2856&lt;1,NOT(AND(C2857=C2856,AA2857=AA2856+1))),INDEX(DATAS,AA2856+1),"")</f>
        <v/>
      </c>
      <c r="AI2856" s="51" t="str">
        <f aca="false">IF(AND(AC2856=1,AA2856&lt;1),IF(AND(C2857=C2856,AA2857=AA2856+1),IF(AC2857=1,"",INDEX(DATAS,AA2856+1)),INDEX(DATAS,AA2856+1)),"")</f>
        <v/>
      </c>
    </row>
    <row r="2857" customFormat="false" ht="15" hidden="false" customHeight="false" outlineLevel="0" collapsed="false">
      <c r="A2857" s="51" t="n">
        <v>46309</v>
      </c>
      <c r="B2857" s="0" t="n">
        <v>13</v>
      </c>
      <c r="C2857" s="0" t="n">
        <v>7231</v>
      </c>
      <c r="E2857" s="0" t="n">
        <v>0</v>
      </c>
      <c r="F2857" s="46" t="s">
        <v>1417</v>
      </c>
      <c r="I2857" s="46" t="s">
        <v>179</v>
      </c>
      <c r="U2857" s="0" t="n">
        <v>303</v>
      </c>
      <c r="V2857" s="0" t="n">
        <v>0</v>
      </c>
      <c r="X2857" s="46" t="n">
        <f aca="false">IF(I2857="Male",0,1)</f>
        <v>1</v>
      </c>
      <c r="Y2857" s="46" t="n">
        <f aca="false">IF(OR(I2857="DNB",I2857="Dry DNB"),1,0)</f>
        <v>0</v>
      </c>
      <c r="Z2857" s="0" t="str">
        <f aca="false">IF(ISNUMBER(W2857),A2857-W2857,"")</f>
        <v/>
      </c>
      <c r="AA2857" s="46" t="n">
        <f aca="false">MATCH(A2857,DATAS,0)</f>
        <v>1</v>
      </c>
      <c r="AB2857" s="46" t="n">
        <f aca="false">IF(AND(E2857&gt;0,OR(AND(B2857&gt;=1,B2857&lt;=6),B2857=10)),1,0)</f>
        <v>0</v>
      </c>
      <c r="AC2857" s="46" t="n">
        <f aca="false">IF(AND(E2857&gt;0,B2857=10),1,0)</f>
        <v>0</v>
      </c>
      <c r="AD2857" s="0" t="str">
        <f aca="false">IF(AND(C2856=C2857,AA2856=AA2857-1),AB2856,"")</f>
        <v/>
      </c>
      <c r="AE2857" s="0" t="str">
        <f aca="false">IF(AND(C2856=C2857,AA2856=AA2857-1),AC2856,"")</f>
        <v/>
      </c>
      <c r="AF2857" s="0" t="str">
        <f aca="false">IF(AA2857=1,"",IF(AND(AB2857=1,AD2857&lt;&gt;1),1,0))</f>
        <v/>
      </c>
      <c r="AG2857" s="0" t="str">
        <f aca="false">IF(AA2857=1,"",IF(AND(AC2857=1,AE2857&lt;&gt;1),1,0))</f>
        <v/>
      </c>
      <c r="AH2857" s="51" t="str">
        <f aca="false">IF(AND(E2857&gt;0,AA2857&lt;1,NOT(AND(C2858=C2857,AA2858=AA2857+1))),INDEX(DATAS,AA2857+1),"")</f>
        <v/>
      </c>
      <c r="AI2857" s="51" t="str">
        <f aca="false">IF(AND(AC2857=1,AA2857&lt;1),IF(AND(C2858=C2857,AA2858=AA2857+1),IF(AC2858=1,"",INDEX(DATAS,AA2857+1)),INDEX(DATAS,AA2857+1)),"")</f>
        <v/>
      </c>
    </row>
    <row r="2858" customFormat="false" ht="15" hidden="false" customHeight="false" outlineLevel="0" collapsed="false">
      <c r="A2858" s="51" t="n">
        <v>46309</v>
      </c>
      <c r="B2858" s="0" t="n">
        <v>13</v>
      </c>
      <c r="C2858" s="0" t="n">
        <v>7232</v>
      </c>
      <c r="E2858" s="0" t="n">
        <v>0</v>
      </c>
      <c r="F2858" s="46" t="s">
        <v>1418</v>
      </c>
      <c r="I2858" s="46" t="s">
        <v>179</v>
      </c>
      <c r="U2858" s="0" t="n">
        <v>302</v>
      </c>
      <c r="V2858" s="0" t="n">
        <v>0</v>
      </c>
      <c r="X2858" s="46" t="n">
        <f aca="false">IF(I2858="Male",0,1)</f>
        <v>1</v>
      </c>
      <c r="Y2858" s="46" t="n">
        <f aca="false">IF(OR(I2858="DNB",I2858="Dry DNB"),1,0)</f>
        <v>0</v>
      </c>
      <c r="Z2858" s="0" t="str">
        <f aca="false">IF(ISNUMBER(W2858),A2858-W2858,"")</f>
        <v/>
      </c>
      <c r="AA2858" s="46" t="n">
        <f aca="false">MATCH(A2858,DATAS,0)</f>
        <v>1</v>
      </c>
      <c r="AB2858" s="46" t="n">
        <f aca="false">IF(AND(E2858&gt;0,OR(AND(B2858&gt;=1,B2858&lt;=6),B2858=10)),1,0)</f>
        <v>0</v>
      </c>
      <c r="AC2858" s="46" t="n">
        <f aca="false">IF(AND(E2858&gt;0,B2858=10),1,0)</f>
        <v>0</v>
      </c>
      <c r="AD2858" s="0" t="str">
        <f aca="false">IF(AND(C2857=C2858,AA2857=AA2858-1),AB2857,"")</f>
        <v/>
      </c>
      <c r="AE2858" s="0" t="str">
        <f aca="false">IF(AND(C2857=C2858,AA2857=AA2858-1),AC2857,"")</f>
        <v/>
      </c>
      <c r="AF2858" s="0" t="str">
        <f aca="false">IF(AA2858=1,"",IF(AND(AB2858=1,AD2858&lt;&gt;1),1,0))</f>
        <v/>
      </c>
      <c r="AG2858" s="0" t="str">
        <f aca="false">IF(AA2858=1,"",IF(AND(AC2858=1,AE2858&lt;&gt;1),1,0))</f>
        <v/>
      </c>
      <c r="AH2858" s="51" t="str">
        <f aca="false">IF(AND(E2858&gt;0,AA2858&lt;1,NOT(AND(C2859=C2858,AA2859=AA2858+1))),INDEX(DATAS,AA2858+1),"")</f>
        <v/>
      </c>
      <c r="AI2858" s="51" t="str">
        <f aca="false">IF(AND(AC2858=1,AA2858&lt;1),IF(AND(C2859=C2858,AA2859=AA2858+1),IF(AC2859=1,"",INDEX(DATAS,AA2858+1)),INDEX(DATAS,AA2858+1)),"")</f>
        <v/>
      </c>
    </row>
    <row r="2859" customFormat="false" ht="15" hidden="false" customHeight="false" outlineLevel="0" collapsed="false">
      <c r="A2859" s="51" t="n">
        <v>46309</v>
      </c>
      <c r="B2859" s="0" t="n">
        <v>13</v>
      </c>
      <c r="C2859" s="0" t="n">
        <v>7233</v>
      </c>
      <c r="E2859" s="0" t="n">
        <v>0</v>
      </c>
      <c r="F2859" s="46" t="s">
        <v>1418</v>
      </c>
      <c r="I2859" s="46" t="s">
        <v>179</v>
      </c>
      <c r="U2859" s="0" t="n">
        <v>302</v>
      </c>
      <c r="V2859" s="0" t="n">
        <v>0</v>
      </c>
      <c r="X2859" s="46" t="n">
        <f aca="false">IF(I2859="Male",0,1)</f>
        <v>1</v>
      </c>
      <c r="Y2859" s="46" t="n">
        <f aca="false">IF(OR(I2859="DNB",I2859="Dry DNB"),1,0)</f>
        <v>0</v>
      </c>
      <c r="Z2859" s="0" t="str">
        <f aca="false">IF(ISNUMBER(W2859),A2859-W2859,"")</f>
        <v/>
      </c>
      <c r="AA2859" s="46" t="n">
        <f aca="false">MATCH(A2859,DATAS,0)</f>
        <v>1</v>
      </c>
      <c r="AB2859" s="46" t="n">
        <f aca="false">IF(AND(E2859&gt;0,OR(AND(B2859&gt;=1,B2859&lt;=6),B2859=10)),1,0)</f>
        <v>0</v>
      </c>
      <c r="AC2859" s="46" t="n">
        <f aca="false">IF(AND(E2859&gt;0,B2859=10),1,0)</f>
        <v>0</v>
      </c>
      <c r="AD2859" s="0" t="str">
        <f aca="false">IF(AND(C2858=C2859,AA2858=AA2859-1),AB2858,"")</f>
        <v/>
      </c>
      <c r="AE2859" s="0" t="str">
        <f aca="false">IF(AND(C2858=C2859,AA2858=AA2859-1),AC2858,"")</f>
        <v/>
      </c>
      <c r="AF2859" s="0" t="str">
        <f aca="false">IF(AA2859=1,"",IF(AND(AB2859=1,AD2859&lt;&gt;1),1,0))</f>
        <v/>
      </c>
      <c r="AG2859" s="0" t="str">
        <f aca="false">IF(AA2859=1,"",IF(AND(AC2859=1,AE2859&lt;&gt;1),1,0))</f>
        <v/>
      </c>
      <c r="AH2859" s="51" t="str">
        <f aca="false">IF(AND(E2859&gt;0,AA2859&lt;1,NOT(AND(C2860=C2859,AA2860=AA2859+1))),INDEX(DATAS,AA2859+1),"")</f>
        <v/>
      </c>
      <c r="AI2859" s="51" t="str">
        <f aca="false">IF(AND(AC2859=1,AA2859&lt;1),IF(AND(C2860=C2859,AA2860=AA2859+1),IF(AC2860=1,"",INDEX(DATAS,AA2859+1)),INDEX(DATAS,AA2859+1)),"")</f>
        <v/>
      </c>
    </row>
    <row r="2860" customFormat="false" ht="15" hidden="false" customHeight="false" outlineLevel="0" collapsed="false">
      <c r="A2860" s="51" t="n">
        <v>46309</v>
      </c>
      <c r="B2860" s="0" t="n">
        <v>13</v>
      </c>
      <c r="C2860" s="0" t="n">
        <v>7234</v>
      </c>
      <c r="E2860" s="0" t="n">
        <v>0</v>
      </c>
      <c r="F2860" s="46" t="s">
        <v>1418</v>
      </c>
      <c r="I2860" s="46" t="s">
        <v>179</v>
      </c>
      <c r="U2860" s="0" t="n">
        <v>302</v>
      </c>
      <c r="V2860" s="0" t="n">
        <v>0</v>
      </c>
      <c r="X2860" s="46" t="n">
        <f aca="false">IF(I2860="Male",0,1)</f>
        <v>1</v>
      </c>
      <c r="Y2860" s="46" t="n">
        <f aca="false">IF(OR(I2860="DNB",I2860="Dry DNB"),1,0)</f>
        <v>0</v>
      </c>
      <c r="Z2860" s="0" t="str">
        <f aca="false">IF(ISNUMBER(W2860),A2860-W2860,"")</f>
        <v/>
      </c>
      <c r="AA2860" s="46" t="n">
        <f aca="false">MATCH(A2860,DATAS,0)</f>
        <v>1</v>
      </c>
      <c r="AB2860" s="46" t="n">
        <f aca="false">IF(AND(E2860&gt;0,OR(AND(B2860&gt;=1,B2860&lt;=6),B2860=10)),1,0)</f>
        <v>0</v>
      </c>
      <c r="AC2860" s="46" t="n">
        <f aca="false">IF(AND(E2860&gt;0,B2860=10),1,0)</f>
        <v>0</v>
      </c>
      <c r="AD2860" s="0" t="str">
        <f aca="false">IF(AND(C2859=C2860,AA2859=AA2860-1),AB2859,"")</f>
        <v/>
      </c>
      <c r="AE2860" s="0" t="str">
        <f aca="false">IF(AND(C2859=C2860,AA2859=AA2860-1),AC2859,"")</f>
        <v/>
      </c>
      <c r="AF2860" s="0" t="str">
        <f aca="false">IF(AA2860=1,"",IF(AND(AB2860=1,AD2860&lt;&gt;1),1,0))</f>
        <v/>
      </c>
      <c r="AG2860" s="0" t="str">
        <f aca="false">IF(AA2860=1,"",IF(AND(AC2860=1,AE2860&lt;&gt;1),1,0))</f>
        <v/>
      </c>
      <c r="AH2860" s="51" t="str">
        <f aca="false">IF(AND(E2860&gt;0,AA2860&lt;1,NOT(AND(C2861=C2860,AA2861=AA2860+1))),INDEX(DATAS,AA2860+1),"")</f>
        <v/>
      </c>
      <c r="AI2860" s="51" t="str">
        <f aca="false">IF(AND(AC2860=1,AA2860&lt;1),IF(AND(C2861=C2860,AA2861=AA2860+1),IF(AC2861=1,"",INDEX(DATAS,AA2860+1)),INDEX(DATAS,AA2860+1)),"")</f>
        <v/>
      </c>
    </row>
    <row r="2861" customFormat="false" ht="15" hidden="false" customHeight="false" outlineLevel="0" collapsed="false">
      <c r="A2861" s="51" t="n">
        <v>46309</v>
      </c>
      <c r="B2861" s="0" t="n">
        <v>13</v>
      </c>
      <c r="C2861" s="0" t="n">
        <v>7235</v>
      </c>
      <c r="E2861" s="0" t="n">
        <v>0</v>
      </c>
      <c r="F2861" s="46" t="s">
        <v>1418</v>
      </c>
      <c r="I2861" s="46" t="s">
        <v>179</v>
      </c>
      <c r="U2861" s="0" t="n">
        <v>302</v>
      </c>
      <c r="V2861" s="0" t="n">
        <v>0</v>
      </c>
      <c r="X2861" s="46" t="n">
        <f aca="false">IF(I2861="Male",0,1)</f>
        <v>1</v>
      </c>
      <c r="Y2861" s="46" t="n">
        <f aca="false">IF(OR(I2861="DNB",I2861="Dry DNB"),1,0)</f>
        <v>0</v>
      </c>
      <c r="Z2861" s="0" t="str">
        <f aca="false">IF(ISNUMBER(W2861),A2861-W2861,"")</f>
        <v/>
      </c>
      <c r="AA2861" s="46" t="n">
        <f aca="false">MATCH(A2861,DATAS,0)</f>
        <v>1</v>
      </c>
      <c r="AB2861" s="46" t="n">
        <f aca="false">IF(AND(E2861&gt;0,OR(AND(B2861&gt;=1,B2861&lt;=6),B2861=10)),1,0)</f>
        <v>0</v>
      </c>
      <c r="AC2861" s="46" t="n">
        <f aca="false">IF(AND(E2861&gt;0,B2861=10),1,0)</f>
        <v>0</v>
      </c>
      <c r="AD2861" s="0" t="str">
        <f aca="false">IF(AND(C2860=C2861,AA2860=AA2861-1),AB2860,"")</f>
        <v/>
      </c>
      <c r="AE2861" s="0" t="str">
        <f aca="false">IF(AND(C2860=C2861,AA2860=AA2861-1),AC2860,"")</f>
        <v/>
      </c>
      <c r="AF2861" s="0" t="str">
        <f aca="false">IF(AA2861=1,"",IF(AND(AB2861=1,AD2861&lt;&gt;1),1,0))</f>
        <v/>
      </c>
      <c r="AG2861" s="0" t="str">
        <f aca="false">IF(AA2861=1,"",IF(AND(AC2861=1,AE2861&lt;&gt;1),1,0))</f>
        <v/>
      </c>
      <c r="AH2861" s="51" t="str">
        <f aca="false">IF(AND(E2861&gt;0,AA2861&lt;1,NOT(AND(C2862=C2861,AA2862=AA2861+1))),INDEX(DATAS,AA2861+1),"")</f>
        <v/>
      </c>
      <c r="AI2861" s="51" t="str">
        <f aca="false">IF(AND(AC2861=1,AA2861&lt;1),IF(AND(C2862=C2861,AA2862=AA2861+1),IF(AC2862=1,"",INDEX(DATAS,AA2861+1)),INDEX(DATAS,AA2861+1)),"")</f>
        <v/>
      </c>
    </row>
    <row r="2862" customFormat="false" ht="15" hidden="false" customHeight="false" outlineLevel="0" collapsed="false">
      <c r="A2862" s="51" t="n">
        <v>46309</v>
      </c>
      <c r="B2862" s="0" t="n">
        <v>13</v>
      </c>
      <c r="C2862" s="0" t="n">
        <v>7237</v>
      </c>
      <c r="E2862" s="0" t="n">
        <v>0</v>
      </c>
      <c r="F2862" s="46" t="s">
        <v>1419</v>
      </c>
      <c r="I2862" s="46" t="s">
        <v>179</v>
      </c>
      <c r="U2862" s="0" t="n">
        <v>300</v>
      </c>
      <c r="V2862" s="0" t="n">
        <v>0</v>
      </c>
      <c r="X2862" s="46" t="n">
        <f aca="false">IF(I2862="Male",0,1)</f>
        <v>1</v>
      </c>
      <c r="Y2862" s="46" t="n">
        <f aca="false">IF(OR(I2862="DNB",I2862="Dry DNB"),1,0)</f>
        <v>0</v>
      </c>
      <c r="Z2862" s="0" t="str">
        <f aca="false">IF(ISNUMBER(W2862),A2862-W2862,"")</f>
        <v/>
      </c>
      <c r="AA2862" s="46" t="n">
        <f aca="false">MATCH(A2862,DATAS,0)</f>
        <v>1</v>
      </c>
      <c r="AB2862" s="46" t="n">
        <f aca="false">IF(AND(E2862&gt;0,OR(AND(B2862&gt;=1,B2862&lt;=6),B2862=10)),1,0)</f>
        <v>0</v>
      </c>
      <c r="AC2862" s="46" t="n">
        <f aca="false">IF(AND(E2862&gt;0,B2862=10),1,0)</f>
        <v>0</v>
      </c>
      <c r="AD2862" s="0" t="str">
        <f aca="false">IF(AND(C2861=C2862,AA2861=AA2862-1),AB2861,"")</f>
        <v/>
      </c>
      <c r="AE2862" s="0" t="str">
        <f aca="false">IF(AND(C2861=C2862,AA2861=AA2862-1),AC2861,"")</f>
        <v/>
      </c>
      <c r="AF2862" s="0" t="str">
        <f aca="false">IF(AA2862=1,"",IF(AND(AB2862=1,AD2862&lt;&gt;1),1,0))</f>
        <v/>
      </c>
      <c r="AG2862" s="0" t="str">
        <f aca="false">IF(AA2862=1,"",IF(AND(AC2862=1,AE2862&lt;&gt;1),1,0))</f>
        <v/>
      </c>
      <c r="AH2862" s="51" t="str">
        <f aca="false">IF(AND(E2862&gt;0,AA2862&lt;1,NOT(AND(C2863=C2862,AA2863=AA2862+1))),INDEX(DATAS,AA2862+1),"")</f>
        <v/>
      </c>
      <c r="AI2862" s="51" t="str">
        <f aca="false">IF(AND(AC2862=1,AA2862&lt;1),IF(AND(C2863=C2862,AA2863=AA2862+1),IF(AC2863=1,"",INDEX(DATAS,AA2862+1)),INDEX(DATAS,AA2862+1)),"")</f>
        <v/>
      </c>
    </row>
    <row r="2863" customFormat="false" ht="15" hidden="false" customHeight="false" outlineLevel="0" collapsed="false">
      <c r="A2863" s="51" t="n">
        <v>46309</v>
      </c>
      <c r="B2863" s="0" t="n">
        <v>13</v>
      </c>
      <c r="C2863" s="0" t="n">
        <v>7239</v>
      </c>
      <c r="E2863" s="0" t="n">
        <v>0</v>
      </c>
      <c r="F2863" s="46" t="s">
        <v>1419</v>
      </c>
      <c r="I2863" s="46" t="s">
        <v>179</v>
      </c>
      <c r="U2863" s="0" t="n">
        <v>300</v>
      </c>
      <c r="V2863" s="0" t="n">
        <v>0</v>
      </c>
      <c r="X2863" s="46" t="n">
        <f aca="false">IF(I2863="Male",0,1)</f>
        <v>1</v>
      </c>
      <c r="Y2863" s="46" t="n">
        <f aca="false">IF(OR(I2863="DNB",I2863="Dry DNB"),1,0)</f>
        <v>0</v>
      </c>
      <c r="Z2863" s="0" t="str">
        <f aca="false">IF(ISNUMBER(W2863),A2863-W2863,"")</f>
        <v/>
      </c>
      <c r="AA2863" s="46" t="n">
        <f aca="false">MATCH(A2863,DATAS,0)</f>
        <v>1</v>
      </c>
      <c r="AB2863" s="46" t="n">
        <f aca="false">IF(AND(E2863&gt;0,OR(AND(B2863&gt;=1,B2863&lt;=6),B2863=10)),1,0)</f>
        <v>0</v>
      </c>
      <c r="AC2863" s="46" t="n">
        <f aca="false">IF(AND(E2863&gt;0,B2863=10),1,0)</f>
        <v>0</v>
      </c>
      <c r="AD2863" s="0" t="str">
        <f aca="false">IF(AND(C2862=C2863,AA2862=AA2863-1),AB2862,"")</f>
        <v/>
      </c>
      <c r="AE2863" s="0" t="str">
        <f aca="false">IF(AND(C2862=C2863,AA2862=AA2863-1),AC2862,"")</f>
        <v/>
      </c>
      <c r="AF2863" s="0" t="str">
        <f aca="false">IF(AA2863=1,"",IF(AND(AB2863=1,AD2863&lt;&gt;1),1,0))</f>
        <v/>
      </c>
      <c r="AG2863" s="0" t="str">
        <f aca="false">IF(AA2863=1,"",IF(AND(AC2863=1,AE2863&lt;&gt;1),1,0))</f>
        <v/>
      </c>
      <c r="AH2863" s="51" t="str">
        <f aca="false">IF(AND(E2863&gt;0,AA2863&lt;1,NOT(AND(C2864=C2863,AA2864=AA2863+1))),INDEX(DATAS,AA2863+1),"")</f>
        <v/>
      </c>
      <c r="AI2863" s="51" t="str">
        <f aca="false">IF(AND(AC2863=1,AA2863&lt;1),IF(AND(C2864=C2863,AA2864=AA2863+1),IF(AC2864=1,"",INDEX(DATAS,AA2863+1)),INDEX(DATAS,AA2863+1)),"")</f>
        <v/>
      </c>
    </row>
    <row r="2864" customFormat="false" ht="15" hidden="false" customHeight="false" outlineLevel="0" collapsed="false">
      <c r="A2864" s="51" t="n">
        <v>46309</v>
      </c>
      <c r="B2864" s="0" t="n">
        <v>13</v>
      </c>
      <c r="C2864" s="0" t="n">
        <v>7240</v>
      </c>
      <c r="E2864" s="0" t="n">
        <v>0</v>
      </c>
      <c r="F2864" s="46" t="s">
        <v>1420</v>
      </c>
      <c r="I2864" s="46" t="s">
        <v>179</v>
      </c>
      <c r="U2864" s="0" t="n">
        <v>299</v>
      </c>
      <c r="V2864" s="0" t="n">
        <v>0</v>
      </c>
      <c r="X2864" s="46" t="n">
        <f aca="false">IF(I2864="Male",0,1)</f>
        <v>1</v>
      </c>
      <c r="Y2864" s="46" t="n">
        <f aca="false">IF(OR(I2864="DNB",I2864="Dry DNB"),1,0)</f>
        <v>0</v>
      </c>
      <c r="Z2864" s="0" t="str">
        <f aca="false">IF(ISNUMBER(W2864),A2864-W2864,"")</f>
        <v/>
      </c>
      <c r="AA2864" s="46" t="n">
        <f aca="false">MATCH(A2864,DATAS,0)</f>
        <v>1</v>
      </c>
      <c r="AB2864" s="46" t="n">
        <f aca="false">IF(AND(E2864&gt;0,OR(AND(B2864&gt;=1,B2864&lt;=6),B2864=10)),1,0)</f>
        <v>0</v>
      </c>
      <c r="AC2864" s="46" t="n">
        <f aca="false">IF(AND(E2864&gt;0,B2864=10),1,0)</f>
        <v>0</v>
      </c>
      <c r="AD2864" s="0" t="str">
        <f aca="false">IF(AND(C2863=C2864,AA2863=AA2864-1),AB2863,"")</f>
        <v/>
      </c>
      <c r="AE2864" s="0" t="str">
        <f aca="false">IF(AND(C2863=C2864,AA2863=AA2864-1),AC2863,"")</f>
        <v/>
      </c>
      <c r="AF2864" s="0" t="str">
        <f aca="false">IF(AA2864=1,"",IF(AND(AB2864=1,AD2864&lt;&gt;1),1,0))</f>
        <v/>
      </c>
      <c r="AG2864" s="0" t="str">
        <f aca="false">IF(AA2864=1,"",IF(AND(AC2864=1,AE2864&lt;&gt;1),1,0))</f>
        <v/>
      </c>
      <c r="AH2864" s="51" t="str">
        <f aca="false">IF(AND(E2864&gt;0,AA2864&lt;1,NOT(AND(C2865=C2864,AA2865=AA2864+1))),INDEX(DATAS,AA2864+1),"")</f>
        <v/>
      </c>
      <c r="AI2864" s="51" t="str">
        <f aca="false">IF(AND(AC2864=1,AA2864&lt;1),IF(AND(C2865=C2864,AA2865=AA2864+1),IF(AC2865=1,"",INDEX(DATAS,AA2864+1)),INDEX(DATAS,AA2864+1)),"")</f>
        <v/>
      </c>
    </row>
    <row r="2865" customFormat="false" ht="15" hidden="false" customHeight="false" outlineLevel="0" collapsed="false">
      <c r="A2865" s="51" t="n">
        <v>46309</v>
      </c>
      <c r="B2865" s="0" t="n">
        <v>13</v>
      </c>
      <c r="C2865" s="0" t="n">
        <v>7241</v>
      </c>
      <c r="E2865" s="0" t="n">
        <v>0</v>
      </c>
      <c r="F2865" s="46" t="s">
        <v>1420</v>
      </c>
      <c r="I2865" s="46" t="s">
        <v>179</v>
      </c>
      <c r="U2865" s="0" t="n">
        <v>299</v>
      </c>
      <c r="V2865" s="0" t="n">
        <v>0</v>
      </c>
      <c r="X2865" s="46" t="n">
        <f aca="false">IF(I2865="Male",0,1)</f>
        <v>1</v>
      </c>
      <c r="Y2865" s="46" t="n">
        <f aca="false">IF(OR(I2865="DNB",I2865="Dry DNB"),1,0)</f>
        <v>0</v>
      </c>
      <c r="Z2865" s="0" t="str">
        <f aca="false">IF(ISNUMBER(W2865),A2865-W2865,"")</f>
        <v/>
      </c>
      <c r="AA2865" s="46" t="n">
        <f aca="false">MATCH(A2865,DATAS,0)</f>
        <v>1</v>
      </c>
      <c r="AB2865" s="46" t="n">
        <f aca="false">IF(AND(E2865&gt;0,OR(AND(B2865&gt;=1,B2865&lt;=6),B2865=10)),1,0)</f>
        <v>0</v>
      </c>
      <c r="AC2865" s="46" t="n">
        <f aca="false">IF(AND(E2865&gt;0,B2865=10),1,0)</f>
        <v>0</v>
      </c>
      <c r="AD2865" s="0" t="str">
        <f aca="false">IF(AND(C2864=C2865,AA2864=AA2865-1),AB2864,"")</f>
        <v/>
      </c>
      <c r="AE2865" s="0" t="str">
        <f aca="false">IF(AND(C2864=C2865,AA2864=AA2865-1),AC2864,"")</f>
        <v/>
      </c>
      <c r="AF2865" s="0" t="str">
        <f aca="false">IF(AA2865=1,"",IF(AND(AB2865=1,AD2865&lt;&gt;1),1,0))</f>
        <v/>
      </c>
      <c r="AG2865" s="0" t="str">
        <f aca="false">IF(AA2865=1,"",IF(AND(AC2865=1,AE2865&lt;&gt;1),1,0))</f>
        <v/>
      </c>
      <c r="AH2865" s="51" t="str">
        <f aca="false">IF(AND(E2865&gt;0,AA2865&lt;1,NOT(AND(C2866=C2865,AA2866=AA2865+1))),INDEX(DATAS,AA2865+1),"")</f>
        <v/>
      </c>
      <c r="AI2865" s="51" t="str">
        <f aca="false">IF(AND(AC2865=1,AA2865&lt;1),IF(AND(C2866=C2865,AA2866=AA2865+1),IF(AC2866=1,"",INDEX(DATAS,AA2865+1)),INDEX(DATAS,AA2865+1)),"")</f>
        <v/>
      </c>
    </row>
    <row r="2866" customFormat="false" ht="15" hidden="false" customHeight="false" outlineLevel="0" collapsed="false">
      <c r="A2866" s="51" t="n">
        <v>46309</v>
      </c>
      <c r="B2866" s="0" t="n">
        <v>13</v>
      </c>
      <c r="C2866" s="0" t="n">
        <v>7242</v>
      </c>
      <c r="E2866" s="0" t="n">
        <v>0</v>
      </c>
      <c r="F2866" s="46" t="s">
        <v>1421</v>
      </c>
      <c r="I2866" s="46" t="s">
        <v>179</v>
      </c>
      <c r="U2866" s="0" t="n">
        <v>298</v>
      </c>
      <c r="V2866" s="0" t="n">
        <v>0</v>
      </c>
      <c r="X2866" s="46" t="n">
        <f aca="false">IF(I2866="Male",0,1)</f>
        <v>1</v>
      </c>
      <c r="Y2866" s="46" t="n">
        <f aca="false">IF(OR(I2866="DNB",I2866="Dry DNB"),1,0)</f>
        <v>0</v>
      </c>
      <c r="Z2866" s="0" t="str">
        <f aca="false">IF(ISNUMBER(W2866),A2866-W2866,"")</f>
        <v/>
      </c>
      <c r="AA2866" s="46" t="n">
        <f aca="false">MATCH(A2866,DATAS,0)</f>
        <v>1</v>
      </c>
      <c r="AB2866" s="46" t="n">
        <f aca="false">IF(AND(E2866&gt;0,OR(AND(B2866&gt;=1,B2866&lt;=6),B2866=10)),1,0)</f>
        <v>0</v>
      </c>
      <c r="AC2866" s="46" t="n">
        <f aca="false">IF(AND(E2866&gt;0,B2866=10),1,0)</f>
        <v>0</v>
      </c>
      <c r="AD2866" s="0" t="str">
        <f aca="false">IF(AND(C2865=C2866,AA2865=AA2866-1),AB2865,"")</f>
        <v/>
      </c>
      <c r="AE2866" s="0" t="str">
        <f aca="false">IF(AND(C2865=C2866,AA2865=AA2866-1),AC2865,"")</f>
        <v/>
      </c>
      <c r="AF2866" s="0" t="str">
        <f aca="false">IF(AA2866=1,"",IF(AND(AB2866=1,AD2866&lt;&gt;1),1,0))</f>
        <v/>
      </c>
      <c r="AG2866" s="0" t="str">
        <f aca="false">IF(AA2866=1,"",IF(AND(AC2866=1,AE2866&lt;&gt;1),1,0))</f>
        <v/>
      </c>
      <c r="AH2866" s="51" t="str">
        <f aca="false">IF(AND(E2866&gt;0,AA2866&lt;1,NOT(AND(C2867=C2866,AA2867=AA2866+1))),INDEX(DATAS,AA2866+1),"")</f>
        <v/>
      </c>
      <c r="AI2866" s="51" t="str">
        <f aca="false">IF(AND(AC2866=1,AA2866&lt;1),IF(AND(C2867=C2866,AA2867=AA2866+1),IF(AC2867=1,"",INDEX(DATAS,AA2866+1)),INDEX(DATAS,AA2866+1)),"")</f>
        <v/>
      </c>
    </row>
    <row r="2867" customFormat="false" ht="15" hidden="false" customHeight="false" outlineLevel="0" collapsed="false">
      <c r="A2867" s="51" t="n">
        <v>46309</v>
      </c>
      <c r="B2867" s="0" t="n">
        <v>13</v>
      </c>
      <c r="C2867" s="0" t="n">
        <v>7243</v>
      </c>
      <c r="E2867" s="0" t="n">
        <v>0</v>
      </c>
      <c r="F2867" s="46" t="s">
        <v>1421</v>
      </c>
      <c r="I2867" s="46" t="s">
        <v>179</v>
      </c>
      <c r="U2867" s="0" t="n">
        <v>298</v>
      </c>
      <c r="V2867" s="0" t="n">
        <v>0</v>
      </c>
      <c r="X2867" s="46" t="n">
        <f aca="false">IF(I2867="Male",0,1)</f>
        <v>1</v>
      </c>
      <c r="Y2867" s="46" t="n">
        <f aca="false">IF(OR(I2867="DNB",I2867="Dry DNB"),1,0)</f>
        <v>0</v>
      </c>
      <c r="Z2867" s="0" t="str">
        <f aca="false">IF(ISNUMBER(W2867),A2867-W2867,"")</f>
        <v/>
      </c>
      <c r="AA2867" s="46" t="n">
        <f aca="false">MATCH(A2867,DATAS,0)</f>
        <v>1</v>
      </c>
      <c r="AB2867" s="46" t="n">
        <f aca="false">IF(AND(E2867&gt;0,OR(AND(B2867&gt;=1,B2867&lt;=6),B2867=10)),1,0)</f>
        <v>0</v>
      </c>
      <c r="AC2867" s="46" t="n">
        <f aca="false">IF(AND(E2867&gt;0,B2867=10),1,0)</f>
        <v>0</v>
      </c>
      <c r="AD2867" s="0" t="str">
        <f aca="false">IF(AND(C2866=C2867,AA2866=AA2867-1),AB2866,"")</f>
        <v/>
      </c>
      <c r="AE2867" s="0" t="str">
        <f aca="false">IF(AND(C2866=C2867,AA2866=AA2867-1),AC2866,"")</f>
        <v/>
      </c>
      <c r="AF2867" s="0" t="str">
        <f aca="false">IF(AA2867=1,"",IF(AND(AB2867=1,AD2867&lt;&gt;1),1,0))</f>
        <v/>
      </c>
      <c r="AG2867" s="0" t="str">
        <f aca="false">IF(AA2867=1,"",IF(AND(AC2867=1,AE2867&lt;&gt;1),1,0))</f>
        <v/>
      </c>
      <c r="AH2867" s="51" t="str">
        <f aca="false">IF(AND(E2867&gt;0,AA2867&lt;1,NOT(AND(C2868=C2867,AA2868=AA2867+1))),INDEX(DATAS,AA2867+1),"")</f>
        <v/>
      </c>
      <c r="AI2867" s="51" t="str">
        <f aca="false">IF(AND(AC2867=1,AA2867&lt;1),IF(AND(C2868=C2867,AA2868=AA2867+1),IF(AC2868=1,"",INDEX(DATAS,AA2867+1)),INDEX(DATAS,AA2867+1)),"")</f>
        <v/>
      </c>
    </row>
    <row r="2868" customFormat="false" ht="15" hidden="false" customHeight="false" outlineLevel="0" collapsed="false">
      <c r="A2868" s="51" t="n">
        <v>46309</v>
      </c>
      <c r="B2868" s="0" t="n">
        <v>13</v>
      </c>
      <c r="C2868" s="0" t="n">
        <v>7245</v>
      </c>
      <c r="E2868" s="0" t="n">
        <v>0</v>
      </c>
      <c r="F2868" s="46" t="s">
        <v>1422</v>
      </c>
      <c r="I2868" s="46" t="s">
        <v>179</v>
      </c>
      <c r="U2868" s="0" t="n">
        <v>297</v>
      </c>
      <c r="V2868" s="0" t="n">
        <v>0</v>
      </c>
      <c r="X2868" s="46" t="n">
        <f aca="false">IF(I2868="Male",0,1)</f>
        <v>1</v>
      </c>
      <c r="Y2868" s="46" t="n">
        <f aca="false">IF(OR(I2868="DNB",I2868="Dry DNB"),1,0)</f>
        <v>0</v>
      </c>
      <c r="Z2868" s="0" t="str">
        <f aca="false">IF(ISNUMBER(W2868),A2868-W2868,"")</f>
        <v/>
      </c>
      <c r="AA2868" s="46" t="n">
        <f aca="false">MATCH(A2868,DATAS,0)</f>
        <v>1</v>
      </c>
      <c r="AB2868" s="46" t="n">
        <f aca="false">IF(AND(E2868&gt;0,OR(AND(B2868&gt;=1,B2868&lt;=6),B2868=10)),1,0)</f>
        <v>0</v>
      </c>
      <c r="AC2868" s="46" t="n">
        <f aca="false">IF(AND(E2868&gt;0,B2868=10),1,0)</f>
        <v>0</v>
      </c>
      <c r="AD2868" s="0" t="str">
        <f aca="false">IF(AND(C2867=C2868,AA2867=AA2868-1),AB2867,"")</f>
        <v/>
      </c>
      <c r="AE2868" s="0" t="str">
        <f aca="false">IF(AND(C2867=C2868,AA2867=AA2868-1),AC2867,"")</f>
        <v/>
      </c>
      <c r="AF2868" s="0" t="str">
        <f aca="false">IF(AA2868=1,"",IF(AND(AB2868=1,AD2868&lt;&gt;1),1,0))</f>
        <v/>
      </c>
      <c r="AG2868" s="0" t="str">
        <f aca="false">IF(AA2868=1,"",IF(AND(AC2868=1,AE2868&lt;&gt;1),1,0))</f>
        <v/>
      </c>
      <c r="AH2868" s="51" t="str">
        <f aca="false">IF(AND(E2868&gt;0,AA2868&lt;1,NOT(AND(C2869=C2868,AA2869=AA2868+1))),INDEX(DATAS,AA2868+1),"")</f>
        <v/>
      </c>
      <c r="AI2868" s="51" t="str">
        <f aca="false">IF(AND(AC2868=1,AA2868&lt;1),IF(AND(C2869=C2868,AA2869=AA2868+1),IF(AC2869=1,"",INDEX(DATAS,AA2868+1)),INDEX(DATAS,AA2868+1)),"")</f>
        <v/>
      </c>
    </row>
    <row r="2869" customFormat="false" ht="15" hidden="false" customHeight="false" outlineLevel="0" collapsed="false">
      <c r="A2869" s="51" t="n">
        <v>46309</v>
      </c>
      <c r="B2869" s="0" t="n">
        <v>13</v>
      </c>
      <c r="C2869" s="0" t="n">
        <v>7247</v>
      </c>
      <c r="E2869" s="0" t="n">
        <v>0</v>
      </c>
      <c r="F2869" s="46" t="s">
        <v>1395</v>
      </c>
      <c r="I2869" s="46" t="s">
        <v>179</v>
      </c>
      <c r="U2869" s="0" t="n">
        <v>327</v>
      </c>
      <c r="V2869" s="0" t="n">
        <v>0</v>
      </c>
      <c r="X2869" s="46" t="n">
        <f aca="false">IF(I2869="Male",0,1)</f>
        <v>1</v>
      </c>
      <c r="Y2869" s="46" t="n">
        <f aca="false">IF(OR(I2869="DNB",I2869="Dry DNB"),1,0)</f>
        <v>0</v>
      </c>
      <c r="Z2869" s="0" t="str">
        <f aca="false">IF(ISNUMBER(W2869),A2869-W2869,"")</f>
        <v/>
      </c>
      <c r="AA2869" s="46" t="n">
        <f aca="false">MATCH(A2869,DATAS,0)</f>
        <v>1</v>
      </c>
      <c r="AB2869" s="46" t="n">
        <f aca="false">IF(AND(E2869&gt;0,OR(AND(B2869&gt;=1,B2869&lt;=6),B2869=10)),1,0)</f>
        <v>0</v>
      </c>
      <c r="AC2869" s="46" t="n">
        <f aca="false">IF(AND(E2869&gt;0,B2869=10),1,0)</f>
        <v>0</v>
      </c>
      <c r="AD2869" s="0" t="str">
        <f aca="false">IF(AND(C2868=C2869,AA2868=AA2869-1),AB2868,"")</f>
        <v/>
      </c>
      <c r="AE2869" s="0" t="str">
        <f aca="false">IF(AND(C2868=C2869,AA2868=AA2869-1),AC2868,"")</f>
        <v/>
      </c>
      <c r="AF2869" s="0" t="str">
        <f aca="false">IF(AA2869=1,"",IF(AND(AB2869=1,AD2869&lt;&gt;1),1,0))</f>
        <v/>
      </c>
      <c r="AG2869" s="0" t="str">
        <f aca="false">IF(AA2869=1,"",IF(AND(AC2869=1,AE2869&lt;&gt;1),1,0))</f>
        <v/>
      </c>
      <c r="AH2869" s="51" t="str">
        <f aca="false">IF(AND(E2869&gt;0,AA2869&lt;1,NOT(AND(C2870=C2869,AA2870=AA2869+1))),INDEX(DATAS,AA2869+1),"")</f>
        <v/>
      </c>
      <c r="AI2869" s="51" t="str">
        <f aca="false">IF(AND(AC2869=1,AA2869&lt;1),IF(AND(C2870=C2869,AA2870=AA2869+1),IF(AC2870=1,"",INDEX(DATAS,AA2869+1)),INDEX(DATAS,AA2869+1)),"")</f>
        <v/>
      </c>
    </row>
    <row r="2870" customFormat="false" ht="15" hidden="false" customHeight="false" outlineLevel="0" collapsed="false">
      <c r="A2870" s="51" t="n">
        <v>46309</v>
      </c>
      <c r="B2870" s="0" t="n">
        <v>13</v>
      </c>
      <c r="C2870" s="0" t="n">
        <v>7248</v>
      </c>
      <c r="E2870" s="0" t="n">
        <v>0</v>
      </c>
      <c r="F2870" s="46" t="s">
        <v>1422</v>
      </c>
      <c r="I2870" s="46" t="s">
        <v>179</v>
      </c>
      <c r="U2870" s="0" t="n">
        <v>297</v>
      </c>
      <c r="V2870" s="0" t="n">
        <v>0</v>
      </c>
      <c r="X2870" s="46" t="n">
        <f aca="false">IF(I2870="Male",0,1)</f>
        <v>1</v>
      </c>
      <c r="Y2870" s="46" t="n">
        <f aca="false">IF(OR(I2870="DNB",I2870="Dry DNB"),1,0)</f>
        <v>0</v>
      </c>
      <c r="Z2870" s="0" t="str">
        <f aca="false">IF(ISNUMBER(W2870),A2870-W2870,"")</f>
        <v/>
      </c>
      <c r="AA2870" s="46" t="n">
        <f aca="false">MATCH(A2870,DATAS,0)</f>
        <v>1</v>
      </c>
      <c r="AB2870" s="46" t="n">
        <f aca="false">IF(AND(E2870&gt;0,OR(AND(B2870&gt;=1,B2870&lt;=6),B2870=10)),1,0)</f>
        <v>0</v>
      </c>
      <c r="AC2870" s="46" t="n">
        <f aca="false">IF(AND(E2870&gt;0,B2870=10),1,0)</f>
        <v>0</v>
      </c>
      <c r="AD2870" s="0" t="str">
        <f aca="false">IF(AND(C2869=C2870,AA2869=AA2870-1),AB2869,"")</f>
        <v/>
      </c>
      <c r="AE2870" s="0" t="str">
        <f aca="false">IF(AND(C2869=C2870,AA2869=AA2870-1),AC2869,"")</f>
        <v/>
      </c>
      <c r="AF2870" s="0" t="str">
        <f aca="false">IF(AA2870=1,"",IF(AND(AB2870=1,AD2870&lt;&gt;1),1,0))</f>
        <v/>
      </c>
      <c r="AG2870" s="0" t="str">
        <f aca="false">IF(AA2870=1,"",IF(AND(AC2870=1,AE2870&lt;&gt;1),1,0))</f>
        <v/>
      </c>
      <c r="AH2870" s="51" t="str">
        <f aca="false">IF(AND(E2870&gt;0,AA2870&lt;1,NOT(AND(C2871=C2870,AA2871=AA2870+1))),INDEX(DATAS,AA2870+1),"")</f>
        <v/>
      </c>
      <c r="AI2870" s="51" t="str">
        <f aca="false">IF(AND(AC2870=1,AA2870&lt;1),IF(AND(C2871=C2870,AA2871=AA2870+1),IF(AC2871=1,"",INDEX(DATAS,AA2870+1)),INDEX(DATAS,AA2870+1)),"")</f>
        <v/>
      </c>
    </row>
    <row r="2871" customFormat="false" ht="15" hidden="false" customHeight="false" outlineLevel="0" collapsed="false">
      <c r="A2871" s="51" t="n">
        <v>46309</v>
      </c>
      <c r="B2871" s="0" t="n">
        <v>13</v>
      </c>
      <c r="C2871" s="0" t="n">
        <v>7249</v>
      </c>
      <c r="E2871" s="0" t="n">
        <v>0</v>
      </c>
      <c r="F2871" s="46" t="s">
        <v>1423</v>
      </c>
      <c r="I2871" s="46" t="s">
        <v>179</v>
      </c>
      <c r="U2871" s="0" t="n">
        <v>296</v>
      </c>
      <c r="V2871" s="0" t="n">
        <v>0</v>
      </c>
      <c r="X2871" s="46" t="n">
        <f aca="false">IF(I2871="Male",0,1)</f>
        <v>1</v>
      </c>
      <c r="Y2871" s="46" t="n">
        <f aca="false">IF(OR(I2871="DNB",I2871="Dry DNB"),1,0)</f>
        <v>0</v>
      </c>
      <c r="Z2871" s="0" t="str">
        <f aca="false">IF(ISNUMBER(W2871),A2871-W2871,"")</f>
        <v/>
      </c>
      <c r="AA2871" s="46" t="n">
        <f aca="false">MATCH(A2871,DATAS,0)</f>
        <v>1</v>
      </c>
      <c r="AB2871" s="46" t="n">
        <f aca="false">IF(AND(E2871&gt;0,OR(AND(B2871&gt;=1,B2871&lt;=6),B2871=10)),1,0)</f>
        <v>0</v>
      </c>
      <c r="AC2871" s="46" t="n">
        <f aca="false">IF(AND(E2871&gt;0,B2871=10),1,0)</f>
        <v>0</v>
      </c>
      <c r="AD2871" s="0" t="str">
        <f aca="false">IF(AND(C2870=C2871,AA2870=AA2871-1),AB2870,"")</f>
        <v/>
      </c>
      <c r="AE2871" s="0" t="str">
        <f aca="false">IF(AND(C2870=C2871,AA2870=AA2871-1),AC2870,"")</f>
        <v/>
      </c>
      <c r="AF2871" s="0" t="str">
        <f aca="false">IF(AA2871=1,"",IF(AND(AB2871=1,AD2871&lt;&gt;1),1,0))</f>
        <v/>
      </c>
      <c r="AG2871" s="0" t="str">
        <f aca="false">IF(AA2871=1,"",IF(AND(AC2871=1,AE2871&lt;&gt;1),1,0))</f>
        <v/>
      </c>
      <c r="AH2871" s="51" t="str">
        <f aca="false">IF(AND(E2871&gt;0,AA2871&lt;1,NOT(AND(C2872=C2871,AA2872=AA2871+1))),INDEX(DATAS,AA2871+1),"")</f>
        <v/>
      </c>
      <c r="AI2871" s="51" t="str">
        <f aca="false">IF(AND(AC2871=1,AA2871&lt;1),IF(AND(C2872=C2871,AA2872=AA2871+1),IF(AC2872=1,"",INDEX(DATAS,AA2871+1)),INDEX(DATAS,AA2871+1)),"")</f>
        <v/>
      </c>
    </row>
    <row r="2872" customFormat="false" ht="15" hidden="false" customHeight="false" outlineLevel="0" collapsed="false">
      <c r="A2872" s="51" t="n">
        <v>46309</v>
      </c>
      <c r="B2872" s="0" t="n">
        <v>13</v>
      </c>
      <c r="C2872" s="0" t="n">
        <v>7250</v>
      </c>
      <c r="E2872" s="0" t="n">
        <v>0</v>
      </c>
      <c r="F2872" s="46" t="s">
        <v>1423</v>
      </c>
      <c r="I2872" s="46" t="s">
        <v>179</v>
      </c>
      <c r="U2872" s="0" t="n">
        <v>296</v>
      </c>
      <c r="V2872" s="0" t="n">
        <v>0</v>
      </c>
      <c r="X2872" s="46" t="n">
        <f aca="false">IF(I2872="Male",0,1)</f>
        <v>1</v>
      </c>
      <c r="Y2872" s="46" t="n">
        <f aca="false">IF(OR(I2872="DNB",I2872="Dry DNB"),1,0)</f>
        <v>0</v>
      </c>
      <c r="Z2872" s="0" t="str">
        <f aca="false">IF(ISNUMBER(W2872),A2872-W2872,"")</f>
        <v/>
      </c>
      <c r="AA2872" s="46" t="n">
        <f aca="false">MATCH(A2872,DATAS,0)</f>
        <v>1</v>
      </c>
      <c r="AB2872" s="46" t="n">
        <f aca="false">IF(AND(E2872&gt;0,OR(AND(B2872&gt;=1,B2872&lt;=6),B2872=10)),1,0)</f>
        <v>0</v>
      </c>
      <c r="AC2872" s="46" t="n">
        <f aca="false">IF(AND(E2872&gt;0,B2872=10),1,0)</f>
        <v>0</v>
      </c>
      <c r="AD2872" s="0" t="str">
        <f aca="false">IF(AND(C2871=C2872,AA2871=AA2872-1),AB2871,"")</f>
        <v/>
      </c>
      <c r="AE2872" s="0" t="str">
        <f aca="false">IF(AND(C2871=C2872,AA2871=AA2872-1),AC2871,"")</f>
        <v/>
      </c>
      <c r="AF2872" s="0" t="str">
        <f aca="false">IF(AA2872=1,"",IF(AND(AB2872=1,AD2872&lt;&gt;1),1,0))</f>
        <v/>
      </c>
      <c r="AG2872" s="0" t="str">
        <f aca="false">IF(AA2872=1,"",IF(AND(AC2872=1,AE2872&lt;&gt;1),1,0))</f>
        <v/>
      </c>
      <c r="AH2872" s="51" t="str">
        <f aca="false">IF(AND(E2872&gt;0,AA2872&lt;1,NOT(AND(C2873=C2872,AA2873=AA2872+1))),INDEX(DATAS,AA2872+1),"")</f>
        <v/>
      </c>
      <c r="AI2872" s="51" t="str">
        <f aca="false">IF(AND(AC2872=1,AA2872&lt;1),IF(AND(C2873=C2872,AA2873=AA2872+1),IF(AC2873=1,"",INDEX(DATAS,AA2872+1)),INDEX(DATAS,AA2872+1)),"")</f>
        <v/>
      </c>
    </row>
    <row r="2873" customFormat="false" ht="15" hidden="false" customHeight="false" outlineLevel="0" collapsed="false">
      <c r="A2873" s="51" t="n">
        <v>46309</v>
      </c>
      <c r="B2873" s="0" t="n">
        <v>13</v>
      </c>
      <c r="C2873" s="0" t="n">
        <v>7251</v>
      </c>
      <c r="E2873" s="0" t="n">
        <v>0</v>
      </c>
      <c r="F2873" s="46" t="s">
        <v>1423</v>
      </c>
      <c r="I2873" s="46" t="s">
        <v>179</v>
      </c>
      <c r="U2873" s="0" t="n">
        <v>296</v>
      </c>
      <c r="V2873" s="0" t="n">
        <v>0</v>
      </c>
      <c r="X2873" s="46" t="n">
        <f aca="false">IF(I2873="Male",0,1)</f>
        <v>1</v>
      </c>
      <c r="Y2873" s="46" t="n">
        <f aca="false">IF(OR(I2873="DNB",I2873="Dry DNB"),1,0)</f>
        <v>0</v>
      </c>
      <c r="Z2873" s="0" t="str">
        <f aca="false">IF(ISNUMBER(W2873),A2873-W2873,"")</f>
        <v/>
      </c>
      <c r="AA2873" s="46" t="n">
        <f aca="false">MATCH(A2873,DATAS,0)</f>
        <v>1</v>
      </c>
      <c r="AB2873" s="46" t="n">
        <f aca="false">IF(AND(E2873&gt;0,OR(AND(B2873&gt;=1,B2873&lt;=6),B2873=10)),1,0)</f>
        <v>0</v>
      </c>
      <c r="AC2873" s="46" t="n">
        <f aca="false">IF(AND(E2873&gt;0,B2873=10),1,0)</f>
        <v>0</v>
      </c>
      <c r="AD2873" s="0" t="str">
        <f aca="false">IF(AND(C2872=C2873,AA2872=AA2873-1),AB2872,"")</f>
        <v/>
      </c>
      <c r="AE2873" s="0" t="str">
        <f aca="false">IF(AND(C2872=C2873,AA2872=AA2873-1),AC2872,"")</f>
        <v/>
      </c>
      <c r="AF2873" s="0" t="str">
        <f aca="false">IF(AA2873=1,"",IF(AND(AB2873=1,AD2873&lt;&gt;1),1,0))</f>
        <v/>
      </c>
      <c r="AG2873" s="0" t="str">
        <f aca="false">IF(AA2873=1,"",IF(AND(AC2873=1,AE2873&lt;&gt;1),1,0))</f>
        <v/>
      </c>
      <c r="AH2873" s="51" t="str">
        <f aca="false">IF(AND(E2873&gt;0,AA2873&lt;1,NOT(AND(C2874=C2873,AA2874=AA2873+1))),INDEX(DATAS,AA2873+1),"")</f>
        <v/>
      </c>
      <c r="AI2873" s="51" t="str">
        <f aca="false">IF(AND(AC2873=1,AA2873&lt;1),IF(AND(C2874=C2873,AA2874=AA2873+1),IF(AC2874=1,"",INDEX(DATAS,AA2873+1)),INDEX(DATAS,AA2873+1)),"")</f>
        <v/>
      </c>
    </row>
    <row r="2874" customFormat="false" ht="15" hidden="false" customHeight="false" outlineLevel="0" collapsed="false">
      <c r="A2874" s="51" t="n">
        <v>46309</v>
      </c>
      <c r="B2874" s="0" t="n">
        <v>13</v>
      </c>
      <c r="C2874" s="0" t="n">
        <v>7252</v>
      </c>
      <c r="E2874" s="0" t="n">
        <v>0</v>
      </c>
      <c r="F2874" s="46" t="s">
        <v>1423</v>
      </c>
      <c r="I2874" s="46" t="s">
        <v>179</v>
      </c>
      <c r="U2874" s="0" t="n">
        <v>296</v>
      </c>
      <c r="V2874" s="0" t="n">
        <v>0</v>
      </c>
      <c r="X2874" s="46" t="n">
        <f aca="false">IF(I2874="Male",0,1)</f>
        <v>1</v>
      </c>
      <c r="Y2874" s="46" t="n">
        <f aca="false">IF(OR(I2874="DNB",I2874="Dry DNB"),1,0)</f>
        <v>0</v>
      </c>
      <c r="Z2874" s="0" t="str">
        <f aca="false">IF(ISNUMBER(W2874),A2874-W2874,"")</f>
        <v/>
      </c>
      <c r="AA2874" s="46" t="n">
        <f aca="false">MATCH(A2874,DATAS,0)</f>
        <v>1</v>
      </c>
      <c r="AB2874" s="46" t="n">
        <f aca="false">IF(AND(E2874&gt;0,OR(AND(B2874&gt;=1,B2874&lt;=6),B2874=10)),1,0)</f>
        <v>0</v>
      </c>
      <c r="AC2874" s="46" t="n">
        <f aca="false">IF(AND(E2874&gt;0,B2874=10),1,0)</f>
        <v>0</v>
      </c>
      <c r="AD2874" s="0" t="str">
        <f aca="false">IF(AND(C2873=C2874,AA2873=AA2874-1),AB2873,"")</f>
        <v/>
      </c>
      <c r="AE2874" s="0" t="str">
        <f aca="false">IF(AND(C2873=C2874,AA2873=AA2874-1),AC2873,"")</f>
        <v/>
      </c>
      <c r="AF2874" s="0" t="str">
        <f aca="false">IF(AA2874=1,"",IF(AND(AB2874=1,AD2874&lt;&gt;1),1,0))</f>
        <v/>
      </c>
      <c r="AG2874" s="0" t="str">
        <f aca="false">IF(AA2874=1,"",IF(AND(AC2874=1,AE2874&lt;&gt;1),1,0))</f>
        <v/>
      </c>
      <c r="AH2874" s="51" t="str">
        <f aca="false">IF(AND(E2874&gt;0,AA2874&lt;1,NOT(AND(C2875=C2874,AA2875=AA2874+1))),INDEX(DATAS,AA2874+1),"")</f>
        <v/>
      </c>
      <c r="AI2874" s="51" t="str">
        <f aca="false">IF(AND(AC2874=1,AA2874&lt;1),IF(AND(C2875=C2874,AA2875=AA2874+1),IF(AC2875=1,"",INDEX(DATAS,AA2874+1)),INDEX(DATAS,AA2874+1)),"")</f>
        <v/>
      </c>
    </row>
    <row r="2875" customFormat="false" ht="15" hidden="false" customHeight="false" outlineLevel="0" collapsed="false">
      <c r="A2875" s="51" t="n">
        <v>46309</v>
      </c>
      <c r="B2875" s="0" t="n">
        <v>13</v>
      </c>
      <c r="C2875" s="0" t="n">
        <v>7253</v>
      </c>
      <c r="E2875" s="0" t="n">
        <v>0</v>
      </c>
      <c r="F2875" s="46" t="s">
        <v>1424</v>
      </c>
      <c r="I2875" s="46" t="s">
        <v>179</v>
      </c>
      <c r="U2875" s="0" t="n">
        <v>295</v>
      </c>
      <c r="V2875" s="0" t="n">
        <v>0</v>
      </c>
      <c r="X2875" s="46" t="n">
        <f aca="false">IF(I2875="Male",0,1)</f>
        <v>1</v>
      </c>
      <c r="Y2875" s="46" t="n">
        <f aca="false">IF(OR(I2875="DNB",I2875="Dry DNB"),1,0)</f>
        <v>0</v>
      </c>
      <c r="Z2875" s="0" t="str">
        <f aca="false">IF(ISNUMBER(W2875),A2875-W2875,"")</f>
        <v/>
      </c>
      <c r="AA2875" s="46" t="n">
        <f aca="false">MATCH(A2875,DATAS,0)</f>
        <v>1</v>
      </c>
      <c r="AB2875" s="46" t="n">
        <f aca="false">IF(AND(E2875&gt;0,OR(AND(B2875&gt;=1,B2875&lt;=6),B2875=10)),1,0)</f>
        <v>0</v>
      </c>
      <c r="AC2875" s="46" t="n">
        <f aca="false">IF(AND(E2875&gt;0,B2875=10),1,0)</f>
        <v>0</v>
      </c>
      <c r="AD2875" s="0" t="str">
        <f aca="false">IF(AND(C2874=C2875,AA2874=AA2875-1),AB2874,"")</f>
        <v/>
      </c>
      <c r="AE2875" s="0" t="str">
        <f aca="false">IF(AND(C2874=C2875,AA2874=AA2875-1),AC2874,"")</f>
        <v/>
      </c>
      <c r="AF2875" s="0" t="str">
        <f aca="false">IF(AA2875=1,"",IF(AND(AB2875=1,AD2875&lt;&gt;1),1,0))</f>
        <v/>
      </c>
      <c r="AG2875" s="0" t="str">
        <f aca="false">IF(AA2875=1,"",IF(AND(AC2875=1,AE2875&lt;&gt;1),1,0))</f>
        <v/>
      </c>
      <c r="AH2875" s="51" t="str">
        <f aca="false">IF(AND(E2875&gt;0,AA2875&lt;1,NOT(AND(C2876=C2875,AA2876=AA2875+1))),INDEX(DATAS,AA2875+1),"")</f>
        <v/>
      </c>
      <c r="AI2875" s="51" t="str">
        <f aca="false">IF(AND(AC2875=1,AA2875&lt;1),IF(AND(C2876=C2875,AA2876=AA2875+1),IF(AC2876=1,"",INDEX(DATAS,AA2875+1)),INDEX(DATAS,AA2875+1)),"")</f>
        <v/>
      </c>
    </row>
    <row r="2876" customFormat="false" ht="15" hidden="false" customHeight="false" outlineLevel="0" collapsed="false">
      <c r="A2876" s="51" t="n">
        <v>46309</v>
      </c>
      <c r="B2876" s="0" t="n">
        <v>13</v>
      </c>
      <c r="C2876" s="0" t="n">
        <v>7256</v>
      </c>
      <c r="E2876" s="0" t="n">
        <v>0</v>
      </c>
      <c r="F2876" s="46" t="s">
        <v>1424</v>
      </c>
      <c r="I2876" s="46" t="s">
        <v>179</v>
      </c>
      <c r="U2876" s="0" t="n">
        <v>295</v>
      </c>
      <c r="V2876" s="0" t="n">
        <v>0</v>
      </c>
      <c r="X2876" s="46" t="n">
        <f aca="false">IF(I2876="Male",0,1)</f>
        <v>1</v>
      </c>
      <c r="Y2876" s="46" t="n">
        <f aca="false">IF(OR(I2876="DNB",I2876="Dry DNB"),1,0)</f>
        <v>0</v>
      </c>
      <c r="Z2876" s="0" t="str">
        <f aca="false">IF(ISNUMBER(W2876),A2876-W2876,"")</f>
        <v/>
      </c>
      <c r="AA2876" s="46" t="n">
        <f aca="false">MATCH(A2876,DATAS,0)</f>
        <v>1</v>
      </c>
      <c r="AB2876" s="46" t="n">
        <f aca="false">IF(AND(E2876&gt;0,OR(AND(B2876&gt;=1,B2876&lt;=6),B2876=10)),1,0)</f>
        <v>0</v>
      </c>
      <c r="AC2876" s="46" t="n">
        <f aca="false">IF(AND(E2876&gt;0,B2876=10),1,0)</f>
        <v>0</v>
      </c>
      <c r="AD2876" s="0" t="str">
        <f aca="false">IF(AND(C2875=C2876,AA2875=AA2876-1),AB2875,"")</f>
        <v/>
      </c>
      <c r="AE2876" s="0" t="str">
        <f aca="false">IF(AND(C2875=C2876,AA2875=AA2876-1),AC2875,"")</f>
        <v/>
      </c>
      <c r="AF2876" s="0" t="str">
        <f aca="false">IF(AA2876=1,"",IF(AND(AB2876=1,AD2876&lt;&gt;1),1,0))</f>
        <v/>
      </c>
      <c r="AG2876" s="0" t="str">
        <f aca="false">IF(AA2876=1,"",IF(AND(AC2876=1,AE2876&lt;&gt;1),1,0))</f>
        <v/>
      </c>
      <c r="AH2876" s="51" t="str">
        <f aca="false">IF(AND(E2876&gt;0,AA2876&lt;1,NOT(AND(C2877=C2876,AA2877=AA2876+1))),INDEX(DATAS,AA2876+1),"")</f>
        <v/>
      </c>
      <c r="AI2876" s="51" t="str">
        <f aca="false">IF(AND(AC2876=1,AA2876&lt;1),IF(AND(C2877=C2876,AA2877=AA2876+1),IF(AC2877=1,"",INDEX(DATAS,AA2876+1)),INDEX(DATAS,AA2876+1)),"")</f>
        <v/>
      </c>
    </row>
    <row r="2877" customFormat="false" ht="15" hidden="false" customHeight="false" outlineLevel="0" collapsed="false">
      <c r="A2877" s="51" t="n">
        <v>46309</v>
      </c>
      <c r="B2877" s="0" t="n">
        <v>13</v>
      </c>
      <c r="C2877" s="0" t="n">
        <v>7257</v>
      </c>
      <c r="E2877" s="0" t="n">
        <v>0</v>
      </c>
      <c r="F2877" s="46" t="s">
        <v>1425</v>
      </c>
      <c r="I2877" s="46" t="s">
        <v>179</v>
      </c>
      <c r="U2877" s="0" t="n">
        <v>294</v>
      </c>
      <c r="V2877" s="0" t="n">
        <v>0</v>
      </c>
      <c r="X2877" s="46" t="n">
        <f aca="false">IF(I2877="Male",0,1)</f>
        <v>1</v>
      </c>
      <c r="Y2877" s="46" t="n">
        <f aca="false">IF(OR(I2877="DNB",I2877="Dry DNB"),1,0)</f>
        <v>0</v>
      </c>
      <c r="Z2877" s="0" t="str">
        <f aca="false">IF(ISNUMBER(W2877),A2877-W2877,"")</f>
        <v/>
      </c>
      <c r="AA2877" s="46" t="n">
        <f aca="false">MATCH(A2877,DATAS,0)</f>
        <v>1</v>
      </c>
      <c r="AB2877" s="46" t="n">
        <f aca="false">IF(AND(E2877&gt;0,OR(AND(B2877&gt;=1,B2877&lt;=6),B2877=10)),1,0)</f>
        <v>0</v>
      </c>
      <c r="AC2877" s="46" t="n">
        <f aca="false">IF(AND(E2877&gt;0,B2877=10),1,0)</f>
        <v>0</v>
      </c>
      <c r="AD2877" s="0" t="str">
        <f aca="false">IF(AND(C2876=C2877,AA2876=AA2877-1),AB2876,"")</f>
        <v/>
      </c>
      <c r="AE2877" s="0" t="str">
        <f aca="false">IF(AND(C2876=C2877,AA2876=AA2877-1),AC2876,"")</f>
        <v/>
      </c>
      <c r="AF2877" s="0" t="str">
        <f aca="false">IF(AA2877=1,"",IF(AND(AB2877=1,AD2877&lt;&gt;1),1,0))</f>
        <v/>
      </c>
      <c r="AG2877" s="0" t="str">
        <f aca="false">IF(AA2877=1,"",IF(AND(AC2877=1,AE2877&lt;&gt;1),1,0))</f>
        <v/>
      </c>
      <c r="AH2877" s="51" t="str">
        <f aca="false">IF(AND(E2877&gt;0,AA2877&lt;1,NOT(AND(C2878=C2877,AA2878=AA2877+1))),INDEX(DATAS,AA2877+1),"")</f>
        <v/>
      </c>
      <c r="AI2877" s="51" t="str">
        <f aca="false">IF(AND(AC2877=1,AA2877&lt;1),IF(AND(C2878=C2877,AA2878=AA2877+1),IF(AC2878=1,"",INDEX(DATAS,AA2877+1)),INDEX(DATAS,AA2877+1)),"")</f>
        <v/>
      </c>
    </row>
    <row r="2878" customFormat="false" ht="15" hidden="false" customHeight="false" outlineLevel="0" collapsed="false">
      <c r="A2878" s="51" t="n">
        <v>46309</v>
      </c>
      <c r="B2878" s="0" t="n">
        <v>13</v>
      </c>
      <c r="C2878" s="0" t="n">
        <v>7258</v>
      </c>
      <c r="E2878" s="0" t="n">
        <v>0</v>
      </c>
      <c r="F2878" s="46" t="s">
        <v>1425</v>
      </c>
      <c r="I2878" s="46" t="s">
        <v>179</v>
      </c>
      <c r="U2878" s="0" t="n">
        <v>294</v>
      </c>
      <c r="V2878" s="0" t="n">
        <v>0</v>
      </c>
      <c r="X2878" s="46" t="n">
        <f aca="false">IF(I2878="Male",0,1)</f>
        <v>1</v>
      </c>
      <c r="Y2878" s="46" t="n">
        <f aca="false">IF(OR(I2878="DNB",I2878="Dry DNB"),1,0)</f>
        <v>0</v>
      </c>
      <c r="Z2878" s="0" t="str">
        <f aca="false">IF(ISNUMBER(W2878),A2878-W2878,"")</f>
        <v/>
      </c>
      <c r="AA2878" s="46" t="n">
        <f aca="false">MATCH(A2878,DATAS,0)</f>
        <v>1</v>
      </c>
      <c r="AB2878" s="46" t="n">
        <f aca="false">IF(AND(E2878&gt;0,OR(AND(B2878&gt;=1,B2878&lt;=6),B2878=10)),1,0)</f>
        <v>0</v>
      </c>
      <c r="AC2878" s="46" t="n">
        <f aca="false">IF(AND(E2878&gt;0,B2878=10),1,0)</f>
        <v>0</v>
      </c>
      <c r="AD2878" s="0" t="str">
        <f aca="false">IF(AND(C2877=C2878,AA2877=AA2878-1),AB2877,"")</f>
        <v/>
      </c>
      <c r="AE2878" s="0" t="str">
        <f aca="false">IF(AND(C2877=C2878,AA2877=AA2878-1),AC2877,"")</f>
        <v/>
      </c>
      <c r="AF2878" s="0" t="str">
        <f aca="false">IF(AA2878=1,"",IF(AND(AB2878=1,AD2878&lt;&gt;1),1,0))</f>
        <v/>
      </c>
      <c r="AG2878" s="0" t="str">
        <f aca="false">IF(AA2878=1,"",IF(AND(AC2878=1,AE2878&lt;&gt;1),1,0))</f>
        <v/>
      </c>
      <c r="AH2878" s="51" t="str">
        <f aca="false">IF(AND(E2878&gt;0,AA2878&lt;1,NOT(AND(C2879=C2878,AA2879=AA2878+1))),INDEX(DATAS,AA2878+1),"")</f>
        <v/>
      </c>
      <c r="AI2878" s="51" t="str">
        <f aca="false">IF(AND(AC2878=1,AA2878&lt;1),IF(AND(C2879=C2878,AA2879=AA2878+1),IF(AC2879=1,"",INDEX(DATAS,AA2878+1)),INDEX(DATAS,AA2878+1)),"")</f>
        <v/>
      </c>
    </row>
    <row r="2879" customFormat="false" ht="15" hidden="false" customHeight="false" outlineLevel="0" collapsed="false">
      <c r="A2879" s="51" t="n">
        <v>46309</v>
      </c>
      <c r="B2879" s="0" t="n">
        <v>13</v>
      </c>
      <c r="C2879" s="0" t="n">
        <v>7260</v>
      </c>
      <c r="E2879" s="0" t="n">
        <v>0</v>
      </c>
      <c r="F2879" s="46" t="s">
        <v>1425</v>
      </c>
      <c r="I2879" s="46" t="s">
        <v>179</v>
      </c>
      <c r="U2879" s="0" t="n">
        <v>294</v>
      </c>
      <c r="V2879" s="0" t="n">
        <v>0</v>
      </c>
      <c r="X2879" s="46" t="n">
        <f aca="false">IF(I2879="Male",0,1)</f>
        <v>1</v>
      </c>
      <c r="Y2879" s="46" t="n">
        <f aca="false">IF(OR(I2879="DNB",I2879="Dry DNB"),1,0)</f>
        <v>0</v>
      </c>
      <c r="Z2879" s="0" t="str">
        <f aca="false">IF(ISNUMBER(W2879),A2879-W2879,"")</f>
        <v/>
      </c>
      <c r="AA2879" s="46" t="n">
        <f aca="false">MATCH(A2879,DATAS,0)</f>
        <v>1</v>
      </c>
      <c r="AB2879" s="46" t="n">
        <f aca="false">IF(AND(E2879&gt;0,OR(AND(B2879&gt;=1,B2879&lt;=6),B2879=10)),1,0)</f>
        <v>0</v>
      </c>
      <c r="AC2879" s="46" t="n">
        <f aca="false">IF(AND(E2879&gt;0,B2879=10),1,0)</f>
        <v>0</v>
      </c>
      <c r="AD2879" s="0" t="str">
        <f aca="false">IF(AND(C2878=C2879,AA2878=AA2879-1),AB2878,"")</f>
        <v/>
      </c>
      <c r="AE2879" s="0" t="str">
        <f aca="false">IF(AND(C2878=C2879,AA2878=AA2879-1),AC2878,"")</f>
        <v/>
      </c>
      <c r="AF2879" s="0" t="str">
        <f aca="false">IF(AA2879=1,"",IF(AND(AB2879=1,AD2879&lt;&gt;1),1,0))</f>
        <v/>
      </c>
      <c r="AG2879" s="0" t="str">
        <f aca="false">IF(AA2879=1,"",IF(AND(AC2879=1,AE2879&lt;&gt;1),1,0))</f>
        <v/>
      </c>
      <c r="AH2879" s="51" t="str">
        <f aca="false">IF(AND(E2879&gt;0,AA2879&lt;1,NOT(AND(C2880=C2879,AA2880=AA2879+1))),INDEX(DATAS,AA2879+1),"")</f>
        <v/>
      </c>
      <c r="AI2879" s="51" t="str">
        <f aca="false">IF(AND(AC2879=1,AA2879&lt;1),IF(AND(C2880=C2879,AA2880=AA2879+1),IF(AC2880=1,"",INDEX(DATAS,AA2879+1)),INDEX(DATAS,AA2879+1)),"")</f>
        <v/>
      </c>
    </row>
    <row r="2880" customFormat="false" ht="15" hidden="false" customHeight="false" outlineLevel="0" collapsed="false">
      <c r="A2880" s="51" t="n">
        <v>46309</v>
      </c>
      <c r="B2880" s="0" t="n">
        <v>13</v>
      </c>
      <c r="C2880" s="0" t="n">
        <v>7261</v>
      </c>
      <c r="E2880" s="0" t="n">
        <v>0</v>
      </c>
      <c r="F2880" s="46" t="s">
        <v>1425</v>
      </c>
      <c r="I2880" s="46" t="s">
        <v>179</v>
      </c>
      <c r="U2880" s="0" t="n">
        <v>294</v>
      </c>
      <c r="V2880" s="0" t="n">
        <v>0</v>
      </c>
      <c r="X2880" s="46" t="n">
        <f aca="false">IF(I2880="Male",0,1)</f>
        <v>1</v>
      </c>
      <c r="Y2880" s="46" t="n">
        <f aca="false">IF(OR(I2880="DNB",I2880="Dry DNB"),1,0)</f>
        <v>0</v>
      </c>
      <c r="Z2880" s="0" t="str">
        <f aca="false">IF(ISNUMBER(W2880),A2880-W2880,"")</f>
        <v/>
      </c>
      <c r="AA2880" s="46" t="n">
        <f aca="false">MATCH(A2880,DATAS,0)</f>
        <v>1</v>
      </c>
      <c r="AB2880" s="46" t="n">
        <f aca="false">IF(AND(E2880&gt;0,OR(AND(B2880&gt;=1,B2880&lt;=6),B2880=10)),1,0)</f>
        <v>0</v>
      </c>
      <c r="AC2880" s="46" t="n">
        <f aca="false">IF(AND(E2880&gt;0,B2880=10),1,0)</f>
        <v>0</v>
      </c>
      <c r="AD2880" s="0" t="str">
        <f aca="false">IF(AND(C2879=C2880,AA2879=AA2880-1),AB2879,"")</f>
        <v/>
      </c>
      <c r="AE2880" s="0" t="str">
        <f aca="false">IF(AND(C2879=C2880,AA2879=AA2880-1),AC2879,"")</f>
        <v/>
      </c>
      <c r="AF2880" s="0" t="str">
        <f aca="false">IF(AA2880=1,"",IF(AND(AB2880=1,AD2880&lt;&gt;1),1,0))</f>
        <v/>
      </c>
      <c r="AG2880" s="0" t="str">
        <f aca="false">IF(AA2880=1,"",IF(AND(AC2880=1,AE2880&lt;&gt;1),1,0))</f>
        <v/>
      </c>
      <c r="AH2880" s="51" t="str">
        <f aca="false">IF(AND(E2880&gt;0,AA2880&lt;1,NOT(AND(C2881=C2880,AA2881=AA2880+1))),INDEX(DATAS,AA2880+1),"")</f>
        <v/>
      </c>
      <c r="AI2880" s="51" t="str">
        <f aca="false">IF(AND(AC2880=1,AA2880&lt;1),IF(AND(C2881=C2880,AA2881=AA2880+1),IF(AC2881=1,"",INDEX(DATAS,AA2880+1)),INDEX(DATAS,AA2880+1)),"")</f>
        <v/>
      </c>
    </row>
    <row r="2881" customFormat="false" ht="15" hidden="false" customHeight="false" outlineLevel="0" collapsed="false">
      <c r="A2881" s="51" t="n">
        <v>46309</v>
      </c>
      <c r="B2881" s="0" t="n">
        <v>13</v>
      </c>
      <c r="C2881" s="0" t="n">
        <v>7262</v>
      </c>
      <c r="E2881" s="0" t="n">
        <v>0</v>
      </c>
      <c r="F2881" s="46" t="s">
        <v>1425</v>
      </c>
      <c r="I2881" s="46" t="s">
        <v>179</v>
      </c>
      <c r="U2881" s="0" t="n">
        <v>294</v>
      </c>
      <c r="V2881" s="0" t="n">
        <v>0</v>
      </c>
      <c r="X2881" s="46" t="n">
        <f aca="false">IF(I2881="Male",0,1)</f>
        <v>1</v>
      </c>
      <c r="Y2881" s="46" t="n">
        <f aca="false">IF(OR(I2881="DNB",I2881="Dry DNB"),1,0)</f>
        <v>0</v>
      </c>
      <c r="Z2881" s="0" t="str">
        <f aca="false">IF(ISNUMBER(W2881),A2881-W2881,"")</f>
        <v/>
      </c>
      <c r="AA2881" s="46" t="n">
        <f aca="false">MATCH(A2881,DATAS,0)</f>
        <v>1</v>
      </c>
      <c r="AB2881" s="46" t="n">
        <f aca="false">IF(AND(E2881&gt;0,OR(AND(B2881&gt;=1,B2881&lt;=6),B2881=10)),1,0)</f>
        <v>0</v>
      </c>
      <c r="AC2881" s="46" t="n">
        <f aca="false">IF(AND(E2881&gt;0,B2881=10),1,0)</f>
        <v>0</v>
      </c>
      <c r="AD2881" s="0" t="str">
        <f aca="false">IF(AND(C2880=C2881,AA2880=AA2881-1),AB2880,"")</f>
        <v/>
      </c>
      <c r="AE2881" s="0" t="str">
        <f aca="false">IF(AND(C2880=C2881,AA2880=AA2881-1),AC2880,"")</f>
        <v/>
      </c>
      <c r="AF2881" s="0" t="str">
        <f aca="false">IF(AA2881=1,"",IF(AND(AB2881=1,AD2881&lt;&gt;1),1,0))</f>
        <v/>
      </c>
      <c r="AG2881" s="0" t="str">
        <f aca="false">IF(AA2881=1,"",IF(AND(AC2881=1,AE2881&lt;&gt;1),1,0))</f>
        <v/>
      </c>
      <c r="AH2881" s="51" t="str">
        <f aca="false">IF(AND(E2881&gt;0,AA2881&lt;1,NOT(AND(C2882=C2881,AA2882=AA2881+1))),INDEX(DATAS,AA2881+1),"")</f>
        <v/>
      </c>
      <c r="AI2881" s="51" t="str">
        <f aca="false">IF(AND(AC2881=1,AA2881&lt;1),IF(AND(C2882=C2881,AA2882=AA2881+1),IF(AC2882=1,"",INDEX(DATAS,AA2881+1)),INDEX(DATAS,AA2881+1)),"")</f>
        <v/>
      </c>
    </row>
    <row r="2882" customFormat="false" ht="15" hidden="false" customHeight="false" outlineLevel="0" collapsed="false">
      <c r="A2882" s="51" t="n">
        <v>46309</v>
      </c>
      <c r="B2882" s="0" t="n">
        <v>13</v>
      </c>
      <c r="C2882" s="0" t="n">
        <v>7264</v>
      </c>
      <c r="E2882" s="0" t="n">
        <v>0</v>
      </c>
      <c r="F2882" s="46" t="s">
        <v>1425</v>
      </c>
      <c r="I2882" s="46" t="s">
        <v>179</v>
      </c>
      <c r="U2882" s="0" t="n">
        <v>294</v>
      </c>
      <c r="V2882" s="0" t="n">
        <v>0</v>
      </c>
      <c r="X2882" s="46" t="n">
        <f aca="false">IF(I2882="Male",0,1)</f>
        <v>1</v>
      </c>
      <c r="Y2882" s="46" t="n">
        <f aca="false">IF(OR(I2882="DNB",I2882="Dry DNB"),1,0)</f>
        <v>0</v>
      </c>
      <c r="Z2882" s="0" t="str">
        <f aca="false">IF(ISNUMBER(W2882),A2882-W2882,"")</f>
        <v/>
      </c>
      <c r="AA2882" s="46" t="n">
        <f aca="false">MATCH(A2882,DATAS,0)</f>
        <v>1</v>
      </c>
      <c r="AB2882" s="46" t="n">
        <f aca="false">IF(AND(E2882&gt;0,OR(AND(B2882&gt;=1,B2882&lt;=6),B2882=10)),1,0)</f>
        <v>0</v>
      </c>
      <c r="AC2882" s="46" t="n">
        <f aca="false">IF(AND(E2882&gt;0,B2882=10),1,0)</f>
        <v>0</v>
      </c>
      <c r="AD2882" s="0" t="str">
        <f aca="false">IF(AND(C2881=C2882,AA2881=AA2882-1),AB2881,"")</f>
        <v/>
      </c>
      <c r="AE2882" s="0" t="str">
        <f aca="false">IF(AND(C2881=C2882,AA2881=AA2882-1),AC2881,"")</f>
        <v/>
      </c>
      <c r="AF2882" s="0" t="str">
        <f aca="false">IF(AA2882=1,"",IF(AND(AB2882=1,AD2882&lt;&gt;1),1,0))</f>
        <v/>
      </c>
      <c r="AG2882" s="0" t="str">
        <f aca="false">IF(AA2882=1,"",IF(AND(AC2882=1,AE2882&lt;&gt;1),1,0))</f>
        <v/>
      </c>
      <c r="AH2882" s="51" t="str">
        <f aca="false">IF(AND(E2882&gt;0,AA2882&lt;1,NOT(AND(C2883=C2882,AA2883=AA2882+1))),INDEX(DATAS,AA2882+1),"")</f>
        <v/>
      </c>
      <c r="AI2882" s="51" t="str">
        <f aca="false">IF(AND(AC2882=1,AA2882&lt;1),IF(AND(C2883=C2882,AA2883=AA2882+1),IF(AC2883=1,"",INDEX(DATAS,AA2882+1)),INDEX(DATAS,AA2882+1)),"")</f>
        <v/>
      </c>
    </row>
    <row r="2883" customFormat="false" ht="15" hidden="false" customHeight="false" outlineLevel="0" collapsed="false">
      <c r="A2883" s="51" t="n">
        <v>46309</v>
      </c>
      <c r="B2883" s="0" t="n">
        <v>13</v>
      </c>
      <c r="C2883" s="0" t="n">
        <v>7265</v>
      </c>
      <c r="E2883" s="0" t="n">
        <v>0</v>
      </c>
      <c r="F2883" s="46" t="s">
        <v>1426</v>
      </c>
      <c r="I2883" s="46" t="s">
        <v>179</v>
      </c>
      <c r="U2883" s="0" t="n">
        <v>292</v>
      </c>
      <c r="V2883" s="0" t="n">
        <v>0</v>
      </c>
      <c r="X2883" s="46" t="n">
        <f aca="false">IF(I2883="Male",0,1)</f>
        <v>1</v>
      </c>
      <c r="Y2883" s="46" t="n">
        <f aca="false">IF(OR(I2883="DNB",I2883="Dry DNB"),1,0)</f>
        <v>0</v>
      </c>
      <c r="Z2883" s="0" t="str">
        <f aca="false">IF(ISNUMBER(W2883),A2883-W2883,"")</f>
        <v/>
      </c>
      <c r="AA2883" s="46" t="n">
        <f aca="false">MATCH(A2883,DATAS,0)</f>
        <v>1</v>
      </c>
      <c r="AB2883" s="46" t="n">
        <f aca="false">IF(AND(E2883&gt;0,OR(AND(B2883&gt;=1,B2883&lt;=6),B2883=10)),1,0)</f>
        <v>0</v>
      </c>
      <c r="AC2883" s="46" t="n">
        <f aca="false">IF(AND(E2883&gt;0,B2883=10),1,0)</f>
        <v>0</v>
      </c>
      <c r="AD2883" s="0" t="str">
        <f aca="false">IF(AND(C2882=C2883,AA2882=AA2883-1),AB2882,"")</f>
        <v/>
      </c>
      <c r="AE2883" s="0" t="str">
        <f aca="false">IF(AND(C2882=C2883,AA2882=AA2883-1),AC2882,"")</f>
        <v/>
      </c>
      <c r="AF2883" s="0" t="str">
        <f aca="false">IF(AA2883=1,"",IF(AND(AB2883=1,AD2883&lt;&gt;1),1,0))</f>
        <v/>
      </c>
      <c r="AG2883" s="0" t="str">
        <f aca="false">IF(AA2883=1,"",IF(AND(AC2883=1,AE2883&lt;&gt;1),1,0))</f>
        <v/>
      </c>
      <c r="AH2883" s="51" t="str">
        <f aca="false">IF(AND(E2883&gt;0,AA2883&lt;1,NOT(AND(C2884=C2883,AA2884=AA2883+1))),INDEX(DATAS,AA2883+1),"")</f>
        <v/>
      </c>
      <c r="AI2883" s="51" t="str">
        <f aca="false">IF(AND(AC2883=1,AA2883&lt;1),IF(AND(C2884=C2883,AA2884=AA2883+1),IF(AC2884=1,"",INDEX(DATAS,AA2883+1)),INDEX(DATAS,AA2883+1)),"")</f>
        <v/>
      </c>
    </row>
    <row r="2884" customFormat="false" ht="15" hidden="false" customHeight="false" outlineLevel="0" collapsed="false">
      <c r="A2884" s="51" t="n">
        <v>46309</v>
      </c>
      <c r="B2884" s="0" t="n">
        <v>13</v>
      </c>
      <c r="C2884" s="0" t="n">
        <v>7266</v>
      </c>
      <c r="E2884" s="0" t="n">
        <v>0</v>
      </c>
      <c r="F2884" s="46" t="s">
        <v>1426</v>
      </c>
      <c r="I2884" s="46" t="s">
        <v>179</v>
      </c>
      <c r="U2884" s="0" t="n">
        <v>292</v>
      </c>
      <c r="V2884" s="0" t="n">
        <v>0</v>
      </c>
      <c r="X2884" s="46" t="n">
        <f aca="false">IF(I2884="Male",0,1)</f>
        <v>1</v>
      </c>
      <c r="Y2884" s="46" t="n">
        <f aca="false">IF(OR(I2884="DNB",I2884="Dry DNB"),1,0)</f>
        <v>0</v>
      </c>
      <c r="Z2884" s="0" t="str">
        <f aca="false">IF(ISNUMBER(W2884),A2884-W2884,"")</f>
        <v/>
      </c>
      <c r="AA2884" s="46" t="n">
        <f aca="false">MATCH(A2884,DATAS,0)</f>
        <v>1</v>
      </c>
      <c r="AB2884" s="46" t="n">
        <f aca="false">IF(AND(E2884&gt;0,OR(AND(B2884&gt;=1,B2884&lt;=6),B2884=10)),1,0)</f>
        <v>0</v>
      </c>
      <c r="AC2884" s="46" t="n">
        <f aca="false">IF(AND(E2884&gt;0,B2884=10),1,0)</f>
        <v>0</v>
      </c>
      <c r="AD2884" s="0" t="str">
        <f aca="false">IF(AND(C2883=C2884,AA2883=AA2884-1),AB2883,"")</f>
        <v/>
      </c>
      <c r="AE2884" s="0" t="str">
        <f aca="false">IF(AND(C2883=C2884,AA2883=AA2884-1),AC2883,"")</f>
        <v/>
      </c>
      <c r="AF2884" s="0" t="str">
        <f aca="false">IF(AA2884=1,"",IF(AND(AB2884=1,AD2884&lt;&gt;1),1,0))</f>
        <v/>
      </c>
      <c r="AG2884" s="0" t="str">
        <f aca="false">IF(AA2884=1,"",IF(AND(AC2884=1,AE2884&lt;&gt;1),1,0))</f>
        <v/>
      </c>
      <c r="AH2884" s="51" t="str">
        <f aca="false">IF(AND(E2884&gt;0,AA2884&lt;1,NOT(AND(C2885=C2884,AA2885=AA2884+1))),INDEX(DATAS,AA2884+1),"")</f>
        <v/>
      </c>
      <c r="AI2884" s="51" t="str">
        <f aca="false">IF(AND(AC2884=1,AA2884&lt;1),IF(AND(C2885=C2884,AA2885=AA2884+1),IF(AC2885=1,"",INDEX(DATAS,AA2884+1)),INDEX(DATAS,AA2884+1)),"")</f>
        <v/>
      </c>
    </row>
    <row r="2885" customFormat="false" ht="15" hidden="false" customHeight="false" outlineLevel="0" collapsed="false">
      <c r="A2885" s="51" t="n">
        <v>46309</v>
      </c>
      <c r="B2885" s="0" t="n">
        <v>13</v>
      </c>
      <c r="C2885" s="0" t="n">
        <v>7267</v>
      </c>
      <c r="E2885" s="0" t="n">
        <v>0</v>
      </c>
      <c r="F2885" s="46" t="s">
        <v>1426</v>
      </c>
      <c r="I2885" s="46" t="s">
        <v>179</v>
      </c>
      <c r="U2885" s="0" t="n">
        <v>292</v>
      </c>
      <c r="V2885" s="0" t="n">
        <v>0</v>
      </c>
      <c r="X2885" s="46" t="n">
        <f aca="false">IF(I2885="Male",0,1)</f>
        <v>1</v>
      </c>
      <c r="Y2885" s="46" t="n">
        <f aca="false">IF(OR(I2885="DNB",I2885="Dry DNB"),1,0)</f>
        <v>0</v>
      </c>
      <c r="Z2885" s="0" t="str">
        <f aca="false">IF(ISNUMBER(W2885),A2885-W2885,"")</f>
        <v/>
      </c>
      <c r="AA2885" s="46" t="n">
        <f aca="false">MATCH(A2885,DATAS,0)</f>
        <v>1</v>
      </c>
      <c r="AB2885" s="46" t="n">
        <f aca="false">IF(AND(E2885&gt;0,OR(AND(B2885&gt;=1,B2885&lt;=6),B2885=10)),1,0)</f>
        <v>0</v>
      </c>
      <c r="AC2885" s="46" t="n">
        <f aca="false">IF(AND(E2885&gt;0,B2885=10),1,0)</f>
        <v>0</v>
      </c>
      <c r="AD2885" s="0" t="str">
        <f aca="false">IF(AND(C2884=C2885,AA2884=AA2885-1),AB2884,"")</f>
        <v/>
      </c>
      <c r="AE2885" s="0" t="str">
        <f aca="false">IF(AND(C2884=C2885,AA2884=AA2885-1),AC2884,"")</f>
        <v/>
      </c>
      <c r="AF2885" s="0" t="str">
        <f aca="false">IF(AA2885=1,"",IF(AND(AB2885=1,AD2885&lt;&gt;1),1,0))</f>
        <v/>
      </c>
      <c r="AG2885" s="0" t="str">
        <f aca="false">IF(AA2885=1,"",IF(AND(AC2885=1,AE2885&lt;&gt;1),1,0))</f>
        <v/>
      </c>
      <c r="AH2885" s="51" t="str">
        <f aca="false">IF(AND(E2885&gt;0,AA2885&lt;1,NOT(AND(C2886=C2885,AA2886=AA2885+1))),INDEX(DATAS,AA2885+1),"")</f>
        <v/>
      </c>
      <c r="AI2885" s="51" t="str">
        <f aca="false">IF(AND(AC2885=1,AA2885&lt;1),IF(AND(C2886=C2885,AA2886=AA2885+1),IF(AC2886=1,"",INDEX(DATAS,AA2885+1)),INDEX(DATAS,AA2885+1)),"")</f>
        <v/>
      </c>
    </row>
    <row r="2886" customFormat="false" ht="15" hidden="false" customHeight="false" outlineLevel="0" collapsed="false">
      <c r="A2886" s="51" t="n">
        <v>46309</v>
      </c>
      <c r="B2886" s="0" t="n">
        <v>13</v>
      </c>
      <c r="C2886" s="0" t="n">
        <v>7268</v>
      </c>
      <c r="E2886" s="0" t="n">
        <v>0</v>
      </c>
      <c r="F2886" s="46" t="s">
        <v>1426</v>
      </c>
      <c r="I2886" s="46" t="s">
        <v>179</v>
      </c>
      <c r="U2886" s="0" t="n">
        <v>292</v>
      </c>
      <c r="V2886" s="0" t="n">
        <v>0</v>
      </c>
      <c r="X2886" s="46" t="n">
        <f aca="false">IF(I2886="Male",0,1)</f>
        <v>1</v>
      </c>
      <c r="Y2886" s="46" t="n">
        <f aca="false">IF(OR(I2886="DNB",I2886="Dry DNB"),1,0)</f>
        <v>0</v>
      </c>
      <c r="Z2886" s="0" t="str">
        <f aca="false">IF(ISNUMBER(W2886),A2886-W2886,"")</f>
        <v/>
      </c>
      <c r="AA2886" s="46" t="n">
        <f aca="false">MATCH(A2886,DATAS,0)</f>
        <v>1</v>
      </c>
      <c r="AB2886" s="46" t="n">
        <f aca="false">IF(AND(E2886&gt;0,OR(AND(B2886&gt;=1,B2886&lt;=6),B2886=10)),1,0)</f>
        <v>0</v>
      </c>
      <c r="AC2886" s="46" t="n">
        <f aca="false">IF(AND(E2886&gt;0,B2886=10),1,0)</f>
        <v>0</v>
      </c>
      <c r="AD2886" s="0" t="str">
        <f aca="false">IF(AND(C2885=C2886,AA2885=AA2886-1),AB2885,"")</f>
        <v/>
      </c>
      <c r="AE2886" s="0" t="str">
        <f aca="false">IF(AND(C2885=C2886,AA2885=AA2886-1),AC2885,"")</f>
        <v/>
      </c>
      <c r="AF2886" s="0" t="str">
        <f aca="false">IF(AA2886=1,"",IF(AND(AB2886=1,AD2886&lt;&gt;1),1,0))</f>
        <v/>
      </c>
      <c r="AG2886" s="0" t="str">
        <f aca="false">IF(AA2886=1,"",IF(AND(AC2886=1,AE2886&lt;&gt;1),1,0))</f>
        <v/>
      </c>
      <c r="AH2886" s="51" t="str">
        <f aca="false">IF(AND(E2886&gt;0,AA2886&lt;1,NOT(AND(C2887=C2886,AA2887=AA2886+1))),INDEX(DATAS,AA2886+1),"")</f>
        <v/>
      </c>
      <c r="AI2886" s="51" t="str">
        <f aca="false">IF(AND(AC2886=1,AA2886&lt;1),IF(AND(C2887=C2886,AA2887=AA2886+1),IF(AC2887=1,"",INDEX(DATAS,AA2886+1)),INDEX(DATAS,AA2886+1)),"")</f>
        <v/>
      </c>
    </row>
    <row r="2887" customFormat="false" ht="15" hidden="false" customHeight="false" outlineLevel="0" collapsed="false">
      <c r="A2887" s="51" t="n">
        <v>46309</v>
      </c>
      <c r="B2887" s="0" t="n">
        <v>13</v>
      </c>
      <c r="C2887" s="0" t="n">
        <v>7269</v>
      </c>
      <c r="E2887" s="0" t="n">
        <v>0</v>
      </c>
      <c r="F2887" s="46" t="s">
        <v>1427</v>
      </c>
      <c r="I2887" s="46" t="s">
        <v>179</v>
      </c>
      <c r="U2887" s="0" t="n">
        <v>291</v>
      </c>
      <c r="V2887" s="0" t="n">
        <v>0</v>
      </c>
      <c r="X2887" s="46" t="n">
        <f aca="false">IF(I2887="Male",0,1)</f>
        <v>1</v>
      </c>
      <c r="Y2887" s="46" t="n">
        <f aca="false">IF(OR(I2887="DNB",I2887="Dry DNB"),1,0)</f>
        <v>0</v>
      </c>
      <c r="Z2887" s="0" t="str">
        <f aca="false">IF(ISNUMBER(W2887),A2887-W2887,"")</f>
        <v/>
      </c>
      <c r="AA2887" s="46" t="n">
        <f aca="false">MATCH(A2887,DATAS,0)</f>
        <v>1</v>
      </c>
      <c r="AB2887" s="46" t="n">
        <f aca="false">IF(AND(E2887&gt;0,OR(AND(B2887&gt;=1,B2887&lt;=6),B2887=10)),1,0)</f>
        <v>0</v>
      </c>
      <c r="AC2887" s="46" t="n">
        <f aca="false">IF(AND(E2887&gt;0,B2887=10),1,0)</f>
        <v>0</v>
      </c>
      <c r="AD2887" s="0" t="str">
        <f aca="false">IF(AND(C2886=C2887,AA2886=AA2887-1),AB2886,"")</f>
        <v/>
      </c>
      <c r="AE2887" s="0" t="str">
        <f aca="false">IF(AND(C2886=C2887,AA2886=AA2887-1),AC2886,"")</f>
        <v/>
      </c>
      <c r="AF2887" s="0" t="str">
        <f aca="false">IF(AA2887=1,"",IF(AND(AB2887=1,AD2887&lt;&gt;1),1,0))</f>
        <v/>
      </c>
      <c r="AG2887" s="0" t="str">
        <f aca="false">IF(AA2887=1,"",IF(AND(AC2887=1,AE2887&lt;&gt;1),1,0))</f>
        <v/>
      </c>
      <c r="AH2887" s="51" t="str">
        <f aca="false">IF(AND(E2887&gt;0,AA2887&lt;1,NOT(AND(C2888=C2887,AA2888=AA2887+1))),INDEX(DATAS,AA2887+1),"")</f>
        <v/>
      </c>
      <c r="AI2887" s="51" t="str">
        <f aca="false">IF(AND(AC2887=1,AA2887&lt;1),IF(AND(C2888=C2887,AA2888=AA2887+1),IF(AC2888=1,"",INDEX(DATAS,AA2887+1)),INDEX(DATAS,AA2887+1)),"")</f>
        <v/>
      </c>
    </row>
    <row r="2888" customFormat="false" ht="15" hidden="false" customHeight="false" outlineLevel="0" collapsed="false">
      <c r="A2888" s="51" t="n">
        <v>46309</v>
      </c>
      <c r="B2888" s="0" t="n">
        <v>13</v>
      </c>
      <c r="C2888" s="0" t="n">
        <v>7270</v>
      </c>
      <c r="E2888" s="0" t="n">
        <v>0</v>
      </c>
      <c r="F2888" s="46" t="s">
        <v>1427</v>
      </c>
      <c r="I2888" s="46" t="s">
        <v>179</v>
      </c>
      <c r="U2888" s="0" t="n">
        <v>291</v>
      </c>
      <c r="V2888" s="0" t="n">
        <v>0</v>
      </c>
      <c r="X2888" s="46" t="n">
        <f aca="false">IF(I2888="Male",0,1)</f>
        <v>1</v>
      </c>
      <c r="Y2888" s="46" t="n">
        <f aca="false">IF(OR(I2888="DNB",I2888="Dry DNB"),1,0)</f>
        <v>0</v>
      </c>
      <c r="Z2888" s="0" t="str">
        <f aca="false">IF(ISNUMBER(W2888),A2888-W2888,"")</f>
        <v/>
      </c>
      <c r="AA2888" s="46" t="n">
        <f aca="false">MATCH(A2888,DATAS,0)</f>
        <v>1</v>
      </c>
      <c r="AB2888" s="46" t="n">
        <f aca="false">IF(AND(E2888&gt;0,OR(AND(B2888&gt;=1,B2888&lt;=6),B2888=10)),1,0)</f>
        <v>0</v>
      </c>
      <c r="AC2888" s="46" t="n">
        <f aca="false">IF(AND(E2888&gt;0,B2888=10),1,0)</f>
        <v>0</v>
      </c>
      <c r="AD2888" s="0" t="str">
        <f aca="false">IF(AND(C2887=C2888,AA2887=AA2888-1),AB2887,"")</f>
        <v/>
      </c>
      <c r="AE2888" s="0" t="str">
        <f aca="false">IF(AND(C2887=C2888,AA2887=AA2888-1),AC2887,"")</f>
        <v/>
      </c>
      <c r="AF2888" s="0" t="str">
        <f aca="false">IF(AA2888=1,"",IF(AND(AB2888=1,AD2888&lt;&gt;1),1,0))</f>
        <v/>
      </c>
      <c r="AG2888" s="0" t="str">
        <f aca="false">IF(AA2888=1,"",IF(AND(AC2888=1,AE2888&lt;&gt;1),1,0))</f>
        <v/>
      </c>
      <c r="AH2888" s="51" t="str">
        <f aca="false">IF(AND(E2888&gt;0,AA2888&lt;1,NOT(AND(C2889=C2888,AA2889=AA2888+1))),INDEX(DATAS,AA2888+1),"")</f>
        <v/>
      </c>
      <c r="AI2888" s="51" t="str">
        <f aca="false">IF(AND(AC2888=1,AA2888&lt;1),IF(AND(C2889=C2888,AA2889=AA2888+1),IF(AC2889=1,"",INDEX(DATAS,AA2888+1)),INDEX(DATAS,AA2888+1)),"")</f>
        <v/>
      </c>
    </row>
    <row r="2889" customFormat="false" ht="15" hidden="false" customHeight="false" outlineLevel="0" collapsed="false">
      <c r="A2889" s="51" t="n">
        <v>46309</v>
      </c>
      <c r="B2889" s="0" t="n">
        <v>13</v>
      </c>
      <c r="C2889" s="0" t="n">
        <v>7271</v>
      </c>
      <c r="E2889" s="0" t="n">
        <v>0</v>
      </c>
      <c r="F2889" s="46" t="s">
        <v>1427</v>
      </c>
      <c r="I2889" s="46" t="s">
        <v>179</v>
      </c>
      <c r="U2889" s="0" t="n">
        <v>291</v>
      </c>
      <c r="V2889" s="0" t="n">
        <v>0</v>
      </c>
      <c r="X2889" s="46" t="n">
        <f aca="false">IF(I2889="Male",0,1)</f>
        <v>1</v>
      </c>
      <c r="Y2889" s="46" t="n">
        <f aca="false">IF(OR(I2889="DNB",I2889="Dry DNB"),1,0)</f>
        <v>0</v>
      </c>
      <c r="Z2889" s="0" t="str">
        <f aca="false">IF(ISNUMBER(W2889),A2889-W2889,"")</f>
        <v/>
      </c>
      <c r="AA2889" s="46" t="n">
        <f aca="false">MATCH(A2889,DATAS,0)</f>
        <v>1</v>
      </c>
      <c r="AB2889" s="46" t="n">
        <f aca="false">IF(AND(E2889&gt;0,OR(AND(B2889&gt;=1,B2889&lt;=6),B2889=10)),1,0)</f>
        <v>0</v>
      </c>
      <c r="AC2889" s="46" t="n">
        <f aca="false">IF(AND(E2889&gt;0,B2889=10),1,0)</f>
        <v>0</v>
      </c>
      <c r="AD2889" s="0" t="str">
        <f aca="false">IF(AND(C2888=C2889,AA2888=AA2889-1),AB2888,"")</f>
        <v/>
      </c>
      <c r="AE2889" s="0" t="str">
        <f aca="false">IF(AND(C2888=C2889,AA2888=AA2889-1),AC2888,"")</f>
        <v/>
      </c>
      <c r="AF2889" s="0" t="str">
        <f aca="false">IF(AA2889=1,"",IF(AND(AB2889=1,AD2889&lt;&gt;1),1,0))</f>
        <v/>
      </c>
      <c r="AG2889" s="0" t="str">
        <f aca="false">IF(AA2889=1,"",IF(AND(AC2889=1,AE2889&lt;&gt;1),1,0))</f>
        <v/>
      </c>
      <c r="AH2889" s="51" t="str">
        <f aca="false">IF(AND(E2889&gt;0,AA2889&lt;1,NOT(AND(C2890=C2889,AA2890=AA2889+1))),INDEX(DATAS,AA2889+1),"")</f>
        <v/>
      </c>
      <c r="AI2889" s="51" t="str">
        <f aca="false">IF(AND(AC2889=1,AA2889&lt;1),IF(AND(C2890=C2889,AA2890=AA2889+1),IF(AC2890=1,"",INDEX(DATAS,AA2889+1)),INDEX(DATAS,AA2889+1)),"")</f>
        <v/>
      </c>
    </row>
    <row r="2890" customFormat="false" ht="15" hidden="false" customHeight="false" outlineLevel="0" collapsed="false">
      <c r="A2890" s="51" t="n">
        <v>46309</v>
      </c>
      <c r="B2890" s="0" t="n">
        <v>13</v>
      </c>
      <c r="C2890" s="0" t="n">
        <v>7272</v>
      </c>
      <c r="E2890" s="0" t="n">
        <v>0</v>
      </c>
      <c r="F2890" s="46" t="s">
        <v>1428</v>
      </c>
      <c r="I2890" s="46" t="s">
        <v>179</v>
      </c>
      <c r="U2890" s="0" t="n">
        <v>289</v>
      </c>
      <c r="V2890" s="0" t="n">
        <v>0</v>
      </c>
      <c r="X2890" s="46" t="n">
        <f aca="false">IF(I2890="Male",0,1)</f>
        <v>1</v>
      </c>
      <c r="Y2890" s="46" t="n">
        <f aca="false">IF(OR(I2890="DNB",I2890="Dry DNB"),1,0)</f>
        <v>0</v>
      </c>
      <c r="Z2890" s="0" t="str">
        <f aca="false">IF(ISNUMBER(W2890),A2890-W2890,"")</f>
        <v/>
      </c>
      <c r="AA2890" s="46" t="n">
        <f aca="false">MATCH(A2890,DATAS,0)</f>
        <v>1</v>
      </c>
      <c r="AB2890" s="46" t="n">
        <f aca="false">IF(AND(E2890&gt;0,OR(AND(B2890&gt;=1,B2890&lt;=6),B2890=10)),1,0)</f>
        <v>0</v>
      </c>
      <c r="AC2890" s="46" t="n">
        <f aca="false">IF(AND(E2890&gt;0,B2890=10),1,0)</f>
        <v>0</v>
      </c>
      <c r="AD2890" s="0" t="str">
        <f aca="false">IF(AND(C2889=C2890,AA2889=AA2890-1),AB2889,"")</f>
        <v/>
      </c>
      <c r="AE2890" s="0" t="str">
        <f aca="false">IF(AND(C2889=C2890,AA2889=AA2890-1),AC2889,"")</f>
        <v/>
      </c>
      <c r="AF2890" s="0" t="str">
        <f aca="false">IF(AA2890=1,"",IF(AND(AB2890=1,AD2890&lt;&gt;1),1,0))</f>
        <v/>
      </c>
      <c r="AG2890" s="0" t="str">
        <f aca="false">IF(AA2890=1,"",IF(AND(AC2890=1,AE2890&lt;&gt;1),1,0))</f>
        <v/>
      </c>
      <c r="AH2890" s="51" t="str">
        <f aca="false">IF(AND(E2890&gt;0,AA2890&lt;1,NOT(AND(C2891=C2890,AA2891=AA2890+1))),INDEX(DATAS,AA2890+1),"")</f>
        <v/>
      </c>
      <c r="AI2890" s="51" t="str">
        <f aca="false">IF(AND(AC2890=1,AA2890&lt;1),IF(AND(C2891=C2890,AA2891=AA2890+1),IF(AC2891=1,"",INDEX(DATAS,AA2890+1)),INDEX(DATAS,AA2890+1)),"")</f>
        <v/>
      </c>
    </row>
    <row r="2891" customFormat="false" ht="15" hidden="false" customHeight="false" outlineLevel="0" collapsed="false">
      <c r="A2891" s="51" t="n">
        <v>46309</v>
      </c>
      <c r="B2891" s="0" t="n">
        <v>13</v>
      </c>
      <c r="C2891" s="0" t="n">
        <v>7273</v>
      </c>
      <c r="E2891" s="0" t="n">
        <v>0</v>
      </c>
      <c r="F2891" s="46" t="s">
        <v>1428</v>
      </c>
      <c r="I2891" s="46" t="s">
        <v>179</v>
      </c>
      <c r="U2891" s="0" t="n">
        <v>289</v>
      </c>
      <c r="V2891" s="0" t="n">
        <v>0</v>
      </c>
      <c r="X2891" s="46" t="n">
        <f aca="false">IF(I2891="Male",0,1)</f>
        <v>1</v>
      </c>
      <c r="Y2891" s="46" t="n">
        <f aca="false">IF(OR(I2891="DNB",I2891="Dry DNB"),1,0)</f>
        <v>0</v>
      </c>
      <c r="Z2891" s="0" t="str">
        <f aca="false">IF(ISNUMBER(W2891),A2891-W2891,"")</f>
        <v/>
      </c>
      <c r="AA2891" s="46" t="n">
        <f aca="false">MATCH(A2891,DATAS,0)</f>
        <v>1</v>
      </c>
      <c r="AB2891" s="46" t="n">
        <f aca="false">IF(AND(E2891&gt;0,OR(AND(B2891&gt;=1,B2891&lt;=6),B2891=10)),1,0)</f>
        <v>0</v>
      </c>
      <c r="AC2891" s="46" t="n">
        <f aca="false">IF(AND(E2891&gt;0,B2891=10),1,0)</f>
        <v>0</v>
      </c>
      <c r="AD2891" s="0" t="str">
        <f aca="false">IF(AND(C2890=C2891,AA2890=AA2891-1),AB2890,"")</f>
        <v/>
      </c>
      <c r="AE2891" s="0" t="str">
        <f aca="false">IF(AND(C2890=C2891,AA2890=AA2891-1),AC2890,"")</f>
        <v/>
      </c>
      <c r="AF2891" s="0" t="str">
        <f aca="false">IF(AA2891=1,"",IF(AND(AB2891=1,AD2891&lt;&gt;1),1,0))</f>
        <v/>
      </c>
      <c r="AG2891" s="0" t="str">
        <f aca="false">IF(AA2891=1,"",IF(AND(AC2891=1,AE2891&lt;&gt;1),1,0))</f>
        <v/>
      </c>
      <c r="AH2891" s="51" t="str">
        <f aca="false">IF(AND(E2891&gt;0,AA2891&lt;1,NOT(AND(C2892=C2891,AA2892=AA2891+1))),INDEX(DATAS,AA2891+1),"")</f>
        <v/>
      </c>
      <c r="AI2891" s="51" t="str">
        <f aca="false">IF(AND(AC2891=1,AA2891&lt;1),IF(AND(C2892=C2891,AA2892=AA2891+1),IF(AC2892=1,"",INDEX(DATAS,AA2891+1)),INDEX(DATAS,AA2891+1)),"")</f>
        <v/>
      </c>
    </row>
    <row r="2892" customFormat="false" ht="15" hidden="false" customHeight="false" outlineLevel="0" collapsed="false">
      <c r="A2892" s="51" t="n">
        <v>46309</v>
      </c>
      <c r="B2892" s="0" t="n">
        <v>13</v>
      </c>
      <c r="C2892" s="0" t="n">
        <v>7274</v>
      </c>
      <c r="E2892" s="0" t="n">
        <v>0</v>
      </c>
      <c r="F2892" s="46" t="s">
        <v>1428</v>
      </c>
      <c r="I2892" s="46" t="s">
        <v>179</v>
      </c>
      <c r="U2892" s="0" t="n">
        <v>289</v>
      </c>
      <c r="V2892" s="0" t="n">
        <v>0</v>
      </c>
      <c r="X2892" s="46" t="n">
        <f aca="false">IF(I2892="Male",0,1)</f>
        <v>1</v>
      </c>
      <c r="Y2892" s="46" t="n">
        <f aca="false">IF(OR(I2892="DNB",I2892="Dry DNB"),1,0)</f>
        <v>0</v>
      </c>
      <c r="Z2892" s="0" t="str">
        <f aca="false">IF(ISNUMBER(W2892),A2892-W2892,"")</f>
        <v/>
      </c>
      <c r="AA2892" s="46" t="n">
        <f aca="false">MATCH(A2892,DATAS,0)</f>
        <v>1</v>
      </c>
      <c r="AB2892" s="46" t="n">
        <f aca="false">IF(AND(E2892&gt;0,OR(AND(B2892&gt;=1,B2892&lt;=6),B2892=10)),1,0)</f>
        <v>0</v>
      </c>
      <c r="AC2892" s="46" t="n">
        <f aca="false">IF(AND(E2892&gt;0,B2892=10),1,0)</f>
        <v>0</v>
      </c>
      <c r="AD2892" s="0" t="str">
        <f aca="false">IF(AND(C2891=C2892,AA2891=AA2892-1),AB2891,"")</f>
        <v/>
      </c>
      <c r="AE2892" s="0" t="str">
        <f aca="false">IF(AND(C2891=C2892,AA2891=AA2892-1),AC2891,"")</f>
        <v/>
      </c>
      <c r="AF2892" s="0" t="str">
        <f aca="false">IF(AA2892=1,"",IF(AND(AB2892=1,AD2892&lt;&gt;1),1,0))</f>
        <v/>
      </c>
      <c r="AG2892" s="0" t="str">
        <f aca="false">IF(AA2892=1,"",IF(AND(AC2892=1,AE2892&lt;&gt;1),1,0))</f>
        <v/>
      </c>
      <c r="AH2892" s="51" t="str">
        <f aca="false">IF(AND(E2892&gt;0,AA2892&lt;1,NOT(AND(C2893=C2892,AA2893=AA2892+1))),INDEX(DATAS,AA2892+1),"")</f>
        <v/>
      </c>
      <c r="AI2892" s="51" t="str">
        <f aca="false">IF(AND(AC2892=1,AA2892&lt;1),IF(AND(C2893=C2892,AA2893=AA2892+1),IF(AC2893=1,"",INDEX(DATAS,AA2892+1)),INDEX(DATAS,AA2892+1)),"")</f>
        <v/>
      </c>
    </row>
    <row r="2893" customFormat="false" ht="15" hidden="false" customHeight="false" outlineLevel="0" collapsed="false">
      <c r="A2893" s="51" t="n">
        <v>46309</v>
      </c>
      <c r="B2893" s="0" t="n">
        <v>13</v>
      </c>
      <c r="C2893" s="0" t="n">
        <v>7275</v>
      </c>
      <c r="E2893" s="0" t="n">
        <v>0</v>
      </c>
      <c r="F2893" s="46" t="s">
        <v>1429</v>
      </c>
      <c r="I2893" s="46" t="s">
        <v>179</v>
      </c>
      <c r="U2893" s="0" t="n">
        <v>288</v>
      </c>
      <c r="V2893" s="0" t="n">
        <v>0</v>
      </c>
      <c r="X2893" s="46" t="n">
        <f aca="false">IF(I2893="Male",0,1)</f>
        <v>1</v>
      </c>
      <c r="Y2893" s="46" t="n">
        <f aca="false">IF(OR(I2893="DNB",I2893="Dry DNB"),1,0)</f>
        <v>0</v>
      </c>
      <c r="Z2893" s="0" t="str">
        <f aca="false">IF(ISNUMBER(W2893),A2893-W2893,"")</f>
        <v/>
      </c>
      <c r="AA2893" s="46" t="n">
        <f aca="false">MATCH(A2893,DATAS,0)</f>
        <v>1</v>
      </c>
      <c r="AB2893" s="46" t="n">
        <f aca="false">IF(AND(E2893&gt;0,OR(AND(B2893&gt;=1,B2893&lt;=6),B2893=10)),1,0)</f>
        <v>0</v>
      </c>
      <c r="AC2893" s="46" t="n">
        <f aca="false">IF(AND(E2893&gt;0,B2893=10),1,0)</f>
        <v>0</v>
      </c>
      <c r="AD2893" s="0" t="str">
        <f aca="false">IF(AND(C2892=C2893,AA2892=AA2893-1),AB2892,"")</f>
        <v/>
      </c>
      <c r="AE2893" s="0" t="str">
        <f aca="false">IF(AND(C2892=C2893,AA2892=AA2893-1),AC2892,"")</f>
        <v/>
      </c>
      <c r="AF2893" s="0" t="str">
        <f aca="false">IF(AA2893=1,"",IF(AND(AB2893=1,AD2893&lt;&gt;1),1,0))</f>
        <v/>
      </c>
      <c r="AG2893" s="0" t="str">
        <f aca="false">IF(AA2893=1,"",IF(AND(AC2893=1,AE2893&lt;&gt;1),1,0))</f>
        <v/>
      </c>
      <c r="AH2893" s="51" t="str">
        <f aca="false">IF(AND(E2893&gt;0,AA2893&lt;1,NOT(AND(C2894=C2893,AA2894=AA2893+1))),INDEX(DATAS,AA2893+1),"")</f>
        <v/>
      </c>
      <c r="AI2893" s="51" t="str">
        <f aca="false">IF(AND(AC2893=1,AA2893&lt;1),IF(AND(C2894=C2893,AA2894=AA2893+1),IF(AC2894=1,"",INDEX(DATAS,AA2893+1)),INDEX(DATAS,AA2893+1)),"")</f>
        <v/>
      </c>
    </row>
    <row r="2894" customFormat="false" ht="15" hidden="false" customHeight="false" outlineLevel="0" collapsed="false">
      <c r="A2894" s="51" t="n">
        <v>46309</v>
      </c>
      <c r="B2894" s="0" t="n">
        <v>13</v>
      </c>
      <c r="C2894" s="0" t="n">
        <v>7276</v>
      </c>
      <c r="E2894" s="0" t="n">
        <v>0</v>
      </c>
      <c r="F2894" s="46" t="s">
        <v>1429</v>
      </c>
      <c r="I2894" s="46" t="s">
        <v>179</v>
      </c>
      <c r="U2894" s="0" t="n">
        <v>288</v>
      </c>
      <c r="V2894" s="0" t="n">
        <v>0</v>
      </c>
      <c r="X2894" s="46" t="n">
        <f aca="false">IF(I2894="Male",0,1)</f>
        <v>1</v>
      </c>
      <c r="Y2894" s="46" t="n">
        <f aca="false">IF(OR(I2894="DNB",I2894="Dry DNB"),1,0)</f>
        <v>0</v>
      </c>
      <c r="Z2894" s="0" t="str">
        <f aca="false">IF(ISNUMBER(W2894),A2894-W2894,"")</f>
        <v/>
      </c>
      <c r="AA2894" s="46" t="n">
        <f aca="false">MATCH(A2894,DATAS,0)</f>
        <v>1</v>
      </c>
      <c r="AB2894" s="46" t="n">
        <f aca="false">IF(AND(E2894&gt;0,OR(AND(B2894&gt;=1,B2894&lt;=6),B2894=10)),1,0)</f>
        <v>0</v>
      </c>
      <c r="AC2894" s="46" t="n">
        <f aca="false">IF(AND(E2894&gt;0,B2894=10),1,0)</f>
        <v>0</v>
      </c>
      <c r="AD2894" s="0" t="str">
        <f aca="false">IF(AND(C2893=C2894,AA2893=AA2894-1),AB2893,"")</f>
        <v/>
      </c>
      <c r="AE2894" s="0" t="str">
        <f aca="false">IF(AND(C2893=C2894,AA2893=AA2894-1),AC2893,"")</f>
        <v/>
      </c>
      <c r="AF2894" s="0" t="str">
        <f aca="false">IF(AA2894=1,"",IF(AND(AB2894=1,AD2894&lt;&gt;1),1,0))</f>
        <v/>
      </c>
      <c r="AG2894" s="0" t="str">
        <f aca="false">IF(AA2894=1,"",IF(AND(AC2894=1,AE2894&lt;&gt;1),1,0))</f>
        <v/>
      </c>
      <c r="AH2894" s="51" t="str">
        <f aca="false">IF(AND(E2894&gt;0,AA2894&lt;1,NOT(AND(C2895=C2894,AA2895=AA2894+1))),INDEX(DATAS,AA2894+1),"")</f>
        <v/>
      </c>
      <c r="AI2894" s="51" t="str">
        <f aca="false">IF(AND(AC2894=1,AA2894&lt;1),IF(AND(C2895=C2894,AA2895=AA2894+1),IF(AC2895=1,"",INDEX(DATAS,AA2894+1)),INDEX(DATAS,AA2894+1)),"")</f>
        <v/>
      </c>
    </row>
    <row r="2895" customFormat="false" ht="15" hidden="false" customHeight="false" outlineLevel="0" collapsed="false">
      <c r="A2895" s="51" t="n">
        <v>46309</v>
      </c>
      <c r="B2895" s="0" t="n">
        <v>13</v>
      </c>
      <c r="C2895" s="0" t="n">
        <v>7277</v>
      </c>
      <c r="E2895" s="0" t="n">
        <v>0</v>
      </c>
      <c r="F2895" s="46" t="s">
        <v>1429</v>
      </c>
      <c r="I2895" s="46" t="s">
        <v>179</v>
      </c>
      <c r="U2895" s="0" t="n">
        <v>288</v>
      </c>
      <c r="V2895" s="0" t="n">
        <v>0</v>
      </c>
      <c r="X2895" s="46" t="n">
        <f aca="false">IF(I2895="Male",0,1)</f>
        <v>1</v>
      </c>
      <c r="Y2895" s="46" t="n">
        <f aca="false">IF(OR(I2895="DNB",I2895="Dry DNB"),1,0)</f>
        <v>0</v>
      </c>
      <c r="Z2895" s="0" t="str">
        <f aca="false">IF(ISNUMBER(W2895),A2895-W2895,"")</f>
        <v/>
      </c>
      <c r="AA2895" s="46" t="n">
        <f aca="false">MATCH(A2895,DATAS,0)</f>
        <v>1</v>
      </c>
      <c r="AB2895" s="46" t="n">
        <f aca="false">IF(AND(E2895&gt;0,OR(AND(B2895&gt;=1,B2895&lt;=6),B2895=10)),1,0)</f>
        <v>0</v>
      </c>
      <c r="AC2895" s="46" t="n">
        <f aca="false">IF(AND(E2895&gt;0,B2895=10),1,0)</f>
        <v>0</v>
      </c>
      <c r="AD2895" s="0" t="str">
        <f aca="false">IF(AND(C2894=C2895,AA2894=AA2895-1),AB2894,"")</f>
        <v/>
      </c>
      <c r="AE2895" s="0" t="str">
        <f aca="false">IF(AND(C2894=C2895,AA2894=AA2895-1),AC2894,"")</f>
        <v/>
      </c>
      <c r="AF2895" s="0" t="str">
        <f aca="false">IF(AA2895=1,"",IF(AND(AB2895=1,AD2895&lt;&gt;1),1,0))</f>
        <v/>
      </c>
      <c r="AG2895" s="0" t="str">
        <f aca="false">IF(AA2895=1,"",IF(AND(AC2895=1,AE2895&lt;&gt;1),1,0))</f>
        <v/>
      </c>
      <c r="AH2895" s="51" t="str">
        <f aca="false">IF(AND(E2895&gt;0,AA2895&lt;1,NOT(AND(C2896=C2895,AA2896=AA2895+1))),INDEX(DATAS,AA2895+1),"")</f>
        <v/>
      </c>
      <c r="AI2895" s="51" t="str">
        <f aca="false">IF(AND(AC2895=1,AA2895&lt;1),IF(AND(C2896=C2895,AA2896=AA2895+1),IF(AC2896=1,"",INDEX(DATAS,AA2895+1)),INDEX(DATAS,AA2895+1)),"")</f>
        <v/>
      </c>
    </row>
    <row r="2896" customFormat="false" ht="15" hidden="false" customHeight="false" outlineLevel="0" collapsed="false">
      <c r="A2896" s="51" t="n">
        <v>46309</v>
      </c>
      <c r="B2896" s="0" t="n">
        <v>13</v>
      </c>
      <c r="C2896" s="0" t="n">
        <v>7278</v>
      </c>
      <c r="E2896" s="0" t="n">
        <v>0</v>
      </c>
      <c r="F2896" s="46" t="s">
        <v>1429</v>
      </c>
      <c r="I2896" s="46" t="s">
        <v>179</v>
      </c>
      <c r="U2896" s="0" t="n">
        <v>288</v>
      </c>
      <c r="V2896" s="0" t="n">
        <v>0</v>
      </c>
      <c r="X2896" s="46" t="n">
        <f aca="false">IF(I2896="Male",0,1)</f>
        <v>1</v>
      </c>
      <c r="Y2896" s="46" t="n">
        <f aca="false">IF(OR(I2896="DNB",I2896="Dry DNB"),1,0)</f>
        <v>0</v>
      </c>
      <c r="Z2896" s="0" t="str">
        <f aca="false">IF(ISNUMBER(W2896),A2896-W2896,"")</f>
        <v/>
      </c>
      <c r="AA2896" s="46" t="n">
        <f aca="false">MATCH(A2896,DATAS,0)</f>
        <v>1</v>
      </c>
      <c r="AB2896" s="46" t="n">
        <f aca="false">IF(AND(E2896&gt;0,OR(AND(B2896&gt;=1,B2896&lt;=6),B2896=10)),1,0)</f>
        <v>0</v>
      </c>
      <c r="AC2896" s="46" t="n">
        <f aca="false">IF(AND(E2896&gt;0,B2896=10),1,0)</f>
        <v>0</v>
      </c>
      <c r="AD2896" s="0" t="str">
        <f aca="false">IF(AND(C2895=C2896,AA2895=AA2896-1),AB2895,"")</f>
        <v/>
      </c>
      <c r="AE2896" s="0" t="str">
        <f aca="false">IF(AND(C2895=C2896,AA2895=AA2896-1),AC2895,"")</f>
        <v/>
      </c>
      <c r="AF2896" s="0" t="str">
        <f aca="false">IF(AA2896=1,"",IF(AND(AB2896=1,AD2896&lt;&gt;1),1,0))</f>
        <v/>
      </c>
      <c r="AG2896" s="0" t="str">
        <f aca="false">IF(AA2896=1,"",IF(AND(AC2896=1,AE2896&lt;&gt;1),1,0))</f>
        <v/>
      </c>
      <c r="AH2896" s="51" t="str">
        <f aca="false">IF(AND(E2896&gt;0,AA2896&lt;1,NOT(AND(C2897=C2896,AA2897=AA2896+1))),INDEX(DATAS,AA2896+1),"")</f>
        <v/>
      </c>
      <c r="AI2896" s="51" t="str">
        <f aca="false">IF(AND(AC2896=1,AA2896&lt;1),IF(AND(C2897=C2896,AA2897=AA2896+1),IF(AC2897=1,"",INDEX(DATAS,AA2896+1)),INDEX(DATAS,AA2896+1)),"")</f>
        <v/>
      </c>
    </row>
    <row r="2897" customFormat="false" ht="15" hidden="false" customHeight="false" outlineLevel="0" collapsed="false">
      <c r="A2897" s="51" t="n">
        <v>46309</v>
      </c>
      <c r="B2897" s="0" t="n">
        <v>13</v>
      </c>
      <c r="C2897" s="0" t="n">
        <v>7279</v>
      </c>
      <c r="E2897" s="0" t="n">
        <v>0</v>
      </c>
      <c r="F2897" s="46" t="s">
        <v>1430</v>
      </c>
      <c r="I2897" s="46" t="s">
        <v>179</v>
      </c>
      <c r="U2897" s="0" t="n">
        <v>287</v>
      </c>
      <c r="V2897" s="0" t="n">
        <v>0</v>
      </c>
      <c r="X2897" s="46" t="n">
        <f aca="false">IF(I2897="Male",0,1)</f>
        <v>1</v>
      </c>
      <c r="Y2897" s="46" t="n">
        <f aca="false">IF(OR(I2897="DNB",I2897="Dry DNB"),1,0)</f>
        <v>0</v>
      </c>
      <c r="Z2897" s="0" t="str">
        <f aca="false">IF(ISNUMBER(W2897),A2897-W2897,"")</f>
        <v/>
      </c>
      <c r="AA2897" s="46" t="n">
        <f aca="false">MATCH(A2897,DATAS,0)</f>
        <v>1</v>
      </c>
      <c r="AB2897" s="46" t="n">
        <f aca="false">IF(AND(E2897&gt;0,OR(AND(B2897&gt;=1,B2897&lt;=6),B2897=10)),1,0)</f>
        <v>0</v>
      </c>
      <c r="AC2897" s="46" t="n">
        <f aca="false">IF(AND(E2897&gt;0,B2897=10),1,0)</f>
        <v>0</v>
      </c>
      <c r="AD2897" s="0" t="str">
        <f aca="false">IF(AND(C2896=C2897,AA2896=AA2897-1),AB2896,"")</f>
        <v/>
      </c>
      <c r="AE2897" s="0" t="str">
        <f aca="false">IF(AND(C2896=C2897,AA2896=AA2897-1),AC2896,"")</f>
        <v/>
      </c>
      <c r="AF2897" s="0" t="str">
        <f aca="false">IF(AA2897=1,"",IF(AND(AB2897=1,AD2897&lt;&gt;1),1,0))</f>
        <v/>
      </c>
      <c r="AG2897" s="0" t="str">
        <f aca="false">IF(AA2897=1,"",IF(AND(AC2897=1,AE2897&lt;&gt;1),1,0))</f>
        <v/>
      </c>
      <c r="AH2897" s="51" t="str">
        <f aca="false">IF(AND(E2897&gt;0,AA2897&lt;1,NOT(AND(C2898=C2897,AA2898=AA2897+1))),INDEX(DATAS,AA2897+1),"")</f>
        <v/>
      </c>
      <c r="AI2897" s="51" t="str">
        <f aca="false">IF(AND(AC2897=1,AA2897&lt;1),IF(AND(C2898=C2897,AA2898=AA2897+1),IF(AC2898=1,"",INDEX(DATAS,AA2897+1)),INDEX(DATAS,AA2897+1)),"")</f>
        <v/>
      </c>
    </row>
    <row r="2898" customFormat="false" ht="15" hidden="false" customHeight="false" outlineLevel="0" collapsed="false">
      <c r="A2898" s="51" t="n">
        <v>46309</v>
      </c>
      <c r="B2898" s="0" t="n">
        <v>13</v>
      </c>
      <c r="C2898" s="0" t="n">
        <v>7280</v>
      </c>
      <c r="E2898" s="0" t="n">
        <v>0</v>
      </c>
      <c r="F2898" s="46" t="s">
        <v>1430</v>
      </c>
      <c r="I2898" s="46" t="s">
        <v>179</v>
      </c>
      <c r="U2898" s="0" t="n">
        <v>287</v>
      </c>
      <c r="V2898" s="0" t="n">
        <v>0</v>
      </c>
      <c r="X2898" s="46" t="n">
        <f aca="false">IF(I2898="Male",0,1)</f>
        <v>1</v>
      </c>
      <c r="Y2898" s="46" t="n">
        <f aca="false">IF(OR(I2898="DNB",I2898="Dry DNB"),1,0)</f>
        <v>0</v>
      </c>
      <c r="Z2898" s="0" t="str">
        <f aca="false">IF(ISNUMBER(W2898),A2898-W2898,"")</f>
        <v/>
      </c>
      <c r="AA2898" s="46" t="n">
        <f aca="false">MATCH(A2898,DATAS,0)</f>
        <v>1</v>
      </c>
      <c r="AB2898" s="46" t="n">
        <f aca="false">IF(AND(E2898&gt;0,OR(AND(B2898&gt;=1,B2898&lt;=6),B2898=10)),1,0)</f>
        <v>0</v>
      </c>
      <c r="AC2898" s="46" t="n">
        <f aca="false">IF(AND(E2898&gt;0,B2898=10),1,0)</f>
        <v>0</v>
      </c>
      <c r="AD2898" s="0" t="str">
        <f aca="false">IF(AND(C2897=C2898,AA2897=AA2898-1),AB2897,"")</f>
        <v/>
      </c>
      <c r="AE2898" s="0" t="str">
        <f aca="false">IF(AND(C2897=C2898,AA2897=AA2898-1),AC2897,"")</f>
        <v/>
      </c>
      <c r="AF2898" s="0" t="str">
        <f aca="false">IF(AA2898=1,"",IF(AND(AB2898=1,AD2898&lt;&gt;1),1,0))</f>
        <v/>
      </c>
      <c r="AG2898" s="0" t="str">
        <f aca="false">IF(AA2898=1,"",IF(AND(AC2898=1,AE2898&lt;&gt;1),1,0))</f>
        <v/>
      </c>
      <c r="AH2898" s="51" t="str">
        <f aca="false">IF(AND(E2898&gt;0,AA2898&lt;1,NOT(AND(C2899=C2898,AA2899=AA2898+1))),INDEX(DATAS,AA2898+1),"")</f>
        <v/>
      </c>
      <c r="AI2898" s="51" t="str">
        <f aca="false">IF(AND(AC2898=1,AA2898&lt;1),IF(AND(C2899=C2898,AA2899=AA2898+1),IF(AC2899=1,"",INDEX(DATAS,AA2898+1)),INDEX(DATAS,AA2898+1)),"")</f>
        <v/>
      </c>
    </row>
    <row r="2899" customFormat="false" ht="15" hidden="false" customHeight="false" outlineLevel="0" collapsed="false">
      <c r="A2899" s="51" t="n">
        <v>46309</v>
      </c>
      <c r="B2899" s="0" t="n">
        <v>13</v>
      </c>
      <c r="C2899" s="0" t="n">
        <v>7281</v>
      </c>
      <c r="E2899" s="0" t="n">
        <v>0</v>
      </c>
      <c r="F2899" s="46" t="s">
        <v>1430</v>
      </c>
      <c r="I2899" s="46" t="s">
        <v>179</v>
      </c>
      <c r="U2899" s="0" t="n">
        <v>287</v>
      </c>
      <c r="V2899" s="0" t="n">
        <v>0</v>
      </c>
      <c r="X2899" s="46" t="n">
        <f aca="false">IF(I2899="Male",0,1)</f>
        <v>1</v>
      </c>
      <c r="Y2899" s="46" t="n">
        <f aca="false">IF(OR(I2899="DNB",I2899="Dry DNB"),1,0)</f>
        <v>0</v>
      </c>
      <c r="Z2899" s="0" t="str">
        <f aca="false">IF(ISNUMBER(W2899),A2899-W2899,"")</f>
        <v/>
      </c>
      <c r="AA2899" s="46" t="n">
        <f aca="false">MATCH(A2899,DATAS,0)</f>
        <v>1</v>
      </c>
      <c r="AB2899" s="46" t="n">
        <f aca="false">IF(AND(E2899&gt;0,OR(AND(B2899&gt;=1,B2899&lt;=6),B2899=10)),1,0)</f>
        <v>0</v>
      </c>
      <c r="AC2899" s="46" t="n">
        <f aca="false">IF(AND(E2899&gt;0,B2899=10),1,0)</f>
        <v>0</v>
      </c>
      <c r="AD2899" s="0" t="str">
        <f aca="false">IF(AND(C2898=C2899,AA2898=AA2899-1),AB2898,"")</f>
        <v/>
      </c>
      <c r="AE2899" s="0" t="str">
        <f aca="false">IF(AND(C2898=C2899,AA2898=AA2899-1),AC2898,"")</f>
        <v/>
      </c>
      <c r="AF2899" s="0" t="str">
        <f aca="false">IF(AA2899=1,"",IF(AND(AB2899=1,AD2899&lt;&gt;1),1,0))</f>
        <v/>
      </c>
      <c r="AG2899" s="0" t="str">
        <f aca="false">IF(AA2899=1,"",IF(AND(AC2899=1,AE2899&lt;&gt;1),1,0))</f>
        <v/>
      </c>
      <c r="AH2899" s="51" t="str">
        <f aca="false">IF(AND(E2899&gt;0,AA2899&lt;1,NOT(AND(C2900=C2899,AA2900=AA2899+1))),INDEX(DATAS,AA2899+1),"")</f>
        <v/>
      </c>
      <c r="AI2899" s="51" t="str">
        <f aca="false">IF(AND(AC2899=1,AA2899&lt;1),IF(AND(C2900=C2899,AA2900=AA2899+1),IF(AC2900=1,"",INDEX(DATAS,AA2899+1)),INDEX(DATAS,AA2899+1)),"")</f>
        <v/>
      </c>
    </row>
    <row r="2900" customFormat="false" ht="15" hidden="false" customHeight="false" outlineLevel="0" collapsed="false">
      <c r="A2900" s="51" t="n">
        <v>46309</v>
      </c>
      <c r="B2900" s="0" t="n">
        <v>13</v>
      </c>
      <c r="C2900" s="0" t="n">
        <v>7282</v>
      </c>
      <c r="E2900" s="0" t="n">
        <v>0</v>
      </c>
      <c r="F2900" s="46" t="s">
        <v>1431</v>
      </c>
      <c r="I2900" s="46" t="s">
        <v>179</v>
      </c>
      <c r="U2900" s="0" t="n">
        <v>286</v>
      </c>
      <c r="V2900" s="0" t="n">
        <v>0</v>
      </c>
      <c r="X2900" s="46" t="n">
        <f aca="false">IF(I2900="Male",0,1)</f>
        <v>1</v>
      </c>
      <c r="Y2900" s="46" t="n">
        <f aca="false">IF(OR(I2900="DNB",I2900="Dry DNB"),1,0)</f>
        <v>0</v>
      </c>
      <c r="Z2900" s="0" t="str">
        <f aca="false">IF(ISNUMBER(W2900),A2900-W2900,"")</f>
        <v/>
      </c>
      <c r="AA2900" s="46" t="n">
        <f aca="false">MATCH(A2900,DATAS,0)</f>
        <v>1</v>
      </c>
      <c r="AB2900" s="46" t="n">
        <f aca="false">IF(AND(E2900&gt;0,OR(AND(B2900&gt;=1,B2900&lt;=6),B2900=10)),1,0)</f>
        <v>0</v>
      </c>
      <c r="AC2900" s="46" t="n">
        <f aca="false">IF(AND(E2900&gt;0,B2900=10),1,0)</f>
        <v>0</v>
      </c>
      <c r="AD2900" s="0" t="str">
        <f aca="false">IF(AND(C2899=C2900,AA2899=AA2900-1),AB2899,"")</f>
        <v/>
      </c>
      <c r="AE2900" s="0" t="str">
        <f aca="false">IF(AND(C2899=C2900,AA2899=AA2900-1),AC2899,"")</f>
        <v/>
      </c>
      <c r="AF2900" s="0" t="str">
        <f aca="false">IF(AA2900=1,"",IF(AND(AB2900=1,AD2900&lt;&gt;1),1,0))</f>
        <v/>
      </c>
      <c r="AG2900" s="0" t="str">
        <f aca="false">IF(AA2900=1,"",IF(AND(AC2900=1,AE2900&lt;&gt;1),1,0))</f>
        <v/>
      </c>
      <c r="AH2900" s="51" t="str">
        <f aca="false">IF(AND(E2900&gt;0,AA2900&lt;1,NOT(AND(C2901=C2900,AA2901=AA2900+1))),INDEX(DATAS,AA2900+1),"")</f>
        <v/>
      </c>
      <c r="AI2900" s="51" t="str">
        <f aca="false">IF(AND(AC2900=1,AA2900&lt;1),IF(AND(C2901=C2900,AA2901=AA2900+1),IF(AC2901=1,"",INDEX(DATAS,AA2900+1)),INDEX(DATAS,AA2900+1)),"")</f>
        <v/>
      </c>
    </row>
    <row r="2901" customFormat="false" ht="15" hidden="false" customHeight="false" outlineLevel="0" collapsed="false">
      <c r="A2901" s="51" t="n">
        <v>46309</v>
      </c>
      <c r="B2901" s="0" t="n">
        <v>13</v>
      </c>
      <c r="C2901" s="0" t="n">
        <v>7283</v>
      </c>
      <c r="E2901" s="0" t="n">
        <v>0</v>
      </c>
      <c r="F2901" s="46" t="s">
        <v>1431</v>
      </c>
      <c r="I2901" s="46" t="s">
        <v>179</v>
      </c>
      <c r="U2901" s="0" t="n">
        <v>286</v>
      </c>
      <c r="V2901" s="0" t="n">
        <v>0</v>
      </c>
      <c r="X2901" s="46" t="n">
        <f aca="false">IF(I2901="Male",0,1)</f>
        <v>1</v>
      </c>
      <c r="Y2901" s="46" t="n">
        <f aca="false">IF(OR(I2901="DNB",I2901="Dry DNB"),1,0)</f>
        <v>0</v>
      </c>
      <c r="Z2901" s="0" t="str">
        <f aca="false">IF(ISNUMBER(W2901),A2901-W2901,"")</f>
        <v/>
      </c>
      <c r="AA2901" s="46" t="n">
        <f aca="false">MATCH(A2901,DATAS,0)</f>
        <v>1</v>
      </c>
      <c r="AB2901" s="46" t="n">
        <f aca="false">IF(AND(E2901&gt;0,OR(AND(B2901&gt;=1,B2901&lt;=6),B2901=10)),1,0)</f>
        <v>0</v>
      </c>
      <c r="AC2901" s="46" t="n">
        <f aca="false">IF(AND(E2901&gt;0,B2901=10),1,0)</f>
        <v>0</v>
      </c>
      <c r="AD2901" s="0" t="str">
        <f aca="false">IF(AND(C2900=C2901,AA2900=AA2901-1),AB2900,"")</f>
        <v/>
      </c>
      <c r="AE2901" s="0" t="str">
        <f aca="false">IF(AND(C2900=C2901,AA2900=AA2901-1),AC2900,"")</f>
        <v/>
      </c>
      <c r="AF2901" s="0" t="str">
        <f aca="false">IF(AA2901=1,"",IF(AND(AB2901=1,AD2901&lt;&gt;1),1,0))</f>
        <v/>
      </c>
      <c r="AG2901" s="0" t="str">
        <f aca="false">IF(AA2901=1,"",IF(AND(AC2901=1,AE2901&lt;&gt;1),1,0))</f>
        <v/>
      </c>
      <c r="AH2901" s="51" t="str">
        <f aca="false">IF(AND(E2901&gt;0,AA2901&lt;1,NOT(AND(C2902=C2901,AA2902=AA2901+1))),INDEX(DATAS,AA2901+1),"")</f>
        <v/>
      </c>
      <c r="AI2901" s="51" t="str">
        <f aca="false">IF(AND(AC2901=1,AA2901&lt;1),IF(AND(C2902=C2901,AA2902=AA2901+1),IF(AC2902=1,"",INDEX(DATAS,AA2901+1)),INDEX(DATAS,AA2901+1)),"")</f>
        <v/>
      </c>
    </row>
    <row r="2902" customFormat="false" ht="15" hidden="false" customHeight="false" outlineLevel="0" collapsed="false">
      <c r="A2902" s="51" t="n">
        <v>46309</v>
      </c>
      <c r="B2902" s="0" t="n">
        <v>13</v>
      </c>
      <c r="C2902" s="0" t="n">
        <v>7284</v>
      </c>
      <c r="E2902" s="0" t="n">
        <v>0</v>
      </c>
      <c r="F2902" s="46" t="s">
        <v>1432</v>
      </c>
      <c r="I2902" s="46" t="s">
        <v>179</v>
      </c>
      <c r="U2902" s="0" t="n">
        <v>285</v>
      </c>
      <c r="V2902" s="0" t="n">
        <v>0</v>
      </c>
      <c r="X2902" s="46" t="n">
        <f aca="false">IF(I2902="Male",0,1)</f>
        <v>1</v>
      </c>
      <c r="Y2902" s="46" t="n">
        <f aca="false">IF(OR(I2902="DNB",I2902="Dry DNB"),1,0)</f>
        <v>0</v>
      </c>
      <c r="Z2902" s="0" t="str">
        <f aca="false">IF(ISNUMBER(W2902),A2902-W2902,"")</f>
        <v/>
      </c>
      <c r="AA2902" s="46" t="n">
        <f aca="false">MATCH(A2902,DATAS,0)</f>
        <v>1</v>
      </c>
      <c r="AB2902" s="46" t="n">
        <f aca="false">IF(AND(E2902&gt;0,OR(AND(B2902&gt;=1,B2902&lt;=6),B2902=10)),1,0)</f>
        <v>0</v>
      </c>
      <c r="AC2902" s="46" t="n">
        <f aca="false">IF(AND(E2902&gt;0,B2902=10),1,0)</f>
        <v>0</v>
      </c>
      <c r="AD2902" s="0" t="str">
        <f aca="false">IF(AND(C2901=C2902,AA2901=AA2902-1),AB2901,"")</f>
        <v/>
      </c>
      <c r="AE2902" s="0" t="str">
        <f aca="false">IF(AND(C2901=C2902,AA2901=AA2902-1),AC2901,"")</f>
        <v/>
      </c>
      <c r="AF2902" s="0" t="str">
        <f aca="false">IF(AA2902=1,"",IF(AND(AB2902=1,AD2902&lt;&gt;1),1,0))</f>
        <v/>
      </c>
      <c r="AG2902" s="0" t="str">
        <f aca="false">IF(AA2902=1,"",IF(AND(AC2902=1,AE2902&lt;&gt;1),1,0))</f>
        <v/>
      </c>
      <c r="AH2902" s="51" t="str">
        <f aca="false">IF(AND(E2902&gt;0,AA2902&lt;1,NOT(AND(C2903=C2902,AA2903=AA2902+1))),INDEX(DATAS,AA2902+1),"")</f>
        <v/>
      </c>
      <c r="AI2902" s="51" t="str">
        <f aca="false">IF(AND(AC2902=1,AA2902&lt;1),IF(AND(C2903=C2902,AA2903=AA2902+1),IF(AC2903=1,"",INDEX(DATAS,AA2902+1)),INDEX(DATAS,AA2902+1)),"")</f>
        <v/>
      </c>
    </row>
    <row r="2903" customFormat="false" ht="15" hidden="false" customHeight="false" outlineLevel="0" collapsed="false">
      <c r="A2903" s="51" t="n">
        <v>46309</v>
      </c>
      <c r="B2903" s="0" t="n">
        <v>13</v>
      </c>
      <c r="C2903" s="0" t="n">
        <v>7285</v>
      </c>
      <c r="E2903" s="0" t="n">
        <v>0</v>
      </c>
      <c r="F2903" s="46" t="s">
        <v>1432</v>
      </c>
      <c r="I2903" s="46" t="s">
        <v>179</v>
      </c>
      <c r="U2903" s="0" t="n">
        <v>285</v>
      </c>
      <c r="V2903" s="0" t="n">
        <v>0</v>
      </c>
      <c r="X2903" s="46" t="n">
        <f aca="false">IF(I2903="Male",0,1)</f>
        <v>1</v>
      </c>
      <c r="Y2903" s="46" t="n">
        <f aca="false">IF(OR(I2903="DNB",I2903="Dry DNB"),1,0)</f>
        <v>0</v>
      </c>
      <c r="Z2903" s="0" t="str">
        <f aca="false">IF(ISNUMBER(W2903),A2903-W2903,"")</f>
        <v/>
      </c>
      <c r="AA2903" s="46" t="n">
        <f aca="false">MATCH(A2903,DATAS,0)</f>
        <v>1</v>
      </c>
      <c r="AB2903" s="46" t="n">
        <f aca="false">IF(AND(E2903&gt;0,OR(AND(B2903&gt;=1,B2903&lt;=6),B2903=10)),1,0)</f>
        <v>0</v>
      </c>
      <c r="AC2903" s="46" t="n">
        <f aca="false">IF(AND(E2903&gt;0,B2903=10),1,0)</f>
        <v>0</v>
      </c>
      <c r="AD2903" s="0" t="str">
        <f aca="false">IF(AND(C2902=C2903,AA2902=AA2903-1),AB2902,"")</f>
        <v/>
      </c>
      <c r="AE2903" s="0" t="str">
        <f aca="false">IF(AND(C2902=C2903,AA2902=AA2903-1),AC2902,"")</f>
        <v/>
      </c>
      <c r="AF2903" s="0" t="str">
        <f aca="false">IF(AA2903=1,"",IF(AND(AB2903=1,AD2903&lt;&gt;1),1,0))</f>
        <v/>
      </c>
      <c r="AG2903" s="0" t="str">
        <f aca="false">IF(AA2903=1,"",IF(AND(AC2903=1,AE2903&lt;&gt;1),1,0))</f>
        <v/>
      </c>
      <c r="AH2903" s="51" t="str">
        <f aca="false">IF(AND(E2903&gt;0,AA2903&lt;1,NOT(AND(C2904=C2903,AA2904=AA2903+1))),INDEX(DATAS,AA2903+1),"")</f>
        <v/>
      </c>
      <c r="AI2903" s="51" t="str">
        <f aca="false">IF(AND(AC2903=1,AA2903&lt;1),IF(AND(C2904=C2903,AA2904=AA2903+1),IF(AC2904=1,"",INDEX(DATAS,AA2903+1)),INDEX(DATAS,AA2903+1)),"")</f>
        <v/>
      </c>
    </row>
    <row r="2904" customFormat="false" ht="15" hidden="false" customHeight="false" outlineLevel="0" collapsed="false">
      <c r="A2904" s="51" t="n">
        <v>46309</v>
      </c>
      <c r="B2904" s="0" t="n">
        <v>13</v>
      </c>
      <c r="C2904" s="0" t="n">
        <v>7286</v>
      </c>
      <c r="E2904" s="0" t="n">
        <v>0</v>
      </c>
      <c r="F2904" s="46" t="s">
        <v>1432</v>
      </c>
      <c r="I2904" s="46" t="s">
        <v>179</v>
      </c>
      <c r="U2904" s="0" t="n">
        <v>285</v>
      </c>
      <c r="V2904" s="0" t="n">
        <v>0</v>
      </c>
      <c r="X2904" s="46" t="n">
        <f aca="false">IF(I2904="Male",0,1)</f>
        <v>1</v>
      </c>
      <c r="Y2904" s="46" t="n">
        <f aca="false">IF(OR(I2904="DNB",I2904="Dry DNB"),1,0)</f>
        <v>0</v>
      </c>
      <c r="Z2904" s="0" t="str">
        <f aca="false">IF(ISNUMBER(W2904),A2904-W2904,"")</f>
        <v/>
      </c>
      <c r="AA2904" s="46" t="n">
        <f aca="false">MATCH(A2904,DATAS,0)</f>
        <v>1</v>
      </c>
      <c r="AB2904" s="46" t="n">
        <f aca="false">IF(AND(E2904&gt;0,OR(AND(B2904&gt;=1,B2904&lt;=6),B2904=10)),1,0)</f>
        <v>0</v>
      </c>
      <c r="AC2904" s="46" t="n">
        <f aca="false">IF(AND(E2904&gt;0,B2904=10),1,0)</f>
        <v>0</v>
      </c>
      <c r="AD2904" s="0" t="str">
        <f aca="false">IF(AND(C2903=C2904,AA2903=AA2904-1),AB2903,"")</f>
        <v/>
      </c>
      <c r="AE2904" s="0" t="str">
        <f aca="false">IF(AND(C2903=C2904,AA2903=AA2904-1),AC2903,"")</f>
        <v/>
      </c>
      <c r="AF2904" s="0" t="str">
        <f aca="false">IF(AA2904=1,"",IF(AND(AB2904=1,AD2904&lt;&gt;1),1,0))</f>
        <v/>
      </c>
      <c r="AG2904" s="0" t="str">
        <f aca="false">IF(AA2904=1,"",IF(AND(AC2904=1,AE2904&lt;&gt;1),1,0))</f>
        <v/>
      </c>
      <c r="AH2904" s="51" t="str">
        <f aca="false">IF(AND(E2904&gt;0,AA2904&lt;1,NOT(AND(C2905=C2904,AA2905=AA2904+1))),INDEX(DATAS,AA2904+1),"")</f>
        <v/>
      </c>
      <c r="AI2904" s="51" t="str">
        <f aca="false">IF(AND(AC2904=1,AA2904&lt;1),IF(AND(C2905=C2904,AA2905=AA2904+1),IF(AC2905=1,"",INDEX(DATAS,AA2904+1)),INDEX(DATAS,AA2904+1)),"")</f>
        <v/>
      </c>
    </row>
    <row r="2905" customFormat="false" ht="15" hidden="false" customHeight="false" outlineLevel="0" collapsed="false">
      <c r="A2905" s="51" t="n">
        <v>46309</v>
      </c>
      <c r="B2905" s="0" t="n">
        <v>13</v>
      </c>
      <c r="C2905" s="0" t="n">
        <v>7287</v>
      </c>
      <c r="E2905" s="0" t="n">
        <v>0</v>
      </c>
      <c r="F2905" s="46" t="s">
        <v>1433</v>
      </c>
      <c r="I2905" s="46" t="s">
        <v>179</v>
      </c>
      <c r="U2905" s="0" t="n">
        <v>284</v>
      </c>
      <c r="V2905" s="0" t="n">
        <v>0</v>
      </c>
      <c r="X2905" s="46" t="n">
        <f aca="false">IF(I2905="Male",0,1)</f>
        <v>1</v>
      </c>
      <c r="Y2905" s="46" t="n">
        <f aca="false">IF(OR(I2905="DNB",I2905="Dry DNB"),1,0)</f>
        <v>0</v>
      </c>
      <c r="Z2905" s="0" t="str">
        <f aca="false">IF(ISNUMBER(W2905),A2905-W2905,"")</f>
        <v/>
      </c>
      <c r="AA2905" s="46" t="n">
        <f aca="false">MATCH(A2905,DATAS,0)</f>
        <v>1</v>
      </c>
      <c r="AB2905" s="46" t="n">
        <f aca="false">IF(AND(E2905&gt;0,OR(AND(B2905&gt;=1,B2905&lt;=6),B2905=10)),1,0)</f>
        <v>0</v>
      </c>
      <c r="AC2905" s="46" t="n">
        <f aca="false">IF(AND(E2905&gt;0,B2905=10),1,0)</f>
        <v>0</v>
      </c>
      <c r="AD2905" s="0" t="str">
        <f aca="false">IF(AND(C2904=C2905,AA2904=AA2905-1),AB2904,"")</f>
        <v/>
      </c>
      <c r="AE2905" s="0" t="str">
        <f aca="false">IF(AND(C2904=C2905,AA2904=AA2905-1),AC2904,"")</f>
        <v/>
      </c>
      <c r="AF2905" s="0" t="str">
        <f aca="false">IF(AA2905=1,"",IF(AND(AB2905=1,AD2905&lt;&gt;1),1,0))</f>
        <v/>
      </c>
      <c r="AG2905" s="0" t="str">
        <f aca="false">IF(AA2905=1,"",IF(AND(AC2905=1,AE2905&lt;&gt;1),1,0))</f>
        <v/>
      </c>
      <c r="AH2905" s="51" t="str">
        <f aca="false">IF(AND(E2905&gt;0,AA2905&lt;1,NOT(AND(C2906=C2905,AA2906=AA2905+1))),INDEX(DATAS,AA2905+1),"")</f>
        <v/>
      </c>
      <c r="AI2905" s="51" t="str">
        <f aca="false">IF(AND(AC2905=1,AA2905&lt;1),IF(AND(C2906=C2905,AA2906=AA2905+1),IF(AC2906=1,"",INDEX(DATAS,AA2905+1)),INDEX(DATAS,AA2905+1)),"")</f>
        <v/>
      </c>
    </row>
    <row r="2906" customFormat="false" ht="15" hidden="false" customHeight="false" outlineLevel="0" collapsed="false">
      <c r="A2906" s="51" t="n">
        <v>46309</v>
      </c>
      <c r="B2906" s="0" t="n">
        <v>13</v>
      </c>
      <c r="C2906" s="0" t="n">
        <v>7288</v>
      </c>
      <c r="E2906" s="0" t="n">
        <v>0</v>
      </c>
      <c r="F2906" s="46" t="s">
        <v>1433</v>
      </c>
      <c r="I2906" s="46" t="s">
        <v>179</v>
      </c>
      <c r="U2906" s="0" t="n">
        <v>284</v>
      </c>
      <c r="V2906" s="0" t="n">
        <v>0</v>
      </c>
      <c r="X2906" s="46" t="n">
        <f aca="false">IF(I2906="Male",0,1)</f>
        <v>1</v>
      </c>
      <c r="Y2906" s="46" t="n">
        <f aca="false">IF(OR(I2906="DNB",I2906="Dry DNB"),1,0)</f>
        <v>0</v>
      </c>
      <c r="Z2906" s="0" t="str">
        <f aca="false">IF(ISNUMBER(W2906),A2906-W2906,"")</f>
        <v/>
      </c>
      <c r="AA2906" s="46" t="n">
        <f aca="false">MATCH(A2906,DATAS,0)</f>
        <v>1</v>
      </c>
      <c r="AB2906" s="46" t="n">
        <f aca="false">IF(AND(E2906&gt;0,OR(AND(B2906&gt;=1,B2906&lt;=6),B2906=10)),1,0)</f>
        <v>0</v>
      </c>
      <c r="AC2906" s="46" t="n">
        <f aca="false">IF(AND(E2906&gt;0,B2906=10),1,0)</f>
        <v>0</v>
      </c>
      <c r="AD2906" s="0" t="str">
        <f aca="false">IF(AND(C2905=C2906,AA2905=AA2906-1),AB2905,"")</f>
        <v/>
      </c>
      <c r="AE2906" s="0" t="str">
        <f aca="false">IF(AND(C2905=C2906,AA2905=AA2906-1),AC2905,"")</f>
        <v/>
      </c>
      <c r="AF2906" s="0" t="str">
        <f aca="false">IF(AA2906=1,"",IF(AND(AB2906=1,AD2906&lt;&gt;1),1,0))</f>
        <v/>
      </c>
      <c r="AG2906" s="0" t="str">
        <f aca="false">IF(AA2906=1,"",IF(AND(AC2906=1,AE2906&lt;&gt;1),1,0))</f>
        <v/>
      </c>
      <c r="AH2906" s="51" t="str">
        <f aca="false">IF(AND(E2906&gt;0,AA2906&lt;1,NOT(AND(C2907=C2906,AA2907=AA2906+1))),INDEX(DATAS,AA2906+1),"")</f>
        <v/>
      </c>
      <c r="AI2906" s="51" t="str">
        <f aca="false">IF(AND(AC2906=1,AA2906&lt;1),IF(AND(C2907=C2906,AA2907=AA2906+1),IF(AC2907=1,"",INDEX(DATAS,AA2906+1)),INDEX(DATAS,AA2906+1)),"")</f>
        <v/>
      </c>
    </row>
    <row r="2907" customFormat="false" ht="15" hidden="false" customHeight="false" outlineLevel="0" collapsed="false">
      <c r="A2907" s="51" t="n">
        <v>46309</v>
      </c>
      <c r="B2907" s="0" t="n">
        <v>13</v>
      </c>
      <c r="C2907" s="0" t="n">
        <v>7289</v>
      </c>
      <c r="E2907" s="0" t="n">
        <v>0</v>
      </c>
      <c r="F2907" s="46" t="s">
        <v>1434</v>
      </c>
      <c r="I2907" s="46" t="s">
        <v>179</v>
      </c>
      <c r="U2907" s="0" t="n">
        <v>283</v>
      </c>
      <c r="V2907" s="0" t="n">
        <v>0</v>
      </c>
      <c r="X2907" s="46" t="n">
        <f aca="false">IF(I2907="Male",0,1)</f>
        <v>1</v>
      </c>
      <c r="Y2907" s="46" t="n">
        <f aca="false">IF(OR(I2907="DNB",I2907="Dry DNB"),1,0)</f>
        <v>0</v>
      </c>
      <c r="Z2907" s="0" t="str">
        <f aca="false">IF(ISNUMBER(W2907),A2907-W2907,"")</f>
        <v/>
      </c>
      <c r="AA2907" s="46" t="n">
        <f aca="false">MATCH(A2907,DATAS,0)</f>
        <v>1</v>
      </c>
      <c r="AB2907" s="46" t="n">
        <f aca="false">IF(AND(E2907&gt;0,OR(AND(B2907&gt;=1,B2907&lt;=6),B2907=10)),1,0)</f>
        <v>0</v>
      </c>
      <c r="AC2907" s="46" t="n">
        <f aca="false">IF(AND(E2907&gt;0,B2907=10),1,0)</f>
        <v>0</v>
      </c>
      <c r="AD2907" s="0" t="str">
        <f aca="false">IF(AND(C2906=C2907,AA2906=AA2907-1),AB2906,"")</f>
        <v/>
      </c>
      <c r="AE2907" s="0" t="str">
        <f aca="false">IF(AND(C2906=C2907,AA2906=AA2907-1),AC2906,"")</f>
        <v/>
      </c>
      <c r="AF2907" s="0" t="str">
        <f aca="false">IF(AA2907=1,"",IF(AND(AB2907=1,AD2907&lt;&gt;1),1,0))</f>
        <v/>
      </c>
      <c r="AG2907" s="0" t="str">
        <f aca="false">IF(AA2907=1,"",IF(AND(AC2907=1,AE2907&lt;&gt;1),1,0))</f>
        <v/>
      </c>
      <c r="AH2907" s="51" t="str">
        <f aca="false">IF(AND(E2907&gt;0,AA2907&lt;1,NOT(AND(C2908=C2907,AA2908=AA2907+1))),INDEX(DATAS,AA2907+1),"")</f>
        <v/>
      </c>
      <c r="AI2907" s="51" t="str">
        <f aca="false">IF(AND(AC2907=1,AA2907&lt;1),IF(AND(C2908=C2907,AA2908=AA2907+1),IF(AC2908=1,"",INDEX(DATAS,AA2907+1)),INDEX(DATAS,AA2907+1)),"")</f>
        <v/>
      </c>
    </row>
    <row r="2908" customFormat="false" ht="15" hidden="false" customHeight="false" outlineLevel="0" collapsed="false">
      <c r="A2908" s="51" t="n">
        <v>46309</v>
      </c>
      <c r="B2908" s="0" t="n">
        <v>13</v>
      </c>
      <c r="C2908" s="0" t="n">
        <v>7290</v>
      </c>
      <c r="E2908" s="0" t="n">
        <v>0</v>
      </c>
      <c r="F2908" s="46" t="s">
        <v>1434</v>
      </c>
      <c r="I2908" s="46" t="s">
        <v>179</v>
      </c>
      <c r="U2908" s="0" t="n">
        <v>283</v>
      </c>
      <c r="V2908" s="0" t="n">
        <v>0</v>
      </c>
      <c r="X2908" s="46" t="n">
        <f aca="false">IF(I2908="Male",0,1)</f>
        <v>1</v>
      </c>
      <c r="Y2908" s="46" t="n">
        <f aca="false">IF(OR(I2908="DNB",I2908="Dry DNB"),1,0)</f>
        <v>0</v>
      </c>
      <c r="Z2908" s="0" t="str">
        <f aca="false">IF(ISNUMBER(W2908),A2908-W2908,"")</f>
        <v/>
      </c>
      <c r="AA2908" s="46" t="n">
        <f aca="false">MATCH(A2908,DATAS,0)</f>
        <v>1</v>
      </c>
      <c r="AB2908" s="46" t="n">
        <f aca="false">IF(AND(E2908&gt;0,OR(AND(B2908&gt;=1,B2908&lt;=6),B2908=10)),1,0)</f>
        <v>0</v>
      </c>
      <c r="AC2908" s="46" t="n">
        <f aca="false">IF(AND(E2908&gt;0,B2908=10),1,0)</f>
        <v>0</v>
      </c>
      <c r="AD2908" s="0" t="str">
        <f aca="false">IF(AND(C2907=C2908,AA2907=AA2908-1),AB2907,"")</f>
        <v/>
      </c>
      <c r="AE2908" s="0" t="str">
        <f aca="false">IF(AND(C2907=C2908,AA2907=AA2908-1),AC2907,"")</f>
        <v/>
      </c>
      <c r="AF2908" s="0" t="str">
        <f aca="false">IF(AA2908=1,"",IF(AND(AB2908=1,AD2908&lt;&gt;1),1,0))</f>
        <v/>
      </c>
      <c r="AG2908" s="0" t="str">
        <f aca="false">IF(AA2908=1,"",IF(AND(AC2908=1,AE2908&lt;&gt;1),1,0))</f>
        <v/>
      </c>
      <c r="AH2908" s="51" t="str">
        <f aca="false">IF(AND(E2908&gt;0,AA2908&lt;1,NOT(AND(C2909=C2908,AA2909=AA2908+1))),INDEX(DATAS,AA2908+1),"")</f>
        <v/>
      </c>
      <c r="AI2908" s="51" t="str">
        <f aca="false">IF(AND(AC2908=1,AA2908&lt;1),IF(AND(C2909=C2908,AA2909=AA2908+1),IF(AC2909=1,"",INDEX(DATAS,AA2908+1)),INDEX(DATAS,AA2908+1)),"")</f>
        <v/>
      </c>
    </row>
    <row r="2909" customFormat="false" ht="15" hidden="false" customHeight="false" outlineLevel="0" collapsed="false">
      <c r="A2909" s="51" t="n">
        <v>46309</v>
      </c>
      <c r="B2909" s="0" t="n">
        <v>13</v>
      </c>
      <c r="C2909" s="0" t="n">
        <v>7291</v>
      </c>
      <c r="E2909" s="0" t="n">
        <v>0</v>
      </c>
      <c r="F2909" s="46" t="s">
        <v>1434</v>
      </c>
      <c r="I2909" s="46" t="s">
        <v>179</v>
      </c>
      <c r="U2909" s="0" t="n">
        <v>283</v>
      </c>
      <c r="V2909" s="0" t="n">
        <v>0</v>
      </c>
      <c r="X2909" s="46" t="n">
        <f aca="false">IF(I2909="Male",0,1)</f>
        <v>1</v>
      </c>
      <c r="Y2909" s="46" t="n">
        <f aca="false">IF(OR(I2909="DNB",I2909="Dry DNB"),1,0)</f>
        <v>0</v>
      </c>
      <c r="Z2909" s="0" t="str">
        <f aca="false">IF(ISNUMBER(W2909),A2909-W2909,"")</f>
        <v/>
      </c>
      <c r="AA2909" s="46" t="n">
        <f aca="false">MATCH(A2909,DATAS,0)</f>
        <v>1</v>
      </c>
      <c r="AB2909" s="46" t="n">
        <f aca="false">IF(AND(E2909&gt;0,OR(AND(B2909&gt;=1,B2909&lt;=6),B2909=10)),1,0)</f>
        <v>0</v>
      </c>
      <c r="AC2909" s="46" t="n">
        <f aca="false">IF(AND(E2909&gt;0,B2909=10),1,0)</f>
        <v>0</v>
      </c>
      <c r="AD2909" s="0" t="str">
        <f aca="false">IF(AND(C2908=C2909,AA2908=AA2909-1),AB2908,"")</f>
        <v/>
      </c>
      <c r="AE2909" s="0" t="str">
        <f aca="false">IF(AND(C2908=C2909,AA2908=AA2909-1),AC2908,"")</f>
        <v/>
      </c>
      <c r="AF2909" s="0" t="str">
        <f aca="false">IF(AA2909=1,"",IF(AND(AB2909=1,AD2909&lt;&gt;1),1,0))</f>
        <v/>
      </c>
      <c r="AG2909" s="0" t="str">
        <f aca="false">IF(AA2909=1,"",IF(AND(AC2909=1,AE2909&lt;&gt;1),1,0))</f>
        <v/>
      </c>
      <c r="AH2909" s="51" t="str">
        <f aca="false">IF(AND(E2909&gt;0,AA2909&lt;1,NOT(AND(C2910=C2909,AA2910=AA2909+1))),INDEX(DATAS,AA2909+1),"")</f>
        <v/>
      </c>
      <c r="AI2909" s="51" t="str">
        <f aca="false">IF(AND(AC2909=1,AA2909&lt;1),IF(AND(C2910=C2909,AA2910=AA2909+1),IF(AC2910=1,"",INDEX(DATAS,AA2909+1)),INDEX(DATAS,AA2909+1)),"")</f>
        <v/>
      </c>
    </row>
    <row r="2910" customFormat="false" ht="15" hidden="false" customHeight="false" outlineLevel="0" collapsed="false">
      <c r="A2910" s="51" t="n">
        <v>46309</v>
      </c>
      <c r="B2910" s="0" t="n">
        <v>13</v>
      </c>
      <c r="C2910" s="0" t="n">
        <v>7292</v>
      </c>
      <c r="E2910" s="0" t="n">
        <v>0</v>
      </c>
      <c r="F2910" s="46" t="s">
        <v>1434</v>
      </c>
      <c r="I2910" s="46" t="s">
        <v>179</v>
      </c>
      <c r="U2910" s="0" t="n">
        <v>283</v>
      </c>
      <c r="V2910" s="0" t="n">
        <v>0</v>
      </c>
      <c r="X2910" s="46" t="n">
        <f aca="false">IF(I2910="Male",0,1)</f>
        <v>1</v>
      </c>
      <c r="Y2910" s="46" t="n">
        <f aca="false">IF(OR(I2910="DNB",I2910="Dry DNB"),1,0)</f>
        <v>0</v>
      </c>
      <c r="Z2910" s="0" t="str">
        <f aca="false">IF(ISNUMBER(W2910),A2910-W2910,"")</f>
        <v/>
      </c>
      <c r="AA2910" s="46" t="n">
        <f aca="false">MATCH(A2910,DATAS,0)</f>
        <v>1</v>
      </c>
      <c r="AB2910" s="46" t="n">
        <f aca="false">IF(AND(E2910&gt;0,OR(AND(B2910&gt;=1,B2910&lt;=6),B2910=10)),1,0)</f>
        <v>0</v>
      </c>
      <c r="AC2910" s="46" t="n">
        <f aca="false">IF(AND(E2910&gt;0,B2910=10),1,0)</f>
        <v>0</v>
      </c>
      <c r="AD2910" s="0" t="str">
        <f aca="false">IF(AND(C2909=C2910,AA2909=AA2910-1),AB2909,"")</f>
        <v/>
      </c>
      <c r="AE2910" s="0" t="str">
        <f aca="false">IF(AND(C2909=C2910,AA2909=AA2910-1),AC2909,"")</f>
        <v/>
      </c>
      <c r="AF2910" s="0" t="str">
        <f aca="false">IF(AA2910=1,"",IF(AND(AB2910=1,AD2910&lt;&gt;1),1,0))</f>
        <v/>
      </c>
      <c r="AG2910" s="0" t="str">
        <f aca="false">IF(AA2910=1,"",IF(AND(AC2910=1,AE2910&lt;&gt;1),1,0))</f>
        <v/>
      </c>
      <c r="AH2910" s="51" t="str">
        <f aca="false">IF(AND(E2910&gt;0,AA2910&lt;1,NOT(AND(C2911=C2910,AA2911=AA2910+1))),INDEX(DATAS,AA2910+1),"")</f>
        <v/>
      </c>
      <c r="AI2910" s="51" t="str">
        <f aca="false">IF(AND(AC2910=1,AA2910&lt;1),IF(AND(C2911=C2910,AA2911=AA2910+1),IF(AC2911=1,"",INDEX(DATAS,AA2910+1)),INDEX(DATAS,AA2910+1)),"")</f>
        <v/>
      </c>
    </row>
    <row r="2911" customFormat="false" ht="15" hidden="false" customHeight="false" outlineLevel="0" collapsed="false">
      <c r="A2911" s="51" t="n">
        <v>46309</v>
      </c>
      <c r="B2911" s="0" t="n">
        <v>13</v>
      </c>
      <c r="C2911" s="0" t="n">
        <v>7293</v>
      </c>
      <c r="E2911" s="0" t="n">
        <v>0</v>
      </c>
      <c r="F2911" s="46" t="s">
        <v>1435</v>
      </c>
      <c r="I2911" s="46" t="s">
        <v>179</v>
      </c>
      <c r="U2911" s="0" t="n">
        <v>282</v>
      </c>
      <c r="V2911" s="0" t="n">
        <v>0</v>
      </c>
      <c r="X2911" s="46" t="n">
        <f aca="false">IF(I2911="Male",0,1)</f>
        <v>1</v>
      </c>
      <c r="Y2911" s="46" t="n">
        <f aca="false">IF(OR(I2911="DNB",I2911="Dry DNB"),1,0)</f>
        <v>0</v>
      </c>
      <c r="Z2911" s="0" t="str">
        <f aca="false">IF(ISNUMBER(W2911),A2911-W2911,"")</f>
        <v/>
      </c>
      <c r="AA2911" s="46" t="n">
        <f aca="false">MATCH(A2911,DATAS,0)</f>
        <v>1</v>
      </c>
      <c r="AB2911" s="46" t="n">
        <f aca="false">IF(AND(E2911&gt;0,OR(AND(B2911&gt;=1,B2911&lt;=6),B2911=10)),1,0)</f>
        <v>0</v>
      </c>
      <c r="AC2911" s="46" t="n">
        <f aca="false">IF(AND(E2911&gt;0,B2911=10),1,0)</f>
        <v>0</v>
      </c>
      <c r="AD2911" s="0" t="str">
        <f aca="false">IF(AND(C2910=C2911,AA2910=AA2911-1),AB2910,"")</f>
        <v/>
      </c>
      <c r="AE2911" s="0" t="str">
        <f aca="false">IF(AND(C2910=C2911,AA2910=AA2911-1),AC2910,"")</f>
        <v/>
      </c>
      <c r="AF2911" s="0" t="str">
        <f aca="false">IF(AA2911=1,"",IF(AND(AB2911=1,AD2911&lt;&gt;1),1,0))</f>
        <v/>
      </c>
      <c r="AG2911" s="0" t="str">
        <f aca="false">IF(AA2911=1,"",IF(AND(AC2911=1,AE2911&lt;&gt;1),1,0))</f>
        <v/>
      </c>
      <c r="AH2911" s="51" t="str">
        <f aca="false">IF(AND(E2911&gt;0,AA2911&lt;1,NOT(AND(C2912=C2911,AA2912=AA2911+1))),INDEX(DATAS,AA2911+1),"")</f>
        <v/>
      </c>
      <c r="AI2911" s="51" t="str">
        <f aca="false">IF(AND(AC2911=1,AA2911&lt;1),IF(AND(C2912=C2911,AA2912=AA2911+1),IF(AC2912=1,"",INDEX(DATAS,AA2911+1)),INDEX(DATAS,AA2911+1)),"")</f>
        <v/>
      </c>
    </row>
    <row r="2912" customFormat="false" ht="15" hidden="false" customHeight="false" outlineLevel="0" collapsed="false">
      <c r="A2912" s="51" t="n">
        <v>46309</v>
      </c>
      <c r="B2912" s="0" t="n">
        <v>13</v>
      </c>
      <c r="C2912" s="0" t="n">
        <v>7294</v>
      </c>
      <c r="E2912" s="0" t="n">
        <v>0</v>
      </c>
      <c r="F2912" s="46" t="s">
        <v>1435</v>
      </c>
      <c r="I2912" s="46" t="s">
        <v>179</v>
      </c>
      <c r="U2912" s="0" t="n">
        <v>282</v>
      </c>
      <c r="V2912" s="0" t="n">
        <v>0</v>
      </c>
      <c r="X2912" s="46" t="n">
        <f aca="false">IF(I2912="Male",0,1)</f>
        <v>1</v>
      </c>
      <c r="Y2912" s="46" t="n">
        <f aca="false">IF(OR(I2912="DNB",I2912="Dry DNB"),1,0)</f>
        <v>0</v>
      </c>
      <c r="Z2912" s="0" t="str">
        <f aca="false">IF(ISNUMBER(W2912),A2912-W2912,"")</f>
        <v/>
      </c>
      <c r="AA2912" s="46" t="n">
        <f aca="false">MATCH(A2912,DATAS,0)</f>
        <v>1</v>
      </c>
      <c r="AB2912" s="46" t="n">
        <f aca="false">IF(AND(E2912&gt;0,OR(AND(B2912&gt;=1,B2912&lt;=6),B2912=10)),1,0)</f>
        <v>0</v>
      </c>
      <c r="AC2912" s="46" t="n">
        <f aca="false">IF(AND(E2912&gt;0,B2912=10),1,0)</f>
        <v>0</v>
      </c>
      <c r="AD2912" s="0" t="str">
        <f aca="false">IF(AND(C2911=C2912,AA2911=AA2912-1),AB2911,"")</f>
        <v/>
      </c>
      <c r="AE2912" s="0" t="str">
        <f aca="false">IF(AND(C2911=C2912,AA2911=AA2912-1),AC2911,"")</f>
        <v/>
      </c>
      <c r="AF2912" s="0" t="str">
        <f aca="false">IF(AA2912=1,"",IF(AND(AB2912=1,AD2912&lt;&gt;1),1,0))</f>
        <v/>
      </c>
      <c r="AG2912" s="0" t="str">
        <f aca="false">IF(AA2912=1,"",IF(AND(AC2912=1,AE2912&lt;&gt;1),1,0))</f>
        <v/>
      </c>
      <c r="AH2912" s="51" t="str">
        <f aca="false">IF(AND(E2912&gt;0,AA2912&lt;1,NOT(AND(C2913=C2912,AA2913=AA2912+1))),INDEX(DATAS,AA2912+1),"")</f>
        <v/>
      </c>
      <c r="AI2912" s="51" t="str">
        <f aca="false">IF(AND(AC2912=1,AA2912&lt;1),IF(AND(C2913=C2912,AA2913=AA2912+1),IF(AC2913=1,"",INDEX(DATAS,AA2912+1)),INDEX(DATAS,AA2912+1)),"")</f>
        <v/>
      </c>
    </row>
    <row r="2913" customFormat="false" ht="15" hidden="false" customHeight="false" outlineLevel="0" collapsed="false">
      <c r="A2913" s="51" t="n">
        <v>46309</v>
      </c>
      <c r="B2913" s="0" t="n">
        <v>13</v>
      </c>
      <c r="C2913" s="0" t="n">
        <v>7295</v>
      </c>
      <c r="E2913" s="0" t="n">
        <v>0</v>
      </c>
      <c r="F2913" s="46" t="s">
        <v>1436</v>
      </c>
      <c r="I2913" s="46" t="s">
        <v>179</v>
      </c>
      <c r="U2913" s="0" t="n">
        <v>281</v>
      </c>
      <c r="V2913" s="0" t="n">
        <v>0</v>
      </c>
      <c r="X2913" s="46" t="n">
        <f aca="false">IF(I2913="Male",0,1)</f>
        <v>1</v>
      </c>
      <c r="Y2913" s="46" t="n">
        <f aca="false">IF(OR(I2913="DNB",I2913="Dry DNB"),1,0)</f>
        <v>0</v>
      </c>
      <c r="Z2913" s="0" t="str">
        <f aca="false">IF(ISNUMBER(W2913),A2913-W2913,"")</f>
        <v/>
      </c>
      <c r="AA2913" s="46" t="n">
        <f aca="false">MATCH(A2913,DATAS,0)</f>
        <v>1</v>
      </c>
      <c r="AB2913" s="46" t="n">
        <f aca="false">IF(AND(E2913&gt;0,OR(AND(B2913&gt;=1,B2913&lt;=6),B2913=10)),1,0)</f>
        <v>0</v>
      </c>
      <c r="AC2913" s="46" t="n">
        <f aca="false">IF(AND(E2913&gt;0,B2913=10),1,0)</f>
        <v>0</v>
      </c>
      <c r="AD2913" s="0" t="str">
        <f aca="false">IF(AND(C2912=C2913,AA2912=AA2913-1),AB2912,"")</f>
        <v/>
      </c>
      <c r="AE2913" s="0" t="str">
        <f aca="false">IF(AND(C2912=C2913,AA2912=AA2913-1),AC2912,"")</f>
        <v/>
      </c>
      <c r="AF2913" s="0" t="str">
        <f aca="false">IF(AA2913=1,"",IF(AND(AB2913=1,AD2913&lt;&gt;1),1,0))</f>
        <v/>
      </c>
      <c r="AG2913" s="0" t="str">
        <f aca="false">IF(AA2913=1,"",IF(AND(AC2913=1,AE2913&lt;&gt;1),1,0))</f>
        <v/>
      </c>
      <c r="AH2913" s="51" t="str">
        <f aca="false">IF(AND(E2913&gt;0,AA2913&lt;1,NOT(AND(C2914=C2913,AA2914=AA2913+1))),INDEX(DATAS,AA2913+1),"")</f>
        <v/>
      </c>
      <c r="AI2913" s="51" t="str">
        <f aca="false">IF(AND(AC2913=1,AA2913&lt;1),IF(AND(C2914=C2913,AA2914=AA2913+1),IF(AC2914=1,"",INDEX(DATAS,AA2913+1)),INDEX(DATAS,AA2913+1)),"")</f>
        <v/>
      </c>
    </row>
    <row r="2914" customFormat="false" ht="15" hidden="false" customHeight="false" outlineLevel="0" collapsed="false">
      <c r="A2914" s="51" t="n">
        <v>46309</v>
      </c>
      <c r="B2914" s="0" t="n">
        <v>13</v>
      </c>
      <c r="C2914" s="0" t="n">
        <v>7296</v>
      </c>
      <c r="E2914" s="0" t="n">
        <v>0</v>
      </c>
      <c r="F2914" s="46" t="s">
        <v>1436</v>
      </c>
      <c r="I2914" s="46" t="s">
        <v>179</v>
      </c>
      <c r="U2914" s="0" t="n">
        <v>281</v>
      </c>
      <c r="V2914" s="0" t="n">
        <v>0</v>
      </c>
      <c r="X2914" s="46" t="n">
        <f aca="false">IF(I2914="Male",0,1)</f>
        <v>1</v>
      </c>
      <c r="Y2914" s="46" t="n">
        <f aca="false">IF(OR(I2914="DNB",I2914="Dry DNB"),1,0)</f>
        <v>0</v>
      </c>
      <c r="Z2914" s="0" t="str">
        <f aca="false">IF(ISNUMBER(W2914),A2914-W2914,"")</f>
        <v/>
      </c>
      <c r="AA2914" s="46" t="n">
        <f aca="false">MATCH(A2914,DATAS,0)</f>
        <v>1</v>
      </c>
      <c r="AB2914" s="46" t="n">
        <f aca="false">IF(AND(E2914&gt;0,OR(AND(B2914&gt;=1,B2914&lt;=6),B2914=10)),1,0)</f>
        <v>0</v>
      </c>
      <c r="AC2914" s="46" t="n">
        <f aca="false">IF(AND(E2914&gt;0,B2914=10),1,0)</f>
        <v>0</v>
      </c>
      <c r="AD2914" s="0" t="str">
        <f aca="false">IF(AND(C2913=C2914,AA2913=AA2914-1),AB2913,"")</f>
        <v/>
      </c>
      <c r="AE2914" s="0" t="str">
        <f aca="false">IF(AND(C2913=C2914,AA2913=AA2914-1),AC2913,"")</f>
        <v/>
      </c>
      <c r="AF2914" s="0" t="str">
        <f aca="false">IF(AA2914=1,"",IF(AND(AB2914=1,AD2914&lt;&gt;1),1,0))</f>
        <v/>
      </c>
      <c r="AG2914" s="0" t="str">
        <f aca="false">IF(AA2914=1,"",IF(AND(AC2914=1,AE2914&lt;&gt;1),1,0))</f>
        <v/>
      </c>
      <c r="AH2914" s="51" t="str">
        <f aca="false">IF(AND(E2914&gt;0,AA2914&lt;1,NOT(AND(C2915=C2914,AA2915=AA2914+1))),INDEX(DATAS,AA2914+1),"")</f>
        <v/>
      </c>
      <c r="AI2914" s="51" t="str">
        <f aca="false">IF(AND(AC2914=1,AA2914&lt;1),IF(AND(C2915=C2914,AA2915=AA2914+1),IF(AC2915=1,"",INDEX(DATAS,AA2914+1)),INDEX(DATAS,AA2914+1)),"")</f>
        <v/>
      </c>
    </row>
    <row r="2915" customFormat="false" ht="15" hidden="false" customHeight="false" outlineLevel="0" collapsed="false">
      <c r="A2915" s="51" t="n">
        <v>46309</v>
      </c>
      <c r="B2915" s="0" t="n">
        <v>13</v>
      </c>
      <c r="C2915" s="0" t="n">
        <v>7297</v>
      </c>
      <c r="E2915" s="0" t="n">
        <v>0</v>
      </c>
      <c r="F2915" s="46" t="s">
        <v>1436</v>
      </c>
      <c r="I2915" s="46" t="s">
        <v>179</v>
      </c>
      <c r="U2915" s="0" t="n">
        <v>281</v>
      </c>
      <c r="V2915" s="0" t="n">
        <v>0</v>
      </c>
      <c r="X2915" s="46" t="n">
        <f aca="false">IF(I2915="Male",0,1)</f>
        <v>1</v>
      </c>
      <c r="Y2915" s="46" t="n">
        <f aca="false">IF(OR(I2915="DNB",I2915="Dry DNB"),1,0)</f>
        <v>0</v>
      </c>
      <c r="Z2915" s="0" t="str">
        <f aca="false">IF(ISNUMBER(W2915),A2915-W2915,"")</f>
        <v/>
      </c>
      <c r="AA2915" s="46" t="n">
        <f aca="false">MATCH(A2915,DATAS,0)</f>
        <v>1</v>
      </c>
      <c r="AB2915" s="46" t="n">
        <f aca="false">IF(AND(E2915&gt;0,OR(AND(B2915&gt;=1,B2915&lt;=6),B2915=10)),1,0)</f>
        <v>0</v>
      </c>
      <c r="AC2915" s="46" t="n">
        <f aca="false">IF(AND(E2915&gt;0,B2915=10),1,0)</f>
        <v>0</v>
      </c>
      <c r="AD2915" s="0" t="str">
        <f aca="false">IF(AND(C2914=C2915,AA2914=AA2915-1),AB2914,"")</f>
        <v/>
      </c>
      <c r="AE2915" s="0" t="str">
        <f aca="false">IF(AND(C2914=C2915,AA2914=AA2915-1),AC2914,"")</f>
        <v/>
      </c>
      <c r="AF2915" s="0" t="str">
        <f aca="false">IF(AA2915=1,"",IF(AND(AB2915=1,AD2915&lt;&gt;1),1,0))</f>
        <v/>
      </c>
      <c r="AG2915" s="0" t="str">
        <f aca="false">IF(AA2915=1,"",IF(AND(AC2915=1,AE2915&lt;&gt;1),1,0))</f>
        <v/>
      </c>
      <c r="AH2915" s="51" t="str">
        <f aca="false">IF(AND(E2915&gt;0,AA2915&lt;1,NOT(AND(C2916=C2915,AA2916=AA2915+1))),INDEX(DATAS,AA2915+1),"")</f>
        <v/>
      </c>
      <c r="AI2915" s="51" t="str">
        <f aca="false">IF(AND(AC2915=1,AA2915&lt;1),IF(AND(C2916=C2915,AA2916=AA2915+1),IF(AC2916=1,"",INDEX(DATAS,AA2915+1)),INDEX(DATAS,AA2915+1)),"")</f>
        <v/>
      </c>
    </row>
    <row r="2916" customFormat="false" ht="15" hidden="false" customHeight="false" outlineLevel="0" collapsed="false">
      <c r="A2916" s="51" t="n">
        <v>46309</v>
      </c>
      <c r="B2916" s="0" t="n">
        <v>13</v>
      </c>
      <c r="C2916" s="0" t="n">
        <v>7298</v>
      </c>
      <c r="E2916" s="0" t="n">
        <v>0</v>
      </c>
      <c r="F2916" s="46" t="s">
        <v>1436</v>
      </c>
      <c r="I2916" s="46" t="s">
        <v>179</v>
      </c>
      <c r="U2916" s="0" t="n">
        <v>281</v>
      </c>
      <c r="V2916" s="0" t="n">
        <v>0</v>
      </c>
      <c r="X2916" s="46" t="n">
        <f aca="false">IF(I2916="Male",0,1)</f>
        <v>1</v>
      </c>
      <c r="Y2916" s="46" t="n">
        <f aca="false">IF(OR(I2916="DNB",I2916="Dry DNB"),1,0)</f>
        <v>0</v>
      </c>
      <c r="Z2916" s="0" t="str">
        <f aca="false">IF(ISNUMBER(W2916),A2916-W2916,"")</f>
        <v/>
      </c>
      <c r="AA2916" s="46" t="n">
        <f aca="false">MATCH(A2916,DATAS,0)</f>
        <v>1</v>
      </c>
      <c r="AB2916" s="46" t="n">
        <f aca="false">IF(AND(E2916&gt;0,OR(AND(B2916&gt;=1,B2916&lt;=6),B2916=10)),1,0)</f>
        <v>0</v>
      </c>
      <c r="AC2916" s="46" t="n">
        <f aca="false">IF(AND(E2916&gt;0,B2916=10),1,0)</f>
        <v>0</v>
      </c>
      <c r="AD2916" s="0" t="str">
        <f aca="false">IF(AND(C2915=C2916,AA2915=AA2916-1),AB2915,"")</f>
        <v/>
      </c>
      <c r="AE2916" s="0" t="str">
        <f aca="false">IF(AND(C2915=C2916,AA2915=AA2916-1),AC2915,"")</f>
        <v/>
      </c>
      <c r="AF2916" s="0" t="str">
        <f aca="false">IF(AA2916=1,"",IF(AND(AB2916=1,AD2916&lt;&gt;1),1,0))</f>
        <v/>
      </c>
      <c r="AG2916" s="0" t="str">
        <f aca="false">IF(AA2916=1,"",IF(AND(AC2916=1,AE2916&lt;&gt;1),1,0))</f>
        <v/>
      </c>
      <c r="AH2916" s="51" t="str">
        <f aca="false">IF(AND(E2916&gt;0,AA2916&lt;1,NOT(AND(C2917=C2916,AA2917=AA2916+1))),INDEX(DATAS,AA2916+1),"")</f>
        <v/>
      </c>
      <c r="AI2916" s="51" t="str">
        <f aca="false">IF(AND(AC2916=1,AA2916&lt;1),IF(AND(C2917=C2916,AA2917=AA2916+1),IF(AC2917=1,"",INDEX(DATAS,AA2916+1)),INDEX(DATAS,AA2916+1)),"")</f>
        <v/>
      </c>
    </row>
    <row r="2917" customFormat="false" ht="15" hidden="false" customHeight="false" outlineLevel="0" collapsed="false">
      <c r="A2917" s="51" t="n">
        <v>46309</v>
      </c>
      <c r="B2917" s="0" t="n">
        <v>13</v>
      </c>
      <c r="C2917" s="0" t="n">
        <v>7299</v>
      </c>
      <c r="E2917" s="0" t="n">
        <v>0</v>
      </c>
      <c r="F2917" s="46" t="s">
        <v>1436</v>
      </c>
      <c r="I2917" s="46" t="s">
        <v>179</v>
      </c>
      <c r="U2917" s="0" t="n">
        <v>281</v>
      </c>
      <c r="V2917" s="0" t="n">
        <v>0</v>
      </c>
      <c r="X2917" s="46" t="n">
        <f aca="false">IF(I2917="Male",0,1)</f>
        <v>1</v>
      </c>
      <c r="Y2917" s="46" t="n">
        <f aca="false">IF(OR(I2917="DNB",I2917="Dry DNB"),1,0)</f>
        <v>0</v>
      </c>
      <c r="Z2917" s="0" t="str">
        <f aca="false">IF(ISNUMBER(W2917),A2917-W2917,"")</f>
        <v/>
      </c>
      <c r="AA2917" s="46" t="n">
        <f aca="false">MATCH(A2917,DATAS,0)</f>
        <v>1</v>
      </c>
      <c r="AB2917" s="46" t="n">
        <f aca="false">IF(AND(E2917&gt;0,OR(AND(B2917&gt;=1,B2917&lt;=6),B2917=10)),1,0)</f>
        <v>0</v>
      </c>
      <c r="AC2917" s="46" t="n">
        <f aca="false">IF(AND(E2917&gt;0,B2917=10),1,0)</f>
        <v>0</v>
      </c>
      <c r="AD2917" s="0" t="str">
        <f aca="false">IF(AND(C2916=C2917,AA2916=AA2917-1),AB2916,"")</f>
        <v/>
      </c>
      <c r="AE2917" s="0" t="str">
        <f aca="false">IF(AND(C2916=C2917,AA2916=AA2917-1),AC2916,"")</f>
        <v/>
      </c>
      <c r="AF2917" s="0" t="str">
        <f aca="false">IF(AA2917=1,"",IF(AND(AB2917=1,AD2917&lt;&gt;1),1,0))</f>
        <v/>
      </c>
      <c r="AG2917" s="0" t="str">
        <f aca="false">IF(AA2917=1,"",IF(AND(AC2917=1,AE2917&lt;&gt;1),1,0))</f>
        <v/>
      </c>
      <c r="AH2917" s="51" t="str">
        <f aca="false">IF(AND(E2917&gt;0,AA2917&lt;1,NOT(AND(C2918=C2917,AA2918=AA2917+1))),INDEX(DATAS,AA2917+1),"")</f>
        <v/>
      </c>
      <c r="AI2917" s="51" t="str">
        <f aca="false">IF(AND(AC2917=1,AA2917&lt;1),IF(AND(C2918=C2917,AA2918=AA2917+1),IF(AC2918=1,"",INDEX(DATAS,AA2917+1)),INDEX(DATAS,AA2917+1)),"")</f>
        <v/>
      </c>
    </row>
    <row r="2918" customFormat="false" ht="15" hidden="false" customHeight="false" outlineLevel="0" collapsed="false">
      <c r="A2918" s="51" t="n">
        <v>46309</v>
      </c>
      <c r="B2918" s="0" t="n">
        <v>13</v>
      </c>
      <c r="C2918" s="0" t="n">
        <v>7300</v>
      </c>
      <c r="E2918" s="0" t="n">
        <v>0</v>
      </c>
      <c r="F2918" s="46" t="s">
        <v>1437</v>
      </c>
      <c r="I2918" s="46" t="s">
        <v>179</v>
      </c>
      <c r="U2918" s="0" t="n">
        <v>280</v>
      </c>
      <c r="V2918" s="0" t="n">
        <v>0</v>
      </c>
      <c r="X2918" s="46" t="n">
        <f aca="false">IF(I2918="Male",0,1)</f>
        <v>1</v>
      </c>
      <c r="Y2918" s="46" t="n">
        <f aca="false">IF(OR(I2918="DNB",I2918="Dry DNB"),1,0)</f>
        <v>0</v>
      </c>
      <c r="Z2918" s="0" t="str">
        <f aca="false">IF(ISNUMBER(W2918),A2918-W2918,"")</f>
        <v/>
      </c>
      <c r="AA2918" s="46" t="n">
        <f aca="false">MATCH(A2918,DATAS,0)</f>
        <v>1</v>
      </c>
      <c r="AB2918" s="46" t="n">
        <f aca="false">IF(AND(E2918&gt;0,OR(AND(B2918&gt;=1,B2918&lt;=6),B2918=10)),1,0)</f>
        <v>0</v>
      </c>
      <c r="AC2918" s="46" t="n">
        <f aca="false">IF(AND(E2918&gt;0,B2918=10),1,0)</f>
        <v>0</v>
      </c>
      <c r="AD2918" s="0" t="str">
        <f aca="false">IF(AND(C2917=C2918,AA2917=AA2918-1),AB2917,"")</f>
        <v/>
      </c>
      <c r="AE2918" s="0" t="str">
        <f aca="false">IF(AND(C2917=C2918,AA2917=AA2918-1),AC2917,"")</f>
        <v/>
      </c>
      <c r="AF2918" s="0" t="str">
        <f aca="false">IF(AA2918=1,"",IF(AND(AB2918=1,AD2918&lt;&gt;1),1,0))</f>
        <v/>
      </c>
      <c r="AG2918" s="0" t="str">
        <f aca="false">IF(AA2918=1,"",IF(AND(AC2918=1,AE2918&lt;&gt;1),1,0))</f>
        <v/>
      </c>
      <c r="AH2918" s="51" t="str">
        <f aca="false">IF(AND(E2918&gt;0,AA2918&lt;1,NOT(AND(C2919=C2918,AA2919=AA2918+1))),INDEX(DATAS,AA2918+1),"")</f>
        <v/>
      </c>
      <c r="AI2918" s="51" t="str">
        <f aca="false">IF(AND(AC2918=1,AA2918&lt;1),IF(AND(C2919=C2918,AA2919=AA2918+1),IF(AC2919=1,"",INDEX(DATAS,AA2918+1)),INDEX(DATAS,AA2918+1)),"")</f>
        <v/>
      </c>
    </row>
    <row r="2919" customFormat="false" ht="15" hidden="false" customHeight="false" outlineLevel="0" collapsed="false">
      <c r="A2919" s="51" t="n">
        <v>46309</v>
      </c>
      <c r="B2919" s="0" t="n">
        <v>13</v>
      </c>
      <c r="C2919" s="0" t="n">
        <v>7301</v>
      </c>
      <c r="E2919" s="0" t="n">
        <v>0</v>
      </c>
      <c r="F2919" s="46" t="s">
        <v>1437</v>
      </c>
      <c r="I2919" s="46" t="s">
        <v>179</v>
      </c>
      <c r="U2919" s="0" t="n">
        <v>280</v>
      </c>
      <c r="V2919" s="0" t="n">
        <v>0</v>
      </c>
      <c r="X2919" s="46" t="n">
        <f aca="false">IF(I2919="Male",0,1)</f>
        <v>1</v>
      </c>
      <c r="Y2919" s="46" t="n">
        <f aca="false">IF(OR(I2919="DNB",I2919="Dry DNB"),1,0)</f>
        <v>0</v>
      </c>
      <c r="Z2919" s="0" t="str">
        <f aca="false">IF(ISNUMBER(W2919),A2919-W2919,"")</f>
        <v/>
      </c>
      <c r="AA2919" s="46" t="n">
        <f aca="false">MATCH(A2919,DATAS,0)</f>
        <v>1</v>
      </c>
      <c r="AB2919" s="46" t="n">
        <f aca="false">IF(AND(E2919&gt;0,OR(AND(B2919&gt;=1,B2919&lt;=6),B2919=10)),1,0)</f>
        <v>0</v>
      </c>
      <c r="AC2919" s="46" t="n">
        <f aca="false">IF(AND(E2919&gt;0,B2919=10),1,0)</f>
        <v>0</v>
      </c>
      <c r="AD2919" s="0" t="str">
        <f aca="false">IF(AND(C2918=C2919,AA2918=AA2919-1),AB2918,"")</f>
        <v/>
      </c>
      <c r="AE2919" s="0" t="str">
        <f aca="false">IF(AND(C2918=C2919,AA2918=AA2919-1),AC2918,"")</f>
        <v/>
      </c>
      <c r="AF2919" s="0" t="str">
        <f aca="false">IF(AA2919=1,"",IF(AND(AB2919=1,AD2919&lt;&gt;1),1,0))</f>
        <v/>
      </c>
      <c r="AG2919" s="0" t="str">
        <f aca="false">IF(AA2919=1,"",IF(AND(AC2919=1,AE2919&lt;&gt;1),1,0))</f>
        <v/>
      </c>
      <c r="AH2919" s="51" t="str">
        <f aca="false">IF(AND(E2919&gt;0,AA2919&lt;1,NOT(AND(C2920=C2919,AA2920=AA2919+1))),INDEX(DATAS,AA2919+1),"")</f>
        <v/>
      </c>
      <c r="AI2919" s="51" t="str">
        <f aca="false">IF(AND(AC2919=1,AA2919&lt;1),IF(AND(C2920=C2919,AA2920=AA2919+1),IF(AC2920=1,"",INDEX(DATAS,AA2919+1)),INDEX(DATAS,AA2919+1)),"")</f>
        <v/>
      </c>
    </row>
    <row r="2920" customFormat="false" ht="15" hidden="false" customHeight="false" outlineLevel="0" collapsed="false">
      <c r="A2920" s="51" t="n">
        <v>46309</v>
      </c>
      <c r="B2920" s="0" t="n">
        <v>13</v>
      </c>
      <c r="C2920" s="0" t="n">
        <v>7302</v>
      </c>
      <c r="E2920" s="0" t="n">
        <v>0</v>
      </c>
      <c r="F2920" s="46" t="s">
        <v>1437</v>
      </c>
      <c r="I2920" s="46" t="s">
        <v>179</v>
      </c>
      <c r="U2920" s="0" t="n">
        <v>280</v>
      </c>
      <c r="V2920" s="0" t="n">
        <v>0</v>
      </c>
      <c r="X2920" s="46" t="n">
        <f aca="false">IF(I2920="Male",0,1)</f>
        <v>1</v>
      </c>
      <c r="Y2920" s="46" t="n">
        <f aca="false">IF(OR(I2920="DNB",I2920="Dry DNB"),1,0)</f>
        <v>0</v>
      </c>
      <c r="Z2920" s="0" t="str">
        <f aca="false">IF(ISNUMBER(W2920),A2920-W2920,"")</f>
        <v/>
      </c>
      <c r="AA2920" s="46" t="n">
        <f aca="false">MATCH(A2920,DATAS,0)</f>
        <v>1</v>
      </c>
      <c r="AB2920" s="46" t="n">
        <f aca="false">IF(AND(E2920&gt;0,OR(AND(B2920&gt;=1,B2920&lt;=6),B2920=10)),1,0)</f>
        <v>0</v>
      </c>
      <c r="AC2920" s="46" t="n">
        <f aca="false">IF(AND(E2920&gt;0,B2920=10),1,0)</f>
        <v>0</v>
      </c>
      <c r="AD2920" s="0" t="str">
        <f aca="false">IF(AND(C2919=C2920,AA2919=AA2920-1),AB2919,"")</f>
        <v/>
      </c>
      <c r="AE2920" s="0" t="str">
        <f aca="false">IF(AND(C2919=C2920,AA2919=AA2920-1),AC2919,"")</f>
        <v/>
      </c>
      <c r="AF2920" s="0" t="str">
        <f aca="false">IF(AA2920=1,"",IF(AND(AB2920=1,AD2920&lt;&gt;1),1,0))</f>
        <v/>
      </c>
      <c r="AG2920" s="0" t="str">
        <f aca="false">IF(AA2920=1,"",IF(AND(AC2920=1,AE2920&lt;&gt;1),1,0))</f>
        <v/>
      </c>
      <c r="AH2920" s="51" t="str">
        <f aca="false">IF(AND(E2920&gt;0,AA2920&lt;1,NOT(AND(C2921=C2920,AA2921=AA2920+1))),INDEX(DATAS,AA2920+1),"")</f>
        <v/>
      </c>
      <c r="AI2920" s="51" t="str">
        <f aca="false">IF(AND(AC2920=1,AA2920&lt;1),IF(AND(C2921=C2920,AA2921=AA2920+1),IF(AC2921=1,"",INDEX(DATAS,AA2920+1)),INDEX(DATAS,AA2920+1)),"")</f>
        <v/>
      </c>
    </row>
    <row r="2921" customFormat="false" ht="15" hidden="false" customHeight="false" outlineLevel="0" collapsed="false">
      <c r="A2921" s="51" t="n">
        <v>46309</v>
      </c>
      <c r="B2921" s="0" t="n">
        <v>13</v>
      </c>
      <c r="C2921" s="0" t="n">
        <v>7303</v>
      </c>
      <c r="E2921" s="0" t="n">
        <v>0</v>
      </c>
      <c r="F2921" s="46" t="s">
        <v>1437</v>
      </c>
      <c r="I2921" s="46" t="s">
        <v>179</v>
      </c>
      <c r="U2921" s="0" t="n">
        <v>280</v>
      </c>
      <c r="V2921" s="0" t="n">
        <v>0</v>
      </c>
      <c r="X2921" s="46" t="n">
        <f aca="false">IF(I2921="Male",0,1)</f>
        <v>1</v>
      </c>
      <c r="Y2921" s="46" t="n">
        <f aca="false">IF(OR(I2921="DNB",I2921="Dry DNB"),1,0)</f>
        <v>0</v>
      </c>
      <c r="Z2921" s="0" t="str">
        <f aca="false">IF(ISNUMBER(W2921),A2921-W2921,"")</f>
        <v/>
      </c>
      <c r="AA2921" s="46" t="n">
        <f aca="false">MATCH(A2921,DATAS,0)</f>
        <v>1</v>
      </c>
      <c r="AB2921" s="46" t="n">
        <f aca="false">IF(AND(E2921&gt;0,OR(AND(B2921&gt;=1,B2921&lt;=6),B2921=10)),1,0)</f>
        <v>0</v>
      </c>
      <c r="AC2921" s="46" t="n">
        <f aca="false">IF(AND(E2921&gt;0,B2921=10),1,0)</f>
        <v>0</v>
      </c>
      <c r="AD2921" s="0" t="str">
        <f aca="false">IF(AND(C2920=C2921,AA2920=AA2921-1),AB2920,"")</f>
        <v/>
      </c>
      <c r="AE2921" s="0" t="str">
        <f aca="false">IF(AND(C2920=C2921,AA2920=AA2921-1),AC2920,"")</f>
        <v/>
      </c>
      <c r="AF2921" s="0" t="str">
        <f aca="false">IF(AA2921=1,"",IF(AND(AB2921=1,AD2921&lt;&gt;1),1,0))</f>
        <v/>
      </c>
      <c r="AG2921" s="0" t="str">
        <f aca="false">IF(AA2921=1,"",IF(AND(AC2921=1,AE2921&lt;&gt;1),1,0))</f>
        <v/>
      </c>
      <c r="AH2921" s="51" t="str">
        <f aca="false">IF(AND(E2921&gt;0,AA2921&lt;1,NOT(AND(C2922=C2921,AA2922=AA2921+1))),INDEX(DATAS,AA2921+1),"")</f>
        <v/>
      </c>
      <c r="AI2921" s="51" t="str">
        <f aca="false">IF(AND(AC2921=1,AA2921&lt;1),IF(AND(C2922=C2921,AA2922=AA2921+1),IF(AC2922=1,"",INDEX(DATAS,AA2921+1)),INDEX(DATAS,AA2921+1)),"")</f>
        <v/>
      </c>
    </row>
    <row r="2922" customFormat="false" ht="15" hidden="false" customHeight="false" outlineLevel="0" collapsed="false">
      <c r="A2922" s="51" t="n">
        <v>46309</v>
      </c>
      <c r="B2922" s="0" t="n">
        <v>13</v>
      </c>
      <c r="C2922" s="0" t="n">
        <v>7304</v>
      </c>
      <c r="E2922" s="0" t="n">
        <v>0</v>
      </c>
      <c r="F2922" s="46" t="s">
        <v>1438</v>
      </c>
      <c r="I2922" s="46" t="s">
        <v>179</v>
      </c>
      <c r="U2922" s="0" t="n">
        <v>279</v>
      </c>
      <c r="V2922" s="0" t="n">
        <v>0</v>
      </c>
      <c r="X2922" s="46" t="n">
        <f aca="false">IF(I2922="Male",0,1)</f>
        <v>1</v>
      </c>
      <c r="Y2922" s="46" t="n">
        <f aca="false">IF(OR(I2922="DNB",I2922="Dry DNB"),1,0)</f>
        <v>0</v>
      </c>
      <c r="Z2922" s="0" t="str">
        <f aca="false">IF(ISNUMBER(W2922),A2922-W2922,"")</f>
        <v/>
      </c>
      <c r="AA2922" s="46" t="n">
        <f aca="false">MATCH(A2922,DATAS,0)</f>
        <v>1</v>
      </c>
      <c r="AB2922" s="46" t="n">
        <f aca="false">IF(AND(E2922&gt;0,OR(AND(B2922&gt;=1,B2922&lt;=6),B2922=10)),1,0)</f>
        <v>0</v>
      </c>
      <c r="AC2922" s="46" t="n">
        <f aca="false">IF(AND(E2922&gt;0,B2922=10),1,0)</f>
        <v>0</v>
      </c>
      <c r="AD2922" s="0" t="str">
        <f aca="false">IF(AND(C2921=C2922,AA2921=AA2922-1),AB2921,"")</f>
        <v/>
      </c>
      <c r="AE2922" s="0" t="str">
        <f aca="false">IF(AND(C2921=C2922,AA2921=AA2922-1),AC2921,"")</f>
        <v/>
      </c>
      <c r="AF2922" s="0" t="str">
        <f aca="false">IF(AA2922=1,"",IF(AND(AB2922=1,AD2922&lt;&gt;1),1,0))</f>
        <v/>
      </c>
      <c r="AG2922" s="0" t="str">
        <f aca="false">IF(AA2922=1,"",IF(AND(AC2922=1,AE2922&lt;&gt;1),1,0))</f>
        <v/>
      </c>
      <c r="AH2922" s="51" t="str">
        <f aca="false">IF(AND(E2922&gt;0,AA2922&lt;1,NOT(AND(C2923=C2922,AA2923=AA2922+1))),INDEX(DATAS,AA2922+1),"")</f>
        <v/>
      </c>
      <c r="AI2922" s="51" t="str">
        <f aca="false">IF(AND(AC2922=1,AA2922&lt;1),IF(AND(C2923=C2922,AA2923=AA2922+1),IF(AC2923=1,"",INDEX(DATAS,AA2922+1)),INDEX(DATAS,AA2922+1)),"")</f>
        <v/>
      </c>
    </row>
    <row r="2923" customFormat="false" ht="15" hidden="false" customHeight="false" outlineLevel="0" collapsed="false">
      <c r="A2923" s="51" t="n">
        <v>46309</v>
      </c>
      <c r="B2923" s="0" t="n">
        <v>13</v>
      </c>
      <c r="C2923" s="0" t="n">
        <v>7305</v>
      </c>
      <c r="E2923" s="0" t="n">
        <v>0</v>
      </c>
      <c r="F2923" s="46" t="s">
        <v>1438</v>
      </c>
      <c r="I2923" s="46" t="s">
        <v>179</v>
      </c>
      <c r="U2923" s="0" t="n">
        <v>279</v>
      </c>
      <c r="V2923" s="0" t="n">
        <v>0</v>
      </c>
      <c r="X2923" s="46" t="n">
        <f aca="false">IF(I2923="Male",0,1)</f>
        <v>1</v>
      </c>
      <c r="Y2923" s="46" t="n">
        <f aca="false">IF(OR(I2923="DNB",I2923="Dry DNB"),1,0)</f>
        <v>0</v>
      </c>
      <c r="Z2923" s="0" t="str">
        <f aca="false">IF(ISNUMBER(W2923),A2923-W2923,"")</f>
        <v/>
      </c>
      <c r="AA2923" s="46" t="n">
        <f aca="false">MATCH(A2923,DATAS,0)</f>
        <v>1</v>
      </c>
      <c r="AB2923" s="46" t="n">
        <f aca="false">IF(AND(E2923&gt;0,OR(AND(B2923&gt;=1,B2923&lt;=6),B2923=10)),1,0)</f>
        <v>0</v>
      </c>
      <c r="AC2923" s="46" t="n">
        <f aca="false">IF(AND(E2923&gt;0,B2923=10),1,0)</f>
        <v>0</v>
      </c>
      <c r="AD2923" s="0" t="str">
        <f aca="false">IF(AND(C2922=C2923,AA2922=AA2923-1),AB2922,"")</f>
        <v/>
      </c>
      <c r="AE2923" s="0" t="str">
        <f aca="false">IF(AND(C2922=C2923,AA2922=AA2923-1),AC2922,"")</f>
        <v/>
      </c>
      <c r="AF2923" s="0" t="str">
        <f aca="false">IF(AA2923=1,"",IF(AND(AB2923=1,AD2923&lt;&gt;1),1,0))</f>
        <v/>
      </c>
      <c r="AG2923" s="0" t="str">
        <f aca="false">IF(AA2923=1,"",IF(AND(AC2923=1,AE2923&lt;&gt;1),1,0))</f>
        <v/>
      </c>
      <c r="AH2923" s="51" t="str">
        <f aca="false">IF(AND(E2923&gt;0,AA2923&lt;1,NOT(AND(C2924=C2923,AA2924=AA2923+1))),INDEX(DATAS,AA2923+1),"")</f>
        <v/>
      </c>
      <c r="AI2923" s="51" t="str">
        <f aca="false">IF(AND(AC2923=1,AA2923&lt;1),IF(AND(C2924=C2923,AA2924=AA2923+1),IF(AC2924=1,"",INDEX(DATAS,AA2923+1)),INDEX(DATAS,AA2923+1)),"")</f>
        <v/>
      </c>
    </row>
    <row r="2924" customFormat="false" ht="15" hidden="false" customHeight="false" outlineLevel="0" collapsed="false">
      <c r="A2924" s="51" t="n">
        <v>46309</v>
      </c>
      <c r="B2924" s="0" t="n">
        <v>13</v>
      </c>
      <c r="C2924" s="0" t="n">
        <v>7306</v>
      </c>
      <c r="E2924" s="0" t="n">
        <v>0</v>
      </c>
      <c r="F2924" s="46" t="s">
        <v>1438</v>
      </c>
      <c r="I2924" s="46" t="s">
        <v>179</v>
      </c>
      <c r="U2924" s="0" t="n">
        <v>279</v>
      </c>
      <c r="V2924" s="0" t="n">
        <v>0</v>
      </c>
      <c r="X2924" s="46" t="n">
        <f aca="false">IF(I2924="Male",0,1)</f>
        <v>1</v>
      </c>
      <c r="Y2924" s="46" t="n">
        <f aca="false">IF(OR(I2924="DNB",I2924="Dry DNB"),1,0)</f>
        <v>0</v>
      </c>
      <c r="Z2924" s="0" t="str">
        <f aca="false">IF(ISNUMBER(W2924),A2924-W2924,"")</f>
        <v/>
      </c>
      <c r="AA2924" s="46" t="n">
        <f aca="false">MATCH(A2924,DATAS,0)</f>
        <v>1</v>
      </c>
      <c r="AB2924" s="46" t="n">
        <f aca="false">IF(AND(E2924&gt;0,OR(AND(B2924&gt;=1,B2924&lt;=6),B2924=10)),1,0)</f>
        <v>0</v>
      </c>
      <c r="AC2924" s="46" t="n">
        <f aca="false">IF(AND(E2924&gt;0,B2924=10),1,0)</f>
        <v>0</v>
      </c>
      <c r="AD2924" s="0" t="str">
        <f aca="false">IF(AND(C2923=C2924,AA2923=AA2924-1),AB2923,"")</f>
        <v/>
      </c>
      <c r="AE2924" s="0" t="str">
        <f aca="false">IF(AND(C2923=C2924,AA2923=AA2924-1),AC2923,"")</f>
        <v/>
      </c>
      <c r="AF2924" s="0" t="str">
        <f aca="false">IF(AA2924=1,"",IF(AND(AB2924=1,AD2924&lt;&gt;1),1,0))</f>
        <v/>
      </c>
      <c r="AG2924" s="0" t="str">
        <f aca="false">IF(AA2924=1,"",IF(AND(AC2924=1,AE2924&lt;&gt;1),1,0))</f>
        <v/>
      </c>
      <c r="AH2924" s="51" t="str">
        <f aca="false">IF(AND(E2924&gt;0,AA2924&lt;1,NOT(AND(C2925=C2924,AA2925=AA2924+1))),INDEX(DATAS,AA2924+1),"")</f>
        <v/>
      </c>
      <c r="AI2924" s="51" t="str">
        <f aca="false">IF(AND(AC2924=1,AA2924&lt;1),IF(AND(C2925=C2924,AA2925=AA2924+1),IF(AC2925=1,"",INDEX(DATAS,AA2924+1)),INDEX(DATAS,AA2924+1)),"")</f>
        <v/>
      </c>
    </row>
    <row r="2925" customFormat="false" ht="15" hidden="false" customHeight="false" outlineLevel="0" collapsed="false">
      <c r="A2925" s="51" t="n">
        <v>46309</v>
      </c>
      <c r="B2925" s="0" t="n">
        <v>13</v>
      </c>
      <c r="C2925" s="0" t="n">
        <v>7307</v>
      </c>
      <c r="E2925" s="0" t="n">
        <v>0</v>
      </c>
      <c r="F2925" s="46" t="s">
        <v>1438</v>
      </c>
      <c r="I2925" s="46" t="s">
        <v>179</v>
      </c>
      <c r="U2925" s="0" t="n">
        <v>279</v>
      </c>
      <c r="V2925" s="0" t="n">
        <v>0</v>
      </c>
      <c r="X2925" s="46" t="n">
        <f aca="false">IF(I2925="Male",0,1)</f>
        <v>1</v>
      </c>
      <c r="Y2925" s="46" t="n">
        <f aca="false">IF(OR(I2925="DNB",I2925="Dry DNB"),1,0)</f>
        <v>0</v>
      </c>
      <c r="Z2925" s="0" t="str">
        <f aca="false">IF(ISNUMBER(W2925),A2925-W2925,"")</f>
        <v/>
      </c>
      <c r="AA2925" s="46" t="n">
        <f aca="false">MATCH(A2925,DATAS,0)</f>
        <v>1</v>
      </c>
      <c r="AB2925" s="46" t="n">
        <f aca="false">IF(AND(E2925&gt;0,OR(AND(B2925&gt;=1,B2925&lt;=6),B2925=10)),1,0)</f>
        <v>0</v>
      </c>
      <c r="AC2925" s="46" t="n">
        <f aca="false">IF(AND(E2925&gt;0,B2925=10),1,0)</f>
        <v>0</v>
      </c>
      <c r="AD2925" s="0" t="str">
        <f aca="false">IF(AND(C2924=C2925,AA2924=AA2925-1),AB2924,"")</f>
        <v/>
      </c>
      <c r="AE2925" s="0" t="str">
        <f aca="false">IF(AND(C2924=C2925,AA2924=AA2925-1),AC2924,"")</f>
        <v/>
      </c>
      <c r="AF2925" s="0" t="str">
        <f aca="false">IF(AA2925=1,"",IF(AND(AB2925=1,AD2925&lt;&gt;1),1,0))</f>
        <v/>
      </c>
      <c r="AG2925" s="0" t="str">
        <f aca="false">IF(AA2925=1,"",IF(AND(AC2925=1,AE2925&lt;&gt;1),1,0))</f>
        <v/>
      </c>
      <c r="AH2925" s="51" t="str">
        <f aca="false">IF(AND(E2925&gt;0,AA2925&lt;1,NOT(AND(C2926=C2925,AA2926=AA2925+1))),INDEX(DATAS,AA2925+1),"")</f>
        <v/>
      </c>
      <c r="AI2925" s="51" t="str">
        <f aca="false">IF(AND(AC2925=1,AA2925&lt;1),IF(AND(C2926=C2925,AA2926=AA2925+1),IF(AC2926=1,"",INDEX(DATAS,AA2925+1)),INDEX(DATAS,AA2925+1)),"")</f>
        <v/>
      </c>
    </row>
    <row r="2926" customFormat="false" ht="15" hidden="false" customHeight="false" outlineLevel="0" collapsed="false">
      <c r="A2926" s="51" t="n">
        <v>46309</v>
      </c>
      <c r="B2926" s="0" t="n">
        <v>13</v>
      </c>
      <c r="C2926" s="0" t="n">
        <v>7308</v>
      </c>
      <c r="E2926" s="0" t="n">
        <v>0</v>
      </c>
      <c r="F2926" s="46" t="s">
        <v>1438</v>
      </c>
      <c r="I2926" s="46" t="s">
        <v>179</v>
      </c>
      <c r="U2926" s="0" t="n">
        <v>279</v>
      </c>
      <c r="V2926" s="0" t="n">
        <v>0</v>
      </c>
      <c r="X2926" s="46" t="n">
        <f aca="false">IF(I2926="Male",0,1)</f>
        <v>1</v>
      </c>
      <c r="Y2926" s="46" t="n">
        <f aca="false">IF(OR(I2926="DNB",I2926="Dry DNB"),1,0)</f>
        <v>0</v>
      </c>
      <c r="Z2926" s="0" t="str">
        <f aca="false">IF(ISNUMBER(W2926),A2926-W2926,"")</f>
        <v/>
      </c>
      <c r="AA2926" s="46" t="n">
        <f aca="false">MATCH(A2926,DATAS,0)</f>
        <v>1</v>
      </c>
      <c r="AB2926" s="46" t="n">
        <f aca="false">IF(AND(E2926&gt;0,OR(AND(B2926&gt;=1,B2926&lt;=6),B2926=10)),1,0)</f>
        <v>0</v>
      </c>
      <c r="AC2926" s="46" t="n">
        <f aca="false">IF(AND(E2926&gt;0,B2926=10),1,0)</f>
        <v>0</v>
      </c>
      <c r="AD2926" s="0" t="str">
        <f aca="false">IF(AND(C2925=C2926,AA2925=AA2926-1),AB2925,"")</f>
        <v/>
      </c>
      <c r="AE2926" s="0" t="str">
        <f aca="false">IF(AND(C2925=C2926,AA2925=AA2926-1),AC2925,"")</f>
        <v/>
      </c>
      <c r="AF2926" s="0" t="str">
        <f aca="false">IF(AA2926=1,"",IF(AND(AB2926=1,AD2926&lt;&gt;1),1,0))</f>
        <v/>
      </c>
      <c r="AG2926" s="0" t="str">
        <f aca="false">IF(AA2926=1,"",IF(AND(AC2926=1,AE2926&lt;&gt;1),1,0))</f>
        <v/>
      </c>
      <c r="AH2926" s="51" t="str">
        <f aca="false">IF(AND(E2926&gt;0,AA2926&lt;1,NOT(AND(C2927=C2926,AA2927=AA2926+1))),INDEX(DATAS,AA2926+1),"")</f>
        <v/>
      </c>
      <c r="AI2926" s="51" t="str">
        <f aca="false">IF(AND(AC2926=1,AA2926&lt;1),IF(AND(C2927=C2926,AA2927=AA2926+1),IF(AC2927=1,"",INDEX(DATAS,AA2926+1)),INDEX(DATAS,AA2926+1)),"")</f>
        <v/>
      </c>
    </row>
    <row r="2927" customFormat="false" ht="15" hidden="false" customHeight="false" outlineLevel="0" collapsed="false">
      <c r="A2927" s="51" t="n">
        <v>46309</v>
      </c>
      <c r="B2927" s="0" t="n">
        <v>13</v>
      </c>
      <c r="C2927" s="0" t="n">
        <v>7309</v>
      </c>
      <c r="E2927" s="0" t="n">
        <v>0</v>
      </c>
      <c r="F2927" s="46" t="s">
        <v>1439</v>
      </c>
      <c r="I2927" s="46" t="s">
        <v>179</v>
      </c>
      <c r="U2927" s="0" t="n">
        <v>278</v>
      </c>
      <c r="V2927" s="0" t="n">
        <v>0</v>
      </c>
      <c r="X2927" s="46" t="n">
        <f aca="false">IF(I2927="Male",0,1)</f>
        <v>1</v>
      </c>
      <c r="Y2927" s="46" t="n">
        <f aca="false">IF(OR(I2927="DNB",I2927="Dry DNB"),1,0)</f>
        <v>0</v>
      </c>
      <c r="Z2927" s="0" t="str">
        <f aca="false">IF(ISNUMBER(W2927),A2927-W2927,"")</f>
        <v/>
      </c>
      <c r="AA2927" s="46" t="n">
        <f aca="false">MATCH(A2927,DATAS,0)</f>
        <v>1</v>
      </c>
      <c r="AB2927" s="46" t="n">
        <f aca="false">IF(AND(E2927&gt;0,OR(AND(B2927&gt;=1,B2927&lt;=6),B2927=10)),1,0)</f>
        <v>0</v>
      </c>
      <c r="AC2927" s="46" t="n">
        <f aca="false">IF(AND(E2927&gt;0,B2927=10),1,0)</f>
        <v>0</v>
      </c>
      <c r="AD2927" s="0" t="str">
        <f aca="false">IF(AND(C2926=C2927,AA2926=AA2927-1),AB2926,"")</f>
        <v/>
      </c>
      <c r="AE2927" s="0" t="str">
        <f aca="false">IF(AND(C2926=C2927,AA2926=AA2927-1),AC2926,"")</f>
        <v/>
      </c>
      <c r="AF2927" s="0" t="str">
        <f aca="false">IF(AA2927=1,"",IF(AND(AB2927=1,AD2927&lt;&gt;1),1,0))</f>
        <v/>
      </c>
      <c r="AG2927" s="0" t="str">
        <f aca="false">IF(AA2927=1,"",IF(AND(AC2927=1,AE2927&lt;&gt;1),1,0))</f>
        <v/>
      </c>
      <c r="AH2927" s="51" t="str">
        <f aca="false">IF(AND(E2927&gt;0,AA2927&lt;1,NOT(AND(C2928=C2927,AA2928=AA2927+1))),INDEX(DATAS,AA2927+1),"")</f>
        <v/>
      </c>
      <c r="AI2927" s="51" t="str">
        <f aca="false">IF(AND(AC2927=1,AA2927&lt;1),IF(AND(C2928=C2927,AA2928=AA2927+1),IF(AC2928=1,"",INDEX(DATAS,AA2927+1)),INDEX(DATAS,AA2927+1)),"")</f>
        <v/>
      </c>
    </row>
    <row r="2928" customFormat="false" ht="15" hidden="false" customHeight="false" outlineLevel="0" collapsed="false">
      <c r="A2928" s="51" t="n">
        <v>46309</v>
      </c>
      <c r="B2928" s="0" t="n">
        <v>13</v>
      </c>
      <c r="C2928" s="0" t="n">
        <v>7310</v>
      </c>
      <c r="E2928" s="0" t="n">
        <v>0</v>
      </c>
      <c r="F2928" s="46" t="s">
        <v>1439</v>
      </c>
      <c r="I2928" s="46" t="s">
        <v>179</v>
      </c>
      <c r="U2928" s="0" t="n">
        <v>278</v>
      </c>
      <c r="V2928" s="0" t="n">
        <v>0</v>
      </c>
      <c r="X2928" s="46" t="n">
        <f aca="false">IF(I2928="Male",0,1)</f>
        <v>1</v>
      </c>
      <c r="Y2928" s="46" t="n">
        <f aca="false">IF(OR(I2928="DNB",I2928="Dry DNB"),1,0)</f>
        <v>0</v>
      </c>
      <c r="Z2928" s="0" t="str">
        <f aca="false">IF(ISNUMBER(W2928),A2928-W2928,"")</f>
        <v/>
      </c>
      <c r="AA2928" s="46" t="n">
        <f aca="false">MATCH(A2928,DATAS,0)</f>
        <v>1</v>
      </c>
      <c r="AB2928" s="46" t="n">
        <f aca="false">IF(AND(E2928&gt;0,OR(AND(B2928&gt;=1,B2928&lt;=6),B2928=10)),1,0)</f>
        <v>0</v>
      </c>
      <c r="AC2928" s="46" t="n">
        <f aca="false">IF(AND(E2928&gt;0,B2928=10),1,0)</f>
        <v>0</v>
      </c>
      <c r="AD2928" s="0" t="str">
        <f aca="false">IF(AND(C2927=C2928,AA2927=AA2928-1),AB2927,"")</f>
        <v/>
      </c>
      <c r="AE2928" s="0" t="str">
        <f aca="false">IF(AND(C2927=C2928,AA2927=AA2928-1),AC2927,"")</f>
        <v/>
      </c>
      <c r="AF2928" s="0" t="str">
        <f aca="false">IF(AA2928=1,"",IF(AND(AB2928=1,AD2928&lt;&gt;1),1,0))</f>
        <v/>
      </c>
      <c r="AG2928" s="0" t="str">
        <f aca="false">IF(AA2928=1,"",IF(AND(AC2928=1,AE2928&lt;&gt;1),1,0))</f>
        <v/>
      </c>
      <c r="AH2928" s="51" t="str">
        <f aca="false">IF(AND(E2928&gt;0,AA2928&lt;1,NOT(AND(C2929=C2928,AA2929=AA2928+1))),INDEX(DATAS,AA2928+1),"")</f>
        <v/>
      </c>
      <c r="AI2928" s="51" t="str">
        <f aca="false">IF(AND(AC2928=1,AA2928&lt;1),IF(AND(C2929=C2928,AA2929=AA2928+1),IF(AC2929=1,"",INDEX(DATAS,AA2928+1)),INDEX(DATAS,AA2928+1)),"")</f>
        <v/>
      </c>
    </row>
    <row r="2929" customFormat="false" ht="15" hidden="false" customHeight="false" outlineLevel="0" collapsed="false">
      <c r="A2929" s="51" t="n">
        <v>46309</v>
      </c>
      <c r="B2929" s="0" t="n">
        <v>13</v>
      </c>
      <c r="C2929" s="0" t="n">
        <v>7311</v>
      </c>
      <c r="E2929" s="0" t="n">
        <v>0</v>
      </c>
      <c r="F2929" s="46" t="s">
        <v>1439</v>
      </c>
      <c r="I2929" s="46" t="s">
        <v>179</v>
      </c>
      <c r="U2929" s="0" t="n">
        <v>278</v>
      </c>
      <c r="V2929" s="0" t="n">
        <v>0</v>
      </c>
      <c r="X2929" s="46" t="n">
        <f aca="false">IF(I2929="Male",0,1)</f>
        <v>1</v>
      </c>
      <c r="Y2929" s="46" t="n">
        <f aca="false">IF(OR(I2929="DNB",I2929="Dry DNB"),1,0)</f>
        <v>0</v>
      </c>
      <c r="Z2929" s="0" t="str">
        <f aca="false">IF(ISNUMBER(W2929),A2929-W2929,"")</f>
        <v/>
      </c>
      <c r="AA2929" s="46" t="n">
        <f aca="false">MATCH(A2929,DATAS,0)</f>
        <v>1</v>
      </c>
      <c r="AB2929" s="46" t="n">
        <f aca="false">IF(AND(E2929&gt;0,OR(AND(B2929&gt;=1,B2929&lt;=6),B2929=10)),1,0)</f>
        <v>0</v>
      </c>
      <c r="AC2929" s="46" t="n">
        <f aca="false">IF(AND(E2929&gt;0,B2929=10),1,0)</f>
        <v>0</v>
      </c>
      <c r="AD2929" s="0" t="str">
        <f aca="false">IF(AND(C2928=C2929,AA2928=AA2929-1),AB2928,"")</f>
        <v/>
      </c>
      <c r="AE2929" s="0" t="str">
        <f aca="false">IF(AND(C2928=C2929,AA2928=AA2929-1),AC2928,"")</f>
        <v/>
      </c>
      <c r="AF2929" s="0" t="str">
        <f aca="false">IF(AA2929=1,"",IF(AND(AB2929=1,AD2929&lt;&gt;1),1,0))</f>
        <v/>
      </c>
      <c r="AG2929" s="0" t="str">
        <f aca="false">IF(AA2929=1,"",IF(AND(AC2929=1,AE2929&lt;&gt;1),1,0))</f>
        <v/>
      </c>
      <c r="AH2929" s="51" t="str">
        <f aca="false">IF(AND(E2929&gt;0,AA2929&lt;1,NOT(AND(C2930=C2929,AA2930=AA2929+1))),INDEX(DATAS,AA2929+1),"")</f>
        <v/>
      </c>
      <c r="AI2929" s="51" t="str">
        <f aca="false">IF(AND(AC2929=1,AA2929&lt;1),IF(AND(C2930=C2929,AA2930=AA2929+1),IF(AC2930=1,"",INDEX(DATAS,AA2929+1)),INDEX(DATAS,AA2929+1)),"")</f>
        <v/>
      </c>
    </row>
    <row r="2930" customFormat="false" ht="15" hidden="false" customHeight="false" outlineLevel="0" collapsed="false">
      <c r="A2930" s="51" t="n">
        <v>46309</v>
      </c>
      <c r="B2930" s="0" t="n">
        <v>13</v>
      </c>
      <c r="C2930" s="0" t="n">
        <v>7312</v>
      </c>
      <c r="E2930" s="0" t="n">
        <v>0</v>
      </c>
      <c r="F2930" s="46" t="s">
        <v>1439</v>
      </c>
      <c r="I2930" s="46" t="s">
        <v>179</v>
      </c>
      <c r="U2930" s="0" t="n">
        <v>278</v>
      </c>
      <c r="V2930" s="0" t="n">
        <v>0</v>
      </c>
      <c r="X2930" s="46" t="n">
        <f aca="false">IF(I2930="Male",0,1)</f>
        <v>1</v>
      </c>
      <c r="Y2930" s="46" t="n">
        <f aca="false">IF(OR(I2930="DNB",I2930="Dry DNB"),1,0)</f>
        <v>0</v>
      </c>
      <c r="Z2930" s="0" t="str">
        <f aca="false">IF(ISNUMBER(W2930),A2930-W2930,"")</f>
        <v/>
      </c>
      <c r="AA2930" s="46" t="n">
        <f aca="false">MATCH(A2930,DATAS,0)</f>
        <v>1</v>
      </c>
      <c r="AB2930" s="46" t="n">
        <f aca="false">IF(AND(E2930&gt;0,OR(AND(B2930&gt;=1,B2930&lt;=6),B2930=10)),1,0)</f>
        <v>0</v>
      </c>
      <c r="AC2930" s="46" t="n">
        <f aca="false">IF(AND(E2930&gt;0,B2930=10),1,0)</f>
        <v>0</v>
      </c>
      <c r="AD2930" s="0" t="str">
        <f aca="false">IF(AND(C2929=C2930,AA2929=AA2930-1),AB2929,"")</f>
        <v/>
      </c>
      <c r="AE2930" s="0" t="str">
        <f aca="false">IF(AND(C2929=C2930,AA2929=AA2930-1),AC2929,"")</f>
        <v/>
      </c>
      <c r="AF2930" s="0" t="str">
        <f aca="false">IF(AA2930=1,"",IF(AND(AB2930=1,AD2930&lt;&gt;1),1,0))</f>
        <v/>
      </c>
      <c r="AG2930" s="0" t="str">
        <f aca="false">IF(AA2930=1,"",IF(AND(AC2930=1,AE2930&lt;&gt;1),1,0))</f>
        <v/>
      </c>
      <c r="AH2930" s="51" t="str">
        <f aca="false">IF(AND(E2930&gt;0,AA2930&lt;1,NOT(AND(C2931=C2930,AA2931=AA2930+1))),INDEX(DATAS,AA2930+1),"")</f>
        <v/>
      </c>
      <c r="AI2930" s="51" t="str">
        <f aca="false">IF(AND(AC2930=1,AA2930&lt;1),IF(AND(C2931=C2930,AA2931=AA2930+1),IF(AC2931=1,"",INDEX(DATAS,AA2930+1)),INDEX(DATAS,AA2930+1)),"")</f>
        <v/>
      </c>
    </row>
    <row r="2931" customFormat="false" ht="15" hidden="false" customHeight="false" outlineLevel="0" collapsed="false">
      <c r="A2931" s="51" t="n">
        <v>46309</v>
      </c>
      <c r="B2931" s="0" t="n">
        <v>13</v>
      </c>
      <c r="C2931" s="0" t="n">
        <v>7313</v>
      </c>
      <c r="E2931" s="0" t="n">
        <v>0</v>
      </c>
      <c r="F2931" s="46" t="s">
        <v>1439</v>
      </c>
      <c r="I2931" s="46" t="s">
        <v>179</v>
      </c>
      <c r="U2931" s="0" t="n">
        <v>278</v>
      </c>
      <c r="V2931" s="0" t="n">
        <v>0</v>
      </c>
      <c r="X2931" s="46" t="n">
        <f aca="false">IF(I2931="Male",0,1)</f>
        <v>1</v>
      </c>
      <c r="Y2931" s="46" t="n">
        <f aca="false">IF(OR(I2931="DNB",I2931="Dry DNB"),1,0)</f>
        <v>0</v>
      </c>
      <c r="Z2931" s="0" t="str">
        <f aca="false">IF(ISNUMBER(W2931),A2931-W2931,"")</f>
        <v/>
      </c>
      <c r="AA2931" s="46" t="n">
        <f aca="false">MATCH(A2931,DATAS,0)</f>
        <v>1</v>
      </c>
      <c r="AB2931" s="46" t="n">
        <f aca="false">IF(AND(E2931&gt;0,OR(AND(B2931&gt;=1,B2931&lt;=6),B2931=10)),1,0)</f>
        <v>0</v>
      </c>
      <c r="AC2931" s="46" t="n">
        <f aca="false">IF(AND(E2931&gt;0,B2931=10),1,0)</f>
        <v>0</v>
      </c>
      <c r="AD2931" s="0" t="str">
        <f aca="false">IF(AND(C2930=C2931,AA2930=AA2931-1),AB2930,"")</f>
        <v/>
      </c>
      <c r="AE2931" s="0" t="str">
        <f aca="false">IF(AND(C2930=C2931,AA2930=AA2931-1),AC2930,"")</f>
        <v/>
      </c>
      <c r="AF2931" s="0" t="str">
        <f aca="false">IF(AA2931=1,"",IF(AND(AB2931=1,AD2931&lt;&gt;1),1,0))</f>
        <v/>
      </c>
      <c r="AG2931" s="0" t="str">
        <f aca="false">IF(AA2931=1,"",IF(AND(AC2931=1,AE2931&lt;&gt;1),1,0))</f>
        <v/>
      </c>
      <c r="AH2931" s="51" t="str">
        <f aca="false">IF(AND(E2931&gt;0,AA2931&lt;1,NOT(AND(C2932=C2931,AA2932=AA2931+1))),INDEX(DATAS,AA2931+1),"")</f>
        <v/>
      </c>
      <c r="AI2931" s="51" t="str">
        <f aca="false">IF(AND(AC2931=1,AA2931&lt;1),IF(AND(C2932=C2931,AA2932=AA2931+1),IF(AC2932=1,"",INDEX(DATAS,AA2931+1)),INDEX(DATAS,AA2931+1)),"")</f>
        <v/>
      </c>
    </row>
    <row r="2932" customFormat="false" ht="15" hidden="false" customHeight="false" outlineLevel="0" collapsed="false">
      <c r="A2932" s="51" t="n">
        <v>46309</v>
      </c>
      <c r="B2932" s="0" t="n">
        <v>13</v>
      </c>
      <c r="C2932" s="0" t="n">
        <v>7314</v>
      </c>
      <c r="E2932" s="0" t="n">
        <v>0</v>
      </c>
      <c r="F2932" s="46" t="s">
        <v>1439</v>
      </c>
      <c r="I2932" s="46" t="s">
        <v>179</v>
      </c>
      <c r="U2932" s="0" t="n">
        <v>278</v>
      </c>
      <c r="V2932" s="0" t="n">
        <v>0</v>
      </c>
      <c r="X2932" s="46" t="n">
        <f aca="false">IF(I2932="Male",0,1)</f>
        <v>1</v>
      </c>
      <c r="Y2932" s="46" t="n">
        <f aca="false">IF(OR(I2932="DNB",I2932="Dry DNB"),1,0)</f>
        <v>0</v>
      </c>
      <c r="Z2932" s="0" t="str">
        <f aca="false">IF(ISNUMBER(W2932),A2932-W2932,"")</f>
        <v/>
      </c>
      <c r="AA2932" s="46" t="n">
        <f aca="false">MATCH(A2932,DATAS,0)</f>
        <v>1</v>
      </c>
      <c r="AB2932" s="46" t="n">
        <f aca="false">IF(AND(E2932&gt;0,OR(AND(B2932&gt;=1,B2932&lt;=6),B2932=10)),1,0)</f>
        <v>0</v>
      </c>
      <c r="AC2932" s="46" t="n">
        <f aca="false">IF(AND(E2932&gt;0,B2932=10),1,0)</f>
        <v>0</v>
      </c>
      <c r="AD2932" s="0" t="str">
        <f aca="false">IF(AND(C2931=C2932,AA2931=AA2932-1),AB2931,"")</f>
        <v/>
      </c>
      <c r="AE2932" s="0" t="str">
        <f aca="false">IF(AND(C2931=C2932,AA2931=AA2932-1),AC2931,"")</f>
        <v/>
      </c>
      <c r="AF2932" s="0" t="str">
        <f aca="false">IF(AA2932=1,"",IF(AND(AB2932=1,AD2932&lt;&gt;1),1,0))</f>
        <v/>
      </c>
      <c r="AG2932" s="0" t="str">
        <f aca="false">IF(AA2932=1,"",IF(AND(AC2932=1,AE2932&lt;&gt;1),1,0))</f>
        <v/>
      </c>
      <c r="AH2932" s="51" t="str">
        <f aca="false">IF(AND(E2932&gt;0,AA2932&lt;1,NOT(AND(C2933=C2932,AA2933=AA2932+1))),INDEX(DATAS,AA2932+1),"")</f>
        <v/>
      </c>
      <c r="AI2932" s="51" t="str">
        <f aca="false">IF(AND(AC2932=1,AA2932&lt;1),IF(AND(C2933=C2932,AA2933=AA2932+1),IF(AC2933=1,"",INDEX(DATAS,AA2932+1)),INDEX(DATAS,AA2932+1)),"")</f>
        <v/>
      </c>
    </row>
    <row r="2933" customFormat="false" ht="15" hidden="false" customHeight="false" outlineLevel="0" collapsed="false">
      <c r="A2933" s="51" t="n">
        <v>46309</v>
      </c>
      <c r="B2933" s="0" t="n">
        <v>13</v>
      </c>
      <c r="C2933" s="0" t="n">
        <v>7315</v>
      </c>
      <c r="E2933" s="0" t="n">
        <v>0</v>
      </c>
      <c r="F2933" s="46" t="s">
        <v>1440</v>
      </c>
      <c r="I2933" s="46" t="s">
        <v>179</v>
      </c>
      <c r="U2933" s="0" t="n">
        <v>277</v>
      </c>
      <c r="V2933" s="0" t="n">
        <v>0</v>
      </c>
      <c r="X2933" s="46" t="n">
        <f aca="false">IF(I2933="Male",0,1)</f>
        <v>1</v>
      </c>
      <c r="Y2933" s="46" t="n">
        <f aca="false">IF(OR(I2933="DNB",I2933="Dry DNB"),1,0)</f>
        <v>0</v>
      </c>
      <c r="Z2933" s="0" t="str">
        <f aca="false">IF(ISNUMBER(W2933),A2933-W2933,"")</f>
        <v/>
      </c>
      <c r="AA2933" s="46" t="n">
        <f aca="false">MATCH(A2933,DATAS,0)</f>
        <v>1</v>
      </c>
      <c r="AB2933" s="46" t="n">
        <f aca="false">IF(AND(E2933&gt;0,OR(AND(B2933&gt;=1,B2933&lt;=6),B2933=10)),1,0)</f>
        <v>0</v>
      </c>
      <c r="AC2933" s="46" t="n">
        <f aca="false">IF(AND(E2933&gt;0,B2933=10),1,0)</f>
        <v>0</v>
      </c>
      <c r="AD2933" s="0" t="str">
        <f aca="false">IF(AND(C2932=C2933,AA2932=AA2933-1),AB2932,"")</f>
        <v/>
      </c>
      <c r="AE2933" s="0" t="str">
        <f aca="false">IF(AND(C2932=C2933,AA2932=AA2933-1),AC2932,"")</f>
        <v/>
      </c>
      <c r="AF2933" s="0" t="str">
        <f aca="false">IF(AA2933=1,"",IF(AND(AB2933=1,AD2933&lt;&gt;1),1,0))</f>
        <v/>
      </c>
      <c r="AG2933" s="0" t="str">
        <f aca="false">IF(AA2933=1,"",IF(AND(AC2933=1,AE2933&lt;&gt;1),1,0))</f>
        <v/>
      </c>
      <c r="AH2933" s="51" t="str">
        <f aca="false">IF(AND(E2933&gt;0,AA2933&lt;1,NOT(AND(C2934=C2933,AA2934=AA2933+1))),INDEX(DATAS,AA2933+1),"")</f>
        <v/>
      </c>
      <c r="AI2933" s="51" t="str">
        <f aca="false">IF(AND(AC2933=1,AA2933&lt;1),IF(AND(C2934=C2933,AA2934=AA2933+1),IF(AC2934=1,"",INDEX(DATAS,AA2933+1)),INDEX(DATAS,AA2933+1)),"")</f>
        <v/>
      </c>
    </row>
    <row r="2934" customFormat="false" ht="15" hidden="false" customHeight="false" outlineLevel="0" collapsed="false">
      <c r="A2934" s="51" t="n">
        <v>46309</v>
      </c>
      <c r="B2934" s="0" t="n">
        <v>13</v>
      </c>
      <c r="C2934" s="0" t="n">
        <v>7316</v>
      </c>
      <c r="E2934" s="0" t="n">
        <v>0</v>
      </c>
      <c r="F2934" s="46" t="s">
        <v>1440</v>
      </c>
      <c r="I2934" s="46" t="s">
        <v>179</v>
      </c>
      <c r="U2934" s="0" t="n">
        <v>277</v>
      </c>
      <c r="V2934" s="0" t="n">
        <v>0</v>
      </c>
      <c r="X2934" s="46" t="n">
        <f aca="false">IF(I2934="Male",0,1)</f>
        <v>1</v>
      </c>
      <c r="Y2934" s="46" t="n">
        <f aca="false">IF(OR(I2934="DNB",I2934="Dry DNB"),1,0)</f>
        <v>0</v>
      </c>
      <c r="Z2934" s="0" t="str">
        <f aca="false">IF(ISNUMBER(W2934),A2934-W2934,"")</f>
        <v/>
      </c>
      <c r="AA2934" s="46" t="n">
        <f aca="false">MATCH(A2934,DATAS,0)</f>
        <v>1</v>
      </c>
      <c r="AB2934" s="46" t="n">
        <f aca="false">IF(AND(E2934&gt;0,OR(AND(B2934&gt;=1,B2934&lt;=6),B2934=10)),1,0)</f>
        <v>0</v>
      </c>
      <c r="AC2934" s="46" t="n">
        <f aca="false">IF(AND(E2934&gt;0,B2934=10),1,0)</f>
        <v>0</v>
      </c>
      <c r="AD2934" s="0" t="str">
        <f aca="false">IF(AND(C2933=C2934,AA2933=AA2934-1),AB2933,"")</f>
        <v/>
      </c>
      <c r="AE2934" s="0" t="str">
        <f aca="false">IF(AND(C2933=C2934,AA2933=AA2934-1),AC2933,"")</f>
        <v/>
      </c>
      <c r="AF2934" s="0" t="str">
        <f aca="false">IF(AA2934=1,"",IF(AND(AB2934=1,AD2934&lt;&gt;1),1,0))</f>
        <v/>
      </c>
      <c r="AG2934" s="0" t="str">
        <f aca="false">IF(AA2934=1,"",IF(AND(AC2934=1,AE2934&lt;&gt;1),1,0))</f>
        <v/>
      </c>
      <c r="AH2934" s="51" t="str">
        <f aca="false">IF(AND(E2934&gt;0,AA2934&lt;1,NOT(AND(C2935=C2934,AA2935=AA2934+1))),INDEX(DATAS,AA2934+1),"")</f>
        <v/>
      </c>
      <c r="AI2934" s="51" t="str">
        <f aca="false">IF(AND(AC2934=1,AA2934&lt;1),IF(AND(C2935=C2934,AA2935=AA2934+1),IF(AC2935=1,"",INDEX(DATAS,AA2934+1)),INDEX(DATAS,AA2934+1)),"")</f>
        <v/>
      </c>
    </row>
    <row r="2935" customFormat="false" ht="15" hidden="false" customHeight="false" outlineLevel="0" collapsed="false">
      <c r="A2935" s="51" t="n">
        <v>46309</v>
      </c>
      <c r="B2935" s="0" t="n">
        <v>13</v>
      </c>
      <c r="C2935" s="0" t="n">
        <v>7317</v>
      </c>
      <c r="E2935" s="0" t="n">
        <v>0</v>
      </c>
      <c r="F2935" s="46" t="s">
        <v>1440</v>
      </c>
      <c r="I2935" s="46" t="s">
        <v>179</v>
      </c>
      <c r="U2935" s="0" t="n">
        <v>277</v>
      </c>
      <c r="V2935" s="0" t="n">
        <v>0</v>
      </c>
      <c r="X2935" s="46" t="n">
        <f aca="false">IF(I2935="Male",0,1)</f>
        <v>1</v>
      </c>
      <c r="Y2935" s="46" t="n">
        <f aca="false">IF(OR(I2935="DNB",I2935="Dry DNB"),1,0)</f>
        <v>0</v>
      </c>
      <c r="Z2935" s="0" t="str">
        <f aca="false">IF(ISNUMBER(W2935),A2935-W2935,"")</f>
        <v/>
      </c>
      <c r="AA2935" s="46" t="n">
        <f aca="false">MATCH(A2935,DATAS,0)</f>
        <v>1</v>
      </c>
      <c r="AB2935" s="46" t="n">
        <f aca="false">IF(AND(E2935&gt;0,OR(AND(B2935&gt;=1,B2935&lt;=6),B2935=10)),1,0)</f>
        <v>0</v>
      </c>
      <c r="AC2935" s="46" t="n">
        <f aca="false">IF(AND(E2935&gt;0,B2935=10),1,0)</f>
        <v>0</v>
      </c>
      <c r="AD2935" s="0" t="str">
        <f aca="false">IF(AND(C2934=C2935,AA2934=AA2935-1),AB2934,"")</f>
        <v/>
      </c>
      <c r="AE2935" s="0" t="str">
        <f aca="false">IF(AND(C2934=C2935,AA2934=AA2935-1),AC2934,"")</f>
        <v/>
      </c>
      <c r="AF2935" s="0" t="str">
        <f aca="false">IF(AA2935=1,"",IF(AND(AB2935=1,AD2935&lt;&gt;1),1,0))</f>
        <v/>
      </c>
      <c r="AG2935" s="0" t="str">
        <f aca="false">IF(AA2935=1,"",IF(AND(AC2935=1,AE2935&lt;&gt;1),1,0))</f>
        <v/>
      </c>
      <c r="AH2935" s="51" t="str">
        <f aca="false">IF(AND(E2935&gt;0,AA2935&lt;1,NOT(AND(C2936=C2935,AA2936=AA2935+1))),INDEX(DATAS,AA2935+1),"")</f>
        <v/>
      </c>
      <c r="AI2935" s="51" t="str">
        <f aca="false">IF(AND(AC2935=1,AA2935&lt;1),IF(AND(C2936=C2935,AA2936=AA2935+1),IF(AC2936=1,"",INDEX(DATAS,AA2935+1)),INDEX(DATAS,AA2935+1)),"")</f>
        <v/>
      </c>
    </row>
    <row r="2936" customFormat="false" ht="15" hidden="false" customHeight="false" outlineLevel="0" collapsed="false">
      <c r="A2936" s="51" t="n">
        <v>46309</v>
      </c>
      <c r="B2936" s="0" t="n">
        <v>13</v>
      </c>
      <c r="C2936" s="0" t="n">
        <v>7318</v>
      </c>
      <c r="E2936" s="0" t="n">
        <v>0</v>
      </c>
      <c r="F2936" s="46" t="s">
        <v>1441</v>
      </c>
      <c r="I2936" s="46" t="s">
        <v>179</v>
      </c>
      <c r="U2936" s="0" t="n">
        <v>276</v>
      </c>
      <c r="V2936" s="0" t="n">
        <v>0</v>
      </c>
      <c r="X2936" s="46" t="n">
        <f aca="false">IF(I2936="Male",0,1)</f>
        <v>1</v>
      </c>
      <c r="Y2936" s="46" t="n">
        <f aca="false">IF(OR(I2936="DNB",I2936="Dry DNB"),1,0)</f>
        <v>0</v>
      </c>
      <c r="Z2936" s="0" t="str">
        <f aca="false">IF(ISNUMBER(W2936),A2936-W2936,"")</f>
        <v/>
      </c>
      <c r="AA2936" s="46" t="n">
        <f aca="false">MATCH(A2936,DATAS,0)</f>
        <v>1</v>
      </c>
      <c r="AB2936" s="46" t="n">
        <f aca="false">IF(AND(E2936&gt;0,OR(AND(B2936&gt;=1,B2936&lt;=6),B2936=10)),1,0)</f>
        <v>0</v>
      </c>
      <c r="AC2936" s="46" t="n">
        <f aca="false">IF(AND(E2936&gt;0,B2936=10),1,0)</f>
        <v>0</v>
      </c>
      <c r="AD2936" s="0" t="str">
        <f aca="false">IF(AND(C2935=C2936,AA2935=AA2936-1),AB2935,"")</f>
        <v/>
      </c>
      <c r="AE2936" s="0" t="str">
        <f aca="false">IF(AND(C2935=C2936,AA2935=AA2936-1),AC2935,"")</f>
        <v/>
      </c>
      <c r="AF2936" s="0" t="str">
        <f aca="false">IF(AA2936=1,"",IF(AND(AB2936=1,AD2936&lt;&gt;1),1,0))</f>
        <v/>
      </c>
      <c r="AG2936" s="0" t="str">
        <f aca="false">IF(AA2936=1,"",IF(AND(AC2936=1,AE2936&lt;&gt;1),1,0))</f>
        <v/>
      </c>
      <c r="AH2936" s="51" t="str">
        <f aca="false">IF(AND(E2936&gt;0,AA2936&lt;1,NOT(AND(C2937=C2936,AA2937=AA2936+1))),INDEX(DATAS,AA2936+1),"")</f>
        <v/>
      </c>
      <c r="AI2936" s="51" t="str">
        <f aca="false">IF(AND(AC2936=1,AA2936&lt;1),IF(AND(C2937=C2936,AA2937=AA2936+1),IF(AC2937=1,"",INDEX(DATAS,AA2936+1)),INDEX(DATAS,AA2936+1)),"")</f>
        <v/>
      </c>
    </row>
    <row r="2937" customFormat="false" ht="15" hidden="false" customHeight="false" outlineLevel="0" collapsed="false">
      <c r="A2937" s="51" t="n">
        <v>46309</v>
      </c>
      <c r="B2937" s="0" t="n">
        <v>13</v>
      </c>
      <c r="C2937" s="0" t="n">
        <v>7319</v>
      </c>
      <c r="E2937" s="0" t="n">
        <v>0</v>
      </c>
      <c r="F2937" s="46" t="s">
        <v>1441</v>
      </c>
      <c r="I2937" s="46" t="s">
        <v>179</v>
      </c>
      <c r="U2937" s="0" t="n">
        <v>276</v>
      </c>
      <c r="V2937" s="0" t="n">
        <v>0</v>
      </c>
      <c r="X2937" s="46" t="n">
        <f aca="false">IF(I2937="Male",0,1)</f>
        <v>1</v>
      </c>
      <c r="Y2937" s="46" t="n">
        <f aca="false">IF(OR(I2937="DNB",I2937="Dry DNB"),1,0)</f>
        <v>0</v>
      </c>
      <c r="Z2937" s="0" t="str">
        <f aca="false">IF(ISNUMBER(W2937),A2937-W2937,"")</f>
        <v/>
      </c>
      <c r="AA2937" s="46" t="n">
        <f aca="false">MATCH(A2937,DATAS,0)</f>
        <v>1</v>
      </c>
      <c r="AB2937" s="46" t="n">
        <f aca="false">IF(AND(E2937&gt;0,OR(AND(B2937&gt;=1,B2937&lt;=6),B2937=10)),1,0)</f>
        <v>0</v>
      </c>
      <c r="AC2937" s="46" t="n">
        <f aca="false">IF(AND(E2937&gt;0,B2937=10),1,0)</f>
        <v>0</v>
      </c>
      <c r="AD2937" s="0" t="str">
        <f aca="false">IF(AND(C2936=C2937,AA2936=AA2937-1),AB2936,"")</f>
        <v/>
      </c>
      <c r="AE2937" s="0" t="str">
        <f aca="false">IF(AND(C2936=C2937,AA2936=AA2937-1),AC2936,"")</f>
        <v/>
      </c>
      <c r="AF2937" s="0" t="str">
        <f aca="false">IF(AA2937=1,"",IF(AND(AB2937=1,AD2937&lt;&gt;1),1,0))</f>
        <v/>
      </c>
      <c r="AG2937" s="0" t="str">
        <f aca="false">IF(AA2937=1,"",IF(AND(AC2937=1,AE2937&lt;&gt;1),1,0))</f>
        <v/>
      </c>
      <c r="AH2937" s="51" t="str">
        <f aca="false">IF(AND(E2937&gt;0,AA2937&lt;1,NOT(AND(C2938=C2937,AA2938=AA2937+1))),INDEX(DATAS,AA2937+1),"")</f>
        <v/>
      </c>
      <c r="AI2937" s="51" t="str">
        <f aca="false">IF(AND(AC2937=1,AA2937&lt;1),IF(AND(C2938=C2937,AA2938=AA2937+1),IF(AC2938=1,"",INDEX(DATAS,AA2937+1)),INDEX(DATAS,AA2937+1)),"")</f>
        <v/>
      </c>
    </row>
    <row r="2938" customFormat="false" ht="15" hidden="false" customHeight="false" outlineLevel="0" collapsed="false">
      <c r="A2938" s="51" t="n">
        <v>46309</v>
      </c>
      <c r="B2938" s="0" t="n">
        <v>13</v>
      </c>
      <c r="C2938" s="0" t="n">
        <v>7320</v>
      </c>
      <c r="E2938" s="0" t="n">
        <v>0</v>
      </c>
      <c r="F2938" s="46" t="s">
        <v>1441</v>
      </c>
      <c r="I2938" s="46" t="s">
        <v>179</v>
      </c>
      <c r="U2938" s="0" t="n">
        <v>276</v>
      </c>
      <c r="V2938" s="0" t="n">
        <v>0</v>
      </c>
      <c r="X2938" s="46" t="n">
        <f aca="false">IF(I2938="Male",0,1)</f>
        <v>1</v>
      </c>
      <c r="Y2938" s="46" t="n">
        <f aca="false">IF(OR(I2938="DNB",I2938="Dry DNB"),1,0)</f>
        <v>0</v>
      </c>
      <c r="Z2938" s="0" t="str">
        <f aca="false">IF(ISNUMBER(W2938),A2938-W2938,"")</f>
        <v/>
      </c>
      <c r="AA2938" s="46" t="n">
        <f aca="false">MATCH(A2938,DATAS,0)</f>
        <v>1</v>
      </c>
      <c r="AB2938" s="46" t="n">
        <f aca="false">IF(AND(E2938&gt;0,OR(AND(B2938&gt;=1,B2938&lt;=6),B2938=10)),1,0)</f>
        <v>0</v>
      </c>
      <c r="AC2938" s="46" t="n">
        <f aca="false">IF(AND(E2938&gt;0,B2938=10),1,0)</f>
        <v>0</v>
      </c>
      <c r="AD2938" s="0" t="str">
        <f aca="false">IF(AND(C2937=C2938,AA2937=AA2938-1),AB2937,"")</f>
        <v/>
      </c>
      <c r="AE2938" s="0" t="str">
        <f aca="false">IF(AND(C2937=C2938,AA2937=AA2938-1),AC2937,"")</f>
        <v/>
      </c>
      <c r="AF2938" s="0" t="str">
        <f aca="false">IF(AA2938=1,"",IF(AND(AB2938=1,AD2938&lt;&gt;1),1,0))</f>
        <v/>
      </c>
      <c r="AG2938" s="0" t="str">
        <f aca="false">IF(AA2938=1,"",IF(AND(AC2938=1,AE2938&lt;&gt;1),1,0))</f>
        <v/>
      </c>
      <c r="AH2938" s="51" t="str">
        <f aca="false">IF(AND(E2938&gt;0,AA2938&lt;1,NOT(AND(C2939=C2938,AA2939=AA2938+1))),INDEX(DATAS,AA2938+1),"")</f>
        <v/>
      </c>
      <c r="AI2938" s="51" t="str">
        <f aca="false">IF(AND(AC2938=1,AA2938&lt;1),IF(AND(C2939=C2938,AA2939=AA2938+1),IF(AC2939=1,"",INDEX(DATAS,AA2938+1)),INDEX(DATAS,AA2938+1)),"")</f>
        <v/>
      </c>
    </row>
    <row r="2939" customFormat="false" ht="15" hidden="false" customHeight="false" outlineLevel="0" collapsed="false">
      <c r="A2939" s="51" t="n">
        <v>46309</v>
      </c>
      <c r="B2939" s="0" t="n">
        <v>13</v>
      </c>
      <c r="C2939" s="0" t="n">
        <v>7321</v>
      </c>
      <c r="E2939" s="0" t="n">
        <v>0</v>
      </c>
      <c r="F2939" s="46" t="s">
        <v>1442</v>
      </c>
      <c r="I2939" s="46" t="s">
        <v>179</v>
      </c>
      <c r="U2939" s="0" t="n">
        <v>275</v>
      </c>
      <c r="V2939" s="0" t="n">
        <v>0</v>
      </c>
      <c r="X2939" s="46" t="n">
        <f aca="false">IF(I2939="Male",0,1)</f>
        <v>1</v>
      </c>
      <c r="Y2939" s="46" t="n">
        <f aca="false">IF(OR(I2939="DNB",I2939="Dry DNB"),1,0)</f>
        <v>0</v>
      </c>
      <c r="Z2939" s="0" t="str">
        <f aca="false">IF(ISNUMBER(W2939),A2939-W2939,"")</f>
        <v/>
      </c>
      <c r="AA2939" s="46" t="n">
        <f aca="false">MATCH(A2939,DATAS,0)</f>
        <v>1</v>
      </c>
      <c r="AB2939" s="46" t="n">
        <f aca="false">IF(AND(E2939&gt;0,OR(AND(B2939&gt;=1,B2939&lt;=6),B2939=10)),1,0)</f>
        <v>0</v>
      </c>
      <c r="AC2939" s="46" t="n">
        <f aca="false">IF(AND(E2939&gt;0,B2939=10),1,0)</f>
        <v>0</v>
      </c>
      <c r="AD2939" s="0" t="str">
        <f aca="false">IF(AND(C2938=C2939,AA2938=AA2939-1),AB2938,"")</f>
        <v/>
      </c>
      <c r="AE2939" s="0" t="str">
        <f aca="false">IF(AND(C2938=C2939,AA2938=AA2939-1),AC2938,"")</f>
        <v/>
      </c>
      <c r="AF2939" s="0" t="str">
        <f aca="false">IF(AA2939=1,"",IF(AND(AB2939=1,AD2939&lt;&gt;1),1,0))</f>
        <v/>
      </c>
      <c r="AG2939" s="0" t="str">
        <f aca="false">IF(AA2939=1,"",IF(AND(AC2939=1,AE2939&lt;&gt;1),1,0))</f>
        <v/>
      </c>
      <c r="AH2939" s="51" t="str">
        <f aca="false">IF(AND(E2939&gt;0,AA2939&lt;1,NOT(AND(C2940=C2939,AA2940=AA2939+1))),INDEX(DATAS,AA2939+1),"")</f>
        <v/>
      </c>
      <c r="AI2939" s="51" t="str">
        <f aca="false">IF(AND(AC2939=1,AA2939&lt;1),IF(AND(C2940=C2939,AA2940=AA2939+1),IF(AC2940=1,"",INDEX(DATAS,AA2939+1)),INDEX(DATAS,AA2939+1)),"")</f>
        <v/>
      </c>
    </row>
    <row r="2940" customFormat="false" ht="15" hidden="false" customHeight="false" outlineLevel="0" collapsed="false">
      <c r="A2940" s="51" t="n">
        <v>46309</v>
      </c>
      <c r="B2940" s="0" t="n">
        <v>13</v>
      </c>
      <c r="C2940" s="0" t="n">
        <v>7322</v>
      </c>
      <c r="E2940" s="0" t="n">
        <v>0</v>
      </c>
      <c r="F2940" s="46" t="s">
        <v>1442</v>
      </c>
      <c r="I2940" s="46" t="s">
        <v>179</v>
      </c>
      <c r="U2940" s="0" t="n">
        <v>275</v>
      </c>
      <c r="V2940" s="0" t="n">
        <v>0</v>
      </c>
      <c r="X2940" s="46" t="n">
        <f aca="false">IF(I2940="Male",0,1)</f>
        <v>1</v>
      </c>
      <c r="Y2940" s="46" t="n">
        <f aca="false">IF(OR(I2940="DNB",I2940="Dry DNB"),1,0)</f>
        <v>0</v>
      </c>
      <c r="Z2940" s="0" t="str">
        <f aca="false">IF(ISNUMBER(W2940),A2940-W2940,"")</f>
        <v/>
      </c>
      <c r="AA2940" s="46" t="n">
        <f aca="false">MATCH(A2940,DATAS,0)</f>
        <v>1</v>
      </c>
      <c r="AB2940" s="46" t="n">
        <f aca="false">IF(AND(E2940&gt;0,OR(AND(B2940&gt;=1,B2940&lt;=6),B2940=10)),1,0)</f>
        <v>0</v>
      </c>
      <c r="AC2940" s="46" t="n">
        <f aca="false">IF(AND(E2940&gt;0,B2940=10),1,0)</f>
        <v>0</v>
      </c>
      <c r="AD2940" s="0" t="str">
        <f aca="false">IF(AND(C2939=C2940,AA2939=AA2940-1),AB2939,"")</f>
        <v/>
      </c>
      <c r="AE2940" s="0" t="str">
        <f aca="false">IF(AND(C2939=C2940,AA2939=AA2940-1),AC2939,"")</f>
        <v/>
      </c>
      <c r="AF2940" s="0" t="str">
        <f aca="false">IF(AA2940=1,"",IF(AND(AB2940=1,AD2940&lt;&gt;1),1,0))</f>
        <v/>
      </c>
      <c r="AG2940" s="0" t="str">
        <f aca="false">IF(AA2940=1,"",IF(AND(AC2940=1,AE2940&lt;&gt;1),1,0))</f>
        <v/>
      </c>
      <c r="AH2940" s="51" t="str">
        <f aca="false">IF(AND(E2940&gt;0,AA2940&lt;1,NOT(AND(C2941=C2940,AA2941=AA2940+1))),INDEX(DATAS,AA2940+1),"")</f>
        <v/>
      </c>
      <c r="AI2940" s="51" t="str">
        <f aca="false">IF(AND(AC2940=1,AA2940&lt;1),IF(AND(C2941=C2940,AA2941=AA2940+1),IF(AC2941=1,"",INDEX(DATAS,AA2940+1)),INDEX(DATAS,AA2940+1)),"")</f>
        <v/>
      </c>
    </row>
    <row r="2941" customFormat="false" ht="15" hidden="false" customHeight="false" outlineLevel="0" collapsed="false">
      <c r="A2941" s="51" t="n">
        <v>46309</v>
      </c>
      <c r="B2941" s="0" t="n">
        <v>13</v>
      </c>
      <c r="C2941" s="0" t="n">
        <v>7323</v>
      </c>
      <c r="E2941" s="0" t="n">
        <v>0</v>
      </c>
      <c r="F2941" s="46" t="s">
        <v>1443</v>
      </c>
      <c r="I2941" s="46" t="s">
        <v>179</v>
      </c>
      <c r="U2941" s="0" t="n">
        <v>274</v>
      </c>
      <c r="V2941" s="0" t="n">
        <v>0</v>
      </c>
      <c r="X2941" s="46" t="n">
        <f aca="false">IF(I2941="Male",0,1)</f>
        <v>1</v>
      </c>
      <c r="Y2941" s="46" t="n">
        <f aca="false">IF(OR(I2941="DNB",I2941="Dry DNB"),1,0)</f>
        <v>0</v>
      </c>
      <c r="Z2941" s="0" t="str">
        <f aca="false">IF(ISNUMBER(W2941),A2941-W2941,"")</f>
        <v/>
      </c>
      <c r="AA2941" s="46" t="n">
        <f aca="false">MATCH(A2941,DATAS,0)</f>
        <v>1</v>
      </c>
      <c r="AB2941" s="46" t="n">
        <f aca="false">IF(AND(E2941&gt;0,OR(AND(B2941&gt;=1,B2941&lt;=6),B2941=10)),1,0)</f>
        <v>0</v>
      </c>
      <c r="AC2941" s="46" t="n">
        <f aca="false">IF(AND(E2941&gt;0,B2941=10),1,0)</f>
        <v>0</v>
      </c>
      <c r="AD2941" s="0" t="str">
        <f aca="false">IF(AND(C2940=C2941,AA2940=AA2941-1),AB2940,"")</f>
        <v/>
      </c>
      <c r="AE2941" s="0" t="str">
        <f aca="false">IF(AND(C2940=C2941,AA2940=AA2941-1),AC2940,"")</f>
        <v/>
      </c>
      <c r="AF2941" s="0" t="str">
        <f aca="false">IF(AA2941=1,"",IF(AND(AB2941=1,AD2941&lt;&gt;1),1,0))</f>
        <v/>
      </c>
      <c r="AG2941" s="0" t="str">
        <f aca="false">IF(AA2941=1,"",IF(AND(AC2941=1,AE2941&lt;&gt;1),1,0))</f>
        <v/>
      </c>
      <c r="AH2941" s="51" t="str">
        <f aca="false">IF(AND(E2941&gt;0,AA2941&lt;1,NOT(AND(C2942=C2941,AA2942=AA2941+1))),INDEX(DATAS,AA2941+1),"")</f>
        <v/>
      </c>
      <c r="AI2941" s="51" t="str">
        <f aca="false">IF(AND(AC2941=1,AA2941&lt;1),IF(AND(C2942=C2941,AA2942=AA2941+1),IF(AC2942=1,"",INDEX(DATAS,AA2941+1)),INDEX(DATAS,AA2941+1)),"")</f>
        <v/>
      </c>
    </row>
    <row r="2942" customFormat="false" ht="15" hidden="false" customHeight="false" outlineLevel="0" collapsed="false">
      <c r="A2942" s="51" t="n">
        <v>46309</v>
      </c>
      <c r="B2942" s="0" t="n">
        <v>13</v>
      </c>
      <c r="C2942" s="0" t="n">
        <v>7324</v>
      </c>
      <c r="E2942" s="0" t="n">
        <v>0</v>
      </c>
      <c r="F2942" s="46" t="s">
        <v>1443</v>
      </c>
      <c r="I2942" s="46" t="s">
        <v>179</v>
      </c>
      <c r="U2942" s="0" t="n">
        <v>274</v>
      </c>
      <c r="V2942" s="0" t="n">
        <v>0</v>
      </c>
      <c r="X2942" s="46" t="n">
        <f aca="false">IF(I2942="Male",0,1)</f>
        <v>1</v>
      </c>
      <c r="Y2942" s="46" t="n">
        <f aca="false">IF(OR(I2942="DNB",I2942="Dry DNB"),1,0)</f>
        <v>0</v>
      </c>
      <c r="Z2942" s="0" t="str">
        <f aca="false">IF(ISNUMBER(W2942),A2942-W2942,"")</f>
        <v/>
      </c>
      <c r="AA2942" s="46" t="n">
        <f aca="false">MATCH(A2942,DATAS,0)</f>
        <v>1</v>
      </c>
      <c r="AB2942" s="46" t="n">
        <f aca="false">IF(AND(E2942&gt;0,OR(AND(B2942&gt;=1,B2942&lt;=6),B2942=10)),1,0)</f>
        <v>0</v>
      </c>
      <c r="AC2942" s="46" t="n">
        <f aca="false">IF(AND(E2942&gt;0,B2942=10),1,0)</f>
        <v>0</v>
      </c>
      <c r="AD2942" s="0" t="str">
        <f aca="false">IF(AND(C2941=C2942,AA2941=AA2942-1),AB2941,"")</f>
        <v/>
      </c>
      <c r="AE2942" s="0" t="str">
        <f aca="false">IF(AND(C2941=C2942,AA2941=AA2942-1),AC2941,"")</f>
        <v/>
      </c>
      <c r="AF2942" s="0" t="str">
        <f aca="false">IF(AA2942=1,"",IF(AND(AB2942=1,AD2942&lt;&gt;1),1,0))</f>
        <v/>
      </c>
      <c r="AG2942" s="0" t="str">
        <f aca="false">IF(AA2942=1,"",IF(AND(AC2942=1,AE2942&lt;&gt;1),1,0))</f>
        <v/>
      </c>
      <c r="AH2942" s="51" t="str">
        <f aca="false">IF(AND(E2942&gt;0,AA2942&lt;1,NOT(AND(C2943=C2942,AA2943=AA2942+1))),INDEX(DATAS,AA2942+1),"")</f>
        <v/>
      </c>
      <c r="AI2942" s="51" t="str">
        <f aca="false">IF(AND(AC2942=1,AA2942&lt;1),IF(AND(C2943=C2942,AA2943=AA2942+1),IF(AC2943=1,"",INDEX(DATAS,AA2942+1)),INDEX(DATAS,AA2942+1)),"")</f>
        <v/>
      </c>
    </row>
    <row r="2943" customFormat="false" ht="15" hidden="false" customHeight="false" outlineLevel="0" collapsed="false">
      <c r="A2943" s="51" t="n">
        <v>46309</v>
      </c>
      <c r="B2943" s="0" t="n">
        <v>13</v>
      </c>
      <c r="C2943" s="0" t="n">
        <v>7326</v>
      </c>
      <c r="E2943" s="0" t="n">
        <v>0</v>
      </c>
      <c r="F2943" s="46" t="s">
        <v>1444</v>
      </c>
      <c r="I2943" s="46" t="s">
        <v>179</v>
      </c>
      <c r="U2943" s="0" t="n">
        <v>273</v>
      </c>
      <c r="V2943" s="0" t="n">
        <v>0</v>
      </c>
      <c r="X2943" s="46" t="n">
        <f aca="false">IF(I2943="Male",0,1)</f>
        <v>1</v>
      </c>
      <c r="Y2943" s="46" t="n">
        <f aca="false">IF(OR(I2943="DNB",I2943="Dry DNB"),1,0)</f>
        <v>0</v>
      </c>
      <c r="Z2943" s="0" t="str">
        <f aca="false">IF(ISNUMBER(W2943),A2943-W2943,"")</f>
        <v/>
      </c>
      <c r="AA2943" s="46" t="n">
        <f aca="false">MATCH(A2943,DATAS,0)</f>
        <v>1</v>
      </c>
      <c r="AB2943" s="46" t="n">
        <f aca="false">IF(AND(E2943&gt;0,OR(AND(B2943&gt;=1,B2943&lt;=6),B2943=10)),1,0)</f>
        <v>0</v>
      </c>
      <c r="AC2943" s="46" t="n">
        <f aca="false">IF(AND(E2943&gt;0,B2943=10),1,0)</f>
        <v>0</v>
      </c>
      <c r="AD2943" s="0" t="str">
        <f aca="false">IF(AND(C2942=C2943,AA2942=AA2943-1),AB2942,"")</f>
        <v/>
      </c>
      <c r="AE2943" s="0" t="str">
        <f aca="false">IF(AND(C2942=C2943,AA2942=AA2943-1),AC2942,"")</f>
        <v/>
      </c>
      <c r="AF2943" s="0" t="str">
        <f aca="false">IF(AA2943=1,"",IF(AND(AB2943=1,AD2943&lt;&gt;1),1,0))</f>
        <v/>
      </c>
      <c r="AG2943" s="0" t="str">
        <f aca="false">IF(AA2943=1,"",IF(AND(AC2943=1,AE2943&lt;&gt;1),1,0))</f>
        <v/>
      </c>
      <c r="AH2943" s="51" t="str">
        <f aca="false">IF(AND(E2943&gt;0,AA2943&lt;1,NOT(AND(C2944=C2943,AA2944=AA2943+1))),INDEX(DATAS,AA2943+1),"")</f>
        <v/>
      </c>
      <c r="AI2943" s="51" t="str">
        <f aca="false">IF(AND(AC2943=1,AA2943&lt;1),IF(AND(C2944=C2943,AA2944=AA2943+1),IF(AC2944=1,"",INDEX(DATAS,AA2943+1)),INDEX(DATAS,AA2943+1)),"")</f>
        <v/>
      </c>
    </row>
    <row r="2944" customFormat="false" ht="15" hidden="false" customHeight="false" outlineLevel="0" collapsed="false">
      <c r="A2944" s="51" t="n">
        <v>46309</v>
      </c>
      <c r="B2944" s="0" t="n">
        <v>13</v>
      </c>
      <c r="C2944" s="0" t="n">
        <v>7327</v>
      </c>
      <c r="E2944" s="0" t="n">
        <v>0</v>
      </c>
      <c r="F2944" s="46" t="s">
        <v>1445</v>
      </c>
      <c r="I2944" s="46" t="s">
        <v>179</v>
      </c>
      <c r="U2944" s="0" t="n">
        <v>272</v>
      </c>
      <c r="V2944" s="0" t="n">
        <v>0</v>
      </c>
      <c r="X2944" s="46" t="n">
        <f aca="false">IF(I2944="Male",0,1)</f>
        <v>1</v>
      </c>
      <c r="Y2944" s="46" t="n">
        <f aca="false">IF(OR(I2944="DNB",I2944="Dry DNB"),1,0)</f>
        <v>0</v>
      </c>
      <c r="Z2944" s="0" t="str">
        <f aca="false">IF(ISNUMBER(W2944),A2944-W2944,"")</f>
        <v/>
      </c>
      <c r="AA2944" s="46" t="n">
        <f aca="false">MATCH(A2944,DATAS,0)</f>
        <v>1</v>
      </c>
      <c r="AB2944" s="46" t="n">
        <f aca="false">IF(AND(E2944&gt;0,OR(AND(B2944&gt;=1,B2944&lt;=6),B2944=10)),1,0)</f>
        <v>0</v>
      </c>
      <c r="AC2944" s="46" t="n">
        <f aca="false">IF(AND(E2944&gt;0,B2944=10),1,0)</f>
        <v>0</v>
      </c>
      <c r="AD2944" s="0" t="str">
        <f aca="false">IF(AND(C2943=C2944,AA2943=AA2944-1),AB2943,"")</f>
        <v/>
      </c>
      <c r="AE2944" s="0" t="str">
        <f aca="false">IF(AND(C2943=C2944,AA2943=AA2944-1),AC2943,"")</f>
        <v/>
      </c>
      <c r="AF2944" s="0" t="str">
        <f aca="false">IF(AA2944=1,"",IF(AND(AB2944=1,AD2944&lt;&gt;1),1,0))</f>
        <v/>
      </c>
      <c r="AG2944" s="0" t="str">
        <f aca="false">IF(AA2944=1,"",IF(AND(AC2944=1,AE2944&lt;&gt;1),1,0))</f>
        <v/>
      </c>
      <c r="AH2944" s="51" t="str">
        <f aca="false">IF(AND(E2944&gt;0,AA2944&lt;1,NOT(AND(C2945=C2944,AA2945=AA2944+1))),INDEX(DATAS,AA2944+1),"")</f>
        <v/>
      </c>
      <c r="AI2944" s="51" t="str">
        <f aca="false">IF(AND(AC2944=1,AA2944&lt;1),IF(AND(C2945=C2944,AA2945=AA2944+1),IF(AC2945=1,"",INDEX(DATAS,AA2944+1)),INDEX(DATAS,AA2944+1)),"")</f>
        <v/>
      </c>
    </row>
    <row r="2945" customFormat="false" ht="15" hidden="false" customHeight="false" outlineLevel="0" collapsed="false">
      <c r="A2945" s="51" t="n">
        <v>46309</v>
      </c>
      <c r="B2945" s="0" t="n">
        <v>13</v>
      </c>
      <c r="C2945" s="0" t="n">
        <v>7328</v>
      </c>
      <c r="E2945" s="0" t="n">
        <v>0</v>
      </c>
      <c r="F2945" s="46" t="s">
        <v>1446</v>
      </c>
      <c r="I2945" s="46" t="s">
        <v>179</v>
      </c>
      <c r="U2945" s="0" t="n">
        <v>271</v>
      </c>
      <c r="V2945" s="0" t="n">
        <v>0</v>
      </c>
      <c r="X2945" s="46" t="n">
        <f aca="false">IF(I2945="Male",0,1)</f>
        <v>1</v>
      </c>
      <c r="Y2945" s="46" t="n">
        <f aca="false">IF(OR(I2945="DNB",I2945="Dry DNB"),1,0)</f>
        <v>0</v>
      </c>
      <c r="Z2945" s="0" t="str">
        <f aca="false">IF(ISNUMBER(W2945),A2945-W2945,"")</f>
        <v/>
      </c>
      <c r="AA2945" s="46" t="n">
        <f aca="false">MATCH(A2945,DATAS,0)</f>
        <v>1</v>
      </c>
      <c r="AB2945" s="46" t="n">
        <f aca="false">IF(AND(E2945&gt;0,OR(AND(B2945&gt;=1,B2945&lt;=6),B2945=10)),1,0)</f>
        <v>0</v>
      </c>
      <c r="AC2945" s="46" t="n">
        <f aca="false">IF(AND(E2945&gt;0,B2945=10),1,0)</f>
        <v>0</v>
      </c>
      <c r="AD2945" s="0" t="str">
        <f aca="false">IF(AND(C2944=C2945,AA2944=AA2945-1),AB2944,"")</f>
        <v/>
      </c>
      <c r="AE2945" s="0" t="str">
        <f aca="false">IF(AND(C2944=C2945,AA2944=AA2945-1),AC2944,"")</f>
        <v/>
      </c>
      <c r="AF2945" s="0" t="str">
        <f aca="false">IF(AA2945=1,"",IF(AND(AB2945=1,AD2945&lt;&gt;1),1,0))</f>
        <v/>
      </c>
      <c r="AG2945" s="0" t="str">
        <f aca="false">IF(AA2945=1,"",IF(AND(AC2945=1,AE2945&lt;&gt;1),1,0))</f>
        <v/>
      </c>
      <c r="AH2945" s="51" t="str">
        <f aca="false">IF(AND(E2945&gt;0,AA2945&lt;1,NOT(AND(C2946=C2945,AA2946=AA2945+1))),INDEX(DATAS,AA2945+1),"")</f>
        <v/>
      </c>
      <c r="AI2945" s="51" t="str">
        <f aca="false">IF(AND(AC2945=1,AA2945&lt;1),IF(AND(C2946=C2945,AA2946=AA2945+1),IF(AC2946=1,"",INDEX(DATAS,AA2945+1)),INDEX(DATAS,AA2945+1)),"")</f>
        <v/>
      </c>
    </row>
    <row r="2946" customFormat="false" ht="15" hidden="false" customHeight="false" outlineLevel="0" collapsed="false">
      <c r="A2946" s="51" t="n">
        <v>46309</v>
      </c>
      <c r="B2946" s="0" t="n">
        <v>13</v>
      </c>
      <c r="C2946" s="0" t="n">
        <v>7329</v>
      </c>
      <c r="E2946" s="0" t="n">
        <v>0</v>
      </c>
      <c r="F2946" s="46" t="s">
        <v>1446</v>
      </c>
      <c r="I2946" s="46" t="s">
        <v>179</v>
      </c>
      <c r="U2946" s="0" t="n">
        <v>271</v>
      </c>
      <c r="V2946" s="0" t="n">
        <v>0</v>
      </c>
      <c r="X2946" s="46" t="n">
        <f aca="false">IF(I2946="Male",0,1)</f>
        <v>1</v>
      </c>
      <c r="Y2946" s="46" t="n">
        <f aca="false">IF(OR(I2946="DNB",I2946="Dry DNB"),1,0)</f>
        <v>0</v>
      </c>
      <c r="Z2946" s="0" t="str">
        <f aca="false">IF(ISNUMBER(W2946),A2946-W2946,"")</f>
        <v/>
      </c>
      <c r="AA2946" s="46" t="n">
        <f aca="false">MATCH(A2946,DATAS,0)</f>
        <v>1</v>
      </c>
      <c r="AB2946" s="46" t="n">
        <f aca="false">IF(AND(E2946&gt;0,OR(AND(B2946&gt;=1,B2946&lt;=6),B2946=10)),1,0)</f>
        <v>0</v>
      </c>
      <c r="AC2946" s="46" t="n">
        <f aca="false">IF(AND(E2946&gt;0,B2946=10),1,0)</f>
        <v>0</v>
      </c>
      <c r="AD2946" s="0" t="str">
        <f aca="false">IF(AND(C2945=C2946,AA2945=AA2946-1),AB2945,"")</f>
        <v/>
      </c>
      <c r="AE2946" s="0" t="str">
        <f aca="false">IF(AND(C2945=C2946,AA2945=AA2946-1),AC2945,"")</f>
        <v/>
      </c>
      <c r="AF2946" s="0" t="str">
        <f aca="false">IF(AA2946=1,"",IF(AND(AB2946=1,AD2946&lt;&gt;1),1,0))</f>
        <v/>
      </c>
      <c r="AG2946" s="0" t="str">
        <f aca="false">IF(AA2946=1,"",IF(AND(AC2946=1,AE2946&lt;&gt;1),1,0))</f>
        <v/>
      </c>
      <c r="AH2946" s="51" t="str">
        <f aca="false">IF(AND(E2946&gt;0,AA2946&lt;1,NOT(AND(C2947=C2946,AA2947=AA2946+1))),INDEX(DATAS,AA2946+1),"")</f>
        <v/>
      </c>
      <c r="AI2946" s="51" t="str">
        <f aca="false">IF(AND(AC2946=1,AA2946&lt;1),IF(AND(C2947=C2946,AA2947=AA2946+1),IF(AC2947=1,"",INDEX(DATAS,AA2946+1)),INDEX(DATAS,AA2946+1)),"")</f>
        <v/>
      </c>
    </row>
    <row r="2947" customFormat="false" ht="15" hidden="false" customHeight="false" outlineLevel="0" collapsed="false">
      <c r="A2947" s="51" t="n">
        <v>46309</v>
      </c>
      <c r="B2947" s="0" t="n">
        <v>13</v>
      </c>
      <c r="C2947" s="0" t="n">
        <v>7330</v>
      </c>
      <c r="E2947" s="0" t="n">
        <v>0</v>
      </c>
      <c r="F2947" s="46" t="s">
        <v>1446</v>
      </c>
      <c r="I2947" s="46" t="s">
        <v>179</v>
      </c>
      <c r="U2947" s="0" t="n">
        <v>271</v>
      </c>
      <c r="V2947" s="0" t="n">
        <v>0</v>
      </c>
      <c r="X2947" s="46" t="n">
        <f aca="false">IF(I2947="Male",0,1)</f>
        <v>1</v>
      </c>
      <c r="Y2947" s="46" t="n">
        <f aca="false">IF(OR(I2947="DNB",I2947="Dry DNB"),1,0)</f>
        <v>0</v>
      </c>
      <c r="Z2947" s="0" t="str">
        <f aca="false">IF(ISNUMBER(W2947),A2947-W2947,"")</f>
        <v/>
      </c>
      <c r="AA2947" s="46" t="n">
        <f aca="false">MATCH(A2947,DATAS,0)</f>
        <v>1</v>
      </c>
      <c r="AB2947" s="46" t="n">
        <f aca="false">IF(AND(E2947&gt;0,OR(AND(B2947&gt;=1,B2947&lt;=6),B2947=10)),1,0)</f>
        <v>0</v>
      </c>
      <c r="AC2947" s="46" t="n">
        <f aca="false">IF(AND(E2947&gt;0,B2947=10),1,0)</f>
        <v>0</v>
      </c>
      <c r="AD2947" s="0" t="str">
        <f aca="false">IF(AND(C2946=C2947,AA2946=AA2947-1),AB2946,"")</f>
        <v/>
      </c>
      <c r="AE2947" s="0" t="str">
        <f aca="false">IF(AND(C2946=C2947,AA2946=AA2947-1),AC2946,"")</f>
        <v/>
      </c>
      <c r="AF2947" s="0" t="str">
        <f aca="false">IF(AA2947=1,"",IF(AND(AB2947=1,AD2947&lt;&gt;1),1,0))</f>
        <v/>
      </c>
      <c r="AG2947" s="0" t="str">
        <f aca="false">IF(AA2947=1,"",IF(AND(AC2947=1,AE2947&lt;&gt;1),1,0))</f>
        <v/>
      </c>
      <c r="AH2947" s="51" t="str">
        <f aca="false">IF(AND(E2947&gt;0,AA2947&lt;1,NOT(AND(C2948=C2947,AA2948=AA2947+1))),INDEX(DATAS,AA2947+1),"")</f>
        <v/>
      </c>
      <c r="AI2947" s="51" t="str">
        <f aca="false">IF(AND(AC2947=1,AA2947&lt;1),IF(AND(C2948=C2947,AA2948=AA2947+1),IF(AC2948=1,"",INDEX(DATAS,AA2947+1)),INDEX(DATAS,AA2947+1)),"")</f>
        <v/>
      </c>
    </row>
    <row r="2948" customFormat="false" ht="15" hidden="false" customHeight="false" outlineLevel="0" collapsed="false">
      <c r="A2948" s="51" t="n">
        <v>46309</v>
      </c>
      <c r="B2948" s="0" t="n">
        <v>13</v>
      </c>
      <c r="C2948" s="0" t="n">
        <v>7331</v>
      </c>
      <c r="E2948" s="0" t="n">
        <v>0</v>
      </c>
      <c r="F2948" s="46" t="s">
        <v>1446</v>
      </c>
      <c r="I2948" s="46" t="s">
        <v>179</v>
      </c>
      <c r="U2948" s="0" t="n">
        <v>271</v>
      </c>
      <c r="V2948" s="0" t="n">
        <v>0</v>
      </c>
      <c r="X2948" s="46" t="n">
        <f aca="false">IF(I2948="Male",0,1)</f>
        <v>1</v>
      </c>
      <c r="Y2948" s="46" t="n">
        <f aca="false">IF(OR(I2948="DNB",I2948="Dry DNB"),1,0)</f>
        <v>0</v>
      </c>
      <c r="Z2948" s="0" t="str">
        <f aca="false">IF(ISNUMBER(W2948),A2948-W2948,"")</f>
        <v/>
      </c>
      <c r="AA2948" s="46" t="n">
        <f aca="false">MATCH(A2948,DATAS,0)</f>
        <v>1</v>
      </c>
      <c r="AB2948" s="46" t="n">
        <f aca="false">IF(AND(E2948&gt;0,OR(AND(B2948&gt;=1,B2948&lt;=6),B2948=10)),1,0)</f>
        <v>0</v>
      </c>
      <c r="AC2948" s="46" t="n">
        <f aca="false">IF(AND(E2948&gt;0,B2948=10),1,0)</f>
        <v>0</v>
      </c>
      <c r="AD2948" s="0" t="str">
        <f aca="false">IF(AND(C2947=C2948,AA2947=AA2948-1),AB2947,"")</f>
        <v/>
      </c>
      <c r="AE2948" s="0" t="str">
        <f aca="false">IF(AND(C2947=C2948,AA2947=AA2948-1),AC2947,"")</f>
        <v/>
      </c>
      <c r="AF2948" s="0" t="str">
        <f aca="false">IF(AA2948=1,"",IF(AND(AB2948=1,AD2948&lt;&gt;1),1,0))</f>
        <v/>
      </c>
      <c r="AG2948" s="0" t="str">
        <f aca="false">IF(AA2948=1,"",IF(AND(AC2948=1,AE2948&lt;&gt;1),1,0))</f>
        <v/>
      </c>
      <c r="AH2948" s="51" t="str">
        <f aca="false">IF(AND(E2948&gt;0,AA2948&lt;1,NOT(AND(C2949=C2948,AA2949=AA2948+1))),INDEX(DATAS,AA2948+1),"")</f>
        <v/>
      </c>
      <c r="AI2948" s="51" t="str">
        <f aca="false">IF(AND(AC2948=1,AA2948&lt;1),IF(AND(C2949=C2948,AA2949=AA2948+1),IF(AC2949=1,"",INDEX(DATAS,AA2948+1)),INDEX(DATAS,AA2948+1)),"")</f>
        <v/>
      </c>
    </row>
    <row r="2949" customFormat="false" ht="15" hidden="false" customHeight="false" outlineLevel="0" collapsed="false">
      <c r="A2949" s="51" t="n">
        <v>46309</v>
      </c>
      <c r="B2949" s="0" t="n">
        <v>13</v>
      </c>
      <c r="C2949" s="0" t="n">
        <v>7332</v>
      </c>
      <c r="E2949" s="0" t="n">
        <v>0</v>
      </c>
      <c r="F2949" s="46" t="s">
        <v>1447</v>
      </c>
      <c r="I2949" s="46" t="s">
        <v>179</v>
      </c>
      <c r="U2949" s="0" t="n">
        <v>270</v>
      </c>
      <c r="V2949" s="0" t="n">
        <v>0</v>
      </c>
      <c r="X2949" s="46" t="n">
        <f aca="false">IF(I2949="Male",0,1)</f>
        <v>1</v>
      </c>
      <c r="Y2949" s="46" t="n">
        <f aca="false">IF(OR(I2949="DNB",I2949="Dry DNB"),1,0)</f>
        <v>0</v>
      </c>
      <c r="Z2949" s="0" t="str">
        <f aca="false">IF(ISNUMBER(W2949),A2949-W2949,"")</f>
        <v/>
      </c>
      <c r="AA2949" s="46" t="n">
        <f aca="false">MATCH(A2949,DATAS,0)</f>
        <v>1</v>
      </c>
      <c r="AB2949" s="46" t="n">
        <f aca="false">IF(AND(E2949&gt;0,OR(AND(B2949&gt;=1,B2949&lt;=6),B2949=10)),1,0)</f>
        <v>0</v>
      </c>
      <c r="AC2949" s="46" t="n">
        <f aca="false">IF(AND(E2949&gt;0,B2949=10),1,0)</f>
        <v>0</v>
      </c>
      <c r="AD2949" s="0" t="str">
        <f aca="false">IF(AND(C2948=C2949,AA2948=AA2949-1),AB2948,"")</f>
        <v/>
      </c>
      <c r="AE2949" s="0" t="str">
        <f aca="false">IF(AND(C2948=C2949,AA2948=AA2949-1),AC2948,"")</f>
        <v/>
      </c>
      <c r="AF2949" s="0" t="str">
        <f aca="false">IF(AA2949=1,"",IF(AND(AB2949=1,AD2949&lt;&gt;1),1,0))</f>
        <v/>
      </c>
      <c r="AG2949" s="0" t="str">
        <f aca="false">IF(AA2949=1,"",IF(AND(AC2949=1,AE2949&lt;&gt;1),1,0))</f>
        <v/>
      </c>
      <c r="AH2949" s="51" t="str">
        <f aca="false">IF(AND(E2949&gt;0,AA2949&lt;1,NOT(AND(C2950=C2949,AA2950=AA2949+1))),INDEX(DATAS,AA2949+1),"")</f>
        <v/>
      </c>
      <c r="AI2949" s="51" t="str">
        <f aca="false">IF(AND(AC2949=1,AA2949&lt;1),IF(AND(C2950=C2949,AA2950=AA2949+1),IF(AC2950=1,"",INDEX(DATAS,AA2949+1)),INDEX(DATAS,AA2949+1)),"")</f>
        <v/>
      </c>
    </row>
    <row r="2950" customFormat="false" ht="15" hidden="false" customHeight="false" outlineLevel="0" collapsed="false">
      <c r="A2950" s="51" t="n">
        <v>46309</v>
      </c>
      <c r="B2950" s="0" t="n">
        <v>13</v>
      </c>
      <c r="C2950" s="0" t="n">
        <v>7333</v>
      </c>
      <c r="E2950" s="0" t="n">
        <v>0</v>
      </c>
      <c r="F2950" s="46" t="s">
        <v>1447</v>
      </c>
      <c r="I2950" s="46" t="s">
        <v>179</v>
      </c>
      <c r="U2950" s="0" t="n">
        <v>270</v>
      </c>
      <c r="V2950" s="0" t="n">
        <v>0</v>
      </c>
      <c r="X2950" s="46" t="n">
        <f aca="false">IF(I2950="Male",0,1)</f>
        <v>1</v>
      </c>
      <c r="Y2950" s="46" t="n">
        <f aca="false">IF(OR(I2950="DNB",I2950="Dry DNB"),1,0)</f>
        <v>0</v>
      </c>
      <c r="Z2950" s="0" t="str">
        <f aca="false">IF(ISNUMBER(W2950),A2950-W2950,"")</f>
        <v/>
      </c>
      <c r="AA2950" s="46" t="n">
        <f aca="false">MATCH(A2950,DATAS,0)</f>
        <v>1</v>
      </c>
      <c r="AB2950" s="46" t="n">
        <f aca="false">IF(AND(E2950&gt;0,OR(AND(B2950&gt;=1,B2950&lt;=6),B2950=10)),1,0)</f>
        <v>0</v>
      </c>
      <c r="AC2950" s="46" t="n">
        <f aca="false">IF(AND(E2950&gt;0,B2950=10),1,0)</f>
        <v>0</v>
      </c>
      <c r="AD2950" s="0" t="str">
        <f aca="false">IF(AND(C2949=C2950,AA2949=AA2950-1),AB2949,"")</f>
        <v/>
      </c>
      <c r="AE2950" s="0" t="str">
        <f aca="false">IF(AND(C2949=C2950,AA2949=AA2950-1),AC2949,"")</f>
        <v/>
      </c>
      <c r="AF2950" s="0" t="str">
        <f aca="false">IF(AA2950=1,"",IF(AND(AB2950=1,AD2950&lt;&gt;1),1,0))</f>
        <v/>
      </c>
      <c r="AG2950" s="0" t="str">
        <f aca="false">IF(AA2950=1,"",IF(AND(AC2950=1,AE2950&lt;&gt;1),1,0))</f>
        <v/>
      </c>
      <c r="AH2950" s="51" t="str">
        <f aca="false">IF(AND(E2950&gt;0,AA2950&lt;1,NOT(AND(C2951=C2950,AA2951=AA2950+1))),INDEX(DATAS,AA2950+1),"")</f>
        <v/>
      </c>
      <c r="AI2950" s="51" t="str">
        <f aca="false">IF(AND(AC2950=1,AA2950&lt;1),IF(AND(C2951=C2950,AA2951=AA2950+1),IF(AC2951=1,"",INDEX(DATAS,AA2950+1)),INDEX(DATAS,AA2950+1)),"")</f>
        <v/>
      </c>
    </row>
    <row r="2951" customFormat="false" ht="15" hidden="false" customHeight="false" outlineLevel="0" collapsed="false">
      <c r="A2951" s="51" t="n">
        <v>46309</v>
      </c>
      <c r="B2951" s="0" t="n">
        <v>13</v>
      </c>
      <c r="C2951" s="0" t="n">
        <v>7334</v>
      </c>
      <c r="E2951" s="0" t="n">
        <v>0</v>
      </c>
      <c r="F2951" s="46" t="s">
        <v>1447</v>
      </c>
      <c r="I2951" s="46" t="s">
        <v>179</v>
      </c>
      <c r="U2951" s="0" t="n">
        <v>270</v>
      </c>
      <c r="V2951" s="0" t="n">
        <v>0</v>
      </c>
      <c r="X2951" s="46" t="n">
        <f aca="false">IF(I2951="Male",0,1)</f>
        <v>1</v>
      </c>
      <c r="Y2951" s="46" t="n">
        <f aca="false">IF(OR(I2951="DNB",I2951="Dry DNB"),1,0)</f>
        <v>0</v>
      </c>
      <c r="Z2951" s="0" t="str">
        <f aca="false">IF(ISNUMBER(W2951),A2951-W2951,"")</f>
        <v/>
      </c>
      <c r="AA2951" s="46" t="n">
        <f aca="false">MATCH(A2951,DATAS,0)</f>
        <v>1</v>
      </c>
      <c r="AB2951" s="46" t="n">
        <f aca="false">IF(AND(E2951&gt;0,OR(AND(B2951&gt;=1,B2951&lt;=6),B2951=10)),1,0)</f>
        <v>0</v>
      </c>
      <c r="AC2951" s="46" t="n">
        <f aca="false">IF(AND(E2951&gt;0,B2951=10),1,0)</f>
        <v>0</v>
      </c>
      <c r="AD2951" s="0" t="str">
        <f aca="false">IF(AND(C2950=C2951,AA2950=AA2951-1),AB2950,"")</f>
        <v/>
      </c>
      <c r="AE2951" s="0" t="str">
        <f aca="false">IF(AND(C2950=C2951,AA2950=AA2951-1),AC2950,"")</f>
        <v/>
      </c>
      <c r="AF2951" s="0" t="str">
        <f aca="false">IF(AA2951=1,"",IF(AND(AB2951=1,AD2951&lt;&gt;1),1,0))</f>
        <v/>
      </c>
      <c r="AG2951" s="0" t="str">
        <f aca="false">IF(AA2951=1,"",IF(AND(AC2951=1,AE2951&lt;&gt;1),1,0))</f>
        <v/>
      </c>
      <c r="AH2951" s="51" t="str">
        <f aca="false">IF(AND(E2951&gt;0,AA2951&lt;1,NOT(AND(C2952=C2951,AA2952=AA2951+1))),INDEX(DATAS,AA2951+1),"")</f>
        <v/>
      </c>
      <c r="AI2951" s="51" t="str">
        <f aca="false">IF(AND(AC2951=1,AA2951&lt;1),IF(AND(C2952=C2951,AA2952=AA2951+1),IF(AC2952=1,"",INDEX(DATAS,AA2951+1)),INDEX(DATAS,AA2951+1)),"")</f>
        <v/>
      </c>
    </row>
    <row r="2952" customFormat="false" ht="15" hidden="false" customHeight="false" outlineLevel="0" collapsed="false">
      <c r="A2952" s="51" t="n">
        <v>46309</v>
      </c>
      <c r="B2952" s="0" t="n">
        <v>13</v>
      </c>
      <c r="C2952" s="0" t="n">
        <v>7335</v>
      </c>
      <c r="E2952" s="0" t="n">
        <v>0</v>
      </c>
      <c r="F2952" s="46" t="s">
        <v>1447</v>
      </c>
      <c r="I2952" s="46" t="s">
        <v>179</v>
      </c>
      <c r="U2952" s="0" t="n">
        <v>270</v>
      </c>
      <c r="V2952" s="0" t="n">
        <v>0</v>
      </c>
      <c r="X2952" s="46" t="n">
        <f aca="false">IF(I2952="Male",0,1)</f>
        <v>1</v>
      </c>
      <c r="Y2952" s="46" t="n">
        <f aca="false">IF(OR(I2952="DNB",I2952="Dry DNB"),1,0)</f>
        <v>0</v>
      </c>
      <c r="Z2952" s="0" t="str">
        <f aca="false">IF(ISNUMBER(W2952),A2952-W2952,"")</f>
        <v/>
      </c>
      <c r="AA2952" s="46" t="n">
        <f aca="false">MATCH(A2952,DATAS,0)</f>
        <v>1</v>
      </c>
      <c r="AB2952" s="46" t="n">
        <f aca="false">IF(AND(E2952&gt;0,OR(AND(B2952&gt;=1,B2952&lt;=6),B2952=10)),1,0)</f>
        <v>0</v>
      </c>
      <c r="AC2952" s="46" t="n">
        <f aca="false">IF(AND(E2952&gt;0,B2952=10),1,0)</f>
        <v>0</v>
      </c>
      <c r="AD2952" s="0" t="str">
        <f aca="false">IF(AND(C2951=C2952,AA2951=AA2952-1),AB2951,"")</f>
        <v/>
      </c>
      <c r="AE2952" s="0" t="str">
        <f aca="false">IF(AND(C2951=C2952,AA2951=AA2952-1),AC2951,"")</f>
        <v/>
      </c>
      <c r="AF2952" s="0" t="str">
        <f aca="false">IF(AA2952=1,"",IF(AND(AB2952=1,AD2952&lt;&gt;1),1,0))</f>
        <v/>
      </c>
      <c r="AG2952" s="0" t="str">
        <f aca="false">IF(AA2952=1,"",IF(AND(AC2952=1,AE2952&lt;&gt;1),1,0))</f>
        <v/>
      </c>
      <c r="AH2952" s="51" t="str">
        <f aca="false">IF(AND(E2952&gt;0,AA2952&lt;1,NOT(AND(C2953=C2952,AA2953=AA2952+1))),INDEX(DATAS,AA2952+1),"")</f>
        <v/>
      </c>
      <c r="AI2952" s="51" t="str">
        <f aca="false">IF(AND(AC2952=1,AA2952&lt;1),IF(AND(C2953=C2952,AA2953=AA2952+1),IF(AC2953=1,"",INDEX(DATAS,AA2952+1)),INDEX(DATAS,AA2952+1)),"")</f>
        <v/>
      </c>
    </row>
    <row r="2953" customFormat="false" ht="15" hidden="false" customHeight="false" outlineLevel="0" collapsed="false">
      <c r="A2953" s="51" t="n">
        <v>46309</v>
      </c>
      <c r="B2953" s="0" t="n">
        <v>13</v>
      </c>
      <c r="C2953" s="0" t="n">
        <v>7336</v>
      </c>
      <c r="E2953" s="0" t="n">
        <v>0</v>
      </c>
      <c r="F2953" s="46" t="s">
        <v>1447</v>
      </c>
      <c r="I2953" s="46" t="s">
        <v>179</v>
      </c>
      <c r="U2953" s="0" t="n">
        <v>270</v>
      </c>
      <c r="V2953" s="0" t="n">
        <v>0</v>
      </c>
      <c r="X2953" s="46" t="n">
        <f aca="false">IF(I2953="Male",0,1)</f>
        <v>1</v>
      </c>
      <c r="Y2953" s="46" t="n">
        <f aca="false">IF(OR(I2953="DNB",I2953="Dry DNB"),1,0)</f>
        <v>0</v>
      </c>
      <c r="Z2953" s="0" t="str">
        <f aca="false">IF(ISNUMBER(W2953),A2953-W2953,"")</f>
        <v/>
      </c>
      <c r="AA2953" s="46" t="n">
        <f aca="false">MATCH(A2953,DATAS,0)</f>
        <v>1</v>
      </c>
      <c r="AB2953" s="46" t="n">
        <f aca="false">IF(AND(E2953&gt;0,OR(AND(B2953&gt;=1,B2953&lt;=6),B2953=10)),1,0)</f>
        <v>0</v>
      </c>
      <c r="AC2953" s="46" t="n">
        <f aca="false">IF(AND(E2953&gt;0,B2953=10),1,0)</f>
        <v>0</v>
      </c>
      <c r="AD2953" s="0" t="str">
        <f aca="false">IF(AND(C2952=C2953,AA2952=AA2953-1),AB2952,"")</f>
        <v/>
      </c>
      <c r="AE2953" s="0" t="str">
        <f aca="false">IF(AND(C2952=C2953,AA2952=AA2953-1),AC2952,"")</f>
        <v/>
      </c>
      <c r="AF2953" s="0" t="str">
        <f aca="false">IF(AA2953=1,"",IF(AND(AB2953=1,AD2953&lt;&gt;1),1,0))</f>
        <v/>
      </c>
      <c r="AG2953" s="0" t="str">
        <f aca="false">IF(AA2953=1,"",IF(AND(AC2953=1,AE2953&lt;&gt;1),1,0))</f>
        <v/>
      </c>
      <c r="AH2953" s="51" t="str">
        <f aca="false">IF(AND(E2953&gt;0,AA2953&lt;1,NOT(AND(C2954=C2953,AA2954=AA2953+1))),INDEX(DATAS,AA2953+1),"")</f>
        <v/>
      </c>
      <c r="AI2953" s="51" t="str">
        <f aca="false">IF(AND(AC2953=1,AA2953&lt;1),IF(AND(C2954=C2953,AA2954=AA2953+1),IF(AC2954=1,"",INDEX(DATAS,AA2953+1)),INDEX(DATAS,AA2953+1)),"")</f>
        <v/>
      </c>
    </row>
    <row r="2954" customFormat="false" ht="15" hidden="false" customHeight="false" outlineLevel="0" collapsed="false">
      <c r="A2954" s="51" t="n">
        <v>46309</v>
      </c>
      <c r="B2954" s="0" t="n">
        <v>13</v>
      </c>
      <c r="C2954" s="0" t="n">
        <v>7337</v>
      </c>
      <c r="E2954" s="0" t="n">
        <v>0</v>
      </c>
      <c r="F2954" s="46" t="s">
        <v>1447</v>
      </c>
      <c r="I2954" s="46" t="s">
        <v>179</v>
      </c>
      <c r="U2954" s="0" t="n">
        <v>270</v>
      </c>
      <c r="V2954" s="0" t="n">
        <v>0</v>
      </c>
      <c r="X2954" s="46" t="n">
        <f aca="false">IF(I2954="Male",0,1)</f>
        <v>1</v>
      </c>
      <c r="Y2954" s="46" t="n">
        <f aca="false">IF(OR(I2954="DNB",I2954="Dry DNB"),1,0)</f>
        <v>0</v>
      </c>
      <c r="Z2954" s="0" t="str">
        <f aca="false">IF(ISNUMBER(W2954),A2954-W2954,"")</f>
        <v/>
      </c>
      <c r="AA2954" s="46" t="n">
        <f aca="false">MATCH(A2954,DATAS,0)</f>
        <v>1</v>
      </c>
      <c r="AB2954" s="46" t="n">
        <f aca="false">IF(AND(E2954&gt;0,OR(AND(B2954&gt;=1,B2954&lt;=6),B2954=10)),1,0)</f>
        <v>0</v>
      </c>
      <c r="AC2954" s="46" t="n">
        <f aca="false">IF(AND(E2954&gt;0,B2954=10),1,0)</f>
        <v>0</v>
      </c>
      <c r="AD2954" s="0" t="str">
        <f aca="false">IF(AND(C2953=C2954,AA2953=AA2954-1),AB2953,"")</f>
        <v/>
      </c>
      <c r="AE2954" s="0" t="str">
        <f aca="false">IF(AND(C2953=C2954,AA2953=AA2954-1),AC2953,"")</f>
        <v/>
      </c>
      <c r="AF2954" s="0" t="str">
        <f aca="false">IF(AA2954=1,"",IF(AND(AB2954=1,AD2954&lt;&gt;1),1,0))</f>
        <v/>
      </c>
      <c r="AG2954" s="0" t="str">
        <f aca="false">IF(AA2954=1,"",IF(AND(AC2954=1,AE2954&lt;&gt;1),1,0))</f>
        <v/>
      </c>
      <c r="AH2954" s="51" t="str">
        <f aca="false">IF(AND(E2954&gt;0,AA2954&lt;1,NOT(AND(C2955=C2954,AA2955=AA2954+1))),INDEX(DATAS,AA2954+1),"")</f>
        <v/>
      </c>
      <c r="AI2954" s="51" t="str">
        <f aca="false">IF(AND(AC2954=1,AA2954&lt;1),IF(AND(C2955=C2954,AA2955=AA2954+1),IF(AC2955=1,"",INDEX(DATAS,AA2954+1)),INDEX(DATAS,AA2954+1)),"")</f>
        <v/>
      </c>
    </row>
    <row r="2955" customFormat="false" ht="15" hidden="false" customHeight="false" outlineLevel="0" collapsed="false">
      <c r="A2955" s="51" t="n">
        <v>46309</v>
      </c>
      <c r="B2955" s="0" t="n">
        <v>13</v>
      </c>
      <c r="C2955" s="0" t="n">
        <v>7339</v>
      </c>
      <c r="E2955" s="0" t="n">
        <v>0</v>
      </c>
      <c r="F2955" s="46" t="s">
        <v>1448</v>
      </c>
      <c r="I2955" s="46" t="s">
        <v>179</v>
      </c>
      <c r="U2955" s="0" t="n">
        <v>268</v>
      </c>
      <c r="V2955" s="0" t="n">
        <v>0</v>
      </c>
      <c r="X2955" s="46" t="n">
        <f aca="false">IF(I2955="Male",0,1)</f>
        <v>1</v>
      </c>
      <c r="Y2955" s="46" t="n">
        <f aca="false">IF(OR(I2955="DNB",I2955="Dry DNB"),1,0)</f>
        <v>0</v>
      </c>
      <c r="Z2955" s="0" t="str">
        <f aca="false">IF(ISNUMBER(W2955),A2955-W2955,"")</f>
        <v/>
      </c>
      <c r="AA2955" s="46" t="n">
        <f aca="false">MATCH(A2955,DATAS,0)</f>
        <v>1</v>
      </c>
      <c r="AB2955" s="46" t="n">
        <f aca="false">IF(AND(E2955&gt;0,OR(AND(B2955&gt;=1,B2955&lt;=6),B2955=10)),1,0)</f>
        <v>0</v>
      </c>
      <c r="AC2955" s="46" t="n">
        <f aca="false">IF(AND(E2955&gt;0,B2955=10),1,0)</f>
        <v>0</v>
      </c>
      <c r="AD2955" s="0" t="str">
        <f aca="false">IF(AND(C2954=C2955,AA2954=AA2955-1),AB2954,"")</f>
        <v/>
      </c>
      <c r="AE2955" s="0" t="str">
        <f aca="false">IF(AND(C2954=C2955,AA2954=AA2955-1),AC2954,"")</f>
        <v/>
      </c>
      <c r="AF2955" s="0" t="str">
        <f aca="false">IF(AA2955=1,"",IF(AND(AB2955=1,AD2955&lt;&gt;1),1,0))</f>
        <v/>
      </c>
      <c r="AG2955" s="0" t="str">
        <f aca="false">IF(AA2955=1,"",IF(AND(AC2955=1,AE2955&lt;&gt;1),1,0))</f>
        <v/>
      </c>
      <c r="AH2955" s="51" t="str">
        <f aca="false">IF(AND(E2955&gt;0,AA2955&lt;1,NOT(AND(C2956=C2955,AA2956=AA2955+1))),INDEX(DATAS,AA2955+1),"")</f>
        <v/>
      </c>
      <c r="AI2955" s="51" t="str">
        <f aca="false">IF(AND(AC2955=1,AA2955&lt;1),IF(AND(C2956=C2955,AA2956=AA2955+1),IF(AC2956=1,"",INDEX(DATAS,AA2955+1)),INDEX(DATAS,AA2955+1)),"")</f>
        <v/>
      </c>
    </row>
    <row r="2956" customFormat="false" ht="15" hidden="false" customHeight="false" outlineLevel="0" collapsed="false">
      <c r="A2956" s="51" t="n">
        <v>46309</v>
      </c>
      <c r="B2956" s="0" t="n">
        <v>13</v>
      </c>
      <c r="C2956" s="0" t="n">
        <v>7340</v>
      </c>
      <c r="E2956" s="0" t="n">
        <v>0</v>
      </c>
      <c r="F2956" s="46" t="s">
        <v>1448</v>
      </c>
      <c r="I2956" s="46" t="s">
        <v>179</v>
      </c>
      <c r="U2956" s="0" t="n">
        <v>268</v>
      </c>
      <c r="V2956" s="0" t="n">
        <v>0</v>
      </c>
      <c r="X2956" s="46" t="n">
        <f aca="false">IF(I2956="Male",0,1)</f>
        <v>1</v>
      </c>
      <c r="Y2956" s="46" t="n">
        <f aca="false">IF(OR(I2956="DNB",I2956="Dry DNB"),1,0)</f>
        <v>0</v>
      </c>
      <c r="Z2956" s="0" t="str">
        <f aca="false">IF(ISNUMBER(W2956),A2956-W2956,"")</f>
        <v/>
      </c>
      <c r="AA2956" s="46" t="n">
        <f aca="false">MATCH(A2956,DATAS,0)</f>
        <v>1</v>
      </c>
      <c r="AB2956" s="46" t="n">
        <f aca="false">IF(AND(E2956&gt;0,OR(AND(B2956&gt;=1,B2956&lt;=6),B2956=10)),1,0)</f>
        <v>0</v>
      </c>
      <c r="AC2956" s="46" t="n">
        <f aca="false">IF(AND(E2956&gt;0,B2956=10),1,0)</f>
        <v>0</v>
      </c>
      <c r="AD2956" s="0" t="str">
        <f aca="false">IF(AND(C2955=C2956,AA2955=AA2956-1),AB2955,"")</f>
        <v/>
      </c>
      <c r="AE2956" s="0" t="str">
        <f aca="false">IF(AND(C2955=C2956,AA2955=AA2956-1),AC2955,"")</f>
        <v/>
      </c>
      <c r="AF2956" s="0" t="str">
        <f aca="false">IF(AA2956=1,"",IF(AND(AB2956=1,AD2956&lt;&gt;1),1,0))</f>
        <v/>
      </c>
      <c r="AG2956" s="0" t="str">
        <f aca="false">IF(AA2956=1,"",IF(AND(AC2956=1,AE2956&lt;&gt;1),1,0))</f>
        <v/>
      </c>
      <c r="AH2956" s="51" t="str">
        <f aca="false">IF(AND(E2956&gt;0,AA2956&lt;1,NOT(AND(C2957=C2956,AA2957=AA2956+1))),INDEX(DATAS,AA2956+1),"")</f>
        <v/>
      </c>
      <c r="AI2956" s="51" t="str">
        <f aca="false">IF(AND(AC2956=1,AA2956&lt;1),IF(AND(C2957=C2956,AA2957=AA2956+1),IF(AC2957=1,"",INDEX(DATAS,AA2956+1)),INDEX(DATAS,AA2956+1)),"")</f>
        <v/>
      </c>
    </row>
    <row r="2957" customFormat="false" ht="15" hidden="false" customHeight="false" outlineLevel="0" collapsed="false">
      <c r="A2957" s="51" t="n">
        <v>46309</v>
      </c>
      <c r="B2957" s="0" t="n">
        <v>13</v>
      </c>
      <c r="C2957" s="0" t="n">
        <v>7341</v>
      </c>
      <c r="E2957" s="0" t="n">
        <v>0</v>
      </c>
      <c r="F2957" s="46" t="s">
        <v>1448</v>
      </c>
      <c r="I2957" s="46" t="s">
        <v>179</v>
      </c>
      <c r="U2957" s="0" t="n">
        <v>268</v>
      </c>
      <c r="V2957" s="0" t="n">
        <v>0</v>
      </c>
      <c r="X2957" s="46" t="n">
        <f aca="false">IF(I2957="Male",0,1)</f>
        <v>1</v>
      </c>
      <c r="Y2957" s="46" t="n">
        <f aca="false">IF(OR(I2957="DNB",I2957="Dry DNB"),1,0)</f>
        <v>0</v>
      </c>
      <c r="Z2957" s="0" t="str">
        <f aca="false">IF(ISNUMBER(W2957),A2957-W2957,"")</f>
        <v/>
      </c>
      <c r="AA2957" s="46" t="n">
        <f aca="false">MATCH(A2957,DATAS,0)</f>
        <v>1</v>
      </c>
      <c r="AB2957" s="46" t="n">
        <f aca="false">IF(AND(E2957&gt;0,OR(AND(B2957&gt;=1,B2957&lt;=6),B2957=10)),1,0)</f>
        <v>0</v>
      </c>
      <c r="AC2957" s="46" t="n">
        <f aca="false">IF(AND(E2957&gt;0,B2957=10),1,0)</f>
        <v>0</v>
      </c>
      <c r="AD2957" s="0" t="str">
        <f aca="false">IF(AND(C2956=C2957,AA2956=AA2957-1),AB2956,"")</f>
        <v/>
      </c>
      <c r="AE2957" s="0" t="str">
        <f aca="false">IF(AND(C2956=C2957,AA2956=AA2957-1),AC2956,"")</f>
        <v/>
      </c>
      <c r="AF2957" s="0" t="str">
        <f aca="false">IF(AA2957=1,"",IF(AND(AB2957=1,AD2957&lt;&gt;1),1,0))</f>
        <v/>
      </c>
      <c r="AG2957" s="0" t="str">
        <f aca="false">IF(AA2957=1,"",IF(AND(AC2957=1,AE2957&lt;&gt;1),1,0))</f>
        <v/>
      </c>
      <c r="AH2957" s="51" t="str">
        <f aca="false">IF(AND(E2957&gt;0,AA2957&lt;1,NOT(AND(C2958=C2957,AA2958=AA2957+1))),INDEX(DATAS,AA2957+1),"")</f>
        <v/>
      </c>
      <c r="AI2957" s="51" t="str">
        <f aca="false">IF(AND(AC2957=1,AA2957&lt;1),IF(AND(C2958=C2957,AA2958=AA2957+1),IF(AC2958=1,"",INDEX(DATAS,AA2957+1)),INDEX(DATAS,AA2957+1)),"")</f>
        <v/>
      </c>
    </row>
    <row r="2958" customFormat="false" ht="15" hidden="false" customHeight="false" outlineLevel="0" collapsed="false">
      <c r="A2958" s="51" t="n">
        <v>46309</v>
      </c>
      <c r="B2958" s="0" t="n">
        <v>13</v>
      </c>
      <c r="C2958" s="0" t="n">
        <v>7342</v>
      </c>
      <c r="E2958" s="0" t="n">
        <v>0</v>
      </c>
      <c r="F2958" s="46" t="s">
        <v>1449</v>
      </c>
      <c r="I2958" s="46" t="s">
        <v>179</v>
      </c>
      <c r="U2958" s="0" t="n">
        <v>267</v>
      </c>
      <c r="V2958" s="0" t="n">
        <v>0</v>
      </c>
      <c r="X2958" s="46" t="n">
        <f aca="false">IF(I2958="Male",0,1)</f>
        <v>1</v>
      </c>
      <c r="Y2958" s="46" t="n">
        <f aca="false">IF(OR(I2958="DNB",I2958="Dry DNB"),1,0)</f>
        <v>0</v>
      </c>
      <c r="Z2958" s="0" t="str">
        <f aca="false">IF(ISNUMBER(W2958),A2958-W2958,"")</f>
        <v/>
      </c>
      <c r="AA2958" s="46" t="n">
        <f aca="false">MATCH(A2958,DATAS,0)</f>
        <v>1</v>
      </c>
      <c r="AB2958" s="46" t="n">
        <f aca="false">IF(AND(E2958&gt;0,OR(AND(B2958&gt;=1,B2958&lt;=6),B2958=10)),1,0)</f>
        <v>0</v>
      </c>
      <c r="AC2958" s="46" t="n">
        <f aca="false">IF(AND(E2958&gt;0,B2958=10),1,0)</f>
        <v>0</v>
      </c>
      <c r="AD2958" s="0" t="str">
        <f aca="false">IF(AND(C2957=C2958,AA2957=AA2958-1),AB2957,"")</f>
        <v/>
      </c>
      <c r="AE2958" s="0" t="str">
        <f aca="false">IF(AND(C2957=C2958,AA2957=AA2958-1),AC2957,"")</f>
        <v/>
      </c>
      <c r="AF2958" s="0" t="str">
        <f aca="false">IF(AA2958=1,"",IF(AND(AB2958=1,AD2958&lt;&gt;1),1,0))</f>
        <v/>
      </c>
      <c r="AG2958" s="0" t="str">
        <f aca="false">IF(AA2958=1,"",IF(AND(AC2958=1,AE2958&lt;&gt;1),1,0))</f>
        <v/>
      </c>
      <c r="AH2958" s="51" t="str">
        <f aca="false">IF(AND(E2958&gt;0,AA2958&lt;1,NOT(AND(C2959=C2958,AA2959=AA2958+1))),INDEX(DATAS,AA2958+1),"")</f>
        <v/>
      </c>
      <c r="AI2958" s="51" t="str">
        <f aca="false">IF(AND(AC2958=1,AA2958&lt;1),IF(AND(C2959=C2958,AA2959=AA2958+1),IF(AC2959=1,"",INDEX(DATAS,AA2958+1)),INDEX(DATAS,AA2958+1)),"")</f>
        <v/>
      </c>
    </row>
    <row r="2959" customFormat="false" ht="15" hidden="false" customHeight="false" outlineLevel="0" collapsed="false">
      <c r="A2959" s="51" t="n">
        <v>46309</v>
      </c>
      <c r="B2959" s="0" t="n">
        <v>13</v>
      </c>
      <c r="C2959" s="0" t="n">
        <v>7343</v>
      </c>
      <c r="E2959" s="0" t="n">
        <v>0</v>
      </c>
      <c r="F2959" s="46" t="s">
        <v>1449</v>
      </c>
      <c r="I2959" s="46" t="s">
        <v>179</v>
      </c>
      <c r="U2959" s="0" t="n">
        <v>267</v>
      </c>
      <c r="V2959" s="0" t="n">
        <v>0</v>
      </c>
      <c r="X2959" s="46" t="n">
        <f aca="false">IF(I2959="Male",0,1)</f>
        <v>1</v>
      </c>
      <c r="Y2959" s="46" t="n">
        <f aca="false">IF(OR(I2959="DNB",I2959="Dry DNB"),1,0)</f>
        <v>0</v>
      </c>
      <c r="Z2959" s="0" t="str">
        <f aca="false">IF(ISNUMBER(W2959),A2959-W2959,"")</f>
        <v/>
      </c>
      <c r="AA2959" s="46" t="n">
        <f aca="false">MATCH(A2959,DATAS,0)</f>
        <v>1</v>
      </c>
      <c r="AB2959" s="46" t="n">
        <f aca="false">IF(AND(E2959&gt;0,OR(AND(B2959&gt;=1,B2959&lt;=6),B2959=10)),1,0)</f>
        <v>0</v>
      </c>
      <c r="AC2959" s="46" t="n">
        <f aca="false">IF(AND(E2959&gt;0,B2959=10),1,0)</f>
        <v>0</v>
      </c>
      <c r="AD2959" s="0" t="str">
        <f aca="false">IF(AND(C2958=C2959,AA2958=AA2959-1),AB2958,"")</f>
        <v/>
      </c>
      <c r="AE2959" s="0" t="str">
        <f aca="false">IF(AND(C2958=C2959,AA2958=AA2959-1),AC2958,"")</f>
        <v/>
      </c>
      <c r="AF2959" s="0" t="str">
        <f aca="false">IF(AA2959=1,"",IF(AND(AB2959=1,AD2959&lt;&gt;1),1,0))</f>
        <v/>
      </c>
      <c r="AG2959" s="0" t="str">
        <f aca="false">IF(AA2959=1,"",IF(AND(AC2959=1,AE2959&lt;&gt;1),1,0))</f>
        <v/>
      </c>
      <c r="AH2959" s="51" t="str">
        <f aca="false">IF(AND(E2959&gt;0,AA2959&lt;1,NOT(AND(C2960=C2959,AA2960=AA2959+1))),INDEX(DATAS,AA2959+1),"")</f>
        <v/>
      </c>
      <c r="AI2959" s="51" t="str">
        <f aca="false">IF(AND(AC2959=1,AA2959&lt;1),IF(AND(C2960=C2959,AA2960=AA2959+1),IF(AC2960=1,"",INDEX(DATAS,AA2959+1)),INDEX(DATAS,AA2959+1)),"")</f>
        <v/>
      </c>
    </row>
    <row r="2960" customFormat="false" ht="15" hidden="false" customHeight="false" outlineLevel="0" collapsed="false">
      <c r="A2960" s="51" t="n">
        <v>46309</v>
      </c>
      <c r="B2960" s="0" t="n">
        <v>13</v>
      </c>
      <c r="C2960" s="0" t="n">
        <v>7345</v>
      </c>
      <c r="E2960" s="0" t="n">
        <v>0</v>
      </c>
      <c r="F2960" s="46" t="s">
        <v>1449</v>
      </c>
      <c r="I2960" s="46" t="s">
        <v>179</v>
      </c>
      <c r="U2960" s="0" t="n">
        <v>267</v>
      </c>
      <c r="V2960" s="0" t="n">
        <v>0</v>
      </c>
      <c r="X2960" s="46" t="n">
        <f aca="false">IF(I2960="Male",0,1)</f>
        <v>1</v>
      </c>
      <c r="Y2960" s="46" t="n">
        <f aca="false">IF(OR(I2960="DNB",I2960="Dry DNB"),1,0)</f>
        <v>0</v>
      </c>
      <c r="Z2960" s="0" t="str">
        <f aca="false">IF(ISNUMBER(W2960),A2960-W2960,"")</f>
        <v/>
      </c>
      <c r="AA2960" s="46" t="n">
        <f aca="false">MATCH(A2960,DATAS,0)</f>
        <v>1</v>
      </c>
      <c r="AB2960" s="46" t="n">
        <f aca="false">IF(AND(E2960&gt;0,OR(AND(B2960&gt;=1,B2960&lt;=6),B2960=10)),1,0)</f>
        <v>0</v>
      </c>
      <c r="AC2960" s="46" t="n">
        <f aca="false">IF(AND(E2960&gt;0,B2960=10),1,0)</f>
        <v>0</v>
      </c>
      <c r="AD2960" s="0" t="str">
        <f aca="false">IF(AND(C2959=C2960,AA2959=AA2960-1),AB2959,"")</f>
        <v/>
      </c>
      <c r="AE2960" s="0" t="str">
        <f aca="false">IF(AND(C2959=C2960,AA2959=AA2960-1),AC2959,"")</f>
        <v/>
      </c>
      <c r="AF2960" s="0" t="str">
        <f aca="false">IF(AA2960=1,"",IF(AND(AB2960=1,AD2960&lt;&gt;1),1,0))</f>
        <v/>
      </c>
      <c r="AG2960" s="0" t="str">
        <f aca="false">IF(AA2960=1,"",IF(AND(AC2960=1,AE2960&lt;&gt;1),1,0))</f>
        <v/>
      </c>
      <c r="AH2960" s="51" t="str">
        <f aca="false">IF(AND(E2960&gt;0,AA2960&lt;1,NOT(AND(C2961=C2960,AA2961=AA2960+1))),INDEX(DATAS,AA2960+1),"")</f>
        <v/>
      </c>
      <c r="AI2960" s="51" t="str">
        <f aca="false">IF(AND(AC2960=1,AA2960&lt;1),IF(AND(C2961=C2960,AA2961=AA2960+1),IF(AC2961=1,"",INDEX(DATAS,AA2960+1)),INDEX(DATAS,AA2960+1)),"")</f>
        <v/>
      </c>
    </row>
    <row r="2961" customFormat="false" ht="15" hidden="false" customHeight="false" outlineLevel="0" collapsed="false">
      <c r="A2961" s="51" t="n">
        <v>46309</v>
      </c>
      <c r="B2961" s="0" t="n">
        <v>13</v>
      </c>
      <c r="C2961" s="0" t="n">
        <v>7346</v>
      </c>
      <c r="E2961" s="0" t="n">
        <v>0</v>
      </c>
      <c r="F2961" s="46" t="s">
        <v>1450</v>
      </c>
      <c r="I2961" s="46" t="s">
        <v>179</v>
      </c>
      <c r="U2961" s="0" t="n">
        <v>266</v>
      </c>
      <c r="V2961" s="0" t="n">
        <v>0</v>
      </c>
      <c r="X2961" s="46" t="n">
        <f aca="false">IF(I2961="Male",0,1)</f>
        <v>1</v>
      </c>
      <c r="Y2961" s="46" t="n">
        <f aca="false">IF(OR(I2961="DNB",I2961="Dry DNB"),1,0)</f>
        <v>0</v>
      </c>
      <c r="Z2961" s="0" t="str">
        <f aca="false">IF(ISNUMBER(W2961),A2961-W2961,"")</f>
        <v/>
      </c>
      <c r="AA2961" s="46" t="n">
        <f aca="false">MATCH(A2961,DATAS,0)</f>
        <v>1</v>
      </c>
      <c r="AB2961" s="46" t="n">
        <f aca="false">IF(AND(E2961&gt;0,OR(AND(B2961&gt;=1,B2961&lt;=6),B2961=10)),1,0)</f>
        <v>0</v>
      </c>
      <c r="AC2961" s="46" t="n">
        <f aca="false">IF(AND(E2961&gt;0,B2961=10),1,0)</f>
        <v>0</v>
      </c>
      <c r="AD2961" s="0" t="str">
        <f aca="false">IF(AND(C2960=C2961,AA2960=AA2961-1),AB2960,"")</f>
        <v/>
      </c>
      <c r="AE2961" s="0" t="str">
        <f aca="false">IF(AND(C2960=C2961,AA2960=AA2961-1),AC2960,"")</f>
        <v/>
      </c>
      <c r="AF2961" s="0" t="str">
        <f aca="false">IF(AA2961=1,"",IF(AND(AB2961=1,AD2961&lt;&gt;1),1,0))</f>
        <v/>
      </c>
      <c r="AG2961" s="0" t="str">
        <f aca="false">IF(AA2961=1,"",IF(AND(AC2961=1,AE2961&lt;&gt;1),1,0))</f>
        <v/>
      </c>
      <c r="AH2961" s="51" t="str">
        <f aca="false">IF(AND(E2961&gt;0,AA2961&lt;1,NOT(AND(C2962=C2961,AA2962=AA2961+1))),INDEX(DATAS,AA2961+1),"")</f>
        <v/>
      </c>
      <c r="AI2961" s="51" t="str">
        <f aca="false">IF(AND(AC2961=1,AA2961&lt;1),IF(AND(C2962=C2961,AA2962=AA2961+1),IF(AC2962=1,"",INDEX(DATAS,AA2961+1)),INDEX(DATAS,AA2961+1)),"")</f>
        <v/>
      </c>
    </row>
    <row r="2962" customFormat="false" ht="15" hidden="false" customHeight="false" outlineLevel="0" collapsed="false">
      <c r="A2962" s="51" t="n">
        <v>46309</v>
      </c>
      <c r="B2962" s="0" t="n">
        <v>13</v>
      </c>
      <c r="C2962" s="0" t="n">
        <v>7347</v>
      </c>
      <c r="E2962" s="0" t="n">
        <v>0</v>
      </c>
      <c r="F2962" s="46" t="s">
        <v>1450</v>
      </c>
      <c r="I2962" s="46" t="s">
        <v>179</v>
      </c>
      <c r="U2962" s="0" t="n">
        <v>266</v>
      </c>
      <c r="V2962" s="0" t="n">
        <v>0</v>
      </c>
      <c r="X2962" s="46" t="n">
        <f aca="false">IF(I2962="Male",0,1)</f>
        <v>1</v>
      </c>
      <c r="Y2962" s="46" t="n">
        <f aca="false">IF(OR(I2962="DNB",I2962="Dry DNB"),1,0)</f>
        <v>0</v>
      </c>
      <c r="Z2962" s="0" t="str">
        <f aca="false">IF(ISNUMBER(W2962),A2962-W2962,"")</f>
        <v/>
      </c>
      <c r="AA2962" s="46" t="n">
        <f aca="false">MATCH(A2962,DATAS,0)</f>
        <v>1</v>
      </c>
      <c r="AB2962" s="46" t="n">
        <f aca="false">IF(AND(E2962&gt;0,OR(AND(B2962&gt;=1,B2962&lt;=6),B2962=10)),1,0)</f>
        <v>0</v>
      </c>
      <c r="AC2962" s="46" t="n">
        <f aca="false">IF(AND(E2962&gt;0,B2962=10),1,0)</f>
        <v>0</v>
      </c>
      <c r="AD2962" s="0" t="str">
        <f aca="false">IF(AND(C2961=C2962,AA2961=AA2962-1),AB2961,"")</f>
        <v/>
      </c>
      <c r="AE2962" s="0" t="str">
        <f aca="false">IF(AND(C2961=C2962,AA2961=AA2962-1),AC2961,"")</f>
        <v/>
      </c>
      <c r="AF2962" s="0" t="str">
        <f aca="false">IF(AA2962=1,"",IF(AND(AB2962=1,AD2962&lt;&gt;1),1,0))</f>
        <v/>
      </c>
      <c r="AG2962" s="0" t="str">
        <f aca="false">IF(AA2962=1,"",IF(AND(AC2962=1,AE2962&lt;&gt;1),1,0))</f>
        <v/>
      </c>
      <c r="AH2962" s="51" t="str">
        <f aca="false">IF(AND(E2962&gt;0,AA2962&lt;1,NOT(AND(C2963=C2962,AA2963=AA2962+1))),INDEX(DATAS,AA2962+1),"")</f>
        <v/>
      </c>
      <c r="AI2962" s="51" t="str">
        <f aca="false">IF(AND(AC2962=1,AA2962&lt;1),IF(AND(C2963=C2962,AA2963=AA2962+1),IF(AC2963=1,"",INDEX(DATAS,AA2962+1)),INDEX(DATAS,AA2962+1)),"")</f>
        <v/>
      </c>
    </row>
    <row r="2963" customFormat="false" ht="15" hidden="false" customHeight="false" outlineLevel="0" collapsed="false">
      <c r="A2963" s="51" t="n">
        <v>46309</v>
      </c>
      <c r="B2963" s="0" t="n">
        <v>13</v>
      </c>
      <c r="C2963" s="0" t="n">
        <v>7348</v>
      </c>
      <c r="E2963" s="0" t="n">
        <v>0</v>
      </c>
      <c r="F2963" s="46" t="s">
        <v>1450</v>
      </c>
      <c r="I2963" s="46" t="s">
        <v>179</v>
      </c>
      <c r="U2963" s="0" t="n">
        <v>266</v>
      </c>
      <c r="V2963" s="0" t="n">
        <v>0</v>
      </c>
      <c r="X2963" s="46" t="n">
        <f aca="false">IF(I2963="Male",0,1)</f>
        <v>1</v>
      </c>
      <c r="Y2963" s="46" t="n">
        <f aca="false">IF(OR(I2963="DNB",I2963="Dry DNB"),1,0)</f>
        <v>0</v>
      </c>
      <c r="Z2963" s="0" t="str">
        <f aca="false">IF(ISNUMBER(W2963),A2963-W2963,"")</f>
        <v/>
      </c>
      <c r="AA2963" s="46" t="n">
        <f aca="false">MATCH(A2963,DATAS,0)</f>
        <v>1</v>
      </c>
      <c r="AB2963" s="46" t="n">
        <f aca="false">IF(AND(E2963&gt;0,OR(AND(B2963&gt;=1,B2963&lt;=6),B2963=10)),1,0)</f>
        <v>0</v>
      </c>
      <c r="AC2963" s="46" t="n">
        <f aca="false">IF(AND(E2963&gt;0,B2963=10),1,0)</f>
        <v>0</v>
      </c>
      <c r="AD2963" s="0" t="str">
        <f aca="false">IF(AND(C2962=C2963,AA2962=AA2963-1),AB2962,"")</f>
        <v/>
      </c>
      <c r="AE2963" s="0" t="str">
        <f aca="false">IF(AND(C2962=C2963,AA2962=AA2963-1),AC2962,"")</f>
        <v/>
      </c>
      <c r="AF2963" s="0" t="str">
        <f aca="false">IF(AA2963=1,"",IF(AND(AB2963=1,AD2963&lt;&gt;1),1,0))</f>
        <v/>
      </c>
      <c r="AG2963" s="0" t="str">
        <f aca="false">IF(AA2963=1,"",IF(AND(AC2963=1,AE2963&lt;&gt;1),1,0))</f>
        <v/>
      </c>
      <c r="AH2963" s="51" t="str">
        <f aca="false">IF(AND(E2963&gt;0,AA2963&lt;1,NOT(AND(C2964=C2963,AA2964=AA2963+1))),INDEX(DATAS,AA2963+1),"")</f>
        <v/>
      </c>
      <c r="AI2963" s="51" t="str">
        <f aca="false">IF(AND(AC2963=1,AA2963&lt;1),IF(AND(C2964=C2963,AA2964=AA2963+1),IF(AC2964=1,"",INDEX(DATAS,AA2963+1)),INDEX(DATAS,AA2963+1)),"")</f>
        <v/>
      </c>
    </row>
    <row r="2964" customFormat="false" ht="15" hidden="false" customHeight="false" outlineLevel="0" collapsed="false">
      <c r="A2964" s="51" t="n">
        <v>46309</v>
      </c>
      <c r="B2964" s="0" t="n">
        <v>13</v>
      </c>
      <c r="C2964" s="0" t="n">
        <v>7349</v>
      </c>
      <c r="E2964" s="0" t="n">
        <v>0</v>
      </c>
      <c r="F2964" s="46" t="s">
        <v>1451</v>
      </c>
      <c r="I2964" s="46" t="s">
        <v>179</v>
      </c>
      <c r="U2964" s="0" t="n">
        <v>264</v>
      </c>
      <c r="V2964" s="0" t="n">
        <v>0</v>
      </c>
      <c r="X2964" s="46" t="n">
        <f aca="false">IF(I2964="Male",0,1)</f>
        <v>1</v>
      </c>
      <c r="Y2964" s="46" t="n">
        <f aca="false">IF(OR(I2964="DNB",I2964="Dry DNB"),1,0)</f>
        <v>0</v>
      </c>
      <c r="Z2964" s="0" t="str">
        <f aca="false">IF(ISNUMBER(W2964),A2964-W2964,"")</f>
        <v/>
      </c>
      <c r="AA2964" s="46" t="n">
        <f aca="false">MATCH(A2964,DATAS,0)</f>
        <v>1</v>
      </c>
      <c r="AB2964" s="46" t="n">
        <f aca="false">IF(AND(E2964&gt;0,OR(AND(B2964&gt;=1,B2964&lt;=6),B2964=10)),1,0)</f>
        <v>0</v>
      </c>
      <c r="AC2964" s="46" t="n">
        <f aca="false">IF(AND(E2964&gt;0,B2964=10),1,0)</f>
        <v>0</v>
      </c>
      <c r="AD2964" s="0" t="str">
        <f aca="false">IF(AND(C2963=C2964,AA2963=AA2964-1),AB2963,"")</f>
        <v/>
      </c>
      <c r="AE2964" s="0" t="str">
        <f aca="false">IF(AND(C2963=C2964,AA2963=AA2964-1),AC2963,"")</f>
        <v/>
      </c>
      <c r="AF2964" s="0" t="str">
        <f aca="false">IF(AA2964=1,"",IF(AND(AB2964=1,AD2964&lt;&gt;1),1,0))</f>
        <v/>
      </c>
      <c r="AG2964" s="0" t="str">
        <f aca="false">IF(AA2964=1,"",IF(AND(AC2964=1,AE2964&lt;&gt;1),1,0))</f>
        <v/>
      </c>
      <c r="AH2964" s="51" t="str">
        <f aca="false">IF(AND(E2964&gt;0,AA2964&lt;1,NOT(AND(C2965=C2964,AA2965=AA2964+1))),INDEX(DATAS,AA2964+1),"")</f>
        <v/>
      </c>
      <c r="AI2964" s="51" t="str">
        <f aca="false">IF(AND(AC2964=1,AA2964&lt;1),IF(AND(C2965=C2964,AA2965=AA2964+1),IF(AC2965=1,"",INDEX(DATAS,AA2964+1)),INDEX(DATAS,AA2964+1)),"")</f>
        <v/>
      </c>
    </row>
    <row r="2965" customFormat="false" ht="15" hidden="false" customHeight="false" outlineLevel="0" collapsed="false">
      <c r="A2965" s="51" t="n">
        <v>46309</v>
      </c>
      <c r="B2965" s="0" t="n">
        <v>13</v>
      </c>
      <c r="C2965" s="0" t="n">
        <v>7350</v>
      </c>
      <c r="E2965" s="0" t="n">
        <v>0</v>
      </c>
      <c r="F2965" s="46" t="s">
        <v>1451</v>
      </c>
      <c r="I2965" s="46" t="s">
        <v>179</v>
      </c>
      <c r="U2965" s="0" t="n">
        <v>264</v>
      </c>
      <c r="V2965" s="0" t="n">
        <v>0</v>
      </c>
      <c r="X2965" s="46" t="n">
        <f aca="false">IF(I2965="Male",0,1)</f>
        <v>1</v>
      </c>
      <c r="Y2965" s="46" t="n">
        <f aca="false">IF(OR(I2965="DNB",I2965="Dry DNB"),1,0)</f>
        <v>0</v>
      </c>
      <c r="Z2965" s="0" t="str">
        <f aca="false">IF(ISNUMBER(W2965),A2965-W2965,"")</f>
        <v/>
      </c>
      <c r="AA2965" s="46" t="n">
        <f aca="false">MATCH(A2965,DATAS,0)</f>
        <v>1</v>
      </c>
      <c r="AB2965" s="46" t="n">
        <f aca="false">IF(AND(E2965&gt;0,OR(AND(B2965&gt;=1,B2965&lt;=6),B2965=10)),1,0)</f>
        <v>0</v>
      </c>
      <c r="AC2965" s="46" t="n">
        <f aca="false">IF(AND(E2965&gt;0,B2965=10),1,0)</f>
        <v>0</v>
      </c>
      <c r="AD2965" s="0" t="str">
        <f aca="false">IF(AND(C2964=C2965,AA2964=AA2965-1),AB2964,"")</f>
        <v/>
      </c>
      <c r="AE2965" s="0" t="str">
        <f aca="false">IF(AND(C2964=C2965,AA2964=AA2965-1),AC2964,"")</f>
        <v/>
      </c>
      <c r="AF2965" s="0" t="str">
        <f aca="false">IF(AA2965=1,"",IF(AND(AB2965=1,AD2965&lt;&gt;1),1,0))</f>
        <v/>
      </c>
      <c r="AG2965" s="0" t="str">
        <f aca="false">IF(AA2965=1,"",IF(AND(AC2965=1,AE2965&lt;&gt;1),1,0))</f>
        <v/>
      </c>
      <c r="AH2965" s="51" t="str">
        <f aca="false">IF(AND(E2965&gt;0,AA2965&lt;1,NOT(AND(C2966=C2965,AA2966=AA2965+1))),INDEX(DATAS,AA2965+1),"")</f>
        <v/>
      </c>
      <c r="AI2965" s="51" t="str">
        <f aca="false">IF(AND(AC2965=1,AA2965&lt;1),IF(AND(C2966=C2965,AA2966=AA2965+1),IF(AC2966=1,"",INDEX(DATAS,AA2965+1)),INDEX(DATAS,AA2965+1)),"")</f>
        <v/>
      </c>
    </row>
    <row r="2966" customFormat="false" ht="15" hidden="false" customHeight="false" outlineLevel="0" collapsed="false">
      <c r="A2966" s="51" t="n">
        <v>46309</v>
      </c>
      <c r="B2966" s="0" t="n">
        <v>13</v>
      </c>
      <c r="C2966" s="0" t="n">
        <v>7351</v>
      </c>
      <c r="E2966" s="0" t="n">
        <v>0</v>
      </c>
      <c r="F2966" s="46" t="s">
        <v>1451</v>
      </c>
      <c r="I2966" s="46" t="s">
        <v>179</v>
      </c>
      <c r="U2966" s="0" t="n">
        <v>264</v>
      </c>
      <c r="V2966" s="0" t="n">
        <v>0</v>
      </c>
      <c r="X2966" s="46" t="n">
        <f aca="false">IF(I2966="Male",0,1)</f>
        <v>1</v>
      </c>
      <c r="Y2966" s="46" t="n">
        <f aca="false">IF(OR(I2966="DNB",I2966="Dry DNB"),1,0)</f>
        <v>0</v>
      </c>
      <c r="Z2966" s="0" t="str">
        <f aca="false">IF(ISNUMBER(W2966),A2966-W2966,"")</f>
        <v/>
      </c>
      <c r="AA2966" s="46" t="n">
        <f aca="false">MATCH(A2966,DATAS,0)</f>
        <v>1</v>
      </c>
      <c r="AB2966" s="46" t="n">
        <f aca="false">IF(AND(E2966&gt;0,OR(AND(B2966&gt;=1,B2966&lt;=6),B2966=10)),1,0)</f>
        <v>0</v>
      </c>
      <c r="AC2966" s="46" t="n">
        <f aca="false">IF(AND(E2966&gt;0,B2966=10),1,0)</f>
        <v>0</v>
      </c>
      <c r="AD2966" s="0" t="str">
        <f aca="false">IF(AND(C2965=C2966,AA2965=AA2966-1),AB2965,"")</f>
        <v/>
      </c>
      <c r="AE2966" s="0" t="str">
        <f aca="false">IF(AND(C2965=C2966,AA2965=AA2966-1),AC2965,"")</f>
        <v/>
      </c>
      <c r="AF2966" s="0" t="str">
        <f aca="false">IF(AA2966=1,"",IF(AND(AB2966=1,AD2966&lt;&gt;1),1,0))</f>
        <v/>
      </c>
      <c r="AG2966" s="0" t="str">
        <f aca="false">IF(AA2966=1,"",IF(AND(AC2966=1,AE2966&lt;&gt;1),1,0))</f>
        <v/>
      </c>
      <c r="AH2966" s="51" t="str">
        <f aca="false">IF(AND(E2966&gt;0,AA2966&lt;1,NOT(AND(C2967=C2966,AA2967=AA2966+1))),INDEX(DATAS,AA2966+1),"")</f>
        <v/>
      </c>
      <c r="AI2966" s="51" t="str">
        <f aca="false">IF(AND(AC2966=1,AA2966&lt;1),IF(AND(C2967=C2966,AA2967=AA2966+1),IF(AC2967=1,"",INDEX(DATAS,AA2966+1)),INDEX(DATAS,AA2966+1)),"")</f>
        <v/>
      </c>
    </row>
    <row r="2967" customFormat="false" ht="15" hidden="false" customHeight="false" outlineLevel="0" collapsed="false">
      <c r="A2967" s="51" t="n">
        <v>46309</v>
      </c>
      <c r="B2967" s="0" t="n">
        <v>13</v>
      </c>
      <c r="C2967" s="0" t="n">
        <v>7352</v>
      </c>
      <c r="E2967" s="0" t="n">
        <v>0</v>
      </c>
      <c r="F2967" s="46" t="s">
        <v>1451</v>
      </c>
      <c r="I2967" s="46" t="s">
        <v>179</v>
      </c>
      <c r="U2967" s="0" t="n">
        <v>264</v>
      </c>
      <c r="V2967" s="0" t="n">
        <v>0</v>
      </c>
      <c r="X2967" s="46" t="n">
        <f aca="false">IF(I2967="Male",0,1)</f>
        <v>1</v>
      </c>
      <c r="Y2967" s="46" t="n">
        <f aca="false">IF(OR(I2967="DNB",I2967="Dry DNB"),1,0)</f>
        <v>0</v>
      </c>
      <c r="Z2967" s="0" t="str">
        <f aca="false">IF(ISNUMBER(W2967),A2967-W2967,"")</f>
        <v/>
      </c>
      <c r="AA2967" s="46" t="n">
        <f aca="false">MATCH(A2967,DATAS,0)</f>
        <v>1</v>
      </c>
      <c r="AB2967" s="46" t="n">
        <f aca="false">IF(AND(E2967&gt;0,OR(AND(B2967&gt;=1,B2967&lt;=6),B2967=10)),1,0)</f>
        <v>0</v>
      </c>
      <c r="AC2967" s="46" t="n">
        <f aca="false">IF(AND(E2967&gt;0,B2967=10),1,0)</f>
        <v>0</v>
      </c>
      <c r="AD2967" s="0" t="str">
        <f aca="false">IF(AND(C2966=C2967,AA2966=AA2967-1),AB2966,"")</f>
        <v/>
      </c>
      <c r="AE2967" s="0" t="str">
        <f aca="false">IF(AND(C2966=C2967,AA2966=AA2967-1),AC2966,"")</f>
        <v/>
      </c>
      <c r="AF2967" s="0" t="str">
        <f aca="false">IF(AA2967=1,"",IF(AND(AB2967=1,AD2967&lt;&gt;1),1,0))</f>
        <v/>
      </c>
      <c r="AG2967" s="0" t="str">
        <f aca="false">IF(AA2967=1,"",IF(AND(AC2967=1,AE2967&lt;&gt;1),1,0))</f>
        <v/>
      </c>
      <c r="AH2967" s="51" t="str">
        <f aca="false">IF(AND(E2967&gt;0,AA2967&lt;1,NOT(AND(C2968=C2967,AA2968=AA2967+1))),INDEX(DATAS,AA2967+1),"")</f>
        <v/>
      </c>
      <c r="AI2967" s="51" t="str">
        <f aca="false">IF(AND(AC2967=1,AA2967&lt;1),IF(AND(C2968=C2967,AA2968=AA2967+1),IF(AC2968=1,"",INDEX(DATAS,AA2967+1)),INDEX(DATAS,AA2967+1)),"")</f>
        <v/>
      </c>
    </row>
    <row r="2968" customFormat="false" ht="15" hidden="false" customHeight="false" outlineLevel="0" collapsed="false">
      <c r="A2968" s="51" t="n">
        <v>46309</v>
      </c>
      <c r="B2968" s="0" t="n">
        <v>13</v>
      </c>
      <c r="C2968" s="0" t="n">
        <v>7353</v>
      </c>
      <c r="E2968" s="0" t="n">
        <v>0</v>
      </c>
      <c r="F2968" s="46" t="s">
        <v>1451</v>
      </c>
      <c r="I2968" s="46" t="s">
        <v>179</v>
      </c>
      <c r="U2968" s="0" t="n">
        <v>264</v>
      </c>
      <c r="V2968" s="0" t="n">
        <v>0</v>
      </c>
      <c r="X2968" s="46" t="n">
        <f aca="false">IF(I2968="Male",0,1)</f>
        <v>1</v>
      </c>
      <c r="Y2968" s="46" t="n">
        <f aca="false">IF(OR(I2968="DNB",I2968="Dry DNB"),1,0)</f>
        <v>0</v>
      </c>
      <c r="Z2968" s="0" t="str">
        <f aca="false">IF(ISNUMBER(W2968),A2968-W2968,"")</f>
        <v/>
      </c>
      <c r="AA2968" s="46" t="n">
        <f aca="false">MATCH(A2968,DATAS,0)</f>
        <v>1</v>
      </c>
      <c r="AB2968" s="46" t="n">
        <f aca="false">IF(AND(E2968&gt;0,OR(AND(B2968&gt;=1,B2968&lt;=6),B2968=10)),1,0)</f>
        <v>0</v>
      </c>
      <c r="AC2968" s="46" t="n">
        <f aca="false">IF(AND(E2968&gt;0,B2968=10),1,0)</f>
        <v>0</v>
      </c>
      <c r="AD2968" s="0" t="str">
        <f aca="false">IF(AND(C2967=C2968,AA2967=AA2968-1),AB2967,"")</f>
        <v/>
      </c>
      <c r="AE2968" s="0" t="str">
        <f aca="false">IF(AND(C2967=C2968,AA2967=AA2968-1),AC2967,"")</f>
        <v/>
      </c>
      <c r="AF2968" s="0" t="str">
        <f aca="false">IF(AA2968=1,"",IF(AND(AB2968=1,AD2968&lt;&gt;1),1,0))</f>
        <v/>
      </c>
      <c r="AG2968" s="0" t="str">
        <f aca="false">IF(AA2968=1,"",IF(AND(AC2968=1,AE2968&lt;&gt;1),1,0))</f>
        <v/>
      </c>
      <c r="AH2968" s="51" t="str">
        <f aca="false">IF(AND(E2968&gt;0,AA2968&lt;1,NOT(AND(C2969=C2968,AA2969=AA2968+1))),INDEX(DATAS,AA2968+1),"")</f>
        <v/>
      </c>
      <c r="AI2968" s="51" t="str">
        <f aca="false">IF(AND(AC2968=1,AA2968&lt;1),IF(AND(C2969=C2968,AA2969=AA2968+1),IF(AC2969=1,"",INDEX(DATAS,AA2968+1)),INDEX(DATAS,AA2968+1)),"")</f>
        <v/>
      </c>
    </row>
    <row r="2969" customFormat="false" ht="15" hidden="false" customHeight="false" outlineLevel="0" collapsed="false">
      <c r="A2969" s="51" t="n">
        <v>46309</v>
      </c>
      <c r="B2969" s="0" t="n">
        <v>13</v>
      </c>
      <c r="C2969" s="0" t="n">
        <v>7354</v>
      </c>
      <c r="E2969" s="0" t="n">
        <v>0</v>
      </c>
      <c r="F2969" s="46" t="s">
        <v>1451</v>
      </c>
      <c r="I2969" s="46" t="s">
        <v>179</v>
      </c>
      <c r="U2969" s="0" t="n">
        <v>264</v>
      </c>
      <c r="V2969" s="0" t="n">
        <v>0</v>
      </c>
      <c r="X2969" s="46" t="n">
        <f aca="false">IF(I2969="Male",0,1)</f>
        <v>1</v>
      </c>
      <c r="Y2969" s="46" t="n">
        <f aca="false">IF(OR(I2969="DNB",I2969="Dry DNB"),1,0)</f>
        <v>0</v>
      </c>
      <c r="Z2969" s="0" t="str">
        <f aca="false">IF(ISNUMBER(W2969),A2969-W2969,"")</f>
        <v/>
      </c>
      <c r="AA2969" s="46" t="n">
        <f aca="false">MATCH(A2969,DATAS,0)</f>
        <v>1</v>
      </c>
      <c r="AB2969" s="46" t="n">
        <f aca="false">IF(AND(E2969&gt;0,OR(AND(B2969&gt;=1,B2969&lt;=6),B2969=10)),1,0)</f>
        <v>0</v>
      </c>
      <c r="AC2969" s="46" t="n">
        <f aca="false">IF(AND(E2969&gt;0,B2969=10),1,0)</f>
        <v>0</v>
      </c>
      <c r="AD2969" s="0" t="str">
        <f aca="false">IF(AND(C2968=C2969,AA2968=AA2969-1),AB2968,"")</f>
        <v/>
      </c>
      <c r="AE2969" s="0" t="str">
        <f aca="false">IF(AND(C2968=C2969,AA2968=AA2969-1),AC2968,"")</f>
        <v/>
      </c>
      <c r="AF2969" s="0" t="str">
        <f aca="false">IF(AA2969=1,"",IF(AND(AB2969=1,AD2969&lt;&gt;1),1,0))</f>
        <v/>
      </c>
      <c r="AG2969" s="0" t="str">
        <f aca="false">IF(AA2969=1,"",IF(AND(AC2969=1,AE2969&lt;&gt;1),1,0))</f>
        <v/>
      </c>
      <c r="AH2969" s="51" t="str">
        <f aca="false">IF(AND(E2969&gt;0,AA2969&lt;1,NOT(AND(C2970=C2969,AA2970=AA2969+1))),INDEX(DATAS,AA2969+1),"")</f>
        <v/>
      </c>
      <c r="AI2969" s="51" t="str">
        <f aca="false">IF(AND(AC2969=1,AA2969&lt;1),IF(AND(C2970=C2969,AA2970=AA2969+1),IF(AC2970=1,"",INDEX(DATAS,AA2969+1)),INDEX(DATAS,AA2969+1)),"")</f>
        <v/>
      </c>
    </row>
    <row r="2970" customFormat="false" ht="15" hidden="false" customHeight="false" outlineLevel="0" collapsed="false">
      <c r="A2970" s="51" t="n">
        <v>46309</v>
      </c>
      <c r="B2970" s="0" t="n">
        <v>13</v>
      </c>
      <c r="C2970" s="0" t="n">
        <v>7355</v>
      </c>
      <c r="E2970" s="0" t="n">
        <v>0</v>
      </c>
      <c r="F2970" s="46" t="s">
        <v>1451</v>
      </c>
      <c r="I2970" s="46" t="s">
        <v>179</v>
      </c>
      <c r="U2970" s="0" t="n">
        <v>264</v>
      </c>
      <c r="V2970" s="0" t="n">
        <v>0</v>
      </c>
      <c r="X2970" s="46" t="n">
        <f aca="false">IF(I2970="Male",0,1)</f>
        <v>1</v>
      </c>
      <c r="Y2970" s="46" t="n">
        <f aca="false">IF(OR(I2970="DNB",I2970="Dry DNB"),1,0)</f>
        <v>0</v>
      </c>
      <c r="Z2970" s="0" t="str">
        <f aca="false">IF(ISNUMBER(W2970),A2970-W2970,"")</f>
        <v/>
      </c>
      <c r="AA2970" s="46" t="n">
        <f aca="false">MATCH(A2970,DATAS,0)</f>
        <v>1</v>
      </c>
      <c r="AB2970" s="46" t="n">
        <f aca="false">IF(AND(E2970&gt;0,OR(AND(B2970&gt;=1,B2970&lt;=6),B2970=10)),1,0)</f>
        <v>0</v>
      </c>
      <c r="AC2970" s="46" t="n">
        <f aca="false">IF(AND(E2970&gt;0,B2970=10),1,0)</f>
        <v>0</v>
      </c>
      <c r="AD2970" s="0" t="str">
        <f aca="false">IF(AND(C2969=C2970,AA2969=AA2970-1),AB2969,"")</f>
        <v/>
      </c>
      <c r="AE2970" s="0" t="str">
        <f aca="false">IF(AND(C2969=C2970,AA2969=AA2970-1),AC2969,"")</f>
        <v/>
      </c>
      <c r="AF2970" s="0" t="str">
        <f aca="false">IF(AA2970=1,"",IF(AND(AB2970=1,AD2970&lt;&gt;1),1,0))</f>
        <v/>
      </c>
      <c r="AG2970" s="0" t="str">
        <f aca="false">IF(AA2970=1,"",IF(AND(AC2970=1,AE2970&lt;&gt;1),1,0))</f>
        <v/>
      </c>
      <c r="AH2970" s="51" t="str">
        <f aca="false">IF(AND(E2970&gt;0,AA2970&lt;1,NOT(AND(C2971=C2970,AA2971=AA2970+1))),INDEX(DATAS,AA2970+1),"")</f>
        <v/>
      </c>
      <c r="AI2970" s="51" t="str">
        <f aca="false">IF(AND(AC2970=1,AA2970&lt;1),IF(AND(C2971=C2970,AA2971=AA2970+1),IF(AC2971=1,"",INDEX(DATAS,AA2970+1)),INDEX(DATAS,AA2970+1)),"")</f>
        <v/>
      </c>
    </row>
    <row r="2971" customFormat="false" ht="15" hidden="false" customHeight="false" outlineLevel="0" collapsed="false">
      <c r="A2971" s="51" t="n">
        <v>46309</v>
      </c>
      <c r="B2971" s="0" t="n">
        <v>13</v>
      </c>
      <c r="C2971" s="0" t="n">
        <v>7356</v>
      </c>
      <c r="E2971" s="0" t="n">
        <v>0</v>
      </c>
      <c r="F2971" s="46" t="s">
        <v>1451</v>
      </c>
      <c r="I2971" s="46" t="s">
        <v>179</v>
      </c>
      <c r="U2971" s="0" t="n">
        <v>264</v>
      </c>
      <c r="V2971" s="0" t="n">
        <v>0</v>
      </c>
      <c r="X2971" s="46" t="n">
        <f aca="false">IF(I2971="Male",0,1)</f>
        <v>1</v>
      </c>
      <c r="Y2971" s="46" t="n">
        <f aca="false">IF(OR(I2971="DNB",I2971="Dry DNB"),1,0)</f>
        <v>0</v>
      </c>
      <c r="Z2971" s="0" t="str">
        <f aca="false">IF(ISNUMBER(W2971),A2971-W2971,"")</f>
        <v/>
      </c>
      <c r="AA2971" s="46" t="n">
        <f aca="false">MATCH(A2971,DATAS,0)</f>
        <v>1</v>
      </c>
      <c r="AB2971" s="46" t="n">
        <f aca="false">IF(AND(E2971&gt;0,OR(AND(B2971&gt;=1,B2971&lt;=6),B2971=10)),1,0)</f>
        <v>0</v>
      </c>
      <c r="AC2971" s="46" t="n">
        <f aca="false">IF(AND(E2971&gt;0,B2971=10),1,0)</f>
        <v>0</v>
      </c>
      <c r="AD2971" s="0" t="str">
        <f aca="false">IF(AND(C2970=C2971,AA2970=AA2971-1),AB2970,"")</f>
        <v/>
      </c>
      <c r="AE2971" s="0" t="str">
        <f aca="false">IF(AND(C2970=C2971,AA2970=AA2971-1),AC2970,"")</f>
        <v/>
      </c>
      <c r="AF2971" s="0" t="str">
        <f aca="false">IF(AA2971=1,"",IF(AND(AB2971=1,AD2971&lt;&gt;1),1,0))</f>
        <v/>
      </c>
      <c r="AG2971" s="0" t="str">
        <f aca="false">IF(AA2971=1,"",IF(AND(AC2971=1,AE2971&lt;&gt;1),1,0))</f>
        <v/>
      </c>
      <c r="AH2971" s="51" t="str">
        <f aca="false">IF(AND(E2971&gt;0,AA2971&lt;1,NOT(AND(C2972=C2971,AA2972=AA2971+1))),INDEX(DATAS,AA2971+1),"")</f>
        <v/>
      </c>
      <c r="AI2971" s="51" t="str">
        <f aca="false">IF(AND(AC2971=1,AA2971&lt;1),IF(AND(C2972=C2971,AA2972=AA2971+1),IF(AC2972=1,"",INDEX(DATAS,AA2971+1)),INDEX(DATAS,AA2971+1)),"")</f>
        <v/>
      </c>
    </row>
    <row r="2972" customFormat="false" ht="15" hidden="false" customHeight="false" outlineLevel="0" collapsed="false">
      <c r="A2972" s="51" t="n">
        <v>46309</v>
      </c>
      <c r="B2972" s="0" t="n">
        <v>13</v>
      </c>
      <c r="C2972" s="0" t="n">
        <v>7357</v>
      </c>
      <c r="E2972" s="0" t="n">
        <v>0</v>
      </c>
      <c r="F2972" s="46" t="s">
        <v>1451</v>
      </c>
      <c r="I2972" s="46" t="s">
        <v>179</v>
      </c>
      <c r="U2972" s="0" t="n">
        <v>264</v>
      </c>
      <c r="V2972" s="0" t="n">
        <v>0</v>
      </c>
      <c r="X2972" s="46" t="n">
        <f aca="false">IF(I2972="Male",0,1)</f>
        <v>1</v>
      </c>
      <c r="Y2972" s="46" t="n">
        <f aca="false">IF(OR(I2972="DNB",I2972="Dry DNB"),1,0)</f>
        <v>0</v>
      </c>
      <c r="Z2972" s="0" t="str">
        <f aca="false">IF(ISNUMBER(W2972),A2972-W2972,"")</f>
        <v/>
      </c>
      <c r="AA2972" s="46" t="n">
        <f aca="false">MATCH(A2972,DATAS,0)</f>
        <v>1</v>
      </c>
      <c r="AB2972" s="46" t="n">
        <f aca="false">IF(AND(E2972&gt;0,OR(AND(B2972&gt;=1,B2972&lt;=6),B2972=10)),1,0)</f>
        <v>0</v>
      </c>
      <c r="AC2972" s="46" t="n">
        <f aca="false">IF(AND(E2972&gt;0,B2972=10),1,0)</f>
        <v>0</v>
      </c>
      <c r="AD2972" s="0" t="str">
        <f aca="false">IF(AND(C2971=C2972,AA2971=AA2972-1),AB2971,"")</f>
        <v/>
      </c>
      <c r="AE2972" s="0" t="str">
        <f aca="false">IF(AND(C2971=C2972,AA2971=AA2972-1),AC2971,"")</f>
        <v/>
      </c>
      <c r="AF2972" s="0" t="str">
        <f aca="false">IF(AA2972=1,"",IF(AND(AB2972=1,AD2972&lt;&gt;1),1,0))</f>
        <v/>
      </c>
      <c r="AG2972" s="0" t="str">
        <f aca="false">IF(AA2972=1,"",IF(AND(AC2972=1,AE2972&lt;&gt;1),1,0))</f>
        <v/>
      </c>
      <c r="AH2972" s="51" t="str">
        <f aca="false">IF(AND(E2972&gt;0,AA2972&lt;1,NOT(AND(C2973=C2972,AA2973=AA2972+1))),INDEX(DATAS,AA2972+1),"")</f>
        <v/>
      </c>
      <c r="AI2972" s="51" t="str">
        <f aca="false">IF(AND(AC2972=1,AA2972&lt;1),IF(AND(C2973=C2972,AA2973=AA2972+1),IF(AC2973=1,"",INDEX(DATAS,AA2972+1)),INDEX(DATAS,AA2972+1)),"")</f>
        <v/>
      </c>
    </row>
    <row r="2973" customFormat="false" ht="15" hidden="false" customHeight="false" outlineLevel="0" collapsed="false">
      <c r="A2973" s="51" t="n">
        <v>46309</v>
      </c>
      <c r="B2973" s="0" t="n">
        <v>13</v>
      </c>
      <c r="C2973" s="0" t="n">
        <v>7358</v>
      </c>
      <c r="E2973" s="0" t="n">
        <v>0</v>
      </c>
      <c r="F2973" s="46" t="s">
        <v>1452</v>
      </c>
      <c r="I2973" s="46" t="s">
        <v>179</v>
      </c>
      <c r="U2973" s="0" t="n">
        <v>263</v>
      </c>
      <c r="V2973" s="0" t="n">
        <v>0</v>
      </c>
      <c r="X2973" s="46" t="n">
        <f aca="false">IF(I2973="Male",0,1)</f>
        <v>1</v>
      </c>
      <c r="Y2973" s="46" t="n">
        <f aca="false">IF(OR(I2973="DNB",I2973="Dry DNB"),1,0)</f>
        <v>0</v>
      </c>
      <c r="Z2973" s="0" t="str">
        <f aca="false">IF(ISNUMBER(W2973),A2973-W2973,"")</f>
        <v/>
      </c>
      <c r="AA2973" s="46" t="n">
        <f aca="false">MATCH(A2973,DATAS,0)</f>
        <v>1</v>
      </c>
      <c r="AB2973" s="46" t="n">
        <f aca="false">IF(AND(E2973&gt;0,OR(AND(B2973&gt;=1,B2973&lt;=6),B2973=10)),1,0)</f>
        <v>0</v>
      </c>
      <c r="AC2973" s="46" t="n">
        <f aca="false">IF(AND(E2973&gt;0,B2973=10),1,0)</f>
        <v>0</v>
      </c>
      <c r="AD2973" s="0" t="str">
        <f aca="false">IF(AND(C2972=C2973,AA2972=AA2973-1),AB2972,"")</f>
        <v/>
      </c>
      <c r="AE2973" s="0" t="str">
        <f aca="false">IF(AND(C2972=C2973,AA2972=AA2973-1),AC2972,"")</f>
        <v/>
      </c>
      <c r="AF2973" s="0" t="str">
        <f aca="false">IF(AA2973=1,"",IF(AND(AB2973=1,AD2973&lt;&gt;1),1,0))</f>
        <v/>
      </c>
      <c r="AG2973" s="0" t="str">
        <f aca="false">IF(AA2973=1,"",IF(AND(AC2973=1,AE2973&lt;&gt;1),1,0))</f>
        <v/>
      </c>
      <c r="AH2973" s="51" t="str">
        <f aca="false">IF(AND(E2973&gt;0,AA2973&lt;1,NOT(AND(C2974=C2973,AA2974=AA2973+1))),INDEX(DATAS,AA2973+1),"")</f>
        <v/>
      </c>
      <c r="AI2973" s="51" t="str">
        <f aca="false">IF(AND(AC2973=1,AA2973&lt;1),IF(AND(C2974=C2973,AA2974=AA2973+1),IF(AC2974=1,"",INDEX(DATAS,AA2973+1)),INDEX(DATAS,AA2973+1)),"")</f>
        <v/>
      </c>
    </row>
    <row r="2974" customFormat="false" ht="15" hidden="false" customHeight="false" outlineLevel="0" collapsed="false">
      <c r="A2974" s="51" t="n">
        <v>46309</v>
      </c>
      <c r="B2974" s="0" t="n">
        <v>13</v>
      </c>
      <c r="C2974" s="0" t="n">
        <v>7359</v>
      </c>
      <c r="E2974" s="0" t="n">
        <v>0</v>
      </c>
      <c r="F2974" s="46" t="s">
        <v>1453</v>
      </c>
      <c r="I2974" s="46" t="s">
        <v>179</v>
      </c>
      <c r="U2974" s="0" t="n">
        <v>262</v>
      </c>
      <c r="V2974" s="0" t="n">
        <v>0</v>
      </c>
      <c r="X2974" s="46" t="n">
        <f aca="false">IF(I2974="Male",0,1)</f>
        <v>1</v>
      </c>
      <c r="Y2974" s="46" t="n">
        <f aca="false">IF(OR(I2974="DNB",I2974="Dry DNB"),1,0)</f>
        <v>0</v>
      </c>
      <c r="Z2974" s="0" t="str">
        <f aca="false">IF(ISNUMBER(W2974),A2974-W2974,"")</f>
        <v/>
      </c>
      <c r="AA2974" s="46" t="n">
        <f aca="false">MATCH(A2974,DATAS,0)</f>
        <v>1</v>
      </c>
      <c r="AB2974" s="46" t="n">
        <f aca="false">IF(AND(E2974&gt;0,OR(AND(B2974&gt;=1,B2974&lt;=6),B2974=10)),1,0)</f>
        <v>0</v>
      </c>
      <c r="AC2974" s="46" t="n">
        <f aca="false">IF(AND(E2974&gt;0,B2974=10),1,0)</f>
        <v>0</v>
      </c>
      <c r="AD2974" s="0" t="str">
        <f aca="false">IF(AND(C2973=C2974,AA2973=AA2974-1),AB2973,"")</f>
        <v/>
      </c>
      <c r="AE2974" s="0" t="str">
        <f aca="false">IF(AND(C2973=C2974,AA2973=AA2974-1),AC2973,"")</f>
        <v/>
      </c>
      <c r="AF2974" s="0" t="str">
        <f aca="false">IF(AA2974=1,"",IF(AND(AB2974=1,AD2974&lt;&gt;1),1,0))</f>
        <v/>
      </c>
      <c r="AG2974" s="0" t="str">
        <f aca="false">IF(AA2974=1,"",IF(AND(AC2974=1,AE2974&lt;&gt;1),1,0))</f>
        <v/>
      </c>
      <c r="AH2974" s="51" t="str">
        <f aca="false">IF(AND(E2974&gt;0,AA2974&lt;1,NOT(AND(C2975=C2974,AA2975=AA2974+1))),INDEX(DATAS,AA2974+1),"")</f>
        <v/>
      </c>
      <c r="AI2974" s="51" t="str">
        <f aca="false">IF(AND(AC2974=1,AA2974&lt;1),IF(AND(C2975=C2974,AA2975=AA2974+1),IF(AC2975=1,"",INDEX(DATAS,AA2974+1)),INDEX(DATAS,AA2974+1)),"")</f>
        <v/>
      </c>
    </row>
    <row r="2975" customFormat="false" ht="15" hidden="false" customHeight="false" outlineLevel="0" collapsed="false">
      <c r="A2975" s="51" t="n">
        <v>46309</v>
      </c>
      <c r="B2975" s="0" t="n">
        <v>13</v>
      </c>
      <c r="C2975" s="0" t="n">
        <v>7360</v>
      </c>
      <c r="E2975" s="0" t="n">
        <v>0</v>
      </c>
      <c r="F2975" s="46" t="s">
        <v>1453</v>
      </c>
      <c r="I2975" s="46" t="s">
        <v>179</v>
      </c>
      <c r="U2975" s="0" t="n">
        <v>262</v>
      </c>
      <c r="V2975" s="0" t="n">
        <v>0</v>
      </c>
      <c r="X2975" s="46" t="n">
        <f aca="false">IF(I2975="Male",0,1)</f>
        <v>1</v>
      </c>
      <c r="Y2975" s="46" t="n">
        <f aca="false">IF(OR(I2975="DNB",I2975="Dry DNB"),1,0)</f>
        <v>0</v>
      </c>
      <c r="Z2975" s="0" t="str">
        <f aca="false">IF(ISNUMBER(W2975),A2975-W2975,"")</f>
        <v/>
      </c>
      <c r="AA2975" s="46" t="n">
        <f aca="false">MATCH(A2975,DATAS,0)</f>
        <v>1</v>
      </c>
      <c r="AB2975" s="46" t="n">
        <f aca="false">IF(AND(E2975&gt;0,OR(AND(B2975&gt;=1,B2975&lt;=6),B2975=10)),1,0)</f>
        <v>0</v>
      </c>
      <c r="AC2975" s="46" t="n">
        <f aca="false">IF(AND(E2975&gt;0,B2975=10),1,0)</f>
        <v>0</v>
      </c>
      <c r="AD2975" s="0" t="str">
        <f aca="false">IF(AND(C2974=C2975,AA2974=AA2975-1),AB2974,"")</f>
        <v/>
      </c>
      <c r="AE2975" s="0" t="str">
        <f aca="false">IF(AND(C2974=C2975,AA2974=AA2975-1),AC2974,"")</f>
        <v/>
      </c>
      <c r="AF2975" s="0" t="str">
        <f aca="false">IF(AA2975=1,"",IF(AND(AB2975=1,AD2975&lt;&gt;1),1,0))</f>
        <v/>
      </c>
      <c r="AG2975" s="0" t="str">
        <f aca="false">IF(AA2975=1,"",IF(AND(AC2975=1,AE2975&lt;&gt;1),1,0))</f>
        <v/>
      </c>
      <c r="AH2975" s="51" t="str">
        <f aca="false">IF(AND(E2975&gt;0,AA2975&lt;1,NOT(AND(C2976=C2975,AA2976=AA2975+1))),INDEX(DATAS,AA2975+1),"")</f>
        <v/>
      </c>
      <c r="AI2975" s="51" t="str">
        <f aca="false">IF(AND(AC2975=1,AA2975&lt;1),IF(AND(C2976=C2975,AA2976=AA2975+1),IF(AC2976=1,"",INDEX(DATAS,AA2975+1)),INDEX(DATAS,AA2975+1)),"")</f>
        <v/>
      </c>
    </row>
    <row r="2976" customFormat="false" ht="15" hidden="false" customHeight="false" outlineLevel="0" collapsed="false">
      <c r="A2976" s="51" t="n">
        <v>46309</v>
      </c>
      <c r="B2976" s="0" t="n">
        <v>13</v>
      </c>
      <c r="C2976" s="0" t="n">
        <v>7362</v>
      </c>
      <c r="E2976" s="0" t="n">
        <v>0</v>
      </c>
      <c r="F2976" s="46" t="s">
        <v>1454</v>
      </c>
      <c r="I2976" s="46" t="s">
        <v>179</v>
      </c>
      <c r="U2976" s="0" t="n">
        <v>261</v>
      </c>
      <c r="V2976" s="0" t="n">
        <v>0</v>
      </c>
      <c r="X2976" s="46" t="n">
        <f aca="false">IF(I2976="Male",0,1)</f>
        <v>1</v>
      </c>
      <c r="Y2976" s="46" t="n">
        <f aca="false">IF(OR(I2976="DNB",I2976="Dry DNB"),1,0)</f>
        <v>0</v>
      </c>
      <c r="Z2976" s="0" t="str">
        <f aca="false">IF(ISNUMBER(W2976),A2976-W2976,"")</f>
        <v/>
      </c>
      <c r="AA2976" s="46" t="n">
        <f aca="false">MATCH(A2976,DATAS,0)</f>
        <v>1</v>
      </c>
      <c r="AB2976" s="46" t="n">
        <f aca="false">IF(AND(E2976&gt;0,OR(AND(B2976&gt;=1,B2976&lt;=6),B2976=10)),1,0)</f>
        <v>0</v>
      </c>
      <c r="AC2976" s="46" t="n">
        <f aca="false">IF(AND(E2976&gt;0,B2976=10),1,0)</f>
        <v>0</v>
      </c>
      <c r="AD2976" s="0" t="str">
        <f aca="false">IF(AND(C2975=C2976,AA2975=AA2976-1),AB2975,"")</f>
        <v/>
      </c>
      <c r="AE2976" s="0" t="str">
        <f aca="false">IF(AND(C2975=C2976,AA2975=AA2976-1),AC2975,"")</f>
        <v/>
      </c>
      <c r="AF2976" s="0" t="str">
        <f aca="false">IF(AA2976=1,"",IF(AND(AB2976=1,AD2976&lt;&gt;1),1,0))</f>
        <v/>
      </c>
      <c r="AG2976" s="0" t="str">
        <f aca="false">IF(AA2976=1,"",IF(AND(AC2976=1,AE2976&lt;&gt;1),1,0))</f>
        <v/>
      </c>
      <c r="AH2976" s="51" t="str">
        <f aca="false">IF(AND(E2976&gt;0,AA2976&lt;1,NOT(AND(C2977=C2976,AA2977=AA2976+1))),INDEX(DATAS,AA2976+1),"")</f>
        <v/>
      </c>
      <c r="AI2976" s="51" t="str">
        <f aca="false">IF(AND(AC2976=1,AA2976&lt;1),IF(AND(C2977=C2976,AA2977=AA2976+1),IF(AC2977=1,"",INDEX(DATAS,AA2976+1)),INDEX(DATAS,AA2976+1)),"")</f>
        <v/>
      </c>
    </row>
    <row r="2977" customFormat="false" ht="15" hidden="false" customHeight="false" outlineLevel="0" collapsed="false">
      <c r="A2977" s="51" t="n">
        <v>46309</v>
      </c>
      <c r="B2977" s="0" t="n">
        <v>13</v>
      </c>
      <c r="C2977" s="0" t="n">
        <v>7363</v>
      </c>
      <c r="E2977" s="0" t="n">
        <v>0</v>
      </c>
      <c r="F2977" s="46" t="s">
        <v>1454</v>
      </c>
      <c r="I2977" s="46" t="s">
        <v>179</v>
      </c>
      <c r="U2977" s="0" t="n">
        <v>261</v>
      </c>
      <c r="V2977" s="0" t="n">
        <v>0</v>
      </c>
      <c r="X2977" s="46" t="n">
        <f aca="false">IF(I2977="Male",0,1)</f>
        <v>1</v>
      </c>
      <c r="Y2977" s="46" t="n">
        <f aca="false">IF(OR(I2977="DNB",I2977="Dry DNB"),1,0)</f>
        <v>0</v>
      </c>
      <c r="Z2977" s="0" t="str">
        <f aca="false">IF(ISNUMBER(W2977),A2977-W2977,"")</f>
        <v/>
      </c>
      <c r="AA2977" s="46" t="n">
        <f aca="false">MATCH(A2977,DATAS,0)</f>
        <v>1</v>
      </c>
      <c r="AB2977" s="46" t="n">
        <f aca="false">IF(AND(E2977&gt;0,OR(AND(B2977&gt;=1,B2977&lt;=6),B2977=10)),1,0)</f>
        <v>0</v>
      </c>
      <c r="AC2977" s="46" t="n">
        <f aca="false">IF(AND(E2977&gt;0,B2977=10),1,0)</f>
        <v>0</v>
      </c>
      <c r="AD2977" s="0" t="str">
        <f aca="false">IF(AND(C2976=C2977,AA2976=AA2977-1),AB2976,"")</f>
        <v/>
      </c>
      <c r="AE2977" s="0" t="str">
        <f aca="false">IF(AND(C2976=C2977,AA2976=AA2977-1),AC2976,"")</f>
        <v/>
      </c>
      <c r="AF2977" s="0" t="str">
        <f aca="false">IF(AA2977=1,"",IF(AND(AB2977=1,AD2977&lt;&gt;1),1,0))</f>
        <v/>
      </c>
      <c r="AG2977" s="0" t="str">
        <f aca="false">IF(AA2977=1,"",IF(AND(AC2977=1,AE2977&lt;&gt;1),1,0))</f>
        <v/>
      </c>
      <c r="AH2977" s="51" t="str">
        <f aca="false">IF(AND(E2977&gt;0,AA2977&lt;1,NOT(AND(C2978=C2977,AA2978=AA2977+1))),INDEX(DATAS,AA2977+1),"")</f>
        <v/>
      </c>
      <c r="AI2977" s="51" t="str">
        <f aca="false">IF(AND(AC2977=1,AA2977&lt;1),IF(AND(C2978=C2977,AA2978=AA2977+1),IF(AC2978=1,"",INDEX(DATAS,AA2977+1)),INDEX(DATAS,AA2977+1)),"")</f>
        <v/>
      </c>
    </row>
    <row r="2978" customFormat="false" ht="15" hidden="false" customHeight="false" outlineLevel="0" collapsed="false">
      <c r="A2978" s="51" t="n">
        <v>46309</v>
      </c>
      <c r="B2978" s="0" t="n">
        <v>13</v>
      </c>
      <c r="C2978" s="0" t="n">
        <v>7364</v>
      </c>
      <c r="E2978" s="0" t="n">
        <v>0</v>
      </c>
      <c r="F2978" s="46" t="s">
        <v>1454</v>
      </c>
      <c r="I2978" s="46" t="s">
        <v>179</v>
      </c>
      <c r="U2978" s="0" t="n">
        <v>261</v>
      </c>
      <c r="V2978" s="0" t="n">
        <v>0</v>
      </c>
      <c r="X2978" s="46" t="n">
        <f aca="false">IF(I2978="Male",0,1)</f>
        <v>1</v>
      </c>
      <c r="Y2978" s="46" t="n">
        <f aca="false">IF(OR(I2978="DNB",I2978="Dry DNB"),1,0)</f>
        <v>0</v>
      </c>
      <c r="Z2978" s="0" t="str">
        <f aca="false">IF(ISNUMBER(W2978),A2978-W2978,"")</f>
        <v/>
      </c>
      <c r="AA2978" s="46" t="n">
        <f aca="false">MATCH(A2978,DATAS,0)</f>
        <v>1</v>
      </c>
      <c r="AB2978" s="46" t="n">
        <f aca="false">IF(AND(E2978&gt;0,OR(AND(B2978&gt;=1,B2978&lt;=6),B2978=10)),1,0)</f>
        <v>0</v>
      </c>
      <c r="AC2978" s="46" t="n">
        <f aca="false">IF(AND(E2978&gt;0,B2978=10),1,0)</f>
        <v>0</v>
      </c>
      <c r="AD2978" s="0" t="str">
        <f aca="false">IF(AND(C2977=C2978,AA2977=AA2978-1),AB2977,"")</f>
        <v/>
      </c>
      <c r="AE2978" s="0" t="str">
        <f aca="false">IF(AND(C2977=C2978,AA2977=AA2978-1),AC2977,"")</f>
        <v/>
      </c>
      <c r="AF2978" s="0" t="str">
        <f aca="false">IF(AA2978=1,"",IF(AND(AB2978=1,AD2978&lt;&gt;1),1,0))</f>
        <v/>
      </c>
      <c r="AG2978" s="0" t="str">
        <f aca="false">IF(AA2978=1,"",IF(AND(AC2978=1,AE2978&lt;&gt;1),1,0))</f>
        <v/>
      </c>
      <c r="AH2978" s="51" t="str">
        <f aca="false">IF(AND(E2978&gt;0,AA2978&lt;1,NOT(AND(C2979=C2978,AA2979=AA2978+1))),INDEX(DATAS,AA2978+1),"")</f>
        <v/>
      </c>
      <c r="AI2978" s="51" t="str">
        <f aca="false">IF(AND(AC2978=1,AA2978&lt;1),IF(AND(C2979=C2978,AA2979=AA2978+1),IF(AC2979=1,"",INDEX(DATAS,AA2978+1)),INDEX(DATAS,AA2978+1)),"")</f>
        <v/>
      </c>
    </row>
    <row r="2979" customFormat="false" ht="15" hidden="false" customHeight="false" outlineLevel="0" collapsed="false">
      <c r="A2979" s="51" t="n">
        <v>46309</v>
      </c>
      <c r="B2979" s="0" t="n">
        <v>13</v>
      </c>
      <c r="C2979" s="0" t="n">
        <v>7365</v>
      </c>
      <c r="E2979" s="0" t="n">
        <v>0</v>
      </c>
      <c r="F2979" s="46" t="s">
        <v>1455</v>
      </c>
      <c r="I2979" s="46" t="s">
        <v>179</v>
      </c>
      <c r="U2979" s="0" t="n">
        <v>260</v>
      </c>
      <c r="V2979" s="0" t="n">
        <v>0</v>
      </c>
      <c r="X2979" s="46" t="n">
        <f aca="false">IF(I2979="Male",0,1)</f>
        <v>1</v>
      </c>
      <c r="Y2979" s="46" t="n">
        <f aca="false">IF(OR(I2979="DNB",I2979="Dry DNB"),1,0)</f>
        <v>0</v>
      </c>
      <c r="Z2979" s="0" t="str">
        <f aca="false">IF(ISNUMBER(W2979),A2979-W2979,"")</f>
        <v/>
      </c>
      <c r="AA2979" s="46" t="n">
        <f aca="false">MATCH(A2979,DATAS,0)</f>
        <v>1</v>
      </c>
      <c r="AB2979" s="46" t="n">
        <f aca="false">IF(AND(E2979&gt;0,OR(AND(B2979&gt;=1,B2979&lt;=6),B2979=10)),1,0)</f>
        <v>0</v>
      </c>
      <c r="AC2979" s="46" t="n">
        <f aca="false">IF(AND(E2979&gt;0,B2979=10),1,0)</f>
        <v>0</v>
      </c>
      <c r="AD2979" s="0" t="str">
        <f aca="false">IF(AND(C2978=C2979,AA2978=AA2979-1),AB2978,"")</f>
        <v/>
      </c>
      <c r="AE2979" s="0" t="str">
        <f aca="false">IF(AND(C2978=C2979,AA2978=AA2979-1),AC2978,"")</f>
        <v/>
      </c>
      <c r="AF2979" s="0" t="str">
        <f aca="false">IF(AA2979=1,"",IF(AND(AB2979=1,AD2979&lt;&gt;1),1,0))</f>
        <v/>
      </c>
      <c r="AG2979" s="0" t="str">
        <f aca="false">IF(AA2979=1,"",IF(AND(AC2979=1,AE2979&lt;&gt;1),1,0))</f>
        <v/>
      </c>
      <c r="AH2979" s="51" t="str">
        <f aca="false">IF(AND(E2979&gt;0,AA2979&lt;1,NOT(AND(C2980=C2979,AA2980=AA2979+1))),INDEX(DATAS,AA2979+1),"")</f>
        <v/>
      </c>
      <c r="AI2979" s="51" t="str">
        <f aca="false">IF(AND(AC2979=1,AA2979&lt;1),IF(AND(C2980=C2979,AA2980=AA2979+1),IF(AC2980=1,"",INDEX(DATAS,AA2979+1)),INDEX(DATAS,AA2979+1)),"")</f>
        <v/>
      </c>
    </row>
    <row r="2980" customFormat="false" ht="15" hidden="false" customHeight="false" outlineLevel="0" collapsed="false">
      <c r="A2980" s="51" t="n">
        <v>46309</v>
      </c>
      <c r="B2980" s="0" t="n">
        <v>13</v>
      </c>
      <c r="C2980" s="0" t="n">
        <v>7367</v>
      </c>
      <c r="E2980" s="0" t="n">
        <v>0</v>
      </c>
      <c r="F2980" s="46" t="s">
        <v>1456</v>
      </c>
      <c r="I2980" s="46" t="s">
        <v>179</v>
      </c>
      <c r="U2980" s="0" t="n">
        <v>259</v>
      </c>
      <c r="V2980" s="0" t="n">
        <v>0</v>
      </c>
      <c r="X2980" s="46" t="n">
        <f aca="false">IF(I2980="Male",0,1)</f>
        <v>1</v>
      </c>
      <c r="Y2980" s="46" t="n">
        <f aca="false">IF(OR(I2980="DNB",I2980="Dry DNB"),1,0)</f>
        <v>0</v>
      </c>
      <c r="Z2980" s="0" t="str">
        <f aca="false">IF(ISNUMBER(W2980),A2980-W2980,"")</f>
        <v/>
      </c>
      <c r="AA2980" s="46" t="n">
        <f aca="false">MATCH(A2980,DATAS,0)</f>
        <v>1</v>
      </c>
      <c r="AB2980" s="46" t="n">
        <f aca="false">IF(AND(E2980&gt;0,OR(AND(B2980&gt;=1,B2980&lt;=6),B2980=10)),1,0)</f>
        <v>0</v>
      </c>
      <c r="AC2980" s="46" t="n">
        <f aca="false">IF(AND(E2980&gt;0,B2980=10),1,0)</f>
        <v>0</v>
      </c>
      <c r="AD2980" s="0" t="str">
        <f aca="false">IF(AND(C2979=C2980,AA2979=AA2980-1),AB2979,"")</f>
        <v/>
      </c>
      <c r="AE2980" s="0" t="str">
        <f aca="false">IF(AND(C2979=C2980,AA2979=AA2980-1),AC2979,"")</f>
        <v/>
      </c>
      <c r="AF2980" s="0" t="str">
        <f aca="false">IF(AA2980=1,"",IF(AND(AB2980=1,AD2980&lt;&gt;1),1,0))</f>
        <v/>
      </c>
      <c r="AG2980" s="0" t="str">
        <f aca="false">IF(AA2980=1,"",IF(AND(AC2980=1,AE2980&lt;&gt;1),1,0))</f>
        <v/>
      </c>
      <c r="AH2980" s="51" t="str">
        <f aca="false">IF(AND(E2980&gt;0,AA2980&lt;1,NOT(AND(C2981=C2980,AA2981=AA2980+1))),INDEX(DATAS,AA2980+1),"")</f>
        <v/>
      </c>
      <c r="AI2980" s="51" t="str">
        <f aca="false">IF(AND(AC2980=1,AA2980&lt;1),IF(AND(C2981=C2980,AA2981=AA2980+1),IF(AC2981=1,"",INDEX(DATAS,AA2980+1)),INDEX(DATAS,AA2980+1)),"")</f>
        <v/>
      </c>
    </row>
    <row r="2981" customFormat="false" ht="15" hidden="false" customHeight="false" outlineLevel="0" collapsed="false">
      <c r="A2981" s="51" t="n">
        <v>46309</v>
      </c>
      <c r="B2981" s="0" t="n">
        <v>13</v>
      </c>
      <c r="C2981" s="0" t="n">
        <v>7368</v>
      </c>
      <c r="E2981" s="0" t="n">
        <v>0</v>
      </c>
      <c r="F2981" s="46" t="s">
        <v>1456</v>
      </c>
      <c r="I2981" s="46" t="s">
        <v>179</v>
      </c>
      <c r="U2981" s="0" t="n">
        <v>259</v>
      </c>
      <c r="V2981" s="0" t="n">
        <v>0</v>
      </c>
      <c r="X2981" s="46" t="n">
        <f aca="false">IF(I2981="Male",0,1)</f>
        <v>1</v>
      </c>
      <c r="Y2981" s="46" t="n">
        <f aca="false">IF(OR(I2981="DNB",I2981="Dry DNB"),1,0)</f>
        <v>0</v>
      </c>
      <c r="Z2981" s="0" t="str">
        <f aca="false">IF(ISNUMBER(W2981),A2981-W2981,"")</f>
        <v/>
      </c>
      <c r="AA2981" s="46" t="n">
        <f aca="false">MATCH(A2981,DATAS,0)</f>
        <v>1</v>
      </c>
      <c r="AB2981" s="46" t="n">
        <f aca="false">IF(AND(E2981&gt;0,OR(AND(B2981&gt;=1,B2981&lt;=6),B2981=10)),1,0)</f>
        <v>0</v>
      </c>
      <c r="AC2981" s="46" t="n">
        <f aca="false">IF(AND(E2981&gt;0,B2981=10),1,0)</f>
        <v>0</v>
      </c>
      <c r="AD2981" s="0" t="str">
        <f aca="false">IF(AND(C2980=C2981,AA2980=AA2981-1),AB2980,"")</f>
        <v/>
      </c>
      <c r="AE2981" s="0" t="str">
        <f aca="false">IF(AND(C2980=C2981,AA2980=AA2981-1),AC2980,"")</f>
        <v/>
      </c>
      <c r="AF2981" s="0" t="str">
        <f aca="false">IF(AA2981=1,"",IF(AND(AB2981=1,AD2981&lt;&gt;1),1,0))</f>
        <v/>
      </c>
      <c r="AG2981" s="0" t="str">
        <f aca="false">IF(AA2981=1,"",IF(AND(AC2981=1,AE2981&lt;&gt;1),1,0))</f>
        <v/>
      </c>
      <c r="AH2981" s="51" t="str">
        <f aca="false">IF(AND(E2981&gt;0,AA2981&lt;1,NOT(AND(C2982=C2981,AA2982=AA2981+1))),INDEX(DATAS,AA2981+1),"")</f>
        <v/>
      </c>
      <c r="AI2981" s="51" t="str">
        <f aca="false">IF(AND(AC2981=1,AA2981&lt;1),IF(AND(C2982=C2981,AA2982=AA2981+1),IF(AC2982=1,"",INDEX(DATAS,AA2981+1)),INDEX(DATAS,AA2981+1)),"")</f>
        <v/>
      </c>
    </row>
    <row r="2982" customFormat="false" ht="15" hidden="false" customHeight="false" outlineLevel="0" collapsed="false">
      <c r="A2982" s="51" t="n">
        <v>46309</v>
      </c>
      <c r="B2982" s="0" t="n">
        <v>13</v>
      </c>
      <c r="C2982" s="0" t="n">
        <v>7369</v>
      </c>
      <c r="E2982" s="0" t="n">
        <v>0</v>
      </c>
      <c r="F2982" s="46" t="s">
        <v>1457</v>
      </c>
      <c r="I2982" s="46" t="s">
        <v>179</v>
      </c>
      <c r="U2982" s="0" t="n">
        <v>258</v>
      </c>
      <c r="V2982" s="0" t="n">
        <v>0</v>
      </c>
      <c r="X2982" s="46" t="n">
        <f aca="false">IF(I2982="Male",0,1)</f>
        <v>1</v>
      </c>
      <c r="Y2982" s="46" t="n">
        <f aca="false">IF(OR(I2982="DNB",I2982="Dry DNB"),1,0)</f>
        <v>0</v>
      </c>
      <c r="Z2982" s="0" t="str">
        <f aca="false">IF(ISNUMBER(W2982),A2982-W2982,"")</f>
        <v/>
      </c>
      <c r="AA2982" s="46" t="n">
        <f aca="false">MATCH(A2982,DATAS,0)</f>
        <v>1</v>
      </c>
      <c r="AB2982" s="46" t="n">
        <f aca="false">IF(AND(E2982&gt;0,OR(AND(B2982&gt;=1,B2982&lt;=6),B2982=10)),1,0)</f>
        <v>0</v>
      </c>
      <c r="AC2982" s="46" t="n">
        <f aca="false">IF(AND(E2982&gt;0,B2982=10),1,0)</f>
        <v>0</v>
      </c>
      <c r="AD2982" s="0" t="str">
        <f aca="false">IF(AND(C2981=C2982,AA2981=AA2982-1),AB2981,"")</f>
        <v/>
      </c>
      <c r="AE2982" s="0" t="str">
        <f aca="false">IF(AND(C2981=C2982,AA2981=AA2982-1),AC2981,"")</f>
        <v/>
      </c>
      <c r="AF2982" s="0" t="str">
        <f aca="false">IF(AA2982=1,"",IF(AND(AB2982=1,AD2982&lt;&gt;1),1,0))</f>
        <v/>
      </c>
      <c r="AG2982" s="0" t="str">
        <f aca="false">IF(AA2982=1,"",IF(AND(AC2982=1,AE2982&lt;&gt;1),1,0))</f>
        <v/>
      </c>
      <c r="AH2982" s="51" t="str">
        <f aca="false">IF(AND(E2982&gt;0,AA2982&lt;1,NOT(AND(C2983=C2982,AA2983=AA2982+1))),INDEX(DATAS,AA2982+1),"")</f>
        <v/>
      </c>
      <c r="AI2982" s="51" t="str">
        <f aca="false">IF(AND(AC2982=1,AA2982&lt;1),IF(AND(C2983=C2982,AA2983=AA2982+1),IF(AC2983=1,"",INDEX(DATAS,AA2982+1)),INDEX(DATAS,AA2982+1)),"")</f>
        <v/>
      </c>
    </row>
    <row r="2983" customFormat="false" ht="15" hidden="false" customHeight="false" outlineLevel="0" collapsed="false">
      <c r="A2983" s="51" t="n">
        <v>46309</v>
      </c>
      <c r="B2983" s="0" t="n">
        <v>13</v>
      </c>
      <c r="C2983" s="0" t="n">
        <v>7370</v>
      </c>
      <c r="E2983" s="0" t="n">
        <v>0</v>
      </c>
      <c r="F2983" s="46" t="s">
        <v>1457</v>
      </c>
      <c r="I2983" s="46" t="s">
        <v>179</v>
      </c>
      <c r="U2983" s="0" t="n">
        <v>258</v>
      </c>
      <c r="V2983" s="0" t="n">
        <v>0</v>
      </c>
      <c r="X2983" s="46" t="n">
        <f aca="false">IF(I2983="Male",0,1)</f>
        <v>1</v>
      </c>
      <c r="Y2983" s="46" t="n">
        <f aca="false">IF(OR(I2983="DNB",I2983="Dry DNB"),1,0)</f>
        <v>0</v>
      </c>
      <c r="Z2983" s="0" t="str">
        <f aca="false">IF(ISNUMBER(W2983),A2983-W2983,"")</f>
        <v/>
      </c>
      <c r="AA2983" s="46" t="n">
        <f aca="false">MATCH(A2983,DATAS,0)</f>
        <v>1</v>
      </c>
      <c r="AB2983" s="46" t="n">
        <f aca="false">IF(AND(E2983&gt;0,OR(AND(B2983&gt;=1,B2983&lt;=6),B2983=10)),1,0)</f>
        <v>0</v>
      </c>
      <c r="AC2983" s="46" t="n">
        <f aca="false">IF(AND(E2983&gt;0,B2983=10),1,0)</f>
        <v>0</v>
      </c>
      <c r="AD2983" s="0" t="str">
        <f aca="false">IF(AND(C2982=C2983,AA2982=AA2983-1),AB2982,"")</f>
        <v/>
      </c>
      <c r="AE2983" s="0" t="str">
        <f aca="false">IF(AND(C2982=C2983,AA2982=AA2983-1),AC2982,"")</f>
        <v/>
      </c>
      <c r="AF2983" s="0" t="str">
        <f aca="false">IF(AA2983=1,"",IF(AND(AB2983=1,AD2983&lt;&gt;1),1,0))</f>
        <v/>
      </c>
      <c r="AG2983" s="0" t="str">
        <f aca="false">IF(AA2983=1,"",IF(AND(AC2983=1,AE2983&lt;&gt;1),1,0))</f>
        <v/>
      </c>
      <c r="AH2983" s="51" t="str">
        <f aca="false">IF(AND(E2983&gt;0,AA2983&lt;1,NOT(AND(C2984=C2983,AA2984=AA2983+1))),INDEX(DATAS,AA2983+1),"")</f>
        <v/>
      </c>
      <c r="AI2983" s="51" t="str">
        <f aca="false">IF(AND(AC2983=1,AA2983&lt;1),IF(AND(C2984=C2983,AA2984=AA2983+1),IF(AC2984=1,"",INDEX(DATAS,AA2983+1)),INDEX(DATAS,AA2983+1)),"")</f>
        <v/>
      </c>
    </row>
    <row r="2984" customFormat="false" ht="15" hidden="false" customHeight="false" outlineLevel="0" collapsed="false">
      <c r="A2984" s="51" t="n">
        <v>46309</v>
      </c>
      <c r="B2984" s="0" t="n">
        <v>13</v>
      </c>
      <c r="C2984" s="0" t="n">
        <v>7371</v>
      </c>
      <c r="E2984" s="0" t="n">
        <v>0</v>
      </c>
      <c r="F2984" s="46" t="s">
        <v>1457</v>
      </c>
      <c r="I2984" s="46" t="s">
        <v>179</v>
      </c>
      <c r="U2984" s="0" t="n">
        <v>258</v>
      </c>
      <c r="V2984" s="0" t="n">
        <v>0</v>
      </c>
      <c r="X2984" s="46" t="n">
        <f aca="false">IF(I2984="Male",0,1)</f>
        <v>1</v>
      </c>
      <c r="Y2984" s="46" t="n">
        <f aca="false">IF(OR(I2984="DNB",I2984="Dry DNB"),1,0)</f>
        <v>0</v>
      </c>
      <c r="Z2984" s="0" t="str">
        <f aca="false">IF(ISNUMBER(W2984),A2984-W2984,"")</f>
        <v/>
      </c>
      <c r="AA2984" s="46" t="n">
        <f aca="false">MATCH(A2984,DATAS,0)</f>
        <v>1</v>
      </c>
      <c r="AB2984" s="46" t="n">
        <f aca="false">IF(AND(E2984&gt;0,OR(AND(B2984&gt;=1,B2984&lt;=6),B2984=10)),1,0)</f>
        <v>0</v>
      </c>
      <c r="AC2984" s="46" t="n">
        <f aca="false">IF(AND(E2984&gt;0,B2984=10),1,0)</f>
        <v>0</v>
      </c>
      <c r="AD2984" s="0" t="str">
        <f aca="false">IF(AND(C2983=C2984,AA2983=AA2984-1),AB2983,"")</f>
        <v/>
      </c>
      <c r="AE2984" s="0" t="str">
        <f aca="false">IF(AND(C2983=C2984,AA2983=AA2984-1),AC2983,"")</f>
        <v/>
      </c>
      <c r="AF2984" s="0" t="str">
        <f aca="false">IF(AA2984=1,"",IF(AND(AB2984=1,AD2984&lt;&gt;1),1,0))</f>
        <v/>
      </c>
      <c r="AG2984" s="0" t="str">
        <f aca="false">IF(AA2984=1,"",IF(AND(AC2984=1,AE2984&lt;&gt;1),1,0))</f>
        <v/>
      </c>
      <c r="AH2984" s="51" t="str">
        <f aca="false">IF(AND(E2984&gt;0,AA2984&lt;1,NOT(AND(C2985=C2984,AA2985=AA2984+1))),INDEX(DATAS,AA2984+1),"")</f>
        <v/>
      </c>
      <c r="AI2984" s="51" t="str">
        <f aca="false">IF(AND(AC2984=1,AA2984&lt;1),IF(AND(C2985=C2984,AA2985=AA2984+1),IF(AC2985=1,"",INDEX(DATAS,AA2984+1)),INDEX(DATAS,AA2984+1)),"")</f>
        <v/>
      </c>
    </row>
    <row r="2985" customFormat="false" ht="15" hidden="false" customHeight="false" outlineLevel="0" collapsed="false">
      <c r="A2985" s="51" t="n">
        <v>46309</v>
      </c>
      <c r="B2985" s="0" t="n">
        <v>13</v>
      </c>
      <c r="C2985" s="0" t="n">
        <v>7372</v>
      </c>
      <c r="E2985" s="0" t="n">
        <v>0</v>
      </c>
      <c r="F2985" s="46" t="s">
        <v>1458</v>
      </c>
      <c r="I2985" s="46" t="s">
        <v>179</v>
      </c>
      <c r="U2985" s="0" t="n">
        <v>257</v>
      </c>
      <c r="V2985" s="0" t="n">
        <v>0</v>
      </c>
      <c r="X2985" s="46" t="n">
        <f aca="false">IF(I2985="Male",0,1)</f>
        <v>1</v>
      </c>
      <c r="Y2985" s="46" t="n">
        <f aca="false">IF(OR(I2985="DNB",I2985="Dry DNB"),1,0)</f>
        <v>0</v>
      </c>
      <c r="Z2985" s="0" t="str">
        <f aca="false">IF(ISNUMBER(W2985),A2985-W2985,"")</f>
        <v/>
      </c>
      <c r="AA2985" s="46" t="n">
        <f aca="false">MATCH(A2985,DATAS,0)</f>
        <v>1</v>
      </c>
      <c r="AB2985" s="46" t="n">
        <f aca="false">IF(AND(E2985&gt;0,OR(AND(B2985&gt;=1,B2985&lt;=6),B2985=10)),1,0)</f>
        <v>0</v>
      </c>
      <c r="AC2985" s="46" t="n">
        <f aca="false">IF(AND(E2985&gt;0,B2985=10),1,0)</f>
        <v>0</v>
      </c>
      <c r="AD2985" s="0" t="str">
        <f aca="false">IF(AND(C2984=C2985,AA2984=AA2985-1),AB2984,"")</f>
        <v/>
      </c>
      <c r="AE2985" s="0" t="str">
        <f aca="false">IF(AND(C2984=C2985,AA2984=AA2985-1),AC2984,"")</f>
        <v/>
      </c>
      <c r="AF2985" s="0" t="str">
        <f aca="false">IF(AA2985=1,"",IF(AND(AB2985=1,AD2985&lt;&gt;1),1,0))</f>
        <v/>
      </c>
      <c r="AG2985" s="0" t="str">
        <f aca="false">IF(AA2985=1,"",IF(AND(AC2985=1,AE2985&lt;&gt;1),1,0))</f>
        <v/>
      </c>
      <c r="AH2985" s="51" t="str">
        <f aca="false">IF(AND(E2985&gt;0,AA2985&lt;1,NOT(AND(C2986=C2985,AA2986=AA2985+1))),INDEX(DATAS,AA2985+1),"")</f>
        <v/>
      </c>
      <c r="AI2985" s="51" t="str">
        <f aca="false">IF(AND(AC2985=1,AA2985&lt;1),IF(AND(C2986=C2985,AA2986=AA2985+1),IF(AC2986=1,"",INDEX(DATAS,AA2985+1)),INDEX(DATAS,AA2985+1)),"")</f>
        <v/>
      </c>
    </row>
    <row r="2986" customFormat="false" ht="15" hidden="false" customHeight="false" outlineLevel="0" collapsed="false">
      <c r="A2986" s="51" t="n">
        <v>46309</v>
      </c>
      <c r="B2986" s="0" t="n">
        <v>13</v>
      </c>
      <c r="C2986" s="0" t="n">
        <v>7374</v>
      </c>
      <c r="E2986" s="0" t="n">
        <v>0</v>
      </c>
      <c r="F2986" s="46" t="s">
        <v>1459</v>
      </c>
      <c r="I2986" s="46" t="s">
        <v>179</v>
      </c>
      <c r="U2986" s="0" t="n">
        <v>256</v>
      </c>
      <c r="V2986" s="0" t="n">
        <v>0</v>
      </c>
      <c r="X2986" s="46" t="n">
        <f aca="false">IF(I2986="Male",0,1)</f>
        <v>1</v>
      </c>
      <c r="Y2986" s="46" t="n">
        <f aca="false">IF(OR(I2986="DNB",I2986="Dry DNB"),1,0)</f>
        <v>0</v>
      </c>
      <c r="Z2986" s="0" t="str">
        <f aca="false">IF(ISNUMBER(W2986),A2986-W2986,"")</f>
        <v/>
      </c>
      <c r="AA2986" s="46" t="n">
        <f aca="false">MATCH(A2986,DATAS,0)</f>
        <v>1</v>
      </c>
      <c r="AB2986" s="46" t="n">
        <f aca="false">IF(AND(E2986&gt;0,OR(AND(B2986&gt;=1,B2986&lt;=6),B2986=10)),1,0)</f>
        <v>0</v>
      </c>
      <c r="AC2986" s="46" t="n">
        <f aca="false">IF(AND(E2986&gt;0,B2986=10),1,0)</f>
        <v>0</v>
      </c>
      <c r="AD2986" s="0" t="str">
        <f aca="false">IF(AND(C2985=C2986,AA2985=AA2986-1),AB2985,"")</f>
        <v/>
      </c>
      <c r="AE2986" s="0" t="str">
        <f aca="false">IF(AND(C2985=C2986,AA2985=AA2986-1),AC2985,"")</f>
        <v/>
      </c>
      <c r="AF2986" s="0" t="str">
        <f aca="false">IF(AA2986=1,"",IF(AND(AB2986=1,AD2986&lt;&gt;1),1,0))</f>
        <v/>
      </c>
      <c r="AG2986" s="0" t="str">
        <f aca="false">IF(AA2986=1,"",IF(AND(AC2986=1,AE2986&lt;&gt;1),1,0))</f>
        <v/>
      </c>
      <c r="AH2986" s="51" t="str">
        <f aca="false">IF(AND(E2986&gt;0,AA2986&lt;1,NOT(AND(C2987=C2986,AA2987=AA2986+1))),INDEX(DATAS,AA2986+1),"")</f>
        <v/>
      </c>
      <c r="AI2986" s="51" t="str">
        <f aca="false">IF(AND(AC2986=1,AA2986&lt;1),IF(AND(C2987=C2986,AA2987=AA2986+1),IF(AC2987=1,"",INDEX(DATAS,AA2986+1)),INDEX(DATAS,AA2986+1)),"")</f>
        <v/>
      </c>
    </row>
    <row r="2987" customFormat="false" ht="15" hidden="false" customHeight="false" outlineLevel="0" collapsed="false">
      <c r="A2987" s="51" t="n">
        <v>46309</v>
      </c>
      <c r="B2987" s="0" t="n">
        <v>13</v>
      </c>
      <c r="C2987" s="0" t="n">
        <v>7375</v>
      </c>
      <c r="E2987" s="0" t="n">
        <v>0</v>
      </c>
      <c r="F2987" s="46" t="s">
        <v>1459</v>
      </c>
      <c r="I2987" s="46" t="s">
        <v>179</v>
      </c>
      <c r="U2987" s="0" t="n">
        <v>256</v>
      </c>
      <c r="V2987" s="0" t="n">
        <v>0</v>
      </c>
      <c r="X2987" s="46" t="n">
        <f aca="false">IF(I2987="Male",0,1)</f>
        <v>1</v>
      </c>
      <c r="Y2987" s="46" t="n">
        <f aca="false">IF(OR(I2987="DNB",I2987="Dry DNB"),1,0)</f>
        <v>0</v>
      </c>
      <c r="Z2987" s="0" t="str">
        <f aca="false">IF(ISNUMBER(W2987),A2987-W2987,"")</f>
        <v/>
      </c>
      <c r="AA2987" s="46" t="n">
        <f aca="false">MATCH(A2987,DATAS,0)</f>
        <v>1</v>
      </c>
      <c r="AB2987" s="46" t="n">
        <f aca="false">IF(AND(E2987&gt;0,OR(AND(B2987&gt;=1,B2987&lt;=6),B2987=10)),1,0)</f>
        <v>0</v>
      </c>
      <c r="AC2987" s="46" t="n">
        <f aca="false">IF(AND(E2987&gt;0,B2987=10),1,0)</f>
        <v>0</v>
      </c>
      <c r="AD2987" s="0" t="str">
        <f aca="false">IF(AND(C2986=C2987,AA2986=AA2987-1),AB2986,"")</f>
        <v/>
      </c>
      <c r="AE2987" s="0" t="str">
        <f aca="false">IF(AND(C2986=C2987,AA2986=AA2987-1),AC2986,"")</f>
        <v/>
      </c>
      <c r="AF2987" s="0" t="str">
        <f aca="false">IF(AA2987=1,"",IF(AND(AB2987=1,AD2987&lt;&gt;1),1,0))</f>
        <v/>
      </c>
      <c r="AG2987" s="0" t="str">
        <f aca="false">IF(AA2987=1,"",IF(AND(AC2987=1,AE2987&lt;&gt;1),1,0))</f>
        <v/>
      </c>
      <c r="AH2987" s="51" t="str">
        <f aca="false">IF(AND(E2987&gt;0,AA2987&lt;1,NOT(AND(C2988=C2987,AA2988=AA2987+1))),INDEX(DATAS,AA2987+1),"")</f>
        <v/>
      </c>
      <c r="AI2987" s="51" t="str">
        <f aca="false">IF(AND(AC2987=1,AA2987&lt;1),IF(AND(C2988=C2987,AA2988=AA2987+1),IF(AC2988=1,"",INDEX(DATAS,AA2987+1)),INDEX(DATAS,AA2987+1)),"")</f>
        <v/>
      </c>
    </row>
    <row r="2988" customFormat="false" ht="15" hidden="false" customHeight="false" outlineLevel="0" collapsed="false">
      <c r="A2988" s="51" t="n">
        <v>46309</v>
      </c>
      <c r="B2988" s="0" t="n">
        <v>13</v>
      </c>
      <c r="C2988" s="0" t="n">
        <v>7376</v>
      </c>
      <c r="E2988" s="0" t="n">
        <v>0</v>
      </c>
      <c r="F2988" s="46" t="s">
        <v>1459</v>
      </c>
      <c r="I2988" s="46" t="s">
        <v>179</v>
      </c>
      <c r="U2988" s="0" t="n">
        <v>256</v>
      </c>
      <c r="V2988" s="0" t="n">
        <v>0</v>
      </c>
      <c r="X2988" s="46" t="n">
        <f aca="false">IF(I2988="Male",0,1)</f>
        <v>1</v>
      </c>
      <c r="Y2988" s="46" t="n">
        <f aca="false">IF(OR(I2988="DNB",I2988="Dry DNB"),1,0)</f>
        <v>0</v>
      </c>
      <c r="Z2988" s="0" t="str">
        <f aca="false">IF(ISNUMBER(W2988),A2988-W2988,"")</f>
        <v/>
      </c>
      <c r="AA2988" s="46" t="n">
        <f aca="false">MATCH(A2988,DATAS,0)</f>
        <v>1</v>
      </c>
      <c r="AB2988" s="46" t="n">
        <f aca="false">IF(AND(E2988&gt;0,OR(AND(B2988&gt;=1,B2988&lt;=6),B2988=10)),1,0)</f>
        <v>0</v>
      </c>
      <c r="AC2988" s="46" t="n">
        <f aca="false">IF(AND(E2988&gt;0,B2988=10),1,0)</f>
        <v>0</v>
      </c>
      <c r="AD2988" s="0" t="str">
        <f aca="false">IF(AND(C2987=C2988,AA2987=AA2988-1),AB2987,"")</f>
        <v/>
      </c>
      <c r="AE2988" s="0" t="str">
        <f aca="false">IF(AND(C2987=C2988,AA2987=AA2988-1),AC2987,"")</f>
        <v/>
      </c>
      <c r="AF2988" s="0" t="str">
        <f aca="false">IF(AA2988=1,"",IF(AND(AB2988=1,AD2988&lt;&gt;1),1,0))</f>
        <v/>
      </c>
      <c r="AG2988" s="0" t="str">
        <f aca="false">IF(AA2988=1,"",IF(AND(AC2988=1,AE2988&lt;&gt;1),1,0))</f>
        <v/>
      </c>
      <c r="AH2988" s="51" t="str">
        <f aca="false">IF(AND(E2988&gt;0,AA2988&lt;1,NOT(AND(C2989=C2988,AA2989=AA2988+1))),INDEX(DATAS,AA2988+1),"")</f>
        <v/>
      </c>
      <c r="AI2988" s="51" t="str">
        <f aca="false">IF(AND(AC2988=1,AA2988&lt;1),IF(AND(C2989=C2988,AA2989=AA2988+1),IF(AC2989=1,"",INDEX(DATAS,AA2988+1)),INDEX(DATAS,AA2988+1)),"")</f>
        <v/>
      </c>
    </row>
    <row r="2989" customFormat="false" ht="15" hidden="false" customHeight="false" outlineLevel="0" collapsed="false">
      <c r="A2989" s="51" t="n">
        <v>46309</v>
      </c>
      <c r="B2989" s="0" t="n">
        <v>13</v>
      </c>
      <c r="C2989" s="0" t="n">
        <v>7377</v>
      </c>
      <c r="E2989" s="0" t="n">
        <v>0</v>
      </c>
      <c r="F2989" s="46" t="s">
        <v>1459</v>
      </c>
      <c r="I2989" s="46" t="s">
        <v>179</v>
      </c>
      <c r="U2989" s="0" t="n">
        <v>256</v>
      </c>
      <c r="V2989" s="0" t="n">
        <v>0</v>
      </c>
      <c r="X2989" s="46" t="n">
        <f aca="false">IF(I2989="Male",0,1)</f>
        <v>1</v>
      </c>
      <c r="Y2989" s="46" t="n">
        <f aca="false">IF(OR(I2989="DNB",I2989="Dry DNB"),1,0)</f>
        <v>0</v>
      </c>
      <c r="Z2989" s="0" t="str">
        <f aca="false">IF(ISNUMBER(W2989),A2989-W2989,"")</f>
        <v/>
      </c>
      <c r="AA2989" s="46" t="n">
        <f aca="false">MATCH(A2989,DATAS,0)</f>
        <v>1</v>
      </c>
      <c r="AB2989" s="46" t="n">
        <f aca="false">IF(AND(E2989&gt;0,OR(AND(B2989&gt;=1,B2989&lt;=6),B2989=10)),1,0)</f>
        <v>0</v>
      </c>
      <c r="AC2989" s="46" t="n">
        <f aca="false">IF(AND(E2989&gt;0,B2989=10),1,0)</f>
        <v>0</v>
      </c>
      <c r="AD2989" s="0" t="str">
        <f aca="false">IF(AND(C2988=C2989,AA2988=AA2989-1),AB2988,"")</f>
        <v/>
      </c>
      <c r="AE2989" s="0" t="str">
        <f aca="false">IF(AND(C2988=C2989,AA2988=AA2989-1),AC2988,"")</f>
        <v/>
      </c>
      <c r="AF2989" s="0" t="str">
        <f aca="false">IF(AA2989=1,"",IF(AND(AB2989=1,AD2989&lt;&gt;1),1,0))</f>
        <v/>
      </c>
      <c r="AG2989" s="0" t="str">
        <f aca="false">IF(AA2989=1,"",IF(AND(AC2989=1,AE2989&lt;&gt;1),1,0))</f>
        <v/>
      </c>
      <c r="AH2989" s="51" t="str">
        <f aca="false">IF(AND(E2989&gt;0,AA2989&lt;1,NOT(AND(C2990=C2989,AA2990=AA2989+1))),INDEX(DATAS,AA2989+1),"")</f>
        <v/>
      </c>
      <c r="AI2989" s="51" t="str">
        <f aca="false">IF(AND(AC2989=1,AA2989&lt;1),IF(AND(C2990=C2989,AA2990=AA2989+1),IF(AC2990=1,"",INDEX(DATAS,AA2989+1)),INDEX(DATAS,AA2989+1)),"")</f>
        <v/>
      </c>
    </row>
    <row r="2990" customFormat="false" ht="15" hidden="false" customHeight="false" outlineLevel="0" collapsed="false">
      <c r="A2990" s="51" t="n">
        <v>46309</v>
      </c>
      <c r="B2990" s="0" t="n">
        <v>13</v>
      </c>
      <c r="C2990" s="0" t="n">
        <v>7378</v>
      </c>
      <c r="E2990" s="0" t="n">
        <v>0</v>
      </c>
      <c r="F2990" s="46" t="s">
        <v>1459</v>
      </c>
      <c r="I2990" s="46" t="s">
        <v>179</v>
      </c>
      <c r="U2990" s="0" t="n">
        <v>256</v>
      </c>
      <c r="V2990" s="0" t="n">
        <v>0</v>
      </c>
      <c r="X2990" s="46" t="n">
        <f aca="false">IF(I2990="Male",0,1)</f>
        <v>1</v>
      </c>
      <c r="Y2990" s="46" t="n">
        <f aca="false">IF(OR(I2990="DNB",I2990="Dry DNB"),1,0)</f>
        <v>0</v>
      </c>
      <c r="Z2990" s="0" t="str">
        <f aca="false">IF(ISNUMBER(W2990),A2990-W2990,"")</f>
        <v/>
      </c>
      <c r="AA2990" s="46" t="n">
        <f aca="false">MATCH(A2990,DATAS,0)</f>
        <v>1</v>
      </c>
      <c r="AB2990" s="46" t="n">
        <f aca="false">IF(AND(E2990&gt;0,OR(AND(B2990&gt;=1,B2990&lt;=6),B2990=10)),1,0)</f>
        <v>0</v>
      </c>
      <c r="AC2990" s="46" t="n">
        <f aca="false">IF(AND(E2990&gt;0,B2990=10),1,0)</f>
        <v>0</v>
      </c>
      <c r="AD2990" s="0" t="str">
        <f aca="false">IF(AND(C2989=C2990,AA2989=AA2990-1),AB2989,"")</f>
        <v/>
      </c>
      <c r="AE2990" s="0" t="str">
        <f aca="false">IF(AND(C2989=C2990,AA2989=AA2990-1),AC2989,"")</f>
        <v/>
      </c>
      <c r="AF2990" s="0" t="str">
        <f aca="false">IF(AA2990=1,"",IF(AND(AB2990=1,AD2990&lt;&gt;1),1,0))</f>
        <v/>
      </c>
      <c r="AG2990" s="0" t="str">
        <f aca="false">IF(AA2990=1,"",IF(AND(AC2990=1,AE2990&lt;&gt;1),1,0))</f>
        <v/>
      </c>
      <c r="AH2990" s="51" t="str">
        <f aca="false">IF(AND(E2990&gt;0,AA2990&lt;1,NOT(AND(C2991=C2990,AA2991=AA2990+1))),INDEX(DATAS,AA2990+1),"")</f>
        <v/>
      </c>
      <c r="AI2990" s="51" t="str">
        <f aca="false">IF(AND(AC2990=1,AA2990&lt;1),IF(AND(C2991=C2990,AA2991=AA2990+1),IF(AC2991=1,"",INDEX(DATAS,AA2990+1)),INDEX(DATAS,AA2990+1)),"")</f>
        <v/>
      </c>
    </row>
    <row r="2991" customFormat="false" ht="15" hidden="false" customHeight="false" outlineLevel="0" collapsed="false">
      <c r="A2991" s="51" t="n">
        <v>46309</v>
      </c>
      <c r="B2991" s="0" t="n">
        <v>13</v>
      </c>
      <c r="C2991" s="0" t="n">
        <v>7379</v>
      </c>
      <c r="E2991" s="0" t="n">
        <v>0</v>
      </c>
      <c r="F2991" s="46" t="s">
        <v>1460</v>
      </c>
      <c r="I2991" s="46" t="s">
        <v>179</v>
      </c>
      <c r="U2991" s="0" t="n">
        <v>255</v>
      </c>
      <c r="V2991" s="0" t="n">
        <v>0</v>
      </c>
      <c r="X2991" s="46" t="n">
        <f aca="false">IF(I2991="Male",0,1)</f>
        <v>1</v>
      </c>
      <c r="Y2991" s="46" t="n">
        <f aca="false">IF(OR(I2991="DNB",I2991="Dry DNB"),1,0)</f>
        <v>0</v>
      </c>
      <c r="Z2991" s="0" t="str">
        <f aca="false">IF(ISNUMBER(W2991),A2991-W2991,"")</f>
        <v/>
      </c>
      <c r="AA2991" s="46" t="n">
        <f aca="false">MATCH(A2991,DATAS,0)</f>
        <v>1</v>
      </c>
      <c r="AB2991" s="46" t="n">
        <f aca="false">IF(AND(E2991&gt;0,OR(AND(B2991&gt;=1,B2991&lt;=6),B2991=10)),1,0)</f>
        <v>0</v>
      </c>
      <c r="AC2991" s="46" t="n">
        <f aca="false">IF(AND(E2991&gt;0,B2991=10),1,0)</f>
        <v>0</v>
      </c>
      <c r="AD2991" s="0" t="str">
        <f aca="false">IF(AND(C2990=C2991,AA2990=AA2991-1),AB2990,"")</f>
        <v/>
      </c>
      <c r="AE2991" s="0" t="str">
        <f aca="false">IF(AND(C2990=C2991,AA2990=AA2991-1),AC2990,"")</f>
        <v/>
      </c>
      <c r="AF2991" s="0" t="str">
        <f aca="false">IF(AA2991=1,"",IF(AND(AB2991=1,AD2991&lt;&gt;1),1,0))</f>
        <v/>
      </c>
      <c r="AG2991" s="0" t="str">
        <f aca="false">IF(AA2991=1,"",IF(AND(AC2991=1,AE2991&lt;&gt;1),1,0))</f>
        <v/>
      </c>
      <c r="AH2991" s="51" t="str">
        <f aca="false">IF(AND(E2991&gt;0,AA2991&lt;1,NOT(AND(C2992=C2991,AA2992=AA2991+1))),INDEX(DATAS,AA2991+1),"")</f>
        <v/>
      </c>
      <c r="AI2991" s="51" t="str">
        <f aca="false">IF(AND(AC2991=1,AA2991&lt;1),IF(AND(C2992=C2991,AA2992=AA2991+1),IF(AC2992=1,"",INDEX(DATAS,AA2991+1)),INDEX(DATAS,AA2991+1)),"")</f>
        <v/>
      </c>
    </row>
    <row r="2992" customFormat="false" ht="15" hidden="false" customHeight="false" outlineLevel="0" collapsed="false">
      <c r="A2992" s="51" t="n">
        <v>46309</v>
      </c>
      <c r="B2992" s="0" t="n">
        <v>13</v>
      </c>
      <c r="C2992" s="0" t="n">
        <v>7380</v>
      </c>
      <c r="E2992" s="0" t="n">
        <v>0</v>
      </c>
      <c r="F2992" s="46" t="s">
        <v>1460</v>
      </c>
      <c r="I2992" s="46" t="s">
        <v>179</v>
      </c>
      <c r="U2992" s="0" t="n">
        <v>255</v>
      </c>
      <c r="V2992" s="0" t="n">
        <v>0</v>
      </c>
      <c r="X2992" s="46" t="n">
        <f aca="false">IF(I2992="Male",0,1)</f>
        <v>1</v>
      </c>
      <c r="Y2992" s="46" t="n">
        <f aca="false">IF(OR(I2992="DNB",I2992="Dry DNB"),1,0)</f>
        <v>0</v>
      </c>
      <c r="Z2992" s="0" t="str">
        <f aca="false">IF(ISNUMBER(W2992),A2992-W2992,"")</f>
        <v/>
      </c>
      <c r="AA2992" s="46" t="n">
        <f aca="false">MATCH(A2992,DATAS,0)</f>
        <v>1</v>
      </c>
      <c r="AB2992" s="46" t="n">
        <f aca="false">IF(AND(E2992&gt;0,OR(AND(B2992&gt;=1,B2992&lt;=6),B2992=10)),1,0)</f>
        <v>0</v>
      </c>
      <c r="AC2992" s="46" t="n">
        <f aca="false">IF(AND(E2992&gt;0,B2992=10),1,0)</f>
        <v>0</v>
      </c>
      <c r="AD2992" s="0" t="str">
        <f aca="false">IF(AND(C2991=C2992,AA2991=AA2992-1),AB2991,"")</f>
        <v/>
      </c>
      <c r="AE2992" s="0" t="str">
        <f aca="false">IF(AND(C2991=C2992,AA2991=AA2992-1),AC2991,"")</f>
        <v/>
      </c>
      <c r="AF2992" s="0" t="str">
        <f aca="false">IF(AA2992=1,"",IF(AND(AB2992=1,AD2992&lt;&gt;1),1,0))</f>
        <v/>
      </c>
      <c r="AG2992" s="0" t="str">
        <f aca="false">IF(AA2992=1,"",IF(AND(AC2992=1,AE2992&lt;&gt;1),1,0))</f>
        <v/>
      </c>
      <c r="AH2992" s="51" t="str">
        <f aca="false">IF(AND(E2992&gt;0,AA2992&lt;1,NOT(AND(C2993=C2992,AA2993=AA2992+1))),INDEX(DATAS,AA2992+1),"")</f>
        <v/>
      </c>
      <c r="AI2992" s="51" t="str">
        <f aca="false">IF(AND(AC2992=1,AA2992&lt;1),IF(AND(C2993=C2992,AA2993=AA2992+1),IF(AC2993=1,"",INDEX(DATAS,AA2992+1)),INDEX(DATAS,AA2992+1)),"")</f>
        <v/>
      </c>
    </row>
    <row r="2993" customFormat="false" ht="15" hidden="false" customHeight="false" outlineLevel="0" collapsed="false">
      <c r="A2993" s="51" t="n">
        <v>46309</v>
      </c>
      <c r="B2993" s="0" t="n">
        <v>13</v>
      </c>
      <c r="C2993" s="0" t="n">
        <v>7382</v>
      </c>
      <c r="E2993" s="0" t="n">
        <v>0</v>
      </c>
      <c r="F2993" s="46" t="s">
        <v>1461</v>
      </c>
      <c r="I2993" s="46" t="s">
        <v>179</v>
      </c>
      <c r="U2993" s="0" t="n">
        <v>254</v>
      </c>
      <c r="V2993" s="0" t="n">
        <v>0</v>
      </c>
      <c r="X2993" s="46" t="n">
        <f aca="false">IF(I2993="Male",0,1)</f>
        <v>1</v>
      </c>
      <c r="Y2993" s="46" t="n">
        <f aca="false">IF(OR(I2993="DNB",I2993="Dry DNB"),1,0)</f>
        <v>0</v>
      </c>
      <c r="Z2993" s="0" t="str">
        <f aca="false">IF(ISNUMBER(W2993),A2993-W2993,"")</f>
        <v/>
      </c>
      <c r="AA2993" s="46" t="n">
        <f aca="false">MATCH(A2993,DATAS,0)</f>
        <v>1</v>
      </c>
      <c r="AB2993" s="46" t="n">
        <f aca="false">IF(AND(E2993&gt;0,OR(AND(B2993&gt;=1,B2993&lt;=6),B2993=10)),1,0)</f>
        <v>0</v>
      </c>
      <c r="AC2993" s="46" t="n">
        <f aca="false">IF(AND(E2993&gt;0,B2993=10),1,0)</f>
        <v>0</v>
      </c>
      <c r="AD2993" s="0" t="str">
        <f aca="false">IF(AND(C2992=C2993,AA2992=AA2993-1),AB2992,"")</f>
        <v/>
      </c>
      <c r="AE2993" s="0" t="str">
        <f aca="false">IF(AND(C2992=C2993,AA2992=AA2993-1),AC2992,"")</f>
        <v/>
      </c>
      <c r="AF2993" s="0" t="str">
        <f aca="false">IF(AA2993=1,"",IF(AND(AB2993=1,AD2993&lt;&gt;1),1,0))</f>
        <v/>
      </c>
      <c r="AG2993" s="0" t="str">
        <f aca="false">IF(AA2993=1,"",IF(AND(AC2993=1,AE2993&lt;&gt;1),1,0))</f>
        <v/>
      </c>
      <c r="AH2993" s="51" t="str">
        <f aca="false">IF(AND(E2993&gt;0,AA2993&lt;1,NOT(AND(C2994=C2993,AA2994=AA2993+1))),INDEX(DATAS,AA2993+1),"")</f>
        <v/>
      </c>
      <c r="AI2993" s="51" t="str">
        <f aca="false">IF(AND(AC2993=1,AA2993&lt;1),IF(AND(C2994=C2993,AA2994=AA2993+1),IF(AC2994=1,"",INDEX(DATAS,AA2993+1)),INDEX(DATAS,AA2993+1)),"")</f>
        <v/>
      </c>
    </row>
    <row r="2994" customFormat="false" ht="15" hidden="false" customHeight="false" outlineLevel="0" collapsed="false">
      <c r="A2994" s="51" t="n">
        <v>46309</v>
      </c>
      <c r="B2994" s="0" t="n">
        <v>13</v>
      </c>
      <c r="C2994" s="0" t="n">
        <v>7384</v>
      </c>
      <c r="E2994" s="0" t="n">
        <v>0</v>
      </c>
      <c r="F2994" s="46" t="s">
        <v>1461</v>
      </c>
      <c r="I2994" s="46" t="s">
        <v>179</v>
      </c>
      <c r="U2994" s="0" t="n">
        <v>254</v>
      </c>
      <c r="V2994" s="0" t="n">
        <v>0</v>
      </c>
      <c r="X2994" s="46" t="n">
        <f aca="false">IF(I2994="Male",0,1)</f>
        <v>1</v>
      </c>
      <c r="Y2994" s="46" t="n">
        <f aca="false">IF(OR(I2994="DNB",I2994="Dry DNB"),1,0)</f>
        <v>0</v>
      </c>
      <c r="Z2994" s="0" t="str">
        <f aca="false">IF(ISNUMBER(W2994),A2994-W2994,"")</f>
        <v/>
      </c>
      <c r="AA2994" s="46" t="n">
        <f aca="false">MATCH(A2994,DATAS,0)</f>
        <v>1</v>
      </c>
      <c r="AB2994" s="46" t="n">
        <f aca="false">IF(AND(E2994&gt;0,OR(AND(B2994&gt;=1,B2994&lt;=6),B2994=10)),1,0)</f>
        <v>0</v>
      </c>
      <c r="AC2994" s="46" t="n">
        <f aca="false">IF(AND(E2994&gt;0,B2994=10),1,0)</f>
        <v>0</v>
      </c>
      <c r="AD2994" s="0" t="str">
        <f aca="false">IF(AND(C2993=C2994,AA2993=AA2994-1),AB2993,"")</f>
        <v/>
      </c>
      <c r="AE2994" s="0" t="str">
        <f aca="false">IF(AND(C2993=C2994,AA2993=AA2994-1),AC2993,"")</f>
        <v/>
      </c>
      <c r="AF2994" s="0" t="str">
        <f aca="false">IF(AA2994=1,"",IF(AND(AB2994=1,AD2994&lt;&gt;1),1,0))</f>
        <v/>
      </c>
      <c r="AG2994" s="0" t="str">
        <f aca="false">IF(AA2994=1,"",IF(AND(AC2994=1,AE2994&lt;&gt;1),1,0))</f>
        <v/>
      </c>
      <c r="AH2994" s="51" t="str">
        <f aca="false">IF(AND(E2994&gt;0,AA2994&lt;1,NOT(AND(C2995=C2994,AA2995=AA2994+1))),INDEX(DATAS,AA2994+1),"")</f>
        <v/>
      </c>
      <c r="AI2994" s="51" t="str">
        <f aca="false">IF(AND(AC2994=1,AA2994&lt;1),IF(AND(C2995=C2994,AA2995=AA2994+1),IF(AC2995=1,"",INDEX(DATAS,AA2994+1)),INDEX(DATAS,AA2994+1)),"")</f>
        <v/>
      </c>
    </row>
    <row r="2995" customFormat="false" ht="15" hidden="false" customHeight="false" outlineLevel="0" collapsed="false">
      <c r="A2995" s="51" t="n">
        <v>46309</v>
      </c>
      <c r="B2995" s="0" t="n">
        <v>13</v>
      </c>
      <c r="C2995" s="0" t="n">
        <v>7385</v>
      </c>
      <c r="E2995" s="0" t="n">
        <v>0</v>
      </c>
      <c r="F2995" s="46" t="s">
        <v>1462</v>
      </c>
      <c r="I2995" s="46" t="s">
        <v>179</v>
      </c>
      <c r="U2995" s="0" t="n">
        <v>253</v>
      </c>
      <c r="V2995" s="0" t="n">
        <v>0</v>
      </c>
      <c r="X2995" s="46" t="n">
        <f aca="false">IF(I2995="Male",0,1)</f>
        <v>1</v>
      </c>
      <c r="Y2995" s="46" t="n">
        <f aca="false">IF(OR(I2995="DNB",I2995="Dry DNB"),1,0)</f>
        <v>0</v>
      </c>
      <c r="Z2995" s="0" t="str">
        <f aca="false">IF(ISNUMBER(W2995),A2995-W2995,"")</f>
        <v/>
      </c>
      <c r="AA2995" s="46" t="n">
        <f aca="false">MATCH(A2995,DATAS,0)</f>
        <v>1</v>
      </c>
      <c r="AB2995" s="46" t="n">
        <f aca="false">IF(AND(E2995&gt;0,OR(AND(B2995&gt;=1,B2995&lt;=6),B2995=10)),1,0)</f>
        <v>0</v>
      </c>
      <c r="AC2995" s="46" t="n">
        <f aca="false">IF(AND(E2995&gt;0,B2995=10),1,0)</f>
        <v>0</v>
      </c>
      <c r="AD2995" s="0" t="str">
        <f aca="false">IF(AND(C2994=C2995,AA2994=AA2995-1),AB2994,"")</f>
        <v/>
      </c>
      <c r="AE2995" s="0" t="str">
        <f aca="false">IF(AND(C2994=C2995,AA2994=AA2995-1),AC2994,"")</f>
        <v/>
      </c>
      <c r="AF2995" s="0" t="str">
        <f aca="false">IF(AA2995=1,"",IF(AND(AB2995=1,AD2995&lt;&gt;1),1,0))</f>
        <v/>
      </c>
      <c r="AG2995" s="0" t="str">
        <f aca="false">IF(AA2995=1,"",IF(AND(AC2995=1,AE2995&lt;&gt;1),1,0))</f>
        <v/>
      </c>
      <c r="AH2995" s="51" t="str">
        <f aca="false">IF(AND(E2995&gt;0,AA2995&lt;1,NOT(AND(C2996=C2995,AA2996=AA2995+1))),INDEX(DATAS,AA2995+1),"")</f>
        <v/>
      </c>
      <c r="AI2995" s="51" t="str">
        <f aca="false">IF(AND(AC2995=1,AA2995&lt;1),IF(AND(C2996=C2995,AA2996=AA2995+1),IF(AC2996=1,"",INDEX(DATAS,AA2995+1)),INDEX(DATAS,AA2995+1)),"")</f>
        <v/>
      </c>
    </row>
    <row r="2996" customFormat="false" ht="15" hidden="false" customHeight="false" outlineLevel="0" collapsed="false">
      <c r="A2996" s="51" t="n">
        <v>46309</v>
      </c>
      <c r="B2996" s="0" t="n">
        <v>13</v>
      </c>
      <c r="C2996" s="0" t="n">
        <v>7386</v>
      </c>
      <c r="E2996" s="0" t="n">
        <v>0</v>
      </c>
      <c r="F2996" s="46" t="s">
        <v>1462</v>
      </c>
      <c r="I2996" s="46" t="s">
        <v>179</v>
      </c>
      <c r="U2996" s="0" t="n">
        <v>253</v>
      </c>
      <c r="V2996" s="0" t="n">
        <v>0</v>
      </c>
      <c r="X2996" s="46" t="n">
        <f aca="false">IF(I2996="Male",0,1)</f>
        <v>1</v>
      </c>
      <c r="Y2996" s="46" t="n">
        <f aca="false">IF(OR(I2996="DNB",I2996="Dry DNB"),1,0)</f>
        <v>0</v>
      </c>
      <c r="Z2996" s="0" t="str">
        <f aca="false">IF(ISNUMBER(W2996),A2996-W2996,"")</f>
        <v/>
      </c>
      <c r="AA2996" s="46" t="n">
        <f aca="false">MATCH(A2996,DATAS,0)</f>
        <v>1</v>
      </c>
      <c r="AB2996" s="46" t="n">
        <f aca="false">IF(AND(E2996&gt;0,OR(AND(B2996&gt;=1,B2996&lt;=6),B2996=10)),1,0)</f>
        <v>0</v>
      </c>
      <c r="AC2996" s="46" t="n">
        <f aca="false">IF(AND(E2996&gt;0,B2996=10),1,0)</f>
        <v>0</v>
      </c>
      <c r="AD2996" s="0" t="str">
        <f aca="false">IF(AND(C2995=C2996,AA2995=AA2996-1),AB2995,"")</f>
        <v/>
      </c>
      <c r="AE2996" s="0" t="str">
        <f aca="false">IF(AND(C2995=C2996,AA2995=AA2996-1),AC2995,"")</f>
        <v/>
      </c>
      <c r="AF2996" s="0" t="str">
        <f aca="false">IF(AA2996=1,"",IF(AND(AB2996=1,AD2996&lt;&gt;1),1,0))</f>
        <v/>
      </c>
      <c r="AG2996" s="0" t="str">
        <f aca="false">IF(AA2996=1,"",IF(AND(AC2996=1,AE2996&lt;&gt;1),1,0))</f>
        <v/>
      </c>
      <c r="AH2996" s="51" t="str">
        <f aca="false">IF(AND(E2996&gt;0,AA2996&lt;1,NOT(AND(C2997=C2996,AA2997=AA2996+1))),INDEX(DATAS,AA2996+1),"")</f>
        <v/>
      </c>
      <c r="AI2996" s="51" t="str">
        <f aca="false">IF(AND(AC2996=1,AA2996&lt;1),IF(AND(C2997=C2996,AA2997=AA2996+1),IF(AC2997=1,"",INDEX(DATAS,AA2996+1)),INDEX(DATAS,AA2996+1)),"")</f>
        <v/>
      </c>
    </row>
    <row r="2997" customFormat="false" ht="15" hidden="false" customHeight="false" outlineLevel="0" collapsed="false">
      <c r="A2997" s="51" t="n">
        <v>46309</v>
      </c>
      <c r="B2997" s="0" t="n">
        <v>13</v>
      </c>
      <c r="C2997" s="0" t="n">
        <v>7387</v>
      </c>
      <c r="E2997" s="0" t="n">
        <v>0</v>
      </c>
      <c r="F2997" s="46" t="s">
        <v>1462</v>
      </c>
      <c r="I2997" s="46" t="s">
        <v>179</v>
      </c>
      <c r="U2997" s="0" t="n">
        <v>253</v>
      </c>
      <c r="V2997" s="0" t="n">
        <v>0</v>
      </c>
      <c r="X2997" s="46" t="n">
        <f aca="false">IF(I2997="Male",0,1)</f>
        <v>1</v>
      </c>
      <c r="Y2997" s="46" t="n">
        <f aca="false">IF(OR(I2997="DNB",I2997="Dry DNB"),1,0)</f>
        <v>0</v>
      </c>
      <c r="Z2997" s="0" t="str">
        <f aca="false">IF(ISNUMBER(W2997),A2997-W2997,"")</f>
        <v/>
      </c>
      <c r="AA2997" s="46" t="n">
        <f aca="false">MATCH(A2997,DATAS,0)</f>
        <v>1</v>
      </c>
      <c r="AB2997" s="46" t="n">
        <f aca="false">IF(AND(E2997&gt;0,OR(AND(B2997&gt;=1,B2997&lt;=6),B2997=10)),1,0)</f>
        <v>0</v>
      </c>
      <c r="AC2997" s="46" t="n">
        <f aca="false">IF(AND(E2997&gt;0,B2997=10),1,0)</f>
        <v>0</v>
      </c>
      <c r="AD2997" s="0" t="str">
        <f aca="false">IF(AND(C2996=C2997,AA2996=AA2997-1),AB2996,"")</f>
        <v/>
      </c>
      <c r="AE2997" s="0" t="str">
        <f aca="false">IF(AND(C2996=C2997,AA2996=AA2997-1),AC2996,"")</f>
        <v/>
      </c>
      <c r="AF2997" s="0" t="str">
        <f aca="false">IF(AA2997=1,"",IF(AND(AB2997=1,AD2997&lt;&gt;1),1,0))</f>
        <v/>
      </c>
      <c r="AG2997" s="0" t="str">
        <f aca="false">IF(AA2997=1,"",IF(AND(AC2997=1,AE2997&lt;&gt;1),1,0))</f>
        <v/>
      </c>
      <c r="AH2997" s="51" t="str">
        <f aca="false">IF(AND(E2997&gt;0,AA2997&lt;1,NOT(AND(C2998=C2997,AA2998=AA2997+1))),INDEX(DATAS,AA2997+1),"")</f>
        <v/>
      </c>
      <c r="AI2997" s="51" t="str">
        <f aca="false">IF(AND(AC2997=1,AA2997&lt;1),IF(AND(C2998=C2997,AA2998=AA2997+1),IF(AC2998=1,"",INDEX(DATAS,AA2997+1)),INDEX(DATAS,AA2997+1)),"")</f>
        <v/>
      </c>
    </row>
    <row r="2998" customFormat="false" ht="15" hidden="false" customHeight="false" outlineLevel="0" collapsed="false">
      <c r="A2998" s="51" t="n">
        <v>46309</v>
      </c>
      <c r="B2998" s="0" t="n">
        <v>13</v>
      </c>
      <c r="C2998" s="0" t="n">
        <v>7388</v>
      </c>
      <c r="E2998" s="0" t="n">
        <v>0</v>
      </c>
      <c r="F2998" s="46" t="s">
        <v>1462</v>
      </c>
      <c r="I2998" s="46" t="s">
        <v>179</v>
      </c>
      <c r="U2998" s="0" t="n">
        <v>253</v>
      </c>
      <c r="V2998" s="0" t="n">
        <v>0</v>
      </c>
      <c r="X2998" s="46" t="n">
        <f aca="false">IF(I2998="Male",0,1)</f>
        <v>1</v>
      </c>
      <c r="Y2998" s="46" t="n">
        <f aca="false">IF(OR(I2998="DNB",I2998="Dry DNB"),1,0)</f>
        <v>0</v>
      </c>
      <c r="Z2998" s="0" t="str">
        <f aca="false">IF(ISNUMBER(W2998),A2998-W2998,"")</f>
        <v/>
      </c>
      <c r="AA2998" s="46" t="n">
        <f aca="false">MATCH(A2998,DATAS,0)</f>
        <v>1</v>
      </c>
      <c r="AB2998" s="46" t="n">
        <f aca="false">IF(AND(E2998&gt;0,OR(AND(B2998&gt;=1,B2998&lt;=6),B2998=10)),1,0)</f>
        <v>0</v>
      </c>
      <c r="AC2998" s="46" t="n">
        <f aca="false">IF(AND(E2998&gt;0,B2998=10),1,0)</f>
        <v>0</v>
      </c>
      <c r="AD2998" s="0" t="str">
        <f aca="false">IF(AND(C2997=C2998,AA2997=AA2998-1),AB2997,"")</f>
        <v/>
      </c>
      <c r="AE2998" s="0" t="str">
        <f aca="false">IF(AND(C2997=C2998,AA2997=AA2998-1),AC2997,"")</f>
        <v/>
      </c>
      <c r="AF2998" s="0" t="str">
        <f aca="false">IF(AA2998=1,"",IF(AND(AB2998=1,AD2998&lt;&gt;1),1,0))</f>
        <v/>
      </c>
      <c r="AG2998" s="0" t="str">
        <f aca="false">IF(AA2998=1,"",IF(AND(AC2998=1,AE2998&lt;&gt;1),1,0))</f>
        <v/>
      </c>
      <c r="AH2998" s="51" t="str">
        <f aca="false">IF(AND(E2998&gt;0,AA2998&lt;1,NOT(AND(C2999=C2998,AA2999=AA2998+1))),INDEX(DATAS,AA2998+1),"")</f>
        <v/>
      </c>
      <c r="AI2998" s="51" t="str">
        <f aca="false">IF(AND(AC2998=1,AA2998&lt;1),IF(AND(C2999=C2998,AA2999=AA2998+1),IF(AC2999=1,"",INDEX(DATAS,AA2998+1)),INDEX(DATAS,AA2998+1)),"")</f>
        <v/>
      </c>
    </row>
    <row r="2999" customFormat="false" ht="15" hidden="false" customHeight="false" outlineLevel="0" collapsed="false">
      <c r="A2999" s="51" t="n">
        <v>46309</v>
      </c>
      <c r="B2999" s="0" t="n">
        <v>13</v>
      </c>
      <c r="C2999" s="0" t="n">
        <v>7389</v>
      </c>
      <c r="E2999" s="0" t="n">
        <v>0</v>
      </c>
      <c r="F2999" s="46" t="s">
        <v>1462</v>
      </c>
      <c r="I2999" s="46" t="s">
        <v>179</v>
      </c>
      <c r="U2999" s="0" t="n">
        <v>253</v>
      </c>
      <c r="V2999" s="0" t="n">
        <v>0</v>
      </c>
      <c r="X2999" s="46" t="n">
        <f aca="false">IF(I2999="Male",0,1)</f>
        <v>1</v>
      </c>
      <c r="Y2999" s="46" t="n">
        <f aca="false">IF(OR(I2999="DNB",I2999="Dry DNB"),1,0)</f>
        <v>0</v>
      </c>
      <c r="Z2999" s="0" t="str">
        <f aca="false">IF(ISNUMBER(W2999),A2999-W2999,"")</f>
        <v/>
      </c>
      <c r="AA2999" s="46" t="n">
        <f aca="false">MATCH(A2999,DATAS,0)</f>
        <v>1</v>
      </c>
      <c r="AB2999" s="46" t="n">
        <f aca="false">IF(AND(E2999&gt;0,OR(AND(B2999&gt;=1,B2999&lt;=6),B2999=10)),1,0)</f>
        <v>0</v>
      </c>
      <c r="AC2999" s="46" t="n">
        <f aca="false">IF(AND(E2999&gt;0,B2999=10),1,0)</f>
        <v>0</v>
      </c>
      <c r="AD2999" s="0" t="str">
        <f aca="false">IF(AND(C2998=C2999,AA2998=AA2999-1),AB2998,"")</f>
        <v/>
      </c>
      <c r="AE2999" s="0" t="str">
        <f aca="false">IF(AND(C2998=C2999,AA2998=AA2999-1),AC2998,"")</f>
        <v/>
      </c>
      <c r="AF2999" s="0" t="str">
        <f aca="false">IF(AA2999=1,"",IF(AND(AB2999=1,AD2999&lt;&gt;1),1,0))</f>
        <v/>
      </c>
      <c r="AG2999" s="0" t="str">
        <f aca="false">IF(AA2999=1,"",IF(AND(AC2999=1,AE2999&lt;&gt;1),1,0))</f>
        <v/>
      </c>
      <c r="AH2999" s="51" t="str">
        <f aca="false">IF(AND(E2999&gt;0,AA2999&lt;1,NOT(AND(C3000=C2999,AA3000=AA2999+1))),INDEX(DATAS,AA2999+1),"")</f>
        <v/>
      </c>
      <c r="AI2999" s="51" t="str">
        <f aca="false">IF(AND(AC2999=1,AA2999&lt;1),IF(AND(C3000=C2999,AA3000=AA2999+1),IF(AC3000=1,"",INDEX(DATAS,AA2999+1)),INDEX(DATAS,AA2999+1)),"")</f>
        <v/>
      </c>
    </row>
    <row r="3000" customFormat="false" ht="15" hidden="false" customHeight="false" outlineLevel="0" collapsed="false">
      <c r="A3000" s="51" t="n">
        <v>46309</v>
      </c>
      <c r="B3000" s="0" t="n">
        <v>13</v>
      </c>
      <c r="C3000" s="0" t="n">
        <v>7390</v>
      </c>
      <c r="E3000" s="0" t="n">
        <v>0</v>
      </c>
      <c r="F3000" s="46" t="s">
        <v>1463</v>
      </c>
      <c r="I3000" s="46" t="s">
        <v>179</v>
      </c>
      <c r="U3000" s="0" t="n">
        <v>252</v>
      </c>
      <c r="V3000" s="0" t="n">
        <v>0</v>
      </c>
      <c r="X3000" s="46" t="n">
        <f aca="false">IF(I3000="Male",0,1)</f>
        <v>1</v>
      </c>
      <c r="Y3000" s="46" t="n">
        <f aca="false">IF(OR(I3000="DNB",I3000="Dry DNB"),1,0)</f>
        <v>0</v>
      </c>
      <c r="Z3000" s="0" t="str">
        <f aca="false">IF(ISNUMBER(W3000),A3000-W3000,"")</f>
        <v/>
      </c>
      <c r="AA3000" s="46" t="n">
        <f aca="false">MATCH(A3000,DATAS,0)</f>
        <v>1</v>
      </c>
      <c r="AB3000" s="46" t="n">
        <f aca="false">IF(AND(E3000&gt;0,OR(AND(B3000&gt;=1,B3000&lt;=6),B3000=10)),1,0)</f>
        <v>0</v>
      </c>
      <c r="AC3000" s="46" t="n">
        <f aca="false">IF(AND(E3000&gt;0,B3000=10),1,0)</f>
        <v>0</v>
      </c>
      <c r="AD3000" s="0" t="str">
        <f aca="false">IF(AND(C2999=C3000,AA2999=AA3000-1),AB2999,"")</f>
        <v/>
      </c>
      <c r="AE3000" s="0" t="str">
        <f aca="false">IF(AND(C2999=C3000,AA2999=AA3000-1),AC2999,"")</f>
        <v/>
      </c>
      <c r="AF3000" s="0" t="str">
        <f aca="false">IF(AA3000=1,"",IF(AND(AB3000=1,AD3000&lt;&gt;1),1,0))</f>
        <v/>
      </c>
      <c r="AG3000" s="0" t="str">
        <f aca="false">IF(AA3000=1,"",IF(AND(AC3000=1,AE3000&lt;&gt;1),1,0))</f>
        <v/>
      </c>
      <c r="AH3000" s="51" t="str">
        <f aca="false">IF(AND(E3000&gt;0,AA3000&lt;1,NOT(AND(C3001=C3000,AA3001=AA3000+1))),INDEX(DATAS,AA3000+1),"")</f>
        <v/>
      </c>
      <c r="AI3000" s="51" t="str">
        <f aca="false">IF(AND(AC3000=1,AA3000&lt;1),IF(AND(C3001=C3000,AA3001=AA3000+1),IF(AC3001=1,"",INDEX(DATAS,AA3000+1)),INDEX(DATAS,AA3000+1)),"")</f>
        <v/>
      </c>
    </row>
    <row r="3001" customFormat="false" ht="15" hidden="false" customHeight="false" outlineLevel="0" collapsed="false">
      <c r="A3001" s="51" t="n">
        <v>46309</v>
      </c>
      <c r="B3001" s="0" t="n">
        <v>13</v>
      </c>
      <c r="C3001" s="0" t="n">
        <v>7391</v>
      </c>
      <c r="E3001" s="0" t="n">
        <v>0</v>
      </c>
      <c r="F3001" s="46" t="s">
        <v>1463</v>
      </c>
      <c r="I3001" s="46" t="s">
        <v>179</v>
      </c>
      <c r="U3001" s="0" t="n">
        <v>252</v>
      </c>
      <c r="V3001" s="0" t="n">
        <v>0</v>
      </c>
      <c r="X3001" s="46" t="n">
        <f aca="false">IF(I3001="Male",0,1)</f>
        <v>1</v>
      </c>
      <c r="Y3001" s="46" t="n">
        <f aca="false">IF(OR(I3001="DNB",I3001="Dry DNB"),1,0)</f>
        <v>0</v>
      </c>
      <c r="Z3001" s="0" t="str">
        <f aca="false">IF(ISNUMBER(W3001),A3001-W3001,"")</f>
        <v/>
      </c>
      <c r="AA3001" s="46" t="n">
        <f aca="false">MATCH(A3001,DATAS,0)</f>
        <v>1</v>
      </c>
      <c r="AB3001" s="46" t="n">
        <f aca="false">IF(AND(E3001&gt;0,OR(AND(B3001&gt;=1,B3001&lt;=6),B3001=10)),1,0)</f>
        <v>0</v>
      </c>
      <c r="AC3001" s="46" t="n">
        <f aca="false">IF(AND(E3001&gt;0,B3001=10),1,0)</f>
        <v>0</v>
      </c>
      <c r="AD3001" s="0" t="str">
        <f aca="false">IF(AND(C3000=C3001,AA3000=AA3001-1),AB3000,"")</f>
        <v/>
      </c>
      <c r="AE3001" s="0" t="str">
        <f aca="false">IF(AND(C3000=C3001,AA3000=AA3001-1),AC3000,"")</f>
        <v/>
      </c>
      <c r="AF3001" s="0" t="str">
        <f aca="false">IF(AA3001=1,"",IF(AND(AB3001=1,AD3001&lt;&gt;1),1,0))</f>
        <v/>
      </c>
      <c r="AG3001" s="0" t="str">
        <f aca="false">IF(AA3001=1,"",IF(AND(AC3001=1,AE3001&lt;&gt;1),1,0))</f>
        <v/>
      </c>
      <c r="AH3001" s="51" t="str">
        <f aca="false">IF(AND(E3001&gt;0,AA3001&lt;1,NOT(AND(C3002=C3001,AA3002=AA3001+1))),INDEX(DATAS,AA3001+1),"")</f>
        <v/>
      </c>
      <c r="AI3001" s="51" t="str">
        <f aca="false">IF(AND(AC3001=1,AA3001&lt;1),IF(AND(C3002=C3001,AA3002=AA3001+1),IF(AC3002=1,"",INDEX(DATAS,AA3001+1)),INDEX(DATAS,AA3001+1)),"")</f>
        <v/>
      </c>
    </row>
    <row r="3002" customFormat="false" ht="15" hidden="false" customHeight="false" outlineLevel="0" collapsed="false">
      <c r="A3002" s="51" t="n">
        <v>46309</v>
      </c>
      <c r="B3002" s="0" t="n">
        <v>13</v>
      </c>
      <c r="C3002" s="0" t="n">
        <v>7392</v>
      </c>
      <c r="E3002" s="0" t="n">
        <v>0</v>
      </c>
      <c r="F3002" s="46" t="s">
        <v>1463</v>
      </c>
      <c r="I3002" s="46" t="s">
        <v>179</v>
      </c>
      <c r="U3002" s="0" t="n">
        <v>252</v>
      </c>
      <c r="V3002" s="0" t="n">
        <v>0</v>
      </c>
      <c r="X3002" s="46" t="n">
        <f aca="false">IF(I3002="Male",0,1)</f>
        <v>1</v>
      </c>
      <c r="Y3002" s="46" t="n">
        <f aca="false">IF(OR(I3002="DNB",I3002="Dry DNB"),1,0)</f>
        <v>0</v>
      </c>
      <c r="Z3002" s="0" t="str">
        <f aca="false">IF(ISNUMBER(W3002),A3002-W3002,"")</f>
        <v/>
      </c>
      <c r="AA3002" s="46" t="n">
        <f aca="false">MATCH(A3002,DATAS,0)</f>
        <v>1</v>
      </c>
      <c r="AB3002" s="46" t="n">
        <f aca="false">IF(AND(E3002&gt;0,OR(AND(B3002&gt;=1,B3002&lt;=6),B3002=10)),1,0)</f>
        <v>0</v>
      </c>
      <c r="AC3002" s="46" t="n">
        <f aca="false">IF(AND(E3002&gt;0,B3002=10),1,0)</f>
        <v>0</v>
      </c>
      <c r="AD3002" s="0" t="str">
        <f aca="false">IF(AND(C3001=C3002,AA3001=AA3002-1),AB3001,"")</f>
        <v/>
      </c>
      <c r="AE3002" s="0" t="str">
        <f aca="false">IF(AND(C3001=C3002,AA3001=AA3002-1),AC3001,"")</f>
        <v/>
      </c>
      <c r="AF3002" s="0" t="str">
        <f aca="false">IF(AA3002=1,"",IF(AND(AB3002=1,AD3002&lt;&gt;1),1,0))</f>
        <v/>
      </c>
      <c r="AG3002" s="0" t="str">
        <f aca="false">IF(AA3002=1,"",IF(AND(AC3002=1,AE3002&lt;&gt;1),1,0))</f>
        <v/>
      </c>
      <c r="AH3002" s="51" t="str">
        <f aca="false">IF(AND(E3002&gt;0,AA3002&lt;1,NOT(AND(C3003=C3002,AA3003=AA3002+1))),INDEX(DATAS,AA3002+1),"")</f>
        <v/>
      </c>
      <c r="AI3002" s="51" t="str">
        <f aca="false">IF(AND(AC3002=1,AA3002&lt;1),IF(AND(C3003=C3002,AA3003=AA3002+1),IF(AC3003=1,"",INDEX(DATAS,AA3002+1)),INDEX(DATAS,AA3002+1)),"")</f>
        <v/>
      </c>
    </row>
    <row r="3003" customFormat="false" ht="15" hidden="false" customHeight="false" outlineLevel="0" collapsed="false">
      <c r="A3003" s="51" t="n">
        <v>46309</v>
      </c>
      <c r="B3003" s="0" t="n">
        <v>13</v>
      </c>
      <c r="C3003" s="0" t="n">
        <v>7393</v>
      </c>
      <c r="E3003" s="0" t="n">
        <v>0</v>
      </c>
      <c r="F3003" s="46" t="s">
        <v>1463</v>
      </c>
      <c r="I3003" s="46" t="s">
        <v>179</v>
      </c>
      <c r="U3003" s="0" t="n">
        <v>252</v>
      </c>
      <c r="V3003" s="0" t="n">
        <v>0</v>
      </c>
      <c r="X3003" s="46" t="n">
        <f aca="false">IF(I3003="Male",0,1)</f>
        <v>1</v>
      </c>
      <c r="Y3003" s="46" t="n">
        <f aca="false">IF(OR(I3003="DNB",I3003="Dry DNB"),1,0)</f>
        <v>0</v>
      </c>
      <c r="Z3003" s="0" t="str">
        <f aca="false">IF(ISNUMBER(W3003),A3003-W3003,"")</f>
        <v/>
      </c>
      <c r="AA3003" s="46" t="n">
        <f aca="false">MATCH(A3003,DATAS,0)</f>
        <v>1</v>
      </c>
      <c r="AB3003" s="46" t="n">
        <f aca="false">IF(AND(E3003&gt;0,OR(AND(B3003&gt;=1,B3003&lt;=6),B3003=10)),1,0)</f>
        <v>0</v>
      </c>
      <c r="AC3003" s="46" t="n">
        <f aca="false">IF(AND(E3003&gt;0,B3003=10),1,0)</f>
        <v>0</v>
      </c>
      <c r="AD3003" s="0" t="str">
        <f aca="false">IF(AND(C3002=C3003,AA3002=AA3003-1),AB3002,"")</f>
        <v/>
      </c>
      <c r="AE3003" s="0" t="str">
        <f aca="false">IF(AND(C3002=C3003,AA3002=AA3003-1),AC3002,"")</f>
        <v/>
      </c>
      <c r="AF3003" s="0" t="str">
        <f aca="false">IF(AA3003=1,"",IF(AND(AB3003=1,AD3003&lt;&gt;1),1,0))</f>
        <v/>
      </c>
      <c r="AG3003" s="0" t="str">
        <f aca="false">IF(AA3003=1,"",IF(AND(AC3003=1,AE3003&lt;&gt;1),1,0))</f>
        <v/>
      </c>
      <c r="AH3003" s="51" t="str">
        <f aca="false">IF(AND(E3003&gt;0,AA3003&lt;1,NOT(AND(C3004=C3003,AA3004=AA3003+1))),INDEX(DATAS,AA3003+1),"")</f>
        <v/>
      </c>
      <c r="AI3003" s="51" t="str">
        <f aca="false">IF(AND(AC3003=1,AA3003&lt;1),IF(AND(C3004=C3003,AA3004=AA3003+1),IF(AC3004=1,"",INDEX(DATAS,AA3003+1)),INDEX(DATAS,AA3003+1)),"")</f>
        <v/>
      </c>
    </row>
    <row r="3004" customFormat="false" ht="15" hidden="false" customHeight="false" outlineLevel="0" collapsed="false">
      <c r="A3004" s="51" t="n">
        <v>46309</v>
      </c>
      <c r="B3004" s="0" t="n">
        <v>13</v>
      </c>
      <c r="C3004" s="0" t="n">
        <v>7394</v>
      </c>
      <c r="E3004" s="0" t="n">
        <v>0</v>
      </c>
      <c r="F3004" s="46" t="s">
        <v>1464</v>
      </c>
      <c r="I3004" s="46" t="s">
        <v>179</v>
      </c>
      <c r="U3004" s="0" t="n">
        <v>251</v>
      </c>
      <c r="V3004" s="0" t="n">
        <v>0</v>
      </c>
      <c r="X3004" s="46" t="n">
        <f aca="false">IF(I3004="Male",0,1)</f>
        <v>1</v>
      </c>
      <c r="Y3004" s="46" t="n">
        <f aca="false">IF(OR(I3004="DNB",I3004="Dry DNB"),1,0)</f>
        <v>0</v>
      </c>
      <c r="Z3004" s="0" t="str">
        <f aca="false">IF(ISNUMBER(W3004),A3004-W3004,"")</f>
        <v/>
      </c>
      <c r="AA3004" s="46" t="n">
        <f aca="false">MATCH(A3004,DATAS,0)</f>
        <v>1</v>
      </c>
      <c r="AB3004" s="46" t="n">
        <f aca="false">IF(AND(E3004&gt;0,OR(AND(B3004&gt;=1,B3004&lt;=6),B3004=10)),1,0)</f>
        <v>0</v>
      </c>
      <c r="AC3004" s="46" t="n">
        <f aca="false">IF(AND(E3004&gt;0,B3004=10),1,0)</f>
        <v>0</v>
      </c>
      <c r="AD3004" s="0" t="str">
        <f aca="false">IF(AND(C3003=C3004,AA3003=AA3004-1),AB3003,"")</f>
        <v/>
      </c>
      <c r="AE3004" s="0" t="str">
        <f aca="false">IF(AND(C3003=C3004,AA3003=AA3004-1),AC3003,"")</f>
        <v/>
      </c>
      <c r="AF3004" s="0" t="str">
        <f aca="false">IF(AA3004=1,"",IF(AND(AB3004=1,AD3004&lt;&gt;1),1,0))</f>
        <v/>
      </c>
      <c r="AG3004" s="0" t="str">
        <f aca="false">IF(AA3004=1,"",IF(AND(AC3004=1,AE3004&lt;&gt;1),1,0))</f>
        <v/>
      </c>
      <c r="AH3004" s="51" t="str">
        <f aca="false">IF(AND(E3004&gt;0,AA3004&lt;1,NOT(AND(C3005=C3004,AA3005=AA3004+1))),INDEX(DATAS,AA3004+1),"")</f>
        <v/>
      </c>
      <c r="AI3004" s="51" t="str">
        <f aca="false">IF(AND(AC3004=1,AA3004&lt;1),IF(AND(C3005=C3004,AA3005=AA3004+1),IF(AC3005=1,"",INDEX(DATAS,AA3004+1)),INDEX(DATAS,AA3004+1)),"")</f>
        <v/>
      </c>
    </row>
    <row r="3005" customFormat="false" ht="15" hidden="false" customHeight="false" outlineLevel="0" collapsed="false">
      <c r="A3005" s="51" t="n">
        <v>46309</v>
      </c>
      <c r="B3005" s="0" t="n">
        <v>13</v>
      </c>
      <c r="C3005" s="0" t="n">
        <v>7395</v>
      </c>
      <c r="E3005" s="0" t="n">
        <v>0</v>
      </c>
      <c r="F3005" s="46" t="s">
        <v>1464</v>
      </c>
      <c r="I3005" s="46" t="s">
        <v>179</v>
      </c>
      <c r="U3005" s="0" t="n">
        <v>251</v>
      </c>
      <c r="V3005" s="0" t="n">
        <v>0</v>
      </c>
      <c r="X3005" s="46" t="n">
        <f aca="false">IF(I3005="Male",0,1)</f>
        <v>1</v>
      </c>
      <c r="Y3005" s="46" t="n">
        <f aca="false">IF(OR(I3005="DNB",I3005="Dry DNB"),1,0)</f>
        <v>0</v>
      </c>
      <c r="Z3005" s="0" t="str">
        <f aca="false">IF(ISNUMBER(W3005),A3005-W3005,"")</f>
        <v/>
      </c>
      <c r="AA3005" s="46" t="n">
        <f aca="false">MATCH(A3005,DATAS,0)</f>
        <v>1</v>
      </c>
      <c r="AB3005" s="46" t="n">
        <f aca="false">IF(AND(E3005&gt;0,OR(AND(B3005&gt;=1,B3005&lt;=6),B3005=10)),1,0)</f>
        <v>0</v>
      </c>
      <c r="AC3005" s="46" t="n">
        <f aca="false">IF(AND(E3005&gt;0,B3005=10),1,0)</f>
        <v>0</v>
      </c>
      <c r="AD3005" s="0" t="str">
        <f aca="false">IF(AND(C3004=C3005,AA3004=AA3005-1),AB3004,"")</f>
        <v/>
      </c>
      <c r="AE3005" s="0" t="str">
        <f aca="false">IF(AND(C3004=C3005,AA3004=AA3005-1),AC3004,"")</f>
        <v/>
      </c>
      <c r="AF3005" s="0" t="str">
        <f aca="false">IF(AA3005=1,"",IF(AND(AB3005=1,AD3005&lt;&gt;1),1,0))</f>
        <v/>
      </c>
      <c r="AG3005" s="0" t="str">
        <f aca="false">IF(AA3005=1,"",IF(AND(AC3005=1,AE3005&lt;&gt;1),1,0))</f>
        <v/>
      </c>
      <c r="AH3005" s="51" t="str">
        <f aca="false">IF(AND(E3005&gt;0,AA3005&lt;1,NOT(AND(C3006=C3005,AA3006=AA3005+1))),INDEX(DATAS,AA3005+1),"")</f>
        <v/>
      </c>
      <c r="AI3005" s="51" t="str">
        <f aca="false">IF(AND(AC3005=1,AA3005&lt;1),IF(AND(C3006=C3005,AA3006=AA3005+1),IF(AC3006=1,"",INDEX(DATAS,AA3005+1)),INDEX(DATAS,AA3005+1)),"")</f>
        <v/>
      </c>
    </row>
    <row r="3006" customFormat="false" ht="15" hidden="false" customHeight="false" outlineLevel="0" collapsed="false">
      <c r="A3006" s="51" t="n">
        <v>46309</v>
      </c>
      <c r="B3006" s="0" t="n">
        <v>13</v>
      </c>
      <c r="C3006" s="0" t="n">
        <v>7396</v>
      </c>
      <c r="E3006" s="0" t="n">
        <v>0</v>
      </c>
      <c r="F3006" s="46" t="s">
        <v>1464</v>
      </c>
      <c r="I3006" s="46" t="s">
        <v>179</v>
      </c>
      <c r="U3006" s="0" t="n">
        <v>251</v>
      </c>
      <c r="V3006" s="0" t="n">
        <v>0</v>
      </c>
      <c r="X3006" s="46" t="n">
        <f aca="false">IF(I3006="Male",0,1)</f>
        <v>1</v>
      </c>
      <c r="Y3006" s="46" t="n">
        <f aca="false">IF(OR(I3006="DNB",I3006="Dry DNB"),1,0)</f>
        <v>0</v>
      </c>
      <c r="Z3006" s="0" t="str">
        <f aca="false">IF(ISNUMBER(W3006),A3006-W3006,"")</f>
        <v/>
      </c>
      <c r="AA3006" s="46" t="n">
        <f aca="false">MATCH(A3006,DATAS,0)</f>
        <v>1</v>
      </c>
      <c r="AB3006" s="46" t="n">
        <f aca="false">IF(AND(E3006&gt;0,OR(AND(B3006&gt;=1,B3006&lt;=6),B3006=10)),1,0)</f>
        <v>0</v>
      </c>
      <c r="AC3006" s="46" t="n">
        <f aca="false">IF(AND(E3006&gt;0,B3006=10),1,0)</f>
        <v>0</v>
      </c>
      <c r="AD3006" s="0" t="str">
        <f aca="false">IF(AND(C3005=C3006,AA3005=AA3006-1),AB3005,"")</f>
        <v/>
      </c>
      <c r="AE3006" s="0" t="str">
        <f aca="false">IF(AND(C3005=C3006,AA3005=AA3006-1),AC3005,"")</f>
        <v/>
      </c>
      <c r="AF3006" s="0" t="str">
        <f aca="false">IF(AA3006=1,"",IF(AND(AB3006=1,AD3006&lt;&gt;1),1,0))</f>
        <v/>
      </c>
      <c r="AG3006" s="0" t="str">
        <f aca="false">IF(AA3006=1,"",IF(AND(AC3006=1,AE3006&lt;&gt;1),1,0))</f>
        <v/>
      </c>
      <c r="AH3006" s="51" t="str">
        <f aca="false">IF(AND(E3006&gt;0,AA3006&lt;1,NOT(AND(C3007=C3006,AA3007=AA3006+1))),INDEX(DATAS,AA3006+1),"")</f>
        <v/>
      </c>
      <c r="AI3006" s="51" t="str">
        <f aca="false">IF(AND(AC3006=1,AA3006&lt;1),IF(AND(C3007=C3006,AA3007=AA3006+1),IF(AC3007=1,"",INDEX(DATAS,AA3006+1)),INDEX(DATAS,AA3006+1)),"")</f>
        <v/>
      </c>
    </row>
    <row r="3007" customFormat="false" ht="15" hidden="false" customHeight="false" outlineLevel="0" collapsed="false">
      <c r="A3007" s="51" t="n">
        <v>46309</v>
      </c>
      <c r="B3007" s="0" t="n">
        <v>13</v>
      </c>
      <c r="C3007" s="0" t="n">
        <v>7397</v>
      </c>
      <c r="E3007" s="0" t="n">
        <v>0</v>
      </c>
      <c r="F3007" s="46" t="s">
        <v>1464</v>
      </c>
      <c r="I3007" s="46" t="s">
        <v>179</v>
      </c>
      <c r="U3007" s="0" t="n">
        <v>251</v>
      </c>
      <c r="V3007" s="0" t="n">
        <v>0</v>
      </c>
      <c r="X3007" s="46" t="n">
        <f aca="false">IF(I3007="Male",0,1)</f>
        <v>1</v>
      </c>
      <c r="Y3007" s="46" t="n">
        <f aca="false">IF(OR(I3007="DNB",I3007="Dry DNB"),1,0)</f>
        <v>0</v>
      </c>
      <c r="Z3007" s="0" t="str">
        <f aca="false">IF(ISNUMBER(W3007),A3007-W3007,"")</f>
        <v/>
      </c>
      <c r="AA3007" s="46" t="n">
        <f aca="false">MATCH(A3007,DATAS,0)</f>
        <v>1</v>
      </c>
      <c r="AB3007" s="46" t="n">
        <f aca="false">IF(AND(E3007&gt;0,OR(AND(B3007&gt;=1,B3007&lt;=6),B3007=10)),1,0)</f>
        <v>0</v>
      </c>
      <c r="AC3007" s="46" t="n">
        <f aca="false">IF(AND(E3007&gt;0,B3007=10),1,0)</f>
        <v>0</v>
      </c>
      <c r="AD3007" s="0" t="str">
        <f aca="false">IF(AND(C3006=C3007,AA3006=AA3007-1),AB3006,"")</f>
        <v/>
      </c>
      <c r="AE3007" s="0" t="str">
        <f aca="false">IF(AND(C3006=C3007,AA3006=AA3007-1),AC3006,"")</f>
        <v/>
      </c>
      <c r="AF3007" s="0" t="str">
        <f aca="false">IF(AA3007=1,"",IF(AND(AB3007=1,AD3007&lt;&gt;1),1,0))</f>
        <v/>
      </c>
      <c r="AG3007" s="0" t="str">
        <f aca="false">IF(AA3007=1,"",IF(AND(AC3007=1,AE3007&lt;&gt;1),1,0))</f>
        <v/>
      </c>
      <c r="AH3007" s="51" t="str">
        <f aca="false">IF(AND(E3007&gt;0,AA3007&lt;1,NOT(AND(C3008=C3007,AA3008=AA3007+1))),INDEX(DATAS,AA3007+1),"")</f>
        <v/>
      </c>
      <c r="AI3007" s="51" t="str">
        <f aca="false">IF(AND(AC3007=1,AA3007&lt;1),IF(AND(C3008=C3007,AA3008=AA3007+1),IF(AC3008=1,"",INDEX(DATAS,AA3007+1)),INDEX(DATAS,AA3007+1)),"")</f>
        <v/>
      </c>
    </row>
    <row r="3008" customFormat="false" ht="15" hidden="false" customHeight="false" outlineLevel="0" collapsed="false">
      <c r="A3008" s="51" t="n">
        <v>46309</v>
      </c>
      <c r="B3008" s="0" t="n">
        <v>13</v>
      </c>
      <c r="C3008" s="0" t="n">
        <v>7398</v>
      </c>
      <c r="E3008" s="0" t="n">
        <v>0</v>
      </c>
      <c r="F3008" s="46" t="s">
        <v>1464</v>
      </c>
      <c r="I3008" s="46" t="s">
        <v>179</v>
      </c>
      <c r="U3008" s="0" t="n">
        <v>251</v>
      </c>
      <c r="V3008" s="0" t="n">
        <v>0</v>
      </c>
      <c r="X3008" s="46" t="n">
        <f aca="false">IF(I3008="Male",0,1)</f>
        <v>1</v>
      </c>
      <c r="Y3008" s="46" t="n">
        <f aca="false">IF(OR(I3008="DNB",I3008="Dry DNB"),1,0)</f>
        <v>0</v>
      </c>
      <c r="Z3008" s="0" t="str">
        <f aca="false">IF(ISNUMBER(W3008),A3008-W3008,"")</f>
        <v/>
      </c>
      <c r="AA3008" s="46" t="n">
        <f aca="false">MATCH(A3008,DATAS,0)</f>
        <v>1</v>
      </c>
      <c r="AB3008" s="46" t="n">
        <f aca="false">IF(AND(E3008&gt;0,OR(AND(B3008&gt;=1,B3008&lt;=6),B3008=10)),1,0)</f>
        <v>0</v>
      </c>
      <c r="AC3008" s="46" t="n">
        <f aca="false">IF(AND(E3008&gt;0,B3008=10),1,0)</f>
        <v>0</v>
      </c>
      <c r="AD3008" s="0" t="str">
        <f aca="false">IF(AND(C3007=C3008,AA3007=AA3008-1),AB3007,"")</f>
        <v/>
      </c>
      <c r="AE3008" s="0" t="str">
        <f aca="false">IF(AND(C3007=C3008,AA3007=AA3008-1),AC3007,"")</f>
        <v/>
      </c>
      <c r="AF3008" s="0" t="str">
        <f aca="false">IF(AA3008=1,"",IF(AND(AB3008=1,AD3008&lt;&gt;1),1,0))</f>
        <v/>
      </c>
      <c r="AG3008" s="0" t="str">
        <f aca="false">IF(AA3008=1,"",IF(AND(AC3008=1,AE3008&lt;&gt;1),1,0))</f>
        <v/>
      </c>
      <c r="AH3008" s="51" t="str">
        <f aca="false">IF(AND(E3008&gt;0,AA3008&lt;1,NOT(AND(C3009=C3008,AA3009=AA3008+1))),INDEX(DATAS,AA3008+1),"")</f>
        <v/>
      </c>
      <c r="AI3008" s="51" t="str">
        <f aca="false">IF(AND(AC3008=1,AA3008&lt;1),IF(AND(C3009=C3008,AA3009=AA3008+1),IF(AC3009=1,"",INDEX(DATAS,AA3008+1)),INDEX(DATAS,AA3008+1)),"")</f>
        <v/>
      </c>
    </row>
    <row r="3009" customFormat="false" ht="15" hidden="false" customHeight="false" outlineLevel="0" collapsed="false">
      <c r="A3009" s="51" t="n">
        <v>46309</v>
      </c>
      <c r="B3009" s="0" t="n">
        <v>13</v>
      </c>
      <c r="C3009" s="0" t="n">
        <v>7399</v>
      </c>
      <c r="E3009" s="0" t="n">
        <v>0</v>
      </c>
      <c r="F3009" s="46" t="s">
        <v>1464</v>
      </c>
      <c r="I3009" s="46" t="s">
        <v>179</v>
      </c>
      <c r="U3009" s="0" t="n">
        <v>251</v>
      </c>
      <c r="V3009" s="0" t="n">
        <v>0</v>
      </c>
      <c r="X3009" s="46" t="n">
        <f aca="false">IF(I3009="Male",0,1)</f>
        <v>1</v>
      </c>
      <c r="Y3009" s="46" t="n">
        <f aca="false">IF(OR(I3009="DNB",I3009="Dry DNB"),1,0)</f>
        <v>0</v>
      </c>
      <c r="Z3009" s="0" t="str">
        <f aca="false">IF(ISNUMBER(W3009),A3009-W3009,"")</f>
        <v/>
      </c>
      <c r="AA3009" s="46" t="n">
        <f aca="false">MATCH(A3009,DATAS,0)</f>
        <v>1</v>
      </c>
      <c r="AB3009" s="46" t="n">
        <f aca="false">IF(AND(E3009&gt;0,OR(AND(B3009&gt;=1,B3009&lt;=6),B3009=10)),1,0)</f>
        <v>0</v>
      </c>
      <c r="AC3009" s="46" t="n">
        <f aca="false">IF(AND(E3009&gt;0,B3009=10),1,0)</f>
        <v>0</v>
      </c>
      <c r="AD3009" s="0" t="str">
        <f aca="false">IF(AND(C3008=C3009,AA3008=AA3009-1),AB3008,"")</f>
        <v/>
      </c>
      <c r="AE3009" s="0" t="str">
        <f aca="false">IF(AND(C3008=C3009,AA3008=AA3009-1),AC3008,"")</f>
        <v/>
      </c>
      <c r="AF3009" s="0" t="str">
        <f aca="false">IF(AA3009=1,"",IF(AND(AB3009=1,AD3009&lt;&gt;1),1,0))</f>
        <v/>
      </c>
      <c r="AG3009" s="0" t="str">
        <f aca="false">IF(AA3009=1,"",IF(AND(AC3009=1,AE3009&lt;&gt;1),1,0))</f>
        <v/>
      </c>
      <c r="AH3009" s="51" t="str">
        <f aca="false">IF(AND(E3009&gt;0,AA3009&lt;1,NOT(AND(C3010=C3009,AA3010=AA3009+1))),INDEX(DATAS,AA3009+1),"")</f>
        <v/>
      </c>
      <c r="AI3009" s="51" t="str">
        <f aca="false">IF(AND(AC3009=1,AA3009&lt;1),IF(AND(C3010=C3009,AA3010=AA3009+1),IF(AC3010=1,"",INDEX(DATAS,AA3009+1)),INDEX(DATAS,AA3009+1)),"")</f>
        <v/>
      </c>
    </row>
    <row r="3010" customFormat="false" ht="15" hidden="false" customHeight="false" outlineLevel="0" collapsed="false">
      <c r="A3010" s="51" t="n">
        <v>46309</v>
      </c>
      <c r="B3010" s="0" t="n">
        <v>13</v>
      </c>
      <c r="C3010" s="0" t="n">
        <v>7400</v>
      </c>
      <c r="E3010" s="0" t="n">
        <v>0</v>
      </c>
      <c r="F3010" s="46" t="s">
        <v>1465</v>
      </c>
      <c r="I3010" s="46" t="s">
        <v>179</v>
      </c>
      <c r="U3010" s="0" t="n">
        <v>250</v>
      </c>
      <c r="V3010" s="0" t="n">
        <v>0</v>
      </c>
      <c r="X3010" s="46" t="n">
        <f aca="false">IF(I3010="Male",0,1)</f>
        <v>1</v>
      </c>
      <c r="Y3010" s="46" t="n">
        <f aca="false">IF(OR(I3010="DNB",I3010="Dry DNB"),1,0)</f>
        <v>0</v>
      </c>
      <c r="Z3010" s="0" t="str">
        <f aca="false">IF(ISNUMBER(W3010),A3010-W3010,"")</f>
        <v/>
      </c>
      <c r="AA3010" s="46" t="n">
        <f aca="false">MATCH(A3010,DATAS,0)</f>
        <v>1</v>
      </c>
      <c r="AB3010" s="46" t="n">
        <f aca="false">IF(AND(E3010&gt;0,OR(AND(B3010&gt;=1,B3010&lt;=6),B3010=10)),1,0)</f>
        <v>0</v>
      </c>
      <c r="AC3010" s="46" t="n">
        <f aca="false">IF(AND(E3010&gt;0,B3010=10),1,0)</f>
        <v>0</v>
      </c>
      <c r="AD3010" s="0" t="str">
        <f aca="false">IF(AND(C3009=C3010,AA3009=AA3010-1),AB3009,"")</f>
        <v/>
      </c>
      <c r="AE3010" s="0" t="str">
        <f aca="false">IF(AND(C3009=C3010,AA3009=AA3010-1),AC3009,"")</f>
        <v/>
      </c>
      <c r="AF3010" s="0" t="str">
        <f aca="false">IF(AA3010=1,"",IF(AND(AB3010=1,AD3010&lt;&gt;1),1,0))</f>
        <v/>
      </c>
      <c r="AG3010" s="0" t="str">
        <f aca="false">IF(AA3010=1,"",IF(AND(AC3010=1,AE3010&lt;&gt;1),1,0))</f>
        <v/>
      </c>
      <c r="AH3010" s="51" t="str">
        <f aca="false">IF(AND(E3010&gt;0,AA3010&lt;1,NOT(AND(C3011=C3010,AA3011=AA3010+1))),INDEX(DATAS,AA3010+1),"")</f>
        <v/>
      </c>
      <c r="AI3010" s="51" t="str">
        <f aca="false">IF(AND(AC3010=1,AA3010&lt;1),IF(AND(C3011=C3010,AA3011=AA3010+1),IF(AC3011=1,"",INDEX(DATAS,AA3010+1)),INDEX(DATAS,AA3010+1)),"")</f>
        <v/>
      </c>
    </row>
    <row r="3011" customFormat="false" ht="15" hidden="false" customHeight="false" outlineLevel="0" collapsed="false">
      <c r="A3011" s="51" t="n">
        <v>46309</v>
      </c>
      <c r="B3011" s="0" t="n">
        <v>13</v>
      </c>
      <c r="C3011" s="0" t="n">
        <v>7401</v>
      </c>
      <c r="E3011" s="0" t="n">
        <v>0</v>
      </c>
      <c r="F3011" s="46" t="s">
        <v>1465</v>
      </c>
      <c r="I3011" s="46" t="s">
        <v>179</v>
      </c>
      <c r="U3011" s="0" t="n">
        <v>250</v>
      </c>
      <c r="V3011" s="0" t="n">
        <v>0</v>
      </c>
      <c r="X3011" s="46" t="n">
        <f aca="false">IF(I3011="Male",0,1)</f>
        <v>1</v>
      </c>
      <c r="Y3011" s="46" t="n">
        <f aca="false">IF(OR(I3011="DNB",I3011="Dry DNB"),1,0)</f>
        <v>0</v>
      </c>
      <c r="Z3011" s="0" t="str">
        <f aca="false">IF(ISNUMBER(W3011),A3011-W3011,"")</f>
        <v/>
      </c>
      <c r="AA3011" s="46" t="n">
        <f aca="false">MATCH(A3011,DATAS,0)</f>
        <v>1</v>
      </c>
      <c r="AB3011" s="46" t="n">
        <f aca="false">IF(AND(E3011&gt;0,OR(AND(B3011&gt;=1,B3011&lt;=6),B3011=10)),1,0)</f>
        <v>0</v>
      </c>
      <c r="AC3011" s="46" t="n">
        <f aca="false">IF(AND(E3011&gt;0,B3011=10),1,0)</f>
        <v>0</v>
      </c>
      <c r="AD3011" s="0" t="str">
        <f aca="false">IF(AND(C3010=C3011,AA3010=AA3011-1),AB3010,"")</f>
        <v/>
      </c>
      <c r="AE3011" s="0" t="str">
        <f aca="false">IF(AND(C3010=C3011,AA3010=AA3011-1),AC3010,"")</f>
        <v/>
      </c>
      <c r="AF3011" s="0" t="str">
        <f aca="false">IF(AA3011=1,"",IF(AND(AB3011=1,AD3011&lt;&gt;1),1,0))</f>
        <v/>
      </c>
      <c r="AG3011" s="0" t="str">
        <f aca="false">IF(AA3011=1,"",IF(AND(AC3011=1,AE3011&lt;&gt;1),1,0))</f>
        <v/>
      </c>
      <c r="AH3011" s="51" t="str">
        <f aca="false">IF(AND(E3011&gt;0,AA3011&lt;1,NOT(AND(C3012=C3011,AA3012=AA3011+1))),INDEX(DATAS,AA3011+1),"")</f>
        <v/>
      </c>
      <c r="AI3011" s="51" t="str">
        <f aca="false">IF(AND(AC3011=1,AA3011&lt;1),IF(AND(C3012=C3011,AA3012=AA3011+1),IF(AC3012=1,"",INDEX(DATAS,AA3011+1)),INDEX(DATAS,AA3011+1)),"")</f>
        <v/>
      </c>
    </row>
    <row r="3012" customFormat="false" ht="15" hidden="false" customHeight="false" outlineLevel="0" collapsed="false">
      <c r="A3012" s="51" t="n">
        <v>46309</v>
      </c>
      <c r="B3012" s="0" t="n">
        <v>13</v>
      </c>
      <c r="C3012" s="0" t="n">
        <v>7402</v>
      </c>
      <c r="E3012" s="0" t="n">
        <v>0</v>
      </c>
      <c r="F3012" s="46" t="s">
        <v>1466</v>
      </c>
      <c r="I3012" s="46" t="s">
        <v>179</v>
      </c>
      <c r="U3012" s="0" t="n">
        <v>249</v>
      </c>
      <c r="V3012" s="0" t="n">
        <v>0</v>
      </c>
      <c r="X3012" s="46" t="n">
        <f aca="false">IF(I3012="Male",0,1)</f>
        <v>1</v>
      </c>
      <c r="Y3012" s="46" t="n">
        <f aca="false">IF(OR(I3012="DNB",I3012="Dry DNB"),1,0)</f>
        <v>0</v>
      </c>
      <c r="Z3012" s="0" t="str">
        <f aca="false">IF(ISNUMBER(W3012),A3012-W3012,"")</f>
        <v/>
      </c>
      <c r="AA3012" s="46" t="n">
        <f aca="false">MATCH(A3012,DATAS,0)</f>
        <v>1</v>
      </c>
      <c r="AB3012" s="46" t="n">
        <f aca="false">IF(AND(E3012&gt;0,OR(AND(B3012&gt;=1,B3012&lt;=6),B3012=10)),1,0)</f>
        <v>0</v>
      </c>
      <c r="AC3012" s="46" t="n">
        <f aca="false">IF(AND(E3012&gt;0,B3012=10),1,0)</f>
        <v>0</v>
      </c>
      <c r="AD3012" s="0" t="str">
        <f aca="false">IF(AND(C3011=C3012,AA3011=AA3012-1),AB3011,"")</f>
        <v/>
      </c>
      <c r="AE3012" s="0" t="str">
        <f aca="false">IF(AND(C3011=C3012,AA3011=AA3012-1),AC3011,"")</f>
        <v/>
      </c>
      <c r="AF3012" s="0" t="str">
        <f aca="false">IF(AA3012=1,"",IF(AND(AB3012=1,AD3012&lt;&gt;1),1,0))</f>
        <v/>
      </c>
      <c r="AG3012" s="0" t="str">
        <f aca="false">IF(AA3012=1,"",IF(AND(AC3012=1,AE3012&lt;&gt;1),1,0))</f>
        <v/>
      </c>
      <c r="AH3012" s="51" t="str">
        <f aca="false">IF(AND(E3012&gt;0,AA3012&lt;1,NOT(AND(C3013=C3012,AA3013=AA3012+1))),INDEX(DATAS,AA3012+1),"")</f>
        <v/>
      </c>
      <c r="AI3012" s="51" t="str">
        <f aca="false">IF(AND(AC3012=1,AA3012&lt;1),IF(AND(C3013=C3012,AA3013=AA3012+1),IF(AC3013=1,"",INDEX(DATAS,AA3012+1)),INDEX(DATAS,AA3012+1)),"")</f>
        <v/>
      </c>
    </row>
    <row r="3013" customFormat="false" ht="15" hidden="false" customHeight="false" outlineLevel="0" collapsed="false">
      <c r="A3013" s="51" t="n">
        <v>46309</v>
      </c>
      <c r="B3013" s="0" t="n">
        <v>13</v>
      </c>
      <c r="C3013" s="0" t="n">
        <v>7403</v>
      </c>
      <c r="E3013" s="0" t="n">
        <v>0</v>
      </c>
      <c r="F3013" s="46" t="s">
        <v>1466</v>
      </c>
      <c r="I3013" s="46" t="s">
        <v>179</v>
      </c>
      <c r="U3013" s="0" t="n">
        <v>249</v>
      </c>
      <c r="V3013" s="0" t="n">
        <v>0</v>
      </c>
      <c r="X3013" s="46" t="n">
        <f aca="false">IF(I3013="Male",0,1)</f>
        <v>1</v>
      </c>
      <c r="Y3013" s="46" t="n">
        <f aca="false">IF(OR(I3013="DNB",I3013="Dry DNB"),1,0)</f>
        <v>0</v>
      </c>
      <c r="Z3013" s="0" t="str">
        <f aca="false">IF(ISNUMBER(W3013),A3013-W3013,"")</f>
        <v/>
      </c>
      <c r="AA3013" s="46" t="n">
        <f aca="false">MATCH(A3013,DATAS,0)</f>
        <v>1</v>
      </c>
      <c r="AB3013" s="46" t="n">
        <f aca="false">IF(AND(E3013&gt;0,OR(AND(B3013&gt;=1,B3013&lt;=6),B3013=10)),1,0)</f>
        <v>0</v>
      </c>
      <c r="AC3013" s="46" t="n">
        <f aca="false">IF(AND(E3013&gt;0,B3013=10),1,0)</f>
        <v>0</v>
      </c>
      <c r="AD3013" s="0" t="str">
        <f aca="false">IF(AND(C3012=C3013,AA3012=AA3013-1),AB3012,"")</f>
        <v/>
      </c>
      <c r="AE3013" s="0" t="str">
        <f aca="false">IF(AND(C3012=C3013,AA3012=AA3013-1),AC3012,"")</f>
        <v/>
      </c>
      <c r="AF3013" s="0" t="str">
        <f aca="false">IF(AA3013=1,"",IF(AND(AB3013=1,AD3013&lt;&gt;1),1,0))</f>
        <v/>
      </c>
      <c r="AG3013" s="0" t="str">
        <f aca="false">IF(AA3013=1,"",IF(AND(AC3013=1,AE3013&lt;&gt;1),1,0))</f>
        <v/>
      </c>
      <c r="AH3013" s="51" t="str">
        <f aca="false">IF(AND(E3013&gt;0,AA3013&lt;1,NOT(AND(C3014=C3013,AA3014=AA3013+1))),INDEX(DATAS,AA3013+1),"")</f>
        <v/>
      </c>
      <c r="AI3013" s="51" t="str">
        <f aca="false">IF(AND(AC3013=1,AA3013&lt;1),IF(AND(C3014=C3013,AA3014=AA3013+1),IF(AC3014=1,"",INDEX(DATAS,AA3013+1)),INDEX(DATAS,AA3013+1)),"")</f>
        <v/>
      </c>
    </row>
    <row r="3014" customFormat="false" ht="15" hidden="false" customHeight="false" outlineLevel="0" collapsed="false">
      <c r="A3014" s="51" t="n">
        <v>46309</v>
      </c>
      <c r="B3014" s="0" t="n">
        <v>13</v>
      </c>
      <c r="C3014" s="0" t="n">
        <v>7404</v>
      </c>
      <c r="E3014" s="0" t="n">
        <v>0</v>
      </c>
      <c r="F3014" s="46" t="s">
        <v>1467</v>
      </c>
      <c r="I3014" s="46" t="s">
        <v>179</v>
      </c>
      <c r="U3014" s="0" t="n">
        <v>248</v>
      </c>
      <c r="V3014" s="0" t="n">
        <v>0</v>
      </c>
      <c r="X3014" s="46" t="n">
        <f aca="false">IF(I3014="Male",0,1)</f>
        <v>1</v>
      </c>
      <c r="Y3014" s="46" t="n">
        <f aca="false">IF(OR(I3014="DNB",I3014="Dry DNB"),1,0)</f>
        <v>0</v>
      </c>
      <c r="Z3014" s="0" t="str">
        <f aca="false">IF(ISNUMBER(W3014),A3014-W3014,"")</f>
        <v/>
      </c>
      <c r="AA3014" s="46" t="n">
        <f aca="false">MATCH(A3014,DATAS,0)</f>
        <v>1</v>
      </c>
      <c r="AB3014" s="46" t="n">
        <f aca="false">IF(AND(E3014&gt;0,OR(AND(B3014&gt;=1,B3014&lt;=6),B3014=10)),1,0)</f>
        <v>0</v>
      </c>
      <c r="AC3014" s="46" t="n">
        <f aca="false">IF(AND(E3014&gt;0,B3014=10),1,0)</f>
        <v>0</v>
      </c>
      <c r="AD3014" s="0" t="str">
        <f aca="false">IF(AND(C3013=C3014,AA3013=AA3014-1),AB3013,"")</f>
        <v/>
      </c>
      <c r="AE3014" s="0" t="str">
        <f aca="false">IF(AND(C3013=C3014,AA3013=AA3014-1),AC3013,"")</f>
        <v/>
      </c>
      <c r="AF3014" s="0" t="str">
        <f aca="false">IF(AA3014=1,"",IF(AND(AB3014=1,AD3014&lt;&gt;1),1,0))</f>
        <v/>
      </c>
      <c r="AG3014" s="0" t="str">
        <f aca="false">IF(AA3014=1,"",IF(AND(AC3014=1,AE3014&lt;&gt;1),1,0))</f>
        <v/>
      </c>
      <c r="AH3014" s="51" t="str">
        <f aca="false">IF(AND(E3014&gt;0,AA3014&lt;1,NOT(AND(C3015=C3014,AA3015=AA3014+1))),INDEX(DATAS,AA3014+1),"")</f>
        <v/>
      </c>
      <c r="AI3014" s="51" t="str">
        <f aca="false">IF(AND(AC3014=1,AA3014&lt;1),IF(AND(C3015=C3014,AA3015=AA3014+1),IF(AC3015=1,"",INDEX(DATAS,AA3014+1)),INDEX(DATAS,AA3014+1)),"")</f>
        <v/>
      </c>
    </row>
    <row r="3015" customFormat="false" ht="15" hidden="false" customHeight="false" outlineLevel="0" collapsed="false">
      <c r="A3015" s="51" t="n">
        <v>46309</v>
      </c>
      <c r="B3015" s="0" t="n">
        <v>13</v>
      </c>
      <c r="C3015" s="0" t="n">
        <v>7405</v>
      </c>
      <c r="E3015" s="0" t="n">
        <v>0</v>
      </c>
      <c r="F3015" s="46" t="s">
        <v>1467</v>
      </c>
      <c r="I3015" s="46" t="s">
        <v>179</v>
      </c>
      <c r="U3015" s="0" t="n">
        <v>248</v>
      </c>
      <c r="V3015" s="0" t="n">
        <v>0</v>
      </c>
      <c r="X3015" s="46" t="n">
        <f aca="false">IF(I3015="Male",0,1)</f>
        <v>1</v>
      </c>
      <c r="Y3015" s="46" t="n">
        <f aca="false">IF(OR(I3015="DNB",I3015="Dry DNB"),1,0)</f>
        <v>0</v>
      </c>
      <c r="Z3015" s="0" t="str">
        <f aca="false">IF(ISNUMBER(W3015),A3015-W3015,"")</f>
        <v/>
      </c>
      <c r="AA3015" s="46" t="n">
        <f aca="false">MATCH(A3015,DATAS,0)</f>
        <v>1</v>
      </c>
      <c r="AB3015" s="46" t="n">
        <f aca="false">IF(AND(E3015&gt;0,OR(AND(B3015&gt;=1,B3015&lt;=6),B3015=10)),1,0)</f>
        <v>0</v>
      </c>
      <c r="AC3015" s="46" t="n">
        <f aca="false">IF(AND(E3015&gt;0,B3015=10),1,0)</f>
        <v>0</v>
      </c>
      <c r="AD3015" s="0" t="str">
        <f aca="false">IF(AND(C3014=C3015,AA3014=AA3015-1),AB3014,"")</f>
        <v/>
      </c>
      <c r="AE3015" s="0" t="str">
        <f aca="false">IF(AND(C3014=C3015,AA3014=AA3015-1),AC3014,"")</f>
        <v/>
      </c>
      <c r="AF3015" s="0" t="str">
        <f aca="false">IF(AA3015=1,"",IF(AND(AB3015=1,AD3015&lt;&gt;1),1,0))</f>
        <v/>
      </c>
      <c r="AG3015" s="0" t="str">
        <f aca="false">IF(AA3015=1,"",IF(AND(AC3015=1,AE3015&lt;&gt;1),1,0))</f>
        <v/>
      </c>
      <c r="AH3015" s="51" t="str">
        <f aca="false">IF(AND(E3015&gt;0,AA3015&lt;1,NOT(AND(C3016=C3015,AA3016=AA3015+1))),INDEX(DATAS,AA3015+1),"")</f>
        <v/>
      </c>
      <c r="AI3015" s="51" t="str">
        <f aca="false">IF(AND(AC3015=1,AA3015&lt;1),IF(AND(C3016=C3015,AA3016=AA3015+1),IF(AC3016=1,"",INDEX(DATAS,AA3015+1)),INDEX(DATAS,AA3015+1)),"")</f>
        <v/>
      </c>
    </row>
    <row r="3016" customFormat="false" ht="15" hidden="false" customHeight="false" outlineLevel="0" collapsed="false">
      <c r="A3016" s="51" t="n">
        <v>46309</v>
      </c>
      <c r="B3016" s="0" t="n">
        <v>13</v>
      </c>
      <c r="C3016" s="0" t="n">
        <v>7406</v>
      </c>
      <c r="E3016" s="0" t="n">
        <v>0</v>
      </c>
      <c r="F3016" s="46" t="s">
        <v>1467</v>
      </c>
      <c r="I3016" s="46" t="s">
        <v>179</v>
      </c>
      <c r="U3016" s="0" t="n">
        <v>248</v>
      </c>
      <c r="V3016" s="0" t="n">
        <v>0</v>
      </c>
      <c r="X3016" s="46" t="n">
        <f aca="false">IF(I3016="Male",0,1)</f>
        <v>1</v>
      </c>
      <c r="Y3016" s="46" t="n">
        <f aca="false">IF(OR(I3016="DNB",I3016="Dry DNB"),1,0)</f>
        <v>0</v>
      </c>
      <c r="Z3016" s="0" t="str">
        <f aca="false">IF(ISNUMBER(W3016),A3016-W3016,"")</f>
        <v/>
      </c>
      <c r="AA3016" s="46" t="n">
        <f aca="false">MATCH(A3016,DATAS,0)</f>
        <v>1</v>
      </c>
      <c r="AB3016" s="46" t="n">
        <f aca="false">IF(AND(E3016&gt;0,OR(AND(B3016&gt;=1,B3016&lt;=6),B3016=10)),1,0)</f>
        <v>0</v>
      </c>
      <c r="AC3016" s="46" t="n">
        <f aca="false">IF(AND(E3016&gt;0,B3016=10),1,0)</f>
        <v>0</v>
      </c>
      <c r="AD3016" s="0" t="str">
        <f aca="false">IF(AND(C3015=C3016,AA3015=AA3016-1),AB3015,"")</f>
        <v/>
      </c>
      <c r="AE3016" s="0" t="str">
        <f aca="false">IF(AND(C3015=C3016,AA3015=AA3016-1),AC3015,"")</f>
        <v/>
      </c>
      <c r="AF3016" s="0" t="str">
        <f aca="false">IF(AA3016=1,"",IF(AND(AB3016=1,AD3016&lt;&gt;1),1,0))</f>
        <v/>
      </c>
      <c r="AG3016" s="0" t="str">
        <f aca="false">IF(AA3016=1,"",IF(AND(AC3016=1,AE3016&lt;&gt;1),1,0))</f>
        <v/>
      </c>
      <c r="AH3016" s="51" t="str">
        <f aca="false">IF(AND(E3016&gt;0,AA3016&lt;1,NOT(AND(C3017=C3016,AA3017=AA3016+1))),INDEX(DATAS,AA3016+1),"")</f>
        <v/>
      </c>
      <c r="AI3016" s="51" t="str">
        <f aca="false">IF(AND(AC3016=1,AA3016&lt;1),IF(AND(C3017=C3016,AA3017=AA3016+1),IF(AC3017=1,"",INDEX(DATAS,AA3016+1)),INDEX(DATAS,AA3016+1)),"")</f>
        <v/>
      </c>
    </row>
    <row r="3017" customFormat="false" ht="15" hidden="false" customHeight="false" outlineLevel="0" collapsed="false">
      <c r="A3017" s="51" t="n">
        <v>46309</v>
      </c>
      <c r="B3017" s="0" t="n">
        <v>13</v>
      </c>
      <c r="C3017" s="0" t="n">
        <v>7408</v>
      </c>
      <c r="E3017" s="0" t="n">
        <v>0</v>
      </c>
      <c r="F3017" s="46" t="s">
        <v>1468</v>
      </c>
      <c r="I3017" s="46" t="s">
        <v>179</v>
      </c>
      <c r="U3017" s="0" t="n">
        <v>247</v>
      </c>
      <c r="V3017" s="0" t="n">
        <v>0</v>
      </c>
      <c r="X3017" s="46" t="n">
        <f aca="false">IF(I3017="Male",0,1)</f>
        <v>1</v>
      </c>
      <c r="Y3017" s="46" t="n">
        <f aca="false">IF(OR(I3017="DNB",I3017="Dry DNB"),1,0)</f>
        <v>0</v>
      </c>
      <c r="Z3017" s="0" t="str">
        <f aca="false">IF(ISNUMBER(W3017),A3017-W3017,"")</f>
        <v/>
      </c>
      <c r="AA3017" s="46" t="n">
        <f aca="false">MATCH(A3017,DATAS,0)</f>
        <v>1</v>
      </c>
      <c r="AB3017" s="46" t="n">
        <f aca="false">IF(AND(E3017&gt;0,OR(AND(B3017&gt;=1,B3017&lt;=6),B3017=10)),1,0)</f>
        <v>0</v>
      </c>
      <c r="AC3017" s="46" t="n">
        <f aca="false">IF(AND(E3017&gt;0,B3017=10),1,0)</f>
        <v>0</v>
      </c>
      <c r="AD3017" s="0" t="str">
        <f aca="false">IF(AND(C3016=C3017,AA3016=AA3017-1),AB3016,"")</f>
        <v/>
      </c>
      <c r="AE3017" s="0" t="str">
        <f aca="false">IF(AND(C3016=C3017,AA3016=AA3017-1),AC3016,"")</f>
        <v/>
      </c>
      <c r="AF3017" s="0" t="str">
        <f aca="false">IF(AA3017=1,"",IF(AND(AB3017=1,AD3017&lt;&gt;1),1,0))</f>
        <v/>
      </c>
      <c r="AG3017" s="0" t="str">
        <f aca="false">IF(AA3017=1,"",IF(AND(AC3017=1,AE3017&lt;&gt;1),1,0))</f>
        <v/>
      </c>
      <c r="AH3017" s="51" t="str">
        <f aca="false">IF(AND(E3017&gt;0,AA3017&lt;1,NOT(AND(C3018=C3017,AA3018=AA3017+1))),INDEX(DATAS,AA3017+1),"")</f>
        <v/>
      </c>
      <c r="AI3017" s="51" t="str">
        <f aca="false">IF(AND(AC3017=1,AA3017&lt;1),IF(AND(C3018=C3017,AA3018=AA3017+1),IF(AC3018=1,"",INDEX(DATAS,AA3017+1)),INDEX(DATAS,AA3017+1)),"")</f>
        <v/>
      </c>
    </row>
    <row r="3018" customFormat="false" ht="15" hidden="false" customHeight="false" outlineLevel="0" collapsed="false">
      <c r="A3018" s="51" t="n">
        <v>46309</v>
      </c>
      <c r="B3018" s="0" t="n">
        <v>13</v>
      </c>
      <c r="C3018" s="0" t="n">
        <v>7409</v>
      </c>
      <c r="E3018" s="0" t="n">
        <v>0</v>
      </c>
      <c r="F3018" s="46" t="s">
        <v>1469</v>
      </c>
      <c r="I3018" s="46" t="s">
        <v>179</v>
      </c>
      <c r="U3018" s="0" t="n">
        <v>246</v>
      </c>
      <c r="V3018" s="0" t="n">
        <v>0</v>
      </c>
      <c r="X3018" s="46" t="n">
        <f aca="false">IF(I3018="Male",0,1)</f>
        <v>1</v>
      </c>
      <c r="Y3018" s="46" t="n">
        <f aca="false">IF(OR(I3018="DNB",I3018="Dry DNB"),1,0)</f>
        <v>0</v>
      </c>
      <c r="Z3018" s="0" t="str">
        <f aca="false">IF(ISNUMBER(W3018),A3018-W3018,"")</f>
        <v/>
      </c>
      <c r="AA3018" s="46" t="n">
        <f aca="false">MATCH(A3018,DATAS,0)</f>
        <v>1</v>
      </c>
      <c r="AB3018" s="46" t="n">
        <f aca="false">IF(AND(E3018&gt;0,OR(AND(B3018&gt;=1,B3018&lt;=6),B3018=10)),1,0)</f>
        <v>0</v>
      </c>
      <c r="AC3018" s="46" t="n">
        <f aca="false">IF(AND(E3018&gt;0,B3018=10),1,0)</f>
        <v>0</v>
      </c>
      <c r="AD3018" s="0" t="str">
        <f aca="false">IF(AND(C3017=C3018,AA3017=AA3018-1),AB3017,"")</f>
        <v/>
      </c>
      <c r="AE3018" s="0" t="str">
        <f aca="false">IF(AND(C3017=C3018,AA3017=AA3018-1),AC3017,"")</f>
        <v/>
      </c>
      <c r="AF3018" s="0" t="str">
        <f aca="false">IF(AA3018=1,"",IF(AND(AB3018=1,AD3018&lt;&gt;1),1,0))</f>
        <v/>
      </c>
      <c r="AG3018" s="0" t="str">
        <f aca="false">IF(AA3018=1,"",IF(AND(AC3018=1,AE3018&lt;&gt;1),1,0))</f>
        <v/>
      </c>
      <c r="AH3018" s="51" t="str">
        <f aca="false">IF(AND(E3018&gt;0,AA3018&lt;1,NOT(AND(C3019=C3018,AA3019=AA3018+1))),INDEX(DATAS,AA3018+1),"")</f>
        <v/>
      </c>
      <c r="AI3018" s="51" t="str">
        <f aca="false">IF(AND(AC3018=1,AA3018&lt;1),IF(AND(C3019=C3018,AA3019=AA3018+1),IF(AC3019=1,"",INDEX(DATAS,AA3018+1)),INDEX(DATAS,AA3018+1)),"")</f>
        <v/>
      </c>
    </row>
    <row r="3019" customFormat="false" ht="15" hidden="false" customHeight="false" outlineLevel="0" collapsed="false">
      <c r="A3019" s="51" t="n">
        <v>46309</v>
      </c>
      <c r="B3019" s="0" t="n">
        <v>13</v>
      </c>
      <c r="C3019" s="0" t="n">
        <v>7411</v>
      </c>
      <c r="E3019" s="0" t="n">
        <v>0</v>
      </c>
      <c r="F3019" s="46" t="s">
        <v>1470</v>
      </c>
      <c r="I3019" s="46" t="s">
        <v>179</v>
      </c>
      <c r="U3019" s="0" t="n">
        <v>245</v>
      </c>
      <c r="V3019" s="0" t="n">
        <v>0</v>
      </c>
      <c r="X3019" s="46" t="n">
        <f aca="false">IF(I3019="Male",0,1)</f>
        <v>1</v>
      </c>
      <c r="Y3019" s="46" t="n">
        <f aca="false">IF(OR(I3019="DNB",I3019="Dry DNB"),1,0)</f>
        <v>0</v>
      </c>
      <c r="Z3019" s="0" t="str">
        <f aca="false">IF(ISNUMBER(W3019),A3019-W3019,"")</f>
        <v/>
      </c>
      <c r="AA3019" s="46" t="n">
        <f aca="false">MATCH(A3019,DATAS,0)</f>
        <v>1</v>
      </c>
      <c r="AB3019" s="46" t="n">
        <f aca="false">IF(AND(E3019&gt;0,OR(AND(B3019&gt;=1,B3019&lt;=6),B3019=10)),1,0)</f>
        <v>0</v>
      </c>
      <c r="AC3019" s="46" t="n">
        <f aca="false">IF(AND(E3019&gt;0,B3019=10),1,0)</f>
        <v>0</v>
      </c>
      <c r="AD3019" s="0" t="str">
        <f aca="false">IF(AND(C3018=C3019,AA3018=AA3019-1),AB3018,"")</f>
        <v/>
      </c>
      <c r="AE3019" s="0" t="str">
        <f aca="false">IF(AND(C3018=C3019,AA3018=AA3019-1),AC3018,"")</f>
        <v/>
      </c>
      <c r="AF3019" s="0" t="str">
        <f aca="false">IF(AA3019=1,"",IF(AND(AB3019=1,AD3019&lt;&gt;1),1,0))</f>
        <v/>
      </c>
      <c r="AG3019" s="0" t="str">
        <f aca="false">IF(AA3019=1,"",IF(AND(AC3019=1,AE3019&lt;&gt;1),1,0))</f>
        <v/>
      </c>
      <c r="AH3019" s="51" t="str">
        <f aca="false">IF(AND(E3019&gt;0,AA3019&lt;1,NOT(AND(C3020=C3019,AA3020=AA3019+1))),INDEX(DATAS,AA3019+1),"")</f>
        <v/>
      </c>
      <c r="AI3019" s="51" t="str">
        <f aca="false">IF(AND(AC3019=1,AA3019&lt;1),IF(AND(C3020=C3019,AA3020=AA3019+1),IF(AC3020=1,"",INDEX(DATAS,AA3019+1)),INDEX(DATAS,AA3019+1)),"")</f>
        <v/>
      </c>
    </row>
    <row r="3020" customFormat="false" ht="15" hidden="false" customHeight="false" outlineLevel="0" collapsed="false">
      <c r="A3020" s="51" t="n">
        <v>46309</v>
      </c>
      <c r="B3020" s="0" t="n">
        <v>13</v>
      </c>
      <c r="C3020" s="0" t="n">
        <v>7413</v>
      </c>
      <c r="E3020" s="0" t="n">
        <v>0</v>
      </c>
      <c r="F3020" s="46" t="s">
        <v>1470</v>
      </c>
      <c r="I3020" s="46" t="s">
        <v>179</v>
      </c>
      <c r="U3020" s="0" t="n">
        <v>245</v>
      </c>
      <c r="V3020" s="0" t="n">
        <v>0</v>
      </c>
      <c r="X3020" s="46" t="n">
        <f aca="false">IF(I3020="Male",0,1)</f>
        <v>1</v>
      </c>
      <c r="Y3020" s="46" t="n">
        <f aca="false">IF(OR(I3020="DNB",I3020="Dry DNB"),1,0)</f>
        <v>0</v>
      </c>
      <c r="Z3020" s="0" t="str">
        <f aca="false">IF(ISNUMBER(W3020),A3020-W3020,"")</f>
        <v/>
      </c>
      <c r="AA3020" s="46" t="n">
        <f aca="false">MATCH(A3020,DATAS,0)</f>
        <v>1</v>
      </c>
      <c r="AB3020" s="46" t="n">
        <f aca="false">IF(AND(E3020&gt;0,OR(AND(B3020&gt;=1,B3020&lt;=6),B3020=10)),1,0)</f>
        <v>0</v>
      </c>
      <c r="AC3020" s="46" t="n">
        <f aca="false">IF(AND(E3020&gt;0,B3020=10),1,0)</f>
        <v>0</v>
      </c>
      <c r="AD3020" s="0" t="str">
        <f aca="false">IF(AND(C3019=C3020,AA3019=AA3020-1),AB3019,"")</f>
        <v/>
      </c>
      <c r="AE3020" s="0" t="str">
        <f aca="false">IF(AND(C3019=C3020,AA3019=AA3020-1),AC3019,"")</f>
        <v/>
      </c>
      <c r="AF3020" s="0" t="str">
        <f aca="false">IF(AA3020=1,"",IF(AND(AB3020=1,AD3020&lt;&gt;1),1,0))</f>
        <v/>
      </c>
      <c r="AG3020" s="0" t="str">
        <f aca="false">IF(AA3020=1,"",IF(AND(AC3020=1,AE3020&lt;&gt;1),1,0))</f>
        <v/>
      </c>
      <c r="AH3020" s="51" t="str">
        <f aca="false">IF(AND(E3020&gt;0,AA3020&lt;1,NOT(AND(C3021=C3020,AA3021=AA3020+1))),INDEX(DATAS,AA3020+1),"")</f>
        <v/>
      </c>
      <c r="AI3020" s="51" t="str">
        <f aca="false">IF(AND(AC3020=1,AA3020&lt;1),IF(AND(C3021=C3020,AA3021=AA3020+1),IF(AC3021=1,"",INDEX(DATAS,AA3020+1)),INDEX(DATAS,AA3020+1)),"")</f>
        <v/>
      </c>
    </row>
    <row r="3021" customFormat="false" ht="15" hidden="false" customHeight="false" outlineLevel="0" collapsed="false">
      <c r="A3021" s="51" t="n">
        <v>46309</v>
      </c>
      <c r="B3021" s="0" t="n">
        <v>13</v>
      </c>
      <c r="C3021" s="0" t="n">
        <v>7414</v>
      </c>
      <c r="E3021" s="0" t="n">
        <v>0</v>
      </c>
      <c r="F3021" s="46" t="s">
        <v>1470</v>
      </c>
      <c r="I3021" s="46" t="s">
        <v>179</v>
      </c>
      <c r="U3021" s="0" t="n">
        <v>245</v>
      </c>
      <c r="V3021" s="0" t="n">
        <v>0</v>
      </c>
      <c r="X3021" s="46" t="n">
        <f aca="false">IF(I3021="Male",0,1)</f>
        <v>1</v>
      </c>
      <c r="Y3021" s="46" t="n">
        <f aca="false">IF(OR(I3021="DNB",I3021="Dry DNB"),1,0)</f>
        <v>0</v>
      </c>
      <c r="Z3021" s="0" t="str">
        <f aca="false">IF(ISNUMBER(W3021),A3021-W3021,"")</f>
        <v/>
      </c>
      <c r="AA3021" s="46" t="n">
        <f aca="false">MATCH(A3021,DATAS,0)</f>
        <v>1</v>
      </c>
      <c r="AB3021" s="46" t="n">
        <f aca="false">IF(AND(E3021&gt;0,OR(AND(B3021&gt;=1,B3021&lt;=6),B3021=10)),1,0)</f>
        <v>0</v>
      </c>
      <c r="AC3021" s="46" t="n">
        <f aca="false">IF(AND(E3021&gt;0,B3021=10),1,0)</f>
        <v>0</v>
      </c>
      <c r="AD3021" s="0" t="str">
        <f aca="false">IF(AND(C3020=C3021,AA3020=AA3021-1),AB3020,"")</f>
        <v/>
      </c>
      <c r="AE3021" s="0" t="str">
        <f aca="false">IF(AND(C3020=C3021,AA3020=AA3021-1),AC3020,"")</f>
        <v/>
      </c>
      <c r="AF3021" s="0" t="str">
        <f aca="false">IF(AA3021=1,"",IF(AND(AB3021=1,AD3021&lt;&gt;1),1,0))</f>
        <v/>
      </c>
      <c r="AG3021" s="0" t="str">
        <f aca="false">IF(AA3021=1,"",IF(AND(AC3021=1,AE3021&lt;&gt;1),1,0))</f>
        <v/>
      </c>
      <c r="AH3021" s="51" t="str">
        <f aca="false">IF(AND(E3021&gt;0,AA3021&lt;1,NOT(AND(C3022=C3021,AA3022=AA3021+1))),INDEX(DATAS,AA3021+1),"")</f>
        <v/>
      </c>
      <c r="AI3021" s="51" t="str">
        <f aca="false">IF(AND(AC3021=1,AA3021&lt;1),IF(AND(C3022=C3021,AA3022=AA3021+1),IF(AC3022=1,"",INDEX(DATAS,AA3021+1)),INDEX(DATAS,AA3021+1)),"")</f>
        <v/>
      </c>
    </row>
    <row r="3022" customFormat="false" ht="15" hidden="false" customHeight="false" outlineLevel="0" collapsed="false">
      <c r="A3022" s="51" t="n">
        <v>46309</v>
      </c>
      <c r="B3022" s="0" t="n">
        <v>13</v>
      </c>
      <c r="C3022" s="0" t="n">
        <v>7415</v>
      </c>
      <c r="E3022" s="0" t="n">
        <v>0</v>
      </c>
      <c r="F3022" s="46" t="s">
        <v>1470</v>
      </c>
      <c r="I3022" s="46" t="s">
        <v>179</v>
      </c>
      <c r="U3022" s="0" t="n">
        <v>245</v>
      </c>
      <c r="V3022" s="0" t="n">
        <v>0</v>
      </c>
      <c r="X3022" s="46" t="n">
        <f aca="false">IF(I3022="Male",0,1)</f>
        <v>1</v>
      </c>
      <c r="Y3022" s="46" t="n">
        <f aca="false">IF(OR(I3022="DNB",I3022="Dry DNB"),1,0)</f>
        <v>0</v>
      </c>
      <c r="Z3022" s="0" t="str">
        <f aca="false">IF(ISNUMBER(W3022),A3022-W3022,"")</f>
        <v/>
      </c>
      <c r="AA3022" s="46" t="n">
        <f aca="false">MATCH(A3022,DATAS,0)</f>
        <v>1</v>
      </c>
      <c r="AB3022" s="46" t="n">
        <f aca="false">IF(AND(E3022&gt;0,OR(AND(B3022&gt;=1,B3022&lt;=6),B3022=10)),1,0)</f>
        <v>0</v>
      </c>
      <c r="AC3022" s="46" t="n">
        <f aca="false">IF(AND(E3022&gt;0,B3022=10),1,0)</f>
        <v>0</v>
      </c>
      <c r="AD3022" s="0" t="str">
        <f aca="false">IF(AND(C3021=C3022,AA3021=AA3022-1),AB3021,"")</f>
        <v/>
      </c>
      <c r="AE3022" s="0" t="str">
        <f aca="false">IF(AND(C3021=C3022,AA3021=AA3022-1),AC3021,"")</f>
        <v/>
      </c>
      <c r="AF3022" s="0" t="str">
        <f aca="false">IF(AA3022=1,"",IF(AND(AB3022=1,AD3022&lt;&gt;1),1,0))</f>
        <v/>
      </c>
      <c r="AG3022" s="0" t="str">
        <f aca="false">IF(AA3022=1,"",IF(AND(AC3022=1,AE3022&lt;&gt;1),1,0))</f>
        <v/>
      </c>
      <c r="AH3022" s="51" t="str">
        <f aca="false">IF(AND(E3022&gt;0,AA3022&lt;1,NOT(AND(C3023=C3022,AA3023=AA3022+1))),INDEX(DATAS,AA3022+1),"")</f>
        <v/>
      </c>
      <c r="AI3022" s="51" t="str">
        <f aca="false">IF(AND(AC3022=1,AA3022&lt;1),IF(AND(C3023=C3022,AA3023=AA3022+1),IF(AC3023=1,"",INDEX(DATAS,AA3022+1)),INDEX(DATAS,AA3022+1)),"")</f>
        <v/>
      </c>
    </row>
    <row r="3023" customFormat="false" ht="15" hidden="false" customHeight="false" outlineLevel="0" collapsed="false">
      <c r="A3023" s="51" t="n">
        <v>46309</v>
      </c>
      <c r="B3023" s="0" t="n">
        <v>13</v>
      </c>
      <c r="C3023" s="0" t="n">
        <v>7416</v>
      </c>
      <c r="E3023" s="0" t="n">
        <v>0</v>
      </c>
      <c r="F3023" s="46" t="s">
        <v>1471</v>
      </c>
      <c r="I3023" s="46" t="s">
        <v>179</v>
      </c>
      <c r="U3023" s="0" t="n">
        <v>244</v>
      </c>
      <c r="V3023" s="0" t="n">
        <v>0</v>
      </c>
      <c r="X3023" s="46" t="n">
        <f aca="false">IF(I3023="Male",0,1)</f>
        <v>1</v>
      </c>
      <c r="Y3023" s="46" t="n">
        <f aca="false">IF(OR(I3023="DNB",I3023="Dry DNB"),1,0)</f>
        <v>0</v>
      </c>
      <c r="Z3023" s="0" t="str">
        <f aca="false">IF(ISNUMBER(W3023),A3023-W3023,"")</f>
        <v/>
      </c>
      <c r="AA3023" s="46" t="n">
        <f aca="false">MATCH(A3023,DATAS,0)</f>
        <v>1</v>
      </c>
      <c r="AB3023" s="46" t="n">
        <f aca="false">IF(AND(E3023&gt;0,OR(AND(B3023&gt;=1,B3023&lt;=6),B3023=10)),1,0)</f>
        <v>0</v>
      </c>
      <c r="AC3023" s="46" t="n">
        <f aca="false">IF(AND(E3023&gt;0,B3023=10),1,0)</f>
        <v>0</v>
      </c>
      <c r="AD3023" s="0" t="str">
        <f aca="false">IF(AND(C3022=C3023,AA3022=AA3023-1),AB3022,"")</f>
        <v/>
      </c>
      <c r="AE3023" s="0" t="str">
        <f aca="false">IF(AND(C3022=C3023,AA3022=AA3023-1),AC3022,"")</f>
        <v/>
      </c>
      <c r="AF3023" s="0" t="str">
        <f aca="false">IF(AA3023=1,"",IF(AND(AB3023=1,AD3023&lt;&gt;1),1,0))</f>
        <v/>
      </c>
      <c r="AG3023" s="0" t="str">
        <f aca="false">IF(AA3023=1,"",IF(AND(AC3023=1,AE3023&lt;&gt;1),1,0))</f>
        <v/>
      </c>
      <c r="AH3023" s="51" t="str">
        <f aca="false">IF(AND(E3023&gt;0,AA3023&lt;1,NOT(AND(C3024=C3023,AA3024=AA3023+1))),INDEX(DATAS,AA3023+1),"")</f>
        <v/>
      </c>
      <c r="AI3023" s="51" t="str">
        <f aca="false">IF(AND(AC3023=1,AA3023&lt;1),IF(AND(C3024=C3023,AA3024=AA3023+1),IF(AC3024=1,"",INDEX(DATAS,AA3023+1)),INDEX(DATAS,AA3023+1)),"")</f>
        <v/>
      </c>
    </row>
    <row r="3024" customFormat="false" ht="15" hidden="false" customHeight="false" outlineLevel="0" collapsed="false">
      <c r="A3024" s="51" t="n">
        <v>46309</v>
      </c>
      <c r="B3024" s="0" t="n">
        <v>13</v>
      </c>
      <c r="C3024" s="0" t="n">
        <v>7418</v>
      </c>
      <c r="E3024" s="0" t="n">
        <v>0</v>
      </c>
      <c r="F3024" s="46" t="s">
        <v>1472</v>
      </c>
      <c r="I3024" s="46" t="s">
        <v>179</v>
      </c>
      <c r="U3024" s="0" t="n">
        <v>242</v>
      </c>
      <c r="V3024" s="0" t="n">
        <v>0</v>
      </c>
      <c r="X3024" s="46" t="n">
        <f aca="false">IF(I3024="Male",0,1)</f>
        <v>1</v>
      </c>
      <c r="Y3024" s="46" t="n">
        <f aca="false">IF(OR(I3024="DNB",I3024="Dry DNB"),1,0)</f>
        <v>0</v>
      </c>
      <c r="Z3024" s="0" t="str">
        <f aca="false">IF(ISNUMBER(W3024),A3024-W3024,"")</f>
        <v/>
      </c>
      <c r="AA3024" s="46" t="n">
        <f aca="false">MATCH(A3024,DATAS,0)</f>
        <v>1</v>
      </c>
      <c r="AB3024" s="46" t="n">
        <f aca="false">IF(AND(E3024&gt;0,OR(AND(B3024&gt;=1,B3024&lt;=6),B3024=10)),1,0)</f>
        <v>0</v>
      </c>
      <c r="AC3024" s="46" t="n">
        <f aca="false">IF(AND(E3024&gt;0,B3024=10),1,0)</f>
        <v>0</v>
      </c>
      <c r="AD3024" s="0" t="str">
        <f aca="false">IF(AND(C3023=C3024,AA3023=AA3024-1),AB3023,"")</f>
        <v/>
      </c>
      <c r="AE3024" s="0" t="str">
        <f aca="false">IF(AND(C3023=C3024,AA3023=AA3024-1),AC3023,"")</f>
        <v/>
      </c>
      <c r="AF3024" s="0" t="str">
        <f aca="false">IF(AA3024=1,"",IF(AND(AB3024=1,AD3024&lt;&gt;1),1,0))</f>
        <v/>
      </c>
      <c r="AG3024" s="0" t="str">
        <f aca="false">IF(AA3024=1,"",IF(AND(AC3024=1,AE3024&lt;&gt;1),1,0))</f>
        <v/>
      </c>
      <c r="AH3024" s="51" t="str">
        <f aca="false">IF(AND(E3024&gt;0,AA3024&lt;1,NOT(AND(C3025=C3024,AA3025=AA3024+1))),INDEX(DATAS,AA3024+1),"")</f>
        <v/>
      </c>
      <c r="AI3024" s="51" t="str">
        <f aca="false">IF(AND(AC3024=1,AA3024&lt;1),IF(AND(C3025=C3024,AA3025=AA3024+1),IF(AC3025=1,"",INDEX(DATAS,AA3024+1)),INDEX(DATAS,AA3024+1)),"")</f>
        <v/>
      </c>
    </row>
    <row r="3025" customFormat="false" ht="15" hidden="false" customHeight="false" outlineLevel="0" collapsed="false">
      <c r="A3025" s="51" t="n">
        <v>46309</v>
      </c>
      <c r="B3025" s="0" t="n">
        <v>13</v>
      </c>
      <c r="C3025" s="0" t="n">
        <v>7420</v>
      </c>
      <c r="E3025" s="0" t="n">
        <v>0</v>
      </c>
      <c r="F3025" s="46" t="s">
        <v>1473</v>
      </c>
      <c r="I3025" s="46" t="s">
        <v>179</v>
      </c>
      <c r="U3025" s="0" t="n">
        <v>241</v>
      </c>
      <c r="V3025" s="0" t="n">
        <v>0</v>
      </c>
      <c r="X3025" s="46" t="n">
        <f aca="false">IF(I3025="Male",0,1)</f>
        <v>1</v>
      </c>
      <c r="Y3025" s="46" t="n">
        <f aca="false">IF(OR(I3025="DNB",I3025="Dry DNB"),1,0)</f>
        <v>0</v>
      </c>
      <c r="Z3025" s="0" t="str">
        <f aca="false">IF(ISNUMBER(W3025),A3025-W3025,"")</f>
        <v/>
      </c>
      <c r="AA3025" s="46" t="n">
        <f aca="false">MATCH(A3025,DATAS,0)</f>
        <v>1</v>
      </c>
      <c r="AB3025" s="46" t="n">
        <f aca="false">IF(AND(E3025&gt;0,OR(AND(B3025&gt;=1,B3025&lt;=6),B3025=10)),1,0)</f>
        <v>0</v>
      </c>
      <c r="AC3025" s="46" t="n">
        <f aca="false">IF(AND(E3025&gt;0,B3025=10),1,0)</f>
        <v>0</v>
      </c>
      <c r="AD3025" s="0" t="str">
        <f aca="false">IF(AND(C3024=C3025,AA3024=AA3025-1),AB3024,"")</f>
        <v/>
      </c>
      <c r="AE3025" s="0" t="str">
        <f aca="false">IF(AND(C3024=C3025,AA3024=AA3025-1),AC3024,"")</f>
        <v/>
      </c>
      <c r="AF3025" s="0" t="str">
        <f aca="false">IF(AA3025=1,"",IF(AND(AB3025=1,AD3025&lt;&gt;1),1,0))</f>
        <v/>
      </c>
      <c r="AG3025" s="0" t="str">
        <f aca="false">IF(AA3025=1,"",IF(AND(AC3025=1,AE3025&lt;&gt;1),1,0))</f>
        <v/>
      </c>
      <c r="AH3025" s="51" t="str">
        <f aca="false">IF(AND(E3025&gt;0,AA3025&lt;1,NOT(AND(C3026=C3025,AA3026=AA3025+1))),INDEX(DATAS,AA3025+1),"")</f>
        <v/>
      </c>
      <c r="AI3025" s="51" t="str">
        <f aca="false">IF(AND(AC3025=1,AA3025&lt;1),IF(AND(C3026=C3025,AA3026=AA3025+1),IF(AC3026=1,"",INDEX(DATAS,AA3025+1)),INDEX(DATAS,AA3025+1)),"")</f>
        <v/>
      </c>
    </row>
    <row r="3026" customFormat="false" ht="15" hidden="false" customHeight="false" outlineLevel="0" collapsed="false">
      <c r="A3026" s="51" t="n">
        <v>46309</v>
      </c>
      <c r="B3026" s="0" t="n">
        <v>13</v>
      </c>
      <c r="C3026" s="0" t="n">
        <v>7421</v>
      </c>
      <c r="E3026" s="0" t="n">
        <v>0</v>
      </c>
      <c r="F3026" s="46" t="s">
        <v>1473</v>
      </c>
      <c r="I3026" s="46" t="s">
        <v>179</v>
      </c>
      <c r="U3026" s="0" t="n">
        <v>241</v>
      </c>
      <c r="V3026" s="0" t="n">
        <v>0</v>
      </c>
      <c r="X3026" s="46" t="n">
        <f aca="false">IF(I3026="Male",0,1)</f>
        <v>1</v>
      </c>
      <c r="Y3026" s="46" t="n">
        <f aca="false">IF(OR(I3026="DNB",I3026="Dry DNB"),1,0)</f>
        <v>0</v>
      </c>
      <c r="Z3026" s="0" t="str">
        <f aca="false">IF(ISNUMBER(W3026),A3026-W3026,"")</f>
        <v/>
      </c>
      <c r="AA3026" s="46" t="n">
        <f aca="false">MATCH(A3026,DATAS,0)</f>
        <v>1</v>
      </c>
      <c r="AB3026" s="46" t="n">
        <f aca="false">IF(AND(E3026&gt;0,OR(AND(B3026&gt;=1,B3026&lt;=6),B3026=10)),1,0)</f>
        <v>0</v>
      </c>
      <c r="AC3026" s="46" t="n">
        <f aca="false">IF(AND(E3026&gt;0,B3026=10),1,0)</f>
        <v>0</v>
      </c>
      <c r="AD3026" s="0" t="str">
        <f aca="false">IF(AND(C3025=C3026,AA3025=AA3026-1),AB3025,"")</f>
        <v/>
      </c>
      <c r="AE3026" s="0" t="str">
        <f aca="false">IF(AND(C3025=C3026,AA3025=AA3026-1),AC3025,"")</f>
        <v/>
      </c>
      <c r="AF3026" s="0" t="str">
        <f aca="false">IF(AA3026=1,"",IF(AND(AB3026=1,AD3026&lt;&gt;1),1,0))</f>
        <v/>
      </c>
      <c r="AG3026" s="0" t="str">
        <f aca="false">IF(AA3026=1,"",IF(AND(AC3026=1,AE3026&lt;&gt;1),1,0))</f>
        <v/>
      </c>
      <c r="AH3026" s="51" t="str">
        <f aca="false">IF(AND(E3026&gt;0,AA3026&lt;1,NOT(AND(C3027=C3026,AA3027=AA3026+1))),INDEX(DATAS,AA3026+1),"")</f>
        <v/>
      </c>
      <c r="AI3026" s="51" t="str">
        <f aca="false">IF(AND(AC3026=1,AA3026&lt;1),IF(AND(C3027=C3026,AA3027=AA3026+1),IF(AC3027=1,"",INDEX(DATAS,AA3026+1)),INDEX(DATAS,AA3026+1)),"")</f>
        <v/>
      </c>
    </row>
    <row r="3027" customFormat="false" ht="15" hidden="false" customHeight="false" outlineLevel="0" collapsed="false">
      <c r="A3027" s="51" t="n">
        <v>46309</v>
      </c>
      <c r="B3027" s="0" t="n">
        <v>13</v>
      </c>
      <c r="C3027" s="0" t="n">
        <v>7422</v>
      </c>
      <c r="E3027" s="0" t="n">
        <v>0</v>
      </c>
      <c r="F3027" s="46" t="s">
        <v>1474</v>
      </c>
      <c r="I3027" s="46" t="s">
        <v>179</v>
      </c>
      <c r="U3027" s="0" t="n">
        <v>240</v>
      </c>
      <c r="V3027" s="0" t="n">
        <v>0</v>
      </c>
      <c r="X3027" s="46" t="n">
        <f aca="false">IF(I3027="Male",0,1)</f>
        <v>1</v>
      </c>
      <c r="Y3027" s="46" t="n">
        <f aca="false">IF(OR(I3027="DNB",I3027="Dry DNB"),1,0)</f>
        <v>0</v>
      </c>
      <c r="Z3027" s="0" t="str">
        <f aca="false">IF(ISNUMBER(W3027),A3027-W3027,"")</f>
        <v/>
      </c>
      <c r="AA3027" s="46" t="n">
        <f aca="false">MATCH(A3027,DATAS,0)</f>
        <v>1</v>
      </c>
      <c r="AB3027" s="46" t="n">
        <f aca="false">IF(AND(E3027&gt;0,OR(AND(B3027&gt;=1,B3027&lt;=6),B3027=10)),1,0)</f>
        <v>0</v>
      </c>
      <c r="AC3027" s="46" t="n">
        <f aca="false">IF(AND(E3027&gt;0,B3027=10),1,0)</f>
        <v>0</v>
      </c>
      <c r="AD3027" s="0" t="str">
        <f aca="false">IF(AND(C3026=C3027,AA3026=AA3027-1),AB3026,"")</f>
        <v/>
      </c>
      <c r="AE3027" s="0" t="str">
        <f aca="false">IF(AND(C3026=C3027,AA3026=AA3027-1),AC3026,"")</f>
        <v/>
      </c>
      <c r="AF3027" s="0" t="str">
        <f aca="false">IF(AA3027=1,"",IF(AND(AB3027=1,AD3027&lt;&gt;1),1,0))</f>
        <v/>
      </c>
      <c r="AG3027" s="0" t="str">
        <f aca="false">IF(AA3027=1,"",IF(AND(AC3027=1,AE3027&lt;&gt;1),1,0))</f>
        <v/>
      </c>
      <c r="AH3027" s="51" t="str">
        <f aca="false">IF(AND(E3027&gt;0,AA3027&lt;1,NOT(AND(C3028=C3027,AA3028=AA3027+1))),INDEX(DATAS,AA3027+1),"")</f>
        <v/>
      </c>
      <c r="AI3027" s="51" t="str">
        <f aca="false">IF(AND(AC3027=1,AA3027&lt;1),IF(AND(C3028=C3027,AA3028=AA3027+1),IF(AC3028=1,"",INDEX(DATAS,AA3027+1)),INDEX(DATAS,AA3027+1)),"")</f>
        <v/>
      </c>
    </row>
    <row r="3028" customFormat="false" ht="15" hidden="false" customHeight="false" outlineLevel="0" collapsed="false">
      <c r="A3028" s="51" t="n">
        <v>46309</v>
      </c>
      <c r="B3028" s="0" t="n">
        <v>13</v>
      </c>
      <c r="C3028" s="0" t="n">
        <v>7423</v>
      </c>
      <c r="E3028" s="0" t="n">
        <v>0</v>
      </c>
      <c r="F3028" s="46" t="s">
        <v>1474</v>
      </c>
      <c r="I3028" s="46" t="s">
        <v>179</v>
      </c>
      <c r="U3028" s="0" t="n">
        <v>240</v>
      </c>
      <c r="V3028" s="0" t="n">
        <v>0</v>
      </c>
      <c r="X3028" s="46" t="n">
        <f aca="false">IF(I3028="Male",0,1)</f>
        <v>1</v>
      </c>
      <c r="Y3028" s="46" t="n">
        <f aca="false">IF(OR(I3028="DNB",I3028="Dry DNB"),1,0)</f>
        <v>0</v>
      </c>
      <c r="Z3028" s="0" t="str">
        <f aca="false">IF(ISNUMBER(W3028),A3028-W3028,"")</f>
        <v/>
      </c>
      <c r="AA3028" s="46" t="n">
        <f aca="false">MATCH(A3028,DATAS,0)</f>
        <v>1</v>
      </c>
      <c r="AB3028" s="46" t="n">
        <f aca="false">IF(AND(E3028&gt;0,OR(AND(B3028&gt;=1,B3028&lt;=6),B3028=10)),1,0)</f>
        <v>0</v>
      </c>
      <c r="AC3028" s="46" t="n">
        <f aca="false">IF(AND(E3028&gt;0,B3028=10),1,0)</f>
        <v>0</v>
      </c>
      <c r="AD3028" s="0" t="str">
        <f aca="false">IF(AND(C3027=C3028,AA3027=AA3028-1),AB3027,"")</f>
        <v/>
      </c>
      <c r="AE3028" s="0" t="str">
        <f aca="false">IF(AND(C3027=C3028,AA3027=AA3028-1),AC3027,"")</f>
        <v/>
      </c>
      <c r="AF3028" s="0" t="str">
        <f aca="false">IF(AA3028=1,"",IF(AND(AB3028=1,AD3028&lt;&gt;1),1,0))</f>
        <v/>
      </c>
      <c r="AG3028" s="0" t="str">
        <f aca="false">IF(AA3028=1,"",IF(AND(AC3028=1,AE3028&lt;&gt;1),1,0))</f>
        <v/>
      </c>
      <c r="AH3028" s="51" t="str">
        <f aca="false">IF(AND(E3028&gt;0,AA3028&lt;1,NOT(AND(C3029=C3028,AA3029=AA3028+1))),INDEX(DATAS,AA3028+1),"")</f>
        <v/>
      </c>
      <c r="AI3028" s="51" t="str">
        <f aca="false">IF(AND(AC3028=1,AA3028&lt;1),IF(AND(C3029=C3028,AA3029=AA3028+1),IF(AC3029=1,"",INDEX(DATAS,AA3028+1)),INDEX(DATAS,AA3028+1)),"")</f>
        <v/>
      </c>
    </row>
    <row r="3029" customFormat="false" ht="15" hidden="false" customHeight="false" outlineLevel="0" collapsed="false">
      <c r="A3029" s="51" t="n">
        <v>46309</v>
      </c>
      <c r="B3029" s="0" t="n">
        <v>13</v>
      </c>
      <c r="C3029" s="0" t="n">
        <v>7424</v>
      </c>
      <c r="E3029" s="0" t="n">
        <v>0</v>
      </c>
      <c r="F3029" s="46" t="s">
        <v>1474</v>
      </c>
      <c r="I3029" s="46" t="s">
        <v>179</v>
      </c>
      <c r="U3029" s="0" t="n">
        <v>240</v>
      </c>
      <c r="V3029" s="0" t="n">
        <v>0</v>
      </c>
      <c r="X3029" s="46" t="n">
        <f aca="false">IF(I3029="Male",0,1)</f>
        <v>1</v>
      </c>
      <c r="Y3029" s="46" t="n">
        <f aca="false">IF(OR(I3029="DNB",I3029="Dry DNB"),1,0)</f>
        <v>0</v>
      </c>
      <c r="Z3029" s="0" t="str">
        <f aca="false">IF(ISNUMBER(W3029),A3029-W3029,"")</f>
        <v/>
      </c>
      <c r="AA3029" s="46" t="n">
        <f aca="false">MATCH(A3029,DATAS,0)</f>
        <v>1</v>
      </c>
      <c r="AB3029" s="46" t="n">
        <f aca="false">IF(AND(E3029&gt;0,OR(AND(B3029&gt;=1,B3029&lt;=6),B3029=10)),1,0)</f>
        <v>0</v>
      </c>
      <c r="AC3029" s="46" t="n">
        <f aca="false">IF(AND(E3029&gt;0,B3029=10),1,0)</f>
        <v>0</v>
      </c>
      <c r="AD3029" s="0" t="str">
        <f aca="false">IF(AND(C3028=C3029,AA3028=AA3029-1),AB3028,"")</f>
        <v/>
      </c>
      <c r="AE3029" s="0" t="str">
        <f aca="false">IF(AND(C3028=C3029,AA3028=AA3029-1),AC3028,"")</f>
        <v/>
      </c>
      <c r="AF3029" s="0" t="str">
        <f aca="false">IF(AA3029=1,"",IF(AND(AB3029=1,AD3029&lt;&gt;1),1,0))</f>
        <v/>
      </c>
      <c r="AG3029" s="0" t="str">
        <f aca="false">IF(AA3029=1,"",IF(AND(AC3029=1,AE3029&lt;&gt;1),1,0))</f>
        <v/>
      </c>
      <c r="AH3029" s="51" t="str">
        <f aca="false">IF(AND(E3029&gt;0,AA3029&lt;1,NOT(AND(C3030=C3029,AA3030=AA3029+1))),INDEX(DATAS,AA3029+1),"")</f>
        <v/>
      </c>
      <c r="AI3029" s="51" t="str">
        <f aca="false">IF(AND(AC3029=1,AA3029&lt;1),IF(AND(C3030=C3029,AA3030=AA3029+1),IF(AC3030=1,"",INDEX(DATAS,AA3029+1)),INDEX(DATAS,AA3029+1)),"")</f>
        <v/>
      </c>
    </row>
    <row r="3030" customFormat="false" ht="15" hidden="false" customHeight="false" outlineLevel="0" collapsed="false">
      <c r="A3030" s="51" t="n">
        <v>46309</v>
      </c>
      <c r="B3030" s="0" t="n">
        <v>13</v>
      </c>
      <c r="C3030" s="0" t="n">
        <v>7425</v>
      </c>
      <c r="E3030" s="0" t="n">
        <v>0</v>
      </c>
      <c r="F3030" s="46" t="s">
        <v>1474</v>
      </c>
      <c r="I3030" s="46" t="s">
        <v>179</v>
      </c>
      <c r="U3030" s="0" t="n">
        <v>240</v>
      </c>
      <c r="V3030" s="0" t="n">
        <v>0</v>
      </c>
      <c r="X3030" s="46" t="n">
        <f aca="false">IF(I3030="Male",0,1)</f>
        <v>1</v>
      </c>
      <c r="Y3030" s="46" t="n">
        <f aca="false">IF(OR(I3030="DNB",I3030="Dry DNB"),1,0)</f>
        <v>0</v>
      </c>
      <c r="Z3030" s="0" t="str">
        <f aca="false">IF(ISNUMBER(W3030),A3030-W3030,"")</f>
        <v/>
      </c>
      <c r="AA3030" s="46" t="n">
        <f aca="false">MATCH(A3030,DATAS,0)</f>
        <v>1</v>
      </c>
      <c r="AB3030" s="46" t="n">
        <f aca="false">IF(AND(E3030&gt;0,OR(AND(B3030&gt;=1,B3030&lt;=6),B3030=10)),1,0)</f>
        <v>0</v>
      </c>
      <c r="AC3030" s="46" t="n">
        <f aca="false">IF(AND(E3030&gt;0,B3030=10),1,0)</f>
        <v>0</v>
      </c>
      <c r="AD3030" s="0" t="str">
        <f aca="false">IF(AND(C3029=C3030,AA3029=AA3030-1),AB3029,"")</f>
        <v/>
      </c>
      <c r="AE3030" s="0" t="str">
        <f aca="false">IF(AND(C3029=C3030,AA3029=AA3030-1),AC3029,"")</f>
        <v/>
      </c>
      <c r="AF3030" s="0" t="str">
        <f aca="false">IF(AA3030=1,"",IF(AND(AB3030=1,AD3030&lt;&gt;1),1,0))</f>
        <v/>
      </c>
      <c r="AG3030" s="0" t="str">
        <f aca="false">IF(AA3030=1,"",IF(AND(AC3030=1,AE3030&lt;&gt;1),1,0))</f>
        <v/>
      </c>
      <c r="AH3030" s="51" t="str">
        <f aca="false">IF(AND(E3030&gt;0,AA3030&lt;1,NOT(AND(C3031=C3030,AA3031=AA3030+1))),INDEX(DATAS,AA3030+1),"")</f>
        <v/>
      </c>
      <c r="AI3030" s="51" t="str">
        <f aca="false">IF(AND(AC3030=1,AA3030&lt;1),IF(AND(C3031=C3030,AA3031=AA3030+1),IF(AC3031=1,"",INDEX(DATAS,AA3030+1)),INDEX(DATAS,AA3030+1)),"")</f>
        <v/>
      </c>
    </row>
    <row r="3031" customFormat="false" ht="15" hidden="false" customHeight="false" outlineLevel="0" collapsed="false">
      <c r="A3031" s="51" t="n">
        <v>46309</v>
      </c>
      <c r="B3031" s="0" t="n">
        <v>13</v>
      </c>
      <c r="C3031" s="0" t="n">
        <v>7426</v>
      </c>
      <c r="E3031" s="0" t="n">
        <v>0</v>
      </c>
      <c r="F3031" s="46" t="s">
        <v>1474</v>
      </c>
      <c r="I3031" s="46" t="s">
        <v>179</v>
      </c>
      <c r="U3031" s="0" t="n">
        <v>240</v>
      </c>
      <c r="V3031" s="0" t="n">
        <v>0</v>
      </c>
      <c r="X3031" s="46" t="n">
        <f aca="false">IF(I3031="Male",0,1)</f>
        <v>1</v>
      </c>
      <c r="Y3031" s="46" t="n">
        <f aca="false">IF(OR(I3031="DNB",I3031="Dry DNB"),1,0)</f>
        <v>0</v>
      </c>
      <c r="Z3031" s="0" t="str">
        <f aca="false">IF(ISNUMBER(W3031),A3031-W3031,"")</f>
        <v/>
      </c>
      <c r="AA3031" s="46" t="n">
        <f aca="false">MATCH(A3031,DATAS,0)</f>
        <v>1</v>
      </c>
      <c r="AB3031" s="46" t="n">
        <f aca="false">IF(AND(E3031&gt;0,OR(AND(B3031&gt;=1,B3031&lt;=6),B3031=10)),1,0)</f>
        <v>0</v>
      </c>
      <c r="AC3031" s="46" t="n">
        <f aca="false">IF(AND(E3031&gt;0,B3031=10),1,0)</f>
        <v>0</v>
      </c>
      <c r="AD3031" s="0" t="str">
        <f aca="false">IF(AND(C3030=C3031,AA3030=AA3031-1),AB3030,"")</f>
        <v/>
      </c>
      <c r="AE3031" s="0" t="str">
        <f aca="false">IF(AND(C3030=C3031,AA3030=AA3031-1),AC3030,"")</f>
        <v/>
      </c>
      <c r="AF3031" s="0" t="str">
        <f aca="false">IF(AA3031=1,"",IF(AND(AB3031=1,AD3031&lt;&gt;1),1,0))</f>
        <v/>
      </c>
      <c r="AG3031" s="0" t="str">
        <f aca="false">IF(AA3031=1,"",IF(AND(AC3031=1,AE3031&lt;&gt;1),1,0))</f>
        <v/>
      </c>
      <c r="AH3031" s="51" t="str">
        <f aca="false">IF(AND(E3031&gt;0,AA3031&lt;1,NOT(AND(C3032=C3031,AA3032=AA3031+1))),INDEX(DATAS,AA3031+1),"")</f>
        <v/>
      </c>
      <c r="AI3031" s="51" t="str">
        <f aca="false">IF(AND(AC3031=1,AA3031&lt;1),IF(AND(C3032=C3031,AA3032=AA3031+1),IF(AC3032=1,"",INDEX(DATAS,AA3031+1)),INDEX(DATAS,AA3031+1)),"")</f>
        <v/>
      </c>
    </row>
    <row r="3032" customFormat="false" ht="15" hidden="false" customHeight="false" outlineLevel="0" collapsed="false">
      <c r="A3032" s="51" t="n">
        <v>46309</v>
      </c>
      <c r="B3032" s="0" t="n">
        <v>13</v>
      </c>
      <c r="C3032" s="0" t="n">
        <v>7427</v>
      </c>
      <c r="E3032" s="0" t="n">
        <v>0</v>
      </c>
      <c r="F3032" s="46" t="s">
        <v>1474</v>
      </c>
      <c r="I3032" s="46" t="s">
        <v>179</v>
      </c>
      <c r="U3032" s="0" t="n">
        <v>240</v>
      </c>
      <c r="V3032" s="0" t="n">
        <v>0</v>
      </c>
      <c r="X3032" s="46" t="n">
        <f aca="false">IF(I3032="Male",0,1)</f>
        <v>1</v>
      </c>
      <c r="Y3032" s="46" t="n">
        <f aca="false">IF(OR(I3032="DNB",I3032="Dry DNB"),1,0)</f>
        <v>0</v>
      </c>
      <c r="Z3032" s="0" t="str">
        <f aca="false">IF(ISNUMBER(W3032),A3032-W3032,"")</f>
        <v/>
      </c>
      <c r="AA3032" s="46" t="n">
        <f aca="false">MATCH(A3032,DATAS,0)</f>
        <v>1</v>
      </c>
      <c r="AB3032" s="46" t="n">
        <f aca="false">IF(AND(E3032&gt;0,OR(AND(B3032&gt;=1,B3032&lt;=6),B3032=10)),1,0)</f>
        <v>0</v>
      </c>
      <c r="AC3032" s="46" t="n">
        <f aca="false">IF(AND(E3032&gt;0,B3032=10),1,0)</f>
        <v>0</v>
      </c>
      <c r="AD3032" s="0" t="str">
        <f aca="false">IF(AND(C3031=C3032,AA3031=AA3032-1),AB3031,"")</f>
        <v/>
      </c>
      <c r="AE3032" s="0" t="str">
        <f aca="false">IF(AND(C3031=C3032,AA3031=AA3032-1),AC3031,"")</f>
        <v/>
      </c>
      <c r="AF3032" s="0" t="str">
        <f aca="false">IF(AA3032=1,"",IF(AND(AB3032=1,AD3032&lt;&gt;1),1,0))</f>
        <v/>
      </c>
      <c r="AG3032" s="0" t="str">
        <f aca="false">IF(AA3032=1,"",IF(AND(AC3032=1,AE3032&lt;&gt;1),1,0))</f>
        <v/>
      </c>
      <c r="AH3032" s="51" t="str">
        <f aca="false">IF(AND(E3032&gt;0,AA3032&lt;1,NOT(AND(C3033=C3032,AA3033=AA3032+1))),INDEX(DATAS,AA3032+1),"")</f>
        <v/>
      </c>
      <c r="AI3032" s="51" t="str">
        <f aca="false">IF(AND(AC3032=1,AA3032&lt;1),IF(AND(C3033=C3032,AA3033=AA3032+1),IF(AC3033=1,"",INDEX(DATAS,AA3032+1)),INDEX(DATAS,AA3032+1)),"")</f>
        <v/>
      </c>
    </row>
    <row r="3033" customFormat="false" ht="15" hidden="false" customHeight="false" outlineLevel="0" collapsed="false">
      <c r="A3033" s="51" t="n">
        <v>46309</v>
      </c>
      <c r="B3033" s="0" t="n">
        <v>13</v>
      </c>
      <c r="C3033" s="0" t="n">
        <v>7428</v>
      </c>
      <c r="E3033" s="0" t="n">
        <v>0</v>
      </c>
      <c r="F3033" s="46" t="s">
        <v>1475</v>
      </c>
      <c r="I3033" s="46" t="s">
        <v>179</v>
      </c>
      <c r="U3033" s="0" t="n">
        <v>239</v>
      </c>
      <c r="V3033" s="0" t="n">
        <v>0</v>
      </c>
      <c r="X3033" s="46" t="n">
        <f aca="false">IF(I3033="Male",0,1)</f>
        <v>1</v>
      </c>
      <c r="Y3033" s="46" t="n">
        <f aca="false">IF(OR(I3033="DNB",I3033="Dry DNB"),1,0)</f>
        <v>0</v>
      </c>
      <c r="Z3033" s="0" t="str">
        <f aca="false">IF(ISNUMBER(W3033),A3033-W3033,"")</f>
        <v/>
      </c>
      <c r="AA3033" s="46" t="n">
        <f aca="false">MATCH(A3033,DATAS,0)</f>
        <v>1</v>
      </c>
      <c r="AB3033" s="46" t="n">
        <f aca="false">IF(AND(E3033&gt;0,OR(AND(B3033&gt;=1,B3033&lt;=6),B3033=10)),1,0)</f>
        <v>0</v>
      </c>
      <c r="AC3033" s="46" t="n">
        <f aca="false">IF(AND(E3033&gt;0,B3033=10),1,0)</f>
        <v>0</v>
      </c>
      <c r="AD3033" s="0" t="str">
        <f aca="false">IF(AND(C3032=C3033,AA3032=AA3033-1),AB3032,"")</f>
        <v/>
      </c>
      <c r="AE3033" s="0" t="str">
        <f aca="false">IF(AND(C3032=C3033,AA3032=AA3033-1),AC3032,"")</f>
        <v/>
      </c>
      <c r="AF3033" s="0" t="str">
        <f aca="false">IF(AA3033=1,"",IF(AND(AB3033=1,AD3033&lt;&gt;1),1,0))</f>
        <v/>
      </c>
      <c r="AG3033" s="0" t="str">
        <f aca="false">IF(AA3033=1,"",IF(AND(AC3033=1,AE3033&lt;&gt;1),1,0))</f>
        <v/>
      </c>
      <c r="AH3033" s="51" t="str">
        <f aca="false">IF(AND(E3033&gt;0,AA3033&lt;1,NOT(AND(C3034=C3033,AA3034=AA3033+1))),INDEX(DATAS,AA3033+1),"")</f>
        <v/>
      </c>
      <c r="AI3033" s="51" t="str">
        <f aca="false">IF(AND(AC3033=1,AA3033&lt;1),IF(AND(C3034=C3033,AA3034=AA3033+1),IF(AC3034=1,"",INDEX(DATAS,AA3033+1)),INDEX(DATAS,AA3033+1)),"")</f>
        <v/>
      </c>
    </row>
    <row r="3034" customFormat="false" ht="15" hidden="false" customHeight="false" outlineLevel="0" collapsed="false">
      <c r="A3034" s="51" t="n">
        <v>46309</v>
      </c>
      <c r="B3034" s="0" t="n">
        <v>13</v>
      </c>
      <c r="C3034" s="0" t="n">
        <v>7429</v>
      </c>
      <c r="E3034" s="0" t="n">
        <v>0</v>
      </c>
      <c r="F3034" s="46" t="s">
        <v>1476</v>
      </c>
      <c r="I3034" s="46" t="s">
        <v>179</v>
      </c>
      <c r="U3034" s="0" t="n">
        <v>238</v>
      </c>
      <c r="V3034" s="0" t="n">
        <v>0</v>
      </c>
      <c r="X3034" s="46" t="n">
        <f aca="false">IF(I3034="Male",0,1)</f>
        <v>1</v>
      </c>
      <c r="Y3034" s="46" t="n">
        <f aca="false">IF(OR(I3034="DNB",I3034="Dry DNB"),1,0)</f>
        <v>0</v>
      </c>
      <c r="Z3034" s="0" t="str">
        <f aca="false">IF(ISNUMBER(W3034),A3034-W3034,"")</f>
        <v/>
      </c>
      <c r="AA3034" s="46" t="n">
        <f aca="false">MATCH(A3034,DATAS,0)</f>
        <v>1</v>
      </c>
      <c r="AB3034" s="46" t="n">
        <f aca="false">IF(AND(E3034&gt;0,OR(AND(B3034&gt;=1,B3034&lt;=6),B3034=10)),1,0)</f>
        <v>0</v>
      </c>
      <c r="AC3034" s="46" t="n">
        <f aca="false">IF(AND(E3034&gt;0,B3034=10),1,0)</f>
        <v>0</v>
      </c>
      <c r="AD3034" s="0" t="str">
        <f aca="false">IF(AND(C3033=C3034,AA3033=AA3034-1),AB3033,"")</f>
        <v/>
      </c>
      <c r="AE3034" s="0" t="str">
        <f aca="false">IF(AND(C3033=C3034,AA3033=AA3034-1),AC3033,"")</f>
        <v/>
      </c>
      <c r="AF3034" s="0" t="str">
        <f aca="false">IF(AA3034=1,"",IF(AND(AB3034=1,AD3034&lt;&gt;1),1,0))</f>
        <v/>
      </c>
      <c r="AG3034" s="0" t="str">
        <f aca="false">IF(AA3034=1,"",IF(AND(AC3034=1,AE3034&lt;&gt;1),1,0))</f>
        <v/>
      </c>
      <c r="AH3034" s="51" t="str">
        <f aca="false">IF(AND(E3034&gt;0,AA3034&lt;1,NOT(AND(C3035=C3034,AA3035=AA3034+1))),INDEX(DATAS,AA3034+1),"")</f>
        <v/>
      </c>
      <c r="AI3034" s="51" t="str">
        <f aca="false">IF(AND(AC3034=1,AA3034&lt;1),IF(AND(C3035=C3034,AA3035=AA3034+1),IF(AC3035=1,"",INDEX(DATAS,AA3034+1)),INDEX(DATAS,AA3034+1)),"")</f>
        <v/>
      </c>
    </row>
    <row r="3035" customFormat="false" ht="15" hidden="false" customHeight="false" outlineLevel="0" collapsed="false">
      <c r="A3035" s="51" t="n">
        <v>46309</v>
      </c>
      <c r="B3035" s="0" t="n">
        <v>13</v>
      </c>
      <c r="C3035" s="0" t="n">
        <v>7430</v>
      </c>
      <c r="E3035" s="0" t="n">
        <v>0</v>
      </c>
      <c r="F3035" s="46" t="s">
        <v>1476</v>
      </c>
      <c r="I3035" s="46" t="s">
        <v>179</v>
      </c>
      <c r="U3035" s="0" t="n">
        <v>238</v>
      </c>
      <c r="V3035" s="0" t="n">
        <v>0</v>
      </c>
      <c r="X3035" s="46" t="n">
        <f aca="false">IF(I3035="Male",0,1)</f>
        <v>1</v>
      </c>
      <c r="Y3035" s="46" t="n">
        <f aca="false">IF(OR(I3035="DNB",I3035="Dry DNB"),1,0)</f>
        <v>0</v>
      </c>
      <c r="Z3035" s="0" t="str">
        <f aca="false">IF(ISNUMBER(W3035),A3035-W3035,"")</f>
        <v/>
      </c>
      <c r="AA3035" s="46" t="n">
        <f aca="false">MATCH(A3035,DATAS,0)</f>
        <v>1</v>
      </c>
      <c r="AB3035" s="46" t="n">
        <f aca="false">IF(AND(E3035&gt;0,OR(AND(B3035&gt;=1,B3035&lt;=6),B3035=10)),1,0)</f>
        <v>0</v>
      </c>
      <c r="AC3035" s="46" t="n">
        <f aca="false">IF(AND(E3035&gt;0,B3035=10),1,0)</f>
        <v>0</v>
      </c>
      <c r="AD3035" s="0" t="str">
        <f aca="false">IF(AND(C3034=C3035,AA3034=AA3035-1),AB3034,"")</f>
        <v/>
      </c>
      <c r="AE3035" s="0" t="str">
        <f aca="false">IF(AND(C3034=C3035,AA3034=AA3035-1),AC3034,"")</f>
        <v/>
      </c>
      <c r="AF3035" s="0" t="str">
        <f aca="false">IF(AA3035=1,"",IF(AND(AB3035=1,AD3035&lt;&gt;1),1,0))</f>
        <v/>
      </c>
      <c r="AG3035" s="0" t="str">
        <f aca="false">IF(AA3035=1,"",IF(AND(AC3035=1,AE3035&lt;&gt;1),1,0))</f>
        <v/>
      </c>
      <c r="AH3035" s="51" t="str">
        <f aca="false">IF(AND(E3035&gt;0,AA3035&lt;1,NOT(AND(C3036=C3035,AA3036=AA3035+1))),INDEX(DATAS,AA3035+1),"")</f>
        <v/>
      </c>
      <c r="AI3035" s="51" t="str">
        <f aca="false">IF(AND(AC3035=1,AA3035&lt;1),IF(AND(C3036=C3035,AA3036=AA3035+1),IF(AC3036=1,"",INDEX(DATAS,AA3035+1)),INDEX(DATAS,AA3035+1)),"")</f>
        <v/>
      </c>
    </row>
    <row r="3036" customFormat="false" ht="15" hidden="false" customHeight="false" outlineLevel="0" collapsed="false">
      <c r="A3036" s="51" t="n">
        <v>46309</v>
      </c>
      <c r="B3036" s="0" t="n">
        <v>13</v>
      </c>
      <c r="C3036" s="0" t="n">
        <v>7431</v>
      </c>
      <c r="E3036" s="0" t="n">
        <v>0</v>
      </c>
      <c r="F3036" s="46" t="s">
        <v>1476</v>
      </c>
      <c r="I3036" s="46" t="s">
        <v>179</v>
      </c>
      <c r="U3036" s="0" t="n">
        <v>238</v>
      </c>
      <c r="V3036" s="0" t="n">
        <v>0</v>
      </c>
      <c r="X3036" s="46" t="n">
        <f aca="false">IF(I3036="Male",0,1)</f>
        <v>1</v>
      </c>
      <c r="Y3036" s="46" t="n">
        <f aca="false">IF(OR(I3036="DNB",I3036="Dry DNB"),1,0)</f>
        <v>0</v>
      </c>
      <c r="Z3036" s="0" t="str">
        <f aca="false">IF(ISNUMBER(W3036),A3036-W3036,"")</f>
        <v/>
      </c>
      <c r="AA3036" s="46" t="n">
        <f aca="false">MATCH(A3036,DATAS,0)</f>
        <v>1</v>
      </c>
      <c r="AB3036" s="46" t="n">
        <f aca="false">IF(AND(E3036&gt;0,OR(AND(B3036&gt;=1,B3036&lt;=6),B3036=10)),1,0)</f>
        <v>0</v>
      </c>
      <c r="AC3036" s="46" t="n">
        <f aca="false">IF(AND(E3036&gt;0,B3036=10),1,0)</f>
        <v>0</v>
      </c>
      <c r="AD3036" s="0" t="str">
        <f aca="false">IF(AND(C3035=C3036,AA3035=AA3036-1),AB3035,"")</f>
        <v/>
      </c>
      <c r="AE3036" s="0" t="str">
        <f aca="false">IF(AND(C3035=C3036,AA3035=AA3036-1),AC3035,"")</f>
        <v/>
      </c>
      <c r="AF3036" s="0" t="str">
        <f aca="false">IF(AA3036=1,"",IF(AND(AB3036=1,AD3036&lt;&gt;1),1,0))</f>
        <v/>
      </c>
      <c r="AG3036" s="0" t="str">
        <f aca="false">IF(AA3036=1,"",IF(AND(AC3036=1,AE3036&lt;&gt;1),1,0))</f>
        <v/>
      </c>
      <c r="AH3036" s="51" t="str">
        <f aca="false">IF(AND(E3036&gt;0,AA3036&lt;1,NOT(AND(C3037=C3036,AA3037=AA3036+1))),INDEX(DATAS,AA3036+1),"")</f>
        <v/>
      </c>
      <c r="AI3036" s="51" t="str">
        <f aca="false">IF(AND(AC3036=1,AA3036&lt;1),IF(AND(C3037=C3036,AA3037=AA3036+1),IF(AC3037=1,"",INDEX(DATAS,AA3036+1)),INDEX(DATAS,AA3036+1)),"")</f>
        <v/>
      </c>
    </row>
    <row r="3037" customFormat="false" ht="15" hidden="false" customHeight="false" outlineLevel="0" collapsed="false">
      <c r="A3037" s="51" t="n">
        <v>46309</v>
      </c>
      <c r="B3037" s="0" t="n">
        <v>13</v>
      </c>
      <c r="C3037" s="0" t="n">
        <v>7432</v>
      </c>
      <c r="E3037" s="0" t="n">
        <v>0</v>
      </c>
      <c r="F3037" s="46" t="s">
        <v>1477</v>
      </c>
      <c r="I3037" s="46" t="s">
        <v>179</v>
      </c>
      <c r="U3037" s="0" t="n">
        <v>237</v>
      </c>
      <c r="V3037" s="0" t="n">
        <v>0</v>
      </c>
      <c r="X3037" s="46" t="n">
        <f aca="false">IF(I3037="Male",0,1)</f>
        <v>1</v>
      </c>
      <c r="Y3037" s="46" t="n">
        <f aca="false">IF(OR(I3037="DNB",I3037="Dry DNB"),1,0)</f>
        <v>0</v>
      </c>
      <c r="Z3037" s="0" t="str">
        <f aca="false">IF(ISNUMBER(W3037),A3037-W3037,"")</f>
        <v/>
      </c>
      <c r="AA3037" s="46" t="n">
        <f aca="false">MATCH(A3037,DATAS,0)</f>
        <v>1</v>
      </c>
      <c r="AB3037" s="46" t="n">
        <f aca="false">IF(AND(E3037&gt;0,OR(AND(B3037&gt;=1,B3037&lt;=6),B3037=10)),1,0)</f>
        <v>0</v>
      </c>
      <c r="AC3037" s="46" t="n">
        <f aca="false">IF(AND(E3037&gt;0,B3037=10),1,0)</f>
        <v>0</v>
      </c>
      <c r="AD3037" s="0" t="str">
        <f aca="false">IF(AND(C3036=C3037,AA3036=AA3037-1),AB3036,"")</f>
        <v/>
      </c>
      <c r="AE3037" s="0" t="str">
        <f aca="false">IF(AND(C3036=C3037,AA3036=AA3037-1),AC3036,"")</f>
        <v/>
      </c>
      <c r="AF3037" s="0" t="str">
        <f aca="false">IF(AA3037=1,"",IF(AND(AB3037=1,AD3037&lt;&gt;1),1,0))</f>
        <v/>
      </c>
      <c r="AG3037" s="0" t="str">
        <f aca="false">IF(AA3037=1,"",IF(AND(AC3037=1,AE3037&lt;&gt;1),1,0))</f>
        <v/>
      </c>
      <c r="AH3037" s="51" t="str">
        <f aca="false">IF(AND(E3037&gt;0,AA3037&lt;1,NOT(AND(C3038=C3037,AA3038=AA3037+1))),INDEX(DATAS,AA3037+1),"")</f>
        <v/>
      </c>
      <c r="AI3037" s="51" t="str">
        <f aca="false">IF(AND(AC3037=1,AA3037&lt;1),IF(AND(C3038=C3037,AA3038=AA3037+1),IF(AC3038=1,"",INDEX(DATAS,AA3037+1)),INDEX(DATAS,AA3037+1)),"")</f>
        <v/>
      </c>
    </row>
    <row r="3038" customFormat="false" ht="15" hidden="false" customHeight="false" outlineLevel="0" collapsed="false">
      <c r="A3038" s="51" t="n">
        <v>46309</v>
      </c>
      <c r="B3038" s="0" t="n">
        <v>13</v>
      </c>
      <c r="C3038" s="0" t="n">
        <v>7433</v>
      </c>
      <c r="E3038" s="0" t="n">
        <v>0</v>
      </c>
      <c r="F3038" s="46" t="s">
        <v>1477</v>
      </c>
      <c r="I3038" s="46" t="s">
        <v>179</v>
      </c>
      <c r="U3038" s="0" t="n">
        <v>237</v>
      </c>
      <c r="V3038" s="0" t="n">
        <v>0</v>
      </c>
      <c r="X3038" s="46" t="n">
        <f aca="false">IF(I3038="Male",0,1)</f>
        <v>1</v>
      </c>
      <c r="Y3038" s="46" t="n">
        <f aca="false">IF(OR(I3038="DNB",I3038="Dry DNB"),1,0)</f>
        <v>0</v>
      </c>
      <c r="Z3038" s="0" t="str">
        <f aca="false">IF(ISNUMBER(W3038),A3038-W3038,"")</f>
        <v/>
      </c>
      <c r="AA3038" s="46" t="n">
        <f aca="false">MATCH(A3038,DATAS,0)</f>
        <v>1</v>
      </c>
      <c r="AB3038" s="46" t="n">
        <f aca="false">IF(AND(E3038&gt;0,OR(AND(B3038&gt;=1,B3038&lt;=6),B3038=10)),1,0)</f>
        <v>0</v>
      </c>
      <c r="AC3038" s="46" t="n">
        <f aca="false">IF(AND(E3038&gt;0,B3038=10),1,0)</f>
        <v>0</v>
      </c>
      <c r="AD3038" s="0" t="str">
        <f aca="false">IF(AND(C3037=C3038,AA3037=AA3038-1),AB3037,"")</f>
        <v/>
      </c>
      <c r="AE3038" s="0" t="str">
        <f aca="false">IF(AND(C3037=C3038,AA3037=AA3038-1),AC3037,"")</f>
        <v/>
      </c>
      <c r="AF3038" s="0" t="str">
        <f aca="false">IF(AA3038=1,"",IF(AND(AB3038=1,AD3038&lt;&gt;1),1,0))</f>
        <v/>
      </c>
      <c r="AG3038" s="0" t="str">
        <f aca="false">IF(AA3038=1,"",IF(AND(AC3038=1,AE3038&lt;&gt;1),1,0))</f>
        <v/>
      </c>
      <c r="AH3038" s="51" t="str">
        <f aca="false">IF(AND(E3038&gt;0,AA3038&lt;1,NOT(AND(C3039=C3038,AA3039=AA3038+1))),INDEX(DATAS,AA3038+1),"")</f>
        <v/>
      </c>
      <c r="AI3038" s="51" t="str">
        <f aca="false">IF(AND(AC3038=1,AA3038&lt;1),IF(AND(C3039=C3038,AA3039=AA3038+1),IF(AC3039=1,"",INDEX(DATAS,AA3038+1)),INDEX(DATAS,AA3038+1)),"")</f>
        <v/>
      </c>
    </row>
    <row r="3039" customFormat="false" ht="15" hidden="false" customHeight="false" outlineLevel="0" collapsed="false">
      <c r="A3039" s="51" t="n">
        <v>46309</v>
      </c>
      <c r="B3039" s="0" t="n">
        <v>13</v>
      </c>
      <c r="C3039" s="0" t="n">
        <v>7434</v>
      </c>
      <c r="E3039" s="0" t="n">
        <v>0</v>
      </c>
      <c r="F3039" s="46" t="s">
        <v>1477</v>
      </c>
      <c r="I3039" s="46" t="s">
        <v>179</v>
      </c>
      <c r="U3039" s="0" t="n">
        <v>237</v>
      </c>
      <c r="V3039" s="0" t="n">
        <v>0</v>
      </c>
      <c r="X3039" s="46" t="n">
        <f aca="false">IF(I3039="Male",0,1)</f>
        <v>1</v>
      </c>
      <c r="Y3039" s="46" t="n">
        <f aca="false">IF(OR(I3039="DNB",I3039="Dry DNB"),1,0)</f>
        <v>0</v>
      </c>
      <c r="Z3039" s="0" t="str">
        <f aca="false">IF(ISNUMBER(W3039),A3039-W3039,"")</f>
        <v/>
      </c>
      <c r="AA3039" s="46" t="n">
        <f aca="false">MATCH(A3039,DATAS,0)</f>
        <v>1</v>
      </c>
      <c r="AB3039" s="46" t="n">
        <f aca="false">IF(AND(E3039&gt;0,OR(AND(B3039&gt;=1,B3039&lt;=6),B3039=10)),1,0)</f>
        <v>0</v>
      </c>
      <c r="AC3039" s="46" t="n">
        <f aca="false">IF(AND(E3039&gt;0,B3039=10),1,0)</f>
        <v>0</v>
      </c>
      <c r="AD3039" s="0" t="str">
        <f aca="false">IF(AND(C3038=C3039,AA3038=AA3039-1),AB3038,"")</f>
        <v/>
      </c>
      <c r="AE3039" s="0" t="str">
        <f aca="false">IF(AND(C3038=C3039,AA3038=AA3039-1),AC3038,"")</f>
        <v/>
      </c>
      <c r="AF3039" s="0" t="str">
        <f aca="false">IF(AA3039=1,"",IF(AND(AB3039=1,AD3039&lt;&gt;1),1,0))</f>
        <v/>
      </c>
      <c r="AG3039" s="0" t="str">
        <f aca="false">IF(AA3039=1,"",IF(AND(AC3039=1,AE3039&lt;&gt;1),1,0))</f>
        <v/>
      </c>
      <c r="AH3039" s="51" t="str">
        <f aca="false">IF(AND(E3039&gt;0,AA3039&lt;1,NOT(AND(C3040=C3039,AA3040=AA3039+1))),INDEX(DATAS,AA3039+1),"")</f>
        <v/>
      </c>
      <c r="AI3039" s="51" t="str">
        <f aca="false">IF(AND(AC3039=1,AA3039&lt;1),IF(AND(C3040=C3039,AA3040=AA3039+1),IF(AC3040=1,"",INDEX(DATAS,AA3039+1)),INDEX(DATAS,AA3039+1)),"")</f>
        <v/>
      </c>
    </row>
    <row r="3040" customFormat="false" ht="15" hidden="false" customHeight="false" outlineLevel="0" collapsed="false">
      <c r="A3040" s="51" t="n">
        <v>46309</v>
      </c>
      <c r="B3040" s="0" t="n">
        <v>13</v>
      </c>
      <c r="C3040" s="0" t="n">
        <v>7435</v>
      </c>
      <c r="E3040" s="0" t="n">
        <v>0</v>
      </c>
      <c r="F3040" s="46" t="s">
        <v>1477</v>
      </c>
      <c r="I3040" s="46" t="s">
        <v>179</v>
      </c>
      <c r="U3040" s="0" t="n">
        <v>237</v>
      </c>
      <c r="V3040" s="0" t="n">
        <v>0</v>
      </c>
      <c r="X3040" s="46" t="n">
        <f aca="false">IF(I3040="Male",0,1)</f>
        <v>1</v>
      </c>
      <c r="Y3040" s="46" t="n">
        <f aca="false">IF(OR(I3040="DNB",I3040="Dry DNB"),1,0)</f>
        <v>0</v>
      </c>
      <c r="Z3040" s="0" t="str">
        <f aca="false">IF(ISNUMBER(W3040),A3040-W3040,"")</f>
        <v/>
      </c>
      <c r="AA3040" s="46" t="n">
        <f aca="false">MATCH(A3040,DATAS,0)</f>
        <v>1</v>
      </c>
      <c r="AB3040" s="46" t="n">
        <f aca="false">IF(AND(E3040&gt;0,OR(AND(B3040&gt;=1,B3040&lt;=6),B3040=10)),1,0)</f>
        <v>0</v>
      </c>
      <c r="AC3040" s="46" t="n">
        <f aca="false">IF(AND(E3040&gt;0,B3040=10),1,0)</f>
        <v>0</v>
      </c>
      <c r="AD3040" s="0" t="str">
        <f aca="false">IF(AND(C3039=C3040,AA3039=AA3040-1),AB3039,"")</f>
        <v/>
      </c>
      <c r="AE3040" s="0" t="str">
        <f aca="false">IF(AND(C3039=C3040,AA3039=AA3040-1),AC3039,"")</f>
        <v/>
      </c>
      <c r="AF3040" s="0" t="str">
        <f aca="false">IF(AA3040=1,"",IF(AND(AB3040=1,AD3040&lt;&gt;1),1,0))</f>
        <v/>
      </c>
      <c r="AG3040" s="0" t="str">
        <f aca="false">IF(AA3040=1,"",IF(AND(AC3040=1,AE3040&lt;&gt;1),1,0))</f>
        <v/>
      </c>
      <c r="AH3040" s="51" t="str">
        <f aca="false">IF(AND(E3040&gt;0,AA3040&lt;1,NOT(AND(C3041=C3040,AA3041=AA3040+1))),INDEX(DATAS,AA3040+1),"")</f>
        <v/>
      </c>
      <c r="AI3040" s="51" t="str">
        <f aca="false">IF(AND(AC3040=1,AA3040&lt;1),IF(AND(C3041=C3040,AA3041=AA3040+1),IF(AC3041=1,"",INDEX(DATAS,AA3040+1)),INDEX(DATAS,AA3040+1)),"")</f>
        <v/>
      </c>
    </row>
    <row r="3041" customFormat="false" ht="15" hidden="false" customHeight="false" outlineLevel="0" collapsed="false">
      <c r="A3041" s="51" t="n">
        <v>46309</v>
      </c>
      <c r="B3041" s="0" t="n">
        <v>13</v>
      </c>
      <c r="C3041" s="0" t="n">
        <v>7436</v>
      </c>
      <c r="E3041" s="0" t="n">
        <v>0</v>
      </c>
      <c r="F3041" s="46" t="s">
        <v>1478</v>
      </c>
      <c r="I3041" s="46" t="s">
        <v>179</v>
      </c>
      <c r="U3041" s="0" t="n">
        <v>236</v>
      </c>
      <c r="V3041" s="0" t="n">
        <v>0</v>
      </c>
      <c r="X3041" s="46" t="n">
        <f aca="false">IF(I3041="Male",0,1)</f>
        <v>1</v>
      </c>
      <c r="Y3041" s="46" t="n">
        <f aca="false">IF(OR(I3041="DNB",I3041="Dry DNB"),1,0)</f>
        <v>0</v>
      </c>
      <c r="Z3041" s="0" t="str">
        <f aca="false">IF(ISNUMBER(W3041),A3041-W3041,"")</f>
        <v/>
      </c>
      <c r="AA3041" s="46" t="n">
        <f aca="false">MATCH(A3041,DATAS,0)</f>
        <v>1</v>
      </c>
      <c r="AB3041" s="46" t="n">
        <f aca="false">IF(AND(E3041&gt;0,OR(AND(B3041&gt;=1,B3041&lt;=6),B3041=10)),1,0)</f>
        <v>0</v>
      </c>
      <c r="AC3041" s="46" t="n">
        <f aca="false">IF(AND(E3041&gt;0,B3041=10),1,0)</f>
        <v>0</v>
      </c>
      <c r="AD3041" s="0" t="str">
        <f aca="false">IF(AND(C3040=C3041,AA3040=AA3041-1),AB3040,"")</f>
        <v/>
      </c>
      <c r="AE3041" s="0" t="str">
        <f aca="false">IF(AND(C3040=C3041,AA3040=AA3041-1),AC3040,"")</f>
        <v/>
      </c>
      <c r="AF3041" s="0" t="str">
        <f aca="false">IF(AA3041=1,"",IF(AND(AB3041=1,AD3041&lt;&gt;1),1,0))</f>
        <v/>
      </c>
      <c r="AG3041" s="0" t="str">
        <f aca="false">IF(AA3041=1,"",IF(AND(AC3041=1,AE3041&lt;&gt;1),1,0))</f>
        <v/>
      </c>
      <c r="AH3041" s="51" t="str">
        <f aca="false">IF(AND(E3041&gt;0,AA3041&lt;1,NOT(AND(C3042=C3041,AA3042=AA3041+1))),INDEX(DATAS,AA3041+1),"")</f>
        <v/>
      </c>
      <c r="AI3041" s="51" t="str">
        <f aca="false">IF(AND(AC3041=1,AA3041&lt;1),IF(AND(C3042=C3041,AA3042=AA3041+1),IF(AC3042=1,"",INDEX(DATAS,AA3041+1)),INDEX(DATAS,AA3041+1)),"")</f>
        <v/>
      </c>
    </row>
    <row r="3042" customFormat="false" ht="15" hidden="false" customHeight="false" outlineLevel="0" collapsed="false">
      <c r="A3042" s="51" t="n">
        <v>46309</v>
      </c>
      <c r="B3042" s="0" t="n">
        <v>13</v>
      </c>
      <c r="C3042" s="0" t="n">
        <v>7438</v>
      </c>
      <c r="E3042" s="0" t="n">
        <v>0</v>
      </c>
      <c r="F3042" s="46" t="s">
        <v>1478</v>
      </c>
      <c r="I3042" s="46" t="s">
        <v>179</v>
      </c>
      <c r="U3042" s="0" t="n">
        <v>236</v>
      </c>
      <c r="V3042" s="0" t="n">
        <v>0</v>
      </c>
      <c r="X3042" s="46" t="n">
        <f aca="false">IF(I3042="Male",0,1)</f>
        <v>1</v>
      </c>
      <c r="Y3042" s="46" t="n">
        <f aca="false">IF(OR(I3042="DNB",I3042="Dry DNB"),1,0)</f>
        <v>0</v>
      </c>
      <c r="Z3042" s="0" t="str">
        <f aca="false">IF(ISNUMBER(W3042),A3042-W3042,"")</f>
        <v/>
      </c>
      <c r="AA3042" s="46" t="n">
        <f aca="false">MATCH(A3042,DATAS,0)</f>
        <v>1</v>
      </c>
      <c r="AB3042" s="46" t="n">
        <f aca="false">IF(AND(E3042&gt;0,OR(AND(B3042&gt;=1,B3042&lt;=6),B3042=10)),1,0)</f>
        <v>0</v>
      </c>
      <c r="AC3042" s="46" t="n">
        <f aca="false">IF(AND(E3042&gt;0,B3042=10),1,0)</f>
        <v>0</v>
      </c>
      <c r="AD3042" s="0" t="str">
        <f aca="false">IF(AND(C3041=C3042,AA3041=AA3042-1),AB3041,"")</f>
        <v/>
      </c>
      <c r="AE3042" s="0" t="str">
        <f aca="false">IF(AND(C3041=C3042,AA3041=AA3042-1),AC3041,"")</f>
        <v/>
      </c>
      <c r="AF3042" s="0" t="str">
        <f aca="false">IF(AA3042=1,"",IF(AND(AB3042=1,AD3042&lt;&gt;1),1,0))</f>
        <v/>
      </c>
      <c r="AG3042" s="0" t="str">
        <f aca="false">IF(AA3042=1,"",IF(AND(AC3042=1,AE3042&lt;&gt;1),1,0))</f>
        <v/>
      </c>
      <c r="AH3042" s="51" t="str">
        <f aca="false">IF(AND(E3042&gt;0,AA3042&lt;1,NOT(AND(C3043=C3042,AA3043=AA3042+1))),INDEX(DATAS,AA3042+1),"")</f>
        <v/>
      </c>
      <c r="AI3042" s="51" t="str">
        <f aca="false">IF(AND(AC3042=1,AA3042&lt;1),IF(AND(C3043=C3042,AA3043=AA3042+1),IF(AC3043=1,"",INDEX(DATAS,AA3042+1)),INDEX(DATAS,AA3042+1)),"")</f>
        <v/>
      </c>
    </row>
    <row r="3043" customFormat="false" ht="15" hidden="false" customHeight="false" outlineLevel="0" collapsed="false">
      <c r="A3043" s="51" t="n">
        <v>46309</v>
      </c>
      <c r="B3043" s="0" t="n">
        <v>13</v>
      </c>
      <c r="C3043" s="0" t="n">
        <v>7440</v>
      </c>
      <c r="E3043" s="0" t="n">
        <v>0</v>
      </c>
      <c r="F3043" s="46" t="s">
        <v>1479</v>
      </c>
      <c r="I3043" s="46" t="s">
        <v>179</v>
      </c>
      <c r="U3043" s="0" t="n">
        <v>235</v>
      </c>
      <c r="V3043" s="0" t="n">
        <v>0</v>
      </c>
      <c r="X3043" s="46" t="n">
        <f aca="false">IF(I3043="Male",0,1)</f>
        <v>1</v>
      </c>
      <c r="Y3043" s="46" t="n">
        <f aca="false">IF(OR(I3043="DNB",I3043="Dry DNB"),1,0)</f>
        <v>0</v>
      </c>
      <c r="Z3043" s="0" t="str">
        <f aca="false">IF(ISNUMBER(W3043),A3043-W3043,"")</f>
        <v/>
      </c>
      <c r="AA3043" s="46" t="n">
        <f aca="false">MATCH(A3043,DATAS,0)</f>
        <v>1</v>
      </c>
      <c r="AB3043" s="46" t="n">
        <f aca="false">IF(AND(E3043&gt;0,OR(AND(B3043&gt;=1,B3043&lt;=6),B3043=10)),1,0)</f>
        <v>0</v>
      </c>
      <c r="AC3043" s="46" t="n">
        <f aca="false">IF(AND(E3043&gt;0,B3043=10),1,0)</f>
        <v>0</v>
      </c>
      <c r="AD3043" s="0" t="str">
        <f aca="false">IF(AND(C3042=C3043,AA3042=AA3043-1),AB3042,"")</f>
        <v/>
      </c>
      <c r="AE3043" s="0" t="str">
        <f aca="false">IF(AND(C3042=C3043,AA3042=AA3043-1),AC3042,"")</f>
        <v/>
      </c>
      <c r="AF3043" s="0" t="str">
        <f aca="false">IF(AA3043=1,"",IF(AND(AB3043=1,AD3043&lt;&gt;1),1,0))</f>
        <v/>
      </c>
      <c r="AG3043" s="0" t="str">
        <f aca="false">IF(AA3043=1,"",IF(AND(AC3043=1,AE3043&lt;&gt;1),1,0))</f>
        <v/>
      </c>
      <c r="AH3043" s="51" t="str">
        <f aca="false">IF(AND(E3043&gt;0,AA3043&lt;1,NOT(AND(C3044=C3043,AA3044=AA3043+1))),INDEX(DATAS,AA3043+1),"")</f>
        <v/>
      </c>
      <c r="AI3043" s="51" t="str">
        <f aca="false">IF(AND(AC3043=1,AA3043&lt;1),IF(AND(C3044=C3043,AA3044=AA3043+1),IF(AC3044=1,"",INDEX(DATAS,AA3043+1)),INDEX(DATAS,AA3043+1)),"")</f>
        <v/>
      </c>
    </row>
    <row r="3044" customFormat="false" ht="15" hidden="false" customHeight="false" outlineLevel="0" collapsed="false">
      <c r="A3044" s="51" t="n">
        <v>46309</v>
      </c>
      <c r="B3044" s="0" t="n">
        <v>13</v>
      </c>
      <c r="C3044" s="0" t="n">
        <v>7441</v>
      </c>
      <c r="E3044" s="0" t="n">
        <v>0</v>
      </c>
      <c r="F3044" s="46" t="s">
        <v>1479</v>
      </c>
      <c r="I3044" s="46" t="s">
        <v>179</v>
      </c>
      <c r="U3044" s="0" t="n">
        <v>235</v>
      </c>
      <c r="V3044" s="0" t="n">
        <v>0</v>
      </c>
      <c r="X3044" s="46" t="n">
        <f aca="false">IF(I3044="Male",0,1)</f>
        <v>1</v>
      </c>
      <c r="Y3044" s="46" t="n">
        <f aca="false">IF(OR(I3044="DNB",I3044="Dry DNB"),1,0)</f>
        <v>0</v>
      </c>
      <c r="Z3044" s="0" t="str">
        <f aca="false">IF(ISNUMBER(W3044),A3044-W3044,"")</f>
        <v/>
      </c>
      <c r="AA3044" s="46" t="n">
        <f aca="false">MATCH(A3044,DATAS,0)</f>
        <v>1</v>
      </c>
      <c r="AB3044" s="46" t="n">
        <f aca="false">IF(AND(E3044&gt;0,OR(AND(B3044&gt;=1,B3044&lt;=6),B3044=10)),1,0)</f>
        <v>0</v>
      </c>
      <c r="AC3044" s="46" t="n">
        <f aca="false">IF(AND(E3044&gt;0,B3044=10),1,0)</f>
        <v>0</v>
      </c>
      <c r="AD3044" s="0" t="str">
        <f aca="false">IF(AND(C3043=C3044,AA3043=AA3044-1),AB3043,"")</f>
        <v/>
      </c>
      <c r="AE3044" s="0" t="str">
        <f aca="false">IF(AND(C3043=C3044,AA3043=AA3044-1),AC3043,"")</f>
        <v/>
      </c>
      <c r="AF3044" s="0" t="str">
        <f aca="false">IF(AA3044=1,"",IF(AND(AB3044=1,AD3044&lt;&gt;1),1,0))</f>
        <v/>
      </c>
      <c r="AG3044" s="0" t="str">
        <f aca="false">IF(AA3044=1,"",IF(AND(AC3044=1,AE3044&lt;&gt;1),1,0))</f>
        <v/>
      </c>
      <c r="AH3044" s="51" t="str">
        <f aca="false">IF(AND(E3044&gt;0,AA3044&lt;1,NOT(AND(C3045=C3044,AA3045=AA3044+1))),INDEX(DATAS,AA3044+1),"")</f>
        <v/>
      </c>
      <c r="AI3044" s="51" t="str">
        <f aca="false">IF(AND(AC3044=1,AA3044&lt;1),IF(AND(C3045=C3044,AA3045=AA3044+1),IF(AC3045=1,"",INDEX(DATAS,AA3044+1)),INDEX(DATAS,AA3044+1)),"")</f>
        <v/>
      </c>
    </row>
    <row r="3045" customFormat="false" ht="15" hidden="false" customHeight="false" outlineLevel="0" collapsed="false">
      <c r="A3045" s="51" t="n">
        <v>46309</v>
      </c>
      <c r="B3045" s="0" t="n">
        <v>13</v>
      </c>
      <c r="C3045" s="0" t="n">
        <v>7442</v>
      </c>
      <c r="E3045" s="0" t="n">
        <v>0</v>
      </c>
      <c r="F3045" s="46" t="s">
        <v>1480</v>
      </c>
      <c r="I3045" s="46" t="s">
        <v>179</v>
      </c>
      <c r="U3045" s="0" t="n">
        <v>234</v>
      </c>
      <c r="V3045" s="0" t="n">
        <v>0</v>
      </c>
      <c r="X3045" s="46" t="n">
        <f aca="false">IF(I3045="Male",0,1)</f>
        <v>1</v>
      </c>
      <c r="Y3045" s="46" t="n">
        <f aca="false">IF(OR(I3045="DNB",I3045="Dry DNB"),1,0)</f>
        <v>0</v>
      </c>
      <c r="Z3045" s="0" t="str">
        <f aca="false">IF(ISNUMBER(W3045),A3045-W3045,"")</f>
        <v/>
      </c>
      <c r="AA3045" s="46" t="n">
        <f aca="false">MATCH(A3045,DATAS,0)</f>
        <v>1</v>
      </c>
      <c r="AB3045" s="46" t="n">
        <f aca="false">IF(AND(E3045&gt;0,OR(AND(B3045&gt;=1,B3045&lt;=6),B3045=10)),1,0)</f>
        <v>0</v>
      </c>
      <c r="AC3045" s="46" t="n">
        <f aca="false">IF(AND(E3045&gt;0,B3045=10),1,0)</f>
        <v>0</v>
      </c>
      <c r="AD3045" s="0" t="str">
        <f aca="false">IF(AND(C3044=C3045,AA3044=AA3045-1),AB3044,"")</f>
        <v/>
      </c>
      <c r="AE3045" s="0" t="str">
        <f aca="false">IF(AND(C3044=C3045,AA3044=AA3045-1),AC3044,"")</f>
        <v/>
      </c>
      <c r="AF3045" s="0" t="str">
        <f aca="false">IF(AA3045=1,"",IF(AND(AB3045=1,AD3045&lt;&gt;1),1,0))</f>
        <v/>
      </c>
      <c r="AG3045" s="0" t="str">
        <f aca="false">IF(AA3045=1,"",IF(AND(AC3045=1,AE3045&lt;&gt;1),1,0))</f>
        <v/>
      </c>
      <c r="AH3045" s="51" t="str">
        <f aca="false">IF(AND(E3045&gt;0,AA3045&lt;1,NOT(AND(C3046=C3045,AA3046=AA3045+1))),INDEX(DATAS,AA3045+1),"")</f>
        <v/>
      </c>
      <c r="AI3045" s="51" t="str">
        <f aca="false">IF(AND(AC3045=1,AA3045&lt;1),IF(AND(C3046=C3045,AA3046=AA3045+1),IF(AC3046=1,"",INDEX(DATAS,AA3045+1)),INDEX(DATAS,AA3045+1)),"")</f>
        <v/>
      </c>
    </row>
    <row r="3046" customFormat="false" ht="15" hidden="false" customHeight="false" outlineLevel="0" collapsed="false">
      <c r="A3046" s="51" t="n">
        <v>46309</v>
      </c>
      <c r="B3046" s="0" t="n">
        <v>13</v>
      </c>
      <c r="C3046" s="0" t="n">
        <v>7443</v>
      </c>
      <c r="E3046" s="0" t="n">
        <v>0</v>
      </c>
      <c r="F3046" s="46" t="s">
        <v>1480</v>
      </c>
      <c r="I3046" s="46" t="s">
        <v>179</v>
      </c>
      <c r="U3046" s="0" t="n">
        <v>234</v>
      </c>
      <c r="V3046" s="0" t="n">
        <v>0</v>
      </c>
      <c r="X3046" s="46" t="n">
        <f aca="false">IF(I3046="Male",0,1)</f>
        <v>1</v>
      </c>
      <c r="Y3046" s="46" t="n">
        <f aca="false">IF(OR(I3046="DNB",I3046="Dry DNB"),1,0)</f>
        <v>0</v>
      </c>
      <c r="Z3046" s="0" t="str">
        <f aca="false">IF(ISNUMBER(W3046),A3046-W3046,"")</f>
        <v/>
      </c>
      <c r="AA3046" s="46" t="n">
        <f aca="false">MATCH(A3046,DATAS,0)</f>
        <v>1</v>
      </c>
      <c r="AB3046" s="46" t="n">
        <f aca="false">IF(AND(E3046&gt;0,OR(AND(B3046&gt;=1,B3046&lt;=6),B3046=10)),1,0)</f>
        <v>0</v>
      </c>
      <c r="AC3046" s="46" t="n">
        <f aca="false">IF(AND(E3046&gt;0,B3046=10),1,0)</f>
        <v>0</v>
      </c>
      <c r="AD3046" s="0" t="str">
        <f aca="false">IF(AND(C3045=C3046,AA3045=AA3046-1),AB3045,"")</f>
        <v/>
      </c>
      <c r="AE3046" s="0" t="str">
        <f aca="false">IF(AND(C3045=C3046,AA3045=AA3046-1),AC3045,"")</f>
        <v/>
      </c>
      <c r="AF3046" s="0" t="str">
        <f aca="false">IF(AA3046=1,"",IF(AND(AB3046=1,AD3046&lt;&gt;1),1,0))</f>
        <v/>
      </c>
      <c r="AG3046" s="0" t="str">
        <f aca="false">IF(AA3046=1,"",IF(AND(AC3046=1,AE3046&lt;&gt;1),1,0))</f>
        <v/>
      </c>
      <c r="AH3046" s="51" t="str">
        <f aca="false">IF(AND(E3046&gt;0,AA3046&lt;1,NOT(AND(C3047=C3046,AA3047=AA3046+1))),INDEX(DATAS,AA3046+1),"")</f>
        <v/>
      </c>
      <c r="AI3046" s="51" t="str">
        <f aca="false">IF(AND(AC3046=1,AA3046&lt;1),IF(AND(C3047=C3046,AA3047=AA3046+1),IF(AC3047=1,"",INDEX(DATAS,AA3046+1)),INDEX(DATAS,AA3046+1)),"")</f>
        <v/>
      </c>
    </row>
    <row r="3047" customFormat="false" ht="15" hidden="false" customHeight="false" outlineLevel="0" collapsed="false">
      <c r="A3047" s="51" t="n">
        <v>46309</v>
      </c>
      <c r="B3047" s="0" t="n">
        <v>13</v>
      </c>
      <c r="C3047" s="0" t="n">
        <v>7444</v>
      </c>
      <c r="E3047" s="0" t="n">
        <v>0</v>
      </c>
      <c r="F3047" s="46" t="s">
        <v>1480</v>
      </c>
      <c r="I3047" s="46" t="s">
        <v>179</v>
      </c>
      <c r="U3047" s="0" t="n">
        <v>234</v>
      </c>
      <c r="V3047" s="0" t="n">
        <v>0</v>
      </c>
      <c r="X3047" s="46" t="n">
        <f aca="false">IF(I3047="Male",0,1)</f>
        <v>1</v>
      </c>
      <c r="Y3047" s="46" t="n">
        <f aca="false">IF(OR(I3047="DNB",I3047="Dry DNB"),1,0)</f>
        <v>0</v>
      </c>
      <c r="Z3047" s="0" t="str">
        <f aca="false">IF(ISNUMBER(W3047),A3047-W3047,"")</f>
        <v/>
      </c>
      <c r="AA3047" s="46" t="n">
        <f aca="false">MATCH(A3047,DATAS,0)</f>
        <v>1</v>
      </c>
      <c r="AB3047" s="46" t="n">
        <f aca="false">IF(AND(E3047&gt;0,OR(AND(B3047&gt;=1,B3047&lt;=6),B3047=10)),1,0)</f>
        <v>0</v>
      </c>
      <c r="AC3047" s="46" t="n">
        <f aca="false">IF(AND(E3047&gt;0,B3047=10),1,0)</f>
        <v>0</v>
      </c>
      <c r="AD3047" s="0" t="str">
        <f aca="false">IF(AND(C3046=C3047,AA3046=AA3047-1),AB3046,"")</f>
        <v/>
      </c>
      <c r="AE3047" s="0" t="str">
        <f aca="false">IF(AND(C3046=C3047,AA3046=AA3047-1),AC3046,"")</f>
        <v/>
      </c>
      <c r="AF3047" s="0" t="str">
        <f aca="false">IF(AA3047=1,"",IF(AND(AB3047=1,AD3047&lt;&gt;1),1,0))</f>
        <v/>
      </c>
      <c r="AG3047" s="0" t="str">
        <f aca="false">IF(AA3047=1,"",IF(AND(AC3047=1,AE3047&lt;&gt;1),1,0))</f>
        <v/>
      </c>
      <c r="AH3047" s="51" t="str">
        <f aca="false">IF(AND(E3047&gt;0,AA3047&lt;1,NOT(AND(C3048=C3047,AA3048=AA3047+1))),INDEX(DATAS,AA3047+1),"")</f>
        <v/>
      </c>
      <c r="AI3047" s="51" t="str">
        <f aca="false">IF(AND(AC3047=1,AA3047&lt;1),IF(AND(C3048=C3047,AA3048=AA3047+1),IF(AC3048=1,"",INDEX(DATAS,AA3047+1)),INDEX(DATAS,AA3047+1)),"")</f>
        <v/>
      </c>
    </row>
    <row r="3048" customFormat="false" ht="15" hidden="false" customHeight="false" outlineLevel="0" collapsed="false">
      <c r="A3048" s="51" t="n">
        <v>46309</v>
      </c>
      <c r="B3048" s="0" t="n">
        <v>13</v>
      </c>
      <c r="C3048" s="0" t="n">
        <v>7446</v>
      </c>
      <c r="E3048" s="0" t="n">
        <v>0</v>
      </c>
      <c r="F3048" s="46" t="s">
        <v>1480</v>
      </c>
      <c r="I3048" s="46" t="s">
        <v>179</v>
      </c>
      <c r="U3048" s="0" t="n">
        <v>234</v>
      </c>
      <c r="V3048" s="0" t="n">
        <v>0</v>
      </c>
      <c r="X3048" s="46" t="n">
        <f aca="false">IF(I3048="Male",0,1)</f>
        <v>1</v>
      </c>
      <c r="Y3048" s="46" t="n">
        <f aca="false">IF(OR(I3048="DNB",I3048="Dry DNB"),1,0)</f>
        <v>0</v>
      </c>
      <c r="Z3048" s="0" t="str">
        <f aca="false">IF(ISNUMBER(W3048),A3048-W3048,"")</f>
        <v/>
      </c>
      <c r="AA3048" s="46" t="n">
        <f aca="false">MATCH(A3048,DATAS,0)</f>
        <v>1</v>
      </c>
      <c r="AB3048" s="46" t="n">
        <f aca="false">IF(AND(E3048&gt;0,OR(AND(B3048&gt;=1,B3048&lt;=6),B3048=10)),1,0)</f>
        <v>0</v>
      </c>
      <c r="AC3048" s="46" t="n">
        <f aca="false">IF(AND(E3048&gt;0,B3048=10),1,0)</f>
        <v>0</v>
      </c>
      <c r="AD3048" s="0" t="str">
        <f aca="false">IF(AND(C3047=C3048,AA3047=AA3048-1),AB3047,"")</f>
        <v/>
      </c>
      <c r="AE3048" s="0" t="str">
        <f aca="false">IF(AND(C3047=C3048,AA3047=AA3048-1),AC3047,"")</f>
        <v/>
      </c>
      <c r="AF3048" s="0" t="str">
        <f aca="false">IF(AA3048=1,"",IF(AND(AB3048=1,AD3048&lt;&gt;1),1,0))</f>
        <v/>
      </c>
      <c r="AG3048" s="0" t="str">
        <f aca="false">IF(AA3048=1,"",IF(AND(AC3048=1,AE3048&lt;&gt;1),1,0))</f>
        <v/>
      </c>
      <c r="AH3048" s="51" t="str">
        <f aca="false">IF(AND(E3048&gt;0,AA3048&lt;1,NOT(AND(C3049=C3048,AA3049=AA3048+1))),INDEX(DATAS,AA3048+1),"")</f>
        <v/>
      </c>
      <c r="AI3048" s="51" t="str">
        <f aca="false">IF(AND(AC3048=1,AA3048&lt;1),IF(AND(C3049=C3048,AA3049=AA3048+1),IF(AC3049=1,"",INDEX(DATAS,AA3048+1)),INDEX(DATAS,AA3048+1)),"")</f>
        <v/>
      </c>
    </row>
    <row r="3049" customFormat="false" ht="15" hidden="false" customHeight="false" outlineLevel="0" collapsed="false">
      <c r="A3049" s="51" t="n">
        <v>46309</v>
      </c>
      <c r="B3049" s="0" t="n">
        <v>13</v>
      </c>
      <c r="C3049" s="0" t="n">
        <v>7448</v>
      </c>
      <c r="E3049" s="0" t="n">
        <v>0</v>
      </c>
      <c r="F3049" s="46" t="s">
        <v>1480</v>
      </c>
      <c r="I3049" s="46" t="s">
        <v>179</v>
      </c>
      <c r="U3049" s="0" t="n">
        <v>234</v>
      </c>
      <c r="V3049" s="0" t="n">
        <v>0</v>
      </c>
      <c r="X3049" s="46" t="n">
        <f aca="false">IF(I3049="Male",0,1)</f>
        <v>1</v>
      </c>
      <c r="Y3049" s="46" t="n">
        <f aca="false">IF(OR(I3049="DNB",I3049="Dry DNB"),1,0)</f>
        <v>0</v>
      </c>
      <c r="Z3049" s="0" t="str">
        <f aca="false">IF(ISNUMBER(W3049),A3049-W3049,"")</f>
        <v/>
      </c>
      <c r="AA3049" s="46" t="n">
        <f aca="false">MATCH(A3049,DATAS,0)</f>
        <v>1</v>
      </c>
      <c r="AB3049" s="46" t="n">
        <f aca="false">IF(AND(E3049&gt;0,OR(AND(B3049&gt;=1,B3049&lt;=6),B3049=10)),1,0)</f>
        <v>0</v>
      </c>
      <c r="AC3049" s="46" t="n">
        <f aca="false">IF(AND(E3049&gt;0,B3049=10),1,0)</f>
        <v>0</v>
      </c>
      <c r="AD3049" s="0" t="str">
        <f aca="false">IF(AND(C3048=C3049,AA3048=AA3049-1),AB3048,"")</f>
        <v/>
      </c>
      <c r="AE3049" s="0" t="str">
        <f aca="false">IF(AND(C3048=C3049,AA3048=AA3049-1),AC3048,"")</f>
        <v/>
      </c>
      <c r="AF3049" s="0" t="str">
        <f aca="false">IF(AA3049=1,"",IF(AND(AB3049=1,AD3049&lt;&gt;1),1,0))</f>
        <v/>
      </c>
      <c r="AG3049" s="0" t="str">
        <f aca="false">IF(AA3049=1,"",IF(AND(AC3049=1,AE3049&lt;&gt;1),1,0))</f>
        <v/>
      </c>
      <c r="AH3049" s="51" t="str">
        <f aca="false">IF(AND(E3049&gt;0,AA3049&lt;1,NOT(AND(C3050=C3049,AA3050=AA3049+1))),INDEX(DATAS,AA3049+1),"")</f>
        <v/>
      </c>
      <c r="AI3049" s="51" t="str">
        <f aca="false">IF(AND(AC3049=1,AA3049&lt;1),IF(AND(C3050=C3049,AA3050=AA3049+1),IF(AC3050=1,"",INDEX(DATAS,AA3049+1)),INDEX(DATAS,AA3049+1)),"")</f>
        <v/>
      </c>
    </row>
    <row r="3050" customFormat="false" ht="15" hidden="false" customHeight="false" outlineLevel="0" collapsed="false">
      <c r="A3050" s="51" t="n">
        <v>46309</v>
      </c>
      <c r="B3050" s="0" t="n">
        <v>13</v>
      </c>
      <c r="C3050" s="0" t="n">
        <v>7450</v>
      </c>
      <c r="E3050" s="0" t="n">
        <v>0</v>
      </c>
      <c r="F3050" s="46" t="s">
        <v>1481</v>
      </c>
      <c r="I3050" s="46" t="s">
        <v>179</v>
      </c>
      <c r="U3050" s="0" t="n">
        <v>232</v>
      </c>
      <c r="V3050" s="0" t="n">
        <v>0</v>
      </c>
      <c r="X3050" s="46" t="n">
        <f aca="false">IF(I3050="Male",0,1)</f>
        <v>1</v>
      </c>
      <c r="Y3050" s="46" t="n">
        <f aca="false">IF(OR(I3050="DNB",I3050="Dry DNB"),1,0)</f>
        <v>0</v>
      </c>
      <c r="Z3050" s="0" t="str">
        <f aca="false">IF(ISNUMBER(W3050),A3050-W3050,"")</f>
        <v/>
      </c>
      <c r="AA3050" s="46" t="n">
        <f aca="false">MATCH(A3050,DATAS,0)</f>
        <v>1</v>
      </c>
      <c r="AB3050" s="46" t="n">
        <f aca="false">IF(AND(E3050&gt;0,OR(AND(B3050&gt;=1,B3050&lt;=6),B3050=10)),1,0)</f>
        <v>0</v>
      </c>
      <c r="AC3050" s="46" t="n">
        <f aca="false">IF(AND(E3050&gt;0,B3050=10),1,0)</f>
        <v>0</v>
      </c>
      <c r="AD3050" s="0" t="str">
        <f aca="false">IF(AND(C3049=C3050,AA3049=AA3050-1),AB3049,"")</f>
        <v/>
      </c>
      <c r="AE3050" s="0" t="str">
        <f aca="false">IF(AND(C3049=C3050,AA3049=AA3050-1),AC3049,"")</f>
        <v/>
      </c>
      <c r="AF3050" s="0" t="str">
        <f aca="false">IF(AA3050=1,"",IF(AND(AB3050=1,AD3050&lt;&gt;1),1,0))</f>
        <v/>
      </c>
      <c r="AG3050" s="0" t="str">
        <f aca="false">IF(AA3050=1,"",IF(AND(AC3050=1,AE3050&lt;&gt;1),1,0))</f>
        <v/>
      </c>
      <c r="AH3050" s="51" t="str">
        <f aca="false">IF(AND(E3050&gt;0,AA3050&lt;1,NOT(AND(C3051=C3050,AA3051=AA3050+1))),INDEX(DATAS,AA3050+1),"")</f>
        <v/>
      </c>
      <c r="AI3050" s="51" t="str">
        <f aca="false">IF(AND(AC3050=1,AA3050&lt;1),IF(AND(C3051=C3050,AA3051=AA3050+1),IF(AC3051=1,"",INDEX(DATAS,AA3050+1)),INDEX(DATAS,AA3050+1)),"")</f>
        <v/>
      </c>
    </row>
    <row r="3051" customFormat="false" ht="15" hidden="false" customHeight="false" outlineLevel="0" collapsed="false">
      <c r="A3051" s="51" t="n">
        <v>46309</v>
      </c>
      <c r="B3051" s="0" t="n">
        <v>13</v>
      </c>
      <c r="C3051" s="0" t="n">
        <v>7451</v>
      </c>
      <c r="E3051" s="0" t="n">
        <v>0</v>
      </c>
      <c r="F3051" s="46" t="s">
        <v>1481</v>
      </c>
      <c r="I3051" s="46" t="s">
        <v>179</v>
      </c>
      <c r="U3051" s="0" t="n">
        <v>232</v>
      </c>
      <c r="V3051" s="0" t="n">
        <v>0</v>
      </c>
      <c r="X3051" s="46" t="n">
        <f aca="false">IF(I3051="Male",0,1)</f>
        <v>1</v>
      </c>
      <c r="Y3051" s="46" t="n">
        <f aca="false">IF(OR(I3051="DNB",I3051="Dry DNB"),1,0)</f>
        <v>0</v>
      </c>
      <c r="Z3051" s="0" t="str">
        <f aca="false">IF(ISNUMBER(W3051),A3051-W3051,"")</f>
        <v/>
      </c>
      <c r="AA3051" s="46" t="n">
        <f aca="false">MATCH(A3051,DATAS,0)</f>
        <v>1</v>
      </c>
      <c r="AB3051" s="46" t="n">
        <f aca="false">IF(AND(E3051&gt;0,OR(AND(B3051&gt;=1,B3051&lt;=6),B3051=10)),1,0)</f>
        <v>0</v>
      </c>
      <c r="AC3051" s="46" t="n">
        <f aca="false">IF(AND(E3051&gt;0,B3051=10),1,0)</f>
        <v>0</v>
      </c>
      <c r="AD3051" s="0" t="str">
        <f aca="false">IF(AND(C3050=C3051,AA3050=AA3051-1),AB3050,"")</f>
        <v/>
      </c>
      <c r="AE3051" s="0" t="str">
        <f aca="false">IF(AND(C3050=C3051,AA3050=AA3051-1),AC3050,"")</f>
        <v/>
      </c>
      <c r="AF3051" s="0" t="str">
        <f aca="false">IF(AA3051=1,"",IF(AND(AB3051=1,AD3051&lt;&gt;1),1,0))</f>
        <v/>
      </c>
      <c r="AG3051" s="0" t="str">
        <f aca="false">IF(AA3051=1,"",IF(AND(AC3051=1,AE3051&lt;&gt;1),1,0))</f>
        <v/>
      </c>
      <c r="AH3051" s="51" t="str">
        <f aca="false">IF(AND(E3051&gt;0,AA3051&lt;1,NOT(AND(C3052=C3051,AA3052=AA3051+1))),INDEX(DATAS,AA3051+1),"")</f>
        <v/>
      </c>
      <c r="AI3051" s="51" t="str">
        <f aca="false">IF(AND(AC3051=1,AA3051&lt;1),IF(AND(C3052=C3051,AA3052=AA3051+1),IF(AC3052=1,"",INDEX(DATAS,AA3051+1)),INDEX(DATAS,AA3051+1)),"")</f>
        <v/>
      </c>
    </row>
    <row r="3052" customFormat="false" ht="15" hidden="false" customHeight="false" outlineLevel="0" collapsed="false">
      <c r="A3052" s="51" t="n">
        <v>46309</v>
      </c>
      <c r="B3052" s="0" t="n">
        <v>13</v>
      </c>
      <c r="C3052" s="0" t="n">
        <v>7452</v>
      </c>
      <c r="E3052" s="0" t="n">
        <v>0</v>
      </c>
      <c r="F3052" s="46" t="s">
        <v>1481</v>
      </c>
      <c r="I3052" s="46" t="s">
        <v>179</v>
      </c>
      <c r="U3052" s="0" t="n">
        <v>232</v>
      </c>
      <c r="V3052" s="0" t="n">
        <v>0</v>
      </c>
      <c r="X3052" s="46" t="n">
        <f aca="false">IF(I3052="Male",0,1)</f>
        <v>1</v>
      </c>
      <c r="Y3052" s="46" t="n">
        <f aca="false">IF(OR(I3052="DNB",I3052="Dry DNB"),1,0)</f>
        <v>0</v>
      </c>
      <c r="Z3052" s="0" t="str">
        <f aca="false">IF(ISNUMBER(W3052),A3052-W3052,"")</f>
        <v/>
      </c>
      <c r="AA3052" s="46" t="n">
        <f aca="false">MATCH(A3052,DATAS,0)</f>
        <v>1</v>
      </c>
      <c r="AB3052" s="46" t="n">
        <f aca="false">IF(AND(E3052&gt;0,OR(AND(B3052&gt;=1,B3052&lt;=6),B3052=10)),1,0)</f>
        <v>0</v>
      </c>
      <c r="AC3052" s="46" t="n">
        <f aca="false">IF(AND(E3052&gt;0,B3052=10),1,0)</f>
        <v>0</v>
      </c>
      <c r="AD3052" s="0" t="str">
        <f aca="false">IF(AND(C3051=C3052,AA3051=AA3052-1),AB3051,"")</f>
        <v/>
      </c>
      <c r="AE3052" s="0" t="str">
        <f aca="false">IF(AND(C3051=C3052,AA3051=AA3052-1),AC3051,"")</f>
        <v/>
      </c>
      <c r="AF3052" s="0" t="str">
        <f aca="false">IF(AA3052=1,"",IF(AND(AB3052=1,AD3052&lt;&gt;1),1,0))</f>
        <v/>
      </c>
      <c r="AG3052" s="0" t="str">
        <f aca="false">IF(AA3052=1,"",IF(AND(AC3052=1,AE3052&lt;&gt;1),1,0))</f>
        <v/>
      </c>
      <c r="AH3052" s="51" t="str">
        <f aca="false">IF(AND(E3052&gt;0,AA3052&lt;1,NOT(AND(C3053=C3052,AA3053=AA3052+1))),INDEX(DATAS,AA3052+1),"")</f>
        <v/>
      </c>
      <c r="AI3052" s="51" t="str">
        <f aca="false">IF(AND(AC3052=1,AA3052&lt;1),IF(AND(C3053=C3052,AA3053=AA3052+1),IF(AC3053=1,"",INDEX(DATAS,AA3052+1)),INDEX(DATAS,AA3052+1)),"")</f>
        <v/>
      </c>
    </row>
    <row r="3053" customFormat="false" ht="15" hidden="false" customHeight="false" outlineLevel="0" collapsed="false">
      <c r="A3053" s="51" t="n">
        <v>46309</v>
      </c>
      <c r="B3053" s="0" t="n">
        <v>13</v>
      </c>
      <c r="C3053" s="0" t="n">
        <v>7453</v>
      </c>
      <c r="E3053" s="0" t="n">
        <v>0</v>
      </c>
      <c r="F3053" s="46" t="s">
        <v>1481</v>
      </c>
      <c r="I3053" s="46" t="s">
        <v>179</v>
      </c>
      <c r="U3053" s="0" t="n">
        <v>232</v>
      </c>
      <c r="V3053" s="0" t="n">
        <v>0</v>
      </c>
      <c r="X3053" s="46" t="n">
        <f aca="false">IF(I3053="Male",0,1)</f>
        <v>1</v>
      </c>
      <c r="Y3053" s="46" t="n">
        <f aca="false">IF(OR(I3053="DNB",I3053="Dry DNB"),1,0)</f>
        <v>0</v>
      </c>
      <c r="Z3053" s="0" t="str">
        <f aca="false">IF(ISNUMBER(W3053),A3053-W3053,"")</f>
        <v/>
      </c>
      <c r="AA3053" s="46" t="n">
        <f aca="false">MATCH(A3053,DATAS,0)</f>
        <v>1</v>
      </c>
      <c r="AB3053" s="46" t="n">
        <f aca="false">IF(AND(E3053&gt;0,OR(AND(B3053&gt;=1,B3053&lt;=6),B3053=10)),1,0)</f>
        <v>0</v>
      </c>
      <c r="AC3053" s="46" t="n">
        <f aca="false">IF(AND(E3053&gt;0,B3053=10),1,0)</f>
        <v>0</v>
      </c>
      <c r="AD3053" s="0" t="str">
        <f aca="false">IF(AND(C3052=C3053,AA3052=AA3053-1),AB3052,"")</f>
        <v/>
      </c>
      <c r="AE3053" s="0" t="str">
        <f aca="false">IF(AND(C3052=C3053,AA3052=AA3053-1),AC3052,"")</f>
        <v/>
      </c>
      <c r="AF3053" s="0" t="str">
        <f aca="false">IF(AA3053=1,"",IF(AND(AB3053=1,AD3053&lt;&gt;1),1,0))</f>
        <v/>
      </c>
      <c r="AG3053" s="0" t="str">
        <f aca="false">IF(AA3053=1,"",IF(AND(AC3053=1,AE3053&lt;&gt;1),1,0))</f>
        <v/>
      </c>
      <c r="AH3053" s="51" t="str">
        <f aca="false">IF(AND(E3053&gt;0,AA3053&lt;1,NOT(AND(C3054=C3053,AA3054=AA3053+1))),INDEX(DATAS,AA3053+1),"")</f>
        <v/>
      </c>
      <c r="AI3053" s="51" t="str">
        <f aca="false">IF(AND(AC3053=1,AA3053&lt;1),IF(AND(C3054=C3053,AA3054=AA3053+1),IF(AC3054=1,"",INDEX(DATAS,AA3053+1)),INDEX(DATAS,AA3053+1)),"")</f>
        <v/>
      </c>
    </row>
    <row r="3054" customFormat="false" ht="15" hidden="false" customHeight="false" outlineLevel="0" collapsed="false">
      <c r="A3054" s="51" t="n">
        <v>46309</v>
      </c>
      <c r="B3054" s="0" t="n">
        <v>13</v>
      </c>
      <c r="C3054" s="0" t="n">
        <v>7454</v>
      </c>
      <c r="E3054" s="0" t="n">
        <v>0</v>
      </c>
      <c r="F3054" s="46" t="s">
        <v>1482</v>
      </c>
      <c r="I3054" s="46" t="s">
        <v>179</v>
      </c>
      <c r="U3054" s="0" t="n">
        <v>231</v>
      </c>
      <c r="V3054" s="0" t="n">
        <v>0</v>
      </c>
      <c r="X3054" s="46" t="n">
        <f aca="false">IF(I3054="Male",0,1)</f>
        <v>1</v>
      </c>
      <c r="Y3054" s="46" t="n">
        <f aca="false">IF(OR(I3054="DNB",I3054="Dry DNB"),1,0)</f>
        <v>0</v>
      </c>
      <c r="Z3054" s="0" t="str">
        <f aca="false">IF(ISNUMBER(W3054),A3054-W3054,"")</f>
        <v/>
      </c>
      <c r="AA3054" s="46" t="n">
        <f aca="false">MATCH(A3054,DATAS,0)</f>
        <v>1</v>
      </c>
      <c r="AB3054" s="46" t="n">
        <f aca="false">IF(AND(E3054&gt;0,OR(AND(B3054&gt;=1,B3054&lt;=6),B3054=10)),1,0)</f>
        <v>0</v>
      </c>
      <c r="AC3054" s="46" t="n">
        <f aca="false">IF(AND(E3054&gt;0,B3054=10),1,0)</f>
        <v>0</v>
      </c>
      <c r="AD3054" s="0" t="str">
        <f aca="false">IF(AND(C3053=C3054,AA3053=AA3054-1),AB3053,"")</f>
        <v/>
      </c>
      <c r="AE3054" s="0" t="str">
        <f aca="false">IF(AND(C3053=C3054,AA3053=AA3054-1),AC3053,"")</f>
        <v/>
      </c>
      <c r="AF3054" s="0" t="str">
        <f aca="false">IF(AA3054=1,"",IF(AND(AB3054=1,AD3054&lt;&gt;1),1,0))</f>
        <v/>
      </c>
      <c r="AG3054" s="0" t="str">
        <f aca="false">IF(AA3054=1,"",IF(AND(AC3054=1,AE3054&lt;&gt;1),1,0))</f>
        <v/>
      </c>
      <c r="AH3054" s="51" t="str">
        <f aca="false">IF(AND(E3054&gt;0,AA3054&lt;1,NOT(AND(C3055=C3054,AA3055=AA3054+1))),INDEX(DATAS,AA3054+1),"")</f>
        <v/>
      </c>
      <c r="AI3054" s="51" t="str">
        <f aca="false">IF(AND(AC3054=1,AA3054&lt;1),IF(AND(C3055=C3054,AA3055=AA3054+1),IF(AC3055=1,"",INDEX(DATAS,AA3054+1)),INDEX(DATAS,AA3054+1)),"")</f>
        <v/>
      </c>
    </row>
    <row r="3055" customFormat="false" ht="15" hidden="false" customHeight="false" outlineLevel="0" collapsed="false">
      <c r="A3055" s="51" t="n">
        <v>46309</v>
      </c>
      <c r="B3055" s="0" t="n">
        <v>13</v>
      </c>
      <c r="C3055" s="0" t="n">
        <v>7455</v>
      </c>
      <c r="E3055" s="0" t="n">
        <v>0</v>
      </c>
      <c r="F3055" s="46" t="s">
        <v>1482</v>
      </c>
      <c r="I3055" s="46" t="s">
        <v>179</v>
      </c>
      <c r="U3055" s="0" t="n">
        <v>231</v>
      </c>
      <c r="V3055" s="0" t="n">
        <v>0</v>
      </c>
      <c r="X3055" s="46" t="n">
        <f aca="false">IF(I3055="Male",0,1)</f>
        <v>1</v>
      </c>
      <c r="Y3055" s="46" t="n">
        <f aca="false">IF(OR(I3055="DNB",I3055="Dry DNB"),1,0)</f>
        <v>0</v>
      </c>
      <c r="Z3055" s="0" t="str">
        <f aca="false">IF(ISNUMBER(W3055),A3055-W3055,"")</f>
        <v/>
      </c>
      <c r="AA3055" s="46" t="n">
        <f aca="false">MATCH(A3055,DATAS,0)</f>
        <v>1</v>
      </c>
      <c r="AB3055" s="46" t="n">
        <f aca="false">IF(AND(E3055&gt;0,OR(AND(B3055&gt;=1,B3055&lt;=6),B3055=10)),1,0)</f>
        <v>0</v>
      </c>
      <c r="AC3055" s="46" t="n">
        <f aca="false">IF(AND(E3055&gt;0,B3055=10),1,0)</f>
        <v>0</v>
      </c>
      <c r="AD3055" s="0" t="str">
        <f aca="false">IF(AND(C3054=C3055,AA3054=AA3055-1),AB3054,"")</f>
        <v/>
      </c>
      <c r="AE3055" s="0" t="str">
        <f aca="false">IF(AND(C3054=C3055,AA3054=AA3055-1),AC3054,"")</f>
        <v/>
      </c>
      <c r="AF3055" s="0" t="str">
        <f aca="false">IF(AA3055=1,"",IF(AND(AB3055=1,AD3055&lt;&gt;1),1,0))</f>
        <v/>
      </c>
      <c r="AG3055" s="0" t="str">
        <f aca="false">IF(AA3055=1,"",IF(AND(AC3055=1,AE3055&lt;&gt;1),1,0))</f>
        <v/>
      </c>
      <c r="AH3055" s="51" t="str">
        <f aca="false">IF(AND(E3055&gt;0,AA3055&lt;1,NOT(AND(C3056=C3055,AA3056=AA3055+1))),INDEX(DATAS,AA3055+1),"")</f>
        <v/>
      </c>
      <c r="AI3055" s="51" t="str">
        <f aca="false">IF(AND(AC3055=1,AA3055&lt;1),IF(AND(C3056=C3055,AA3056=AA3055+1),IF(AC3056=1,"",INDEX(DATAS,AA3055+1)),INDEX(DATAS,AA3055+1)),"")</f>
        <v/>
      </c>
    </row>
    <row r="3056" customFormat="false" ht="15" hidden="false" customHeight="false" outlineLevel="0" collapsed="false">
      <c r="A3056" s="51" t="n">
        <v>46309</v>
      </c>
      <c r="B3056" s="0" t="n">
        <v>13</v>
      </c>
      <c r="C3056" s="0" t="n">
        <v>7456</v>
      </c>
      <c r="E3056" s="0" t="n">
        <v>0</v>
      </c>
      <c r="F3056" s="46" t="s">
        <v>1482</v>
      </c>
      <c r="I3056" s="46" t="s">
        <v>179</v>
      </c>
      <c r="U3056" s="0" t="n">
        <v>231</v>
      </c>
      <c r="V3056" s="0" t="n">
        <v>0</v>
      </c>
      <c r="X3056" s="46" t="n">
        <f aca="false">IF(I3056="Male",0,1)</f>
        <v>1</v>
      </c>
      <c r="Y3056" s="46" t="n">
        <f aca="false">IF(OR(I3056="DNB",I3056="Dry DNB"),1,0)</f>
        <v>0</v>
      </c>
      <c r="Z3056" s="0" t="str">
        <f aca="false">IF(ISNUMBER(W3056),A3056-W3056,"")</f>
        <v/>
      </c>
      <c r="AA3056" s="46" t="n">
        <f aca="false">MATCH(A3056,DATAS,0)</f>
        <v>1</v>
      </c>
      <c r="AB3056" s="46" t="n">
        <f aca="false">IF(AND(E3056&gt;0,OR(AND(B3056&gt;=1,B3056&lt;=6),B3056=10)),1,0)</f>
        <v>0</v>
      </c>
      <c r="AC3056" s="46" t="n">
        <f aca="false">IF(AND(E3056&gt;0,B3056=10),1,0)</f>
        <v>0</v>
      </c>
      <c r="AD3056" s="0" t="str">
        <f aca="false">IF(AND(C3055=C3056,AA3055=AA3056-1),AB3055,"")</f>
        <v/>
      </c>
      <c r="AE3056" s="0" t="str">
        <f aca="false">IF(AND(C3055=C3056,AA3055=AA3056-1),AC3055,"")</f>
        <v/>
      </c>
      <c r="AF3056" s="0" t="str">
        <f aca="false">IF(AA3056=1,"",IF(AND(AB3056=1,AD3056&lt;&gt;1),1,0))</f>
        <v/>
      </c>
      <c r="AG3056" s="0" t="str">
        <f aca="false">IF(AA3056=1,"",IF(AND(AC3056=1,AE3056&lt;&gt;1),1,0))</f>
        <v/>
      </c>
      <c r="AH3056" s="51" t="str">
        <f aca="false">IF(AND(E3056&gt;0,AA3056&lt;1,NOT(AND(C3057=C3056,AA3057=AA3056+1))),INDEX(DATAS,AA3056+1),"")</f>
        <v/>
      </c>
      <c r="AI3056" s="51" t="str">
        <f aca="false">IF(AND(AC3056=1,AA3056&lt;1),IF(AND(C3057=C3056,AA3057=AA3056+1),IF(AC3057=1,"",INDEX(DATAS,AA3056+1)),INDEX(DATAS,AA3056+1)),"")</f>
        <v/>
      </c>
    </row>
    <row r="3057" customFormat="false" ht="15" hidden="false" customHeight="false" outlineLevel="0" collapsed="false">
      <c r="A3057" s="51" t="n">
        <v>46309</v>
      </c>
      <c r="B3057" s="0" t="n">
        <v>13</v>
      </c>
      <c r="C3057" s="0" t="n">
        <v>7457</v>
      </c>
      <c r="E3057" s="0" t="n">
        <v>0</v>
      </c>
      <c r="F3057" s="46" t="s">
        <v>1482</v>
      </c>
      <c r="I3057" s="46" t="s">
        <v>179</v>
      </c>
      <c r="U3057" s="0" t="n">
        <v>231</v>
      </c>
      <c r="V3057" s="0" t="n">
        <v>0</v>
      </c>
      <c r="X3057" s="46" t="n">
        <f aca="false">IF(I3057="Male",0,1)</f>
        <v>1</v>
      </c>
      <c r="Y3057" s="46" t="n">
        <f aca="false">IF(OR(I3057="DNB",I3057="Dry DNB"),1,0)</f>
        <v>0</v>
      </c>
      <c r="Z3057" s="0" t="str">
        <f aca="false">IF(ISNUMBER(W3057),A3057-W3057,"")</f>
        <v/>
      </c>
      <c r="AA3057" s="46" t="n">
        <f aca="false">MATCH(A3057,DATAS,0)</f>
        <v>1</v>
      </c>
      <c r="AB3057" s="46" t="n">
        <f aca="false">IF(AND(E3057&gt;0,OR(AND(B3057&gt;=1,B3057&lt;=6),B3057=10)),1,0)</f>
        <v>0</v>
      </c>
      <c r="AC3057" s="46" t="n">
        <f aca="false">IF(AND(E3057&gt;0,B3057=10),1,0)</f>
        <v>0</v>
      </c>
      <c r="AD3057" s="0" t="str">
        <f aca="false">IF(AND(C3056=C3057,AA3056=AA3057-1),AB3056,"")</f>
        <v/>
      </c>
      <c r="AE3057" s="0" t="str">
        <f aca="false">IF(AND(C3056=C3057,AA3056=AA3057-1),AC3056,"")</f>
        <v/>
      </c>
      <c r="AF3057" s="0" t="str">
        <f aca="false">IF(AA3057=1,"",IF(AND(AB3057=1,AD3057&lt;&gt;1),1,0))</f>
        <v/>
      </c>
      <c r="AG3057" s="0" t="str">
        <f aca="false">IF(AA3057=1,"",IF(AND(AC3057=1,AE3057&lt;&gt;1),1,0))</f>
        <v/>
      </c>
      <c r="AH3057" s="51" t="str">
        <f aca="false">IF(AND(E3057&gt;0,AA3057&lt;1,NOT(AND(C3058=C3057,AA3058=AA3057+1))),INDEX(DATAS,AA3057+1),"")</f>
        <v/>
      </c>
      <c r="AI3057" s="51" t="str">
        <f aca="false">IF(AND(AC3057=1,AA3057&lt;1),IF(AND(C3058=C3057,AA3058=AA3057+1),IF(AC3058=1,"",INDEX(DATAS,AA3057+1)),INDEX(DATAS,AA3057+1)),"")</f>
        <v/>
      </c>
    </row>
    <row r="3058" customFormat="false" ht="15" hidden="false" customHeight="false" outlineLevel="0" collapsed="false">
      <c r="A3058" s="51" t="n">
        <v>46309</v>
      </c>
      <c r="B3058" s="0" t="n">
        <v>13</v>
      </c>
      <c r="C3058" s="0" t="n">
        <v>7459</v>
      </c>
      <c r="E3058" s="0" t="n">
        <v>0</v>
      </c>
      <c r="F3058" s="46" t="s">
        <v>1482</v>
      </c>
      <c r="I3058" s="46" t="s">
        <v>179</v>
      </c>
      <c r="U3058" s="0" t="n">
        <v>231</v>
      </c>
      <c r="V3058" s="0" t="n">
        <v>0</v>
      </c>
      <c r="X3058" s="46" t="n">
        <f aca="false">IF(I3058="Male",0,1)</f>
        <v>1</v>
      </c>
      <c r="Y3058" s="46" t="n">
        <f aca="false">IF(OR(I3058="DNB",I3058="Dry DNB"),1,0)</f>
        <v>0</v>
      </c>
      <c r="Z3058" s="0" t="str">
        <f aca="false">IF(ISNUMBER(W3058),A3058-W3058,"")</f>
        <v/>
      </c>
      <c r="AA3058" s="46" t="n">
        <f aca="false">MATCH(A3058,DATAS,0)</f>
        <v>1</v>
      </c>
      <c r="AB3058" s="46" t="n">
        <f aca="false">IF(AND(E3058&gt;0,OR(AND(B3058&gt;=1,B3058&lt;=6),B3058=10)),1,0)</f>
        <v>0</v>
      </c>
      <c r="AC3058" s="46" t="n">
        <f aca="false">IF(AND(E3058&gt;0,B3058=10),1,0)</f>
        <v>0</v>
      </c>
      <c r="AD3058" s="0" t="str">
        <f aca="false">IF(AND(C3057=C3058,AA3057=AA3058-1),AB3057,"")</f>
        <v/>
      </c>
      <c r="AE3058" s="0" t="str">
        <f aca="false">IF(AND(C3057=C3058,AA3057=AA3058-1),AC3057,"")</f>
        <v/>
      </c>
      <c r="AF3058" s="0" t="str">
        <f aca="false">IF(AA3058=1,"",IF(AND(AB3058=1,AD3058&lt;&gt;1),1,0))</f>
        <v/>
      </c>
      <c r="AG3058" s="0" t="str">
        <f aca="false">IF(AA3058=1,"",IF(AND(AC3058=1,AE3058&lt;&gt;1),1,0))</f>
        <v/>
      </c>
      <c r="AH3058" s="51" t="str">
        <f aca="false">IF(AND(E3058&gt;0,AA3058&lt;1,NOT(AND(C3059=C3058,AA3059=AA3058+1))),INDEX(DATAS,AA3058+1),"")</f>
        <v/>
      </c>
      <c r="AI3058" s="51" t="str">
        <f aca="false">IF(AND(AC3058=1,AA3058&lt;1),IF(AND(C3059=C3058,AA3059=AA3058+1),IF(AC3059=1,"",INDEX(DATAS,AA3058+1)),INDEX(DATAS,AA3058+1)),"")</f>
        <v/>
      </c>
    </row>
    <row r="3059" customFormat="false" ht="15" hidden="false" customHeight="false" outlineLevel="0" collapsed="false">
      <c r="A3059" s="51" t="n">
        <v>46309</v>
      </c>
      <c r="B3059" s="0" t="n">
        <v>13</v>
      </c>
      <c r="C3059" s="0" t="n">
        <v>7460</v>
      </c>
      <c r="E3059" s="0" t="n">
        <v>0</v>
      </c>
      <c r="F3059" s="46" t="s">
        <v>1482</v>
      </c>
      <c r="I3059" s="46" t="s">
        <v>179</v>
      </c>
      <c r="U3059" s="0" t="n">
        <v>231</v>
      </c>
      <c r="V3059" s="0" t="n">
        <v>0</v>
      </c>
      <c r="X3059" s="46" t="n">
        <f aca="false">IF(I3059="Male",0,1)</f>
        <v>1</v>
      </c>
      <c r="Y3059" s="46" t="n">
        <f aca="false">IF(OR(I3059="DNB",I3059="Dry DNB"),1,0)</f>
        <v>0</v>
      </c>
      <c r="Z3059" s="0" t="str">
        <f aca="false">IF(ISNUMBER(W3059),A3059-W3059,"")</f>
        <v/>
      </c>
      <c r="AA3059" s="46" t="n">
        <f aca="false">MATCH(A3059,DATAS,0)</f>
        <v>1</v>
      </c>
      <c r="AB3059" s="46" t="n">
        <f aca="false">IF(AND(E3059&gt;0,OR(AND(B3059&gt;=1,B3059&lt;=6),B3059=10)),1,0)</f>
        <v>0</v>
      </c>
      <c r="AC3059" s="46" t="n">
        <f aca="false">IF(AND(E3059&gt;0,B3059=10),1,0)</f>
        <v>0</v>
      </c>
      <c r="AD3059" s="0" t="str">
        <f aca="false">IF(AND(C3058=C3059,AA3058=AA3059-1),AB3058,"")</f>
        <v/>
      </c>
      <c r="AE3059" s="0" t="str">
        <f aca="false">IF(AND(C3058=C3059,AA3058=AA3059-1),AC3058,"")</f>
        <v/>
      </c>
      <c r="AF3059" s="0" t="str">
        <f aca="false">IF(AA3059=1,"",IF(AND(AB3059=1,AD3059&lt;&gt;1),1,0))</f>
        <v/>
      </c>
      <c r="AG3059" s="0" t="str">
        <f aca="false">IF(AA3059=1,"",IF(AND(AC3059=1,AE3059&lt;&gt;1),1,0))</f>
        <v/>
      </c>
      <c r="AH3059" s="51" t="str">
        <f aca="false">IF(AND(E3059&gt;0,AA3059&lt;1,NOT(AND(C3060=C3059,AA3060=AA3059+1))),INDEX(DATAS,AA3059+1),"")</f>
        <v/>
      </c>
      <c r="AI3059" s="51" t="str">
        <f aca="false">IF(AND(AC3059=1,AA3059&lt;1),IF(AND(C3060=C3059,AA3060=AA3059+1),IF(AC3060=1,"",INDEX(DATAS,AA3059+1)),INDEX(DATAS,AA3059+1)),"")</f>
        <v/>
      </c>
    </row>
    <row r="3060" customFormat="false" ht="15" hidden="false" customHeight="false" outlineLevel="0" collapsed="false">
      <c r="A3060" s="51" t="n">
        <v>46309</v>
      </c>
      <c r="B3060" s="0" t="n">
        <v>13</v>
      </c>
      <c r="C3060" s="0" t="n">
        <v>7461</v>
      </c>
      <c r="E3060" s="0" t="n">
        <v>0</v>
      </c>
      <c r="F3060" s="46" t="s">
        <v>1483</v>
      </c>
      <c r="I3060" s="46" t="s">
        <v>179</v>
      </c>
      <c r="U3060" s="0" t="n">
        <v>230</v>
      </c>
      <c r="V3060" s="0" t="n">
        <v>0</v>
      </c>
      <c r="X3060" s="46" t="n">
        <f aca="false">IF(I3060="Male",0,1)</f>
        <v>1</v>
      </c>
      <c r="Y3060" s="46" t="n">
        <f aca="false">IF(OR(I3060="DNB",I3060="Dry DNB"),1,0)</f>
        <v>0</v>
      </c>
      <c r="Z3060" s="0" t="str">
        <f aca="false">IF(ISNUMBER(W3060),A3060-W3060,"")</f>
        <v/>
      </c>
      <c r="AA3060" s="46" t="n">
        <f aca="false">MATCH(A3060,DATAS,0)</f>
        <v>1</v>
      </c>
      <c r="AB3060" s="46" t="n">
        <f aca="false">IF(AND(E3060&gt;0,OR(AND(B3060&gt;=1,B3060&lt;=6),B3060=10)),1,0)</f>
        <v>0</v>
      </c>
      <c r="AC3060" s="46" t="n">
        <f aca="false">IF(AND(E3060&gt;0,B3060=10),1,0)</f>
        <v>0</v>
      </c>
      <c r="AD3060" s="0" t="str">
        <f aca="false">IF(AND(C3059=C3060,AA3059=AA3060-1),AB3059,"")</f>
        <v/>
      </c>
      <c r="AE3060" s="0" t="str">
        <f aca="false">IF(AND(C3059=C3060,AA3059=AA3060-1),AC3059,"")</f>
        <v/>
      </c>
      <c r="AF3060" s="0" t="str">
        <f aca="false">IF(AA3060=1,"",IF(AND(AB3060=1,AD3060&lt;&gt;1),1,0))</f>
        <v/>
      </c>
      <c r="AG3060" s="0" t="str">
        <f aca="false">IF(AA3060=1,"",IF(AND(AC3060=1,AE3060&lt;&gt;1),1,0))</f>
        <v/>
      </c>
      <c r="AH3060" s="51" t="str">
        <f aca="false">IF(AND(E3060&gt;0,AA3060&lt;1,NOT(AND(C3061=C3060,AA3061=AA3060+1))),INDEX(DATAS,AA3060+1),"")</f>
        <v/>
      </c>
      <c r="AI3060" s="51" t="str">
        <f aca="false">IF(AND(AC3060=1,AA3060&lt;1),IF(AND(C3061=C3060,AA3061=AA3060+1),IF(AC3061=1,"",INDEX(DATAS,AA3060+1)),INDEX(DATAS,AA3060+1)),"")</f>
        <v/>
      </c>
    </row>
    <row r="3061" customFormat="false" ht="15" hidden="false" customHeight="false" outlineLevel="0" collapsed="false">
      <c r="A3061" s="51" t="n">
        <v>46309</v>
      </c>
      <c r="B3061" s="0" t="n">
        <v>13</v>
      </c>
      <c r="C3061" s="0" t="n">
        <v>7462</v>
      </c>
      <c r="E3061" s="0" t="n">
        <v>0</v>
      </c>
      <c r="F3061" s="46" t="s">
        <v>1484</v>
      </c>
      <c r="I3061" s="46" t="s">
        <v>179</v>
      </c>
      <c r="U3061" s="0" t="n">
        <v>229</v>
      </c>
      <c r="V3061" s="0" t="n">
        <v>0</v>
      </c>
      <c r="X3061" s="46" t="n">
        <f aca="false">IF(I3061="Male",0,1)</f>
        <v>1</v>
      </c>
      <c r="Y3061" s="46" t="n">
        <f aca="false">IF(OR(I3061="DNB",I3061="Dry DNB"),1,0)</f>
        <v>0</v>
      </c>
      <c r="Z3061" s="0" t="str">
        <f aca="false">IF(ISNUMBER(W3061),A3061-W3061,"")</f>
        <v/>
      </c>
      <c r="AA3061" s="46" t="n">
        <f aca="false">MATCH(A3061,DATAS,0)</f>
        <v>1</v>
      </c>
      <c r="AB3061" s="46" t="n">
        <f aca="false">IF(AND(E3061&gt;0,OR(AND(B3061&gt;=1,B3061&lt;=6),B3061=10)),1,0)</f>
        <v>0</v>
      </c>
      <c r="AC3061" s="46" t="n">
        <f aca="false">IF(AND(E3061&gt;0,B3061=10),1,0)</f>
        <v>0</v>
      </c>
      <c r="AD3061" s="0" t="str">
        <f aca="false">IF(AND(C3060=C3061,AA3060=AA3061-1),AB3060,"")</f>
        <v/>
      </c>
      <c r="AE3061" s="0" t="str">
        <f aca="false">IF(AND(C3060=C3061,AA3060=AA3061-1),AC3060,"")</f>
        <v/>
      </c>
      <c r="AF3061" s="0" t="str">
        <f aca="false">IF(AA3061=1,"",IF(AND(AB3061=1,AD3061&lt;&gt;1),1,0))</f>
        <v/>
      </c>
      <c r="AG3061" s="0" t="str">
        <f aca="false">IF(AA3061=1,"",IF(AND(AC3061=1,AE3061&lt;&gt;1),1,0))</f>
        <v/>
      </c>
      <c r="AH3061" s="51" t="str">
        <f aca="false">IF(AND(E3061&gt;0,AA3061&lt;1,NOT(AND(C3062=C3061,AA3062=AA3061+1))),INDEX(DATAS,AA3061+1),"")</f>
        <v/>
      </c>
      <c r="AI3061" s="51" t="str">
        <f aca="false">IF(AND(AC3061=1,AA3061&lt;1),IF(AND(C3062=C3061,AA3062=AA3061+1),IF(AC3062=1,"",INDEX(DATAS,AA3061+1)),INDEX(DATAS,AA3061+1)),"")</f>
        <v/>
      </c>
    </row>
    <row r="3062" customFormat="false" ht="15" hidden="false" customHeight="false" outlineLevel="0" collapsed="false">
      <c r="A3062" s="51" t="n">
        <v>46309</v>
      </c>
      <c r="B3062" s="0" t="n">
        <v>13</v>
      </c>
      <c r="C3062" s="0" t="n">
        <v>7464</v>
      </c>
      <c r="E3062" s="0" t="n">
        <v>0</v>
      </c>
      <c r="F3062" s="46" t="s">
        <v>1485</v>
      </c>
      <c r="I3062" s="46" t="s">
        <v>179</v>
      </c>
      <c r="U3062" s="0" t="n">
        <v>228</v>
      </c>
      <c r="V3062" s="0" t="n">
        <v>0</v>
      </c>
      <c r="X3062" s="46" t="n">
        <f aca="false">IF(I3062="Male",0,1)</f>
        <v>1</v>
      </c>
      <c r="Y3062" s="46" t="n">
        <f aca="false">IF(OR(I3062="DNB",I3062="Dry DNB"),1,0)</f>
        <v>0</v>
      </c>
      <c r="Z3062" s="0" t="str">
        <f aca="false">IF(ISNUMBER(W3062),A3062-W3062,"")</f>
        <v/>
      </c>
      <c r="AA3062" s="46" t="n">
        <f aca="false">MATCH(A3062,DATAS,0)</f>
        <v>1</v>
      </c>
      <c r="AB3062" s="46" t="n">
        <f aca="false">IF(AND(E3062&gt;0,OR(AND(B3062&gt;=1,B3062&lt;=6),B3062=10)),1,0)</f>
        <v>0</v>
      </c>
      <c r="AC3062" s="46" t="n">
        <f aca="false">IF(AND(E3062&gt;0,B3062=10),1,0)</f>
        <v>0</v>
      </c>
      <c r="AD3062" s="0" t="str">
        <f aca="false">IF(AND(C3061=C3062,AA3061=AA3062-1),AB3061,"")</f>
        <v/>
      </c>
      <c r="AE3062" s="0" t="str">
        <f aca="false">IF(AND(C3061=C3062,AA3061=AA3062-1),AC3061,"")</f>
        <v/>
      </c>
      <c r="AF3062" s="0" t="str">
        <f aca="false">IF(AA3062=1,"",IF(AND(AB3062=1,AD3062&lt;&gt;1),1,0))</f>
        <v/>
      </c>
      <c r="AG3062" s="0" t="str">
        <f aca="false">IF(AA3062=1,"",IF(AND(AC3062=1,AE3062&lt;&gt;1),1,0))</f>
        <v/>
      </c>
      <c r="AH3062" s="51" t="str">
        <f aca="false">IF(AND(E3062&gt;0,AA3062&lt;1,NOT(AND(C3063=C3062,AA3063=AA3062+1))),INDEX(DATAS,AA3062+1),"")</f>
        <v/>
      </c>
      <c r="AI3062" s="51" t="str">
        <f aca="false">IF(AND(AC3062=1,AA3062&lt;1),IF(AND(C3063=C3062,AA3063=AA3062+1),IF(AC3063=1,"",INDEX(DATAS,AA3062+1)),INDEX(DATAS,AA3062+1)),"")</f>
        <v/>
      </c>
    </row>
    <row r="3063" customFormat="false" ht="15" hidden="false" customHeight="false" outlineLevel="0" collapsed="false">
      <c r="A3063" s="51" t="n">
        <v>46309</v>
      </c>
      <c r="B3063" s="0" t="n">
        <v>13</v>
      </c>
      <c r="C3063" s="0" t="n">
        <v>7465</v>
      </c>
      <c r="E3063" s="0" t="n">
        <v>0</v>
      </c>
      <c r="F3063" s="46" t="s">
        <v>1485</v>
      </c>
      <c r="I3063" s="46" t="s">
        <v>179</v>
      </c>
      <c r="U3063" s="0" t="n">
        <v>228</v>
      </c>
      <c r="V3063" s="0" t="n">
        <v>0</v>
      </c>
      <c r="X3063" s="46" t="n">
        <f aca="false">IF(I3063="Male",0,1)</f>
        <v>1</v>
      </c>
      <c r="Y3063" s="46" t="n">
        <f aca="false">IF(OR(I3063="DNB",I3063="Dry DNB"),1,0)</f>
        <v>0</v>
      </c>
      <c r="Z3063" s="0" t="str">
        <f aca="false">IF(ISNUMBER(W3063),A3063-W3063,"")</f>
        <v/>
      </c>
      <c r="AA3063" s="46" t="n">
        <f aca="false">MATCH(A3063,DATAS,0)</f>
        <v>1</v>
      </c>
      <c r="AB3063" s="46" t="n">
        <f aca="false">IF(AND(E3063&gt;0,OR(AND(B3063&gt;=1,B3063&lt;=6),B3063=10)),1,0)</f>
        <v>0</v>
      </c>
      <c r="AC3063" s="46" t="n">
        <f aca="false">IF(AND(E3063&gt;0,B3063=10),1,0)</f>
        <v>0</v>
      </c>
      <c r="AD3063" s="0" t="str">
        <f aca="false">IF(AND(C3062=C3063,AA3062=AA3063-1),AB3062,"")</f>
        <v/>
      </c>
      <c r="AE3063" s="0" t="str">
        <f aca="false">IF(AND(C3062=C3063,AA3062=AA3063-1),AC3062,"")</f>
        <v/>
      </c>
      <c r="AF3063" s="0" t="str">
        <f aca="false">IF(AA3063=1,"",IF(AND(AB3063=1,AD3063&lt;&gt;1),1,0))</f>
        <v/>
      </c>
      <c r="AG3063" s="0" t="str">
        <f aca="false">IF(AA3063=1,"",IF(AND(AC3063=1,AE3063&lt;&gt;1),1,0))</f>
        <v/>
      </c>
      <c r="AH3063" s="51" t="str">
        <f aca="false">IF(AND(E3063&gt;0,AA3063&lt;1,NOT(AND(C3064=C3063,AA3064=AA3063+1))),INDEX(DATAS,AA3063+1),"")</f>
        <v/>
      </c>
      <c r="AI3063" s="51" t="str">
        <f aca="false">IF(AND(AC3063=1,AA3063&lt;1),IF(AND(C3064=C3063,AA3064=AA3063+1),IF(AC3064=1,"",INDEX(DATAS,AA3063+1)),INDEX(DATAS,AA3063+1)),"")</f>
        <v/>
      </c>
    </row>
    <row r="3064" customFormat="false" ht="15" hidden="false" customHeight="false" outlineLevel="0" collapsed="false">
      <c r="A3064" s="51" t="n">
        <v>46309</v>
      </c>
      <c r="B3064" s="0" t="n">
        <v>13</v>
      </c>
      <c r="C3064" s="0" t="n">
        <v>7468</v>
      </c>
      <c r="E3064" s="0" t="n">
        <v>0</v>
      </c>
      <c r="F3064" s="46" t="s">
        <v>1486</v>
      </c>
      <c r="I3064" s="46" t="s">
        <v>179</v>
      </c>
      <c r="U3064" s="0" t="n">
        <v>227</v>
      </c>
      <c r="V3064" s="0" t="n">
        <v>0</v>
      </c>
      <c r="X3064" s="46" t="n">
        <f aca="false">IF(I3064="Male",0,1)</f>
        <v>1</v>
      </c>
      <c r="Y3064" s="46" t="n">
        <f aca="false">IF(OR(I3064="DNB",I3064="Dry DNB"),1,0)</f>
        <v>0</v>
      </c>
      <c r="Z3064" s="0" t="str">
        <f aca="false">IF(ISNUMBER(W3064),A3064-W3064,"")</f>
        <v/>
      </c>
      <c r="AA3064" s="46" t="n">
        <f aca="false">MATCH(A3064,DATAS,0)</f>
        <v>1</v>
      </c>
      <c r="AB3064" s="46" t="n">
        <f aca="false">IF(AND(E3064&gt;0,OR(AND(B3064&gt;=1,B3064&lt;=6),B3064=10)),1,0)</f>
        <v>0</v>
      </c>
      <c r="AC3064" s="46" t="n">
        <f aca="false">IF(AND(E3064&gt;0,B3064=10),1,0)</f>
        <v>0</v>
      </c>
      <c r="AD3064" s="0" t="str">
        <f aca="false">IF(AND(C3063=C3064,AA3063=AA3064-1),AB3063,"")</f>
        <v/>
      </c>
      <c r="AE3064" s="0" t="str">
        <f aca="false">IF(AND(C3063=C3064,AA3063=AA3064-1),AC3063,"")</f>
        <v/>
      </c>
      <c r="AF3064" s="0" t="str">
        <f aca="false">IF(AA3064=1,"",IF(AND(AB3064=1,AD3064&lt;&gt;1),1,0))</f>
        <v/>
      </c>
      <c r="AG3064" s="0" t="str">
        <f aca="false">IF(AA3064=1,"",IF(AND(AC3064=1,AE3064&lt;&gt;1),1,0))</f>
        <v/>
      </c>
      <c r="AH3064" s="51" t="str">
        <f aca="false">IF(AND(E3064&gt;0,AA3064&lt;1,NOT(AND(C3065=C3064,AA3065=AA3064+1))),INDEX(DATAS,AA3064+1),"")</f>
        <v/>
      </c>
      <c r="AI3064" s="51" t="str">
        <f aca="false">IF(AND(AC3064=1,AA3064&lt;1),IF(AND(C3065=C3064,AA3065=AA3064+1),IF(AC3065=1,"",INDEX(DATAS,AA3064+1)),INDEX(DATAS,AA3064+1)),"")</f>
        <v/>
      </c>
    </row>
    <row r="3065" customFormat="false" ht="15" hidden="false" customHeight="false" outlineLevel="0" collapsed="false">
      <c r="A3065" s="51" t="n">
        <v>46309</v>
      </c>
      <c r="B3065" s="0" t="n">
        <v>13</v>
      </c>
      <c r="C3065" s="0" t="n">
        <v>7469</v>
      </c>
      <c r="E3065" s="0" t="n">
        <v>0</v>
      </c>
      <c r="F3065" s="46" t="s">
        <v>1486</v>
      </c>
      <c r="I3065" s="46" t="s">
        <v>179</v>
      </c>
      <c r="U3065" s="0" t="n">
        <v>227</v>
      </c>
      <c r="V3065" s="0" t="n">
        <v>0</v>
      </c>
      <c r="X3065" s="46" t="n">
        <f aca="false">IF(I3065="Male",0,1)</f>
        <v>1</v>
      </c>
      <c r="Y3065" s="46" t="n">
        <f aca="false">IF(OR(I3065="DNB",I3065="Dry DNB"),1,0)</f>
        <v>0</v>
      </c>
      <c r="Z3065" s="0" t="str">
        <f aca="false">IF(ISNUMBER(W3065),A3065-W3065,"")</f>
        <v/>
      </c>
      <c r="AA3065" s="46" t="n">
        <f aca="false">MATCH(A3065,DATAS,0)</f>
        <v>1</v>
      </c>
      <c r="AB3065" s="46" t="n">
        <f aca="false">IF(AND(E3065&gt;0,OR(AND(B3065&gt;=1,B3065&lt;=6),B3065=10)),1,0)</f>
        <v>0</v>
      </c>
      <c r="AC3065" s="46" t="n">
        <f aca="false">IF(AND(E3065&gt;0,B3065=10),1,0)</f>
        <v>0</v>
      </c>
      <c r="AD3065" s="0" t="str">
        <f aca="false">IF(AND(C3064=C3065,AA3064=AA3065-1),AB3064,"")</f>
        <v/>
      </c>
      <c r="AE3065" s="0" t="str">
        <f aca="false">IF(AND(C3064=C3065,AA3064=AA3065-1),AC3064,"")</f>
        <v/>
      </c>
      <c r="AF3065" s="0" t="str">
        <f aca="false">IF(AA3065=1,"",IF(AND(AB3065=1,AD3065&lt;&gt;1),1,0))</f>
        <v/>
      </c>
      <c r="AG3065" s="0" t="str">
        <f aca="false">IF(AA3065=1,"",IF(AND(AC3065=1,AE3065&lt;&gt;1),1,0))</f>
        <v/>
      </c>
      <c r="AH3065" s="51" t="str">
        <f aca="false">IF(AND(E3065&gt;0,AA3065&lt;1,NOT(AND(C3066=C3065,AA3066=AA3065+1))),INDEX(DATAS,AA3065+1),"")</f>
        <v/>
      </c>
      <c r="AI3065" s="51" t="str">
        <f aca="false">IF(AND(AC3065=1,AA3065&lt;1),IF(AND(C3066=C3065,AA3066=AA3065+1),IF(AC3066=1,"",INDEX(DATAS,AA3065+1)),INDEX(DATAS,AA3065+1)),"")</f>
        <v/>
      </c>
    </row>
    <row r="3066" customFormat="false" ht="15" hidden="false" customHeight="false" outlineLevel="0" collapsed="false">
      <c r="A3066" s="51" t="n">
        <v>46309</v>
      </c>
      <c r="B3066" s="0" t="n">
        <v>13</v>
      </c>
      <c r="C3066" s="0" t="n">
        <v>7470</v>
      </c>
      <c r="E3066" s="0" t="n">
        <v>0</v>
      </c>
      <c r="F3066" s="46" t="s">
        <v>1487</v>
      </c>
      <c r="I3066" s="46" t="s">
        <v>179</v>
      </c>
      <c r="U3066" s="0" t="n">
        <v>226</v>
      </c>
      <c r="V3066" s="0" t="n">
        <v>0</v>
      </c>
      <c r="X3066" s="46" t="n">
        <f aca="false">IF(I3066="Male",0,1)</f>
        <v>1</v>
      </c>
      <c r="Y3066" s="46" t="n">
        <f aca="false">IF(OR(I3066="DNB",I3066="Dry DNB"),1,0)</f>
        <v>0</v>
      </c>
      <c r="Z3066" s="0" t="str">
        <f aca="false">IF(ISNUMBER(W3066),A3066-W3066,"")</f>
        <v/>
      </c>
      <c r="AA3066" s="46" t="n">
        <f aca="false">MATCH(A3066,DATAS,0)</f>
        <v>1</v>
      </c>
      <c r="AB3066" s="46" t="n">
        <f aca="false">IF(AND(E3066&gt;0,OR(AND(B3066&gt;=1,B3066&lt;=6),B3066=10)),1,0)</f>
        <v>0</v>
      </c>
      <c r="AC3066" s="46" t="n">
        <f aca="false">IF(AND(E3066&gt;0,B3066=10),1,0)</f>
        <v>0</v>
      </c>
      <c r="AD3066" s="0" t="str">
        <f aca="false">IF(AND(C3065=C3066,AA3065=AA3066-1),AB3065,"")</f>
        <v/>
      </c>
      <c r="AE3066" s="0" t="str">
        <f aca="false">IF(AND(C3065=C3066,AA3065=AA3066-1),AC3065,"")</f>
        <v/>
      </c>
      <c r="AF3066" s="0" t="str">
        <f aca="false">IF(AA3066=1,"",IF(AND(AB3066=1,AD3066&lt;&gt;1),1,0))</f>
        <v/>
      </c>
      <c r="AG3066" s="0" t="str">
        <f aca="false">IF(AA3066=1,"",IF(AND(AC3066=1,AE3066&lt;&gt;1),1,0))</f>
        <v/>
      </c>
      <c r="AH3066" s="51" t="str">
        <f aca="false">IF(AND(E3066&gt;0,AA3066&lt;1,NOT(AND(C3067=C3066,AA3067=AA3066+1))),INDEX(DATAS,AA3066+1),"")</f>
        <v/>
      </c>
      <c r="AI3066" s="51" t="str">
        <f aca="false">IF(AND(AC3066=1,AA3066&lt;1),IF(AND(C3067=C3066,AA3067=AA3066+1),IF(AC3067=1,"",INDEX(DATAS,AA3066+1)),INDEX(DATAS,AA3066+1)),"")</f>
        <v/>
      </c>
    </row>
    <row r="3067" customFormat="false" ht="15" hidden="false" customHeight="false" outlineLevel="0" collapsed="false">
      <c r="A3067" s="51" t="n">
        <v>46309</v>
      </c>
      <c r="B3067" s="0" t="n">
        <v>13</v>
      </c>
      <c r="C3067" s="0" t="n">
        <v>7471</v>
      </c>
      <c r="E3067" s="0" t="n">
        <v>0</v>
      </c>
      <c r="F3067" s="46" t="s">
        <v>1488</v>
      </c>
      <c r="I3067" s="46" t="s">
        <v>179</v>
      </c>
      <c r="U3067" s="0" t="n">
        <v>225</v>
      </c>
      <c r="V3067" s="0" t="n">
        <v>0</v>
      </c>
      <c r="X3067" s="46" t="n">
        <f aca="false">IF(I3067="Male",0,1)</f>
        <v>1</v>
      </c>
      <c r="Y3067" s="46" t="n">
        <f aca="false">IF(OR(I3067="DNB",I3067="Dry DNB"),1,0)</f>
        <v>0</v>
      </c>
      <c r="Z3067" s="0" t="str">
        <f aca="false">IF(ISNUMBER(W3067),A3067-W3067,"")</f>
        <v/>
      </c>
      <c r="AA3067" s="46" t="n">
        <f aca="false">MATCH(A3067,DATAS,0)</f>
        <v>1</v>
      </c>
      <c r="AB3067" s="46" t="n">
        <f aca="false">IF(AND(E3067&gt;0,OR(AND(B3067&gt;=1,B3067&lt;=6),B3067=10)),1,0)</f>
        <v>0</v>
      </c>
      <c r="AC3067" s="46" t="n">
        <f aca="false">IF(AND(E3067&gt;0,B3067=10),1,0)</f>
        <v>0</v>
      </c>
      <c r="AD3067" s="0" t="str">
        <f aca="false">IF(AND(C3066=C3067,AA3066=AA3067-1),AB3066,"")</f>
        <v/>
      </c>
      <c r="AE3067" s="0" t="str">
        <f aca="false">IF(AND(C3066=C3067,AA3066=AA3067-1),AC3066,"")</f>
        <v/>
      </c>
      <c r="AF3067" s="0" t="str">
        <f aca="false">IF(AA3067=1,"",IF(AND(AB3067=1,AD3067&lt;&gt;1),1,0))</f>
        <v/>
      </c>
      <c r="AG3067" s="0" t="str">
        <f aca="false">IF(AA3067=1,"",IF(AND(AC3067=1,AE3067&lt;&gt;1),1,0))</f>
        <v/>
      </c>
      <c r="AH3067" s="51" t="str">
        <f aca="false">IF(AND(E3067&gt;0,AA3067&lt;1,NOT(AND(C3068=C3067,AA3068=AA3067+1))),INDEX(DATAS,AA3067+1),"")</f>
        <v/>
      </c>
      <c r="AI3067" s="51" t="str">
        <f aca="false">IF(AND(AC3067=1,AA3067&lt;1),IF(AND(C3068=C3067,AA3068=AA3067+1),IF(AC3068=1,"",INDEX(DATAS,AA3067+1)),INDEX(DATAS,AA3067+1)),"")</f>
        <v/>
      </c>
    </row>
    <row r="3068" customFormat="false" ht="15" hidden="false" customHeight="false" outlineLevel="0" collapsed="false">
      <c r="A3068" s="51" t="n">
        <v>46309</v>
      </c>
      <c r="B3068" s="0" t="n">
        <v>13</v>
      </c>
      <c r="C3068" s="0" t="n">
        <v>7472</v>
      </c>
      <c r="E3068" s="0" t="n">
        <v>0</v>
      </c>
      <c r="F3068" s="46" t="s">
        <v>1488</v>
      </c>
      <c r="I3068" s="46" t="s">
        <v>179</v>
      </c>
      <c r="U3068" s="0" t="n">
        <v>225</v>
      </c>
      <c r="V3068" s="0" t="n">
        <v>0</v>
      </c>
      <c r="X3068" s="46" t="n">
        <f aca="false">IF(I3068="Male",0,1)</f>
        <v>1</v>
      </c>
      <c r="Y3068" s="46" t="n">
        <f aca="false">IF(OR(I3068="DNB",I3068="Dry DNB"),1,0)</f>
        <v>0</v>
      </c>
      <c r="Z3068" s="0" t="str">
        <f aca="false">IF(ISNUMBER(W3068),A3068-W3068,"")</f>
        <v/>
      </c>
      <c r="AA3068" s="46" t="n">
        <f aca="false">MATCH(A3068,DATAS,0)</f>
        <v>1</v>
      </c>
      <c r="AB3068" s="46" t="n">
        <f aca="false">IF(AND(E3068&gt;0,OR(AND(B3068&gt;=1,B3068&lt;=6),B3068=10)),1,0)</f>
        <v>0</v>
      </c>
      <c r="AC3068" s="46" t="n">
        <f aca="false">IF(AND(E3068&gt;0,B3068=10),1,0)</f>
        <v>0</v>
      </c>
      <c r="AD3068" s="0" t="str">
        <f aca="false">IF(AND(C3067=C3068,AA3067=AA3068-1),AB3067,"")</f>
        <v/>
      </c>
      <c r="AE3068" s="0" t="str">
        <f aca="false">IF(AND(C3067=C3068,AA3067=AA3068-1),AC3067,"")</f>
        <v/>
      </c>
      <c r="AF3068" s="0" t="str">
        <f aca="false">IF(AA3068=1,"",IF(AND(AB3068=1,AD3068&lt;&gt;1),1,0))</f>
        <v/>
      </c>
      <c r="AG3068" s="0" t="str">
        <f aca="false">IF(AA3068=1,"",IF(AND(AC3068=1,AE3068&lt;&gt;1),1,0))</f>
        <v/>
      </c>
      <c r="AH3068" s="51" t="str">
        <f aca="false">IF(AND(E3068&gt;0,AA3068&lt;1,NOT(AND(C3069=C3068,AA3069=AA3068+1))),INDEX(DATAS,AA3068+1),"")</f>
        <v/>
      </c>
      <c r="AI3068" s="51" t="str">
        <f aca="false">IF(AND(AC3068=1,AA3068&lt;1),IF(AND(C3069=C3068,AA3069=AA3068+1),IF(AC3069=1,"",INDEX(DATAS,AA3068+1)),INDEX(DATAS,AA3068+1)),"")</f>
        <v/>
      </c>
    </row>
    <row r="3069" customFormat="false" ht="15" hidden="false" customHeight="false" outlineLevel="0" collapsed="false">
      <c r="A3069" s="51" t="n">
        <v>46309</v>
      </c>
      <c r="B3069" s="0" t="n">
        <v>13</v>
      </c>
      <c r="C3069" s="0" t="n">
        <v>7473</v>
      </c>
      <c r="E3069" s="0" t="n">
        <v>0</v>
      </c>
      <c r="F3069" s="46" t="s">
        <v>1488</v>
      </c>
      <c r="I3069" s="46" t="s">
        <v>179</v>
      </c>
      <c r="U3069" s="0" t="n">
        <v>225</v>
      </c>
      <c r="V3069" s="0" t="n">
        <v>0</v>
      </c>
      <c r="X3069" s="46" t="n">
        <f aca="false">IF(I3069="Male",0,1)</f>
        <v>1</v>
      </c>
      <c r="Y3069" s="46" t="n">
        <f aca="false">IF(OR(I3069="DNB",I3069="Dry DNB"),1,0)</f>
        <v>0</v>
      </c>
      <c r="Z3069" s="0" t="str">
        <f aca="false">IF(ISNUMBER(W3069),A3069-W3069,"")</f>
        <v/>
      </c>
      <c r="AA3069" s="46" t="n">
        <f aca="false">MATCH(A3069,DATAS,0)</f>
        <v>1</v>
      </c>
      <c r="AB3069" s="46" t="n">
        <f aca="false">IF(AND(E3069&gt;0,OR(AND(B3069&gt;=1,B3069&lt;=6),B3069=10)),1,0)</f>
        <v>0</v>
      </c>
      <c r="AC3069" s="46" t="n">
        <f aca="false">IF(AND(E3069&gt;0,B3069=10),1,0)</f>
        <v>0</v>
      </c>
      <c r="AD3069" s="0" t="str">
        <f aca="false">IF(AND(C3068=C3069,AA3068=AA3069-1),AB3068,"")</f>
        <v/>
      </c>
      <c r="AE3069" s="0" t="str">
        <f aca="false">IF(AND(C3068=C3069,AA3068=AA3069-1),AC3068,"")</f>
        <v/>
      </c>
      <c r="AF3069" s="0" t="str">
        <f aca="false">IF(AA3069=1,"",IF(AND(AB3069=1,AD3069&lt;&gt;1),1,0))</f>
        <v/>
      </c>
      <c r="AG3069" s="0" t="str">
        <f aca="false">IF(AA3069=1,"",IF(AND(AC3069=1,AE3069&lt;&gt;1),1,0))</f>
        <v/>
      </c>
      <c r="AH3069" s="51" t="str">
        <f aca="false">IF(AND(E3069&gt;0,AA3069&lt;1,NOT(AND(C3070=C3069,AA3070=AA3069+1))),INDEX(DATAS,AA3069+1),"")</f>
        <v/>
      </c>
      <c r="AI3069" s="51" t="str">
        <f aca="false">IF(AND(AC3069=1,AA3069&lt;1),IF(AND(C3070=C3069,AA3070=AA3069+1),IF(AC3070=1,"",INDEX(DATAS,AA3069+1)),INDEX(DATAS,AA3069+1)),"")</f>
        <v/>
      </c>
    </row>
    <row r="3070" customFormat="false" ht="15" hidden="false" customHeight="false" outlineLevel="0" collapsed="false">
      <c r="A3070" s="51" t="n">
        <v>46309</v>
      </c>
      <c r="B3070" s="0" t="n">
        <v>13</v>
      </c>
      <c r="C3070" s="0" t="n">
        <v>7474</v>
      </c>
      <c r="E3070" s="0" t="n">
        <v>0</v>
      </c>
      <c r="F3070" s="46" t="s">
        <v>1489</v>
      </c>
      <c r="I3070" s="46" t="s">
        <v>179</v>
      </c>
      <c r="U3070" s="0" t="n">
        <v>224</v>
      </c>
      <c r="V3070" s="0" t="n">
        <v>0</v>
      </c>
      <c r="X3070" s="46" t="n">
        <f aca="false">IF(I3070="Male",0,1)</f>
        <v>1</v>
      </c>
      <c r="Y3070" s="46" t="n">
        <f aca="false">IF(OR(I3070="DNB",I3070="Dry DNB"),1,0)</f>
        <v>0</v>
      </c>
      <c r="Z3070" s="0" t="str">
        <f aca="false">IF(ISNUMBER(W3070),A3070-W3070,"")</f>
        <v/>
      </c>
      <c r="AA3070" s="46" t="n">
        <f aca="false">MATCH(A3070,DATAS,0)</f>
        <v>1</v>
      </c>
      <c r="AB3070" s="46" t="n">
        <f aca="false">IF(AND(E3070&gt;0,OR(AND(B3070&gt;=1,B3070&lt;=6),B3070=10)),1,0)</f>
        <v>0</v>
      </c>
      <c r="AC3070" s="46" t="n">
        <f aca="false">IF(AND(E3070&gt;0,B3070=10),1,0)</f>
        <v>0</v>
      </c>
      <c r="AD3070" s="0" t="str">
        <f aca="false">IF(AND(C3069=C3070,AA3069=AA3070-1),AB3069,"")</f>
        <v/>
      </c>
      <c r="AE3070" s="0" t="str">
        <f aca="false">IF(AND(C3069=C3070,AA3069=AA3070-1),AC3069,"")</f>
        <v/>
      </c>
      <c r="AF3070" s="0" t="str">
        <f aca="false">IF(AA3070=1,"",IF(AND(AB3070=1,AD3070&lt;&gt;1),1,0))</f>
        <v/>
      </c>
      <c r="AG3070" s="0" t="str">
        <f aca="false">IF(AA3070=1,"",IF(AND(AC3070=1,AE3070&lt;&gt;1),1,0))</f>
        <v/>
      </c>
      <c r="AH3070" s="51" t="str">
        <f aca="false">IF(AND(E3070&gt;0,AA3070&lt;1,NOT(AND(C3071=C3070,AA3071=AA3070+1))),INDEX(DATAS,AA3070+1),"")</f>
        <v/>
      </c>
      <c r="AI3070" s="51" t="str">
        <f aca="false">IF(AND(AC3070=1,AA3070&lt;1),IF(AND(C3071=C3070,AA3071=AA3070+1),IF(AC3071=1,"",INDEX(DATAS,AA3070+1)),INDEX(DATAS,AA3070+1)),"")</f>
        <v/>
      </c>
    </row>
    <row r="3071" customFormat="false" ht="15" hidden="false" customHeight="false" outlineLevel="0" collapsed="false">
      <c r="A3071" s="51" t="n">
        <v>46309</v>
      </c>
      <c r="B3071" s="0" t="n">
        <v>13</v>
      </c>
      <c r="C3071" s="0" t="n">
        <v>7476</v>
      </c>
      <c r="E3071" s="0" t="n">
        <v>0</v>
      </c>
      <c r="F3071" s="46" t="s">
        <v>1488</v>
      </c>
      <c r="I3071" s="46" t="s">
        <v>179</v>
      </c>
      <c r="U3071" s="0" t="n">
        <v>225</v>
      </c>
      <c r="V3071" s="0" t="n">
        <v>0</v>
      </c>
      <c r="X3071" s="46" t="n">
        <f aca="false">IF(I3071="Male",0,1)</f>
        <v>1</v>
      </c>
      <c r="Y3071" s="46" t="n">
        <f aca="false">IF(OR(I3071="DNB",I3071="Dry DNB"),1,0)</f>
        <v>0</v>
      </c>
      <c r="Z3071" s="0" t="str">
        <f aca="false">IF(ISNUMBER(W3071),A3071-W3071,"")</f>
        <v/>
      </c>
      <c r="AA3071" s="46" t="n">
        <f aca="false">MATCH(A3071,DATAS,0)</f>
        <v>1</v>
      </c>
      <c r="AB3071" s="46" t="n">
        <f aca="false">IF(AND(E3071&gt;0,OR(AND(B3071&gt;=1,B3071&lt;=6),B3071=10)),1,0)</f>
        <v>0</v>
      </c>
      <c r="AC3071" s="46" t="n">
        <f aca="false">IF(AND(E3071&gt;0,B3071=10),1,0)</f>
        <v>0</v>
      </c>
      <c r="AD3071" s="0" t="str">
        <f aca="false">IF(AND(C3070=C3071,AA3070=AA3071-1),AB3070,"")</f>
        <v/>
      </c>
      <c r="AE3071" s="0" t="str">
        <f aca="false">IF(AND(C3070=C3071,AA3070=AA3071-1),AC3070,"")</f>
        <v/>
      </c>
      <c r="AF3071" s="0" t="str">
        <f aca="false">IF(AA3071=1,"",IF(AND(AB3071=1,AD3071&lt;&gt;1),1,0))</f>
        <v/>
      </c>
      <c r="AG3071" s="0" t="str">
        <f aca="false">IF(AA3071=1,"",IF(AND(AC3071=1,AE3071&lt;&gt;1),1,0))</f>
        <v/>
      </c>
      <c r="AH3071" s="51" t="str">
        <f aca="false">IF(AND(E3071&gt;0,AA3071&lt;1,NOT(AND(C3072=C3071,AA3072=AA3071+1))),INDEX(DATAS,AA3071+1),"")</f>
        <v/>
      </c>
      <c r="AI3071" s="51" t="str">
        <f aca="false">IF(AND(AC3071=1,AA3071&lt;1),IF(AND(C3072=C3071,AA3072=AA3071+1),IF(AC3072=1,"",INDEX(DATAS,AA3071+1)),INDEX(DATAS,AA3071+1)),"")</f>
        <v/>
      </c>
    </row>
    <row r="3072" customFormat="false" ht="15" hidden="false" customHeight="false" outlineLevel="0" collapsed="false">
      <c r="A3072" s="51" t="n">
        <v>46309</v>
      </c>
      <c r="B3072" s="0" t="n">
        <v>13</v>
      </c>
      <c r="C3072" s="0" t="n">
        <v>7477</v>
      </c>
      <c r="E3072" s="0" t="n">
        <v>0</v>
      </c>
      <c r="F3072" s="46" t="s">
        <v>1489</v>
      </c>
      <c r="I3072" s="46" t="s">
        <v>179</v>
      </c>
      <c r="U3072" s="0" t="n">
        <v>224</v>
      </c>
      <c r="V3072" s="0" t="n">
        <v>0</v>
      </c>
      <c r="X3072" s="46" t="n">
        <f aca="false">IF(I3072="Male",0,1)</f>
        <v>1</v>
      </c>
      <c r="Y3072" s="46" t="n">
        <f aca="false">IF(OR(I3072="DNB",I3072="Dry DNB"),1,0)</f>
        <v>0</v>
      </c>
      <c r="Z3072" s="0" t="str">
        <f aca="false">IF(ISNUMBER(W3072),A3072-W3072,"")</f>
        <v/>
      </c>
      <c r="AA3072" s="46" t="n">
        <f aca="false">MATCH(A3072,DATAS,0)</f>
        <v>1</v>
      </c>
      <c r="AB3072" s="46" t="n">
        <f aca="false">IF(AND(E3072&gt;0,OR(AND(B3072&gt;=1,B3072&lt;=6),B3072=10)),1,0)</f>
        <v>0</v>
      </c>
      <c r="AC3072" s="46" t="n">
        <f aca="false">IF(AND(E3072&gt;0,B3072=10),1,0)</f>
        <v>0</v>
      </c>
      <c r="AD3072" s="0" t="str">
        <f aca="false">IF(AND(C3071=C3072,AA3071=AA3072-1),AB3071,"")</f>
        <v/>
      </c>
      <c r="AE3072" s="0" t="str">
        <f aca="false">IF(AND(C3071=C3072,AA3071=AA3072-1),AC3071,"")</f>
        <v/>
      </c>
      <c r="AF3072" s="0" t="str">
        <f aca="false">IF(AA3072=1,"",IF(AND(AB3072=1,AD3072&lt;&gt;1),1,0))</f>
        <v/>
      </c>
      <c r="AG3072" s="0" t="str">
        <f aca="false">IF(AA3072=1,"",IF(AND(AC3072=1,AE3072&lt;&gt;1),1,0))</f>
        <v/>
      </c>
      <c r="AH3072" s="51" t="str">
        <f aca="false">IF(AND(E3072&gt;0,AA3072&lt;1,NOT(AND(C3073=C3072,AA3073=AA3072+1))),INDEX(DATAS,AA3072+1),"")</f>
        <v/>
      </c>
      <c r="AI3072" s="51" t="str">
        <f aca="false">IF(AND(AC3072=1,AA3072&lt;1),IF(AND(C3073=C3072,AA3073=AA3072+1),IF(AC3073=1,"",INDEX(DATAS,AA3072+1)),INDEX(DATAS,AA3072+1)),"")</f>
        <v/>
      </c>
    </row>
    <row r="3073" customFormat="false" ht="15" hidden="false" customHeight="false" outlineLevel="0" collapsed="false">
      <c r="A3073" s="51" t="n">
        <v>46309</v>
      </c>
      <c r="B3073" s="0" t="n">
        <v>13</v>
      </c>
      <c r="C3073" s="0" t="n">
        <v>7478</v>
      </c>
      <c r="E3073" s="0" t="n">
        <v>0</v>
      </c>
      <c r="F3073" s="46" t="s">
        <v>1489</v>
      </c>
      <c r="I3073" s="46" t="s">
        <v>179</v>
      </c>
      <c r="U3073" s="0" t="n">
        <v>224</v>
      </c>
      <c r="V3073" s="0" t="n">
        <v>0</v>
      </c>
      <c r="X3073" s="46" t="n">
        <f aca="false">IF(I3073="Male",0,1)</f>
        <v>1</v>
      </c>
      <c r="Y3073" s="46" t="n">
        <f aca="false">IF(OR(I3073="DNB",I3073="Dry DNB"),1,0)</f>
        <v>0</v>
      </c>
      <c r="Z3073" s="0" t="str">
        <f aca="false">IF(ISNUMBER(W3073),A3073-W3073,"")</f>
        <v/>
      </c>
      <c r="AA3073" s="46" t="n">
        <f aca="false">MATCH(A3073,DATAS,0)</f>
        <v>1</v>
      </c>
      <c r="AB3073" s="46" t="n">
        <f aca="false">IF(AND(E3073&gt;0,OR(AND(B3073&gt;=1,B3073&lt;=6),B3073=10)),1,0)</f>
        <v>0</v>
      </c>
      <c r="AC3073" s="46" t="n">
        <f aca="false">IF(AND(E3073&gt;0,B3073=10),1,0)</f>
        <v>0</v>
      </c>
      <c r="AD3073" s="0" t="str">
        <f aca="false">IF(AND(C3072=C3073,AA3072=AA3073-1),AB3072,"")</f>
        <v/>
      </c>
      <c r="AE3073" s="0" t="str">
        <f aca="false">IF(AND(C3072=C3073,AA3072=AA3073-1),AC3072,"")</f>
        <v/>
      </c>
      <c r="AF3073" s="0" t="str">
        <f aca="false">IF(AA3073=1,"",IF(AND(AB3073=1,AD3073&lt;&gt;1),1,0))</f>
        <v/>
      </c>
      <c r="AG3073" s="0" t="str">
        <f aca="false">IF(AA3073=1,"",IF(AND(AC3073=1,AE3073&lt;&gt;1),1,0))</f>
        <v/>
      </c>
      <c r="AH3073" s="51" t="str">
        <f aca="false">IF(AND(E3073&gt;0,AA3073&lt;1,NOT(AND(C3074=C3073,AA3074=AA3073+1))),INDEX(DATAS,AA3073+1),"")</f>
        <v/>
      </c>
      <c r="AI3073" s="51" t="str">
        <f aca="false">IF(AND(AC3073=1,AA3073&lt;1),IF(AND(C3074=C3073,AA3074=AA3073+1),IF(AC3074=1,"",INDEX(DATAS,AA3073+1)),INDEX(DATAS,AA3073+1)),"")</f>
        <v/>
      </c>
    </row>
    <row r="3074" customFormat="false" ht="15" hidden="false" customHeight="false" outlineLevel="0" collapsed="false">
      <c r="A3074" s="51" t="n">
        <v>46309</v>
      </c>
      <c r="B3074" s="0" t="n">
        <v>13</v>
      </c>
      <c r="C3074" s="0" t="n">
        <v>7479</v>
      </c>
      <c r="E3074" s="0" t="n">
        <v>0</v>
      </c>
      <c r="F3074" s="46" t="s">
        <v>1490</v>
      </c>
      <c r="I3074" s="46" t="s">
        <v>179</v>
      </c>
      <c r="U3074" s="0" t="n">
        <v>223</v>
      </c>
      <c r="V3074" s="0" t="n">
        <v>0</v>
      </c>
      <c r="X3074" s="46" t="n">
        <f aca="false">IF(I3074="Male",0,1)</f>
        <v>1</v>
      </c>
      <c r="Y3074" s="46" t="n">
        <f aca="false">IF(OR(I3074="DNB",I3074="Dry DNB"),1,0)</f>
        <v>0</v>
      </c>
      <c r="Z3074" s="0" t="str">
        <f aca="false">IF(ISNUMBER(W3074),A3074-W3074,"")</f>
        <v/>
      </c>
      <c r="AA3074" s="46" t="n">
        <f aca="false">MATCH(A3074,DATAS,0)</f>
        <v>1</v>
      </c>
      <c r="AB3074" s="46" t="n">
        <f aca="false">IF(AND(E3074&gt;0,OR(AND(B3074&gt;=1,B3074&lt;=6),B3074=10)),1,0)</f>
        <v>0</v>
      </c>
      <c r="AC3074" s="46" t="n">
        <f aca="false">IF(AND(E3074&gt;0,B3074=10),1,0)</f>
        <v>0</v>
      </c>
      <c r="AD3074" s="0" t="str">
        <f aca="false">IF(AND(C3073=C3074,AA3073=AA3074-1),AB3073,"")</f>
        <v/>
      </c>
      <c r="AE3074" s="0" t="str">
        <f aca="false">IF(AND(C3073=C3074,AA3073=AA3074-1),AC3073,"")</f>
        <v/>
      </c>
      <c r="AF3074" s="0" t="str">
        <f aca="false">IF(AA3074=1,"",IF(AND(AB3074=1,AD3074&lt;&gt;1),1,0))</f>
        <v/>
      </c>
      <c r="AG3074" s="0" t="str">
        <f aca="false">IF(AA3074=1,"",IF(AND(AC3074=1,AE3074&lt;&gt;1),1,0))</f>
        <v/>
      </c>
      <c r="AH3074" s="51" t="str">
        <f aca="false">IF(AND(E3074&gt;0,AA3074&lt;1,NOT(AND(C3075=C3074,AA3075=AA3074+1))),INDEX(DATAS,AA3074+1),"")</f>
        <v/>
      </c>
      <c r="AI3074" s="51" t="str">
        <f aca="false">IF(AND(AC3074=1,AA3074&lt;1),IF(AND(C3075=C3074,AA3075=AA3074+1),IF(AC3075=1,"",INDEX(DATAS,AA3074+1)),INDEX(DATAS,AA3074+1)),"")</f>
        <v/>
      </c>
    </row>
    <row r="3075" customFormat="false" ht="15" hidden="false" customHeight="false" outlineLevel="0" collapsed="false">
      <c r="A3075" s="51" t="n">
        <v>46309</v>
      </c>
      <c r="B3075" s="0" t="n">
        <v>13</v>
      </c>
      <c r="C3075" s="0" t="n">
        <v>7480</v>
      </c>
      <c r="E3075" s="0" t="n">
        <v>0</v>
      </c>
      <c r="F3075" s="46" t="s">
        <v>1491</v>
      </c>
      <c r="I3075" s="46" t="s">
        <v>179</v>
      </c>
      <c r="U3075" s="0" t="n">
        <v>222</v>
      </c>
      <c r="V3075" s="0" t="n">
        <v>0</v>
      </c>
      <c r="X3075" s="46" t="n">
        <f aca="false">IF(I3075="Male",0,1)</f>
        <v>1</v>
      </c>
      <c r="Y3075" s="46" t="n">
        <f aca="false">IF(OR(I3075="DNB",I3075="Dry DNB"),1,0)</f>
        <v>0</v>
      </c>
      <c r="Z3075" s="0" t="str">
        <f aca="false">IF(ISNUMBER(W3075),A3075-W3075,"")</f>
        <v/>
      </c>
      <c r="AA3075" s="46" t="n">
        <f aca="false">MATCH(A3075,DATAS,0)</f>
        <v>1</v>
      </c>
      <c r="AB3075" s="46" t="n">
        <f aca="false">IF(AND(E3075&gt;0,OR(AND(B3075&gt;=1,B3075&lt;=6),B3075=10)),1,0)</f>
        <v>0</v>
      </c>
      <c r="AC3075" s="46" t="n">
        <f aca="false">IF(AND(E3075&gt;0,B3075=10),1,0)</f>
        <v>0</v>
      </c>
      <c r="AD3075" s="0" t="str">
        <f aca="false">IF(AND(C3074=C3075,AA3074=AA3075-1),AB3074,"")</f>
        <v/>
      </c>
      <c r="AE3075" s="0" t="str">
        <f aca="false">IF(AND(C3074=C3075,AA3074=AA3075-1),AC3074,"")</f>
        <v/>
      </c>
      <c r="AF3075" s="0" t="str">
        <f aca="false">IF(AA3075=1,"",IF(AND(AB3075=1,AD3075&lt;&gt;1),1,0))</f>
        <v/>
      </c>
      <c r="AG3075" s="0" t="str">
        <f aca="false">IF(AA3075=1,"",IF(AND(AC3075=1,AE3075&lt;&gt;1),1,0))</f>
        <v/>
      </c>
      <c r="AH3075" s="51" t="str">
        <f aca="false">IF(AND(E3075&gt;0,AA3075&lt;1,NOT(AND(C3076=C3075,AA3076=AA3075+1))),INDEX(DATAS,AA3075+1),"")</f>
        <v/>
      </c>
      <c r="AI3075" s="51" t="str">
        <f aca="false">IF(AND(AC3075=1,AA3075&lt;1),IF(AND(C3076=C3075,AA3076=AA3075+1),IF(AC3076=1,"",INDEX(DATAS,AA3075+1)),INDEX(DATAS,AA3075+1)),"")</f>
        <v/>
      </c>
    </row>
    <row r="3076" customFormat="false" ht="15" hidden="false" customHeight="false" outlineLevel="0" collapsed="false">
      <c r="A3076" s="51" t="n">
        <v>46309</v>
      </c>
      <c r="B3076" s="0" t="n">
        <v>13</v>
      </c>
      <c r="C3076" s="0" t="n">
        <v>7481</v>
      </c>
      <c r="E3076" s="0" t="n">
        <v>0</v>
      </c>
      <c r="F3076" s="46" t="s">
        <v>1491</v>
      </c>
      <c r="I3076" s="46" t="s">
        <v>179</v>
      </c>
      <c r="U3076" s="0" t="n">
        <v>222</v>
      </c>
      <c r="V3076" s="0" t="n">
        <v>0</v>
      </c>
      <c r="X3076" s="46" t="n">
        <f aca="false">IF(I3076="Male",0,1)</f>
        <v>1</v>
      </c>
      <c r="Y3076" s="46" t="n">
        <f aca="false">IF(OR(I3076="DNB",I3076="Dry DNB"),1,0)</f>
        <v>0</v>
      </c>
      <c r="Z3076" s="0" t="str">
        <f aca="false">IF(ISNUMBER(W3076),A3076-W3076,"")</f>
        <v/>
      </c>
      <c r="AA3076" s="46" t="n">
        <f aca="false">MATCH(A3076,DATAS,0)</f>
        <v>1</v>
      </c>
      <c r="AB3076" s="46" t="n">
        <f aca="false">IF(AND(E3076&gt;0,OR(AND(B3076&gt;=1,B3076&lt;=6),B3076=10)),1,0)</f>
        <v>0</v>
      </c>
      <c r="AC3076" s="46" t="n">
        <f aca="false">IF(AND(E3076&gt;0,B3076=10),1,0)</f>
        <v>0</v>
      </c>
      <c r="AD3076" s="0" t="str">
        <f aca="false">IF(AND(C3075=C3076,AA3075=AA3076-1),AB3075,"")</f>
        <v/>
      </c>
      <c r="AE3076" s="0" t="str">
        <f aca="false">IF(AND(C3075=C3076,AA3075=AA3076-1),AC3075,"")</f>
        <v/>
      </c>
      <c r="AF3076" s="0" t="str">
        <f aca="false">IF(AA3076=1,"",IF(AND(AB3076=1,AD3076&lt;&gt;1),1,0))</f>
        <v/>
      </c>
      <c r="AG3076" s="0" t="str">
        <f aca="false">IF(AA3076=1,"",IF(AND(AC3076=1,AE3076&lt;&gt;1),1,0))</f>
        <v/>
      </c>
      <c r="AH3076" s="51" t="str">
        <f aca="false">IF(AND(E3076&gt;0,AA3076&lt;1,NOT(AND(C3077=C3076,AA3077=AA3076+1))),INDEX(DATAS,AA3076+1),"")</f>
        <v/>
      </c>
      <c r="AI3076" s="51" t="str">
        <f aca="false">IF(AND(AC3076=1,AA3076&lt;1),IF(AND(C3077=C3076,AA3077=AA3076+1),IF(AC3077=1,"",INDEX(DATAS,AA3076+1)),INDEX(DATAS,AA3076+1)),"")</f>
        <v/>
      </c>
    </row>
    <row r="3077" customFormat="false" ht="15" hidden="false" customHeight="false" outlineLevel="0" collapsed="false">
      <c r="A3077" s="51" t="n">
        <v>46309</v>
      </c>
      <c r="B3077" s="0" t="n">
        <v>13</v>
      </c>
      <c r="C3077" s="0" t="n">
        <v>7482</v>
      </c>
      <c r="E3077" s="0" t="n">
        <v>0</v>
      </c>
      <c r="F3077" s="46" t="s">
        <v>1491</v>
      </c>
      <c r="I3077" s="46" t="s">
        <v>179</v>
      </c>
      <c r="U3077" s="0" t="n">
        <v>222</v>
      </c>
      <c r="V3077" s="0" t="n">
        <v>0</v>
      </c>
      <c r="X3077" s="46" t="n">
        <f aca="false">IF(I3077="Male",0,1)</f>
        <v>1</v>
      </c>
      <c r="Y3077" s="46" t="n">
        <f aca="false">IF(OR(I3077="DNB",I3077="Dry DNB"),1,0)</f>
        <v>0</v>
      </c>
      <c r="Z3077" s="0" t="str">
        <f aca="false">IF(ISNUMBER(W3077),A3077-W3077,"")</f>
        <v/>
      </c>
      <c r="AA3077" s="46" t="n">
        <f aca="false">MATCH(A3077,DATAS,0)</f>
        <v>1</v>
      </c>
      <c r="AB3077" s="46" t="n">
        <f aca="false">IF(AND(E3077&gt;0,OR(AND(B3077&gt;=1,B3077&lt;=6),B3077=10)),1,0)</f>
        <v>0</v>
      </c>
      <c r="AC3077" s="46" t="n">
        <f aca="false">IF(AND(E3077&gt;0,B3077=10),1,0)</f>
        <v>0</v>
      </c>
      <c r="AD3077" s="0" t="str">
        <f aca="false">IF(AND(C3076=C3077,AA3076=AA3077-1),AB3076,"")</f>
        <v/>
      </c>
      <c r="AE3077" s="0" t="str">
        <f aca="false">IF(AND(C3076=C3077,AA3076=AA3077-1),AC3076,"")</f>
        <v/>
      </c>
      <c r="AF3077" s="0" t="str">
        <f aca="false">IF(AA3077=1,"",IF(AND(AB3077=1,AD3077&lt;&gt;1),1,0))</f>
        <v/>
      </c>
      <c r="AG3077" s="0" t="str">
        <f aca="false">IF(AA3077=1,"",IF(AND(AC3077=1,AE3077&lt;&gt;1),1,0))</f>
        <v/>
      </c>
      <c r="AH3077" s="51" t="str">
        <f aca="false">IF(AND(E3077&gt;0,AA3077&lt;1,NOT(AND(C3078=C3077,AA3078=AA3077+1))),INDEX(DATAS,AA3077+1),"")</f>
        <v/>
      </c>
      <c r="AI3077" s="51" t="str">
        <f aca="false">IF(AND(AC3077=1,AA3077&lt;1),IF(AND(C3078=C3077,AA3078=AA3077+1),IF(AC3078=1,"",INDEX(DATAS,AA3077+1)),INDEX(DATAS,AA3077+1)),"")</f>
        <v/>
      </c>
    </row>
    <row r="3078" customFormat="false" ht="15" hidden="false" customHeight="false" outlineLevel="0" collapsed="false">
      <c r="A3078" s="51" t="n">
        <v>46309</v>
      </c>
      <c r="B3078" s="0" t="n">
        <v>13</v>
      </c>
      <c r="C3078" s="0" t="n">
        <v>7483</v>
      </c>
      <c r="E3078" s="0" t="n">
        <v>0</v>
      </c>
      <c r="F3078" s="46" t="s">
        <v>1491</v>
      </c>
      <c r="I3078" s="46" t="s">
        <v>179</v>
      </c>
      <c r="U3078" s="0" t="n">
        <v>222</v>
      </c>
      <c r="V3078" s="0" t="n">
        <v>0</v>
      </c>
      <c r="X3078" s="46" t="n">
        <f aca="false">IF(I3078="Male",0,1)</f>
        <v>1</v>
      </c>
      <c r="Y3078" s="46" t="n">
        <f aca="false">IF(OR(I3078="DNB",I3078="Dry DNB"),1,0)</f>
        <v>0</v>
      </c>
      <c r="Z3078" s="0" t="str">
        <f aca="false">IF(ISNUMBER(W3078),A3078-W3078,"")</f>
        <v/>
      </c>
      <c r="AA3078" s="46" t="n">
        <f aca="false">MATCH(A3078,DATAS,0)</f>
        <v>1</v>
      </c>
      <c r="AB3078" s="46" t="n">
        <f aca="false">IF(AND(E3078&gt;0,OR(AND(B3078&gt;=1,B3078&lt;=6),B3078=10)),1,0)</f>
        <v>0</v>
      </c>
      <c r="AC3078" s="46" t="n">
        <f aca="false">IF(AND(E3078&gt;0,B3078=10),1,0)</f>
        <v>0</v>
      </c>
      <c r="AD3078" s="0" t="str">
        <f aca="false">IF(AND(C3077=C3078,AA3077=AA3078-1),AB3077,"")</f>
        <v/>
      </c>
      <c r="AE3078" s="0" t="str">
        <f aca="false">IF(AND(C3077=C3078,AA3077=AA3078-1),AC3077,"")</f>
        <v/>
      </c>
      <c r="AF3078" s="0" t="str">
        <f aca="false">IF(AA3078=1,"",IF(AND(AB3078=1,AD3078&lt;&gt;1),1,0))</f>
        <v/>
      </c>
      <c r="AG3078" s="0" t="str">
        <f aca="false">IF(AA3078=1,"",IF(AND(AC3078=1,AE3078&lt;&gt;1),1,0))</f>
        <v/>
      </c>
      <c r="AH3078" s="51" t="str">
        <f aca="false">IF(AND(E3078&gt;0,AA3078&lt;1,NOT(AND(C3079=C3078,AA3079=AA3078+1))),INDEX(DATAS,AA3078+1),"")</f>
        <v/>
      </c>
      <c r="AI3078" s="51" t="str">
        <f aca="false">IF(AND(AC3078=1,AA3078&lt;1),IF(AND(C3079=C3078,AA3079=AA3078+1),IF(AC3079=1,"",INDEX(DATAS,AA3078+1)),INDEX(DATAS,AA3078+1)),"")</f>
        <v/>
      </c>
    </row>
    <row r="3079" customFormat="false" ht="15" hidden="false" customHeight="false" outlineLevel="0" collapsed="false">
      <c r="A3079" s="51" t="n">
        <v>46309</v>
      </c>
      <c r="B3079" s="0" t="n">
        <v>13</v>
      </c>
      <c r="C3079" s="0" t="n">
        <v>7484</v>
      </c>
      <c r="E3079" s="0" t="n">
        <v>0</v>
      </c>
      <c r="F3079" s="46" t="s">
        <v>1492</v>
      </c>
      <c r="I3079" s="46" t="s">
        <v>179</v>
      </c>
      <c r="U3079" s="0" t="n">
        <v>221</v>
      </c>
      <c r="V3079" s="0" t="n">
        <v>0</v>
      </c>
      <c r="X3079" s="46" t="n">
        <f aca="false">IF(I3079="Male",0,1)</f>
        <v>1</v>
      </c>
      <c r="Y3079" s="46" t="n">
        <f aca="false">IF(OR(I3079="DNB",I3079="Dry DNB"),1,0)</f>
        <v>0</v>
      </c>
      <c r="Z3079" s="0" t="str">
        <f aca="false">IF(ISNUMBER(W3079),A3079-W3079,"")</f>
        <v/>
      </c>
      <c r="AA3079" s="46" t="n">
        <f aca="false">MATCH(A3079,DATAS,0)</f>
        <v>1</v>
      </c>
      <c r="AB3079" s="46" t="n">
        <f aca="false">IF(AND(E3079&gt;0,OR(AND(B3079&gt;=1,B3079&lt;=6),B3079=10)),1,0)</f>
        <v>0</v>
      </c>
      <c r="AC3079" s="46" t="n">
        <f aca="false">IF(AND(E3079&gt;0,B3079=10),1,0)</f>
        <v>0</v>
      </c>
      <c r="AD3079" s="0" t="str">
        <f aca="false">IF(AND(C3078=C3079,AA3078=AA3079-1),AB3078,"")</f>
        <v/>
      </c>
      <c r="AE3079" s="0" t="str">
        <f aca="false">IF(AND(C3078=C3079,AA3078=AA3079-1),AC3078,"")</f>
        <v/>
      </c>
      <c r="AF3079" s="0" t="str">
        <f aca="false">IF(AA3079=1,"",IF(AND(AB3079=1,AD3079&lt;&gt;1),1,0))</f>
        <v/>
      </c>
      <c r="AG3079" s="0" t="str">
        <f aca="false">IF(AA3079=1,"",IF(AND(AC3079=1,AE3079&lt;&gt;1),1,0))</f>
        <v/>
      </c>
      <c r="AH3079" s="51" t="str">
        <f aca="false">IF(AND(E3079&gt;0,AA3079&lt;1,NOT(AND(C3080=C3079,AA3080=AA3079+1))),INDEX(DATAS,AA3079+1),"")</f>
        <v/>
      </c>
      <c r="AI3079" s="51" t="str">
        <f aca="false">IF(AND(AC3079=1,AA3079&lt;1),IF(AND(C3080=C3079,AA3080=AA3079+1),IF(AC3080=1,"",INDEX(DATAS,AA3079+1)),INDEX(DATAS,AA3079+1)),"")</f>
        <v/>
      </c>
    </row>
    <row r="3080" customFormat="false" ht="15" hidden="false" customHeight="false" outlineLevel="0" collapsed="false">
      <c r="A3080" s="51" t="n">
        <v>46309</v>
      </c>
      <c r="B3080" s="0" t="n">
        <v>13</v>
      </c>
      <c r="C3080" s="0" t="n">
        <v>7485</v>
      </c>
      <c r="E3080" s="0" t="n">
        <v>0</v>
      </c>
      <c r="F3080" s="46" t="s">
        <v>1492</v>
      </c>
      <c r="I3080" s="46" t="s">
        <v>179</v>
      </c>
      <c r="U3080" s="0" t="n">
        <v>221</v>
      </c>
      <c r="V3080" s="0" t="n">
        <v>0</v>
      </c>
      <c r="X3080" s="46" t="n">
        <f aca="false">IF(I3080="Male",0,1)</f>
        <v>1</v>
      </c>
      <c r="Y3080" s="46" t="n">
        <f aca="false">IF(OR(I3080="DNB",I3080="Dry DNB"),1,0)</f>
        <v>0</v>
      </c>
      <c r="Z3080" s="0" t="str">
        <f aca="false">IF(ISNUMBER(W3080),A3080-W3080,"")</f>
        <v/>
      </c>
      <c r="AA3080" s="46" t="n">
        <f aca="false">MATCH(A3080,DATAS,0)</f>
        <v>1</v>
      </c>
      <c r="AB3080" s="46" t="n">
        <f aca="false">IF(AND(E3080&gt;0,OR(AND(B3080&gt;=1,B3080&lt;=6),B3080=10)),1,0)</f>
        <v>0</v>
      </c>
      <c r="AC3080" s="46" t="n">
        <f aca="false">IF(AND(E3080&gt;0,B3080=10),1,0)</f>
        <v>0</v>
      </c>
      <c r="AD3080" s="0" t="str">
        <f aca="false">IF(AND(C3079=C3080,AA3079=AA3080-1),AB3079,"")</f>
        <v/>
      </c>
      <c r="AE3080" s="0" t="str">
        <f aca="false">IF(AND(C3079=C3080,AA3079=AA3080-1),AC3079,"")</f>
        <v/>
      </c>
      <c r="AF3080" s="0" t="str">
        <f aca="false">IF(AA3080=1,"",IF(AND(AB3080=1,AD3080&lt;&gt;1),1,0))</f>
        <v/>
      </c>
      <c r="AG3080" s="0" t="str">
        <f aca="false">IF(AA3080=1,"",IF(AND(AC3080=1,AE3080&lt;&gt;1),1,0))</f>
        <v/>
      </c>
      <c r="AH3080" s="51" t="str">
        <f aca="false">IF(AND(E3080&gt;0,AA3080&lt;1,NOT(AND(C3081=C3080,AA3081=AA3080+1))),INDEX(DATAS,AA3080+1),"")</f>
        <v/>
      </c>
      <c r="AI3080" s="51" t="str">
        <f aca="false">IF(AND(AC3080=1,AA3080&lt;1),IF(AND(C3081=C3080,AA3081=AA3080+1),IF(AC3081=1,"",INDEX(DATAS,AA3080+1)),INDEX(DATAS,AA3080+1)),"")</f>
        <v/>
      </c>
    </row>
    <row r="3081" customFormat="false" ht="15" hidden="false" customHeight="false" outlineLevel="0" collapsed="false">
      <c r="A3081" s="51" t="n">
        <v>46309</v>
      </c>
      <c r="B3081" s="0" t="n">
        <v>13</v>
      </c>
      <c r="C3081" s="0" t="n">
        <v>7487</v>
      </c>
      <c r="E3081" s="0" t="n">
        <v>0</v>
      </c>
      <c r="F3081" s="46" t="s">
        <v>1492</v>
      </c>
      <c r="I3081" s="46" t="s">
        <v>179</v>
      </c>
      <c r="U3081" s="0" t="n">
        <v>221</v>
      </c>
      <c r="V3081" s="0" t="n">
        <v>0</v>
      </c>
      <c r="X3081" s="46" t="n">
        <f aca="false">IF(I3081="Male",0,1)</f>
        <v>1</v>
      </c>
      <c r="Y3081" s="46" t="n">
        <f aca="false">IF(OR(I3081="DNB",I3081="Dry DNB"),1,0)</f>
        <v>0</v>
      </c>
      <c r="Z3081" s="0" t="str">
        <f aca="false">IF(ISNUMBER(W3081),A3081-W3081,"")</f>
        <v/>
      </c>
      <c r="AA3081" s="46" t="n">
        <f aca="false">MATCH(A3081,DATAS,0)</f>
        <v>1</v>
      </c>
      <c r="AB3081" s="46" t="n">
        <f aca="false">IF(AND(E3081&gt;0,OR(AND(B3081&gt;=1,B3081&lt;=6),B3081=10)),1,0)</f>
        <v>0</v>
      </c>
      <c r="AC3081" s="46" t="n">
        <f aca="false">IF(AND(E3081&gt;0,B3081=10),1,0)</f>
        <v>0</v>
      </c>
      <c r="AD3081" s="0" t="str">
        <f aca="false">IF(AND(C3080=C3081,AA3080=AA3081-1),AB3080,"")</f>
        <v/>
      </c>
      <c r="AE3081" s="0" t="str">
        <f aca="false">IF(AND(C3080=C3081,AA3080=AA3081-1),AC3080,"")</f>
        <v/>
      </c>
      <c r="AF3081" s="0" t="str">
        <f aca="false">IF(AA3081=1,"",IF(AND(AB3081=1,AD3081&lt;&gt;1),1,0))</f>
        <v/>
      </c>
      <c r="AG3081" s="0" t="str">
        <f aca="false">IF(AA3081=1,"",IF(AND(AC3081=1,AE3081&lt;&gt;1),1,0))</f>
        <v/>
      </c>
      <c r="AH3081" s="51" t="str">
        <f aca="false">IF(AND(E3081&gt;0,AA3081&lt;1,NOT(AND(C3082=C3081,AA3082=AA3081+1))),INDEX(DATAS,AA3081+1),"")</f>
        <v/>
      </c>
      <c r="AI3081" s="51" t="str">
        <f aca="false">IF(AND(AC3081=1,AA3081&lt;1),IF(AND(C3082=C3081,AA3082=AA3081+1),IF(AC3082=1,"",INDEX(DATAS,AA3081+1)),INDEX(DATAS,AA3081+1)),"")</f>
        <v/>
      </c>
    </row>
    <row r="3082" customFormat="false" ht="15" hidden="false" customHeight="false" outlineLevel="0" collapsed="false">
      <c r="A3082" s="51" t="n">
        <v>46309</v>
      </c>
      <c r="B3082" s="0" t="n">
        <v>13</v>
      </c>
      <c r="C3082" s="0" t="n">
        <v>7488</v>
      </c>
      <c r="E3082" s="0" t="n">
        <v>0</v>
      </c>
      <c r="F3082" s="46" t="s">
        <v>178</v>
      </c>
      <c r="I3082" s="46" t="s">
        <v>179</v>
      </c>
      <c r="U3082" s="0" t="n">
        <v>220</v>
      </c>
      <c r="V3082" s="0" t="n">
        <v>0</v>
      </c>
      <c r="X3082" s="46" t="n">
        <f aca="false">IF(I3082="Male",0,1)</f>
        <v>1</v>
      </c>
      <c r="Y3082" s="46" t="n">
        <f aca="false">IF(OR(I3082="DNB",I3082="Dry DNB"),1,0)</f>
        <v>0</v>
      </c>
      <c r="Z3082" s="0" t="str">
        <f aca="false">IF(ISNUMBER(W3082),A3082-W3082,"")</f>
        <v/>
      </c>
      <c r="AA3082" s="46" t="n">
        <f aca="false">MATCH(A3082,DATAS,0)</f>
        <v>1</v>
      </c>
      <c r="AB3082" s="46" t="n">
        <f aca="false">IF(AND(E3082&gt;0,OR(AND(B3082&gt;=1,B3082&lt;=6),B3082=10)),1,0)</f>
        <v>0</v>
      </c>
      <c r="AC3082" s="46" t="n">
        <f aca="false">IF(AND(E3082&gt;0,B3082=10),1,0)</f>
        <v>0</v>
      </c>
      <c r="AD3082" s="0" t="str">
        <f aca="false">IF(AND(C3081=C3082,AA3081=AA3082-1),AB3081,"")</f>
        <v/>
      </c>
      <c r="AE3082" s="0" t="str">
        <f aca="false">IF(AND(C3081=C3082,AA3081=AA3082-1),AC3081,"")</f>
        <v/>
      </c>
      <c r="AF3082" s="0" t="str">
        <f aca="false">IF(AA3082=1,"",IF(AND(AB3082=1,AD3082&lt;&gt;1),1,0))</f>
        <v/>
      </c>
      <c r="AG3082" s="0" t="str">
        <f aca="false">IF(AA3082=1,"",IF(AND(AC3082=1,AE3082&lt;&gt;1),1,0))</f>
        <v/>
      </c>
      <c r="AH3082" s="51" t="str">
        <f aca="false">IF(AND(E3082&gt;0,AA3082&lt;1,NOT(AND(C3083=C3082,AA3083=AA3082+1))),INDEX(DATAS,AA3082+1),"")</f>
        <v/>
      </c>
      <c r="AI3082" s="51" t="str">
        <f aca="false">IF(AND(AC3082=1,AA3082&lt;1),IF(AND(C3083=C3082,AA3083=AA3082+1),IF(AC3083=1,"",INDEX(DATAS,AA3082+1)),INDEX(DATAS,AA3082+1)),"")</f>
        <v/>
      </c>
    </row>
    <row r="3083" customFormat="false" ht="15" hidden="false" customHeight="false" outlineLevel="0" collapsed="false">
      <c r="A3083" s="51" t="n">
        <v>46309</v>
      </c>
      <c r="B3083" s="0" t="n">
        <v>13</v>
      </c>
      <c r="C3083" s="0" t="n">
        <v>7489</v>
      </c>
      <c r="E3083" s="0" t="n">
        <v>0</v>
      </c>
      <c r="F3083" s="46" t="s">
        <v>178</v>
      </c>
      <c r="I3083" s="46" t="s">
        <v>179</v>
      </c>
      <c r="U3083" s="0" t="n">
        <v>220</v>
      </c>
      <c r="V3083" s="0" t="n">
        <v>0</v>
      </c>
      <c r="X3083" s="46" t="n">
        <f aca="false">IF(I3083="Male",0,1)</f>
        <v>1</v>
      </c>
      <c r="Y3083" s="46" t="n">
        <f aca="false">IF(OR(I3083="DNB",I3083="Dry DNB"),1,0)</f>
        <v>0</v>
      </c>
      <c r="Z3083" s="0" t="str">
        <f aca="false">IF(ISNUMBER(W3083),A3083-W3083,"")</f>
        <v/>
      </c>
      <c r="AA3083" s="46" t="n">
        <f aca="false">MATCH(A3083,DATAS,0)</f>
        <v>1</v>
      </c>
      <c r="AB3083" s="46" t="n">
        <f aca="false">IF(AND(E3083&gt;0,OR(AND(B3083&gt;=1,B3083&lt;=6),B3083=10)),1,0)</f>
        <v>0</v>
      </c>
      <c r="AC3083" s="46" t="n">
        <f aca="false">IF(AND(E3083&gt;0,B3083=10),1,0)</f>
        <v>0</v>
      </c>
      <c r="AD3083" s="0" t="str">
        <f aca="false">IF(AND(C3082=C3083,AA3082=AA3083-1),AB3082,"")</f>
        <v/>
      </c>
      <c r="AE3083" s="0" t="str">
        <f aca="false">IF(AND(C3082=C3083,AA3082=AA3083-1),AC3082,"")</f>
        <v/>
      </c>
      <c r="AF3083" s="0" t="str">
        <f aca="false">IF(AA3083=1,"",IF(AND(AB3083=1,AD3083&lt;&gt;1),1,0))</f>
        <v/>
      </c>
      <c r="AG3083" s="0" t="str">
        <f aca="false">IF(AA3083=1,"",IF(AND(AC3083=1,AE3083&lt;&gt;1),1,0))</f>
        <v/>
      </c>
      <c r="AH3083" s="51" t="str">
        <f aca="false">IF(AND(E3083&gt;0,AA3083&lt;1,NOT(AND(C3084=C3083,AA3084=AA3083+1))),INDEX(DATAS,AA3083+1),"")</f>
        <v/>
      </c>
      <c r="AI3083" s="51" t="str">
        <f aca="false">IF(AND(AC3083=1,AA3083&lt;1),IF(AND(C3084=C3083,AA3084=AA3083+1),IF(AC3084=1,"",INDEX(DATAS,AA3083+1)),INDEX(DATAS,AA3083+1)),"")</f>
        <v/>
      </c>
    </row>
    <row r="3084" customFormat="false" ht="15" hidden="false" customHeight="false" outlineLevel="0" collapsed="false">
      <c r="A3084" s="51" t="n">
        <v>46309</v>
      </c>
      <c r="B3084" s="0" t="n">
        <v>13</v>
      </c>
      <c r="C3084" s="0" t="n">
        <v>7490</v>
      </c>
      <c r="E3084" s="0" t="n">
        <v>0</v>
      </c>
      <c r="F3084" s="46" t="s">
        <v>178</v>
      </c>
      <c r="I3084" s="46" t="s">
        <v>179</v>
      </c>
      <c r="U3084" s="0" t="n">
        <v>220</v>
      </c>
      <c r="V3084" s="0" t="n">
        <v>0</v>
      </c>
      <c r="X3084" s="46" t="n">
        <f aca="false">IF(I3084="Male",0,1)</f>
        <v>1</v>
      </c>
      <c r="Y3084" s="46" t="n">
        <f aca="false">IF(OR(I3084="DNB",I3084="Dry DNB"),1,0)</f>
        <v>0</v>
      </c>
      <c r="Z3084" s="0" t="str">
        <f aca="false">IF(ISNUMBER(W3084),A3084-W3084,"")</f>
        <v/>
      </c>
      <c r="AA3084" s="46" t="n">
        <f aca="false">MATCH(A3084,DATAS,0)</f>
        <v>1</v>
      </c>
      <c r="AB3084" s="46" t="n">
        <f aca="false">IF(AND(E3084&gt;0,OR(AND(B3084&gt;=1,B3084&lt;=6),B3084=10)),1,0)</f>
        <v>0</v>
      </c>
      <c r="AC3084" s="46" t="n">
        <f aca="false">IF(AND(E3084&gt;0,B3084=10),1,0)</f>
        <v>0</v>
      </c>
      <c r="AD3084" s="0" t="str">
        <f aca="false">IF(AND(C3083=C3084,AA3083=AA3084-1),AB3083,"")</f>
        <v/>
      </c>
      <c r="AE3084" s="0" t="str">
        <f aca="false">IF(AND(C3083=C3084,AA3083=AA3084-1),AC3083,"")</f>
        <v/>
      </c>
      <c r="AF3084" s="0" t="str">
        <f aca="false">IF(AA3084=1,"",IF(AND(AB3084=1,AD3084&lt;&gt;1),1,0))</f>
        <v/>
      </c>
      <c r="AG3084" s="0" t="str">
        <f aca="false">IF(AA3084=1,"",IF(AND(AC3084=1,AE3084&lt;&gt;1),1,0))</f>
        <v/>
      </c>
      <c r="AH3084" s="51" t="str">
        <f aca="false">IF(AND(E3084&gt;0,AA3084&lt;1,NOT(AND(C3085=C3084,AA3085=AA3084+1))),INDEX(DATAS,AA3084+1),"")</f>
        <v/>
      </c>
      <c r="AI3084" s="51" t="str">
        <f aca="false">IF(AND(AC3084=1,AA3084&lt;1),IF(AND(C3085=C3084,AA3085=AA3084+1),IF(AC3085=1,"",INDEX(DATAS,AA3084+1)),INDEX(DATAS,AA3084+1)),"")</f>
        <v/>
      </c>
    </row>
    <row r="3085" customFormat="false" ht="15" hidden="false" customHeight="false" outlineLevel="0" collapsed="false">
      <c r="A3085" s="51" t="n">
        <v>46309</v>
      </c>
      <c r="B3085" s="0" t="n">
        <v>13</v>
      </c>
      <c r="C3085" s="0" t="n">
        <v>7491</v>
      </c>
      <c r="E3085" s="0" t="n">
        <v>0</v>
      </c>
      <c r="F3085" s="46" t="s">
        <v>1493</v>
      </c>
      <c r="I3085" s="46" t="s">
        <v>179</v>
      </c>
      <c r="U3085" s="0" t="n">
        <v>217</v>
      </c>
      <c r="V3085" s="0" t="n">
        <v>0</v>
      </c>
      <c r="X3085" s="46" t="n">
        <f aca="false">IF(I3085="Male",0,1)</f>
        <v>1</v>
      </c>
      <c r="Y3085" s="46" t="n">
        <f aca="false">IF(OR(I3085="DNB",I3085="Dry DNB"),1,0)</f>
        <v>0</v>
      </c>
      <c r="Z3085" s="0" t="str">
        <f aca="false">IF(ISNUMBER(W3085),A3085-W3085,"")</f>
        <v/>
      </c>
      <c r="AA3085" s="46" t="n">
        <f aca="false">MATCH(A3085,DATAS,0)</f>
        <v>1</v>
      </c>
      <c r="AB3085" s="46" t="n">
        <f aca="false">IF(AND(E3085&gt;0,OR(AND(B3085&gt;=1,B3085&lt;=6),B3085=10)),1,0)</f>
        <v>0</v>
      </c>
      <c r="AC3085" s="46" t="n">
        <f aca="false">IF(AND(E3085&gt;0,B3085=10),1,0)</f>
        <v>0</v>
      </c>
      <c r="AD3085" s="0" t="str">
        <f aca="false">IF(AND(C3084=C3085,AA3084=AA3085-1),AB3084,"")</f>
        <v/>
      </c>
      <c r="AE3085" s="0" t="str">
        <f aca="false">IF(AND(C3084=C3085,AA3084=AA3085-1),AC3084,"")</f>
        <v/>
      </c>
      <c r="AF3085" s="0" t="str">
        <f aca="false">IF(AA3085=1,"",IF(AND(AB3085=1,AD3085&lt;&gt;1),1,0))</f>
        <v/>
      </c>
      <c r="AG3085" s="0" t="str">
        <f aca="false">IF(AA3085=1,"",IF(AND(AC3085=1,AE3085&lt;&gt;1),1,0))</f>
        <v/>
      </c>
      <c r="AH3085" s="51" t="str">
        <f aca="false">IF(AND(E3085&gt;0,AA3085&lt;1,NOT(AND(C3086=C3085,AA3086=AA3085+1))),INDEX(DATAS,AA3085+1),"")</f>
        <v/>
      </c>
      <c r="AI3085" s="51" t="str">
        <f aca="false">IF(AND(AC3085=1,AA3085&lt;1),IF(AND(C3086=C3085,AA3086=AA3085+1),IF(AC3086=1,"",INDEX(DATAS,AA3085+1)),INDEX(DATAS,AA3085+1)),"")</f>
        <v/>
      </c>
    </row>
    <row r="3086" customFormat="false" ht="15" hidden="false" customHeight="false" outlineLevel="0" collapsed="false">
      <c r="A3086" s="51" t="n">
        <v>46309</v>
      </c>
      <c r="B3086" s="0" t="n">
        <v>13</v>
      </c>
      <c r="C3086" s="0" t="n">
        <v>7492</v>
      </c>
      <c r="E3086" s="0" t="n">
        <v>0</v>
      </c>
      <c r="F3086" s="46" t="s">
        <v>1494</v>
      </c>
      <c r="I3086" s="46" t="s">
        <v>179</v>
      </c>
      <c r="U3086" s="0" t="n">
        <v>218</v>
      </c>
      <c r="V3086" s="0" t="n">
        <v>0</v>
      </c>
      <c r="X3086" s="46" t="n">
        <f aca="false">IF(I3086="Male",0,1)</f>
        <v>1</v>
      </c>
      <c r="Y3086" s="46" t="n">
        <f aca="false">IF(OR(I3086="DNB",I3086="Dry DNB"),1,0)</f>
        <v>0</v>
      </c>
      <c r="Z3086" s="0" t="str">
        <f aca="false">IF(ISNUMBER(W3086),A3086-W3086,"")</f>
        <v/>
      </c>
      <c r="AA3086" s="46" t="n">
        <f aca="false">MATCH(A3086,DATAS,0)</f>
        <v>1</v>
      </c>
      <c r="AB3086" s="46" t="n">
        <f aca="false">IF(AND(E3086&gt;0,OR(AND(B3086&gt;=1,B3086&lt;=6),B3086=10)),1,0)</f>
        <v>0</v>
      </c>
      <c r="AC3086" s="46" t="n">
        <f aca="false">IF(AND(E3086&gt;0,B3086=10),1,0)</f>
        <v>0</v>
      </c>
      <c r="AD3086" s="0" t="str">
        <f aca="false">IF(AND(C3085=C3086,AA3085=AA3086-1),AB3085,"")</f>
        <v/>
      </c>
      <c r="AE3086" s="0" t="str">
        <f aca="false">IF(AND(C3085=C3086,AA3085=AA3086-1),AC3085,"")</f>
        <v/>
      </c>
      <c r="AF3086" s="0" t="str">
        <f aca="false">IF(AA3086=1,"",IF(AND(AB3086=1,AD3086&lt;&gt;1),1,0))</f>
        <v/>
      </c>
      <c r="AG3086" s="0" t="str">
        <f aca="false">IF(AA3086=1,"",IF(AND(AC3086=1,AE3086&lt;&gt;1),1,0))</f>
        <v/>
      </c>
      <c r="AH3086" s="51" t="str">
        <f aca="false">IF(AND(E3086&gt;0,AA3086&lt;1,NOT(AND(C3087=C3086,AA3087=AA3086+1))),INDEX(DATAS,AA3086+1),"")</f>
        <v/>
      </c>
      <c r="AI3086" s="51" t="str">
        <f aca="false">IF(AND(AC3086=1,AA3086&lt;1),IF(AND(C3087=C3086,AA3087=AA3086+1),IF(AC3087=1,"",INDEX(DATAS,AA3086+1)),INDEX(DATAS,AA3086+1)),"")</f>
        <v/>
      </c>
    </row>
    <row r="3087" customFormat="false" ht="15" hidden="false" customHeight="false" outlineLevel="0" collapsed="false">
      <c r="A3087" s="51" t="n">
        <v>46309</v>
      </c>
      <c r="B3087" s="0" t="n">
        <v>13</v>
      </c>
      <c r="C3087" s="0" t="n">
        <v>7493</v>
      </c>
      <c r="E3087" s="0" t="n">
        <v>0</v>
      </c>
      <c r="F3087" s="46" t="s">
        <v>1494</v>
      </c>
      <c r="I3087" s="46" t="s">
        <v>179</v>
      </c>
      <c r="U3087" s="0" t="n">
        <v>218</v>
      </c>
      <c r="V3087" s="0" t="n">
        <v>0</v>
      </c>
      <c r="X3087" s="46" t="n">
        <f aca="false">IF(I3087="Male",0,1)</f>
        <v>1</v>
      </c>
      <c r="Y3087" s="46" t="n">
        <f aca="false">IF(OR(I3087="DNB",I3087="Dry DNB"),1,0)</f>
        <v>0</v>
      </c>
      <c r="Z3087" s="0" t="str">
        <f aca="false">IF(ISNUMBER(W3087),A3087-W3087,"")</f>
        <v/>
      </c>
      <c r="AA3087" s="46" t="n">
        <f aca="false">MATCH(A3087,DATAS,0)</f>
        <v>1</v>
      </c>
      <c r="AB3087" s="46" t="n">
        <f aca="false">IF(AND(E3087&gt;0,OR(AND(B3087&gt;=1,B3087&lt;=6),B3087=10)),1,0)</f>
        <v>0</v>
      </c>
      <c r="AC3087" s="46" t="n">
        <f aca="false">IF(AND(E3087&gt;0,B3087=10),1,0)</f>
        <v>0</v>
      </c>
      <c r="AD3087" s="0" t="str">
        <f aca="false">IF(AND(C3086=C3087,AA3086=AA3087-1),AB3086,"")</f>
        <v/>
      </c>
      <c r="AE3087" s="0" t="str">
        <f aca="false">IF(AND(C3086=C3087,AA3086=AA3087-1),AC3086,"")</f>
        <v/>
      </c>
      <c r="AF3087" s="0" t="str">
        <f aca="false">IF(AA3087=1,"",IF(AND(AB3087=1,AD3087&lt;&gt;1),1,0))</f>
        <v/>
      </c>
      <c r="AG3087" s="0" t="str">
        <f aca="false">IF(AA3087=1,"",IF(AND(AC3087=1,AE3087&lt;&gt;1),1,0))</f>
        <v/>
      </c>
      <c r="AH3087" s="51" t="str">
        <f aca="false">IF(AND(E3087&gt;0,AA3087&lt;1,NOT(AND(C3088=C3087,AA3088=AA3087+1))),INDEX(DATAS,AA3087+1),"")</f>
        <v/>
      </c>
      <c r="AI3087" s="51" t="str">
        <f aca="false">IF(AND(AC3087=1,AA3087&lt;1),IF(AND(C3088=C3087,AA3088=AA3087+1),IF(AC3088=1,"",INDEX(DATAS,AA3087+1)),INDEX(DATAS,AA3087+1)),"")</f>
        <v/>
      </c>
    </row>
    <row r="3088" customFormat="false" ht="15" hidden="false" customHeight="false" outlineLevel="0" collapsed="false">
      <c r="A3088" s="51" t="n">
        <v>46309</v>
      </c>
      <c r="B3088" s="0" t="n">
        <v>13</v>
      </c>
      <c r="C3088" s="0" t="n">
        <v>7494</v>
      </c>
      <c r="E3088" s="0" t="n">
        <v>0</v>
      </c>
      <c r="F3088" s="46" t="s">
        <v>1493</v>
      </c>
      <c r="I3088" s="46" t="s">
        <v>179</v>
      </c>
      <c r="U3088" s="0" t="n">
        <v>217</v>
      </c>
      <c r="V3088" s="0" t="n">
        <v>0</v>
      </c>
      <c r="X3088" s="46" t="n">
        <f aca="false">IF(I3088="Male",0,1)</f>
        <v>1</v>
      </c>
      <c r="Y3088" s="46" t="n">
        <f aca="false">IF(OR(I3088="DNB",I3088="Dry DNB"),1,0)</f>
        <v>0</v>
      </c>
      <c r="Z3088" s="0" t="str">
        <f aca="false">IF(ISNUMBER(W3088),A3088-W3088,"")</f>
        <v/>
      </c>
      <c r="AA3088" s="46" t="n">
        <f aca="false">MATCH(A3088,DATAS,0)</f>
        <v>1</v>
      </c>
      <c r="AB3088" s="46" t="n">
        <f aca="false">IF(AND(E3088&gt;0,OR(AND(B3088&gt;=1,B3088&lt;=6),B3088=10)),1,0)</f>
        <v>0</v>
      </c>
      <c r="AC3088" s="46" t="n">
        <f aca="false">IF(AND(E3088&gt;0,B3088=10),1,0)</f>
        <v>0</v>
      </c>
      <c r="AD3088" s="0" t="str">
        <f aca="false">IF(AND(C3087=C3088,AA3087=AA3088-1),AB3087,"")</f>
        <v/>
      </c>
      <c r="AE3088" s="0" t="str">
        <f aca="false">IF(AND(C3087=C3088,AA3087=AA3088-1),AC3087,"")</f>
        <v/>
      </c>
      <c r="AF3088" s="0" t="str">
        <f aca="false">IF(AA3088=1,"",IF(AND(AB3088=1,AD3088&lt;&gt;1),1,0))</f>
        <v/>
      </c>
      <c r="AG3088" s="0" t="str">
        <f aca="false">IF(AA3088=1,"",IF(AND(AC3088=1,AE3088&lt;&gt;1),1,0))</f>
        <v/>
      </c>
      <c r="AH3088" s="51" t="str">
        <f aca="false">IF(AND(E3088&gt;0,AA3088&lt;1,NOT(AND(C3089=C3088,AA3089=AA3088+1))),INDEX(DATAS,AA3088+1),"")</f>
        <v/>
      </c>
      <c r="AI3088" s="51" t="str">
        <f aca="false">IF(AND(AC3088=1,AA3088&lt;1),IF(AND(C3089=C3088,AA3089=AA3088+1),IF(AC3089=1,"",INDEX(DATAS,AA3088+1)),INDEX(DATAS,AA3088+1)),"")</f>
        <v/>
      </c>
    </row>
    <row r="3089" customFormat="false" ht="15" hidden="false" customHeight="false" outlineLevel="0" collapsed="false">
      <c r="A3089" s="51" t="n">
        <v>46309</v>
      </c>
      <c r="B3089" s="0" t="n">
        <v>13</v>
      </c>
      <c r="C3089" s="0" t="n">
        <v>7495</v>
      </c>
      <c r="E3089" s="0" t="n">
        <v>0</v>
      </c>
      <c r="F3089" s="46" t="s">
        <v>1493</v>
      </c>
      <c r="I3089" s="46" t="s">
        <v>179</v>
      </c>
      <c r="U3089" s="0" t="n">
        <v>217</v>
      </c>
      <c r="V3089" s="0" t="n">
        <v>0</v>
      </c>
      <c r="X3089" s="46" t="n">
        <f aca="false">IF(I3089="Male",0,1)</f>
        <v>1</v>
      </c>
      <c r="Y3089" s="46" t="n">
        <f aca="false">IF(OR(I3089="DNB",I3089="Dry DNB"),1,0)</f>
        <v>0</v>
      </c>
      <c r="Z3089" s="0" t="str">
        <f aca="false">IF(ISNUMBER(W3089),A3089-W3089,"")</f>
        <v/>
      </c>
      <c r="AA3089" s="46" t="n">
        <f aca="false">MATCH(A3089,DATAS,0)</f>
        <v>1</v>
      </c>
      <c r="AB3089" s="46" t="n">
        <f aca="false">IF(AND(E3089&gt;0,OR(AND(B3089&gt;=1,B3089&lt;=6),B3089=10)),1,0)</f>
        <v>0</v>
      </c>
      <c r="AC3089" s="46" t="n">
        <f aca="false">IF(AND(E3089&gt;0,B3089=10),1,0)</f>
        <v>0</v>
      </c>
      <c r="AD3089" s="0" t="str">
        <f aca="false">IF(AND(C3088=C3089,AA3088=AA3089-1),AB3088,"")</f>
        <v/>
      </c>
      <c r="AE3089" s="0" t="str">
        <f aca="false">IF(AND(C3088=C3089,AA3088=AA3089-1),AC3088,"")</f>
        <v/>
      </c>
      <c r="AF3089" s="0" t="str">
        <f aca="false">IF(AA3089=1,"",IF(AND(AB3089=1,AD3089&lt;&gt;1),1,0))</f>
        <v/>
      </c>
      <c r="AG3089" s="0" t="str">
        <f aca="false">IF(AA3089=1,"",IF(AND(AC3089=1,AE3089&lt;&gt;1),1,0))</f>
        <v/>
      </c>
      <c r="AH3089" s="51" t="str">
        <f aca="false">IF(AND(E3089&gt;0,AA3089&lt;1,NOT(AND(C3090=C3089,AA3090=AA3089+1))),INDEX(DATAS,AA3089+1),"")</f>
        <v/>
      </c>
      <c r="AI3089" s="51" t="str">
        <f aca="false">IF(AND(AC3089=1,AA3089&lt;1),IF(AND(C3090=C3089,AA3090=AA3089+1),IF(AC3090=1,"",INDEX(DATAS,AA3089+1)),INDEX(DATAS,AA3089+1)),"")</f>
        <v/>
      </c>
    </row>
    <row r="3090" customFormat="false" ht="15" hidden="false" customHeight="false" outlineLevel="0" collapsed="false">
      <c r="A3090" s="51" t="n">
        <v>46309</v>
      </c>
      <c r="B3090" s="0" t="n">
        <v>13</v>
      </c>
      <c r="C3090" s="0" t="n">
        <v>7496</v>
      </c>
      <c r="E3090" s="0" t="n">
        <v>0</v>
      </c>
      <c r="F3090" s="46" t="s">
        <v>1493</v>
      </c>
      <c r="I3090" s="46" t="s">
        <v>179</v>
      </c>
      <c r="U3090" s="0" t="n">
        <v>217</v>
      </c>
      <c r="V3090" s="0" t="n">
        <v>0</v>
      </c>
      <c r="X3090" s="46" t="n">
        <f aca="false">IF(I3090="Male",0,1)</f>
        <v>1</v>
      </c>
      <c r="Y3090" s="46" t="n">
        <f aca="false">IF(OR(I3090="DNB",I3090="Dry DNB"),1,0)</f>
        <v>0</v>
      </c>
      <c r="Z3090" s="0" t="str">
        <f aca="false">IF(ISNUMBER(W3090),A3090-W3090,"")</f>
        <v/>
      </c>
      <c r="AA3090" s="46" t="n">
        <f aca="false">MATCH(A3090,DATAS,0)</f>
        <v>1</v>
      </c>
      <c r="AB3090" s="46" t="n">
        <f aca="false">IF(AND(E3090&gt;0,OR(AND(B3090&gt;=1,B3090&lt;=6),B3090=10)),1,0)</f>
        <v>0</v>
      </c>
      <c r="AC3090" s="46" t="n">
        <f aca="false">IF(AND(E3090&gt;0,B3090=10),1,0)</f>
        <v>0</v>
      </c>
      <c r="AD3090" s="0" t="str">
        <f aca="false">IF(AND(C3089=C3090,AA3089=AA3090-1),AB3089,"")</f>
        <v/>
      </c>
      <c r="AE3090" s="0" t="str">
        <f aca="false">IF(AND(C3089=C3090,AA3089=AA3090-1),AC3089,"")</f>
        <v/>
      </c>
      <c r="AF3090" s="0" t="str">
        <f aca="false">IF(AA3090=1,"",IF(AND(AB3090=1,AD3090&lt;&gt;1),1,0))</f>
        <v/>
      </c>
      <c r="AG3090" s="0" t="str">
        <f aca="false">IF(AA3090=1,"",IF(AND(AC3090=1,AE3090&lt;&gt;1),1,0))</f>
        <v/>
      </c>
      <c r="AH3090" s="51" t="str">
        <f aca="false">IF(AND(E3090&gt;0,AA3090&lt;1,NOT(AND(C3091=C3090,AA3091=AA3090+1))),INDEX(DATAS,AA3090+1),"")</f>
        <v/>
      </c>
      <c r="AI3090" s="51" t="str">
        <f aca="false">IF(AND(AC3090=1,AA3090&lt;1),IF(AND(C3091=C3090,AA3091=AA3090+1),IF(AC3091=1,"",INDEX(DATAS,AA3090+1)),INDEX(DATAS,AA3090+1)),"")</f>
        <v/>
      </c>
    </row>
    <row r="3091" customFormat="false" ht="15" hidden="false" customHeight="false" outlineLevel="0" collapsed="false">
      <c r="A3091" s="51" t="n">
        <v>46309</v>
      </c>
      <c r="B3091" s="0" t="n">
        <v>13</v>
      </c>
      <c r="C3091" s="0" t="n">
        <v>7497</v>
      </c>
      <c r="E3091" s="0" t="n">
        <v>0</v>
      </c>
      <c r="F3091" s="46" t="s">
        <v>1495</v>
      </c>
      <c r="I3091" s="46" t="s">
        <v>179</v>
      </c>
      <c r="U3091" s="0" t="n">
        <v>216</v>
      </c>
      <c r="V3091" s="0" t="n">
        <v>0</v>
      </c>
      <c r="X3091" s="46" t="n">
        <f aca="false">IF(I3091="Male",0,1)</f>
        <v>1</v>
      </c>
      <c r="Y3091" s="46" t="n">
        <f aca="false">IF(OR(I3091="DNB",I3091="Dry DNB"),1,0)</f>
        <v>0</v>
      </c>
      <c r="Z3091" s="0" t="str">
        <f aca="false">IF(ISNUMBER(W3091),A3091-W3091,"")</f>
        <v/>
      </c>
      <c r="AA3091" s="46" t="n">
        <f aca="false">MATCH(A3091,DATAS,0)</f>
        <v>1</v>
      </c>
      <c r="AB3091" s="46" t="n">
        <f aca="false">IF(AND(E3091&gt;0,OR(AND(B3091&gt;=1,B3091&lt;=6),B3091=10)),1,0)</f>
        <v>0</v>
      </c>
      <c r="AC3091" s="46" t="n">
        <f aca="false">IF(AND(E3091&gt;0,B3091=10),1,0)</f>
        <v>0</v>
      </c>
      <c r="AD3091" s="0" t="str">
        <f aca="false">IF(AND(C3090=C3091,AA3090=AA3091-1),AB3090,"")</f>
        <v/>
      </c>
      <c r="AE3091" s="0" t="str">
        <f aca="false">IF(AND(C3090=C3091,AA3090=AA3091-1),AC3090,"")</f>
        <v/>
      </c>
      <c r="AF3091" s="0" t="str">
        <f aca="false">IF(AA3091=1,"",IF(AND(AB3091=1,AD3091&lt;&gt;1),1,0))</f>
        <v/>
      </c>
      <c r="AG3091" s="0" t="str">
        <f aca="false">IF(AA3091=1,"",IF(AND(AC3091=1,AE3091&lt;&gt;1),1,0))</f>
        <v/>
      </c>
      <c r="AH3091" s="51" t="str">
        <f aca="false">IF(AND(E3091&gt;0,AA3091&lt;1,NOT(AND(C3092=C3091,AA3092=AA3091+1))),INDEX(DATAS,AA3091+1),"")</f>
        <v/>
      </c>
      <c r="AI3091" s="51" t="str">
        <f aca="false">IF(AND(AC3091=1,AA3091&lt;1),IF(AND(C3092=C3091,AA3092=AA3091+1),IF(AC3092=1,"",INDEX(DATAS,AA3091+1)),INDEX(DATAS,AA3091+1)),"")</f>
        <v/>
      </c>
    </row>
    <row r="3092" customFormat="false" ht="15" hidden="false" customHeight="false" outlineLevel="0" collapsed="false">
      <c r="A3092" s="51" t="n">
        <v>46309</v>
      </c>
      <c r="B3092" s="0" t="n">
        <v>13</v>
      </c>
      <c r="C3092" s="0" t="n">
        <v>7498</v>
      </c>
      <c r="E3092" s="0" t="n">
        <v>0</v>
      </c>
      <c r="F3092" s="46" t="s">
        <v>1495</v>
      </c>
      <c r="I3092" s="46" t="s">
        <v>179</v>
      </c>
      <c r="U3092" s="0" t="n">
        <v>216</v>
      </c>
      <c r="V3092" s="0" t="n">
        <v>0</v>
      </c>
      <c r="X3092" s="46" t="n">
        <f aca="false">IF(I3092="Male",0,1)</f>
        <v>1</v>
      </c>
      <c r="Y3092" s="46" t="n">
        <f aca="false">IF(OR(I3092="DNB",I3092="Dry DNB"),1,0)</f>
        <v>0</v>
      </c>
      <c r="Z3092" s="0" t="str">
        <f aca="false">IF(ISNUMBER(W3092),A3092-W3092,"")</f>
        <v/>
      </c>
      <c r="AA3092" s="46" t="n">
        <f aca="false">MATCH(A3092,DATAS,0)</f>
        <v>1</v>
      </c>
      <c r="AB3092" s="46" t="n">
        <f aca="false">IF(AND(E3092&gt;0,OR(AND(B3092&gt;=1,B3092&lt;=6),B3092=10)),1,0)</f>
        <v>0</v>
      </c>
      <c r="AC3092" s="46" t="n">
        <f aca="false">IF(AND(E3092&gt;0,B3092=10),1,0)</f>
        <v>0</v>
      </c>
      <c r="AD3092" s="0" t="str">
        <f aca="false">IF(AND(C3091=C3092,AA3091=AA3092-1),AB3091,"")</f>
        <v/>
      </c>
      <c r="AE3092" s="0" t="str">
        <f aca="false">IF(AND(C3091=C3092,AA3091=AA3092-1),AC3091,"")</f>
        <v/>
      </c>
      <c r="AF3092" s="0" t="str">
        <f aca="false">IF(AA3092=1,"",IF(AND(AB3092=1,AD3092&lt;&gt;1),1,0))</f>
        <v/>
      </c>
      <c r="AG3092" s="0" t="str">
        <f aca="false">IF(AA3092=1,"",IF(AND(AC3092=1,AE3092&lt;&gt;1),1,0))</f>
        <v/>
      </c>
      <c r="AH3092" s="51" t="str">
        <f aca="false">IF(AND(E3092&gt;0,AA3092&lt;1,NOT(AND(C3093=C3092,AA3093=AA3092+1))),INDEX(DATAS,AA3092+1),"")</f>
        <v/>
      </c>
      <c r="AI3092" s="51" t="str">
        <f aca="false">IF(AND(AC3092=1,AA3092&lt;1),IF(AND(C3093=C3092,AA3093=AA3092+1),IF(AC3093=1,"",INDEX(DATAS,AA3092+1)),INDEX(DATAS,AA3092+1)),"")</f>
        <v/>
      </c>
    </row>
    <row r="3093" customFormat="false" ht="15" hidden="false" customHeight="false" outlineLevel="0" collapsed="false">
      <c r="A3093" s="51" t="n">
        <v>46309</v>
      </c>
      <c r="B3093" s="0" t="n">
        <v>13</v>
      </c>
      <c r="C3093" s="0" t="n">
        <v>7499</v>
      </c>
      <c r="E3093" s="0" t="n">
        <v>0</v>
      </c>
      <c r="F3093" s="46" t="s">
        <v>1495</v>
      </c>
      <c r="I3093" s="46" t="s">
        <v>179</v>
      </c>
      <c r="U3093" s="0" t="n">
        <v>216</v>
      </c>
      <c r="V3093" s="0" t="n">
        <v>0</v>
      </c>
      <c r="X3093" s="46" t="n">
        <f aca="false">IF(I3093="Male",0,1)</f>
        <v>1</v>
      </c>
      <c r="Y3093" s="46" t="n">
        <f aca="false">IF(OR(I3093="DNB",I3093="Dry DNB"),1,0)</f>
        <v>0</v>
      </c>
      <c r="Z3093" s="0" t="str">
        <f aca="false">IF(ISNUMBER(W3093),A3093-W3093,"")</f>
        <v/>
      </c>
      <c r="AA3093" s="46" t="n">
        <f aca="false">MATCH(A3093,DATAS,0)</f>
        <v>1</v>
      </c>
      <c r="AB3093" s="46" t="n">
        <f aca="false">IF(AND(E3093&gt;0,OR(AND(B3093&gt;=1,B3093&lt;=6),B3093=10)),1,0)</f>
        <v>0</v>
      </c>
      <c r="AC3093" s="46" t="n">
        <f aca="false">IF(AND(E3093&gt;0,B3093=10),1,0)</f>
        <v>0</v>
      </c>
      <c r="AD3093" s="0" t="str">
        <f aca="false">IF(AND(C3092=C3093,AA3092=AA3093-1),AB3092,"")</f>
        <v/>
      </c>
      <c r="AE3093" s="0" t="str">
        <f aca="false">IF(AND(C3092=C3093,AA3092=AA3093-1),AC3092,"")</f>
        <v/>
      </c>
      <c r="AF3093" s="0" t="str">
        <f aca="false">IF(AA3093=1,"",IF(AND(AB3093=1,AD3093&lt;&gt;1),1,0))</f>
        <v/>
      </c>
      <c r="AG3093" s="0" t="str">
        <f aca="false">IF(AA3093=1,"",IF(AND(AC3093=1,AE3093&lt;&gt;1),1,0))</f>
        <v/>
      </c>
      <c r="AH3093" s="51" t="str">
        <f aca="false">IF(AND(E3093&gt;0,AA3093&lt;1,NOT(AND(C3094=C3093,AA3094=AA3093+1))),INDEX(DATAS,AA3093+1),"")</f>
        <v/>
      </c>
      <c r="AI3093" s="51" t="str">
        <f aca="false">IF(AND(AC3093=1,AA3093&lt;1),IF(AND(C3094=C3093,AA3094=AA3093+1),IF(AC3094=1,"",INDEX(DATAS,AA3093+1)),INDEX(DATAS,AA3093+1)),"")</f>
        <v/>
      </c>
    </row>
    <row r="3094" customFormat="false" ht="15" hidden="false" customHeight="false" outlineLevel="0" collapsed="false">
      <c r="A3094" s="51" t="n">
        <v>46309</v>
      </c>
      <c r="B3094" s="0" t="n">
        <v>13</v>
      </c>
      <c r="C3094" s="0" t="n">
        <v>7500</v>
      </c>
      <c r="E3094" s="0" t="n">
        <v>0</v>
      </c>
      <c r="F3094" s="46" t="s">
        <v>1495</v>
      </c>
      <c r="I3094" s="46" t="s">
        <v>179</v>
      </c>
      <c r="U3094" s="0" t="n">
        <v>216</v>
      </c>
      <c r="V3094" s="0" t="n">
        <v>0</v>
      </c>
      <c r="X3094" s="46" t="n">
        <f aca="false">IF(I3094="Male",0,1)</f>
        <v>1</v>
      </c>
      <c r="Y3094" s="46" t="n">
        <f aca="false">IF(OR(I3094="DNB",I3094="Dry DNB"),1,0)</f>
        <v>0</v>
      </c>
      <c r="Z3094" s="0" t="str">
        <f aca="false">IF(ISNUMBER(W3094),A3094-W3094,"")</f>
        <v/>
      </c>
      <c r="AA3094" s="46" t="n">
        <f aca="false">MATCH(A3094,DATAS,0)</f>
        <v>1</v>
      </c>
      <c r="AB3094" s="46" t="n">
        <f aca="false">IF(AND(E3094&gt;0,OR(AND(B3094&gt;=1,B3094&lt;=6),B3094=10)),1,0)</f>
        <v>0</v>
      </c>
      <c r="AC3094" s="46" t="n">
        <f aca="false">IF(AND(E3094&gt;0,B3094=10),1,0)</f>
        <v>0</v>
      </c>
      <c r="AD3094" s="0" t="str">
        <f aca="false">IF(AND(C3093=C3094,AA3093=AA3094-1),AB3093,"")</f>
        <v/>
      </c>
      <c r="AE3094" s="0" t="str">
        <f aca="false">IF(AND(C3093=C3094,AA3093=AA3094-1),AC3093,"")</f>
        <v/>
      </c>
      <c r="AF3094" s="0" t="str">
        <f aca="false">IF(AA3094=1,"",IF(AND(AB3094=1,AD3094&lt;&gt;1),1,0))</f>
        <v/>
      </c>
      <c r="AG3094" s="0" t="str">
        <f aca="false">IF(AA3094=1,"",IF(AND(AC3094=1,AE3094&lt;&gt;1),1,0))</f>
        <v/>
      </c>
      <c r="AH3094" s="51" t="str">
        <f aca="false">IF(AND(E3094&gt;0,AA3094&lt;1,NOT(AND(C3095=C3094,AA3095=AA3094+1))),INDEX(DATAS,AA3094+1),"")</f>
        <v/>
      </c>
      <c r="AI3094" s="51" t="str">
        <f aca="false">IF(AND(AC3094=1,AA3094&lt;1),IF(AND(C3095=C3094,AA3095=AA3094+1),IF(AC3095=1,"",INDEX(DATAS,AA3094+1)),INDEX(DATAS,AA3094+1)),"")</f>
        <v/>
      </c>
    </row>
    <row r="3095" customFormat="false" ht="15" hidden="false" customHeight="false" outlineLevel="0" collapsed="false">
      <c r="A3095" s="51" t="n">
        <v>46309</v>
      </c>
      <c r="B3095" s="0" t="n">
        <v>13</v>
      </c>
      <c r="C3095" s="0" t="n">
        <v>7501</v>
      </c>
      <c r="E3095" s="0" t="n">
        <v>0</v>
      </c>
      <c r="F3095" s="46" t="s">
        <v>1495</v>
      </c>
      <c r="I3095" s="46" t="s">
        <v>179</v>
      </c>
      <c r="U3095" s="0" t="n">
        <v>216</v>
      </c>
      <c r="V3095" s="0" t="n">
        <v>0</v>
      </c>
      <c r="X3095" s="46" t="n">
        <f aca="false">IF(I3095="Male",0,1)</f>
        <v>1</v>
      </c>
      <c r="Y3095" s="46" t="n">
        <f aca="false">IF(OR(I3095="DNB",I3095="Dry DNB"),1,0)</f>
        <v>0</v>
      </c>
      <c r="Z3095" s="0" t="str">
        <f aca="false">IF(ISNUMBER(W3095),A3095-W3095,"")</f>
        <v/>
      </c>
      <c r="AA3095" s="46" t="n">
        <f aca="false">MATCH(A3095,DATAS,0)</f>
        <v>1</v>
      </c>
      <c r="AB3095" s="46" t="n">
        <f aca="false">IF(AND(E3095&gt;0,OR(AND(B3095&gt;=1,B3095&lt;=6),B3095=10)),1,0)</f>
        <v>0</v>
      </c>
      <c r="AC3095" s="46" t="n">
        <f aca="false">IF(AND(E3095&gt;0,B3095=10),1,0)</f>
        <v>0</v>
      </c>
      <c r="AD3095" s="0" t="str">
        <f aca="false">IF(AND(C3094=C3095,AA3094=AA3095-1),AB3094,"")</f>
        <v/>
      </c>
      <c r="AE3095" s="0" t="str">
        <f aca="false">IF(AND(C3094=C3095,AA3094=AA3095-1),AC3094,"")</f>
        <v/>
      </c>
      <c r="AF3095" s="0" t="str">
        <f aca="false">IF(AA3095=1,"",IF(AND(AB3095=1,AD3095&lt;&gt;1),1,0))</f>
        <v/>
      </c>
      <c r="AG3095" s="0" t="str">
        <f aca="false">IF(AA3095=1,"",IF(AND(AC3095=1,AE3095&lt;&gt;1),1,0))</f>
        <v/>
      </c>
      <c r="AH3095" s="51" t="str">
        <f aca="false">IF(AND(E3095&gt;0,AA3095&lt;1,NOT(AND(C3096=C3095,AA3096=AA3095+1))),INDEX(DATAS,AA3095+1),"")</f>
        <v/>
      </c>
      <c r="AI3095" s="51" t="str">
        <f aca="false">IF(AND(AC3095=1,AA3095&lt;1),IF(AND(C3096=C3095,AA3096=AA3095+1),IF(AC3096=1,"",INDEX(DATAS,AA3095+1)),INDEX(DATAS,AA3095+1)),"")</f>
        <v/>
      </c>
    </row>
    <row r="3096" customFormat="false" ht="15" hidden="false" customHeight="false" outlineLevel="0" collapsed="false">
      <c r="A3096" s="51" t="n">
        <v>46309</v>
      </c>
      <c r="B3096" s="0" t="n">
        <v>13</v>
      </c>
      <c r="C3096" s="0" t="n">
        <v>7502</v>
      </c>
      <c r="E3096" s="0" t="n">
        <v>0</v>
      </c>
      <c r="F3096" s="46" t="s">
        <v>1496</v>
      </c>
      <c r="I3096" s="46" t="s">
        <v>179</v>
      </c>
      <c r="U3096" s="0" t="n">
        <v>215</v>
      </c>
      <c r="V3096" s="0" t="n">
        <v>0</v>
      </c>
      <c r="X3096" s="46" t="n">
        <f aca="false">IF(I3096="Male",0,1)</f>
        <v>1</v>
      </c>
      <c r="Y3096" s="46" t="n">
        <f aca="false">IF(OR(I3096="DNB",I3096="Dry DNB"),1,0)</f>
        <v>0</v>
      </c>
      <c r="Z3096" s="0" t="str">
        <f aca="false">IF(ISNUMBER(W3096),A3096-W3096,"")</f>
        <v/>
      </c>
      <c r="AA3096" s="46" t="n">
        <f aca="false">MATCH(A3096,DATAS,0)</f>
        <v>1</v>
      </c>
      <c r="AB3096" s="46" t="n">
        <f aca="false">IF(AND(E3096&gt;0,OR(AND(B3096&gt;=1,B3096&lt;=6),B3096=10)),1,0)</f>
        <v>0</v>
      </c>
      <c r="AC3096" s="46" t="n">
        <f aca="false">IF(AND(E3096&gt;0,B3096=10),1,0)</f>
        <v>0</v>
      </c>
      <c r="AD3096" s="0" t="str">
        <f aca="false">IF(AND(C3095=C3096,AA3095=AA3096-1),AB3095,"")</f>
        <v/>
      </c>
      <c r="AE3096" s="0" t="str">
        <f aca="false">IF(AND(C3095=C3096,AA3095=AA3096-1),AC3095,"")</f>
        <v/>
      </c>
      <c r="AF3096" s="0" t="str">
        <f aca="false">IF(AA3096=1,"",IF(AND(AB3096=1,AD3096&lt;&gt;1),1,0))</f>
        <v/>
      </c>
      <c r="AG3096" s="0" t="str">
        <f aca="false">IF(AA3096=1,"",IF(AND(AC3096=1,AE3096&lt;&gt;1),1,0))</f>
        <v/>
      </c>
      <c r="AH3096" s="51" t="str">
        <f aca="false">IF(AND(E3096&gt;0,AA3096&lt;1,NOT(AND(C3097=C3096,AA3097=AA3096+1))),INDEX(DATAS,AA3096+1),"")</f>
        <v/>
      </c>
      <c r="AI3096" s="51" t="str">
        <f aca="false">IF(AND(AC3096=1,AA3096&lt;1),IF(AND(C3097=C3096,AA3097=AA3096+1),IF(AC3097=1,"",INDEX(DATAS,AA3096+1)),INDEX(DATAS,AA3096+1)),"")</f>
        <v/>
      </c>
    </row>
    <row r="3097" customFormat="false" ht="15" hidden="false" customHeight="false" outlineLevel="0" collapsed="false">
      <c r="A3097" s="51" t="n">
        <v>46309</v>
      </c>
      <c r="B3097" s="0" t="n">
        <v>13</v>
      </c>
      <c r="C3097" s="0" t="n">
        <v>7504</v>
      </c>
      <c r="E3097" s="0" t="n">
        <v>0</v>
      </c>
      <c r="F3097" s="46" t="s">
        <v>1497</v>
      </c>
      <c r="I3097" s="46" t="s">
        <v>179</v>
      </c>
      <c r="U3097" s="0" t="n">
        <v>213</v>
      </c>
      <c r="V3097" s="0" t="n">
        <v>0</v>
      </c>
      <c r="X3097" s="46" t="n">
        <f aca="false">IF(I3097="Male",0,1)</f>
        <v>1</v>
      </c>
      <c r="Y3097" s="46" t="n">
        <f aca="false">IF(OR(I3097="DNB",I3097="Dry DNB"),1,0)</f>
        <v>0</v>
      </c>
      <c r="Z3097" s="0" t="str">
        <f aca="false">IF(ISNUMBER(W3097),A3097-W3097,"")</f>
        <v/>
      </c>
      <c r="AA3097" s="46" t="n">
        <f aca="false">MATCH(A3097,DATAS,0)</f>
        <v>1</v>
      </c>
      <c r="AB3097" s="46" t="n">
        <f aca="false">IF(AND(E3097&gt;0,OR(AND(B3097&gt;=1,B3097&lt;=6),B3097=10)),1,0)</f>
        <v>0</v>
      </c>
      <c r="AC3097" s="46" t="n">
        <f aca="false">IF(AND(E3097&gt;0,B3097=10),1,0)</f>
        <v>0</v>
      </c>
      <c r="AD3097" s="0" t="str">
        <f aca="false">IF(AND(C3096=C3097,AA3096=AA3097-1),AB3096,"")</f>
        <v/>
      </c>
      <c r="AE3097" s="0" t="str">
        <f aca="false">IF(AND(C3096=C3097,AA3096=AA3097-1),AC3096,"")</f>
        <v/>
      </c>
      <c r="AF3097" s="0" t="str">
        <f aca="false">IF(AA3097=1,"",IF(AND(AB3097=1,AD3097&lt;&gt;1),1,0))</f>
        <v/>
      </c>
      <c r="AG3097" s="0" t="str">
        <f aca="false">IF(AA3097=1,"",IF(AND(AC3097=1,AE3097&lt;&gt;1),1,0))</f>
        <v/>
      </c>
      <c r="AH3097" s="51" t="str">
        <f aca="false">IF(AND(E3097&gt;0,AA3097&lt;1,NOT(AND(C3098=C3097,AA3098=AA3097+1))),INDEX(DATAS,AA3097+1),"")</f>
        <v/>
      </c>
      <c r="AI3097" s="51" t="str">
        <f aca="false">IF(AND(AC3097=1,AA3097&lt;1),IF(AND(C3098=C3097,AA3098=AA3097+1),IF(AC3098=1,"",INDEX(DATAS,AA3097+1)),INDEX(DATAS,AA3097+1)),"")</f>
        <v/>
      </c>
    </row>
    <row r="3098" customFormat="false" ht="15" hidden="false" customHeight="false" outlineLevel="0" collapsed="false">
      <c r="A3098" s="51" t="n">
        <v>46309</v>
      </c>
      <c r="B3098" s="0" t="n">
        <v>13</v>
      </c>
      <c r="C3098" s="0" t="n">
        <v>7505</v>
      </c>
      <c r="E3098" s="0" t="n">
        <v>0</v>
      </c>
      <c r="F3098" s="46" t="s">
        <v>1497</v>
      </c>
      <c r="I3098" s="46" t="s">
        <v>179</v>
      </c>
      <c r="U3098" s="0" t="n">
        <v>213</v>
      </c>
      <c r="V3098" s="0" t="n">
        <v>0</v>
      </c>
      <c r="X3098" s="46" t="n">
        <f aca="false">IF(I3098="Male",0,1)</f>
        <v>1</v>
      </c>
      <c r="Y3098" s="46" t="n">
        <f aca="false">IF(OR(I3098="DNB",I3098="Dry DNB"),1,0)</f>
        <v>0</v>
      </c>
      <c r="Z3098" s="0" t="str">
        <f aca="false">IF(ISNUMBER(W3098),A3098-W3098,"")</f>
        <v/>
      </c>
      <c r="AA3098" s="46" t="n">
        <f aca="false">MATCH(A3098,DATAS,0)</f>
        <v>1</v>
      </c>
      <c r="AB3098" s="46" t="n">
        <f aca="false">IF(AND(E3098&gt;0,OR(AND(B3098&gt;=1,B3098&lt;=6),B3098=10)),1,0)</f>
        <v>0</v>
      </c>
      <c r="AC3098" s="46" t="n">
        <f aca="false">IF(AND(E3098&gt;0,B3098=10),1,0)</f>
        <v>0</v>
      </c>
      <c r="AD3098" s="0" t="str">
        <f aca="false">IF(AND(C3097=C3098,AA3097=AA3098-1),AB3097,"")</f>
        <v/>
      </c>
      <c r="AE3098" s="0" t="str">
        <f aca="false">IF(AND(C3097=C3098,AA3097=AA3098-1),AC3097,"")</f>
        <v/>
      </c>
      <c r="AF3098" s="0" t="str">
        <f aca="false">IF(AA3098=1,"",IF(AND(AB3098=1,AD3098&lt;&gt;1),1,0))</f>
        <v/>
      </c>
      <c r="AG3098" s="0" t="str">
        <f aca="false">IF(AA3098=1,"",IF(AND(AC3098=1,AE3098&lt;&gt;1),1,0))</f>
        <v/>
      </c>
      <c r="AH3098" s="51" t="str">
        <f aca="false">IF(AND(E3098&gt;0,AA3098&lt;1,NOT(AND(C3099=C3098,AA3099=AA3098+1))),INDEX(DATAS,AA3098+1),"")</f>
        <v/>
      </c>
      <c r="AI3098" s="51" t="str">
        <f aca="false">IF(AND(AC3098=1,AA3098&lt;1),IF(AND(C3099=C3098,AA3099=AA3098+1),IF(AC3099=1,"",INDEX(DATAS,AA3098+1)),INDEX(DATAS,AA3098+1)),"")</f>
        <v/>
      </c>
    </row>
    <row r="3099" customFormat="false" ht="15" hidden="false" customHeight="false" outlineLevel="0" collapsed="false">
      <c r="A3099" s="51" t="n">
        <v>46309</v>
      </c>
      <c r="B3099" s="0" t="n">
        <v>13</v>
      </c>
      <c r="C3099" s="0" t="n">
        <v>7506</v>
      </c>
      <c r="E3099" s="0" t="n">
        <v>0</v>
      </c>
      <c r="F3099" s="46" t="s">
        <v>1497</v>
      </c>
      <c r="I3099" s="46" t="s">
        <v>179</v>
      </c>
      <c r="U3099" s="0" t="n">
        <v>213</v>
      </c>
      <c r="V3099" s="0" t="n">
        <v>0</v>
      </c>
      <c r="X3099" s="46" t="n">
        <f aca="false">IF(I3099="Male",0,1)</f>
        <v>1</v>
      </c>
      <c r="Y3099" s="46" t="n">
        <f aca="false">IF(OR(I3099="DNB",I3099="Dry DNB"),1,0)</f>
        <v>0</v>
      </c>
      <c r="Z3099" s="0" t="str">
        <f aca="false">IF(ISNUMBER(W3099),A3099-W3099,"")</f>
        <v/>
      </c>
      <c r="AA3099" s="46" t="n">
        <f aca="false">MATCH(A3099,DATAS,0)</f>
        <v>1</v>
      </c>
      <c r="AB3099" s="46" t="n">
        <f aca="false">IF(AND(E3099&gt;0,OR(AND(B3099&gt;=1,B3099&lt;=6),B3099=10)),1,0)</f>
        <v>0</v>
      </c>
      <c r="AC3099" s="46" t="n">
        <f aca="false">IF(AND(E3099&gt;0,B3099=10),1,0)</f>
        <v>0</v>
      </c>
      <c r="AD3099" s="0" t="str">
        <f aca="false">IF(AND(C3098=C3099,AA3098=AA3099-1),AB3098,"")</f>
        <v/>
      </c>
      <c r="AE3099" s="0" t="str">
        <f aca="false">IF(AND(C3098=C3099,AA3098=AA3099-1),AC3098,"")</f>
        <v/>
      </c>
      <c r="AF3099" s="0" t="str">
        <f aca="false">IF(AA3099=1,"",IF(AND(AB3099=1,AD3099&lt;&gt;1),1,0))</f>
        <v/>
      </c>
      <c r="AG3099" s="0" t="str">
        <f aca="false">IF(AA3099=1,"",IF(AND(AC3099=1,AE3099&lt;&gt;1),1,0))</f>
        <v/>
      </c>
      <c r="AH3099" s="51" t="str">
        <f aca="false">IF(AND(E3099&gt;0,AA3099&lt;1,NOT(AND(C3100=C3099,AA3100=AA3099+1))),INDEX(DATAS,AA3099+1),"")</f>
        <v/>
      </c>
      <c r="AI3099" s="51" t="str">
        <f aca="false">IF(AND(AC3099=1,AA3099&lt;1),IF(AND(C3100=C3099,AA3100=AA3099+1),IF(AC3100=1,"",INDEX(DATAS,AA3099+1)),INDEX(DATAS,AA3099+1)),"")</f>
        <v/>
      </c>
    </row>
    <row r="3100" customFormat="false" ht="15" hidden="false" customHeight="false" outlineLevel="0" collapsed="false">
      <c r="A3100" s="51" t="n">
        <v>46309</v>
      </c>
      <c r="B3100" s="0" t="n">
        <v>13</v>
      </c>
      <c r="C3100" s="0" t="n">
        <v>7507</v>
      </c>
      <c r="E3100" s="0" t="n">
        <v>0</v>
      </c>
      <c r="F3100" s="46" t="s">
        <v>1497</v>
      </c>
      <c r="I3100" s="46" t="s">
        <v>179</v>
      </c>
      <c r="U3100" s="0" t="n">
        <v>213</v>
      </c>
      <c r="V3100" s="0" t="n">
        <v>0</v>
      </c>
      <c r="X3100" s="46" t="n">
        <f aca="false">IF(I3100="Male",0,1)</f>
        <v>1</v>
      </c>
      <c r="Y3100" s="46" t="n">
        <f aca="false">IF(OR(I3100="DNB",I3100="Dry DNB"),1,0)</f>
        <v>0</v>
      </c>
      <c r="Z3100" s="0" t="str">
        <f aca="false">IF(ISNUMBER(W3100),A3100-W3100,"")</f>
        <v/>
      </c>
      <c r="AA3100" s="46" t="n">
        <f aca="false">MATCH(A3100,DATAS,0)</f>
        <v>1</v>
      </c>
      <c r="AB3100" s="46" t="n">
        <f aca="false">IF(AND(E3100&gt;0,OR(AND(B3100&gt;=1,B3100&lt;=6),B3100=10)),1,0)</f>
        <v>0</v>
      </c>
      <c r="AC3100" s="46" t="n">
        <f aca="false">IF(AND(E3100&gt;0,B3100=10),1,0)</f>
        <v>0</v>
      </c>
      <c r="AD3100" s="0" t="str">
        <f aca="false">IF(AND(C3099=C3100,AA3099=AA3100-1),AB3099,"")</f>
        <v/>
      </c>
      <c r="AE3100" s="0" t="str">
        <f aca="false">IF(AND(C3099=C3100,AA3099=AA3100-1),AC3099,"")</f>
        <v/>
      </c>
      <c r="AF3100" s="0" t="str">
        <f aca="false">IF(AA3100=1,"",IF(AND(AB3100=1,AD3100&lt;&gt;1),1,0))</f>
        <v/>
      </c>
      <c r="AG3100" s="0" t="str">
        <f aca="false">IF(AA3100=1,"",IF(AND(AC3100=1,AE3100&lt;&gt;1),1,0))</f>
        <v/>
      </c>
      <c r="AH3100" s="51" t="str">
        <f aca="false">IF(AND(E3100&gt;0,AA3100&lt;1,NOT(AND(C3101=C3100,AA3101=AA3100+1))),INDEX(DATAS,AA3100+1),"")</f>
        <v/>
      </c>
      <c r="AI3100" s="51" t="str">
        <f aca="false">IF(AND(AC3100=1,AA3100&lt;1),IF(AND(C3101=C3100,AA3101=AA3100+1),IF(AC3101=1,"",INDEX(DATAS,AA3100+1)),INDEX(DATAS,AA3100+1)),"")</f>
        <v/>
      </c>
    </row>
    <row r="3101" customFormat="false" ht="15" hidden="false" customHeight="false" outlineLevel="0" collapsed="false">
      <c r="A3101" s="51" t="n">
        <v>46309</v>
      </c>
      <c r="B3101" s="0" t="n">
        <v>13</v>
      </c>
      <c r="C3101" s="0" t="n">
        <v>7508</v>
      </c>
      <c r="E3101" s="0" t="n">
        <v>0</v>
      </c>
      <c r="F3101" s="46" t="s">
        <v>1498</v>
      </c>
      <c r="I3101" s="46" t="s">
        <v>179</v>
      </c>
      <c r="U3101" s="0" t="n">
        <v>212</v>
      </c>
      <c r="V3101" s="0" t="n">
        <v>0</v>
      </c>
      <c r="X3101" s="46" t="n">
        <f aca="false">IF(I3101="Male",0,1)</f>
        <v>1</v>
      </c>
      <c r="Y3101" s="46" t="n">
        <f aca="false">IF(OR(I3101="DNB",I3101="Dry DNB"),1,0)</f>
        <v>0</v>
      </c>
      <c r="Z3101" s="0" t="str">
        <f aca="false">IF(ISNUMBER(W3101),A3101-W3101,"")</f>
        <v/>
      </c>
      <c r="AA3101" s="46" t="n">
        <f aca="false">MATCH(A3101,DATAS,0)</f>
        <v>1</v>
      </c>
      <c r="AB3101" s="46" t="n">
        <f aca="false">IF(AND(E3101&gt;0,OR(AND(B3101&gt;=1,B3101&lt;=6),B3101=10)),1,0)</f>
        <v>0</v>
      </c>
      <c r="AC3101" s="46" t="n">
        <f aca="false">IF(AND(E3101&gt;0,B3101=10),1,0)</f>
        <v>0</v>
      </c>
      <c r="AD3101" s="0" t="str">
        <f aca="false">IF(AND(C3100=C3101,AA3100=AA3101-1),AB3100,"")</f>
        <v/>
      </c>
      <c r="AE3101" s="0" t="str">
        <f aca="false">IF(AND(C3100=C3101,AA3100=AA3101-1),AC3100,"")</f>
        <v/>
      </c>
      <c r="AF3101" s="0" t="str">
        <f aca="false">IF(AA3101=1,"",IF(AND(AB3101=1,AD3101&lt;&gt;1),1,0))</f>
        <v/>
      </c>
      <c r="AG3101" s="0" t="str">
        <f aca="false">IF(AA3101=1,"",IF(AND(AC3101=1,AE3101&lt;&gt;1),1,0))</f>
        <v/>
      </c>
      <c r="AH3101" s="51" t="str">
        <f aca="false">IF(AND(E3101&gt;0,AA3101&lt;1,NOT(AND(C3102=C3101,AA3102=AA3101+1))),INDEX(DATAS,AA3101+1),"")</f>
        <v/>
      </c>
      <c r="AI3101" s="51" t="str">
        <f aca="false">IF(AND(AC3101=1,AA3101&lt;1),IF(AND(C3102=C3101,AA3102=AA3101+1),IF(AC3102=1,"",INDEX(DATAS,AA3101+1)),INDEX(DATAS,AA3101+1)),"")</f>
        <v/>
      </c>
    </row>
    <row r="3102" customFormat="false" ht="15" hidden="false" customHeight="false" outlineLevel="0" collapsed="false">
      <c r="A3102" s="51" t="n">
        <v>46309</v>
      </c>
      <c r="B3102" s="0" t="n">
        <v>13</v>
      </c>
      <c r="C3102" s="0" t="n">
        <v>7509</v>
      </c>
      <c r="E3102" s="0" t="n">
        <v>0</v>
      </c>
      <c r="F3102" s="46" t="s">
        <v>1498</v>
      </c>
      <c r="I3102" s="46" t="s">
        <v>179</v>
      </c>
      <c r="U3102" s="0" t="n">
        <v>212</v>
      </c>
      <c r="V3102" s="0" t="n">
        <v>0</v>
      </c>
      <c r="X3102" s="46" t="n">
        <f aca="false">IF(I3102="Male",0,1)</f>
        <v>1</v>
      </c>
      <c r="Y3102" s="46" t="n">
        <f aca="false">IF(OR(I3102="DNB",I3102="Dry DNB"),1,0)</f>
        <v>0</v>
      </c>
      <c r="Z3102" s="0" t="str">
        <f aca="false">IF(ISNUMBER(W3102),A3102-W3102,"")</f>
        <v/>
      </c>
      <c r="AA3102" s="46" t="n">
        <f aca="false">MATCH(A3102,DATAS,0)</f>
        <v>1</v>
      </c>
      <c r="AB3102" s="46" t="n">
        <f aca="false">IF(AND(E3102&gt;0,OR(AND(B3102&gt;=1,B3102&lt;=6),B3102=10)),1,0)</f>
        <v>0</v>
      </c>
      <c r="AC3102" s="46" t="n">
        <f aca="false">IF(AND(E3102&gt;0,B3102=10),1,0)</f>
        <v>0</v>
      </c>
      <c r="AD3102" s="0" t="str">
        <f aca="false">IF(AND(C3101=C3102,AA3101=AA3102-1),AB3101,"")</f>
        <v/>
      </c>
      <c r="AE3102" s="0" t="str">
        <f aca="false">IF(AND(C3101=C3102,AA3101=AA3102-1),AC3101,"")</f>
        <v/>
      </c>
      <c r="AF3102" s="0" t="str">
        <f aca="false">IF(AA3102=1,"",IF(AND(AB3102=1,AD3102&lt;&gt;1),1,0))</f>
        <v/>
      </c>
      <c r="AG3102" s="0" t="str">
        <f aca="false">IF(AA3102=1,"",IF(AND(AC3102=1,AE3102&lt;&gt;1),1,0))</f>
        <v/>
      </c>
      <c r="AH3102" s="51" t="str">
        <f aca="false">IF(AND(E3102&gt;0,AA3102&lt;1,NOT(AND(C3103=C3102,AA3103=AA3102+1))),INDEX(DATAS,AA3102+1),"")</f>
        <v/>
      </c>
      <c r="AI3102" s="51" t="str">
        <f aca="false">IF(AND(AC3102=1,AA3102&lt;1),IF(AND(C3103=C3102,AA3103=AA3102+1),IF(AC3103=1,"",INDEX(DATAS,AA3102+1)),INDEX(DATAS,AA3102+1)),"")</f>
        <v/>
      </c>
    </row>
    <row r="3103" customFormat="false" ht="15" hidden="false" customHeight="false" outlineLevel="0" collapsed="false">
      <c r="A3103" s="51" t="n">
        <v>46309</v>
      </c>
      <c r="B3103" s="0" t="n">
        <v>13</v>
      </c>
      <c r="C3103" s="0" t="n">
        <v>7510</v>
      </c>
      <c r="E3103" s="0" t="n">
        <v>0</v>
      </c>
      <c r="F3103" s="46" t="s">
        <v>1498</v>
      </c>
      <c r="I3103" s="46" t="s">
        <v>179</v>
      </c>
      <c r="U3103" s="0" t="n">
        <v>212</v>
      </c>
      <c r="V3103" s="0" t="n">
        <v>0</v>
      </c>
      <c r="X3103" s="46" t="n">
        <f aca="false">IF(I3103="Male",0,1)</f>
        <v>1</v>
      </c>
      <c r="Y3103" s="46" t="n">
        <f aca="false">IF(OR(I3103="DNB",I3103="Dry DNB"),1,0)</f>
        <v>0</v>
      </c>
      <c r="Z3103" s="0" t="str">
        <f aca="false">IF(ISNUMBER(W3103),A3103-W3103,"")</f>
        <v/>
      </c>
      <c r="AA3103" s="46" t="n">
        <f aca="false">MATCH(A3103,DATAS,0)</f>
        <v>1</v>
      </c>
      <c r="AB3103" s="46" t="n">
        <f aca="false">IF(AND(E3103&gt;0,OR(AND(B3103&gt;=1,B3103&lt;=6),B3103=10)),1,0)</f>
        <v>0</v>
      </c>
      <c r="AC3103" s="46" t="n">
        <f aca="false">IF(AND(E3103&gt;0,B3103=10),1,0)</f>
        <v>0</v>
      </c>
      <c r="AD3103" s="0" t="str">
        <f aca="false">IF(AND(C3102=C3103,AA3102=AA3103-1),AB3102,"")</f>
        <v/>
      </c>
      <c r="AE3103" s="0" t="str">
        <f aca="false">IF(AND(C3102=C3103,AA3102=AA3103-1),AC3102,"")</f>
        <v/>
      </c>
      <c r="AF3103" s="0" t="str">
        <f aca="false">IF(AA3103=1,"",IF(AND(AB3103=1,AD3103&lt;&gt;1),1,0))</f>
        <v/>
      </c>
      <c r="AG3103" s="0" t="str">
        <f aca="false">IF(AA3103=1,"",IF(AND(AC3103=1,AE3103&lt;&gt;1),1,0))</f>
        <v/>
      </c>
      <c r="AH3103" s="51" t="str">
        <f aca="false">IF(AND(E3103&gt;0,AA3103&lt;1,NOT(AND(C3104=C3103,AA3104=AA3103+1))),INDEX(DATAS,AA3103+1),"")</f>
        <v/>
      </c>
      <c r="AI3103" s="51" t="str">
        <f aca="false">IF(AND(AC3103=1,AA3103&lt;1),IF(AND(C3104=C3103,AA3104=AA3103+1),IF(AC3104=1,"",INDEX(DATAS,AA3103+1)),INDEX(DATAS,AA3103+1)),"")</f>
        <v/>
      </c>
    </row>
    <row r="3104" customFormat="false" ht="15" hidden="false" customHeight="false" outlineLevel="0" collapsed="false">
      <c r="A3104" s="51" t="n">
        <v>46309</v>
      </c>
      <c r="B3104" s="0" t="n">
        <v>13</v>
      </c>
      <c r="C3104" s="0" t="n">
        <v>7511</v>
      </c>
      <c r="E3104" s="0" t="n">
        <v>0</v>
      </c>
      <c r="F3104" s="46" t="s">
        <v>1498</v>
      </c>
      <c r="I3104" s="46" t="s">
        <v>179</v>
      </c>
      <c r="U3104" s="0" t="n">
        <v>212</v>
      </c>
      <c r="V3104" s="0" t="n">
        <v>0</v>
      </c>
      <c r="X3104" s="46" t="n">
        <f aca="false">IF(I3104="Male",0,1)</f>
        <v>1</v>
      </c>
      <c r="Y3104" s="46" t="n">
        <f aca="false">IF(OR(I3104="DNB",I3104="Dry DNB"),1,0)</f>
        <v>0</v>
      </c>
      <c r="Z3104" s="0" t="str">
        <f aca="false">IF(ISNUMBER(W3104),A3104-W3104,"")</f>
        <v/>
      </c>
      <c r="AA3104" s="46" t="n">
        <f aca="false">MATCH(A3104,DATAS,0)</f>
        <v>1</v>
      </c>
      <c r="AB3104" s="46" t="n">
        <f aca="false">IF(AND(E3104&gt;0,OR(AND(B3104&gt;=1,B3104&lt;=6),B3104=10)),1,0)</f>
        <v>0</v>
      </c>
      <c r="AC3104" s="46" t="n">
        <f aca="false">IF(AND(E3104&gt;0,B3104=10),1,0)</f>
        <v>0</v>
      </c>
      <c r="AD3104" s="0" t="str">
        <f aca="false">IF(AND(C3103=C3104,AA3103=AA3104-1),AB3103,"")</f>
        <v/>
      </c>
      <c r="AE3104" s="0" t="str">
        <f aca="false">IF(AND(C3103=C3104,AA3103=AA3104-1),AC3103,"")</f>
        <v/>
      </c>
      <c r="AF3104" s="0" t="str">
        <f aca="false">IF(AA3104=1,"",IF(AND(AB3104=1,AD3104&lt;&gt;1),1,0))</f>
        <v/>
      </c>
      <c r="AG3104" s="0" t="str">
        <f aca="false">IF(AA3104=1,"",IF(AND(AC3104=1,AE3104&lt;&gt;1),1,0))</f>
        <v/>
      </c>
      <c r="AH3104" s="51" t="str">
        <f aca="false">IF(AND(E3104&gt;0,AA3104&lt;1,NOT(AND(C3105=C3104,AA3105=AA3104+1))),INDEX(DATAS,AA3104+1),"")</f>
        <v/>
      </c>
      <c r="AI3104" s="51" t="str">
        <f aca="false">IF(AND(AC3104=1,AA3104&lt;1),IF(AND(C3105=C3104,AA3105=AA3104+1),IF(AC3105=1,"",INDEX(DATAS,AA3104+1)),INDEX(DATAS,AA3104+1)),"")</f>
        <v/>
      </c>
    </row>
    <row r="3105" customFormat="false" ht="15" hidden="false" customHeight="false" outlineLevel="0" collapsed="false">
      <c r="A3105" s="51" t="n">
        <v>46309</v>
      </c>
      <c r="B3105" s="0" t="n">
        <v>13</v>
      </c>
      <c r="C3105" s="0" t="n">
        <v>7512</v>
      </c>
      <c r="E3105" s="0" t="n">
        <v>0</v>
      </c>
      <c r="F3105" s="46" t="s">
        <v>1498</v>
      </c>
      <c r="I3105" s="46" t="s">
        <v>179</v>
      </c>
      <c r="U3105" s="0" t="n">
        <v>212</v>
      </c>
      <c r="V3105" s="0" t="n">
        <v>0</v>
      </c>
      <c r="X3105" s="46" t="n">
        <f aca="false">IF(I3105="Male",0,1)</f>
        <v>1</v>
      </c>
      <c r="Y3105" s="46" t="n">
        <f aca="false">IF(OR(I3105="DNB",I3105="Dry DNB"),1,0)</f>
        <v>0</v>
      </c>
      <c r="Z3105" s="0" t="str">
        <f aca="false">IF(ISNUMBER(W3105),A3105-W3105,"")</f>
        <v/>
      </c>
      <c r="AA3105" s="46" t="n">
        <f aca="false">MATCH(A3105,DATAS,0)</f>
        <v>1</v>
      </c>
      <c r="AB3105" s="46" t="n">
        <f aca="false">IF(AND(E3105&gt;0,OR(AND(B3105&gt;=1,B3105&lt;=6),B3105=10)),1,0)</f>
        <v>0</v>
      </c>
      <c r="AC3105" s="46" t="n">
        <f aca="false">IF(AND(E3105&gt;0,B3105=10),1,0)</f>
        <v>0</v>
      </c>
      <c r="AD3105" s="0" t="str">
        <f aca="false">IF(AND(C3104=C3105,AA3104=AA3105-1),AB3104,"")</f>
        <v/>
      </c>
      <c r="AE3105" s="0" t="str">
        <f aca="false">IF(AND(C3104=C3105,AA3104=AA3105-1),AC3104,"")</f>
        <v/>
      </c>
      <c r="AF3105" s="0" t="str">
        <f aca="false">IF(AA3105=1,"",IF(AND(AB3105=1,AD3105&lt;&gt;1),1,0))</f>
        <v/>
      </c>
      <c r="AG3105" s="0" t="str">
        <f aca="false">IF(AA3105=1,"",IF(AND(AC3105=1,AE3105&lt;&gt;1),1,0))</f>
        <v/>
      </c>
      <c r="AH3105" s="51" t="str">
        <f aca="false">IF(AND(E3105&gt;0,AA3105&lt;1,NOT(AND(C3106=C3105,AA3106=AA3105+1))),INDEX(DATAS,AA3105+1),"")</f>
        <v/>
      </c>
      <c r="AI3105" s="51" t="str">
        <f aca="false">IF(AND(AC3105=1,AA3105&lt;1),IF(AND(C3106=C3105,AA3106=AA3105+1),IF(AC3106=1,"",INDEX(DATAS,AA3105+1)),INDEX(DATAS,AA3105+1)),"")</f>
        <v/>
      </c>
    </row>
    <row r="3106" customFormat="false" ht="15" hidden="false" customHeight="false" outlineLevel="0" collapsed="false">
      <c r="A3106" s="51" t="n">
        <v>46309</v>
      </c>
      <c r="B3106" s="0" t="n">
        <v>13</v>
      </c>
      <c r="C3106" s="0" t="n">
        <v>7513</v>
      </c>
      <c r="E3106" s="0" t="n">
        <v>0</v>
      </c>
      <c r="F3106" s="46" t="s">
        <v>1499</v>
      </c>
      <c r="I3106" s="46" t="s">
        <v>179</v>
      </c>
      <c r="U3106" s="0" t="n">
        <v>211</v>
      </c>
      <c r="V3106" s="0" t="n">
        <v>0</v>
      </c>
      <c r="X3106" s="46" t="n">
        <f aca="false">IF(I3106="Male",0,1)</f>
        <v>1</v>
      </c>
      <c r="Y3106" s="46" t="n">
        <f aca="false">IF(OR(I3106="DNB",I3106="Dry DNB"),1,0)</f>
        <v>0</v>
      </c>
      <c r="Z3106" s="0" t="str">
        <f aca="false">IF(ISNUMBER(W3106),A3106-W3106,"")</f>
        <v/>
      </c>
      <c r="AA3106" s="46" t="n">
        <f aca="false">MATCH(A3106,DATAS,0)</f>
        <v>1</v>
      </c>
      <c r="AB3106" s="46" t="n">
        <f aca="false">IF(AND(E3106&gt;0,OR(AND(B3106&gt;=1,B3106&lt;=6),B3106=10)),1,0)</f>
        <v>0</v>
      </c>
      <c r="AC3106" s="46" t="n">
        <f aca="false">IF(AND(E3106&gt;0,B3106=10),1,0)</f>
        <v>0</v>
      </c>
      <c r="AD3106" s="0" t="str">
        <f aca="false">IF(AND(C3105=C3106,AA3105=AA3106-1),AB3105,"")</f>
        <v/>
      </c>
      <c r="AE3106" s="0" t="str">
        <f aca="false">IF(AND(C3105=C3106,AA3105=AA3106-1),AC3105,"")</f>
        <v/>
      </c>
      <c r="AF3106" s="0" t="str">
        <f aca="false">IF(AA3106=1,"",IF(AND(AB3106=1,AD3106&lt;&gt;1),1,0))</f>
        <v/>
      </c>
      <c r="AG3106" s="0" t="str">
        <f aca="false">IF(AA3106=1,"",IF(AND(AC3106=1,AE3106&lt;&gt;1),1,0))</f>
        <v/>
      </c>
      <c r="AH3106" s="51" t="str">
        <f aca="false">IF(AND(E3106&gt;0,AA3106&lt;1,NOT(AND(C3107=C3106,AA3107=AA3106+1))),INDEX(DATAS,AA3106+1),"")</f>
        <v/>
      </c>
      <c r="AI3106" s="51" t="str">
        <f aca="false">IF(AND(AC3106=1,AA3106&lt;1),IF(AND(C3107=C3106,AA3107=AA3106+1),IF(AC3107=1,"",INDEX(DATAS,AA3106+1)),INDEX(DATAS,AA3106+1)),"")</f>
        <v/>
      </c>
    </row>
    <row r="3107" customFormat="false" ht="15" hidden="false" customHeight="false" outlineLevel="0" collapsed="false">
      <c r="A3107" s="51" t="n">
        <v>46309</v>
      </c>
      <c r="B3107" s="0" t="n">
        <v>13</v>
      </c>
      <c r="C3107" s="0" t="n">
        <v>7514</v>
      </c>
      <c r="E3107" s="0" t="n">
        <v>0</v>
      </c>
      <c r="F3107" s="46" t="s">
        <v>1499</v>
      </c>
      <c r="I3107" s="46" t="s">
        <v>179</v>
      </c>
      <c r="U3107" s="0" t="n">
        <v>211</v>
      </c>
      <c r="V3107" s="0" t="n">
        <v>0</v>
      </c>
      <c r="X3107" s="46" t="n">
        <f aca="false">IF(I3107="Male",0,1)</f>
        <v>1</v>
      </c>
      <c r="Y3107" s="46" t="n">
        <f aca="false">IF(OR(I3107="DNB",I3107="Dry DNB"),1,0)</f>
        <v>0</v>
      </c>
      <c r="Z3107" s="0" t="str">
        <f aca="false">IF(ISNUMBER(W3107),A3107-W3107,"")</f>
        <v/>
      </c>
      <c r="AA3107" s="46" t="n">
        <f aca="false">MATCH(A3107,DATAS,0)</f>
        <v>1</v>
      </c>
      <c r="AB3107" s="46" t="n">
        <f aca="false">IF(AND(E3107&gt;0,OR(AND(B3107&gt;=1,B3107&lt;=6),B3107=10)),1,0)</f>
        <v>0</v>
      </c>
      <c r="AC3107" s="46" t="n">
        <f aca="false">IF(AND(E3107&gt;0,B3107=10),1,0)</f>
        <v>0</v>
      </c>
      <c r="AD3107" s="0" t="str">
        <f aca="false">IF(AND(C3106=C3107,AA3106=AA3107-1),AB3106,"")</f>
        <v/>
      </c>
      <c r="AE3107" s="0" t="str">
        <f aca="false">IF(AND(C3106=C3107,AA3106=AA3107-1),AC3106,"")</f>
        <v/>
      </c>
      <c r="AF3107" s="0" t="str">
        <f aca="false">IF(AA3107=1,"",IF(AND(AB3107=1,AD3107&lt;&gt;1),1,0))</f>
        <v/>
      </c>
      <c r="AG3107" s="0" t="str">
        <f aca="false">IF(AA3107=1,"",IF(AND(AC3107=1,AE3107&lt;&gt;1),1,0))</f>
        <v/>
      </c>
      <c r="AH3107" s="51" t="str">
        <f aca="false">IF(AND(E3107&gt;0,AA3107&lt;1,NOT(AND(C3108=C3107,AA3108=AA3107+1))),INDEX(DATAS,AA3107+1),"")</f>
        <v/>
      </c>
      <c r="AI3107" s="51" t="str">
        <f aca="false">IF(AND(AC3107=1,AA3107&lt;1),IF(AND(C3108=C3107,AA3108=AA3107+1),IF(AC3108=1,"",INDEX(DATAS,AA3107+1)),INDEX(DATAS,AA3107+1)),"")</f>
        <v/>
      </c>
    </row>
    <row r="3108" customFormat="false" ht="15" hidden="false" customHeight="false" outlineLevel="0" collapsed="false">
      <c r="A3108" s="51" t="n">
        <v>46309</v>
      </c>
      <c r="B3108" s="0" t="n">
        <v>13</v>
      </c>
      <c r="C3108" s="0" t="n">
        <v>7516</v>
      </c>
      <c r="E3108" s="0" t="n">
        <v>0</v>
      </c>
      <c r="F3108" s="46" t="s">
        <v>1499</v>
      </c>
      <c r="I3108" s="46" t="s">
        <v>179</v>
      </c>
      <c r="U3108" s="0" t="n">
        <v>211</v>
      </c>
      <c r="V3108" s="0" t="n">
        <v>0</v>
      </c>
      <c r="X3108" s="46" t="n">
        <f aca="false">IF(I3108="Male",0,1)</f>
        <v>1</v>
      </c>
      <c r="Y3108" s="46" t="n">
        <f aca="false">IF(OR(I3108="DNB",I3108="Dry DNB"),1,0)</f>
        <v>0</v>
      </c>
      <c r="Z3108" s="0" t="str">
        <f aca="false">IF(ISNUMBER(W3108),A3108-W3108,"")</f>
        <v/>
      </c>
      <c r="AA3108" s="46" t="n">
        <f aca="false">MATCH(A3108,DATAS,0)</f>
        <v>1</v>
      </c>
      <c r="AB3108" s="46" t="n">
        <f aca="false">IF(AND(E3108&gt;0,OR(AND(B3108&gt;=1,B3108&lt;=6),B3108=10)),1,0)</f>
        <v>0</v>
      </c>
      <c r="AC3108" s="46" t="n">
        <f aca="false">IF(AND(E3108&gt;0,B3108=10),1,0)</f>
        <v>0</v>
      </c>
      <c r="AD3108" s="0" t="str">
        <f aca="false">IF(AND(C3107=C3108,AA3107=AA3108-1),AB3107,"")</f>
        <v/>
      </c>
      <c r="AE3108" s="0" t="str">
        <f aca="false">IF(AND(C3107=C3108,AA3107=AA3108-1),AC3107,"")</f>
        <v/>
      </c>
      <c r="AF3108" s="0" t="str">
        <f aca="false">IF(AA3108=1,"",IF(AND(AB3108=1,AD3108&lt;&gt;1),1,0))</f>
        <v/>
      </c>
      <c r="AG3108" s="0" t="str">
        <f aca="false">IF(AA3108=1,"",IF(AND(AC3108=1,AE3108&lt;&gt;1),1,0))</f>
        <v/>
      </c>
      <c r="AH3108" s="51" t="str">
        <f aca="false">IF(AND(E3108&gt;0,AA3108&lt;1,NOT(AND(C3109=C3108,AA3109=AA3108+1))),INDEX(DATAS,AA3108+1),"")</f>
        <v/>
      </c>
      <c r="AI3108" s="51" t="str">
        <f aca="false">IF(AND(AC3108=1,AA3108&lt;1),IF(AND(C3109=C3108,AA3109=AA3108+1),IF(AC3109=1,"",INDEX(DATAS,AA3108+1)),INDEX(DATAS,AA3108+1)),"")</f>
        <v/>
      </c>
    </row>
    <row r="3109" customFormat="false" ht="15" hidden="false" customHeight="false" outlineLevel="0" collapsed="false">
      <c r="A3109" s="51" t="n">
        <v>46309</v>
      </c>
      <c r="B3109" s="0" t="n">
        <v>13</v>
      </c>
      <c r="C3109" s="0" t="n">
        <v>7517</v>
      </c>
      <c r="E3109" s="0" t="n">
        <v>0</v>
      </c>
      <c r="F3109" s="46" t="s">
        <v>1500</v>
      </c>
      <c r="I3109" s="46" t="s">
        <v>179</v>
      </c>
      <c r="U3109" s="0" t="n">
        <v>210</v>
      </c>
      <c r="V3109" s="0" t="n">
        <v>0</v>
      </c>
      <c r="X3109" s="46" t="n">
        <f aca="false">IF(I3109="Male",0,1)</f>
        <v>1</v>
      </c>
      <c r="Y3109" s="46" t="n">
        <f aca="false">IF(OR(I3109="DNB",I3109="Dry DNB"),1,0)</f>
        <v>0</v>
      </c>
      <c r="Z3109" s="0" t="str">
        <f aca="false">IF(ISNUMBER(W3109),A3109-W3109,"")</f>
        <v/>
      </c>
      <c r="AA3109" s="46" t="n">
        <f aca="false">MATCH(A3109,DATAS,0)</f>
        <v>1</v>
      </c>
      <c r="AB3109" s="46" t="n">
        <f aca="false">IF(AND(E3109&gt;0,OR(AND(B3109&gt;=1,B3109&lt;=6),B3109=10)),1,0)</f>
        <v>0</v>
      </c>
      <c r="AC3109" s="46" t="n">
        <f aca="false">IF(AND(E3109&gt;0,B3109=10),1,0)</f>
        <v>0</v>
      </c>
      <c r="AD3109" s="0" t="str">
        <f aca="false">IF(AND(C3108=C3109,AA3108=AA3109-1),AB3108,"")</f>
        <v/>
      </c>
      <c r="AE3109" s="0" t="str">
        <f aca="false">IF(AND(C3108=C3109,AA3108=AA3109-1),AC3108,"")</f>
        <v/>
      </c>
      <c r="AF3109" s="0" t="str">
        <f aca="false">IF(AA3109=1,"",IF(AND(AB3109=1,AD3109&lt;&gt;1),1,0))</f>
        <v/>
      </c>
      <c r="AG3109" s="0" t="str">
        <f aca="false">IF(AA3109=1,"",IF(AND(AC3109=1,AE3109&lt;&gt;1),1,0))</f>
        <v/>
      </c>
      <c r="AH3109" s="51" t="str">
        <f aca="false">IF(AND(E3109&gt;0,AA3109&lt;1,NOT(AND(C3110=C3109,AA3110=AA3109+1))),INDEX(DATAS,AA3109+1),"")</f>
        <v/>
      </c>
      <c r="AI3109" s="51" t="str">
        <f aca="false">IF(AND(AC3109=1,AA3109&lt;1),IF(AND(C3110=C3109,AA3110=AA3109+1),IF(AC3110=1,"",INDEX(DATAS,AA3109+1)),INDEX(DATAS,AA3109+1)),"")</f>
        <v/>
      </c>
    </row>
    <row r="3110" customFormat="false" ht="15" hidden="false" customHeight="false" outlineLevel="0" collapsed="false">
      <c r="A3110" s="51" t="n">
        <v>46309</v>
      </c>
      <c r="B3110" s="0" t="n">
        <v>13</v>
      </c>
      <c r="C3110" s="0" t="n">
        <v>7519</v>
      </c>
      <c r="E3110" s="0" t="n">
        <v>0</v>
      </c>
      <c r="F3110" s="46" t="s">
        <v>1500</v>
      </c>
      <c r="I3110" s="46" t="s">
        <v>179</v>
      </c>
      <c r="U3110" s="0" t="n">
        <v>210</v>
      </c>
      <c r="V3110" s="0" t="n">
        <v>0</v>
      </c>
      <c r="X3110" s="46" t="n">
        <f aca="false">IF(I3110="Male",0,1)</f>
        <v>1</v>
      </c>
      <c r="Y3110" s="46" t="n">
        <f aca="false">IF(OR(I3110="DNB",I3110="Dry DNB"),1,0)</f>
        <v>0</v>
      </c>
      <c r="Z3110" s="0" t="str">
        <f aca="false">IF(ISNUMBER(W3110),A3110-W3110,"")</f>
        <v/>
      </c>
      <c r="AA3110" s="46" t="n">
        <f aca="false">MATCH(A3110,DATAS,0)</f>
        <v>1</v>
      </c>
      <c r="AB3110" s="46" t="n">
        <f aca="false">IF(AND(E3110&gt;0,OR(AND(B3110&gt;=1,B3110&lt;=6),B3110=10)),1,0)</f>
        <v>0</v>
      </c>
      <c r="AC3110" s="46" t="n">
        <f aca="false">IF(AND(E3110&gt;0,B3110=10),1,0)</f>
        <v>0</v>
      </c>
      <c r="AD3110" s="0" t="str">
        <f aca="false">IF(AND(C3109=C3110,AA3109=AA3110-1),AB3109,"")</f>
        <v/>
      </c>
      <c r="AE3110" s="0" t="str">
        <f aca="false">IF(AND(C3109=C3110,AA3109=AA3110-1),AC3109,"")</f>
        <v/>
      </c>
      <c r="AF3110" s="0" t="str">
        <f aca="false">IF(AA3110=1,"",IF(AND(AB3110=1,AD3110&lt;&gt;1),1,0))</f>
        <v/>
      </c>
      <c r="AG3110" s="0" t="str">
        <f aca="false">IF(AA3110=1,"",IF(AND(AC3110=1,AE3110&lt;&gt;1),1,0))</f>
        <v/>
      </c>
      <c r="AH3110" s="51" t="str">
        <f aca="false">IF(AND(E3110&gt;0,AA3110&lt;1,NOT(AND(C3111=C3110,AA3111=AA3110+1))),INDEX(DATAS,AA3110+1),"")</f>
        <v/>
      </c>
      <c r="AI3110" s="51" t="str">
        <f aca="false">IF(AND(AC3110=1,AA3110&lt;1),IF(AND(C3111=C3110,AA3111=AA3110+1),IF(AC3111=1,"",INDEX(DATAS,AA3110+1)),INDEX(DATAS,AA3110+1)),"")</f>
        <v/>
      </c>
    </row>
    <row r="3111" customFormat="false" ht="15" hidden="false" customHeight="false" outlineLevel="0" collapsed="false">
      <c r="A3111" s="51" t="n">
        <v>46309</v>
      </c>
      <c r="B3111" s="0" t="n">
        <v>13</v>
      </c>
      <c r="C3111" s="0" t="n">
        <v>7520</v>
      </c>
      <c r="E3111" s="0" t="n">
        <v>0</v>
      </c>
      <c r="F3111" s="46" t="s">
        <v>1500</v>
      </c>
      <c r="I3111" s="46" t="s">
        <v>179</v>
      </c>
      <c r="U3111" s="0" t="n">
        <v>210</v>
      </c>
      <c r="V3111" s="0" t="n">
        <v>0</v>
      </c>
      <c r="X3111" s="46" t="n">
        <f aca="false">IF(I3111="Male",0,1)</f>
        <v>1</v>
      </c>
      <c r="Y3111" s="46" t="n">
        <f aca="false">IF(OR(I3111="DNB",I3111="Dry DNB"),1,0)</f>
        <v>0</v>
      </c>
      <c r="Z3111" s="0" t="str">
        <f aca="false">IF(ISNUMBER(W3111),A3111-W3111,"")</f>
        <v/>
      </c>
      <c r="AA3111" s="46" t="n">
        <f aca="false">MATCH(A3111,DATAS,0)</f>
        <v>1</v>
      </c>
      <c r="AB3111" s="46" t="n">
        <f aca="false">IF(AND(E3111&gt;0,OR(AND(B3111&gt;=1,B3111&lt;=6),B3111=10)),1,0)</f>
        <v>0</v>
      </c>
      <c r="AC3111" s="46" t="n">
        <f aca="false">IF(AND(E3111&gt;0,B3111=10),1,0)</f>
        <v>0</v>
      </c>
      <c r="AD3111" s="0" t="str">
        <f aca="false">IF(AND(C3110=C3111,AA3110=AA3111-1),AB3110,"")</f>
        <v/>
      </c>
      <c r="AE3111" s="0" t="str">
        <f aca="false">IF(AND(C3110=C3111,AA3110=AA3111-1),AC3110,"")</f>
        <v/>
      </c>
      <c r="AF3111" s="0" t="str">
        <f aca="false">IF(AA3111=1,"",IF(AND(AB3111=1,AD3111&lt;&gt;1),1,0))</f>
        <v/>
      </c>
      <c r="AG3111" s="0" t="str">
        <f aca="false">IF(AA3111=1,"",IF(AND(AC3111=1,AE3111&lt;&gt;1),1,0))</f>
        <v/>
      </c>
      <c r="AH3111" s="51" t="str">
        <f aca="false">IF(AND(E3111&gt;0,AA3111&lt;1,NOT(AND(C3112=C3111,AA3112=AA3111+1))),INDEX(DATAS,AA3111+1),"")</f>
        <v/>
      </c>
      <c r="AI3111" s="51" t="str">
        <f aca="false">IF(AND(AC3111=1,AA3111&lt;1),IF(AND(C3112=C3111,AA3112=AA3111+1),IF(AC3112=1,"",INDEX(DATAS,AA3111+1)),INDEX(DATAS,AA3111+1)),"")</f>
        <v/>
      </c>
    </row>
    <row r="3112" customFormat="false" ht="15" hidden="false" customHeight="false" outlineLevel="0" collapsed="false">
      <c r="A3112" s="51" t="n">
        <v>46309</v>
      </c>
      <c r="B3112" s="0" t="n">
        <v>13</v>
      </c>
      <c r="C3112" s="0" t="n">
        <v>7521</v>
      </c>
      <c r="E3112" s="0" t="n">
        <v>0</v>
      </c>
      <c r="F3112" s="46" t="s">
        <v>1501</v>
      </c>
      <c r="I3112" s="46" t="s">
        <v>179</v>
      </c>
      <c r="U3112" s="0" t="n">
        <v>209</v>
      </c>
      <c r="V3112" s="0" t="n">
        <v>0</v>
      </c>
      <c r="X3112" s="46" t="n">
        <f aca="false">IF(I3112="Male",0,1)</f>
        <v>1</v>
      </c>
      <c r="Y3112" s="46" t="n">
        <f aca="false">IF(OR(I3112="DNB",I3112="Dry DNB"),1,0)</f>
        <v>0</v>
      </c>
      <c r="Z3112" s="0" t="str">
        <f aca="false">IF(ISNUMBER(W3112),A3112-W3112,"")</f>
        <v/>
      </c>
      <c r="AA3112" s="46" t="n">
        <f aca="false">MATCH(A3112,DATAS,0)</f>
        <v>1</v>
      </c>
      <c r="AB3112" s="46" t="n">
        <f aca="false">IF(AND(E3112&gt;0,OR(AND(B3112&gt;=1,B3112&lt;=6),B3112=10)),1,0)</f>
        <v>0</v>
      </c>
      <c r="AC3112" s="46" t="n">
        <f aca="false">IF(AND(E3112&gt;0,B3112=10),1,0)</f>
        <v>0</v>
      </c>
      <c r="AD3112" s="0" t="str">
        <f aca="false">IF(AND(C3111=C3112,AA3111=AA3112-1),AB3111,"")</f>
        <v/>
      </c>
      <c r="AE3112" s="0" t="str">
        <f aca="false">IF(AND(C3111=C3112,AA3111=AA3112-1),AC3111,"")</f>
        <v/>
      </c>
      <c r="AF3112" s="0" t="str">
        <f aca="false">IF(AA3112=1,"",IF(AND(AB3112=1,AD3112&lt;&gt;1),1,0))</f>
        <v/>
      </c>
      <c r="AG3112" s="0" t="str">
        <f aca="false">IF(AA3112=1,"",IF(AND(AC3112=1,AE3112&lt;&gt;1),1,0))</f>
        <v/>
      </c>
      <c r="AH3112" s="51" t="str">
        <f aca="false">IF(AND(E3112&gt;0,AA3112&lt;1,NOT(AND(C3113=C3112,AA3113=AA3112+1))),INDEX(DATAS,AA3112+1),"")</f>
        <v/>
      </c>
      <c r="AI3112" s="51" t="str">
        <f aca="false">IF(AND(AC3112=1,AA3112&lt;1),IF(AND(C3113=C3112,AA3113=AA3112+1),IF(AC3113=1,"",INDEX(DATAS,AA3112+1)),INDEX(DATAS,AA3112+1)),"")</f>
        <v/>
      </c>
    </row>
    <row r="3113" customFormat="false" ht="15" hidden="false" customHeight="false" outlineLevel="0" collapsed="false">
      <c r="A3113" s="51" t="n">
        <v>46309</v>
      </c>
      <c r="B3113" s="0" t="n">
        <v>13</v>
      </c>
      <c r="C3113" s="0" t="n">
        <v>7523</v>
      </c>
      <c r="E3113" s="0" t="n">
        <v>0</v>
      </c>
      <c r="F3113" s="46" t="s">
        <v>1501</v>
      </c>
      <c r="I3113" s="46" t="s">
        <v>179</v>
      </c>
      <c r="U3113" s="0" t="n">
        <v>209</v>
      </c>
      <c r="V3113" s="0" t="n">
        <v>0</v>
      </c>
      <c r="X3113" s="46" t="n">
        <f aca="false">IF(I3113="Male",0,1)</f>
        <v>1</v>
      </c>
      <c r="Y3113" s="46" t="n">
        <f aca="false">IF(OR(I3113="DNB",I3113="Dry DNB"),1,0)</f>
        <v>0</v>
      </c>
      <c r="Z3113" s="0" t="str">
        <f aca="false">IF(ISNUMBER(W3113),A3113-W3113,"")</f>
        <v/>
      </c>
      <c r="AA3113" s="46" t="n">
        <f aca="false">MATCH(A3113,DATAS,0)</f>
        <v>1</v>
      </c>
      <c r="AB3113" s="46" t="n">
        <f aca="false">IF(AND(E3113&gt;0,OR(AND(B3113&gt;=1,B3113&lt;=6),B3113=10)),1,0)</f>
        <v>0</v>
      </c>
      <c r="AC3113" s="46" t="n">
        <f aca="false">IF(AND(E3113&gt;0,B3113=10),1,0)</f>
        <v>0</v>
      </c>
      <c r="AD3113" s="0" t="str">
        <f aca="false">IF(AND(C3112=C3113,AA3112=AA3113-1),AB3112,"")</f>
        <v/>
      </c>
      <c r="AE3113" s="0" t="str">
        <f aca="false">IF(AND(C3112=C3113,AA3112=AA3113-1),AC3112,"")</f>
        <v/>
      </c>
      <c r="AF3113" s="0" t="str">
        <f aca="false">IF(AA3113=1,"",IF(AND(AB3113=1,AD3113&lt;&gt;1),1,0))</f>
        <v/>
      </c>
      <c r="AG3113" s="0" t="str">
        <f aca="false">IF(AA3113=1,"",IF(AND(AC3113=1,AE3113&lt;&gt;1),1,0))</f>
        <v/>
      </c>
      <c r="AH3113" s="51" t="str">
        <f aca="false">IF(AND(E3113&gt;0,AA3113&lt;1,NOT(AND(C3114=C3113,AA3114=AA3113+1))),INDEX(DATAS,AA3113+1),"")</f>
        <v/>
      </c>
      <c r="AI3113" s="51" t="str">
        <f aca="false">IF(AND(AC3113=1,AA3113&lt;1),IF(AND(C3114=C3113,AA3114=AA3113+1),IF(AC3114=1,"",INDEX(DATAS,AA3113+1)),INDEX(DATAS,AA3113+1)),"")</f>
        <v/>
      </c>
    </row>
    <row r="3114" customFormat="false" ht="15" hidden="false" customHeight="false" outlineLevel="0" collapsed="false">
      <c r="A3114" s="51" t="n">
        <v>46309</v>
      </c>
      <c r="B3114" s="0" t="n">
        <v>13</v>
      </c>
      <c r="C3114" s="0" t="n">
        <v>7525</v>
      </c>
      <c r="E3114" s="0" t="n">
        <v>0</v>
      </c>
      <c r="F3114" s="46" t="s">
        <v>1501</v>
      </c>
      <c r="I3114" s="46" t="s">
        <v>179</v>
      </c>
      <c r="U3114" s="0" t="n">
        <v>209</v>
      </c>
      <c r="V3114" s="0" t="n">
        <v>0</v>
      </c>
      <c r="X3114" s="46" t="n">
        <f aca="false">IF(I3114="Male",0,1)</f>
        <v>1</v>
      </c>
      <c r="Y3114" s="46" t="n">
        <f aca="false">IF(OR(I3114="DNB",I3114="Dry DNB"),1,0)</f>
        <v>0</v>
      </c>
      <c r="Z3114" s="0" t="str">
        <f aca="false">IF(ISNUMBER(W3114),A3114-W3114,"")</f>
        <v/>
      </c>
      <c r="AA3114" s="46" t="n">
        <f aca="false">MATCH(A3114,DATAS,0)</f>
        <v>1</v>
      </c>
      <c r="AB3114" s="46" t="n">
        <f aca="false">IF(AND(E3114&gt;0,OR(AND(B3114&gt;=1,B3114&lt;=6),B3114=10)),1,0)</f>
        <v>0</v>
      </c>
      <c r="AC3114" s="46" t="n">
        <f aca="false">IF(AND(E3114&gt;0,B3114=10),1,0)</f>
        <v>0</v>
      </c>
      <c r="AD3114" s="0" t="str">
        <f aca="false">IF(AND(C3113=C3114,AA3113=AA3114-1),AB3113,"")</f>
        <v/>
      </c>
      <c r="AE3114" s="0" t="str">
        <f aca="false">IF(AND(C3113=C3114,AA3113=AA3114-1),AC3113,"")</f>
        <v/>
      </c>
      <c r="AF3114" s="0" t="str">
        <f aca="false">IF(AA3114=1,"",IF(AND(AB3114=1,AD3114&lt;&gt;1),1,0))</f>
        <v/>
      </c>
      <c r="AG3114" s="0" t="str">
        <f aca="false">IF(AA3114=1,"",IF(AND(AC3114=1,AE3114&lt;&gt;1),1,0))</f>
        <v/>
      </c>
      <c r="AH3114" s="51" t="str">
        <f aca="false">IF(AND(E3114&gt;0,AA3114&lt;1,NOT(AND(C3115=C3114,AA3115=AA3114+1))),INDEX(DATAS,AA3114+1),"")</f>
        <v/>
      </c>
      <c r="AI3114" s="51" t="str">
        <f aca="false">IF(AND(AC3114=1,AA3114&lt;1),IF(AND(C3115=C3114,AA3115=AA3114+1),IF(AC3115=1,"",INDEX(DATAS,AA3114+1)),INDEX(DATAS,AA3114+1)),"")</f>
        <v/>
      </c>
    </row>
    <row r="3115" customFormat="false" ht="15" hidden="false" customHeight="false" outlineLevel="0" collapsed="false">
      <c r="A3115" s="51" t="n">
        <v>46309</v>
      </c>
      <c r="B3115" s="0" t="n">
        <v>13</v>
      </c>
      <c r="C3115" s="0" t="n">
        <v>7526</v>
      </c>
      <c r="E3115" s="0" t="n">
        <v>0</v>
      </c>
      <c r="F3115" s="46" t="s">
        <v>1501</v>
      </c>
      <c r="I3115" s="46" t="s">
        <v>179</v>
      </c>
      <c r="U3115" s="0" t="n">
        <v>209</v>
      </c>
      <c r="V3115" s="0" t="n">
        <v>0</v>
      </c>
      <c r="X3115" s="46" t="n">
        <f aca="false">IF(I3115="Male",0,1)</f>
        <v>1</v>
      </c>
      <c r="Y3115" s="46" t="n">
        <f aca="false">IF(OR(I3115="DNB",I3115="Dry DNB"),1,0)</f>
        <v>0</v>
      </c>
      <c r="Z3115" s="0" t="str">
        <f aca="false">IF(ISNUMBER(W3115),A3115-W3115,"")</f>
        <v/>
      </c>
      <c r="AA3115" s="46" t="n">
        <f aca="false">MATCH(A3115,DATAS,0)</f>
        <v>1</v>
      </c>
      <c r="AB3115" s="46" t="n">
        <f aca="false">IF(AND(E3115&gt;0,OR(AND(B3115&gt;=1,B3115&lt;=6),B3115=10)),1,0)</f>
        <v>0</v>
      </c>
      <c r="AC3115" s="46" t="n">
        <f aca="false">IF(AND(E3115&gt;0,B3115=10),1,0)</f>
        <v>0</v>
      </c>
      <c r="AD3115" s="0" t="str">
        <f aca="false">IF(AND(C3114=C3115,AA3114=AA3115-1),AB3114,"")</f>
        <v/>
      </c>
      <c r="AE3115" s="0" t="str">
        <f aca="false">IF(AND(C3114=C3115,AA3114=AA3115-1),AC3114,"")</f>
        <v/>
      </c>
      <c r="AF3115" s="0" t="str">
        <f aca="false">IF(AA3115=1,"",IF(AND(AB3115=1,AD3115&lt;&gt;1),1,0))</f>
        <v/>
      </c>
      <c r="AG3115" s="0" t="str">
        <f aca="false">IF(AA3115=1,"",IF(AND(AC3115=1,AE3115&lt;&gt;1),1,0))</f>
        <v/>
      </c>
      <c r="AH3115" s="51" t="str">
        <f aca="false">IF(AND(E3115&gt;0,AA3115&lt;1,NOT(AND(C3116=C3115,AA3116=AA3115+1))),INDEX(DATAS,AA3115+1),"")</f>
        <v/>
      </c>
      <c r="AI3115" s="51" t="str">
        <f aca="false">IF(AND(AC3115=1,AA3115&lt;1),IF(AND(C3116=C3115,AA3116=AA3115+1),IF(AC3116=1,"",INDEX(DATAS,AA3115+1)),INDEX(DATAS,AA3115+1)),"")</f>
        <v/>
      </c>
    </row>
    <row r="3116" customFormat="false" ht="15" hidden="false" customHeight="false" outlineLevel="0" collapsed="false">
      <c r="A3116" s="51" t="n">
        <v>46309</v>
      </c>
      <c r="B3116" s="0" t="n">
        <v>13</v>
      </c>
      <c r="C3116" s="0" t="n">
        <v>7527</v>
      </c>
      <c r="E3116" s="0" t="n">
        <v>0</v>
      </c>
      <c r="F3116" s="46" t="s">
        <v>1501</v>
      </c>
      <c r="I3116" s="46" t="s">
        <v>179</v>
      </c>
      <c r="U3116" s="0" t="n">
        <v>209</v>
      </c>
      <c r="V3116" s="0" t="n">
        <v>0</v>
      </c>
      <c r="X3116" s="46" t="n">
        <f aca="false">IF(I3116="Male",0,1)</f>
        <v>1</v>
      </c>
      <c r="Y3116" s="46" t="n">
        <f aca="false">IF(OR(I3116="DNB",I3116="Dry DNB"),1,0)</f>
        <v>0</v>
      </c>
      <c r="Z3116" s="0" t="str">
        <f aca="false">IF(ISNUMBER(W3116),A3116-W3116,"")</f>
        <v/>
      </c>
      <c r="AA3116" s="46" t="n">
        <f aca="false">MATCH(A3116,DATAS,0)</f>
        <v>1</v>
      </c>
      <c r="AB3116" s="46" t="n">
        <f aca="false">IF(AND(E3116&gt;0,OR(AND(B3116&gt;=1,B3116&lt;=6),B3116=10)),1,0)</f>
        <v>0</v>
      </c>
      <c r="AC3116" s="46" t="n">
        <f aca="false">IF(AND(E3116&gt;0,B3116=10),1,0)</f>
        <v>0</v>
      </c>
      <c r="AD3116" s="0" t="str">
        <f aca="false">IF(AND(C3115=C3116,AA3115=AA3116-1),AB3115,"")</f>
        <v/>
      </c>
      <c r="AE3116" s="0" t="str">
        <f aca="false">IF(AND(C3115=C3116,AA3115=AA3116-1),AC3115,"")</f>
        <v/>
      </c>
      <c r="AF3116" s="0" t="str">
        <f aca="false">IF(AA3116=1,"",IF(AND(AB3116=1,AD3116&lt;&gt;1),1,0))</f>
        <v/>
      </c>
      <c r="AG3116" s="0" t="str">
        <f aca="false">IF(AA3116=1,"",IF(AND(AC3116=1,AE3116&lt;&gt;1),1,0))</f>
        <v/>
      </c>
      <c r="AH3116" s="51" t="str">
        <f aca="false">IF(AND(E3116&gt;0,AA3116&lt;1,NOT(AND(C3117=C3116,AA3117=AA3116+1))),INDEX(DATAS,AA3116+1),"")</f>
        <v/>
      </c>
      <c r="AI3116" s="51" t="str">
        <f aca="false">IF(AND(AC3116=1,AA3116&lt;1),IF(AND(C3117=C3116,AA3117=AA3116+1),IF(AC3117=1,"",INDEX(DATAS,AA3116+1)),INDEX(DATAS,AA3116+1)),"")</f>
        <v/>
      </c>
    </row>
    <row r="3117" customFormat="false" ht="15" hidden="false" customHeight="false" outlineLevel="0" collapsed="false">
      <c r="A3117" s="51" t="n">
        <v>46309</v>
      </c>
      <c r="B3117" s="0" t="n">
        <v>13</v>
      </c>
      <c r="C3117" s="0" t="n">
        <v>7528</v>
      </c>
      <c r="E3117" s="0" t="n">
        <v>0</v>
      </c>
      <c r="F3117" s="46" t="s">
        <v>1502</v>
      </c>
      <c r="I3117" s="46" t="s">
        <v>179</v>
      </c>
      <c r="U3117" s="0" t="n">
        <v>208</v>
      </c>
      <c r="V3117" s="0" t="n">
        <v>0</v>
      </c>
      <c r="X3117" s="46" t="n">
        <f aca="false">IF(I3117="Male",0,1)</f>
        <v>1</v>
      </c>
      <c r="Y3117" s="46" t="n">
        <f aca="false">IF(OR(I3117="DNB",I3117="Dry DNB"),1,0)</f>
        <v>0</v>
      </c>
      <c r="Z3117" s="0" t="str">
        <f aca="false">IF(ISNUMBER(W3117),A3117-W3117,"")</f>
        <v/>
      </c>
      <c r="AA3117" s="46" t="n">
        <f aca="false">MATCH(A3117,DATAS,0)</f>
        <v>1</v>
      </c>
      <c r="AB3117" s="46" t="n">
        <f aca="false">IF(AND(E3117&gt;0,OR(AND(B3117&gt;=1,B3117&lt;=6),B3117=10)),1,0)</f>
        <v>0</v>
      </c>
      <c r="AC3117" s="46" t="n">
        <f aca="false">IF(AND(E3117&gt;0,B3117=10),1,0)</f>
        <v>0</v>
      </c>
      <c r="AD3117" s="0" t="str">
        <f aca="false">IF(AND(C3116=C3117,AA3116=AA3117-1),AB3116,"")</f>
        <v/>
      </c>
      <c r="AE3117" s="0" t="str">
        <f aca="false">IF(AND(C3116=C3117,AA3116=AA3117-1),AC3116,"")</f>
        <v/>
      </c>
      <c r="AF3117" s="0" t="str">
        <f aca="false">IF(AA3117=1,"",IF(AND(AB3117=1,AD3117&lt;&gt;1),1,0))</f>
        <v/>
      </c>
      <c r="AG3117" s="0" t="str">
        <f aca="false">IF(AA3117=1,"",IF(AND(AC3117=1,AE3117&lt;&gt;1),1,0))</f>
        <v/>
      </c>
      <c r="AH3117" s="51" t="str">
        <f aca="false">IF(AND(E3117&gt;0,AA3117&lt;1,NOT(AND(C3118=C3117,AA3118=AA3117+1))),INDEX(DATAS,AA3117+1),"")</f>
        <v/>
      </c>
      <c r="AI3117" s="51" t="str">
        <f aca="false">IF(AND(AC3117=1,AA3117&lt;1),IF(AND(C3118=C3117,AA3118=AA3117+1),IF(AC3118=1,"",INDEX(DATAS,AA3117+1)),INDEX(DATAS,AA3117+1)),"")</f>
        <v/>
      </c>
    </row>
    <row r="3118" customFormat="false" ht="15" hidden="false" customHeight="false" outlineLevel="0" collapsed="false">
      <c r="A3118" s="51" t="n">
        <v>46309</v>
      </c>
      <c r="B3118" s="0" t="n">
        <v>13</v>
      </c>
      <c r="C3118" s="0" t="n">
        <v>7529</v>
      </c>
      <c r="E3118" s="0" t="n">
        <v>0</v>
      </c>
      <c r="F3118" s="46" t="s">
        <v>1502</v>
      </c>
      <c r="I3118" s="46" t="s">
        <v>179</v>
      </c>
      <c r="U3118" s="0" t="n">
        <v>208</v>
      </c>
      <c r="V3118" s="0" t="n">
        <v>0</v>
      </c>
      <c r="X3118" s="46" t="n">
        <f aca="false">IF(I3118="Male",0,1)</f>
        <v>1</v>
      </c>
      <c r="Y3118" s="46" t="n">
        <f aca="false">IF(OR(I3118="DNB",I3118="Dry DNB"),1,0)</f>
        <v>0</v>
      </c>
      <c r="Z3118" s="0" t="str">
        <f aca="false">IF(ISNUMBER(W3118),A3118-W3118,"")</f>
        <v/>
      </c>
      <c r="AA3118" s="46" t="n">
        <f aca="false">MATCH(A3118,DATAS,0)</f>
        <v>1</v>
      </c>
      <c r="AB3118" s="46" t="n">
        <f aca="false">IF(AND(E3118&gt;0,OR(AND(B3118&gt;=1,B3118&lt;=6),B3118=10)),1,0)</f>
        <v>0</v>
      </c>
      <c r="AC3118" s="46" t="n">
        <f aca="false">IF(AND(E3118&gt;0,B3118=10),1,0)</f>
        <v>0</v>
      </c>
      <c r="AD3118" s="0" t="str">
        <f aca="false">IF(AND(C3117=C3118,AA3117=AA3118-1),AB3117,"")</f>
        <v/>
      </c>
      <c r="AE3118" s="0" t="str">
        <f aca="false">IF(AND(C3117=C3118,AA3117=AA3118-1),AC3117,"")</f>
        <v/>
      </c>
      <c r="AF3118" s="0" t="str">
        <f aca="false">IF(AA3118=1,"",IF(AND(AB3118=1,AD3118&lt;&gt;1),1,0))</f>
        <v/>
      </c>
      <c r="AG3118" s="0" t="str">
        <f aca="false">IF(AA3118=1,"",IF(AND(AC3118=1,AE3118&lt;&gt;1),1,0))</f>
        <v/>
      </c>
      <c r="AH3118" s="51" t="str">
        <f aca="false">IF(AND(E3118&gt;0,AA3118&lt;1,NOT(AND(C3119=C3118,AA3119=AA3118+1))),INDEX(DATAS,AA3118+1),"")</f>
        <v/>
      </c>
      <c r="AI3118" s="51" t="str">
        <f aca="false">IF(AND(AC3118=1,AA3118&lt;1),IF(AND(C3119=C3118,AA3119=AA3118+1),IF(AC3119=1,"",INDEX(DATAS,AA3118+1)),INDEX(DATAS,AA3118+1)),"")</f>
        <v/>
      </c>
    </row>
    <row r="3119" customFormat="false" ht="15" hidden="false" customHeight="false" outlineLevel="0" collapsed="false">
      <c r="A3119" s="51" t="n">
        <v>46309</v>
      </c>
      <c r="B3119" s="0" t="n">
        <v>13</v>
      </c>
      <c r="C3119" s="0" t="n">
        <v>7530</v>
      </c>
      <c r="E3119" s="0" t="n">
        <v>0</v>
      </c>
      <c r="F3119" s="46" t="s">
        <v>1502</v>
      </c>
      <c r="I3119" s="46" t="s">
        <v>179</v>
      </c>
      <c r="U3119" s="0" t="n">
        <v>208</v>
      </c>
      <c r="V3119" s="0" t="n">
        <v>0</v>
      </c>
      <c r="X3119" s="46" t="n">
        <f aca="false">IF(I3119="Male",0,1)</f>
        <v>1</v>
      </c>
      <c r="Y3119" s="46" t="n">
        <f aca="false">IF(OR(I3119="DNB",I3119="Dry DNB"),1,0)</f>
        <v>0</v>
      </c>
      <c r="Z3119" s="0" t="str">
        <f aca="false">IF(ISNUMBER(W3119),A3119-W3119,"")</f>
        <v/>
      </c>
      <c r="AA3119" s="46" t="n">
        <f aca="false">MATCH(A3119,DATAS,0)</f>
        <v>1</v>
      </c>
      <c r="AB3119" s="46" t="n">
        <f aca="false">IF(AND(E3119&gt;0,OR(AND(B3119&gt;=1,B3119&lt;=6),B3119=10)),1,0)</f>
        <v>0</v>
      </c>
      <c r="AC3119" s="46" t="n">
        <f aca="false">IF(AND(E3119&gt;0,B3119=10),1,0)</f>
        <v>0</v>
      </c>
      <c r="AD3119" s="0" t="str">
        <f aca="false">IF(AND(C3118=C3119,AA3118=AA3119-1),AB3118,"")</f>
        <v/>
      </c>
      <c r="AE3119" s="0" t="str">
        <f aca="false">IF(AND(C3118=C3119,AA3118=AA3119-1),AC3118,"")</f>
        <v/>
      </c>
      <c r="AF3119" s="0" t="str">
        <f aca="false">IF(AA3119=1,"",IF(AND(AB3119=1,AD3119&lt;&gt;1),1,0))</f>
        <v/>
      </c>
      <c r="AG3119" s="0" t="str">
        <f aca="false">IF(AA3119=1,"",IF(AND(AC3119=1,AE3119&lt;&gt;1),1,0))</f>
        <v/>
      </c>
      <c r="AH3119" s="51" t="str">
        <f aca="false">IF(AND(E3119&gt;0,AA3119&lt;1,NOT(AND(C3120=C3119,AA3120=AA3119+1))),INDEX(DATAS,AA3119+1),"")</f>
        <v/>
      </c>
      <c r="AI3119" s="51" t="str">
        <f aca="false">IF(AND(AC3119=1,AA3119&lt;1),IF(AND(C3120=C3119,AA3120=AA3119+1),IF(AC3120=1,"",INDEX(DATAS,AA3119+1)),INDEX(DATAS,AA3119+1)),"")</f>
        <v/>
      </c>
    </row>
    <row r="3120" customFormat="false" ht="15" hidden="false" customHeight="false" outlineLevel="0" collapsed="false">
      <c r="A3120" s="51" t="n">
        <v>46309</v>
      </c>
      <c r="B3120" s="0" t="n">
        <v>13</v>
      </c>
      <c r="C3120" s="0" t="n">
        <v>7531</v>
      </c>
      <c r="E3120" s="0" t="n">
        <v>0</v>
      </c>
      <c r="F3120" s="46" t="s">
        <v>1502</v>
      </c>
      <c r="I3120" s="46" t="s">
        <v>179</v>
      </c>
      <c r="U3120" s="0" t="n">
        <v>208</v>
      </c>
      <c r="V3120" s="0" t="n">
        <v>0</v>
      </c>
      <c r="X3120" s="46" t="n">
        <f aca="false">IF(I3120="Male",0,1)</f>
        <v>1</v>
      </c>
      <c r="Y3120" s="46" t="n">
        <f aca="false">IF(OR(I3120="DNB",I3120="Dry DNB"),1,0)</f>
        <v>0</v>
      </c>
      <c r="Z3120" s="0" t="str">
        <f aca="false">IF(ISNUMBER(W3120),A3120-W3120,"")</f>
        <v/>
      </c>
      <c r="AA3120" s="46" t="n">
        <f aca="false">MATCH(A3120,DATAS,0)</f>
        <v>1</v>
      </c>
      <c r="AB3120" s="46" t="n">
        <f aca="false">IF(AND(E3120&gt;0,OR(AND(B3120&gt;=1,B3120&lt;=6),B3120=10)),1,0)</f>
        <v>0</v>
      </c>
      <c r="AC3120" s="46" t="n">
        <f aca="false">IF(AND(E3120&gt;0,B3120=10),1,0)</f>
        <v>0</v>
      </c>
      <c r="AD3120" s="0" t="str">
        <f aca="false">IF(AND(C3119=C3120,AA3119=AA3120-1),AB3119,"")</f>
        <v/>
      </c>
      <c r="AE3120" s="0" t="str">
        <f aca="false">IF(AND(C3119=C3120,AA3119=AA3120-1),AC3119,"")</f>
        <v/>
      </c>
      <c r="AF3120" s="0" t="str">
        <f aca="false">IF(AA3120=1,"",IF(AND(AB3120=1,AD3120&lt;&gt;1),1,0))</f>
        <v/>
      </c>
      <c r="AG3120" s="0" t="str">
        <f aca="false">IF(AA3120=1,"",IF(AND(AC3120=1,AE3120&lt;&gt;1),1,0))</f>
        <v/>
      </c>
      <c r="AH3120" s="51" t="str">
        <f aca="false">IF(AND(E3120&gt;0,AA3120&lt;1,NOT(AND(C3121=C3120,AA3121=AA3120+1))),INDEX(DATAS,AA3120+1),"")</f>
        <v/>
      </c>
      <c r="AI3120" s="51" t="str">
        <f aca="false">IF(AND(AC3120=1,AA3120&lt;1),IF(AND(C3121=C3120,AA3121=AA3120+1),IF(AC3121=1,"",INDEX(DATAS,AA3120+1)),INDEX(DATAS,AA3120+1)),"")</f>
        <v/>
      </c>
    </row>
    <row r="3121" customFormat="false" ht="15" hidden="false" customHeight="false" outlineLevel="0" collapsed="false">
      <c r="A3121" s="51" t="n">
        <v>46309</v>
      </c>
      <c r="B3121" s="0" t="n">
        <v>13</v>
      </c>
      <c r="C3121" s="0" t="n">
        <v>7532</v>
      </c>
      <c r="E3121" s="0" t="n">
        <v>0</v>
      </c>
      <c r="F3121" s="46" t="s">
        <v>1502</v>
      </c>
      <c r="I3121" s="46" t="s">
        <v>179</v>
      </c>
      <c r="U3121" s="0" t="n">
        <v>208</v>
      </c>
      <c r="V3121" s="0" t="n">
        <v>0</v>
      </c>
      <c r="X3121" s="46" t="n">
        <f aca="false">IF(I3121="Male",0,1)</f>
        <v>1</v>
      </c>
      <c r="Y3121" s="46" t="n">
        <f aca="false">IF(OR(I3121="DNB",I3121="Dry DNB"),1,0)</f>
        <v>0</v>
      </c>
      <c r="Z3121" s="0" t="str">
        <f aca="false">IF(ISNUMBER(W3121),A3121-W3121,"")</f>
        <v/>
      </c>
      <c r="AA3121" s="46" t="n">
        <f aca="false">MATCH(A3121,DATAS,0)</f>
        <v>1</v>
      </c>
      <c r="AB3121" s="46" t="n">
        <f aca="false">IF(AND(E3121&gt;0,OR(AND(B3121&gt;=1,B3121&lt;=6),B3121=10)),1,0)</f>
        <v>0</v>
      </c>
      <c r="AC3121" s="46" t="n">
        <f aca="false">IF(AND(E3121&gt;0,B3121=10),1,0)</f>
        <v>0</v>
      </c>
      <c r="AD3121" s="0" t="str">
        <f aca="false">IF(AND(C3120=C3121,AA3120=AA3121-1),AB3120,"")</f>
        <v/>
      </c>
      <c r="AE3121" s="0" t="str">
        <f aca="false">IF(AND(C3120=C3121,AA3120=AA3121-1),AC3120,"")</f>
        <v/>
      </c>
      <c r="AF3121" s="0" t="str">
        <f aca="false">IF(AA3121=1,"",IF(AND(AB3121=1,AD3121&lt;&gt;1),1,0))</f>
        <v/>
      </c>
      <c r="AG3121" s="0" t="str">
        <f aca="false">IF(AA3121=1,"",IF(AND(AC3121=1,AE3121&lt;&gt;1),1,0))</f>
        <v/>
      </c>
      <c r="AH3121" s="51" t="str">
        <f aca="false">IF(AND(E3121&gt;0,AA3121&lt;1,NOT(AND(C3122=C3121,AA3122=AA3121+1))),INDEX(DATAS,AA3121+1),"")</f>
        <v/>
      </c>
      <c r="AI3121" s="51" t="str">
        <f aca="false">IF(AND(AC3121=1,AA3121&lt;1),IF(AND(C3122=C3121,AA3122=AA3121+1),IF(AC3122=1,"",INDEX(DATAS,AA3121+1)),INDEX(DATAS,AA3121+1)),"")</f>
        <v/>
      </c>
    </row>
    <row r="3122" customFormat="false" ht="15" hidden="false" customHeight="false" outlineLevel="0" collapsed="false">
      <c r="A3122" s="51" t="n">
        <v>46309</v>
      </c>
      <c r="B3122" s="0" t="n">
        <v>13</v>
      </c>
      <c r="C3122" s="0" t="n">
        <v>7533</v>
      </c>
      <c r="E3122" s="0" t="n">
        <v>0</v>
      </c>
      <c r="F3122" s="46" t="s">
        <v>1503</v>
      </c>
      <c r="I3122" s="46" t="s">
        <v>179</v>
      </c>
      <c r="U3122" s="0" t="n">
        <v>207</v>
      </c>
      <c r="V3122" s="0" t="n">
        <v>0</v>
      </c>
      <c r="X3122" s="46" t="n">
        <f aca="false">IF(I3122="Male",0,1)</f>
        <v>1</v>
      </c>
      <c r="Y3122" s="46" t="n">
        <f aca="false">IF(OR(I3122="DNB",I3122="Dry DNB"),1,0)</f>
        <v>0</v>
      </c>
      <c r="Z3122" s="0" t="str">
        <f aca="false">IF(ISNUMBER(W3122),A3122-W3122,"")</f>
        <v/>
      </c>
      <c r="AA3122" s="46" t="n">
        <f aca="false">MATCH(A3122,DATAS,0)</f>
        <v>1</v>
      </c>
      <c r="AB3122" s="46" t="n">
        <f aca="false">IF(AND(E3122&gt;0,OR(AND(B3122&gt;=1,B3122&lt;=6),B3122=10)),1,0)</f>
        <v>0</v>
      </c>
      <c r="AC3122" s="46" t="n">
        <f aca="false">IF(AND(E3122&gt;0,B3122=10),1,0)</f>
        <v>0</v>
      </c>
      <c r="AD3122" s="0" t="str">
        <f aca="false">IF(AND(C3121=C3122,AA3121=AA3122-1),AB3121,"")</f>
        <v/>
      </c>
      <c r="AE3122" s="0" t="str">
        <f aca="false">IF(AND(C3121=C3122,AA3121=AA3122-1),AC3121,"")</f>
        <v/>
      </c>
      <c r="AF3122" s="0" t="str">
        <f aca="false">IF(AA3122=1,"",IF(AND(AB3122=1,AD3122&lt;&gt;1),1,0))</f>
        <v/>
      </c>
      <c r="AG3122" s="0" t="str">
        <f aca="false">IF(AA3122=1,"",IF(AND(AC3122=1,AE3122&lt;&gt;1),1,0))</f>
        <v/>
      </c>
      <c r="AH3122" s="51" t="str">
        <f aca="false">IF(AND(E3122&gt;0,AA3122&lt;1,NOT(AND(C3123=C3122,AA3123=AA3122+1))),INDEX(DATAS,AA3122+1),"")</f>
        <v/>
      </c>
      <c r="AI3122" s="51" t="str">
        <f aca="false">IF(AND(AC3122=1,AA3122&lt;1),IF(AND(C3123=C3122,AA3123=AA3122+1),IF(AC3123=1,"",INDEX(DATAS,AA3122+1)),INDEX(DATAS,AA3122+1)),"")</f>
        <v/>
      </c>
    </row>
    <row r="3123" customFormat="false" ht="15" hidden="false" customHeight="false" outlineLevel="0" collapsed="false">
      <c r="A3123" s="51" t="n">
        <v>46309</v>
      </c>
      <c r="B3123" s="0" t="n">
        <v>13</v>
      </c>
      <c r="C3123" s="0" t="n">
        <v>7534</v>
      </c>
      <c r="E3123" s="0" t="n">
        <v>0</v>
      </c>
      <c r="F3123" s="46" t="s">
        <v>1503</v>
      </c>
      <c r="I3123" s="46" t="s">
        <v>179</v>
      </c>
      <c r="U3123" s="0" t="n">
        <v>207</v>
      </c>
      <c r="V3123" s="0" t="n">
        <v>0</v>
      </c>
      <c r="X3123" s="46" t="n">
        <f aca="false">IF(I3123="Male",0,1)</f>
        <v>1</v>
      </c>
      <c r="Y3123" s="46" t="n">
        <f aca="false">IF(OR(I3123="DNB",I3123="Dry DNB"),1,0)</f>
        <v>0</v>
      </c>
      <c r="Z3123" s="0" t="str">
        <f aca="false">IF(ISNUMBER(W3123),A3123-W3123,"")</f>
        <v/>
      </c>
      <c r="AA3123" s="46" t="n">
        <f aca="false">MATCH(A3123,DATAS,0)</f>
        <v>1</v>
      </c>
      <c r="AB3123" s="46" t="n">
        <f aca="false">IF(AND(E3123&gt;0,OR(AND(B3123&gt;=1,B3123&lt;=6),B3123=10)),1,0)</f>
        <v>0</v>
      </c>
      <c r="AC3123" s="46" t="n">
        <f aca="false">IF(AND(E3123&gt;0,B3123=10),1,0)</f>
        <v>0</v>
      </c>
      <c r="AD3123" s="0" t="str">
        <f aca="false">IF(AND(C3122=C3123,AA3122=AA3123-1),AB3122,"")</f>
        <v/>
      </c>
      <c r="AE3123" s="0" t="str">
        <f aca="false">IF(AND(C3122=C3123,AA3122=AA3123-1),AC3122,"")</f>
        <v/>
      </c>
      <c r="AF3123" s="0" t="str">
        <f aca="false">IF(AA3123=1,"",IF(AND(AB3123=1,AD3123&lt;&gt;1),1,0))</f>
        <v/>
      </c>
      <c r="AG3123" s="0" t="str">
        <f aca="false">IF(AA3123=1,"",IF(AND(AC3123=1,AE3123&lt;&gt;1),1,0))</f>
        <v/>
      </c>
      <c r="AH3123" s="51" t="str">
        <f aca="false">IF(AND(E3123&gt;0,AA3123&lt;1,NOT(AND(C3124=C3123,AA3124=AA3123+1))),INDEX(DATAS,AA3123+1),"")</f>
        <v/>
      </c>
      <c r="AI3123" s="51" t="str">
        <f aca="false">IF(AND(AC3123=1,AA3123&lt;1),IF(AND(C3124=C3123,AA3124=AA3123+1),IF(AC3124=1,"",INDEX(DATAS,AA3123+1)),INDEX(DATAS,AA3123+1)),"")</f>
        <v/>
      </c>
    </row>
    <row r="3124" customFormat="false" ht="15" hidden="false" customHeight="false" outlineLevel="0" collapsed="false">
      <c r="A3124" s="51" t="n">
        <v>46309</v>
      </c>
      <c r="B3124" s="0" t="n">
        <v>13</v>
      </c>
      <c r="C3124" s="0" t="n">
        <v>7535</v>
      </c>
      <c r="E3124" s="0" t="n">
        <v>0</v>
      </c>
      <c r="F3124" s="46" t="s">
        <v>1503</v>
      </c>
      <c r="I3124" s="46" t="s">
        <v>179</v>
      </c>
      <c r="U3124" s="0" t="n">
        <v>207</v>
      </c>
      <c r="V3124" s="0" t="n">
        <v>0</v>
      </c>
      <c r="X3124" s="46" t="n">
        <f aca="false">IF(I3124="Male",0,1)</f>
        <v>1</v>
      </c>
      <c r="Y3124" s="46" t="n">
        <f aca="false">IF(OR(I3124="DNB",I3124="Dry DNB"),1,0)</f>
        <v>0</v>
      </c>
      <c r="Z3124" s="0" t="str">
        <f aca="false">IF(ISNUMBER(W3124),A3124-W3124,"")</f>
        <v/>
      </c>
      <c r="AA3124" s="46" t="n">
        <f aca="false">MATCH(A3124,DATAS,0)</f>
        <v>1</v>
      </c>
      <c r="AB3124" s="46" t="n">
        <f aca="false">IF(AND(E3124&gt;0,OR(AND(B3124&gt;=1,B3124&lt;=6),B3124=10)),1,0)</f>
        <v>0</v>
      </c>
      <c r="AC3124" s="46" t="n">
        <f aca="false">IF(AND(E3124&gt;0,B3124=10),1,0)</f>
        <v>0</v>
      </c>
      <c r="AD3124" s="0" t="str">
        <f aca="false">IF(AND(C3123=C3124,AA3123=AA3124-1),AB3123,"")</f>
        <v/>
      </c>
      <c r="AE3124" s="0" t="str">
        <f aca="false">IF(AND(C3123=C3124,AA3123=AA3124-1),AC3123,"")</f>
        <v/>
      </c>
      <c r="AF3124" s="0" t="str">
        <f aca="false">IF(AA3124=1,"",IF(AND(AB3124=1,AD3124&lt;&gt;1),1,0))</f>
        <v/>
      </c>
      <c r="AG3124" s="0" t="str">
        <f aca="false">IF(AA3124=1,"",IF(AND(AC3124=1,AE3124&lt;&gt;1),1,0))</f>
        <v/>
      </c>
      <c r="AH3124" s="51" t="str">
        <f aca="false">IF(AND(E3124&gt;0,AA3124&lt;1,NOT(AND(C3125=C3124,AA3125=AA3124+1))),INDEX(DATAS,AA3124+1),"")</f>
        <v/>
      </c>
      <c r="AI3124" s="51" t="str">
        <f aca="false">IF(AND(AC3124=1,AA3124&lt;1),IF(AND(C3125=C3124,AA3125=AA3124+1),IF(AC3125=1,"",INDEX(DATAS,AA3124+1)),INDEX(DATAS,AA3124+1)),"")</f>
        <v/>
      </c>
    </row>
    <row r="3125" customFormat="false" ht="15" hidden="false" customHeight="false" outlineLevel="0" collapsed="false">
      <c r="A3125" s="51" t="n">
        <v>46309</v>
      </c>
      <c r="B3125" s="0" t="n">
        <v>13</v>
      </c>
      <c r="C3125" s="0" t="n">
        <v>7536</v>
      </c>
      <c r="E3125" s="0" t="n">
        <v>0</v>
      </c>
      <c r="F3125" s="46" t="s">
        <v>1503</v>
      </c>
      <c r="I3125" s="46" t="s">
        <v>179</v>
      </c>
      <c r="U3125" s="0" t="n">
        <v>207</v>
      </c>
      <c r="V3125" s="0" t="n">
        <v>0</v>
      </c>
      <c r="X3125" s="46" t="n">
        <f aca="false">IF(I3125="Male",0,1)</f>
        <v>1</v>
      </c>
      <c r="Y3125" s="46" t="n">
        <f aca="false">IF(OR(I3125="DNB",I3125="Dry DNB"),1,0)</f>
        <v>0</v>
      </c>
      <c r="Z3125" s="0" t="str">
        <f aca="false">IF(ISNUMBER(W3125),A3125-W3125,"")</f>
        <v/>
      </c>
      <c r="AA3125" s="46" t="n">
        <f aca="false">MATCH(A3125,DATAS,0)</f>
        <v>1</v>
      </c>
      <c r="AB3125" s="46" t="n">
        <f aca="false">IF(AND(E3125&gt;0,OR(AND(B3125&gt;=1,B3125&lt;=6),B3125=10)),1,0)</f>
        <v>0</v>
      </c>
      <c r="AC3125" s="46" t="n">
        <f aca="false">IF(AND(E3125&gt;0,B3125=10),1,0)</f>
        <v>0</v>
      </c>
      <c r="AD3125" s="0" t="str">
        <f aca="false">IF(AND(C3124=C3125,AA3124=AA3125-1),AB3124,"")</f>
        <v/>
      </c>
      <c r="AE3125" s="0" t="str">
        <f aca="false">IF(AND(C3124=C3125,AA3124=AA3125-1),AC3124,"")</f>
        <v/>
      </c>
      <c r="AF3125" s="0" t="str">
        <f aca="false">IF(AA3125=1,"",IF(AND(AB3125=1,AD3125&lt;&gt;1),1,0))</f>
        <v/>
      </c>
      <c r="AG3125" s="0" t="str">
        <f aca="false">IF(AA3125=1,"",IF(AND(AC3125=1,AE3125&lt;&gt;1),1,0))</f>
        <v/>
      </c>
      <c r="AH3125" s="51" t="str">
        <f aca="false">IF(AND(E3125&gt;0,AA3125&lt;1,NOT(AND(C3126=C3125,AA3126=AA3125+1))),INDEX(DATAS,AA3125+1),"")</f>
        <v/>
      </c>
      <c r="AI3125" s="51" t="str">
        <f aca="false">IF(AND(AC3125=1,AA3125&lt;1),IF(AND(C3126=C3125,AA3126=AA3125+1),IF(AC3126=1,"",INDEX(DATAS,AA3125+1)),INDEX(DATAS,AA3125+1)),"")</f>
        <v/>
      </c>
    </row>
    <row r="3126" customFormat="false" ht="15" hidden="false" customHeight="false" outlineLevel="0" collapsed="false">
      <c r="A3126" s="51" t="n">
        <v>46309</v>
      </c>
      <c r="B3126" s="0" t="n">
        <v>13</v>
      </c>
      <c r="C3126" s="0" t="n">
        <v>7537</v>
      </c>
      <c r="E3126" s="0" t="n">
        <v>0</v>
      </c>
      <c r="F3126" s="46" t="s">
        <v>1503</v>
      </c>
      <c r="I3126" s="46" t="s">
        <v>179</v>
      </c>
      <c r="U3126" s="0" t="n">
        <v>207</v>
      </c>
      <c r="V3126" s="0" t="n">
        <v>0</v>
      </c>
      <c r="X3126" s="46" t="n">
        <f aca="false">IF(I3126="Male",0,1)</f>
        <v>1</v>
      </c>
      <c r="Y3126" s="46" t="n">
        <f aca="false">IF(OR(I3126="DNB",I3126="Dry DNB"),1,0)</f>
        <v>0</v>
      </c>
      <c r="Z3126" s="0" t="str">
        <f aca="false">IF(ISNUMBER(W3126),A3126-W3126,"")</f>
        <v/>
      </c>
      <c r="AA3126" s="46" t="n">
        <f aca="false">MATCH(A3126,DATAS,0)</f>
        <v>1</v>
      </c>
      <c r="AB3126" s="46" t="n">
        <f aca="false">IF(AND(E3126&gt;0,OR(AND(B3126&gt;=1,B3126&lt;=6),B3126=10)),1,0)</f>
        <v>0</v>
      </c>
      <c r="AC3126" s="46" t="n">
        <f aca="false">IF(AND(E3126&gt;0,B3126=10),1,0)</f>
        <v>0</v>
      </c>
      <c r="AD3126" s="0" t="str">
        <f aca="false">IF(AND(C3125=C3126,AA3125=AA3126-1),AB3125,"")</f>
        <v/>
      </c>
      <c r="AE3126" s="0" t="str">
        <f aca="false">IF(AND(C3125=C3126,AA3125=AA3126-1),AC3125,"")</f>
        <v/>
      </c>
      <c r="AF3126" s="0" t="str">
        <f aca="false">IF(AA3126=1,"",IF(AND(AB3126=1,AD3126&lt;&gt;1),1,0))</f>
        <v/>
      </c>
      <c r="AG3126" s="0" t="str">
        <f aca="false">IF(AA3126=1,"",IF(AND(AC3126=1,AE3126&lt;&gt;1),1,0))</f>
        <v/>
      </c>
      <c r="AH3126" s="51" t="str">
        <f aca="false">IF(AND(E3126&gt;0,AA3126&lt;1,NOT(AND(C3127=C3126,AA3127=AA3126+1))),INDEX(DATAS,AA3126+1),"")</f>
        <v/>
      </c>
      <c r="AI3126" s="51" t="str">
        <f aca="false">IF(AND(AC3126=1,AA3126&lt;1),IF(AND(C3127=C3126,AA3127=AA3126+1),IF(AC3127=1,"",INDEX(DATAS,AA3126+1)),INDEX(DATAS,AA3126+1)),"")</f>
        <v/>
      </c>
    </row>
    <row r="3127" customFormat="false" ht="15" hidden="false" customHeight="false" outlineLevel="0" collapsed="false">
      <c r="A3127" s="51" t="n">
        <v>46309</v>
      </c>
      <c r="B3127" s="0" t="n">
        <v>13</v>
      </c>
      <c r="C3127" s="0" t="n">
        <v>7538</v>
      </c>
      <c r="E3127" s="0" t="n">
        <v>0</v>
      </c>
      <c r="F3127" s="46" t="s">
        <v>1504</v>
      </c>
      <c r="I3127" s="46" t="s">
        <v>179</v>
      </c>
      <c r="U3127" s="0" t="n">
        <v>206</v>
      </c>
      <c r="V3127" s="0" t="n">
        <v>0</v>
      </c>
      <c r="X3127" s="46" t="n">
        <f aca="false">IF(I3127="Male",0,1)</f>
        <v>1</v>
      </c>
      <c r="Y3127" s="46" t="n">
        <f aca="false">IF(OR(I3127="DNB",I3127="Dry DNB"),1,0)</f>
        <v>0</v>
      </c>
      <c r="Z3127" s="0" t="str">
        <f aca="false">IF(ISNUMBER(W3127),A3127-W3127,"")</f>
        <v/>
      </c>
      <c r="AA3127" s="46" t="n">
        <f aca="false">MATCH(A3127,DATAS,0)</f>
        <v>1</v>
      </c>
      <c r="AB3127" s="46" t="n">
        <f aca="false">IF(AND(E3127&gt;0,OR(AND(B3127&gt;=1,B3127&lt;=6),B3127=10)),1,0)</f>
        <v>0</v>
      </c>
      <c r="AC3127" s="46" t="n">
        <f aca="false">IF(AND(E3127&gt;0,B3127=10),1,0)</f>
        <v>0</v>
      </c>
      <c r="AD3127" s="0" t="str">
        <f aca="false">IF(AND(C3126=C3127,AA3126=AA3127-1),AB3126,"")</f>
        <v/>
      </c>
      <c r="AE3127" s="0" t="str">
        <f aca="false">IF(AND(C3126=C3127,AA3126=AA3127-1),AC3126,"")</f>
        <v/>
      </c>
      <c r="AF3127" s="0" t="str">
        <f aca="false">IF(AA3127=1,"",IF(AND(AB3127=1,AD3127&lt;&gt;1),1,0))</f>
        <v/>
      </c>
      <c r="AG3127" s="0" t="str">
        <f aca="false">IF(AA3127=1,"",IF(AND(AC3127=1,AE3127&lt;&gt;1),1,0))</f>
        <v/>
      </c>
      <c r="AH3127" s="51" t="str">
        <f aca="false">IF(AND(E3127&gt;0,AA3127&lt;1,NOT(AND(C3128=C3127,AA3128=AA3127+1))),INDEX(DATAS,AA3127+1),"")</f>
        <v/>
      </c>
      <c r="AI3127" s="51" t="str">
        <f aca="false">IF(AND(AC3127=1,AA3127&lt;1),IF(AND(C3128=C3127,AA3128=AA3127+1),IF(AC3128=1,"",INDEX(DATAS,AA3127+1)),INDEX(DATAS,AA3127+1)),"")</f>
        <v/>
      </c>
    </row>
    <row r="3128" customFormat="false" ht="15" hidden="false" customHeight="false" outlineLevel="0" collapsed="false">
      <c r="A3128" s="51" t="n">
        <v>46309</v>
      </c>
      <c r="B3128" s="0" t="n">
        <v>13</v>
      </c>
      <c r="C3128" s="0" t="n">
        <v>7539</v>
      </c>
      <c r="E3128" s="0" t="n">
        <v>0</v>
      </c>
      <c r="F3128" s="46" t="s">
        <v>1504</v>
      </c>
      <c r="I3128" s="46" t="s">
        <v>179</v>
      </c>
      <c r="U3128" s="0" t="n">
        <v>206</v>
      </c>
      <c r="V3128" s="0" t="n">
        <v>0</v>
      </c>
      <c r="X3128" s="46" t="n">
        <f aca="false">IF(I3128="Male",0,1)</f>
        <v>1</v>
      </c>
      <c r="Y3128" s="46" t="n">
        <f aca="false">IF(OR(I3128="DNB",I3128="Dry DNB"),1,0)</f>
        <v>0</v>
      </c>
      <c r="Z3128" s="0" t="str">
        <f aca="false">IF(ISNUMBER(W3128),A3128-W3128,"")</f>
        <v/>
      </c>
      <c r="AA3128" s="46" t="n">
        <f aca="false">MATCH(A3128,DATAS,0)</f>
        <v>1</v>
      </c>
      <c r="AB3128" s="46" t="n">
        <f aca="false">IF(AND(E3128&gt;0,OR(AND(B3128&gt;=1,B3128&lt;=6),B3128=10)),1,0)</f>
        <v>0</v>
      </c>
      <c r="AC3128" s="46" t="n">
        <f aca="false">IF(AND(E3128&gt;0,B3128=10),1,0)</f>
        <v>0</v>
      </c>
      <c r="AD3128" s="0" t="str">
        <f aca="false">IF(AND(C3127=C3128,AA3127=AA3128-1),AB3127,"")</f>
        <v/>
      </c>
      <c r="AE3128" s="0" t="str">
        <f aca="false">IF(AND(C3127=C3128,AA3127=AA3128-1),AC3127,"")</f>
        <v/>
      </c>
      <c r="AF3128" s="0" t="str">
        <f aca="false">IF(AA3128=1,"",IF(AND(AB3128=1,AD3128&lt;&gt;1),1,0))</f>
        <v/>
      </c>
      <c r="AG3128" s="0" t="str">
        <f aca="false">IF(AA3128=1,"",IF(AND(AC3128=1,AE3128&lt;&gt;1),1,0))</f>
        <v/>
      </c>
      <c r="AH3128" s="51" t="str">
        <f aca="false">IF(AND(E3128&gt;0,AA3128&lt;1,NOT(AND(C3129=C3128,AA3129=AA3128+1))),INDEX(DATAS,AA3128+1),"")</f>
        <v/>
      </c>
      <c r="AI3128" s="51" t="str">
        <f aca="false">IF(AND(AC3128=1,AA3128&lt;1),IF(AND(C3129=C3128,AA3129=AA3128+1),IF(AC3129=1,"",INDEX(DATAS,AA3128+1)),INDEX(DATAS,AA3128+1)),"")</f>
        <v/>
      </c>
    </row>
    <row r="3129" customFormat="false" ht="15" hidden="false" customHeight="false" outlineLevel="0" collapsed="false">
      <c r="A3129" s="51" t="n">
        <v>46309</v>
      </c>
      <c r="B3129" s="0" t="n">
        <v>13</v>
      </c>
      <c r="C3129" s="0" t="n">
        <v>7540</v>
      </c>
      <c r="E3129" s="0" t="n">
        <v>0</v>
      </c>
      <c r="F3129" s="46" t="s">
        <v>1504</v>
      </c>
      <c r="I3129" s="46" t="s">
        <v>179</v>
      </c>
      <c r="U3129" s="0" t="n">
        <v>206</v>
      </c>
      <c r="V3129" s="0" t="n">
        <v>0</v>
      </c>
      <c r="X3129" s="46" t="n">
        <f aca="false">IF(I3129="Male",0,1)</f>
        <v>1</v>
      </c>
      <c r="Y3129" s="46" t="n">
        <f aca="false">IF(OR(I3129="DNB",I3129="Dry DNB"),1,0)</f>
        <v>0</v>
      </c>
      <c r="Z3129" s="0" t="str">
        <f aca="false">IF(ISNUMBER(W3129),A3129-W3129,"")</f>
        <v/>
      </c>
      <c r="AA3129" s="46" t="n">
        <f aca="false">MATCH(A3129,DATAS,0)</f>
        <v>1</v>
      </c>
      <c r="AB3129" s="46" t="n">
        <f aca="false">IF(AND(E3129&gt;0,OR(AND(B3129&gt;=1,B3129&lt;=6),B3129=10)),1,0)</f>
        <v>0</v>
      </c>
      <c r="AC3129" s="46" t="n">
        <f aca="false">IF(AND(E3129&gt;0,B3129=10),1,0)</f>
        <v>0</v>
      </c>
      <c r="AD3129" s="0" t="str">
        <f aca="false">IF(AND(C3128=C3129,AA3128=AA3129-1),AB3128,"")</f>
        <v/>
      </c>
      <c r="AE3129" s="0" t="str">
        <f aca="false">IF(AND(C3128=C3129,AA3128=AA3129-1),AC3128,"")</f>
        <v/>
      </c>
      <c r="AF3129" s="0" t="str">
        <f aca="false">IF(AA3129=1,"",IF(AND(AB3129=1,AD3129&lt;&gt;1),1,0))</f>
        <v/>
      </c>
      <c r="AG3129" s="0" t="str">
        <f aca="false">IF(AA3129=1,"",IF(AND(AC3129=1,AE3129&lt;&gt;1),1,0))</f>
        <v/>
      </c>
      <c r="AH3129" s="51" t="str">
        <f aca="false">IF(AND(E3129&gt;0,AA3129&lt;1,NOT(AND(C3130=C3129,AA3130=AA3129+1))),INDEX(DATAS,AA3129+1),"")</f>
        <v/>
      </c>
      <c r="AI3129" s="51" t="str">
        <f aca="false">IF(AND(AC3129=1,AA3129&lt;1),IF(AND(C3130=C3129,AA3130=AA3129+1),IF(AC3130=1,"",INDEX(DATAS,AA3129+1)),INDEX(DATAS,AA3129+1)),"")</f>
        <v/>
      </c>
    </row>
    <row r="3130" customFormat="false" ht="15" hidden="false" customHeight="false" outlineLevel="0" collapsed="false">
      <c r="A3130" s="51" t="n">
        <v>46309</v>
      </c>
      <c r="B3130" s="0" t="n">
        <v>13</v>
      </c>
      <c r="C3130" s="0" t="n">
        <v>7543</v>
      </c>
      <c r="E3130" s="0" t="n">
        <v>0</v>
      </c>
      <c r="F3130" s="46" t="s">
        <v>1504</v>
      </c>
      <c r="I3130" s="46" t="s">
        <v>179</v>
      </c>
      <c r="U3130" s="0" t="n">
        <v>206</v>
      </c>
      <c r="V3130" s="0" t="n">
        <v>0</v>
      </c>
      <c r="X3130" s="46" t="n">
        <f aca="false">IF(I3130="Male",0,1)</f>
        <v>1</v>
      </c>
      <c r="Y3130" s="46" t="n">
        <f aca="false">IF(OR(I3130="DNB",I3130="Dry DNB"),1,0)</f>
        <v>0</v>
      </c>
      <c r="Z3130" s="0" t="str">
        <f aca="false">IF(ISNUMBER(W3130),A3130-W3130,"")</f>
        <v/>
      </c>
      <c r="AA3130" s="46" t="n">
        <f aca="false">MATCH(A3130,DATAS,0)</f>
        <v>1</v>
      </c>
      <c r="AB3130" s="46" t="n">
        <f aca="false">IF(AND(E3130&gt;0,OR(AND(B3130&gt;=1,B3130&lt;=6),B3130=10)),1,0)</f>
        <v>0</v>
      </c>
      <c r="AC3130" s="46" t="n">
        <f aca="false">IF(AND(E3130&gt;0,B3130=10),1,0)</f>
        <v>0</v>
      </c>
      <c r="AD3130" s="0" t="str">
        <f aca="false">IF(AND(C3129=C3130,AA3129=AA3130-1),AB3129,"")</f>
        <v/>
      </c>
      <c r="AE3130" s="0" t="str">
        <f aca="false">IF(AND(C3129=C3130,AA3129=AA3130-1),AC3129,"")</f>
        <v/>
      </c>
      <c r="AF3130" s="0" t="str">
        <f aca="false">IF(AA3130=1,"",IF(AND(AB3130=1,AD3130&lt;&gt;1),1,0))</f>
        <v/>
      </c>
      <c r="AG3130" s="0" t="str">
        <f aca="false">IF(AA3130=1,"",IF(AND(AC3130=1,AE3130&lt;&gt;1),1,0))</f>
        <v/>
      </c>
      <c r="AH3130" s="51" t="str">
        <f aca="false">IF(AND(E3130&gt;0,AA3130&lt;1,NOT(AND(C3131=C3130,AA3131=AA3130+1))),INDEX(DATAS,AA3130+1),"")</f>
        <v/>
      </c>
      <c r="AI3130" s="51" t="str">
        <f aca="false">IF(AND(AC3130=1,AA3130&lt;1),IF(AND(C3131=C3130,AA3131=AA3130+1),IF(AC3131=1,"",INDEX(DATAS,AA3130+1)),INDEX(DATAS,AA3130+1)),"")</f>
        <v/>
      </c>
    </row>
    <row r="3131" customFormat="false" ht="15" hidden="false" customHeight="false" outlineLevel="0" collapsed="false">
      <c r="A3131" s="51" t="n">
        <v>46309</v>
      </c>
      <c r="B3131" s="0" t="n">
        <v>13</v>
      </c>
      <c r="C3131" s="0" t="n">
        <v>7544</v>
      </c>
      <c r="E3131" s="0" t="n">
        <v>0</v>
      </c>
      <c r="F3131" s="46" t="s">
        <v>1504</v>
      </c>
      <c r="I3131" s="46" t="s">
        <v>179</v>
      </c>
      <c r="U3131" s="0" t="n">
        <v>206</v>
      </c>
      <c r="V3131" s="0" t="n">
        <v>0</v>
      </c>
      <c r="X3131" s="46" t="n">
        <f aca="false">IF(I3131="Male",0,1)</f>
        <v>1</v>
      </c>
      <c r="Y3131" s="46" t="n">
        <f aca="false">IF(OR(I3131="DNB",I3131="Dry DNB"),1,0)</f>
        <v>0</v>
      </c>
      <c r="Z3131" s="0" t="str">
        <f aca="false">IF(ISNUMBER(W3131),A3131-W3131,"")</f>
        <v/>
      </c>
      <c r="AA3131" s="46" t="n">
        <f aca="false">MATCH(A3131,DATAS,0)</f>
        <v>1</v>
      </c>
      <c r="AB3131" s="46" t="n">
        <f aca="false">IF(AND(E3131&gt;0,OR(AND(B3131&gt;=1,B3131&lt;=6),B3131=10)),1,0)</f>
        <v>0</v>
      </c>
      <c r="AC3131" s="46" t="n">
        <f aca="false">IF(AND(E3131&gt;0,B3131=10),1,0)</f>
        <v>0</v>
      </c>
      <c r="AD3131" s="0" t="str">
        <f aca="false">IF(AND(C3130=C3131,AA3130=AA3131-1),AB3130,"")</f>
        <v/>
      </c>
      <c r="AE3131" s="0" t="str">
        <f aca="false">IF(AND(C3130=C3131,AA3130=AA3131-1),AC3130,"")</f>
        <v/>
      </c>
      <c r="AF3131" s="0" t="str">
        <f aca="false">IF(AA3131=1,"",IF(AND(AB3131=1,AD3131&lt;&gt;1),1,0))</f>
        <v/>
      </c>
      <c r="AG3131" s="0" t="str">
        <f aca="false">IF(AA3131=1,"",IF(AND(AC3131=1,AE3131&lt;&gt;1),1,0))</f>
        <v/>
      </c>
      <c r="AH3131" s="51" t="str">
        <f aca="false">IF(AND(E3131&gt;0,AA3131&lt;1,NOT(AND(C3132=C3131,AA3132=AA3131+1))),INDEX(DATAS,AA3131+1),"")</f>
        <v/>
      </c>
      <c r="AI3131" s="51" t="str">
        <f aca="false">IF(AND(AC3131=1,AA3131&lt;1),IF(AND(C3132=C3131,AA3132=AA3131+1),IF(AC3132=1,"",INDEX(DATAS,AA3131+1)),INDEX(DATAS,AA3131+1)),"")</f>
        <v/>
      </c>
    </row>
    <row r="3132" customFormat="false" ht="15" hidden="false" customHeight="false" outlineLevel="0" collapsed="false">
      <c r="A3132" s="51" t="n">
        <v>46309</v>
      </c>
      <c r="B3132" s="0" t="n">
        <v>13</v>
      </c>
      <c r="C3132" s="0" t="n">
        <v>7546</v>
      </c>
      <c r="E3132" s="0" t="n">
        <v>0</v>
      </c>
      <c r="F3132" s="46" t="s">
        <v>1505</v>
      </c>
      <c r="I3132" s="46" t="s">
        <v>179</v>
      </c>
      <c r="U3132" s="0" t="n">
        <v>205</v>
      </c>
      <c r="V3132" s="0" t="n">
        <v>0</v>
      </c>
      <c r="X3132" s="46" t="n">
        <f aca="false">IF(I3132="Male",0,1)</f>
        <v>1</v>
      </c>
      <c r="Y3132" s="46" t="n">
        <f aca="false">IF(OR(I3132="DNB",I3132="Dry DNB"),1,0)</f>
        <v>0</v>
      </c>
      <c r="Z3132" s="0" t="str">
        <f aca="false">IF(ISNUMBER(W3132),A3132-W3132,"")</f>
        <v/>
      </c>
      <c r="AA3132" s="46" t="n">
        <f aca="false">MATCH(A3132,DATAS,0)</f>
        <v>1</v>
      </c>
      <c r="AB3132" s="46" t="n">
        <f aca="false">IF(AND(E3132&gt;0,OR(AND(B3132&gt;=1,B3132&lt;=6),B3132=10)),1,0)</f>
        <v>0</v>
      </c>
      <c r="AC3132" s="46" t="n">
        <f aca="false">IF(AND(E3132&gt;0,B3132=10),1,0)</f>
        <v>0</v>
      </c>
      <c r="AD3132" s="0" t="str">
        <f aca="false">IF(AND(C3131=C3132,AA3131=AA3132-1),AB3131,"")</f>
        <v/>
      </c>
      <c r="AE3132" s="0" t="str">
        <f aca="false">IF(AND(C3131=C3132,AA3131=AA3132-1),AC3131,"")</f>
        <v/>
      </c>
      <c r="AF3132" s="0" t="str">
        <f aca="false">IF(AA3132=1,"",IF(AND(AB3132=1,AD3132&lt;&gt;1),1,0))</f>
        <v/>
      </c>
      <c r="AG3132" s="0" t="str">
        <f aca="false">IF(AA3132=1,"",IF(AND(AC3132=1,AE3132&lt;&gt;1),1,0))</f>
        <v/>
      </c>
      <c r="AH3132" s="51" t="str">
        <f aca="false">IF(AND(E3132&gt;0,AA3132&lt;1,NOT(AND(C3133=C3132,AA3133=AA3132+1))),INDEX(DATAS,AA3132+1),"")</f>
        <v/>
      </c>
      <c r="AI3132" s="51" t="str">
        <f aca="false">IF(AND(AC3132=1,AA3132&lt;1),IF(AND(C3133=C3132,AA3133=AA3132+1),IF(AC3133=1,"",INDEX(DATAS,AA3132+1)),INDEX(DATAS,AA3132+1)),"")</f>
        <v/>
      </c>
    </row>
    <row r="3133" customFormat="false" ht="15" hidden="false" customHeight="false" outlineLevel="0" collapsed="false">
      <c r="A3133" s="51" t="n">
        <v>46309</v>
      </c>
      <c r="B3133" s="0" t="n">
        <v>13</v>
      </c>
      <c r="C3133" s="0" t="n">
        <v>7547</v>
      </c>
      <c r="E3133" s="0" t="n">
        <v>0</v>
      </c>
      <c r="F3133" s="46" t="s">
        <v>1505</v>
      </c>
      <c r="I3133" s="46" t="s">
        <v>179</v>
      </c>
      <c r="U3133" s="0" t="n">
        <v>205</v>
      </c>
      <c r="V3133" s="0" t="n">
        <v>0</v>
      </c>
      <c r="X3133" s="46" t="n">
        <f aca="false">IF(I3133="Male",0,1)</f>
        <v>1</v>
      </c>
      <c r="Y3133" s="46" t="n">
        <f aca="false">IF(OR(I3133="DNB",I3133="Dry DNB"),1,0)</f>
        <v>0</v>
      </c>
      <c r="Z3133" s="0" t="str">
        <f aca="false">IF(ISNUMBER(W3133),A3133-W3133,"")</f>
        <v/>
      </c>
      <c r="AA3133" s="46" t="n">
        <f aca="false">MATCH(A3133,DATAS,0)</f>
        <v>1</v>
      </c>
      <c r="AB3133" s="46" t="n">
        <f aca="false">IF(AND(E3133&gt;0,OR(AND(B3133&gt;=1,B3133&lt;=6),B3133=10)),1,0)</f>
        <v>0</v>
      </c>
      <c r="AC3133" s="46" t="n">
        <f aca="false">IF(AND(E3133&gt;0,B3133=10),1,0)</f>
        <v>0</v>
      </c>
      <c r="AD3133" s="0" t="str">
        <f aca="false">IF(AND(C3132=C3133,AA3132=AA3133-1),AB3132,"")</f>
        <v/>
      </c>
      <c r="AE3133" s="0" t="str">
        <f aca="false">IF(AND(C3132=C3133,AA3132=AA3133-1),AC3132,"")</f>
        <v/>
      </c>
      <c r="AF3133" s="0" t="str">
        <f aca="false">IF(AA3133=1,"",IF(AND(AB3133=1,AD3133&lt;&gt;1),1,0))</f>
        <v/>
      </c>
      <c r="AG3133" s="0" t="str">
        <f aca="false">IF(AA3133=1,"",IF(AND(AC3133=1,AE3133&lt;&gt;1),1,0))</f>
        <v/>
      </c>
      <c r="AH3133" s="51" t="str">
        <f aca="false">IF(AND(E3133&gt;0,AA3133&lt;1,NOT(AND(C3134=C3133,AA3134=AA3133+1))),INDEX(DATAS,AA3133+1),"")</f>
        <v/>
      </c>
      <c r="AI3133" s="51" t="str">
        <f aca="false">IF(AND(AC3133=1,AA3133&lt;1),IF(AND(C3134=C3133,AA3134=AA3133+1),IF(AC3134=1,"",INDEX(DATAS,AA3133+1)),INDEX(DATAS,AA3133+1)),"")</f>
        <v/>
      </c>
    </row>
    <row r="3134" customFormat="false" ht="15" hidden="false" customHeight="false" outlineLevel="0" collapsed="false">
      <c r="A3134" s="51" t="n">
        <v>46309</v>
      </c>
      <c r="B3134" s="0" t="n">
        <v>13</v>
      </c>
      <c r="C3134" s="0" t="n">
        <v>7549</v>
      </c>
      <c r="E3134" s="0" t="n">
        <v>0</v>
      </c>
      <c r="F3134" s="46" t="s">
        <v>1505</v>
      </c>
      <c r="I3134" s="46" t="s">
        <v>179</v>
      </c>
      <c r="U3134" s="0" t="n">
        <v>205</v>
      </c>
      <c r="V3134" s="0" t="n">
        <v>0</v>
      </c>
      <c r="X3134" s="46" t="n">
        <f aca="false">IF(I3134="Male",0,1)</f>
        <v>1</v>
      </c>
      <c r="Y3134" s="46" t="n">
        <f aca="false">IF(OR(I3134="DNB",I3134="Dry DNB"),1,0)</f>
        <v>0</v>
      </c>
      <c r="Z3134" s="0" t="str">
        <f aca="false">IF(ISNUMBER(W3134),A3134-W3134,"")</f>
        <v/>
      </c>
      <c r="AA3134" s="46" t="n">
        <f aca="false">MATCH(A3134,DATAS,0)</f>
        <v>1</v>
      </c>
      <c r="AB3134" s="46" t="n">
        <f aca="false">IF(AND(E3134&gt;0,OR(AND(B3134&gt;=1,B3134&lt;=6),B3134=10)),1,0)</f>
        <v>0</v>
      </c>
      <c r="AC3134" s="46" t="n">
        <f aca="false">IF(AND(E3134&gt;0,B3134=10),1,0)</f>
        <v>0</v>
      </c>
      <c r="AD3134" s="0" t="str">
        <f aca="false">IF(AND(C3133=C3134,AA3133=AA3134-1),AB3133,"")</f>
        <v/>
      </c>
      <c r="AE3134" s="0" t="str">
        <f aca="false">IF(AND(C3133=C3134,AA3133=AA3134-1),AC3133,"")</f>
        <v/>
      </c>
      <c r="AF3134" s="0" t="str">
        <f aca="false">IF(AA3134=1,"",IF(AND(AB3134=1,AD3134&lt;&gt;1),1,0))</f>
        <v/>
      </c>
      <c r="AG3134" s="0" t="str">
        <f aca="false">IF(AA3134=1,"",IF(AND(AC3134=1,AE3134&lt;&gt;1),1,0))</f>
        <v/>
      </c>
      <c r="AH3134" s="51" t="str">
        <f aca="false">IF(AND(E3134&gt;0,AA3134&lt;1,NOT(AND(C3135=C3134,AA3135=AA3134+1))),INDEX(DATAS,AA3134+1),"")</f>
        <v/>
      </c>
      <c r="AI3134" s="51" t="str">
        <f aca="false">IF(AND(AC3134=1,AA3134&lt;1),IF(AND(C3135=C3134,AA3135=AA3134+1),IF(AC3135=1,"",INDEX(DATAS,AA3134+1)),INDEX(DATAS,AA3134+1)),"")</f>
        <v/>
      </c>
    </row>
    <row r="3135" customFormat="false" ht="15" hidden="false" customHeight="false" outlineLevel="0" collapsed="false">
      <c r="A3135" s="51" t="n">
        <v>46309</v>
      </c>
      <c r="B3135" s="0" t="n">
        <v>13</v>
      </c>
      <c r="C3135" s="0" t="n">
        <v>7550</v>
      </c>
      <c r="E3135" s="0" t="n">
        <v>0</v>
      </c>
      <c r="F3135" s="46" t="s">
        <v>1505</v>
      </c>
      <c r="I3135" s="46" t="s">
        <v>179</v>
      </c>
      <c r="U3135" s="0" t="n">
        <v>205</v>
      </c>
      <c r="V3135" s="0" t="n">
        <v>0</v>
      </c>
      <c r="X3135" s="46" t="n">
        <f aca="false">IF(I3135="Male",0,1)</f>
        <v>1</v>
      </c>
      <c r="Y3135" s="46" t="n">
        <f aca="false">IF(OR(I3135="DNB",I3135="Dry DNB"),1,0)</f>
        <v>0</v>
      </c>
      <c r="Z3135" s="0" t="str">
        <f aca="false">IF(ISNUMBER(W3135),A3135-W3135,"")</f>
        <v/>
      </c>
      <c r="AA3135" s="46" t="n">
        <f aca="false">MATCH(A3135,DATAS,0)</f>
        <v>1</v>
      </c>
      <c r="AB3135" s="46" t="n">
        <f aca="false">IF(AND(E3135&gt;0,OR(AND(B3135&gt;=1,B3135&lt;=6),B3135=10)),1,0)</f>
        <v>0</v>
      </c>
      <c r="AC3135" s="46" t="n">
        <f aca="false">IF(AND(E3135&gt;0,B3135=10),1,0)</f>
        <v>0</v>
      </c>
      <c r="AD3135" s="0" t="str">
        <f aca="false">IF(AND(C3134=C3135,AA3134=AA3135-1),AB3134,"")</f>
        <v/>
      </c>
      <c r="AE3135" s="0" t="str">
        <f aca="false">IF(AND(C3134=C3135,AA3134=AA3135-1),AC3134,"")</f>
        <v/>
      </c>
      <c r="AF3135" s="0" t="str">
        <f aca="false">IF(AA3135=1,"",IF(AND(AB3135=1,AD3135&lt;&gt;1),1,0))</f>
        <v/>
      </c>
      <c r="AG3135" s="0" t="str">
        <f aca="false">IF(AA3135=1,"",IF(AND(AC3135=1,AE3135&lt;&gt;1),1,0))</f>
        <v/>
      </c>
      <c r="AH3135" s="51" t="str">
        <f aca="false">IF(AND(E3135&gt;0,AA3135&lt;1,NOT(AND(C3136=C3135,AA3136=AA3135+1))),INDEX(DATAS,AA3135+1),"")</f>
        <v/>
      </c>
      <c r="AI3135" s="51" t="str">
        <f aca="false">IF(AND(AC3135=1,AA3135&lt;1),IF(AND(C3136=C3135,AA3136=AA3135+1),IF(AC3136=1,"",INDEX(DATAS,AA3135+1)),INDEX(DATAS,AA3135+1)),"")</f>
        <v/>
      </c>
    </row>
    <row r="3136" customFormat="false" ht="15" hidden="false" customHeight="false" outlineLevel="0" collapsed="false">
      <c r="A3136" s="51" t="n">
        <v>46309</v>
      </c>
      <c r="B3136" s="0" t="n">
        <v>13</v>
      </c>
      <c r="C3136" s="0" t="n">
        <v>7551</v>
      </c>
      <c r="E3136" s="0" t="n">
        <v>0</v>
      </c>
      <c r="F3136" s="46" t="s">
        <v>1505</v>
      </c>
      <c r="I3136" s="46" t="s">
        <v>179</v>
      </c>
      <c r="U3136" s="0" t="n">
        <v>205</v>
      </c>
      <c r="V3136" s="0" t="n">
        <v>0</v>
      </c>
      <c r="X3136" s="46" t="n">
        <f aca="false">IF(I3136="Male",0,1)</f>
        <v>1</v>
      </c>
      <c r="Y3136" s="46" t="n">
        <f aca="false">IF(OR(I3136="DNB",I3136="Dry DNB"),1,0)</f>
        <v>0</v>
      </c>
      <c r="Z3136" s="0" t="str">
        <f aca="false">IF(ISNUMBER(W3136),A3136-W3136,"")</f>
        <v/>
      </c>
      <c r="AA3136" s="46" t="n">
        <f aca="false">MATCH(A3136,DATAS,0)</f>
        <v>1</v>
      </c>
      <c r="AB3136" s="46" t="n">
        <f aca="false">IF(AND(E3136&gt;0,OR(AND(B3136&gt;=1,B3136&lt;=6),B3136=10)),1,0)</f>
        <v>0</v>
      </c>
      <c r="AC3136" s="46" t="n">
        <f aca="false">IF(AND(E3136&gt;0,B3136=10),1,0)</f>
        <v>0</v>
      </c>
      <c r="AD3136" s="0" t="str">
        <f aca="false">IF(AND(C3135=C3136,AA3135=AA3136-1),AB3135,"")</f>
        <v/>
      </c>
      <c r="AE3136" s="0" t="str">
        <f aca="false">IF(AND(C3135=C3136,AA3135=AA3136-1),AC3135,"")</f>
        <v/>
      </c>
      <c r="AF3136" s="0" t="str">
        <f aca="false">IF(AA3136=1,"",IF(AND(AB3136=1,AD3136&lt;&gt;1),1,0))</f>
        <v/>
      </c>
      <c r="AG3136" s="0" t="str">
        <f aca="false">IF(AA3136=1,"",IF(AND(AC3136=1,AE3136&lt;&gt;1),1,0))</f>
        <v/>
      </c>
      <c r="AH3136" s="51" t="str">
        <f aca="false">IF(AND(E3136&gt;0,AA3136&lt;1,NOT(AND(C3137=C3136,AA3137=AA3136+1))),INDEX(DATAS,AA3136+1),"")</f>
        <v/>
      </c>
      <c r="AI3136" s="51" t="str">
        <f aca="false">IF(AND(AC3136=1,AA3136&lt;1),IF(AND(C3137=C3136,AA3137=AA3136+1),IF(AC3137=1,"",INDEX(DATAS,AA3136+1)),INDEX(DATAS,AA3136+1)),"")</f>
        <v/>
      </c>
    </row>
    <row r="3137" customFormat="false" ht="15" hidden="false" customHeight="false" outlineLevel="0" collapsed="false">
      <c r="A3137" s="51" t="n">
        <v>46309</v>
      </c>
      <c r="B3137" s="0" t="n">
        <v>13</v>
      </c>
      <c r="C3137" s="0" t="n">
        <v>7552</v>
      </c>
      <c r="E3137" s="0" t="n">
        <v>0</v>
      </c>
      <c r="F3137" s="46" t="s">
        <v>1505</v>
      </c>
      <c r="I3137" s="46" t="s">
        <v>179</v>
      </c>
      <c r="U3137" s="0" t="n">
        <v>205</v>
      </c>
      <c r="V3137" s="0" t="n">
        <v>0</v>
      </c>
      <c r="X3137" s="46" t="n">
        <f aca="false">IF(I3137="Male",0,1)</f>
        <v>1</v>
      </c>
      <c r="Y3137" s="46" t="n">
        <f aca="false">IF(OR(I3137="DNB",I3137="Dry DNB"),1,0)</f>
        <v>0</v>
      </c>
      <c r="Z3137" s="0" t="str">
        <f aca="false">IF(ISNUMBER(W3137),A3137-W3137,"")</f>
        <v/>
      </c>
      <c r="AA3137" s="46" t="n">
        <f aca="false">MATCH(A3137,DATAS,0)</f>
        <v>1</v>
      </c>
      <c r="AB3137" s="46" t="n">
        <f aca="false">IF(AND(E3137&gt;0,OR(AND(B3137&gt;=1,B3137&lt;=6),B3137=10)),1,0)</f>
        <v>0</v>
      </c>
      <c r="AC3137" s="46" t="n">
        <f aca="false">IF(AND(E3137&gt;0,B3137=10),1,0)</f>
        <v>0</v>
      </c>
      <c r="AD3137" s="0" t="str">
        <f aca="false">IF(AND(C3136=C3137,AA3136=AA3137-1),AB3136,"")</f>
        <v/>
      </c>
      <c r="AE3137" s="0" t="str">
        <f aca="false">IF(AND(C3136=C3137,AA3136=AA3137-1),AC3136,"")</f>
        <v/>
      </c>
      <c r="AF3137" s="0" t="str">
        <f aca="false">IF(AA3137=1,"",IF(AND(AB3137=1,AD3137&lt;&gt;1),1,0))</f>
        <v/>
      </c>
      <c r="AG3137" s="0" t="str">
        <f aca="false">IF(AA3137=1,"",IF(AND(AC3137=1,AE3137&lt;&gt;1),1,0))</f>
        <v/>
      </c>
      <c r="AH3137" s="51" t="str">
        <f aca="false">IF(AND(E3137&gt;0,AA3137&lt;1,NOT(AND(C3138=C3137,AA3138=AA3137+1))),INDEX(DATAS,AA3137+1),"")</f>
        <v/>
      </c>
      <c r="AI3137" s="51" t="str">
        <f aca="false">IF(AND(AC3137=1,AA3137&lt;1),IF(AND(C3138=C3137,AA3138=AA3137+1),IF(AC3138=1,"",INDEX(DATAS,AA3137+1)),INDEX(DATAS,AA3137+1)),"")</f>
        <v/>
      </c>
    </row>
    <row r="3138" customFormat="false" ht="15" hidden="false" customHeight="false" outlineLevel="0" collapsed="false">
      <c r="A3138" s="51" t="n">
        <v>46309</v>
      </c>
      <c r="B3138" s="0" t="n">
        <v>13</v>
      </c>
      <c r="C3138" s="0" t="n">
        <v>7553</v>
      </c>
      <c r="E3138" s="0" t="n">
        <v>0</v>
      </c>
      <c r="F3138" s="46" t="s">
        <v>1505</v>
      </c>
      <c r="I3138" s="46" t="s">
        <v>179</v>
      </c>
      <c r="U3138" s="0" t="n">
        <v>205</v>
      </c>
      <c r="V3138" s="0" t="n">
        <v>0</v>
      </c>
      <c r="X3138" s="46" t="n">
        <f aca="false">IF(I3138="Male",0,1)</f>
        <v>1</v>
      </c>
      <c r="Y3138" s="46" t="n">
        <f aca="false">IF(OR(I3138="DNB",I3138="Dry DNB"),1,0)</f>
        <v>0</v>
      </c>
      <c r="Z3138" s="0" t="str">
        <f aca="false">IF(ISNUMBER(W3138),A3138-W3138,"")</f>
        <v/>
      </c>
      <c r="AA3138" s="46" t="n">
        <f aca="false">MATCH(A3138,DATAS,0)</f>
        <v>1</v>
      </c>
      <c r="AB3138" s="46" t="n">
        <f aca="false">IF(AND(E3138&gt;0,OR(AND(B3138&gt;=1,B3138&lt;=6),B3138=10)),1,0)</f>
        <v>0</v>
      </c>
      <c r="AC3138" s="46" t="n">
        <f aca="false">IF(AND(E3138&gt;0,B3138=10),1,0)</f>
        <v>0</v>
      </c>
      <c r="AD3138" s="0" t="str">
        <f aca="false">IF(AND(C3137=C3138,AA3137=AA3138-1),AB3137,"")</f>
        <v/>
      </c>
      <c r="AE3138" s="0" t="str">
        <f aca="false">IF(AND(C3137=C3138,AA3137=AA3138-1),AC3137,"")</f>
        <v/>
      </c>
      <c r="AF3138" s="0" t="str">
        <f aca="false">IF(AA3138=1,"",IF(AND(AB3138=1,AD3138&lt;&gt;1),1,0))</f>
        <v/>
      </c>
      <c r="AG3138" s="0" t="str">
        <f aca="false">IF(AA3138=1,"",IF(AND(AC3138=1,AE3138&lt;&gt;1),1,0))</f>
        <v/>
      </c>
      <c r="AH3138" s="51" t="str">
        <f aca="false">IF(AND(E3138&gt;0,AA3138&lt;1,NOT(AND(C3139=C3138,AA3139=AA3138+1))),INDEX(DATAS,AA3138+1),"")</f>
        <v/>
      </c>
      <c r="AI3138" s="51" t="str">
        <f aca="false">IF(AND(AC3138=1,AA3138&lt;1),IF(AND(C3139=C3138,AA3139=AA3138+1),IF(AC3139=1,"",INDEX(DATAS,AA3138+1)),INDEX(DATAS,AA3138+1)),"")</f>
        <v/>
      </c>
    </row>
    <row r="3139" customFormat="false" ht="15" hidden="false" customHeight="false" outlineLevel="0" collapsed="false">
      <c r="A3139" s="51" t="n">
        <v>46309</v>
      </c>
      <c r="B3139" s="0" t="n">
        <v>13</v>
      </c>
      <c r="C3139" s="0" t="n">
        <v>7554</v>
      </c>
      <c r="E3139" s="0" t="n">
        <v>0</v>
      </c>
      <c r="F3139" s="46" t="s">
        <v>1505</v>
      </c>
      <c r="I3139" s="46" t="s">
        <v>179</v>
      </c>
      <c r="U3139" s="0" t="n">
        <v>205</v>
      </c>
      <c r="V3139" s="0" t="n">
        <v>0</v>
      </c>
      <c r="X3139" s="46" t="n">
        <f aca="false">IF(I3139="Male",0,1)</f>
        <v>1</v>
      </c>
      <c r="Y3139" s="46" t="n">
        <f aca="false">IF(OR(I3139="DNB",I3139="Dry DNB"),1,0)</f>
        <v>0</v>
      </c>
      <c r="Z3139" s="0" t="str">
        <f aca="false">IF(ISNUMBER(W3139),A3139-W3139,"")</f>
        <v/>
      </c>
      <c r="AA3139" s="46" t="n">
        <f aca="false">MATCH(A3139,DATAS,0)</f>
        <v>1</v>
      </c>
      <c r="AB3139" s="46" t="n">
        <f aca="false">IF(AND(E3139&gt;0,OR(AND(B3139&gt;=1,B3139&lt;=6),B3139=10)),1,0)</f>
        <v>0</v>
      </c>
      <c r="AC3139" s="46" t="n">
        <f aca="false">IF(AND(E3139&gt;0,B3139=10),1,0)</f>
        <v>0</v>
      </c>
      <c r="AD3139" s="0" t="str">
        <f aca="false">IF(AND(C3138=C3139,AA3138=AA3139-1),AB3138,"")</f>
        <v/>
      </c>
      <c r="AE3139" s="0" t="str">
        <f aca="false">IF(AND(C3138=C3139,AA3138=AA3139-1),AC3138,"")</f>
        <v/>
      </c>
      <c r="AF3139" s="0" t="str">
        <f aca="false">IF(AA3139=1,"",IF(AND(AB3139=1,AD3139&lt;&gt;1),1,0))</f>
        <v/>
      </c>
      <c r="AG3139" s="0" t="str">
        <f aca="false">IF(AA3139=1,"",IF(AND(AC3139=1,AE3139&lt;&gt;1),1,0))</f>
        <v/>
      </c>
      <c r="AH3139" s="51" t="str">
        <f aca="false">IF(AND(E3139&gt;0,AA3139&lt;1,NOT(AND(C3140=C3139,AA3140=AA3139+1))),INDEX(DATAS,AA3139+1),"")</f>
        <v/>
      </c>
      <c r="AI3139" s="51" t="str">
        <f aca="false">IF(AND(AC3139=1,AA3139&lt;1),IF(AND(C3140=C3139,AA3140=AA3139+1),IF(AC3140=1,"",INDEX(DATAS,AA3139+1)),INDEX(DATAS,AA3139+1)),"")</f>
        <v/>
      </c>
    </row>
    <row r="3140" customFormat="false" ht="15" hidden="false" customHeight="false" outlineLevel="0" collapsed="false">
      <c r="A3140" s="51" t="n">
        <v>46309</v>
      </c>
      <c r="B3140" s="0" t="n">
        <v>13</v>
      </c>
      <c r="C3140" s="0" t="n">
        <v>7555</v>
      </c>
      <c r="E3140" s="0" t="n">
        <v>0</v>
      </c>
      <c r="F3140" s="46" t="s">
        <v>1506</v>
      </c>
      <c r="I3140" s="46" t="s">
        <v>179</v>
      </c>
      <c r="U3140" s="0" t="n">
        <v>204</v>
      </c>
      <c r="V3140" s="0" t="n">
        <v>0</v>
      </c>
      <c r="X3140" s="46" t="n">
        <f aca="false">IF(I3140="Male",0,1)</f>
        <v>1</v>
      </c>
      <c r="Y3140" s="46" t="n">
        <f aca="false">IF(OR(I3140="DNB",I3140="Dry DNB"),1,0)</f>
        <v>0</v>
      </c>
      <c r="Z3140" s="0" t="str">
        <f aca="false">IF(ISNUMBER(W3140),A3140-W3140,"")</f>
        <v/>
      </c>
      <c r="AA3140" s="46" t="n">
        <f aca="false">MATCH(A3140,DATAS,0)</f>
        <v>1</v>
      </c>
      <c r="AB3140" s="46" t="n">
        <f aca="false">IF(AND(E3140&gt;0,OR(AND(B3140&gt;=1,B3140&lt;=6),B3140=10)),1,0)</f>
        <v>0</v>
      </c>
      <c r="AC3140" s="46" t="n">
        <f aca="false">IF(AND(E3140&gt;0,B3140=10),1,0)</f>
        <v>0</v>
      </c>
      <c r="AD3140" s="0" t="str">
        <f aca="false">IF(AND(C3139=C3140,AA3139=AA3140-1),AB3139,"")</f>
        <v/>
      </c>
      <c r="AE3140" s="0" t="str">
        <f aca="false">IF(AND(C3139=C3140,AA3139=AA3140-1),AC3139,"")</f>
        <v/>
      </c>
      <c r="AF3140" s="0" t="str">
        <f aca="false">IF(AA3140=1,"",IF(AND(AB3140=1,AD3140&lt;&gt;1),1,0))</f>
        <v/>
      </c>
      <c r="AG3140" s="0" t="str">
        <f aca="false">IF(AA3140=1,"",IF(AND(AC3140=1,AE3140&lt;&gt;1),1,0))</f>
        <v/>
      </c>
      <c r="AH3140" s="51" t="str">
        <f aca="false">IF(AND(E3140&gt;0,AA3140&lt;1,NOT(AND(C3141=C3140,AA3141=AA3140+1))),INDEX(DATAS,AA3140+1),"")</f>
        <v/>
      </c>
      <c r="AI3140" s="51" t="str">
        <f aca="false">IF(AND(AC3140=1,AA3140&lt;1),IF(AND(C3141=C3140,AA3141=AA3140+1),IF(AC3141=1,"",INDEX(DATAS,AA3140+1)),INDEX(DATAS,AA3140+1)),"")</f>
        <v/>
      </c>
    </row>
    <row r="3141" customFormat="false" ht="15" hidden="false" customHeight="false" outlineLevel="0" collapsed="false">
      <c r="A3141" s="51" t="n">
        <v>46309</v>
      </c>
      <c r="B3141" s="0" t="n">
        <v>13</v>
      </c>
      <c r="C3141" s="0" t="n">
        <v>7556</v>
      </c>
      <c r="E3141" s="0" t="n">
        <v>0</v>
      </c>
      <c r="F3141" s="46" t="s">
        <v>1506</v>
      </c>
      <c r="I3141" s="46" t="s">
        <v>179</v>
      </c>
      <c r="U3141" s="0" t="n">
        <v>204</v>
      </c>
      <c r="V3141" s="0" t="n">
        <v>0</v>
      </c>
      <c r="X3141" s="46" t="n">
        <f aca="false">IF(I3141="Male",0,1)</f>
        <v>1</v>
      </c>
      <c r="Y3141" s="46" t="n">
        <f aca="false">IF(OR(I3141="DNB",I3141="Dry DNB"),1,0)</f>
        <v>0</v>
      </c>
      <c r="Z3141" s="0" t="str">
        <f aca="false">IF(ISNUMBER(W3141),A3141-W3141,"")</f>
        <v/>
      </c>
      <c r="AA3141" s="46" t="n">
        <f aca="false">MATCH(A3141,DATAS,0)</f>
        <v>1</v>
      </c>
      <c r="AB3141" s="46" t="n">
        <f aca="false">IF(AND(E3141&gt;0,OR(AND(B3141&gt;=1,B3141&lt;=6),B3141=10)),1,0)</f>
        <v>0</v>
      </c>
      <c r="AC3141" s="46" t="n">
        <f aca="false">IF(AND(E3141&gt;0,B3141=10),1,0)</f>
        <v>0</v>
      </c>
      <c r="AD3141" s="0" t="str">
        <f aca="false">IF(AND(C3140=C3141,AA3140=AA3141-1),AB3140,"")</f>
        <v/>
      </c>
      <c r="AE3141" s="0" t="str">
        <f aca="false">IF(AND(C3140=C3141,AA3140=AA3141-1),AC3140,"")</f>
        <v/>
      </c>
      <c r="AF3141" s="0" t="str">
        <f aca="false">IF(AA3141=1,"",IF(AND(AB3141=1,AD3141&lt;&gt;1),1,0))</f>
        <v/>
      </c>
      <c r="AG3141" s="0" t="str">
        <f aca="false">IF(AA3141=1,"",IF(AND(AC3141=1,AE3141&lt;&gt;1),1,0))</f>
        <v/>
      </c>
      <c r="AH3141" s="51" t="str">
        <f aca="false">IF(AND(E3141&gt;0,AA3141&lt;1,NOT(AND(C3142=C3141,AA3142=AA3141+1))),INDEX(DATAS,AA3141+1),"")</f>
        <v/>
      </c>
      <c r="AI3141" s="51" t="str">
        <f aca="false">IF(AND(AC3141=1,AA3141&lt;1),IF(AND(C3142=C3141,AA3142=AA3141+1),IF(AC3142=1,"",INDEX(DATAS,AA3141+1)),INDEX(DATAS,AA3141+1)),"")</f>
        <v/>
      </c>
    </row>
    <row r="3142" customFormat="false" ht="15" hidden="false" customHeight="false" outlineLevel="0" collapsed="false">
      <c r="A3142" s="51" t="n">
        <v>46309</v>
      </c>
      <c r="B3142" s="0" t="n">
        <v>13</v>
      </c>
      <c r="C3142" s="0" t="n">
        <v>7557</v>
      </c>
      <c r="E3142" s="0" t="n">
        <v>0</v>
      </c>
      <c r="F3142" s="46" t="s">
        <v>1506</v>
      </c>
      <c r="I3142" s="46" t="s">
        <v>179</v>
      </c>
      <c r="U3142" s="0" t="n">
        <v>204</v>
      </c>
      <c r="V3142" s="0" t="n">
        <v>0</v>
      </c>
      <c r="X3142" s="46" t="n">
        <f aca="false">IF(I3142="Male",0,1)</f>
        <v>1</v>
      </c>
      <c r="Y3142" s="46" t="n">
        <f aca="false">IF(OR(I3142="DNB",I3142="Dry DNB"),1,0)</f>
        <v>0</v>
      </c>
      <c r="Z3142" s="0" t="str">
        <f aca="false">IF(ISNUMBER(W3142),A3142-W3142,"")</f>
        <v/>
      </c>
      <c r="AA3142" s="46" t="n">
        <f aca="false">MATCH(A3142,DATAS,0)</f>
        <v>1</v>
      </c>
      <c r="AB3142" s="46" t="n">
        <f aca="false">IF(AND(E3142&gt;0,OR(AND(B3142&gt;=1,B3142&lt;=6),B3142=10)),1,0)</f>
        <v>0</v>
      </c>
      <c r="AC3142" s="46" t="n">
        <f aca="false">IF(AND(E3142&gt;0,B3142=10),1,0)</f>
        <v>0</v>
      </c>
      <c r="AD3142" s="0" t="str">
        <f aca="false">IF(AND(C3141=C3142,AA3141=AA3142-1),AB3141,"")</f>
        <v/>
      </c>
      <c r="AE3142" s="0" t="str">
        <f aca="false">IF(AND(C3141=C3142,AA3141=AA3142-1),AC3141,"")</f>
        <v/>
      </c>
      <c r="AF3142" s="0" t="str">
        <f aca="false">IF(AA3142=1,"",IF(AND(AB3142=1,AD3142&lt;&gt;1),1,0))</f>
        <v/>
      </c>
      <c r="AG3142" s="0" t="str">
        <f aca="false">IF(AA3142=1,"",IF(AND(AC3142=1,AE3142&lt;&gt;1),1,0))</f>
        <v/>
      </c>
      <c r="AH3142" s="51" t="str">
        <f aca="false">IF(AND(E3142&gt;0,AA3142&lt;1,NOT(AND(C3143=C3142,AA3143=AA3142+1))),INDEX(DATAS,AA3142+1),"")</f>
        <v/>
      </c>
      <c r="AI3142" s="51" t="str">
        <f aca="false">IF(AND(AC3142=1,AA3142&lt;1),IF(AND(C3143=C3142,AA3143=AA3142+1),IF(AC3143=1,"",INDEX(DATAS,AA3142+1)),INDEX(DATAS,AA3142+1)),"")</f>
        <v/>
      </c>
    </row>
    <row r="3143" customFormat="false" ht="15" hidden="false" customHeight="false" outlineLevel="0" collapsed="false">
      <c r="A3143" s="51" t="n">
        <v>46309</v>
      </c>
      <c r="B3143" s="0" t="n">
        <v>13</v>
      </c>
      <c r="C3143" s="0" t="n">
        <v>7558</v>
      </c>
      <c r="E3143" s="0" t="n">
        <v>0</v>
      </c>
      <c r="F3143" s="46" t="s">
        <v>1506</v>
      </c>
      <c r="I3143" s="46" t="s">
        <v>179</v>
      </c>
      <c r="U3143" s="0" t="n">
        <v>204</v>
      </c>
      <c r="V3143" s="0" t="n">
        <v>0</v>
      </c>
      <c r="X3143" s="46" t="n">
        <f aca="false">IF(I3143="Male",0,1)</f>
        <v>1</v>
      </c>
      <c r="Y3143" s="46" t="n">
        <f aca="false">IF(OR(I3143="DNB",I3143="Dry DNB"),1,0)</f>
        <v>0</v>
      </c>
      <c r="Z3143" s="0" t="str">
        <f aca="false">IF(ISNUMBER(W3143),A3143-W3143,"")</f>
        <v/>
      </c>
      <c r="AA3143" s="46" t="n">
        <f aca="false">MATCH(A3143,DATAS,0)</f>
        <v>1</v>
      </c>
      <c r="AB3143" s="46" t="n">
        <f aca="false">IF(AND(E3143&gt;0,OR(AND(B3143&gt;=1,B3143&lt;=6),B3143=10)),1,0)</f>
        <v>0</v>
      </c>
      <c r="AC3143" s="46" t="n">
        <f aca="false">IF(AND(E3143&gt;0,B3143=10),1,0)</f>
        <v>0</v>
      </c>
      <c r="AD3143" s="0" t="str">
        <f aca="false">IF(AND(C3142=C3143,AA3142=AA3143-1),AB3142,"")</f>
        <v/>
      </c>
      <c r="AE3143" s="0" t="str">
        <f aca="false">IF(AND(C3142=C3143,AA3142=AA3143-1),AC3142,"")</f>
        <v/>
      </c>
      <c r="AF3143" s="0" t="str">
        <f aca="false">IF(AA3143=1,"",IF(AND(AB3143=1,AD3143&lt;&gt;1),1,0))</f>
        <v/>
      </c>
      <c r="AG3143" s="0" t="str">
        <f aca="false">IF(AA3143=1,"",IF(AND(AC3143=1,AE3143&lt;&gt;1),1,0))</f>
        <v/>
      </c>
      <c r="AH3143" s="51" t="str">
        <f aca="false">IF(AND(E3143&gt;0,AA3143&lt;1,NOT(AND(C3144=C3143,AA3144=AA3143+1))),INDEX(DATAS,AA3143+1),"")</f>
        <v/>
      </c>
      <c r="AI3143" s="51" t="str">
        <f aca="false">IF(AND(AC3143=1,AA3143&lt;1),IF(AND(C3144=C3143,AA3144=AA3143+1),IF(AC3144=1,"",INDEX(DATAS,AA3143+1)),INDEX(DATAS,AA3143+1)),"")</f>
        <v/>
      </c>
    </row>
    <row r="3144" customFormat="false" ht="15" hidden="false" customHeight="false" outlineLevel="0" collapsed="false">
      <c r="A3144" s="51" t="n">
        <v>46309</v>
      </c>
      <c r="B3144" s="0" t="n">
        <v>13</v>
      </c>
      <c r="C3144" s="0" t="n">
        <v>7559</v>
      </c>
      <c r="E3144" s="0" t="n">
        <v>0</v>
      </c>
      <c r="F3144" s="46" t="s">
        <v>1507</v>
      </c>
      <c r="I3144" s="46" t="s">
        <v>179</v>
      </c>
      <c r="U3144" s="0" t="n">
        <v>203</v>
      </c>
      <c r="V3144" s="0" t="n">
        <v>0</v>
      </c>
      <c r="X3144" s="46" t="n">
        <f aca="false">IF(I3144="Male",0,1)</f>
        <v>1</v>
      </c>
      <c r="Y3144" s="46" t="n">
        <f aca="false">IF(OR(I3144="DNB",I3144="Dry DNB"),1,0)</f>
        <v>0</v>
      </c>
      <c r="Z3144" s="0" t="str">
        <f aca="false">IF(ISNUMBER(W3144),A3144-W3144,"")</f>
        <v/>
      </c>
      <c r="AA3144" s="46" t="n">
        <f aca="false">MATCH(A3144,DATAS,0)</f>
        <v>1</v>
      </c>
      <c r="AB3144" s="46" t="n">
        <f aca="false">IF(AND(E3144&gt;0,OR(AND(B3144&gt;=1,B3144&lt;=6),B3144=10)),1,0)</f>
        <v>0</v>
      </c>
      <c r="AC3144" s="46" t="n">
        <f aca="false">IF(AND(E3144&gt;0,B3144=10),1,0)</f>
        <v>0</v>
      </c>
      <c r="AD3144" s="0" t="str">
        <f aca="false">IF(AND(C3143=C3144,AA3143=AA3144-1),AB3143,"")</f>
        <v/>
      </c>
      <c r="AE3144" s="0" t="str">
        <f aca="false">IF(AND(C3143=C3144,AA3143=AA3144-1),AC3143,"")</f>
        <v/>
      </c>
      <c r="AF3144" s="0" t="str">
        <f aca="false">IF(AA3144=1,"",IF(AND(AB3144=1,AD3144&lt;&gt;1),1,0))</f>
        <v/>
      </c>
      <c r="AG3144" s="0" t="str">
        <f aca="false">IF(AA3144=1,"",IF(AND(AC3144=1,AE3144&lt;&gt;1),1,0))</f>
        <v/>
      </c>
      <c r="AH3144" s="51" t="str">
        <f aca="false">IF(AND(E3144&gt;0,AA3144&lt;1,NOT(AND(C3145=C3144,AA3145=AA3144+1))),INDEX(DATAS,AA3144+1),"")</f>
        <v/>
      </c>
      <c r="AI3144" s="51" t="str">
        <f aca="false">IF(AND(AC3144=1,AA3144&lt;1),IF(AND(C3145=C3144,AA3145=AA3144+1),IF(AC3145=1,"",INDEX(DATAS,AA3144+1)),INDEX(DATAS,AA3144+1)),"")</f>
        <v/>
      </c>
    </row>
    <row r="3145" customFormat="false" ht="15" hidden="false" customHeight="false" outlineLevel="0" collapsed="false">
      <c r="A3145" s="51" t="n">
        <v>46309</v>
      </c>
      <c r="B3145" s="0" t="n">
        <v>13</v>
      </c>
      <c r="C3145" s="0" t="n">
        <v>7560</v>
      </c>
      <c r="E3145" s="0" t="n">
        <v>0</v>
      </c>
      <c r="F3145" s="46" t="s">
        <v>1507</v>
      </c>
      <c r="I3145" s="46" t="s">
        <v>179</v>
      </c>
      <c r="U3145" s="0" t="n">
        <v>203</v>
      </c>
      <c r="V3145" s="0" t="n">
        <v>0</v>
      </c>
      <c r="X3145" s="46" t="n">
        <f aca="false">IF(I3145="Male",0,1)</f>
        <v>1</v>
      </c>
      <c r="Y3145" s="46" t="n">
        <f aca="false">IF(OR(I3145="DNB",I3145="Dry DNB"),1,0)</f>
        <v>0</v>
      </c>
      <c r="Z3145" s="0" t="str">
        <f aca="false">IF(ISNUMBER(W3145),A3145-W3145,"")</f>
        <v/>
      </c>
      <c r="AA3145" s="46" t="n">
        <f aca="false">MATCH(A3145,DATAS,0)</f>
        <v>1</v>
      </c>
      <c r="AB3145" s="46" t="n">
        <f aca="false">IF(AND(E3145&gt;0,OR(AND(B3145&gt;=1,B3145&lt;=6),B3145=10)),1,0)</f>
        <v>0</v>
      </c>
      <c r="AC3145" s="46" t="n">
        <f aca="false">IF(AND(E3145&gt;0,B3145=10),1,0)</f>
        <v>0</v>
      </c>
      <c r="AD3145" s="0" t="str">
        <f aca="false">IF(AND(C3144=C3145,AA3144=AA3145-1),AB3144,"")</f>
        <v/>
      </c>
      <c r="AE3145" s="0" t="str">
        <f aca="false">IF(AND(C3144=C3145,AA3144=AA3145-1),AC3144,"")</f>
        <v/>
      </c>
      <c r="AF3145" s="0" t="str">
        <f aca="false">IF(AA3145=1,"",IF(AND(AB3145=1,AD3145&lt;&gt;1),1,0))</f>
        <v/>
      </c>
      <c r="AG3145" s="0" t="str">
        <f aca="false">IF(AA3145=1,"",IF(AND(AC3145=1,AE3145&lt;&gt;1),1,0))</f>
        <v/>
      </c>
      <c r="AH3145" s="51" t="str">
        <f aca="false">IF(AND(E3145&gt;0,AA3145&lt;1,NOT(AND(C3146=C3145,AA3146=AA3145+1))),INDEX(DATAS,AA3145+1),"")</f>
        <v/>
      </c>
      <c r="AI3145" s="51" t="str">
        <f aca="false">IF(AND(AC3145=1,AA3145&lt;1),IF(AND(C3146=C3145,AA3146=AA3145+1),IF(AC3146=1,"",INDEX(DATAS,AA3145+1)),INDEX(DATAS,AA3145+1)),"")</f>
        <v/>
      </c>
    </row>
    <row r="3146" customFormat="false" ht="15" hidden="false" customHeight="false" outlineLevel="0" collapsed="false">
      <c r="A3146" s="51" t="n">
        <v>46309</v>
      </c>
      <c r="B3146" s="0" t="n">
        <v>13</v>
      </c>
      <c r="C3146" s="0" t="n">
        <v>7561</v>
      </c>
      <c r="E3146" s="0" t="n">
        <v>0</v>
      </c>
      <c r="F3146" s="46" t="s">
        <v>1507</v>
      </c>
      <c r="I3146" s="46" t="s">
        <v>179</v>
      </c>
      <c r="U3146" s="0" t="n">
        <v>203</v>
      </c>
      <c r="V3146" s="0" t="n">
        <v>0</v>
      </c>
      <c r="X3146" s="46" t="n">
        <f aca="false">IF(I3146="Male",0,1)</f>
        <v>1</v>
      </c>
      <c r="Y3146" s="46" t="n">
        <f aca="false">IF(OR(I3146="DNB",I3146="Dry DNB"),1,0)</f>
        <v>0</v>
      </c>
      <c r="Z3146" s="0" t="str">
        <f aca="false">IF(ISNUMBER(W3146),A3146-W3146,"")</f>
        <v/>
      </c>
      <c r="AA3146" s="46" t="n">
        <f aca="false">MATCH(A3146,DATAS,0)</f>
        <v>1</v>
      </c>
      <c r="AB3146" s="46" t="n">
        <f aca="false">IF(AND(E3146&gt;0,OR(AND(B3146&gt;=1,B3146&lt;=6),B3146=10)),1,0)</f>
        <v>0</v>
      </c>
      <c r="AC3146" s="46" t="n">
        <f aca="false">IF(AND(E3146&gt;0,B3146=10),1,0)</f>
        <v>0</v>
      </c>
      <c r="AD3146" s="0" t="str">
        <f aca="false">IF(AND(C3145=C3146,AA3145=AA3146-1),AB3145,"")</f>
        <v/>
      </c>
      <c r="AE3146" s="0" t="str">
        <f aca="false">IF(AND(C3145=C3146,AA3145=AA3146-1),AC3145,"")</f>
        <v/>
      </c>
      <c r="AF3146" s="0" t="str">
        <f aca="false">IF(AA3146=1,"",IF(AND(AB3146=1,AD3146&lt;&gt;1),1,0))</f>
        <v/>
      </c>
      <c r="AG3146" s="0" t="str">
        <f aca="false">IF(AA3146=1,"",IF(AND(AC3146=1,AE3146&lt;&gt;1),1,0))</f>
        <v/>
      </c>
      <c r="AH3146" s="51" t="str">
        <f aca="false">IF(AND(E3146&gt;0,AA3146&lt;1,NOT(AND(C3147=C3146,AA3147=AA3146+1))),INDEX(DATAS,AA3146+1),"")</f>
        <v/>
      </c>
      <c r="AI3146" s="51" t="str">
        <f aca="false">IF(AND(AC3146=1,AA3146&lt;1),IF(AND(C3147=C3146,AA3147=AA3146+1),IF(AC3147=1,"",INDEX(DATAS,AA3146+1)),INDEX(DATAS,AA3146+1)),"")</f>
        <v/>
      </c>
    </row>
    <row r="3147" customFormat="false" ht="15" hidden="false" customHeight="false" outlineLevel="0" collapsed="false">
      <c r="A3147" s="51" t="n">
        <v>46309</v>
      </c>
      <c r="B3147" s="0" t="n">
        <v>13</v>
      </c>
      <c r="C3147" s="0" t="n">
        <v>7562</v>
      </c>
      <c r="E3147" s="0" t="n">
        <v>0</v>
      </c>
      <c r="F3147" s="46" t="s">
        <v>1507</v>
      </c>
      <c r="I3147" s="46" t="s">
        <v>179</v>
      </c>
      <c r="U3147" s="0" t="n">
        <v>203</v>
      </c>
      <c r="V3147" s="0" t="n">
        <v>0</v>
      </c>
      <c r="X3147" s="46" t="n">
        <f aca="false">IF(I3147="Male",0,1)</f>
        <v>1</v>
      </c>
      <c r="Y3147" s="46" t="n">
        <f aca="false">IF(OR(I3147="DNB",I3147="Dry DNB"),1,0)</f>
        <v>0</v>
      </c>
      <c r="Z3147" s="0" t="str">
        <f aca="false">IF(ISNUMBER(W3147),A3147-W3147,"")</f>
        <v/>
      </c>
      <c r="AA3147" s="46" t="n">
        <f aca="false">MATCH(A3147,DATAS,0)</f>
        <v>1</v>
      </c>
      <c r="AB3147" s="46" t="n">
        <f aca="false">IF(AND(E3147&gt;0,OR(AND(B3147&gt;=1,B3147&lt;=6),B3147=10)),1,0)</f>
        <v>0</v>
      </c>
      <c r="AC3147" s="46" t="n">
        <f aca="false">IF(AND(E3147&gt;0,B3147=10),1,0)</f>
        <v>0</v>
      </c>
      <c r="AD3147" s="0" t="str">
        <f aca="false">IF(AND(C3146=C3147,AA3146=AA3147-1),AB3146,"")</f>
        <v/>
      </c>
      <c r="AE3147" s="0" t="str">
        <f aca="false">IF(AND(C3146=C3147,AA3146=AA3147-1),AC3146,"")</f>
        <v/>
      </c>
      <c r="AF3147" s="0" t="str">
        <f aca="false">IF(AA3147=1,"",IF(AND(AB3147=1,AD3147&lt;&gt;1),1,0))</f>
        <v/>
      </c>
      <c r="AG3147" s="0" t="str">
        <f aca="false">IF(AA3147=1,"",IF(AND(AC3147=1,AE3147&lt;&gt;1),1,0))</f>
        <v/>
      </c>
      <c r="AH3147" s="51" t="str">
        <f aca="false">IF(AND(E3147&gt;0,AA3147&lt;1,NOT(AND(C3148=C3147,AA3148=AA3147+1))),INDEX(DATAS,AA3147+1),"")</f>
        <v/>
      </c>
      <c r="AI3147" s="51" t="str">
        <f aca="false">IF(AND(AC3147=1,AA3147&lt;1),IF(AND(C3148=C3147,AA3148=AA3147+1),IF(AC3148=1,"",INDEX(DATAS,AA3147+1)),INDEX(DATAS,AA3147+1)),"")</f>
        <v/>
      </c>
    </row>
    <row r="3148" customFormat="false" ht="15" hidden="false" customHeight="false" outlineLevel="0" collapsed="false">
      <c r="A3148" s="51" t="n">
        <v>46309</v>
      </c>
      <c r="B3148" s="0" t="n">
        <v>13</v>
      </c>
      <c r="C3148" s="0" t="n">
        <v>7563</v>
      </c>
      <c r="E3148" s="0" t="n">
        <v>0</v>
      </c>
      <c r="F3148" s="46" t="s">
        <v>1507</v>
      </c>
      <c r="I3148" s="46" t="s">
        <v>179</v>
      </c>
      <c r="U3148" s="0" t="n">
        <v>203</v>
      </c>
      <c r="V3148" s="0" t="n">
        <v>0</v>
      </c>
      <c r="X3148" s="46" t="n">
        <f aca="false">IF(I3148="Male",0,1)</f>
        <v>1</v>
      </c>
      <c r="Y3148" s="46" t="n">
        <f aca="false">IF(OR(I3148="DNB",I3148="Dry DNB"),1,0)</f>
        <v>0</v>
      </c>
      <c r="Z3148" s="0" t="str">
        <f aca="false">IF(ISNUMBER(W3148),A3148-W3148,"")</f>
        <v/>
      </c>
      <c r="AA3148" s="46" t="n">
        <f aca="false">MATCH(A3148,DATAS,0)</f>
        <v>1</v>
      </c>
      <c r="AB3148" s="46" t="n">
        <f aca="false">IF(AND(E3148&gt;0,OR(AND(B3148&gt;=1,B3148&lt;=6),B3148=10)),1,0)</f>
        <v>0</v>
      </c>
      <c r="AC3148" s="46" t="n">
        <f aca="false">IF(AND(E3148&gt;0,B3148=10),1,0)</f>
        <v>0</v>
      </c>
      <c r="AD3148" s="0" t="str">
        <f aca="false">IF(AND(C3147=C3148,AA3147=AA3148-1),AB3147,"")</f>
        <v/>
      </c>
      <c r="AE3148" s="0" t="str">
        <f aca="false">IF(AND(C3147=C3148,AA3147=AA3148-1),AC3147,"")</f>
        <v/>
      </c>
      <c r="AF3148" s="0" t="str">
        <f aca="false">IF(AA3148=1,"",IF(AND(AB3148=1,AD3148&lt;&gt;1),1,0))</f>
        <v/>
      </c>
      <c r="AG3148" s="0" t="str">
        <f aca="false">IF(AA3148=1,"",IF(AND(AC3148=1,AE3148&lt;&gt;1),1,0))</f>
        <v/>
      </c>
      <c r="AH3148" s="51" t="str">
        <f aca="false">IF(AND(E3148&gt;0,AA3148&lt;1,NOT(AND(C3149=C3148,AA3149=AA3148+1))),INDEX(DATAS,AA3148+1),"")</f>
        <v/>
      </c>
      <c r="AI3148" s="51" t="str">
        <f aca="false">IF(AND(AC3148=1,AA3148&lt;1),IF(AND(C3149=C3148,AA3149=AA3148+1),IF(AC3149=1,"",INDEX(DATAS,AA3148+1)),INDEX(DATAS,AA3148+1)),"")</f>
        <v/>
      </c>
    </row>
    <row r="3149" customFormat="false" ht="15" hidden="false" customHeight="false" outlineLevel="0" collapsed="false">
      <c r="A3149" s="51" t="n">
        <v>46309</v>
      </c>
      <c r="B3149" s="0" t="n">
        <v>13</v>
      </c>
      <c r="C3149" s="0" t="n">
        <v>7564</v>
      </c>
      <c r="E3149" s="0" t="n">
        <v>0</v>
      </c>
      <c r="F3149" s="46" t="s">
        <v>1508</v>
      </c>
      <c r="I3149" s="46" t="s">
        <v>179</v>
      </c>
      <c r="U3149" s="0" t="n">
        <v>202</v>
      </c>
      <c r="V3149" s="0" t="n">
        <v>0</v>
      </c>
      <c r="X3149" s="46" t="n">
        <f aca="false">IF(I3149="Male",0,1)</f>
        <v>1</v>
      </c>
      <c r="Y3149" s="46" t="n">
        <f aca="false">IF(OR(I3149="DNB",I3149="Dry DNB"),1,0)</f>
        <v>0</v>
      </c>
      <c r="Z3149" s="0" t="str">
        <f aca="false">IF(ISNUMBER(W3149),A3149-W3149,"")</f>
        <v/>
      </c>
      <c r="AA3149" s="46" t="n">
        <f aca="false">MATCH(A3149,DATAS,0)</f>
        <v>1</v>
      </c>
      <c r="AB3149" s="46" t="n">
        <f aca="false">IF(AND(E3149&gt;0,OR(AND(B3149&gt;=1,B3149&lt;=6),B3149=10)),1,0)</f>
        <v>0</v>
      </c>
      <c r="AC3149" s="46" t="n">
        <f aca="false">IF(AND(E3149&gt;0,B3149=10),1,0)</f>
        <v>0</v>
      </c>
      <c r="AD3149" s="0" t="str">
        <f aca="false">IF(AND(C3148=C3149,AA3148=AA3149-1),AB3148,"")</f>
        <v/>
      </c>
      <c r="AE3149" s="0" t="str">
        <f aca="false">IF(AND(C3148=C3149,AA3148=AA3149-1),AC3148,"")</f>
        <v/>
      </c>
      <c r="AF3149" s="0" t="str">
        <f aca="false">IF(AA3149=1,"",IF(AND(AB3149=1,AD3149&lt;&gt;1),1,0))</f>
        <v/>
      </c>
      <c r="AG3149" s="0" t="str">
        <f aca="false">IF(AA3149=1,"",IF(AND(AC3149=1,AE3149&lt;&gt;1),1,0))</f>
        <v/>
      </c>
      <c r="AH3149" s="51" t="str">
        <f aca="false">IF(AND(E3149&gt;0,AA3149&lt;1,NOT(AND(C3150=C3149,AA3150=AA3149+1))),INDEX(DATAS,AA3149+1),"")</f>
        <v/>
      </c>
      <c r="AI3149" s="51" t="str">
        <f aca="false">IF(AND(AC3149=1,AA3149&lt;1),IF(AND(C3150=C3149,AA3150=AA3149+1),IF(AC3150=1,"",INDEX(DATAS,AA3149+1)),INDEX(DATAS,AA3149+1)),"")</f>
        <v/>
      </c>
    </row>
    <row r="3150" customFormat="false" ht="15" hidden="false" customHeight="false" outlineLevel="0" collapsed="false">
      <c r="A3150" s="51" t="n">
        <v>46309</v>
      </c>
      <c r="B3150" s="0" t="n">
        <v>13</v>
      </c>
      <c r="C3150" s="0" t="n">
        <v>7565</v>
      </c>
      <c r="E3150" s="0" t="n">
        <v>0</v>
      </c>
      <c r="F3150" s="46" t="s">
        <v>1508</v>
      </c>
      <c r="I3150" s="46" t="s">
        <v>179</v>
      </c>
      <c r="U3150" s="0" t="n">
        <v>202</v>
      </c>
      <c r="V3150" s="0" t="n">
        <v>0</v>
      </c>
      <c r="X3150" s="46" t="n">
        <f aca="false">IF(I3150="Male",0,1)</f>
        <v>1</v>
      </c>
      <c r="Y3150" s="46" t="n">
        <f aca="false">IF(OR(I3150="DNB",I3150="Dry DNB"),1,0)</f>
        <v>0</v>
      </c>
      <c r="Z3150" s="0" t="str">
        <f aca="false">IF(ISNUMBER(W3150),A3150-W3150,"")</f>
        <v/>
      </c>
      <c r="AA3150" s="46" t="n">
        <f aca="false">MATCH(A3150,DATAS,0)</f>
        <v>1</v>
      </c>
      <c r="AB3150" s="46" t="n">
        <f aca="false">IF(AND(E3150&gt;0,OR(AND(B3150&gt;=1,B3150&lt;=6),B3150=10)),1,0)</f>
        <v>0</v>
      </c>
      <c r="AC3150" s="46" t="n">
        <f aca="false">IF(AND(E3150&gt;0,B3150=10),1,0)</f>
        <v>0</v>
      </c>
      <c r="AD3150" s="0" t="str">
        <f aca="false">IF(AND(C3149=C3150,AA3149=AA3150-1),AB3149,"")</f>
        <v/>
      </c>
      <c r="AE3150" s="0" t="str">
        <f aca="false">IF(AND(C3149=C3150,AA3149=AA3150-1),AC3149,"")</f>
        <v/>
      </c>
      <c r="AF3150" s="0" t="str">
        <f aca="false">IF(AA3150=1,"",IF(AND(AB3150=1,AD3150&lt;&gt;1),1,0))</f>
        <v/>
      </c>
      <c r="AG3150" s="0" t="str">
        <f aca="false">IF(AA3150=1,"",IF(AND(AC3150=1,AE3150&lt;&gt;1),1,0))</f>
        <v/>
      </c>
      <c r="AH3150" s="51" t="str">
        <f aca="false">IF(AND(E3150&gt;0,AA3150&lt;1,NOT(AND(C3151=C3150,AA3151=AA3150+1))),INDEX(DATAS,AA3150+1),"")</f>
        <v/>
      </c>
      <c r="AI3150" s="51" t="str">
        <f aca="false">IF(AND(AC3150=1,AA3150&lt;1),IF(AND(C3151=C3150,AA3151=AA3150+1),IF(AC3151=1,"",INDEX(DATAS,AA3150+1)),INDEX(DATAS,AA3150+1)),"")</f>
        <v/>
      </c>
    </row>
    <row r="3151" customFormat="false" ht="15" hidden="false" customHeight="false" outlineLevel="0" collapsed="false">
      <c r="A3151" s="51" t="n">
        <v>46309</v>
      </c>
      <c r="B3151" s="0" t="n">
        <v>13</v>
      </c>
      <c r="C3151" s="0" t="n">
        <v>7566</v>
      </c>
      <c r="E3151" s="0" t="n">
        <v>0</v>
      </c>
      <c r="F3151" s="46" t="s">
        <v>1508</v>
      </c>
      <c r="I3151" s="46" t="s">
        <v>179</v>
      </c>
      <c r="U3151" s="0" t="n">
        <v>202</v>
      </c>
      <c r="V3151" s="0" t="n">
        <v>0</v>
      </c>
      <c r="X3151" s="46" t="n">
        <f aca="false">IF(I3151="Male",0,1)</f>
        <v>1</v>
      </c>
      <c r="Y3151" s="46" t="n">
        <f aca="false">IF(OR(I3151="DNB",I3151="Dry DNB"),1,0)</f>
        <v>0</v>
      </c>
      <c r="Z3151" s="0" t="str">
        <f aca="false">IF(ISNUMBER(W3151),A3151-W3151,"")</f>
        <v/>
      </c>
      <c r="AA3151" s="46" t="n">
        <f aca="false">MATCH(A3151,DATAS,0)</f>
        <v>1</v>
      </c>
      <c r="AB3151" s="46" t="n">
        <f aca="false">IF(AND(E3151&gt;0,OR(AND(B3151&gt;=1,B3151&lt;=6),B3151=10)),1,0)</f>
        <v>0</v>
      </c>
      <c r="AC3151" s="46" t="n">
        <f aca="false">IF(AND(E3151&gt;0,B3151=10),1,0)</f>
        <v>0</v>
      </c>
      <c r="AD3151" s="0" t="str">
        <f aca="false">IF(AND(C3150=C3151,AA3150=AA3151-1),AB3150,"")</f>
        <v/>
      </c>
      <c r="AE3151" s="0" t="str">
        <f aca="false">IF(AND(C3150=C3151,AA3150=AA3151-1),AC3150,"")</f>
        <v/>
      </c>
      <c r="AF3151" s="0" t="str">
        <f aca="false">IF(AA3151=1,"",IF(AND(AB3151=1,AD3151&lt;&gt;1),1,0))</f>
        <v/>
      </c>
      <c r="AG3151" s="0" t="str">
        <f aca="false">IF(AA3151=1,"",IF(AND(AC3151=1,AE3151&lt;&gt;1),1,0))</f>
        <v/>
      </c>
      <c r="AH3151" s="51" t="str">
        <f aca="false">IF(AND(E3151&gt;0,AA3151&lt;1,NOT(AND(C3152=C3151,AA3152=AA3151+1))),INDEX(DATAS,AA3151+1),"")</f>
        <v/>
      </c>
      <c r="AI3151" s="51" t="str">
        <f aca="false">IF(AND(AC3151=1,AA3151&lt;1),IF(AND(C3152=C3151,AA3152=AA3151+1),IF(AC3152=1,"",INDEX(DATAS,AA3151+1)),INDEX(DATAS,AA3151+1)),"")</f>
        <v/>
      </c>
    </row>
    <row r="3152" customFormat="false" ht="15" hidden="false" customHeight="false" outlineLevel="0" collapsed="false">
      <c r="A3152" s="51" t="n">
        <v>46309</v>
      </c>
      <c r="B3152" s="0" t="n">
        <v>13</v>
      </c>
      <c r="C3152" s="0" t="n">
        <v>7568</v>
      </c>
      <c r="E3152" s="0" t="n">
        <v>0</v>
      </c>
      <c r="F3152" s="46" t="s">
        <v>1509</v>
      </c>
      <c r="I3152" s="46" t="s">
        <v>179</v>
      </c>
      <c r="U3152" s="0" t="n">
        <v>201</v>
      </c>
      <c r="V3152" s="0" t="n">
        <v>0</v>
      </c>
      <c r="X3152" s="46" t="n">
        <f aca="false">IF(I3152="Male",0,1)</f>
        <v>1</v>
      </c>
      <c r="Y3152" s="46" t="n">
        <f aca="false">IF(OR(I3152="DNB",I3152="Dry DNB"),1,0)</f>
        <v>0</v>
      </c>
      <c r="Z3152" s="0" t="str">
        <f aca="false">IF(ISNUMBER(W3152),A3152-W3152,"")</f>
        <v/>
      </c>
      <c r="AA3152" s="46" t="n">
        <f aca="false">MATCH(A3152,DATAS,0)</f>
        <v>1</v>
      </c>
      <c r="AB3152" s="46" t="n">
        <f aca="false">IF(AND(E3152&gt;0,OR(AND(B3152&gt;=1,B3152&lt;=6),B3152=10)),1,0)</f>
        <v>0</v>
      </c>
      <c r="AC3152" s="46" t="n">
        <f aca="false">IF(AND(E3152&gt;0,B3152=10),1,0)</f>
        <v>0</v>
      </c>
      <c r="AD3152" s="0" t="str">
        <f aca="false">IF(AND(C3151=C3152,AA3151=AA3152-1),AB3151,"")</f>
        <v/>
      </c>
      <c r="AE3152" s="0" t="str">
        <f aca="false">IF(AND(C3151=C3152,AA3151=AA3152-1),AC3151,"")</f>
        <v/>
      </c>
      <c r="AF3152" s="0" t="str">
        <f aca="false">IF(AA3152=1,"",IF(AND(AB3152=1,AD3152&lt;&gt;1),1,0))</f>
        <v/>
      </c>
      <c r="AG3152" s="0" t="str">
        <f aca="false">IF(AA3152=1,"",IF(AND(AC3152=1,AE3152&lt;&gt;1),1,0))</f>
        <v/>
      </c>
      <c r="AH3152" s="51" t="str">
        <f aca="false">IF(AND(E3152&gt;0,AA3152&lt;1,NOT(AND(C3153=C3152,AA3153=AA3152+1))),INDEX(DATAS,AA3152+1),"")</f>
        <v/>
      </c>
      <c r="AI3152" s="51" t="str">
        <f aca="false">IF(AND(AC3152=1,AA3152&lt;1),IF(AND(C3153=C3152,AA3153=AA3152+1),IF(AC3153=1,"",INDEX(DATAS,AA3152+1)),INDEX(DATAS,AA3152+1)),"")</f>
        <v/>
      </c>
    </row>
    <row r="3153" customFormat="false" ht="15" hidden="false" customHeight="false" outlineLevel="0" collapsed="false">
      <c r="A3153" s="51" t="n">
        <v>46309</v>
      </c>
      <c r="B3153" s="0" t="n">
        <v>13</v>
      </c>
      <c r="C3153" s="0" t="n">
        <v>7570</v>
      </c>
      <c r="E3153" s="0" t="n">
        <v>0</v>
      </c>
      <c r="F3153" s="46" t="s">
        <v>1509</v>
      </c>
      <c r="I3153" s="46" t="s">
        <v>179</v>
      </c>
      <c r="U3153" s="0" t="n">
        <v>201</v>
      </c>
      <c r="V3153" s="0" t="n">
        <v>0</v>
      </c>
      <c r="X3153" s="46" t="n">
        <f aca="false">IF(I3153="Male",0,1)</f>
        <v>1</v>
      </c>
      <c r="Y3153" s="46" t="n">
        <f aca="false">IF(OR(I3153="DNB",I3153="Dry DNB"),1,0)</f>
        <v>0</v>
      </c>
      <c r="Z3153" s="0" t="str">
        <f aca="false">IF(ISNUMBER(W3153),A3153-W3153,"")</f>
        <v/>
      </c>
      <c r="AA3153" s="46" t="n">
        <f aca="false">MATCH(A3153,DATAS,0)</f>
        <v>1</v>
      </c>
      <c r="AB3153" s="46" t="n">
        <f aca="false">IF(AND(E3153&gt;0,OR(AND(B3153&gt;=1,B3153&lt;=6),B3153=10)),1,0)</f>
        <v>0</v>
      </c>
      <c r="AC3153" s="46" t="n">
        <f aca="false">IF(AND(E3153&gt;0,B3153=10),1,0)</f>
        <v>0</v>
      </c>
      <c r="AD3153" s="0" t="str">
        <f aca="false">IF(AND(C3152=C3153,AA3152=AA3153-1),AB3152,"")</f>
        <v/>
      </c>
      <c r="AE3153" s="0" t="str">
        <f aca="false">IF(AND(C3152=C3153,AA3152=AA3153-1),AC3152,"")</f>
        <v/>
      </c>
      <c r="AF3153" s="0" t="str">
        <f aca="false">IF(AA3153=1,"",IF(AND(AB3153=1,AD3153&lt;&gt;1),1,0))</f>
        <v/>
      </c>
      <c r="AG3153" s="0" t="str">
        <f aca="false">IF(AA3153=1,"",IF(AND(AC3153=1,AE3153&lt;&gt;1),1,0))</f>
        <v/>
      </c>
      <c r="AH3153" s="51" t="str">
        <f aca="false">IF(AND(E3153&gt;0,AA3153&lt;1,NOT(AND(C3154=C3153,AA3154=AA3153+1))),INDEX(DATAS,AA3153+1),"")</f>
        <v/>
      </c>
      <c r="AI3153" s="51" t="str">
        <f aca="false">IF(AND(AC3153=1,AA3153&lt;1),IF(AND(C3154=C3153,AA3154=AA3153+1),IF(AC3154=1,"",INDEX(DATAS,AA3153+1)),INDEX(DATAS,AA3153+1)),"")</f>
        <v/>
      </c>
    </row>
    <row r="3154" customFormat="false" ht="15" hidden="false" customHeight="false" outlineLevel="0" collapsed="false">
      <c r="A3154" s="51" t="n">
        <v>46309</v>
      </c>
      <c r="B3154" s="0" t="n">
        <v>13</v>
      </c>
      <c r="C3154" s="0" t="n">
        <v>7571</v>
      </c>
      <c r="E3154" s="0" t="n">
        <v>0</v>
      </c>
      <c r="F3154" s="46" t="s">
        <v>1509</v>
      </c>
      <c r="I3154" s="46" t="s">
        <v>179</v>
      </c>
      <c r="U3154" s="0" t="n">
        <v>201</v>
      </c>
      <c r="V3154" s="0" t="n">
        <v>0</v>
      </c>
      <c r="X3154" s="46" t="n">
        <f aca="false">IF(I3154="Male",0,1)</f>
        <v>1</v>
      </c>
      <c r="Y3154" s="46" t="n">
        <f aca="false">IF(OR(I3154="DNB",I3154="Dry DNB"),1,0)</f>
        <v>0</v>
      </c>
      <c r="Z3154" s="0" t="str">
        <f aca="false">IF(ISNUMBER(W3154),A3154-W3154,"")</f>
        <v/>
      </c>
      <c r="AA3154" s="46" t="n">
        <f aca="false">MATCH(A3154,DATAS,0)</f>
        <v>1</v>
      </c>
      <c r="AB3154" s="46" t="n">
        <f aca="false">IF(AND(E3154&gt;0,OR(AND(B3154&gt;=1,B3154&lt;=6),B3154=10)),1,0)</f>
        <v>0</v>
      </c>
      <c r="AC3154" s="46" t="n">
        <f aca="false">IF(AND(E3154&gt;0,B3154=10),1,0)</f>
        <v>0</v>
      </c>
      <c r="AD3154" s="0" t="str">
        <f aca="false">IF(AND(C3153=C3154,AA3153=AA3154-1),AB3153,"")</f>
        <v/>
      </c>
      <c r="AE3154" s="0" t="str">
        <f aca="false">IF(AND(C3153=C3154,AA3153=AA3154-1),AC3153,"")</f>
        <v/>
      </c>
      <c r="AF3154" s="0" t="str">
        <f aca="false">IF(AA3154=1,"",IF(AND(AB3154=1,AD3154&lt;&gt;1),1,0))</f>
        <v/>
      </c>
      <c r="AG3154" s="0" t="str">
        <f aca="false">IF(AA3154=1,"",IF(AND(AC3154=1,AE3154&lt;&gt;1),1,0))</f>
        <v/>
      </c>
      <c r="AH3154" s="51" t="str">
        <f aca="false">IF(AND(E3154&gt;0,AA3154&lt;1,NOT(AND(C3155=C3154,AA3155=AA3154+1))),INDEX(DATAS,AA3154+1),"")</f>
        <v/>
      </c>
      <c r="AI3154" s="51" t="str">
        <f aca="false">IF(AND(AC3154=1,AA3154&lt;1),IF(AND(C3155=C3154,AA3155=AA3154+1),IF(AC3155=1,"",INDEX(DATAS,AA3154+1)),INDEX(DATAS,AA3154+1)),"")</f>
        <v/>
      </c>
    </row>
    <row r="3155" customFormat="false" ht="15" hidden="false" customHeight="false" outlineLevel="0" collapsed="false">
      <c r="A3155" s="51" t="n">
        <v>46309</v>
      </c>
      <c r="B3155" s="0" t="n">
        <v>13</v>
      </c>
      <c r="C3155" s="0" t="n">
        <v>7572</v>
      </c>
      <c r="E3155" s="0" t="n">
        <v>0</v>
      </c>
      <c r="F3155" s="46" t="s">
        <v>1510</v>
      </c>
      <c r="I3155" s="46" t="s">
        <v>179</v>
      </c>
      <c r="U3155" s="0" t="n">
        <v>200</v>
      </c>
      <c r="V3155" s="0" t="n">
        <v>0</v>
      </c>
      <c r="X3155" s="46" t="n">
        <f aca="false">IF(I3155="Male",0,1)</f>
        <v>1</v>
      </c>
      <c r="Y3155" s="46" t="n">
        <f aca="false">IF(OR(I3155="DNB",I3155="Dry DNB"),1,0)</f>
        <v>0</v>
      </c>
      <c r="Z3155" s="0" t="str">
        <f aca="false">IF(ISNUMBER(W3155),A3155-W3155,"")</f>
        <v/>
      </c>
      <c r="AA3155" s="46" t="n">
        <f aca="false">MATCH(A3155,DATAS,0)</f>
        <v>1</v>
      </c>
      <c r="AB3155" s="46" t="n">
        <f aca="false">IF(AND(E3155&gt;0,OR(AND(B3155&gt;=1,B3155&lt;=6),B3155=10)),1,0)</f>
        <v>0</v>
      </c>
      <c r="AC3155" s="46" t="n">
        <f aca="false">IF(AND(E3155&gt;0,B3155=10),1,0)</f>
        <v>0</v>
      </c>
      <c r="AD3155" s="0" t="str">
        <f aca="false">IF(AND(C3154=C3155,AA3154=AA3155-1),AB3154,"")</f>
        <v/>
      </c>
      <c r="AE3155" s="0" t="str">
        <f aca="false">IF(AND(C3154=C3155,AA3154=AA3155-1),AC3154,"")</f>
        <v/>
      </c>
      <c r="AF3155" s="0" t="str">
        <f aca="false">IF(AA3155=1,"",IF(AND(AB3155=1,AD3155&lt;&gt;1),1,0))</f>
        <v/>
      </c>
      <c r="AG3155" s="0" t="str">
        <f aca="false">IF(AA3155=1,"",IF(AND(AC3155=1,AE3155&lt;&gt;1),1,0))</f>
        <v/>
      </c>
      <c r="AH3155" s="51" t="str">
        <f aca="false">IF(AND(E3155&gt;0,AA3155&lt;1,NOT(AND(C3156=C3155,AA3156=AA3155+1))),INDEX(DATAS,AA3155+1),"")</f>
        <v/>
      </c>
      <c r="AI3155" s="51" t="str">
        <f aca="false">IF(AND(AC3155=1,AA3155&lt;1),IF(AND(C3156=C3155,AA3156=AA3155+1),IF(AC3156=1,"",INDEX(DATAS,AA3155+1)),INDEX(DATAS,AA3155+1)),"")</f>
        <v/>
      </c>
    </row>
    <row r="3156" customFormat="false" ht="15" hidden="false" customHeight="false" outlineLevel="0" collapsed="false">
      <c r="A3156" s="51" t="n">
        <v>46309</v>
      </c>
      <c r="B3156" s="0" t="n">
        <v>13</v>
      </c>
      <c r="C3156" s="0" t="n">
        <v>7573</v>
      </c>
      <c r="E3156" s="0" t="n">
        <v>0</v>
      </c>
      <c r="F3156" s="46" t="s">
        <v>1510</v>
      </c>
      <c r="I3156" s="46" t="s">
        <v>179</v>
      </c>
      <c r="U3156" s="0" t="n">
        <v>200</v>
      </c>
      <c r="V3156" s="0" t="n">
        <v>0</v>
      </c>
      <c r="X3156" s="46" t="n">
        <f aca="false">IF(I3156="Male",0,1)</f>
        <v>1</v>
      </c>
      <c r="Y3156" s="46" t="n">
        <f aca="false">IF(OR(I3156="DNB",I3156="Dry DNB"),1,0)</f>
        <v>0</v>
      </c>
      <c r="Z3156" s="0" t="str">
        <f aca="false">IF(ISNUMBER(W3156),A3156-W3156,"")</f>
        <v/>
      </c>
      <c r="AA3156" s="46" t="n">
        <f aca="false">MATCH(A3156,DATAS,0)</f>
        <v>1</v>
      </c>
      <c r="AB3156" s="46" t="n">
        <f aca="false">IF(AND(E3156&gt;0,OR(AND(B3156&gt;=1,B3156&lt;=6),B3156=10)),1,0)</f>
        <v>0</v>
      </c>
      <c r="AC3156" s="46" t="n">
        <f aca="false">IF(AND(E3156&gt;0,B3156=10),1,0)</f>
        <v>0</v>
      </c>
      <c r="AD3156" s="0" t="str">
        <f aca="false">IF(AND(C3155=C3156,AA3155=AA3156-1),AB3155,"")</f>
        <v/>
      </c>
      <c r="AE3156" s="0" t="str">
        <f aca="false">IF(AND(C3155=C3156,AA3155=AA3156-1),AC3155,"")</f>
        <v/>
      </c>
      <c r="AF3156" s="0" t="str">
        <f aca="false">IF(AA3156=1,"",IF(AND(AB3156=1,AD3156&lt;&gt;1),1,0))</f>
        <v/>
      </c>
      <c r="AG3156" s="0" t="str">
        <f aca="false">IF(AA3156=1,"",IF(AND(AC3156=1,AE3156&lt;&gt;1),1,0))</f>
        <v/>
      </c>
      <c r="AH3156" s="51" t="str">
        <f aca="false">IF(AND(E3156&gt;0,AA3156&lt;1,NOT(AND(C3157=C3156,AA3157=AA3156+1))),INDEX(DATAS,AA3156+1),"")</f>
        <v/>
      </c>
      <c r="AI3156" s="51" t="str">
        <f aca="false">IF(AND(AC3156=1,AA3156&lt;1),IF(AND(C3157=C3156,AA3157=AA3156+1),IF(AC3157=1,"",INDEX(DATAS,AA3156+1)),INDEX(DATAS,AA3156+1)),"")</f>
        <v/>
      </c>
    </row>
    <row r="3157" customFormat="false" ht="15" hidden="false" customHeight="false" outlineLevel="0" collapsed="false">
      <c r="A3157" s="51" t="n">
        <v>46309</v>
      </c>
      <c r="B3157" s="0" t="n">
        <v>13</v>
      </c>
      <c r="C3157" s="0" t="n">
        <v>7574</v>
      </c>
      <c r="E3157" s="0" t="n">
        <v>0</v>
      </c>
      <c r="F3157" s="46" t="s">
        <v>1510</v>
      </c>
      <c r="I3157" s="46" t="s">
        <v>179</v>
      </c>
      <c r="U3157" s="0" t="n">
        <v>200</v>
      </c>
      <c r="V3157" s="0" t="n">
        <v>0</v>
      </c>
      <c r="X3157" s="46" t="n">
        <f aca="false">IF(I3157="Male",0,1)</f>
        <v>1</v>
      </c>
      <c r="Y3157" s="46" t="n">
        <f aca="false">IF(OR(I3157="DNB",I3157="Dry DNB"),1,0)</f>
        <v>0</v>
      </c>
      <c r="Z3157" s="0" t="str">
        <f aca="false">IF(ISNUMBER(W3157),A3157-W3157,"")</f>
        <v/>
      </c>
      <c r="AA3157" s="46" t="n">
        <f aca="false">MATCH(A3157,DATAS,0)</f>
        <v>1</v>
      </c>
      <c r="AB3157" s="46" t="n">
        <f aca="false">IF(AND(E3157&gt;0,OR(AND(B3157&gt;=1,B3157&lt;=6),B3157=10)),1,0)</f>
        <v>0</v>
      </c>
      <c r="AC3157" s="46" t="n">
        <f aca="false">IF(AND(E3157&gt;0,B3157=10),1,0)</f>
        <v>0</v>
      </c>
      <c r="AD3157" s="0" t="str">
        <f aca="false">IF(AND(C3156=C3157,AA3156=AA3157-1),AB3156,"")</f>
        <v/>
      </c>
      <c r="AE3157" s="0" t="str">
        <f aca="false">IF(AND(C3156=C3157,AA3156=AA3157-1),AC3156,"")</f>
        <v/>
      </c>
      <c r="AF3157" s="0" t="str">
        <f aca="false">IF(AA3157=1,"",IF(AND(AB3157=1,AD3157&lt;&gt;1),1,0))</f>
        <v/>
      </c>
      <c r="AG3157" s="0" t="str">
        <f aca="false">IF(AA3157=1,"",IF(AND(AC3157=1,AE3157&lt;&gt;1),1,0))</f>
        <v/>
      </c>
      <c r="AH3157" s="51" t="str">
        <f aca="false">IF(AND(E3157&gt;0,AA3157&lt;1,NOT(AND(C3158=C3157,AA3158=AA3157+1))),INDEX(DATAS,AA3157+1),"")</f>
        <v/>
      </c>
      <c r="AI3157" s="51" t="str">
        <f aca="false">IF(AND(AC3157=1,AA3157&lt;1),IF(AND(C3158=C3157,AA3158=AA3157+1),IF(AC3158=1,"",INDEX(DATAS,AA3157+1)),INDEX(DATAS,AA3157+1)),"")</f>
        <v/>
      </c>
    </row>
    <row r="3158" customFormat="false" ht="15" hidden="false" customHeight="false" outlineLevel="0" collapsed="false">
      <c r="A3158" s="51" t="n">
        <v>46309</v>
      </c>
      <c r="B3158" s="0" t="n">
        <v>13</v>
      </c>
      <c r="C3158" s="0" t="n">
        <v>7575</v>
      </c>
      <c r="E3158" s="0" t="n">
        <v>0</v>
      </c>
      <c r="F3158" s="46" t="s">
        <v>1510</v>
      </c>
      <c r="I3158" s="46" t="s">
        <v>179</v>
      </c>
      <c r="U3158" s="0" t="n">
        <v>200</v>
      </c>
      <c r="V3158" s="0" t="n">
        <v>0</v>
      </c>
      <c r="X3158" s="46" t="n">
        <f aca="false">IF(I3158="Male",0,1)</f>
        <v>1</v>
      </c>
      <c r="Y3158" s="46" t="n">
        <f aca="false">IF(OR(I3158="DNB",I3158="Dry DNB"),1,0)</f>
        <v>0</v>
      </c>
      <c r="Z3158" s="0" t="str">
        <f aca="false">IF(ISNUMBER(W3158),A3158-W3158,"")</f>
        <v/>
      </c>
      <c r="AA3158" s="46" t="n">
        <f aca="false">MATCH(A3158,DATAS,0)</f>
        <v>1</v>
      </c>
      <c r="AB3158" s="46" t="n">
        <f aca="false">IF(AND(E3158&gt;0,OR(AND(B3158&gt;=1,B3158&lt;=6),B3158=10)),1,0)</f>
        <v>0</v>
      </c>
      <c r="AC3158" s="46" t="n">
        <f aca="false">IF(AND(E3158&gt;0,B3158=10),1,0)</f>
        <v>0</v>
      </c>
      <c r="AD3158" s="0" t="str">
        <f aca="false">IF(AND(C3157=C3158,AA3157=AA3158-1),AB3157,"")</f>
        <v/>
      </c>
      <c r="AE3158" s="0" t="str">
        <f aca="false">IF(AND(C3157=C3158,AA3157=AA3158-1),AC3157,"")</f>
        <v/>
      </c>
      <c r="AF3158" s="0" t="str">
        <f aca="false">IF(AA3158=1,"",IF(AND(AB3158=1,AD3158&lt;&gt;1),1,0))</f>
        <v/>
      </c>
      <c r="AG3158" s="0" t="str">
        <f aca="false">IF(AA3158=1,"",IF(AND(AC3158=1,AE3158&lt;&gt;1),1,0))</f>
        <v/>
      </c>
      <c r="AH3158" s="51" t="str">
        <f aca="false">IF(AND(E3158&gt;0,AA3158&lt;1,NOT(AND(C3159=C3158,AA3159=AA3158+1))),INDEX(DATAS,AA3158+1),"")</f>
        <v/>
      </c>
      <c r="AI3158" s="51" t="str">
        <f aca="false">IF(AND(AC3158=1,AA3158&lt;1),IF(AND(C3159=C3158,AA3159=AA3158+1),IF(AC3159=1,"",INDEX(DATAS,AA3158+1)),INDEX(DATAS,AA3158+1)),"")</f>
        <v/>
      </c>
    </row>
    <row r="3159" customFormat="false" ht="15" hidden="false" customHeight="false" outlineLevel="0" collapsed="false">
      <c r="A3159" s="51" t="n">
        <v>46309</v>
      </c>
      <c r="B3159" s="0" t="n">
        <v>13</v>
      </c>
      <c r="C3159" s="0" t="n">
        <v>7576</v>
      </c>
      <c r="E3159" s="0" t="n">
        <v>0</v>
      </c>
      <c r="F3159" s="46" t="s">
        <v>1511</v>
      </c>
      <c r="I3159" s="46" t="s">
        <v>179</v>
      </c>
      <c r="U3159" s="0" t="n">
        <v>199</v>
      </c>
      <c r="V3159" s="0" t="n">
        <v>0</v>
      </c>
      <c r="X3159" s="46" t="n">
        <f aca="false">IF(I3159="Male",0,1)</f>
        <v>1</v>
      </c>
      <c r="Y3159" s="46" t="n">
        <f aca="false">IF(OR(I3159="DNB",I3159="Dry DNB"),1,0)</f>
        <v>0</v>
      </c>
      <c r="Z3159" s="0" t="str">
        <f aca="false">IF(ISNUMBER(W3159),A3159-W3159,"")</f>
        <v/>
      </c>
      <c r="AA3159" s="46" t="n">
        <f aca="false">MATCH(A3159,DATAS,0)</f>
        <v>1</v>
      </c>
      <c r="AB3159" s="46" t="n">
        <f aca="false">IF(AND(E3159&gt;0,OR(AND(B3159&gt;=1,B3159&lt;=6),B3159=10)),1,0)</f>
        <v>0</v>
      </c>
      <c r="AC3159" s="46" t="n">
        <f aca="false">IF(AND(E3159&gt;0,B3159=10),1,0)</f>
        <v>0</v>
      </c>
      <c r="AD3159" s="0" t="str">
        <f aca="false">IF(AND(C3158=C3159,AA3158=AA3159-1),AB3158,"")</f>
        <v/>
      </c>
      <c r="AE3159" s="0" t="str">
        <f aca="false">IF(AND(C3158=C3159,AA3158=AA3159-1),AC3158,"")</f>
        <v/>
      </c>
      <c r="AF3159" s="0" t="str">
        <f aca="false">IF(AA3159=1,"",IF(AND(AB3159=1,AD3159&lt;&gt;1),1,0))</f>
        <v/>
      </c>
      <c r="AG3159" s="0" t="str">
        <f aca="false">IF(AA3159=1,"",IF(AND(AC3159=1,AE3159&lt;&gt;1),1,0))</f>
        <v/>
      </c>
      <c r="AH3159" s="51" t="str">
        <f aca="false">IF(AND(E3159&gt;0,AA3159&lt;1,NOT(AND(C3160=C3159,AA3160=AA3159+1))),INDEX(DATAS,AA3159+1),"")</f>
        <v/>
      </c>
      <c r="AI3159" s="51" t="str">
        <f aca="false">IF(AND(AC3159=1,AA3159&lt;1),IF(AND(C3160=C3159,AA3160=AA3159+1),IF(AC3160=1,"",INDEX(DATAS,AA3159+1)),INDEX(DATAS,AA3159+1)),"")</f>
        <v/>
      </c>
    </row>
    <row r="3160" customFormat="false" ht="15" hidden="false" customHeight="false" outlineLevel="0" collapsed="false">
      <c r="A3160" s="51" t="n">
        <v>46309</v>
      </c>
      <c r="B3160" s="0" t="n">
        <v>13</v>
      </c>
      <c r="C3160" s="0" t="n">
        <v>7577</v>
      </c>
      <c r="E3160" s="0" t="n">
        <v>0</v>
      </c>
      <c r="F3160" s="46" t="s">
        <v>1511</v>
      </c>
      <c r="I3160" s="46" t="s">
        <v>179</v>
      </c>
      <c r="U3160" s="0" t="n">
        <v>199</v>
      </c>
      <c r="V3160" s="0" t="n">
        <v>0</v>
      </c>
      <c r="X3160" s="46" t="n">
        <f aca="false">IF(I3160="Male",0,1)</f>
        <v>1</v>
      </c>
      <c r="Y3160" s="46" t="n">
        <f aca="false">IF(OR(I3160="DNB",I3160="Dry DNB"),1,0)</f>
        <v>0</v>
      </c>
      <c r="Z3160" s="0" t="str">
        <f aca="false">IF(ISNUMBER(W3160),A3160-W3160,"")</f>
        <v/>
      </c>
      <c r="AA3160" s="46" t="n">
        <f aca="false">MATCH(A3160,DATAS,0)</f>
        <v>1</v>
      </c>
      <c r="AB3160" s="46" t="n">
        <f aca="false">IF(AND(E3160&gt;0,OR(AND(B3160&gt;=1,B3160&lt;=6),B3160=10)),1,0)</f>
        <v>0</v>
      </c>
      <c r="AC3160" s="46" t="n">
        <f aca="false">IF(AND(E3160&gt;0,B3160=10),1,0)</f>
        <v>0</v>
      </c>
      <c r="AD3160" s="0" t="str">
        <f aca="false">IF(AND(C3159=C3160,AA3159=AA3160-1),AB3159,"")</f>
        <v/>
      </c>
      <c r="AE3160" s="0" t="str">
        <f aca="false">IF(AND(C3159=C3160,AA3159=AA3160-1),AC3159,"")</f>
        <v/>
      </c>
      <c r="AF3160" s="0" t="str">
        <f aca="false">IF(AA3160=1,"",IF(AND(AB3160=1,AD3160&lt;&gt;1),1,0))</f>
        <v/>
      </c>
      <c r="AG3160" s="0" t="str">
        <f aca="false">IF(AA3160=1,"",IF(AND(AC3160=1,AE3160&lt;&gt;1),1,0))</f>
        <v/>
      </c>
      <c r="AH3160" s="51" t="str">
        <f aca="false">IF(AND(E3160&gt;0,AA3160&lt;1,NOT(AND(C3161=C3160,AA3161=AA3160+1))),INDEX(DATAS,AA3160+1),"")</f>
        <v/>
      </c>
      <c r="AI3160" s="51" t="str">
        <f aca="false">IF(AND(AC3160=1,AA3160&lt;1),IF(AND(C3161=C3160,AA3161=AA3160+1),IF(AC3161=1,"",INDEX(DATAS,AA3160+1)),INDEX(DATAS,AA3160+1)),"")</f>
        <v/>
      </c>
    </row>
    <row r="3161" customFormat="false" ht="15" hidden="false" customHeight="false" outlineLevel="0" collapsed="false">
      <c r="A3161" s="51" t="n">
        <v>46309</v>
      </c>
      <c r="B3161" s="0" t="n">
        <v>13</v>
      </c>
      <c r="C3161" s="0" t="n">
        <v>7578</v>
      </c>
      <c r="E3161" s="0" t="n">
        <v>0</v>
      </c>
      <c r="F3161" s="46" t="s">
        <v>1511</v>
      </c>
      <c r="I3161" s="46" t="s">
        <v>179</v>
      </c>
      <c r="U3161" s="0" t="n">
        <v>199</v>
      </c>
      <c r="V3161" s="0" t="n">
        <v>0</v>
      </c>
      <c r="X3161" s="46" t="n">
        <f aca="false">IF(I3161="Male",0,1)</f>
        <v>1</v>
      </c>
      <c r="Y3161" s="46" t="n">
        <f aca="false">IF(OR(I3161="DNB",I3161="Dry DNB"),1,0)</f>
        <v>0</v>
      </c>
      <c r="Z3161" s="0" t="str">
        <f aca="false">IF(ISNUMBER(W3161),A3161-W3161,"")</f>
        <v/>
      </c>
      <c r="AA3161" s="46" t="n">
        <f aca="false">MATCH(A3161,DATAS,0)</f>
        <v>1</v>
      </c>
      <c r="AB3161" s="46" t="n">
        <f aca="false">IF(AND(E3161&gt;0,OR(AND(B3161&gt;=1,B3161&lt;=6),B3161=10)),1,0)</f>
        <v>0</v>
      </c>
      <c r="AC3161" s="46" t="n">
        <f aca="false">IF(AND(E3161&gt;0,B3161=10),1,0)</f>
        <v>0</v>
      </c>
      <c r="AD3161" s="0" t="str">
        <f aca="false">IF(AND(C3160=C3161,AA3160=AA3161-1),AB3160,"")</f>
        <v/>
      </c>
      <c r="AE3161" s="0" t="str">
        <f aca="false">IF(AND(C3160=C3161,AA3160=AA3161-1),AC3160,"")</f>
        <v/>
      </c>
      <c r="AF3161" s="0" t="str">
        <f aca="false">IF(AA3161=1,"",IF(AND(AB3161=1,AD3161&lt;&gt;1),1,0))</f>
        <v/>
      </c>
      <c r="AG3161" s="0" t="str">
        <f aca="false">IF(AA3161=1,"",IF(AND(AC3161=1,AE3161&lt;&gt;1),1,0))</f>
        <v/>
      </c>
      <c r="AH3161" s="51" t="str">
        <f aca="false">IF(AND(E3161&gt;0,AA3161&lt;1,NOT(AND(C3162=C3161,AA3162=AA3161+1))),INDEX(DATAS,AA3161+1),"")</f>
        <v/>
      </c>
      <c r="AI3161" s="51" t="str">
        <f aca="false">IF(AND(AC3161=1,AA3161&lt;1),IF(AND(C3162=C3161,AA3162=AA3161+1),IF(AC3162=1,"",INDEX(DATAS,AA3161+1)),INDEX(DATAS,AA3161+1)),"")</f>
        <v/>
      </c>
    </row>
    <row r="3162" customFormat="false" ht="15" hidden="false" customHeight="false" outlineLevel="0" collapsed="false">
      <c r="A3162" s="51" t="n">
        <v>46309</v>
      </c>
      <c r="B3162" s="0" t="n">
        <v>13</v>
      </c>
      <c r="C3162" s="0" t="n">
        <v>7579</v>
      </c>
      <c r="E3162" s="0" t="n">
        <v>0</v>
      </c>
      <c r="F3162" s="46" t="s">
        <v>1511</v>
      </c>
      <c r="I3162" s="46" t="s">
        <v>179</v>
      </c>
      <c r="U3162" s="0" t="n">
        <v>199</v>
      </c>
      <c r="V3162" s="0" t="n">
        <v>0</v>
      </c>
      <c r="X3162" s="46" t="n">
        <f aca="false">IF(I3162="Male",0,1)</f>
        <v>1</v>
      </c>
      <c r="Y3162" s="46" t="n">
        <f aca="false">IF(OR(I3162="DNB",I3162="Dry DNB"),1,0)</f>
        <v>0</v>
      </c>
      <c r="Z3162" s="0" t="str">
        <f aca="false">IF(ISNUMBER(W3162),A3162-W3162,"")</f>
        <v/>
      </c>
      <c r="AA3162" s="46" t="n">
        <f aca="false">MATCH(A3162,DATAS,0)</f>
        <v>1</v>
      </c>
      <c r="AB3162" s="46" t="n">
        <f aca="false">IF(AND(E3162&gt;0,OR(AND(B3162&gt;=1,B3162&lt;=6),B3162=10)),1,0)</f>
        <v>0</v>
      </c>
      <c r="AC3162" s="46" t="n">
        <f aca="false">IF(AND(E3162&gt;0,B3162=10),1,0)</f>
        <v>0</v>
      </c>
      <c r="AD3162" s="0" t="str">
        <f aca="false">IF(AND(C3161=C3162,AA3161=AA3162-1),AB3161,"")</f>
        <v/>
      </c>
      <c r="AE3162" s="0" t="str">
        <f aca="false">IF(AND(C3161=C3162,AA3161=AA3162-1),AC3161,"")</f>
        <v/>
      </c>
      <c r="AF3162" s="0" t="str">
        <f aca="false">IF(AA3162=1,"",IF(AND(AB3162=1,AD3162&lt;&gt;1),1,0))</f>
        <v/>
      </c>
      <c r="AG3162" s="0" t="str">
        <f aca="false">IF(AA3162=1,"",IF(AND(AC3162=1,AE3162&lt;&gt;1),1,0))</f>
        <v/>
      </c>
      <c r="AH3162" s="51" t="str">
        <f aca="false">IF(AND(E3162&gt;0,AA3162&lt;1,NOT(AND(C3163=C3162,AA3163=AA3162+1))),INDEX(DATAS,AA3162+1),"")</f>
        <v/>
      </c>
      <c r="AI3162" s="51" t="str">
        <f aca="false">IF(AND(AC3162=1,AA3162&lt;1),IF(AND(C3163=C3162,AA3163=AA3162+1),IF(AC3163=1,"",INDEX(DATAS,AA3162+1)),INDEX(DATAS,AA3162+1)),"")</f>
        <v/>
      </c>
    </row>
    <row r="3163" customFormat="false" ht="15" hidden="false" customHeight="false" outlineLevel="0" collapsed="false">
      <c r="A3163" s="51" t="n">
        <v>46309</v>
      </c>
      <c r="B3163" s="0" t="n">
        <v>13</v>
      </c>
      <c r="C3163" s="0" t="n">
        <v>7580</v>
      </c>
      <c r="E3163" s="0" t="n">
        <v>0</v>
      </c>
      <c r="F3163" s="46" t="s">
        <v>1512</v>
      </c>
      <c r="I3163" s="46" t="s">
        <v>179</v>
      </c>
      <c r="U3163" s="0" t="n">
        <v>198</v>
      </c>
      <c r="V3163" s="0" t="n">
        <v>0</v>
      </c>
      <c r="X3163" s="46" t="n">
        <f aca="false">IF(I3163="Male",0,1)</f>
        <v>1</v>
      </c>
      <c r="Y3163" s="46" t="n">
        <f aca="false">IF(OR(I3163="DNB",I3163="Dry DNB"),1,0)</f>
        <v>0</v>
      </c>
      <c r="Z3163" s="0" t="str">
        <f aca="false">IF(ISNUMBER(W3163),A3163-W3163,"")</f>
        <v/>
      </c>
      <c r="AA3163" s="46" t="n">
        <f aca="false">MATCH(A3163,DATAS,0)</f>
        <v>1</v>
      </c>
      <c r="AB3163" s="46" t="n">
        <f aca="false">IF(AND(E3163&gt;0,OR(AND(B3163&gt;=1,B3163&lt;=6),B3163=10)),1,0)</f>
        <v>0</v>
      </c>
      <c r="AC3163" s="46" t="n">
        <f aca="false">IF(AND(E3163&gt;0,B3163=10),1,0)</f>
        <v>0</v>
      </c>
      <c r="AD3163" s="0" t="str">
        <f aca="false">IF(AND(C3162=C3163,AA3162=AA3163-1),AB3162,"")</f>
        <v/>
      </c>
      <c r="AE3163" s="0" t="str">
        <f aca="false">IF(AND(C3162=C3163,AA3162=AA3163-1),AC3162,"")</f>
        <v/>
      </c>
      <c r="AF3163" s="0" t="str">
        <f aca="false">IF(AA3163=1,"",IF(AND(AB3163=1,AD3163&lt;&gt;1),1,0))</f>
        <v/>
      </c>
      <c r="AG3163" s="0" t="str">
        <f aca="false">IF(AA3163=1,"",IF(AND(AC3163=1,AE3163&lt;&gt;1),1,0))</f>
        <v/>
      </c>
      <c r="AH3163" s="51" t="str">
        <f aca="false">IF(AND(E3163&gt;0,AA3163&lt;1,NOT(AND(C3164=C3163,AA3164=AA3163+1))),INDEX(DATAS,AA3163+1),"")</f>
        <v/>
      </c>
      <c r="AI3163" s="51" t="str">
        <f aca="false">IF(AND(AC3163=1,AA3163&lt;1),IF(AND(C3164=C3163,AA3164=AA3163+1),IF(AC3164=1,"",INDEX(DATAS,AA3163+1)),INDEX(DATAS,AA3163+1)),"")</f>
        <v/>
      </c>
    </row>
    <row r="3164" customFormat="false" ht="15" hidden="false" customHeight="false" outlineLevel="0" collapsed="false">
      <c r="A3164" s="51" t="n">
        <v>46309</v>
      </c>
      <c r="B3164" s="0" t="n">
        <v>13</v>
      </c>
      <c r="C3164" s="0" t="n">
        <v>7581</v>
      </c>
      <c r="E3164" s="0" t="n">
        <v>0</v>
      </c>
      <c r="F3164" s="46" t="s">
        <v>1512</v>
      </c>
      <c r="I3164" s="46" t="s">
        <v>179</v>
      </c>
      <c r="U3164" s="0" t="n">
        <v>198</v>
      </c>
      <c r="V3164" s="0" t="n">
        <v>0</v>
      </c>
      <c r="X3164" s="46" t="n">
        <f aca="false">IF(I3164="Male",0,1)</f>
        <v>1</v>
      </c>
      <c r="Y3164" s="46" t="n">
        <f aca="false">IF(OR(I3164="DNB",I3164="Dry DNB"),1,0)</f>
        <v>0</v>
      </c>
      <c r="Z3164" s="0" t="str">
        <f aca="false">IF(ISNUMBER(W3164),A3164-W3164,"")</f>
        <v/>
      </c>
      <c r="AA3164" s="46" t="n">
        <f aca="false">MATCH(A3164,DATAS,0)</f>
        <v>1</v>
      </c>
      <c r="AB3164" s="46" t="n">
        <f aca="false">IF(AND(E3164&gt;0,OR(AND(B3164&gt;=1,B3164&lt;=6),B3164=10)),1,0)</f>
        <v>0</v>
      </c>
      <c r="AC3164" s="46" t="n">
        <f aca="false">IF(AND(E3164&gt;0,B3164=10),1,0)</f>
        <v>0</v>
      </c>
      <c r="AD3164" s="0" t="str">
        <f aca="false">IF(AND(C3163=C3164,AA3163=AA3164-1),AB3163,"")</f>
        <v/>
      </c>
      <c r="AE3164" s="0" t="str">
        <f aca="false">IF(AND(C3163=C3164,AA3163=AA3164-1),AC3163,"")</f>
        <v/>
      </c>
      <c r="AF3164" s="0" t="str">
        <f aca="false">IF(AA3164=1,"",IF(AND(AB3164=1,AD3164&lt;&gt;1),1,0))</f>
        <v/>
      </c>
      <c r="AG3164" s="0" t="str">
        <f aca="false">IF(AA3164=1,"",IF(AND(AC3164=1,AE3164&lt;&gt;1),1,0))</f>
        <v/>
      </c>
      <c r="AH3164" s="51" t="str">
        <f aca="false">IF(AND(E3164&gt;0,AA3164&lt;1,NOT(AND(C3165=C3164,AA3165=AA3164+1))),INDEX(DATAS,AA3164+1),"")</f>
        <v/>
      </c>
      <c r="AI3164" s="51" t="str">
        <f aca="false">IF(AND(AC3164=1,AA3164&lt;1),IF(AND(C3165=C3164,AA3165=AA3164+1),IF(AC3165=1,"",INDEX(DATAS,AA3164+1)),INDEX(DATAS,AA3164+1)),"")</f>
        <v/>
      </c>
    </row>
    <row r="3165" customFormat="false" ht="15" hidden="false" customHeight="false" outlineLevel="0" collapsed="false">
      <c r="A3165" s="51" t="n">
        <v>46309</v>
      </c>
      <c r="B3165" s="0" t="n">
        <v>13</v>
      </c>
      <c r="C3165" s="0" t="n">
        <v>7582</v>
      </c>
      <c r="E3165" s="0" t="n">
        <v>0</v>
      </c>
      <c r="F3165" s="46" t="s">
        <v>1512</v>
      </c>
      <c r="I3165" s="46" t="s">
        <v>179</v>
      </c>
      <c r="U3165" s="0" t="n">
        <v>198</v>
      </c>
      <c r="V3165" s="0" t="n">
        <v>0</v>
      </c>
      <c r="X3165" s="46" t="n">
        <f aca="false">IF(I3165="Male",0,1)</f>
        <v>1</v>
      </c>
      <c r="Y3165" s="46" t="n">
        <f aca="false">IF(OR(I3165="DNB",I3165="Dry DNB"),1,0)</f>
        <v>0</v>
      </c>
      <c r="Z3165" s="0" t="str">
        <f aca="false">IF(ISNUMBER(W3165),A3165-W3165,"")</f>
        <v/>
      </c>
      <c r="AA3165" s="46" t="n">
        <f aca="false">MATCH(A3165,DATAS,0)</f>
        <v>1</v>
      </c>
      <c r="AB3165" s="46" t="n">
        <f aca="false">IF(AND(E3165&gt;0,OR(AND(B3165&gt;=1,B3165&lt;=6),B3165=10)),1,0)</f>
        <v>0</v>
      </c>
      <c r="AC3165" s="46" t="n">
        <f aca="false">IF(AND(E3165&gt;0,B3165=10),1,0)</f>
        <v>0</v>
      </c>
      <c r="AD3165" s="0" t="str">
        <f aca="false">IF(AND(C3164=C3165,AA3164=AA3165-1),AB3164,"")</f>
        <v/>
      </c>
      <c r="AE3165" s="0" t="str">
        <f aca="false">IF(AND(C3164=C3165,AA3164=AA3165-1),AC3164,"")</f>
        <v/>
      </c>
      <c r="AF3165" s="0" t="str">
        <f aca="false">IF(AA3165=1,"",IF(AND(AB3165=1,AD3165&lt;&gt;1),1,0))</f>
        <v/>
      </c>
      <c r="AG3165" s="0" t="str">
        <f aca="false">IF(AA3165=1,"",IF(AND(AC3165=1,AE3165&lt;&gt;1),1,0))</f>
        <v/>
      </c>
      <c r="AH3165" s="51" t="str">
        <f aca="false">IF(AND(E3165&gt;0,AA3165&lt;1,NOT(AND(C3166=C3165,AA3166=AA3165+1))),INDEX(DATAS,AA3165+1),"")</f>
        <v/>
      </c>
      <c r="AI3165" s="51" t="str">
        <f aca="false">IF(AND(AC3165=1,AA3165&lt;1),IF(AND(C3166=C3165,AA3166=AA3165+1),IF(AC3166=1,"",INDEX(DATAS,AA3165+1)),INDEX(DATAS,AA3165+1)),"")</f>
        <v/>
      </c>
    </row>
    <row r="3166" customFormat="false" ht="15" hidden="false" customHeight="false" outlineLevel="0" collapsed="false">
      <c r="A3166" s="51" t="n">
        <v>46309</v>
      </c>
      <c r="B3166" s="0" t="n">
        <v>13</v>
      </c>
      <c r="C3166" s="0" t="n">
        <v>7583</v>
      </c>
      <c r="E3166" s="0" t="n">
        <v>0</v>
      </c>
      <c r="F3166" s="46" t="s">
        <v>1512</v>
      </c>
      <c r="I3166" s="46" t="s">
        <v>179</v>
      </c>
      <c r="U3166" s="0" t="n">
        <v>198</v>
      </c>
      <c r="V3166" s="0" t="n">
        <v>0</v>
      </c>
      <c r="X3166" s="46" t="n">
        <f aca="false">IF(I3166="Male",0,1)</f>
        <v>1</v>
      </c>
      <c r="Y3166" s="46" t="n">
        <f aca="false">IF(OR(I3166="DNB",I3166="Dry DNB"),1,0)</f>
        <v>0</v>
      </c>
      <c r="Z3166" s="0" t="str">
        <f aca="false">IF(ISNUMBER(W3166),A3166-W3166,"")</f>
        <v/>
      </c>
      <c r="AA3166" s="46" t="n">
        <f aca="false">MATCH(A3166,DATAS,0)</f>
        <v>1</v>
      </c>
      <c r="AB3166" s="46" t="n">
        <f aca="false">IF(AND(E3166&gt;0,OR(AND(B3166&gt;=1,B3166&lt;=6),B3166=10)),1,0)</f>
        <v>0</v>
      </c>
      <c r="AC3166" s="46" t="n">
        <f aca="false">IF(AND(E3166&gt;0,B3166=10),1,0)</f>
        <v>0</v>
      </c>
      <c r="AD3166" s="0" t="str">
        <f aca="false">IF(AND(C3165=C3166,AA3165=AA3166-1),AB3165,"")</f>
        <v/>
      </c>
      <c r="AE3166" s="0" t="str">
        <f aca="false">IF(AND(C3165=C3166,AA3165=AA3166-1),AC3165,"")</f>
        <v/>
      </c>
      <c r="AF3166" s="0" t="str">
        <f aca="false">IF(AA3166=1,"",IF(AND(AB3166=1,AD3166&lt;&gt;1),1,0))</f>
        <v/>
      </c>
      <c r="AG3166" s="0" t="str">
        <f aca="false">IF(AA3166=1,"",IF(AND(AC3166=1,AE3166&lt;&gt;1),1,0))</f>
        <v/>
      </c>
      <c r="AH3166" s="51" t="str">
        <f aca="false">IF(AND(E3166&gt;0,AA3166&lt;1,NOT(AND(C3167=C3166,AA3167=AA3166+1))),INDEX(DATAS,AA3166+1),"")</f>
        <v/>
      </c>
      <c r="AI3166" s="51" t="str">
        <f aca="false">IF(AND(AC3166=1,AA3166&lt;1),IF(AND(C3167=C3166,AA3167=AA3166+1),IF(AC3167=1,"",INDEX(DATAS,AA3166+1)),INDEX(DATAS,AA3166+1)),"")</f>
        <v/>
      </c>
    </row>
    <row r="3167" customFormat="false" ht="15" hidden="false" customHeight="false" outlineLevel="0" collapsed="false">
      <c r="A3167" s="51" t="n">
        <v>46309</v>
      </c>
      <c r="B3167" s="0" t="n">
        <v>13</v>
      </c>
      <c r="C3167" s="0" t="n">
        <v>7584</v>
      </c>
      <c r="E3167" s="0" t="n">
        <v>0</v>
      </c>
      <c r="F3167" s="46" t="s">
        <v>1512</v>
      </c>
      <c r="I3167" s="46" t="s">
        <v>179</v>
      </c>
      <c r="U3167" s="0" t="n">
        <v>198</v>
      </c>
      <c r="V3167" s="0" t="n">
        <v>0</v>
      </c>
      <c r="X3167" s="46" t="n">
        <f aca="false">IF(I3167="Male",0,1)</f>
        <v>1</v>
      </c>
      <c r="Y3167" s="46" t="n">
        <f aca="false">IF(OR(I3167="DNB",I3167="Dry DNB"),1,0)</f>
        <v>0</v>
      </c>
      <c r="Z3167" s="0" t="str">
        <f aca="false">IF(ISNUMBER(W3167),A3167-W3167,"")</f>
        <v/>
      </c>
      <c r="AA3167" s="46" t="n">
        <f aca="false">MATCH(A3167,DATAS,0)</f>
        <v>1</v>
      </c>
      <c r="AB3167" s="46" t="n">
        <f aca="false">IF(AND(E3167&gt;0,OR(AND(B3167&gt;=1,B3167&lt;=6),B3167=10)),1,0)</f>
        <v>0</v>
      </c>
      <c r="AC3167" s="46" t="n">
        <f aca="false">IF(AND(E3167&gt;0,B3167=10),1,0)</f>
        <v>0</v>
      </c>
      <c r="AD3167" s="0" t="str">
        <f aca="false">IF(AND(C3166=C3167,AA3166=AA3167-1),AB3166,"")</f>
        <v/>
      </c>
      <c r="AE3167" s="0" t="str">
        <f aca="false">IF(AND(C3166=C3167,AA3166=AA3167-1),AC3166,"")</f>
        <v/>
      </c>
      <c r="AF3167" s="0" t="str">
        <f aca="false">IF(AA3167=1,"",IF(AND(AB3167=1,AD3167&lt;&gt;1),1,0))</f>
        <v/>
      </c>
      <c r="AG3167" s="0" t="str">
        <f aca="false">IF(AA3167=1,"",IF(AND(AC3167=1,AE3167&lt;&gt;1),1,0))</f>
        <v/>
      </c>
      <c r="AH3167" s="51" t="str">
        <f aca="false">IF(AND(E3167&gt;0,AA3167&lt;1,NOT(AND(C3168=C3167,AA3168=AA3167+1))),INDEX(DATAS,AA3167+1),"")</f>
        <v/>
      </c>
      <c r="AI3167" s="51" t="str">
        <f aca="false">IF(AND(AC3167=1,AA3167&lt;1),IF(AND(C3168=C3167,AA3168=AA3167+1),IF(AC3168=1,"",INDEX(DATAS,AA3167+1)),INDEX(DATAS,AA3167+1)),"")</f>
        <v/>
      </c>
    </row>
    <row r="3168" customFormat="false" ht="15" hidden="false" customHeight="false" outlineLevel="0" collapsed="false">
      <c r="A3168" s="51" t="n">
        <v>46309</v>
      </c>
      <c r="B3168" s="0" t="n">
        <v>13</v>
      </c>
      <c r="C3168" s="0" t="n">
        <v>7585</v>
      </c>
      <c r="E3168" s="0" t="n">
        <v>0</v>
      </c>
      <c r="F3168" s="46" t="s">
        <v>1512</v>
      </c>
      <c r="I3168" s="46" t="s">
        <v>179</v>
      </c>
      <c r="U3168" s="0" t="n">
        <v>198</v>
      </c>
      <c r="V3168" s="0" t="n">
        <v>0</v>
      </c>
      <c r="X3168" s="46" t="n">
        <f aca="false">IF(I3168="Male",0,1)</f>
        <v>1</v>
      </c>
      <c r="Y3168" s="46" t="n">
        <f aca="false">IF(OR(I3168="DNB",I3168="Dry DNB"),1,0)</f>
        <v>0</v>
      </c>
      <c r="Z3168" s="0" t="str">
        <f aca="false">IF(ISNUMBER(W3168),A3168-W3168,"")</f>
        <v/>
      </c>
      <c r="AA3168" s="46" t="n">
        <f aca="false">MATCH(A3168,DATAS,0)</f>
        <v>1</v>
      </c>
      <c r="AB3168" s="46" t="n">
        <f aca="false">IF(AND(E3168&gt;0,OR(AND(B3168&gt;=1,B3168&lt;=6),B3168=10)),1,0)</f>
        <v>0</v>
      </c>
      <c r="AC3168" s="46" t="n">
        <f aca="false">IF(AND(E3168&gt;0,B3168=10),1,0)</f>
        <v>0</v>
      </c>
      <c r="AD3168" s="0" t="str">
        <f aca="false">IF(AND(C3167=C3168,AA3167=AA3168-1),AB3167,"")</f>
        <v/>
      </c>
      <c r="AE3168" s="0" t="str">
        <f aca="false">IF(AND(C3167=C3168,AA3167=AA3168-1),AC3167,"")</f>
        <v/>
      </c>
      <c r="AF3168" s="0" t="str">
        <f aca="false">IF(AA3168=1,"",IF(AND(AB3168=1,AD3168&lt;&gt;1),1,0))</f>
        <v/>
      </c>
      <c r="AG3168" s="0" t="str">
        <f aca="false">IF(AA3168=1,"",IF(AND(AC3168=1,AE3168&lt;&gt;1),1,0))</f>
        <v/>
      </c>
      <c r="AH3168" s="51" t="str">
        <f aca="false">IF(AND(E3168&gt;0,AA3168&lt;1,NOT(AND(C3169=C3168,AA3169=AA3168+1))),INDEX(DATAS,AA3168+1),"")</f>
        <v/>
      </c>
      <c r="AI3168" s="51" t="str">
        <f aca="false">IF(AND(AC3168=1,AA3168&lt;1),IF(AND(C3169=C3168,AA3169=AA3168+1),IF(AC3169=1,"",INDEX(DATAS,AA3168+1)),INDEX(DATAS,AA3168+1)),"")</f>
        <v/>
      </c>
    </row>
    <row r="3169" customFormat="false" ht="15" hidden="false" customHeight="false" outlineLevel="0" collapsed="false">
      <c r="A3169" s="51" t="n">
        <v>46309</v>
      </c>
      <c r="B3169" s="0" t="n">
        <v>13</v>
      </c>
      <c r="C3169" s="0" t="n">
        <v>7586</v>
      </c>
      <c r="E3169" s="0" t="n">
        <v>0</v>
      </c>
      <c r="F3169" s="46" t="s">
        <v>1512</v>
      </c>
      <c r="I3169" s="46" t="s">
        <v>179</v>
      </c>
      <c r="U3169" s="0" t="n">
        <v>198</v>
      </c>
      <c r="V3169" s="0" t="n">
        <v>0</v>
      </c>
      <c r="X3169" s="46" t="n">
        <f aca="false">IF(I3169="Male",0,1)</f>
        <v>1</v>
      </c>
      <c r="Y3169" s="46" t="n">
        <f aca="false">IF(OR(I3169="DNB",I3169="Dry DNB"),1,0)</f>
        <v>0</v>
      </c>
      <c r="Z3169" s="0" t="str">
        <f aca="false">IF(ISNUMBER(W3169),A3169-W3169,"")</f>
        <v/>
      </c>
      <c r="AA3169" s="46" t="n">
        <f aca="false">MATCH(A3169,DATAS,0)</f>
        <v>1</v>
      </c>
      <c r="AB3169" s="46" t="n">
        <f aca="false">IF(AND(E3169&gt;0,OR(AND(B3169&gt;=1,B3169&lt;=6),B3169=10)),1,0)</f>
        <v>0</v>
      </c>
      <c r="AC3169" s="46" t="n">
        <f aca="false">IF(AND(E3169&gt;0,B3169=10),1,0)</f>
        <v>0</v>
      </c>
      <c r="AD3169" s="0" t="str">
        <f aca="false">IF(AND(C3168=C3169,AA3168=AA3169-1),AB3168,"")</f>
        <v/>
      </c>
      <c r="AE3169" s="0" t="str">
        <f aca="false">IF(AND(C3168=C3169,AA3168=AA3169-1),AC3168,"")</f>
        <v/>
      </c>
      <c r="AF3169" s="0" t="str">
        <f aca="false">IF(AA3169=1,"",IF(AND(AB3169=1,AD3169&lt;&gt;1),1,0))</f>
        <v/>
      </c>
      <c r="AG3169" s="0" t="str">
        <f aca="false">IF(AA3169=1,"",IF(AND(AC3169=1,AE3169&lt;&gt;1),1,0))</f>
        <v/>
      </c>
      <c r="AH3169" s="51" t="str">
        <f aca="false">IF(AND(E3169&gt;0,AA3169&lt;1,NOT(AND(C3170=C3169,AA3170=AA3169+1))),INDEX(DATAS,AA3169+1),"")</f>
        <v/>
      </c>
      <c r="AI3169" s="51" t="str">
        <f aca="false">IF(AND(AC3169=1,AA3169&lt;1),IF(AND(C3170=C3169,AA3170=AA3169+1),IF(AC3170=1,"",INDEX(DATAS,AA3169+1)),INDEX(DATAS,AA3169+1)),"")</f>
        <v/>
      </c>
    </row>
    <row r="3170" customFormat="false" ht="15" hidden="false" customHeight="false" outlineLevel="0" collapsed="false">
      <c r="A3170" s="51" t="n">
        <v>46309</v>
      </c>
      <c r="B3170" s="0" t="n">
        <v>13</v>
      </c>
      <c r="C3170" s="0" t="n">
        <v>7588</v>
      </c>
      <c r="E3170" s="0" t="n">
        <v>0</v>
      </c>
      <c r="F3170" s="46" t="s">
        <v>1513</v>
      </c>
      <c r="I3170" s="46" t="s">
        <v>179</v>
      </c>
      <c r="U3170" s="0" t="n">
        <v>197</v>
      </c>
      <c r="V3170" s="0" t="n">
        <v>0</v>
      </c>
      <c r="X3170" s="46" t="n">
        <f aca="false">IF(I3170="Male",0,1)</f>
        <v>1</v>
      </c>
      <c r="Y3170" s="46" t="n">
        <f aca="false">IF(OR(I3170="DNB",I3170="Dry DNB"),1,0)</f>
        <v>0</v>
      </c>
      <c r="Z3170" s="0" t="str">
        <f aca="false">IF(ISNUMBER(W3170),A3170-W3170,"")</f>
        <v/>
      </c>
      <c r="AA3170" s="46" t="n">
        <f aca="false">MATCH(A3170,DATAS,0)</f>
        <v>1</v>
      </c>
      <c r="AB3170" s="46" t="n">
        <f aca="false">IF(AND(E3170&gt;0,OR(AND(B3170&gt;=1,B3170&lt;=6),B3170=10)),1,0)</f>
        <v>0</v>
      </c>
      <c r="AC3170" s="46" t="n">
        <f aca="false">IF(AND(E3170&gt;0,B3170=10),1,0)</f>
        <v>0</v>
      </c>
      <c r="AD3170" s="0" t="str">
        <f aca="false">IF(AND(C3169=C3170,AA3169=AA3170-1),AB3169,"")</f>
        <v/>
      </c>
      <c r="AE3170" s="0" t="str">
        <f aca="false">IF(AND(C3169=C3170,AA3169=AA3170-1),AC3169,"")</f>
        <v/>
      </c>
      <c r="AF3170" s="0" t="str">
        <f aca="false">IF(AA3170=1,"",IF(AND(AB3170=1,AD3170&lt;&gt;1),1,0))</f>
        <v/>
      </c>
      <c r="AG3170" s="0" t="str">
        <f aca="false">IF(AA3170=1,"",IF(AND(AC3170=1,AE3170&lt;&gt;1),1,0))</f>
        <v/>
      </c>
      <c r="AH3170" s="51" t="str">
        <f aca="false">IF(AND(E3170&gt;0,AA3170&lt;1,NOT(AND(C3171=C3170,AA3171=AA3170+1))),INDEX(DATAS,AA3170+1),"")</f>
        <v/>
      </c>
      <c r="AI3170" s="51" t="str">
        <f aca="false">IF(AND(AC3170=1,AA3170&lt;1),IF(AND(C3171=C3170,AA3171=AA3170+1),IF(AC3171=1,"",INDEX(DATAS,AA3170+1)),INDEX(DATAS,AA3170+1)),"")</f>
        <v/>
      </c>
    </row>
    <row r="3171" customFormat="false" ht="15" hidden="false" customHeight="false" outlineLevel="0" collapsed="false">
      <c r="A3171" s="51" t="n">
        <v>46309</v>
      </c>
      <c r="B3171" s="0" t="n">
        <v>13</v>
      </c>
      <c r="C3171" s="0" t="n">
        <v>7589</v>
      </c>
      <c r="E3171" s="0" t="n">
        <v>0</v>
      </c>
      <c r="F3171" s="46" t="s">
        <v>1514</v>
      </c>
      <c r="I3171" s="46" t="s">
        <v>179</v>
      </c>
      <c r="U3171" s="0" t="n">
        <v>196</v>
      </c>
      <c r="V3171" s="0" t="n">
        <v>0</v>
      </c>
      <c r="X3171" s="46" t="n">
        <f aca="false">IF(I3171="Male",0,1)</f>
        <v>1</v>
      </c>
      <c r="Y3171" s="46" t="n">
        <f aca="false">IF(OR(I3171="DNB",I3171="Dry DNB"),1,0)</f>
        <v>0</v>
      </c>
      <c r="Z3171" s="0" t="str">
        <f aca="false">IF(ISNUMBER(W3171),A3171-W3171,"")</f>
        <v/>
      </c>
      <c r="AA3171" s="46" t="n">
        <f aca="false">MATCH(A3171,DATAS,0)</f>
        <v>1</v>
      </c>
      <c r="AB3171" s="46" t="n">
        <f aca="false">IF(AND(E3171&gt;0,OR(AND(B3171&gt;=1,B3171&lt;=6),B3171=10)),1,0)</f>
        <v>0</v>
      </c>
      <c r="AC3171" s="46" t="n">
        <f aca="false">IF(AND(E3171&gt;0,B3171=10),1,0)</f>
        <v>0</v>
      </c>
      <c r="AD3171" s="0" t="str">
        <f aca="false">IF(AND(C3170=C3171,AA3170=AA3171-1),AB3170,"")</f>
        <v/>
      </c>
      <c r="AE3171" s="0" t="str">
        <f aca="false">IF(AND(C3170=C3171,AA3170=AA3171-1),AC3170,"")</f>
        <v/>
      </c>
      <c r="AF3171" s="0" t="str">
        <f aca="false">IF(AA3171=1,"",IF(AND(AB3171=1,AD3171&lt;&gt;1),1,0))</f>
        <v/>
      </c>
      <c r="AG3171" s="0" t="str">
        <f aca="false">IF(AA3171=1,"",IF(AND(AC3171=1,AE3171&lt;&gt;1),1,0))</f>
        <v/>
      </c>
      <c r="AH3171" s="51" t="str">
        <f aca="false">IF(AND(E3171&gt;0,AA3171&lt;1,NOT(AND(C3172=C3171,AA3172=AA3171+1))),INDEX(DATAS,AA3171+1),"")</f>
        <v/>
      </c>
      <c r="AI3171" s="51" t="str">
        <f aca="false">IF(AND(AC3171=1,AA3171&lt;1),IF(AND(C3172=C3171,AA3172=AA3171+1),IF(AC3172=1,"",INDEX(DATAS,AA3171+1)),INDEX(DATAS,AA3171+1)),"")</f>
        <v/>
      </c>
    </row>
    <row r="3172" customFormat="false" ht="15" hidden="false" customHeight="false" outlineLevel="0" collapsed="false">
      <c r="A3172" s="51" t="n">
        <v>46309</v>
      </c>
      <c r="B3172" s="0" t="n">
        <v>13</v>
      </c>
      <c r="C3172" s="0" t="n">
        <v>7590</v>
      </c>
      <c r="E3172" s="0" t="n">
        <v>0</v>
      </c>
      <c r="F3172" s="46" t="s">
        <v>1514</v>
      </c>
      <c r="I3172" s="46" t="s">
        <v>179</v>
      </c>
      <c r="U3172" s="0" t="n">
        <v>196</v>
      </c>
      <c r="V3172" s="0" t="n">
        <v>0</v>
      </c>
      <c r="X3172" s="46" t="n">
        <f aca="false">IF(I3172="Male",0,1)</f>
        <v>1</v>
      </c>
      <c r="Y3172" s="46" t="n">
        <f aca="false">IF(OR(I3172="DNB",I3172="Dry DNB"),1,0)</f>
        <v>0</v>
      </c>
      <c r="Z3172" s="0" t="str">
        <f aca="false">IF(ISNUMBER(W3172),A3172-W3172,"")</f>
        <v/>
      </c>
      <c r="AA3172" s="46" t="n">
        <f aca="false">MATCH(A3172,DATAS,0)</f>
        <v>1</v>
      </c>
      <c r="AB3172" s="46" t="n">
        <f aca="false">IF(AND(E3172&gt;0,OR(AND(B3172&gt;=1,B3172&lt;=6),B3172=10)),1,0)</f>
        <v>0</v>
      </c>
      <c r="AC3172" s="46" t="n">
        <f aca="false">IF(AND(E3172&gt;0,B3172=10),1,0)</f>
        <v>0</v>
      </c>
      <c r="AD3172" s="0" t="str">
        <f aca="false">IF(AND(C3171=C3172,AA3171=AA3172-1),AB3171,"")</f>
        <v/>
      </c>
      <c r="AE3172" s="0" t="str">
        <f aca="false">IF(AND(C3171=C3172,AA3171=AA3172-1),AC3171,"")</f>
        <v/>
      </c>
      <c r="AF3172" s="0" t="str">
        <f aca="false">IF(AA3172=1,"",IF(AND(AB3172=1,AD3172&lt;&gt;1),1,0))</f>
        <v/>
      </c>
      <c r="AG3172" s="0" t="str">
        <f aca="false">IF(AA3172=1,"",IF(AND(AC3172=1,AE3172&lt;&gt;1),1,0))</f>
        <v/>
      </c>
      <c r="AH3172" s="51" t="str">
        <f aca="false">IF(AND(E3172&gt;0,AA3172&lt;1,NOT(AND(C3173=C3172,AA3173=AA3172+1))),INDEX(DATAS,AA3172+1),"")</f>
        <v/>
      </c>
      <c r="AI3172" s="51" t="str">
        <f aca="false">IF(AND(AC3172=1,AA3172&lt;1),IF(AND(C3173=C3172,AA3173=AA3172+1),IF(AC3173=1,"",INDEX(DATAS,AA3172+1)),INDEX(DATAS,AA3172+1)),"")</f>
        <v/>
      </c>
    </row>
    <row r="3173" customFormat="false" ht="15" hidden="false" customHeight="false" outlineLevel="0" collapsed="false">
      <c r="A3173" s="51" t="n">
        <v>46309</v>
      </c>
      <c r="B3173" s="0" t="n">
        <v>13</v>
      </c>
      <c r="C3173" s="0" t="n">
        <v>7591</v>
      </c>
      <c r="E3173" s="0" t="n">
        <v>0</v>
      </c>
      <c r="F3173" s="46" t="s">
        <v>1514</v>
      </c>
      <c r="I3173" s="46" t="s">
        <v>179</v>
      </c>
      <c r="U3173" s="0" t="n">
        <v>196</v>
      </c>
      <c r="V3173" s="0" t="n">
        <v>0</v>
      </c>
      <c r="X3173" s="46" t="n">
        <f aca="false">IF(I3173="Male",0,1)</f>
        <v>1</v>
      </c>
      <c r="Y3173" s="46" t="n">
        <f aca="false">IF(OR(I3173="DNB",I3173="Dry DNB"),1,0)</f>
        <v>0</v>
      </c>
      <c r="Z3173" s="0" t="str">
        <f aca="false">IF(ISNUMBER(W3173),A3173-W3173,"")</f>
        <v/>
      </c>
      <c r="AA3173" s="46" t="n">
        <f aca="false">MATCH(A3173,DATAS,0)</f>
        <v>1</v>
      </c>
      <c r="AB3173" s="46" t="n">
        <f aca="false">IF(AND(E3173&gt;0,OR(AND(B3173&gt;=1,B3173&lt;=6),B3173=10)),1,0)</f>
        <v>0</v>
      </c>
      <c r="AC3173" s="46" t="n">
        <f aca="false">IF(AND(E3173&gt;0,B3173=10),1,0)</f>
        <v>0</v>
      </c>
      <c r="AD3173" s="0" t="str">
        <f aca="false">IF(AND(C3172=C3173,AA3172=AA3173-1),AB3172,"")</f>
        <v/>
      </c>
      <c r="AE3173" s="0" t="str">
        <f aca="false">IF(AND(C3172=C3173,AA3172=AA3173-1),AC3172,"")</f>
        <v/>
      </c>
      <c r="AF3173" s="0" t="str">
        <f aca="false">IF(AA3173=1,"",IF(AND(AB3173=1,AD3173&lt;&gt;1),1,0))</f>
        <v/>
      </c>
      <c r="AG3173" s="0" t="str">
        <f aca="false">IF(AA3173=1,"",IF(AND(AC3173=1,AE3173&lt;&gt;1),1,0))</f>
        <v/>
      </c>
      <c r="AH3173" s="51" t="str">
        <f aca="false">IF(AND(E3173&gt;0,AA3173&lt;1,NOT(AND(C3174=C3173,AA3174=AA3173+1))),INDEX(DATAS,AA3173+1),"")</f>
        <v/>
      </c>
      <c r="AI3173" s="51" t="str">
        <f aca="false">IF(AND(AC3173=1,AA3173&lt;1),IF(AND(C3174=C3173,AA3174=AA3173+1),IF(AC3174=1,"",INDEX(DATAS,AA3173+1)),INDEX(DATAS,AA3173+1)),"")</f>
        <v/>
      </c>
    </row>
    <row r="3174" customFormat="false" ht="15" hidden="false" customHeight="false" outlineLevel="0" collapsed="false">
      <c r="A3174" s="51" t="n">
        <v>46309</v>
      </c>
      <c r="B3174" s="0" t="n">
        <v>13</v>
      </c>
      <c r="C3174" s="0" t="n">
        <v>7592</v>
      </c>
      <c r="E3174" s="0" t="n">
        <v>0</v>
      </c>
      <c r="F3174" s="46" t="s">
        <v>1514</v>
      </c>
      <c r="I3174" s="46" t="s">
        <v>179</v>
      </c>
      <c r="U3174" s="0" t="n">
        <v>196</v>
      </c>
      <c r="V3174" s="0" t="n">
        <v>0</v>
      </c>
      <c r="X3174" s="46" t="n">
        <f aca="false">IF(I3174="Male",0,1)</f>
        <v>1</v>
      </c>
      <c r="Y3174" s="46" t="n">
        <f aca="false">IF(OR(I3174="DNB",I3174="Dry DNB"),1,0)</f>
        <v>0</v>
      </c>
      <c r="Z3174" s="0" t="str">
        <f aca="false">IF(ISNUMBER(W3174),A3174-W3174,"")</f>
        <v/>
      </c>
      <c r="AA3174" s="46" t="n">
        <f aca="false">MATCH(A3174,DATAS,0)</f>
        <v>1</v>
      </c>
      <c r="AB3174" s="46" t="n">
        <f aca="false">IF(AND(E3174&gt;0,OR(AND(B3174&gt;=1,B3174&lt;=6),B3174=10)),1,0)</f>
        <v>0</v>
      </c>
      <c r="AC3174" s="46" t="n">
        <f aca="false">IF(AND(E3174&gt;0,B3174=10),1,0)</f>
        <v>0</v>
      </c>
      <c r="AD3174" s="0" t="str">
        <f aca="false">IF(AND(C3173=C3174,AA3173=AA3174-1),AB3173,"")</f>
        <v/>
      </c>
      <c r="AE3174" s="0" t="str">
        <f aca="false">IF(AND(C3173=C3174,AA3173=AA3174-1),AC3173,"")</f>
        <v/>
      </c>
      <c r="AF3174" s="0" t="str">
        <f aca="false">IF(AA3174=1,"",IF(AND(AB3174=1,AD3174&lt;&gt;1),1,0))</f>
        <v/>
      </c>
      <c r="AG3174" s="0" t="str">
        <f aca="false">IF(AA3174=1,"",IF(AND(AC3174=1,AE3174&lt;&gt;1),1,0))</f>
        <v/>
      </c>
      <c r="AH3174" s="51" t="str">
        <f aca="false">IF(AND(E3174&gt;0,AA3174&lt;1,NOT(AND(C3175=C3174,AA3175=AA3174+1))),INDEX(DATAS,AA3174+1),"")</f>
        <v/>
      </c>
      <c r="AI3174" s="51" t="str">
        <f aca="false">IF(AND(AC3174=1,AA3174&lt;1),IF(AND(C3175=C3174,AA3175=AA3174+1),IF(AC3175=1,"",INDEX(DATAS,AA3174+1)),INDEX(DATAS,AA3174+1)),"")</f>
        <v/>
      </c>
    </row>
    <row r="3175" customFormat="false" ht="15" hidden="false" customHeight="false" outlineLevel="0" collapsed="false">
      <c r="A3175" s="51" t="n">
        <v>46309</v>
      </c>
      <c r="B3175" s="0" t="n">
        <v>13</v>
      </c>
      <c r="C3175" s="0" t="n">
        <v>7593</v>
      </c>
      <c r="E3175" s="0" t="n">
        <v>0</v>
      </c>
      <c r="F3175" s="46" t="s">
        <v>1514</v>
      </c>
      <c r="I3175" s="46" t="s">
        <v>179</v>
      </c>
      <c r="U3175" s="0" t="n">
        <v>196</v>
      </c>
      <c r="V3175" s="0" t="n">
        <v>0</v>
      </c>
      <c r="X3175" s="46" t="n">
        <f aca="false">IF(I3175="Male",0,1)</f>
        <v>1</v>
      </c>
      <c r="Y3175" s="46" t="n">
        <f aca="false">IF(OR(I3175="DNB",I3175="Dry DNB"),1,0)</f>
        <v>0</v>
      </c>
      <c r="Z3175" s="0" t="str">
        <f aca="false">IF(ISNUMBER(W3175),A3175-W3175,"")</f>
        <v/>
      </c>
      <c r="AA3175" s="46" t="n">
        <f aca="false">MATCH(A3175,DATAS,0)</f>
        <v>1</v>
      </c>
      <c r="AB3175" s="46" t="n">
        <f aca="false">IF(AND(E3175&gt;0,OR(AND(B3175&gt;=1,B3175&lt;=6),B3175=10)),1,0)</f>
        <v>0</v>
      </c>
      <c r="AC3175" s="46" t="n">
        <f aca="false">IF(AND(E3175&gt;0,B3175=10),1,0)</f>
        <v>0</v>
      </c>
      <c r="AD3175" s="0" t="str">
        <f aca="false">IF(AND(C3174=C3175,AA3174=AA3175-1),AB3174,"")</f>
        <v/>
      </c>
      <c r="AE3175" s="0" t="str">
        <f aca="false">IF(AND(C3174=C3175,AA3174=AA3175-1),AC3174,"")</f>
        <v/>
      </c>
      <c r="AF3175" s="0" t="str">
        <f aca="false">IF(AA3175=1,"",IF(AND(AB3175=1,AD3175&lt;&gt;1),1,0))</f>
        <v/>
      </c>
      <c r="AG3175" s="0" t="str">
        <f aca="false">IF(AA3175=1,"",IF(AND(AC3175=1,AE3175&lt;&gt;1),1,0))</f>
        <v/>
      </c>
      <c r="AH3175" s="51" t="str">
        <f aca="false">IF(AND(E3175&gt;0,AA3175&lt;1,NOT(AND(C3176=C3175,AA3176=AA3175+1))),INDEX(DATAS,AA3175+1),"")</f>
        <v/>
      </c>
      <c r="AI3175" s="51" t="str">
        <f aca="false">IF(AND(AC3175=1,AA3175&lt;1),IF(AND(C3176=C3175,AA3176=AA3175+1),IF(AC3176=1,"",INDEX(DATAS,AA3175+1)),INDEX(DATAS,AA3175+1)),"")</f>
        <v/>
      </c>
    </row>
    <row r="3176" customFormat="false" ht="15" hidden="false" customHeight="false" outlineLevel="0" collapsed="false">
      <c r="A3176" s="51" t="n">
        <v>46309</v>
      </c>
      <c r="B3176" s="0" t="n">
        <v>13</v>
      </c>
      <c r="C3176" s="0" t="n">
        <v>7594</v>
      </c>
      <c r="E3176" s="0" t="n">
        <v>0</v>
      </c>
      <c r="F3176" s="46" t="s">
        <v>1515</v>
      </c>
      <c r="I3176" s="46" t="s">
        <v>179</v>
      </c>
      <c r="U3176" s="0" t="n">
        <v>195</v>
      </c>
      <c r="V3176" s="0" t="n">
        <v>0</v>
      </c>
      <c r="X3176" s="46" t="n">
        <f aca="false">IF(I3176="Male",0,1)</f>
        <v>1</v>
      </c>
      <c r="Y3176" s="46" t="n">
        <f aca="false">IF(OR(I3176="DNB",I3176="Dry DNB"),1,0)</f>
        <v>0</v>
      </c>
      <c r="Z3176" s="0" t="str">
        <f aca="false">IF(ISNUMBER(W3176),A3176-W3176,"")</f>
        <v/>
      </c>
      <c r="AA3176" s="46" t="n">
        <f aca="false">MATCH(A3176,DATAS,0)</f>
        <v>1</v>
      </c>
      <c r="AB3176" s="46" t="n">
        <f aca="false">IF(AND(E3176&gt;0,OR(AND(B3176&gt;=1,B3176&lt;=6),B3176=10)),1,0)</f>
        <v>0</v>
      </c>
      <c r="AC3176" s="46" t="n">
        <f aca="false">IF(AND(E3176&gt;0,B3176=10),1,0)</f>
        <v>0</v>
      </c>
      <c r="AD3176" s="0" t="str">
        <f aca="false">IF(AND(C3175=C3176,AA3175=AA3176-1),AB3175,"")</f>
        <v/>
      </c>
      <c r="AE3176" s="0" t="str">
        <f aca="false">IF(AND(C3175=C3176,AA3175=AA3176-1),AC3175,"")</f>
        <v/>
      </c>
      <c r="AF3176" s="0" t="str">
        <f aca="false">IF(AA3176=1,"",IF(AND(AB3176=1,AD3176&lt;&gt;1),1,0))</f>
        <v/>
      </c>
      <c r="AG3176" s="0" t="str">
        <f aca="false">IF(AA3176=1,"",IF(AND(AC3176=1,AE3176&lt;&gt;1),1,0))</f>
        <v/>
      </c>
      <c r="AH3176" s="51" t="str">
        <f aca="false">IF(AND(E3176&gt;0,AA3176&lt;1,NOT(AND(C3177=C3176,AA3177=AA3176+1))),INDEX(DATAS,AA3176+1),"")</f>
        <v/>
      </c>
      <c r="AI3176" s="51" t="str">
        <f aca="false">IF(AND(AC3176=1,AA3176&lt;1),IF(AND(C3177=C3176,AA3177=AA3176+1),IF(AC3177=1,"",INDEX(DATAS,AA3176+1)),INDEX(DATAS,AA3176+1)),"")</f>
        <v/>
      </c>
    </row>
    <row r="3177" customFormat="false" ht="15" hidden="false" customHeight="false" outlineLevel="0" collapsed="false">
      <c r="A3177" s="51" t="n">
        <v>46309</v>
      </c>
      <c r="B3177" s="0" t="n">
        <v>13</v>
      </c>
      <c r="C3177" s="0" t="n">
        <v>7595</v>
      </c>
      <c r="E3177" s="0" t="n">
        <v>0</v>
      </c>
      <c r="F3177" s="46" t="s">
        <v>1515</v>
      </c>
      <c r="I3177" s="46" t="s">
        <v>179</v>
      </c>
      <c r="U3177" s="0" t="n">
        <v>195</v>
      </c>
      <c r="V3177" s="0" t="n">
        <v>0</v>
      </c>
      <c r="X3177" s="46" t="n">
        <f aca="false">IF(I3177="Male",0,1)</f>
        <v>1</v>
      </c>
      <c r="Y3177" s="46" t="n">
        <f aca="false">IF(OR(I3177="DNB",I3177="Dry DNB"),1,0)</f>
        <v>0</v>
      </c>
      <c r="Z3177" s="0" t="str">
        <f aca="false">IF(ISNUMBER(W3177),A3177-W3177,"")</f>
        <v/>
      </c>
      <c r="AA3177" s="46" t="n">
        <f aca="false">MATCH(A3177,DATAS,0)</f>
        <v>1</v>
      </c>
      <c r="AB3177" s="46" t="n">
        <f aca="false">IF(AND(E3177&gt;0,OR(AND(B3177&gt;=1,B3177&lt;=6),B3177=10)),1,0)</f>
        <v>0</v>
      </c>
      <c r="AC3177" s="46" t="n">
        <f aca="false">IF(AND(E3177&gt;0,B3177=10),1,0)</f>
        <v>0</v>
      </c>
      <c r="AD3177" s="0" t="str">
        <f aca="false">IF(AND(C3176=C3177,AA3176=AA3177-1),AB3176,"")</f>
        <v/>
      </c>
      <c r="AE3177" s="0" t="str">
        <f aca="false">IF(AND(C3176=C3177,AA3176=AA3177-1),AC3176,"")</f>
        <v/>
      </c>
      <c r="AF3177" s="0" t="str">
        <f aca="false">IF(AA3177=1,"",IF(AND(AB3177=1,AD3177&lt;&gt;1),1,0))</f>
        <v/>
      </c>
      <c r="AG3177" s="0" t="str">
        <f aca="false">IF(AA3177=1,"",IF(AND(AC3177=1,AE3177&lt;&gt;1),1,0))</f>
        <v/>
      </c>
      <c r="AH3177" s="51" t="str">
        <f aca="false">IF(AND(E3177&gt;0,AA3177&lt;1,NOT(AND(C3178=C3177,AA3178=AA3177+1))),INDEX(DATAS,AA3177+1),"")</f>
        <v/>
      </c>
      <c r="AI3177" s="51" t="str">
        <f aca="false">IF(AND(AC3177=1,AA3177&lt;1),IF(AND(C3178=C3177,AA3178=AA3177+1),IF(AC3178=1,"",INDEX(DATAS,AA3177+1)),INDEX(DATAS,AA3177+1)),"")</f>
        <v/>
      </c>
    </row>
    <row r="3178" customFormat="false" ht="15" hidden="false" customHeight="false" outlineLevel="0" collapsed="false">
      <c r="A3178" s="51" t="n">
        <v>46309</v>
      </c>
      <c r="B3178" s="0" t="n">
        <v>13</v>
      </c>
      <c r="C3178" s="0" t="n">
        <v>7596</v>
      </c>
      <c r="E3178" s="0" t="n">
        <v>0</v>
      </c>
      <c r="F3178" s="46" t="s">
        <v>1515</v>
      </c>
      <c r="I3178" s="46" t="s">
        <v>179</v>
      </c>
      <c r="U3178" s="0" t="n">
        <v>195</v>
      </c>
      <c r="V3178" s="0" t="n">
        <v>0</v>
      </c>
      <c r="X3178" s="46" t="n">
        <f aca="false">IF(I3178="Male",0,1)</f>
        <v>1</v>
      </c>
      <c r="Y3178" s="46" t="n">
        <f aca="false">IF(OR(I3178="DNB",I3178="Dry DNB"),1,0)</f>
        <v>0</v>
      </c>
      <c r="Z3178" s="0" t="str">
        <f aca="false">IF(ISNUMBER(W3178),A3178-W3178,"")</f>
        <v/>
      </c>
      <c r="AA3178" s="46" t="n">
        <f aca="false">MATCH(A3178,DATAS,0)</f>
        <v>1</v>
      </c>
      <c r="AB3178" s="46" t="n">
        <f aca="false">IF(AND(E3178&gt;0,OR(AND(B3178&gt;=1,B3178&lt;=6),B3178=10)),1,0)</f>
        <v>0</v>
      </c>
      <c r="AC3178" s="46" t="n">
        <f aca="false">IF(AND(E3178&gt;0,B3178=10),1,0)</f>
        <v>0</v>
      </c>
      <c r="AD3178" s="0" t="str">
        <f aca="false">IF(AND(C3177=C3178,AA3177=AA3178-1),AB3177,"")</f>
        <v/>
      </c>
      <c r="AE3178" s="0" t="str">
        <f aca="false">IF(AND(C3177=C3178,AA3177=AA3178-1),AC3177,"")</f>
        <v/>
      </c>
      <c r="AF3178" s="0" t="str">
        <f aca="false">IF(AA3178=1,"",IF(AND(AB3178=1,AD3178&lt;&gt;1),1,0))</f>
        <v/>
      </c>
      <c r="AG3178" s="0" t="str">
        <f aca="false">IF(AA3178=1,"",IF(AND(AC3178=1,AE3178&lt;&gt;1),1,0))</f>
        <v/>
      </c>
      <c r="AH3178" s="51" t="str">
        <f aca="false">IF(AND(E3178&gt;0,AA3178&lt;1,NOT(AND(C3179=C3178,AA3179=AA3178+1))),INDEX(DATAS,AA3178+1),"")</f>
        <v/>
      </c>
      <c r="AI3178" s="51" t="str">
        <f aca="false">IF(AND(AC3178=1,AA3178&lt;1),IF(AND(C3179=C3178,AA3179=AA3178+1),IF(AC3179=1,"",INDEX(DATAS,AA3178+1)),INDEX(DATAS,AA3178+1)),"")</f>
        <v/>
      </c>
    </row>
    <row r="3179" customFormat="false" ht="15" hidden="false" customHeight="false" outlineLevel="0" collapsed="false">
      <c r="A3179" s="51" t="n">
        <v>46309</v>
      </c>
      <c r="B3179" s="0" t="n">
        <v>13</v>
      </c>
      <c r="C3179" s="0" t="n">
        <v>7597</v>
      </c>
      <c r="E3179" s="0" t="n">
        <v>0</v>
      </c>
      <c r="F3179" s="46" t="s">
        <v>1516</v>
      </c>
      <c r="I3179" s="46" t="s">
        <v>179</v>
      </c>
      <c r="U3179" s="0" t="n">
        <v>194</v>
      </c>
      <c r="V3179" s="0" t="n">
        <v>0</v>
      </c>
      <c r="X3179" s="46" t="n">
        <f aca="false">IF(I3179="Male",0,1)</f>
        <v>1</v>
      </c>
      <c r="Y3179" s="46" t="n">
        <f aca="false">IF(OR(I3179="DNB",I3179="Dry DNB"),1,0)</f>
        <v>0</v>
      </c>
      <c r="Z3179" s="0" t="str">
        <f aca="false">IF(ISNUMBER(W3179),A3179-W3179,"")</f>
        <v/>
      </c>
      <c r="AA3179" s="46" t="n">
        <f aca="false">MATCH(A3179,DATAS,0)</f>
        <v>1</v>
      </c>
      <c r="AB3179" s="46" t="n">
        <f aca="false">IF(AND(E3179&gt;0,OR(AND(B3179&gt;=1,B3179&lt;=6),B3179=10)),1,0)</f>
        <v>0</v>
      </c>
      <c r="AC3179" s="46" t="n">
        <f aca="false">IF(AND(E3179&gt;0,B3179=10),1,0)</f>
        <v>0</v>
      </c>
      <c r="AD3179" s="0" t="str">
        <f aca="false">IF(AND(C3178=C3179,AA3178=AA3179-1),AB3178,"")</f>
        <v/>
      </c>
      <c r="AE3179" s="0" t="str">
        <f aca="false">IF(AND(C3178=C3179,AA3178=AA3179-1),AC3178,"")</f>
        <v/>
      </c>
      <c r="AF3179" s="0" t="str">
        <f aca="false">IF(AA3179=1,"",IF(AND(AB3179=1,AD3179&lt;&gt;1),1,0))</f>
        <v/>
      </c>
      <c r="AG3179" s="0" t="str">
        <f aca="false">IF(AA3179=1,"",IF(AND(AC3179=1,AE3179&lt;&gt;1),1,0))</f>
        <v/>
      </c>
      <c r="AH3179" s="51" t="str">
        <f aca="false">IF(AND(E3179&gt;0,AA3179&lt;1,NOT(AND(C3180=C3179,AA3180=AA3179+1))),INDEX(DATAS,AA3179+1),"")</f>
        <v/>
      </c>
      <c r="AI3179" s="51" t="str">
        <f aca="false">IF(AND(AC3179=1,AA3179&lt;1),IF(AND(C3180=C3179,AA3180=AA3179+1),IF(AC3180=1,"",INDEX(DATAS,AA3179+1)),INDEX(DATAS,AA3179+1)),"")</f>
        <v/>
      </c>
    </row>
    <row r="3180" customFormat="false" ht="15" hidden="false" customHeight="false" outlineLevel="0" collapsed="false">
      <c r="A3180" s="51" t="n">
        <v>46309</v>
      </c>
      <c r="B3180" s="0" t="n">
        <v>13</v>
      </c>
      <c r="C3180" s="0" t="n">
        <v>7598</v>
      </c>
      <c r="E3180" s="0" t="n">
        <v>0</v>
      </c>
      <c r="F3180" s="46" t="s">
        <v>1516</v>
      </c>
      <c r="I3180" s="46" t="s">
        <v>179</v>
      </c>
      <c r="U3180" s="0" t="n">
        <v>194</v>
      </c>
      <c r="V3180" s="0" t="n">
        <v>0</v>
      </c>
      <c r="X3180" s="46" t="n">
        <f aca="false">IF(I3180="Male",0,1)</f>
        <v>1</v>
      </c>
      <c r="Y3180" s="46" t="n">
        <f aca="false">IF(OR(I3180="DNB",I3180="Dry DNB"),1,0)</f>
        <v>0</v>
      </c>
      <c r="Z3180" s="0" t="str">
        <f aca="false">IF(ISNUMBER(W3180),A3180-W3180,"")</f>
        <v/>
      </c>
      <c r="AA3180" s="46" t="n">
        <f aca="false">MATCH(A3180,DATAS,0)</f>
        <v>1</v>
      </c>
      <c r="AB3180" s="46" t="n">
        <f aca="false">IF(AND(E3180&gt;0,OR(AND(B3180&gt;=1,B3180&lt;=6),B3180=10)),1,0)</f>
        <v>0</v>
      </c>
      <c r="AC3180" s="46" t="n">
        <f aca="false">IF(AND(E3180&gt;0,B3180=10),1,0)</f>
        <v>0</v>
      </c>
      <c r="AD3180" s="0" t="str">
        <f aca="false">IF(AND(C3179=C3180,AA3179=AA3180-1),AB3179,"")</f>
        <v/>
      </c>
      <c r="AE3180" s="0" t="str">
        <f aca="false">IF(AND(C3179=C3180,AA3179=AA3180-1),AC3179,"")</f>
        <v/>
      </c>
      <c r="AF3180" s="0" t="str">
        <f aca="false">IF(AA3180=1,"",IF(AND(AB3180=1,AD3180&lt;&gt;1),1,0))</f>
        <v/>
      </c>
      <c r="AG3180" s="0" t="str">
        <f aca="false">IF(AA3180=1,"",IF(AND(AC3180=1,AE3180&lt;&gt;1),1,0))</f>
        <v/>
      </c>
      <c r="AH3180" s="51" t="str">
        <f aca="false">IF(AND(E3180&gt;0,AA3180&lt;1,NOT(AND(C3181=C3180,AA3181=AA3180+1))),INDEX(DATAS,AA3180+1),"")</f>
        <v/>
      </c>
      <c r="AI3180" s="51" t="str">
        <f aca="false">IF(AND(AC3180=1,AA3180&lt;1),IF(AND(C3181=C3180,AA3181=AA3180+1),IF(AC3181=1,"",INDEX(DATAS,AA3180+1)),INDEX(DATAS,AA3180+1)),"")</f>
        <v/>
      </c>
    </row>
    <row r="3181" customFormat="false" ht="15" hidden="false" customHeight="false" outlineLevel="0" collapsed="false">
      <c r="A3181" s="51" t="n">
        <v>46309</v>
      </c>
      <c r="B3181" s="0" t="n">
        <v>13</v>
      </c>
      <c r="C3181" s="0" t="n">
        <v>7599</v>
      </c>
      <c r="E3181" s="0" t="n">
        <v>0</v>
      </c>
      <c r="F3181" s="46" t="s">
        <v>1517</v>
      </c>
      <c r="I3181" s="46" t="s">
        <v>179</v>
      </c>
      <c r="U3181" s="0" t="n">
        <v>193</v>
      </c>
      <c r="V3181" s="0" t="n">
        <v>0</v>
      </c>
      <c r="X3181" s="46" t="n">
        <f aca="false">IF(I3181="Male",0,1)</f>
        <v>1</v>
      </c>
      <c r="Y3181" s="46" t="n">
        <f aca="false">IF(OR(I3181="DNB",I3181="Dry DNB"),1,0)</f>
        <v>0</v>
      </c>
      <c r="Z3181" s="0" t="str">
        <f aca="false">IF(ISNUMBER(W3181),A3181-W3181,"")</f>
        <v/>
      </c>
      <c r="AA3181" s="46" t="n">
        <f aca="false">MATCH(A3181,DATAS,0)</f>
        <v>1</v>
      </c>
      <c r="AB3181" s="46" t="n">
        <f aca="false">IF(AND(E3181&gt;0,OR(AND(B3181&gt;=1,B3181&lt;=6),B3181=10)),1,0)</f>
        <v>0</v>
      </c>
      <c r="AC3181" s="46" t="n">
        <f aca="false">IF(AND(E3181&gt;0,B3181=10),1,0)</f>
        <v>0</v>
      </c>
      <c r="AD3181" s="0" t="str">
        <f aca="false">IF(AND(C3180=C3181,AA3180=AA3181-1),AB3180,"")</f>
        <v/>
      </c>
      <c r="AE3181" s="0" t="str">
        <f aca="false">IF(AND(C3180=C3181,AA3180=AA3181-1),AC3180,"")</f>
        <v/>
      </c>
      <c r="AF3181" s="0" t="str">
        <f aca="false">IF(AA3181=1,"",IF(AND(AB3181=1,AD3181&lt;&gt;1),1,0))</f>
        <v/>
      </c>
      <c r="AG3181" s="0" t="str">
        <f aca="false">IF(AA3181=1,"",IF(AND(AC3181=1,AE3181&lt;&gt;1),1,0))</f>
        <v/>
      </c>
      <c r="AH3181" s="51" t="str">
        <f aca="false">IF(AND(E3181&gt;0,AA3181&lt;1,NOT(AND(C3182=C3181,AA3182=AA3181+1))),INDEX(DATAS,AA3181+1),"")</f>
        <v/>
      </c>
      <c r="AI3181" s="51" t="str">
        <f aca="false">IF(AND(AC3181=1,AA3181&lt;1),IF(AND(C3182=C3181,AA3182=AA3181+1),IF(AC3182=1,"",INDEX(DATAS,AA3181+1)),INDEX(DATAS,AA3181+1)),"")</f>
        <v/>
      </c>
    </row>
    <row r="3182" customFormat="false" ht="15" hidden="false" customHeight="false" outlineLevel="0" collapsed="false">
      <c r="A3182" s="51" t="n">
        <v>46309</v>
      </c>
      <c r="B3182" s="0" t="n">
        <v>13</v>
      </c>
      <c r="C3182" s="0" t="n">
        <v>7600</v>
      </c>
      <c r="E3182" s="0" t="n">
        <v>0</v>
      </c>
      <c r="F3182" s="46" t="s">
        <v>1517</v>
      </c>
      <c r="I3182" s="46" t="s">
        <v>179</v>
      </c>
      <c r="U3182" s="0" t="n">
        <v>193</v>
      </c>
      <c r="V3182" s="0" t="n">
        <v>0</v>
      </c>
      <c r="X3182" s="46" t="n">
        <f aca="false">IF(I3182="Male",0,1)</f>
        <v>1</v>
      </c>
      <c r="Y3182" s="46" t="n">
        <f aca="false">IF(OR(I3182="DNB",I3182="Dry DNB"),1,0)</f>
        <v>0</v>
      </c>
      <c r="Z3182" s="0" t="str">
        <f aca="false">IF(ISNUMBER(W3182),A3182-W3182,"")</f>
        <v/>
      </c>
      <c r="AA3182" s="46" t="n">
        <f aca="false">MATCH(A3182,DATAS,0)</f>
        <v>1</v>
      </c>
      <c r="AB3182" s="46" t="n">
        <f aca="false">IF(AND(E3182&gt;0,OR(AND(B3182&gt;=1,B3182&lt;=6),B3182=10)),1,0)</f>
        <v>0</v>
      </c>
      <c r="AC3182" s="46" t="n">
        <f aca="false">IF(AND(E3182&gt;0,B3182=10),1,0)</f>
        <v>0</v>
      </c>
      <c r="AD3182" s="0" t="str">
        <f aca="false">IF(AND(C3181=C3182,AA3181=AA3182-1),AB3181,"")</f>
        <v/>
      </c>
      <c r="AE3182" s="0" t="str">
        <f aca="false">IF(AND(C3181=C3182,AA3181=AA3182-1),AC3181,"")</f>
        <v/>
      </c>
      <c r="AF3182" s="0" t="str">
        <f aca="false">IF(AA3182=1,"",IF(AND(AB3182=1,AD3182&lt;&gt;1),1,0))</f>
        <v/>
      </c>
      <c r="AG3182" s="0" t="str">
        <f aca="false">IF(AA3182=1,"",IF(AND(AC3182=1,AE3182&lt;&gt;1),1,0))</f>
        <v/>
      </c>
      <c r="AH3182" s="51" t="str">
        <f aca="false">IF(AND(E3182&gt;0,AA3182&lt;1,NOT(AND(C3183=C3182,AA3183=AA3182+1))),INDEX(DATAS,AA3182+1),"")</f>
        <v/>
      </c>
      <c r="AI3182" s="51" t="str">
        <f aca="false">IF(AND(AC3182=1,AA3182&lt;1),IF(AND(C3183=C3182,AA3183=AA3182+1),IF(AC3183=1,"",INDEX(DATAS,AA3182+1)),INDEX(DATAS,AA3182+1)),"")</f>
        <v/>
      </c>
    </row>
    <row r="3183" customFormat="false" ht="15" hidden="false" customHeight="false" outlineLevel="0" collapsed="false">
      <c r="A3183" s="51" t="n">
        <v>46309</v>
      </c>
      <c r="B3183" s="0" t="n">
        <v>13</v>
      </c>
      <c r="C3183" s="0" t="n">
        <v>7602</v>
      </c>
      <c r="E3183" s="0" t="n">
        <v>0</v>
      </c>
      <c r="F3183" s="46" t="s">
        <v>1517</v>
      </c>
      <c r="I3183" s="46" t="s">
        <v>179</v>
      </c>
      <c r="U3183" s="0" t="n">
        <v>193</v>
      </c>
      <c r="V3183" s="0" t="n">
        <v>0</v>
      </c>
      <c r="X3183" s="46" t="n">
        <f aca="false">IF(I3183="Male",0,1)</f>
        <v>1</v>
      </c>
      <c r="Y3183" s="46" t="n">
        <f aca="false">IF(OR(I3183="DNB",I3183="Dry DNB"),1,0)</f>
        <v>0</v>
      </c>
      <c r="Z3183" s="0" t="str">
        <f aca="false">IF(ISNUMBER(W3183),A3183-W3183,"")</f>
        <v/>
      </c>
      <c r="AA3183" s="46" t="n">
        <f aca="false">MATCH(A3183,DATAS,0)</f>
        <v>1</v>
      </c>
      <c r="AB3183" s="46" t="n">
        <f aca="false">IF(AND(E3183&gt;0,OR(AND(B3183&gt;=1,B3183&lt;=6),B3183=10)),1,0)</f>
        <v>0</v>
      </c>
      <c r="AC3183" s="46" t="n">
        <f aca="false">IF(AND(E3183&gt;0,B3183=10),1,0)</f>
        <v>0</v>
      </c>
      <c r="AD3183" s="0" t="str">
        <f aca="false">IF(AND(C3182=C3183,AA3182=AA3183-1),AB3182,"")</f>
        <v/>
      </c>
      <c r="AE3183" s="0" t="str">
        <f aca="false">IF(AND(C3182=C3183,AA3182=AA3183-1),AC3182,"")</f>
        <v/>
      </c>
      <c r="AF3183" s="0" t="str">
        <f aca="false">IF(AA3183=1,"",IF(AND(AB3183=1,AD3183&lt;&gt;1),1,0))</f>
        <v/>
      </c>
      <c r="AG3183" s="0" t="str">
        <f aca="false">IF(AA3183=1,"",IF(AND(AC3183=1,AE3183&lt;&gt;1),1,0))</f>
        <v/>
      </c>
      <c r="AH3183" s="51" t="str">
        <f aca="false">IF(AND(E3183&gt;0,AA3183&lt;1,NOT(AND(C3184=C3183,AA3184=AA3183+1))),INDEX(DATAS,AA3183+1),"")</f>
        <v/>
      </c>
      <c r="AI3183" s="51" t="str">
        <f aca="false">IF(AND(AC3183=1,AA3183&lt;1),IF(AND(C3184=C3183,AA3184=AA3183+1),IF(AC3184=1,"",INDEX(DATAS,AA3183+1)),INDEX(DATAS,AA3183+1)),"")</f>
        <v/>
      </c>
    </row>
    <row r="3184" customFormat="false" ht="15" hidden="false" customHeight="false" outlineLevel="0" collapsed="false">
      <c r="A3184" s="51" t="n">
        <v>46309</v>
      </c>
      <c r="B3184" s="0" t="n">
        <v>13</v>
      </c>
      <c r="C3184" s="0" t="n">
        <v>7603</v>
      </c>
      <c r="E3184" s="0" t="n">
        <v>0</v>
      </c>
      <c r="F3184" s="46" t="s">
        <v>1517</v>
      </c>
      <c r="I3184" s="46" t="s">
        <v>179</v>
      </c>
      <c r="U3184" s="0" t="n">
        <v>193</v>
      </c>
      <c r="V3184" s="0" t="n">
        <v>0</v>
      </c>
      <c r="X3184" s="46" t="n">
        <f aca="false">IF(I3184="Male",0,1)</f>
        <v>1</v>
      </c>
      <c r="Y3184" s="46" t="n">
        <f aca="false">IF(OR(I3184="DNB",I3184="Dry DNB"),1,0)</f>
        <v>0</v>
      </c>
      <c r="Z3184" s="0" t="str">
        <f aca="false">IF(ISNUMBER(W3184),A3184-W3184,"")</f>
        <v/>
      </c>
      <c r="AA3184" s="46" t="n">
        <f aca="false">MATCH(A3184,DATAS,0)</f>
        <v>1</v>
      </c>
      <c r="AB3184" s="46" t="n">
        <f aca="false">IF(AND(E3184&gt;0,OR(AND(B3184&gt;=1,B3184&lt;=6),B3184=10)),1,0)</f>
        <v>0</v>
      </c>
      <c r="AC3184" s="46" t="n">
        <f aca="false">IF(AND(E3184&gt;0,B3184=10),1,0)</f>
        <v>0</v>
      </c>
      <c r="AD3184" s="0" t="str">
        <f aca="false">IF(AND(C3183=C3184,AA3183=AA3184-1),AB3183,"")</f>
        <v/>
      </c>
      <c r="AE3184" s="0" t="str">
        <f aca="false">IF(AND(C3183=C3184,AA3183=AA3184-1),AC3183,"")</f>
        <v/>
      </c>
      <c r="AF3184" s="0" t="str">
        <f aca="false">IF(AA3184=1,"",IF(AND(AB3184=1,AD3184&lt;&gt;1),1,0))</f>
        <v/>
      </c>
      <c r="AG3184" s="0" t="str">
        <f aca="false">IF(AA3184=1,"",IF(AND(AC3184=1,AE3184&lt;&gt;1),1,0))</f>
        <v/>
      </c>
      <c r="AH3184" s="51" t="str">
        <f aca="false">IF(AND(E3184&gt;0,AA3184&lt;1,NOT(AND(C3185=C3184,AA3185=AA3184+1))),INDEX(DATAS,AA3184+1),"")</f>
        <v/>
      </c>
      <c r="AI3184" s="51" t="str">
        <f aca="false">IF(AND(AC3184=1,AA3184&lt;1),IF(AND(C3185=C3184,AA3185=AA3184+1),IF(AC3185=1,"",INDEX(DATAS,AA3184+1)),INDEX(DATAS,AA3184+1)),"")</f>
        <v/>
      </c>
    </row>
    <row r="3185" customFormat="false" ht="15" hidden="false" customHeight="false" outlineLevel="0" collapsed="false">
      <c r="A3185" s="51" t="n">
        <v>46309</v>
      </c>
      <c r="B3185" s="0" t="n">
        <v>13</v>
      </c>
      <c r="C3185" s="0" t="n">
        <v>7604</v>
      </c>
      <c r="E3185" s="0" t="n">
        <v>0</v>
      </c>
      <c r="F3185" s="46" t="s">
        <v>1518</v>
      </c>
      <c r="I3185" s="46" t="s">
        <v>179</v>
      </c>
      <c r="U3185" s="0" t="n">
        <v>192</v>
      </c>
      <c r="V3185" s="0" t="n">
        <v>0</v>
      </c>
      <c r="X3185" s="46" t="n">
        <f aca="false">IF(I3185="Male",0,1)</f>
        <v>1</v>
      </c>
      <c r="Y3185" s="46" t="n">
        <f aca="false">IF(OR(I3185="DNB",I3185="Dry DNB"),1,0)</f>
        <v>0</v>
      </c>
      <c r="Z3185" s="0" t="str">
        <f aca="false">IF(ISNUMBER(W3185),A3185-W3185,"")</f>
        <v/>
      </c>
      <c r="AA3185" s="46" t="n">
        <f aca="false">MATCH(A3185,DATAS,0)</f>
        <v>1</v>
      </c>
      <c r="AB3185" s="46" t="n">
        <f aca="false">IF(AND(E3185&gt;0,OR(AND(B3185&gt;=1,B3185&lt;=6),B3185=10)),1,0)</f>
        <v>0</v>
      </c>
      <c r="AC3185" s="46" t="n">
        <f aca="false">IF(AND(E3185&gt;0,B3185=10),1,0)</f>
        <v>0</v>
      </c>
      <c r="AD3185" s="0" t="str">
        <f aca="false">IF(AND(C3184=C3185,AA3184=AA3185-1),AB3184,"")</f>
        <v/>
      </c>
      <c r="AE3185" s="0" t="str">
        <f aca="false">IF(AND(C3184=C3185,AA3184=AA3185-1),AC3184,"")</f>
        <v/>
      </c>
      <c r="AF3185" s="0" t="str">
        <f aca="false">IF(AA3185=1,"",IF(AND(AB3185=1,AD3185&lt;&gt;1),1,0))</f>
        <v/>
      </c>
      <c r="AG3185" s="0" t="str">
        <f aca="false">IF(AA3185=1,"",IF(AND(AC3185=1,AE3185&lt;&gt;1),1,0))</f>
        <v/>
      </c>
      <c r="AH3185" s="51" t="str">
        <f aca="false">IF(AND(E3185&gt;0,AA3185&lt;1,NOT(AND(C3186=C3185,AA3186=AA3185+1))),INDEX(DATAS,AA3185+1),"")</f>
        <v/>
      </c>
      <c r="AI3185" s="51" t="str">
        <f aca="false">IF(AND(AC3185=1,AA3185&lt;1),IF(AND(C3186=C3185,AA3186=AA3185+1),IF(AC3186=1,"",INDEX(DATAS,AA3185+1)),INDEX(DATAS,AA3185+1)),"")</f>
        <v/>
      </c>
    </row>
    <row r="3186" customFormat="false" ht="15" hidden="false" customHeight="false" outlineLevel="0" collapsed="false">
      <c r="A3186" s="51" t="n">
        <v>46309</v>
      </c>
      <c r="B3186" s="0" t="n">
        <v>13</v>
      </c>
      <c r="C3186" s="0" t="n">
        <v>7605</v>
      </c>
      <c r="E3186" s="0" t="n">
        <v>0</v>
      </c>
      <c r="F3186" s="46" t="s">
        <v>1518</v>
      </c>
      <c r="I3186" s="46" t="s">
        <v>179</v>
      </c>
      <c r="U3186" s="0" t="n">
        <v>192</v>
      </c>
      <c r="V3186" s="0" t="n">
        <v>0</v>
      </c>
      <c r="X3186" s="46" t="n">
        <f aca="false">IF(I3186="Male",0,1)</f>
        <v>1</v>
      </c>
      <c r="Y3186" s="46" t="n">
        <f aca="false">IF(OR(I3186="DNB",I3186="Dry DNB"),1,0)</f>
        <v>0</v>
      </c>
      <c r="Z3186" s="0" t="str">
        <f aca="false">IF(ISNUMBER(W3186),A3186-W3186,"")</f>
        <v/>
      </c>
      <c r="AA3186" s="46" t="n">
        <f aca="false">MATCH(A3186,DATAS,0)</f>
        <v>1</v>
      </c>
      <c r="AB3186" s="46" t="n">
        <f aca="false">IF(AND(E3186&gt;0,OR(AND(B3186&gt;=1,B3186&lt;=6),B3186=10)),1,0)</f>
        <v>0</v>
      </c>
      <c r="AC3186" s="46" t="n">
        <f aca="false">IF(AND(E3186&gt;0,B3186=10),1,0)</f>
        <v>0</v>
      </c>
      <c r="AD3186" s="0" t="str">
        <f aca="false">IF(AND(C3185=C3186,AA3185=AA3186-1),AB3185,"")</f>
        <v/>
      </c>
      <c r="AE3186" s="0" t="str">
        <f aca="false">IF(AND(C3185=C3186,AA3185=AA3186-1),AC3185,"")</f>
        <v/>
      </c>
      <c r="AF3186" s="0" t="str">
        <f aca="false">IF(AA3186=1,"",IF(AND(AB3186=1,AD3186&lt;&gt;1),1,0))</f>
        <v/>
      </c>
      <c r="AG3186" s="0" t="str">
        <f aca="false">IF(AA3186=1,"",IF(AND(AC3186=1,AE3186&lt;&gt;1),1,0))</f>
        <v/>
      </c>
      <c r="AH3186" s="51" t="str">
        <f aca="false">IF(AND(E3186&gt;0,AA3186&lt;1,NOT(AND(C3187=C3186,AA3187=AA3186+1))),INDEX(DATAS,AA3186+1),"")</f>
        <v/>
      </c>
      <c r="AI3186" s="51" t="str">
        <f aca="false">IF(AND(AC3186=1,AA3186&lt;1),IF(AND(C3187=C3186,AA3187=AA3186+1),IF(AC3187=1,"",INDEX(DATAS,AA3186+1)),INDEX(DATAS,AA3186+1)),"")</f>
        <v/>
      </c>
    </row>
    <row r="3187" customFormat="false" ht="15" hidden="false" customHeight="false" outlineLevel="0" collapsed="false">
      <c r="A3187" s="51" t="n">
        <v>46309</v>
      </c>
      <c r="B3187" s="0" t="n">
        <v>13</v>
      </c>
      <c r="C3187" s="0" t="n">
        <v>7606</v>
      </c>
      <c r="E3187" s="0" t="n">
        <v>0</v>
      </c>
      <c r="F3187" s="46" t="s">
        <v>1518</v>
      </c>
      <c r="I3187" s="46" t="s">
        <v>179</v>
      </c>
      <c r="U3187" s="0" t="n">
        <v>192</v>
      </c>
      <c r="V3187" s="0" t="n">
        <v>0</v>
      </c>
      <c r="X3187" s="46" t="n">
        <f aca="false">IF(I3187="Male",0,1)</f>
        <v>1</v>
      </c>
      <c r="Y3187" s="46" t="n">
        <f aca="false">IF(OR(I3187="DNB",I3187="Dry DNB"),1,0)</f>
        <v>0</v>
      </c>
      <c r="Z3187" s="0" t="str">
        <f aca="false">IF(ISNUMBER(W3187),A3187-W3187,"")</f>
        <v/>
      </c>
      <c r="AA3187" s="46" t="n">
        <f aca="false">MATCH(A3187,DATAS,0)</f>
        <v>1</v>
      </c>
      <c r="AB3187" s="46" t="n">
        <f aca="false">IF(AND(E3187&gt;0,OR(AND(B3187&gt;=1,B3187&lt;=6),B3187=10)),1,0)</f>
        <v>0</v>
      </c>
      <c r="AC3187" s="46" t="n">
        <f aca="false">IF(AND(E3187&gt;0,B3187=10),1,0)</f>
        <v>0</v>
      </c>
      <c r="AD3187" s="0" t="str">
        <f aca="false">IF(AND(C3186=C3187,AA3186=AA3187-1),AB3186,"")</f>
        <v/>
      </c>
      <c r="AE3187" s="0" t="str">
        <f aca="false">IF(AND(C3186=C3187,AA3186=AA3187-1),AC3186,"")</f>
        <v/>
      </c>
      <c r="AF3187" s="0" t="str">
        <f aca="false">IF(AA3187=1,"",IF(AND(AB3187=1,AD3187&lt;&gt;1),1,0))</f>
        <v/>
      </c>
      <c r="AG3187" s="0" t="str">
        <f aca="false">IF(AA3187=1,"",IF(AND(AC3187=1,AE3187&lt;&gt;1),1,0))</f>
        <v/>
      </c>
      <c r="AH3187" s="51" t="str">
        <f aca="false">IF(AND(E3187&gt;0,AA3187&lt;1,NOT(AND(C3188=C3187,AA3188=AA3187+1))),INDEX(DATAS,AA3187+1),"")</f>
        <v/>
      </c>
      <c r="AI3187" s="51" t="str">
        <f aca="false">IF(AND(AC3187=1,AA3187&lt;1),IF(AND(C3188=C3187,AA3188=AA3187+1),IF(AC3188=1,"",INDEX(DATAS,AA3187+1)),INDEX(DATAS,AA3187+1)),"")</f>
        <v/>
      </c>
    </row>
    <row r="3188" customFormat="false" ht="15" hidden="false" customHeight="false" outlineLevel="0" collapsed="false">
      <c r="A3188" s="51" t="n">
        <v>46309</v>
      </c>
      <c r="B3188" s="0" t="n">
        <v>13</v>
      </c>
      <c r="C3188" s="0" t="n">
        <v>7607</v>
      </c>
      <c r="E3188" s="0" t="n">
        <v>0</v>
      </c>
      <c r="F3188" s="46" t="s">
        <v>1518</v>
      </c>
      <c r="I3188" s="46" t="s">
        <v>179</v>
      </c>
      <c r="U3188" s="0" t="n">
        <v>192</v>
      </c>
      <c r="V3188" s="0" t="n">
        <v>0</v>
      </c>
      <c r="X3188" s="46" t="n">
        <f aca="false">IF(I3188="Male",0,1)</f>
        <v>1</v>
      </c>
      <c r="Y3188" s="46" t="n">
        <f aca="false">IF(OR(I3188="DNB",I3188="Dry DNB"),1,0)</f>
        <v>0</v>
      </c>
      <c r="Z3188" s="0" t="str">
        <f aca="false">IF(ISNUMBER(W3188),A3188-W3188,"")</f>
        <v/>
      </c>
      <c r="AA3188" s="46" t="n">
        <f aca="false">MATCH(A3188,DATAS,0)</f>
        <v>1</v>
      </c>
      <c r="AB3188" s="46" t="n">
        <f aca="false">IF(AND(E3188&gt;0,OR(AND(B3188&gt;=1,B3188&lt;=6),B3188=10)),1,0)</f>
        <v>0</v>
      </c>
      <c r="AC3188" s="46" t="n">
        <f aca="false">IF(AND(E3188&gt;0,B3188=10),1,0)</f>
        <v>0</v>
      </c>
      <c r="AD3188" s="0" t="str">
        <f aca="false">IF(AND(C3187=C3188,AA3187=AA3188-1),AB3187,"")</f>
        <v/>
      </c>
      <c r="AE3188" s="0" t="str">
        <f aca="false">IF(AND(C3187=C3188,AA3187=AA3188-1),AC3187,"")</f>
        <v/>
      </c>
      <c r="AF3188" s="0" t="str">
        <f aca="false">IF(AA3188=1,"",IF(AND(AB3188=1,AD3188&lt;&gt;1),1,0))</f>
        <v/>
      </c>
      <c r="AG3188" s="0" t="str">
        <f aca="false">IF(AA3188=1,"",IF(AND(AC3188=1,AE3188&lt;&gt;1),1,0))</f>
        <v/>
      </c>
      <c r="AH3188" s="51" t="str">
        <f aca="false">IF(AND(E3188&gt;0,AA3188&lt;1,NOT(AND(C3189=C3188,AA3189=AA3188+1))),INDEX(DATAS,AA3188+1),"")</f>
        <v/>
      </c>
      <c r="AI3188" s="51" t="str">
        <f aca="false">IF(AND(AC3188=1,AA3188&lt;1),IF(AND(C3189=C3188,AA3189=AA3188+1),IF(AC3189=1,"",INDEX(DATAS,AA3188+1)),INDEX(DATAS,AA3188+1)),"")</f>
        <v/>
      </c>
    </row>
    <row r="3189" customFormat="false" ht="15" hidden="false" customHeight="false" outlineLevel="0" collapsed="false">
      <c r="A3189" s="51" t="n">
        <v>46309</v>
      </c>
      <c r="B3189" s="0" t="n">
        <v>13</v>
      </c>
      <c r="C3189" s="0" t="n">
        <v>7608</v>
      </c>
      <c r="E3189" s="0" t="n">
        <v>0</v>
      </c>
      <c r="F3189" s="46" t="s">
        <v>1519</v>
      </c>
      <c r="I3189" s="46" t="s">
        <v>179</v>
      </c>
      <c r="U3189" s="0" t="n">
        <v>191</v>
      </c>
      <c r="V3189" s="0" t="n">
        <v>0</v>
      </c>
      <c r="X3189" s="46" t="n">
        <f aca="false">IF(I3189="Male",0,1)</f>
        <v>1</v>
      </c>
      <c r="Y3189" s="46" t="n">
        <f aca="false">IF(OR(I3189="DNB",I3189="Dry DNB"),1,0)</f>
        <v>0</v>
      </c>
      <c r="Z3189" s="0" t="str">
        <f aca="false">IF(ISNUMBER(W3189),A3189-W3189,"")</f>
        <v/>
      </c>
      <c r="AA3189" s="46" t="n">
        <f aca="false">MATCH(A3189,DATAS,0)</f>
        <v>1</v>
      </c>
      <c r="AB3189" s="46" t="n">
        <f aca="false">IF(AND(E3189&gt;0,OR(AND(B3189&gt;=1,B3189&lt;=6),B3189=10)),1,0)</f>
        <v>0</v>
      </c>
      <c r="AC3189" s="46" t="n">
        <f aca="false">IF(AND(E3189&gt;0,B3189=10),1,0)</f>
        <v>0</v>
      </c>
      <c r="AD3189" s="0" t="str">
        <f aca="false">IF(AND(C3188=C3189,AA3188=AA3189-1),AB3188,"")</f>
        <v/>
      </c>
      <c r="AE3189" s="0" t="str">
        <f aca="false">IF(AND(C3188=C3189,AA3188=AA3189-1),AC3188,"")</f>
        <v/>
      </c>
      <c r="AF3189" s="0" t="str">
        <f aca="false">IF(AA3189=1,"",IF(AND(AB3189=1,AD3189&lt;&gt;1),1,0))</f>
        <v/>
      </c>
      <c r="AG3189" s="0" t="str">
        <f aca="false">IF(AA3189=1,"",IF(AND(AC3189=1,AE3189&lt;&gt;1),1,0))</f>
        <v/>
      </c>
      <c r="AH3189" s="51" t="str">
        <f aca="false">IF(AND(E3189&gt;0,AA3189&lt;1,NOT(AND(C3190=C3189,AA3190=AA3189+1))),INDEX(DATAS,AA3189+1),"")</f>
        <v/>
      </c>
      <c r="AI3189" s="51" t="str">
        <f aca="false">IF(AND(AC3189=1,AA3189&lt;1),IF(AND(C3190=C3189,AA3190=AA3189+1),IF(AC3190=1,"",INDEX(DATAS,AA3189+1)),INDEX(DATAS,AA3189+1)),"")</f>
        <v/>
      </c>
    </row>
    <row r="3190" customFormat="false" ht="15" hidden="false" customHeight="false" outlineLevel="0" collapsed="false">
      <c r="A3190" s="51" t="n">
        <v>46309</v>
      </c>
      <c r="B3190" s="0" t="n">
        <v>13</v>
      </c>
      <c r="C3190" s="0" t="n">
        <v>7609</v>
      </c>
      <c r="E3190" s="0" t="n">
        <v>0</v>
      </c>
      <c r="F3190" s="46" t="s">
        <v>1519</v>
      </c>
      <c r="I3190" s="46" t="s">
        <v>179</v>
      </c>
      <c r="U3190" s="0" t="n">
        <v>191</v>
      </c>
      <c r="V3190" s="0" t="n">
        <v>0</v>
      </c>
      <c r="X3190" s="46" t="n">
        <f aca="false">IF(I3190="Male",0,1)</f>
        <v>1</v>
      </c>
      <c r="Y3190" s="46" t="n">
        <f aca="false">IF(OR(I3190="DNB",I3190="Dry DNB"),1,0)</f>
        <v>0</v>
      </c>
      <c r="Z3190" s="0" t="str">
        <f aca="false">IF(ISNUMBER(W3190),A3190-W3190,"")</f>
        <v/>
      </c>
      <c r="AA3190" s="46" t="n">
        <f aca="false">MATCH(A3190,DATAS,0)</f>
        <v>1</v>
      </c>
      <c r="AB3190" s="46" t="n">
        <f aca="false">IF(AND(E3190&gt;0,OR(AND(B3190&gt;=1,B3190&lt;=6),B3190=10)),1,0)</f>
        <v>0</v>
      </c>
      <c r="AC3190" s="46" t="n">
        <f aca="false">IF(AND(E3190&gt;0,B3190=10),1,0)</f>
        <v>0</v>
      </c>
      <c r="AD3190" s="0" t="str">
        <f aca="false">IF(AND(C3189=C3190,AA3189=AA3190-1),AB3189,"")</f>
        <v/>
      </c>
      <c r="AE3190" s="0" t="str">
        <f aca="false">IF(AND(C3189=C3190,AA3189=AA3190-1),AC3189,"")</f>
        <v/>
      </c>
      <c r="AF3190" s="0" t="str">
        <f aca="false">IF(AA3190=1,"",IF(AND(AB3190=1,AD3190&lt;&gt;1),1,0))</f>
        <v/>
      </c>
      <c r="AG3190" s="0" t="str">
        <f aca="false">IF(AA3190=1,"",IF(AND(AC3190=1,AE3190&lt;&gt;1),1,0))</f>
        <v/>
      </c>
      <c r="AH3190" s="51" t="str">
        <f aca="false">IF(AND(E3190&gt;0,AA3190&lt;1,NOT(AND(C3191=C3190,AA3191=AA3190+1))),INDEX(DATAS,AA3190+1),"")</f>
        <v/>
      </c>
      <c r="AI3190" s="51" t="str">
        <f aca="false">IF(AND(AC3190=1,AA3190&lt;1),IF(AND(C3191=C3190,AA3191=AA3190+1),IF(AC3191=1,"",INDEX(DATAS,AA3190+1)),INDEX(DATAS,AA3190+1)),"")</f>
        <v/>
      </c>
    </row>
    <row r="3191" customFormat="false" ht="15" hidden="false" customHeight="false" outlineLevel="0" collapsed="false">
      <c r="A3191" s="51" t="n">
        <v>46309</v>
      </c>
      <c r="B3191" s="0" t="n">
        <v>13</v>
      </c>
      <c r="C3191" s="0" t="n">
        <v>7610</v>
      </c>
      <c r="E3191" s="0" t="n">
        <v>0</v>
      </c>
      <c r="F3191" s="46" t="s">
        <v>1519</v>
      </c>
      <c r="I3191" s="46" t="s">
        <v>179</v>
      </c>
      <c r="U3191" s="0" t="n">
        <v>191</v>
      </c>
      <c r="V3191" s="0" t="n">
        <v>0</v>
      </c>
      <c r="X3191" s="46" t="n">
        <f aca="false">IF(I3191="Male",0,1)</f>
        <v>1</v>
      </c>
      <c r="Y3191" s="46" t="n">
        <f aca="false">IF(OR(I3191="DNB",I3191="Dry DNB"),1,0)</f>
        <v>0</v>
      </c>
      <c r="Z3191" s="0" t="str">
        <f aca="false">IF(ISNUMBER(W3191),A3191-W3191,"")</f>
        <v/>
      </c>
      <c r="AA3191" s="46" t="n">
        <f aca="false">MATCH(A3191,DATAS,0)</f>
        <v>1</v>
      </c>
      <c r="AB3191" s="46" t="n">
        <f aca="false">IF(AND(E3191&gt;0,OR(AND(B3191&gt;=1,B3191&lt;=6),B3191=10)),1,0)</f>
        <v>0</v>
      </c>
      <c r="AC3191" s="46" t="n">
        <f aca="false">IF(AND(E3191&gt;0,B3191=10),1,0)</f>
        <v>0</v>
      </c>
      <c r="AD3191" s="0" t="str">
        <f aca="false">IF(AND(C3190=C3191,AA3190=AA3191-1),AB3190,"")</f>
        <v/>
      </c>
      <c r="AE3191" s="0" t="str">
        <f aca="false">IF(AND(C3190=C3191,AA3190=AA3191-1),AC3190,"")</f>
        <v/>
      </c>
      <c r="AF3191" s="0" t="str">
        <f aca="false">IF(AA3191=1,"",IF(AND(AB3191=1,AD3191&lt;&gt;1),1,0))</f>
        <v/>
      </c>
      <c r="AG3191" s="0" t="str">
        <f aca="false">IF(AA3191=1,"",IF(AND(AC3191=1,AE3191&lt;&gt;1),1,0))</f>
        <v/>
      </c>
      <c r="AH3191" s="51" t="str">
        <f aca="false">IF(AND(E3191&gt;0,AA3191&lt;1,NOT(AND(C3192=C3191,AA3192=AA3191+1))),INDEX(DATAS,AA3191+1),"")</f>
        <v/>
      </c>
      <c r="AI3191" s="51" t="str">
        <f aca="false">IF(AND(AC3191=1,AA3191&lt;1),IF(AND(C3192=C3191,AA3192=AA3191+1),IF(AC3192=1,"",INDEX(DATAS,AA3191+1)),INDEX(DATAS,AA3191+1)),"")</f>
        <v/>
      </c>
    </row>
    <row r="3192" customFormat="false" ht="15" hidden="false" customHeight="false" outlineLevel="0" collapsed="false">
      <c r="A3192" s="51" t="n">
        <v>46309</v>
      </c>
      <c r="B3192" s="0" t="n">
        <v>13</v>
      </c>
      <c r="C3192" s="0" t="n">
        <v>7612</v>
      </c>
      <c r="E3192" s="0" t="n">
        <v>0</v>
      </c>
      <c r="F3192" s="46" t="s">
        <v>1520</v>
      </c>
      <c r="I3192" s="46" t="s">
        <v>179</v>
      </c>
      <c r="U3192" s="0" t="n">
        <v>190</v>
      </c>
      <c r="V3192" s="0" t="n">
        <v>0</v>
      </c>
      <c r="X3192" s="46" t="n">
        <f aca="false">IF(I3192="Male",0,1)</f>
        <v>1</v>
      </c>
      <c r="Y3192" s="46" t="n">
        <f aca="false">IF(OR(I3192="DNB",I3192="Dry DNB"),1,0)</f>
        <v>0</v>
      </c>
      <c r="Z3192" s="0" t="str">
        <f aca="false">IF(ISNUMBER(W3192),A3192-W3192,"")</f>
        <v/>
      </c>
      <c r="AA3192" s="46" t="n">
        <f aca="false">MATCH(A3192,DATAS,0)</f>
        <v>1</v>
      </c>
      <c r="AB3192" s="46" t="n">
        <f aca="false">IF(AND(E3192&gt;0,OR(AND(B3192&gt;=1,B3192&lt;=6),B3192=10)),1,0)</f>
        <v>0</v>
      </c>
      <c r="AC3192" s="46" t="n">
        <f aca="false">IF(AND(E3192&gt;0,B3192=10),1,0)</f>
        <v>0</v>
      </c>
      <c r="AD3192" s="0" t="str">
        <f aca="false">IF(AND(C3191=C3192,AA3191=AA3192-1),AB3191,"")</f>
        <v/>
      </c>
      <c r="AE3192" s="0" t="str">
        <f aca="false">IF(AND(C3191=C3192,AA3191=AA3192-1),AC3191,"")</f>
        <v/>
      </c>
      <c r="AF3192" s="0" t="str">
        <f aca="false">IF(AA3192=1,"",IF(AND(AB3192=1,AD3192&lt;&gt;1),1,0))</f>
        <v/>
      </c>
      <c r="AG3192" s="0" t="str">
        <f aca="false">IF(AA3192=1,"",IF(AND(AC3192=1,AE3192&lt;&gt;1),1,0))</f>
        <v/>
      </c>
      <c r="AH3192" s="51" t="str">
        <f aca="false">IF(AND(E3192&gt;0,AA3192&lt;1,NOT(AND(C3193=C3192,AA3193=AA3192+1))),INDEX(DATAS,AA3192+1),"")</f>
        <v/>
      </c>
      <c r="AI3192" s="51" t="str">
        <f aca="false">IF(AND(AC3192=1,AA3192&lt;1),IF(AND(C3193=C3192,AA3193=AA3192+1),IF(AC3193=1,"",INDEX(DATAS,AA3192+1)),INDEX(DATAS,AA3192+1)),"")</f>
        <v/>
      </c>
    </row>
    <row r="3193" customFormat="false" ht="15" hidden="false" customHeight="false" outlineLevel="0" collapsed="false">
      <c r="A3193" s="51" t="n">
        <v>46309</v>
      </c>
      <c r="B3193" s="0" t="n">
        <v>13</v>
      </c>
      <c r="C3193" s="0" t="n">
        <v>7613</v>
      </c>
      <c r="E3193" s="0" t="n">
        <v>0</v>
      </c>
      <c r="F3193" s="46" t="s">
        <v>1521</v>
      </c>
      <c r="I3193" s="46" t="s">
        <v>179</v>
      </c>
      <c r="U3193" s="0" t="n">
        <v>189</v>
      </c>
      <c r="V3193" s="0" t="n">
        <v>0</v>
      </c>
      <c r="X3193" s="46" t="n">
        <f aca="false">IF(I3193="Male",0,1)</f>
        <v>1</v>
      </c>
      <c r="Y3193" s="46" t="n">
        <f aca="false">IF(OR(I3193="DNB",I3193="Dry DNB"),1,0)</f>
        <v>0</v>
      </c>
      <c r="Z3193" s="0" t="str">
        <f aca="false">IF(ISNUMBER(W3193),A3193-W3193,"")</f>
        <v/>
      </c>
      <c r="AA3193" s="46" t="n">
        <f aca="false">MATCH(A3193,DATAS,0)</f>
        <v>1</v>
      </c>
      <c r="AB3193" s="46" t="n">
        <f aca="false">IF(AND(E3193&gt;0,OR(AND(B3193&gt;=1,B3193&lt;=6),B3193=10)),1,0)</f>
        <v>0</v>
      </c>
      <c r="AC3193" s="46" t="n">
        <f aca="false">IF(AND(E3193&gt;0,B3193=10),1,0)</f>
        <v>0</v>
      </c>
      <c r="AD3193" s="0" t="str">
        <f aca="false">IF(AND(C3192=C3193,AA3192=AA3193-1),AB3192,"")</f>
        <v/>
      </c>
      <c r="AE3193" s="0" t="str">
        <f aca="false">IF(AND(C3192=C3193,AA3192=AA3193-1),AC3192,"")</f>
        <v/>
      </c>
      <c r="AF3193" s="0" t="str">
        <f aca="false">IF(AA3193=1,"",IF(AND(AB3193=1,AD3193&lt;&gt;1),1,0))</f>
        <v/>
      </c>
      <c r="AG3193" s="0" t="str">
        <f aca="false">IF(AA3193=1,"",IF(AND(AC3193=1,AE3193&lt;&gt;1),1,0))</f>
        <v/>
      </c>
      <c r="AH3193" s="51" t="str">
        <f aca="false">IF(AND(E3193&gt;0,AA3193&lt;1,NOT(AND(C3194=C3193,AA3194=AA3193+1))),INDEX(DATAS,AA3193+1),"")</f>
        <v/>
      </c>
      <c r="AI3193" s="51" t="str">
        <f aca="false">IF(AND(AC3193=1,AA3193&lt;1),IF(AND(C3194=C3193,AA3194=AA3193+1),IF(AC3194=1,"",INDEX(DATAS,AA3193+1)),INDEX(DATAS,AA3193+1)),"")</f>
        <v/>
      </c>
    </row>
    <row r="3194" customFormat="false" ht="15" hidden="false" customHeight="false" outlineLevel="0" collapsed="false">
      <c r="A3194" s="51" t="n">
        <v>46309</v>
      </c>
      <c r="B3194" s="0" t="n">
        <v>13</v>
      </c>
      <c r="C3194" s="0" t="n">
        <v>7614</v>
      </c>
      <c r="E3194" s="0" t="n">
        <v>0</v>
      </c>
      <c r="F3194" s="46" t="s">
        <v>1521</v>
      </c>
      <c r="I3194" s="46" t="s">
        <v>179</v>
      </c>
      <c r="U3194" s="0" t="n">
        <v>189</v>
      </c>
      <c r="V3194" s="0" t="n">
        <v>0</v>
      </c>
      <c r="X3194" s="46" t="n">
        <f aca="false">IF(I3194="Male",0,1)</f>
        <v>1</v>
      </c>
      <c r="Y3194" s="46" t="n">
        <f aca="false">IF(OR(I3194="DNB",I3194="Dry DNB"),1,0)</f>
        <v>0</v>
      </c>
      <c r="Z3194" s="0" t="str">
        <f aca="false">IF(ISNUMBER(W3194),A3194-W3194,"")</f>
        <v/>
      </c>
      <c r="AA3194" s="46" t="n">
        <f aca="false">MATCH(A3194,DATAS,0)</f>
        <v>1</v>
      </c>
      <c r="AB3194" s="46" t="n">
        <f aca="false">IF(AND(E3194&gt;0,OR(AND(B3194&gt;=1,B3194&lt;=6),B3194=10)),1,0)</f>
        <v>0</v>
      </c>
      <c r="AC3194" s="46" t="n">
        <f aca="false">IF(AND(E3194&gt;0,B3194=10),1,0)</f>
        <v>0</v>
      </c>
      <c r="AD3194" s="0" t="str">
        <f aca="false">IF(AND(C3193=C3194,AA3193=AA3194-1),AB3193,"")</f>
        <v/>
      </c>
      <c r="AE3194" s="0" t="str">
        <f aca="false">IF(AND(C3193=C3194,AA3193=AA3194-1),AC3193,"")</f>
        <v/>
      </c>
      <c r="AF3194" s="0" t="str">
        <f aca="false">IF(AA3194=1,"",IF(AND(AB3194=1,AD3194&lt;&gt;1),1,0))</f>
        <v/>
      </c>
      <c r="AG3194" s="0" t="str">
        <f aca="false">IF(AA3194=1,"",IF(AND(AC3194=1,AE3194&lt;&gt;1),1,0))</f>
        <v/>
      </c>
      <c r="AH3194" s="51" t="str">
        <f aca="false">IF(AND(E3194&gt;0,AA3194&lt;1,NOT(AND(C3195=C3194,AA3195=AA3194+1))),INDEX(DATAS,AA3194+1),"")</f>
        <v/>
      </c>
      <c r="AI3194" s="51" t="str">
        <f aca="false">IF(AND(AC3194=1,AA3194&lt;1),IF(AND(C3195=C3194,AA3195=AA3194+1),IF(AC3195=1,"",INDEX(DATAS,AA3194+1)),INDEX(DATAS,AA3194+1)),"")</f>
        <v/>
      </c>
    </row>
    <row r="3195" customFormat="false" ht="15" hidden="false" customHeight="false" outlineLevel="0" collapsed="false">
      <c r="A3195" s="51" t="n">
        <v>46309</v>
      </c>
      <c r="B3195" s="0" t="n">
        <v>13</v>
      </c>
      <c r="C3195" s="0" t="n">
        <v>7615</v>
      </c>
      <c r="E3195" s="0" t="n">
        <v>0</v>
      </c>
      <c r="F3195" s="46" t="s">
        <v>1522</v>
      </c>
      <c r="I3195" s="46" t="s">
        <v>179</v>
      </c>
      <c r="U3195" s="0" t="n">
        <v>188</v>
      </c>
      <c r="V3195" s="0" t="n">
        <v>0</v>
      </c>
      <c r="X3195" s="46" t="n">
        <f aca="false">IF(I3195="Male",0,1)</f>
        <v>1</v>
      </c>
      <c r="Y3195" s="46" t="n">
        <f aca="false">IF(OR(I3195="DNB",I3195="Dry DNB"),1,0)</f>
        <v>0</v>
      </c>
      <c r="Z3195" s="0" t="str">
        <f aca="false">IF(ISNUMBER(W3195),A3195-W3195,"")</f>
        <v/>
      </c>
      <c r="AA3195" s="46" t="n">
        <f aca="false">MATCH(A3195,DATAS,0)</f>
        <v>1</v>
      </c>
      <c r="AB3195" s="46" t="n">
        <f aca="false">IF(AND(E3195&gt;0,OR(AND(B3195&gt;=1,B3195&lt;=6),B3195=10)),1,0)</f>
        <v>0</v>
      </c>
      <c r="AC3195" s="46" t="n">
        <f aca="false">IF(AND(E3195&gt;0,B3195=10),1,0)</f>
        <v>0</v>
      </c>
      <c r="AD3195" s="0" t="str">
        <f aca="false">IF(AND(C3194=C3195,AA3194=AA3195-1),AB3194,"")</f>
        <v/>
      </c>
      <c r="AE3195" s="0" t="str">
        <f aca="false">IF(AND(C3194=C3195,AA3194=AA3195-1),AC3194,"")</f>
        <v/>
      </c>
      <c r="AF3195" s="0" t="str">
        <f aca="false">IF(AA3195=1,"",IF(AND(AB3195=1,AD3195&lt;&gt;1),1,0))</f>
        <v/>
      </c>
      <c r="AG3195" s="0" t="str">
        <f aca="false">IF(AA3195=1,"",IF(AND(AC3195=1,AE3195&lt;&gt;1),1,0))</f>
        <v/>
      </c>
      <c r="AH3195" s="51" t="str">
        <f aca="false">IF(AND(E3195&gt;0,AA3195&lt;1,NOT(AND(C3196=C3195,AA3196=AA3195+1))),INDEX(DATAS,AA3195+1),"")</f>
        <v/>
      </c>
      <c r="AI3195" s="51" t="str">
        <f aca="false">IF(AND(AC3195=1,AA3195&lt;1),IF(AND(C3196=C3195,AA3196=AA3195+1),IF(AC3196=1,"",INDEX(DATAS,AA3195+1)),INDEX(DATAS,AA3195+1)),"")</f>
        <v/>
      </c>
    </row>
    <row r="3196" customFormat="false" ht="15" hidden="false" customHeight="false" outlineLevel="0" collapsed="false">
      <c r="A3196" s="51" t="n">
        <v>46309</v>
      </c>
      <c r="B3196" s="0" t="n">
        <v>13</v>
      </c>
      <c r="C3196" s="0" t="n">
        <v>7616</v>
      </c>
      <c r="E3196" s="0" t="n">
        <v>0</v>
      </c>
      <c r="F3196" s="46" t="s">
        <v>1522</v>
      </c>
      <c r="I3196" s="46" t="s">
        <v>179</v>
      </c>
      <c r="U3196" s="0" t="n">
        <v>188</v>
      </c>
      <c r="V3196" s="0" t="n">
        <v>0</v>
      </c>
      <c r="X3196" s="46" t="n">
        <f aca="false">IF(I3196="Male",0,1)</f>
        <v>1</v>
      </c>
      <c r="Y3196" s="46" t="n">
        <f aca="false">IF(OR(I3196="DNB",I3196="Dry DNB"),1,0)</f>
        <v>0</v>
      </c>
      <c r="Z3196" s="0" t="str">
        <f aca="false">IF(ISNUMBER(W3196),A3196-W3196,"")</f>
        <v/>
      </c>
      <c r="AA3196" s="46" t="n">
        <f aca="false">MATCH(A3196,DATAS,0)</f>
        <v>1</v>
      </c>
      <c r="AB3196" s="46" t="n">
        <f aca="false">IF(AND(E3196&gt;0,OR(AND(B3196&gt;=1,B3196&lt;=6),B3196=10)),1,0)</f>
        <v>0</v>
      </c>
      <c r="AC3196" s="46" t="n">
        <f aca="false">IF(AND(E3196&gt;0,B3196=10),1,0)</f>
        <v>0</v>
      </c>
      <c r="AD3196" s="0" t="str">
        <f aca="false">IF(AND(C3195=C3196,AA3195=AA3196-1),AB3195,"")</f>
        <v/>
      </c>
      <c r="AE3196" s="0" t="str">
        <f aca="false">IF(AND(C3195=C3196,AA3195=AA3196-1),AC3195,"")</f>
        <v/>
      </c>
      <c r="AF3196" s="0" t="str">
        <f aca="false">IF(AA3196=1,"",IF(AND(AB3196=1,AD3196&lt;&gt;1),1,0))</f>
        <v/>
      </c>
      <c r="AG3196" s="0" t="str">
        <f aca="false">IF(AA3196=1,"",IF(AND(AC3196=1,AE3196&lt;&gt;1),1,0))</f>
        <v/>
      </c>
      <c r="AH3196" s="51" t="str">
        <f aca="false">IF(AND(E3196&gt;0,AA3196&lt;1,NOT(AND(C3197=C3196,AA3197=AA3196+1))),INDEX(DATAS,AA3196+1),"")</f>
        <v/>
      </c>
      <c r="AI3196" s="51" t="str">
        <f aca="false">IF(AND(AC3196=1,AA3196&lt;1),IF(AND(C3197=C3196,AA3197=AA3196+1),IF(AC3197=1,"",INDEX(DATAS,AA3196+1)),INDEX(DATAS,AA3196+1)),"")</f>
        <v/>
      </c>
    </row>
    <row r="3197" customFormat="false" ht="15" hidden="false" customHeight="false" outlineLevel="0" collapsed="false">
      <c r="A3197" s="51" t="n">
        <v>46309</v>
      </c>
      <c r="B3197" s="0" t="n">
        <v>13</v>
      </c>
      <c r="C3197" s="0" t="n">
        <v>7617</v>
      </c>
      <c r="E3197" s="0" t="n">
        <v>0</v>
      </c>
      <c r="F3197" s="46" t="s">
        <v>1522</v>
      </c>
      <c r="I3197" s="46" t="s">
        <v>179</v>
      </c>
      <c r="U3197" s="0" t="n">
        <v>188</v>
      </c>
      <c r="V3197" s="0" t="n">
        <v>0</v>
      </c>
      <c r="X3197" s="46" t="n">
        <f aca="false">IF(I3197="Male",0,1)</f>
        <v>1</v>
      </c>
      <c r="Y3197" s="46" t="n">
        <f aca="false">IF(OR(I3197="DNB",I3197="Dry DNB"),1,0)</f>
        <v>0</v>
      </c>
      <c r="Z3197" s="0" t="str">
        <f aca="false">IF(ISNUMBER(W3197),A3197-W3197,"")</f>
        <v/>
      </c>
      <c r="AA3197" s="46" t="n">
        <f aca="false">MATCH(A3197,DATAS,0)</f>
        <v>1</v>
      </c>
      <c r="AB3197" s="46" t="n">
        <f aca="false">IF(AND(E3197&gt;0,OR(AND(B3197&gt;=1,B3197&lt;=6),B3197=10)),1,0)</f>
        <v>0</v>
      </c>
      <c r="AC3197" s="46" t="n">
        <f aca="false">IF(AND(E3197&gt;0,B3197=10),1,0)</f>
        <v>0</v>
      </c>
      <c r="AD3197" s="0" t="str">
        <f aca="false">IF(AND(C3196=C3197,AA3196=AA3197-1),AB3196,"")</f>
        <v/>
      </c>
      <c r="AE3197" s="0" t="str">
        <f aca="false">IF(AND(C3196=C3197,AA3196=AA3197-1),AC3196,"")</f>
        <v/>
      </c>
      <c r="AF3197" s="0" t="str">
        <f aca="false">IF(AA3197=1,"",IF(AND(AB3197=1,AD3197&lt;&gt;1),1,0))</f>
        <v/>
      </c>
      <c r="AG3197" s="0" t="str">
        <f aca="false">IF(AA3197=1,"",IF(AND(AC3197=1,AE3197&lt;&gt;1),1,0))</f>
        <v/>
      </c>
      <c r="AH3197" s="51" t="str">
        <f aca="false">IF(AND(E3197&gt;0,AA3197&lt;1,NOT(AND(C3198=C3197,AA3198=AA3197+1))),INDEX(DATAS,AA3197+1),"")</f>
        <v/>
      </c>
      <c r="AI3197" s="51" t="str">
        <f aca="false">IF(AND(AC3197=1,AA3197&lt;1),IF(AND(C3198=C3197,AA3198=AA3197+1),IF(AC3198=1,"",INDEX(DATAS,AA3197+1)),INDEX(DATAS,AA3197+1)),"")</f>
        <v/>
      </c>
    </row>
    <row r="3198" customFormat="false" ht="15" hidden="false" customHeight="false" outlineLevel="0" collapsed="false">
      <c r="A3198" s="51" t="n">
        <v>46309</v>
      </c>
      <c r="B3198" s="0" t="n">
        <v>13</v>
      </c>
      <c r="C3198" s="0" t="n">
        <v>7618</v>
      </c>
      <c r="E3198" s="0" t="n">
        <v>0</v>
      </c>
      <c r="F3198" s="46" t="s">
        <v>1522</v>
      </c>
      <c r="I3198" s="46" t="s">
        <v>179</v>
      </c>
      <c r="U3198" s="0" t="n">
        <v>188</v>
      </c>
      <c r="V3198" s="0" t="n">
        <v>0</v>
      </c>
      <c r="X3198" s="46" t="n">
        <f aca="false">IF(I3198="Male",0,1)</f>
        <v>1</v>
      </c>
      <c r="Y3198" s="46" t="n">
        <f aca="false">IF(OR(I3198="DNB",I3198="Dry DNB"),1,0)</f>
        <v>0</v>
      </c>
      <c r="Z3198" s="0" t="str">
        <f aca="false">IF(ISNUMBER(W3198),A3198-W3198,"")</f>
        <v/>
      </c>
      <c r="AA3198" s="46" t="n">
        <f aca="false">MATCH(A3198,DATAS,0)</f>
        <v>1</v>
      </c>
      <c r="AB3198" s="46" t="n">
        <f aca="false">IF(AND(E3198&gt;0,OR(AND(B3198&gt;=1,B3198&lt;=6),B3198=10)),1,0)</f>
        <v>0</v>
      </c>
      <c r="AC3198" s="46" t="n">
        <f aca="false">IF(AND(E3198&gt;0,B3198=10),1,0)</f>
        <v>0</v>
      </c>
      <c r="AD3198" s="0" t="str">
        <f aca="false">IF(AND(C3197=C3198,AA3197=AA3198-1),AB3197,"")</f>
        <v/>
      </c>
      <c r="AE3198" s="0" t="str">
        <f aca="false">IF(AND(C3197=C3198,AA3197=AA3198-1),AC3197,"")</f>
        <v/>
      </c>
      <c r="AF3198" s="0" t="str">
        <f aca="false">IF(AA3198=1,"",IF(AND(AB3198=1,AD3198&lt;&gt;1),1,0))</f>
        <v/>
      </c>
      <c r="AG3198" s="0" t="str">
        <f aca="false">IF(AA3198=1,"",IF(AND(AC3198=1,AE3198&lt;&gt;1),1,0))</f>
        <v/>
      </c>
      <c r="AH3198" s="51" t="str">
        <f aca="false">IF(AND(E3198&gt;0,AA3198&lt;1,NOT(AND(C3199=C3198,AA3199=AA3198+1))),INDEX(DATAS,AA3198+1),"")</f>
        <v/>
      </c>
      <c r="AI3198" s="51" t="str">
        <f aca="false">IF(AND(AC3198=1,AA3198&lt;1),IF(AND(C3199=C3198,AA3199=AA3198+1),IF(AC3199=1,"",INDEX(DATAS,AA3198+1)),INDEX(DATAS,AA3198+1)),"")</f>
        <v/>
      </c>
    </row>
    <row r="3199" customFormat="false" ht="15" hidden="false" customHeight="false" outlineLevel="0" collapsed="false">
      <c r="A3199" s="51" t="n">
        <v>46309</v>
      </c>
      <c r="B3199" s="0" t="n">
        <v>13</v>
      </c>
      <c r="C3199" s="0" t="n">
        <v>7620</v>
      </c>
      <c r="E3199" s="0" t="n">
        <v>0</v>
      </c>
      <c r="F3199" s="46" t="s">
        <v>1523</v>
      </c>
      <c r="I3199" s="46" t="s">
        <v>179</v>
      </c>
      <c r="U3199" s="0" t="n">
        <v>187</v>
      </c>
      <c r="V3199" s="0" t="n">
        <v>0</v>
      </c>
      <c r="X3199" s="46" t="n">
        <f aca="false">IF(I3199="Male",0,1)</f>
        <v>1</v>
      </c>
      <c r="Y3199" s="46" t="n">
        <f aca="false">IF(OR(I3199="DNB",I3199="Dry DNB"),1,0)</f>
        <v>0</v>
      </c>
      <c r="Z3199" s="0" t="str">
        <f aca="false">IF(ISNUMBER(W3199),A3199-W3199,"")</f>
        <v/>
      </c>
      <c r="AA3199" s="46" t="n">
        <f aca="false">MATCH(A3199,DATAS,0)</f>
        <v>1</v>
      </c>
      <c r="AB3199" s="46" t="n">
        <f aca="false">IF(AND(E3199&gt;0,OR(AND(B3199&gt;=1,B3199&lt;=6),B3199=10)),1,0)</f>
        <v>0</v>
      </c>
      <c r="AC3199" s="46" t="n">
        <f aca="false">IF(AND(E3199&gt;0,B3199=10),1,0)</f>
        <v>0</v>
      </c>
      <c r="AD3199" s="0" t="str">
        <f aca="false">IF(AND(C3198=C3199,AA3198=AA3199-1),AB3198,"")</f>
        <v/>
      </c>
      <c r="AE3199" s="0" t="str">
        <f aca="false">IF(AND(C3198=C3199,AA3198=AA3199-1),AC3198,"")</f>
        <v/>
      </c>
      <c r="AF3199" s="0" t="str">
        <f aca="false">IF(AA3199=1,"",IF(AND(AB3199=1,AD3199&lt;&gt;1),1,0))</f>
        <v/>
      </c>
      <c r="AG3199" s="0" t="str">
        <f aca="false">IF(AA3199=1,"",IF(AND(AC3199=1,AE3199&lt;&gt;1),1,0))</f>
        <v/>
      </c>
      <c r="AH3199" s="51" t="str">
        <f aca="false">IF(AND(E3199&gt;0,AA3199&lt;1,NOT(AND(C3200=C3199,AA3200=AA3199+1))),INDEX(DATAS,AA3199+1),"")</f>
        <v/>
      </c>
      <c r="AI3199" s="51" t="str">
        <f aca="false">IF(AND(AC3199=1,AA3199&lt;1),IF(AND(C3200=C3199,AA3200=AA3199+1),IF(AC3200=1,"",INDEX(DATAS,AA3199+1)),INDEX(DATAS,AA3199+1)),"")</f>
        <v/>
      </c>
    </row>
    <row r="3200" customFormat="false" ht="15" hidden="false" customHeight="false" outlineLevel="0" collapsed="false">
      <c r="A3200" s="51" t="n">
        <v>46309</v>
      </c>
      <c r="B3200" s="0" t="n">
        <v>13</v>
      </c>
      <c r="C3200" s="0" t="n">
        <v>7621</v>
      </c>
      <c r="E3200" s="0" t="n">
        <v>0</v>
      </c>
      <c r="F3200" s="46" t="s">
        <v>1523</v>
      </c>
      <c r="I3200" s="46" t="s">
        <v>179</v>
      </c>
      <c r="U3200" s="0" t="n">
        <v>187</v>
      </c>
      <c r="V3200" s="0" t="n">
        <v>0</v>
      </c>
      <c r="X3200" s="46" t="n">
        <f aca="false">IF(I3200="Male",0,1)</f>
        <v>1</v>
      </c>
      <c r="Y3200" s="46" t="n">
        <f aca="false">IF(OR(I3200="DNB",I3200="Dry DNB"),1,0)</f>
        <v>0</v>
      </c>
      <c r="Z3200" s="0" t="str">
        <f aca="false">IF(ISNUMBER(W3200),A3200-W3200,"")</f>
        <v/>
      </c>
      <c r="AA3200" s="46" t="n">
        <f aca="false">MATCH(A3200,DATAS,0)</f>
        <v>1</v>
      </c>
      <c r="AB3200" s="46" t="n">
        <f aca="false">IF(AND(E3200&gt;0,OR(AND(B3200&gt;=1,B3200&lt;=6),B3200=10)),1,0)</f>
        <v>0</v>
      </c>
      <c r="AC3200" s="46" t="n">
        <f aca="false">IF(AND(E3200&gt;0,B3200=10),1,0)</f>
        <v>0</v>
      </c>
      <c r="AD3200" s="0" t="str">
        <f aca="false">IF(AND(C3199=C3200,AA3199=AA3200-1),AB3199,"")</f>
        <v/>
      </c>
      <c r="AE3200" s="0" t="str">
        <f aca="false">IF(AND(C3199=C3200,AA3199=AA3200-1),AC3199,"")</f>
        <v/>
      </c>
      <c r="AF3200" s="0" t="str">
        <f aca="false">IF(AA3200=1,"",IF(AND(AB3200=1,AD3200&lt;&gt;1),1,0))</f>
        <v/>
      </c>
      <c r="AG3200" s="0" t="str">
        <f aca="false">IF(AA3200=1,"",IF(AND(AC3200=1,AE3200&lt;&gt;1),1,0))</f>
        <v/>
      </c>
      <c r="AH3200" s="51" t="str">
        <f aca="false">IF(AND(E3200&gt;0,AA3200&lt;1,NOT(AND(C3201=C3200,AA3201=AA3200+1))),INDEX(DATAS,AA3200+1),"")</f>
        <v/>
      </c>
      <c r="AI3200" s="51" t="str">
        <f aca="false">IF(AND(AC3200=1,AA3200&lt;1),IF(AND(C3201=C3200,AA3201=AA3200+1),IF(AC3201=1,"",INDEX(DATAS,AA3200+1)),INDEX(DATAS,AA3200+1)),"")</f>
        <v/>
      </c>
    </row>
    <row r="3201" customFormat="false" ht="15" hidden="false" customHeight="false" outlineLevel="0" collapsed="false">
      <c r="A3201" s="51" t="n">
        <v>46309</v>
      </c>
      <c r="B3201" s="0" t="n">
        <v>13</v>
      </c>
      <c r="C3201" s="0" t="n">
        <v>7622</v>
      </c>
      <c r="E3201" s="0" t="n">
        <v>0</v>
      </c>
      <c r="F3201" s="46" t="s">
        <v>1523</v>
      </c>
      <c r="I3201" s="46" t="s">
        <v>179</v>
      </c>
      <c r="U3201" s="0" t="n">
        <v>187</v>
      </c>
      <c r="V3201" s="0" t="n">
        <v>0</v>
      </c>
      <c r="X3201" s="46" t="n">
        <f aca="false">IF(I3201="Male",0,1)</f>
        <v>1</v>
      </c>
      <c r="Y3201" s="46" t="n">
        <f aca="false">IF(OR(I3201="DNB",I3201="Dry DNB"),1,0)</f>
        <v>0</v>
      </c>
      <c r="Z3201" s="0" t="str">
        <f aca="false">IF(ISNUMBER(W3201),A3201-W3201,"")</f>
        <v/>
      </c>
      <c r="AA3201" s="46" t="n">
        <f aca="false">MATCH(A3201,DATAS,0)</f>
        <v>1</v>
      </c>
      <c r="AB3201" s="46" t="n">
        <f aca="false">IF(AND(E3201&gt;0,OR(AND(B3201&gt;=1,B3201&lt;=6),B3201=10)),1,0)</f>
        <v>0</v>
      </c>
      <c r="AC3201" s="46" t="n">
        <f aca="false">IF(AND(E3201&gt;0,B3201=10),1,0)</f>
        <v>0</v>
      </c>
      <c r="AD3201" s="0" t="str">
        <f aca="false">IF(AND(C3200=C3201,AA3200=AA3201-1),AB3200,"")</f>
        <v/>
      </c>
      <c r="AE3201" s="0" t="str">
        <f aca="false">IF(AND(C3200=C3201,AA3200=AA3201-1),AC3200,"")</f>
        <v/>
      </c>
      <c r="AF3201" s="0" t="str">
        <f aca="false">IF(AA3201=1,"",IF(AND(AB3201=1,AD3201&lt;&gt;1),1,0))</f>
        <v/>
      </c>
      <c r="AG3201" s="0" t="str">
        <f aca="false">IF(AA3201=1,"",IF(AND(AC3201=1,AE3201&lt;&gt;1),1,0))</f>
        <v/>
      </c>
      <c r="AH3201" s="51" t="str">
        <f aca="false">IF(AND(E3201&gt;0,AA3201&lt;1,NOT(AND(C3202=C3201,AA3202=AA3201+1))),INDEX(DATAS,AA3201+1),"")</f>
        <v/>
      </c>
      <c r="AI3201" s="51" t="str">
        <f aca="false">IF(AND(AC3201=1,AA3201&lt;1),IF(AND(C3202=C3201,AA3202=AA3201+1),IF(AC3202=1,"",INDEX(DATAS,AA3201+1)),INDEX(DATAS,AA3201+1)),"")</f>
        <v/>
      </c>
    </row>
    <row r="3202" customFormat="false" ht="15" hidden="false" customHeight="false" outlineLevel="0" collapsed="false">
      <c r="A3202" s="51" t="n">
        <v>46309</v>
      </c>
      <c r="B3202" s="0" t="n">
        <v>13</v>
      </c>
      <c r="C3202" s="0" t="n">
        <v>7623</v>
      </c>
      <c r="E3202" s="0" t="n">
        <v>0</v>
      </c>
      <c r="F3202" s="46" t="s">
        <v>1523</v>
      </c>
      <c r="I3202" s="46" t="s">
        <v>179</v>
      </c>
      <c r="U3202" s="0" t="n">
        <v>187</v>
      </c>
      <c r="V3202" s="0" t="n">
        <v>0</v>
      </c>
      <c r="X3202" s="46" t="n">
        <f aca="false">IF(I3202="Male",0,1)</f>
        <v>1</v>
      </c>
      <c r="Y3202" s="46" t="n">
        <f aca="false">IF(OR(I3202="DNB",I3202="Dry DNB"),1,0)</f>
        <v>0</v>
      </c>
      <c r="Z3202" s="0" t="str">
        <f aca="false">IF(ISNUMBER(W3202),A3202-W3202,"")</f>
        <v/>
      </c>
      <c r="AA3202" s="46" t="n">
        <f aca="false">MATCH(A3202,DATAS,0)</f>
        <v>1</v>
      </c>
      <c r="AB3202" s="46" t="n">
        <f aca="false">IF(AND(E3202&gt;0,OR(AND(B3202&gt;=1,B3202&lt;=6),B3202=10)),1,0)</f>
        <v>0</v>
      </c>
      <c r="AC3202" s="46" t="n">
        <f aca="false">IF(AND(E3202&gt;0,B3202=10),1,0)</f>
        <v>0</v>
      </c>
      <c r="AD3202" s="0" t="str">
        <f aca="false">IF(AND(C3201=C3202,AA3201=AA3202-1),AB3201,"")</f>
        <v/>
      </c>
      <c r="AE3202" s="0" t="str">
        <f aca="false">IF(AND(C3201=C3202,AA3201=AA3202-1),AC3201,"")</f>
        <v/>
      </c>
      <c r="AF3202" s="0" t="str">
        <f aca="false">IF(AA3202=1,"",IF(AND(AB3202=1,AD3202&lt;&gt;1),1,0))</f>
        <v/>
      </c>
      <c r="AG3202" s="0" t="str">
        <f aca="false">IF(AA3202=1,"",IF(AND(AC3202=1,AE3202&lt;&gt;1),1,0))</f>
        <v/>
      </c>
      <c r="AH3202" s="51" t="str">
        <f aca="false">IF(AND(E3202&gt;0,AA3202&lt;1,NOT(AND(C3203=C3202,AA3203=AA3202+1))),INDEX(DATAS,AA3202+1),"")</f>
        <v/>
      </c>
      <c r="AI3202" s="51" t="str">
        <f aca="false">IF(AND(AC3202=1,AA3202&lt;1),IF(AND(C3203=C3202,AA3203=AA3202+1),IF(AC3203=1,"",INDEX(DATAS,AA3202+1)),INDEX(DATAS,AA3202+1)),"")</f>
        <v/>
      </c>
    </row>
    <row r="3203" customFormat="false" ht="15" hidden="false" customHeight="false" outlineLevel="0" collapsed="false">
      <c r="A3203" s="51" t="n">
        <v>46309</v>
      </c>
      <c r="B3203" s="0" t="n">
        <v>13</v>
      </c>
      <c r="C3203" s="0" t="n">
        <v>7624</v>
      </c>
      <c r="E3203" s="0" t="n">
        <v>0</v>
      </c>
      <c r="F3203" s="46" t="s">
        <v>1523</v>
      </c>
      <c r="I3203" s="46" t="s">
        <v>179</v>
      </c>
      <c r="U3203" s="0" t="n">
        <v>187</v>
      </c>
      <c r="V3203" s="0" t="n">
        <v>0</v>
      </c>
      <c r="X3203" s="46" t="n">
        <f aca="false">IF(I3203="Male",0,1)</f>
        <v>1</v>
      </c>
      <c r="Y3203" s="46" t="n">
        <f aca="false">IF(OR(I3203="DNB",I3203="Dry DNB"),1,0)</f>
        <v>0</v>
      </c>
      <c r="Z3203" s="0" t="str">
        <f aca="false">IF(ISNUMBER(W3203),A3203-W3203,"")</f>
        <v/>
      </c>
      <c r="AA3203" s="46" t="n">
        <f aca="false">MATCH(A3203,DATAS,0)</f>
        <v>1</v>
      </c>
      <c r="AB3203" s="46" t="n">
        <f aca="false">IF(AND(E3203&gt;0,OR(AND(B3203&gt;=1,B3203&lt;=6),B3203=10)),1,0)</f>
        <v>0</v>
      </c>
      <c r="AC3203" s="46" t="n">
        <f aca="false">IF(AND(E3203&gt;0,B3203=10),1,0)</f>
        <v>0</v>
      </c>
      <c r="AD3203" s="0" t="str">
        <f aca="false">IF(AND(C3202=C3203,AA3202=AA3203-1),AB3202,"")</f>
        <v/>
      </c>
      <c r="AE3203" s="0" t="str">
        <f aca="false">IF(AND(C3202=C3203,AA3202=AA3203-1),AC3202,"")</f>
        <v/>
      </c>
      <c r="AF3203" s="0" t="str">
        <f aca="false">IF(AA3203=1,"",IF(AND(AB3203=1,AD3203&lt;&gt;1),1,0))</f>
        <v/>
      </c>
      <c r="AG3203" s="0" t="str">
        <f aca="false">IF(AA3203=1,"",IF(AND(AC3203=1,AE3203&lt;&gt;1),1,0))</f>
        <v/>
      </c>
      <c r="AH3203" s="51" t="str">
        <f aca="false">IF(AND(E3203&gt;0,AA3203&lt;1,NOT(AND(C3204=C3203,AA3204=AA3203+1))),INDEX(DATAS,AA3203+1),"")</f>
        <v/>
      </c>
      <c r="AI3203" s="51" t="str">
        <f aca="false">IF(AND(AC3203=1,AA3203&lt;1),IF(AND(C3204=C3203,AA3204=AA3203+1),IF(AC3204=1,"",INDEX(DATAS,AA3203+1)),INDEX(DATAS,AA3203+1)),"")</f>
        <v/>
      </c>
    </row>
    <row r="3204" customFormat="false" ht="15" hidden="false" customHeight="false" outlineLevel="0" collapsed="false">
      <c r="A3204" s="51" t="n">
        <v>46309</v>
      </c>
      <c r="B3204" s="0" t="n">
        <v>13</v>
      </c>
      <c r="C3204" s="0" t="n">
        <v>7625</v>
      </c>
      <c r="E3204" s="0" t="n">
        <v>0</v>
      </c>
      <c r="F3204" s="46" t="s">
        <v>1524</v>
      </c>
      <c r="I3204" s="46" t="s">
        <v>179</v>
      </c>
      <c r="U3204" s="0" t="n">
        <v>186</v>
      </c>
      <c r="V3204" s="0" t="n">
        <v>0</v>
      </c>
      <c r="X3204" s="46" t="n">
        <f aca="false">IF(I3204="Male",0,1)</f>
        <v>1</v>
      </c>
      <c r="Y3204" s="46" t="n">
        <f aca="false">IF(OR(I3204="DNB",I3204="Dry DNB"),1,0)</f>
        <v>0</v>
      </c>
      <c r="Z3204" s="0" t="str">
        <f aca="false">IF(ISNUMBER(W3204),A3204-W3204,"")</f>
        <v/>
      </c>
      <c r="AA3204" s="46" t="n">
        <f aca="false">MATCH(A3204,DATAS,0)</f>
        <v>1</v>
      </c>
      <c r="AB3204" s="46" t="n">
        <f aca="false">IF(AND(E3204&gt;0,OR(AND(B3204&gt;=1,B3204&lt;=6),B3204=10)),1,0)</f>
        <v>0</v>
      </c>
      <c r="AC3204" s="46" t="n">
        <f aca="false">IF(AND(E3204&gt;0,B3204=10),1,0)</f>
        <v>0</v>
      </c>
      <c r="AD3204" s="0" t="str">
        <f aca="false">IF(AND(C3203=C3204,AA3203=AA3204-1),AB3203,"")</f>
        <v/>
      </c>
      <c r="AE3204" s="0" t="str">
        <f aca="false">IF(AND(C3203=C3204,AA3203=AA3204-1),AC3203,"")</f>
        <v/>
      </c>
      <c r="AF3204" s="0" t="str">
        <f aca="false">IF(AA3204=1,"",IF(AND(AB3204=1,AD3204&lt;&gt;1),1,0))</f>
        <v/>
      </c>
      <c r="AG3204" s="0" t="str">
        <f aca="false">IF(AA3204=1,"",IF(AND(AC3204=1,AE3204&lt;&gt;1),1,0))</f>
        <v/>
      </c>
      <c r="AH3204" s="51" t="str">
        <f aca="false">IF(AND(E3204&gt;0,AA3204&lt;1,NOT(AND(C3205=C3204,AA3205=AA3204+1))),INDEX(DATAS,AA3204+1),"")</f>
        <v/>
      </c>
      <c r="AI3204" s="51" t="str">
        <f aca="false">IF(AND(AC3204=1,AA3204&lt;1),IF(AND(C3205=C3204,AA3205=AA3204+1),IF(AC3205=1,"",INDEX(DATAS,AA3204+1)),INDEX(DATAS,AA3204+1)),"")</f>
        <v/>
      </c>
    </row>
    <row r="3205" customFormat="false" ht="15" hidden="false" customHeight="false" outlineLevel="0" collapsed="false">
      <c r="A3205" s="51" t="n">
        <v>46309</v>
      </c>
      <c r="B3205" s="0" t="n">
        <v>13</v>
      </c>
      <c r="C3205" s="0" t="n">
        <v>7626</v>
      </c>
      <c r="E3205" s="0" t="n">
        <v>0</v>
      </c>
      <c r="F3205" s="46" t="s">
        <v>1524</v>
      </c>
      <c r="I3205" s="46" t="s">
        <v>179</v>
      </c>
      <c r="U3205" s="0" t="n">
        <v>186</v>
      </c>
      <c r="V3205" s="0" t="n">
        <v>0</v>
      </c>
      <c r="X3205" s="46" t="n">
        <f aca="false">IF(I3205="Male",0,1)</f>
        <v>1</v>
      </c>
      <c r="Y3205" s="46" t="n">
        <f aca="false">IF(OR(I3205="DNB",I3205="Dry DNB"),1,0)</f>
        <v>0</v>
      </c>
      <c r="Z3205" s="0" t="str">
        <f aca="false">IF(ISNUMBER(W3205),A3205-W3205,"")</f>
        <v/>
      </c>
      <c r="AA3205" s="46" t="n">
        <f aca="false">MATCH(A3205,DATAS,0)</f>
        <v>1</v>
      </c>
      <c r="AB3205" s="46" t="n">
        <f aca="false">IF(AND(E3205&gt;0,OR(AND(B3205&gt;=1,B3205&lt;=6),B3205=10)),1,0)</f>
        <v>0</v>
      </c>
      <c r="AC3205" s="46" t="n">
        <f aca="false">IF(AND(E3205&gt;0,B3205=10),1,0)</f>
        <v>0</v>
      </c>
      <c r="AD3205" s="0" t="str">
        <f aca="false">IF(AND(C3204=C3205,AA3204=AA3205-1),AB3204,"")</f>
        <v/>
      </c>
      <c r="AE3205" s="0" t="str">
        <f aca="false">IF(AND(C3204=C3205,AA3204=AA3205-1),AC3204,"")</f>
        <v/>
      </c>
      <c r="AF3205" s="0" t="str">
        <f aca="false">IF(AA3205=1,"",IF(AND(AB3205=1,AD3205&lt;&gt;1),1,0))</f>
        <v/>
      </c>
      <c r="AG3205" s="0" t="str">
        <f aca="false">IF(AA3205=1,"",IF(AND(AC3205=1,AE3205&lt;&gt;1),1,0))</f>
        <v/>
      </c>
      <c r="AH3205" s="51" t="str">
        <f aca="false">IF(AND(E3205&gt;0,AA3205&lt;1,NOT(AND(C3206=C3205,AA3206=AA3205+1))),INDEX(DATAS,AA3205+1),"")</f>
        <v/>
      </c>
      <c r="AI3205" s="51" t="str">
        <f aca="false">IF(AND(AC3205=1,AA3205&lt;1),IF(AND(C3206=C3205,AA3206=AA3205+1),IF(AC3206=1,"",INDEX(DATAS,AA3205+1)),INDEX(DATAS,AA3205+1)),"")</f>
        <v/>
      </c>
    </row>
    <row r="3206" customFormat="false" ht="15" hidden="false" customHeight="false" outlineLevel="0" collapsed="false">
      <c r="A3206" s="51" t="n">
        <v>46309</v>
      </c>
      <c r="B3206" s="0" t="n">
        <v>13</v>
      </c>
      <c r="C3206" s="0" t="n">
        <v>7628</v>
      </c>
      <c r="E3206" s="0" t="n">
        <v>0</v>
      </c>
      <c r="F3206" s="46" t="s">
        <v>1524</v>
      </c>
      <c r="I3206" s="46" t="s">
        <v>179</v>
      </c>
      <c r="U3206" s="0" t="n">
        <v>186</v>
      </c>
      <c r="V3206" s="0" t="n">
        <v>0</v>
      </c>
      <c r="X3206" s="46" t="n">
        <f aca="false">IF(I3206="Male",0,1)</f>
        <v>1</v>
      </c>
      <c r="Y3206" s="46" t="n">
        <f aca="false">IF(OR(I3206="DNB",I3206="Dry DNB"),1,0)</f>
        <v>0</v>
      </c>
      <c r="Z3206" s="0" t="str">
        <f aca="false">IF(ISNUMBER(W3206),A3206-W3206,"")</f>
        <v/>
      </c>
      <c r="AA3206" s="46" t="n">
        <f aca="false">MATCH(A3206,DATAS,0)</f>
        <v>1</v>
      </c>
      <c r="AB3206" s="46" t="n">
        <f aca="false">IF(AND(E3206&gt;0,OR(AND(B3206&gt;=1,B3206&lt;=6),B3206=10)),1,0)</f>
        <v>0</v>
      </c>
      <c r="AC3206" s="46" t="n">
        <f aca="false">IF(AND(E3206&gt;0,B3206=10),1,0)</f>
        <v>0</v>
      </c>
      <c r="AD3206" s="0" t="str">
        <f aca="false">IF(AND(C3205=C3206,AA3205=AA3206-1),AB3205,"")</f>
        <v/>
      </c>
      <c r="AE3206" s="0" t="str">
        <f aca="false">IF(AND(C3205=C3206,AA3205=AA3206-1),AC3205,"")</f>
        <v/>
      </c>
      <c r="AF3206" s="0" t="str">
        <f aca="false">IF(AA3206=1,"",IF(AND(AB3206=1,AD3206&lt;&gt;1),1,0))</f>
        <v/>
      </c>
      <c r="AG3206" s="0" t="str">
        <f aca="false">IF(AA3206=1,"",IF(AND(AC3206=1,AE3206&lt;&gt;1),1,0))</f>
        <v/>
      </c>
      <c r="AH3206" s="51" t="str">
        <f aca="false">IF(AND(E3206&gt;0,AA3206&lt;1,NOT(AND(C3207=C3206,AA3207=AA3206+1))),INDEX(DATAS,AA3206+1),"")</f>
        <v/>
      </c>
      <c r="AI3206" s="51" t="str">
        <f aca="false">IF(AND(AC3206=1,AA3206&lt;1),IF(AND(C3207=C3206,AA3207=AA3206+1),IF(AC3207=1,"",INDEX(DATAS,AA3206+1)),INDEX(DATAS,AA3206+1)),"")</f>
        <v/>
      </c>
    </row>
    <row r="3207" customFormat="false" ht="15" hidden="false" customHeight="false" outlineLevel="0" collapsed="false">
      <c r="A3207" s="51" t="n">
        <v>46309</v>
      </c>
      <c r="B3207" s="0" t="n">
        <v>13</v>
      </c>
      <c r="C3207" s="0" t="n">
        <v>7629</v>
      </c>
      <c r="E3207" s="0" t="n">
        <v>0</v>
      </c>
      <c r="F3207" s="46" t="s">
        <v>1525</v>
      </c>
      <c r="I3207" s="46" t="s">
        <v>179</v>
      </c>
      <c r="U3207" s="0" t="n">
        <v>185</v>
      </c>
      <c r="V3207" s="0" t="n">
        <v>0</v>
      </c>
      <c r="X3207" s="46" t="n">
        <f aca="false">IF(I3207="Male",0,1)</f>
        <v>1</v>
      </c>
      <c r="Y3207" s="46" t="n">
        <f aca="false">IF(OR(I3207="DNB",I3207="Dry DNB"),1,0)</f>
        <v>0</v>
      </c>
      <c r="Z3207" s="0" t="str">
        <f aca="false">IF(ISNUMBER(W3207),A3207-W3207,"")</f>
        <v/>
      </c>
      <c r="AA3207" s="46" t="n">
        <f aca="false">MATCH(A3207,DATAS,0)</f>
        <v>1</v>
      </c>
      <c r="AB3207" s="46" t="n">
        <f aca="false">IF(AND(E3207&gt;0,OR(AND(B3207&gt;=1,B3207&lt;=6),B3207=10)),1,0)</f>
        <v>0</v>
      </c>
      <c r="AC3207" s="46" t="n">
        <f aca="false">IF(AND(E3207&gt;0,B3207=10),1,0)</f>
        <v>0</v>
      </c>
      <c r="AD3207" s="0" t="str">
        <f aca="false">IF(AND(C3206=C3207,AA3206=AA3207-1),AB3206,"")</f>
        <v/>
      </c>
      <c r="AE3207" s="0" t="str">
        <f aca="false">IF(AND(C3206=C3207,AA3206=AA3207-1),AC3206,"")</f>
        <v/>
      </c>
      <c r="AF3207" s="0" t="str">
        <f aca="false">IF(AA3207=1,"",IF(AND(AB3207=1,AD3207&lt;&gt;1),1,0))</f>
        <v/>
      </c>
      <c r="AG3207" s="0" t="str">
        <f aca="false">IF(AA3207=1,"",IF(AND(AC3207=1,AE3207&lt;&gt;1),1,0))</f>
        <v/>
      </c>
      <c r="AH3207" s="51" t="str">
        <f aca="false">IF(AND(E3207&gt;0,AA3207&lt;1,NOT(AND(C3208=C3207,AA3208=AA3207+1))),INDEX(DATAS,AA3207+1),"")</f>
        <v/>
      </c>
      <c r="AI3207" s="51" t="str">
        <f aca="false">IF(AND(AC3207=1,AA3207&lt;1),IF(AND(C3208=C3207,AA3208=AA3207+1),IF(AC3208=1,"",INDEX(DATAS,AA3207+1)),INDEX(DATAS,AA3207+1)),"")</f>
        <v/>
      </c>
    </row>
    <row r="3208" customFormat="false" ht="15" hidden="false" customHeight="false" outlineLevel="0" collapsed="false">
      <c r="A3208" s="51" t="n">
        <v>46309</v>
      </c>
      <c r="B3208" s="0" t="n">
        <v>13</v>
      </c>
      <c r="C3208" s="0" t="n">
        <v>7630</v>
      </c>
      <c r="E3208" s="0" t="n">
        <v>0</v>
      </c>
      <c r="F3208" s="46" t="s">
        <v>1525</v>
      </c>
      <c r="I3208" s="46" t="s">
        <v>179</v>
      </c>
      <c r="U3208" s="0" t="n">
        <v>185</v>
      </c>
      <c r="V3208" s="0" t="n">
        <v>0</v>
      </c>
      <c r="X3208" s="46" t="n">
        <f aca="false">IF(I3208="Male",0,1)</f>
        <v>1</v>
      </c>
      <c r="Y3208" s="46" t="n">
        <f aca="false">IF(OR(I3208="DNB",I3208="Dry DNB"),1,0)</f>
        <v>0</v>
      </c>
      <c r="Z3208" s="0" t="str">
        <f aca="false">IF(ISNUMBER(W3208),A3208-W3208,"")</f>
        <v/>
      </c>
      <c r="AA3208" s="46" t="n">
        <f aca="false">MATCH(A3208,DATAS,0)</f>
        <v>1</v>
      </c>
      <c r="AB3208" s="46" t="n">
        <f aca="false">IF(AND(E3208&gt;0,OR(AND(B3208&gt;=1,B3208&lt;=6),B3208=10)),1,0)</f>
        <v>0</v>
      </c>
      <c r="AC3208" s="46" t="n">
        <f aca="false">IF(AND(E3208&gt;0,B3208=10),1,0)</f>
        <v>0</v>
      </c>
      <c r="AD3208" s="0" t="str">
        <f aca="false">IF(AND(C3207=C3208,AA3207=AA3208-1),AB3207,"")</f>
        <v/>
      </c>
      <c r="AE3208" s="0" t="str">
        <f aca="false">IF(AND(C3207=C3208,AA3207=AA3208-1),AC3207,"")</f>
        <v/>
      </c>
      <c r="AF3208" s="0" t="str">
        <f aca="false">IF(AA3208=1,"",IF(AND(AB3208=1,AD3208&lt;&gt;1),1,0))</f>
        <v/>
      </c>
      <c r="AG3208" s="0" t="str">
        <f aca="false">IF(AA3208=1,"",IF(AND(AC3208=1,AE3208&lt;&gt;1),1,0))</f>
        <v/>
      </c>
      <c r="AH3208" s="51" t="str">
        <f aca="false">IF(AND(E3208&gt;0,AA3208&lt;1,NOT(AND(C3209=C3208,AA3209=AA3208+1))),INDEX(DATAS,AA3208+1),"")</f>
        <v/>
      </c>
      <c r="AI3208" s="51" t="str">
        <f aca="false">IF(AND(AC3208=1,AA3208&lt;1),IF(AND(C3209=C3208,AA3209=AA3208+1),IF(AC3209=1,"",INDEX(DATAS,AA3208+1)),INDEX(DATAS,AA3208+1)),"")</f>
        <v/>
      </c>
    </row>
    <row r="3209" customFormat="false" ht="15" hidden="false" customHeight="false" outlineLevel="0" collapsed="false">
      <c r="A3209" s="51" t="n">
        <v>46309</v>
      </c>
      <c r="B3209" s="0" t="n">
        <v>13</v>
      </c>
      <c r="C3209" s="0" t="n">
        <v>7631</v>
      </c>
      <c r="E3209" s="0" t="n">
        <v>0</v>
      </c>
      <c r="F3209" s="46" t="s">
        <v>1526</v>
      </c>
      <c r="I3209" s="46" t="s">
        <v>179</v>
      </c>
      <c r="U3209" s="0" t="n">
        <v>184</v>
      </c>
      <c r="V3209" s="0" t="n">
        <v>0</v>
      </c>
      <c r="X3209" s="46" t="n">
        <f aca="false">IF(I3209="Male",0,1)</f>
        <v>1</v>
      </c>
      <c r="Y3209" s="46" t="n">
        <f aca="false">IF(OR(I3209="DNB",I3209="Dry DNB"),1,0)</f>
        <v>0</v>
      </c>
      <c r="Z3209" s="0" t="str">
        <f aca="false">IF(ISNUMBER(W3209),A3209-W3209,"")</f>
        <v/>
      </c>
      <c r="AA3209" s="46" t="n">
        <f aca="false">MATCH(A3209,DATAS,0)</f>
        <v>1</v>
      </c>
      <c r="AB3209" s="46" t="n">
        <f aca="false">IF(AND(E3209&gt;0,OR(AND(B3209&gt;=1,B3209&lt;=6),B3209=10)),1,0)</f>
        <v>0</v>
      </c>
      <c r="AC3209" s="46" t="n">
        <f aca="false">IF(AND(E3209&gt;0,B3209=10),1,0)</f>
        <v>0</v>
      </c>
      <c r="AD3209" s="0" t="str">
        <f aca="false">IF(AND(C3208=C3209,AA3208=AA3209-1),AB3208,"")</f>
        <v/>
      </c>
      <c r="AE3209" s="0" t="str">
        <f aca="false">IF(AND(C3208=C3209,AA3208=AA3209-1),AC3208,"")</f>
        <v/>
      </c>
      <c r="AF3209" s="0" t="str">
        <f aca="false">IF(AA3209=1,"",IF(AND(AB3209=1,AD3209&lt;&gt;1),1,0))</f>
        <v/>
      </c>
      <c r="AG3209" s="0" t="str">
        <f aca="false">IF(AA3209=1,"",IF(AND(AC3209=1,AE3209&lt;&gt;1),1,0))</f>
        <v/>
      </c>
      <c r="AH3209" s="51" t="str">
        <f aca="false">IF(AND(E3209&gt;0,AA3209&lt;1,NOT(AND(C3210=C3209,AA3210=AA3209+1))),INDEX(DATAS,AA3209+1),"")</f>
        <v/>
      </c>
      <c r="AI3209" s="51" t="str">
        <f aca="false">IF(AND(AC3209=1,AA3209&lt;1),IF(AND(C3210=C3209,AA3210=AA3209+1),IF(AC3210=1,"",INDEX(DATAS,AA3209+1)),INDEX(DATAS,AA3209+1)),"")</f>
        <v/>
      </c>
    </row>
    <row r="3210" customFormat="false" ht="15" hidden="false" customHeight="false" outlineLevel="0" collapsed="false">
      <c r="A3210" s="51" t="n">
        <v>46309</v>
      </c>
      <c r="B3210" s="0" t="n">
        <v>13</v>
      </c>
      <c r="C3210" s="0" t="n">
        <v>7632</v>
      </c>
      <c r="E3210" s="0" t="n">
        <v>0</v>
      </c>
      <c r="F3210" s="46" t="s">
        <v>1526</v>
      </c>
      <c r="I3210" s="46" t="s">
        <v>179</v>
      </c>
      <c r="U3210" s="0" t="n">
        <v>184</v>
      </c>
      <c r="V3210" s="0" t="n">
        <v>0</v>
      </c>
      <c r="X3210" s="46" t="n">
        <f aca="false">IF(I3210="Male",0,1)</f>
        <v>1</v>
      </c>
      <c r="Y3210" s="46" t="n">
        <f aca="false">IF(OR(I3210="DNB",I3210="Dry DNB"),1,0)</f>
        <v>0</v>
      </c>
      <c r="Z3210" s="0" t="str">
        <f aca="false">IF(ISNUMBER(W3210),A3210-W3210,"")</f>
        <v/>
      </c>
      <c r="AA3210" s="46" t="n">
        <f aca="false">MATCH(A3210,DATAS,0)</f>
        <v>1</v>
      </c>
      <c r="AB3210" s="46" t="n">
        <f aca="false">IF(AND(E3210&gt;0,OR(AND(B3210&gt;=1,B3210&lt;=6),B3210=10)),1,0)</f>
        <v>0</v>
      </c>
      <c r="AC3210" s="46" t="n">
        <f aca="false">IF(AND(E3210&gt;0,B3210=10),1,0)</f>
        <v>0</v>
      </c>
      <c r="AD3210" s="0" t="str">
        <f aca="false">IF(AND(C3209=C3210,AA3209=AA3210-1),AB3209,"")</f>
        <v/>
      </c>
      <c r="AE3210" s="0" t="str">
        <f aca="false">IF(AND(C3209=C3210,AA3209=AA3210-1),AC3209,"")</f>
        <v/>
      </c>
      <c r="AF3210" s="0" t="str">
        <f aca="false">IF(AA3210=1,"",IF(AND(AB3210=1,AD3210&lt;&gt;1),1,0))</f>
        <v/>
      </c>
      <c r="AG3210" s="0" t="str">
        <f aca="false">IF(AA3210=1,"",IF(AND(AC3210=1,AE3210&lt;&gt;1),1,0))</f>
        <v/>
      </c>
      <c r="AH3210" s="51" t="str">
        <f aca="false">IF(AND(E3210&gt;0,AA3210&lt;1,NOT(AND(C3211=C3210,AA3211=AA3210+1))),INDEX(DATAS,AA3210+1),"")</f>
        <v/>
      </c>
      <c r="AI3210" s="51" t="str">
        <f aca="false">IF(AND(AC3210=1,AA3210&lt;1),IF(AND(C3211=C3210,AA3211=AA3210+1),IF(AC3211=1,"",INDEX(DATAS,AA3210+1)),INDEX(DATAS,AA3210+1)),"")</f>
        <v/>
      </c>
    </row>
    <row r="3211" customFormat="false" ht="15" hidden="false" customHeight="false" outlineLevel="0" collapsed="false">
      <c r="A3211" s="51" t="n">
        <v>46309</v>
      </c>
      <c r="B3211" s="0" t="n">
        <v>13</v>
      </c>
      <c r="C3211" s="0" t="n">
        <v>7633</v>
      </c>
      <c r="E3211" s="0" t="n">
        <v>0</v>
      </c>
      <c r="F3211" s="46" t="s">
        <v>1527</v>
      </c>
      <c r="I3211" s="46" t="s">
        <v>179</v>
      </c>
      <c r="U3211" s="0" t="n">
        <v>183</v>
      </c>
      <c r="V3211" s="0" t="n">
        <v>0</v>
      </c>
      <c r="X3211" s="46" t="n">
        <f aca="false">IF(I3211="Male",0,1)</f>
        <v>1</v>
      </c>
      <c r="Y3211" s="46" t="n">
        <f aca="false">IF(OR(I3211="DNB",I3211="Dry DNB"),1,0)</f>
        <v>0</v>
      </c>
      <c r="Z3211" s="0" t="str">
        <f aca="false">IF(ISNUMBER(W3211),A3211-W3211,"")</f>
        <v/>
      </c>
      <c r="AA3211" s="46" t="n">
        <f aca="false">MATCH(A3211,DATAS,0)</f>
        <v>1</v>
      </c>
      <c r="AB3211" s="46" t="n">
        <f aca="false">IF(AND(E3211&gt;0,OR(AND(B3211&gt;=1,B3211&lt;=6),B3211=10)),1,0)</f>
        <v>0</v>
      </c>
      <c r="AC3211" s="46" t="n">
        <f aca="false">IF(AND(E3211&gt;0,B3211=10),1,0)</f>
        <v>0</v>
      </c>
      <c r="AD3211" s="0" t="str">
        <f aca="false">IF(AND(C3210=C3211,AA3210=AA3211-1),AB3210,"")</f>
        <v/>
      </c>
      <c r="AE3211" s="0" t="str">
        <f aca="false">IF(AND(C3210=C3211,AA3210=AA3211-1),AC3210,"")</f>
        <v/>
      </c>
      <c r="AF3211" s="0" t="str">
        <f aca="false">IF(AA3211=1,"",IF(AND(AB3211=1,AD3211&lt;&gt;1),1,0))</f>
        <v/>
      </c>
      <c r="AG3211" s="0" t="str">
        <f aca="false">IF(AA3211=1,"",IF(AND(AC3211=1,AE3211&lt;&gt;1),1,0))</f>
        <v/>
      </c>
      <c r="AH3211" s="51" t="str">
        <f aca="false">IF(AND(E3211&gt;0,AA3211&lt;1,NOT(AND(C3212=C3211,AA3212=AA3211+1))),INDEX(DATAS,AA3211+1),"")</f>
        <v/>
      </c>
      <c r="AI3211" s="51" t="str">
        <f aca="false">IF(AND(AC3211=1,AA3211&lt;1),IF(AND(C3212=C3211,AA3212=AA3211+1),IF(AC3212=1,"",INDEX(DATAS,AA3211+1)),INDEX(DATAS,AA3211+1)),"")</f>
        <v/>
      </c>
    </row>
    <row r="3212" customFormat="false" ht="15" hidden="false" customHeight="false" outlineLevel="0" collapsed="false">
      <c r="A3212" s="51" t="n">
        <v>46309</v>
      </c>
      <c r="B3212" s="0" t="n">
        <v>13</v>
      </c>
      <c r="C3212" s="0" t="n">
        <v>7634</v>
      </c>
      <c r="E3212" s="0" t="n">
        <v>0</v>
      </c>
      <c r="F3212" s="46" t="s">
        <v>1528</v>
      </c>
      <c r="I3212" s="46" t="s">
        <v>179</v>
      </c>
      <c r="U3212" s="0" t="n">
        <v>182</v>
      </c>
      <c r="V3212" s="0" t="n">
        <v>0</v>
      </c>
      <c r="X3212" s="46" t="n">
        <f aca="false">IF(I3212="Male",0,1)</f>
        <v>1</v>
      </c>
      <c r="Y3212" s="46" t="n">
        <f aca="false">IF(OR(I3212="DNB",I3212="Dry DNB"),1,0)</f>
        <v>0</v>
      </c>
      <c r="Z3212" s="0" t="str">
        <f aca="false">IF(ISNUMBER(W3212),A3212-W3212,"")</f>
        <v/>
      </c>
      <c r="AA3212" s="46" t="n">
        <f aca="false">MATCH(A3212,DATAS,0)</f>
        <v>1</v>
      </c>
      <c r="AB3212" s="46" t="n">
        <f aca="false">IF(AND(E3212&gt;0,OR(AND(B3212&gt;=1,B3212&lt;=6),B3212=10)),1,0)</f>
        <v>0</v>
      </c>
      <c r="AC3212" s="46" t="n">
        <f aca="false">IF(AND(E3212&gt;0,B3212=10),1,0)</f>
        <v>0</v>
      </c>
      <c r="AD3212" s="0" t="str">
        <f aca="false">IF(AND(C3211=C3212,AA3211=AA3212-1),AB3211,"")</f>
        <v/>
      </c>
      <c r="AE3212" s="0" t="str">
        <f aca="false">IF(AND(C3211=C3212,AA3211=AA3212-1),AC3211,"")</f>
        <v/>
      </c>
      <c r="AF3212" s="0" t="str">
        <f aca="false">IF(AA3212=1,"",IF(AND(AB3212=1,AD3212&lt;&gt;1),1,0))</f>
        <v/>
      </c>
      <c r="AG3212" s="0" t="str">
        <f aca="false">IF(AA3212=1,"",IF(AND(AC3212=1,AE3212&lt;&gt;1),1,0))</f>
        <v/>
      </c>
      <c r="AH3212" s="51" t="str">
        <f aca="false">IF(AND(E3212&gt;0,AA3212&lt;1,NOT(AND(C3213=C3212,AA3213=AA3212+1))),INDEX(DATAS,AA3212+1),"")</f>
        <v/>
      </c>
      <c r="AI3212" s="51" t="str">
        <f aca="false">IF(AND(AC3212=1,AA3212&lt;1),IF(AND(C3213=C3212,AA3213=AA3212+1),IF(AC3213=1,"",INDEX(DATAS,AA3212+1)),INDEX(DATAS,AA3212+1)),"")</f>
        <v/>
      </c>
    </row>
    <row r="3213" customFormat="false" ht="15" hidden="false" customHeight="false" outlineLevel="0" collapsed="false">
      <c r="A3213" s="51" t="n">
        <v>46309</v>
      </c>
      <c r="B3213" s="0" t="n">
        <v>13</v>
      </c>
      <c r="C3213" s="0" t="n">
        <v>7635</v>
      </c>
      <c r="E3213" s="0" t="n">
        <v>0</v>
      </c>
      <c r="F3213" s="46" t="s">
        <v>1528</v>
      </c>
      <c r="I3213" s="46" t="s">
        <v>179</v>
      </c>
      <c r="U3213" s="0" t="n">
        <v>182</v>
      </c>
      <c r="V3213" s="0" t="n">
        <v>0</v>
      </c>
      <c r="X3213" s="46" t="n">
        <f aca="false">IF(I3213="Male",0,1)</f>
        <v>1</v>
      </c>
      <c r="Y3213" s="46" t="n">
        <f aca="false">IF(OR(I3213="DNB",I3213="Dry DNB"),1,0)</f>
        <v>0</v>
      </c>
      <c r="Z3213" s="0" t="str">
        <f aca="false">IF(ISNUMBER(W3213),A3213-W3213,"")</f>
        <v/>
      </c>
      <c r="AA3213" s="46" t="n">
        <f aca="false">MATCH(A3213,DATAS,0)</f>
        <v>1</v>
      </c>
      <c r="AB3213" s="46" t="n">
        <f aca="false">IF(AND(E3213&gt;0,OR(AND(B3213&gt;=1,B3213&lt;=6),B3213=10)),1,0)</f>
        <v>0</v>
      </c>
      <c r="AC3213" s="46" t="n">
        <f aca="false">IF(AND(E3213&gt;0,B3213=10),1,0)</f>
        <v>0</v>
      </c>
      <c r="AD3213" s="0" t="str">
        <f aca="false">IF(AND(C3212=C3213,AA3212=AA3213-1),AB3212,"")</f>
        <v/>
      </c>
      <c r="AE3213" s="0" t="str">
        <f aca="false">IF(AND(C3212=C3213,AA3212=AA3213-1),AC3212,"")</f>
        <v/>
      </c>
      <c r="AF3213" s="0" t="str">
        <f aca="false">IF(AA3213=1,"",IF(AND(AB3213=1,AD3213&lt;&gt;1),1,0))</f>
        <v/>
      </c>
      <c r="AG3213" s="0" t="str">
        <f aca="false">IF(AA3213=1,"",IF(AND(AC3213=1,AE3213&lt;&gt;1),1,0))</f>
        <v/>
      </c>
      <c r="AH3213" s="51" t="str">
        <f aca="false">IF(AND(E3213&gt;0,AA3213&lt;1,NOT(AND(C3214=C3213,AA3214=AA3213+1))),INDEX(DATAS,AA3213+1),"")</f>
        <v/>
      </c>
      <c r="AI3213" s="51" t="str">
        <f aca="false">IF(AND(AC3213=1,AA3213&lt;1),IF(AND(C3214=C3213,AA3214=AA3213+1),IF(AC3214=1,"",INDEX(DATAS,AA3213+1)),INDEX(DATAS,AA3213+1)),"")</f>
        <v/>
      </c>
    </row>
    <row r="3214" customFormat="false" ht="15" hidden="false" customHeight="false" outlineLevel="0" collapsed="false">
      <c r="A3214" s="51" t="n">
        <v>46309</v>
      </c>
      <c r="B3214" s="0" t="n">
        <v>13</v>
      </c>
      <c r="C3214" s="0" t="n">
        <v>7636</v>
      </c>
      <c r="E3214" s="0" t="n">
        <v>0</v>
      </c>
      <c r="F3214" s="46" t="s">
        <v>1528</v>
      </c>
      <c r="I3214" s="46" t="s">
        <v>179</v>
      </c>
      <c r="U3214" s="0" t="n">
        <v>182</v>
      </c>
      <c r="V3214" s="0" t="n">
        <v>0</v>
      </c>
      <c r="X3214" s="46" t="n">
        <f aca="false">IF(I3214="Male",0,1)</f>
        <v>1</v>
      </c>
      <c r="Y3214" s="46" t="n">
        <f aca="false">IF(OR(I3214="DNB",I3214="Dry DNB"),1,0)</f>
        <v>0</v>
      </c>
      <c r="Z3214" s="0" t="str">
        <f aca="false">IF(ISNUMBER(W3214),A3214-W3214,"")</f>
        <v/>
      </c>
      <c r="AA3214" s="46" t="n">
        <f aca="false">MATCH(A3214,DATAS,0)</f>
        <v>1</v>
      </c>
      <c r="AB3214" s="46" t="n">
        <f aca="false">IF(AND(E3214&gt;0,OR(AND(B3214&gt;=1,B3214&lt;=6),B3214=10)),1,0)</f>
        <v>0</v>
      </c>
      <c r="AC3214" s="46" t="n">
        <f aca="false">IF(AND(E3214&gt;0,B3214=10),1,0)</f>
        <v>0</v>
      </c>
      <c r="AD3214" s="0" t="str">
        <f aca="false">IF(AND(C3213=C3214,AA3213=AA3214-1),AB3213,"")</f>
        <v/>
      </c>
      <c r="AE3214" s="0" t="str">
        <f aca="false">IF(AND(C3213=C3214,AA3213=AA3214-1),AC3213,"")</f>
        <v/>
      </c>
      <c r="AF3214" s="0" t="str">
        <f aca="false">IF(AA3214=1,"",IF(AND(AB3214=1,AD3214&lt;&gt;1),1,0))</f>
        <v/>
      </c>
      <c r="AG3214" s="0" t="str">
        <f aca="false">IF(AA3214=1,"",IF(AND(AC3214=1,AE3214&lt;&gt;1),1,0))</f>
        <v/>
      </c>
      <c r="AH3214" s="51" t="str">
        <f aca="false">IF(AND(E3214&gt;0,AA3214&lt;1,NOT(AND(C3215=C3214,AA3215=AA3214+1))),INDEX(DATAS,AA3214+1),"")</f>
        <v/>
      </c>
      <c r="AI3214" s="51" t="str">
        <f aca="false">IF(AND(AC3214=1,AA3214&lt;1),IF(AND(C3215=C3214,AA3215=AA3214+1),IF(AC3215=1,"",INDEX(DATAS,AA3214+1)),INDEX(DATAS,AA3214+1)),"")</f>
        <v/>
      </c>
    </row>
    <row r="3215" customFormat="false" ht="15" hidden="false" customHeight="false" outlineLevel="0" collapsed="false">
      <c r="A3215" s="51" t="n">
        <v>46309</v>
      </c>
      <c r="B3215" s="0" t="n">
        <v>13</v>
      </c>
      <c r="C3215" s="0" t="n">
        <v>7637</v>
      </c>
      <c r="E3215" s="0" t="n">
        <v>0</v>
      </c>
      <c r="F3215" s="46" t="s">
        <v>1528</v>
      </c>
      <c r="I3215" s="46" t="s">
        <v>179</v>
      </c>
      <c r="U3215" s="0" t="n">
        <v>182</v>
      </c>
      <c r="V3215" s="0" t="n">
        <v>0</v>
      </c>
      <c r="X3215" s="46" t="n">
        <f aca="false">IF(I3215="Male",0,1)</f>
        <v>1</v>
      </c>
      <c r="Y3215" s="46" t="n">
        <f aca="false">IF(OR(I3215="DNB",I3215="Dry DNB"),1,0)</f>
        <v>0</v>
      </c>
      <c r="Z3215" s="0" t="str">
        <f aca="false">IF(ISNUMBER(W3215),A3215-W3215,"")</f>
        <v/>
      </c>
      <c r="AA3215" s="46" t="n">
        <f aca="false">MATCH(A3215,DATAS,0)</f>
        <v>1</v>
      </c>
      <c r="AB3215" s="46" t="n">
        <f aca="false">IF(AND(E3215&gt;0,OR(AND(B3215&gt;=1,B3215&lt;=6),B3215=10)),1,0)</f>
        <v>0</v>
      </c>
      <c r="AC3215" s="46" t="n">
        <f aca="false">IF(AND(E3215&gt;0,B3215=10),1,0)</f>
        <v>0</v>
      </c>
      <c r="AD3215" s="0" t="str">
        <f aca="false">IF(AND(C3214=C3215,AA3214=AA3215-1),AB3214,"")</f>
        <v/>
      </c>
      <c r="AE3215" s="0" t="str">
        <f aca="false">IF(AND(C3214=C3215,AA3214=AA3215-1),AC3214,"")</f>
        <v/>
      </c>
      <c r="AF3215" s="0" t="str">
        <f aca="false">IF(AA3215=1,"",IF(AND(AB3215=1,AD3215&lt;&gt;1),1,0))</f>
        <v/>
      </c>
      <c r="AG3215" s="0" t="str">
        <f aca="false">IF(AA3215=1,"",IF(AND(AC3215=1,AE3215&lt;&gt;1),1,0))</f>
        <v/>
      </c>
      <c r="AH3215" s="51" t="str">
        <f aca="false">IF(AND(E3215&gt;0,AA3215&lt;1,NOT(AND(C3216=C3215,AA3216=AA3215+1))),INDEX(DATAS,AA3215+1),"")</f>
        <v/>
      </c>
      <c r="AI3215" s="51" t="str">
        <f aca="false">IF(AND(AC3215=1,AA3215&lt;1),IF(AND(C3216=C3215,AA3216=AA3215+1),IF(AC3216=1,"",INDEX(DATAS,AA3215+1)),INDEX(DATAS,AA3215+1)),"")</f>
        <v/>
      </c>
    </row>
    <row r="3216" customFormat="false" ht="15" hidden="false" customHeight="false" outlineLevel="0" collapsed="false">
      <c r="A3216" s="51" t="n">
        <v>46309</v>
      </c>
      <c r="B3216" s="0" t="n">
        <v>13</v>
      </c>
      <c r="C3216" s="0" t="n">
        <v>7638</v>
      </c>
      <c r="E3216" s="0" t="n">
        <v>0</v>
      </c>
      <c r="F3216" s="46" t="s">
        <v>1528</v>
      </c>
      <c r="I3216" s="46" t="s">
        <v>179</v>
      </c>
      <c r="U3216" s="0" t="n">
        <v>182</v>
      </c>
      <c r="V3216" s="0" t="n">
        <v>0</v>
      </c>
      <c r="X3216" s="46" t="n">
        <f aca="false">IF(I3216="Male",0,1)</f>
        <v>1</v>
      </c>
      <c r="Y3216" s="46" t="n">
        <f aca="false">IF(OR(I3216="DNB",I3216="Dry DNB"),1,0)</f>
        <v>0</v>
      </c>
      <c r="Z3216" s="0" t="str">
        <f aca="false">IF(ISNUMBER(W3216),A3216-W3216,"")</f>
        <v/>
      </c>
      <c r="AA3216" s="46" t="n">
        <f aca="false">MATCH(A3216,DATAS,0)</f>
        <v>1</v>
      </c>
      <c r="AB3216" s="46" t="n">
        <f aca="false">IF(AND(E3216&gt;0,OR(AND(B3216&gt;=1,B3216&lt;=6),B3216=10)),1,0)</f>
        <v>0</v>
      </c>
      <c r="AC3216" s="46" t="n">
        <f aca="false">IF(AND(E3216&gt;0,B3216=10),1,0)</f>
        <v>0</v>
      </c>
      <c r="AD3216" s="0" t="str">
        <f aca="false">IF(AND(C3215=C3216,AA3215=AA3216-1),AB3215,"")</f>
        <v/>
      </c>
      <c r="AE3216" s="0" t="str">
        <f aca="false">IF(AND(C3215=C3216,AA3215=AA3216-1),AC3215,"")</f>
        <v/>
      </c>
      <c r="AF3216" s="0" t="str">
        <f aca="false">IF(AA3216=1,"",IF(AND(AB3216=1,AD3216&lt;&gt;1),1,0))</f>
        <v/>
      </c>
      <c r="AG3216" s="0" t="str">
        <f aca="false">IF(AA3216=1,"",IF(AND(AC3216=1,AE3216&lt;&gt;1),1,0))</f>
        <v/>
      </c>
      <c r="AH3216" s="51" t="str">
        <f aca="false">IF(AND(E3216&gt;0,AA3216&lt;1,NOT(AND(C3217=C3216,AA3217=AA3216+1))),INDEX(DATAS,AA3216+1),"")</f>
        <v/>
      </c>
      <c r="AI3216" s="51" t="str">
        <f aca="false">IF(AND(AC3216=1,AA3216&lt;1),IF(AND(C3217=C3216,AA3217=AA3216+1),IF(AC3217=1,"",INDEX(DATAS,AA3216+1)),INDEX(DATAS,AA3216+1)),"")</f>
        <v/>
      </c>
    </row>
    <row r="3217" customFormat="false" ht="15" hidden="false" customHeight="false" outlineLevel="0" collapsed="false">
      <c r="A3217" s="51" t="n">
        <v>46309</v>
      </c>
      <c r="B3217" s="0" t="n">
        <v>13</v>
      </c>
      <c r="C3217" s="0" t="n">
        <v>7639</v>
      </c>
      <c r="E3217" s="0" t="n">
        <v>0</v>
      </c>
      <c r="F3217" s="46" t="s">
        <v>1529</v>
      </c>
      <c r="I3217" s="46" t="s">
        <v>179</v>
      </c>
      <c r="U3217" s="0" t="n">
        <v>181</v>
      </c>
      <c r="V3217" s="0" t="n">
        <v>0</v>
      </c>
      <c r="X3217" s="46" t="n">
        <f aca="false">IF(I3217="Male",0,1)</f>
        <v>1</v>
      </c>
      <c r="Y3217" s="46" t="n">
        <f aca="false">IF(OR(I3217="DNB",I3217="Dry DNB"),1,0)</f>
        <v>0</v>
      </c>
      <c r="Z3217" s="0" t="str">
        <f aca="false">IF(ISNUMBER(W3217),A3217-W3217,"")</f>
        <v/>
      </c>
      <c r="AA3217" s="46" t="n">
        <f aca="false">MATCH(A3217,DATAS,0)</f>
        <v>1</v>
      </c>
      <c r="AB3217" s="46" t="n">
        <f aca="false">IF(AND(E3217&gt;0,OR(AND(B3217&gt;=1,B3217&lt;=6),B3217=10)),1,0)</f>
        <v>0</v>
      </c>
      <c r="AC3217" s="46" t="n">
        <f aca="false">IF(AND(E3217&gt;0,B3217=10),1,0)</f>
        <v>0</v>
      </c>
      <c r="AD3217" s="0" t="str">
        <f aca="false">IF(AND(C3216=C3217,AA3216=AA3217-1),AB3216,"")</f>
        <v/>
      </c>
      <c r="AE3217" s="0" t="str">
        <f aca="false">IF(AND(C3216=C3217,AA3216=AA3217-1),AC3216,"")</f>
        <v/>
      </c>
      <c r="AF3217" s="0" t="str">
        <f aca="false">IF(AA3217=1,"",IF(AND(AB3217=1,AD3217&lt;&gt;1),1,0))</f>
        <v/>
      </c>
      <c r="AG3217" s="0" t="str">
        <f aca="false">IF(AA3217=1,"",IF(AND(AC3217=1,AE3217&lt;&gt;1),1,0))</f>
        <v/>
      </c>
      <c r="AH3217" s="51" t="str">
        <f aca="false">IF(AND(E3217&gt;0,AA3217&lt;1,NOT(AND(C3218=C3217,AA3218=AA3217+1))),INDEX(DATAS,AA3217+1),"")</f>
        <v/>
      </c>
      <c r="AI3217" s="51" t="str">
        <f aca="false">IF(AND(AC3217=1,AA3217&lt;1),IF(AND(C3218=C3217,AA3218=AA3217+1),IF(AC3218=1,"",INDEX(DATAS,AA3217+1)),INDEX(DATAS,AA3217+1)),"")</f>
        <v/>
      </c>
    </row>
    <row r="3218" customFormat="false" ht="15" hidden="false" customHeight="false" outlineLevel="0" collapsed="false">
      <c r="A3218" s="51" t="n">
        <v>46309</v>
      </c>
      <c r="B3218" s="0" t="n">
        <v>13</v>
      </c>
      <c r="C3218" s="0" t="n">
        <v>7640</v>
      </c>
      <c r="E3218" s="0" t="n">
        <v>0</v>
      </c>
      <c r="F3218" s="46" t="s">
        <v>1529</v>
      </c>
      <c r="I3218" s="46" t="s">
        <v>179</v>
      </c>
      <c r="U3218" s="0" t="n">
        <v>181</v>
      </c>
      <c r="V3218" s="0" t="n">
        <v>0</v>
      </c>
      <c r="X3218" s="46" t="n">
        <f aca="false">IF(I3218="Male",0,1)</f>
        <v>1</v>
      </c>
      <c r="Y3218" s="46" t="n">
        <f aca="false">IF(OR(I3218="DNB",I3218="Dry DNB"),1,0)</f>
        <v>0</v>
      </c>
      <c r="Z3218" s="0" t="str">
        <f aca="false">IF(ISNUMBER(W3218),A3218-W3218,"")</f>
        <v/>
      </c>
      <c r="AA3218" s="46" t="n">
        <f aca="false">MATCH(A3218,DATAS,0)</f>
        <v>1</v>
      </c>
      <c r="AB3218" s="46" t="n">
        <f aca="false">IF(AND(E3218&gt;0,OR(AND(B3218&gt;=1,B3218&lt;=6),B3218=10)),1,0)</f>
        <v>0</v>
      </c>
      <c r="AC3218" s="46" t="n">
        <f aca="false">IF(AND(E3218&gt;0,B3218=10),1,0)</f>
        <v>0</v>
      </c>
      <c r="AD3218" s="0" t="str">
        <f aca="false">IF(AND(C3217=C3218,AA3217=AA3218-1),AB3217,"")</f>
        <v/>
      </c>
      <c r="AE3218" s="0" t="str">
        <f aca="false">IF(AND(C3217=C3218,AA3217=AA3218-1),AC3217,"")</f>
        <v/>
      </c>
      <c r="AF3218" s="0" t="str">
        <f aca="false">IF(AA3218=1,"",IF(AND(AB3218=1,AD3218&lt;&gt;1),1,0))</f>
        <v/>
      </c>
      <c r="AG3218" s="0" t="str">
        <f aca="false">IF(AA3218=1,"",IF(AND(AC3218=1,AE3218&lt;&gt;1),1,0))</f>
        <v/>
      </c>
      <c r="AH3218" s="51" t="str">
        <f aca="false">IF(AND(E3218&gt;0,AA3218&lt;1,NOT(AND(C3219=C3218,AA3219=AA3218+1))),INDEX(DATAS,AA3218+1),"")</f>
        <v/>
      </c>
      <c r="AI3218" s="51" t="str">
        <f aca="false">IF(AND(AC3218=1,AA3218&lt;1),IF(AND(C3219=C3218,AA3219=AA3218+1),IF(AC3219=1,"",INDEX(DATAS,AA3218+1)),INDEX(DATAS,AA3218+1)),"")</f>
        <v/>
      </c>
    </row>
    <row r="3219" customFormat="false" ht="15" hidden="false" customHeight="false" outlineLevel="0" collapsed="false">
      <c r="A3219" s="51" t="n">
        <v>46309</v>
      </c>
      <c r="B3219" s="0" t="n">
        <v>13</v>
      </c>
      <c r="C3219" s="0" t="n">
        <v>7641</v>
      </c>
      <c r="E3219" s="0" t="n">
        <v>0</v>
      </c>
      <c r="F3219" s="46" t="s">
        <v>1530</v>
      </c>
      <c r="I3219" s="46" t="s">
        <v>179</v>
      </c>
      <c r="U3219" s="0" t="n">
        <v>180</v>
      </c>
      <c r="V3219" s="0" t="n">
        <v>0</v>
      </c>
      <c r="X3219" s="46" t="n">
        <f aca="false">IF(I3219="Male",0,1)</f>
        <v>1</v>
      </c>
      <c r="Y3219" s="46" t="n">
        <f aca="false">IF(OR(I3219="DNB",I3219="Dry DNB"),1,0)</f>
        <v>0</v>
      </c>
      <c r="Z3219" s="0" t="str">
        <f aca="false">IF(ISNUMBER(W3219),A3219-W3219,"")</f>
        <v/>
      </c>
      <c r="AA3219" s="46" t="n">
        <f aca="false">MATCH(A3219,DATAS,0)</f>
        <v>1</v>
      </c>
      <c r="AB3219" s="46" t="n">
        <f aca="false">IF(AND(E3219&gt;0,OR(AND(B3219&gt;=1,B3219&lt;=6),B3219=10)),1,0)</f>
        <v>0</v>
      </c>
      <c r="AC3219" s="46" t="n">
        <f aca="false">IF(AND(E3219&gt;0,B3219=10),1,0)</f>
        <v>0</v>
      </c>
      <c r="AD3219" s="0" t="str">
        <f aca="false">IF(AND(C3218=C3219,AA3218=AA3219-1),AB3218,"")</f>
        <v/>
      </c>
      <c r="AE3219" s="0" t="str">
        <f aca="false">IF(AND(C3218=C3219,AA3218=AA3219-1),AC3218,"")</f>
        <v/>
      </c>
      <c r="AF3219" s="0" t="str">
        <f aca="false">IF(AA3219=1,"",IF(AND(AB3219=1,AD3219&lt;&gt;1),1,0))</f>
        <v/>
      </c>
      <c r="AG3219" s="0" t="str">
        <f aca="false">IF(AA3219=1,"",IF(AND(AC3219=1,AE3219&lt;&gt;1),1,0))</f>
        <v/>
      </c>
      <c r="AH3219" s="51" t="str">
        <f aca="false">IF(AND(E3219&gt;0,AA3219&lt;1,NOT(AND(C3220=C3219,AA3220=AA3219+1))),INDEX(DATAS,AA3219+1),"")</f>
        <v/>
      </c>
      <c r="AI3219" s="51" t="str">
        <f aca="false">IF(AND(AC3219=1,AA3219&lt;1),IF(AND(C3220=C3219,AA3220=AA3219+1),IF(AC3220=1,"",INDEX(DATAS,AA3219+1)),INDEX(DATAS,AA3219+1)),"")</f>
        <v/>
      </c>
    </row>
    <row r="3220" customFormat="false" ht="15" hidden="false" customHeight="false" outlineLevel="0" collapsed="false">
      <c r="A3220" s="51" t="n">
        <v>46309</v>
      </c>
      <c r="B3220" s="0" t="n">
        <v>13</v>
      </c>
      <c r="C3220" s="0" t="n">
        <v>7642</v>
      </c>
      <c r="E3220" s="0" t="n">
        <v>0</v>
      </c>
      <c r="F3220" s="46" t="s">
        <v>1531</v>
      </c>
      <c r="I3220" s="46" t="s">
        <v>179</v>
      </c>
      <c r="U3220" s="0" t="n">
        <v>179</v>
      </c>
      <c r="V3220" s="0" t="n">
        <v>0</v>
      </c>
      <c r="X3220" s="46" t="n">
        <f aca="false">IF(I3220="Male",0,1)</f>
        <v>1</v>
      </c>
      <c r="Y3220" s="46" t="n">
        <f aca="false">IF(OR(I3220="DNB",I3220="Dry DNB"),1,0)</f>
        <v>0</v>
      </c>
      <c r="Z3220" s="0" t="str">
        <f aca="false">IF(ISNUMBER(W3220),A3220-W3220,"")</f>
        <v/>
      </c>
      <c r="AA3220" s="46" t="n">
        <f aca="false">MATCH(A3220,DATAS,0)</f>
        <v>1</v>
      </c>
      <c r="AB3220" s="46" t="n">
        <f aca="false">IF(AND(E3220&gt;0,OR(AND(B3220&gt;=1,B3220&lt;=6),B3220=10)),1,0)</f>
        <v>0</v>
      </c>
      <c r="AC3220" s="46" t="n">
        <f aca="false">IF(AND(E3220&gt;0,B3220=10),1,0)</f>
        <v>0</v>
      </c>
      <c r="AD3220" s="0" t="str">
        <f aca="false">IF(AND(C3219=C3220,AA3219=AA3220-1),AB3219,"")</f>
        <v/>
      </c>
      <c r="AE3220" s="0" t="str">
        <f aca="false">IF(AND(C3219=C3220,AA3219=AA3220-1),AC3219,"")</f>
        <v/>
      </c>
      <c r="AF3220" s="0" t="str">
        <f aca="false">IF(AA3220=1,"",IF(AND(AB3220=1,AD3220&lt;&gt;1),1,0))</f>
        <v/>
      </c>
      <c r="AG3220" s="0" t="str">
        <f aca="false">IF(AA3220=1,"",IF(AND(AC3220=1,AE3220&lt;&gt;1),1,0))</f>
        <v/>
      </c>
      <c r="AH3220" s="51" t="str">
        <f aca="false">IF(AND(E3220&gt;0,AA3220&lt;1,NOT(AND(C3221=C3220,AA3221=AA3220+1))),INDEX(DATAS,AA3220+1),"")</f>
        <v/>
      </c>
      <c r="AI3220" s="51" t="str">
        <f aca="false">IF(AND(AC3220=1,AA3220&lt;1),IF(AND(C3221=C3220,AA3221=AA3220+1),IF(AC3221=1,"",INDEX(DATAS,AA3220+1)),INDEX(DATAS,AA3220+1)),"")</f>
        <v/>
      </c>
    </row>
    <row r="3221" customFormat="false" ht="15" hidden="false" customHeight="false" outlineLevel="0" collapsed="false">
      <c r="A3221" s="51" t="n">
        <v>46309</v>
      </c>
      <c r="B3221" s="0" t="n">
        <v>13</v>
      </c>
      <c r="C3221" s="0" t="n">
        <v>7643</v>
      </c>
      <c r="E3221" s="0" t="n">
        <v>0</v>
      </c>
      <c r="F3221" s="46" t="s">
        <v>1531</v>
      </c>
      <c r="I3221" s="46" t="s">
        <v>179</v>
      </c>
      <c r="U3221" s="0" t="n">
        <v>179</v>
      </c>
      <c r="V3221" s="0" t="n">
        <v>0</v>
      </c>
      <c r="X3221" s="46" t="n">
        <f aca="false">IF(I3221="Male",0,1)</f>
        <v>1</v>
      </c>
      <c r="Y3221" s="46" t="n">
        <f aca="false">IF(OR(I3221="DNB",I3221="Dry DNB"),1,0)</f>
        <v>0</v>
      </c>
      <c r="Z3221" s="0" t="str">
        <f aca="false">IF(ISNUMBER(W3221),A3221-W3221,"")</f>
        <v/>
      </c>
      <c r="AA3221" s="46" t="n">
        <f aca="false">MATCH(A3221,DATAS,0)</f>
        <v>1</v>
      </c>
      <c r="AB3221" s="46" t="n">
        <f aca="false">IF(AND(E3221&gt;0,OR(AND(B3221&gt;=1,B3221&lt;=6),B3221=10)),1,0)</f>
        <v>0</v>
      </c>
      <c r="AC3221" s="46" t="n">
        <f aca="false">IF(AND(E3221&gt;0,B3221=10),1,0)</f>
        <v>0</v>
      </c>
      <c r="AD3221" s="0" t="str">
        <f aca="false">IF(AND(C3220=C3221,AA3220=AA3221-1),AB3220,"")</f>
        <v/>
      </c>
      <c r="AE3221" s="0" t="str">
        <f aca="false">IF(AND(C3220=C3221,AA3220=AA3221-1),AC3220,"")</f>
        <v/>
      </c>
      <c r="AF3221" s="0" t="str">
        <f aca="false">IF(AA3221=1,"",IF(AND(AB3221=1,AD3221&lt;&gt;1),1,0))</f>
        <v/>
      </c>
      <c r="AG3221" s="0" t="str">
        <f aca="false">IF(AA3221=1,"",IF(AND(AC3221=1,AE3221&lt;&gt;1),1,0))</f>
        <v/>
      </c>
      <c r="AH3221" s="51" t="str">
        <f aca="false">IF(AND(E3221&gt;0,AA3221&lt;1,NOT(AND(C3222=C3221,AA3222=AA3221+1))),INDEX(DATAS,AA3221+1),"")</f>
        <v/>
      </c>
      <c r="AI3221" s="51" t="str">
        <f aca="false">IF(AND(AC3221=1,AA3221&lt;1),IF(AND(C3222=C3221,AA3222=AA3221+1),IF(AC3222=1,"",INDEX(DATAS,AA3221+1)),INDEX(DATAS,AA3221+1)),"")</f>
        <v/>
      </c>
    </row>
    <row r="3222" customFormat="false" ht="15" hidden="false" customHeight="false" outlineLevel="0" collapsed="false">
      <c r="A3222" s="51" t="n">
        <v>46309</v>
      </c>
      <c r="B3222" s="0" t="n">
        <v>13</v>
      </c>
      <c r="C3222" s="0" t="n">
        <v>7644</v>
      </c>
      <c r="E3222" s="0" t="n">
        <v>0</v>
      </c>
      <c r="F3222" s="46" t="s">
        <v>1532</v>
      </c>
      <c r="I3222" s="46" t="s">
        <v>179</v>
      </c>
      <c r="U3222" s="0" t="n">
        <v>178</v>
      </c>
      <c r="V3222" s="0" t="n">
        <v>0</v>
      </c>
      <c r="X3222" s="46" t="n">
        <f aca="false">IF(I3222="Male",0,1)</f>
        <v>1</v>
      </c>
      <c r="Y3222" s="46" t="n">
        <f aca="false">IF(OR(I3222="DNB",I3222="Dry DNB"),1,0)</f>
        <v>0</v>
      </c>
      <c r="Z3222" s="0" t="str">
        <f aca="false">IF(ISNUMBER(W3222),A3222-W3222,"")</f>
        <v/>
      </c>
      <c r="AA3222" s="46" t="n">
        <f aca="false">MATCH(A3222,DATAS,0)</f>
        <v>1</v>
      </c>
      <c r="AB3222" s="46" t="n">
        <f aca="false">IF(AND(E3222&gt;0,OR(AND(B3222&gt;=1,B3222&lt;=6),B3222=10)),1,0)</f>
        <v>0</v>
      </c>
      <c r="AC3222" s="46" t="n">
        <f aca="false">IF(AND(E3222&gt;0,B3222=10),1,0)</f>
        <v>0</v>
      </c>
      <c r="AD3222" s="0" t="str">
        <f aca="false">IF(AND(C3221=C3222,AA3221=AA3222-1),AB3221,"")</f>
        <v/>
      </c>
      <c r="AE3222" s="0" t="str">
        <f aca="false">IF(AND(C3221=C3222,AA3221=AA3222-1),AC3221,"")</f>
        <v/>
      </c>
      <c r="AF3222" s="0" t="str">
        <f aca="false">IF(AA3222=1,"",IF(AND(AB3222=1,AD3222&lt;&gt;1),1,0))</f>
        <v/>
      </c>
      <c r="AG3222" s="0" t="str">
        <f aca="false">IF(AA3222=1,"",IF(AND(AC3222=1,AE3222&lt;&gt;1),1,0))</f>
        <v/>
      </c>
      <c r="AH3222" s="51" t="str">
        <f aca="false">IF(AND(E3222&gt;0,AA3222&lt;1,NOT(AND(C3223=C3222,AA3223=AA3222+1))),INDEX(DATAS,AA3222+1),"")</f>
        <v/>
      </c>
      <c r="AI3222" s="51" t="str">
        <f aca="false">IF(AND(AC3222=1,AA3222&lt;1),IF(AND(C3223=C3222,AA3223=AA3222+1),IF(AC3223=1,"",INDEX(DATAS,AA3222+1)),INDEX(DATAS,AA3222+1)),"")</f>
        <v/>
      </c>
    </row>
    <row r="3223" customFormat="false" ht="15" hidden="false" customHeight="false" outlineLevel="0" collapsed="false">
      <c r="A3223" s="51" t="n">
        <v>46309</v>
      </c>
      <c r="B3223" s="0" t="n">
        <v>13</v>
      </c>
      <c r="C3223" s="0" t="n">
        <v>7645</v>
      </c>
      <c r="E3223" s="0" t="n">
        <v>0</v>
      </c>
      <c r="F3223" s="46" t="s">
        <v>1532</v>
      </c>
      <c r="I3223" s="46" t="s">
        <v>179</v>
      </c>
      <c r="U3223" s="0" t="n">
        <v>178</v>
      </c>
      <c r="V3223" s="0" t="n">
        <v>0</v>
      </c>
      <c r="X3223" s="46" t="n">
        <f aca="false">IF(I3223="Male",0,1)</f>
        <v>1</v>
      </c>
      <c r="Y3223" s="46" t="n">
        <f aca="false">IF(OR(I3223="DNB",I3223="Dry DNB"),1,0)</f>
        <v>0</v>
      </c>
      <c r="Z3223" s="0" t="str">
        <f aca="false">IF(ISNUMBER(W3223),A3223-W3223,"")</f>
        <v/>
      </c>
      <c r="AA3223" s="46" t="n">
        <f aca="false">MATCH(A3223,DATAS,0)</f>
        <v>1</v>
      </c>
      <c r="AB3223" s="46" t="n">
        <f aca="false">IF(AND(E3223&gt;0,OR(AND(B3223&gt;=1,B3223&lt;=6),B3223=10)),1,0)</f>
        <v>0</v>
      </c>
      <c r="AC3223" s="46" t="n">
        <f aca="false">IF(AND(E3223&gt;0,B3223=10),1,0)</f>
        <v>0</v>
      </c>
      <c r="AD3223" s="0" t="str">
        <f aca="false">IF(AND(C3222=C3223,AA3222=AA3223-1),AB3222,"")</f>
        <v/>
      </c>
      <c r="AE3223" s="0" t="str">
        <f aca="false">IF(AND(C3222=C3223,AA3222=AA3223-1),AC3222,"")</f>
        <v/>
      </c>
      <c r="AF3223" s="0" t="str">
        <f aca="false">IF(AA3223=1,"",IF(AND(AB3223=1,AD3223&lt;&gt;1),1,0))</f>
        <v/>
      </c>
      <c r="AG3223" s="0" t="str">
        <f aca="false">IF(AA3223=1,"",IF(AND(AC3223=1,AE3223&lt;&gt;1),1,0))</f>
        <v/>
      </c>
      <c r="AH3223" s="51" t="str">
        <f aca="false">IF(AND(E3223&gt;0,AA3223&lt;1,NOT(AND(C3224=C3223,AA3224=AA3223+1))),INDEX(DATAS,AA3223+1),"")</f>
        <v/>
      </c>
      <c r="AI3223" s="51" t="str">
        <f aca="false">IF(AND(AC3223=1,AA3223&lt;1),IF(AND(C3224=C3223,AA3224=AA3223+1),IF(AC3224=1,"",INDEX(DATAS,AA3223+1)),INDEX(DATAS,AA3223+1)),"")</f>
        <v/>
      </c>
    </row>
    <row r="3224" customFormat="false" ht="15" hidden="false" customHeight="false" outlineLevel="0" collapsed="false">
      <c r="A3224" s="51" t="n">
        <v>46309</v>
      </c>
      <c r="B3224" s="0" t="n">
        <v>13</v>
      </c>
      <c r="C3224" s="0" t="n">
        <v>7646</v>
      </c>
      <c r="E3224" s="0" t="n">
        <v>0</v>
      </c>
      <c r="F3224" s="46" t="s">
        <v>1532</v>
      </c>
      <c r="I3224" s="46" t="s">
        <v>179</v>
      </c>
      <c r="U3224" s="0" t="n">
        <v>178</v>
      </c>
      <c r="V3224" s="0" t="n">
        <v>0</v>
      </c>
      <c r="X3224" s="46" t="n">
        <f aca="false">IF(I3224="Male",0,1)</f>
        <v>1</v>
      </c>
      <c r="Y3224" s="46" t="n">
        <f aca="false">IF(OR(I3224="DNB",I3224="Dry DNB"),1,0)</f>
        <v>0</v>
      </c>
      <c r="Z3224" s="0" t="str">
        <f aca="false">IF(ISNUMBER(W3224),A3224-W3224,"")</f>
        <v/>
      </c>
      <c r="AA3224" s="46" t="n">
        <f aca="false">MATCH(A3224,DATAS,0)</f>
        <v>1</v>
      </c>
      <c r="AB3224" s="46" t="n">
        <f aca="false">IF(AND(E3224&gt;0,OR(AND(B3224&gt;=1,B3224&lt;=6),B3224=10)),1,0)</f>
        <v>0</v>
      </c>
      <c r="AC3224" s="46" t="n">
        <f aca="false">IF(AND(E3224&gt;0,B3224=10),1,0)</f>
        <v>0</v>
      </c>
      <c r="AD3224" s="0" t="str">
        <f aca="false">IF(AND(C3223=C3224,AA3223=AA3224-1),AB3223,"")</f>
        <v/>
      </c>
      <c r="AE3224" s="0" t="str">
        <f aca="false">IF(AND(C3223=C3224,AA3223=AA3224-1),AC3223,"")</f>
        <v/>
      </c>
      <c r="AF3224" s="0" t="str">
        <f aca="false">IF(AA3224=1,"",IF(AND(AB3224=1,AD3224&lt;&gt;1),1,0))</f>
        <v/>
      </c>
      <c r="AG3224" s="0" t="str">
        <f aca="false">IF(AA3224=1,"",IF(AND(AC3224=1,AE3224&lt;&gt;1),1,0))</f>
        <v/>
      </c>
      <c r="AH3224" s="51" t="str">
        <f aca="false">IF(AND(E3224&gt;0,AA3224&lt;1,NOT(AND(C3225=C3224,AA3225=AA3224+1))),INDEX(DATAS,AA3224+1),"")</f>
        <v/>
      </c>
      <c r="AI3224" s="51" t="str">
        <f aca="false">IF(AND(AC3224=1,AA3224&lt;1),IF(AND(C3225=C3224,AA3225=AA3224+1),IF(AC3225=1,"",INDEX(DATAS,AA3224+1)),INDEX(DATAS,AA3224+1)),"")</f>
        <v/>
      </c>
    </row>
    <row r="3225" customFormat="false" ht="15" hidden="false" customHeight="false" outlineLevel="0" collapsed="false">
      <c r="A3225" s="51" t="n">
        <v>46309</v>
      </c>
      <c r="B3225" s="0" t="n">
        <v>13</v>
      </c>
      <c r="C3225" s="0" t="n">
        <v>7647</v>
      </c>
      <c r="E3225" s="0" t="n">
        <v>0</v>
      </c>
      <c r="F3225" s="46" t="s">
        <v>1533</v>
      </c>
      <c r="I3225" s="46" t="s">
        <v>179</v>
      </c>
      <c r="U3225" s="0" t="n">
        <v>177</v>
      </c>
      <c r="V3225" s="0" t="n">
        <v>0</v>
      </c>
      <c r="X3225" s="46" t="n">
        <f aca="false">IF(I3225="Male",0,1)</f>
        <v>1</v>
      </c>
      <c r="Y3225" s="46" t="n">
        <f aca="false">IF(OR(I3225="DNB",I3225="Dry DNB"),1,0)</f>
        <v>0</v>
      </c>
      <c r="Z3225" s="0" t="str">
        <f aca="false">IF(ISNUMBER(W3225),A3225-W3225,"")</f>
        <v/>
      </c>
      <c r="AA3225" s="46" t="n">
        <f aca="false">MATCH(A3225,DATAS,0)</f>
        <v>1</v>
      </c>
      <c r="AB3225" s="46" t="n">
        <f aca="false">IF(AND(E3225&gt;0,OR(AND(B3225&gt;=1,B3225&lt;=6),B3225=10)),1,0)</f>
        <v>0</v>
      </c>
      <c r="AC3225" s="46" t="n">
        <f aca="false">IF(AND(E3225&gt;0,B3225=10),1,0)</f>
        <v>0</v>
      </c>
      <c r="AD3225" s="0" t="str">
        <f aca="false">IF(AND(C3224=C3225,AA3224=AA3225-1),AB3224,"")</f>
        <v/>
      </c>
      <c r="AE3225" s="0" t="str">
        <f aca="false">IF(AND(C3224=C3225,AA3224=AA3225-1),AC3224,"")</f>
        <v/>
      </c>
      <c r="AF3225" s="0" t="str">
        <f aca="false">IF(AA3225=1,"",IF(AND(AB3225=1,AD3225&lt;&gt;1),1,0))</f>
        <v/>
      </c>
      <c r="AG3225" s="0" t="str">
        <f aca="false">IF(AA3225=1,"",IF(AND(AC3225=1,AE3225&lt;&gt;1),1,0))</f>
        <v/>
      </c>
      <c r="AH3225" s="51" t="str">
        <f aca="false">IF(AND(E3225&gt;0,AA3225&lt;1,NOT(AND(C3226=C3225,AA3226=AA3225+1))),INDEX(DATAS,AA3225+1),"")</f>
        <v/>
      </c>
      <c r="AI3225" s="51" t="str">
        <f aca="false">IF(AND(AC3225=1,AA3225&lt;1),IF(AND(C3226=C3225,AA3226=AA3225+1),IF(AC3226=1,"",INDEX(DATAS,AA3225+1)),INDEX(DATAS,AA3225+1)),"")</f>
        <v/>
      </c>
    </row>
    <row r="3226" customFormat="false" ht="15" hidden="false" customHeight="false" outlineLevel="0" collapsed="false">
      <c r="A3226" s="51" t="n">
        <v>46309</v>
      </c>
      <c r="B3226" s="0" t="n">
        <v>13</v>
      </c>
      <c r="C3226" s="0" t="n">
        <v>7648</v>
      </c>
      <c r="E3226" s="0" t="n">
        <v>0</v>
      </c>
      <c r="F3226" s="46" t="s">
        <v>1533</v>
      </c>
      <c r="I3226" s="46" t="s">
        <v>179</v>
      </c>
      <c r="U3226" s="0" t="n">
        <v>177</v>
      </c>
      <c r="V3226" s="0" t="n">
        <v>0</v>
      </c>
      <c r="X3226" s="46" t="n">
        <f aca="false">IF(I3226="Male",0,1)</f>
        <v>1</v>
      </c>
      <c r="Y3226" s="46" t="n">
        <f aca="false">IF(OR(I3226="DNB",I3226="Dry DNB"),1,0)</f>
        <v>0</v>
      </c>
      <c r="Z3226" s="0" t="str">
        <f aca="false">IF(ISNUMBER(W3226),A3226-W3226,"")</f>
        <v/>
      </c>
      <c r="AA3226" s="46" t="n">
        <f aca="false">MATCH(A3226,DATAS,0)</f>
        <v>1</v>
      </c>
      <c r="AB3226" s="46" t="n">
        <f aca="false">IF(AND(E3226&gt;0,OR(AND(B3226&gt;=1,B3226&lt;=6),B3226=10)),1,0)</f>
        <v>0</v>
      </c>
      <c r="AC3226" s="46" t="n">
        <f aca="false">IF(AND(E3226&gt;0,B3226=10),1,0)</f>
        <v>0</v>
      </c>
      <c r="AD3226" s="0" t="str">
        <f aca="false">IF(AND(C3225=C3226,AA3225=AA3226-1),AB3225,"")</f>
        <v/>
      </c>
      <c r="AE3226" s="0" t="str">
        <f aca="false">IF(AND(C3225=C3226,AA3225=AA3226-1),AC3225,"")</f>
        <v/>
      </c>
      <c r="AF3226" s="0" t="str">
        <f aca="false">IF(AA3226=1,"",IF(AND(AB3226=1,AD3226&lt;&gt;1),1,0))</f>
        <v/>
      </c>
      <c r="AG3226" s="0" t="str">
        <f aca="false">IF(AA3226=1,"",IF(AND(AC3226=1,AE3226&lt;&gt;1),1,0))</f>
        <v/>
      </c>
      <c r="AH3226" s="51" t="str">
        <f aca="false">IF(AND(E3226&gt;0,AA3226&lt;1,NOT(AND(C3227=C3226,AA3227=AA3226+1))),INDEX(DATAS,AA3226+1),"")</f>
        <v/>
      </c>
      <c r="AI3226" s="51" t="str">
        <f aca="false">IF(AND(AC3226=1,AA3226&lt;1),IF(AND(C3227=C3226,AA3227=AA3226+1),IF(AC3227=1,"",INDEX(DATAS,AA3226+1)),INDEX(DATAS,AA3226+1)),"")</f>
        <v/>
      </c>
    </row>
    <row r="3227" customFormat="false" ht="15" hidden="false" customHeight="false" outlineLevel="0" collapsed="false">
      <c r="A3227" s="51" t="n">
        <v>46309</v>
      </c>
      <c r="B3227" s="0" t="n">
        <v>13</v>
      </c>
      <c r="C3227" s="0" t="n">
        <v>7649</v>
      </c>
      <c r="E3227" s="0" t="n">
        <v>0</v>
      </c>
      <c r="F3227" s="46" t="s">
        <v>1533</v>
      </c>
      <c r="I3227" s="46" t="s">
        <v>179</v>
      </c>
      <c r="U3227" s="0" t="n">
        <v>177</v>
      </c>
      <c r="V3227" s="0" t="n">
        <v>0</v>
      </c>
      <c r="X3227" s="46" t="n">
        <f aca="false">IF(I3227="Male",0,1)</f>
        <v>1</v>
      </c>
      <c r="Y3227" s="46" t="n">
        <f aca="false">IF(OR(I3227="DNB",I3227="Dry DNB"),1,0)</f>
        <v>0</v>
      </c>
      <c r="Z3227" s="0" t="str">
        <f aca="false">IF(ISNUMBER(W3227),A3227-W3227,"")</f>
        <v/>
      </c>
      <c r="AA3227" s="46" t="n">
        <f aca="false">MATCH(A3227,DATAS,0)</f>
        <v>1</v>
      </c>
      <c r="AB3227" s="46" t="n">
        <f aca="false">IF(AND(E3227&gt;0,OR(AND(B3227&gt;=1,B3227&lt;=6),B3227=10)),1,0)</f>
        <v>0</v>
      </c>
      <c r="AC3227" s="46" t="n">
        <f aca="false">IF(AND(E3227&gt;0,B3227=10),1,0)</f>
        <v>0</v>
      </c>
      <c r="AD3227" s="0" t="str">
        <f aca="false">IF(AND(C3226=C3227,AA3226=AA3227-1),AB3226,"")</f>
        <v/>
      </c>
      <c r="AE3227" s="0" t="str">
        <f aca="false">IF(AND(C3226=C3227,AA3226=AA3227-1),AC3226,"")</f>
        <v/>
      </c>
      <c r="AF3227" s="0" t="str">
        <f aca="false">IF(AA3227=1,"",IF(AND(AB3227=1,AD3227&lt;&gt;1),1,0))</f>
        <v/>
      </c>
      <c r="AG3227" s="0" t="str">
        <f aca="false">IF(AA3227=1,"",IF(AND(AC3227=1,AE3227&lt;&gt;1),1,0))</f>
        <v/>
      </c>
      <c r="AH3227" s="51" t="str">
        <f aca="false">IF(AND(E3227&gt;0,AA3227&lt;1,NOT(AND(C3228=C3227,AA3228=AA3227+1))),INDEX(DATAS,AA3227+1),"")</f>
        <v/>
      </c>
      <c r="AI3227" s="51" t="str">
        <f aca="false">IF(AND(AC3227=1,AA3227&lt;1),IF(AND(C3228=C3227,AA3228=AA3227+1),IF(AC3228=1,"",INDEX(DATAS,AA3227+1)),INDEX(DATAS,AA3227+1)),"")</f>
        <v/>
      </c>
    </row>
    <row r="3228" customFormat="false" ht="15" hidden="false" customHeight="false" outlineLevel="0" collapsed="false">
      <c r="A3228" s="51" t="n">
        <v>46309</v>
      </c>
      <c r="B3228" s="0" t="n">
        <v>13</v>
      </c>
      <c r="C3228" s="0" t="n">
        <v>7650</v>
      </c>
      <c r="E3228" s="0" t="n">
        <v>0</v>
      </c>
      <c r="F3228" s="46" t="s">
        <v>1534</v>
      </c>
      <c r="I3228" s="46" t="s">
        <v>179</v>
      </c>
      <c r="U3228" s="0" t="n">
        <v>176</v>
      </c>
      <c r="V3228" s="0" t="n">
        <v>0</v>
      </c>
      <c r="X3228" s="46" t="n">
        <f aca="false">IF(I3228="Male",0,1)</f>
        <v>1</v>
      </c>
      <c r="Y3228" s="46" t="n">
        <f aca="false">IF(OR(I3228="DNB",I3228="Dry DNB"),1,0)</f>
        <v>0</v>
      </c>
      <c r="Z3228" s="0" t="str">
        <f aca="false">IF(ISNUMBER(W3228),A3228-W3228,"")</f>
        <v/>
      </c>
      <c r="AA3228" s="46" t="n">
        <f aca="false">MATCH(A3228,DATAS,0)</f>
        <v>1</v>
      </c>
      <c r="AB3228" s="46" t="n">
        <f aca="false">IF(AND(E3228&gt;0,OR(AND(B3228&gt;=1,B3228&lt;=6),B3228=10)),1,0)</f>
        <v>0</v>
      </c>
      <c r="AC3228" s="46" t="n">
        <f aca="false">IF(AND(E3228&gt;0,B3228=10),1,0)</f>
        <v>0</v>
      </c>
      <c r="AD3228" s="0" t="str">
        <f aca="false">IF(AND(C3227=C3228,AA3227=AA3228-1),AB3227,"")</f>
        <v/>
      </c>
      <c r="AE3228" s="0" t="str">
        <f aca="false">IF(AND(C3227=C3228,AA3227=AA3228-1),AC3227,"")</f>
        <v/>
      </c>
      <c r="AF3228" s="0" t="str">
        <f aca="false">IF(AA3228=1,"",IF(AND(AB3228=1,AD3228&lt;&gt;1),1,0))</f>
        <v/>
      </c>
      <c r="AG3228" s="0" t="str">
        <f aca="false">IF(AA3228=1,"",IF(AND(AC3228=1,AE3228&lt;&gt;1),1,0))</f>
        <v/>
      </c>
      <c r="AH3228" s="51" t="str">
        <f aca="false">IF(AND(E3228&gt;0,AA3228&lt;1,NOT(AND(C3229=C3228,AA3229=AA3228+1))),INDEX(DATAS,AA3228+1),"")</f>
        <v/>
      </c>
      <c r="AI3228" s="51" t="str">
        <f aca="false">IF(AND(AC3228=1,AA3228&lt;1),IF(AND(C3229=C3228,AA3229=AA3228+1),IF(AC3229=1,"",INDEX(DATAS,AA3228+1)),INDEX(DATAS,AA3228+1)),"")</f>
        <v/>
      </c>
    </row>
    <row r="3229" customFormat="false" ht="15" hidden="false" customHeight="false" outlineLevel="0" collapsed="false">
      <c r="A3229" s="51" t="n">
        <v>46309</v>
      </c>
      <c r="B3229" s="0" t="n">
        <v>13</v>
      </c>
      <c r="C3229" s="0" t="n">
        <v>7651</v>
      </c>
      <c r="E3229" s="0" t="n">
        <v>0</v>
      </c>
      <c r="F3229" s="46" t="s">
        <v>1534</v>
      </c>
      <c r="I3229" s="46" t="s">
        <v>179</v>
      </c>
      <c r="U3229" s="0" t="n">
        <v>176</v>
      </c>
      <c r="V3229" s="0" t="n">
        <v>0</v>
      </c>
      <c r="X3229" s="46" t="n">
        <f aca="false">IF(I3229="Male",0,1)</f>
        <v>1</v>
      </c>
      <c r="Y3229" s="46" t="n">
        <f aca="false">IF(OR(I3229="DNB",I3229="Dry DNB"),1,0)</f>
        <v>0</v>
      </c>
      <c r="Z3229" s="0" t="str">
        <f aca="false">IF(ISNUMBER(W3229),A3229-W3229,"")</f>
        <v/>
      </c>
      <c r="AA3229" s="46" t="n">
        <f aca="false">MATCH(A3229,DATAS,0)</f>
        <v>1</v>
      </c>
      <c r="AB3229" s="46" t="n">
        <f aca="false">IF(AND(E3229&gt;0,OR(AND(B3229&gt;=1,B3229&lt;=6),B3229=10)),1,0)</f>
        <v>0</v>
      </c>
      <c r="AC3229" s="46" t="n">
        <f aca="false">IF(AND(E3229&gt;0,B3229=10),1,0)</f>
        <v>0</v>
      </c>
      <c r="AD3229" s="0" t="str">
        <f aca="false">IF(AND(C3228=C3229,AA3228=AA3229-1),AB3228,"")</f>
        <v/>
      </c>
      <c r="AE3229" s="0" t="str">
        <f aca="false">IF(AND(C3228=C3229,AA3228=AA3229-1),AC3228,"")</f>
        <v/>
      </c>
      <c r="AF3229" s="0" t="str">
        <f aca="false">IF(AA3229=1,"",IF(AND(AB3229=1,AD3229&lt;&gt;1),1,0))</f>
        <v/>
      </c>
      <c r="AG3229" s="0" t="str">
        <f aca="false">IF(AA3229=1,"",IF(AND(AC3229=1,AE3229&lt;&gt;1),1,0))</f>
        <v/>
      </c>
      <c r="AH3229" s="51" t="str">
        <f aca="false">IF(AND(E3229&gt;0,AA3229&lt;1,NOT(AND(C3230=C3229,AA3230=AA3229+1))),INDEX(DATAS,AA3229+1),"")</f>
        <v/>
      </c>
      <c r="AI3229" s="51" t="str">
        <f aca="false">IF(AND(AC3229=1,AA3229&lt;1),IF(AND(C3230=C3229,AA3230=AA3229+1),IF(AC3230=1,"",INDEX(DATAS,AA3229+1)),INDEX(DATAS,AA3229+1)),"")</f>
        <v/>
      </c>
    </row>
    <row r="3230" customFormat="false" ht="15" hidden="false" customHeight="false" outlineLevel="0" collapsed="false">
      <c r="A3230" s="51" t="n">
        <v>46309</v>
      </c>
      <c r="B3230" s="0" t="n">
        <v>13</v>
      </c>
      <c r="C3230" s="0" t="n">
        <v>7652</v>
      </c>
      <c r="E3230" s="0" t="n">
        <v>0</v>
      </c>
      <c r="F3230" s="46" t="s">
        <v>1534</v>
      </c>
      <c r="I3230" s="46" t="s">
        <v>179</v>
      </c>
      <c r="U3230" s="0" t="n">
        <v>176</v>
      </c>
      <c r="V3230" s="0" t="n">
        <v>0</v>
      </c>
      <c r="X3230" s="46" t="n">
        <f aca="false">IF(I3230="Male",0,1)</f>
        <v>1</v>
      </c>
      <c r="Y3230" s="46" t="n">
        <f aca="false">IF(OR(I3230="DNB",I3230="Dry DNB"),1,0)</f>
        <v>0</v>
      </c>
      <c r="Z3230" s="0" t="str">
        <f aca="false">IF(ISNUMBER(W3230),A3230-W3230,"")</f>
        <v/>
      </c>
      <c r="AA3230" s="46" t="n">
        <f aca="false">MATCH(A3230,DATAS,0)</f>
        <v>1</v>
      </c>
      <c r="AB3230" s="46" t="n">
        <f aca="false">IF(AND(E3230&gt;0,OR(AND(B3230&gt;=1,B3230&lt;=6),B3230=10)),1,0)</f>
        <v>0</v>
      </c>
      <c r="AC3230" s="46" t="n">
        <f aca="false">IF(AND(E3230&gt;0,B3230=10),1,0)</f>
        <v>0</v>
      </c>
      <c r="AD3230" s="0" t="str">
        <f aca="false">IF(AND(C3229=C3230,AA3229=AA3230-1),AB3229,"")</f>
        <v/>
      </c>
      <c r="AE3230" s="0" t="str">
        <f aca="false">IF(AND(C3229=C3230,AA3229=AA3230-1),AC3229,"")</f>
        <v/>
      </c>
      <c r="AF3230" s="0" t="str">
        <f aca="false">IF(AA3230=1,"",IF(AND(AB3230=1,AD3230&lt;&gt;1),1,0))</f>
        <v/>
      </c>
      <c r="AG3230" s="0" t="str">
        <f aca="false">IF(AA3230=1,"",IF(AND(AC3230=1,AE3230&lt;&gt;1),1,0))</f>
        <v/>
      </c>
      <c r="AH3230" s="51" t="str">
        <f aca="false">IF(AND(E3230&gt;0,AA3230&lt;1,NOT(AND(C3231=C3230,AA3231=AA3230+1))),INDEX(DATAS,AA3230+1),"")</f>
        <v/>
      </c>
      <c r="AI3230" s="51" t="str">
        <f aca="false">IF(AND(AC3230=1,AA3230&lt;1),IF(AND(C3231=C3230,AA3231=AA3230+1),IF(AC3231=1,"",INDEX(DATAS,AA3230+1)),INDEX(DATAS,AA3230+1)),"")</f>
        <v/>
      </c>
    </row>
    <row r="3231" customFormat="false" ht="15" hidden="false" customHeight="false" outlineLevel="0" collapsed="false">
      <c r="A3231" s="51" t="n">
        <v>46309</v>
      </c>
      <c r="B3231" s="0" t="n">
        <v>13</v>
      </c>
      <c r="C3231" s="0" t="n">
        <v>7653</v>
      </c>
      <c r="E3231" s="0" t="n">
        <v>0</v>
      </c>
      <c r="F3231" s="46" t="s">
        <v>1534</v>
      </c>
      <c r="I3231" s="46" t="s">
        <v>179</v>
      </c>
      <c r="U3231" s="0" t="n">
        <v>176</v>
      </c>
      <c r="V3231" s="0" t="n">
        <v>0</v>
      </c>
      <c r="X3231" s="46" t="n">
        <f aca="false">IF(I3231="Male",0,1)</f>
        <v>1</v>
      </c>
      <c r="Y3231" s="46" t="n">
        <f aca="false">IF(OR(I3231="DNB",I3231="Dry DNB"),1,0)</f>
        <v>0</v>
      </c>
      <c r="Z3231" s="0" t="str">
        <f aca="false">IF(ISNUMBER(W3231),A3231-W3231,"")</f>
        <v/>
      </c>
      <c r="AA3231" s="46" t="n">
        <f aca="false">MATCH(A3231,DATAS,0)</f>
        <v>1</v>
      </c>
      <c r="AB3231" s="46" t="n">
        <f aca="false">IF(AND(E3231&gt;0,OR(AND(B3231&gt;=1,B3231&lt;=6),B3231=10)),1,0)</f>
        <v>0</v>
      </c>
      <c r="AC3231" s="46" t="n">
        <f aca="false">IF(AND(E3231&gt;0,B3231=10),1,0)</f>
        <v>0</v>
      </c>
      <c r="AD3231" s="0" t="str">
        <f aca="false">IF(AND(C3230=C3231,AA3230=AA3231-1),AB3230,"")</f>
        <v/>
      </c>
      <c r="AE3231" s="0" t="str">
        <f aca="false">IF(AND(C3230=C3231,AA3230=AA3231-1),AC3230,"")</f>
        <v/>
      </c>
      <c r="AF3231" s="0" t="str">
        <f aca="false">IF(AA3231=1,"",IF(AND(AB3231=1,AD3231&lt;&gt;1),1,0))</f>
        <v/>
      </c>
      <c r="AG3231" s="0" t="str">
        <f aca="false">IF(AA3231=1,"",IF(AND(AC3231=1,AE3231&lt;&gt;1),1,0))</f>
        <v/>
      </c>
      <c r="AH3231" s="51" t="str">
        <f aca="false">IF(AND(E3231&gt;0,AA3231&lt;1,NOT(AND(C3232=C3231,AA3232=AA3231+1))),INDEX(DATAS,AA3231+1),"")</f>
        <v/>
      </c>
      <c r="AI3231" s="51" t="str">
        <f aca="false">IF(AND(AC3231=1,AA3231&lt;1),IF(AND(C3232=C3231,AA3232=AA3231+1),IF(AC3232=1,"",INDEX(DATAS,AA3231+1)),INDEX(DATAS,AA3231+1)),"")</f>
        <v/>
      </c>
    </row>
    <row r="3232" customFormat="false" ht="15" hidden="false" customHeight="false" outlineLevel="0" collapsed="false">
      <c r="A3232" s="51" t="n">
        <v>46309</v>
      </c>
      <c r="B3232" s="0" t="n">
        <v>13</v>
      </c>
      <c r="C3232" s="0" t="n">
        <v>7654</v>
      </c>
      <c r="E3232" s="0" t="n">
        <v>0</v>
      </c>
      <c r="F3232" s="46" t="s">
        <v>1534</v>
      </c>
      <c r="I3232" s="46" t="s">
        <v>179</v>
      </c>
      <c r="U3232" s="0" t="n">
        <v>176</v>
      </c>
      <c r="V3232" s="0" t="n">
        <v>0</v>
      </c>
      <c r="X3232" s="46" t="n">
        <f aca="false">IF(I3232="Male",0,1)</f>
        <v>1</v>
      </c>
      <c r="Y3232" s="46" t="n">
        <f aca="false">IF(OR(I3232="DNB",I3232="Dry DNB"),1,0)</f>
        <v>0</v>
      </c>
      <c r="Z3232" s="0" t="str">
        <f aca="false">IF(ISNUMBER(W3232),A3232-W3232,"")</f>
        <v/>
      </c>
      <c r="AA3232" s="46" t="n">
        <f aca="false">MATCH(A3232,DATAS,0)</f>
        <v>1</v>
      </c>
      <c r="AB3232" s="46" t="n">
        <f aca="false">IF(AND(E3232&gt;0,OR(AND(B3232&gt;=1,B3232&lt;=6),B3232=10)),1,0)</f>
        <v>0</v>
      </c>
      <c r="AC3232" s="46" t="n">
        <f aca="false">IF(AND(E3232&gt;0,B3232=10),1,0)</f>
        <v>0</v>
      </c>
      <c r="AD3232" s="0" t="str">
        <f aca="false">IF(AND(C3231=C3232,AA3231=AA3232-1),AB3231,"")</f>
        <v/>
      </c>
      <c r="AE3232" s="0" t="str">
        <f aca="false">IF(AND(C3231=C3232,AA3231=AA3232-1),AC3231,"")</f>
        <v/>
      </c>
      <c r="AF3232" s="0" t="str">
        <f aca="false">IF(AA3232=1,"",IF(AND(AB3232=1,AD3232&lt;&gt;1),1,0))</f>
        <v/>
      </c>
      <c r="AG3232" s="0" t="str">
        <f aca="false">IF(AA3232=1,"",IF(AND(AC3232=1,AE3232&lt;&gt;1),1,0))</f>
        <v/>
      </c>
      <c r="AH3232" s="51" t="str">
        <f aca="false">IF(AND(E3232&gt;0,AA3232&lt;1,NOT(AND(C3233=C3232,AA3233=AA3232+1))),INDEX(DATAS,AA3232+1),"")</f>
        <v/>
      </c>
      <c r="AI3232" s="51" t="str">
        <f aca="false">IF(AND(AC3232=1,AA3232&lt;1),IF(AND(C3233=C3232,AA3233=AA3232+1),IF(AC3233=1,"",INDEX(DATAS,AA3232+1)),INDEX(DATAS,AA3232+1)),"")</f>
        <v/>
      </c>
    </row>
    <row r="3233" customFormat="false" ht="15" hidden="false" customHeight="false" outlineLevel="0" collapsed="false">
      <c r="A3233" s="51" t="n">
        <v>46309</v>
      </c>
      <c r="B3233" s="0" t="n">
        <v>13</v>
      </c>
      <c r="C3233" s="0" t="n">
        <v>7655</v>
      </c>
      <c r="E3233" s="0" t="n">
        <v>0</v>
      </c>
      <c r="F3233" s="46" t="s">
        <v>1535</v>
      </c>
      <c r="I3233" s="46" t="s">
        <v>179</v>
      </c>
      <c r="U3233" s="0" t="n">
        <v>175</v>
      </c>
      <c r="V3233" s="0" t="n">
        <v>0</v>
      </c>
      <c r="X3233" s="46" t="n">
        <f aca="false">IF(I3233="Male",0,1)</f>
        <v>1</v>
      </c>
      <c r="Y3233" s="46" t="n">
        <f aca="false">IF(OR(I3233="DNB",I3233="Dry DNB"),1,0)</f>
        <v>0</v>
      </c>
      <c r="Z3233" s="0" t="str">
        <f aca="false">IF(ISNUMBER(W3233),A3233-W3233,"")</f>
        <v/>
      </c>
      <c r="AA3233" s="46" t="n">
        <f aca="false">MATCH(A3233,DATAS,0)</f>
        <v>1</v>
      </c>
      <c r="AB3233" s="46" t="n">
        <f aca="false">IF(AND(E3233&gt;0,OR(AND(B3233&gt;=1,B3233&lt;=6),B3233=10)),1,0)</f>
        <v>0</v>
      </c>
      <c r="AC3233" s="46" t="n">
        <f aca="false">IF(AND(E3233&gt;0,B3233=10),1,0)</f>
        <v>0</v>
      </c>
      <c r="AD3233" s="0" t="str">
        <f aca="false">IF(AND(C3232=C3233,AA3232=AA3233-1),AB3232,"")</f>
        <v/>
      </c>
      <c r="AE3233" s="0" t="str">
        <f aca="false">IF(AND(C3232=C3233,AA3232=AA3233-1),AC3232,"")</f>
        <v/>
      </c>
      <c r="AF3233" s="0" t="str">
        <f aca="false">IF(AA3233=1,"",IF(AND(AB3233=1,AD3233&lt;&gt;1),1,0))</f>
        <v/>
      </c>
      <c r="AG3233" s="0" t="str">
        <f aca="false">IF(AA3233=1,"",IF(AND(AC3233=1,AE3233&lt;&gt;1),1,0))</f>
        <v/>
      </c>
      <c r="AH3233" s="51" t="str">
        <f aca="false">IF(AND(E3233&gt;0,AA3233&lt;1,NOT(AND(C3234=C3233,AA3234=AA3233+1))),INDEX(DATAS,AA3233+1),"")</f>
        <v/>
      </c>
      <c r="AI3233" s="51" t="str">
        <f aca="false">IF(AND(AC3233=1,AA3233&lt;1),IF(AND(C3234=C3233,AA3234=AA3233+1),IF(AC3234=1,"",INDEX(DATAS,AA3233+1)),INDEX(DATAS,AA3233+1)),"")</f>
        <v/>
      </c>
    </row>
    <row r="3234" customFormat="false" ht="15" hidden="false" customHeight="false" outlineLevel="0" collapsed="false">
      <c r="A3234" s="51" t="n">
        <v>46309</v>
      </c>
      <c r="B3234" s="0" t="n">
        <v>13</v>
      </c>
      <c r="C3234" s="0" t="n">
        <v>7656</v>
      </c>
      <c r="E3234" s="0" t="n">
        <v>0</v>
      </c>
      <c r="F3234" s="46" t="s">
        <v>1535</v>
      </c>
      <c r="I3234" s="46" t="s">
        <v>179</v>
      </c>
      <c r="U3234" s="0" t="n">
        <v>175</v>
      </c>
      <c r="V3234" s="0" t="n">
        <v>0</v>
      </c>
      <c r="X3234" s="46" t="n">
        <f aca="false">IF(I3234="Male",0,1)</f>
        <v>1</v>
      </c>
      <c r="Y3234" s="46" t="n">
        <f aca="false">IF(OR(I3234="DNB",I3234="Dry DNB"),1,0)</f>
        <v>0</v>
      </c>
      <c r="Z3234" s="0" t="str">
        <f aca="false">IF(ISNUMBER(W3234),A3234-W3234,"")</f>
        <v/>
      </c>
      <c r="AA3234" s="46" t="n">
        <f aca="false">MATCH(A3234,DATAS,0)</f>
        <v>1</v>
      </c>
      <c r="AB3234" s="46" t="n">
        <f aca="false">IF(AND(E3234&gt;0,OR(AND(B3234&gt;=1,B3234&lt;=6),B3234=10)),1,0)</f>
        <v>0</v>
      </c>
      <c r="AC3234" s="46" t="n">
        <f aca="false">IF(AND(E3234&gt;0,B3234=10),1,0)</f>
        <v>0</v>
      </c>
      <c r="AD3234" s="0" t="str">
        <f aca="false">IF(AND(C3233=C3234,AA3233=AA3234-1),AB3233,"")</f>
        <v/>
      </c>
      <c r="AE3234" s="0" t="str">
        <f aca="false">IF(AND(C3233=C3234,AA3233=AA3234-1),AC3233,"")</f>
        <v/>
      </c>
      <c r="AF3234" s="0" t="str">
        <f aca="false">IF(AA3234=1,"",IF(AND(AB3234=1,AD3234&lt;&gt;1),1,0))</f>
        <v/>
      </c>
      <c r="AG3234" s="0" t="str">
        <f aca="false">IF(AA3234=1,"",IF(AND(AC3234=1,AE3234&lt;&gt;1),1,0))</f>
        <v/>
      </c>
      <c r="AH3234" s="51" t="str">
        <f aca="false">IF(AND(E3234&gt;0,AA3234&lt;1,NOT(AND(C3235=C3234,AA3235=AA3234+1))),INDEX(DATAS,AA3234+1),"")</f>
        <v/>
      </c>
      <c r="AI3234" s="51" t="str">
        <f aca="false">IF(AND(AC3234=1,AA3234&lt;1),IF(AND(C3235=C3234,AA3235=AA3234+1),IF(AC3235=1,"",INDEX(DATAS,AA3234+1)),INDEX(DATAS,AA3234+1)),"")</f>
        <v/>
      </c>
    </row>
    <row r="3235" customFormat="false" ht="15" hidden="false" customHeight="false" outlineLevel="0" collapsed="false">
      <c r="A3235" s="51" t="n">
        <v>46309</v>
      </c>
      <c r="B3235" s="0" t="n">
        <v>13</v>
      </c>
      <c r="C3235" s="0" t="n">
        <v>7657</v>
      </c>
      <c r="E3235" s="0" t="n">
        <v>0</v>
      </c>
      <c r="F3235" s="46" t="s">
        <v>1535</v>
      </c>
      <c r="I3235" s="46" t="s">
        <v>179</v>
      </c>
      <c r="U3235" s="0" t="n">
        <v>175</v>
      </c>
      <c r="V3235" s="0" t="n">
        <v>0</v>
      </c>
      <c r="X3235" s="46" t="n">
        <f aca="false">IF(I3235="Male",0,1)</f>
        <v>1</v>
      </c>
      <c r="Y3235" s="46" t="n">
        <f aca="false">IF(OR(I3235="DNB",I3235="Dry DNB"),1,0)</f>
        <v>0</v>
      </c>
      <c r="Z3235" s="0" t="str">
        <f aca="false">IF(ISNUMBER(W3235),A3235-W3235,"")</f>
        <v/>
      </c>
      <c r="AA3235" s="46" t="n">
        <f aca="false">MATCH(A3235,DATAS,0)</f>
        <v>1</v>
      </c>
      <c r="AB3235" s="46" t="n">
        <f aca="false">IF(AND(E3235&gt;0,OR(AND(B3235&gt;=1,B3235&lt;=6),B3235=10)),1,0)</f>
        <v>0</v>
      </c>
      <c r="AC3235" s="46" t="n">
        <f aca="false">IF(AND(E3235&gt;0,B3235=10),1,0)</f>
        <v>0</v>
      </c>
      <c r="AD3235" s="0" t="str">
        <f aca="false">IF(AND(C3234=C3235,AA3234=AA3235-1),AB3234,"")</f>
        <v/>
      </c>
      <c r="AE3235" s="0" t="str">
        <f aca="false">IF(AND(C3234=C3235,AA3234=AA3235-1),AC3234,"")</f>
        <v/>
      </c>
      <c r="AF3235" s="0" t="str">
        <f aca="false">IF(AA3235=1,"",IF(AND(AB3235=1,AD3235&lt;&gt;1),1,0))</f>
        <v/>
      </c>
      <c r="AG3235" s="0" t="str">
        <f aca="false">IF(AA3235=1,"",IF(AND(AC3235=1,AE3235&lt;&gt;1),1,0))</f>
        <v/>
      </c>
      <c r="AH3235" s="51" t="str">
        <f aca="false">IF(AND(E3235&gt;0,AA3235&lt;1,NOT(AND(C3236=C3235,AA3236=AA3235+1))),INDEX(DATAS,AA3235+1),"")</f>
        <v/>
      </c>
      <c r="AI3235" s="51" t="str">
        <f aca="false">IF(AND(AC3235=1,AA3235&lt;1),IF(AND(C3236=C3235,AA3236=AA3235+1),IF(AC3236=1,"",INDEX(DATAS,AA3235+1)),INDEX(DATAS,AA3235+1)),"")</f>
        <v/>
      </c>
    </row>
    <row r="3236" customFormat="false" ht="15" hidden="false" customHeight="false" outlineLevel="0" collapsed="false">
      <c r="A3236" s="51" t="n">
        <v>46309</v>
      </c>
      <c r="B3236" s="0" t="n">
        <v>13</v>
      </c>
      <c r="C3236" s="0" t="n">
        <v>7658</v>
      </c>
      <c r="E3236" s="0" t="n">
        <v>0</v>
      </c>
      <c r="F3236" s="46" t="s">
        <v>1536</v>
      </c>
      <c r="I3236" s="46" t="s">
        <v>179</v>
      </c>
      <c r="U3236" s="0" t="n">
        <v>174</v>
      </c>
      <c r="V3236" s="0" t="n">
        <v>0</v>
      </c>
      <c r="X3236" s="46" t="n">
        <f aca="false">IF(I3236="Male",0,1)</f>
        <v>1</v>
      </c>
      <c r="Y3236" s="46" t="n">
        <f aca="false">IF(OR(I3236="DNB",I3236="Dry DNB"),1,0)</f>
        <v>0</v>
      </c>
      <c r="Z3236" s="0" t="str">
        <f aca="false">IF(ISNUMBER(W3236),A3236-W3236,"")</f>
        <v/>
      </c>
      <c r="AA3236" s="46" t="n">
        <f aca="false">MATCH(A3236,DATAS,0)</f>
        <v>1</v>
      </c>
      <c r="AB3236" s="46" t="n">
        <f aca="false">IF(AND(E3236&gt;0,OR(AND(B3236&gt;=1,B3236&lt;=6),B3236=10)),1,0)</f>
        <v>0</v>
      </c>
      <c r="AC3236" s="46" t="n">
        <f aca="false">IF(AND(E3236&gt;0,B3236=10),1,0)</f>
        <v>0</v>
      </c>
      <c r="AD3236" s="0" t="str">
        <f aca="false">IF(AND(C3235=C3236,AA3235=AA3236-1),AB3235,"")</f>
        <v/>
      </c>
      <c r="AE3236" s="0" t="str">
        <f aca="false">IF(AND(C3235=C3236,AA3235=AA3236-1),AC3235,"")</f>
        <v/>
      </c>
      <c r="AF3236" s="0" t="str">
        <f aca="false">IF(AA3236=1,"",IF(AND(AB3236=1,AD3236&lt;&gt;1),1,0))</f>
        <v/>
      </c>
      <c r="AG3236" s="0" t="str">
        <f aca="false">IF(AA3236=1,"",IF(AND(AC3236=1,AE3236&lt;&gt;1),1,0))</f>
        <v/>
      </c>
      <c r="AH3236" s="51" t="str">
        <f aca="false">IF(AND(E3236&gt;0,AA3236&lt;1,NOT(AND(C3237=C3236,AA3237=AA3236+1))),INDEX(DATAS,AA3236+1),"")</f>
        <v/>
      </c>
      <c r="AI3236" s="51" t="str">
        <f aca="false">IF(AND(AC3236=1,AA3236&lt;1),IF(AND(C3237=C3236,AA3237=AA3236+1),IF(AC3237=1,"",INDEX(DATAS,AA3236+1)),INDEX(DATAS,AA3236+1)),"")</f>
        <v/>
      </c>
    </row>
    <row r="3237" customFormat="false" ht="15" hidden="false" customHeight="false" outlineLevel="0" collapsed="false">
      <c r="A3237" s="51" t="n">
        <v>46309</v>
      </c>
      <c r="B3237" s="0" t="n">
        <v>13</v>
      </c>
      <c r="C3237" s="0" t="n">
        <v>7659</v>
      </c>
      <c r="E3237" s="0" t="n">
        <v>0</v>
      </c>
      <c r="F3237" s="46" t="s">
        <v>1536</v>
      </c>
      <c r="I3237" s="46" t="s">
        <v>179</v>
      </c>
      <c r="U3237" s="0" t="n">
        <v>174</v>
      </c>
      <c r="V3237" s="0" t="n">
        <v>0</v>
      </c>
      <c r="X3237" s="46" t="n">
        <f aca="false">IF(I3237="Male",0,1)</f>
        <v>1</v>
      </c>
      <c r="Y3237" s="46" t="n">
        <f aca="false">IF(OR(I3237="DNB",I3237="Dry DNB"),1,0)</f>
        <v>0</v>
      </c>
      <c r="Z3237" s="0" t="str">
        <f aca="false">IF(ISNUMBER(W3237),A3237-W3237,"")</f>
        <v/>
      </c>
      <c r="AA3237" s="46" t="n">
        <f aca="false">MATCH(A3237,DATAS,0)</f>
        <v>1</v>
      </c>
      <c r="AB3237" s="46" t="n">
        <f aca="false">IF(AND(E3237&gt;0,OR(AND(B3237&gt;=1,B3237&lt;=6),B3237=10)),1,0)</f>
        <v>0</v>
      </c>
      <c r="AC3237" s="46" t="n">
        <f aca="false">IF(AND(E3237&gt;0,B3237=10),1,0)</f>
        <v>0</v>
      </c>
      <c r="AD3237" s="0" t="str">
        <f aca="false">IF(AND(C3236=C3237,AA3236=AA3237-1),AB3236,"")</f>
        <v/>
      </c>
      <c r="AE3237" s="0" t="str">
        <f aca="false">IF(AND(C3236=C3237,AA3236=AA3237-1),AC3236,"")</f>
        <v/>
      </c>
      <c r="AF3237" s="0" t="str">
        <f aca="false">IF(AA3237=1,"",IF(AND(AB3237=1,AD3237&lt;&gt;1),1,0))</f>
        <v/>
      </c>
      <c r="AG3237" s="0" t="str">
        <f aca="false">IF(AA3237=1,"",IF(AND(AC3237=1,AE3237&lt;&gt;1),1,0))</f>
        <v/>
      </c>
      <c r="AH3237" s="51" t="str">
        <f aca="false">IF(AND(E3237&gt;0,AA3237&lt;1,NOT(AND(C3238=C3237,AA3238=AA3237+1))),INDEX(DATAS,AA3237+1),"")</f>
        <v/>
      </c>
      <c r="AI3237" s="51" t="str">
        <f aca="false">IF(AND(AC3237=1,AA3237&lt;1),IF(AND(C3238=C3237,AA3238=AA3237+1),IF(AC3238=1,"",INDEX(DATAS,AA3237+1)),INDEX(DATAS,AA3237+1)),"")</f>
        <v/>
      </c>
    </row>
    <row r="3238" customFormat="false" ht="15" hidden="false" customHeight="false" outlineLevel="0" collapsed="false">
      <c r="A3238" s="51" t="n">
        <v>46309</v>
      </c>
      <c r="B3238" s="0" t="n">
        <v>13</v>
      </c>
      <c r="C3238" s="0" t="n">
        <v>7660</v>
      </c>
      <c r="E3238" s="0" t="n">
        <v>0</v>
      </c>
      <c r="F3238" s="46" t="s">
        <v>1536</v>
      </c>
      <c r="I3238" s="46" t="s">
        <v>179</v>
      </c>
      <c r="U3238" s="0" t="n">
        <v>174</v>
      </c>
      <c r="V3238" s="0" t="n">
        <v>0</v>
      </c>
      <c r="X3238" s="46" t="n">
        <f aca="false">IF(I3238="Male",0,1)</f>
        <v>1</v>
      </c>
      <c r="Y3238" s="46" t="n">
        <f aca="false">IF(OR(I3238="DNB",I3238="Dry DNB"),1,0)</f>
        <v>0</v>
      </c>
      <c r="Z3238" s="0" t="str">
        <f aca="false">IF(ISNUMBER(W3238),A3238-W3238,"")</f>
        <v/>
      </c>
      <c r="AA3238" s="46" t="n">
        <f aca="false">MATCH(A3238,DATAS,0)</f>
        <v>1</v>
      </c>
      <c r="AB3238" s="46" t="n">
        <f aca="false">IF(AND(E3238&gt;0,OR(AND(B3238&gt;=1,B3238&lt;=6),B3238=10)),1,0)</f>
        <v>0</v>
      </c>
      <c r="AC3238" s="46" t="n">
        <f aca="false">IF(AND(E3238&gt;0,B3238=10),1,0)</f>
        <v>0</v>
      </c>
      <c r="AD3238" s="0" t="str">
        <f aca="false">IF(AND(C3237=C3238,AA3237=AA3238-1),AB3237,"")</f>
        <v/>
      </c>
      <c r="AE3238" s="0" t="str">
        <f aca="false">IF(AND(C3237=C3238,AA3237=AA3238-1),AC3237,"")</f>
        <v/>
      </c>
      <c r="AF3238" s="0" t="str">
        <f aca="false">IF(AA3238=1,"",IF(AND(AB3238=1,AD3238&lt;&gt;1),1,0))</f>
        <v/>
      </c>
      <c r="AG3238" s="0" t="str">
        <f aca="false">IF(AA3238=1,"",IF(AND(AC3238=1,AE3238&lt;&gt;1),1,0))</f>
        <v/>
      </c>
      <c r="AH3238" s="51" t="str">
        <f aca="false">IF(AND(E3238&gt;0,AA3238&lt;1,NOT(AND(C3239=C3238,AA3239=AA3238+1))),INDEX(DATAS,AA3238+1),"")</f>
        <v/>
      </c>
      <c r="AI3238" s="51" t="str">
        <f aca="false">IF(AND(AC3238=1,AA3238&lt;1),IF(AND(C3239=C3238,AA3239=AA3238+1),IF(AC3239=1,"",INDEX(DATAS,AA3238+1)),INDEX(DATAS,AA3238+1)),"")</f>
        <v/>
      </c>
    </row>
    <row r="3239" customFormat="false" ht="15" hidden="false" customHeight="false" outlineLevel="0" collapsed="false">
      <c r="A3239" s="51" t="n">
        <v>46309</v>
      </c>
      <c r="B3239" s="0" t="n">
        <v>13</v>
      </c>
      <c r="C3239" s="0" t="n">
        <v>7661</v>
      </c>
      <c r="E3239" s="0" t="n">
        <v>0</v>
      </c>
      <c r="F3239" s="46" t="s">
        <v>1536</v>
      </c>
      <c r="I3239" s="46" t="s">
        <v>179</v>
      </c>
      <c r="U3239" s="0" t="n">
        <v>174</v>
      </c>
      <c r="V3239" s="0" t="n">
        <v>0</v>
      </c>
      <c r="X3239" s="46" t="n">
        <f aca="false">IF(I3239="Male",0,1)</f>
        <v>1</v>
      </c>
      <c r="Y3239" s="46" t="n">
        <f aca="false">IF(OR(I3239="DNB",I3239="Dry DNB"),1,0)</f>
        <v>0</v>
      </c>
      <c r="Z3239" s="0" t="str">
        <f aca="false">IF(ISNUMBER(W3239),A3239-W3239,"")</f>
        <v/>
      </c>
      <c r="AA3239" s="46" t="n">
        <f aca="false">MATCH(A3239,DATAS,0)</f>
        <v>1</v>
      </c>
      <c r="AB3239" s="46" t="n">
        <f aca="false">IF(AND(E3239&gt;0,OR(AND(B3239&gt;=1,B3239&lt;=6),B3239=10)),1,0)</f>
        <v>0</v>
      </c>
      <c r="AC3239" s="46" t="n">
        <f aca="false">IF(AND(E3239&gt;0,B3239=10),1,0)</f>
        <v>0</v>
      </c>
      <c r="AD3239" s="0" t="str">
        <f aca="false">IF(AND(C3238=C3239,AA3238=AA3239-1),AB3238,"")</f>
        <v/>
      </c>
      <c r="AE3239" s="0" t="str">
        <f aca="false">IF(AND(C3238=C3239,AA3238=AA3239-1),AC3238,"")</f>
        <v/>
      </c>
      <c r="AF3239" s="0" t="str">
        <f aca="false">IF(AA3239=1,"",IF(AND(AB3239=1,AD3239&lt;&gt;1),1,0))</f>
        <v/>
      </c>
      <c r="AG3239" s="0" t="str">
        <f aca="false">IF(AA3239=1,"",IF(AND(AC3239=1,AE3239&lt;&gt;1),1,0))</f>
        <v/>
      </c>
      <c r="AH3239" s="51" t="str">
        <f aca="false">IF(AND(E3239&gt;0,AA3239&lt;1,NOT(AND(C3240=C3239,AA3240=AA3239+1))),INDEX(DATAS,AA3239+1),"")</f>
        <v/>
      </c>
      <c r="AI3239" s="51" t="str">
        <f aca="false">IF(AND(AC3239=1,AA3239&lt;1),IF(AND(C3240=C3239,AA3240=AA3239+1),IF(AC3240=1,"",INDEX(DATAS,AA3239+1)),INDEX(DATAS,AA3239+1)),"")</f>
        <v/>
      </c>
    </row>
    <row r="3240" customFormat="false" ht="15" hidden="false" customHeight="false" outlineLevel="0" collapsed="false">
      <c r="A3240" s="51" t="n">
        <v>46309</v>
      </c>
      <c r="B3240" s="0" t="n">
        <v>13</v>
      </c>
      <c r="C3240" s="0" t="n">
        <v>7662</v>
      </c>
      <c r="E3240" s="0" t="n">
        <v>0</v>
      </c>
      <c r="F3240" s="46" t="s">
        <v>1536</v>
      </c>
      <c r="I3240" s="46" t="s">
        <v>179</v>
      </c>
      <c r="U3240" s="0" t="n">
        <v>174</v>
      </c>
      <c r="V3240" s="0" t="n">
        <v>0</v>
      </c>
      <c r="X3240" s="46" t="n">
        <f aca="false">IF(I3240="Male",0,1)</f>
        <v>1</v>
      </c>
      <c r="Y3240" s="46" t="n">
        <f aca="false">IF(OR(I3240="DNB",I3240="Dry DNB"),1,0)</f>
        <v>0</v>
      </c>
      <c r="Z3240" s="0" t="str">
        <f aca="false">IF(ISNUMBER(W3240),A3240-W3240,"")</f>
        <v/>
      </c>
      <c r="AA3240" s="46" t="n">
        <f aca="false">MATCH(A3240,DATAS,0)</f>
        <v>1</v>
      </c>
      <c r="AB3240" s="46" t="n">
        <f aca="false">IF(AND(E3240&gt;0,OR(AND(B3240&gt;=1,B3240&lt;=6),B3240=10)),1,0)</f>
        <v>0</v>
      </c>
      <c r="AC3240" s="46" t="n">
        <f aca="false">IF(AND(E3240&gt;0,B3240=10),1,0)</f>
        <v>0</v>
      </c>
      <c r="AD3240" s="0" t="str">
        <f aca="false">IF(AND(C3239=C3240,AA3239=AA3240-1),AB3239,"")</f>
        <v/>
      </c>
      <c r="AE3240" s="0" t="str">
        <f aca="false">IF(AND(C3239=C3240,AA3239=AA3240-1),AC3239,"")</f>
        <v/>
      </c>
      <c r="AF3240" s="0" t="str">
        <f aca="false">IF(AA3240=1,"",IF(AND(AB3240=1,AD3240&lt;&gt;1),1,0))</f>
        <v/>
      </c>
      <c r="AG3240" s="0" t="str">
        <f aca="false">IF(AA3240=1,"",IF(AND(AC3240=1,AE3240&lt;&gt;1),1,0))</f>
        <v/>
      </c>
      <c r="AH3240" s="51" t="str">
        <f aca="false">IF(AND(E3240&gt;0,AA3240&lt;1,NOT(AND(C3241=C3240,AA3241=AA3240+1))),INDEX(DATAS,AA3240+1),"")</f>
        <v/>
      </c>
      <c r="AI3240" s="51" t="str">
        <f aca="false">IF(AND(AC3240=1,AA3240&lt;1),IF(AND(C3241=C3240,AA3241=AA3240+1),IF(AC3241=1,"",INDEX(DATAS,AA3240+1)),INDEX(DATAS,AA3240+1)),"")</f>
        <v/>
      </c>
    </row>
    <row r="3241" customFormat="false" ht="15" hidden="false" customHeight="false" outlineLevel="0" collapsed="false">
      <c r="A3241" s="51" t="n">
        <v>46309</v>
      </c>
      <c r="B3241" s="0" t="n">
        <v>13</v>
      </c>
      <c r="C3241" s="0" t="n">
        <v>7663</v>
      </c>
      <c r="E3241" s="0" t="n">
        <v>0</v>
      </c>
      <c r="F3241" s="46" t="s">
        <v>1537</v>
      </c>
      <c r="I3241" s="46" t="s">
        <v>179</v>
      </c>
      <c r="U3241" s="0" t="n">
        <v>172</v>
      </c>
      <c r="V3241" s="0" t="n">
        <v>0</v>
      </c>
      <c r="X3241" s="46" t="n">
        <f aca="false">IF(I3241="Male",0,1)</f>
        <v>1</v>
      </c>
      <c r="Y3241" s="46" t="n">
        <f aca="false">IF(OR(I3241="DNB",I3241="Dry DNB"),1,0)</f>
        <v>0</v>
      </c>
      <c r="Z3241" s="0" t="str">
        <f aca="false">IF(ISNUMBER(W3241),A3241-W3241,"")</f>
        <v/>
      </c>
      <c r="AA3241" s="46" t="n">
        <f aca="false">MATCH(A3241,DATAS,0)</f>
        <v>1</v>
      </c>
      <c r="AB3241" s="46" t="n">
        <f aca="false">IF(AND(E3241&gt;0,OR(AND(B3241&gt;=1,B3241&lt;=6),B3241=10)),1,0)</f>
        <v>0</v>
      </c>
      <c r="AC3241" s="46" t="n">
        <f aca="false">IF(AND(E3241&gt;0,B3241=10),1,0)</f>
        <v>0</v>
      </c>
      <c r="AD3241" s="0" t="str">
        <f aca="false">IF(AND(C3240=C3241,AA3240=AA3241-1),AB3240,"")</f>
        <v/>
      </c>
      <c r="AE3241" s="0" t="str">
        <f aca="false">IF(AND(C3240=C3241,AA3240=AA3241-1),AC3240,"")</f>
        <v/>
      </c>
      <c r="AF3241" s="0" t="str">
        <f aca="false">IF(AA3241=1,"",IF(AND(AB3241=1,AD3241&lt;&gt;1),1,0))</f>
        <v/>
      </c>
      <c r="AG3241" s="0" t="str">
        <f aca="false">IF(AA3241=1,"",IF(AND(AC3241=1,AE3241&lt;&gt;1),1,0))</f>
        <v/>
      </c>
      <c r="AH3241" s="51" t="str">
        <f aca="false">IF(AND(E3241&gt;0,AA3241&lt;1,NOT(AND(C3242=C3241,AA3242=AA3241+1))),INDEX(DATAS,AA3241+1),"")</f>
        <v/>
      </c>
      <c r="AI3241" s="51" t="str">
        <f aca="false">IF(AND(AC3241=1,AA3241&lt;1),IF(AND(C3242=C3241,AA3242=AA3241+1),IF(AC3242=1,"",INDEX(DATAS,AA3241+1)),INDEX(DATAS,AA3241+1)),"")</f>
        <v/>
      </c>
    </row>
    <row r="3242" customFormat="false" ht="15" hidden="false" customHeight="false" outlineLevel="0" collapsed="false">
      <c r="A3242" s="51" t="n">
        <v>46309</v>
      </c>
      <c r="B3242" s="0" t="n">
        <v>13</v>
      </c>
      <c r="C3242" s="0" t="n">
        <v>7664</v>
      </c>
      <c r="E3242" s="0" t="n">
        <v>0</v>
      </c>
      <c r="F3242" s="46" t="s">
        <v>1537</v>
      </c>
      <c r="I3242" s="46" t="s">
        <v>179</v>
      </c>
      <c r="U3242" s="0" t="n">
        <v>172</v>
      </c>
      <c r="V3242" s="0" t="n">
        <v>0</v>
      </c>
      <c r="X3242" s="46" t="n">
        <f aca="false">IF(I3242="Male",0,1)</f>
        <v>1</v>
      </c>
      <c r="Y3242" s="46" t="n">
        <f aca="false">IF(OR(I3242="DNB",I3242="Dry DNB"),1,0)</f>
        <v>0</v>
      </c>
      <c r="Z3242" s="0" t="str">
        <f aca="false">IF(ISNUMBER(W3242),A3242-W3242,"")</f>
        <v/>
      </c>
      <c r="AA3242" s="46" t="n">
        <f aca="false">MATCH(A3242,DATAS,0)</f>
        <v>1</v>
      </c>
      <c r="AB3242" s="46" t="n">
        <f aca="false">IF(AND(E3242&gt;0,OR(AND(B3242&gt;=1,B3242&lt;=6),B3242=10)),1,0)</f>
        <v>0</v>
      </c>
      <c r="AC3242" s="46" t="n">
        <f aca="false">IF(AND(E3242&gt;0,B3242=10),1,0)</f>
        <v>0</v>
      </c>
      <c r="AD3242" s="0" t="str">
        <f aca="false">IF(AND(C3241=C3242,AA3241=AA3242-1),AB3241,"")</f>
        <v/>
      </c>
      <c r="AE3242" s="0" t="str">
        <f aca="false">IF(AND(C3241=C3242,AA3241=AA3242-1),AC3241,"")</f>
        <v/>
      </c>
      <c r="AF3242" s="0" t="str">
        <f aca="false">IF(AA3242=1,"",IF(AND(AB3242=1,AD3242&lt;&gt;1),1,0))</f>
        <v/>
      </c>
      <c r="AG3242" s="0" t="str">
        <f aca="false">IF(AA3242=1,"",IF(AND(AC3242=1,AE3242&lt;&gt;1),1,0))</f>
        <v/>
      </c>
      <c r="AH3242" s="51" t="str">
        <f aca="false">IF(AND(E3242&gt;0,AA3242&lt;1,NOT(AND(C3243=C3242,AA3243=AA3242+1))),INDEX(DATAS,AA3242+1),"")</f>
        <v/>
      </c>
      <c r="AI3242" s="51" t="str">
        <f aca="false">IF(AND(AC3242=1,AA3242&lt;1),IF(AND(C3243=C3242,AA3243=AA3242+1),IF(AC3243=1,"",INDEX(DATAS,AA3242+1)),INDEX(DATAS,AA3242+1)),"")</f>
        <v/>
      </c>
    </row>
    <row r="3243" customFormat="false" ht="15" hidden="false" customHeight="false" outlineLevel="0" collapsed="false">
      <c r="A3243" s="51" t="n">
        <v>46309</v>
      </c>
      <c r="B3243" s="0" t="n">
        <v>13</v>
      </c>
      <c r="C3243" s="0" t="n">
        <v>7665</v>
      </c>
      <c r="E3243" s="0" t="n">
        <v>0</v>
      </c>
      <c r="F3243" s="46" t="s">
        <v>1537</v>
      </c>
      <c r="I3243" s="46" t="s">
        <v>179</v>
      </c>
      <c r="U3243" s="0" t="n">
        <v>172</v>
      </c>
      <c r="V3243" s="0" t="n">
        <v>0</v>
      </c>
      <c r="X3243" s="46" t="n">
        <f aca="false">IF(I3243="Male",0,1)</f>
        <v>1</v>
      </c>
      <c r="Y3243" s="46" t="n">
        <f aca="false">IF(OR(I3243="DNB",I3243="Dry DNB"),1,0)</f>
        <v>0</v>
      </c>
      <c r="Z3243" s="0" t="str">
        <f aca="false">IF(ISNUMBER(W3243),A3243-W3243,"")</f>
        <v/>
      </c>
      <c r="AA3243" s="46" t="n">
        <f aca="false">MATCH(A3243,DATAS,0)</f>
        <v>1</v>
      </c>
      <c r="AB3243" s="46" t="n">
        <f aca="false">IF(AND(E3243&gt;0,OR(AND(B3243&gt;=1,B3243&lt;=6),B3243=10)),1,0)</f>
        <v>0</v>
      </c>
      <c r="AC3243" s="46" t="n">
        <f aca="false">IF(AND(E3243&gt;0,B3243=10),1,0)</f>
        <v>0</v>
      </c>
      <c r="AD3243" s="0" t="str">
        <f aca="false">IF(AND(C3242=C3243,AA3242=AA3243-1),AB3242,"")</f>
        <v/>
      </c>
      <c r="AE3243" s="0" t="str">
        <f aca="false">IF(AND(C3242=C3243,AA3242=AA3243-1),AC3242,"")</f>
        <v/>
      </c>
      <c r="AF3243" s="0" t="str">
        <f aca="false">IF(AA3243=1,"",IF(AND(AB3243=1,AD3243&lt;&gt;1),1,0))</f>
        <v/>
      </c>
      <c r="AG3243" s="0" t="str">
        <f aca="false">IF(AA3243=1,"",IF(AND(AC3243=1,AE3243&lt;&gt;1),1,0))</f>
        <v/>
      </c>
      <c r="AH3243" s="51" t="str">
        <f aca="false">IF(AND(E3243&gt;0,AA3243&lt;1,NOT(AND(C3244=C3243,AA3244=AA3243+1))),INDEX(DATAS,AA3243+1),"")</f>
        <v/>
      </c>
      <c r="AI3243" s="51" t="str">
        <f aca="false">IF(AND(AC3243=1,AA3243&lt;1),IF(AND(C3244=C3243,AA3244=AA3243+1),IF(AC3244=1,"",INDEX(DATAS,AA3243+1)),INDEX(DATAS,AA3243+1)),"")</f>
        <v/>
      </c>
    </row>
    <row r="3244" customFormat="false" ht="15" hidden="false" customHeight="false" outlineLevel="0" collapsed="false">
      <c r="A3244" s="51" t="n">
        <v>46309</v>
      </c>
      <c r="B3244" s="0" t="n">
        <v>13</v>
      </c>
      <c r="C3244" s="0" t="n">
        <v>7667</v>
      </c>
      <c r="E3244" s="0" t="n">
        <v>0</v>
      </c>
      <c r="F3244" s="46" t="s">
        <v>1537</v>
      </c>
      <c r="I3244" s="46" t="s">
        <v>179</v>
      </c>
      <c r="U3244" s="0" t="n">
        <v>172</v>
      </c>
      <c r="V3244" s="0" t="n">
        <v>0</v>
      </c>
      <c r="X3244" s="46" t="n">
        <f aca="false">IF(I3244="Male",0,1)</f>
        <v>1</v>
      </c>
      <c r="Y3244" s="46" t="n">
        <f aca="false">IF(OR(I3244="DNB",I3244="Dry DNB"),1,0)</f>
        <v>0</v>
      </c>
      <c r="Z3244" s="0" t="str">
        <f aca="false">IF(ISNUMBER(W3244),A3244-W3244,"")</f>
        <v/>
      </c>
      <c r="AA3244" s="46" t="n">
        <f aca="false">MATCH(A3244,DATAS,0)</f>
        <v>1</v>
      </c>
      <c r="AB3244" s="46" t="n">
        <f aca="false">IF(AND(E3244&gt;0,OR(AND(B3244&gt;=1,B3244&lt;=6),B3244=10)),1,0)</f>
        <v>0</v>
      </c>
      <c r="AC3244" s="46" t="n">
        <f aca="false">IF(AND(E3244&gt;0,B3244=10),1,0)</f>
        <v>0</v>
      </c>
      <c r="AD3244" s="0" t="str">
        <f aca="false">IF(AND(C3243=C3244,AA3243=AA3244-1),AB3243,"")</f>
        <v/>
      </c>
      <c r="AE3244" s="0" t="str">
        <f aca="false">IF(AND(C3243=C3244,AA3243=AA3244-1),AC3243,"")</f>
        <v/>
      </c>
      <c r="AF3244" s="0" t="str">
        <f aca="false">IF(AA3244=1,"",IF(AND(AB3244=1,AD3244&lt;&gt;1),1,0))</f>
        <v/>
      </c>
      <c r="AG3244" s="0" t="str">
        <f aca="false">IF(AA3244=1,"",IF(AND(AC3244=1,AE3244&lt;&gt;1),1,0))</f>
        <v/>
      </c>
      <c r="AH3244" s="51" t="str">
        <f aca="false">IF(AND(E3244&gt;0,AA3244&lt;1,NOT(AND(C3245=C3244,AA3245=AA3244+1))),INDEX(DATAS,AA3244+1),"")</f>
        <v/>
      </c>
      <c r="AI3244" s="51" t="str">
        <f aca="false">IF(AND(AC3244=1,AA3244&lt;1),IF(AND(C3245=C3244,AA3245=AA3244+1),IF(AC3245=1,"",INDEX(DATAS,AA3244+1)),INDEX(DATAS,AA3244+1)),"")</f>
        <v/>
      </c>
    </row>
    <row r="3245" customFormat="false" ht="15" hidden="false" customHeight="false" outlineLevel="0" collapsed="false">
      <c r="A3245" s="51" t="n">
        <v>46309</v>
      </c>
      <c r="B3245" s="0" t="n">
        <v>13</v>
      </c>
      <c r="C3245" s="0" t="n">
        <v>7668</v>
      </c>
      <c r="E3245" s="0" t="n">
        <v>0</v>
      </c>
      <c r="F3245" s="46" t="s">
        <v>1538</v>
      </c>
      <c r="I3245" s="46" t="s">
        <v>179</v>
      </c>
      <c r="U3245" s="0" t="n">
        <v>171</v>
      </c>
      <c r="V3245" s="0" t="n">
        <v>0</v>
      </c>
      <c r="X3245" s="46" t="n">
        <f aca="false">IF(I3245="Male",0,1)</f>
        <v>1</v>
      </c>
      <c r="Y3245" s="46" t="n">
        <f aca="false">IF(OR(I3245="DNB",I3245="Dry DNB"),1,0)</f>
        <v>0</v>
      </c>
      <c r="Z3245" s="0" t="str">
        <f aca="false">IF(ISNUMBER(W3245),A3245-W3245,"")</f>
        <v/>
      </c>
      <c r="AA3245" s="46" t="n">
        <f aca="false">MATCH(A3245,DATAS,0)</f>
        <v>1</v>
      </c>
      <c r="AB3245" s="46" t="n">
        <f aca="false">IF(AND(E3245&gt;0,OR(AND(B3245&gt;=1,B3245&lt;=6),B3245=10)),1,0)</f>
        <v>0</v>
      </c>
      <c r="AC3245" s="46" t="n">
        <f aca="false">IF(AND(E3245&gt;0,B3245=10),1,0)</f>
        <v>0</v>
      </c>
      <c r="AD3245" s="0" t="str">
        <f aca="false">IF(AND(C3244=C3245,AA3244=AA3245-1),AB3244,"")</f>
        <v/>
      </c>
      <c r="AE3245" s="0" t="str">
        <f aca="false">IF(AND(C3244=C3245,AA3244=AA3245-1),AC3244,"")</f>
        <v/>
      </c>
      <c r="AF3245" s="0" t="str">
        <f aca="false">IF(AA3245=1,"",IF(AND(AB3245=1,AD3245&lt;&gt;1),1,0))</f>
        <v/>
      </c>
      <c r="AG3245" s="0" t="str">
        <f aca="false">IF(AA3245=1,"",IF(AND(AC3245=1,AE3245&lt;&gt;1),1,0))</f>
        <v/>
      </c>
      <c r="AH3245" s="51" t="str">
        <f aca="false">IF(AND(E3245&gt;0,AA3245&lt;1,NOT(AND(C3246=C3245,AA3246=AA3245+1))),INDEX(DATAS,AA3245+1),"")</f>
        <v/>
      </c>
      <c r="AI3245" s="51" t="str">
        <f aca="false">IF(AND(AC3245=1,AA3245&lt;1),IF(AND(C3246=C3245,AA3246=AA3245+1),IF(AC3246=1,"",INDEX(DATAS,AA3245+1)),INDEX(DATAS,AA3245+1)),"")</f>
        <v/>
      </c>
    </row>
    <row r="3246" customFormat="false" ht="15" hidden="false" customHeight="false" outlineLevel="0" collapsed="false">
      <c r="A3246" s="51" t="n">
        <v>46309</v>
      </c>
      <c r="B3246" s="0" t="n">
        <v>13</v>
      </c>
      <c r="C3246" s="0" t="n">
        <v>7669</v>
      </c>
      <c r="E3246" s="0" t="n">
        <v>0</v>
      </c>
      <c r="F3246" s="46" t="s">
        <v>1538</v>
      </c>
      <c r="I3246" s="46" t="s">
        <v>179</v>
      </c>
      <c r="U3246" s="0" t="n">
        <v>171</v>
      </c>
      <c r="V3246" s="0" t="n">
        <v>0</v>
      </c>
      <c r="X3246" s="46" t="n">
        <f aca="false">IF(I3246="Male",0,1)</f>
        <v>1</v>
      </c>
      <c r="Y3246" s="46" t="n">
        <f aca="false">IF(OR(I3246="DNB",I3246="Dry DNB"),1,0)</f>
        <v>0</v>
      </c>
      <c r="Z3246" s="0" t="str">
        <f aca="false">IF(ISNUMBER(W3246),A3246-W3246,"")</f>
        <v/>
      </c>
      <c r="AA3246" s="46" t="n">
        <f aca="false">MATCH(A3246,DATAS,0)</f>
        <v>1</v>
      </c>
      <c r="AB3246" s="46" t="n">
        <f aca="false">IF(AND(E3246&gt;0,OR(AND(B3246&gt;=1,B3246&lt;=6),B3246=10)),1,0)</f>
        <v>0</v>
      </c>
      <c r="AC3246" s="46" t="n">
        <f aca="false">IF(AND(E3246&gt;0,B3246=10),1,0)</f>
        <v>0</v>
      </c>
      <c r="AD3246" s="0" t="str">
        <f aca="false">IF(AND(C3245=C3246,AA3245=AA3246-1),AB3245,"")</f>
        <v/>
      </c>
      <c r="AE3246" s="0" t="str">
        <f aca="false">IF(AND(C3245=C3246,AA3245=AA3246-1),AC3245,"")</f>
        <v/>
      </c>
      <c r="AF3246" s="0" t="str">
        <f aca="false">IF(AA3246=1,"",IF(AND(AB3246=1,AD3246&lt;&gt;1),1,0))</f>
        <v/>
      </c>
      <c r="AG3246" s="0" t="str">
        <f aca="false">IF(AA3246=1,"",IF(AND(AC3246=1,AE3246&lt;&gt;1),1,0))</f>
        <v/>
      </c>
      <c r="AH3246" s="51" t="str">
        <f aca="false">IF(AND(E3246&gt;0,AA3246&lt;1,NOT(AND(C3247=C3246,AA3247=AA3246+1))),INDEX(DATAS,AA3246+1),"")</f>
        <v/>
      </c>
      <c r="AI3246" s="51" t="str">
        <f aca="false">IF(AND(AC3246=1,AA3246&lt;1),IF(AND(C3247=C3246,AA3247=AA3246+1),IF(AC3247=1,"",INDEX(DATAS,AA3246+1)),INDEX(DATAS,AA3246+1)),"")</f>
        <v/>
      </c>
    </row>
    <row r="3247" customFormat="false" ht="15" hidden="false" customHeight="false" outlineLevel="0" collapsed="false">
      <c r="A3247" s="51" t="n">
        <v>46309</v>
      </c>
      <c r="B3247" s="0" t="n">
        <v>13</v>
      </c>
      <c r="C3247" s="0" t="n">
        <v>7671</v>
      </c>
      <c r="E3247" s="0" t="n">
        <v>0</v>
      </c>
      <c r="F3247" s="46" t="s">
        <v>1539</v>
      </c>
      <c r="I3247" s="46" t="s">
        <v>179</v>
      </c>
      <c r="U3247" s="0" t="n">
        <v>170</v>
      </c>
      <c r="V3247" s="0" t="n">
        <v>0</v>
      </c>
      <c r="X3247" s="46" t="n">
        <f aca="false">IF(I3247="Male",0,1)</f>
        <v>1</v>
      </c>
      <c r="Y3247" s="46" t="n">
        <f aca="false">IF(OR(I3247="DNB",I3247="Dry DNB"),1,0)</f>
        <v>0</v>
      </c>
      <c r="Z3247" s="0" t="str">
        <f aca="false">IF(ISNUMBER(W3247),A3247-W3247,"")</f>
        <v/>
      </c>
      <c r="AA3247" s="46" t="n">
        <f aca="false">MATCH(A3247,DATAS,0)</f>
        <v>1</v>
      </c>
      <c r="AB3247" s="46" t="n">
        <f aca="false">IF(AND(E3247&gt;0,OR(AND(B3247&gt;=1,B3247&lt;=6),B3247=10)),1,0)</f>
        <v>0</v>
      </c>
      <c r="AC3247" s="46" t="n">
        <f aca="false">IF(AND(E3247&gt;0,B3247=10),1,0)</f>
        <v>0</v>
      </c>
      <c r="AD3247" s="0" t="str">
        <f aca="false">IF(AND(C3246=C3247,AA3246=AA3247-1),AB3246,"")</f>
        <v/>
      </c>
      <c r="AE3247" s="0" t="str">
        <f aca="false">IF(AND(C3246=C3247,AA3246=AA3247-1),AC3246,"")</f>
        <v/>
      </c>
      <c r="AF3247" s="0" t="str">
        <f aca="false">IF(AA3247=1,"",IF(AND(AB3247=1,AD3247&lt;&gt;1),1,0))</f>
        <v/>
      </c>
      <c r="AG3247" s="0" t="str">
        <f aca="false">IF(AA3247=1,"",IF(AND(AC3247=1,AE3247&lt;&gt;1),1,0))</f>
        <v/>
      </c>
      <c r="AH3247" s="51" t="str">
        <f aca="false">IF(AND(E3247&gt;0,AA3247&lt;1,NOT(AND(C3248=C3247,AA3248=AA3247+1))),INDEX(DATAS,AA3247+1),"")</f>
        <v/>
      </c>
      <c r="AI3247" s="51" t="str">
        <f aca="false">IF(AND(AC3247=1,AA3247&lt;1),IF(AND(C3248=C3247,AA3248=AA3247+1),IF(AC3248=1,"",INDEX(DATAS,AA3247+1)),INDEX(DATAS,AA3247+1)),"")</f>
        <v/>
      </c>
    </row>
    <row r="3248" customFormat="false" ht="15" hidden="false" customHeight="false" outlineLevel="0" collapsed="false">
      <c r="A3248" s="51" t="n">
        <v>46309</v>
      </c>
      <c r="B3248" s="0" t="n">
        <v>13</v>
      </c>
      <c r="C3248" s="0" t="n">
        <v>7672</v>
      </c>
      <c r="E3248" s="0" t="n">
        <v>0</v>
      </c>
      <c r="F3248" s="46" t="s">
        <v>1540</v>
      </c>
      <c r="I3248" s="46" t="s">
        <v>179</v>
      </c>
      <c r="U3248" s="0" t="n">
        <v>169</v>
      </c>
      <c r="V3248" s="0" t="n">
        <v>0</v>
      </c>
      <c r="X3248" s="46" t="n">
        <f aca="false">IF(I3248="Male",0,1)</f>
        <v>1</v>
      </c>
      <c r="Y3248" s="46" t="n">
        <f aca="false">IF(OR(I3248="DNB",I3248="Dry DNB"),1,0)</f>
        <v>0</v>
      </c>
      <c r="Z3248" s="0" t="str">
        <f aca="false">IF(ISNUMBER(W3248),A3248-W3248,"")</f>
        <v/>
      </c>
      <c r="AA3248" s="46" t="n">
        <f aca="false">MATCH(A3248,DATAS,0)</f>
        <v>1</v>
      </c>
      <c r="AB3248" s="46" t="n">
        <f aca="false">IF(AND(E3248&gt;0,OR(AND(B3248&gt;=1,B3248&lt;=6),B3248=10)),1,0)</f>
        <v>0</v>
      </c>
      <c r="AC3248" s="46" t="n">
        <f aca="false">IF(AND(E3248&gt;0,B3248=10),1,0)</f>
        <v>0</v>
      </c>
      <c r="AD3248" s="0" t="str">
        <f aca="false">IF(AND(C3247=C3248,AA3247=AA3248-1),AB3247,"")</f>
        <v/>
      </c>
      <c r="AE3248" s="0" t="str">
        <f aca="false">IF(AND(C3247=C3248,AA3247=AA3248-1),AC3247,"")</f>
        <v/>
      </c>
      <c r="AF3248" s="0" t="str">
        <f aca="false">IF(AA3248=1,"",IF(AND(AB3248=1,AD3248&lt;&gt;1),1,0))</f>
        <v/>
      </c>
      <c r="AG3248" s="0" t="str">
        <f aca="false">IF(AA3248=1,"",IF(AND(AC3248=1,AE3248&lt;&gt;1),1,0))</f>
        <v/>
      </c>
      <c r="AH3248" s="51" t="str">
        <f aca="false">IF(AND(E3248&gt;0,AA3248&lt;1,NOT(AND(C3249=C3248,AA3249=AA3248+1))),INDEX(DATAS,AA3248+1),"")</f>
        <v/>
      </c>
      <c r="AI3248" s="51" t="str">
        <f aca="false">IF(AND(AC3248=1,AA3248&lt;1),IF(AND(C3249=C3248,AA3249=AA3248+1),IF(AC3249=1,"",INDEX(DATAS,AA3248+1)),INDEX(DATAS,AA3248+1)),"")</f>
        <v/>
      </c>
    </row>
    <row r="3249" customFormat="false" ht="15" hidden="false" customHeight="false" outlineLevel="0" collapsed="false">
      <c r="A3249" s="51" t="n">
        <v>46309</v>
      </c>
      <c r="B3249" s="0" t="n">
        <v>13</v>
      </c>
      <c r="C3249" s="0" t="n">
        <v>7673</v>
      </c>
      <c r="E3249" s="0" t="n">
        <v>0</v>
      </c>
      <c r="F3249" s="46" t="s">
        <v>1540</v>
      </c>
      <c r="I3249" s="46" t="s">
        <v>179</v>
      </c>
      <c r="U3249" s="0" t="n">
        <v>169</v>
      </c>
      <c r="V3249" s="0" t="n">
        <v>0</v>
      </c>
      <c r="X3249" s="46" t="n">
        <f aca="false">IF(I3249="Male",0,1)</f>
        <v>1</v>
      </c>
      <c r="Y3249" s="46" t="n">
        <f aca="false">IF(OR(I3249="DNB",I3249="Dry DNB"),1,0)</f>
        <v>0</v>
      </c>
      <c r="Z3249" s="0" t="str">
        <f aca="false">IF(ISNUMBER(W3249),A3249-W3249,"")</f>
        <v/>
      </c>
      <c r="AA3249" s="46" t="n">
        <f aca="false">MATCH(A3249,DATAS,0)</f>
        <v>1</v>
      </c>
      <c r="AB3249" s="46" t="n">
        <f aca="false">IF(AND(E3249&gt;0,OR(AND(B3249&gt;=1,B3249&lt;=6),B3249=10)),1,0)</f>
        <v>0</v>
      </c>
      <c r="AC3249" s="46" t="n">
        <f aca="false">IF(AND(E3249&gt;0,B3249=10),1,0)</f>
        <v>0</v>
      </c>
      <c r="AD3249" s="0" t="str">
        <f aca="false">IF(AND(C3248=C3249,AA3248=AA3249-1),AB3248,"")</f>
        <v/>
      </c>
      <c r="AE3249" s="0" t="str">
        <f aca="false">IF(AND(C3248=C3249,AA3248=AA3249-1),AC3248,"")</f>
        <v/>
      </c>
      <c r="AF3249" s="0" t="str">
        <f aca="false">IF(AA3249=1,"",IF(AND(AB3249=1,AD3249&lt;&gt;1),1,0))</f>
        <v/>
      </c>
      <c r="AG3249" s="0" t="str">
        <f aca="false">IF(AA3249=1,"",IF(AND(AC3249=1,AE3249&lt;&gt;1),1,0))</f>
        <v/>
      </c>
      <c r="AH3249" s="51" t="str">
        <f aca="false">IF(AND(E3249&gt;0,AA3249&lt;1,NOT(AND(C3250=C3249,AA3250=AA3249+1))),INDEX(DATAS,AA3249+1),"")</f>
        <v/>
      </c>
      <c r="AI3249" s="51" t="str">
        <f aca="false">IF(AND(AC3249=1,AA3249&lt;1),IF(AND(C3250=C3249,AA3250=AA3249+1),IF(AC3250=1,"",INDEX(DATAS,AA3249+1)),INDEX(DATAS,AA3249+1)),"")</f>
        <v/>
      </c>
    </row>
    <row r="3250" customFormat="false" ht="15" hidden="false" customHeight="false" outlineLevel="0" collapsed="false">
      <c r="A3250" s="51" t="n">
        <v>46309</v>
      </c>
      <c r="B3250" s="0" t="n">
        <v>13</v>
      </c>
      <c r="C3250" s="0" t="n">
        <v>7674</v>
      </c>
      <c r="E3250" s="0" t="n">
        <v>0</v>
      </c>
      <c r="F3250" s="46" t="s">
        <v>1540</v>
      </c>
      <c r="I3250" s="46" t="s">
        <v>179</v>
      </c>
      <c r="U3250" s="0" t="n">
        <v>169</v>
      </c>
      <c r="V3250" s="0" t="n">
        <v>0</v>
      </c>
      <c r="X3250" s="46" t="n">
        <f aca="false">IF(I3250="Male",0,1)</f>
        <v>1</v>
      </c>
      <c r="Y3250" s="46" t="n">
        <f aca="false">IF(OR(I3250="DNB",I3250="Dry DNB"),1,0)</f>
        <v>0</v>
      </c>
      <c r="Z3250" s="0" t="str">
        <f aca="false">IF(ISNUMBER(W3250),A3250-W3250,"")</f>
        <v/>
      </c>
      <c r="AA3250" s="46" t="n">
        <f aca="false">MATCH(A3250,DATAS,0)</f>
        <v>1</v>
      </c>
      <c r="AB3250" s="46" t="n">
        <f aca="false">IF(AND(E3250&gt;0,OR(AND(B3250&gt;=1,B3250&lt;=6),B3250=10)),1,0)</f>
        <v>0</v>
      </c>
      <c r="AC3250" s="46" t="n">
        <f aca="false">IF(AND(E3250&gt;0,B3250=10),1,0)</f>
        <v>0</v>
      </c>
      <c r="AD3250" s="0" t="str">
        <f aca="false">IF(AND(C3249=C3250,AA3249=AA3250-1),AB3249,"")</f>
        <v/>
      </c>
      <c r="AE3250" s="0" t="str">
        <f aca="false">IF(AND(C3249=C3250,AA3249=AA3250-1),AC3249,"")</f>
        <v/>
      </c>
      <c r="AF3250" s="0" t="str">
        <f aca="false">IF(AA3250=1,"",IF(AND(AB3250=1,AD3250&lt;&gt;1),1,0))</f>
        <v/>
      </c>
      <c r="AG3250" s="0" t="str">
        <f aca="false">IF(AA3250=1,"",IF(AND(AC3250=1,AE3250&lt;&gt;1),1,0))</f>
        <v/>
      </c>
      <c r="AH3250" s="51" t="str">
        <f aca="false">IF(AND(E3250&gt;0,AA3250&lt;1,NOT(AND(C3251=C3250,AA3251=AA3250+1))),INDEX(DATAS,AA3250+1),"")</f>
        <v/>
      </c>
      <c r="AI3250" s="51" t="str">
        <f aca="false">IF(AND(AC3250=1,AA3250&lt;1),IF(AND(C3251=C3250,AA3251=AA3250+1),IF(AC3251=1,"",INDEX(DATAS,AA3250+1)),INDEX(DATAS,AA3250+1)),"")</f>
        <v/>
      </c>
    </row>
    <row r="3251" customFormat="false" ht="15" hidden="false" customHeight="false" outlineLevel="0" collapsed="false">
      <c r="A3251" s="51" t="n">
        <v>46309</v>
      </c>
      <c r="B3251" s="0" t="n">
        <v>13</v>
      </c>
      <c r="C3251" s="0" t="n">
        <v>7675</v>
      </c>
      <c r="E3251" s="0" t="n">
        <v>0</v>
      </c>
      <c r="F3251" s="46" t="s">
        <v>1541</v>
      </c>
      <c r="I3251" s="46" t="s">
        <v>179</v>
      </c>
      <c r="U3251" s="0" t="n">
        <v>168</v>
      </c>
      <c r="V3251" s="0" t="n">
        <v>0</v>
      </c>
      <c r="X3251" s="46" t="n">
        <f aca="false">IF(I3251="Male",0,1)</f>
        <v>1</v>
      </c>
      <c r="Y3251" s="46" t="n">
        <f aca="false">IF(OR(I3251="DNB",I3251="Dry DNB"),1,0)</f>
        <v>0</v>
      </c>
      <c r="Z3251" s="0" t="str">
        <f aca="false">IF(ISNUMBER(W3251),A3251-W3251,"")</f>
        <v/>
      </c>
      <c r="AA3251" s="46" t="n">
        <f aca="false">MATCH(A3251,DATAS,0)</f>
        <v>1</v>
      </c>
      <c r="AB3251" s="46" t="n">
        <f aca="false">IF(AND(E3251&gt;0,OR(AND(B3251&gt;=1,B3251&lt;=6),B3251=10)),1,0)</f>
        <v>0</v>
      </c>
      <c r="AC3251" s="46" t="n">
        <f aca="false">IF(AND(E3251&gt;0,B3251=10),1,0)</f>
        <v>0</v>
      </c>
      <c r="AD3251" s="0" t="str">
        <f aca="false">IF(AND(C3250=C3251,AA3250=AA3251-1),AB3250,"")</f>
        <v/>
      </c>
      <c r="AE3251" s="0" t="str">
        <f aca="false">IF(AND(C3250=C3251,AA3250=AA3251-1),AC3250,"")</f>
        <v/>
      </c>
      <c r="AF3251" s="0" t="str">
        <f aca="false">IF(AA3251=1,"",IF(AND(AB3251=1,AD3251&lt;&gt;1),1,0))</f>
        <v/>
      </c>
      <c r="AG3251" s="0" t="str">
        <f aca="false">IF(AA3251=1,"",IF(AND(AC3251=1,AE3251&lt;&gt;1),1,0))</f>
        <v/>
      </c>
      <c r="AH3251" s="51" t="str">
        <f aca="false">IF(AND(E3251&gt;0,AA3251&lt;1,NOT(AND(C3252=C3251,AA3252=AA3251+1))),INDEX(DATAS,AA3251+1),"")</f>
        <v/>
      </c>
      <c r="AI3251" s="51" t="str">
        <f aca="false">IF(AND(AC3251=1,AA3251&lt;1),IF(AND(C3252=C3251,AA3252=AA3251+1),IF(AC3252=1,"",INDEX(DATAS,AA3251+1)),INDEX(DATAS,AA3251+1)),"")</f>
        <v/>
      </c>
    </row>
    <row r="3252" customFormat="false" ht="15" hidden="false" customHeight="false" outlineLevel="0" collapsed="false">
      <c r="A3252" s="51" t="n">
        <v>46309</v>
      </c>
      <c r="B3252" s="0" t="n">
        <v>13</v>
      </c>
      <c r="C3252" s="0" t="n">
        <v>7676</v>
      </c>
      <c r="E3252" s="0" t="n">
        <v>0</v>
      </c>
      <c r="F3252" s="46" t="s">
        <v>1540</v>
      </c>
      <c r="I3252" s="46" t="s">
        <v>179</v>
      </c>
      <c r="U3252" s="0" t="n">
        <v>169</v>
      </c>
      <c r="V3252" s="0" t="n">
        <v>0</v>
      </c>
      <c r="X3252" s="46" t="n">
        <f aca="false">IF(I3252="Male",0,1)</f>
        <v>1</v>
      </c>
      <c r="Y3252" s="46" t="n">
        <f aca="false">IF(OR(I3252="DNB",I3252="Dry DNB"),1,0)</f>
        <v>0</v>
      </c>
      <c r="Z3252" s="0" t="str">
        <f aca="false">IF(ISNUMBER(W3252),A3252-W3252,"")</f>
        <v/>
      </c>
      <c r="AA3252" s="46" t="n">
        <f aca="false">MATCH(A3252,DATAS,0)</f>
        <v>1</v>
      </c>
      <c r="AB3252" s="46" t="n">
        <f aca="false">IF(AND(E3252&gt;0,OR(AND(B3252&gt;=1,B3252&lt;=6),B3252=10)),1,0)</f>
        <v>0</v>
      </c>
      <c r="AC3252" s="46" t="n">
        <f aca="false">IF(AND(E3252&gt;0,B3252=10),1,0)</f>
        <v>0</v>
      </c>
      <c r="AD3252" s="0" t="str">
        <f aca="false">IF(AND(C3251=C3252,AA3251=AA3252-1),AB3251,"")</f>
        <v/>
      </c>
      <c r="AE3252" s="0" t="str">
        <f aca="false">IF(AND(C3251=C3252,AA3251=AA3252-1),AC3251,"")</f>
        <v/>
      </c>
      <c r="AF3252" s="0" t="str">
        <f aca="false">IF(AA3252=1,"",IF(AND(AB3252=1,AD3252&lt;&gt;1),1,0))</f>
        <v/>
      </c>
      <c r="AG3252" s="0" t="str">
        <f aca="false">IF(AA3252=1,"",IF(AND(AC3252=1,AE3252&lt;&gt;1),1,0))</f>
        <v/>
      </c>
      <c r="AH3252" s="51" t="str">
        <f aca="false">IF(AND(E3252&gt;0,AA3252&lt;1,NOT(AND(C3253=C3252,AA3253=AA3252+1))),INDEX(DATAS,AA3252+1),"")</f>
        <v/>
      </c>
      <c r="AI3252" s="51" t="str">
        <f aca="false">IF(AND(AC3252=1,AA3252&lt;1),IF(AND(C3253=C3252,AA3253=AA3252+1),IF(AC3253=1,"",INDEX(DATAS,AA3252+1)),INDEX(DATAS,AA3252+1)),"")</f>
        <v/>
      </c>
    </row>
    <row r="3253" customFormat="false" ht="15" hidden="false" customHeight="false" outlineLevel="0" collapsed="false">
      <c r="A3253" s="51" t="n">
        <v>46309</v>
      </c>
      <c r="B3253" s="0" t="n">
        <v>13</v>
      </c>
      <c r="C3253" s="0" t="n">
        <v>7677</v>
      </c>
      <c r="E3253" s="0" t="n">
        <v>0</v>
      </c>
      <c r="F3253" s="46" t="s">
        <v>1542</v>
      </c>
      <c r="I3253" s="46" t="s">
        <v>179</v>
      </c>
      <c r="U3253" s="0" t="n">
        <v>167</v>
      </c>
      <c r="V3253" s="0" t="n">
        <v>0</v>
      </c>
      <c r="X3253" s="46" t="n">
        <f aca="false">IF(I3253="Male",0,1)</f>
        <v>1</v>
      </c>
      <c r="Y3253" s="46" t="n">
        <f aca="false">IF(OR(I3253="DNB",I3253="Dry DNB"),1,0)</f>
        <v>0</v>
      </c>
      <c r="Z3253" s="0" t="str">
        <f aca="false">IF(ISNUMBER(W3253),A3253-W3253,"")</f>
        <v/>
      </c>
      <c r="AA3253" s="46" t="n">
        <f aca="false">MATCH(A3253,DATAS,0)</f>
        <v>1</v>
      </c>
      <c r="AB3253" s="46" t="n">
        <f aca="false">IF(AND(E3253&gt;0,OR(AND(B3253&gt;=1,B3253&lt;=6),B3253=10)),1,0)</f>
        <v>0</v>
      </c>
      <c r="AC3253" s="46" t="n">
        <f aca="false">IF(AND(E3253&gt;0,B3253=10),1,0)</f>
        <v>0</v>
      </c>
      <c r="AD3253" s="0" t="str">
        <f aca="false">IF(AND(C3252=C3253,AA3252=AA3253-1),AB3252,"")</f>
        <v/>
      </c>
      <c r="AE3253" s="0" t="str">
        <f aca="false">IF(AND(C3252=C3253,AA3252=AA3253-1),AC3252,"")</f>
        <v/>
      </c>
      <c r="AF3253" s="0" t="str">
        <f aca="false">IF(AA3253=1,"",IF(AND(AB3253=1,AD3253&lt;&gt;1),1,0))</f>
        <v/>
      </c>
      <c r="AG3253" s="0" t="str">
        <f aca="false">IF(AA3253=1,"",IF(AND(AC3253=1,AE3253&lt;&gt;1),1,0))</f>
        <v/>
      </c>
      <c r="AH3253" s="51" t="str">
        <f aca="false">IF(AND(E3253&gt;0,AA3253&lt;1,NOT(AND(C3254=C3253,AA3254=AA3253+1))),INDEX(DATAS,AA3253+1),"")</f>
        <v/>
      </c>
      <c r="AI3253" s="51" t="str">
        <f aca="false">IF(AND(AC3253=1,AA3253&lt;1),IF(AND(C3254=C3253,AA3254=AA3253+1),IF(AC3254=1,"",INDEX(DATAS,AA3253+1)),INDEX(DATAS,AA3253+1)),"")</f>
        <v/>
      </c>
    </row>
    <row r="3254" customFormat="false" ht="15" hidden="false" customHeight="false" outlineLevel="0" collapsed="false">
      <c r="A3254" s="51" t="n">
        <v>46309</v>
      </c>
      <c r="B3254" s="0" t="n">
        <v>13</v>
      </c>
      <c r="C3254" s="0" t="n">
        <v>7678</v>
      </c>
      <c r="E3254" s="0" t="n">
        <v>0</v>
      </c>
      <c r="F3254" s="46" t="s">
        <v>1542</v>
      </c>
      <c r="I3254" s="46" t="s">
        <v>179</v>
      </c>
      <c r="U3254" s="0" t="n">
        <v>167</v>
      </c>
      <c r="V3254" s="0" t="n">
        <v>0</v>
      </c>
      <c r="X3254" s="46" t="n">
        <f aca="false">IF(I3254="Male",0,1)</f>
        <v>1</v>
      </c>
      <c r="Y3254" s="46" t="n">
        <f aca="false">IF(OR(I3254="DNB",I3254="Dry DNB"),1,0)</f>
        <v>0</v>
      </c>
      <c r="Z3254" s="0" t="str">
        <f aca="false">IF(ISNUMBER(W3254),A3254-W3254,"")</f>
        <v/>
      </c>
      <c r="AA3254" s="46" t="n">
        <f aca="false">MATCH(A3254,DATAS,0)</f>
        <v>1</v>
      </c>
      <c r="AB3254" s="46" t="n">
        <f aca="false">IF(AND(E3254&gt;0,OR(AND(B3254&gt;=1,B3254&lt;=6),B3254=10)),1,0)</f>
        <v>0</v>
      </c>
      <c r="AC3254" s="46" t="n">
        <f aca="false">IF(AND(E3254&gt;0,B3254=10),1,0)</f>
        <v>0</v>
      </c>
      <c r="AD3254" s="0" t="str">
        <f aca="false">IF(AND(C3253=C3254,AA3253=AA3254-1),AB3253,"")</f>
        <v/>
      </c>
      <c r="AE3254" s="0" t="str">
        <f aca="false">IF(AND(C3253=C3254,AA3253=AA3254-1),AC3253,"")</f>
        <v/>
      </c>
      <c r="AF3254" s="0" t="str">
        <f aca="false">IF(AA3254=1,"",IF(AND(AB3254=1,AD3254&lt;&gt;1),1,0))</f>
        <v/>
      </c>
      <c r="AG3254" s="0" t="str">
        <f aca="false">IF(AA3254=1,"",IF(AND(AC3254=1,AE3254&lt;&gt;1),1,0))</f>
        <v/>
      </c>
      <c r="AH3254" s="51" t="str">
        <f aca="false">IF(AND(E3254&gt;0,AA3254&lt;1,NOT(AND(C3255=C3254,AA3255=AA3254+1))),INDEX(DATAS,AA3254+1),"")</f>
        <v/>
      </c>
      <c r="AI3254" s="51" t="str">
        <f aca="false">IF(AND(AC3254=1,AA3254&lt;1),IF(AND(C3255=C3254,AA3255=AA3254+1),IF(AC3255=1,"",INDEX(DATAS,AA3254+1)),INDEX(DATAS,AA3254+1)),"")</f>
        <v/>
      </c>
    </row>
    <row r="3255" customFormat="false" ht="15" hidden="false" customHeight="false" outlineLevel="0" collapsed="false">
      <c r="A3255" s="51" t="n">
        <v>46309</v>
      </c>
      <c r="B3255" s="0" t="n">
        <v>13</v>
      </c>
      <c r="C3255" s="0" t="n">
        <v>7679</v>
      </c>
      <c r="E3255" s="0" t="n">
        <v>0</v>
      </c>
      <c r="F3255" s="46" t="s">
        <v>1542</v>
      </c>
      <c r="I3255" s="46" t="s">
        <v>179</v>
      </c>
      <c r="U3255" s="0" t="n">
        <v>167</v>
      </c>
      <c r="V3255" s="0" t="n">
        <v>0</v>
      </c>
      <c r="X3255" s="46" t="n">
        <f aca="false">IF(I3255="Male",0,1)</f>
        <v>1</v>
      </c>
      <c r="Y3255" s="46" t="n">
        <f aca="false">IF(OR(I3255="DNB",I3255="Dry DNB"),1,0)</f>
        <v>0</v>
      </c>
      <c r="Z3255" s="0" t="str">
        <f aca="false">IF(ISNUMBER(W3255),A3255-W3255,"")</f>
        <v/>
      </c>
      <c r="AA3255" s="46" t="n">
        <f aca="false">MATCH(A3255,DATAS,0)</f>
        <v>1</v>
      </c>
      <c r="AB3255" s="46" t="n">
        <f aca="false">IF(AND(E3255&gt;0,OR(AND(B3255&gt;=1,B3255&lt;=6),B3255=10)),1,0)</f>
        <v>0</v>
      </c>
      <c r="AC3255" s="46" t="n">
        <f aca="false">IF(AND(E3255&gt;0,B3255=10),1,0)</f>
        <v>0</v>
      </c>
      <c r="AD3255" s="0" t="str">
        <f aca="false">IF(AND(C3254=C3255,AA3254=AA3255-1),AB3254,"")</f>
        <v/>
      </c>
      <c r="AE3255" s="0" t="str">
        <f aca="false">IF(AND(C3254=C3255,AA3254=AA3255-1),AC3254,"")</f>
        <v/>
      </c>
      <c r="AF3255" s="0" t="str">
        <f aca="false">IF(AA3255=1,"",IF(AND(AB3255=1,AD3255&lt;&gt;1),1,0))</f>
        <v/>
      </c>
      <c r="AG3255" s="0" t="str">
        <f aca="false">IF(AA3255=1,"",IF(AND(AC3255=1,AE3255&lt;&gt;1),1,0))</f>
        <v/>
      </c>
      <c r="AH3255" s="51" t="str">
        <f aca="false">IF(AND(E3255&gt;0,AA3255&lt;1,NOT(AND(C3256=C3255,AA3256=AA3255+1))),INDEX(DATAS,AA3255+1),"")</f>
        <v/>
      </c>
      <c r="AI3255" s="51" t="str">
        <f aca="false">IF(AND(AC3255=1,AA3255&lt;1),IF(AND(C3256=C3255,AA3256=AA3255+1),IF(AC3256=1,"",INDEX(DATAS,AA3255+1)),INDEX(DATAS,AA3255+1)),"")</f>
        <v/>
      </c>
    </row>
    <row r="3256" customFormat="false" ht="15" hidden="false" customHeight="false" outlineLevel="0" collapsed="false">
      <c r="A3256" s="51" t="n">
        <v>46309</v>
      </c>
      <c r="B3256" s="0" t="n">
        <v>13</v>
      </c>
      <c r="C3256" s="0" t="n">
        <v>7680</v>
      </c>
      <c r="E3256" s="0" t="n">
        <v>0</v>
      </c>
      <c r="F3256" s="46" t="s">
        <v>1543</v>
      </c>
      <c r="I3256" s="46" t="s">
        <v>179</v>
      </c>
      <c r="U3256" s="0" t="n">
        <v>166</v>
      </c>
      <c r="V3256" s="0" t="n">
        <v>0</v>
      </c>
      <c r="X3256" s="46" t="n">
        <f aca="false">IF(I3256="Male",0,1)</f>
        <v>1</v>
      </c>
      <c r="Y3256" s="46" t="n">
        <f aca="false">IF(OR(I3256="DNB",I3256="Dry DNB"),1,0)</f>
        <v>0</v>
      </c>
      <c r="Z3256" s="0" t="str">
        <f aca="false">IF(ISNUMBER(W3256),A3256-W3256,"")</f>
        <v/>
      </c>
      <c r="AA3256" s="46" t="n">
        <f aca="false">MATCH(A3256,DATAS,0)</f>
        <v>1</v>
      </c>
      <c r="AB3256" s="46" t="n">
        <f aca="false">IF(AND(E3256&gt;0,OR(AND(B3256&gt;=1,B3256&lt;=6),B3256=10)),1,0)</f>
        <v>0</v>
      </c>
      <c r="AC3256" s="46" t="n">
        <f aca="false">IF(AND(E3256&gt;0,B3256=10),1,0)</f>
        <v>0</v>
      </c>
      <c r="AD3256" s="0" t="str">
        <f aca="false">IF(AND(C3255=C3256,AA3255=AA3256-1),AB3255,"")</f>
        <v/>
      </c>
      <c r="AE3256" s="0" t="str">
        <f aca="false">IF(AND(C3255=C3256,AA3255=AA3256-1),AC3255,"")</f>
        <v/>
      </c>
      <c r="AF3256" s="0" t="str">
        <f aca="false">IF(AA3256=1,"",IF(AND(AB3256=1,AD3256&lt;&gt;1),1,0))</f>
        <v/>
      </c>
      <c r="AG3256" s="0" t="str">
        <f aca="false">IF(AA3256=1,"",IF(AND(AC3256=1,AE3256&lt;&gt;1),1,0))</f>
        <v/>
      </c>
      <c r="AH3256" s="51" t="str">
        <f aca="false">IF(AND(E3256&gt;0,AA3256&lt;1,NOT(AND(C3257=C3256,AA3257=AA3256+1))),INDEX(DATAS,AA3256+1),"")</f>
        <v/>
      </c>
      <c r="AI3256" s="51" t="str">
        <f aca="false">IF(AND(AC3256=1,AA3256&lt;1),IF(AND(C3257=C3256,AA3257=AA3256+1),IF(AC3257=1,"",INDEX(DATAS,AA3256+1)),INDEX(DATAS,AA3256+1)),"")</f>
        <v/>
      </c>
    </row>
    <row r="3257" customFormat="false" ht="15" hidden="false" customHeight="false" outlineLevel="0" collapsed="false">
      <c r="A3257" s="51" t="n">
        <v>46309</v>
      </c>
      <c r="B3257" s="0" t="n">
        <v>13</v>
      </c>
      <c r="C3257" s="0" t="n">
        <v>7681</v>
      </c>
      <c r="E3257" s="0" t="n">
        <v>0</v>
      </c>
      <c r="F3257" s="46" t="s">
        <v>1543</v>
      </c>
      <c r="I3257" s="46" t="s">
        <v>179</v>
      </c>
      <c r="U3257" s="0" t="n">
        <v>166</v>
      </c>
      <c r="V3257" s="0" t="n">
        <v>0</v>
      </c>
      <c r="X3257" s="46" t="n">
        <f aca="false">IF(I3257="Male",0,1)</f>
        <v>1</v>
      </c>
      <c r="Y3257" s="46" t="n">
        <f aca="false">IF(OR(I3257="DNB",I3257="Dry DNB"),1,0)</f>
        <v>0</v>
      </c>
      <c r="Z3257" s="0" t="str">
        <f aca="false">IF(ISNUMBER(W3257),A3257-W3257,"")</f>
        <v/>
      </c>
      <c r="AA3257" s="46" t="n">
        <f aca="false">MATCH(A3257,DATAS,0)</f>
        <v>1</v>
      </c>
      <c r="AB3257" s="46" t="n">
        <f aca="false">IF(AND(E3257&gt;0,OR(AND(B3257&gt;=1,B3257&lt;=6),B3257=10)),1,0)</f>
        <v>0</v>
      </c>
      <c r="AC3257" s="46" t="n">
        <f aca="false">IF(AND(E3257&gt;0,B3257=10),1,0)</f>
        <v>0</v>
      </c>
      <c r="AD3257" s="0" t="str">
        <f aca="false">IF(AND(C3256=C3257,AA3256=AA3257-1),AB3256,"")</f>
        <v/>
      </c>
      <c r="AE3257" s="0" t="str">
        <f aca="false">IF(AND(C3256=C3257,AA3256=AA3257-1),AC3256,"")</f>
        <v/>
      </c>
      <c r="AF3257" s="0" t="str">
        <f aca="false">IF(AA3257=1,"",IF(AND(AB3257=1,AD3257&lt;&gt;1),1,0))</f>
        <v/>
      </c>
      <c r="AG3257" s="0" t="str">
        <f aca="false">IF(AA3257=1,"",IF(AND(AC3257=1,AE3257&lt;&gt;1),1,0))</f>
        <v/>
      </c>
      <c r="AH3257" s="51" t="str">
        <f aca="false">IF(AND(E3257&gt;0,AA3257&lt;1,NOT(AND(C3258=C3257,AA3258=AA3257+1))),INDEX(DATAS,AA3257+1),"")</f>
        <v/>
      </c>
      <c r="AI3257" s="51" t="str">
        <f aca="false">IF(AND(AC3257=1,AA3257&lt;1),IF(AND(C3258=C3257,AA3258=AA3257+1),IF(AC3258=1,"",INDEX(DATAS,AA3257+1)),INDEX(DATAS,AA3257+1)),"")</f>
        <v/>
      </c>
    </row>
    <row r="3258" customFormat="false" ht="15" hidden="false" customHeight="false" outlineLevel="0" collapsed="false">
      <c r="A3258" s="51" t="n">
        <v>46309</v>
      </c>
      <c r="B3258" s="0" t="n">
        <v>13</v>
      </c>
      <c r="C3258" s="0" t="n">
        <v>7682</v>
      </c>
      <c r="E3258" s="0" t="n">
        <v>0</v>
      </c>
      <c r="F3258" s="46" t="s">
        <v>1544</v>
      </c>
      <c r="I3258" s="46" t="s">
        <v>179</v>
      </c>
      <c r="U3258" s="0" t="n">
        <v>165</v>
      </c>
      <c r="V3258" s="0" t="n">
        <v>0</v>
      </c>
      <c r="X3258" s="46" t="n">
        <f aca="false">IF(I3258="Male",0,1)</f>
        <v>1</v>
      </c>
      <c r="Y3258" s="46" t="n">
        <f aca="false">IF(OR(I3258="DNB",I3258="Dry DNB"),1,0)</f>
        <v>0</v>
      </c>
      <c r="Z3258" s="0" t="str">
        <f aca="false">IF(ISNUMBER(W3258),A3258-W3258,"")</f>
        <v/>
      </c>
      <c r="AA3258" s="46" t="n">
        <f aca="false">MATCH(A3258,DATAS,0)</f>
        <v>1</v>
      </c>
      <c r="AB3258" s="46" t="n">
        <f aca="false">IF(AND(E3258&gt;0,OR(AND(B3258&gt;=1,B3258&lt;=6),B3258=10)),1,0)</f>
        <v>0</v>
      </c>
      <c r="AC3258" s="46" t="n">
        <f aca="false">IF(AND(E3258&gt;0,B3258=10),1,0)</f>
        <v>0</v>
      </c>
      <c r="AD3258" s="0" t="str">
        <f aca="false">IF(AND(C3257=C3258,AA3257=AA3258-1),AB3257,"")</f>
        <v/>
      </c>
      <c r="AE3258" s="0" t="str">
        <f aca="false">IF(AND(C3257=C3258,AA3257=AA3258-1),AC3257,"")</f>
        <v/>
      </c>
      <c r="AF3258" s="0" t="str">
        <f aca="false">IF(AA3258=1,"",IF(AND(AB3258=1,AD3258&lt;&gt;1),1,0))</f>
        <v/>
      </c>
      <c r="AG3258" s="0" t="str">
        <f aca="false">IF(AA3258=1,"",IF(AND(AC3258=1,AE3258&lt;&gt;1),1,0))</f>
        <v/>
      </c>
      <c r="AH3258" s="51" t="str">
        <f aca="false">IF(AND(E3258&gt;0,AA3258&lt;1,NOT(AND(C3259=C3258,AA3259=AA3258+1))),INDEX(DATAS,AA3258+1),"")</f>
        <v/>
      </c>
      <c r="AI3258" s="51" t="str">
        <f aca="false">IF(AND(AC3258=1,AA3258&lt;1),IF(AND(C3259=C3258,AA3259=AA3258+1),IF(AC3259=1,"",INDEX(DATAS,AA3258+1)),INDEX(DATAS,AA3258+1)),"")</f>
        <v/>
      </c>
    </row>
    <row r="3259" customFormat="false" ht="15" hidden="false" customHeight="false" outlineLevel="0" collapsed="false">
      <c r="A3259" s="51" t="n">
        <v>46309</v>
      </c>
      <c r="B3259" s="0" t="n">
        <v>13</v>
      </c>
      <c r="C3259" s="0" t="n">
        <v>7683</v>
      </c>
      <c r="E3259" s="0" t="n">
        <v>0</v>
      </c>
      <c r="F3259" s="46" t="s">
        <v>1544</v>
      </c>
      <c r="I3259" s="46" t="s">
        <v>179</v>
      </c>
      <c r="U3259" s="0" t="n">
        <v>165</v>
      </c>
      <c r="V3259" s="0" t="n">
        <v>0</v>
      </c>
      <c r="X3259" s="46" t="n">
        <f aca="false">IF(I3259="Male",0,1)</f>
        <v>1</v>
      </c>
      <c r="Y3259" s="46" t="n">
        <f aca="false">IF(OR(I3259="DNB",I3259="Dry DNB"),1,0)</f>
        <v>0</v>
      </c>
      <c r="Z3259" s="0" t="str">
        <f aca="false">IF(ISNUMBER(W3259),A3259-W3259,"")</f>
        <v/>
      </c>
      <c r="AA3259" s="46" t="n">
        <f aca="false">MATCH(A3259,DATAS,0)</f>
        <v>1</v>
      </c>
      <c r="AB3259" s="46" t="n">
        <f aca="false">IF(AND(E3259&gt;0,OR(AND(B3259&gt;=1,B3259&lt;=6),B3259=10)),1,0)</f>
        <v>0</v>
      </c>
      <c r="AC3259" s="46" t="n">
        <f aca="false">IF(AND(E3259&gt;0,B3259=10),1,0)</f>
        <v>0</v>
      </c>
      <c r="AD3259" s="0" t="str">
        <f aca="false">IF(AND(C3258=C3259,AA3258=AA3259-1),AB3258,"")</f>
        <v/>
      </c>
      <c r="AE3259" s="0" t="str">
        <f aca="false">IF(AND(C3258=C3259,AA3258=AA3259-1),AC3258,"")</f>
        <v/>
      </c>
      <c r="AF3259" s="0" t="str">
        <f aca="false">IF(AA3259=1,"",IF(AND(AB3259=1,AD3259&lt;&gt;1),1,0))</f>
        <v/>
      </c>
      <c r="AG3259" s="0" t="str">
        <f aca="false">IF(AA3259=1,"",IF(AND(AC3259=1,AE3259&lt;&gt;1),1,0))</f>
        <v/>
      </c>
      <c r="AH3259" s="51" t="str">
        <f aca="false">IF(AND(E3259&gt;0,AA3259&lt;1,NOT(AND(C3260=C3259,AA3260=AA3259+1))),INDEX(DATAS,AA3259+1),"")</f>
        <v/>
      </c>
      <c r="AI3259" s="51" t="str">
        <f aca="false">IF(AND(AC3259=1,AA3259&lt;1),IF(AND(C3260=C3259,AA3260=AA3259+1),IF(AC3260=1,"",INDEX(DATAS,AA3259+1)),INDEX(DATAS,AA3259+1)),"")</f>
        <v/>
      </c>
    </row>
    <row r="3260" customFormat="false" ht="15" hidden="false" customHeight="false" outlineLevel="0" collapsed="false">
      <c r="A3260" s="51" t="n">
        <v>46309</v>
      </c>
      <c r="B3260" s="0" t="n">
        <v>13</v>
      </c>
      <c r="C3260" s="0" t="n">
        <v>7684</v>
      </c>
      <c r="E3260" s="0" t="n">
        <v>0</v>
      </c>
      <c r="F3260" s="46" t="s">
        <v>1545</v>
      </c>
      <c r="I3260" s="46" t="s">
        <v>179</v>
      </c>
      <c r="U3260" s="0" t="n">
        <v>164</v>
      </c>
      <c r="V3260" s="0" t="n">
        <v>0</v>
      </c>
      <c r="X3260" s="46" t="n">
        <f aca="false">IF(I3260="Male",0,1)</f>
        <v>1</v>
      </c>
      <c r="Y3260" s="46" t="n">
        <f aca="false">IF(OR(I3260="DNB",I3260="Dry DNB"),1,0)</f>
        <v>0</v>
      </c>
      <c r="Z3260" s="0" t="str">
        <f aca="false">IF(ISNUMBER(W3260),A3260-W3260,"")</f>
        <v/>
      </c>
      <c r="AA3260" s="46" t="n">
        <f aca="false">MATCH(A3260,DATAS,0)</f>
        <v>1</v>
      </c>
      <c r="AB3260" s="46" t="n">
        <f aca="false">IF(AND(E3260&gt;0,OR(AND(B3260&gt;=1,B3260&lt;=6),B3260=10)),1,0)</f>
        <v>0</v>
      </c>
      <c r="AC3260" s="46" t="n">
        <f aca="false">IF(AND(E3260&gt;0,B3260=10),1,0)</f>
        <v>0</v>
      </c>
      <c r="AD3260" s="0" t="str">
        <f aca="false">IF(AND(C3259=C3260,AA3259=AA3260-1),AB3259,"")</f>
        <v/>
      </c>
      <c r="AE3260" s="0" t="str">
        <f aca="false">IF(AND(C3259=C3260,AA3259=AA3260-1),AC3259,"")</f>
        <v/>
      </c>
      <c r="AF3260" s="0" t="str">
        <f aca="false">IF(AA3260=1,"",IF(AND(AB3260=1,AD3260&lt;&gt;1),1,0))</f>
        <v/>
      </c>
      <c r="AG3260" s="0" t="str">
        <f aca="false">IF(AA3260=1,"",IF(AND(AC3260=1,AE3260&lt;&gt;1),1,0))</f>
        <v/>
      </c>
      <c r="AH3260" s="51" t="str">
        <f aca="false">IF(AND(E3260&gt;0,AA3260&lt;1,NOT(AND(C3261=C3260,AA3261=AA3260+1))),INDEX(DATAS,AA3260+1),"")</f>
        <v/>
      </c>
      <c r="AI3260" s="51" t="str">
        <f aca="false">IF(AND(AC3260=1,AA3260&lt;1),IF(AND(C3261=C3260,AA3261=AA3260+1),IF(AC3261=1,"",INDEX(DATAS,AA3260+1)),INDEX(DATAS,AA3260+1)),"")</f>
        <v/>
      </c>
    </row>
    <row r="3261" customFormat="false" ht="15" hidden="false" customHeight="false" outlineLevel="0" collapsed="false">
      <c r="A3261" s="51" t="n">
        <v>46309</v>
      </c>
      <c r="B3261" s="0" t="n">
        <v>13</v>
      </c>
      <c r="C3261" s="0" t="n">
        <v>7685</v>
      </c>
      <c r="E3261" s="0" t="n">
        <v>0</v>
      </c>
      <c r="F3261" s="46" t="s">
        <v>1545</v>
      </c>
      <c r="I3261" s="46" t="s">
        <v>179</v>
      </c>
      <c r="U3261" s="0" t="n">
        <v>164</v>
      </c>
      <c r="V3261" s="0" t="n">
        <v>0</v>
      </c>
      <c r="X3261" s="46" t="n">
        <f aca="false">IF(I3261="Male",0,1)</f>
        <v>1</v>
      </c>
      <c r="Y3261" s="46" t="n">
        <f aca="false">IF(OR(I3261="DNB",I3261="Dry DNB"),1,0)</f>
        <v>0</v>
      </c>
      <c r="Z3261" s="0" t="str">
        <f aca="false">IF(ISNUMBER(W3261),A3261-W3261,"")</f>
        <v/>
      </c>
      <c r="AA3261" s="46" t="n">
        <f aca="false">MATCH(A3261,DATAS,0)</f>
        <v>1</v>
      </c>
      <c r="AB3261" s="46" t="n">
        <f aca="false">IF(AND(E3261&gt;0,OR(AND(B3261&gt;=1,B3261&lt;=6),B3261=10)),1,0)</f>
        <v>0</v>
      </c>
      <c r="AC3261" s="46" t="n">
        <f aca="false">IF(AND(E3261&gt;0,B3261=10),1,0)</f>
        <v>0</v>
      </c>
      <c r="AD3261" s="0" t="str">
        <f aca="false">IF(AND(C3260=C3261,AA3260=AA3261-1),AB3260,"")</f>
        <v/>
      </c>
      <c r="AE3261" s="0" t="str">
        <f aca="false">IF(AND(C3260=C3261,AA3260=AA3261-1),AC3260,"")</f>
        <v/>
      </c>
      <c r="AF3261" s="0" t="str">
        <f aca="false">IF(AA3261=1,"",IF(AND(AB3261=1,AD3261&lt;&gt;1),1,0))</f>
        <v/>
      </c>
      <c r="AG3261" s="0" t="str">
        <f aca="false">IF(AA3261=1,"",IF(AND(AC3261=1,AE3261&lt;&gt;1),1,0))</f>
        <v/>
      </c>
      <c r="AH3261" s="51" t="str">
        <f aca="false">IF(AND(E3261&gt;0,AA3261&lt;1,NOT(AND(C3262=C3261,AA3262=AA3261+1))),INDEX(DATAS,AA3261+1),"")</f>
        <v/>
      </c>
      <c r="AI3261" s="51" t="str">
        <f aca="false">IF(AND(AC3261=1,AA3261&lt;1),IF(AND(C3262=C3261,AA3262=AA3261+1),IF(AC3262=1,"",INDEX(DATAS,AA3261+1)),INDEX(DATAS,AA3261+1)),"")</f>
        <v/>
      </c>
    </row>
    <row r="3262" customFormat="false" ht="15" hidden="false" customHeight="false" outlineLevel="0" collapsed="false">
      <c r="A3262" s="51" t="n">
        <v>46309</v>
      </c>
      <c r="B3262" s="0" t="n">
        <v>13</v>
      </c>
      <c r="C3262" s="0" t="n">
        <v>7686</v>
      </c>
      <c r="E3262" s="0" t="n">
        <v>0</v>
      </c>
      <c r="F3262" s="46" t="s">
        <v>1546</v>
      </c>
      <c r="I3262" s="46" t="s">
        <v>179</v>
      </c>
      <c r="U3262" s="0" t="n">
        <v>163</v>
      </c>
      <c r="V3262" s="0" t="n">
        <v>0</v>
      </c>
      <c r="X3262" s="46" t="n">
        <f aca="false">IF(I3262="Male",0,1)</f>
        <v>1</v>
      </c>
      <c r="Y3262" s="46" t="n">
        <f aca="false">IF(OR(I3262="DNB",I3262="Dry DNB"),1,0)</f>
        <v>0</v>
      </c>
      <c r="Z3262" s="0" t="str">
        <f aca="false">IF(ISNUMBER(W3262),A3262-W3262,"")</f>
        <v/>
      </c>
      <c r="AA3262" s="46" t="n">
        <f aca="false">MATCH(A3262,DATAS,0)</f>
        <v>1</v>
      </c>
      <c r="AB3262" s="46" t="n">
        <f aca="false">IF(AND(E3262&gt;0,OR(AND(B3262&gt;=1,B3262&lt;=6),B3262=10)),1,0)</f>
        <v>0</v>
      </c>
      <c r="AC3262" s="46" t="n">
        <f aca="false">IF(AND(E3262&gt;0,B3262=10),1,0)</f>
        <v>0</v>
      </c>
      <c r="AD3262" s="0" t="str">
        <f aca="false">IF(AND(C3261=C3262,AA3261=AA3262-1),AB3261,"")</f>
        <v/>
      </c>
      <c r="AE3262" s="0" t="str">
        <f aca="false">IF(AND(C3261=C3262,AA3261=AA3262-1),AC3261,"")</f>
        <v/>
      </c>
      <c r="AF3262" s="0" t="str">
        <f aca="false">IF(AA3262=1,"",IF(AND(AB3262=1,AD3262&lt;&gt;1),1,0))</f>
        <v/>
      </c>
      <c r="AG3262" s="0" t="str">
        <f aca="false">IF(AA3262=1,"",IF(AND(AC3262=1,AE3262&lt;&gt;1),1,0))</f>
        <v/>
      </c>
      <c r="AH3262" s="51" t="str">
        <f aca="false">IF(AND(E3262&gt;0,AA3262&lt;1,NOT(AND(C3263=C3262,AA3263=AA3262+1))),INDEX(DATAS,AA3262+1),"")</f>
        <v/>
      </c>
      <c r="AI3262" s="51" t="str">
        <f aca="false">IF(AND(AC3262=1,AA3262&lt;1),IF(AND(C3263=C3262,AA3263=AA3262+1),IF(AC3263=1,"",INDEX(DATAS,AA3262+1)),INDEX(DATAS,AA3262+1)),"")</f>
        <v/>
      </c>
    </row>
    <row r="3263" customFormat="false" ht="15" hidden="false" customHeight="false" outlineLevel="0" collapsed="false">
      <c r="A3263" s="51" t="n">
        <v>46309</v>
      </c>
      <c r="B3263" s="0" t="n">
        <v>13</v>
      </c>
      <c r="C3263" s="0" t="n">
        <v>7687</v>
      </c>
      <c r="E3263" s="0" t="n">
        <v>0</v>
      </c>
      <c r="F3263" s="46" t="s">
        <v>1546</v>
      </c>
      <c r="I3263" s="46" t="s">
        <v>179</v>
      </c>
      <c r="U3263" s="0" t="n">
        <v>163</v>
      </c>
      <c r="V3263" s="0" t="n">
        <v>0</v>
      </c>
      <c r="X3263" s="46" t="n">
        <f aca="false">IF(I3263="Male",0,1)</f>
        <v>1</v>
      </c>
      <c r="Y3263" s="46" t="n">
        <f aca="false">IF(OR(I3263="DNB",I3263="Dry DNB"),1,0)</f>
        <v>0</v>
      </c>
      <c r="Z3263" s="0" t="str">
        <f aca="false">IF(ISNUMBER(W3263),A3263-W3263,"")</f>
        <v/>
      </c>
      <c r="AA3263" s="46" t="n">
        <f aca="false">MATCH(A3263,DATAS,0)</f>
        <v>1</v>
      </c>
      <c r="AB3263" s="46" t="n">
        <f aca="false">IF(AND(E3263&gt;0,OR(AND(B3263&gt;=1,B3263&lt;=6),B3263=10)),1,0)</f>
        <v>0</v>
      </c>
      <c r="AC3263" s="46" t="n">
        <f aca="false">IF(AND(E3263&gt;0,B3263=10),1,0)</f>
        <v>0</v>
      </c>
      <c r="AD3263" s="0" t="str">
        <f aca="false">IF(AND(C3262=C3263,AA3262=AA3263-1),AB3262,"")</f>
        <v/>
      </c>
      <c r="AE3263" s="0" t="str">
        <f aca="false">IF(AND(C3262=C3263,AA3262=AA3263-1),AC3262,"")</f>
        <v/>
      </c>
      <c r="AF3263" s="0" t="str">
        <f aca="false">IF(AA3263=1,"",IF(AND(AB3263=1,AD3263&lt;&gt;1),1,0))</f>
        <v/>
      </c>
      <c r="AG3263" s="0" t="str">
        <f aca="false">IF(AA3263=1,"",IF(AND(AC3263=1,AE3263&lt;&gt;1),1,0))</f>
        <v/>
      </c>
      <c r="AH3263" s="51" t="str">
        <f aca="false">IF(AND(E3263&gt;0,AA3263&lt;1,NOT(AND(C3264=C3263,AA3264=AA3263+1))),INDEX(DATAS,AA3263+1),"")</f>
        <v/>
      </c>
      <c r="AI3263" s="51" t="str">
        <f aca="false">IF(AND(AC3263=1,AA3263&lt;1),IF(AND(C3264=C3263,AA3264=AA3263+1),IF(AC3264=1,"",INDEX(DATAS,AA3263+1)),INDEX(DATAS,AA3263+1)),"")</f>
        <v/>
      </c>
    </row>
    <row r="3264" customFormat="false" ht="15" hidden="false" customHeight="false" outlineLevel="0" collapsed="false">
      <c r="A3264" s="51" t="n">
        <v>46309</v>
      </c>
      <c r="B3264" s="0" t="n">
        <v>13</v>
      </c>
      <c r="C3264" s="0" t="n">
        <v>7688</v>
      </c>
      <c r="E3264" s="0" t="n">
        <v>0</v>
      </c>
      <c r="F3264" s="46" t="s">
        <v>1547</v>
      </c>
      <c r="I3264" s="46" t="s">
        <v>179</v>
      </c>
      <c r="U3264" s="0" t="n">
        <v>162</v>
      </c>
      <c r="V3264" s="0" t="n">
        <v>0</v>
      </c>
      <c r="X3264" s="46" t="n">
        <f aca="false">IF(I3264="Male",0,1)</f>
        <v>1</v>
      </c>
      <c r="Y3264" s="46" t="n">
        <f aca="false">IF(OR(I3264="DNB",I3264="Dry DNB"),1,0)</f>
        <v>0</v>
      </c>
      <c r="Z3264" s="0" t="str">
        <f aca="false">IF(ISNUMBER(W3264),A3264-W3264,"")</f>
        <v/>
      </c>
      <c r="AA3264" s="46" t="n">
        <f aca="false">MATCH(A3264,DATAS,0)</f>
        <v>1</v>
      </c>
      <c r="AB3264" s="46" t="n">
        <f aca="false">IF(AND(E3264&gt;0,OR(AND(B3264&gt;=1,B3264&lt;=6),B3264=10)),1,0)</f>
        <v>0</v>
      </c>
      <c r="AC3264" s="46" t="n">
        <f aca="false">IF(AND(E3264&gt;0,B3264=10),1,0)</f>
        <v>0</v>
      </c>
      <c r="AD3264" s="0" t="str">
        <f aca="false">IF(AND(C3263=C3264,AA3263=AA3264-1),AB3263,"")</f>
        <v/>
      </c>
      <c r="AE3264" s="0" t="str">
        <f aca="false">IF(AND(C3263=C3264,AA3263=AA3264-1),AC3263,"")</f>
        <v/>
      </c>
      <c r="AF3264" s="0" t="str">
        <f aca="false">IF(AA3264=1,"",IF(AND(AB3264=1,AD3264&lt;&gt;1),1,0))</f>
        <v/>
      </c>
      <c r="AG3264" s="0" t="str">
        <f aca="false">IF(AA3264=1,"",IF(AND(AC3264=1,AE3264&lt;&gt;1),1,0))</f>
        <v/>
      </c>
      <c r="AH3264" s="51" t="str">
        <f aca="false">IF(AND(E3264&gt;0,AA3264&lt;1,NOT(AND(C3265=C3264,AA3265=AA3264+1))),INDEX(DATAS,AA3264+1),"")</f>
        <v/>
      </c>
      <c r="AI3264" s="51" t="str">
        <f aca="false">IF(AND(AC3264=1,AA3264&lt;1),IF(AND(C3265=C3264,AA3265=AA3264+1),IF(AC3265=1,"",INDEX(DATAS,AA3264+1)),INDEX(DATAS,AA3264+1)),"")</f>
        <v/>
      </c>
    </row>
    <row r="3265" customFormat="false" ht="15" hidden="false" customHeight="false" outlineLevel="0" collapsed="false">
      <c r="A3265" s="51" t="n">
        <v>46309</v>
      </c>
      <c r="B3265" s="0" t="n">
        <v>13</v>
      </c>
      <c r="C3265" s="0" t="n">
        <v>7689</v>
      </c>
      <c r="E3265" s="0" t="n">
        <v>0</v>
      </c>
      <c r="F3265" s="46" t="s">
        <v>1547</v>
      </c>
      <c r="I3265" s="46" t="s">
        <v>179</v>
      </c>
      <c r="U3265" s="0" t="n">
        <v>162</v>
      </c>
      <c r="V3265" s="0" t="n">
        <v>0</v>
      </c>
      <c r="X3265" s="46" t="n">
        <f aca="false">IF(I3265="Male",0,1)</f>
        <v>1</v>
      </c>
      <c r="Y3265" s="46" t="n">
        <f aca="false">IF(OR(I3265="DNB",I3265="Dry DNB"),1,0)</f>
        <v>0</v>
      </c>
      <c r="Z3265" s="0" t="str">
        <f aca="false">IF(ISNUMBER(W3265),A3265-W3265,"")</f>
        <v/>
      </c>
      <c r="AA3265" s="46" t="n">
        <f aca="false">MATCH(A3265,DATAS,0)</f>
        <v>1</v>
      </c>
      <c r="AB3265" s="46" t="n">
        <f aca="false">IF(AND(E3265&gt;0,OR(AND(B3265&gt;=1,B3265&lt;=6),B3265=10)),1,0)</f>
        <v>0</v>
      </c>
      <c r="AC3265" s="46" t="n">
        <f aca="false">IF(AND(E3265&gt;0,B3265=10),1,0)</f>
        <v>0</v>
      </c>
      <c r="AD3265" s="0" t="str">
        <f aca="false">IF(AND(C3264=C3265,AA3264=AA3265-1),AB3264,"")</f>
        <v/>
      </c>
      <c r="AE3265" s="0" t="str">
        <f aca="false">IF(AND(C3264=C3265,AA3264=AA3265-1),AC3264,"")</f>
        <v/>
      </c>
      <c r="AF3265" s="0" t="str">
        <f aca="false">IF(AA3265=1,"",IF(AND(AB3265=1,AD3265&lt;&gt;1),1,0))</f>
        <v/>
      </c>
      <c r="AG3265" s="0" t="str">
        <f aca="false">IF(AA3265=1,"",IF(AND(AC3265=1,AE3265&lt;&gt;1),1,0))</f>
        <v/>
      </c>
      <c r="AH3265" s="51" t="str">
        <f aca="false">IF(AND(E3265&gt;0,AA3265&lt;1,NOT(AND(C3266=C3265,AA3266=AA3265+1))),INDEX(DATAS,AA3265+1),"")</f>
        <v/>
      </c>
      <c r="AI3265" s="51" t="str">
        <f aca="false">IF(AND(AC3265=1,AA3265&lt;1),IF(AND(C3266=C3265,AA3266=AA3265+1),IF(AC3266=1,"",INDEX(DATAS,AA3265+1)),INDEX(DATAS,AA3265+1)),"")</f>
        <v/>
      </c>
    </row>
    <row r="3266" customFormat="false" ht="15" hidden="false" customHeight="false" outlineLevel="0" collapsed="false">
      <c r="A3266" s="51" t="n">
        <v>46309</v>
      </c>
      <c r="B3266" s="0" t="n">
        <v>13</v>
      </c>
      <c r="C3266" s="0" t="n">
        <v>7690</v>
      </c>
      <c r="E3266" s="0" t="n">
        <v>0</v>
      </c>
      <c r="F3266" s="46" t="s">
        <v>1548</v>
      </c>
      <c r="I3266" s="46" t="s">
        <v>179</v>
      </c>
      <c r="U3266" s="0" t="n">
        <v>161</v>
      </c>
      <c r="V3266" s="0" t="n">
        <v>0</v>
      </c>
      <c r="X3266" s="46" t="n">
        <f aca="false">IF(I3266="Male",0,1)</f>
        <v>1</v>
      </c>
      <c r="Y3266" s="46" t="n">
        <f aca="false">IF(OR(I3266="DNB",I3266="Dry DNB"),1,0)</f>
        <v>0</v>
      </c>
      <c r="Z3266" s="0" t="str">
        <f aca="false">IF(ISNUMBER(W3266),A3266-W3266,"")</f>
        <v/>
      </c>
      <c r="AA3266" s="46" t="n">
        <f aca="false">MATCH(A3266,DATAS,0)</f>
        <v>1</v>
      </c>
      <c r="AB3266" s="46" t="n">
        <f aca="false">IF(AND(E3266&gt;0,OR(AND(B3266&gt;=1,B3266&lt;=6),B3266=10)),1,0)</f>
        <v>0</v>
      </c>
      <c r="AC3266" s="46" t="n">
        <f aca="false">IF(AND(E3266&gt;0,B3266=10),1,0)</f>
        <v>0</v>
      </c>
      <c r="AD3266" s="0" t="str">
        <f aca="false">IF(AND(C3265=C3266,AA3265=AA3266-1),AB3265,"")</f>
        <v/>
      </c>
      <c r="AE3266" s="0" t="str">
        <f aca="false">IF(AND(C3265=C3266,AA3265=AA3266-1),AC3265,"")</f>
        <v/>
      </c>
      <c r="AF3266" s="0" t="str">
        <f aca="false">IF(AA3266=1,"",IF(AND(AB3266=1,AD3266&lt;&gt;1),1,0))</f>
        <v/>
      </c>
      <c r="AG3266" s="0" t="str">
        <f aca="false">IF(AA3266=1,"",IF(AND(AC3266=1,AE3266&lt;&gt;1),1,0))</f>
        <v/>
      </c>
      <c r="AH3266" s="51" t="str">
        <f aca="false">IF(AND(E3266&gt;0,AA3266&lt;1,NOT(AND(C3267=C3266,AA3267=AA3266+1))),INDEX(DATAS,AA3266+1),"")</f>
        <v/>
      </c>
      <c r="AI3266" s="51" t="str">
        <f aca="false">IF(AND(AC3266=1,AA3266&lt;1),IF(AND(C3267=C3266,AA3267=AA3266+1),IF(AC3267=1,"",INDEX(DATAS,AA3266+1)),INDEX(DATAS,AA3266+1)),"")</f>
        <v/>
      </c>
    </row>
    <row r="3267" customFormat="false" ht="15" hidden="false" customHeight="false" outlineLevel="0" collapsed="false">
      <c r="A3267" s="51" t="n">
        <v>46309</v>
      </c>
      <c r="B3267" s="0" t="n">
        <v>13</v>
      </c>
      <c r="C3267" s="0" t="n">
        <v>7691</v>
      </c>
      <c r="E3267" s="0" t="n">
        <v>0</v>
      </c>
      <c r="F3267" s="46" t="s">
        <v>1548</v>
      </c>
      <c r="I3267" s="46" t="s">
        <v>179</v>
      </c>
      <c r="U3267" s="0" t="n">
        <v>161</v>
      </c>
      <c r="V3267" s="0" t="n">
        <v>0</v>
      </c>
      <c r="X3267" s="46" t="n">
        <f aca="false">IF(I3267="Male",0,1)</f>
        <v>1</v>
      </c>
      <c r="Y3267" s="46" t="n">
        <f aca="false">IF(OR(I3267="DNB",I3267="Dry DNB"),1,0)</f>
        <v>0</v>
      </c>
      <c r="Z3267" s="0" t="str">
        <f aca="false">IF(ISNUMBER(W3267),A3267-W3267,"")</f>
        <v/>
      </c>
      <c r="AA3267" s="46" t="n">
        <f aca="false">MATCH(A3267,DATAS,0)</f>
        <v>1</v>
      </c>
      <c r="AB3267" s="46" t="n">
        <f aca="false">IF(AND(E3267&gt;0,OR(AND(B3267&gt;=1,B3267&lt;=6),B3267=10)),1,0)</f>
        <v>0</v>
      </c>
      <c r="AC3267" s="46" t="n">
        <f aca="false">IF(AND(E3267&gt;0,B3267=10),1,0)</f>
        <v>0</v>
      </c>
      <c r="AD3267" s="0" t="str">
        <f aca="false">IF(AND(C3266=C3267,AA3266=AA3267-1),AB3266,"")</f>
        <v/>
      </c>
      <c r="AE3267" s="0" t="str">
        <f aca="false">IF(AND(C3266=C3267,AA3266=AA3267-1),AC3266,"")</f>
        <v/>
      </c>
      <c r="AF3267" s="0" t="str">
        <f aca="false">IF(AA3267=1,"",IF(AND(AB3267=1,AD3267&lt;&gt;1),1,0))</f>
        <v/>
      </c>
      <c r="AG3267" s="0" t="str">
        <f aca="false">IF(AA3267=1,"",IF(AND(AC3267=1,AE3267&lt;&gt;1),1,0))</f>
        <v/>
      </c>
      <c r="AH3267" s="51" t="str">
        <f aca="false">IF(AND(E3267&gt;0,AA3267&lt;1,NOT(AND(C3268=C3267,AA3268=AA3267+1))),INDEX(DATAS,AA3267+1),"")</f>
        <v/>
      </c>
      <c r="AI3267" s="51" t="str">
        <f aca="false">IF(AND(AC3267=1,AA3267&lt;1),IF(AND(C3268=C3267,AA3268=AA3267+1),IF(AC3268=1,"",INDEX(DATAS,AA3267+1)),INDEX(DATAS,AA3267+1)),"")</f>
        <v/>
      </c>
    </row>
    <row r="3268" customFormat="false" ht="15" hidden="false" customHeight="false" outlineLevel="0" collapsed="false">
      <c r="A3268" s="51" t="n">
        <v>46309</v>
      </c>
      <c r="B3268" s="0" t="n">
        <v>13</v>
      </c>
      <c r="C3268" s="0" t="n">
        <v>7693</v>
      </c>
      <c r="E3268" s="0" t="n">
        <v>0</v>
      </c>
      <c r="F3268" s="46" t="s">
        <v>1548</v>
      </c>
      <c r="I3268" s="46" t="s">
        <v>179</v>
      </c>
      <c r="U3268" s="0" t="n">
        <v>161</v>
      </c>
      <c r="V3268" s="0" t="n">
        <v>0</v>
      </c>
      <c r="X3268" s="46" t="n">
        <f aca="false">IF(I3268="Male",0,1)</f>
        <v>1</v>
      </c>
      <c r="Y3268" s="46" t="n">
        <f aca="false">IF(OR(I3268="DNB",I3268="Dry DNB"),1,0)</f>
        <v>0</v>
      </c>
      <c r="Z3268" s="0" t="str">
        <f aca="false">IF(ISNUMBER(W3268),A3268-W3268,"")</f>
        <v/>
      </c>
      <c r="AA3268" s="46" t="n">
        <f aca="false">MATCH(A3268,DATAS,0)</f>
        <v>1</v>
      </c>
      <c r="AB3268" s="46" t="n">
        <f aca="false">IF(AND(E3268&gt;0,OR(AND(B3268&gt;=1,B3268&lt;=6),B3268=10)),1,0)</f>
        <v>0</v>
      </c>
      <c r="AC3268" s="46" t="n">
        <f aca="false">IF(AND(E3268&gt;0,B3268=10),1,0)</f>
        <v>0</v>
      </c>
      <c r="AD3268" s="0" t="str">
        <f aca="false">IF(AND(C3267=C3268,AA3267=AA3268-1),AB3267,"")</f>
        <v/>
      </c>
      <c r="AE3268" s="0" t="str">
        <f aca="false">IF(AND(C3267=C3268,AA3267=AA3268-1),AC3267,"")</f>
        <v/>
      </c>
      <c r="AF3268" s="0" t="str">
        <f aca="false">IF(AA3268=1,"",IF(AND(AB3268=1,AD3268&lt;&gt;1),1,0))</f>
        <v/>
      </c>
      <c r="AG3268" s="0" t="str">
        <f aca="false">IF(AA3268=1,"",IF(AND(AC3268=1,AE3268&lt;&gt;1),1,0))</f>
        <v/>
      </c>
      <c r="AH3268" s="51" t="str">
        <f aca="false">IF(AND(E3268&gt;0,AA3268&lt;1,NOT(AND(C3269=C3268,AA3269=AA3268+1))),INDEX(DATAS,AA3268+1),"")</f>
        <v/>
      </c>
      <c r="AI3268" s="51" t="str">
        <f aca="false">IF(AND(AC3268=1,AA3268&lt;1),IF(AND(C3269=C3268,AA3269=AA3268+1),IF(AC3269=1,"",INDEX(DATAS,AA3268+1)),INDEX(DATAS,AA3268+1)),"")</f>
        <v/>
      </c>
    </row>
    <row r="3269" customFormat="false" ht="15" hidden="false" customHeight="false" outlineLevel="0" collapsed="false">
      <c r="A3269" s="51" t="n">
        <v>46309</v>
      </c>
      <c r="B3269" s="0" t="n">
        <v>13</v>
      </c>
      <c r="C3269" s="0" t="n">
        <v>7694</v>
      </c>
      <c r="E3269" s="0" t="n">
        <v>0</v>
      </c>
      <c r="F3269" s="46" t="s">
        <v>1548</v>
      </c>
      <c r="I3269" s="46" t="s">
        <v>179</v>
      </c>
      <c r="U3269" s="0" t="n">
        <v>161</v>
      </c>
      <c r="V3269" s="0" t="n">
        <v>0</v>
      </c>
      <c r="X3269" s="46" t="n">
        <f aca="false">IF(I3269="Male",0,1)</f>
        <v>1</v>
      </c>
      <c r="Y3269" s="46" t="n">
        <f aca="false">IF(OR(I3269="DNB",I3269="Dry DNB"),1,0)</f>
        <v>0</v>
      </c>
      <c r="Z3269" s="0" t="str">
        <f aca="false">IF(ISNUMBER(W3269),A3269-W3269,"")</f>
        <v/>
      </c>
      <c r="AA3269" s="46" t="n">
        <f aca="false">MATCH(A3269,DATAS,0)</f>
        <v>1</v>
      </c>
      <c r="AB3269" s="46" t="n">
        <f aca="false">IF(AND(E3269&gt;0,OR(AND(B3269&gt;=1,B3269&lt;=6),B3269=10)),1,0)</f>
        <v>0</v>
      </c>
      <c r="AC3269" s="46" t="n">
        <f aca="false">IF(AND(E3269&gt;0,B3269=10),1,0)</f>
        <v>0</v>
      </c>
      <c r="AD3269" s="0" t="str">
        <f aca="false">IF(AND(C3268=C3269,AA3268=AA3269-1),AB3268,"")</f>
        <v/>
      </c>
      <c r="AE3269" s="0" t="str">
        <f aca="false">IF(AND(C3268=C3269,AA3268=AA3269-1),AC3268,"")</f>
        <v/>
      </c>
      <c r="AF3269" s="0" t="str">
        <f aca="false">IF(AA3269=1,"",IF(AND(AB3269=1,AD3269&lt;&gt;1),1,0))</f>
        <v/>
      </c>
      <c r="AG3269" s="0" t="str">
        <f aca="false">IF(AA3269=1,"",IF(AND(AC3269=1,AE3269&lt;&gt;1),1,0))</f>
        <v/>
      </c>
      <c r="AH3269" s="51" t="str">
        <f aca="false">IF(AND(E3269&gt;0,AA3269&lt;1,NOT(AND(C3270=C3269,AA3270=AA3269+1))),INDEX(DATAS,AA3269+1),"")</f>
        <v/>
      </c>
      <c r="AI3269" s="51" t="str">
        <f aca="false">IF(AND(AC3269=1,AA3269&lt;1),IF(AND(C3270=C3269,AA3270=AA3269+1),IF(AC3270=1,"",INDEX(DATAS,AA3269+1)),INDEX(DATAS,AA3269+1)),"")</f>
        <v/>
      </c>
    </row>
    <row r="3270" customFormat="false" ht="15" hidden="false" customHeight="false" outlineLevel="0" collapsed="false">
      <c r="A3270" s="51" t="n">
        <v>46309</v>
      </c>
      <c r="B3270" s="0" t="n">
        <v>13</v>
      </c>
      <c r="C3270" s="0" t="n">
        <v>7695</v>
      </c>
      <c r="E3270" s="0" t="n">
        <v>0</v>
      </c>
      <c r="F3270" s="46" t="s">
        <v>1548</v>
      </c>
      <c r="I3270" s="46" t="s">
        <v>179</v>
      </c>
      <c r="U3270" s="0" t="n">
        <v>161</v>
      </c>
      <c r="V3270" s="0" t="n">
        <v>0</v>
      </c>
      <c r="X3270" s="46" t="n">
        <f aca="false">IF(I3270="Male",0,1)</f>
        <v>1</v>
      </c>
      <c r="Y3270" s="46" t="n">
        <f aca="false">IF(OR(I3270="DNB",I3270="Dry DNB"),1,0)</f>
        <v>0</v>
      </c>
      <c r="Z3270" s="0" t="str">
        <f aca="false">IF(ISNUMBER(W3270),A3270-W3270,"")</f>
        <v/>
      </c>
      <c r="AA3270" s="46" t="n">
        <f aca="false">MATCH(A3270,DATAS,0)</f>
        <v>1</v>
      </c>
      <c r="AB3270" s="46" t="n">
        <f aca="false">IF(AND(E3270&gt;0,OR(AND(B3270&gt;=1,B3270&lt;=6),B3270=10)),1,0)</f>
        <v>0</v>
      </c>
      <c r="AC3270" s="46" t="n">
        <f aca="false">IF(AND(E3270&gt;0,B3270=10),1,0)</f>
        <v>0</v>
      </c>
      <c r="AD3270" s="0" t="str">
        <f aca="false">IF(AND(C3269=C3270,AA3269=AA3270-1),AB3269,"")</f>
        <v/>
      </c>
      <c r="AE3270" s="0" t="str">
        <f aca="false">IF(AND(C3269=C3270,AA3269=AA3270-1),AC3269,"")</f>
        <v/>
      </c>
      <c r="AF3270" s="0" t="str">
        <f aca="false">IF(AA3270=1,"",IF(AND(AB3270=1,AD3270&lt;&gt;1),1,0))</f>
        <v/>
      </c>
      <c r="AG3270" s="0" t="str">
        <f aca="false">IF(AA3270=1,"",IF(AND(AC3270=1,AE3270&lt;&gt;1),1,0))</f>
        <v/>
      </c>
      <c r="AH3270" s="51" t="str">
        <f aca="false">IF(AND(E3270&gt;0,AA3270&lt;1,NOT(AND(C3271=C3270,AA3271=AA3270+1))),INDEX(DATAS,AA3270+1),"")</f>
        <v/>
      </c>
      <c r="AI3270" s="51" t="str">
        <f aca="false">IF(AND(AC3270=1,AA3270&lt;1),IF(AND(C3271=C3270,AA3271=AA3270+1),IF(AC3271=1,"",INDEX(DATAS,AA3270+1)),INDEX(DATAS,AA3270+1)),"")</f>
        <v/>
      </c>
    </row>
    <row r="3271" customFormat="false" ht="15" hidden="false" customHeight="false" outlineLevel="0" collapsed="false">
      <c r="A3271" s="51" t="n">
        <v>46309</v>
      </c>
      <c r="B3271" s="0" t="n">
        <v>13</v>
      </c>
      <c r="C3271" s="0" t="n">
        <v>7696</v>
      </c>
      <c r="E3271" s="0" t="n">
        <v>0</v>
      </c>
      <c r="F3271" s="46" t="s">
        <v>1548</v>
      </c>
      <c r="I3271" s="46" t="s">
        <v>179</v>
      </c>
      <c r="U3271" s="0" t="n">
        <v>161</v>
      </c>
      <c r="V3271" s="0" t="n">
        <v>0</v>
      </c>
      <c r="X3271" s="46" t="n">
        <f aca="false">IF(I3271="Male",0,1)</f>
        <v>1</v>
      </c>
      <c r="Y3271" s="46" t="n">
        <f aca="false">IF(OR(I3271="DNB",I3271="Dry DNB"),1,0)</f>
        <v>0</v>
      </c>
      <c r="Z3271" s="0" t="str">
        <f aca="false">IF(ISNUMBER(W3271),A3271-W3271,"")</f>
        <v/>
      </c>
      <c r="AA3271" s="46" t="n">
        <f aca="false">MATCH(A3271,DATAS,0)</f>
        <v>1</v>
      </c>
      <c r="AB3271" s="46" t="n">
        <f aca="false">IF(AND(E3271&gt;0,OR(AND(B3271&gt;=1,B3271&lt;=6),B3271=10)),1,0)</f>
        <v>0</v>
      </c>
      <c r="AC3271" s="46" t="n">
        <f aca="false">IF(AND(E3271&gt;0,B3271=10),1,0)</f>
        <v>0</v>
      </c>
      <c r="AD3271" s="0" t="str">
        <f aca="false">IF(AND(C3270=C3271,AA3270=AA3271-1),AB3270,"")</f>
        <v/>
      </c>
      <c r="AE3271" s="0" t="str">
        <f aca="false">IF(AND(C3270=C3271,AA3270=AA3271-1),AC3270,"")</f>
        <v/>
      </c>
      <c r="AF3271" s="0" t="str">
        <f aca="false">IF(AA3271=1,"",IF(AND(AB3271=1,AD3271&lt;&gt;1),1,0))</f>
        <v/>
      </c>
      <c r="AG3271" s="0" t="str">
        <f aca="false">IF(AA3271=1,"",IF(AND(AC3271=1,AE3271&lt;&gt;1),1,0))</f>
        <v/>
      </c>
      <c r="AH3271" s="51" t="str">
        <f aca="false">IF(AND(E3271&gt;0,AA3271&lt;1,NOT(AND(C3272=C3271,AA3272=AA3271+1))),INDEX(DATAS,AA3271+1),"")</f>
        <v/>
      </c>
      <c r="AI3271" s="51" t="str">
        <f aca="false">IF(AND(AC3271=1,AA3271&lt;1),IF(AND(C3272=C3271,AA3272=AA3271+1),IF(AC3272=1,"",INDEX(DATAS,AA3271+1)),INDEX(DATAS,AA3271+1)),"")</f>
        <v/>
      </c>
    </row>
    <row r="3272" customFormat="false" ht="15" hidden="false" customHeight="false" outlineLevel="0" collapsed="false">
      <c r="A3272" s="51" t="n">
        <v>46309</v>
      </c>
      <c r="B3272" s="0" t="n">
        <v>13</v>
      </c>
      <c r="C3272" s="0" t="n">
        <v>7697</v>
      </c>
      <c r="E3272" s="0" t="n">
        <v>0</v>
      </c>
      <c r="F3272" s="46" t="s">
        <v>1549</v>
      </c>
      <c r="I3272" s="46" t="s">
        <v>179</v>
      </c>
      <c r="U3272" s="0" t="n">
        <v>160</v>
      </c>
      <c r="V3272" s="0" t="n">
        <v>0</v>
      </c>
      <c r="X3272" s="46" t="n">
        <f aca="false">IF(I3272="Male",0,1)</f>
        <v>1</v>
      </c>
      <c r="Y3272" s="46" t="n">
        <f aca="false">IF(OR(I3272="DNB",I3272="Dry DNB"),1,0)</f>
        <v>0</v>
      </c>
      <c r="Z3272" s="0" t="str">
        <f aca="false">IF(ISNUMBER(W3272),A3272-W3272,"")</f>
        <v/>
      </c>
      <c r="AA3272" s="46" t="n">
        <f aca="false">MATCH(A3272,DATAS,0)</f>
        <v>1</v>
      </c>
      <c r="AB3272" s="46" t="n">
        <f aca="false">IF(AND(E3272&gt;0,OR(AND(B3272&gt;=1,B3272&lt;=6),B3272=10)),1,0)</f>
        <v>0</v>
      </c>
      <c r="AC3272" s="46" t="n">
        <f aca="false">IF(AND(E3272&gt;0,B3272=10),1,0)</f>
        <v>0</v>
      </c>
      <c r="AD3272" s="0" t="str">
        <f aca="false">IF(AND(C3271=C3272,AA3271=AA3272-1),AB3271,"")</f>
        <v/>
      </c>
      <c r="AE3272" s="0" t="str">
        <f aca="false">IF(AND(C3271=C3272,AA3271=AA3272-1),AC3271,"")</f>
        <v/>
      </c>
      <c r="AF3272" s="0" t="str">
        <f aca="false">IF(AA3272=1,"",IF(AND(AB3272=1,AD3272&lt;&gt;1),1,0))</f>
        <v/>
      </c>
      <c r="AG3272" s="0" t="str">
        <f aca="false">IF(AA3272=1,"",IF(AND(AC3272=1,AE3272&lt;&gt;1),1,0))</f>
        <v/>
      </c>
      <c r="AH3272" s="51" t="str">
        <f aca="false">IF(AND(E3272&gt;0,AA3272&lt;1,NOT(AND(C3273=C3272,AA3273=AA3272+1))),INDEX(DATAS,AA3272+1),"")</f>
        <v/>
      </c>
      <c r="AI3272" s="51" t="str">
        <f aca="false">IF(AND(AC3272=1,AA3272&lt;1),IF(AND(C3273=C3272,AA3273=AA3272+1),IF(AC3273=1,"",INDEX(DATAS,AA3272+1)),INDEX(DATAS,AA3272+1)),"")</f>
        <v/>
      </c>
    </row>
    <row r="3273" customFormat="false" ht="15" hidden="false" customHeight="false" outlineLevel="0" collapsed="false">
      <c r="A3273" s="51" t="n">
        <v>46309</v>
      </c>
      <c r="B3273" s="0" t="n">
        <v>13</v>
      </c>
      <c r="C3273" s="0" t="n">
        <v>7698</v>
      </c>
      <c r="E3273" s="0" t="n">
        <v>0</v>
      </c>
      <c r="F3273" s="46" t="s">
        <v>1549</v>
      </c>
      <c r="I3273" s="46" t="s">
        <v>179</v>
      </c>
      <c r="U3273" s="0" t="n">
        <v>160</v>
      </c>
      <c r="V3273" s="0" t="n">
        <v>0</v>
      </c>
      <c r="X3273" s="46" t="n">
        <f aca="false">IF(I3273="Male",0,1)</f>
        <v>1</v>
      </c>
      <c r="Y3273" s="46" t="n">
        <f aca="false">IF(OR(I3273="DNB",I3273="Dry DNB"),1,0)</f>
        <v>0</v>
      </c>
      <c r="Z3273" s="0" t="str">
        <f aca="false">IF(ISNUMBER(W3273),A3273-W3273,"")</f>
        <v/>
      </c>
      <c r="AA3273" s="46" t="n">
        <f aca="false">MATCH(A3273,DATAS,0)</f>
        <v>1</v>
      </c>
      <c r="AB3273" s="46" t="n">
        <f aca="false">IF(AND(E3273&gt;0,OR(AND(B3273&gt;=1,B3273&lt;=6),B3273=10)),1,0)</f>
        <v>0</v>
      </c>
      <c r="AC3273" s="46" t="n">
        <f aca="false">IF(AND(E3273&gt;0,B3273=10),1,0)</f>
        <v>0</v>
      </c>
      <c r="AD3273" s="0" t="str">
        <f aca="false">IF(AND(C3272=C3273,AA3272=AA3273-1),AB3272,"")</f>
        <v/>
      </c>
      <c r="AE3273" s="0" t="str">
        <f aca="false">IF(AND(C3272=C3273,AA3272=AA3273-1),AC3272,"")</f>
        <v/>
      </c>
      <c r="AF3273" s="0" t="str">
        <f aca="false">IF(AA3273=1,"",IF(AND(AB3273=1,AD3273&lt;&gt;1),1,0))</f>
        <v/>
      </c>
      <c r="AG3273" s="0" t="str">
        <f aca="false">IF(AA3273=1,"",IF(AND(AC3273=1,AE3273&lt;&gt;1),1,0))</f>
        <v/>
      </c>
      <c r="AH3273" s="51" t="str">
        <f aca="false">IF(AND(E3273&gt;0,AA3273&lt;1,NOT(AND(C3274=C3273,AA3274=AA3273+1))),INDEX(DATAS,AA3273+1),"")</f>
        <v/>
      </c>
      <c r="AI3273" s="51" t="str">
        <f aca="false">IF(AND(AC3273=1,AA3273&lt;1),IF(AND(C3274=C3273,AA3274=AA3273+1),IF(AC3274=1,"",INDEX(DATAS,AA3273+1)),INDEX(DATAS,AA3273+1)),"")</f>
        <v/>
      </c>
    </row>
    <row r="3274" customFormat="false" ht="15" hidden="false" customHeight="false" outlineLevel="0" collapsed="false">
      <c r="A3274" s="51" t="n">
        <v>46309</v>
      </c>
      <c r="B3274" s="0" t="n">
        <v>13</v>
      </c>
      <c r="C3274" s="0" t="n">
        <v>7699</v>
      </c>
      <c r="E3274" s="0" t="n">
        <v>0</v>
      </c>
      <c r="F3274" s="46" t="s">
        <v>1549</v>
      </c>
      <c r="I3274" s="46" t="s">
        <v>179</v>
      </c>
      <c r="U3274" s="0" t="n">
        <v>160</v>
      </c>
      <c r="V3274" s="0" t="n">
        <v>0</v>
      </c>
      <c r="X3274" s="46" t="n">
        <f aca="false">IF(I3274="Male",0,1)</f>
        <v>1</v>
      </c>
      <c r="Y3274" s="46" t="n">
        <f aca="false">IF(OR(I3274="DNB",I3274="Dry DNB"),1,0)</f>
        <v>0</v>
      </c>
      <c r="Z3274" s="0" t="str">
        <f aca="false">IF(ISNUMBER(W3274),A3274-W3274,"")</f>
        <v/>
      </c>
      <c r="AA3274" s="46" t="n">
        <f aca="false">MATCH(A3274,DATAS,0)</f>
        <v>1</v>
      </c>
      <c r="AB3274" s="46" t="n">
        <f aca="false">IF(AND(E3274&gt;0,OR(AND(B3274&gt;=1,B3274&lt;=6),B3274=10)),1,0)</f>
        <v>0</v>
      </c>
      <c r="AC3274" s="46" t="n">
        <f aca="false">IF(AND(E3274&gt;0,B3274=10),1,0)</f>
        <v>0</v>
      </c>
      <c r="AD3274" s="0" t="str">
        <f aca="false">IF(AND(C3273=C3274,AA3273=AA3274-1),AB3273,"")</f>
        <v/>
      </c>
      <c r="AE3274" s="0" t="str">
        <f aca="false">IF(AND(C3273=C3274,AA3273=AA3274-1),AC3273,"")</f>
        <v/>
      </c>
      <c r="AF3274" s="0" t="str">
        <f aca="false">IF(AA3274=1,"",IF(AND(AB3274=1,AD3274&lt;&gt;1),1,0))</f>
        <v/>
      </c>
      <c r="AG3274" s="0" t="str">
        <f aca="false">IF(AA3274=1,"",IF(AND(AC3274=1,AE3274&lt;&gt;1),1,0))</f>
        <v/>
      </c>
      <c r="AH3274" s="51" t="str">
        <f aca="false">IF(AND(E3274&gt;0,AA3274&lt;1,NOT(AND(C3275=C3274,AA3275=AA3274+1))),INDEX(DATAS,AA3274+1),"")</f>
        <v/>
      </c>
      <c r="AI3274" s="51" t="str">
        <f aca="false">IF(AND(AC3274=1,AA3274&lt;1),IF(AND(C3275=C3274,AA3275=AA3274+1),IF(AC3275=1,"",INDEX(DATAS,AA3274+1)),INDEX(DATAS,AA3274+1)),"")</f>
        <v/>
      </c>
    </row>
    <row r="3275" customFormat="false" ht="15" hidden="false" customHeight="false" outlineLevel="0" collapsed="false">
      <c r="A3275" s="51" t="n">
        <v>46309</v>
      </c>
      <c r="B3275" s="0" t="n">
        <v>13</v>
      </c>
      <c r="C3275" s="0" t="n">
        <v>7700</v>
      </c>
      <c r="E3275" s="0" t="n">
        <v>0</v>
      </c>
      <c r="F3275" s="46" t="s">
        <v>1550</v>
      </c>
      <c r="I3275" s="46" t="s">
        <v>179</v>
      </c>
      <c r="U3275" s="0" t="n">
        <v>159</v>
      </c>
      <c r="V3275" s="0" t="n">
        <v>0</v>
      </c>
      <c r="X3275" s="46" t="n">
        <f aca="false">IF(I3275="Male",0,1)</f>
        <v>1</v>
      </c>
      <c r="Y3275" s="46" t="n">
        <f aca="false">IF(OR(I3275="DNB",I3275="Dry DNB"),1,0)</f>
        <v>0</v>
      </c>
      <c r="Z3275" s="0" t="str">
        <f aca="false">IF(ISNUMBER(W3275),A3275-W3275,"")</f>
        <v/>
      </c>
      <c r="AA3275" s="46" t="n">
        <f aca="false">MATCH(A3275,DATAS,0)</f>
        <v>1</v>
      </c>
      <c r="AB3275" s="46" t="n">
        <f aca="false">IF(AND(E3275&gt;0,OR(AND(B3275&gt;=1,B3275&lt;=6),B3275=10)),1,0)</f>
        <v>0</v>
      </c>
      <c r="AC3275" s="46" t="n">
        <f aca="false">IF(AND(E3275&gt;0,B3275=10),1,0)</f>
        <v>0</v>
      </c>
      <c r="AD3275" s="0" t="str">
        <f aca="false">IF(AND(C3274=C3275,AA3274=AA3275-1),AB3274,"")</f>
        <v/>
      </c>
      <c r="AE3275" s="0" t="str">
        <f aca="false">IF(AND(C3274=C3275,AA3274=AA3275-1),AC3274,"")</f>
        <v/>
      </c>
      <c r="AF3275" s="0" t="str">
        <f aca="false">IF(AA3275=1,"",IF(AND(AB3275=1,AD3275&lt;&gt;1),1,0))</f>
        <v/>
      </c>
      <c r="AG3275" s="0" t="str">
        <f aca="false">IF(AA3275=1,"",IF(AND(AC3275=1,AE3275&lt;&gt;1),1,0))</f>
        <v/>
      </c>
      <c r="AH3275" s="51" t="str">
        <f aca="false">IF(AND(E3275&gt;0,AA3275&lt;1,NOT(AND(C3276=C3275,AA3276=AA3275+1))),INDEX(DATAS,AA3275+1),"")</f>
        <v/>
      </c>
      <c r="AI3275" s="51" t="str">
        <f aca="false">IF(AND(AC3275=1,AA3275&lt;1),IF(AND(C3276=C3275,AA3276=AA3275+1),IF(AC3276=1,"",INDEX(DATAS,AA3275+1)),INDEX(DATAS,AA3275+1)),"")</f>
        <v/>
      </c>
    </row>
    <row r="3276" customFormat="false" ht="15" hidden="false" customHeight="false" outlineLevel="0" collapsed="false">
      <c r="A3276" s="51" t="n">
        <v>46309</v>
      </c>
      <c r="B3276" s="0" t="n">
        <v>13</v>
      </c>
      <c r="C3276" s="0" t="n">
        <v>7701</v>
      </c>
      <c r="E3276" s="0" t="n">
        <v>0</v>
      </c>
      <c r="F3276" s="46" t="s">
        <v>1550</v>
      </c>
      <c r="I3276" s="46" t="s">
        <v>179</v>
      </c>
      <c r="U3276" s="0" t="n">
        <v>159</v>
      </c>
      <c r="V3276" s="0" t="n">
        <v>0</v>
      </c>
      <c r="X3276" s="46" t="n">
        <f aca="false">IF(I3276="Male",0,1)</f>
        <v>1</v>
      </c>
      <c r="Y3276" s="46" t="n">
        <f aca="false">IF(OR(I3276="DNB",I3276="Dry DNB"),1,0)</f>
        <v>0</v>
      </c>
      <c r="Z3276" s="0" t="str">
        <f aca="false">IF(ISNUMBER(W3276),A3276-W3276,"")</f>
        <v/>
      </c>
      <c r="AA3276" s="46" t="n">
        <f aca="false">MATCH(A3276,DATAS,0)</f>
        <v>1</v>
      </c>
      <c r="AB3276" s="46" t="n">
        <f aca="false">IF(AND(E3276&gt;0,OR(AND(B3276&gt;=1,B3276&lt;=6),B3276=10)),1,0)</f>
        <v>0</v>
      </c>
      <c r="AC3276" s="46" t="n">
        <f aca="false">IF(AND(E3276&gt;0,B3276=10),1,0)</f>
        <v>0</v>
      </c>
      <c r="AD3276" s="0" t="str">
        <f aca="false">IF(AND(C3275=C3276,AA3275=AA3276-1),AB3275,"")</f>
        <v/>
      </c>
      <c r="AE3276" s="0" t="str">
        <f aca="false">IF(AND(C3275=C3276,AA3275=AA3276-1),AC3275,"")</f>
        <v/>
      </c>
      <c r="AF3276" s="0" t="str">
        <f aca="false">IF(AA3276=1,"",IF(AND(AB3276=1,AD3276&lt;&gt;1),1,0))</f>
        <v/>
      </c>
      <c r="AG3276" s="0" t="str">
        <f aca="false">IF(AA3276=1,"",IF(AND(AC3276=1,AE3276&lt;&gt;1),1,0))</f>
        <v/>
      </c>
      <c r="AH3276" s="51" t="str">
        <f aca="false">IF(AND(E3276&gt;0,AA3276&lt;1,NOT(AND(C3277=C3276,AA3277=AA3276+1))),INDEX(DATAS,AA3276+1),"")</f>
        <v/>
      </c>
      <c r="AI3276" s="51" t="str">
        <f aca="false">IF(AND(AC3276=1,AA3276&lt;1),IF(AND(C3277=C3276,AA3277=AA3276+1),IF(AC3277=1,"",INDEX(DATAS,AA3276+1)),INDEX(DATAS,AA3276+1)),"")</f>
        <v/>
      </c>
    </row>
    <row r="3277" customFormat="false" ht="15" hidden="false" customHeight="false" outlineLevel="0" collapsed="false">
      <c r="A3277" s="51" t="n">
        <v>46309</v>
      </c>
      <c r="B3277" s="0" t="n">
        <v>13</v>
      </c>
      <c r="C3277" s="0" t="n">
        <v>7702</v>
      </c>
      <c r="E3277" s="0" t="n">
        <v>0</v>
      </c>
      <c r="F3277" s="46" t="s">
        <v>1551</v>
      </c>
      <c r="I3277" s="46" t="s">
        <v>179</v>
      </c>
      <c r="U3277" s="0" t="n">
        <v>158</v>
      </c>
      <c r="V3277" s="0" t="n">
        <v>0</v>
      </c>
      <c r="X3277" s="46" t="n">
        <f aca="false">IF(I3277="Male",0,1)</f>
        <v>1</v>
      </c>
      <c r="Y3277" s="46" t="n">
        <f aca="false">IF(OR(I3277="DNB",I3277="Dry DNB"),1,0)</f>
        <v>0</v>
      </c>
      <c r="Z3277" s="0" t="str">
        <f aca="false">IF(ISNUMBER(W3277),A3277-W3277,"")</f>
        <v/>
      </c>
      <c r="AA3277" s="46" t="n">
        <f aca="false">MATCH(A3277,DATAS,0)</f>
        <v>1</v>
      </c>
      <c r="AB3277" s="46" t="n">
        <f aca="false">IF(AND(E3277&gt;0,OR(AND(B3277&gt;=1,B3277&lt;=6),B3277=10)),1,0)</f>
        <v>0</v>
      </c>
      <c r="AC3277" s="46" t="n">
        <f aca="false">IF(AND(E3277&gt;0,B3277=10),1,0)</f>
        <v>0</v>
      </c>
      <c r="AD3277" s="0" t="str">
        <f aca="false">IF(AND(C3276=C3277,AA3276=AA3277-1),AB3276,"")</f>
        <v/>
      </c>
      <c r="AE3277" s="0" t="str">
        <f aca="false">IF(AND(C3276=C3277,AA3276=AA3277-1),AC3276,"")</f>
        <v/>
      </c>
      <c r="AF3277" s="0" t="str">
        <f aca="false">IF(AA3277=1,"",IF(AND(AB3277=1,AD3277&lt;&gt;1),1,0))</f>
        <v/>
      </c>
      <c r="AG3277" s="0" t="str">
        <f aca="false">IF(AA3277=1,"",IF(AND(AC3277=1,AE3277&lt;&gt;1),1,0))</f>
        <v/>
      </c>
      <c r="AH3277" s="51" t="str">
        <f aca="false">IF(AND(E3277&gt;0,AA3277&lt;1,NOT(AND(C3278=C3277,AA3278=AA3277+1))),INDEX(DATAS,AA3277+1),"")</f>
        <v/>
      </c>
      <c r="AI3277" s="51" t="str">
        <f aca="false">IF(AND(AC3277=1,AA3277&lt;1),IF(AND(C3278=C3277,AA3278=AA3277+1),IF(AC3278=1,"",INDEX(DATAS,AA3277+1)),INDEX(DATAS,AA3277+1)),"")</f>
        <v/>
      </c>
    </row>
    <row r="3278" customFormat="false" ht="15" hidden="false" customHeight="false" outlineLevel="0" collapsed="false">
      <c r="A3278" s="51" t="n">
        <v>46309</v>
      </c>
      <c r="B3278" s="0" t="n">
        <v>13</v>
      </c>
      <c r="C3278" s="0" t="n">
        <v>7703</v>
      </c>
      <c r="E3278" s="0" t="n">
        <v>0</v>
      </c>
      <c r="F3278" s="46" t="s">
        <v>1551</v>
      </c>
      <c r="I3278" s="46" t="s">
        <v>179</v>
      </c>
      <c r="U3278" s="0" t="n">
        <v>158</v>
      </c>
      <c r="V3278" s="0" t="n">
        <v>0</v>
      </c>
      <c r="X3278" s="46" t="n">
        <f aca="false">IF(I3278="Male",0,1)</f>
        <v>1</v>
      </c>
      <c r="Y3278" s="46" t="n">
        <f aca="false">IF(OR(I3278="DNB",I3278="Dry DNB"),1,0)</f>
        <v>0</v>
      </c>
      <c r="Z3278" s="0" t="str">
        <f aca="false">IF(ISNUMBER(W3278),A3278-W3278,"")</f>
        <v/>
      </c>
      <c r="AA3278" s="46" t="n">
        <f aca="false">MATCH(A3278,DATAS,0)</f>
        <v>1</v>
      </c>
      <c r="AB3278" s="46" t="n">
        <f aca="false">IF(AND(E3278&gt;0,OR(AND(B3278&gt;=1,B3278&lt;=6),B3278=10)),1,0)</f>
        <v>0</v>
      </c>
      <c r="AC3278" s="46" t="n">
        <f aca="false">IF(AND(E3278&gt;0,B3278=10),1,0)</f>
        <v>0</v>
      </c>
      <c r="AD3278" s="0" t="str">
        <f aca="false">IF(AND(C3277=C3278,AA3277=AA3278-1),AB3277,"")</f>
        <v/>
      </c>
      <c r="AE3278" s="0" t="str">
        <f aca="false">IF(AND(C3277=C3278,AA3277=AA3278-1),AC3277,"")</f>
        <v/>
      </c>
      <c r="AF3278" s="0" t="str">
        <f aca="false">IF(AA3278=1,"",IF(AND(AB3278=1,AD3278&lt;&gt;1),1,0))</f>
        <v/>
      </c>
      <c r="AG3278" s="0" t="str">
        <f aca="false">IF(AA3278=1,"",IF(AND(AC3278=1,AE3278&lt;&gt;1),1,0))</f>
        <v/>
      </c>
      <c r="AH3278" s="51" t="str">
        <f aca="false">IF(AND(E3278&gt;0,AA3278&lt;1,NOT(AND(C3279=C3278,AA3279=AA3278+1))),INDEX(DATAS,AA3278+1),"")</f>
        <v/>
      </c>
      <c r="AI3278" s="51" t="str">
        <f aca="false">IF(AND(AC3278=1,AA3278&lt;1),IF(AND(C3279=C3278,AA3279=AA3278+1),IF(AC3279=1,"",INDEX(DATAS,AA3278+1)),INDEX(DATAS,AA3278+1)),"")</f>
        <v/>
      </c>
    </row>
    <row r="3279" customFormat="false" ht="15" hidden="false" customHeight="false" outlineLevel="0" collapsed="false">
      <c r="A3279" s="51" t="n">
        <v>46309</v>
      </c>
      <c r="B3279" s="0" t="n">
        <v>13</v>
      </c>
      <c r="C3279" s="0" t="n">
        <v>7704</v>
      </c>
      <c r="E3279" s="0" t="n">
        <v>0</v>
      </c>
      <c r="F3279" s="46" t="s">
        <v>1552</v>
      </c>
      <c r="I3279" s="46" t="s">
        <v>179</v>
      </c>
      <c r="U3279" s="0" t="n">
        <v>157</v>
      </c>
      <c r="V3279" s="0" t="n">
        <v>0</v>
      </c>
      <c r="X3279" s="46" t="n">
        <f aca="false">IF(I3279="Male",0,1)</f>
        <v>1</v>
      </c>
      <c r="Y3279" s="46" t="n">
        <f aca="false">IF(OR(I3279="DNB",I3279="Dry DNB"),1,0)</f>
        <v>0</v>
      </c>
      <c r="Z3279" s="0" t="str">
        <f aca="false">IF(ISNUMBER(W3279),A3279-W3279,"")</f>
        <v/>
      </c>
      <c r="AA3279" s="46" t="n">
        <f aca="false">MATCH(A3279,DATAS,0)</f>
        <v>1</v>
      </c>
      <c r="AB3279" s="46" t="n">
        <f aca="false">IF(AND(E3279&gt;0,OR(AND(B3279&gt;=1,B3279&lt;=6),B3279=10)),1,0)</f>
        <v>0</v>
      </c>
      <c r="AC3279" s="46" t="n">
        <f aca="false">IF(AND(E3279&gt;0,B3279=10),1,0)</f>
        <v>0</v>
      </c>
      <c r="AD3279" s="0" t="str">
        <f aca="false">IF(AND(C3278=C3279,AA3278=AA3279-1),AB3278,"")</f>
        <v/>
      </c>
      <c r="AE3279" s="0" t="str">
        <f aca="false">IF(AND(C3278=C3279,AA3278=AA3279-1),AC3278,"")</f>
        <v/>
      </c>
      <c r="AF3279" s="0" t="str">
        <f aca="false">IF(AA3279=1,"",IF(AND(AB3279=1,AD3279&lt;&gt;1),1,0))</f>
        <v/>
      </c>
      <c r="AG3279" s="0" t="str">
        <f aca="false">IF(AA3279=1,"",IF(AND(AC3279=1,AE3279&lt;&gt;1),1,0))</f>
        <v/>
      </c>
      <c r="AH3279" s="51" t="str">
        <f aca="false">IF(AND(E3279&gt;0,AA3279&lt;1,NOT(AND(C3280=C3279,AA3280=AA3279+1))),INDEX(DATAS,AA3279+1),"")</f>
        <v/>
      </c>
      <c r="AI3279" s="51" t="str">
        <f aca="false">IF(AND(AC3279=1,AA3279&lt;1),IF(AND(C3280=C3279,AA3280=AA3279+1),IF(AC3280=1,"",INDEX(DATAS,AA3279+1)),INDEX(DATAS,AA3279+1)),"")</f>
        <v/>
      </c>
    </row>
    <row r="3280" customFormat="false" ht="15" hidden="false" customHeight="false" outlineLevel="0" collapsed="false">
      <c r="A3280" s="51" t="n">
        <v>46309</v>
      </c>
      <c r="B3280" s="0" t="n">
        <v>13</v>
      </c>
      <c r="C3280" s="0" t="n">
        <v>7705</v>
      </c>
      <c r="E3280" s="0" t="n">
        <v>0</v>
      </c>
      <c r="F3280" s="46" t="s">
        <v>1552</v>
      </c>
      <c r="I3280" s="46" t="s">
        <v>179</v>
      </c>
      <c r="U3280" s="0" t="n">
        <v>157</v>
      </c>
      <c r="V3280" s="0" t="n">
        <v>0</v>
      </c>
      <c r="X3280" s="46" t="n">
        <f aca="false">IF(I3280="Male",0,1)</f>
        <v>1</v>
      </c>
      <c r="Y3280" s="46" t="n">
        <f aca="false">IF(OR(I3280="DNB",I3280="Dry DNB"),1,0)</f>
        <v>0</v>
      </c>
      <c r="Z3280" s="0" t="str">
        <f aca="false">IF(ISNUMBER(W3280),A3280-W3280,"")</f>
        <v/>
      </c>
      <c r="AA3280" s="46" t="n">
        <f aca="false">MATCH(A3280,DATAS,0)</f>
        <v>1</v>
      </c>
      <c r="AB3280" s="46" t="n">
        <f aca="false">IF(AND(E3280&gt;0,OR(AND(B3280&gt;=1,B3280&lt;=6),B3280=10)),1,0)</f>
        <v>0</v>
      </c>
      <c r="AC3280" s="46" t="n">
        <f aca="false">IF(AND(E3280&gt;0,B3280=10),1,0)</f>
        <v>0</v>
      </c>
      <c r="AD3280" s="0" t="str">
        <f aca="false">IF(AND(C3279=C3280,AA3279=AA3280-1),AB3279,"")</f>
        <v/>
      </c>
      <c r="AE3280" s="0" t="str">
        <f aca="false">IF(AND(C3279=C3280,AA3279=AA3280-1),AC3279,"")</f>
        <v/>
      </c>
      <c r="AF3280" s="0" t="str">
        <f aca="false">IF(AA3280=1,"",IF(AND(AB3280=1,AD3280&lt;&gt;1),1,0))</f>
        <v/>
      </c>
      <c r="AG3280" s="0" t="str">
        <f aca="false">IF(AA3280=1,"",IF(AND(AC3280=1,AE3280&lt;&gt;1),1,0))</f>
        <v/>
      </c>
      <c r="AH3280" s="51" t="str">
        <f aca="false">IF(AND(E3280&gt;0,AA3280&lt;1,NOT(AND(C3281=C3280,AA3281=AA3280+1))),INDEX(DATAS,AA3280+1),"")</f>
        <v/>
      </c>
      <c r="AI3280" s="51" t="str">
        <f aca="false">IF(AND(AC3280=1,AA3280&lt;1),IF(AND(C3281=C3280,AA3281=AA3280+1),IF(AC3281=1,"",INDEX(DATAS,AA3280+1)),INDEX(DATAS,AA3280+1)),"")</f>
        <v/>
      </c>
    </row>
    <row r="3281" customFormat="false" ht="15" hidden="false" customHeight="false" outlineLevel="0" collapsed="false">
      <c r="A3281" s="51" t="n">
        <v>46309</v>
      </c>
      <c r="B3281" s="0" t="n">
        <v>13</v>
      </c>
      <c r="C3281" s="0" t="n">
        <v>7706</v>
      </c>
      <c r="E3281" s="0" t="n">
        <v>0</v>
      </c>
      <c r="F3281" s="46" t="s">
        <v>1553</v>
      </c>
      <c r="I3281" s="46" t="s">
        <v>179</v>
      </c>
      <c r="U3281" s="0" t="n">
        <v>156</v>
      </c>
      <c r="V3281" s="0" t="n">
        <v>0</v>
      </c>
      <c r="X3281" s="46" t="n">
        <f aca="false">IF(I3281="Male",0,1)</f>
        <v>1</v>
      </c>
      <c r="Y3281" s="46" t="n">
        <f aca="false">IF(OR(I3281="DNB",I3281="Dry DNB"),1,0)</f>
        <v>0</v>
      </c>
      <c r="Z3281" s="0" t="str">
        <f aca="false">IF(ISNUMBER(W3281),A3281-W3281,"")</f>
        <v/>
      </c>
      <c r="AA3281" s="46" t="n">
        <f aca="false">MATCH(A3281,DATAS,0)</f>
        <v>1</v>
      </c>
      <c r="AB3281" s="46" t="n">
        <f aca="false">IF(AND(E3281&gt;0,OR(AND(B3281&gt;=1,B3281&lt;=6),B3281=10)),1,0)</f>
        <v>0</v>
      </c>
      <c r="AC3281" s="46" t="n">
        <f aca="false">IF(AND(E3281&gt;0,B3281=10),1,0)</f>
        <v>0</v>
      </c>
      <c r="AD3281" s="0" t="str">
        <f aca="false">IF(AND(C3280=C3281,AA3280=AA3281-1),AB3280,"")</f>
        <v/>
      </c>
      <c r="AE3281" s="0" t="str">
        <f aca="false">IF(AND(C3280=C3281,AA3280=AA3281-1),AC3280,"")</f>
        <v/>
      </c>
      <c r="AF3281" s="0" t="str">
        <f aca="false">IF(AA3281=1,"",IF(AND(AB3281=1,AD3281&lt;&gt;1),1,0))</f>
        <v/>
      </c>
      <c r="AG3281" s="0" t="str">
        <f aca="false">IF(AA3281=1,"",IF(AND(AC3281=1,AE3281&lt;&gt;1),1,0))</f>
        <v/>
      </c>
      <c r="AH3281" s="51" t="str">
        <f aca="false">IF(AND(E3281&gt;0,AA3281&lt;1,NOT(AND(C3282=C3281,AA3282=AA3281+1))),INDEX(DATAS,AA3281+1),"")</f>
        <v/>
      </c>
      <c r="AI3281" s="51" t="str">
        <f aca="false">IF(AND(AC3281=1,AA3281&lt;1),IF(AND(C3282=C3281,AA3282=AA3281+1),IF(AC3282=1,"",INDEX(DATAS,AA3281+1)),INDEX(DATAS,AA3281+1)),"")</f>
        <v/>
      </c>
    </row>
    <row r="3282" customFormat="false" ht="15" hidden="false" customHeight="false" outlineLevel="0" collapsed="false">
      <c r="A3282" s="51" t="n">
        <v>46309</v>
      </c>
      <c r="B3282" s="0" t="n">
        <v>13</v>
      </c>
      <c r="C3282" s="0" t="n">
        <v>7707</v>
      </c>
      <c r="E3282" s="0" t="n">
        <v>0</v>
      </c>
      <c r="F3282" s="46" t="s">
        <v>1554</v>
      </c>
      <c r="I3282" s="46" t="s">
        <v>179</v>
      </c>
      <c r="U3282" s="0" t="n">
        <v>155</v>
      </c>
      <c r="V3282" s="0" t="n">
        <v>0</v>
      </c>
      <c r="X3282" s="46" t="n">
        <f aca="false">IF(I3282="Male",0,1)</f>
        <v>1</v>
      </c>
      <c r="Y3282" s="46" t="n">
        <f aca="false">IF(OR(I3282="DNB",I3282="Dry DNB"),1,0)</f>
        <v>0</v>
      </c>
      <c r="Z3282" s="0" t="str">
        <f aca="false">IF(ISNUMBER(W3282),A3282-W3282,"")</f>
        <v/>
      </c>
      <c r="AA3282" s="46" t="n">
        <f aca="false">MATCH(A3282,DATAS,0)</f>
        <v>1</v>
      </c>
      <c r="AB3282" s="46" t="n">
        <f aca="false">IF(AND(E3282&gt;0,OR(AND(B3282&gt;=1,B3282&lt;=6),B3282=10)),1,0)</f>
        <v>0</v>
      </c>
      <c r="AC3282" s="46" t="n">
        <f aca="false">IF(AND(E3282&gt;0,B3282=10),1,0)</f>
        <v>0</v>
      </c>
      <c r="AD3282" s="0" t="str">
        <f aca="false">IF(AND(C3281=C3282,AA3281=AA3282-1),AB3281,"")</f>
        <v/>
      </c>
      <c r="AE3282" s="0" t="str">
        <f aca="false">IF(AND(C3281=C3282,AA3281=AA3282-1),AC3281,"")</f>
        <v/>
      </c>
      <c r="AF3282" s="0" t="str">
        <f aca="false">IF(AA3282=1,"",IF(AND(AB3282=1,AD3282&lt;&gt;1),1,0))</f>
        <v/>
      </c>
      <c r="AG3282" s="0" t="str">
        <f aca="false">IF(AA3282=1,"",IF(AND(AC3282=1,AE3282&lt;&gt;1),1,0))</f>
        <v/>
      </c>
      <c r="AH3282" s="51" t="str">
        <f aca="false">IF(AND(E3282&gt;0,AA3282&lt;1,NOT(AND(C3283=C3282,AA3283=AA3282+1))),INDEX(DATAS,AA3282+1),"")</f>
        <v/>
      </c>
      <c r="AI3282" s="51" t="str">
        <f aca="false">IF(AND(AC3282=1,AA3282&lt;1),IF(AND(C3283=C3282,AA3283=AA3282+1),IF(AC3283=1,"",INDEX(DATAS,AA3282+1)),INDEX(DATAS,AA3282+1)),"")</f>
        <v/>
      </c>
    </row>
    <row r="3283" customFormat="false" ht="15" hidden="false" customHeight="false" outlineLevel="0" collapsed="false">
      <c r="A3283" s="51" t="n">
        <v>46309</v>
      </c>
      <c r="B3283" s="0" t="n">
        <v>13</v>
      </c>
      <c r="C3283" s="0" t="n">
        <v>7708</v>
      </c>
      <c r="E3283" s="0" t="n">
        <v>0</v>
      </c>
      <c r="F3283" s="46" t="s">
        <v>1554</v>
      </c>
      <c r="I3283" s="46" t="s">
        <v>179</v>
      </c>
      <c r="U3283" s="0" t="n">
        <v>155</v>
      </c>
      <c r="V3283" s="0" t="n">
        <v>0</v>
      </c>
      <c r="X3283" s="46" t="n">
        <f aca="false">IF(I3283="Male",0,1)</f>
        <v>1</v>
      </c>
      <c r="Y3283" s="46" t="n">
        <f aca="false">IF(OR(I3283="DNB",I3283="Dry DNB"),1,0)</f>
        <v>0</v>
      </c>
      <c r="Z3283" s="0" t="str">
        <f aca="false">IF(ISNUMBER(W3283),A3283-W3283,"")</f>
        <v/>
      </c>
      <c r="AA3283" s="46" t="n">
        <f aca="false">MATCH(A3283,DATAS,0)</f>
        <v>1</v>
      </c>
      <c r="AB3283" s="46" t="n">
        <f aca="false">IF(AND(E3283&gt;0,OR(AND(B3283&gt;=1,B3283&lt;=6),B3283=10)),1,0)</f>
        <v>0</v>
      </c>
      <c r="AC3283" s="46" t="n">
        <f aca="false">IF(AND(E3283&gt;0,B3283=10),1,0)</f>
        <v>0</v>
      </c>
      <c r="AD3283" s="0" t="str">
        <f aca="false">IF(AND(C3282=C3283,AA3282=AA3283-1),AB3282,"")</f>
        <v/>
      </c>
      <c r="AE3283" s="0" t="str">
        <f aca="false">IF(AND(C3282=C3283,AA3282=AA3283-1),AC3282,"")</f>
        <v/>
      </c>
      <c r="AF3283" s="0" t="str">
        <f aca="false">IF(AA3283=1,"",IF(AND(AB3283=1,AD3283&lt;&gt;1),1,0))</f>
        <v/>
      </c>
      <c r="AG3283" s="0" t="str">
        <f aca="false">IF(AA3283=1,"",IF(AND(AC3283=1,AE3283&lt;&gt;1),1,0))</f>
        <v/>
      </c>
      <c r="AH3283" s="51" t="str">
        <f aca="false">IF(AND(E3283&gt;0,AA3283&lt;1,NOT(AND(C3284=C3283,AA3284=AA3283+1))),INDEX(DATAS,AA3283+1),"")</f>
        <v/>
      </c>
      <c r="AI3283" s="51" t="str">
        <f aca="false">IF(AND(AC3283=1,AA3283&lt;1),IF(AND(C3284=C3283,AA3284=AA3283+1),IF(AC3284=1,"",INDEX(DATAS,AA3283+1)),INDEX(DATAS,AA3283+1)),"")</f>
        <v/>
      </c>
    </row>
    <row r="3284" customFormat="false" ht="15" hidden="false" customHeight="false" outlineLevel="0" collapsed="false">
      <c r="A3284" s="51" t="n">
        <v>46309</v>
      </c>
      <c r="B3284" s="0" t="n">
        <v>13</v>
      </c>
      <c r="C3284" s="0" t="n">
        <v>7709</v>
      </c>
      <c r="E3284" s="0" t="n">
        <v>0</v>
      </c>
      <c r="F3284" s="46" t="s">
        <v>1554</v>
      </c>
      <c r="I3284" s="46" t="s">
        <v>179</v>
      </c>
      <c r="U3284" s="0" t="n">
        <v>155</v>
      </c>
      <c r="V3284" s="0" t="n">
        <v>0</v>
      </c>
      <c r="X3284" s="46" t="n">
        <f aca="false">IF(I3284="Male",0,1)</f>
        <v>1</v>
      </c>
      <c r="Y3284" s="46" t="n">
        <f aca="false">IF(OR(I3284="DNB",I3284="Dry DNB"),1,0)</f>
        <v>0</v>
      </c>
      <c r="Z3284" s="0" t="str">
        <f aca="false">IF(ISNUMBER(W3284),A3284-W3284,"")</f>
        <v/>
      </c>
      <c r="AA3284" s="46" t="n">
        <f aca="false">MATCH(A3284,DATAS,0)</f>
        <v>1</v>
      </c>
      <c r="AB3284" s="46" t="n">
        <f aca="false">IF(AND(E3284&gt;0,OR(AND(B3284&gt;=1,B3284&lt;=6),B3284=10)),1,0)</f>
        <v>0</v>
      </c>
      <c r="AC3284" s="46" t="n">
        <f aca="false">IF(AND(E3284&gt;0,B3284=10),1,0)</f>
        <v>0</v>
      </c>
      <c r="AD3284" s="0" t="str">
        <f aca="false">IF(AND(C3283=C3284,AA3283=AA3284-1),AB3283,"")</f>
        <v/>
      </c>
      <c r="AE3284" s="0" t="str">
        <f aca="false">IF(AND(C3283=C3284,AA3283=AA3284-1),AC3283,"")</f>
        <v/>
      </c>
      <c r="AF3284" s="0" t="str">
        <f aca="false">IF(AA3284=1,"",IF(AND(AB3284=1,AD3284&lt;&gt;1),1,0))</f>
        <v/>
      </c>
      <c r="AG3284" s="0" t="str">
        <f aca="false">IF(AA3284=1,"",IF(AND(AC3284=1,AE3284&lt;&gt;1),1,0))</f>
        <v/>
      </c>
      <c r="AH3284" s="51" t="str">
        <f aca="false">IF(AND(E3284&gt;0,AA3284&lt;1,NOT(AND(C3285=C3284,AA3285=AA3284+1))),INDEX(DATAS,AA3284+1),"")</f>
        <v/>
      </c>
      <c r="AI3284" s="51" t="str">
        <f aca="false">IF(AND(AC3284=1,AA3284&lt;1),IF(AND(C3285=C3284,AA3285=AA3284+1),IF(AC3285=1,"",INDEX(DATAS,AA3284+1)),INDEX(DATAS,AA3284+1)),"")</f>
        <v/>
      </c>
    </row>
    <row r="3285" customFormat="false" ht="15" hidden="false" customHeight="false" outlineLevel="0" collapsed="false">
      <c r="A3285" s="51" t="n">
        <v>46309</v>
      </c>
      <c r="B3285" s="0" t="n">
        <v>13</v>
      </c>
      <c r="C3285" s="0" t="n">
        <v>7710</v>
      </c>
      <c r="E3285" s="0" t="n">
        <v>0</v>
      </c>
      <c r="F3285" s="46" t="s">
        <v>1554</v>
      </c>
      <c r="I3285" s="46" t="s">
        <v>179</v>
      </c>
      <c r="U3285" s="0" t="n">
        <v>155</v>
      </c>
      <c r="V3285" s="0" t="n">
        <v>0</v>
      </c>
      <c r="X3285" s="46" t="n">
        <f aca="false">IF(I3285="Male",0,1)</f>
        <v>1</v>
      </c>
      <c r="Y3285" s="46" t="n">
        <f aca="false">IF(OR(I3285="DNB",I3285="Dry DNB"),1,0)</f>
        <v>0</v>
      </c>
      <c r="Z3285" s="0" t="str">
        <f aca="false">IF(ISNUMBER(W3285),A3285-W3285,"")</f>
        <v/>
      </c>
      <c r="AA3285" s="46" t="n">
        <f aca="false">MATCH(A3285,DATAS,0)</f>
        <v>1</v>
      </c>
      <c r="AB3285" s="46" t="n">
        <f aca="false">IF(AND(E3285&gt;0,OR(AND(B3285&gt;=1,B3285&lt;=6),B3285=10)),1,0)</f>
        <v>0</v>
      </c>
      <c r="AC3285" s="46" t="n">
        <f aca="false">IF(AND(E3285&gt;0,B3285=10),1,0)</f>
        <v>0</v>
      </c>
      <c r="AD3285" s="0" t="str">
        <f aca="false">IF(AND(C3284=C3285,AA3284=AA3285-1),AB3284,"")</f>
        <v/>
      </c>
      <c r="AE3285" s="0" t="str">
        <f aca="false">IF(AND(C3284=C3285,AA3284=AA3285-1),AC3284,"")</f>
        <v/>
      </c>
      <c r="AF3285" s="0" t="str">
        <f aca="false">IF(AA3285=1,"",IF(AND(AB3285=1,AD3285&lt;&gt;1),1,0))</f>
        <v/>
      </c>
      <c r="AG3285" s="0" t="str">
        <f aca="false">IF(AA3285=1,"",IF(AND(AC3285=1,AE3285&lt;&gt;1),1,0))</f>
        <v/>
      </c>
      <c r="AH3285" s="51" t="str">
        <f aca="false">IF(AND(E3285&gt;0,AA3285&lt;1,NOT(AND(C3286=C3285,AA3286=AA3285+1))),INDEX(DATAS,AA3285+1),"")</f>
        <v/>
      </c>
      <c r="AI3285" s="51" t="str">
        <f aca="false">IF(AND(AC3285=1,AA3285&lt;1),IF(AND(C3286=C3285,AA3286=AA3285+1),IF(AC3286=1,"",INDEX(DATAS,AA3285+1)),INDEX(DATAS,AA3285+1)),"")</f>
        <v/>
      </c>
    </row>
    <row r="3286" customFormat="false" ht="15" hidden="false" customHeight="false" outlineLevel="0" collapsed="false">
      <c r="A3286" s="51" t="n">
        <v>46309</v>
      </c>
      <c r="B3286" s="0" t="n">
        <v>13</v>
      </c>
      <c r="C3286" s="0" t="n">
        <v>7711</v>
      </c>
      <c r="E3286" s="0" t="n">
        <v>0</v>
      </c>
      <c r="F3286" s="46" t="s">
        <v>1554</v>
      </c>
      <c r="I3286" s="46" t="s">
        <v>179</v>
      </c>
      <c r="U3286" s="0" t="n">
        <v>155</v>
      </c>
      <c r="V3286" s="0" t="n">
        <v>0</v>
      </c>
      <c r="X3286" s="46" t="n">
        <f aca="false">IF(I3286="Male",0,1)</f>
        <v>1</v>
      </c>
      <c r="Y3286" s="46" t="n">
        <f aca="false">IF(OR(I3286="DNB",I3286="Dry DNB"),1,0)</f>
        <v>0</v>
      </c>
      <c r="Z3286" s="0" t="str">
        <f aca="false">IF(ISNUMBER(W3286),A3286-W3286,"")</f>
        <v/>
      </c>
      <c r="AA3286" s="46" t="n">
        <f aca="false">MATCH(A3286,DATAS,0)</f>
        <v>1</v>
      </c>
      <c r="AB3286" s="46" t="n">
        <f aca="false">IF(AND(E3286&gt;0,OR(AND(B3286&gt;=1,B3286&lt;=6),B3286=10)),1,0)</f>
        <v>0</v>
      </c>
      <c r="AC3286" s="46" t="n">
        <f aca="false">IF(AND(E3286&gt;0,B3286=10),1,0)</f>
        <v>0</v>
      </c>
      <c r="AD3286" s="0" t="str">
        <f aca="false">IF(AND(C3285=C3286,AA3285=AA3286-1),AB3285,"")</f>
        <v/>
      </c>
      <c r="AE3286" s="0" t="str">
        <f aca="false">IF(AND(C3285=C3286,AA3285=AA3286-1),AC3285,"")</f>
        <v/>
      </c>
      <c r="AF3286" s="0" t="str">
        <f aca="false">IF(AA3286=1,"",IF(AND(AB3286=1,AD3286&lt;&gt;1),1,0))</f>
        <v/>
      </c>
      <c r="AG3286" s="0" t="str">
        <f aca="false">IF(AA3286=1,"",IF(AND(AC3286=1,AE3286&lt;&gt;1),1,0))</f>
        <v/>
      </c>
      <c r="AH3286" s="51" t="str">
        <f aca="false">IF(AND(E3286&gt;0,AA3286&lt;1,NOT(AND(C3287=C3286,AA3287=AA3286+1))),INDEX(DATAS,AA3286+1),"")</f>
        <v/>
      </c>
      <c r="AI3286" s="51" t="str">
        <f aca="false">IF(AND(AC3286=1,AA3286&lt;1),IF(AND(C3287=C3286,AA3287=AA3286+1),IF(AC3287=1,"",INDEX(DATAS,AA3286+1)),INDEX(DATAS,AA3286+1)),"")</f>
        <v/>
      </c>
    </row>
    <row r="3287" customFormat="false" ht="15" hidden="false" customHeight="false" outlineLevel="0" collapsed="false">
      <c r="A3287" s="51" t="n">
        <v>46309</v>
      </c>
      <c r="B3287" s="0" t="n">
        <v>13</v>
      </c>
      <c r="C3287" s="0" t="n">
        <v>7712</v>
      </c>
      <c r="E3287" s="0" t="n">
        <v>0</v>
      </c>
      <c r="F3287" s="46" t="s">
        <v>1554</v>
      </c>
      <c r="I3287" s="46" t="s">
        <v>179</v>
      </c>
      <c r="U3287" s="0" t="n">
        <v>155</v>
      </c>
      <c r="V3287" s="0" t="n">
        <v>0</v>
      </c>
      <c r="X3287" s="46" t="n">
        <f aca="false">IF(I3287="Male",0,1)</f>
        <v>1</v>
      </c>
      <c r="Y3287" s="46" t="n">
        <f aca="false">IF(OR(I3287="DNB",I3287="Dry DNB"),1,0)</f>
        <v>0</v>
      </c>
      <c r="Z3287" s="0" t="str">
        <f aca="false">IF(ISNUMBER(W3287),A3287-W3287,"")</f>
        <v/>
      </c>
      <c r="AA3287" s="46" t="n">
        <f aca="false">MATCH(A3287,DATAS,0)</f>
        <v>1</v>
      </c>
      <c r="AB3287" s="46" t="n">
        <f aca="false">IF(AND(E3287&gt;0,OR(AND(B3287&gt;=1,B3287&lt;=6),B3287=10)),1,0)</f>
        <v>0</v>
      </c>
      <c r="AC3287" s="46" t="n">
        <f aca="false">IF(AND(E3287&gt;0,B3287=10),1,0)</f>
        <v>0</v>
      </c>
      <c r="AD3287" s="0" t="str">
        <f aca="false">IF(AND(C3286=C3287,AA3286=AA3287-1),AB3286,"")</f>
        <v/>
      </c>
      <c r="AE3287" s="0" t="str">
        <f aca="false">IF(AND(C3286=C3287,AA3286=AA3287-1),AC3286,"")</f>
        <v/>
      </c>
      <c r="AF3287" s="0" t="str">
        <f aca="false">IF(AA3287=1,"",IF(AND(AB3287=1,AD3287&lt;&gt;1),1,0))</f>
        <v/>
      </c>
      <c r="AG3287" s="0" t="str">
        <f aca="false">IF(AA3287=1,"",IF(AND(AC3287=1,AE3287&lt;&gt;1),1,0))</f>
        <v/>
      </c>
      <c r="AH3287" s="51" t="str">
        <f aca="false">IF(AND(E3287&gt;0,AA3287&lt;1,NOT(AND(C3288=C3287,AA3288=AA3287+1))),INDEX(DATAS,AA3287+1),"")</f>
        <v/>
      </c>
      <c r="AI3287" s="51" t="str">
        <f aca="false">IF(AND(AC3287=1,AA3287&lt;1),IF(AND(C3288=C3287,AA3288=AA3287+1),IF(AC3288=1,"",INDEX(DATAS,AA3287+1)),INDEX(DATAS,AA3287+1)),"")</f>
        <v/>
      </c>
    </row>
    <row r="3288" customFormat="false" ht="15" hidden="false" customHeight="false" outlineLevel="0" collapsed="false">
      <c r="A3288" s="51" t="n">
        <v>46309</v>
      </c>
      <c r="B3288" s="0" t="n">
        <v>13</v>
      </c>
      <c r="C3288" s="0" t="n">
        <v>7713</v>
      </c>
      <c r="E3288" s="0" t="n">
        <v>0</v>
      </c>
      <c r="F3288" s="46" t="s">
        <v>1554</v>
      </c>
      <c r="I3288" s="46" t="s">
        <v>179</v>
      </c>
      <c r="U3288" s="0" t="n">
        <v>155</v>
      </c>
      <c r="V3288" s="0" t="n">
        <v>0</v>
      </c>
      <c r="X3288" s="46" t="n">
        <f aca="false">IF(I3288="Male",0,1)</f>
        <v>1</v>
      </c>
      <c r="Y3288" s="46" t="n">
        <f aca="false">IF(OR(I3288="DNB",I3288="Dry DNB"),1,0)</f>
        <v>0</v>
      </c>
      <c r="Z3288" s="0" t="str">
        <f aca="false">IF(ISNUMBER(W3288),A3288-W3288,"")</f>
        <v/>
      </c>
      <c r="AA3288" s="46" t="n">
        <f aca="false">MATCH(A3288,DATAS,0)</f>
        <v>1</v>
      </c>
      <c r="AB3288" s="46" t="n">
        <f aca="false">IF(AND(E3288&gt;0,OR(AND(B3288&gt;=1,B3288&lt;=6),B3288=10)),1,0)</f>
        <v>0</v>
      </c>
      <c r="AC3288" s="46" t="n">
        <f aca="false">IF(AND(E3288&gt;0,B3288=10),1,0)</f>
        <v>0</v>
      </c>
      <c r="AD3288" s="0" t="str">
        <f aca="false">IF(AND(C3287=C3288,AA3287=AA3288-1),AB3287,"")</f>
        <v/>
      </c>
      <c r="AE3288" s="0" t="str">
        <f aca="false">IF(AND(C3287=C3288,AA3287=AA3288-1),AC3287,"")</f>
        <v/>
      </c>
      <c r="AF3288" s="0" t="str">
        <f aca="false">IF(AA3288=1,"",IF(AND(AB3288=1,AD3288&lt;&gt;1),1,0))</f>
        <v/>
      </c>
      <c r="AG3288" s="0" t="str">
        <f aca="false">IF(AA3288=1,"",IF(AND(AC3288=1,AE3288&lt;&gt;1),1,0))</f>
        <v/>
      </c>
      <c r="AH3288" s="51" t="str">
        <f aca="false">IF(AND(E3288&gt;0,AA3288&lt;1,NOT(AND(C3289=C3288,AA3289=AA3288+1))),INDEX(DATAS,AA3288+1),"")</f>
        <v/>
      </c>
      <c r="AI3288" s="51" t="str">
        <f aca="false">IF(AND(AC3288=1,AA3288&lt;1),IF(AND(C3289=C3288,AA3289=AA3288+1),IF(AC3289=1,"",INDEX(DATAS,AA3288+1)),INDEX(DATAS,AA3288+1)),"")</f>
        <v/>
      </c>
    </row>
    <row r="3289" customFormat="false" ht="15" hidden="false" customHeight="false" outlineLevel="0" collapsed="false">
      <c r="A3289" s="51" t="n">
        <v>46309</v>
      </c>
      <c r="B3289" s="0" t="n">
        <v>13</v>
      </c>
      <c r="C3289" s="0" t="n">
        <v>7714</v>
      </c>
      <c r="E3289" s="0" t="n">
        <v>0</v>
      </c>
      <c r="F3289" s="46" t="s">
        <v>1554</v>
      </c>
      <c r="I3289" s="46" t="s">
        <v>179</v>
      </c>
      <c r="U3289" s="0" t="n">
        <v>155</v>
      </c>
      <c r="V3289" s="0" t="n">
        <v>0</v>
      </c>
      <c r="X3289" s="46" t="n">
        <f aca="false">IF(I3289="Male",0,1)</f>
        <v>1</v>
      </c>
      <c r="Y3289" s="46" t="n">
        <f aca="false">IF(OR(I3289="DNB",I3289="Dry DNB"),1,0)</f>
        <v>0</v>
      </c>
      <c r="Z3289" s="0" t="str">
        <f aca="false">IF(ISNUMBER(W3289),A3289-W3289,"")</f>
        <v/>
      </c>
      <c r="AA3289" s="46" t="n">
        <f aca="false">MATCH(A3289,DATAS,0)</f>
        <v>1</v>
      </c>
      <c r="AB3289" s="46" t="n">
        <f aca="false">IF(AND(E3289&gt;0,OR(AND(B3289&gt;=1,B3289&lt;=6),B3289=10)),1,0)</f>
        <v>0</v>
      </c>
      <c r="AC3289" s="46" t="n">
        <f aca="false">IF(AND(E3289&gt;0,B3289=10),1,0)</f>
        <v>0</v>
      </c>
      <c r="AD3289" s="0" t="str">
        <f aca="false">IF(AND(C3288=C3289,AA3288=AA3289-1),AB3288,"")</f>
        <v/>
      </c>
      <c r="AE3289" s="0" t="str">
        <f aca="false">IF(AND(C3288=C3289,AA3288=AA3289-1),AC3288,"")</f>
        <v/>
      </c>
      <c r="AF3289" s="0" t="str">
        <f aca="false">IF(AA3289=1,"",IF(AND(AB3289=1,AD3289&lt;&gt;1),1,0))</f>
        <v/>
      </c>
      <c r="AG3289" s="0" t="str">
        <f aca="false">IF(AA3289=1,"",IF(AND(AC3289=1,AE3289&lt;&gt;1),1,0))</f>
        <v/>
      </c>
      <c r="AH3289" s="51" t="str">
        <f aca="false">IF(AND(E3289&gt;0,AA3289&lt;1,NOT(AND(C3290=C3289,AA3290=AA3289+1))),INDEX(DATAS,AA3289+1),"")</f>
        <v/>
      </c>
      <c r="AI3289" s="51" t="str">
        <f aca="false">IF(AND(AC3289=1,AA3289&lt;1),IF(AND(C3290=C3289,AA3290=AA3289+1),IF(AC3290=1,"",INDEX(DATAS,AA3289+1)),INDEX(DATAS,AA3289+1)),"")</f>
        <v/>
      </c>
    </row>
    <row r="3290" customFormat="false" ht="15" hidden="false" customHeight="false" outlineLevel="0" collapsed="false">
      <c r="A3290" s="51" t="n">
        <v>46309</v>
      </c>
      <c r="B3290" s="0" t="n">
        <v>13</v>
      </c>
      <c r="C3290" s="0" t="n">
        <v>7715</v>
      </c>
      <c r="E3290" s="0" t="n">
        <v>0</v>
      </c>
      <c r="F3290" s="46" t="s">
        <v>1555</v>
      </c>
      <c r="I3290" s="46" t="s">
        <v>179</v>
      </c>
      <c r="U3290" s="0" t="n">
        <v>154</v>
      </c>
      <c r="V3290" s="0" t="n">
        <v>0</v>
      </c>
      <c r="X3290" s="46" t="n">
        <f aca="false">IF(I3290="Male",0,1)</f>
        <v>1</v>
      </c>
      <c r="Y3290" s="46" t="n">
        <f aca="false">IF(OR(I3290="DNB",I3290="Dry DNB"),1,0)</f>
        <v>0</v>
      </c>
      <c r="Z3290" s="0" t="str">
        <f aca="false">IF(ISNUMBER(W3290),A3290-W3290,"")</f>
        <v/>
      </c>
      <c r="AA3290" s="46" t="n">
        <f aca="false">MATCH(A3290,DATAS,0)</f>
        <v>1</v>
      </c>
      <c r="AB3290" s="46" t="n">
        <f aca="false">IF(AND(E3290&gt;0,OR(AND(B3290&gt;=1,B3290&lt;=6),B3290=10)),1,0)</f>
        <v>0</v>
      </c>
      <c r="AC3290" s="46" t="n">
        <f aca="false">IF(AND(E3290&gt;0,B3290=10),1,0)</f>
        <v>0</v>
      </c>
      <c r="AD3290" s="0" t="str">
        <f aca="false">IF(AND(C3289=C3290,AA3289=AA3290-1),AB3289,"")</f>
        <v/>
      </c>
      <c r="AE3290" s="0" t="str">
        <f aca="false">IF(AND(C3289=C3290,AA3289=AA3290-1),AC3289,"")</f>
        <v/>
      </c>
      <c r="AF3290" s="0" t="str">
        <f aca="false">IF(AA3290=1,"",IF(AND(AB3290=1,AD3290&lt;&gt;1),1,0))</f>
        <v/>
      </c>
      <c r="AG3290" s="0" t="str">
        <f aca="false">IF(AA3290=1,"",IF(AND(AC3290=1,AE3290&lt;&gt;1),1,0))</f>
        <v/>
      </c>
      <c r="AH3290" s="51" t="str">
        <f aca="false">IF(AND(E3290&gt;0,AA3290&lt;1,NOT(AND(C3291=C3290,AA3291=AA3290+1))),INDEX(DATAS,AA3290+1),"")</f>
        <v/>
      </c>
      <c r="AI3290" s="51" t="str">
        <f aca="false">IF(AND(AC3290=1,AA3290&lt;1),IF(AND(C3291=C3290,AA3291=AA3290+1),IF(AC3291=1,"",INDEX(DATAS,AA3290+1)),INDEX(DATAS,AA3290+1)),"")</f>
        <v/>
      </c>
    </row>
    <row r="3291" customFormat="false" ht="15" hidden="false" customHeight="false" outlineLevel="0" collapsed="false">
      <c r="A3291" s="51" t="n">
        <v>46309</v>
      </c>
      <c r="B3291" s="0" t="n">
        <v>13</v>
      </c>
      <c r="C3291" s="0" t="n">
        <v>7716</v>
      </c>
      <c r="E3291" s="0" t="n">
        <v>0</v>
      </c>
      <c r="F3291" s="46" t="s">
        <v>1555</v>
      </c>
      <c r="I3291" s="46" t="s">
        <v>179</v>
      </c>
      <c r="U3291" s="0" t="n">
        <v>154</v>
      </c>
      <c r="V3291" s="0" t="n">
        <v>0</v>
      </c>
      <c r="X3291" s="46" t="n">
        <f aca="false">IF(I3291="Male",0,1)</f>
        <v>1</v>
      </c>
      <c r="Y3291" s="46" t="n">
        <f aca="false">IF(OR(I3291="DNB",I3291="Dry DNB"),1,0)</f>
        <v>0</v>
      </c>
      <c r="Z3291" s="0" t="str">
        <f aca="false">IF(ISNUMBER(W3291),A3291-W3291,"")</f>
        <v/>
      </c>
      <c r="AA3291" s="46" t="n">
        <f aca="false">MATCH(A3291,DATAS,0)</f>
        <v>1</v>
      </c>
      <c r="AB3291" s="46" t="n">
        <f aca="false">IF(AND(E3291&gt;0,OR(AND(B3291&gt;=1,B3291&lt;=6),B3291=10)),1,0)</f>
        <v>0</v>
      </c>
      <c r="AC3291" s="46" t="n">
        <f aca="false">IF(AND(E3291&gt;0,B3291=10),1,0)</f>
        <v>0</v>
      </c>
      <c r="AD3291" s="0" t="str">
        <f aca="false">IF(AND(C3290=C3291,AA3290=AA3291-1),AB3290,"")</f>
        <v/>
      </c>
      <c r="AE3291" s="0" t="str">
        <f aca="false">IF(AND(C3290=C3291,AA3290=AA3291-1),AC3290,"")</f>
        <v/>
      </c>
      <c r="AF3291" s="0" t="str">
        <f aca="false">IF(AA3291=1,"",IF(AND(AB3291=1,AD3291&lt;&gt;1),1,0))</f>
        <v/>
      </c>
      <c r="AG3291" s="0" t="str">
        <f aca="false">IF(AA3291=1,"",IF(AND(AC3291=1,AE3291&lt;&gt;1),1,0))</f>
        <v/>
      </c>
      <c r="AH3291" s="51" t="str">
        <f aca="false">IF(AND(E3291&gt;0,AA3291&lt;1,NOT(AND(C3292=C3291,AA3292=AA3291+1))),INDEX(DATAS,AA3291+1),"")</f>
        <v/>
      </c>
      <c r="AI3291" s="51" t="str">
        <f aca="false">IF(AND(AC3291=1,AA3291&lt;1),IF(AND(C3292=C3291,AA3292=AA3291+1),IF(AC3292=1,"",INDEX(DATAS,AA3291+1)),INDEX(DATAS,AA3291+1)),"")</f>
        <v/>
      </c>
    </row>
    <row r="3292" customFormat="false" ht="15" hidden="false" customHeight="false" outlineLevel="0" collapsed="false">
      <c r="A3292" s="51" t="n">
        <v>46309</v>
      </c>
      <c r="B3292" s="0" t="n">
        <v>13</v>
      </c>
      <c r="C3292" s="0" t="n">
        <v>7717</v>
      </c>
      <c r="E3292" s="0" t="n">
        <v>0</v>
      </c>
      <c r="F3292" s="46" t="s">
        <v>1555</v>
      </c>
      <c r="I3292" s="46" t="s">
        <v>179</v>
      </c>
      <c r="U3292" s="0" t="n">
        <v>154</v>
      </c>
      <c r="V3292" s="0" t="n">
        <v>0</v>
      </c>
      <c r="X3292" s="46" t="n">
        <f aca="false">IF(I3292="Male",0,1)</f>
        <v>1</v>
      </c>
      <c r="Y3292" s="46" t="n">
        <f aca="false">IF(OR(I3292="DNB",I3292="Dry DNB"),1,0)</f>
        <v>0</v>
      </c>
      <c r="Z3292" s="0" t="str">
        <f aca="false">IF(ISNUMBER(W3292),A3292-W3292,"")</f>
        <v/>
      </c>
      <c r="AA3292" s="46" t="n">
        <f aca="false">MATCH(A3292,DATAS,0)</f>
        <v>1</v>
      </c>
      <c r="AB3292" s="46" t="n">
        <f aca="false">IF(AND(E3292&gt;0,OR(AND(B3292&gt;=1,B3292&lt;=6),B3292=10)),1,0)</f>
        <v>0</v>
      </c>
      <c r="AC3292" s="46" t="n">
        <f aca="false">IF(AND(E3292&gt;0,B3292=10),1,0)</f>
        <v>0</v>
      </c>
      <c r="AD3292" s="0" t="str">
        <f aca="false">IF(AND(C3291=C3292,AA3291=AA3292-1),AB3291,"")</f>
        <v/>
      </c>
      <c r="AE3292" s="0" t="str">
        <f aca="false">IF(AND(C3291=C3292,AA3291=AA3292-1),AC3291,"")</f>
        <v/>
      </c>
      <c r="AF3292" s="0" t="str">
        <f aca="false">IF(AA3292=1,"",IF(AND(AB3292=1,AD3292&lt;&gt;1),1,0))</f>
        <v/>
      </c>
      <c r="AG3292" s="0" t="str">
        <f aca="false">IF(AA3292=1,"",IF(AND(AC3292=1,AE3292&lt;&gt;1),1,0))</f>
        <v/>
      </c>
      <c r="AH3292" s="51" t="str">
        <f aca="false">IF(AND(E3292&gt;0,AA3292&lt;1,NOT(AND(C3293=C3292,AA3293=AA3292+1))),INDEX(DATAS,AA3292+1),"")</f>
        <v/>
      </c>
      <c r="AI3292" s="51" t="str">
        <f aca="false">IF(AND(AC3292=1,AA3292&lt;1),IF(AND(C3293=C3292,AA3293=AA3292+1),IF(AC3293=1,"",INDEX(DATAS,AA3292+1)),INDEX(DATAS,AA3292+1)),"")</f>
        <v/>
      </c>
    </row>
    <row r="3293" customFormat="false" ht="15" hidden="false" customHeight="false" outlineLevel="0" collapsed="false">
      <c r="A3293" s="51" t="n">
        <v>46309</v>
      </c>
      <c r="B3293" s="0" t="n">
        <v>13</v>
      </c>
      <c r="C3293" s="0" t="n">
        <v>7718</v>
      </c>
      <c r="E3293" s="0" t="n">
        <v>0</v>
      </c>
      <c r="F3293" s="46" t="s">
        <v>1555</v>
      </c>
      <c r="I3293" s="46" t="s">
        <v>179</v>
      </c>
      <c r="U3293" s="0" t="n">
        <v>154</v>
      </c>
      <c r="V3293" s="0" t="n">
        <v>0</v>
      </c>
      <c r="X3293" s="46" t="n">
        <f aca="false">IF(I3293="Male",0,1)</f>
        <v>1</v>
      </c>
      <c r="Y3293" s="46" t="n">
        <f aca="false">IF(OR(I3293="DNB",I3293="Dry DNB"),1,0)</f>
        <v>0</v>
      </c>
      <c r="Z3293" s="0" t="str">
        <f aca="false">IF(ISNUMBER(W3293),A3293-W3293,"")</f>
        <v/>
      </c>
      <c r="AA3293" s="46" t="n">
        <f aca="false">MATCH(A3293,DATAS,0)</f>
        <v>1</v>
      </c>
      <c r="AB3293" s="46" t="n">
        <f aca="false">IF(AND(E3293&gt;0,OR(AND(B3293&gt;=1,B3293&lt;=6),B3293=10)),1,0)</f>
        <v>0</v>
      </c>
      <c r="AC3293" s="46" t="n">
        <f aca="false">IF(AND(E3293&gt;0,B3293=10),1,0)</f>
        <v>0</v>
      </c>
      <c r="AD3293" s="0" t="str">
        <f aca="false">IF(AND(C3292=C3293,AA3292=AA3293-1),AB3292,"")</f>
        <v/>
      </c>
      <c r="AE3293" s="0" t="str">
        <f aca="false">IF(AND(C3292=C3293,AA3292=AA3293-1),AC3292,"")</f>
        <v/>
      </c>
      <c r="AF3293" s="0" t="str">
        <f aca="false">IF(AA3293=1,"",IF(AND(AB3293=1,AD3293&lt;&gt;1),1,0))</f>
        <v/>
      </c>
      <c r="AG3293" s="0" t="str">
        <f aca="false">IF(AA3293=1,"",IF(AND(AC3293=1,AE3293&lt;&gt;1),1,0))</f>
        <v/>
      </c>
      <c r="AH3293" s="51" t="str">
        <f aca="false">IF(AND(E3293&gt;0,AA3293&lt;1,NOT(AND(C3294=C3293,AA3294=AA3293+1))),INDEX(DATAS,AA3293+1),"")</f>
        <v/>
      </c>
      <c r="AI3293" s="51" t="str">
        <f aca="false">IF(AND(AC3293=1,AA3293&lt;1),IF(AND(C3294=C3293,AA3294=AA3293+1),IF(AC3294=1,"",INDEX(DATAS,AA3293+1)),INDEX(DATAS,AA3293+1)),"")</f>
        <v/>
      </c>
    </row>
    <row r="3294" customFormat="false" ht="15" hidden="false" customHeight="false" outlineLevel="0" collapsed="false">
      <c r="A3294" s="51" t="n">
        <v>46309</v>
      </c>
      <c r="B3294" s="0" t="n">
        <v>13</v>
      </c>
      <c r="C3294" s="0" t="n">
        <v>7719</v>
      </c>
      <c r="E3294" s="0" t="n">
        <v>0</v>
      </c>
      <c r="F3294" s="46" t="s">
        <v>1555</v>
      </c>
      <c r="I3294" s="46" t="s">
        <v>179</v>
      </c>
      <c r="U3294" s="0" t="n">
        <v>154</v>
      </c>
      <c r="V3294" s="0" t="n">
        <v>0</v>
      </c>
      <c r="X3294" s="46" t="n">
        <f aca="false">IF(I3294="Male",0,1)</f>
        <v>1</v>
      </c>
      <c r="Y3294" s="46" t="n">
        <f aca="false">IF(OR(I3294="DNB",I3294="Dry DNB"),1,0)</f>
        <v>0</v>
      </c>
      <c r="Z3294" s="0" t="str">
        <f aca="false">IF(ISNUMBER(W3294),A3294-W3294,"")</f>
        <v/>
      </c>
      <c r="AA3294" s="46" t="n">
        <f aca="false">MATCH(A3294,DATAS,0)</f>
        <v>1</v>
      </c>
      <c r="AB3294" s="46" t="n">
        <f aca="false">IF(AND(E3294&gt;0,OR(AND(B3294&gt;=1,B3294&lt;=6),B3294=10)),1,0)</f>
        <v>0</v>
      </c>
      <c r="AC3294" s="46" t="n">
        <f aca="false">IF(AND(E3294&gt;0,B3294=10),1,0)</f>
        <v>0</v>
      </c>
      <c r="AD3294" s="0" t="str">
        <f aca="false">IF(AND(C3293=C3294,AA3293=AA3294-1),AB3293,"")</f>
        <v/>
      </c>
      <c r="AE3294" s="0" t="str">
        <f aca="false">IF(AND(C3293=C3294,AA3293=AA3294-1),AC3293,"")</f>
        <v/>
      </c>
      <c r="AF3294" s="0" t="str">
        <f aca="false">IF(AA3294=1,"",IF(AND(AB3294=1,AD3294&lt;&gt;1),1,0))</f>
        <v/>
      </c>
      <c r="AG3294" s="0" t="str">
        <f aca="false">IF(AA3294=1,"",IF(AND(AC3294=1,AE3294&lt;&gt;1),1,0))</f>
        <v/>
      </c>
      <c r="AH3294" s="51" t="str">
        <f aca="false">IF(AND(E3294&gt;0,AA3294&lt;1,NOT(AND(C3295=C3294,AA3295=AA3294+1))),INDEX(DATAS,AA3294+1),"")</f>
        <v/>
      </c>
      <c r="AI3294" s="51" t="str">
        <f aca="false">IF(AND(AC3294=1,AA3294&lt;1),IF(AND(C3295=C3294,AA3295=AA3294+1),IF(AC3295=1,"",INDEX(DATAS,AA3294+1)),INDEX(DATAS,AA3294+1)),"")</f>
        <v/>
      </c>
    </row>
    <row r="3295" customFormat="false" ht="15" hidden="false" customHeight="false" outlineLevel="0" collapsed="false">
      <c r="A3295" s="51" t="n">
        <v>46309</v>
      </c>
      <c r="B3295" s="0" t="n">
        <v>13</v>
      </c>
      <c r="C3295" s="0" t="n">
        <v>7720</v>
      </c>
      <c r="E3295" s="0" t="n">
        <v>0</v>
      </c>
      <c r="F3295" s="46" t="s">
        <v>1555</v>
      </c>
      <c r="I3295" s="46" t="s">
        <v>179</v>
      </c>
      <c r="U3295" s="0" t="n">
        <v>154</v>
      </c>
      <c r="V3295" s="0" t="n">
        <v>0</v>
      </c>
      <c r="X3295" s="46" t="n">
        <f aca="false">IF(I3295="Male",0,1)</f>
        <v>1</v>
      </c>
      <c r="Y3295" s="46" t="n">
        <f aca="false">IF(OR(I3295="DNB",I3295="Dry DNB"),1,0)</f>
        <v>0</v>
      </c>
      <c r="Z3295" s="0" t="str">
        <f aca="false">IF(ISNUMBER(W3295),A3295-W3295,"")</f>
        <v/>
      </c>
      <c r="AA3295" s="46" t="n">
        <f aca="false">MATCH(A3295,DATAS,0)</f>
        <v>1</v>
      </c>
      <c r="AB3295" s="46" t="n">
        <f aca="false">IF(AND(E3295&gt;0,OR(AND(B3295&gt;=1,B3295&lt;=6),B3295=10)),1,0)</f>
        <v>0</v>
      </c>
      <c r="AC3295" s="46" t="n">
        <f aca="false">IF(AND(E3295&gt;0,B3295=10),1,0)</f>
        <v>0</v>
      </c>
      <c r="AD3295" s="0" t="str">
        <f aca="false">IF(AND(C3294=C3295,AA3294=AA3295-1),AB3294,"")</f>
        <v/>
      </c>
      <c r="AE3295" s="0" t="str">
        <f aca="false">IF(AND(C3294=C3295,AA3294=AA3295-1),AC3294,"")</f>
        <v/>
      </c>
      <c r="AF3295" s="0" t="str">
        <f aca="false">IF(AA3295=1,"",IF(AND(AB3295=1,AD3295&lt;&gt;1),1,0))</f>
        <v/>
      </c>
      <c r="AG3295" s="0" t="str">
        <f aca="false">IF(AA3295=1,"",IF(AND(AC3295=1,AE3295&lt;&gt;1),1,0))</f>
        <v/>
      </c>
      <c r="AH3295" s="51" t="str">
        <f aca="false">IF(AND(E3295&gt;0,AA3295&lt;1,NOT(AND(C3296=C3295,AA3296=AA3295+1))),INDEX(DATAS,AA3295+1),"")</f>
        <v/>
      </c>
      <c r="AI3295" s="51" t="str">
        <f aca="false">IF(AND(AC3295=1,AA3295&lt;1),IF(AND(C3296=C3295,AA3296=AA3295+1),IF(AC3296=1,"",INDEX(DATAS,AA3295+1)),INDEX(DATAS,AA3295+1)),"")</f>
        <v/>
      </c>
    </row>
    <row r="3296" customFormat="false" ht="15" hidden="false" customHeight="false" outlineLevel="0" collapsed="false">
      <c r="A3296" s="51" t="n">
        <v>46309</v>
      </c>
      <c r="B3296" s="0" t="n">
        <v>13</v>
      </c>
      <c r="C3296" s="0" t="n">
        <v>7721</v>
      </c>
      <c r="E3296" s="0" t="n">
        <v>0</v>
      </c>
      <c r="F3296" s="46" t="s">
        <v>1555</v>
      </c>
      <c r="I3296" s="46" t="s">
        <v>179</v>
      </c>
      <c r="U3296" s="0" t="n">
        <v>154</v>
      </c>
      <c r="V3296" s="0" t="n">
        <v>0</v>
      </c>
      <c r="X3296" s="46" t="n">
        <f aca="false">IF(I3296="Male",0,1)</f>
        <v>1</v>
      </c>
      <c r="Y3296" s="46" t="n">
        <f aca="false">IF(OR(I3296="DNB",I3296="Dry DNB"),1,0)</f>
        <v>0</v>
      </c>
      <c r="Z3296" s="0" t="str">
        <f aca="false">IF(ISNUMBER(W3296),A3296-W3296,"")</f>
        <v/>
      </c>
      <c r="AA3296" s="46" t="n">
        <f aca="false">MATCH(A3296,DATAS,0)</f>
        <v>1</v>
      </c>
      <c r="AB3296" s="46" t="n">
        <f aca="false">IF(AND(E3296&gt;0,OR(AND(B3296&gt;=1,B3296&lt;=6),B3296=10)),1,0)</f>
        <v>0</v>
      </c>
      <c r="AC3296" s="46" t="n">
        <f aca="false">IF(AND(E3296&gt;0,B3296=10),1,0)</f>
        <v>0</v>
      </c>
      <c r="AD3296" s="0" t="str">
        <f aca="false">IF(AND(C3295=C3296,AA3295=AA3296-1),AB3295,"")</f>
        <v/>
      </c>
      <c r="AE3296" s="0" t="str">
        <f aca="false">IF(AND(C3295=C3296,AA3295=AA3296-1),AC3295,"")</f>
        <v/>
      </c>
      <c r="AF3296" s="0" t="str">
        <f aca="false">IF(AA3296=1,"",IF(AND(AB3296=1,AD3296&lt;&gt;1),1,0))</f>
        <v/>
      </c>
      <c r="AG3296" s="0" t="str">
        <f aca="false">IF(AA3296=1,"",IF(AND(AC3296=1,AE3296&lt;&gt;1),1,0))</f>
        <v/>
      </c>
      <c r="AH3296" s="51" t="str">
        <f aca="false">IF(AND(E3296&gt;0,AA3296&lt;1,NOT(AND(C3297=C3296,AA3297=AA3296+1))),INDEX(DATAS,AA3296+1),"")</f>
        <v/>
      </c>
      <c r="AI3296" s="51" t="str">
        <f aca="false">IF(AND(AC3296=1,AA3296&lt;1),IF(AND(C3297=C3296,AA3297=AA3296+1),IF(AC3297=1,"",INDEX(DATAS,AA3296+1)),INDEX(DATAS,AA3296+1)),"")</f>
        <v/>
      </c>
    </row>
    <row r="3297" customFormat="false" ht="15" hidden="false" customHeight="false" outlineLevel="0" collapsed="false">
      <c r="A3297" s="51" t="n">
        <v>46309</v>
      </c>
      <c r="B3297" s="0" t="n">
        <v>13</v>
      </c>
      <c r="C3297" s="0" t="n">
        <v>7723</v>
      </c>
      <c r="E3297" s="0" t="n">
        <v>0</v>
      </c>
      <c r="F3297" s="46" t="s">
        <v>1555</v>
      </c>
      <c r="I3297" s="46" t="s">
        <v>179</v>
      </c>
      <c r="U3297" s="0" t="n">
        <v>154</v>
      </c>
      <c r="V3297" s="0" t="n">
        <v>0</v>
      </c>
      <c r="X3297" s="46" t="n">
        <f aca="false">IF(I3297="Male",0,1)</f>
        <v>1</v>
      </c>
      <c r="Y3297" s="46" t="n">
        <f aca="false">IF(OR(I3297="DNB",I3297="Dry DNB"),1,0)</f>
        <v>0</v>
      </c>
      <c r="Z3297" s="0" t="str">
        <f aca="false">IF(ISNUMBER(W3297),A3297-W3297,"")</f>
        <v/>
      </c>
      <c r="AA3297" s="46" t="n">
        <f aca="false">MATCH(A3297,DATAS,0)</f>
        <v>1</v>
      </c>
      <c r="AB3297" s="46" t="n">
        <f aca="false">IF(AND(E3297&gt;0,OR(AND(B3297&gt;=1,B3297&lt;=6),B3297=10)),1,0)</f>
        <v>0</v>
      </c>
      <c r="AC3297" s="46" t="n">
        <f aca="false">IF(AND(E3297&gt;0,B3297=10),1,0)</f>
        <v>0</v>
      </c>
      <c r="AD3297" s="0" t="str">
        <f aca="false">IF(AND(C3296=C3297,AA3296=AA3297-1),AB3296,"")</f>
        <v/>
      </c>
      <c r="AE3297" s="0" t="str">
        <f aca="false">IF(AND(C3296=C3297,AA3296=AA3297-1),AC3296,"")</f>
        <v/>
      </c>
      <c r="AF3297" s="0" t="str">
        <f aca="false">IF(AA3297=1,"",IF(AND(AB3297=1,AD3297&lt;&gt;1),1,0))</f>
        <v/>
      </c>
      <c r="AG3297" s="0" t="str">
        <f aca="false">IF(AA3297=1,"",IF(AND(AC3297=1,AE3297&lt;&gt;1),1,0))</f>
        <v/>
      </c>
      <c r="AH3297" s="51" t="str">
        <f aca="false">IF(AND(E3297&gt;0,AA3297&lt;1,NOT(AND(C3298=C3297,AA3298=AA3297+1))),INDEX(DATAS,AA3297+1),"")</f>
        <v/>
      </c>
      <c r="AI3297" s="51" t="str">
        <f aca="false">IF(AND(AC3297=1,AA3297&lt;1),IF(AND(C3298=C3297,AA3298=AA3297+1),IF(AC3298=1,"",INDEX(DATAS,AA3297+1)),INDEX(DATAS,AA3297+1)),"")</f>
        <v/>
      </c>
    </row>
    <row r="3298" customFormat="false" ht="15" hidden="false" customHeight="false" outlineLevel="0" collapsed="false">
      <c r="A3298" s="51" t="n">
        <v>46309</v>
      </c>
      <c r="B3298" s="0" t="n">
        <v>13</v>
      </c>
      <c r="C3298" s="0" t="n">
        <v>7724</v>
      </c>
      <c r="E3298" s="0" t="n">
        <v>0</v>
      </c>
      <c r="F3298" s="46" t="s">
        <v>1556</v>
      </c>
      <c r="I3298" s="46" t="s">
        <v>179</v>
      </c>
      <c r="U3298" s="0" t="n">
        <v>153</v>
      </c>
      <c r="V3298" s="0" t="n">
        <v>0</v>
      </c>
      <c r="X3298" s="46" t="n">
        <f aca="false">IF(I3298="Male",0,1)</f>
        <v>1</v>
      </c>
      <c r="Y3298" s="46" t="n">
        <f aca="false">IF(OR(I3298="DNB",I3298="Dry DNB"),1,0)</f>
        <v>0</v>
      </c>
      <c r="Z3298" s="0" t="str">
        <f aca="false">IF(ISNUMBER(W3298),A3298-W3298,"")</f>
        <v/>
      </c>
      <c r="AA3298" s="46" t="n">
        <f aca="false">MATCH(A3298,DATAS,0)</f>
        <v>1</v>
      </c>
      <c r="AB3298" s="46" t="n">
        <f aca="false">IF(AND(E3298&gt;0,OR(AND(B3298&gt;=1,B3298&lt;=6),B3298=10)),1,0)</f>
        <v>0</v>
      </c>
      <c r="AC3298" s="46" t="n">
        <f aca="false">IF(AND(E3298&gt;0,B3298=10),1,0)</f>
        <v>0</v>
      </c>
      <c r="AD3298" s="0" t="str">
        <f aca="false">IF(AND(C3297=C3298,AA3297=AA3298-1),AB3297,"")</f>
        <v/>
      </c>
      <c r="AE3298" s="0" t="str">
        <f aca="false">IF(AND(C3297=C3298,AA3297=AA3298-1),AC3297,"")</f>
        <v/>
      </c>
      <c r="AF3298" s="0" t="str">
        <f aca="false">IF(AA3298=1,"",IF(AND(AB3298=1,AD3298&lt;&gt;1),1,0))</f>
        <v/>
      </c>
      <c r="AG3298" s="0" t="str">
        <f aca="false">IF(AA3298=1,"",IF(AND(AC3298=1,AE3298&lt;&gt;1),1,0))</f>
        <v/>
      </c>
      <c r="AH3298" s="51" t="str">
        <f aca="false">IF(AND(E3298&gt;0,AA3298&lt;1,NOT(AND(C3299=C3298,AA3299=AA3298+1))),INDEX(DATAS,AA3298+1),"")</f>
        <v/>
      </c>
      <c r="AI3298" s="51" t="str">
        <f aca="false">IF(AND(AC3298=1,AA3298&lt;1),IF(AND(C3299=C3298,AA3299=AA3298+1),IF(AC3299=1,"",INDEX(DATAS,AA3298+1)),INDEX(DATAS,AA3298+1)),"")</f>
        <v/>
      </c>
    </row>
    <row r="3299" customFormat="false" ht="15" hidden="false" customHeight="false" outlineLevel="0" collapsed="false">
      <c r="A3299" s="51" t="n">
        <v>46309</v>
      </c>
      <c r="B3299" s="0" t="n">
        <v>13</v>
      </c>
      <c r="C3299" s="0" t="n">
        <v>7726</v>
      </c>
      <c r="E3299" s="0" t="n">
        <v>0</v>
      </c>
      <c r="F3299" s="46" t="s">
        <v>1556</v>
      </c>
      <c r="I3299" s="46" t="s">
        <v>179</v>
      </c>
      <c r="U3299" s="0" t="n">
        <v>153</v>
      </c>
      <c r="V3299" s="0" t="n">
        <v>0</v>
      </c>
      <c r="X3299" s="46" t="n">
        <f aca="false">IF(I3299="Male",0,1)</f>
        <v>1</v>
      </c>
      <c r="Y3299" s="46" t="n">
        <f aca="false">IF(OR(I3299="DNB",I3299="Dry DNB"),1,0)</f>
        <v>0</v>
      </c>
      <c r="Z3299" s="0" t="str">
        <f aca="false">IF(ISNUMBER(W3299),A3299-W3299,"")</f>
        <v/>
      </c>
      <c r="AA3299" s="46" t="n">
        <f aca="false">MATCH(A3299,DATAS,0)</f>
        <v>1</v>
      </c>
      <c r="AB3299" s="46" t="n">
        <f aca="false">IF(AND(E3299&gt;0,OR(AND(B3299&gt;=1,B3299&lt;=6),B3299=10)),1,0)</f>
        <v>0</v>
      </c>
      <c r="AC3299" s="46" t="n">
        <f aca="false">IF(AND(E3299&gt;0,B3299=10),1,0)</f>
        <v>0</v>
      </c>
      <c r="AD3299" s="0" t="str">
        <f aca="false">IF(AND(C3298=C3299,AA3298=AA3299-1),AB3298,"")</f>
        <v/>
      </c>
      <c r="AE3299" s="0" t="str">
        <f aca="false">IF(AND(C3298=C3299,AA3298=AA3299-1),AC3298,"")</f>
        <v/>
      </c>
      <c r="AF3299" s="0" t="str">
        <f aca="false">IF(AA3299=1,"",IF(AND(AB3299=1,AD3299&lt;&gt;1),1,0))</f>
        <v/>
      </c>
      <c r="AG3299" s="0" t="str">
        <f aca="false">IF(AA3299=1,"",IF(AND(AC3299=1,AE3299&lt;&gt;1),1,0))</f>
        <v/>
      </c>
      <c r="AH3299" s="51" t="str">
        <f aca="false">IF(AND(E3299&gt;0,AA3299&lt;1,NOT(AND(C3300=C3299,AA3300=AA3299+1))),INDEX(DATAS,AA3299+1),"")</f>
        <v/>
      </c>
      <c r="AI3299" s="51" t="str">
        <f aca="false">IF(AND(AC3299=1,AA3299&lt;1),IF(AND(C3300=C3299,AA3300=AA3299+1),IF(AC3300=1,"",INDEX(DATAS,AA3299+1)),INDEX(DATAS,AA3299+1)),"")</f>
        <v/>
      </c>
    </row>
    <row r="3300" customFormat="false" ht="15" hidden="false" customHeight="false" outlineLevel="0" collapsed="false">
      <c r="A3300" s="51" t="n">
        <v>46309</v>
      </c>
      <c r="B3300" s="0" t="n">
        <v>13</v>
      </c>
      <c r="C3300" s="0" t="n">
        <v>7727</v>
      </c>
      <c r="E3300" s="0" t="n">
        <v>0</v>
      </c>
      <c r="F3300" s="46" t="s">
        <v>1556</v>
      </c>
      <c r="I3300" s="46" t="s">
        <v>179</v>
      </c>
      <c r="U3300" s="0" t="n">
        <v>153</v>
      </c>
      <c r="V3300" s="0" t="n">
        <v>0</v>
      </c>
      <c r="X3300" s="46" t="n">
        <f aca="false">IF(I3300="Male",0,1)</f>
        <v>1</v>
      </c>
      <c r="Y3300" s="46" t="n">
        <f aca="false">IF(OR(I3300="DNB",I3300="Dry DNB"),1,0)</f>
        <v>0</v>
      </c>
      <c r="Z3300" s="0" t="str">
        <f aca="false">IF(ISNUMBER(W3300),A3300-W3300,"")</f>
        <v/>
      </c>
      <c r="AA3300" s="46" t="n">
        <f aca="false">MATCH(A3300,DATAS,0)</f>
        <v>1</v>
      </c>
      <c r="AB3300" s="46" t="n">
        <f aca="false">IF(AND(E3300&gt;0,OR(AND(B3300&gt;=1,B3300&lt;=6),B3300=10)),1,0)</f>
        <v>0</v>
      </c>
      <c r="AC3300" s="46" t="n">
        <f aca="false">IF(AND(E3300&gt;0,B3300=10),1,0)</f>
        <v>0</v>
      </c>
      <c r="AD3300" s="0" t="str">
        <f aca="false">IF(AND(C3299=C3300,AA3299=AA3300-1),AB3299,"")</f>
        <v/>
      </c>
      <c r="AE3300" s="0" t="str">
        <f aca="false">IF(AND(C3299=C3300,AA3299=AA3300-1),AC3299,"")</f>
        <v/>
      </c>
      <c r="AF3300" s="0" t="str">
        <f aca="false">IF(AA3300=1,"",IF(AND(AB3300=1,AD3300&lt;&gt;1),1,0))</f>
        <v/>
      </c>
      <c r="AG3300" s="0" t="str">
        <f aca="false">IF(AA3300=1,"",IF(AND(AC3300=1,AE3300&lt;&gt;1),1,0))</f>
        <v/>
      </c>
      <c r="AH3300" s="51" t="str">
        <f aca="false">IF(AND(E3300&gt;0,AA3300&lt;1,NOT(AND(C3301=C3300,AA3301=AA3300+1))),INDEX(DATAS,AA3300+1),"")</f>
        <v/>
      </c>
      <c r="AI3300" s="51" t="str">
        <f aca="false">IF(AND(AC3300=1,AA3300&lt;1),IF(AND(C3301=C3300,AA3301=AA3300+1),IF(AC3301=1,"",INDEX(DATAS,AA3300+1)),INDEX(DATAS,AA3300+1)),"")</f>
        <v/>
      </c>
    </row>
    <row r="3301" customFormat="false" ht="15" hidden="false" customHeight="false" outlineLevel="0" collapsed="false">
      <c r="A3301" s="51" t="n">
        <v>46309</v>
      </c>
      <c r="B3301" s="0" t="n">
        <v>13</v>
      </c>
      <c r="C3301" s="0" t="n">
        <v>7728</v>
      </c>
      <c r="E3301" s="0" t="n">
        <v>0</v>
      </c>
      <c r="F3301" s="46" t="s">
        <v>1556</v>
      </c>
      <c r="I3301" s="46" t="s">
        <v>179</v>
      </c>
      <c r="U3301" s="0" t="n">
        <v>153</v>
      </c>
      <c r="V3301" s="0" t="n">
        <v>0</v>
      </c>
      <c r="X3301" s="46" t="n">
        <f aca="false">IF(I3301="Male",0,1)</f>
        <v>1</v>
      </c>
      <c r="Y3301" s="46" t="n">
        <f aca="false">IF(OR(I3301="DNB",I3301="Dry DNB"),1,0)</f>
        <v>0</v>
      </c>
      <c r="Z3301" s="0" t="str">
        <f aca="false">IF(ISNUMBER(W3301),A3301-W3301,"")</f>
        <v/>
      </c>
      <c r="AA3301" s="46" t="n">
        <f aca="false">MATCH(A3301,DATAS,0)</f>
        <v>1</v>
      </c>
      <c r="AB3301" s="46" t="n">
        <f aca="false">IF(AND(E3301&gt;0,OR(AND(B3301&gt;=1,B3301&lt;=6),B3301=10)),1,0)</f>
        <v>0</v>
      </c>
      <c r="AC3301" s="46" t="n">
        <f aca="false">IF(AND(E3301&gt;0,B3301=10),1,0)</f>
        <v>0</v>
      </c>
      <c r="AD3301" s="0" t="str">
        <f aca="false">IF(AND(C3300=C3301,AA3300=AA3301-1),AB3300,"")</f>
        <v/>
      </c>
      <c r="AE3301" s="0" t="str">
        <f aca="false">IF(AND(C3300=C3301,AA3300=AA3301-1),AC3300,"")</f>
        <v/>
      </c>
      <c r="AF3301" s="0" t="str">
        <f aca="false">IF(AA3301=1,"",IF(AND(AB3301=1,AD3301&lt;&gt;1),1,0))</f>
        <v/>
      </c>
      <c r="AG3301" s="0" t="str">
        <f aca="false">IF(AA3301=1,"",IF(AND(AC3301=1,AE3301&lt;&gt;1),1,0))</f>
        <v/>
      </c>
      <c r="AH3301" s="51" t="str">
        <f aca="false">IF(AND(E3301&gt;0,AA3301&lt;1,NOT(AND(C3302=C3301,AA3302=AA3301+1))),INDEX(DATAS,AA3301+1),"")</f>
        <v/>
      </c>
      <c r="AI3301" s="51" t="str">
        <f aca="false">IF(AND(AC3301=1,AA3301&lt;1),IF(AND(C3302=C3301,AA3302=AA3301+1),IF(AC3302=1,"",INDEX(DATAS,AA3301+1)),INDEX(DATAS,AA3301+1)),"")</f>
        <v/>
      </c>
    </row>
    <row r="3302" customFormat="false" ht="15" hidden="false" customHeight="false" outlineLevel="0" collapsed="false">
      <c r="A3302" s="51" t="n">
        <v>46309</v>
      </c>
      <c r="B3302" s="0" t="n">
        <v>13</v>
      </c>
      <c r="C3302" s="0" t="n">
        <v>7729</v>
      </c>
      <c r="E3302" s="0" t="n">
        <v>0</v>
      </c>
      <c r="F3302" s="46" t="s">
        <v>1556</v>
      </c>
      <c r="I3302" s="46" t="s">
        <v>179</v>
      </c>
      <c r="U3302" s="0" t="n">
        <v>153</v>
      </c>
      <c r="V3302" s="0" t="n">
        <v>0</v>
      </c>
      <c r="X3302" s="46" t="n">
        <f aca="false">IF(I3302="Male",0,1)</f>
        <v>1</v>
      </c>
      <c r="Y3302" s="46" t="n">
        <f aca="false">IF(OR(I3302="DNB",I3302="Dry DNB"),1,0)</f>
        <v>0</v>
      </c>
      <c r="Z3302" s="0" t="str">
        <f aca="false">IF(ISNUMBER(W3302),A3302-W3302,"")</f>
        <v/>
      </c>
      <c r="AA3302" s="46" t="n">
        <f aca="false">MATCH(A3302,DATAS,0)</f>
        <v>1</v>
      </c>
      <c r="AB3302" s="46" t="n">
        <f aca="false">IF(AND(E3302&gt;0,OR(AND(B3302&gt;=1,B3302&lt;=6),B3302=10)),1,0)</f>
        <v>0</v>
      </c>
      <c r="AC3302" s="46" t="n">
        <f aca="false">IF(AND(E3302&gt;0,B3302=10),1,0)</f>
        <v>0</v>
      </c>
      <c r="AD3302" s="0" t="str">
        <f aca="false">IF(AND(C3301=C3302,AA3301=AA3302-1),AB3301,"")</f>
        <v/>
      </c>
      <c r="AE3302" s="0" t="str">
        <f aca="false">IF(AND(C3301=C3302,AA3301=AA3302-1),AC3301,"")</f>
        <v/>
      </c>
      <c r="AF3302" s="0" t="str">
        <f aca="false">IF(AA3302=1,"",IF(AND(AB3302=1,AD3302&lt;&gt;1),1,0))</f>
        <v/>
      </c>
      <c r="AG3302" s="0" t="str">
        <f aca="false">IF(AA3302=1,"",IF(AND(AC3302=1,AE3302&lt;&gt;1),1,0))</f>
        <v/>
      </c>
      <c r="AH3302" s="51" t="str">
        <f aca="false">IF(AND(E3302&gt;0,AA3302&lt;1,NOT(AND(C3303=C3302,AA3303=AA3302+1))),INDEX(DATAS,AA3302+1),"")</f>
        <v/>
      </c>
      <c r="AI3302" s="51" t="str">
        <f aca="false">IF(AND(AC3302=1,AA3302&lt;1),IF(AND(C3303=C3302,AA3303=AA3302+1),IF(AC3303=1,"",INDEX(DATAS,AA3302+1)),INDEX(DATAS,AA3302+1)),"")</f>
        <v/>
      </c>
    </row>
    <row r="3303" customFormat="false" ht="15" hidden="false" customHeight="false" outlineLevel="0" collapsed="false">
      <c r="A3303" s="51" t="n">
        <v>46309</v>
      </c>
      <c r="B3303" s="0" t="n">
        <v>13</v>
      </c>
      <c r="C3303" s="0" t="n">
        <v>7730</v>
      </c>
      <c r="E3303" s="0" t="n">
        <v>0</v>
      </c>
      <c r="F3303" s="46" t="s">
        <v>1557</v>
      </c>
      <c r="I3303" s="46" t="s">
        <v>179</v>
      </c>
      <c r="U3303" s="0" t="n">
        <v>152</v>
      </c>
      <c r="V3303" s="0" t="n">
        <v>0</v>
      </c>
      <c r="X3303" s="46" t="n">
        <f aca="false">IF(I3303="Male",0,1)</f>
        <v>1</v>
      </c>
      <c r="Y3303" s="46" t="n">
        <f aca="false">IF(OR(I3303="DNB",I3303="Dry DNB"),1,0)</f>
        <v>0</v>
      </c>
      <c r="Z3303" s="0" t="str">
        <f aca="false">IF(ISNUMBER(W3303),A3303-W3303,"")</f>
        <v/>
      </c>
      <c r="AA3303" s="46" t="n">
        <f aca="false">MATCH(A3303,DATAS,0)</f>
        <v>1</v>
      </c>
      <c r="AB3303" s="46" t="n">
        <f aca="false">IF(AND(E3303&gt;0,OR(AND(B3303&gt;=1,B3303&lt;=6),B3303=10)),1,0)</f>
        <v>0</v>
      </c>
      <c r="AC3303" s="46" t="n">
        <f aca="false">IF(AND(E3303&gt;0,B3303=10),1,0)</f>
        <v>0</v>
      </c>
      <c r="AD3303" s="0" t="str">
        <f aca="false">IF(AND(C3302=C3303,AA3302=AA3303-1),AB3302,"")</f>
        <v/>
      </c>
      <c r="AE3303" s="0" t="str">
        <f aca="false">IF(AND(C3302=C3303,AA3302=AA3303-1),AC3302,"")</f>
        <v/>
      </c>
      <c r="AF3303" s="0" t="str">
        <f aca="false">IF(AA3303=1,"",IF(AND(AB3303=1,AD3303&lt;&gt;1),1,0))</f>
        <v/>
      </c>
      <c r="AG3303" s="0" t="str">
        <f aca="false">IF(AA3303=1,"",IF(AND(AC3303=1,AE3303&lt;&gt;1),1,0))</f>
        <v/>
      </c>
      <c r="AH3303" s="51" t="str">
        <f aca="false">IF(AND(E3303&gt;0,AA3303&lt;1,NOT(AND(C3304=C3303,AA3304=AA3303+1))),INDEX(DATAS,AA3303+1),"")</f>
        <v/>
      </c>
      <c r="AI3303" s="51" t="str">
        <f aca="false">IF(AND(AC3303=1,AA3303&lt;1),IF(AND(C3304=C3303,AA3304=AA3303+1),IF(AC3304=1,"",INDEX(DATAS,AA3303+1)),INDEX(DATAS,AA3303+1)),"")</f>
        <v/>
      </c>
    </row>
    <row r="3304" customFormat="false" ht="15" hidden="false" customHeight="false" outlineLevel="0" collapsed="false">
      <c r="A3304" s="51" t="n">
        <v>46309</v>
      </c>
      <c r="B3304" s="0" t="n">
        <v>13</v>
      </c>
      <c r="C3304" s="0" t="n">
        <v>7731</v>
      </c>
      <c r="E3304" s="0" t="n">
        <v>0</v>
      </c>
      <c r="F3304" s="46" t="s">
        <v>1557</v>
      </c>
      <c r="I3304" s="46" t="s">
        <v>179</v>
      </c>
      <c r="U3304" s="0" t="n">
        <v>152</v>
      </c>
      <c r="V3304" s="0" t="n">
        <v>0</v>
      </c>
      <c r="X3304" s="46" t="n">
        <f aca="false">IF(I3304="Male",0,1)</f>
        <v>1</v>
      </c>
      <c r="Y3304" s="46" t="n">
        <f aca="false">IF(OR(I3304="DNB",I3304="Dry DNB"),1,0)</f>
        <v>0</v>
      </c>
      <c r="Z3304" s="0" t="str">
        <f aca="false">IF(ISNUMBER(W3304),A3304-W3304,"")</f>
        <v/>
      </c>
      <c r="AA3304" s="46" t="n">
        <f aca="false">MATCH(A3304,DATAS,0)</f>
        <v>1</v>
      </c>
      <c r="AB3304" s="46" t="n">
        <f aca="false">IF(AND(E3304&gt;0,OR(AND(B3304&gt;=1,B3304&lt;=6),B3304=10)),1,0)</f>
        <v>0</v>
      </c>
      <c r="AC3304" s="46" t="n">
        <f aca="false">IF(AND(E3304&gt;0,B3304=10),1,0)</f>
        <v>0</v>
      </c>
      <c r="AD3304" s="0" t="str">
        <f aca="false">IF(AND(C3303=C3304,AA3303=AA3304-1),AB3303,"")</f>
        <v/>
      </c>
      <c r="AE3304" s="0" t="str">
        <f aca="false">IF(AND(C3303=C3304,AA3303=AA3304-1),AC3303,"")</f>
        <v/>
      </c>
      <c r="AF3304" s="0" t="str">
        <f aca="false">IF(AA3304=1,"",IF(AND(AB3304=1,AD3304&lt;&gt;1),1,0))</f>
        <v/>
      </c>
      <c r="AG3304" s="0" t="str">
        <f aca="false">IF(AA3304=1,"",IF(AND(AC3304=1,AE3304&lt;&gt;1),1,0))</f>
        <v/>
      </c>
      <c r="AH3304" s="51" t="str">
        <f aca="false">IF(AND(E3304&gt;0,AA3304&lt;1,NOT(AND(C3305=C3304,AA3305=AA3304+1))),INDEX(DATAS,AA3304+1),"")</f>
        <v/>
      </c>
      <c r="AI3304" s="51" t="str">
        <f aca="false">IF(AND(AC3304=1,AA3304&lt;1),IF(AND(C3305=C3304,AA3305=AA3304+1),IF(AC3305=1,"",INDEX(DATAS,AA3304+1)),INDEX(DATAS,AA3304+1)),"")</f>
        <v/>
      </c>
    </row>
    <row r="3305" customFormat="false" ht="15" hidden="false" customHeight="false" outlineLevel="0" collapsed="false">
      <c r="A3305" s="51" t="n">
        <v>46309</v>
      </c>
      <c r="B3305" s="0" t="n">
        <v>13</v>
      </c>
      <c r="C3305" s="0" t="n">
        <v>7732</v>
      </c>
      <c r="E3305" s="0" t="n">
        <v>0</v>
      </c>
      <c r="F3305" s="46" t="s">
        <v>1557</v>
      </c>
      <c r="I3305" s="46" t="s">
        <v>179</v>
      </c>
      <c r="U3305" s="0" t="n">
        <v>152</v>
      </c>
      <c r="V3305" s="0" t="n">
        <v>0</v>
      </c>
      <c r="X3305" s="46" t="n">
        <f aca="false">IF(I3305="Male",0,1)</f>
        <v>1</v>
      </c>
      <c r="Y3305" s="46" t="n">
        <f aca="false">IF(OR(I3305="DNB",I3305="Dry DNB"),1,0)</f>
        <v>0</v>
      </c>
      <c r="Z3305" s="0" t="str">
        <f aca="false">IF(ISNUMBER(W3305),A3305-W3305,"")</f>
        <v/>
      </c>
      <c r="AA3305" s="46" t="n">
        <f aca="false">MATCH(A3305,DATAS,0)</f>
        <v>1</v>
      </c>
      <c r="AB3305" s="46" t="n">
        <f aca="false">IF(AND(E3305&gt;0,OR(AND(B3305&gt;=1,B3305&lt;=6),B3305=10)),1,0)</f>
        <v>0</v>
      </c>
      <c r="AC3305" s="46" t="n">
        <f aca="false">IF(AND(E3305&gt;0,B3305=10),1,0)</f>
        <v>0</v>
      </c>
      <c r="AD3305" s="0" t="str">
        <f aca="false">IF(AND(C3304=C3305,AA3304=AA3305-1),AB3304,"")</f>
        <v/>
      </c>
      <c r="AE3305" s="0" t="str">
        <f aca="false">IF(AND(C3304=C3305,AA3304=AA3305-1),AC3304,"")</f>
        <v/>
      </c>
      <c r="AF3305" s="0" t="str">
        <f aca="false">IF(AA3305=1,"",IF(AND(AB3305=1,AD3305&lt;&gt;1),1,0))</f>
        <v/>
      </c>
      <c r="AG3305" s="0" t="str">
        <f aca="false">IF(AA3305=1,"",IF(AND(AC3305=1,AE3305&lt;&gt;1),1,0))</f>
        <v/>
      </c>
      <c r="AH3305" s="51" t="str">
        <f aca="false">IF(AND(E3305&gt;0,AA3305&lt;1,NOT(AND(C3306=C3305,AA3306=AA3305+1))),INDEX(DATAS,AA3305+1),"")</f>
        <v/>
      </c>
      <c r="AI3305" s="51" t="str">
        <f aca="false">IF(AND(AC3305=1,AA3305&lt;1),IF(AND(C3306=C3305,AA3306=AA3305+1),IF(AC3306=1,"",INDEX(DATAS,AA3305+1)),INDEX(DATAS,AA3305+1)),"")</f>
        <v/>
      </c>
    </row>
    <row r="3306" customFormat="false" ht="15" hidden="false" customHeight="false" outlineLevel="0" collapsed="false">
      <c r="A3306" s="51" t="n">
        <v>46309</v>
      </c>
      <c r="B3306" s="0" t="n">
        <v>13</v>
      </c>
      <c r="C3306" s="0" t="n">
        <v>7733</v>
      </c>
      <c r="E3306" s="0" t="n">
        <v>0</v>
      </c>
      <c r="F3306" s="46" t="s">
        <v>1558</v>
      </c>
      <c r="I3306" s="46" t="s">
        <v>179</v>
      </c>
      <c r="U3306" s="0" t="n">
        <v>150</v>
      </c>
      <c r="V3306" s="0" t="n">
        <v>0</v>
      </c>
      <c r="X3306" s="46" t="n">
        <f aca="false">IF(I3306="Male",0,1)</f>
        <v>1</v>
      </c>
      <c r="Y3306" s="46" t="n">
        <f aca="false">IF(OR(I3306="DNB",I3306="Dry DNB"),1,0)</f>
        <v>0</v>
      </c>
      <c r="Z3306" s="0" t="str">
        <f aca="false">IF(ISNUMBER(W3306),A3306-W3306,"")</f>
        <v/>
      </c>
      <c r="AA3306" s="46" t="n">
        <f aca="false">MATCH(A3306,DATAS,0)</f>
        <v>1</v>
      </c>
      <c r="AB3306" s="46" t="n">
        <f aca="false">IF(AND(E3306&gt;0,OR(AND(B3306&gt;=1,B3306&lt;=6),B3306=10)),1,0)</f>
        <v>0</v>
      </c>
      <c r="AC3306" s="46" t="n">
        <f aca="false">IF(AND(E3306&gt;0,B3306=10),1,0)</f>
        <v>0</v>
      </c>
      <c r="AD3306" s="0" t="str">
        <f aca="false">IF(AND(C3305=C3306,AA3305=AA3306-1),AB3305,"")</f>
        <v/>
      </c>
      <c r="AE3306" s="0" t="str">
        <f aca="false">IF(AND(C3305=C3306,AA3305=AA3306-1),AC3305,"")</f>
        <v/>
      </c>
      <c r="AF3306" s="0" t="str">
        <f aca="false">IF(AA3306=1,"",IF(AND(AB3306=1,AD3306&lt;&gt;1),1,0))</f>
        <v/>
      </c>
      <c r="AG3306" s="0" t="str">
        <f aca="false">IF(AA3306=1,"",IF(AND(AC3306=1,AE3306&lt;&gt;1),1,0))</f>
        <v/>
      </c>
      <c r="AH3306" s="51" t="str">
        <f aca="false">IF(AND(E3306&gt;0,AA3306&lt;1,NOT(AND(C3307=C3306,AA3307=AA3306+1))),INDEX(DATAS,AA3306+1),"")</f>
        <v/>
      </c>
      <c r="AI3306" s="51" t="str">
        <f aca="false">IF(AND(AC3306=1,AA3306&lt;1),IF(AND(C3307=C3306,AA3307=AA3306+1),IF(AC3307=1,"",INDEX(DATAS,AA3306+1)),INDEX(DATAS,AA3306+1)),"")</f>
        <v/>
      </c>
    </row>
    <row r="3307" customFormat="false" ht="15" hidden="false" customHeight="false" outlineLevel="0" collapsed="false">
      <c r="A3307" s="51" t="n">
        <v>46309</v>
      </c>
      <c r="B3307" s="0" t="n">
        <v>13</v>
      </c>
      <c r="C3307" s="0" t="n">
        <v>7734</v>
      </c>
      <c r="E3307" s="0" t="n">
        <v>0</v>
      </c>
      <c r="F3307" s="46" t="s">
        <v>1559</v>
      </c>
      <c r="I3307" s="46" t="s">
        <v>179</v>
      </c>
      <c r="U3307" s="0" t="n">
        <v>151</v>
      </c>
      <c r="V3307" s="0" t="n">
        <v>0</v>
      </c>
      <c r="X3307" s="46" t="n">
        <f aca="false">IF(I3307="Male",0,1)</f>
        <v>1</v>
      </c>
      <c r="Y3307" s="46" t="n">
        <f aca="false">IF(OR(I3307="DNB",I3307="Dry DNB"),1,0)</f>
        <v>0</v>
      </c>
      <c r="Z3307" s="0" t="str">
        <f aca="false">IF(ISNUMBER(W3307),A3307-W3307,"")</f>
        <v/>
      </c>
      <c r="AA3307" s="46" t="n">
        <f aca="false">MATCH(A3307,DATAS,0)</f>
        <v>1</v>
      </c>
      <c r="AB3307" s="46" t="n">
        <f aca="false">IF(AND(E3307&gt;0,OR(AND(B3307&gt;=1,B3307&lt;=6),B3307=10)),1,0)</f>
        <v>0</v>
      </c>
      <c r="AC3307" s="46" t="n">
        <f aca="false">IF(AND(E3307&gt;0,B3307=10),1,0)</f>
        <v>0</v>
      </c>
      <c r="AD3307" s="0" t="str">
        <f aca="false">IF(AND(C3306=C3307,AA3306=AA3307-1),AB3306,"")</f>
        <v/>
      </c>
      <c r="AE3307" s="0" t="str">
        <f aca="false">IF(AND(C3306=C3307,AA3306=AA3307-1),AC3306,"")</f>
        <v/>
      </c>
      <c r="AF3307" s="0" t="str">
        <f aca="false">IF(AA3307=1,"",IF(AND(AB3307=1,AD3307&lt;&gt;1),1,0))</f>
        <v/>
      </c>
      <c r="AG3307" s="0" t="str">
        <f aca="false">IF(AA3307=1,"",IF(AND(AC3307=1,AE3307&lt;&gt;1),1,0))</f>
        <v/>
      </c>
      <c r="AH3307" s="51" t="str">
        <f aca="false">IF(AND(E3307&gt;0,AA3307&lt;1,NOT(AND(C3308=C3307,AA3308=AA3307+1))),INDEX(DATAS,AA3307+1),"")</f>
        <v/>
      </c>
      <c r="AI3307" s="51" t="str">
        <f aca="false">IF(AND(AC3307=1,AA3307&lt;1),IF(AND(C3308=C3307,AA3308=AA3307+1),IF(AC3308=1,"",INDEX(DATAS,AA3307+1)),INDEX(DATAS,AA3307+1)),"")</f>
        <v/>
      </c>
    </row>
    <row r="3308" customFormat="false" ht="15" hidden="false" customHeight="false" outlineLevel="0" collapsed="false">
      <c r="A3308" s="51" t="n">
        <v>46309</v>
      </c>
      <c r="B3308" s="0" t="n">
        <v>13</v>
      </c>
      <c r="C3308" s="0" t="n">
        <v>7735</v>
      </c>
      <c r="E3308" s="0" t="n">
        <v>0</v>
      </c>
      <c r="F3308" s="46" t="s">
        <v>1560</v>
      </c>
      <c r="I3308" s="46" t="s">
        <v>179</v>
      </c>
      <c r="U3308" s="0" t="n">
        <v>149</v>
      </c>
      <c r="V3308" s="0" t="n">
        <v>0</v>
      </c>
      <c r="X3308" s="46" t="n">
        <f aca="false">IF(I3308="Male",0,1)</f>
        <v>1</v>
      </c>
      <c r="Y3308" s="46" t="n">
        <f aca="false">IF(OR(I3308="DNB",I3308="Dry DNB"),1,0)</f>
        <v>0</v>
      </c>
      <c r="Z3308" s="0" t="str">
        <f aca="false">IF(ISNUMBER(W3308),A3308-W3308,"")</f>
        <v/>
      </c>
      <c r="AA3308" s="46" t="n">
        <f aca="false">MATCH(A3308,DATAS,0)</f>
        <v>1</v>
      </c>
      <c r="AB3308" s="46" t="n">
        <f aca="false">IF(AND(E3308&gt;0,OR(AND(B3308&gt;=1,B3308&lt;=6),B3308=10)),1,0)</f>
        <v>0</v>
      </c>
      <c r="AC3308" s="46" t="n">
        <f aca="false">IF(AND(E3308&gt;0,B3308=10),1,0)</f>
        <v>0</v>
      </c>
      <c r="AD3308" s="0" t="str">
        <f aca="false">IF(AND(C3307=C3308,AA3307=AA3308-1),AB3307,"")</f>
        <v/>
      </c>
      <c r="AE3308" s="0" t="str">
        <f aca="false">IF(AND(C3307=C3308,AA3307=AA3308-1),AC3307,"")</f>
        <v/>
      </c>
      <c r="AF3308" s="0" t="str">
        <f aca="false">IF(AA3308=1,"",IF(AND(AB3308=1,AD3308&lt;&gt;1),1,0))</f>
        <v/>
      </c>
      <c r="AG3308" s="0" t="str">
        <f aca="false">IF(AA3308=1,"",IF(AND(AC3308=1,AE3308&lt;&gt;1),1,0))</f>
        <v/>
      </c>
      <c r="AH3308" s="51" t="str">
        <f aca="false">IF(AND(E3308&gt;0,AA3308&lt;1,NOT(AND(C3309=C3308,AA3309=AA3308+1))),INDEX(DATAS,AA3308+1),"")</f>
        <v/>
      </c>
      <c r="AI3308" s="51" t="str">
        <f aca="false">IF(AND(AC3308=1,AA3308&lt;1),IF(AND(C3309=C3308,AA3309=AA3308+1),IF(AC3309=1,"",INDEX(DATAS,AA3308+1)),INDEX(DATAS,AA3308+1)),"")</f>
        <v/>
      </c>
    </row>
    <row r="3309" customFormat="false" ht="15" hidden="false" customHeight="false" outlineLevel="0" collapsed="false">
      <c r="A3309" s="51" t="n">
        <v>46309</v>
      </c>
      <c r="B3309" s="0" t="n">
        <v>13</v>
      </c>
      <c r="C3309" s="0" t="n">
        <v>7736</v>
      </c>
      <c r="E3309" s="0" t="n">
        <v>0</v>
      </c>
      <c r="F3309" s="46" t="s">
        <v>1560</v>
      </c>
      <c r="I3309" s="46" t="s">
        <v>179</v>
      </c>
      <c r="U3309" s="0" t="n">
        <v>149</v>
      </c>
      <c r="V3309" s="0" t="n">
        <v>0</v>
      </c>
      <c r="X3309" s="46" t="n">
        <f aca="false">IF(I3309="Male",0,1)</f>
        <v>1</v>
      </c>
      <c r="Y3309" s="46" t="n">
        <f aca="false">IF(OR(I3309="DNB",I3309="Dry DNB"),1,0)</f>
        <v>0</v>
      </c>
      <c r="Z3309" s="0" t="str">
        <f aca="false">IF(ISNUMBER(W3309),A3309-W3309,"")</f>
        <v/>
      </c>
      <c r="AA3309" s="46" t="n">
        <f aca="false">MATCH(A3309,DATAS,0)</f>
        <v>1</v>
      </c>
      <c r="AB3309" s="46" t="n">
        <f aca="false">IF(AND(E3309&gt;0,OR(AND(B3309&gt;=1,B3309&lt;=6),B3309=10)),1,0)</f>
        <v>0</v>
      </c>
      <c r="AC3309" s="46" t="n">
        <f aca="false">IF(AND(E3309&gt;0,B3309=10),1,0)</f>
        <v>0</v>
      </c>
      <c r="AD3309" s="0" t="str">
        <f aca="false">IF(AND(C3308=C3309,AA3308=AA3309-1),AB3308,"")</f>
        <v/>
      </c>
      <c r="AE3309" s="0" t="str">
        <f aca="false">IF(AND(C3308=C3309,AA3308=AA3309-1),AC3308,"")</f>
        <v/>
      </c>
      <c r="AF3309" s="0" t="str">
        <f aca="false">IF(AA3309=1,"",IF(AND(AB3309=1,AD3309&lt;&gt;1),1,0))</f>
        <v/>
      </c>
      <c r="AG3309" s="0" t="str">
        <f aca="false">IF(AA3309=1,"",IF(AND(AC3309=1,AE3309&lt;&gt;1),1,0))</f>
        <v/>
      </c>
      <c r="AH3309" s="51" t="str">
        <f aca="false">IF(AND(E3309&gt;0,AA3309&lt;1,NOT(AND(C3310=C3309,AA3310=AA3309+1))),INDEX(DATAS,AA3309+1),"")</f>
        <v/>
      </c>
      <c r="AI3309" s="51" t="str">
        <f aca="false">IF(AND(AC3309=1,AA3309&lt;1),IF(AND(C3310=C3309,AA3310=AA3309+1),IF(AC3310=1,"",INDEX(DATAS,AA3309+1)),INDEX(DATAS,AA3309+1)),"")</f>
        <v/>
      </c>
    </row>
    <row r="3310" customFormat="false" ht="15" hidden="false" customHeight="false" outlineLevel="0" collapsed="false">
      <c r="A3310" s="51" t="n">
        <v>46309</v>
      </c>
      <c r="B3310" s="0" t="n">
        <v>13</v>
      </c>
      <c r="C3310" s="0" t="n">
        <v>7737</v>
      </c>
      <c r="E3310" s="0" t="n">
        <v>0</v>
      </c>
      <c r="F3310" s="46" t="s">
        <v>1560</v>
      </c>
      <c r="I3310" s="46" t="s">
        <v>179</v>
      </c>
      <c r="U3310" s="0" t="n">
        <v>149</v>
      </c>
      <c r="V3310" s="0" t="n">
        <v>0</v>
      </c>
      <c r="X3310" s="46" t="n">
        <f aca="false">IF(I3310="Male",0,1)</f>
        <v>1</v>
      </c>
      <c r="Y3310" s="46" t="n">
        <f aca="false">IF(OR(I3310="DNB",I3310="Dry DNB"),1,0)</f>
        <v>0</v>
      </c>
      <c r="Z3310" s="0" t="str">
        <f aca="false">IF(ISNUMBER(W3310),A3310-W3310,"")</f>
        <v/>
      </c>
      <c r="AA3310" s="46" t="n">
        <f aca="false">MATCH(A3310,DATAS,0)</f>
        <v>1</v>
      </c>
      <c r="AB3310" s="46" t="n">
        <f aca="false">IF(AND(E3310&gt;0,OR(AND(B3310&gt;=1,B3310&lt;=6),B3310=10)),1,0)</f>
        <v>0</v>
      </c>
      <c r="AC3310" s="46" t="n">
        <f aca="false">IF(AND(E3310&gt;0,B3310=10),1,0)</f>
        <v>0</v>
      </c>
      <c r="AD3310" s="0" t="str">
        <f aca="false">IF(AND(C3309=C3310,AA3309=AA3310-1),AB3309,"")</f>
        <v/>
      </c>
      <c r="AE3310" s="0" t="str">
        <f aca="false">IF(AND(C3309=C3310,AA3309=AA3310-1),AC3309,"")</f>
        <v/>
      </c>
      <c r="AF3310" s="0" t="str">
        <f aca="false">IF(AA3310=1,"",IF(AND(AB3310=1,AD3310&lt;&gt;1),1,0))</f>
        <v/>
      </c>
      <c r="AG3310" s="0" t="str">
        <f aca="false">IF(AA3310=1,"",IF(AND(AC3310=1,AE3310&lt;&gt;1),1,0))</f>
        <v/>
      </c>
      <c r="AH3310" s="51" t="str">
        <f aca="false">IF(AND(E3310&gt;0,AA3310&lt;1,NOT(AND(C3311=C3310,AA3311=AA3310+1))),INDEX(DATAS,AA3310+1),"")</f>
        <v/>
      </c>
      <c r="AI3310" s="51" t="str">
        <f aca="false">IF(AND(AC3310=1,AA3310&lt;1),IF(AND(C3311=C3310,AA3311=AA3310+1),IF(AC3311=1,"",INDEX(DATAS,AA3310+1)),INDEX(DATAS,AA3310+1)),"")</f>
        <v/>
      </c>
    </row>
    <row r="3311" customFormat="false" ht="15" hidden="false" customHeight="false" outlineLevel="0" collapsed="false">
      <c r="A3311" s="51" t="n">
        <v>46309</v>
      </c>
      <c r="B3311" s="0" t="n">
        <v>13</v>
      </c>
      <c r="C3311" s="0" t="n">
        <v>7738</v>
      </c>
      <c r="E3311" s="0" t="n">
        <v>0</v>
      </c>
      <c r="F3311" s="46" t="s">
        <v>1560</v>
      </c>
      <c r="I3311" s="46" t="s">
        <v>179</v>
      </c>
      <c r="U3311" s="0" t="n">
        <v>149</v>
      </c>
      <c r="V3311" s="0" t="n">
        <v>0</v>
      </c>
      <c r="X3311" s="46" t="n">
        <f aca="false">IF(I3311="Male",0,1)</f>
        <v>1</v>
      </c>
      <c r="Y3311" s="46" t="n">
        <f aca="false">IF(OR(I3311="DNB",I3311="Dry DNB"),1,0)</f>
        <v>0</v>
      </c>
      <c r="Z3311" s="0" t="str">
        <f aca="false">IF(ISNUMBER(W3311),A3311-W3311,"")</f>
        <v/>
      </c>
      <c r="AA3311" s="46" t="n">
        <f aca="false">MATCH(A3311,DATAS,0)</f>
        <v>1</v>
      </c>
      <c r="AB3311" s="46" t="n">
        <f aca="false">IF(AND(E3311&gt;0,OR(AND(B3311&gt;=1,B3311&lt;=6),B3311=10)),1,0)</f>
        <v>0</v>
      </c>
      <c r="AC3311" s="46" t="n">
        <f aca="false">IF(AND(E3311&gt;0,B3311=10),1,0)</f>
        <v>0</v>
      </c>
      <c r="AD3311" s="0" t="str">
        <f aca="false">IF(AND(C3310=C3311,AA3310=AA3311-1),AB3310,"")</f>
        <v/>
      </c>
      <c r="AE3311" s="0" t="str">
        <f aca="false">IF(AND(C3310=C3311,AA3310=AA3311-1),AC3310,"")</f>
        <v/>
      </c>
      <c r="AF3311" s="0" t="str">
        <f aca="false">IF(AA3311=1,"",IF(AND(AB3311=1,AD3311&lt;&gt;1),1,0))</f>
        <v/>
      </c>
      <c r="AG3311" s="0" t="str">
        <f aca="false">IF(AA3311=1,"",IF(AND(AC3311=1,AE3311&lt;&gt;1),1,0))</f>
        <v/>
      </c>
      <c r="AH3311" s="51" t="str">
        <f aca="false">IF(AND(E3311&gt;0,AA3311&lt;1,NOT(AND(C3312=C3311,AA3312=AA3311+1))),INDEX(DATAS,AA3311+1),"")</f>
        <v/>
      </c>
      <c r="AI3311" s="51" t="str">
        <f aca="false">IF(AND(AC3311=1,AA3311&lt;1),IF(AND(C3312=C3311,AA3312=AA3311+1),IF(AC3312=1,"",INDEX(DATAS,AA3311+1)),INDEX(DATAS,AA3311+1)),"")</f>
        <v/>
      </c>
    </row>
    <row r="3312" customFormat="false" ht="15" hidden="false" customHeight="false" outlineLevel="0" collapsed="false">
      <c r="A3312" s="51" t="n">
        <v>46309</v>
      </c>
      <c r="B3312" s="0" t="n">
        <v>13</v>
      </c>
      <c r="C3312" s="0" t="n">
        <v>7739</v>
      </c>
      <c r="E3312" s="0" t="n">
        <v>0</v>
      </c>
      <c r="F3312" s="46" t="s">
        <v>1561</v>
      </c>
      <c r="I3312" s="46" t="s">
        <v>179</v>
      </c>
      <c r="U3312" s="0" t="n">
        <v>148</v>
      </c>
      <c r="V3312" s="0" t="n">
        <v>0</v>
      </c>
      <c r="X3312" s="46" t="n">
        <f aca="false">IF(I3312="Male",0,1)</f>
        <v>1</v>
      </c>
      <c r="Y3312" s="46" t="n">
        <f aca="false">IF(OR(I3312="DNB",I3312="Dry DNB"),1,0)</f>
        <v>0</v>
      </c>
      <c r="Z3312" s="0" t="str">
        <f aca="false">IF(ISNUMBER(W3312),A3312-W3312,"")</f>
        <v/>
      </c>
      <c r="AA3312" s="46" t="n">
        <f aca="false">MATCH(A3312,DATAS,0)</f>
        <v>1</v>
      </c>
      <c r="AB3312" s="46" t="n">
        <f aca="false">IF(AND(E3312&gt;0,OR(AND(B3312&gt;=1,B3312&lt;=6),B3312=10)),1,0)</f>
        <v>0</v>
      </c>
      <c r="AC3312" s="46" t="n">
        <f aca="false">IF(AND(E3312&gt;0,B3312=10),1,0)</f>
        <v>0</v>
      </c>
      <c r="AD3312" s="0" t="str">
        <f aca="false">IF(AND(C3311=C3312,AA3311=AA3312-1),AB3311,"")</f>
        <v/>
      </c>
      <c r="AE3312" s="0" t="str">
        <f aca="false">IF(AND(C3311=C3312,AA3311=AA3312-1),AC3311,"")</f>
        <v/>
      </c>
      <c r="AF3312" s="0" t="str">
        <f aca="false">IF(AA3312=1,"",IF(AND(AB3312=1,AD3312&lt;&gt;1),1,0))</f>
        <v/>
      </c>
      <c r="AG3312" s="0" t="str">
        <f aca="false">IF(AA3312=1,"",IF(AND(AC3312=1,AE3312&lt;&gt;1),1,0))</f>
        <v/>
      </c>
      <c r="AH3312" s="51" t="str">
        <f aca="false">IF(AND(E3312&gt;0,AA3312&lt;1,NOT(AND(C3313=C3312,AA3313=AA3312+1))),INDEX(DATAS,AA3312+1),"")</f>
        <v/>
      </c>
      <c r="AI3312" s="51" t="str">
        <f aca="false">IF(AND(AC3312=1,AA3312&lt;1),IF(AND(C3313=C3312,AA3313=AA3312+1),IF(AC3313=1,"",INDEX(DATAS,AA3312+1)),INDEX(DATAS,AA3312+1)),"")</f>
        <v/>
      </c>
    </row>
    <row r="3313" customFormat="false" ht="15" hidden="false" customHeight="false" outlineLevel="0" collapsed="false">
      <c r="A3313" s="51" t="n">
        <v>46309</v>
      </c>
      <c r="B3313" s="0" t="n">
        <v>13</v>
      </c>
      <c r="C3313" s="0" t="n">
        <v>7740</v>
      </c>
      <c r="E3313" s="0" t="n">
        <v>0</v>
      </c>
      <c r="F3313" s="46" t="s">
        <v>1562</v>
      </c>
      <c r="I3313" s="46" t="s">
        <v>179</v>
      </c>
      <c r="U3313" s="0" t="n">
        <v>147</v>
      </c>
      <c r="V3313" s="0" t="n">
        <v>0</v>
      </c>
      <c r="X3313" s="46" t="n">
        <f aca="false">IF(I3313="Male",0,1)</f>
        <v>1</v>
      </c>
      <c r="Y3313" s="46" t="n">
        <f aca="false">IF(OR(I3313="DNB",I3313="Dry DNB"),1,0)</f>
        <v>0</v>
      </c>
      <c r="Z3313" s="0" t="str">
        <f aca="false">IF(ISNUMBER(W3313),A3313-W3313,"")</f>
        <v/>
      </c>
      <c r="AA3313" s="46" t="n">
        <f aca="false">MATCH(A3313,DATAS,0)</f>
        <v>1</v>
      </c>
      <c r="AB3313" s="46" t="n">
        <f aca="false">IF(AND(E3313&gt;0,OR(AND(B3313&gt;=1,B3313&lt;=6),B3313=10)),1,0)</f>
        <v>0</v>
      </c>
      <c r="AC3313" s="46" t="n">
        <f aca="false">IF(AND(E3313&gt;0,B3313=10),1,0)</f>
        <v>0</v>
      </c>
      <c r="AD3313" s="0" t="str">
        <f aca="false">IF(AND(C3312=C3313,AA3312=AA3313-1),AB3312,"")</f>
        <v/>
      </c>
      <c r="AE3313" s="0" t="str">
        <f aca="false">IF(AND(C3312=C3313,AA3312=AA3313-1),AC3312,"")</f>
        <v/>
      </c>
      <c r="AF3313" s="0" t="str">
        <f aca="false">IF(AA3313=1,"",IF(AND(AB3313=1,AD3313&lt;&gt;1),1,0))</f>
        <v/>
      </c>
      <c r="AG3313" s="0" t="str">
        <f aca="false">IF(AA3313=1,"",IF(AND(AC3313=1,AE3313&lt;&gt;1),1,0))</f>
        <v/>
      </c>
      <c r="AH3313" s="51" t="str">
        <f aca="false">IF(AND(E3313&gt;0,AA3313&lt;1,NOT(AND(C3314=C3313,AA3314=AA3313+1))),INDEX(DATAS,AA3313+1),"")</f>
        <v/>
      </c>
      <c r="AI3313" s="51" t="str">
        <f aca="false">IF(AND(AC3313=1,AA3313&lt;1),IF(AND(C3314=C3313,AA3314=AA3313+1),IF(AC3314=1,"",INDEX(DATAS,AA3313+1)),INDEX(DATAS,AA3313+1)),"")</f>
        <v/>
      </c>
    </row>
    <row r="3314" customFormat="false" ht="15" hidden="false" customHeight="false" outlineLevel="0" collapsed="false">
      <c r="A3314" s="51" t="n">
        <v>46309</v>
      </c>
      <c r="B3314" s="0" t="n">
        <v>13</v>
      </c>
      <c r="C3314" s="0" t="n">
        <v>7742</v>
      </c>
      <c r="E3314" s="0" t="n">
        <v>0</v>
      </c>
      <c r="F3314" s="46" t="s">
        <v>1563</v>
      </c>
      <c r="I3314" s="46" t="s">
        <v>179</v>
      </c>
      <c r="U3314" s="0" t="n">
        <v>146</v>
      </c>
      <c r="V3314" s="0" t="n">
        <v>0</v>
      </c>
      <c r="X3314" s="46" t="n">
        <f aca="false">IF(I3314="Male",0,1)</f>
        <v>1</v>
      </c>
      <c r="Y3314" s="46" t="n">
        <f aca="false">IF(OR(I3314="DNB",I3314="Dry DNB"),1,0)</f>
        <v>0</v>
      </c>
      <c r="Z3314" s="0" t="str">
        <f aca="false">IF(ISNUMBER(W3314),A3314-W3314,"")</f>
        <v/>
      </c>
      <c r="AA3314" s="46" t="n">
        <f aca="false">MATCH(A3314,DATAS,0)</f>
        <v>1</v>
      </c>
      <c r="AB3314" s="46" t="n">
        <f aca="false">IF(AND(E3314&gt;0,OR(AND(B3314&gt;=1,B3314&lt;=6),B3314=10)),1,0)</f>
        <v>0</v>
      </c>
      <c r="AC3314" s="46" t="n">
        <f aca="false">IF(AND(E3314&gt;0,B3314=10),1,0)</f>
        <v>0</v>
      </c>
      <c r="AD3314" s="0" t="str">
        <f aca="false">IF(AND(C3313=C3314,AA3313=AA3314-1),AB3313,"")</f>
        <v/>
      </c>
      <c r="AE3314" s="0" t="str">
        <f aca="false">IF(AND(C3313=C3314,AA3313=AA3314-1),AC3313,"")</f>
        <v/>
      </c>
      <c r="AF3314" s="0" t="str">
        <f aca="false">IF(AA3314=1,"",IF(AND(AB3314=1,AD3314&lt;&gt;1),1,0))</f>
        <v/>
      </c>
      <c r="AG3314" s="0" t="str">
        <f aca="false">IF(AA3314=1,"",IF(AND(AC3314=1,AE3314&lt;&gt;1),1,0))</f>
        <v/>
      </c>
      <c r="AH3314" s="51" t="str">
        <f aca="false">IF(AND(E3314&gt;0,AA3314&lt;1,NOT(AND(C3315=C3314,AA3315=AA3314+1))),INDEX(DATAS,AA3314+1),"")</f>
        <v/>
      </c>
      <c r="AI3314" s="51" t="str">
        <f aca="false">IF(AND(AC3314=1,AA3314&lt;1),IF(AND(C3315=C3314,AA3315=AA3314+1),IF(AC3315=1,"",INDEX(DATAS,AA3314+1)),INDEX(DATAS,AA3314+1)),"")</f>
        <v/>
      </c>
    </row>
    <row r="3315" customFormat="false" ht="15" hidden="false" customHeight="false" outlineLevel="0" collapsed="false">
      <c r="A3315" s="51" t="n">
        <v>46309</v>
      </c>
      <c r="B3315" s="0" t="n">
        <v>13</v>
      </c>
      <c r="C3315" s="0" t="n">
        <v>7743</v>
      </c>
      <c r="E3315" s="0" t="n">
        <v>0</v>
      </c>
      <c r="F3315" s="46" t="s">
        <v>1563</v>
      </c>
      <c r="I3315" s="46" t="s">
        <v>179</v>
      </c>
      <c r="U3315" s="0" t="n">
        <v>146</v>
      </c>
      <c r="V3315" s="0" t="n">
        <v>0</v>
      </c>
      <c r="X3315" s="46" t="n">
        <f aca="false">IF(I3315="Male",0,1)</f>
        <v>1</v>
      </c>
      <c r="Y3315" s="46" t="n">
        <f aca="false">IF(OR(I3315="DNB",I3315="Dry DNB"),1,0)</f>
        <v>0</v>
      </c>
      <c r="Z3315" s="0" t="str">
        <f aca="false">IF(ISNUMBER(W3315),A3315-W3315,"")</f>
        <v/>
      </c>
      <c r="AA3315" s="46" t="n">
        <f aca="false">MATCH(A3315,DATAS,0)</f>
        <v>1</v>
      </c>
      <c r="AB3315" s="46" t="n">
        <f aca="false">IF(AND(E3315&gt;0,OR(AND(B3315&gt;=1,B3315&lt;=6),B3315=10)),1,0)</f>
        <v>0</v>
      </c>
      <c r="AC3315" s="46" t="n">
        <f aca="false">IF(AND(E3315&gt;0,B3315=10),1,0)</f>
        <v>0</v>
      </c>
      <c r="AD3315" s="0" t="str">
        <f aca="false">IF(AND(C3314=C3315,AA3314=AA3315-1),AB3314,"")</f>
        <v/>
      </c>
      <c r="AE3315" s="0" t="str">
        <f aca="false">IF(AND(C3314=C3315,AA3314=AA3315-1),AC3314,"")</f>
        <v/>
      </c>
      <c r="AF3315" s="0" t="str">
        <f aca="false">IF(AA3315=1,"",IF(AND(AB3315=1,AD3315&lt;&gt;1),1,0))</f>
        <v/>
      </c>
      <c r="AG3315" s="0" t="str">
        <f aca="false">IF(AA3315=1,"",IF(AND(AC3315=1,AE3315&lt;&gt;1),1,0))</f>
        <v/>
      </c>
      <c r="AH3315" s="51" t="str">
        <f aca="false">IF(AND(E3315&gt;0,AA3315&lt;1,NOT(AND(C3316=C3315,AA3316=AA3315+1))),INDEX(DATAS,AA3315+1),"")</f>
        <v/>
      </c>
      <c r="AI3315" s="51" t="str">
        <f aca="false">IF(AND(AC3315=1,AA3315&lt;1),IF(AND(C3316=C3315,AA3316=AA3315+1),IF(AC3316=1,"",INDEX(DATAS,AA3315+1)),INDEX(DATAS,AA3315+1)),"")</f>
        <v/>
      </c>
    </row>
    <row r="3316" customFormat="false" ht="15" hidden="false" customHeight="false" outlineLevel="0" collapsed="false">
      <c r="A3316" s="51" t="n">
        <v>46309</v>
      </c>
      <c r="B3316" s="0" t="n">
        <v>13</v>
      </c>
      <c r="C3316" s="0" t="n">
        <v>7744</v>
      </c>
      <c r="E3316" s="0" t="n">
        <v>0</v>
      </c>
      <c r="F3316" s="46" t="s">
        <v>1564</v>
      </c>
      <c r="I3316" s="46" t="s">
        <v>179</v>
      </c>
      <c r="U3316" s="0" t="n">
        <v>145</v>
      </c>
      <c r="V3316" s="0" t="n">
        <v>0</v>
      </c>
      <c r="X3316" s="46" t="n">
        <f aca="false">IF(I3316="Male",0,1)</f>
        <v>1</v>
      </c>
      <c r="Y3316" s="46" t="n">
        <f aca="false">IF(OR(I3316="DNB",I3316="Dry DNB"),1,0)</f>
        <v>0</v>
      </c>
      <c r="Z3316" s="0" t="str">
        <f aca="false">IF(ISNUMBER(W3316),A3316-W3316,"")</f>
        <v/>
      </c>
      <c r="AA3316" s="46" t="n">
        <f aca="false">MATCH(A3316,DATAS,0)</f>
        <v>1</v>
      </c>
      <c r="AB3316" s="46" t="n">
        <f aca="false">IF(AND(E3316&gt;0,OR(AND(B3316&gt;=1,B3316&lt;=6),B3316=10)),1,0)</f>
        <v>0</v>
      </c>
      <c r="AC3316" s="46" t="n">
        <f aca="false">IF(AND(E3316&gt;0,B3316=10),1,0)</f>
        <v>0</v>
      </c>
      <c r="AD3316" s="0" t="str">
        <f aca="false">IF(AND(C3315=C3316,AA3315=AA3316-1),AB3315,"")</f>
        <v/>
      </c>
      <c r="AE3316" s="0" t="str">
        <f aca="false">IF(AND(C3315=C3316,AA3315=AA3316-1),AC3315,"")</f>
        <v/>
      </c>
      <c r="AF3316" s="0" t="str">
        <f aca="false">IF(AA3316=1,"",IF(AND(AB3316=1,AD3316&lt;&gt;1),1,0))</f>
        <v/>
      </c>
      <c r="AG3316" s="0" t="str">
        <f aca="false">IF(AA3316=1,"",IF(AND(AC3316=1,AE3316&lt;&gt;1),1,0))</f>
        <v/>
      </c>
      <c r="AH3316" s="51" t="str">
        <f aca="false">IF(AND(E3316&gt;0,AA3316&lt;1,NOT(AND(C3317=C3316,AA3317=AA3316+1))),INDEX(DATAS,AA3316+1),"")</f>
        <v/>
      </c>
      <c r="AI3316" s="51" t="str">
        <f aca="false">IF(AND(AC3316=1,AA3316&lt;1),IF(AND(C3317=C3316,AA3317=AA3316+1),IF(AC3317=1,"",INDEX(DATAS,AA3316+1)),INDEX(DATAS,AA3316+1)),"")</f>
        <v/>
      </c>
    </row>
    <row r="3317" customFormat="false" ht="15" hidden="false" customHeight="false" outlineLevel="0" collapsed="false">
      <c r="A3317" s="51" t="n">
        <v>46309</v>
      </c>
      <c r="B3317" s="0" t="n">
        <v>13</v>
      </c>
      <c r="C3317" s="0" t="n">
        <v>7745</v>
      </c>
      <c r="E3317" s="0" t="n">
        <v>0</v>
      </c>
      <c r="F3317" s="46" t="s">
        <v>1565</v>
      </c>
      <c r="I3317" s="46" t="s">
        <v>179</v>
      </c>
      <c r="U3317" s="0" t="n">
        <v>144</v>
      </c>
      <c r="V3317" s="0" t="n">
        <v>0</v>
      </c>
      <c r="X3317" s="46" t="n">
        <f aca="false">IF(I3317="Male",0,1)</f>
        <v>1</v>
      </c>
      <c r="Y3317" s="46" t="n">
        <f aca="false">IF(OR(I3317="DNB",I3317="Dry DNB"),1,0)</f>
        <v>0</v>
      </c>
      <c r="Z3317" s="0" t="str">
        <f aca="false">IF(ISNUMBER(W3317),A3317-W3317,"")</f>
        <v/>
      </c>
      <c r="AA3317" s="46" t="n">
        <f aca="false">MATCH(A3317,DATAS,0)</f>
        <v>1</v>
      </c>
      <c r="AB3317" s="46" t="n">
        <f aca="false">IF(AND(E3317&gt;0,OR(AND(B3317&gt;=1,B3317&lt;=6),B3317=10)),1,0)</f>
        <v>0</v>
      </c>
      <c r="AC3317" s="46" t="n">
        <f aca="false">IF(AND(E3317&gt;0,B3317=10),1,0)</f>
        <v>0</v>
      </c>
      <c r="AD3317" s="0" t="str">
        <f aca="false">IF(AND(C3316=C3317,AA3316=AA3317-1),AB3316,"")</f>
        <v/>
      </c>
      <c r="AE3317" s="0" t="str">
        <f aca="false">IF(AND(C3316=C3317,AA3316=AA3317-1),AC3316,"")</f>
        <v/>
      </c>
      <c r="AF3317" s="0" t="str">
        <f aca="false">IF(AA3317=1,"",IF(AND(AB3317=1,AD3317&lt;&gt;1),1,0))</f>
        <v/>
      </c>
      <c r="AG3317" s="0" t="str">
        <f aca="false">IF(AA3317=1,"",IF(AND(AC3317=1,AE3317&lt;&gt;1),1,0))</f>
        <v/>
      </c>
      <c r="AH3317" s="51" t="str">
        <f aca="false">IF(AND(E3317&gt;0,AA3317&lt;1,NOT(AND(C3318=C3317,AA3318=AA3317+1))),INDEX(DATAS,AA3317+1),"")</f>
        <v/>
      </c>
      <c r="AI3317" s="51" t="str">
        <f aca="false">IF(AND(AC3317=1,AA3317&lt;1),IF(AND(C3318=C3317,AA3318=AA3317+1),IF(AC3318=1,"",INDEX(DATAS,AA3317+1)),INDEX(DATAS,AA3317+1)),"")</f>
        <v/>
      </c>
    </row>
    <row r="3318" customFormat="false" ht="15" hidden="false" customHeight="false" outlineLevel="0" collapsed="false">
      <c r="A3318" s="51" t="n">
        <v>46309</v>
      </c>
      <c r="B3318" s="0" t="n">
        <v>13</v>
      </c>
      <c r="C3318" s="0" t="n">
        <v>7746</v>
      </c>
      <c r="E3318" s="0" t="n">
        <v>0</v>
      </c>
      <c r="F3318" s="46" t="s">
        <v>1565</v>
      </c>
      <c r="I3318" s="46" t="s">
        <v>179</v>
      </c>
      <c r="U3318" s="0" t="n">
        <v>144</v>
      </c>
      <c r="V3318" s="0" t="n">
        <v>0</v>
      </c>
      <c r="X3318" s="46" t="n">
        <f aca="false">IF(I3318="Male",0,1)</f>
        <v>1</v>
      </c>
      <c r="Y3318" s="46" t="n">
        <f aca="false">IF(OR(I3318="DNB",I3318="Dry DNB"),1,0)</f>
        <v>0</v>
      </c>
      <c r="Z3318" s="0" t="str">
        <f aca="false">IF(ISNUMBER(W3318),A3318-W3318,"")</f>
        <v/>
      </c>
      <c r="AA3318" s="46" t="n">
        <f aca="false">MATCH(A3318,DATAS,0)</f>
        <v>1</v>
      </c>
      <c r="AB3318" s="46" t="n">
        <f aca="false">IF(AND(E3318&gt;0,OR(AND(B3318&gt;=1,B3318&lt;=6),B3318=10)),1,0)</f>
        <v>0</v>
      </c>
      <c r="AC3318" s="46" t="n">
        <f aca="false">IF(AND(E3318&gt;0,B3318=10),1,0)</f>
        <v>0</v>
      </c>
      <c r="AD3318" s="0" t="str">
        <f aca="false">IF(AND(C3317=C3318,AA3317=AA3318-1),AB3317,"")</f>
        <v/>
      </c>
      <c r="AE3318" s="0" t="str">
        <f aca="false">IF(AND(C3317=C3318,AA3317=AA3318-1),AC3317,"")</f>
        <v/>
      </c>
      <c r="AF3318" s="0" t="str">
        <f aca="false">IF(AA3318=1,"",IF(AND(AB3318=1,AD3318&lt;&gt;1),1,0))</f>
        <v/>
      </c>
      <c r="AG3318" s="0" t="str">
        <f aca="false">IF(AA3318=1,"",IF(AND(AC3318=1,AE3318&lt;&gt;1),1,0))</f>
        <v/>
      </c>
      <c r="AH3318" s="51" t="str">
        <f aca="false">IF(AND(E3318&gt;0,AA3318&lt;1,NOT(AND(C3319=C3318,AA3319=AA3318+1))),INDEX(DATAS,AA3318+1),"")</f>
        <v/>
      </c>
      <c r="AI3318" s="51" t="str">
        <f aca="false">IF(AND(AC3318=1,AA3318&lt;1),IF(AND(C3319=C3318,AA3319=AA3318+1),IF(AC3319=1,"",INDEX(DATAS,AA3318+1)),INDEX(DATAS,AA3318+1)),"")</f>
        <v/>
      </c>
    </row>
    <row r="3319" customFormat="false" ht="15" hidden="false" customHeight="false" outlineLevel="0" collapsed="false">
      <c r="A3319" s="51" t="n">
        <v>46309</v>
      </c>
      <c r="B3319" s="0" t="n">
        <v>13</v>
      </c>
      <c r="C3319" s="0" t="n">
        <v>7747</v>
      </c>
      <c r="E3319" s="0" t="n">
        <v>0</v>
      </c>
      <c r="F3319" s="46" t="s">
        <v>1565</v>
      </c>
      <c r="I3319" s="46" t="s">
        <v>179</v>
      </c>
      <c r="U3319" s="0" t="n">
        <v>144</v>
      </c>
      <c r="V3319" s="0" t="n">
        <v>0</v>
      </c>
      <c r="X3319" s="46" t="n">
        <f aca="false">IF(I3319="Male",0,1)</f>
        <v>1</v>
      </c>
      <c r="Y3319" s="46" t="n">
        <f aca="false">IF(OR(I3319="DNB",I3319="Dry DNB"),1,0)</f>
        <v>0</v>
      </c>
      <c r="Z3319" s="0" t="str">
        <f aca="false">IF(ISNUMBER(W3319),A3319-W3319,"")</f>
        <v/>
      </c>
      <c r="AA3319" s="46" t="n">
        <f aca="false">MATCH(A3319,DATAS,0)</f>
        <v>1</v>
      </c>
      <c r="AB3319" s="46" t="n">
        <f aca="false">IF(AND(E3319&gt;0,OR(AND(B3319&gt;=1,B3319&lt;=6),B3319=10)),1,0)</f>
        <v>0</v>
      </c>
      <c r="AC3319" s="46" t="n">
        <f aca="false">IF(AND(E3319&gt;0,B3319=10),1,0)</f>
        <v>0</v>
      </c>
      <c r="AD3319" s="0" t="str">
        <f aca="false">IF(AND(C3318=C3319,AA3318=AA3319-1),AB3318,"")</f>
        <v/>
      </c>
      <c r="AE3319" s="0" t="str">
        <f aca="false">IF(AND(C3318=C3319,AA3318=AA3319-1),AC3318,"")</f>
        <v/>
      </c>
      <c r="AF3319" s="0" t="str">
        <f aca="false">IF(AA3319=1,"",IF(AND(AB3319=1,AD3319&lt;&gt;1),1,0))</f>
        <v/>
      </c>
      <c r="AG3319" s="0" t="str">
        <f aca="false">IF(AA3319=1,"",IF(AND(AC3319=1,AE3319&lt;&gt;1),1,0))</f>
        <v/>
      </c>
      <c r="AH3319" s="51" t="str">
        <f aca="false">IF(AND(E3319&gt;0,AA3319&lt;1,NOT(AND(C3320=C3319,AA3320=AA3319+1))),INDEX(DATAS,AA3319+1),"")</f>
        <v/>
      </c>
      <c r="AI3319" s="51" t="str">
        <f aca="false">IF(AND(AC3319=1,AA3319&lt;1),IF(AND(C3320=C3319,AA3320=AA3319+1),IF(AC3320=1,"",INDEX(DATAS,AA3319+1)),INDEX(DATAS,AA3319+1)),"")</f>
        <v/>
      </c>
    </row>
    <row r="3320" customFormat="false" ht="15" hidden="false" customHeight="false" outlineLevel="0" collapsed="false">
      <c r="A3320" s="51" t="n">
        <v>46309</v>
      </c>
      <c r="B3320" s="0" t="n">
        <v>13</v>
      </c>
      <c r="C3320" s="0" t="n">
        <v>7748</v>
      </c>
      <c r="E3320" s="0" t="n">
        <v>0</v>
      </c>
      <c r="F3320" s="46" t="s">
        <v>1565</v>
      </c>
      <c r="I3320" s="46" t="s">
        <v>179</v>
      </c>
      <c r="U3320" s="0" t="n">
        <v>144</v>
      </c>
      <c r="V3320" s="0" t="n">
        <v>0</v>
      </c>
      <c r="X3320" s="46" t="n">
        <f aca="false">IF(I3320="Male",0,1)</f>
        <v>1</v>
      </c>
      <c r="Y3320" s="46" t="n">
        <f aca="false">IF(OR(I3320="DNB",I3320="Dry DNB"),1,0)</f>
        <v>0</v>
      </c>
      <c r="Z3320" s="0" t="str">
        <f aca="false">IF(ISNUMBER(W3320),A3320-W3320,"")</f>
        <v/>
      </c>
      <c r="AA3320" s="46" t="n">
        <f aca="false">MATCH(A3320,DATAS,0)</f>
        <v>1</v>
      </c>
      <c r="AB3320" s="46" t="n">
        <f aca="false">IF(AND(E3320&gt;0,OR(AND(B3320&gt;=1,B3320&lt;=6),B3320=10)),1,0)</f>
        <v>0</v>
      </c>
      <c r="AC3320" s="46" t="n">
        <f aca="false">IF(AND(E3320&gt;0,B3320=10),1,0)</f>
        <v>0</v>
      </c>
      <c r="AD3320" s="0" t="str">
        <f aca="false">IF(AND(C3319=C3320,AA3319=AA3320-1),AB3319,"")</f>
        <v/>
      </c>
      <c r="AE3320" s="0" t="str">
        <f aca="false">IF(AND(C3319=C3320,AA3319=AA3320-1),AC3319,"")</f>
        <v/>
      </c>
      <c r="AF3320" s="0" t="str">
        <f aca="false">IF(AA3320=1,"",IF(AND(AB3320=1,AD3320&lt;&gt;1),1,0))</f>
        <v/>
      </c>
      <c r="AG3320" s="0" t="str">
        <f aca="false">IF(AA3320=1,"",IF(AND(AC3320=1,AE3320&lt;&gt;1),1,0))</f>
        <v/>
      </c>
      <c r="AH3320" s="51" t="str">
        <f aca="false">IF(AND(E3320&gt;0,AA3320&lt;1,NOT(AND(C3321=C3320,AA3321=AA3320+1))),INDEX(DATAS,AA3320+1),"")</f>
        <v/>
      </c>
      <c r="AI3320" s="51" t="str">
        <f aca="false">IF(AND(AC3320=1,AA3320&lt;1),IF(AND(C3321=C3320,AA3321=AA3320+1),IF(AC3321=1,"",INDEX(DATAS,AA3320+1)),INDEX(DATAS,AA3320+1)),"")</f>
        <v/>
      </c>
    </row>
    <row r="3321" customFormat="false" ht="15" hidden="false" customHeight="false" outlineLevel="0" collapsed="false">
      <c r="A3321" s="51" t="n">
        <v>46309</v>
      </c>
      <c r="B3321" s="0" t="n">
        <v>13</v>
      </c>
      <c r="C3321" s="0" t="n">
        <v>7750</v>
      </c>
      <c r="E3321" s="0" t="n">
        <v>0</v>
      </c>
      <c r="F3321" s="46" t="s">
        <v>1565</v>
      </c>
      <c r="I3321" s="46" t="s">
        <v>179</v>
      </c>
      <c r="U3321" s="0" t="n">
        <v>144</v>
      </c>
      <c r="V3321" s="0" t="n">
        <v>0</v>
      </c>
      <c r="X3321" s="46" t="n">
        <f aca="false">IF(I3321="Male",0,1)</f>
        <v>1</v>
      </c>
      <c r="Y3321" s="46" t="n">
        <f aca="false">IF(OR(I3321="DNB",I3321="Dry DNB"),1,0)</f>
        <v>0</v>
      </c>
      <c r="Z3321" s="0" t="str">
        <f aca="false">IF(ISNUMBER(W3321),A3321-W3321,"")</f>
        <v/>
      </c>
      <c r="AA3321" s="46" t="n">
        <f aca="false">MATCH(A3321,DATAS,0)</f>
        <v>1</v>
      </c>
      <c r="AB3321" s="46" t="n">
        <f aca="false">IF(AND(E3321&gt;0,OR(AND(B3321&gt;=1,B3321&lt;=6),B3321=10)),1,0)</f>
        <v>0</v>
      </c>
      <c r="AC3321" s="46" t="n">
        <f aca="false">IF(AND(E3321&gt;0,B3321=10),1,0)</f>
        <v>0</v>
      </c>
      <c r="AD3321" s="0" t="str">
        <f aca="false">IF(AND(C3320=C3321,AA3320=AA3321-1),AB3320,"")</f>
        <v/>
      </c>
      <c r="AE3321" s="0" t="str">
        <f aca="false">IF(AND(C3320=C3321,AA3320=AA3321-1),AC3320,"")</f>
        <v/>
      </c>
      <c r="AF3321" s="0" t="str">
        <f aca="false">IF(AA3321=1,"",IF(AND(AB3321=1,AD3321&lt;&gt;1),1,0))</f>
        <v/>
      </c>
      <c r="AG3321" s="0" t="str">
        <f aca="false">IF(AA3321=1,"",IF(AND(AC3321=1,AE3321&lt;&gt;1),1,0))</f>
        <v/>
      </c>
      <c r="AH3321" s="51" t="str">
        <f aca="false">IF(AND(E3321&gt;0,AA3321&lt;1,NOT(AND(C3322=C3321,AA3322=AA3321+1))),INDEX(DATAS,AA3321+1),"")</f>
        <v/>
      </c>
      <c r="AI3321" s="51" t="str">
        <f aca="false">IF(AND(AC3321=1,AA3321&lt;1),IF(AND(C3322=C3321,AA3322=AA3321+1),IF(AC3322=1,"",INDEX(DATAS,AA3321+1)),INDEX(DATAS,AA3321+1)),"")</f>
        <v/>
      </c>
    </row>
    <row r="3322" customFormat="false" ht="15" hidden="false" customHeight="false" outlineLevel="0" collapsed="false">
      <c r="A3322" s="51" t="n">
        <v>46309</v>
      </c>
      <c r="B3322" s="0" t="n">
        <v>13</v>
      </c>
      <c r="C3322" s="0" t="n">
        <v>7751</v>
      </c>
      <c r="E3322" s="0" t="n">
        <v>0</v>
      </c>
      <c r="F3322" s="46" t="s">
        <v>1565</v>
      </c>
      <c r="I3322" s="46" t="s">
        <v>179</v>
      </c>
      <c r="U3322" s="0" t="n">
        <v>144</v>
      </c>
      <c r="V3322" s="0" t="n">
        <v>0</v>
      </c>
      <c r="X3322" s="46" t="n">
        <f aca="false">IF(I3322="Male",0,1)</f>
        <v>1</v>
      </c>
      <c r="Y3322" s="46" t="n">
        <f aca="false">IF(OR(I3322="DNB",I3322="Dry DNB"),1,0)</f>
        <v>0</v>
      </c>
      <c r="Z3322" s="0" t="str">
        <f aca="false">IF(ISNUMBER(W3322),A3322-W3322,"")</f>
        <v/>
      </c>
      <c r="AA3322" s="46" t="n">
        <f aca="false">MATCH(A3322,DATAS,0)</f>
        <v>1</v>
      </c>
      <c r="AB3322" s="46" t="n">
        <f aca="false">IF(AND(E3322&gt;0,OR(AND(B3322&gt;=1,B3322&lt;=6),B3322=10)),1,0)</f>
        <v>0</v>
      </c>
      <c r="AC3322" s="46" t="n">
        <f aca="false">IF(AND(E3322&gt;0,B3322=10),1,0)</f>
        <v>0</v>
      </c>
      <c r="AD3322" s="0" t="str">
        <f aca="false">IF(AND(C3321=C3322,AA3321=AA3322-1),AB3321,"")</f>
        <v/>
      </c>
      <c r="AE3322" s="0" t="str">
        <f aca="false">IF(AND(C3321=C3322,AA3321=AA3322-1),AC3321,"")</f>
        <v/>
      </c>
      <c r="AF3322" s="0" t="str">
        <f aca="false">IF(AA3322=1,"",IF(AND(AB3322=1,AD3322&lt;&gt;1),1,0))</f>
        <v/>
      </c>
      <c r="AG3322" s="0" t="str">
        <f aca="false">IF(AA3322=1,"",IF(AND(AC3322=1,AE3322&lt;&gt;1),1,0))</f>
        <v/>
      </c>
      <c r="AH3322" s="51" t="str">
        <f aca="false">IF(AND(E3322&gt;0,AA3322&lt;1,NOT(AND(C3323=C3322,AA3323=AA3322+1))),INDEX(DATAS,AA3322+1),"")</f>
        <v/>
      </c>
      <c r="AI3322" s="51" t="str">
        <f aca="false">IF(AND(AC3322=1,AA3322&lt;1),IF(AND(C3323=C3322,AA3323=AA3322+1),IF(AC3323=1,"",INDEX(DATAS,AA3322+1)),INDEX(DATAS,AA3322+1)),"")</f>
        <v/>
      </c>
    </row>
    <row r="3323" customFormat="false" ht="15" hidden="false" customHeight="false" outlineLevel="0" collapsed="false">
      <c r="A3323" s="51" t="n">
        <v>46309</v>
      </c>
      <c r="B3323" s="0" t="n">
        <v>13</v>
      </c>
      <c r="C3323" s="0" t="n">
        <v>7752</v>
      </c>
      <c r="E3323" s="0" t="n">
        <v>0</v>
      </c>
      <c r="F3323" s="46" t="s">
        <v>1565</v>
      </c>
      <c r="I3323" s="46" t="s">
        <v>179</v>
      </c>
      <c r="U3323" s="0" t="n">
        <v>144</v>
      </c>
      <c r="V3323" s="0" t="n">
        <v>0</v>
      </c>
      <c r="X3323" s="46" t="n">
        <f aca="false">IF(I3323="Male",0,1)</f>
        <v>1</v>
      </c>
      <c r="Y3323" s="46" t="n">
        <f aca="false">IF(OR(I3323="DNB",I3323="Dry DNB"),1,0)</f>
        <v>0</v>
      </c>
      <c r="Z3323" s="0" t="str">
        <f aca="false">IF(ISNUMBER(W3323),A3323-W3323,"")</f>
        <v/>
      </c>
      <c r="AA3323" s="46" t="n">
        <f aca="false">MATCH(A3323,DATAS,0)</f>
        <v>1</v>
      </c>
      <c r="AB3323" s="46" t="n">
        <f aca="false">IF(AND(E3323&gt;0,OR(AND(B3323&gt;=1,B3323&lt;=6),B3323=10)),1,0)</f>
        <v>0</v>
      </c>
      <c r="AC3323" s="46" t="n">
        <f aca="false">IF(AND(E3323&gt;0,B3323=10),1,0)</f>
        <v>0</v>
      </c>
      <c r="AD3323" s="0" t="str">
        <f aca="false">IF(AND(C3322=C3323,AA3322=AA3323-1),AB3322,"")</f>
        <v/>
      </c>
      <c r="AE3323" s="0" t="str">
        <f aca="false">IF(AND(C3322=C3323,AA3322=AA3323-1),AC3322,"")</f>
        <v/>
      </c>
      <c r="AF3323" s="0" t="str">
        <f aca="false">IF(AA3323=1,"",IF(AND(AB3323=1,AD3323&lt;&gt;1),1,0))</f>
        <v/>
      </c>
      <c r="AG3323" s="0" t="str">
        <f aca="false">IF(AA3323=1,"",IF(AND(AC3323=1,AE3323&lt;&gt;1),1,0))</f>
        <v/>
      </c>
      <c r="AH3323" s="51" t="str">
        <f aca="false">IF(AND(E3323&gt;0,AA3323&lt;1,NOT(AND(C3324=C3323,AA3324=AA3323+1))),INDEX(DATAS,AA3323+1),"")</f>
        <v/>
      </c>
      <c r="AI3323" s="51" t="str">
        <f aca="false">IF(AND(AC3323=1,AA3323&lt;1),IF(AND(C3324=C3323,AA3324=AA3323+1),IF(AC3324=1,"",INDEX(DATAS,AA3323+1)),INDEX(DATAS,AA3323+1)),"")</f>
        <v/>
      </c>
    </row>
    <row r="3324" customFormat="false" ht="15" hidden="false" customHeight="false" outlineLevel="0" collapsed="false">
      <c r="A3324" s="51" t="n">
        <v>46309</v>
      </c>
      <c r="B3324" s="0" t="n">
        <v>13</v>
      </c>
      <c r="C3324" s="0" t="n">
        <v>7753</v>
      </c>
      <c r="E3324" s="0" t="n">
        <v>0</v>
      </c>
      <c r="F3324" s="46" t="s">
        <v>1565</v>
      </c>
      <c r="I3324" s="46" t="s">
        <v>179</v>
      </c>
      <c r="U3324" s="0" t="n">
        <v>144</v>
      </c>
      <c r="V3324" s="0" t="n">
        <v>0</v>
      </c>
      <c r="X3324" s="46" t="n">
        <f aca="false">IF(I3324="Male",0,1)</f>
        <v>1</v>
      </c>
      <c r="Y3324" s="46" t="n">
        <f aca="false">IF(OR(I3324="DNB",I3324="Dry DNB"),1,0)</f>
        <v>0</v>
      </c>
      <c r="Z3324" s="0" t="str">
        <f aca="false">IF(ISNUMBER(W3324),A3324-W3324,"")</f>
        <v/>
      </c>
      <c r="AA3324" s="46" t="n">
        <f aca="false">MATCH(A3324,DATAS,0)</f>
        <v>1</v>
      </c>
      <c r="AB3324" s="46" t="n">
        <f aca="false">IF(AND(E3324&gt;0,OR(AND(B3324&gt;=1,B3324&lt;=6),B3324=10)),1,0)</f>
        <v>0</v>
      </c>
      <c r="AC3324" s="46" t="n">
        <f aca="false">IF(AND(E3324&gt;0,B3324=10),1,0)</f>
        <v>0</v>
      </c>
      <c r="AD3324" s="0" t="str">
        <f aca="false">IF(AND(C3323=C3324,AA3323=AA3324-1),AB3323,"")</f>
        <v/>
      </c>
      <c r="AE3324" s="0" t="str">
        <f aca="false">IF(AND(C3323=C3324,AA3323=AA3324-1),AC3323,"")</f>
        <v/>
      </c>
      <c r="AF3324" s="0" t="str">
        <f aca="false">IF(AA3324=1,"",IF(AND(AB3324=1,AD3324&lt;&gt;1),1,0))</f>
        <v/>
      </c>
      <c r="AG3324" s="0" t="str">
        <f aca="false">IF(AA3324=1,"",IF(AND(AC3324=1,AE3324&lt;&gt;1),1,0))</f>
        <v/>
      </c>
      <c r="AH3324" s="51" t="str">
        <f aca="false">IF(AND(E3324&gt;0,AA3324&lt;1,NOT(AND(C3325=C3324,AA3325=AA3324+1))),INDEX(DATAS,AA3324+1),"")</f>
        <v/>
      </c>
      <c r="AI3324" s="51" t="str">
        <f aca="false">IF(AND(AC3324=1,AA3324&lt;1),IF(AND(C3325=C3324,AA3325=AA3324+1),IF(AC3325=1,"",INDEX(DATAS,AA3324+1)),INDEX(DATAS,AA3324+1)),"")</f>
        <v/>
      </c>
    </row>
    <row r="3325" customFormat="false" ht="15" hidden="false" customHeight="false" outlineLevel="0" collapsed="false">
      <c r="A3325" s="51" t="n">
        <v>46309</v>
      </c>
      <c r="B3325" s="0" t="n">
        <v>13</v>
      </c>
      <c r="C3325" s="0" t="n">
        <v>7754</v>
      </c>
      <c r="E3325" s="0" t="n">
        <v>0</v>
      </c>
      <c r="F3325" s="46" t="s">
        <v>1565</v>
      </c>
      <c r="I3325" s="46" t="s">
        <v>179</v>
      </c>
      <c r="U3325" s="0" t="n">
        <v>144</v>
      </c>
      <c r="V3325" s="0" t="n">
        <v>0</v>
      </c>
      <c r="X3325" s="46" t="n">
        <f aca="false">IF(I3325="Male",0,1)</f>
        <v>1</v>
      </c>
      <c r="Y3325" s="46" t="n">
        <f aca="false">IF(OR(I3325="DNB",I3325="Dry DNB"),1,0)</f>
        <v>0</v>
      </c>
      <c r="Z3325" s="0" t="str">
        <f aca="false">IF(ISNUMBER(W3325),A3325-W3325,"")</f>
        <v/>
      </c>
      <c r="AA3325" s="46" t="n">
        <f aca="false">MATCH(A3325,DATAS,0)</f>
        <v>1</v>
      </c>
      <c r="AB3325" s="46" t="n">
        <f aca="false">IF(AND(E3325&gt;0,OR(AND(B3325&gt;=1,B3325&lt;=6),B3325=10)),1,0)</f>
        <v>0</v>
      </c>
      <c r="AC3325" s="46" t="n">
        <f aca="false">IF(AND(E3325&gt;0,B3325=10),1,0)</f>
        <v>0</v>
      </c>
      <c r="AD3325" s="0" t="str">
        <f aca="false">IF(AND(C3324=C3325,AA3324=AA3325-1),AB3324,"")</f>
        <v/>
      </c>
      <c r="AE3325" s="0" t="str">
        <f aca="false">IF(AND(C3324=C3325,AA3324=AA3325-1),AC3324,"")</f>
        <v/>
      </c>
      <c r="AF3325" s="0" t="str">
        <f aca="false">IF(AA3325=1,"",IF(AND(AB3325=1,AD3325&lt;&gt;1),1,0))</f>
        <v/>
      </c>
      <c r="AG3325" s="0" t="str">
        <f aca="false">IF(AA3325=1,"",IF(AND(AC3325=1,AE3325&lt;&gt;1),1,0))</f>
        <v/>
      </c>
      <c r="AH3325" s="51" t="str">
        <f aca="false">IF(AND(E3325&gt;0,AA3325&lt;1,NOT(AND(C3326=C3325,AA3326=AA3325+1))),INDEX(DATAS,AA3325+1),"")</f>
        <v/>
      </c>
      <c r="AI3325" s="51" t="str">
        <f aca="false">IF(AND(AC3325=1,AA3325&lt;1),IF(AND(C3326=C3325,AA3326=AA3325+1),IF(AC3326=1,"",INDEX(DATAS,AA3325+1)),INDEX(DATAS,AA3325+1)),"")</f>
        <v/>
      </c>
    </row>
    <row r="3326" customFormat="false" ht="15" hidden="false" customHeight="false" outlineLevel="0" collapsed="false">
      <c r="A3326" s="51" t="n">
        <v>46309</v>
      </c>
      <c r="B3326" s="0" t="n">
        <v>13</v>
      </c>
      <c r="C3326" s="0" t="n">
        <v>7755</v>
      </c>
      <c r="E3326" s="0" t="n">
        <v>0</v>
      </c>
      <c r="F3326" s="46" t="s">
        <v>1566</v>
      </c>
      <c r="I3326" s="46" t="s">
        <v>179</v>
      </c>
      <c r="U3326" s="0" t="n">
        <v>143</v>
      </c>
      <c r="V3326" s="0" t="n">
        <v>0</v>
      </c>
      <c r="X3326" s="46" t="n">
        <f aca="false">IF(I3326="Male",0,1)</f>
        <v>1</v>
      </c>
      <c r="Y3326" s="46" t="n">
        <f aca="false">IF(OR(I3326="DNB",I3326="Dry DNB"),1,0)</f>
        <v>0</v>
      </c>
      <c r="Z3326" s="0" t="str">
        <f aca="false">IF(ISNUMBER(W3326),A3326-W3326,"")</f>
        <v/>
      </c>
      <c r="AA3326" s="46" t="n">
        <f aca="false">MATCH(A3326,DATAS,0)</f>
        <v>1</v>
      </c>
      <c r="AB3326" s="46" t="n">
        <f aca="false">IF(AND(E3326&gt;0,OR(AND(B3326&gt;=1,B3326&lt;=6),B3326=10)),1,0)</f>
        <v>0</v>
      </c>
      <c r="AC3326" s="46" t="n">
        <f aca="false">IF(AND(E3326&gt;0,B3326=10),1,0)</f>
        <v>0</v>
      </c>
      <c r="AD3326" s="0" t="str">
        <f aca="false">IF(AND(C3325=C3326,AA3325=AA3326-1),AB3325,"")</f>
        <v/>
      </c>
      <c r="AE3326" s="0" t="str">
        <f aca="false">IF(AND(C3325=C3326,AA3325=AA3326-1),AC3325,"")</f>
        <v/>
      </c>
      <c r="AF3326" s="0" t="str">
        <f aca="false">IF(AA3326=1,"",IF(AND(AB3326=1,AD3326&lt;&gt;1),1,0))</f>
        <v/>
      </c>
      <c r="AG3326" s="0" t="str">
        <f aca="false">IF(AA3326=1,"",IF(AND(AC3326=1,AE3326&lt;&gt;1),1,0))</f>
        <v/>
      </c>
      <c r="AH3326" s="51" t="str">
        <f aca="false">IF(AND(E3326&gt;0,AA3326&lt;1,NOT(AND(C3327=C3326,AA3327=AA3326+1))),INDEX(DATAS,AA3326+1),"")</f>
        <v/>
      </c>
      <c r="AI3326" s="51" t="str">
        <f aca="false">IF(AND(AC3326=1,AA3326&lt;1),IF(AND(C3327=C3326,AA3327=AA3326+1),IF(AC3327=1,"",INDEX(DATAS,AA3326+1)),INDEX(DATAS,AA3326+1)),"")</f>
        <v/>
      </c>
    </row>
    <row r="3327" customFormat="false" ht="15" hidden="false" customHeight="false" outlineLevel="0" collapsed="false">
      <c r="A3327" s="51" t="n">
        <v>46309</v>
      </c>
      <c r="B3327" s="0" t="n">
        <v>13</v>
      </c>
      <c r="C3327" s="0" t="n">
        <v>7756</v>
      </c>
      <c r="E3327" s="0" t="n">
        <v>0</v>
      </c>
      <c r="F3327" s="46" t="s">
        <v>1566</v>
      </c>
      <c r="I3327" s="46" t="s">
        <v>179</v>
      </c>
      <c r="U3327" s="0" t="n">
        <v>143</v>
      </c>
      <c r="V3327" s="0" t="n">
        <v>0</v>
      </c>
      <c r="X3327" s="46" t="n">
        <f aca="false">IF(I3327="Male",0,1)</f>
        <v>1</v>
      </c>
      <c r="Y3327" s="46" t="n">
        <f aca="false">IF(OR(I3327="DNB",I3327="Dry DNB"),1,0)</f>
        <v>0</v>
      </c>
      <c r="Z3327" s="0" t="str">
        <f aca="false">IF(ISNUMBER(W3327),A3327-W3327,"")</f>
        <v/>
      </c>
      <c r="AA3327" s="46" t="n">
        <f aca="false">MATCH(A3327,DATAS,0)</f>
        <v>1</v>
      </c>
      <c r="AB3327" s="46" t="n">
        <f aca="false">IF(AND(E3327&gt;0,OR(AND(B3327&gt;=1,B3327&lt;=6),B3327=10)),1,0)</f>
        <v>0</v>
      </c>
      <c r="AC3327" s="46" t="n">
        <f aca="false">IF(AND(E3327&gt;0,B3327=10),1,0)</f>
        <v>0</v>
      </c>
      <c r="AD3327" s="0" t="str">
        <f aca="false">IF(AND(C3326=C3327,AA3326=AA3327-1),AB3326,"")</f>
        <v/>
      </c>
      <c r="AE3327" s="0" t="str">
        <f aca="false">IF(AND(C3326=C3327,AA3326=AA3327-1),AC3326,"")</f>
        <v/>
      </c>
      <c r="AF3327" s="0" t="str">
        <f aca="false">IF(AA3327=1,"",IF(AND(AB3327=1,AD3327&lt;&gt;1),1,0))</f>
        <v/>
      </c>
      <c r="AG3327" s="0" t="str">
        <f aca="false">IF(AA3327=1,"",IF(AND(AC3327=1,AE3327&lt;&gt;1),1,0))</f>
        <v/>
      </c>
      <c r="AH3327" s="51" t="str">
        <f aca="false">IF(AND(E3327&gt;0,AA3327&lt;1,NOT(AND(C3328=C3327,AA3328=AA3327+1))),INDEX(DATAS,AA3327+1),"")</f>
        <v/>
      </c>
      <c r="AI3327" s="51" t="str">
        <f aca="false">IF(AND(AC3327=1,AA3327&lt;1),IF(AND(C3328=C3327,AA3328=AA3327+1),IF(AC3328=1,"",INDEX(DATAS,AA3327+1)),INDEX(DATAS,AA3327+1)),"")</f>
        <v/>
      </c>
    </row>
    <row r="3328" customFormat="false" ht="15" hidden="false" customHeight="false" outlineLevel="0" collapsed="false">
      <c r="A3328" s="51" t="n">
        <v>46309</v>
      </c>
      <c r="B3328" s="0" t="n">
        <v>13</v>
      </c>
      <c r="C3328" s="0" t="n">
        <v>7759</v>
      </c>
      <c r="E3328" s="0" t="n">
        <v>0</v>
      </c>
      <c r="F3328" s="46" t="s">
        <v>1567</v>
      </c>
      <c r="I3328" s="46" t="s">
        <v>179</v>
      </c>
      <c r="U3328" s="0" t="n">
        <v>142</v>
      </c>
      <c r="V3328" s="0" t="n">
        <v>0</v>
      </c>
      <c r="X3328" s="46" t="n">
        <f aca="false">IF(I3328="Male",0,1)</f>
        <v>1</v>
      </c>
      <c r="Y3328" s="46" t="n">
        <f aca="false">IF(OR(I3328="DNB",I3328="Dry DNB"),1,0)</f>
        <v>0</v>
      </c>
      <c r="Z3328" s="0" t="str">
        <f aca="false">IF(ISNUMBER(W3328),A3328-W3328,"")</f>
        <v/>
      </c>
      <c r="AA3328" s="46" t="n">
        <f aca="false">MATCH(A3328,DATAS,0)</f>
        <v>1</v>
      </c>
      <c r="AB3328" s="46" t="n">
        <f aca="false">IF(AND(E3328&gt;0,OR(AND(B3328&gt;=1,B3328&lt;=6),B3328=10)),1,0)</f>
        <v>0</v>
      </c>
      <c r="AC3328" s="46" t="n">
        <f aca="false">IF(AND(E3328&gt;0,B3328=10),1,0)</f>
        <v>0</v>
      </c>
      <c r="AD3328" s="0" t="str">
        <f aca="false">IF(AND(C3327=C3328,AA3327=AA3328-1),AB3327,"")</f>
        <v/>
      </c>
      <c r="AE3328" s="0" t="str">
        <f aca="false">IF(AND(C3327=C3328,AA3327=AA3328-1),AC3327,"")</f>
        <v/>
      </c>
      <c r="AF3328" s="0" t="str">
        <f aca="false">IF(AA3328=1,"",IF(AND(AB3328=1,AD3328&lt;&gt;1),1,0))</f>
        <v/>
      </c>
      <c r="AG3328" s="0" t="str">
        <f aca="false">IF(AA3328=1,"",IF(AND(AC3328=1,AE3328&lt;&gt;1),1,0))</f>
        <v/>
      </c>
      <c r="AH3328" s="51" t="str">
        <f aca="false">IF(AND(E3328&gt;0,AA3328&lt;1,NOT(AND(C3329=C3328,AA3329=AA3328+1))),INDEX(DATAS,AA3328+1),"")</f>
        <v/>
      </c>
      <c r="AI3328" s="51" t="str">
        <f aca="false">IF(AND(AC3328=1,AA3328&lt;1),IF(AND(C3329=C3328,AA3329=AA3328+1),IF(AC3329=1,"",INDEX(DATAS,AA3328+1)),INDEX(DATAS,AA3328+1)),"")</f>
        <v/>
      </c>
    </row>
    <row r="3329" customFormat="false" ht="15" hidden="false" customHeight="false" outlineLevel="0" collapsed="false">
      <c r="A3329" s="51" t="n">
        <v>46309</v>
      </c>
      <c r="B3329" s="0" t="n">
        <v>13</v>
      </c>
      <c r="C3329" s="0" t="n">
        <v>7760</v>
      </c>
      <c r="E3329" s="0" t="n">
        <v>0</v>
      </c>
      <c r="F3329" s="46" t="s">
        <v>1567</v>
      </c>
      <c r="I3329" s="46" t="s">
        <v>179</v>
      </c>
      <c r="U3329" s="0" t="n">
        <v>142</v>
      </c>
      <c r="V3329" s="0" t="n">
        <v>0</v>
      </c>
      <c r="X3329" s="46" t="n">
        <f aca="false">IF(I3329="Male",0,1)</f>
        <v>1</v>
      </c>
      <c r="Y3329" s="46" t="n">
        <f aca="false">IF(OR(I3329="DNB",I3329="Dry DNB"),1,0)</f>
        <v>0</v>
      </c>
      <c r="Z3329" s="0" t="str">
        <f aca="false">IF(ISNUMBER(W3329),A3329-W3329,"")</f>
        <v/>
      </c>
      <c r="AA3329" s="46" t="n">
        <f aca="false">MATCH(A3329,DATAS,0)</f>
        <v>1</v>
      </c>
      <c r="AB3329" s="46" t="n">
        <f aca="false">IF(AND(E3329&gt;0,OR(AND(B3329&gt;=1,B3329&lt;=6),B3329=10)),1,0)</f>
        <v>0</v>
      </c>
      <c r="AC3329" s="46" t="n">
        <f aca="false">IF(AND(E3329&gt;0,B3329=10),1,0)</f>
        <v>0</v>
      </c>
      <c r="AD3329" s="0" t="str">
        <f aca="false">IF(AND(C3328=C3329,AA3328=AA3329-1),AB3328,"")</f>
        <v/>
      </c>
      <c r="AE3329" s="0" t="str">
        <f aca="false">IF(AND(C3328=C3329,AA3328=AA3329-1),AC3328,"")</f>
        <v/>
      </c>
      <c r="AF3329" s="0" t="str">
        <f aca="false">IF(AA3329=1,"",IF(AND(AB3329=1,AD3329&lt;&gt;1),1,0))</f>
        <v/>
      </c>
      <c r="AG3329" s="0" t="str">
        <f aca="false">IF(AA3329=1,"",IF(AND(AC3329=1,AE3329&lt;&gt;1),1,0))</f>
        <v/>
      </c>
      <c r="AH3329" s="51" t="str">
        <f aca="false">IF(AND(E3329&gt;0,AA3329&lt;1,NOT(AND(C3330=C3329,AA3330=AA3329+1))),INDEX(DATAS,AA3329+1),"")</f>
        <v/>
      </c>
      <c r="AI3329" s="51" t="str">
        <f aca="false">IF(AND(AC3329=1,AA3329&lt;1),IF(AND(C3330=C3329,AA3330=AA3329+1),IF(AC3330=1,"",INDEX(DATAS,AA3329+1)),INDEX(DATAS,AA3329+1)),"")</f>
        <v/>
      </c>
    </row>
    <row r="3330" customFormat="false" ht="15" hidden="false" customHeight="false" outlineLevel="0" collapsed="false">
      <c r="A3330" s="51" t="n">
        <v>46309</v>
      </c>
      <c r="B3330" s="0" t="n">
        <v>13</v>
      </c>
      <c r="C3330" s="0" t="n">
        <v>7761</v>
      </c>
      <c r="E3330" s="0" t="n">
        <v>0</v>
      </c>
      <c r="F3330" s="46" t="s">
        <v>1567</v>
      </c>
      <c r="I3330" s="46" t="s">
        <v>179</v>
      </c>
      <c r="U3330" s="0" t="n">
        <v>142</v>
      </c>
      <c r="V3330" s="0" t="n">
        <v>0</v>
      </c>
      <c r="X3330" s="46" t="n">
        <f aca="false">IF(I3330="Male",0,1)</f>
        <v>1</v>
      </c>
      <c r="Y3330" s="46" t="n">
        <f aca="false">IF(OR(I3330="DNB",I3330="Dry DNB"),1,0)</f>
        <v>0</v>
      </c>
      <c r="Z3330" s="0" t="str">
        <f aca="false">IF(ISNUMBER(W3330),A3330-W3330,"")</f>
        <v/>
      </c>
      <c r="AA3330" s="46" t="n">
        <f aca="false">MATCH(A3330,DATAS,0)</f>
        <v>1</v>
      </c>
      <c r="AB3330" s="46" t="n">
        <f aca="false">IF(AND(E3330&gt;0,OR(AND(B3330&gt;=1,B3330&lt;=6),B3330=10)),1,0)</f>
        <v>0</v>
      </c>
      <c r="AC3330" s="46" t="n">
        <f aca="false">IF(AND(E3330&gt;0,B3330=10),1,0)</f>
        <v>0</v>
      </c>
      <c r="AD3330" s="0" t="str">
        <f aca="false">IF(AND(C3329=C3330,AA3329=AA3330-1),AB3329,"")</f>
        <v/>
      </c>
      <c r="AE3330" s="0" t="str">
        <f aca="false">IF(AND(C3329=C3330,AA3329=AA3330-1),AC3329,"")</f>
        <v/>
      </c>
      <c r="AF3330" s="0" t="str">
        <f aca="false">IF(AA3330=1,"",IF(AND(AB3330=1,AD3330&lt;&gt;1),1,0))</f>
        <v/>
      </c>
      <c r="AG3330" s="0" t="str">
        <f aca="false">IF(AA3330=1,"",IF(AND(AC3330=1,AE3330&lt;&gt;1),1,0))</f>
        <v/>
      </c>
      <c r="AH3330" s="51" t="str">
        <f aca="false">IF(AND(E3330&gt;0,AA3330&lt;1,NOT(AND(C3331=C3330,AA3331=AA3330+1))),INDEX(DATAS,AA3330+1),"")</f>
        <v/>
      </c>
      <c r="AI3330" s="51" t="str">
        <f aca="false">IF(AND(AC3330=1,AA3330&lt;1),IF(AND(C3331=C3330,AA3331=AA3330+1),IF(AC3331=1,"",INDEX(DATAS,AA3330+1)),INDEX(DATAS,AA3330+1)),"")</f>
        <v/>
      </c>
    </row>
    <row r="3331" customFormat="false" ht="15" hidden="false" customHeight="false" outlineLevel="0" collapsed="false">
      <c r="A3331" s="51" t="n">
        <v>46309</v>
      </c>
      <c r="B3331" s="0" t="n">
        <v>13</v>
      </c>
      <c r="C3331" s="0" t="n">
        <v>7762</v>
      </c>
      <c r="E3331" s="0" t="n">
        <v>0</v>
      </c>
      <c r="F3331" s="46" t="s">
        <v>1567</v>
      </c>
      <c r="I3331" s="46" t="s">
        <v>179</v>
      </c>
      <c r="U3331" s="0" t="n">
        <v>142</v>
      </c>
      <c r="V3331" s="0" t="n">
        <v>0</v>
      </c>
      <c r="X3331" s="46" t="n">
        <f aca="false">IF(I3331="Male",0,1)</f>
        <v>1</v>
      </c>
      <c r="Y3331" s="46" t="n">
        <f aca="false">IF(OR(I3331="DNB",I3331="Dry DNB"),1,0)</f>
        <v>0</v>
      </c>
      <c r="Z3331" s="0" t="str">
        <f aca="false">IF(ISNUMBER(W3331),A3331-W3331,"")</f>
        <v/>
      </c>
      <c r="AA3331" s="46" t="n">
        <f aca="false">MATCH(A3331,DATAS,0)</f>
        <v>1</v>
      </c>
      <c r="AB3331" s="46" t="n">
        <f aca="false">IF(AND(E3331&gt;0,OR(AND(B3331&gt;=1,B3331&lt;=6),B3331=10)),1,0)</f>
        <v>0</v>
      </c>
      <c r="AC3331" s="46" t="n">
        <f aca="false">IF(AND(E3331&gt;0,B3331=10),1,0)</f>
        <v>0</v>
      </c>
      <c r="AD3331" s="0" t="str">
        <f aca="false">IF(AND(C3330=C3331,AA3330=AA3331-1),AB3330,"")</f>
        <v/>
      </c>
      <c r="AE3331" s="0" t="str">
        <f aca="false">IF(AND(C3330=C3331,AA3330=AA3331-1),AC3330,"")</f>
        <v/>
      </c>
      <c r="AF3331" s="0" t="str">
        <f aca="false">IF(AA3331=1,"",IF(AND(AB3331=1,AD3331&lt;&gt;1),1,0))</f>
        <v/>
      </c>
      <c r="AG3331" s="0" t="str">
        <f aca="false">IF(AA3331=1,"",IF(AND(AC3331=1,AE3331&lt;&gt;1),1,0))</f>
        <v/>
      </c>
      <c r="AH3331" s="51" t="str">
        <f aca="false">IF(AND(E3331&gt;0,AA3331&lt;1,NOT(AND(C3332=C3331,AA3332=AA3331+1))),INDEX(DATAS,AA3331+1),"")</f>
        <v/>
      </c>
      <c r="AI3331" s="51" t="str">
        <f aca="false">IF(AND(AC3331=1,AA3331&lt;1),IF(AND(C3332=C3331,AA3332=AA3331+1),IF(AC3332=1,"",INDEX(DATAS,AA3331+1)),INDEX(DATAS,AA3331+1)),"")</f>
        <v/>
      </c>
    </row>
    <row r="3332" customFormat="false" ht="15" hidden="false" customHeight="false" outlineLevel="0" collapsed="false">
      <c r="A3332" s="51" t="n">
        <v>46309</v>
      </c>
      <c r="B3332" s="0" t="n">
        <v>13</v>
      </c>
      <c r="C3332" s="0" t="n">
        <v>7763</v>
      </c>
      <c r="E3332" s="0" t="n">
        <v>0</v>
      </c>
      <c r="F3332" s="46" t="s">
        <v>1568</v>
      </c>
      <c r="I3332" s="46" t="s">
        <v>179</v>
      </c>
      <c r="U3332" s="0" t="n">
        <v>141</v>
      </c>
      <c r="V3332" s="0" t="n">
        <v>0</v>
      </c>
      <c r="X3332" s="46" t="n">
        <f aca="false">IF(I3332="Male",0,1)</f>
        <v>1</v>
      </c>
      <c r="Y3332" s="46" t="n">
        <f aca="false">IF(OR(I3332="DNB",I3332="Dry DNB"),1,0)</f>
        <v>0</v>
      </c>
      <c r="Z3332" s="0" t="str">
        <f aca="false">IF(ISNUMBER(W3332),A3332-W3332,"")</f>
        <v/>
      </c>
      <c r="AA3332" s="46" t="n">
        <f aca="false">MATCH(A3332,DATAS,0)</f>
        <v>1</v>
      </c>
      <c r="AB3332" s="46" t="n">
        <f aca="false">IF(AND(E3332&gt;0,OR(AND(B3332&gt;=1,B3332&lt;=6),B3332=10)),1,0)</f>
        <v>0</v>
      </c>
      <c r="AC3332" s="46" t="n">
        <f aca="false">IF(AND(E3332&gt;0,B3332=10),1,0)</f>
        <v>0</v>
      </c>
      <c r="AD3332" s="0" t="str">
        <f aca="false">IF(AND(C3331=C3332,AA3331=AA3332-1),AB3331,"")</f>
        <v/>
      </c>
      <c r="AE3332" s="0" t="str">
        <f aca="false">IF(AND(C3331=C3332,AA3331=AA3332-1),AC3331,"")</f>
        <v/>
      </c>
      <c r="AF3332" s="0" t="str">
        <f aca="false">IF(AA3332=1,"",IF(AND(AB3332=1,AD3332&lt;&gt;1),1,0))</f>
        <v/>
      </c>
      <c r="AG3332" s="0" t="str">
        <f aca="false">IF(AA3332=1,"",IF(AND(AC3332=1,AE3332&lt;&gt;1),1,0))</f>
        <v/>
      </c>
      <c r="AH3332" s="51" t="str">
        <f aca="false">IF(AND(E3332&gt;0,AA3332&lt;1,NOT(AND(C3333=C3332,AA3333=AA3332+1))),INDEX(DATAS,AA3332+1),"")</f>
        <v/>
      </c>
      <c r="AI3332" s="51" t="str">
        <f aca="false">IF(AND(AC3332=1,AA3332&lt;1),IF(AND(C3333=C3332,AA3333=AA3332+1),IF(AC3333=1,"",INDEX(DATAS,AA3332+1)),INDEX(DATAS,AA3332+1)),"")</f>
        <v/>
      </c>
    </row>
    <row r="3333" customFormat="false" ht="15" hidden="false" customHeight="false" outlineLevel="0" collapsed="false">
      <c r="A3333" s="51" t="n">
        <v>46309</v>
      </c>
      <c r="B3333" s="0" t="n">
        <v>13</v>
      </c>
      <c r="C3333" s="0" t="n">
        <v>7764</v>
      </c>
      <c r="E3333" s="0" t="n">
        <v>0</v>
      </c>
      <c r="F3333" s="46" t="s">
        <v>1568</v>
      </c>
      <c r="I3333" s="46" t="s">
        <v>179</v>
      </c>
      <c r="U3333" s="0" t="n">
        <v>141</v>
      </c>
      <c r="V3333" s="0" t="n">
        <v>0</v>
      </c>
      <c r="X3333" s="46" t="n">
        <f aca="false">IF(I3333="Male",0,1)</f>
        <v>1</v>
      </c>
      <c r="Y3333" s="46" t="n">
        <f aca="false">IF(OR(I3333="DNB",I3333="Dry DNB"),1,0)</f>
        <v>0</v>
      </c>
      <c r="Z3333" s="0" t="str">
        <f aca="false">IF(ISNUMBER(W3333),A3333-W3333,"")</f>
        <v/>
      </c>
      <c r="AA3333" s="46" t="n">
        <f aca="false">MATCH(A3333,DATAS,0)</f>
        <v>1</v>
      </c>
      <c r="AB3333" s="46" t="n">
        <f aca="false">IF(AND(E3333&gt;0,OR(AND(B3333&gt;=1,B3333&lt;=6),B3333=10)),1,0)</f>
        <v>0</v>
      </c>
      <c r="AC3333" s="46" t="n">
        <f aca="false">IF(AND(E3333&gt;0,B3333=10),1,0)</f>
        <v>0</v>
      </c>
      <c r="AD3333" s="0" t="str">
        <f aca="false">IF(AND(C3332=C3333,AA3332=AA3333-1),AB3332,"")</f>
        <v/>
      </c>
      <c r="AE3333" s="0" t="str">
        <f aca="false">IF(AND(C3332=C3333,AA3332=AA3333-1),AC3332,"")</f>
        <v/>
      </c>
      <c r="AF3333" s="0" t="str">
        <f aca="false">IF(AA3333=1,"",IF(AND(AB3333=1,AD3333&lt;&gt;1),1,0))</f>
        <v/>
      </c>
      <c r="AG3333" s="0" t="str">
        <f aca="false">IF(AA3333=1,"",IF(AND(AC3333=1,AE3333&lt;&gt;1),1,0))</f>
        <v/>
      </c>
      <c r="AH3333" s="51" t="str">
        <f aca="false">IF(AND(E3333&gt;0,AA3333&lt;1,NOT(AND(C3334=C3333,AA3334=AA3333+1))),INDEX(DATAS,AA3333+1),"")</f>
        <v/>
      </c>
      <c r="AI3333" s="51" t="str">
        <f aca="false">IF(AND(AC3333=1,AA3333&lt;1),IF(AND(C3334=C3333,AA3334=AA3333+1),IF(AC3334=1,"",INDEX(DATAS,AA3333+1)),INDEX(DATAS,AA3333+1)),"")</f>
        <v/>
      </c>
    </row>
    <row r="3334" customFormat="false" ht="15" hidden="false" customHeight="false" outlineLevel="0" collapsed="false">
      <c r="A3334" s="51" t="n">
        <v>46309</v>
      </c>
      <c r="B3334" s="0" t="n">
        <v>13</v>
      </c>
      <c r="C3334" s="0" t="n">
        <v>7765</v>
      </c>
      <c r="E3334" s="0" t="n">
        <v>0</v>
      </c>
      <c r="F3334" s="46" t="s">
        <v>1568</v>
      </c>
      <c r="I3334" s="46" t="s">
        <v>179</v>
      </c>
      <c r="U3334" s="0" t="n">
        <v>141</v>
      </c>
      <c r="V3334" s="0" t="n">
        <v>0</v>
      </c>
      <c r="X3334" s="46" t="n">
        <f aca="false">IF(I3334="Male",0,1)</f>
        <v>1</v>
      </c>
      <c r="Y3334" s="46" t="n">
        <f aca="false">IF(OR(I3334="DNB",I3334="Dry DNB"),1,0)</f>
        <v>0</v>
      </c>
      <c r="Z3334" s="0" t="str">
        <f aca="false">IF(ISNUMBER(W3334),A3334-W3334,"")</f>
        <v/>
      </c>
      <c r="AA3334" s="46" t="n">
        <f aca="false">MATCH(A3334,DATAS,0)</f>
        <v>1</v>
      </c>
      <c r="AB3334" s="46" t="n">
        <f aca="false">IF(AND(E3334&gt;0,OR(AND(B3334&gt;=1,B3334&lt;=6),B3334=10)),1,0)</f>
        <v>0</v>
      </c>
      <c r="AC3334" s="46" t="n">
        <f aca="false">IF(AND(E3334&gt;0,B3334=10),1,0)</f>
        <v>0</v>
      </c>
      <c r="AD3334" s="0" t="str">
        <f aca="false">IF(AND(C3333=C3334,AA3333=AA3334-1),AB3333,"")</f>
        <v/>
      </c>
      <c r="AE3334" s="0" t="str">
        <f aca="false">IF(AND(C3333=C3334,AA3333=AA3334-1),AC3333,"")</f>
        <v/>
      </c>
      <c r="AF3334" s="0" t="str">
        <f aca="false">IF(AA3334=1,"",IF(AND(AB3334=1,AD3334&lt;&gt;1),1,0))</f>
        <v/>
      </c>
      <c r="AG3334" s="0" t="str">
        <f aca="false">IF(AA3334=1,"",IF(AND(AC3334=1,AE3334&lt;&gt;1),1,0))</f>
        <v/>
      </c>
      <c r="AH3334" s="51" t="str">
        <f aca="false">IF(AND(E3334&gt;0,AA3334&lt;1,NOT(AND(C3335=C3334,AA3335=AA3334+1))),INDEX(DATAS,AA3334+1),"")</f>
        <v/>
      </c>
      <c r="AI3334" s="51" t="str">
        <f aca="false">IF(AND(AC3334=1,AA3334&lt;1),IF(AND(C3335=C3334,AA3335=AA3334+1),IF(AC3335=1,"",INDEX(DATAS,AA3334+1)),INDEX(DATAS,AA3334+1)),"")</f>
        <v/>
      </c>
    </row>
    <row r="3335" customFormat="false" ht="15" hidden="false" customHeight="false" outlineLevel="0" collapsed="false">
      <c r="A3335" s="51" t="n">
        <v>46309</v>
      </c>
      <c r="B3335" s="0" t="n">
        <v>13</v>
      </c>
      <c r="C3335" s="0" t="n">
        <v>7766</v>
      </c>
      <c r="E3335" s="0" t="n">
        <v>0</v>
      </c>
      <c r="F3335" s="46" t="s">
        <v>1568</v>
      </c>
      <c r="I3335" s="46" t="s">
        <v>179</v>
      </c>
      <c r="U3335" s="0" t="n">
        <v>141</v>
      </c>
      <c r="V3335" s="0" t="n">
        <v>0</v>
      </c>
      <c r="X3335" s="46" t="n">
        <f aca="false">IF(I3335="Male",0,1)</f>
        <v>1</v>
      </c>
      <c r="Y3335" s="46" t="n">
        <f aca="false">IF(OR(I3335="DNB",I3335="Dry DNB"),1,0)</f>
        <v>0</v>
      </c>
      <c r="Z3335" s="0" t="str">
        <f aca="false">IF(ISNUMBER(W3335),A3335-W3335,"")</f>
        <v/>
      </c>
      <c r="AA3335" s="46" t="n">
        <f aca="false">MATCH(A3335,DATAS,0)</f>
        <v>1</v>
      </c>
      <c r="AB3335" s="46" t="n">
        <f aca="false">IF(AND(E3335&gt;0,OR(AND(B3335&gt;=1,B3335&lt;=6),B3335=10)),1,0)</f>
        <v>0</v>
      </c>
      <c r="AC3335" s="46" t="n">
        <f aca="false">IF(AND(E3335&gt;0,B3335=10),1,0)</f>
        <v>0</v>
      </c>
      <c r="AD3335" s="0" t="str">
        <f aca="false">IF(AND(C3334=C3335,AA3334=AA3335-1),AB3334,"")</f>
        <v/>
      </c>
      <c r="AE3335" s="0" t="str">
        <f aca="false">IF(AND(C3334=C3335,AA3334=AA3335-1),AC3334,"")</f>
        <v/>
      </c>
      <c r="AF3335" s="0" t="str">
        <f aca="false">IF(AA3335=1,"",IF(AND(AB3335=1,AD3335&lt;&gt;1),1,0))</f>
        <v/>
      </c>
      <c r="AG3335" s="0" t="str">
        <f aca="false">IF(AA3335=1,"",IF(AND(AC3335=1,AE3335&lt;&gt;1),1,0))</f>
        <v/>
      </c>
      <c r="AH3335" s="51" t="str">
        <f aca="false">IF(AND(E3335&gt;0,AA3335&lt;1,NOT(AND(C3336=C3335,AA3336=AA3335+1))),INDEX(DATAS,AA3335+1),"")</f>
        <v/>
      </c>
      <c r="AI3335" s="51" t="str">
        <f aca="false">IF(AND(AC3335=1,AA3335&lt;1),IF(AND(C3336=C3335,AA3336=AA3335+1),IF(AC3336=1,"",INDEX(DATAS,AA3335+1)),INDEX(DATAS,AA3335+1)),"")</f>
        <v/>
      </c>
    </row>
    <row r="3336" customFormat="false" ht="15" hidden="false" customHeight="false" outlineLevel="0" collapsed="false">
      <c r="A3336" s="51" t="n">
        <v>46309</v>
      </c>
      <c r="B3336" s="0" t="n">
        <v>13</v>
      </c>
      <c r="C3336" s="0" t="n">
        <v>7767</v>
      </c>
      <c r="E3336" s="0" t="n">
        <v>0</v>
      </c>
      <c r="F3336" s="46" t="s">
        <v>1569</v>
      </c>
      <c r="I3336" s="46" t="s">
        <v>179</v>
      </c>
      <c r="U3336" s="0" t="n">
        <v>140</v>
      </c>
      <c r="V3336" s="0" t="n">
        <v>0</v>
      </c>
      <c r="X3336" s="46" t="n">
        <f aca="false">IF(I3336="Male",0,1)</f>
        <v>1</v>
      </c>
      <c r="Y3336" s="46" t="n">
        <f aca="false">IF(OR(I3336="DNB",I3336="Dry DNB"),1,0)</f>
        <v>0</v>
      </c>
      <c r="Z3336" s="0" t="str">
        <f aca="false">IF(ISNUMBER(W3336),A3336-W3336,"")</f>
        <v/>
      </c>
      <c r="AA3336" s="46" t="n">
        <f aca="false">MATCH(A3336,DATAS,0)</f>
        <v>1</v>
      </c>
      <c r="AB3336" s="46" t="n">
        <f aca="false">IF(AND(E3336&gt;0,OR(AND(B3336&gt;=1,B3336&lt;=6),B3336=10)),1,0)</f>
        <v>0</v>
      </c>
      <c r="AC3336" s="46" t="n">
        <f aca="false">IF(AND(E3336&gt;0,B3336=10),1,0)</f>
        <v>0</v>
      </c>
      <c r="AD3336" s="0" t="str">
        <f aca="false">IF(AND(C3335=C3336,AA3335=AA3336-1),AB3335,"")</f>
        <v/>
      </c>
      <c r="AE3336" s="0" t="str">
        <f aca="false">IF(AND(C3335=C3336,AA3335=AA3336-1),AC3335,"")</f>
        <v/>
      </c>
      <c r="AF3336" s="0" t="str">
        <f aca="false">IF(AA3336=1,"",IF(AND(AB3336=1,AD3336&lt;&gt;1),1,0))</f>
        <v/>
      </c>
      <c r="AG3336" s="0" t="str">
        <f aca="false">IF(AA3336=1,"",IF(AND(AC3336=1,AE3336&lt;&gt;1),1,0))</f>
        <v/>
      </c>
      <c r="AH3336" s="51" t="str">
        <f aca="false">IF(AND(E3336&gt;0,AA3336&lt;1,NOT(AND(C3337=C3336,AA3337=AA3336+1))),INDEX(DATAS,AA3336+1),"")</f>
        <v/>
      </c>
      <c r="AI3336" s="51" t="str">
        <f aca="false">IF(AND(AC3336=1,AA3336&lt;1),IF(AND(C3337=C3336,AA3337=AA3336+1),IF(AC3337=1,"",INDEX(DATAS,AA3336+1)),INDEX(DATAS,AA3336+1)),"")</f>
        <v/>
      </c>
    </row>
    <row r="3337" customFormat="false" ht="15" hidden="false" customHeight="false" outlineLevel="0" collapsed="false">
      <c r="A3337" s="51" t="n">
        <v>46309</v>
      </c>
      <c r="B3337" s="0" t="n">
        <v>13</v>
      </c>
      <c r="C3337" s="0" t="n">
        <v>7768</v>
      </c>
      <c r="E3337" s="0" t="n">
        <v>0</v>
      </c>
      <c r="F3337" s="46" t="s">
        <v>1569</v>
      </c>
      <c r="I3337" s="46" t="s">
        <v>179</v>
      </c>
      <c r="U3337" s="0" t="n">
        <v>140</v>
      </c>
      <c r="V3337" s="0" t="n">
        <v>0</v>
      </c>
      <c r="X3337" s="46" t="n">
        <f aca="false">IF(I3337="Male",0,1)</f>
        <v>1</v>
      </c>
      <c r="Y3337" s="46" t="n">
        <f aca="false">IF(OR(I3337="DNB",I3337="Dry DNB"),1,0)</f>
        <v>0</v>
      </c>
      <c r="Z3337" s="0" t="str">
        <f aca="false">IF(ISNUMBER(W3337),A3337-W3337,"")</f>
        <v/>
      </c>
      <c r="AA3337" s="46" t="n">
        <f aca="false">MATCH(A3337,DATAS,0)</f>
        <v>1</v>
      </c>
      <c r="AB3337" s="46" t="n">
        <f aca="false">IF(AND(E3337&gt;0,OR(AND(B3337&gt;=1,B3337&lt;=6),B3337=10)),1,0)</f>
        <v>0</v>
      </c>
      <c r="AC3337" s="46" t="n">
        <f aca="false">IF(AND(E3337&gt;0,B3337=10),1,0)</f>
        <v>0</v>
      </c>
      <c r="AD3337" s="0" t="str">
        <f aca="false">IF(AND(C3336=C3337,AA3336=AA3337-1),AB3336,"")</f>
        <v/>
      </c>
      <c r="AE3337" s="0" t="str">
        <f aca="false">IF(AND(C3336=C3337,AA3336=AA3337-1),AC3336,"")</f>
        <v/>
      </c>
      <c r="AF3337" s="0" t="str">
        <f aca="false">IF(AA3337=1,"",IF(AND(AB3337=1,AD3337&lt;&gt;1),1,0))</f>
        <v/>
      </c>
      <c r="AG3337" s="0" t="str">
        <f aca="false">IF(AA3337=1,"",IF(AND(AC3337=1,AE3337&lt;&gt;1),1,0))</f>
        <v/>
      </c>
      <c r="AH3337" s="51" t="str">
        <f aca="false">IF(AND(E3337&gt;0,AA3337&lt;1,NOT(AND(C3338=C3337,AA3338=AA3337+1))),INDEX(DATAS,AA3337+1),"")</f>
        <v/>
      </c>
      <c r="AI3337" s="51" t="str">
        <f aca="false">IF(AND(AC3337=1,AA3337&lt;1),IF(AND(C3338=C3337,AA3338=AA3337+1),IF(AC3338=1,"",INDEX(DATAS,AA3337+1)),INDEX(DATAS,AA3337+1)),"")</f>
        <v/>
      </c>
    </row>
    <row r="3338" customFormat="false" ht="15" hidden="false" customHeight="false" outlineLevel="0" collapsed="false">
      <c r="A3338" s="51" t="n">
        <v>46309</v>
      </c>
      <c r="B3338" s="0" t="n">
        <v>13</v>
      </c>
      <c r="C3338" s="0" t="n">
        <v>7770</v>
      </c>
      <c r="E3338" s="0" t="n">
        <v>0</v>
      </c>
      <c r="F3338" s="46" t="s">
        <v>1569</v>
      </c>
      <c r="I3338" s="46" t="s">
        <v>179</v>
      </c>
      <c r="U3338" s="0" t="n">
        <v>140</v>
      </c>
      <c r="V3338" s="0" t="n">
        <v>0</v>
      </c>
      <c r="X3338" s="46" t="n">
        <f aca="false">IF(I3338="Male",0,1)</f>
        <v>1</v>
      </c>
      <c r="Y3338" s="46" t="n">
        <f aca="false">IF(OR(I3338="DNB",I3338="Dry DNB"),1,0)</f>
        <v>0</v>
      </c>
      <c r="Z3338" s="0" t="str">
        <f aca="false">IF(ISNUMBER(W3338),A3338-W3338,"")</f>
        <v/>
      </c>
      <c r="AA3338" s="46" t="n">
        <f aca="false">MATCH(A3338,DATAS,0)</f>
        <v>1</v>
      </c>
      <c r="AB3338" s="46" t="n">
        <f aca="false">IF(AND(E3338&gt;0,OR(AND(B3338&gt;=1,B3338&lt;=6),B3338=10)),1,0)</f>
        <v>0</v>
      </c>
      <c r="AC3338" s="46" t="n">
        <f aca="false">IF(AND(E3338&gt;0,B3338=10),1,0)</f>
        <v>0</v>
      </c>
      <c r="AD3338" s="0" t="str">
        <f aca="false">IF(AND(C3337=C3338,AA3337=AA3338-1),AB3337,"")</f>
        <v/>
      </c>
      <c r="AE3338" s="0" t="str">
        <f aca="false">IF(AND(C3337=C3338,AA3337=AA3338-1),AC3337,"")</f>
        <v/>
      </c>
      <c r="AF3338" s="0" t="str">
        <f aca="false">IF(AA3338=1,"",IF(AND(AB3338=1,AD3338&lt;&gt;1),1,0))</f>
        <v/>
      </c>
      <c r="AG3338" s="0" t="str">
        <f aca="false">IF(AA3338=1,"",IF(AND(AC3338=1,AE3338&lt;&gt;1),1,0))</f>
        <v/>
      </c>
      <c r="AH3338" s="51" t="str">
        <f aca="false">IF(AND(E3338&gt;0,AA3338&lt;1,NOT(AND(C3339=C3338,AA3339=AA3338+1))),INDEX(DATAS,AA3338+1),"")</f>
        <v/>
      </c>
      <c r="AI3338" s="51" t="str">
        <f aca="false">IF(AND(AC3338=1,AA3338&lt;1),IF(AND(C3339=C3338,AA3339=AA3338+1),IF(AC3339=1,"",INDEX(DATAS,AA3338+1)),INDEX(DATAS,AA3338+1)),"")</f>
        <v/>
      </c>
    </row>
    <row r="3339" customFormat="false" ht="15" hidden="false" customHeight="false" outlineLevel="0" collapsed="false">
      <c r="A3339" s="51" t="n">
        <v>46309</v>
      </c>
      <c r="B3339" s="0" t="n">
        <v>13</v>
      </c>
      <c r="C3339" s="0" t="n">
        <v>7771</v>
      </c>
      <c r="E3339" s="0" t="n">
        <v>0</v>
      </c>
      <c r="F3339" s="46" t="s">
        <v>1570</v>
      </c>
      <c r="I3339" s="46" t="s">
        <v>179</v>
      </c>
      <c r="U3339" s="0" t="n">
        <v>138</v>
      </c>
      <c r="V3339" s="0" t="n">
        <v>0</v>
      </c>
      <c r="X3339" s="46" t="n">
        <f aca="false">IF(I3339="Male",0,1)</f>
        <v>1</v>
      </c>
      <c r="Y3339" s="46" t="n">
        <f aca="false">IF(OR(I3339="DNB",I3339="Dry DNB"),1,0)</f>
        <v>0</v>
      </c>
      <c r="Z3339" s="0" t="str">
        <f aca="false">IF(ISNUMBER(W3339),A3339-W3339,"")</f>
        <v/>
      </c>
      <c r="AA3339" s="46" t="n">
        <f aca="false">MATCH(A3339,DATAS,0)</f>
        <v>1</v>
      </c>
      <c r="AB3339" s="46" t="n">
        <f aca="false">IF(AND(E3339&gt;0,OR(AND(B3339&gt;=1,B3339&lt;=6),B3339=10)),1,0)</f>
        <v>0</v>
      </c>
      <c r="AC3339" s="46" t="n">
        <f aca="false">IF(AND(E3339&gt;0,B3339=10),1,0)</f>
        <v>0</v>
      </c>
      <c r="AD3339" s="0" t="str">
        <f aca="false">IF(AND(C3338=C3339,AA3338=AA3339-1),AB3338,"")</f>
        <v/>
      </c>
      <c r="AE3339" s="0" t="str">
        <f aca="false">IF(AND(C3338=C3339,AA3338=AA3339-1),AC3338,"")</f>
        <v/>
      </c>
      <c r="AF3339" s="0" t="str">
        <f aca="false">IF(AA3339=1,"",IF(AND(AB3339=1,AD3339&lt;&gt;1),1,0))</f>
        <v/>
      </c>
      <c r="AG3339" s="0" t="str">
        <f aca="false">IF(AA3339=1,"",IF(AND(AC3339=1,AE3339&lt;&gt;1),1,0))</f>
        <v/>
      </c>
      <c r="AH3339" s="51" t="str">
        <f aca="false">IF(AND(E3339&gt;0,AA3339&lt;1,NOT(AND(C3340=C3339,AA3340=AA3339+1))),INDEX(DATAS,AA3339+1),"")</f>
        <v/>
      </c>
      <c r="AI3339" s="51" t="str">
        <f aca="false">IF(AND(AC3339=1,AA3339&lt;1),IF(AND(C3340=C3339,AA3340=AA3339+1),IF(AC3340=1,"",INDEX(DATAS,AA3339+1)),INDEX(DATAS,AA3339+1)),"")</f>
        <v/>
      </c>
    </row>
    <row r="3340" customFormat="false" ht="15" hidden="false" customHeight="false" outlineLevel="0" collapsed="false">
      <c r="A3340" s="51" t="n">
        <v>46309</v>
      </c>
      <c r="B3340" s="0" t="n">
        <v>13</v>
      </c>
      <c r="C3340" s="0" t="n">
        <v>7772</v>
      </c>
      <c r="E3340" s="0" t="n">
        <v>0</v>
      </c>
      <c r="F3340" s="46" t="s">
        <v>1571</v>
      </c>
      <c r="I3340" s="46" t="s">
        <v>179</v>
      </c>
      <c r="U3340" s="0" t="n">
        <v>137</v>
      </c>
      <c r="V3340" s="0" t="n">
        <v>0</v>
      </c>
      <c r="X3340" s="46" t="n">
        <f aca="false">IF(I3340="Male",0,1)</f>
        <v>1</v>
      </c>
      <c r="Y3340" s="46" t="n">
        <f aca="false">IF(OR(I3340="DNB",I3340="Dry DNB"),1,0)</f>
        <v>0</v>
      </c>
      <c r="Z3340" s="0" t="str">
        <f aca="false">IF(ISNUMBER(W3340),A3340-W3340,"")</f>
        <v/>
      </c>
      <c r="AA3340" s="46" t="n">
        <f aca="false">MATCH(A3340,DATAS,0)</f>
        <v>1</v>
      </c>
      <c r="AB3340" s="46" t="n">
        <f aca="false">IF(AND(E3340&gt;0,OR(AND(B3340&gt;=1,B3340&lt;=6),B3340=10)),1,0)</f>
        <v>0</v>
      </c>
      <c r="AC3340" s="46" t="n">
        <f aca="false">IF(AND(E3340&gt;0,B3340=10),1,0)</f>
        <v>0</v>
      </c>
      <c r="AD3340" s="0" t="str">
        <f aca="false">IF(AND(C3339=C3340,AA3339=AA3340-1),AB3339,"")</f>
        <v/>
      </c>
      <c r="AE3340" s="0" t="str">
        <f aca="false">IF(AND(C3339=C3340,AA3339=AA3340-1),AC3339,"")</f>
        <v/>
      </c>
      <c r="AF3340" s="0" t="str">
        <f aca="false">IF(AA3340=1,"",IF(AND(AB3340=1,AD3340&lt;&gt;1),1,0))</f>
        <v/>
      </c>
      <c r="AG3340" s="0" t="str">
        <f aca="false">IF(AA3340=1,"",IF(AND(AC3340=1,AE3340&lt;&gt;1),1,0))</f>
        <v/>
      </c>
      <c r="AH3340" s="51" t="str">
        <f aca="false">IF(AND(E3340&gt;0,AA3340&lt;1,NOT(AND(C3341=C3340,AA3341=AA3340+1))),INDEX(DATAS,AA3340+1),"")</f>
        <v/>
      </c>
      <c r="AI3340" s="51" t="str">
        <f aca="false">IF(AND(AC3340=1,AA3340&lt;1),IF(AND(C3341=C3340,AA3341=AA3340+1),IF(AC3341=1,"",INDEX(DATAS,AA3340+1)),INDEX(DATAS,AA3340+1)),"")</f>
        <v/>
      </c>
    </row>
    <row r="3341" customFormat="false" ht="15" hidden="false" customHeight="false" outlineLevel="0" collapsed="false">
      <c r="A3341" s="51" t="n">
        <v>46309</v>
      </c>
      <c r="B3341" s="0" t="n">
        <v>13</v>
      </c>
      <c r="C3341" s="0" t="n">
        <v>7773</v>
      </c>
      <c r="E3341" s="0" t="n">
        <v>0</v>
      </c>
      <c r="F3341" s="46" t="s">
        <v>1571</v>
      </c>
      <c r="I3341" s="46" t="s">
        <v>179</v>
      </c>
      <c r="U3341" s="0" t="n">
        <v>137</v>
      </c>
      <c r="V3341" s="0" t="n">
        <v>0</v>
      </c>
      <c r="X3341" s="46" t="n">
        <f aca="false">IF(I3341="Male",0,1)</f>
        <v>1</v>
      </c>
      <c r="Y3341" s="46" t="n">
        <f aca="false">IF(OR(I3341="DNB",I3341="Dry DNB"),1,0)</f>
        <v>0</v>
      </c>
      <c r="Z3341" s="0" t="str">
        <f aca="false">IF(ISNUMBER(W3341),A3341-W3341,"")</f>
        <v/>
      </c>
      <c r="AA3341" s="46" t="n">
        <f aca="false">MATCH(A3341,DATAS,0)</f>
        <v>1</v>
      </c>
      <c r="AB3341" s="46" t="n">
        <f aca="false">IF(AND(E3341&gt;0,OR(AND(B3341&gt;=1,B3341&lt;=6),B3341=10)),1,0)</f>
        <v>0</v>
      </c>
      <c r="AC3341" s="46" t="n">
        <f aca="false">IF(AND(E3341&gt;0,B3341=10),1,0)</f>
        <v>0</v>
      </c>
      <c r="AD3341" s="0" t="str">
        <f aca="false">IF(AND(C3340=C3341,AA3340=AA3341-1),AB3340,"")</f>
        <v/>
      </c>
      <c r="AE3341" s="0" t="str">
        <f aca="false">IF(AND(C3340=C3341,AA3340=AA3341-1),AC3340,"")</f>
        <v/>
      </c>
      <c r="AF3341" s="0" t="str">
        <f aca="false">IF(AA3341=1,"",IF(AND(AB3341=1,AD3341&lt;&gt;1),1,0))</f>
        <v/>
      </c>
      <c r="AG3341" s="0" t="str">
        <f aca="false">IF(AA3341=1,"",IF(AND(AC3341=1,AE3341&lt;&gt;1),1,0))</f>
        <v/>
      </c>
      <c r="AH3341" s="51" t="str">
        <f aca="false">IF(AND(E3341&gt;0,AA3341&lt;1,NOT(AND(C3342=C3341,AA3342=AA3341+1))),INDEX(DATAS,AA3341+1),"")</f>
        <v/>
      </c>
      <c r="AI3341" s="51" t="str">
        <f aca="false">IF(AND(AC3341=1,AA3341&lt;1),IF(AND(C3342=C3341,AA3342=AA3341+1),IF(AC3342=1,"",INDEX(DATAS,AA3341+1)),INDEX(DATAS,AA3341+1)),"")</f>
        <v/>
      </c>
    </row>
    <row r="3342" customFormat="false" ht="15" hidden="false" customHeight="false" outlineLevel="0" collapsed="false">
      <c r="A3342" s="51" t="n">
        <v>46309</v>
      </c>
      <c r="B3342" s="0" t="n">
        <v>13</v>
      </c>
      <c r="C3342" s="0" t="n">
        <v>7774</v>
      </c>
      <c r="E3342" s="0" t="n">
        <v>0</v>
      </c>
      <c r="F3342" s="46" t="s">
        <v>1571</v>
      </c>
      <c r="I3342" s="46" t="s">
        <v>179</v>
      </c>
      <c r="U3342" s="0" t="n">
        <v>137</v>
      </c>
      <c r="V3342" s="0" t="n">
        <v>0</v>
      </c>
      <c r="X3342" s="46" t="n">
        <f aca="false">IF(I3342="Male",0,1)</f>
        <v>1</v>
      </c>
      <c r="Y3342" s="46" t="n">
        <f aca="false">IF(OR(I3342="DNB",I3342="Dry DNB"),1,0)</f>
        <v>0</v>
      </c>
      <c r="Z3342" s="0" t="str">
        <f aca="false">IF(ISNUMBER(W3342),A3342-W3342,"")</f>
        <v/>
      </c>
      <c r="AA3342" s="46" t="n">
        <f aca="false">MATCH(A3342,DATAS,0)</f>
        <v>1</v>
      </c>
      <c r="AB3342" s="46" t="n">
        <f aca="false">IF(AND(E3342&gt;0,OR(AND(B3342&gt;=1,B3342&lt;=6),B3342=10)),1,0)</f>
        <v>0</v>
      </c>
      <c r="AC3342" s="46" t="n">
        <f aca="false">IF(AND(E3342&gt;0,B3342=10),1,0)</f>
        <v>0</v>
      </c>
      <c r="AD3342" s="0" t="str">
        <f aca="false">IF(AND(C3341=C3342,AA3341=AA3342-1),AB3341,"")</f>
        <v/>
      </c>
      <c r="AE3342" s="0" t="str">
        <f aca="false">IF(AND(C3341=C3342,AA3341=AA3342-1),AC3341,"")</f>
        <v/>
      </c>
      <c r="AF3342" s="0" t="str">
        <f aca="false">IF(AA3342=1,"",IF(AND(AB3342=1,AD3342&lt;&gt;1),1,0))</f>
        <v/>
      </c>
      <c r="AG3342" s="0" t="str">
        <f aca="false">IF(AA3342=1,"",IF(AND(AC3342=1,AE3342&lt;&gt;1),1,0))</f>
        <v/>
      </c>
      <c r="AH3342" s="51" t="str">
        <f aca="false">IF(AND(E3342&gt;0,AA3342&lt;1,NOT(AND(C3343=C3342,AA3343=AA3342+1))),INDEX(DATAS,AA3342+1),"")</f>
        <v/>
      </c>
      <c r="AI3342" s="51" t="str">
        <f aca="false">IF(AND(AC3342=1,AA3342&lt;1),IF(AND(C3343=C3342,AA3343=AA3342+1),IF(AC3343=1,"",INDEX(DATAS,AA3342+1)),INDEX(DATAS,AA3342+1)),"")</f>
        <v/>
      </c>
    </row>
    <row r="3343" customFormat="false" ht="15" hidden="false" customHeight="false" outlineLevel="0" collapsed="false">
      <c r="A3343" s="51" t="n">
        <v>46309</v>
      </c>
      <c r="B3343" s="0" t="n">
        <v>13</v>
      </c>
      <c r="C3343" s="0" t="n">
        <v>7775</v>
      </c>
      <c r="E3343" s="0" t="n">
        <v>0</v>
      </c>
      <c r="F3343" s="46" t="s">
        <v>1571</v>
      </c>
      <c r="I3343" s="46" t="s">
        <v>179</v>
      </c>
      <c r="U3343" s="0" t="n">
        <v>137</v>
      </c>
      <c r="V3343" s="0" t="n">
        <v>0</v>
      </c>
      <c r="X3343" s="46" t="n">
        <f aca="false">IF(I3343="Male",0,1)</f>
        <v>1</v>
      </c>
      <c r="Y3343" s="46" t="n">
        <f aca="false">IF(OR(I3343="DNB",I3343="Dry DNB"),1,0)</f>
        <v>0</v>
      </c>
      <c r="Z3343" s="0" t="str">
        <f aca="false">IF(ISNUMBER(W3343),A3343-W3343,"")</f>
        <v/>
      </c>
      <c r="AA3343" s="46" t="n">
        <f aca="false">MATCH(A3343,DATAS,0)</f>
        <v>1</v>
      </c>
      <c r="AB3343" s="46" t="n">
        <f aca="false">IF(AND(E3343&gt;0,OR(AND(B3343&gt;=1,B3343&lt;=6),B3343=10)),1,0)</f>
        <v>0</v>
      </c>
      <c r="AC3343" s="46" t="n">
        <f aca="false">IF(AND(E3343&gt;0,B3343=10),1,0)</f>
        <v>0</v>
      </c>
      <c r="AD3343" s="0" t="str">
        <f aca="false">IF(AND(C3342=C3343,AA3342=AA3343-1),AB3342,"")</f>
        <v/>
      </c>
      <c r="AE3343" s="0" t="str">
        <f aca="false">IF(AND(C3342=C3343,AA3342=AA3343-1),AC3342,"")</f>
        <v/>
      </c>
      <c r="AF3343" s="0" t="str">
        <f aca="false">IF(AA3343=1,"",IF(AND(AB3343=1,AD3343&lt;&gt;1),1,0))</f>
        <v/>
      </c>
      <c r="AG3343" s="0" t="str">
        <f aca="false">IF(AA3343=1,"",IF(AND(AC3343=1,AE3343&lt;&gt;1),1,0))</f>
        <v/>
      </c>
      <c r="AH3343" s="51" t="str">
        <f aca="false">IF(AND(E3343&gt;0,AA3343&lt;1,NOT(AND(C3344=C3343,AA3344=AA3343+1))),INDEX(DATAS,AA3343+1),"")</f>
        <v/>
      </c>
      <c r="AI3343" s="51" t="str">
        <f aca="false">IF(AND(AC3343=1,AA3343&lt;1),IF(AND(C3344=C3343,AA3344=AA3343+1),IF(AC3344=1,"",INDEX(DATAS,AA3343+1)),INDEX(DATAS,AA3343+1)),"")</f>
        <v/>
      </c>
    </row>
    <row r="3344" customFormat="false" ht="15" hidden="false" customHeight="false" outlineLevel="0" collapsed="false">
      <c r="A3344" s="51" t="n">
        <v>46309</v>
      </c>
      <c r="B3344" s="0" t="n">
        <v>13</v>
      </c>
      <c r="C3344" s="0" t="n">
        <v>7776</v>
      </c>
      <c r="E3344" s="0" t="n">
        <v>0</v>
      </c>
      <c r="F3344" s="46" t="s">
        <v>1572</v>
      </c>
      <c r="I3344" s="46" t="s">
        <v>179</v>
      </c>
      <c r="U3344" s="0" t="n">
        <v>136</v>
      </c>
      <c r="V3344" s="0" t="n">
        <v>0</v>
      </c>
      <c r="X3344" s="46" t="n">
        <f aca="false">IF(I3344="Male",0,1)</f>
        <v>1</v>
      </c>
      <c r="Y3344" s="46" t="n">
        <f aca="false">IF(OR(I3344="DNB",I3344="Dry DNB"),1,0)</f>
        <v>0</v>
      </c>
      <c r="Z3344" s="0" t="str">
        <f aca="false">IF(ISNUMBER(W3344),A3344-W3344,"")</f>
        <v/>
      </c>
      <c r="AA3344" s="46" t="n">
        <f aca="false">MATCH(A3344,DATAS,0)</f>
        <v>1</v>
      </c>
      <c r="AB3344" s="46" t="n">
        <f aca="false">IF(AND(E3344&gt;0,OR(AND(B3344&gt;=1,B3344&lt;=6),B3344=10)),1,0)</f>
        <v>0</v>
      </c>
      <c r="AC3344" s="46" t="n">
        <f aca="false">IF(AND(E3344&gt;0,B3344=10),1,0)</f>
        <v>0</v>
      </c>
      <c r="AD3344" s="0" t="str">
        <f aca="false">IF(AND(C3343=C3344,AA3343=AA3344-1),AB3343,"")</f>
        <v/>
      </c>
      <c r="AE3344" s="0" t="str">
        <f aca="false">IF(AND(C3343=C3344,AA3343=AA3344-1),AC3343,"")</f>
        <v/>
      </c>
      <c r="AF3344" s="0" t="str">
        <f aca="false">IF(AA3344=1,"",IF(AND(AB3344=1,AD3344&lt;&gt;1),1,0))</f>
        <v/>
      </c>
      <c r="AG3344" s="0" t="str">
        <f aca="false">IF(AA3344=1,"",IF(AND(AC3344=1,AE3344&lt;&gt;1),1,0))</f>
        <v/>
      </c>
      <c r="AH3344" s="51" t="str">
        <f aca="false">IF(AND(E3344&gt;0,AA3344&lt;1,NOT(AND(C3345=C3344,AA3345=AA3344+1))),INDEX(DATAS,AA3344+1),"")</f>
        <v/>
      </c>
      <c r="AI3344" s="51" t="str">
        <f aca="false">IF(AND(AC3344=1,AA3344&lt;1),IF(AND(C3345=C3344,AA3345=AA3344+1),IF(AC3345=1,"",INDEX(DATAS,AA3344+1)),INDEX(DATAS,AA3344+1)),"")</f>
        <v/>
      </c>
    </row>
    <row r="3345" customFormat="false" ht="15" hidden="false" customHeight="false" outlineLevel="0" collapsed="false">
      <c r="A3345" s="51" t="n">
        <v>46309</v>
      </c>
      <c r="B3345" s="0" t="n">
        <v>15</v>
      </c>
      <c r="C3345" s="0" t="n">
        <v>7778</v>
      </c>
      <c r="E3345" s="0" t="n">
        <v>0</v>
      </c>
      <c r="F3345" s="46" t="s">
        <v>1572</v>
      </c>
      <c r="I3345" s="46" t="s">
        <v>150</v>
      </c>
      <c r="U3345" s="0" t="n">
        <v>136</v>
      </c>
      <c r="V3345" s="0" t="n">
        <v>0</v>
      </c>
      <c r="X3345" s="46" t="n">
        <f aca="false">IF(I3345="Male",0,1)</f>
        <v>0</v>
      </c>
      <c r="Y3345" s="46" t="n">
        <f aca="false">IF(OR(I3345="DNB",I3345="Dry DNB"),1,0)</f>
        <v>0</v>
      </c>
      <c r="Z3345" s="0" t="str">
        <f aca="false">IF(ISNUMBER(W3345),A3345-W3345,"")</f>
        <v/>
      </c>
      <c r="AA3345" s="46" t="n">
        <f aca="false">MATCH(A3345,DATAS,0)</f>
        <v>1</v>
      </c>
      <c r="AB3345" s="46" t="n">
        <f aca="false">IF(AND(E3345&gt;0,OR(AND(B3345&gt;=1,B3345&lt;=6),B3345=10)),1,0)</f>
        <v>0</v>
      </c>
      <c r="AC3345" s="46" t="n">
        <f aca="false">IF(AND(E3345&gt;0,B3345=10),1,0)</f>
        <v>0</v>
      </c>
      <c r="AD3345" s="0" t="str">
        <f aca="false">IF(AND(C3344=C3345,AA3344=AA3345-1),AB3344,"")</f>
        <v/>
      </c>
      <c r="AE3345" s="0" t="str">
        <f aca="false">IF(AND(C3344=C3345,AA3344=AA3345-1),AC3344,"")</f>
        <v/>
      </c>
      <c r="AF3345" s="0" t="str">
        <f aca="false">IF(AA3345=1,"",IF(AND(AB3345=1,AD3345&lt;&gt;1),1,0))</f>
        <v/>
      </c>
      <c r="AG3345" s="0" t="str">
        <f aca="false">IF(AA3345=1,"",IF(AND(AC3345=1,AE3345&lt;&gt;1),1,0))</f>
        <v/>
      </c>
      <c r="AH3345" s="51" t="str">
        <f aca="false">IF(AND(E3345&gt;0,AA3345&lt;1,NOT(AND(C3346=C3345,AA3346=AA3345+1))),INDEX(DATAS,AA3345+1),"")</f>
        <v/>
      </c>
      <c r="AI3345" s="51" t="str">
        <f aca="false">IF(AND(AC3345=1,AA3345&lt;1),IF(AND(C3346=C3345,AA3346=AA3345+1),IF(AC3346=1,"",INDEX(DATAS,AA3345+1)),INDEX(DATAS,AA3345+1)),"")</f>
        <v/>
      </c>
    </row>
    <row r="3346" customFormat="false" ht="15" hidden="false" customHeight="false" outlineLevel="0" collapsed="false">
      <c r="A3346" s="51" t="n">
        <v>46309</v>
      </c>
      <c r="B3346" s="0" t="n">
        <v>13</v>
      </c>
      <c r="C3346" s="0" t="n">
        <v>7779</v>
      </c>
      <c r="E3346" s="0" t="n">
        <v>0</v>
      </c>
      <c r="F3346" s="46" t="s">
        <v>1572</v>
      </c>
      <c r="I3346" s="46" t="s">
        <v>179</v>
      </c>
      <c r="U3346" s="0" t="n">
        <v>136</v>
      </c>
      <c r="V3346" s="0" t="n">
        <v>0</v>
      </c>
      <c r="X3346" s="46" t="n">
        <f aca="false">IF(I3346="Male",0,1)</f>
        <v>1</v>
      </c>
      <c r="Y3346" s="46" t="n">
        <f aca="false">IF(OR(I3346="DNB",I3346="Dry DNB"),1,0)</f>
        <v>0</v>
      </c>
      <c r="Z3346" s="0" t="str">
        <f aca="false">IF(ISNUMBER(W3346),A3346-W3346,"")</f>
        <v/>
      </c>
      <c r="AA3346" s="46" t="n">
        <f aca="false">MATCH(A3346,DATAS,0)</f>
        <v>1</v>
      </c>
      <c r="AB3346" s="46" t="n">
        <f aca="false">IF(AND(E3346&gt;0,OR(AND(B3346&gt;=1,B3346&lt;=6),B3346=10)),1,0)</f>
        <v>0</v>
      </c>
      <c r="AC3346" s="46" t="n">
        <f aca="false">IF(AND(E3346&gt;0,B3346=10),1,0)</f>
        <v>0</v>
      </c>
      <c r="AD3346" s="0" t="str">
        <f aca="false">IF(AND(C3345=C3346,AA3345=AA3346-1),AB3345,"")</f>
        <v/>
      </c>
      <c r="AE3346" s="0" t="str">
        <f aca="false">IF(AND(C3345=C3346,AA3345=AA3346-1),AC3345,"")</f>
        <v/>
      </c>
      <c r="AF3346" s="0" t="str">
        <f aca="false">IF(AA3346=1,"",IF(AND(AB3346=1,AD3346&lt;&gt;1),1,0))</f>
        <v/>
      </c>
      <c r="AG3346" s="0" t="str">
        <f aca="false">IF(AA3346=1,"",IF(AND(AC3346=1,AE3346&lt;&gt;1),1,0))</f>
        <v/>
      </c>
      <c r="AH3346" s="51" t="str">
        <f aca="false">IF(AND(E3346&gt;0,AA3346&lt;1,NOT(AND(C3347=C3346,AA3347=AA3346+1))),INDEX(DATAS,AA3346+1),"")</f>
        <v/>
      </c>
      <c r="AI3346" s="51" t="str">
        <f aca="false">IF(AND(AC3346=1,AA3346&lt;1),IF(AND(C3347=C3346,AA3347=AA3346+1),IF(AC3347=1,"",INDEX(DATAS,AA3346+1)),INDEX(DATAS,AA3346+1)),"")</f>
        <v/>
      </c>
    </row>
    <row r="3347" customFormat="false" ht="15" hidden="false" customHeight="false" outlineLevel="0" collapsed="false">
      <c r="A3347" s="51" t="n">
        <v>46309</v>
      </c>
      <c r="B3347" s="0" t="n">
        <v>13</v>
      </c>
      <c r="C3347" s="0" t="n">
        <v>7781</v>
      </c>
      <c r="E3347" s="0" t="n">
        <v>0</v>
      </c>
      <c r="F3347" s="46" t="s">
        <v>1573</v>
      </c>
      <c r="I3347" s="46" t="s">
        <v>179</v>
      </c>
      <c r="U3347" s="0" t="n">
        <v>135</v>
      </c>
      <c r="V3347" s="0" t="n">
        <v>0</v>
      </c>
      <c r="X3347" s="46" t="n">
        <f aca="false">IF(I3347="Male",0,1)</f>
        <v>1</v>
      </c>
      <c r="Y3347" s="46" t="n">
        <f aca="false">IF(OR(I3347="DNB",I3347="Dry DNB"),1,0)</f>
        <v>0</v>
      </c>
      <c r="Z3347" s="0" t="str">
        <f aca="false">IF(ISNUMBER(W3347),A3347-W3347,"")</f>
        <v/>
      </c>
      <c r="AA3347" s="46" t="n">
        <f aca="false">MATCH(A3347,DATAS,0)</f>
        <v>1</v>
      </c>
      <c r="AB3347" s="46" t="n">
        <f aca="false">IF(AND(E3347&gt;0,OR(AND(B3347&gt;=1,B3347&lt;=6),B3347=10)),1,0)</f>
        <v>0</v>
      </c>
      <c r="AC3347" s="46" t="n">
        <f aca="false">IF(AND(E3347&gt;0,B3347=10),1,0)</f>
        <v>0</v>
      </c>
      <c r="AD3347" s="0" t="str">
        <f aca="false">IF(AND(C3346=C3347,AA3346=AA3347-1),AB3346,"")</f>
        <v/>
      </c>
      <c r="AE3347" s="0" t="str">
        <f aca="false">IF(AND(C3346=C3347,AA3346=AA3347-1),AC3346,"")</f>
        <v/>
      </c>
      <c r="AF3347" s="0" t="str">
        <f aca="false">IF(AA3347=1,"",IF(AND(AB3347=1,AD3347&lt;&gt;1),1,0))</f>
        <v/>
      </c>
      <c r="AG3347" s="0" t="str">
        <f aca="false">IF(AA3347=1,"",IF(AND(AC3347=1,AE3347&lt;&gt;1),1,0))</f>
        <v/>
      </c>
      <c r="AH3347" s="51" t="str">
        <f aca="false">IF(AND(E3347&gt;0,AA3347&lt;1,NOT(AND(C3348=C3347,AA3348=AA3347+1))),INDEX(DATAS,AA3347+1),"")</f>
        <v/>
      </c>
      <c r="AI3347" s="51" t="str">
        <f aca="false">IF(AND(AC3347=1,AA3347&lt;1),IF(AND(C3348=C3347,AA3348=AA3347+1),IF(AC3348=1,"",INDEX(DATAS,AA3347+1)),INDEX(DATAS,AA3347+1)),"")</f>
        <v/>
      </c>
    </row>
    <row r="3348" customFormat="false" ht="15" hidden="false" customHeight="false" outlineLevel="0" collapsed="false">
      <c r="A3348" s="51" t="n">
        <v>46309</v>
      </c>
      <c r="B3348" s="0" t="n">
        <v>13</v>
      </c>
      <c r="C3348" s="0" t="n">
        <v>7782</v>
      </c>
      <c r="E3348" s="0" t="n">
        <v>0</v>
      </c>
      <c r="F3348" s="46" t="s">
        <v>1573</v>
      </c>
      <c r="I3348" s="46" t="s">
        <v>179</v>
      </c>
      <c r="U3348" s="0" t="n">
        <v>135</v>
      </c>
      <c r="V3348" s="0" t="n">
        <v>0</v>
      </c>
      <c r="X3348" s="46" t="n">
        <f aca="false">IF(I3348="Male",0,1)</f>
        <v>1</v>
      </c>
      <c r="Y3348" s="46" t="n">
        <f aca="false">IF(OR(I3348="DNB",I3348="Dry DNB"),1,0)</f>
        <v>0</v>
      </c>
      <c r="Z3348" s="0" t="str">
        <f aca="false">IF(ISNUMBER(W3348),A3348-W3348,"")</f>
        <v/>
      </c>
      <c r="AA3348" s="46" t="n">
        <f aca="false">MATCH(A3348,DATAS,0)</f>
        <v>1</v>
      </c>
      <c r="AB3348" s="46" t="n">
        <f aca="false">IF(AND(E3348&gt;0,OR(AND(B3348&gt;=1,B3348&lt;=6),B3348=10)),1,0)</f>
        <v>0</v>
      </c>
      <c r="AC3348" s="46" t="n">
        <f aca="false">IF(AND(E3348&gt;0,B3348=10),1,0)</f>
        <v>0</v>
      </c>
      <c r="AD3348" s="0" t="str">
        <f aca="false">IF(AND(C3347=C3348,AA3347=AA3348-1),AB3347,"")</f>
        <v/>
      </c>
      <c r="AE3348" s="0" t="str">
        <f aca="false">IF(AND(C3347=C3348,AA3347=AA3348-1),AC3347,"")</f>
        <v/>
      </c>
      <c r="AF3348" s="0" t="str">
        <f aca="false">IF(AA3348=1,"",IF(AND(AB3348=1,AD3348&lt;&gt;1),1,0))</f>
        <v/>
      </c>
      <c r="AG3348" s="0" t="str">
        <f aca="false">IF(AA3348=1,"",IF(AND(AC3348=1,AE3348&lt;&gt;1),1,0))</f>
        <v/>
      </c>
      <c r="AH3348" s="51" t="str">
        <f aca="false">IF(AND(E3348&gt;0,AA3348&lt;1,NOT(AND(C3349=C3348,AA3349=AA3348+1))),INDEX(DATAS,AA3348+1),"")</f>
        <v/>
      </c>
      <c r="AI3348" s="51" t="str">
        <f aca="false">IF(AND(AC3348=1,AA3348&lt;1),IF(AND(C3349=C3348,AA3349=AA3348+1),IF(AC3349=1,"",INDEX(DATAS,AA3348+1)),INDEX(DATAS,AA3348+1)),"")</f>
        <v/>
      </c>
    </row>
    <row r="3349" customFormat="false" ht="15" hidden="false" customHeight="false" outlineLevel="0" collapsed="false">
      <c r="A3349" s="51" t="n">
        <v>46309</v>
      </c>
      <c r="B3349" s="0" t="n">
        <v>13</v>
      </c>
      <c r="C3349" s="0" t="n">
        <v>7783</v>
      </c>
      <c r="E3349" s="0" t="n">
        <v>0</v>
      </c>
      <c r="F3349" s="46" t="s">
        <v>1574</v>
      </c>
      <c r="I3349" s="46" t="s">
        <v>179</v>
      </c>
      <c r="U3349" s="0" t="n">
        <v>134</v>
      </c>
      <c r="V3349" s="0" t="n">
        <v>0</v>
      </c>
      <c r="X3349" s="46" t="n">
        <f aca="false">IF(I3349="Male",0,1)</f>
        <v>1</v>
      </c>
      <c r="Y3349" s="46" t="n">
        <f aca="false">IF(OR(I3349="DNB",I3349="Dry DNB"),1,0)</f>
        <v>0</v>
      </c>
      <c r="Z3349" s="0" t="str">
        <f aca="false">IF(ISNUMBER(W3349),A3349-W3349,"")</f>
        <v/>
      </c>
      <c r="AA3349" s="46" t="n">
        <f aca="false">MATCH(A3349,DATAS,0)</f>
        <v>1</v>
      </c>
      <c r="AB3349" s="46" t="n">
        <f aca="false">IF(AND(E3349&gt;0,OR(AND(B3349&gt;=1,B3349&lt;=6),B3349=10)),1,0)</f>
        <v>0</v>
      </c>
      <c r="AC3349" s="46" t="n">
        <f aca="false">IF(AND(E3349&gt;0,B3349=10),1,0)</f>
        <v>0</v>
      </c>
      <c r="AD3349" s="0" t="str">
        <f aca="false">IF(AND(C3348=C3349,AA3348=AA3349-1),AB3348,"")</f>
        <v/>
      </c>
      <c r="AE3349" s="0" t="str">
        <f aca="false">IF(AND(C3348=C3349,AA3348=AA3349-1),AC3348,"")</f>
        <v/>
      </c>
      <c r="AF3349" s="0" t="str">
        <f aca="false">IF(AA3349=1,"",IF(AND(AB3349=1,AD3349&lt;&gt;1),1,0))</f>
        <v/>
      </c>
      <c r="AG3349" s="0" t="str">
        <f aca="false">IF(AA3349=1,"",IF(AND(AC3349=1,AE3349&lt;&gt;1),1,0))</f>
        <v/>
      </c>
      <c r="AH3349" s="51" t="str">
        <f aca="false">IF(AND(E3349&gt;0,AA3349&lt;1,NOT(AND(C3350=C3349,AA3350=AA3349+1))),INDEX(DATAS,AA3349+1),"")</f>
        <v/>
      </c>
      <c r="AI3349" s="51" t="str">
        <f aca="false">IF(AND(AC3349=1,AA3349&lt;1),IF(AND(C3350=C3349,AA3350=AA3349+1),IF(AC3350=1,"",INDEX(DATAS,AA3349+1)),INDEX(DATAS,AA3349+1)),"")</f>
        <v/>
      </c>
    </row>
    <row r="3350" customFormat="false" ht="15" hidden="false" customHeight="false" outlineLevel="0" collapsed="false">
      <c r="A3350" s="51" t="n">
        <v>46309</v>
      </c>
      <c r="B3350" s="0" t="n">
        <v>13</v>
      </c>
      <c r="C3350" s="0" t="n">
        <v>7784</v>
      </c>
      <c r="E3350" s="0" t="n">
        <v>0</v>
      </c>
      <c r="F3350" s="46" t="s">
        <v>1574</v>
      </c>
      <c r="I3350" s="46" t="s">
        <v>179</v>
      </c>
      <c r="U3350" s="0" t="n">
        <v>134</v>
      </c>
      <c r="V3350" s="0" t="n">
        <v>0</v>
      </c>
      <c r="X3350" s="46" t="n">
        <f aca="false">IF(I3350="Male",0,1)</f>
        <v>1</v>
      </c>
      <c r="Y3350" s="46" t="n">
        <f aca="false">IF(OR(I3350="DNB",I3350="Dry DNB"),1,0)</f>
        <v>0</v>
      </c>
      <c r="Z3350" s="0" t="str">
        <f aca="false">IF(ISNUMBER(W3350),A3350-W3350,"")</f>
        <v/>
      </c>
      <c r="AA3350" s="46" t="n">
        <f aca="false">MATCH(A3350,DATAS,0)</f>
        <v>1</v>
      </c>
      <c r="AB3350" s="46" t="n">
        <f aca="false">IF(AND(E3350&gt;0,OR(AND(B3350&gt;=1,B3350&lt;=6),B3350=10)),1,0)</f>
        <v>0</v>
      </c>
      <c r="AC3350" s="46" t="n">
        <f aca="false">IF(AND(E3350&gt;0,B3350=10),1,0)</f>
        <v>0</v>
      </c>
      <c r="AD3350" s="0" t="str">
        <f aca="false">IF(AND(C3349=C3350,AA3349=AA3350-1),AB3349,"")</f>
        <v/>
      </c>
      <c r="AE3350" s="0" t="str">
        <f aca="false">IF(AND(C3349=C3350,AA3349=AA3350-1),AC3349,"")</f>
        <v/>
      </c>
      <c r="AF3350" s="0" t="str">
        <f aca="false">IF(AA3350=1,"",IF(AND(AB3350=1,AD3350&lt;&gt;1),1,0))</f>
        <v/>
      </c>
      <c r="AG3350" s="0" t="str">
        <f aca="false">IF(AA3350=1,"",IF(AND(AC3350=1,AE3350&lt;&gt;1),1,0))</f>
        <v/>
      </c>
      <c r="AH3350" s="51" t="str">
        <f aca="false">IF(AND(E3350&gt;0,AA3350&lt;1,NOT(AND(C3351=C3350,AA3351=AA3350+1))),INDEX(DATAS,AA3350+1),"")</f>
        <v/>
      </c>
      <c r="AI3350" s="51" t="str">
        <f aca="false">IF(AND(AC3350=1,AA3350&lt;1),IF(AND(C3351=C3350,AA3351=AA3350+1),IF(AC3351=1,"",INDEX(DATAS,AA3350+1)),INDEX(DATAS,AA3350+1)),"")</f>
        <v/>
      </c>
    </row>
    <row r="3351" customFormat="false" ht="15" hidden="false" customHeight="false" outlineLevel="0" collapsed="false">
      <c r="A3351" s="51" t="n">
        <v>46309</v>
      </c>
      <c r="B3351" s="0" t="n">
        <v>13</v>
      </c>
      <c r="C3351" s="0" t="n">
        <v>7785</v>
      </c>
      <c r="E3351" s="0" t="n">
        <v>0</v>
      </c>
      <c r="F3351" s="46" t="s">
        <v>1574</v>
      </c>
      <c r="I3351" s="46" t="s">
        <v>179</v>
      </c>
      <c r="U3351" s="0" t="n">
        <v>134</v>
      </c>
      <c r="V3351" s="0" t="n">
        <v>0</v>
      </c>
      <c r="X3351" s="46" t="n">
        <f aca="false">IF(I3351="Male",0,1)</f>
        <v>1</v>
      </c>
      <c r="Y3351" s="46" t="n">
        <f aca="false">IF(OR(I3351="DNB",I3351="Dry DNB"),1,0)</f>
        <v>0</v>
      </c>
      <c r="Z3351" s="0" t="str">
        <f aca="false">IF(ISNUMBER(W3351),A3351-W3351,"")</f>
        <v/>
      </c>
      <c r="AA3351" s="46" t="n">
        <f aca="false">MATCH(A3351,DATAS,0)</f>
        <v>1</v>
      </c>
      <c r="AB3351" s="46" t="n">
        <f aca="false">IF(AND(E3351&gt;0,OR(AND(B3351&gt;=1,B3351&lt;=6),B3351=10)),1,0)</f>
        <v>0</v>
      </c>
      <c r="AC3351" s="46" t="n">
        <f aca="false">IF(AND(E3351&gt;0,B3351=10),1,0)</f>
        <v>0</v>
      </c>
      <c r="AD3351" s="0" t="str">
        <f aca="false">IF(AND(C3350=C3351,AA3350=AA3351-1),AB3350,"")</f>
        <v/>
      </c>
      <c r="AE3351" s="0" t="str">
        <f aca="false">IF(AND(C3350=C3351,AA3350=AA3351-1),AC3350,"")</f>
        <v/>
      </c>
      <c r="AF3351" s="0" t="str">
        <f aca="false">IF(AA3351=1,"",IF(AND(AB3351=1,AD3351&lt;&gt;1),1,0))</f>
        <v/>
      </c>
      <c r="AG3351" s="0" t="str">
        <f aca="false">IF(AA3351=1,"",IF(AND(AC3351=1,AE3351&lt;&gt;1),1,0))</f>
        <v/>
      </c>
      <c r="AH3351" s="51" t="str">
        <f aca="false">IF(AND(E3351&gt;0,AA3351&lt;1,NOT(AND(C3352=C3351,AA3352=AA3351+1))),INDEX(DATAS,AA3351+1),"")</f>
        <v/>
      </c>
      <c r="AI3351" s="51" t="str">
        <f aca="false">IF(AND(AC3351=1,AA3351&lt;1),IF(AND(C3352=C3351,AA3352=AA3351+1),IF(AC3352=1,"",INDEX(DATAS,AA3351+1)),INDEX(DATAS,AA3351+1)),"")</f>
        <v/>
      </c>
    </row>
    <row r="3352" customFormat="false" ht="15" hidden="false" customHeight="false" outlineLevel="0" collapsed="false">
      <c r="A3352" s="51" t="n">
        <v>46309</v>
      </c>
      <c r="B3352" s="0" t="n">
        <v>13</v>
      </c>
      <c r="C3352" s="0" t="n">
        <v>7786</v>
      </c>
      <c r="E3352" s="0" t="n">
        <v>0</v>
      </c>
      <c r="F3352" s="46" t="s">
        <v>1574</v>
      </c>
      <c r="I3352" s="46" t="s">
        <v>179</v>
      </c>
      <c r="U3352" s="0" t="n">
        <v>134</v>
      </c>
      <c r="V3352" s="0" t="n">
        <v>0</v>
      </c>
      <c r="X3352" s="46" t="n">
        <f aca="false">IF(I3352="Male",0,1)</f>
        <v>1</v>
      </c>
      <c r="Y3352" s="46" t="n">
        <f aca="false">IF(OR(I3352="DNB",I3352="Dry DNB"),1,0)</f>
        <v>0</v>
      </c>
      <c r="Z3352" s="0" t="str">
        <f aca="false">IF(ISNUMBER(W3352),A3352-W3352,"")</f>
        <v/>
      </c>
      <c r="AA3352" s="46" t="n">
        <f aca="false">MATCH(A3352,DATAS,0)</f>
        <v>1</v>
      </c>
      <c r="AB3352" s="46" t="n">
        <f aca="false">IF(AND(E3352&gt;0,OR(AND(B3352&gt;=1,B3352&lt;=6),B3352=10)),1,0)</f>
        <v>0</v>
      </c>
      <c r="AC3352" s="46" t="n">
        <f aca="false">IF(AND(E3352&gt;0,B3352=10),1,0)</f>
        <v>0</v>
      </c>
      <c r="AD3352" s="0" t="str">
        <f aca="false">IF(AND(C3351=C3352,AA3351=AA3352-1),AB3351,"")</f>
        <v/>
      </c>
      <c r="AE3352" s="0" t="str">
        <f aca="false">IF(AND(C3351=C3352,AA3351=AA3352-1),AC3351,"")</f>
        <v/>
      </c>
      <c r="AF3352" s="0" t="str">
        <f aca="false">IF(AA3352=1,"",IF(AND(AB3352=1,AD3352&lt;&gt;1),1,0))</f>
        <v/>
      </c>
      <c r="AG3352" s="0" t="str">
        <f aca="false">IF(AA3352=1,"",IF(AND(AC3352=1,AE3352&lt;&gt;1),1,0))</f>
        <v/>
      </c>
      <c r="AH3352" s="51" t="str">
        <f aca="false">IF(AND(E3352&gt;0,AA3352&lt;1,NOT(AND(C3353=C3352,AA3353=AA3352+1))),INDEX(DATAS,AA3352+1),"")</f>
        <v/>
      </c>
      <c r="AI3352" s="51" t="str">
        <f aca="false">IF(AND(AC3352=1,AA3352&lt;1),IF(AND(C3353=C3352,AA3353=AA3352+1),IF(AC3353=1,"",INDEX(DATAS,AA3352+1)),INDEX(DATAS,AA3352+1)),"")</f>
        <v/>
      </c>
    </row>
    <row r="3353" customFormat="false" ht="15" hidden="false" customHeight="false" outlineLevel="0" collapsed="false">
      <c r="A3353" s="51" t="n">
        <v>46309</v>
      </c>
      <c r="B3353" s="0" t="n">
        <v>13</v>
      </c>
      <c r="C3353" s="0" t="n">
        <v>7787</v>
      </c>
      <c r="E3353" s="0" t="n">
        <v>0</v>
      </c>
      <c r="F3353" s="46" t="s">
        <v>1575</v>
      </c>
      <c r="I3353" s="46" t="s">
        <v>179</v>
      </c>
      <c r="U3353" s="0" t="n">
        <v>133</v>
      </c>
      <c r="V3353" s="0" t="n">
        <v>0</v>
      </c>
      <c r="X3353" s="46" t="n">
        <f aca="false">IF(I3353="Male",0,1)</f>
        <v>1</v>
      </c>
      <c r="Y3353" s="46" t="n">
        <f aca="false">IF(OR(I3353="DNB",I3353="Dry DNB"),1,0)</f>
        <v>0</v>
      </c>
      <c r="Z3353" s="0" t="str">
        <f aca="false">IF(ISNUMBER(W3353),A3353-W3353,"")</f>
        <v/>
      </c>
      <c r="AA3353" s="46" t="n">
        <f aca="false">MATCH(A3353,DATAS,0)</f>
        <v>1</v>
      </c>
      <c r="AB3353" s="46" t="n">
        <f aca="false">IF(AND(E3353&gt;0,OR(AND(B3353&gt;=1,B3353&lt;=6),B3353=10)),1,0)</f>
        <v>0</v>
      </c>
      <c r="AC3353" s="46" t="n">
        <f aca="false">IF(AND(E3353&gt;0,B3353=10),1,0)</f>
        <v>0</v>
      </c>
      <c r="AD3353" s="0" t="str">
        <f aca="false">IF(AND(C3352=C3353,AA3352=AA3353-1),AB3352,"")</f>
        <v/>
      </c>
      <c r="AE3353" s="0" t="str">
        <f aca="false">IF(AND(C3352=C3353,AA3352=AA3353-1),AC3352,"")</f>
        <v/>
      </c>
      <c r="AF3353" s="0" t="str">
        <f aca="false">IF(AA3353=1,"",IF(AND(AB3353=1,AD3353&lt;&gt;1),1,0))</f>
        <v/>
      </c>
      <c r="AG3353" s="0" t="str">
        <f aca="false">IF(AA3353=1,"",IF(AND(AC3353=1,AE3353&lt;&gt;1),1,0))</f>
        <v/>
      </c>
      <c r="AH3353" s="51" t="str">
        <f aca="false">IF(AND(E3353&gt;0,AA3353&lt;1,NOT(AND(C3354=C3353,AA3354=AA3353+1))),INDEX(DATAS,AA3353+1),"")</f>
        <v/>
      </c>
      <c r="AI3353" s="51" t="str">
        <f aca="false">IF(AND(AC3353=1,AA3353&lt;1),IF(AND(C3354=C3353,AA3354=AA3353+1),IF(AC3354=1,"",INDEX(DATAS,AA3353+1)),INDEX(DATAS,AA3353+1)),"")</f>
        <v/>
      </c>
    </row>
    <row r="3354" customFormat="false" ht="15" hidden="false" customHeight="false" outlineLevel="0" collapsed="false">
      <c r="A3354" s="51" t="n">
        <v>46309</v>
      </c>
      <c r="B3354" s="0" t="n">
        <v>13</v>
      </c>
      <c r="C3354" s="0" t="n">
        <v>7788</v>
      </c>
      <c r="E3354" s="0" t="n">
        <v>0</v>
      </c>
      <c r="F3354" s="46" t="s">
        <v>1575</v>
      </c>
      <c r="I3354" s="46" t="s">
        <v>179</v>
      </c>
      <c r="U3354" s="0" t="n">
        <v>133</v>
      </c>
      <c r="V3354" s="0" t="n">
        <v>0</v>
      </c>
      <c r="X3354" s="46" t="n">
        <f aca="false">IF(I3354="Male",0,1)</f>
        <v>1</v>
      </c>
      <c r="Y3354" s="46" t="n">
        <f aca="false">IF(OR(I3354="DNB",I3354="Dry DNB"),1,0)</f>
        <v>0</v>
      </c>
      <c r="Z3354" s="0" t="str">
        <f aca="false">IF(ISNUMBER(W3354),A3354-W3354,"")</f>
        <v/>
      </c>
      <c r="AA3354" s="46" t="n">
        <f aca="false">MATCH(A3354,DATAS,0)</f>
        <v>1</v>
      </c>
      <c r="AB3354" s="46" t="n">
        <f aca="false">IF(AND(E3354&gt;0,OR(AND(B3354&gt;=1,B3354&lt;=6),B3354=10)),1,0)</f>
        <v>0</v>
      </c>
      <c r="AC3354" s="46" t="n">
        <f aca="false">IF(AND(E3354&gt;0,B3354=10),1,0)</f>
        <v>0</v>
      </c>
      <c r="AD3354" s="0" t="str">
        <f aca="false">IF(AND(C3353=C3354,AA3353=AA3354-1),AB3353,"")</f>
        <v/>
      </c>
      <c r="AE3354" s="0" t="str">
        <f aca="false">IF(AND(C3353=C3354,AA3353=AA3354-1),AC3353,"")</f>
        <v/>
      </c>
      <c r="AF3354" s="0" t="str">
        <f aca="false">IF(AA3354=1,"",IF(AND(AB3354=1,AD3354&lt;&gt;1),1,0))</f>
        <v/>
      </c>
      <c r="AG3354" s="0" t="str">
        <f aca="false">IF(AA3354=1,"",IF(AND(AC3354=1,AE3354&lt;&gt;1),1,0))</f>
        <v/>
      </c>
      <c r="AH3354" s="51" t="str">
        <f aca="false">IF(AND(E3354&gt;0,AA3354&lt;1,NOT(AND(C3355=C3354,AA3355=AA3354+1))),INDEX(DATAS,AA3354+1),"")</f>
        <v/>
      </c>
      <c r="AI3354" s="51" t="str">
        <f aca="false">IF(AND(AC3354=1,AA3354&lt;1),IF(AND(C3355=C3354,AA3355=AA3354+1),IF(AC3355=1,"",INDEX(DATAS,AA3354+1)),INDEX(DATAS,AA3354+1)),"")</f>
        <v/>
      </c>
    </row>
    <row r="3355" customFormat="false" ht="15" hidden="false" customHeight="false" outlineLevel="0" collapsed="false">
      <c r="A3355" s="51" t="n">
        <v>46309</v>
      </c>
      <c r="B3355" s="0" t="n">
        <v>13</v>
      </c>
      <c r="C3355" s="0" t="n">
        <v>7789</v>
      </c>
      <c r="E3355" s="0" t="n">
        <v>0</v>
      </c>
      <c r="F3355" s="46" t="s">
        <v>1575</v>
      </c>
      <c r="I3355" s="46" t="s">
        <v>179</v>
      </c>
      <c r="U3355" s="0" t="n">
        <v>133</v>
      </c>
      <c r="V3355" s="0" t="n">
        <v>0</v>
      </c>
      <c r="X3355" s="46" t="n">
        <f aca="false">IF(I3355="Male",0,1)</f>
        <v>1</v>
      </c>
      <c r="Y3355" s="46" t="n">
        <f aca="false">IF(OR(I3355="DNB",I3355="Dry DNB"),1,0)</f>
        <v>0</v>
      </c>
      <c r="Z3355" s="0" t="str">
        <f aca="false">IF(ISNUMBER(W3355),A3355-W3355,"")</f>
        <v/>
      </c>
      <c r="AA3355" s="46" t="n">
        <f aca="false">MATCH(A3355,DATAS,0)</f>
        <v>1</v>
      </c>
      <c r="AB3355" s="46" t="n">
        <f aca="false">IF(AND(E3355&gt;0,OR(AND(B3355&gt;=1,B3355&lt;=6),B3355=10)),1,0)</f>
        <v>0</v>
      </c>
      <c r="AC3355" s="46" t="n">
        <f aca="false">IF(AND(E3355&gt;0,B3355=10),1,0)</f>
        <v>0</v>
      </c>
      <c r="AD3355" s="0" t="str">
        <f aca="false">IF(AND(C3354=C3355,AA3354=AA3355-1),AB3354,"")</f>
        <v/>
      </c>
      <c r="AE3355" s="0" t="str">
        <f aca="false">IF(AND(C3354=C3355,AA3354=AA3355-1),AC3354,"")</f>
        <v/>
      </c>
      <c r="AF3355" s="0" t="str">
        <f aca="false">IF(AA3355=1,"",IF(AND(AB3355=1,AD3355&lt;&gt;1),1,0))</f>
        <v/>
      </c>
      <c r="AG3355" s="0" t="str">
        <f aca="false">IF(AA3355=1,"",IF(AND(AC3355=1,AE3355&lt;&gt;1),1,0))</f>
        <v/>
      </c>
      <c r="AH3355" s="51" t="str">
        <f aca="false">IF(AND(E3355&gt;0,AA3355&lt;1,NOT(AND(C3356=C3355,AA3356=AA3355+1))),INDEX(DATAS,AA3355+1),"")</f>
        <v/>
      </c>
      <c r="AI3355" s="51" t="str">
        <f aca="false">IF(AND(AC3355=1,AA3355&lt;1),IF(AND(C3356=C3355,AA3356=AA3355+1),IF(AC3356=1,"",INDEX(DATAS,AA3355+1)),INDEX(DATAS,AA3355+1)),"")</f>
        <v/>
      </c>
    </row>
    <row r="3356" customFormat="false" ht="15" hidden="false" customHeight="false" outlineLevel="0" collapsed="false">
      <c r="A3356" s="51" t="n">
        <v>46309</v>
      </c>
      <c r="B3356" s="0" t="n">
        <v>13</v>
      </c>
      <c r="C3356" s="0" t="n">
        <v>7790</v>
      </c>
      <c r="E3356" s="0" t="n">
        <v>0</v>
      </c>
      <c r="F3356" s="46" t="s">
        <v>1576</v>
      </c>
      <c r="I3356" s="46" t="s">
        <v>179</v>
      </c>
      <c r="U3356" s="0" t="n">
        <v>132</v>
      </c>
      <c r="V3356" s="0" t="n">
        <v>0</v>
      </c>
      <c r="X3356" s="46" t="n">
        <f aca="false">IF(I3356="Male",0,1)</f>
        <v>1</v>
      </c>
      <c r="Y3356" s="46" t="n">
        <f aca="false">IF(OR(I3356="DNB",I3356="Dry DNB"),1,0)</f>
        <v>0</v>
      </c>
      <c r="Z3356" s="0" t="str">
        <f aca="false">IF(ISNUMBER(W3356),A3356-W3356,"")</f>
        <v/>
      </c>
      <c r="AA3356" s="46" t="n">
        <f aca="false">MATCH(A3356,DATAS,0)</f>
        <v>1</v>
      </c>
      <c r="AB3356" s="46" t="n">
        <f aca="false">IF(AND(E3356&gt;0,OR(AND(B3356&gt;=1,B3356&lt;=6),B3356=10)),1,0)</f>
        <v>0</v>
      </c>
      <c r="AC3356" s="46" t="n">
        <f aca="false">IF(AND(E3356&gt;0,B3356=10),1,0)</f>
        <v>0</v>
      </c>
      <c r="AD3356" s="0" t="str">
        <f aca="false">IF(AND(C3355=C3356,AA3355=AA3356-1),AB3355,"")</f>
        <v/>
      </c>
      <c r="AE3356" s="0" t="str">
        <f aca="false">IF(AND(C3355=C3356,AA3355=AA3356-1),AC3355,"")</f>
        <v/>
      </c>
      <c r="AF3356" s="0" t="str">
        <f aca="false">IF(AA3356=1,"",IF(AND(AB3356=1,AD3356&lt;&gt;1),1,0))</f>
        <v/>
      </c>
      <c r="AG3356" s="0" t="str">
        <f aca="false">IF(AA3356=1,"",IF(AND(AC3356=1,AE3356&lt;&gt;1),1,0))</f>
        <v/>
      </c>
      <c r="AH3356" s="51" t="str">
        <f aca="false">IF(AND(E3356&gt;0,AA3356&lt;1,NOT(AND(C3357=C3356,AA3357=AA3356+1))),INDEX(DATAS,AA3356+1),"")</f>
        <v/>
      </c>
      <c r="AI3356" s="51" t="str">
        <f aca="false">IF(AND(AC3356=1,AA3356&lt;1),IF(AND(C3357=C3356,AA3357=AA3356+1),IF(AC3357=1,"",INDEX(DATAS,AA3356+1)),INDEX(DATAS,AA3356+1)),"")</f>
        <v/>
      </c>
    </row>
    <row r="3357" customFormat="false" ht="15" hidden="false" customHeight="false" outlineLevel="0" collapsed="false">
      <c r="A3357" s="51" t="n">
        <v>46309</v>
      </c>
      <c r="B3357" s="0" t="n">
        <v>13</v>
      </c>
      <c r="C3357" s="0" t="n">
        <v>7791</v>
      </c>
      <c r="E3357" s="0" t="n">
        <v>0</v>
      </c>
      <c r="F3357" s="46" t="s">
        <v>1576</v>
      </c>
      <c r="I3357" s="46" t="s">
        <v>179</v>
      </c>
      <c r="U3357" s="0" t="n">
        <v>132</v>
      </c>
      <c r="V3357" s="0" t="n">
        <v>0</v>
      </c>
      <c r="X3357" s="46" t="n">
        <f aca="false">IF(I3357="Male",0,1)</f>
        <v>1</v>
      </c>
      <c r="Y3357" s="46" t="n">
        <f aca="false">IF(OR(I3357="DNB",I3357="Dry DNB"),1,0)</f>
        <v>0</v>
      </c>
      <c r="Z3357" s="0" t="str">
        <f aca="false">IF(ISNUMBER(W3357),A3357-W3357,"")</f>
        <v/>
      </c>
      <c r="AA3357" s="46" t="n">
        <f aca="false">MATCH(A3357,DATAS,0)</f>
        <v>1</v>
      </c>
      <c r="AB3357" s="46" t="n">
        <f aca="false">IF(AND(E3357&gt;0,OR(AND(B3357&gt;=1,B3357&lt;=6),B3357=10)),1,0)</f>
        <v>0</v>
      </c>
      <c r="AC3357" s="46" t="n">
        <f aca="false">IF(AND(E3357&gt;0,B3357=10),1,0)</f>
        <v>0</v>
      </c>
      <c r="AD3357" s="0" t="str">
        <f aca="false">IF(AND(C3356=C3357,AA3356=AA3357-1),AB3356,"")</f>
        <v/>
      </c>
      <c r="AE3357" s="0" t="str">
        <f aca="false">IF(AND(C3356=C3357,AA3356=AA3357-1),AC3356,"")</f>
        <v/>
      </c>
      <c r="AF3357" s="0" t="str">
        <f aca="false">IF(AA3357=1,"",IF(AND(AB3357=1,AD3357&lt;&gt;1),1,0))</f>
        <v/>
      </c>
      <c r="AG3357" s="0" t="str">
        <f aca="false">IF(AA3357=1,"",IF(AND(AC3357=1,AE3357&lt;&gt;1),1,0))</f>
        <v/>
      </c>
      <c r="AH3357" s="51" t="str">
        <f aca="false">IF(AND(E3357&gt;0,AA3357&lt;1,NOT(AND(C3358=C3357,AA3358=AA3357+1))),INDEX(DATAS,AA3357+1),"")</f>
        <v/>
      </c>
      <c r="AI3357" s="51" t="str">
        <f aca="false">IF(AND(AC3357=1,AA3357&lt;1),IF(AND(C3358=C3357,AA3358=AA3357+1),IF(AC3358=1,"",INDEX(DATAS,AA3357+1)),INDEX(DATAS,AA3357+1)),"")</f>
        <v/>
      </c>
    </row>
    <row r="3358" customFormat="false" ht="15" hidden="false" customHeight="false" outlineLevel="0" collapsed="false">
      <c r="A3358" s="51" t="n">
        <v>46309</v>
      </c>
      <c r="B3358" s="0" t="n">
        <v>13</v>
      </c>
      <c r="C3358" s="0" t="n">
        <v>7792</v>
      </c>
      <c r="E3358" s="0" t="n">
        <v>0</v>
      </c>
      <c r="F3358" s="46" t="s">
        <v>1576</v>
      </c>
      <c r="I3358" s="46" t="s">
        <v>179</v>
      </c>
      <c r="U3358" s="0" t="n">
        <v>132</v>
      </c>
      <c r="V3358" s="0" t="n">
        <v>0</v>
      </c>
      <c r="X3358" s="46" t="n">
        <f aca="false">IF(I3358="Male",0,1)</f>
        <v>1</v>
      </c>
      <c r="Y3358" s="46" t="n">
        <f aca="false">IF(OR(I3358="DNB",I3358="Dry DNB"),1,0)</f>
        <v>0</v>
      </c>
      <c r="Z3358" s="0" t="str">
        <f aca="false">IF(ISNUMBER(W3358),A3358-W3358,"")</f>
        <v/>
      </c>
      <c r="AA3358" s="46" t="n">
        <f aca="false">MATCH(A3358,DATAS,0)</f>
        <v>1</v>
      </c>
      <c r="AB3358" s="46" t="n">
        <f aca="false">IF(AND(E3358&gt;0,OR(AND(B3358&gt;=1,B3358&lt;=6),B3358=10)),1,0)</f>
        <v>0</v>
      </c>
      <c r="AC3358" s="46" t="n">
        <f aca="false">IF(AND(E3358&gt;0,B3358=10),1,0)</f>
        <v>0</v>
      </c>
      <c r="AD3358" s="0" t="str">
        <f aca="false">IF(AND(C3357=C3358,AA3357=AA3358-1),AB3357,"")</f>
        <v/>
      </c>
      <c r="AE3358" s="0" t="str">
        <f aca="false">IF(AND(C3357=C3358,AA3357=AA3358-1),AC3357,"")</f>
        <v/>
      </c>
      <c r="AF3358" s="0" t="str">
        <f aca="false">IF(AA3358=1,"",IF(AND(AB3358=1,AD3358&lt;&gt;1),1,0))</f>
        <v/>
      </c>
      <c r="AG3358" s="0" t="str">
        <f aca="false">IF(AA3358=1,"",IF(AND(AC3358=1,AE3358&lt;&gt;1),1,0))</f>
        <v/>
      </c>
      <c r="AH3358" s="51" t="str">
        <f aca="false">IF(AND(E3358&gt;0,AA3358&lt;1,NOT(AND(C3359=C3358,AA3359=AA3358+1))),INDEX(DATAS,AA3358+1),"")</f>
        <v/>
      </c>
      <c r="AI3358" s="51" t="str">
        <f aca="false">IF(AND(AC3358=1,AA3358&lt;1),IF(AND(C3359=C3358,AA3359=AA3358+1),IF(AC3359=1,"",INDEX(DATAS,AA3358+1)),INDEX(DATAS,AA3358+1)),"")</f>
        <v/>
      </c>
    </row>
    <row r="3359" customFormat="false" ht="15" hidden="false" customHeight="false" outlineLevel="0" collapsed="false">
      <c r="A3359" s="51" t="n">
        <v>46309</v>
      </c>
      <c r="B3359" s="0" t="n">
        <v>13</v>
      </c>
      <c r="C3359" s="0" t="n">
        <v>7793</v>
      </c>
      <c r="E3359" s="0" t="n">
        <v>0</v>
      </c>
      <c r="F3359" s="46" t="s">
        <v>1576</v>
      </c>
      <c r="I3359" s="46" t="s">
        <v>179</v>
      </c>
      <c r="U3359" s="0" t="n">
        <v>132</v>
      </c>
      <c r="V3359" s="0" t="n">
        <v>0</v>
      </c>
      <c r="X3359" s="46" t="n">
        <f aca="false">IF(I3359="Male",0,1)</f>
        <v>1</v>
      </c>
      <c r="Y3359" s="46" t="n">
        <f aca="false">IF(OR(I3359="DNB",I3359="Dry DNB"),1,0)</f>
        <v>0</v>
      </c>
      <c r="Z3359" s="0" t="str">
        <f aca="false">IF(ISNUMBER(W3359),A3359-W3359,"")</f>
        <v/>
      </c>
      <c r="AA3359" s="46" t="n">
        <f aca="false">MATCH(A3359,DATAS,0)</f>
        <v>1</v>
      </c>
      <c r="AB3359" s="46" t="n">
        <f aca="false">IF(AND(E3359&gt;0,OR(AND(B3359&gt;=1,B3359&lt;=6),B3359=10)),1,0)</f>
        <v>0</v>
      </c>
      <c r="AC3359" s="46" t="n">
        <f aca="false">IF(AND(E3359&gt;0,B3359=10),1,0)</f>
        <v>0</v>
      </c>
      <c r="AD3359" s="0" t="str">
        <f aca="false">IF(AND(C3358=C3359,AA3358=AA3359-1),AB3358,"")</f>
        <v/>
      </c>
      <c r="AE3359" s="0" t="str">
        <f aca="false">IF(AND(C3358=C3359,AA3358=AA3359-1),AC3358,"")</f>
        <v/>
      </c>
      <c r="AF3359" s="0" t="str">
        <f aca="false">IF(AA3359=1,"",IF(AND(AB3359=1,AD3359&lt;&gt;1),1,0))</f>
        <v/>
      </c>
      <c r="AG3359" s="0" t="str">
        <f aca="false">IF(AA3359=1,"",IF(AND(AC3359=1,AE3359&lt;&gt;1),1,0))</f>
        <v/>
      </c>
      <c r="AH3359" s="51" t="str">
        <f aca="false">IF(AND(E3359&gt;0,AA3359&lt;1,NOT(AND(C3360=C3359,AA3360=AA3359+1))),INDEX(DATAS,AA3359+1),"")</f>
        <v/>
      </c>
      <c r="AI3359" s="51" t="str">
        <f aca="false">IF(AND(AC3359=1,AA3359&lt;1),IF(AND(C3360=C3359,AA3360=AA3359+1),IF(AC3360=1,"",INDEX(DATAS,AA3359+1)),INDEX(DATAS,AA3359+1)),"")</f>
        <v/>
      </c>
    </row>
    <row r="3360" customFormat="false" ht="15" hidden="false" customHeight="false" outlineLevel="0" collapsed="false">
      <c r="A3360" s="51" t="n">
        <v>46309</v>
      </c>
      <c r="B3360" s="0" t="n">
        <v>13</v>
      </c>
      <c r="C3360" s="0" t="n">
        <v>7794</v>
      </c>
      <c r="E3360" s="0" t="n">
        <v>0</v>
      </c>
      <c r="F3360" s="46" t="s">
        <v>1576</v>
      </c>
      <c r="I3360" s="46" t="s">
        <v>179</v>
      </c>
      <c r="U3360" s="0" t="n">
        <v>132</v>
      </c>
      <c r="V3360" s="0" t="n">
        <v>0</v>
      </c>
      <c r="X3360" s="46" t="n">
        <f aca="false">IF(I3360="Male",0,1)</f>
        <v>1</v>
      </c>
      <c r="Y3360" s="46" t="n">
        <f aca="false">IF(OR(I3360="DNB",I3360="Dry DNB"),1,0)</f>
        <v>0</v>
      </c>
      <c r="Z3360" s="0" t="str">
        <f aca="false">IF(ISNUMBER(W3360),A3360-W3360,"")</f>
        <v/>
      </c>
      <c r="AA3360" s="46" t="n">
        <f aca="false">MATCH(A3360,DATAS,0)</f>
        <v>1</v>
      </c>
      <c r="AB3360" s="46" t="n">
        <f aca="false">IF(AND(E3360&gt;0,OR(AND(B3360&gt;=1,B3360&lt;=6),B3360=10)),1,0)</f>
        <v>0</v>
      </c>
      <c r="AC3360" s="46" t="n">
        <f aca="false">IF(AND(E3360&gt;0,B3360=10),1,0)</f>
        <v>0</v>
      </c>
      <c r="AD3360" s="0" t="str">
        <f aca="false">IF(AND(C3359=C3360,AA3359=AA3360-1),AB3359,"")</f>
        <v/>
      </c>
      <c r="AE3360" s="0" t="str">
        <f aca="false">IF(AND(C3359=C3360,AA3359=AA3360-1),AC3359,"")</f>
        <v/>
      </c>
      <c r="AF3360" s="0" t="str">
        <f aca="false">IF(AA3360=1,"",IF(AND(AB3360=1,AD3360&lt;&gt;1),1,0))</f>
        <v/>
      </c>
      <c r="AG3360" s="0" t="str">
        <f aca="false">IF(AA3360=1,"",IF(AND(AC3360=1,AE3360&lt;&gt;1),1,0))</f>
        <v/>
      </c>
      <c r="AH3360" s="51" t="str">
        <f aca="false">IF(AND(E3360&gt;0,AA3360&lt;1,NOT(AND(C3361=C3360,AA3361=AA3360+1))),INDEX(DATAS,AA3360+1),"")</f>
        <v/>
      </c>
      <c r="AI3360" s="51" t="str">
        <f aca="false">IF(AND(AC3360=1,AA3360&lt;1),IF(AND(C3361=C3360,AA3361=AA3360+1),IF(AC3361=1,"",INDEX(DATAS,AA3360+1)),INDEX(DATAS,AA3360+1)),"")</f>
        <v/>
      </c>
    </row>
    <row r="3361" customFormat="false" ht="15" hidden="false" customHeight="false" outlineLevel="0" collapsed="false">
      <c r="A3361" s="51" t="n">
        <v>46309</v>
      </c>
      <c r="B3361" s="0" t="n">
        <v>13</v>
      </c>
      <c r="C3361" s="0" t="n">
        <v>7795</v>
      </c>
      <c r="E3361" s="0" t="n">
        <v>0</v>
      </c>
      <c r="F3361" s="46" t="s">
        <v>1577</v>
      </c>
      <c r="I3361" s="46" t="s">
        <v>179</v>
      </c>
      <c r="U3361" s="0" t="n">
        <v>131</v>
      </c>
      <c r="V3361" s="0" t="n">
        <v>0</v>
      </c>
      <c r="X3361" s="46" t="n">
        <f aca="false">IF(I3361="Male",0,1)</f>
        <v>1</v>
      </c>
      <c r="Y3361" s="46" t="n">
        <f aca="false">IF(OR(I3361="DNB",I3361="Dry DNB"),1,0)</f>
        <v>0</v>
      </c>
      <c r="Z3361" s="0" t="str">
        <f aca="false">IF(ISNUMBER(W3361),A3361-W3361,"")</f>
        <v/>
      </c>
      <c r="AA3361" s="46" t="n">
        <f aca="false">MATCH(A3361,DATAS,0)</f>
        <v>1</v>
      </c>
      <c r="AB3361" s="46" t="n">
        <f aca="false">IF(AND(E3361&gt;0,OR(AND(B3361&gt;=1,B3361&lt;=6),B3361=10)),1,0)</f>
        <v>0</v>
      </c>
      <c r="AC3361" s="46" t="n">
        <f aca="false">IF(AND(E3361&gt;0,B3361=10),1,0)</f>
        <v>0</v>
      </c>
      <c r="AD3361" s="0" t="str">
        <f aca="false">IF(AND(C3360=C3361,AA3360=AA3361-1),AB3360,"")</f>
        <v/>
      </c>
      <c r="AE3361" s="0" t="str">
        <f aca="false">IF(AND(C3360=C3361,AA3360=AA3361-1),AC3360,"")</f>
        <v/>
      </c>
      <c r="AF3361" s="0" t="str">
        <f aca="false">IF(AA3361=1,"",IF(AND(AB3361=1,AD3361&lt;&gt;1),1,0))</f>
        <v/>
      </c>
      <c r="AG3361" s="0" t="str">
        <f aca="false">IF(AA3361=1,"",IF(AND(AC3361=1,AE3361&lt;&gt;1),1,0))</f>
        <v/>
      </c>
      <c r="AH3361" s="51" t="str">
        <f aca="false">IF(AND(E3361&gt;0,AA3361&lt;1,NOT(AND(C3362=C3361,AA3362=AA3361+1))),INDEX(DATAS,AA3361+1),"")</f>
        <v/>
      </c>
      <c r="AI3361" s="51" t="str">
        <f aca="false">IF(AND(AC3361=1,AA3361&lt;1),IF(AND(C3362=C3361,AA3362=AA3361+1),IF(AC3362=1,"",INDEX(DATAS,AA3361+1)),INDEX(DATAS,AA3361+1)),"")</f>
        <v/>
      </c>
    </row>
    <row r="3362" customFormat="false" ht="15" hidden="false" customHeight="false" outlineLevel="0" collapsed="false">
      <c r="A3362" s="51" t="n">
        <v>46309</v>
      </c>
      <c r="B3362" s="0" t="n">
        <v>13</v>
      </c>
      <c r="C3362" s="0" t="n">
        <v>7796</v>
      </c>
      <c r="E3362" s="0" t="n">
        <v>0</v>
      </c>
      <c r="F3362" s="46" t="s">
        <v>1577</v>
      </c>
      <c r="I3362" s="46" t="s">
        <v>179</v>
      </c>
      <c r="U3362" s="0" t="n">
        <v>131</v>
      </c>
      <c r="V3362" s="0" t="n">
        <v>0</v>
      </c>
      <c r="X3362" s="46" t="n">
        <f aca="false">IF(I3362="Male",0,1)</f>
        <v>1</v>
      </c>
      <c r="Y3362" s="46" t="n">
        <f aca="false">IF(OR(I3362="DNB",I3362="Dry DNB"),1,0)</f>
        <v>0</v>
      </c>
      <c r="Z3362" s="0" t="str">
        <f aca="false">IF(ISNUMBER(W3362),A3362-W3362,"")</f>
        <v/>
      </c>
      <c r="AA3362" s="46" t="n">
        <f aca="false">MATCH(A3362,DATAS,0)</f>
        <v>1</v>
      </c>
      <c r="AB3362" s="46" t="n">
        <f aca="false">IF(AND(E3362&gt;0,OR(AND(B3362&gt;=1,B3362&lt;=6),B3362=10)),1,0)</f>
        <v>0</v>
      </c>
      <c r="AC3362" s="46" t="n">
        <f aca="false">IF(AND(E3362&gt;0,B3362=10),1,0)</f>
        <v>0</v>
      </c>
      <c r="AD3362" s="0" t="str">
        <f aca="false">IF(AND(C3361=C3362,AA3361=AA3362-1),AB3361,"")</f>
        <v/>
      </c>
      <c r="AE3362" s="0" t="str">
        <f aca="false">IF(AND(C3361=C3362,AA3361=AA3362-1),AC3361,"")</f>
        <v/>
      </c>
      <c r="AF3362" s="0" t="str">
        <f aca="false">IF(AA3362=1,"",IF(AND(AB3362=1,AD3362&lt;&gt;1),1,0))</f>
        <v/>
      </c>
      <c r="AG3362" s="0" t="str">
        <f aca="false">IF(AA3362=1,"",IF(AND(AC3362=1,AE3362&lt;&gt;1),1,0))</f>
        <v/>
      </c>
      <c r="AH3362" s="51" t="str">
        <f aca="false">IF(AND(E3362&gt;0,AA3362&lt;1,NOT(AND(C3363=C3362,AA3363=AA3362+1))),INDEX(DATAS,AA3362+1),"")</f>
        <v/>
      </c>
      <c r="AI3362" s="51" t="str">
        <f aca="false">IF(AND(AC3362=1,AA3362&lt;1),IF(AND(C3363=C3362,AA3363=AA3362+1),IF(AC3363=1,"",INDEX(DATAS,AA3362+1)),INDEX(DATAS,AA3362+1)),"")</f>
        <v/>
      </c>
    </row>
    <row r="3363" customFormat="false" ht="15" hidden="false" customHeight="false" outlineLevel="0" collapsed="false">
      <c r="A3363" s="51" t="n">
        <v>46309</v>
      </c>
      <c r="B3363" s="0" t="n">
        <v>13</v>
      </c>
      <c r="C3363" s="0" t="n">
        <v>7797</v>
      </c>
      <c r="E3363" s="0" t="n">
        <v>0</v>
      </c>
      <c r="F3363" s="46" t="s">
        <v>1577</v>
      </c>
      <c r="I3363" s="46" t="s">
        <v>179</v>
      </c>
      <c r="U3363" s="0" t="n">
        <v>131</v>
      </c>
      <c r="V3363" s="0" t="n">
        <v>0</v>
      </c>
      <c r="X3363" s="46" t="n">
        <f aca="false">IF(I3363="Male",0,1)</f>
        <v>1</v>
      </c>
      <c r="Y3363" s="46" t="n">
        <f aca="false">IF(OR(I3363="DNB",I3363="Dry DNB"),1,0)</f>
        <v>0</v>
      </c>
      <c r="Z3363" s="0" t="str">
        <f aca="false">IF(ISNUMBER(W3363),A3363-W3363,"")</f>
        <v/>
      </c>
      <c r="AA3363" s="46" t="n">
        <f aca="false">MATCH(A3363,DATAS,0)</f>
        <v>1</v>
      </c>
      <c r="AB3363" s="46" t="n">
        <f aca="false">IF(AND(E3363&gt;0,OR(AND(B3363&gt;=1,B3363&lt;=6),B3363=10)),1,0)</f>
        <v>0</v>
      </c>
      <c r="AC3363" s="46" t="n">
        <f aca="false">IF(AND(E3363&gt;0,B3363=10),1,0)</f>
        <v>0</v>
      </c>
      <c r="AD3363" s="0" t="str">
        <f aca="false">IF(AND(C3362=C3363,AA3362=AA3363-1),AB3362,"")</f>
        <v/>
      </c>
      <c r="AE3363" s="0" t="str">
        <f aca="false">IF(AND(C3362=C3363,AA3362=AA3363-1),AC3362,"")</f>
        <v/>
      </c>
      <c r="AF3363" s="0" t="str">
        <f aca="false">IF(AA3363=1,"",IF(AND(AB3363=1,AD3363&lt;&gt;1),1,0))</f>
        <v/>
      </c>
      <c r="AG3363" s="0" t="str">
        <f aca="false">IF(AA3363=1,"",IF(AND(AC3363=1,AE3363&lt;&gt;1),1,0))</f>
        <v/>
      </c>
      <c r="AH3363" s="51" t="str">
        <f aca="false">IF(AND(E3363&gt;0,AA3363&lt;1,NOT(AND(C3364=C3363,AA3364=AA3363+1))),INDEX(DATAS,AA3363+1),"")</f>
        <v/>
      </c>
      <c r="AI3363" s="51" t="str">
        <f aca="false">IF(AND(AC3363=1,AA3363&lt;1),IF(AND(C3364=C3363,AA3364=AA3363+1),IF(AC3364=1,"",INDEX(DATAS,AA3363+1)),INDEX(DATAS,AA3363+1)),"")</f>
        <v/>
      </c>
    </row>
    <row r="3364" customFormat="false" ht="15" hidden="false" customHeight="false" outlineLevel="0" collapsed="false">
      <c r="A3364" s="51" t="n">
        <v>46309</v>
      </c>
      <c r="B3364" s="0" t="n">
        <v>13</v>
      </c>
      <c r="C3364" s="0" t="n">
        <v>7799</v>
      </c>
      <c r="E3364" s="0" t="n">
        <v>0</v>
      </c>
      <c r="F3364" s="46" t="s">
        <v>1577</v>
      </c>
      <c r="I3364" s="46" t="s">
        <v>179</v>
      </c>
      <c r="U3364" s="0" t="n">
        <v>131</v>
      </c>
      <c r="V3364" s="0" t="n">
        <v>0</v>
      </c>
      <c r="X3364" s="46" t="n">
        <f aca="false">IF(I3364="Male",0,1)</f>
        <v>1</v>
      </c>
      <c r="Y3364" s="46" t="n">
        <f aca="false">IF(OR(I3364="DNB",I3364="Dry DNB"),1,0)</f>
        <v>0</v>
      </c>
      <c r="Z3364" s="0" t="str">
        <f aca="false">IF(ISNUMBER(W3364),A3364-W3364,"")</f>
        <v/>
      </c>
      <c r="AA3364" s="46" t="n">
        <f aca="false">MATCH(A3364,DATAS,0)</f>
        <v>1</v>
      </c>
      <c r="AB3364" s="46" t="n">
        <f aca="false">IF(AND(E3364&gt;0,OR(AND(B3364&gt;=1,B3364&lt;=6),B3364=10)),1,0)</f>
        <v>0</v>
      </c>
      <c r="AC3364" s="46" t="n">
        <f aca="false">IF(AND(E3364&gt;0,B3364=10),1,0)</f>
        <v>0</v>
      </c>
      <c r="AD3364" s="0" t="str">
        <f aca="false">IF(AND(C3363=C3364,AA3363=AA3364-1),AB3363,"")</f>
        <v/>
      </c>
      <c r="AE3364" s="0" t="str">
        <f aca="false">IF(AND(C3363=C3364,AA3363=AA3364-1),AC3363,"")</f>
        <v/>
      </c>
      <c r="AF3364" s="0" t="str">
        <f aca="false">IF(AA3364=1,"",IF(AND(AB3364=1,AD3364&lt;&gt;1),1,0))</f>
        <v/>
      </c>
      <c r="AG3364" s="0" t="str">
        <f aca="false">IF(AA3364=1,"",IF(AND(AC3364=1,AE3364&lt;&gt;1),1,0))</f>
        <v/>
      </c>
      <c r="AH3364" s="51" t="str">
        <f aca="false">IF(AND(E3364&gt;0,AA3364&lt;1,NOT(AND(C3365=C3364,AA3365=AA3364+1))),INDEX(DATAS,AA3364+1),"")</f>
        <v/>
      </c>
      <c r="AI3364" s="51" t="str">
        <f aca="false">IF(AND(AC3364=1,AA3364&lt;1),IF(AND(C3365=C3364,AA3365=AA3364+1),IF(AC3365=1,"",INDEX(DATAS,AA3364+1)),INDEX(DATAS,AA3364+1)),"")</f>
        <v/>
      </c>
    </row>
    <row r="3365" customFormat="false" ht="15" hidden="false" customHeight="false" outlineLevel="0" collapsed="false">
      <c r="A3365" s="51" t="n">
        <v>46309</v>
      </c>
      <c r="B3365" s="0" t="n">
        <v>13</v>
      </c>
      <c r="C3365" s="0" t="n">
        <v>7800</v>
      </c>
      <c r="E3365" s="0" t="n">
        <v>0</v>
      </c>
      <c r="F3365" s="46" t="s">
        <v>1578</v>
      </c>
      <c r="I3365" s="46" t="s">
        <v>179</v>
      </c>
      <c r="U3365" s="0" t="n">
        <v>130</v>
      </c>
      <c r="V3365" s="0" t="n">
        <v>0</v>
      </c>
      <c r="X3365" s="46" t="n">
        <f aca="false">IF(I3365="Male",0,1)</f>
        <v>1</v>
      </c>
      <c r="Y3365" s="46" t="n">
        <f aca="false">IF(OR(I3365="DNB",I3365="Dry DNB"),1,0)</f>
        <v>0</v>
      </c>
      <c r="Z3365" s="0" t="str">
        <f aca="false">IF(ISNUMBER(W3365),A3365-W3365,"")</f>
        <v/>
      </c>
      <c r="AA3365" s="46" t="n">
        <f aca="false">MATCH(A3365,DATAS,0)</f>
        <v>1</v>
      </c>
      <c r="AB3365" s="46" t="n">
        <f aca="false">IF(AND(E3365&gt;0,OR(AND(B3365&gt;=1,B3365&lt;=6),B3365=10)),1,0)</f>
        <v>0</v>
      </c>
      <c r="AC3365" s="46" t="n">
        <f aca="false">IF(AND(E3365&gt;0,B3365=10),1,0)</f>
        <v>0</v>
      </c>
      <c r="AD3365" s="0" t="str">
        <f aca="false">IF(AND(C3364=C3365,AA3364=AA3365-1),AB3364,"")</f>
        <v/>
      </c>
      <c r="AE3365" s="0" t="str">
        <f aca="false">IF(AND(C3364=C3365,AA3364=AA3365-1),AC3364,"")</f>
        <v/>
      </c>
      <c r="AF3365" s="0" t="str">
        <f aca="false">IF(AA3365=1,"",IF(AND(AB3365=1,AD3365&lt;&gt;1),1,0))</f>
        <v/>
      </c>
      <c r="AG3365" s="0" t="str">
        <f aca="false">IF(AA3365=1,"",IF(AND(AC3365=1,AE3365&lt;&gt;1),1,0))</f>
        <v/>
      </c>
      <c r="AH3365" s="51" t="str">
        <f aca="false">IF(AND(E3365&gt;0,AA3365&lt;1,NOT(AND(C3366=C3365,AA3366=AA3365+1))),INDEX(DATAS,AA3365+1),"")</f>
        <v/>
      </c>
      <c r="AI3365" s="51" t="str">
        <f aca="false">IF(AND(AC3365=1,AA3365&lt;1),IF(AND(C3366=C3365,AA3366=AA3365+1),IF(AC3366=1,"",INDEX(DATAS,AA3365+1)),INDEX(DATAS,AA3365+1)),"")</f>
        <v/>
      </c>
    </row>
    <row r="3366" customFormat="false" ht="15" hidden="false" customHeight="false" outlineLevel="0" collapsed="false">
      <c r="A3366" s="51" t="n">
        <v>46309</v>
      </c>
      <c r="B3366" s="0" t="n">
        <v>13</v>
      </c>
      <c r="C3366" s="0" t="n">
        <v>7801</v>
      </c>
      <c r="E3366" s="0" t="n">
        <v>0</v>
      </c>
      <c r="F3366" s="46" t="s">
        <v>1578</v>
      </c>
      <c r="I3366" s="46" t="s">
        <v>179</v>
      </c>
      <c r="U3366" s="0" t="n">
        <v>130</v>
      </c>
      <c r="V3366" s="0" t="n">
        <v>0</v>
      </c>
      <c r="X3366" s="46" t="n">
        <f aca="false">IF(I3366="Male",0,1)</f>
        <v>1</v>
      </c>
      <c r="Y3366" s="46" t="n">
        <f aca="false">IF(OR(I3366="DNB",I3366="Dry DNB"),1,0)</f>
        <v>0</v>
      </c>
      <c r="Z3366" s="0" t="str">
        <f aca="false">IF(ISNUMBER(W3366),A3366-W3366,"")</f>
        <v/>
      </c>
      <c r="AA3366" s="46" t="n">
        <f aca="false">MATCH(A3366,DATAS,0)</f>
        <v>1</v>
      </c>
      <c r="AB3366" s="46" t="n">
        <f aca="false">IF(AND(E3366&gt;0,OR(AND(B3366&gt;=1,B3366&lt;=6),B3366=10)),1,0)</f>
        <v>0</v>
      </c>
      <c r="AC3366" s="46" t="n">
        <f aca="false">IF(AND(E3366&gt;0,B3366=10),1,0)</f>
        <v>0</v>
      </c>
      <c r="AD3366" s="0" t="str">
        <f aca="false">IF(AND(C3365=C3366,AA3365=AA3366-1),AB3365,"")</f>
        <v/>
      </c>
      <c r="AE3366" s="0" t="str">
        <f aca="false">IF(AND(C3365=C3366,AA3365=AA3366-1),AC3365,"")</f>
        <v/>
      </c>
      <c r="AF3366" s="0" t="str">
        <f aca="false">IF(AA3366=1,"",IF(AND(AB3366=1,AD3366&lt;&gt;1),1,0))</f>
        <v/>
      </c>
      <c r="AG3366" s="0" t="str">
        <f aca="false">IF(AA3366=1,"",IF(AND(AC3366=1,AE3366&lt;&gt;1),1,0))</f>
        <v/>
      </c>
      <c r="AH3366" s="51" t="str">
        <f aca="false">IF(AND(E3366&gt;0,AA3366&lt;1,NOT(AND(C3367=C3366,AA3367=AA3366+1))),INDEX(DATAS,AA3366+1),"")</f>
        <v/>
      </c>
      <c r="AI3366" s="51" t="str">
        <f aca="false">IF(AND(AC3366=1,AA3366&lt;1),IF(AND(C3367=C3366,AA3367=AA3366+1),IF(AC3367=1,"",INDEX(DATAS,AA3366+1)),INDEX(DATAS,AA3366+1)),"")</f>
        <v/>
      </c>
    </row>
    <row r="3367" customFormat="false" ht="15" hidden="false" customHeight="false" outlineLevel="0" collapsed="false">
      <c r="A3367" s="51" t="n">
        <v>46309</v>
      </c>
      <c r="B3367" s="0" t="n">
        <v>13</v>
      </c>
      <c r="C3367" s="0" t="n">
        <v>7802</v>
      </c>
      <c r="E3367" s="0" t="n">
        <v>0</v>
      </c>
      <c r="F3367" s="46" t="s">
        <v>1578</v>
      </c>
      <c r="I3367" s="46" t="s">
        <v>179</v>
      </c>
      <c r="U3367" s="0" t="n">
        <v>130</v>
      </c>
      <c r="V3367" s="0" t="n">
        <v>0</v>
      </c>
      <c r="X3367" s="46" t="n">
        <f aca="false">IF(I3367="Male",0,1)</f>
        <v>1</v>
      </c>
      <c r="Y3367" s="46" t="n">
        <f aca="false">IF(OR(I3367="DNB",I3367="Dry DNB"),1,0)</f>
        <v>0</v>
      </c>
      <c r="Z3367" s="0" t="str">
        <f aca="false">IF(ISNUMBER(W3367),A3367-W3367,"")</f>
        <v/>
      </c>
      <c r="AA3367" s="46" t="n">
        <f aca="false">MATCH(A3367,DATAS,0)</f>
        <v>1</v>
      </c>
      <c r="AB3367" s="46" t="n">
        <f aca="false">IF(AND(E3367&gt;0,OR(AND(B3367&gt;=1,B3367&lt;=6),B3367=10)),1,0)</f>
        <v>0</v>
      </c>
      <c r="AC3367" s="46" t="n">
        <f aca="false">IF(AND(E3367&gt;0,B3367=10),1,0)</f>
        <v>0</v>
      </c>
      <c r="AD3367" s="0" t="str">
        <f aca="false">IF(AND(C3366=C3367,AA3366=AA3367-1),AB3366,"")</f>
        <v/>
      </c>
      <c r="AE3367" s="0" t="str">
        <f aca="false">IF(AND(C3366=C3367,AA3366=AA3367-1),AC3366,"")</f>
        <v/>
      </c>
      <c r="AF3367" s="0" t="str">
        <f aca="false">IF(AA3367=1,"",IF(AND(AB3367=1,AD3367&lt;&gt;1),1,0))</f>
        <v/>
      </c>
      <c r="AG3367" s="0" t="str">
        <f aca="false">IF(AA3367=1,"",IF(AND(AC3367=1,AE3367&lt;&gt;1),1,0))</f>
        <v/>
      </c>
      <c r="AH3367" s="51" t="str">
        <f aca="false">IF(AND(E3367&gt;0,AA3367&lt;1,NOT(AND(C3368=C3367,AA3368=AA3367+1))),INDEX(DATAS,AA3367+1),"")</f>
        <v/>
      </c>
      <c r="AI3367" s="51" t="str">
        <f aca="false">IF(AND(AC3367=1,AA3367&lt;1),IF(AND(C3368=C3367,AA3368=AA3367+1),IF(AC3368=1,"",INDEX(DATAS,AA3367+1)),INDEX(DATAS,AA3367+1)),"")</f>
        <v/>
      </c>
    </row>
    <row r="3368" customFormat="false" ht="15" hidden="false" customHeight="false" outlineLevel="0" collapsed="false">
      <c r="A3368" s="51" t="n">
        <v>46309</v>
      </c>
      <c r="B3368" s="0" t="n">
        <v>13</v>
      </c>
      <c r="C3368" s="0" t="n">
        <v>7803</v>
      </c>
      <c r="E3368" s="0" t="n">
        <v>0</v>
      </c>
      <c r="F3368" s="46" t="s">
        <v>1579</v>
      </c>
      <c r="I3368" s="46" t="s">
        <v>179</v>
      </c>
      <c r="U3368" s="0" t="n">
        <v>129</v>
      </c>
      <c r="V3368" s="0" t="n">
        <v>0</v>
      </c>
      <c r="X3368" s="46" t="n">
        <f aca="false">IF(I3368="Male",0,1)</f>
        <v>1</v>
      </c>
      <c r="Y3368" s="46" t="n">
        <f aca="false">IF(OR(I3368="DNB",I3368="Dry DNB"),1,0)</f>
        <v>0</v>
      </c>
      <c r="Z3368" s="0" t="str">
        <f aca="false">IF(ISNUMBER(W3368),A3368-W3368,"")</f>
        <v/>
      </c>
      <c r="AA3368" s="46" t="n">
        <f aca="false">MATCH(A3368,DATAS,0)</f>
        <v>1</v>
      </c>
      <c r="AB3368" s="46" t="n">
        <f aca="false">IF(AND(E3368&gt;0,OR(AND(B3368&gt;=1,B3368&lt;=6),B3368=10)),1,0)</f>
        <v>0</v>
      </c>
      <c r="AC3368" s="46" t="n">
        <f aca="false">IF(AND(E3368&gt;0,B3368=10),1,0)</f>
        <v>0</v>
      </c>
      <c r="AD3368" s="0" t="str">
        <f aca="false">IF(AND(C3367=C3368,AA3367=AA3368-1),AB3367,"")</f>
        <v/>
      </c>
      <c r="AE3368" s="0" t="str">
        <f aca="false">IF(AND(C3367=C3368,AA3367=AA3368-1),AC3367,"")</f>
        <v/>
      </c>
      <c r="AF3368" s="0" t="str">
        <f aca="false">IF(AA3368=1,"",IF(AND(AB3368=1,AD3368&lt;&gt;1),1,0))</f>
        <v/>
      </c>
      <c r="AG3368" s="0" t="str">
        <f aca="false">IF(AA3368=1,"",IF(AND(AC3368=1,AE3368&lt;&gt;1),1,0))</f>
        <v/>
      </c>
      <c r="AH3368" s="51" t="str">
        <f aca="false">IF(AND(E3368&gt;0,AA3368&lt;1,NOT(AND(C3369=C3368,AA3369=AA3368+1))),INDEX(DATAS,AA3368+1),"")</f>
        <v/>
      </c>
      <c r="AI3368" s="51" t="str">
        <f aca="false">IF(AND(AC3368=1,AA3368&lt;1),IF(AND(C3369=C3368,AA3369=AA3368+1),IF(AC3369=1,"",INDEX(DATAS,AA3368+1)),INDEX(DATAS,AA3368+1)),"")</f>
        <v/>
      </c>
    </row>
    <row r="3369" customFormat="false" ht="15" hidden="false" customHeight="false" outlineLevel="0" collapsed="false">
      <c r="A3369" s="51" t="n">
        <v>46309</v>
      </c>
      <c r="B3369" s="0" t="n">
        <v>13</v>
      </c>
      <c r="C3369" s="0" t="n">
        <v>7804</v>
      </c>
      <c r="E3369" s="0" t="n">
        <v>0</v>
      </c>
      <c r="F3369" s="46" t="s">
        <v>1579</v>
      </c>
      <c r="I3369" s="46" t="s">
        <v>179</v>
      </c>
      <c r="U3369" s="0" t="n">
        <v>129</v>
      </c>
      <c r="V3369" s="0" t="n">
        <v>0</v>
      </c>
      <c r="X3369" s="46" t="n">
        <f aca="false">IF(I3369="Male",0,1)</f>
        <v>1</v>
      </c>
      <c r="Y3369" s="46" t="n">
        <f aca="false">IF(OR(I3369="DNB",I3369="Dry DNB"),1,0)</f>
        <v>0</v>
      </c>
      <c r="Z3369" s="0" t="str">
        <f aca="false">IF(ISNUMBER(W3369),A3369-W3369,"")</f>
        <v/>
      </c>
      <c r="AA3369" s="46" t="n">
        <f aca="false">MATCH(A3369,DATAS,0)</f>
        <v>1</v>
      </c>
      <c r="AB3369" s="46" t="n">
        <f aca="false">IF(AND(E3369&gt;0,OR(AND(B3369&gt;=1,B3369&lt;=6),B3369=10)),1,0)</f>
        <v>0</v>
      </c>
      <c r="AC3369" s="46" t="n">
        <f aca="false">IF(AND(E3369&gt;0,B3369=10),1,0)</f>
        <v>0</v>
      </c>
      <c r="AD3369" s="0" t="str">
        <f aca="false">IF(AND(C3368=C3369,AA3368=AA3369-1),AB3368,"")</f>
        <v/>
      </c>
      <c r="AE3369" s="0" t="str">
        <f aca="false">IF(AND(C3368=C3369,AA3368=AA3369-1),AC3368,"")</f>
        <v/>
      </c>
      <c r="AF3369" s="0" t="str">
        <f aca="false">IF(AA3369=1,"",IF(AND(AB3369=1,AD3369&lt;&gt;1),1,0))</f>
        <v/>
      </c>
      <c r="AG3369" s="0" t="str">
        <f aca="false">IF(AA3369=1,"",IF(AND(AC3369=1,AE3369&lt;&gt;1),1,0))</f>
        <v/>
      </c>
      <c r="AH3369" s="51" t="str">
        <f aca="false">IF(AND(E3369&gt;0,AA3369&lt;1,NOT(AND(C3370=C3369,AA3370=AA3369+1))),INDEX(DATAS,AA3369+1),"")</f>
        <v/>
      </c>
      <c r="AI3369" s="51" t="str">
        <f aca="false">IF(AND(AC3369=1,AA3369&lt;1),IF(AND(C3370=C3369,AA3370=AA3369+1),IF(AC3370=1,"",INDEX(DATAS,AA3369+1)),INDEX(DATAS,AA3369+1)),"")</f>
        <v/>
      </c>
    </row>
    <row r="3370" customFormat="false" ht="15" hidden="false" customHeight="false" outlineLevel="0" collapsed="false">
      <c r="A3370" s="51" t="n">
        <v>46309</v>
      </c>
      <c r="B3370" s="0" t="n">
        <v>13</v>
      </c>
      <c r="C3370" s="0" t="n">
        <v>7805</v>
      </c>
      <c r="E3370" s="0" t="n">
        <v>0</v>
      </c>
      <c r="F3370" s="46" t="s">
        <v>1579</v>
      </c>
      <c r="I3370" s="46" t="s">
        <v>179</v>
      </c>
      <c r="U3370" s="0" t="n">
        <v>129</v>
      </c>
      <c r="V3370" s="0" t="n">
        <v>0</v>
      </c>
      <c r="X3370" s="46" t="n">
        <f aca="false">IF(I3370="Male",0,1)</f>
        <v>1</v>
      </c>
      <c r="Y3370" s="46" t="n">
        <f aca="false">IF(OR(I3370="DNB",I3370="Dry DNB"),1,0)</f>
        <v>0</v>
      </c>
      <c r="Z3370" s="0" t="str">
        <f aca="false">IF(ISNUMBER(W3370),A3370-W3370,"")</f>
        <v/>
      </c>
      <c r="AA3370" s="46" t="n">
        <f aca="false">MATCH(A3370,DATAS,0)</f>
        <v>1</v>
      </c>
      <c r="AB3370" s="46" t="n">
        <f aca="false">IF(AND(E3370&gt;0,OR(AND(B3370&gt;=1,B3370&lt;=6),B3370=10)),1,0)</f>
        <v>0</v>
      </c>
      <c r="AC3370" s="46" t="n">
        <f aca="false">IF(AND(E3370&gt;0,B3370=10),1,0)</f>
        <v>0</v>
      </c>
      <c r="AD3370" s="0" t="str">
        <f aca="false">IF(AND(C3369=C3370,AA3369=AA3370-1),AB3369,"")</f>
        <v/>
      </c>
      <c r="AE3370" s="0" t="str">
        <f aca="false">IF(AND(C3369=C3370,AA3369=AA3370-1),AC3369,"")</f>
        <v/>
      </c>
      <c r="AF3370" s="0" t="str">
        <f aca="false">IF(AA3370=1,"",IF(AND(AB3370=1,AD3370&lt;&gt;1),1,0))</f>
        <v/>
      </c>
      <c r="AG3370" s="0" t="str">
        <f aca="false">IF(AA3370=1,"",IF(AND(AC3370=1,AE3370&lt;&gt;1),1,0))</f>
        <v/>
      </c>
      <c r="AH3370" s="51" t="str">
        <f aca="false">IF(AND(E3370&gt;0,AA3370&lt;1,NOT(AND(C3371=C3370,AA3371=AA3370+1))),INDEX(DATAS,AA3370+1),"")</f>
        <v/>
      </c>
      <c r="AI3370" s="51" t="str">
        <f aca="false">IF(AND(AC3370=1,AA3370&lt;1),IF(AND(C3371=C3370,AA3371=AA3370+1),IF(AC3371=1,"",INDEX(DATAS,AA3370+1)),INDEX(DATAS,AA3370+1)),"")</f>
        <v/>
      </c>
    </row>
    <row r="3371" customFormat="false" ht="15" hidden="false" customHeight="false" outlineLevel="0" collapsed="false">
      <c r="A3371" s="51" t="n">
        <v>46309</v>
      </c>
      <c r="B3371" s="0" t="n">
        <v>13</v>
      </c>
      <c r="C3371" s="0" t="n">
        <v>7806</v>
      </c>
      <c r="E3371" s="0" t="n">
        <v>0</v>
      </c>
      <c r="F3371" s="46" t="s">
        <v>1580</v>
      </c>
      <c r="I3371" s="46" t="s">
        <v>179</v>
      </c>
      <c r="U3371" s="0" t="n">
        <v>128</v>
      </c>
      <c r="V3371" s="0" t="n">
        <v>0</v>
      </c>
      <c r="X3371" s="46" t="n">
        <f aca="false">IF(I3371="Male",0,1)</f>
        <v>1</v>
      </c>
      <c r="Y3371" s="46" t="n">
        <f aca="false">IF(OR(I3371="DNB",I3371="Dry DNB"),1,0)</f>
        <v>0</v>
      </c>
      <c r="Z3371" s="0" t="str">
        <f aca="false">IF(ISNUMBER(W3371),A3371-W3371,"")</f>
        <v/>
      </c>
      <c r="AA3371" s="46" t="n">
        <f aca="false">MATCH(A3371,DATAS,0)</f>
        <v>1</v>
      </c>
      <c r="AB3371" s="46" t="n">
        <f aca="false">IF(AND(E3371&gt;0,OR(AND(B3371&gt;=1,B3371&lt;=6),B3371=10)),1,0)</f>
        <v>0</v>
      </c>
      <c r="AC3371" s="46" t="n">
        <f aca="false">IF(AND(E3371&gt;0,B3371=10),1,0)</f>
        <v>0</v>
      </c>
      <c r="AD3371" s="0" t="str">
        <f aca="false">IF(AND(C3370=C3371,AA3370=AA3371-1),AB3370,"")</f>
        <v/>
      </c>
      <c r="AE3371" s="0" t="str">
        <f aca="false">IF(AND(C3370=C3371,AA3370=AA3371-1),AC3370,"")</f>
        <v/>
      </c>
      <c r="AF3371" s="0" t="str">
        <f aca="false">IF(AA3371=1,"",IF(AND(AB3371=1,AD3371&lt;&gt;1),1,0))</f>
        <v/>
      </c>
      <c r="AG3371" s="0" t="str">
        <f aca="false">IF(AA3371=1,"",IF(AND(AC3371=1,AE3371&lt;&gt;1),1,0))</f>
        <v/>
      </c>
      <c r="AH3371" s="51" t="str">
        <f aca="false">IF(AND(E3371&gt;0,AA3371&lt;1,NOT(AND(C3372=C3371,AA3372=AA3371+1))),INDEX(DATAS,AA3371+1),"")</f>
        <v/>
      </c>
      <c r="AI3371" s="51" t="str">
        <f aca="false">IF(AND(AC3371=1,AA3371&lt;1),IF(AND(C3372=C3371,AA3372=AA3371+1),IF(AC3372=1,"",INDEX(DATAS,AA3371+1)),INDEX(DATAS,AA3371+1)),"")</f>
        <v/>
      </c>
    </row>
    <row r="3372" customFormat="false" ht="15" hidden="false" customHeight="false" outlineLevel="0" collapsed="false">
      <c r="A3372" s="51" t="n">
        <v>46309</v>
      </c>
      <c r="B3372" s="0" t="n">
        <v>13</v>
      </c>
      <c r="C3372" s="0" t="n">
        <v>7807</v>
      </c>
      <c r="E3372" s="0" t="n">
        <v>0</v>
      </c>
      <c r="F3372" s="46" t="s">
        <v>1581</v>
      </c>
      <c r="I3372" s="46" t="s">
        <v>179</v>
      </c>
      <c r="U3372" s="0" t="n">
        <v>127</v>
      </c>
      <c r="V3372" s="0" t="n">
        <v>0</v>
      </c>
      <c r="X3372" s="46" t="n">
        <f aca="false">IF(I3372="Male",0,1)</f>
        <v>1</v>
      </c>
      <c r="Y3372" s="46" t="n">
        <f aca="false">IF(OR(I3372="DNB",I3372="Dry DNB"),1,0)</f>
        <v>0</v>
      </c>
      <c r="Z3372" s="0" t="str">
        <f aca="false">IF(ISNUMBER(W3372),A3372-W3372,"")</f>
        <v/>
      </c>
      <c r="AA3372" s="46" t="n">
        <f aca="false">MATCH(A3372,DATAS,0)</f>
        <v>1</v>
      </c>
      <c r="AB3372" s="46" t="n">
        <f aca="false">IF(AND(E3372&gt;0,OR(AND(B3372&gt;=1,B3372&lt;=6),B3372=10)),1,0)</f>
        <v>0</v>
      </c>
      <c r="AC3372" s="46" t="n">
        <f aca="false">IF(AND(E3372&gt;0,B3372=10),1,0)</f>
        <v>0</v>
      </c>
      <c r="AD3372" s="0" t="str">
        <f aca="false">IF(AND(C3371=C3372,AA3371=AA3372-1),AB3371,"")</f>
        <v/>
      </c>
      <c r="AE3372" s="0" t="str">
        <f aca="false">IF(AND(C3371=C3372,AA3371=AA3372-1),AC3371,"")</f>
        <v/>
      </c>
      <c r="AF3372" s="0" t="str">
        <f aca="false">IF(AA3372=1,"",IF(AND(AB3372=1,AD3372&lt;&gt;1),1,0))</f>
        <v/>
      </c>
      <c r="AG3372" s="0" t="str">
        <f aca="false">IF(AA3372=1,"",IF(AND(AC3372=1,AE3372&lt;&gt;1),1,0))</f>
        <v/>
      </c>
      <c r="AH3372" s="51" t="str">
        <f aca="false">IF(AND(E3372&gt;0,AA3372&lt;1,NOT(AND(C3373=C3372,AA3373=AA3372+1))),INDEX(DATAS,AA3372+1),"")</f>
        <v/>
      </c>
      <c r="AI3372" s="51" t="str">
        <f aca="false">IF(AND(AC3372=1,AA3372&lt;1),IF(AND(C3373=C3372,AA3373=AA3372+1),IF(AC3373=1,"",INDEX(DATAS,AA3372+1)),INDEX(DATAS,AA3372+1)),"")</f>
        <v/>
      </c>
    </row>
    <row r="3373" customFormat="false" ht="15" hidden="false" customHeight="false" outlineLevel="0" collapsed="false">
      <c r="A3373" s="51" t="n">
        <v>46309</v>
      </c>
      <c r="B3373" s="0" t="n">
        <v>13</v>
      </c>
      <c r="C3373" s="0" t="n">
        <v>7808</v>
      </c>
      <c r="E3373" s="0" t="n">
        <v>0</v>
      </c>
      <c r="F3373" s="46" t="s">
        <v>1581</v>
      </c>
      <c r="I3373" s="46" t="s">
        <v>179</v>
      </c>
      <c r="U3373" s="0" t="n">
        <v>127</v>
      </c>
      <c r="V3373" s="0" t="n">
        <v>0</v>
      </c>
      <c r="X3373" s="46" t="n">
        <f aca="false">IF(I3373="Male",0,1)</f>
        <v>1</v>
      </c>
      <c r="Y3373" s="46" t="n">
        <f aca="false">IF(OR(I3373="DNB",I3373="Dry DNB"),1,0)</f>
        <v>0</v>
      </c>
      <c r="Z3373" s="0" t="str">
        <f aca="false">IF(ISNUMBER(W3373),A3373-W3373,"")</f>
        <v/>
      </c>
      <c r="AA3373" s="46" t="n">
        <f aca="false">MATCH(A3373,DATAS,0)</f>
        <v>1</v>
      </c>
      <c r="AB3373" s="46" t="n">
        <f aca="false">IF(AND(E3373&gt;0,OR(AND(B3373&gt;=1,B3373&lt;=6),B3373=10)),1,0)</f>
        <v>0</v>
      </c>
      <c r="AC3373" s="46" t="n">
        <f aca="false">IF(AND(E3373&gt;0,B3373=10),1,0)</f>
        <v>0</v>
      </c>
      <c r="AD3373" s="0" t="str">
        <f aca="false">IF(AND(C3372=C3373,AA3372=AA3373-1),AB3372,"")</f>
        <v/>
      </c>
      <c r="AE3373" s="0" t="str">
        <f aca="false">IF(AND(C3372=C3373,AA3372=AA3373-1),AC3372,"")</f>
        <v/>
      </c>
      <c r="AF3373" s="0" t="str">
        <f aca="false">IF(AA3373=1,"",IF(AND(AB3373=1,AD3373&lt;&gt;1),1,0))</f>
        <v/>
      </c>
      <c r="AG3373" s="0" t="str">
        <f aca="false">IF(AA3373=1,"",IF(AND(AC3373=1,AE3373&lt;&gt;1),1,0))</f>
        <v/>
      </c>
      <c r="AH3373" s="51" t="str">
        <f aca="false">IF(AND(E3373&gt;0,AA3373&lt;1,NOT(AND(C3374=C3373,AA3374=AA3373+1))),INDEX(DATAS,AA3373+1),"")</f>
        <v/>
      </c>
      <c r="AI3373" s="51" t="str">
        <f aca="false">IF(AND(AC3373=1,AA3373&lt;1),IF(AND(C3374=C3373,AA3374=AA3373+1),IF(AC3374=1,"",INDEX(DATAS,AA3373+1)),INDEX(DATAS,AA3373+1)),"")</f>
        <v/>
      </c>
    </row>
    <row r="3374" customFormat="false" ht="15" hidden="false" customHeight="false" outlineLevel="0" collapsed="false">
      <c r="A3374" s="51" t="n">
        <v>46309</v>
      </c>
      <c r="B3374" s="0" t="n">
        <v>13</v>
      </c>
      <c r="C3374" s="0" t="n">
        <v>7809</v>
      </c>
      <c r="E3374" s="0" t="n">
        <v>0</v>
      </c>
      <c r="F3374" s="46" t="s">
        <v>1581</v>
      </c>
      <c r="I3374" s="46" t="s">
        <v>179</v>
      </c>
      <c r="U3374" s="0" t="n">
        <v>127</v>
      </c>
      <c r="V3374" s="0" t="n">
        <v>0</v>
      </c>
      <c r="X3374" s="46" t="n">
        <f aca="false">IF(I3374="Male",0,1)</f>
        <v>1</v>
      </c>
      <c r="Y3374" s="46" t="n">
        <f aca="false">IF(OR(I3374="DNB",I3374="Dry DNB"),1,0)</f>
        <v>0</v>
      </c>
      <c r="Z3374" s="0" t="str">
        <f aca="false">IF(ISNUMBER(W3374),A3374-W3374,"")</f>
        <v/>
      </c>
      <c r="AA3374" s="46" t="n">
        <f aca="false">MATCH(A3374,DATAS,0)</f>
        <v>1</v>
      </c>
      <c r="AB3374" s="46" t="n">
        <f aca="false">IF(AND(E3374&gt;0,OR(AND(B3374&gt;=1,B3374&lt;=6),B3374=10)),1,0)</f>
        <v>0</v>
      </c>
      <c r="AC3374" s="46" t="n">
        <f aca="false">IF(AND(E3374&gt;0,B3374=10),1,0)</f>
        <v>0</v>
      </c>
      <c r="AD3374" s="0" t="str">
        <f aca="false">IF(AND(C3373=C3374,AA3373=AA3374-1),AB3373,"")</f>
        <v/>
      </c>
      <c r="AE3374" s="0" t="str">
        <f aca="false">IF(AND(C3373=C3374,AA3373=AA3374-1),AC3373,"")</f>
        <v/>
      </c>
      <c r="AF3374" s="0" t="str">
        <f aca="false">IF(AA3374=1,"",IF(AND(AB3374=1,AD3374&lt;&gt;1),1,0))</f>
        <v/>
      </c>
      <c r="AG3374" s="0" t="str">
        <f aca="false">IF(AA3374=1,"",IF(AND(AC3374=1,AE3374&lt;&gt;1),1,0))</f>
        <v/>
      </c>
      <c r="AH3374" s="51" t="str">
        <f aca="false">IF(AND(E3374&gt;0,AA3374&lt;1,NOT(AND(C3375=C3374,AA3375=AA3374+1))),INDEX(DATAS,AA3374+1),"")</f>
        <v/>
      </c>
      <c r="AI3374" s="51" t="str">
        <f aca="false">IF(AND(AC3374=1,AA3374&lt;1),IF(AND(C3375=C3374,AA3375=AA3374+1),IF(AC3375=1,"",INDEX(DATAS,AA3374+1)),INDEX(DATAS,AA3374+1)),"")</f>
        <v/>
      </c>
    </row>
    <row r="3375" customFormat="false" ht="15" hidden="false" customHeight="false" outlineLevel="0" collapsed="false">
      <c r="A3375" s="51" t="n">
        <v>46309</v>
      </c>
      <c r="B3375" s="0" t="n">
        <v>13</v>
      </c>
      <c r="C3375" s="0" t="n">
        <v>7810</v>
      </c>
      <c r="E3375" s="0" t="n">
        <v>0</v>
      </c>
      <c r="F3375" s="46" t="s">
        <v>1582</v>
      </c>
      <c r="I3375" s="46" t="s">
        <v>179</v>
      </c>
      <c r="U3375" s="0" t="n">
        <v>126</v>
      </c>
      <c r="V3375" s="0" t="n">
        <v>0</v>
      </c>
      <c r="X3375" s="46" t="n">
        <f aca="false">IF(I3375="Male",0,1)</f>
        <v>1</v>
      </c>
      <c r="Y3375" s="46" t="n">
        <f aca="false">IF(OR(I3375="DNB",I3375="Dry DNB"),1,0)</f>
        <v>0</v>
      </c>
      <c r="Z3375" s="0" t="str">
        <f aca="false">IF(ISNUMBER(W3375),A3375-W3375,"")</f>
        <v/>
      </c>
      <c r="AA3375" s="46" t="n">
        <f aca="false">MATCH(A3375,DATAS,0)</f>
        <v>1</v>
      </c>
      <c r="AB3375" s="46" t="n">
        <f aca="false">IF(AND(E3375&gt;0,OR(AND(B3375&gt;=1,B3375&lt;=6),B3375=10)),1,0)</f>
        <v>0</v>
      </c>
      <c r="AC3375" s="46" t="n">
        <f aca="false">IF(AND(E3375&gt;0,B3375=10),1,0)</f>
        <v>0</v>
      </c>
      <c r="AD3375" s="0" t="str">
        <f aca="false">IF(AND(C3374=C3375,AA3374=AA3375-1),AB3374,"")</f>
        <v/>
      </c>
      <c r="AE3375" s="0" t="str">
        <f aca="false">IF(AND(C3374=C3375,AA3374=AA3375-1),AC3374,"")</f>
        <v/>
      </c>
      <c r="AF3375" s="0" t="str">
        <f aca="false">IF(AA3375=1,"",IF(AND(AB3375=1,AD3375&lt;&gt;1),1,0))</f>
        <v/>
      </c>
      <c r="AG3375" s="0" t="str">
        <f aca="false">IF(AA3375=1,"",IF(AND(AC3375=1,AE3375&lt;&gt;1),1,0))</f>
        <v/>
      </c>
      <c r="AH3375" s="51" t="str">
        <f aca="false">IF(AND(E3375&gt;0,AA3375&lt;1,NOT(AND(C3376=C3375,AA3376=AA3375+1))),INDEX(DATAS,AA3375+1),"")</f>
        <v/>
      </c>
      <c r="AI3375" s="51" t="str">
        <f aca="false">IF(AND(AC3375=1,AA3375&lt;1),IF(AND(C3376=C3375,AA3376=AA3375+1),IF(AC3376=1,"",INDEX(DATAS,AA3375+1)),INDEX(DATAS,AA3375+1)),"")</f>
        <v/>
      </c>
    </row>
    <row r="3376" customFormat="false" ht="15" hidden="false" customHeight="false" outlineLevel="0" collapsed="false">
      <c r="A3376" s="51" t="n">
        <v>46309</v>
      </c>
      <c r="B3376" s="0" t="n">
        <v>13</v>
      </c>
      <c r="C3376" s="0" t="n">
        <v>7811</v>
      </c>
      <c r="E3376" s="0" t="n">
        <v>0</v>
      </c>
      <c r="F3376" s="46" t="s">
        <v>1582</v>
      </c>
      <c r="I3376" s="46" t="s">
        <v>179</v>
      </c>
      <c r="U3376" s="0" t="n">
        <v>126</v>
      </c>
      <c r="V3376" s="0" t="n">
        <v>0</v>
      </c>
      <c r="X3376" s="46" t="n">
        <f aca="false">IF(I3376="Male",0,1)</f>
        <v>1</v>
      </c>
      <c r="Y3376" s="46" t="n">
        <f aca="false">IF(OR(I3376="DNB",I3376="Dry DNB"),1,0)</f>
        <v>0</v>
      </c>
      <c r="Z3376" s="0" t="str">
        <f aca="false">IF(ISNUMBER(W3376),A3376-W3376,"")</f>
        <v/>
      </c>
      <c r="AA3376" s="46" t="n">
        <f aca="false">MATCH(A3376,DATAS,0)</f>
        <v>1</v>
      </c>
      <c r="AB3376" s="46" t="n">
        <f aca="false">IF(AND(E3376&gt;0,OR(AND(B3376&gt;=1,B3376&lt;=6),B3376=10)),1,0)</f>
        <v>0</v>
      </c>
      <c r="AC3376" s="46" t="n">
        <f aca="false">IF(AND(E3376&gt;0,B3376=10),1,0)</f>
        <v>0</v>
      </c>
      <c r="AD3376" s="0" t="str">
        <f aca="false">IF(AND(C3375=C3376,AA3375=AA3376-1),AB3375,"")</f>
        <v/>
      </c>
      <c r="AE3376" s="0" t="str">
        <f aca="false">IF(AND(C3375=C3376,AA3375=AA3376-1),AC3375,"")</f>
        <v/>
      </c>
      <c r="AF3376" s="0" t="str">
        <f aca="false">IF(AA3376=1,"",IF(AND(AB3376=1,AD3376&lt;&gt;1),1,0))</f>
        <v/>
      </c>
      <c r="AG3376" s="0" t="str">
        <f aca="false">IF(AA3376=1,"",IF(AND(AC3376=1,AE3376&lt;&gt;1),1,0))</f>
        <v/>
      </c>
      <c r="AH3376" s="51" t="str">
        <f aca="false">IF(AND(E3376&gt;0,AA3376&lt;1,NOT(AND(C3377=C3376,AA3377=AA3376+1))),INDEX(DATAS,AA3376+1),"")</f>
        <v/>
      </c>
      <c r="AI3376" s="51" t="str">
        <f aca="false">IF(AND(AC3376=1,AA3376&lt;1),IF(AND(C3377=C3376,AA3377=AA3376+1),IF(AC3377=1,"",INDEX(DATAS,AA3376+1)),INDEX(DATAS,AA3376+1)),"")</f>
        <v/>
      </c>
    </row>
    <row r="3377" customFormat="false" ht="15" hidden="false" customHeight="false" outlineLevel="0" collapsed="false">
      <c r="A3377" s="51" t="n">
        <v>46309</v>
      </c>
      <c r="B3377" s="0" t="n">
        <v>13</v>
      </c>
      <c r="C3377" s="0" t="n">
        <v>7812</v>
      </c>
      <c r="E3377" s="0" t="n">
        <v>0</v>
      </c>
      <c r="F3377" s="46" t="s">
        <v>1582</v>
      </c>
      <c r="I3377" s="46" t="s">
        <v>179</v>
      </c>
      <c r="U3377" s="0" t="n">
        <v>126</v>
      </c>
      <c r="V3377" s="0" t="n">
        <v>0</v>
      </c>
      <c r="X3377" s="46" t="n">
        <f aca="false">IF(I3377="Male",0,1)</f>
        <v>1</v>
      </c>
      <c r="Y3377" s="46" t="n">
        <f aca="false">IF(OR(I3377="DNB",I3377="Dry DNB"),1,0)</f>
        <v>0</v>
      </c>
      <c r="Z3377" s="0" t="str">
        <f aca="false">IF(ISNUMBER(W3377),A3377-W3377,"")</f>
        <v/>
      </c>
      <c r="AA3377" s="46" t="n">
        <f aca="false">MATCH(A3377,DATAS,0)</f>
        <v>1</v>
      </c>
      <c r="AB3377" s="46" t="n">
        <f aca="false">IF(AND(E3377&gt;0,OR(AND(B3377&gt;=1,B3377&lt;=6),B3377=10)),1,0)</f>
        <v>0</v>
      </c>
      <c r="AC3377" s="46" t="n">
        <f aca="false">IF(AND(E3377&gt;0,B3377=10),1,0)</f>
        <v>0</v>
      </c>
      <c r="AD3377" s="0" t="str">
        <f aca="false">IF(AND(C3376=C3377,AA3376=AA3377-1),AB3376,"")</f>
        <v/>
      </c>
      <c r="AE3377" s="0" t="str">
        <f aca="false">IF(AND(C3376=C3377,AA3376=AA3377-1),AC3376,"")</f>
        <v/>
      </c>
      <c r="AF3377" s="0" t="str">
        <f aca="false">IF(AA3377=1,"",IF(AND(AB3377=1,AD3377&lt;&gt;1),1,0))</f>
        <v/>
      </c>
      <c r="AG3377" s="0" t="str">
        <f aca="false">IF(AA3377=1,"",IF(AND(AC3377=1,AE3377&lt;&gt;1),1,0))</f>
        <v/>
      </c>
      <c r="AH3377" s="51" t="str">
        <f aca="false">IF(AND(E3377&gt;0,AA3377&lt;1,NOT(AND(C3378=C3377,AA3378=AA3377+1))),INDEX(DATAS,AA3377+1),"")</f>
        <v/>
      </c>
      <c r="AI3377" s="51" t="str">
        <f aca="false">IF(AND(AC3377=1,AA3377&lt;1),IF(AND(C3378=C3377,AA3378=AA3377+1),IF(AC3378=1,"",INDEX(DATAS,AA3377+1)),INDEX(DATAS,AA3377+1)),"")</f>
        <v/>
      </c>
    </row>
    <row r="3378" customFormat="false" ht="15" hidden="false" customHeight="false" outlineLevel="0" collapsed="false">
      <c r="A3378" s="51" t="n">
        <v>46309</v>
      </c>
      <c r="B3378" s="0" t="n">
        <v>13</v>
      </c>
      <c r="C3378" s="0" t="n">
        <v>7813</v>
      </c>
      <c r="E3378" s="0" t="n">
        <v>0</v>
      </c>
      <c r="F3378" s="46" t="s">
        <v>1582</v>
      </c>
      <c r="I3378" s="46" t="s">
        <v>179</v>
      </c>
      <c r="U3378" s="0" t="n">
        <v>126</v>
      </c>
      <c r="V3378" s="0" t="n">
        <v>0</v>
      </c>
      <c r="X3378" s="46" t="n">
        <f aca="false">IF(I3378="Male",0,1)</f>
        <v>1</v>
      </c>
      <c r="Y3378" s="46" t="n">
        <f aca="false">IF(OR(I3378="DNB",I3378="Dry DNB"),1,0)</f>
        <v>0</v>
      </c>
      <c r="Z3378" s="0" t="str">
        <f aca="false">IF(ISNUMBER(W3378),A3378-W3378,"")</f>
        <v/>
      </c>
      <c r="AA3378" s="46" t="n">
        <f aca="false">MATCH(A3378,DATAS,0)</f>
        <v>1</v>
      </c>
      <c r="AB3378" s="46" t="n">
        <f aca="false">IF(AND(E3378&gt;0,OR(AND(B3378&gt;=1,B3378&lt;=6),B3378=10)),1,0)</f>
        <v>0</v>
      </c>
      <c r="AC3378" s="46" t="n">
        <f aca="false">IF(AND(E3378&gt;0,B3378=10),1,0)</f>
        <v>0</v>
      </c>
      <c r="AD3378" s="0" t="str">
        <f aca="false">IF(AND(C3377=C3378,AA3377=AA3378-1),AB3377,"")</f>
        <v/>
      </c>
      <c r="AE3378" s="0" t="str">
        <f aca="false">IF(AND(C3377=C3378,AA3377=AA3378-1),AC3377,"")</f>
        <v/>
      </c>
      <c r="AF3378" s="0" t="str">
        <f aca="false">IF(AA3378=1,"",IF(AND(AB3378=1,AD3378&lt;&gt;1),1,0))</f>
        <v/>
      </c>
      <c r="AG3378" s="0" t="str">
        <f aca="false">IF(AA3378=1,"",IF(AND(AC3378=1,AE3378&lt;&gt;1),1,0))</f>
        <v/>
      </c>
      <c r="AH3378" s="51" t="str">
        <f aca="false">IF(AND(E3378&gt;0,AA3378&lt;1,NOT(AND(C3379=C3378,AA3379=AA3378+1))),INDEX(DATAS,AA3378+1),"")</f>
        <v/>
      </c>
      <c r="AI3378" s="51" t="str">
        <f aca="false">IF(AND(AC3378=1,AA3378&lt;1),IF(AND(C3379=C3378,AA3379=AA3378+1),IF(AC3379=1,"",INDEX(DATAS,AA3378+1)),INDEX(DATAS,AA3378+1)),"")</f>
        <v/>
      </c>
    </row>
    <row r="3379" customFormat="false" ht="15" hidden="false" customHeight="false" outlineLevel="0" collapsed="false">
      <c r="A3379" s="51" t="n">
        <v>46309</v>
      </c>
      <c r="B3379" s="0" t="n">
        <v>13</v>
      </c>
      <c r="C3379" s="0" t="n">
        <v>7815</v>
      </c>
      <c r="E3379" s="0" t="n">
        <v>0</v>
      </c>
      <c r="F3379" s="46" t="s">
        <v>1582</v>
      </c>
      <c r="I3379" s="46" t="s">
        <v>179</v>
      </c>
      <c r="U3379" s="0" t="n">
        <v>126</v>
      </c>
      <c r="V3379" s="0" t="n">
        <v>0</v>
      </c>
      <c r="X3379" s="46" t="n">
        <f aca="false">IF(I3379="Male",0,1)</f>
        <v>1</v>
      </c>
      <c r="Y3379" s="46" t="n">
        <f aca="false">IF(OR(I3379="DNB",I3379="Dry DNB"),1,0)</f>
        <v>0</v>
      </c>
      <c r="Z3379" s="0" t="str">
        <f aca="false">IF(ISNUMBER(W3379),A3379-W3379,"")</f>
        <v/>
      </c>
      <c r="AA3379" s="46" t="n">
        <f aca="false">MATCH(A3379,DATAS,0)</f>
        <v>1</v>
      </c>
      <c r="AB3379" s="46" t="n">
        <f aca="false">IF(AND(E3379&gt;0,OR(AND(B3379&gt;=1,B3379&lt;=6),B3379=10)),1,0)</f>
        <v>0</v>
      </c>
      <c r="AC3379" s="46" t="n">
        <f aca="false">IF(AND(E3379&gt;0,B3379=10),1,0)</f>
        <v>0</v>
      </c>
      <c r="AD3379" s="0" t="str">
        <f aca="false">IF(AND(C3378=C3379,AA3378=AA3379-1),AB3378,"")</f>
        <v/>
      </c>
      <c r="AE3379" s="0" t="str">
        <f aca="false">IF(AND(C3378=C3379,AA3378=AA3379-1),AC3378,"")</f>
        <v/>
      </c>
      <c r="AF3379" s="0" t="str">
        <f aca="false">IF(AA3379=1,"",IF(AND(AB3379=1,AD3379&lt;&gt;1),1,0))</f>
        <v/>
      </c>
      <c r="AG3379" s="0" t="str">
        <f aca="false">IF(AA3379=1,"",IF(AND(AC3379=1,AE3379&lt;&gt;1),1,0))</f>
        <v/>
      </c>
      <c r="AH3379" s="51" t="str">
        <f aca="false">IF(AND(E3379&gt;0,AA3379&lt;1,NOT(AND(C3380=C3379,AA3380=AA3379+1))),INDEX(DATAS,AA3379+1),"")</f>
        <v/>
      </c>
      <c r="AI3379" s="51" t="str">
        <f aca="false">IF(AND(AC3379=1,AA3379&lt;1),IF(AND(C3380=C3379,AA3380=AA3379+1),IF(AC3380=1,"",INDEX(DATAS,AA3379+1)),INDEX(DATAS,AA3379+1)),"")</f>
        <v/>
      </c>
    </row>
    <row r="3380" customFormat="false" ht="15" hidden="false" customHeight="false" outlineLevel="0" collapsed="false">
      <c r="A3380" s="51" t="n">
        <v>46309</v>
      </c>
      <c r="B3380" s="0" t="n">
        <v>13</v>
      </c>
      <c r="C3380" s="0" t="n">
        <v>7816</v>
      </c>
      <c r="E3380" s="0" t="n">
        <v>0</v>
      </c>
      <c r="F3380" s="46" t="s">
        <v>1583</v>
      </c>
      <c r="I3380" s="46" t="s">
        <v>179</v>
      </c>
      <c r="U3380" s="0" t="n">
        <v>125</v>
      </c>
      <c r="V3380" s="0" t="n">
        <v>0</v>
      </c>
      <c r="X3380" s="46" t="n">
        <f aca="false">IF(I3380="Male",0,1)</f>
        <v>1</v>
      </c>
      <c r="Y3380" s="46" t="n">
        <f aca="false">IF(OR(I3380="DNB",I3380="Dry DNB"),1,0)</f>
        <v>0</v>
      </c>
      <c r="Z3380" s="0" t="str">
        <f aca="false">IF(ISNUMBER(W3380),A3380-W3380,"")</f>
        <v/>
      </c>
      <c r="AA3380" s="46" t="n">
        <f aca="false">MATCH(A3380,DATAS,0)</f>
        <v>1</v>
      </c>
      <c r="AB3380" s="46" t="n">
        <f aca="false">IF(AND(E3380&gt;0,OR(AND(B3380&gt;=1,B3380&lt;=6),B3380=10)),1,0)</f>
        <v>0</v>
      </c>
      <c r="AC3380" s="46" t="n">
        <f aca="false">IF(AND(E3380&gt;0,B3380=10),1,0)</f>
        <v>0</v>
      </c>
      <c r="AD3380" s="0" t="str">
        <f aca="false">IF(AND(C3379=C3380,AA3379=AA3380-1),AB3379,"")</f>
        <v/>
      </c>
      <c r="AE3380" s="0" t="str">
        <f aca="false">IF(AND(C3379=C3380,AA3379=AA3380-1),AC3379,"")</f>
        <v/>
      </c>
      <c r="AF3380" s="0" t="str">
        <f aca="false">IF(AA3380=1,"",IF(AND(AB3380=1,AD3380&lt;&gt;1),1,0))</f>
        <v/>
      </c>
      <c r="AG3380" s="0" t="str">
        <f aca="false">IF(AA3380=1,"",IF(AND(AC3380=1,AE3380&lt;&gt;1),1,0))</f>
        <v/>
      </c>
      <c r="AH3380" s="51" t="str">
        <f aca="false">IF(AND(E3380&gt;0,AA3380&lt;1,NOT(AND(C3381=C3380,AA3381=AA3380+1))),INDEX(DATAS,AA3380+1),"")</f>
        <v/>
      </c>
      <c r="AI3380" s="51" t="str">
        <f aca="false">IF(AND(AC3380=1,AA3380&lt;1),IF(AND(C3381=C3380,AA3381=AA3380+1),IF(AC3381=1,"",INDEX(DATAS,AA3380+1)),INDEX(DATAS,AA3380+1)),"")</f>
        <v/>
      </c>
    </row>
    <row r="3381" customFormat="false" ht="15" hidden="false" customHeight="false" outlineLevel="0" collapsed="false">
      <c r="A3381" s="51" t="n">
        <v>46309</v>
      </c>
      <c r="B3381" s="0" t="n">
        <v>13</v>
      </c>
      <c r="C3381" s="0" t="n">
        <v>7817</v>
      </c>
      <c r="E3381" s="0" t="n">
        <v>0</v>
      </c>
      <c r="F3381" s="46" t="s">
        <v>1583</v>
      </c>
      <c r="I3381" s="46" t="s">
        <v>179</v>
      </c>
      <c r="U3381" s="0" t="n">
        <v>125</v>
      </c>
      <c r="V3381" s="0" t="n">
        <v>0</v>
      </c>
      <c r="X3381" s="46" t="n">
        <f aca="false">IF(I3381="Male",0,1)</f>
        <v>1</v>
      </c>
      <c r="Y3381" s="46" t="n">
        <f aca="false">IF(OR(I3381="DNB",I3381="Dry DNB"),1,0)</f>
        <v>0</v>
      </c>
      <c r="Z3381" s="0" t="str">
        <f aca="false">IF(ISNUMBER(W3381),A3381-W3381,"")</f>
        <v/>
      </c>
      <c r="AA3381" s="46" t="n">
        <f aca="false">MATCH(A3381,DATAS,0)</f>
        <v>1</v>
      </c>
      <c r="AB3381" s="46" t="n">
        <f aca="false">IF(AND(E3381&gt;0,OR(AND(B3381&gt;=1,B3381&lt;=6),B3381=10)),1,0)</f>
        <v>0</v>
      </c>
      <c r="AC3381" s="46" t="n">
        <f aca="false">IF(AND(E3381&gt;0,B3381=10),1,0)</f>
        <v>0</v>
      </c>
      <c r="AD3381" s="0" t="str">
        <f aca="false">IF(AND(C3380=C3381,AA3380=AA3381-1),AB3380,"")</f>
        <v/>
      </c>
      <c r="AE3381" s="0" t="str">
        <f aca="false">IF(AND(C3380=C3381,AA3380=AA3381-1),AC3380,"")</f>
        <v/>
      </c>
      <c r="AF3381" s="0" t="str">
        <f aca="false">IF(AA3381=1,"",IF(AND(AB3381=1,AD3381&lt;&gt;1),1,0))</f>
        <v/>
      </c>
      <c r="AG3381" s="0" t="str">
        <f aca="false">IF(AA3381=1,"",IF(AND(AC3381=1,AE3381&lt;&gt;1),1,0))</f>
        <v/>
      </c>
      <c r="AH3381" s="51" t="str">
        <f aca="false">IF(AND(E3381&gt;0,AA3381&lt;1,NOT(AND(C3382=C3381,AA3382=AA3381+1))),INDEX(DATAS,AA3381+1),"")</f>
        <v/>
      </c>
      <c r="AI3381" s="51" t="str">
        <f aca="false">IF(AND(AC3381=1,AA3381&lt;1),IF(AND(C3382=C3381,AA3382=AA3381+1),IF(AC3382=1,"",INDEX(DATAS,AA3381+1)),INDEX(DATAS,AA3381+1)),"")</f>
        <v/>
      </c>
    </row>
    <row r="3382" customFormat="false" ht="15" hidden="false" customHeight="false" outlineLevel="0" collapsed="false">
      <c r="A3382" s="51" t="n">
        <v>46309</v>
      </c>
      <c r="B3382" s="0" t="n">
        <v>13</v>
      </c>
      <c r="C3382" s="0" t="n">
        <v>7818</v>
      </c>
      <c r="E3382" s="0" t="n">
        <v>0</v>
      </c>
      <c r="F3382" s="46" t="s">
        <v>1583</v>
      </c>
      <c r="I3382" s="46" t="s">
        <v>179</v>
      </c>
      <c r="U3382" s="0" t="n">
        <v>125</v>
      </c>
      <c r="V3382" s="0" t="n">
        <v>0</v>
      </c>
      <c r="X3382" s="46" t="n">
        <f aca="false">IF(I3382="Male",0,1)</f>
        <v>1</v>
      </c>
      <c r="Y3382" s="46" t="n">
        <f aca="false">IF(OR(I3382="DNB",I3382="Dry DNB"),1,0)</f>
        <v>0</v>
      </c>
      <c r="Z3382" s="0" t="str">
        <f aca="false">IF(ISNUMBER(W3382),A3382-W3382,"")</f>
        <v/>
      </c>
      <c r="AA3382" s="46" t="n">
        <f aca="false">MATCH(A3382,DATAS,0)</f>
        <v>1</v>
      </c>
      <c r="AB3382" s="46" t="n">
        <f aca="false">IF(AND(E3382&gt;0,OR(AND(B3382&gt;=1,B3382&lt;=6),B3382=10)),1,0)</f>
        <v>0</v>
      </c>
      <c r="AC3382" s="46" t="n">
        <f aca="false">IF(AND(E3382&gt;0,B3382=10),1,0)</f>
        <v>0</v>
      </c>
      <c r="AD3382" s="0" t="str">
        <f aca="false">IF(AND(C3381=C3382,AA3381=AA3382-1),AB3381,"")</f>
        <v/>
      </c>
      <c r="AE3382" s="0" t="str">
        <f aca="false">IF(AND(C3381=C3382,AA3381=AA3382-1),AC3381,"")</f>
        <v/>
      </c>
      <c r="AF3382" s="0" t="str">
        <f aca="false">IF(AA3382=1,"",IF(AND(AB3382=1,AD3382&lt;&gt;1),1,0))</f>
        <v/>
      </c>
      <c r="AG3382" s="0" t="str">
        <f aca="false">IF(AA3382=1,"",IF(AND(AC3382=1,AE3382&lt;&gt;1),1,0))</f>
        <v/>
      </c>
      <c r="AH3382" s="51" t="str">
        <f aca="false">IF(AND(E3382&gt;0,AA3382&lt;1,NOT(AND(C3383=C3382,AA3383=AA3382+1))),INDEX(DATAS,AA3382+1),"")</f>
        <v/>
      </c>
      <c r="AI3382" s="51" t="str">
        <f aca="false">IF(AND(AC3382=1,AA3382&lt;1),IF(AND(C3383=C3382,AA3383=AA3382+1),IF(AC3383=1,"",INDEX(DATAS,AA3382+1)),INDEX(DATAS,AA3382+1)),"")</f>
        <v/>
      </c>
    </row>
    <row r="3383" customFormat="false" ht="15" hidden="false" customHeight="false" outlineLevel="0" collapsed="false">
      <c r="A3383" s="51" t="n">
        <v>46309</v>
      </c>
      <c r="B3383" s="0" t="n">
        <v>13</v>
      </c>
      <c r="C3383" s="0" t="n">
        <v>7819</v>
      </c>
      <c r="E3383" s="0" t="n">
        <v>0</v>
      </c>
      <c r="F3383" s="46" t="s">
        <v>1583</v>
      </c>
      <c r="I3383" s="46" t="s">
        <v>179</v>
      </c>
      <c r="U3383" s="0" t="n">
        <v>125</v>
      </c>
      <c r="V3383" s="0" t="n">
        <v>0</v>
      </c>
      <c r="X3383" s="46" t="n">
        <f aca="false">IF(I3383="Male",0,1)</f>
        <v>1</v>
      </c>
      <c r="Y3383" s="46" t="n">
        <f aca="false">IF(OR(I3383="DNB",I3383="Dry DNB"),1,0)</f>
        <v>0</v>
      </c>
      <c r="Z3383" s="0" t="str">
        <f aca="false">IF(ISNUMBER(W3383),A3383-W3383,"")</f>
        <v/>
      </c>
      <c r="AA3383" s="46" t="n">
        <f aca="false">MATCH(A3383,DATAS,0)</f>
        <v>1</v>
      </c>
      <c r="AB3383" s="46" t="n">
        <f aca="false">IF(AND(E3383&gt;0,OR(AND(B3383&gt;=1,B3383&lt;=6),B3383=10)),1,0)</f>
        <v>0</v>
      </c>
      <c r="AC3383" s="46" t="n">
        <f aca="false">IF(AND(E3383&gt;0,B3383=10),1,0)</f>
        <v>0</v>
      </c>
      <c r="AD3383" s="0" t="str">
        <f aca="false">IF(AND(C3382=C3383,AA3382=AA3383-1),AB3382,"")</f>
        <v/>
      </c>
      <c r="AE3383" s="0" t="str">
        <f aca="false">IF(AND(C3382=C3383,AA3382=AA3383-1),AC3382,"")</f>
        <v/>
      </c>
      <c r="AF3383" s="0" t="str">
        <f aca="false">IF(AA3383=1,"",IF(AND(AB3383=1,AD3383&lt;&gt;1),1,0))</f>
        <v/>
      </c>
      <c r="AG3383" s="0" t="str">
        <f aca="false">IF(AA3383=1,"",IF(AND(AC3383=1,AE3383&lt;&gt;1),1,0))</f>
        <v/>
      </c>
      <c r="AH3383" s="51" t="str">
        <f aca="false">IF(AND(E3383&gt;0,AA3383&lt;1,NOT(AND(C3384=C3383,AA3384=AA3383+1))),INDEX(DATAS,AA3383+1),"")</f>
        <v/>
      </c>
      <c r="AI3383" s="51" t="str">
        <f aca="false">IF(AND(AC3383=1,AA3383&lt;1),IF(AND(C3384=C3383,AA3384=AA3383+1),IF(AC3384=1,"",INDEX(DATAS,AA3383+1)),INDEX(DATAS,AA3383+1)),"")</f>
        <v/>
      </c>
    </row>
    <row r="3384" customFormat="false" ht="15" hidden="false" customHeight="false" outlineLevel="0" collapsed="false">
      <c r="A3384" s="51" t="n">
        <v>46309</v>
      </c>
      <c r="B3384" s="0" t="n">
        <v>13</v>
      </c>
      <c r="C3384" s="0" t="n">
        <v>7820</v>
      </c>
      <c r="E3384" s="0" t="n">
        <v>0</v>
      </c>
      <c r="F3384" s="46" t="s">
        <v>1583</v>
      </c>
      <c r="I3384" s="46" t="s">
        <v>179</v>
      </c>
      <c r="U3384" s="0" t="n">
        <v>125</v>
      </c>
      <c r="V3384" s="0" t="n">
        <v>0</v>
      </c>
      <c r="X3384" s="46" t="n">
        <f aca="false">IF(I3384="Male",0,1)</f>
        <v>1</v>
      </c>
      <c r="Y3384" s="46" t="n">
        <f aca="false">IF(OR(I3384="DNB",I3384="Dry DNB"),1,0)</f>
        <v>0</v>
      </c>
      <c r="Z3384" s="0" t="str">
        <f aca="false">IF(ISNUMBER(W3384),A3384-W3384,"")</f>
        <v/>
      </c>
      <c r="AA3384" s="46" t="n">
        <f aca="false">MATCH(A3384,DATAS,0)</f>
        <v>1</v>
      </c>
      <c r="AB3384" s="46" t="n">
        <f aca="false">IF(AND(E3384&gt;0,OR(AND(B3384&gt;=1,B3384&lt;=6),B3384=10)),1,0)</f>
        <v>0</v>
      </c>
      <c r="AC3384" s="46" t="n">
        <f aca="false">IF(AND(E3384&gt;0,B3384=10),1,0)</f>
        <v>0</v>
      </c>
      <c r="AD3384" s="0" t="str">
        <f aca="false">IF(AND(C3383=C3384,AA3383=AA3384-1),AB3383,"")</f>
        <v/>
      </c>
      <c r="AE3384" s="0" t="str">
        <f aca="false">IF(AND(C3383=C3384,AA3383=AA3384-1),AC3383,"")</f>
        <v/>
      </c>
      <c r="AF3384" s="0" t="str">
        <f aca="false">IF(AA3384=1,"",IF(AND(AB3384=1,AD3384&lt;&gt;1),1,0))</f>
        <v/>
      </c>
      <c r="AG3384" s="0" t="str">
        <f aca="false">IF(AA3384=1,"",IF(AND(AC3384=1,AE3384&lt;&gt;1),1,0))</f>
        <v/>
      </c>
      <c r="AH3384" s="51" t="str">
        <f aca="false">IF(AND(E3384&gt;0,AA3384&lt;1,NOT(AND(C3385=C3384,AA3385=AA3384+1))),INDEX(DATAS,AA3384+1),"")</f>
        <v/>
      </c>
      <c r="AI3384" s="51" t="str">
        <f aca="false">IF(AND(AC3384=1,AA3384&lt;1),IF(AND(C3385=C3384,AA3385=AA3384+1),IF(AC3385=1,"",INDEX(DATAS,AA3384+1)),INDEX(DATAS,AA3384+1)),"")</f>
        <v/>
      </c>
    </row>
    <row r="3385" customFormat="false" ht="15" hidden="false" customHeight="false" outlineLevel="0" collapsed="false">
      <c r="A3385" s="51" t="n">
        <v>46309</v>
      </c>
      <c r="B3385" s="0" t="n">
        <v>13</v>
      </c>
      <c r="C3385" s="0" t="n">
        <v>7821</v>
      </c>
      <c r="E3385" s="0" t="n">
        <v>0</v>
      </c>
      <c r="F3385" s="46" t="s">
        <v>1583</v>
      </c>
      <c r="I3385" s="46" t="s">
        <v>179</v>
      </c>
      <c r="U3385" s="0" t="n">
        <v>125</v>
      </c>
      <c r="V3385" s="0" t="n">
        <v>0</v>
      </c>
      <c r="X3385" s="46" t="n">
        <f aca="false">IF(I3385="Male",0,1)</f>
        <v>1</v>
      </c>
      <c r="Y3385" s="46" t="n">
        <f aca="false">IF(OR(I3385="DNB",I3385="Dry DNB"),1,0)</f>
        <v>0</v>
      </c>
      <c r="Z3385" s="0" t="str">
        <f aca="false">IF(ISNUMBER(W3385),A3385-W3385,"")</f>
        <v/>
      </c>
      <c r="AA3385" s="46" t="n">
        <f aca="false">MATCH(A3385,DATAS,0)</f>
        <v>1</v>
      </c>
      <c r="AB3385" s="46" t="n">
        <f aca="false">IF(AND(E3385&gt;0,OR(AND(B3385&gt;=1,B3385&lt;=6),B3385=10)),1,0)</f>
        <v>0</v>
      </c>
      <c r="AC3385" s="46" t="n">
        <f aca="false">IF(AND(E3385&gt;0,B3385=10),1,0)</f>
        <v>0</v>
      </c>
      <c r="AD3385" s="0" t="str">
        <f aca="false">IF(AND(C3384=C3385,AA3384=AA3385-1),AB3384,"")</f>
        <v/>
      </c>
      <c r="AE3385" s="0" t="str">
        <f aca="false">IF(AND(C3384=C3385,AA3384=AA3385-1),AC3384,"")</f>
        <v/>
      </c>
      <c r="AF3385" s="0" t="str">
        <f aca="false">IF(AA3385=1,"",IF(AND(AB3385=1,AD3385&lt;&gt;1),1,0))</f>
        <v/>
      </c>
      <c r="AG3385" s="0" t="str">
        <f aca="false">IF(AA3385=1,"",IF(AND(AC3385=1,AE3385&lt;&gt;1),1,0))</f>
        <v/>
      </c>
      <c r="AH3385" s="51" t="str">
        <f aca="false">IF(AND(E3385&gt;0,AA3385&lt;1,NOT(AND(C3386=C3385,AA3386=AA3385+1))),INDEX(DATAS,AA3385+1),"")</f>
        <v/>
      </c>
      <c r="AI3385" s="51" t="str">
        <f aca="false">IF(AND(AC3385=1,AA3385&lt;1),IF(AND(C3386=C3385,AA3386=AA3385+1),IF(AC3386=1,"",INDEX(DATAS,AA3385+1)),INDEX(DATAS,AA3385+1)),"")</f>
        <v/>
      </c>
    </row>
    <row r="3386" customFormat="false" ht="15" hidden="false" customHeight="false" outlineLevel="0" collapsed="false">
      <c r="A3386" s="51" t="n">
        <v>46309</v>
      </c>
      <c r="B3386" s="0" t="n">
        <v>13</v>
      </c>
      <c r="C3386" s="0" t="n">
        <v>7822</v>
      </c>
      <c r="E3386" s="0" t="n">
        <v>0</v>
      </c>
      <c r="F3386" s="46" t="s">
        <v>1584</v>
      </c>
      <c r="I3386" s="46" t="s">
        <v>179</v>
      </c>
      <c r="U3386" s="0" t="n">
        <v>123</v>
      </c>
      <c r="V3386" s="0" t="n">
        <v>0</v>
      </c>
      <c r="X3386" s="46" t="n">
        <f aca="false">IF(I3386="Male",0,1)</f>
        <v>1</v>
      </c>
      <c r="Y3386" s="46" t="n">
        <f aca="false">IF(OR(I3386="DNB",I3386="Dry DNB"),1,0)</f>
        <v>0</v>
      </c>
      <c r="Z3386" s="0" t="str">
        <f aca="false">IF(ISNUMBER(W3386),A3386-W3386,"")</f>
        <v/>
      </c>
      <c r="AA3386" s="46" t="n">
        <f aca="false">MATCH(A3386,DATAS,0)</f>
        <v>1</v>
      </c>
      <c r="AB3386" s="46" t="n">
        <f aca="false">IF(AND(E3386&gt;0,OR(AND(B3386&gt;=1,B3386&lt;=6),B3386=10)),1,0)</f>
        <v>0</v>
      </c>
      <c r="AC3386" s="46" t="n">
        <f aca="false">IF(AND(E3386&gt;0,B3386=10),1,0)</f>
        <v>0</v>
      </c>
      <c r="AD3386" s="0" t="str">
        <f aca="false">IF(AND(C3385=C3386,AA3385=AA3386-1),AB3385,"")</f>
        <v/>
      </c>
      <c r="AE3386" s="0" t="str">
        <f aca="false">IF(AND(C3385=C3386,AA3385=AA3386-1),AC3385,"")</f>
        <v/>
      </c>
      <c r="AF3386" s="0" t="str">
        <f aca="false">IF(AA3386=1,"",IF(AND(AB3386=1,AD3386&lt;&gt;1),1,0))</f>
        <v/>
      </c>
      <c r="AG3386" s="0" t="str">
        <f aca="false">IF(AA3386=1,"",IF(AND(AC3386=1,AE3386&lt;&gt;1),1,0))</f>
        <v/>
      </c>
      <c r="AH3386" s="51" t="str">
        <f aca="false">IF(AND(E3386&gt;0,AA3386&lt;1,NOT(AND(C3387=C3386,AA3387=AA3386+1))),INDEX(DATAS,AA3386+1),"")</f>
        <v/>
      </c>
      <c r="AI3386" s="51" t="str">
        <f aca="false">IF(AND(AC3386=1,AA3386&lt;1),IF(AND(C3387=C3386,AA3387=AA3386+1),IF(AC3387=1,"",INDEX(DATAS,AA3386+1)),INDEX(DATAS,AA3386+1)),"")</f>
        <v/>
      </c>
    </row>
    <row r="3387" customFormat="false" ht="15" hidden="false" customHeight="false" outlineLevel="0" collapsed="false">
      <c r="A3387" s="51" t="n">
        <v>46309</v>
      </c>
      <c r="B3387" s="0" t="n">
        <v>13</v>
      </c>
      <c r="C3387" s="0" t="n">
        <v>7823</v>
      </c>
      <c r="E3387" s="0" t="n">
        <v>0</v>
      </c>
      <c r="F3387" s="46" t="s">
        <v>1584</v>
      </c>
      <c r="I3387" s="46" t="s">
        <v>179</v>
      </c>
      <c r="U3387" s="0" t="n">
        <v>123</v>
      </c>
      <c r="V3387" s="0" t="n">
        <v>0</v>
      </c>
      <c r="X3387" s="46" t="n">
        <f aca="false">IF(I3387="Male",0,1)</f>
        <v>1</v>
      </c>
      <c r="Y3387" s="46" t="n">
        <f aca="false">IF(OR(I3387="DNB",I3387="Dry DNB"),1,0)</f>
        <v>0</v>
      </c>
      <c r="Z3387" s="0" t="str">
        <f aca="false">IF(ISNUMBER(W3387),A3387-W3387,"")</f>
        <v/>
      </c>
      <c r="AA3387" s="46" t="n">
        <f aca="false">MATCH(A3387,DATAS,0)</f>
        <v>1</v>
      </c>
      <c r="AB3387" s="46" t="n">
        <f aca="false">IF(AND(E3387&gt;0,OR(AND(B3387&gt;=1,B3387&lt;=6),B3387=10)),1,0)</f>
        <v>0</v>
      </c>
      <c r="AC3387" s="46" t="n">
        <f aca="false">IF(AND(E3387&gt;0,B3387=10),1,0)</f>
        <v>0</v>
      </c>
      <c r="AD3387" s="0" t="str">
        <f aca="false">IF(AND(C3386=C3387,AA3386=AA3387-1),AB3386,"")</f>
        <v/>
      </c>
      <c r="AE3387" s="0" t="str">
        <f aca="false">IF(AND(C3386=C3387,AA3386=AA3387-1),AC3386,"")</f>
        <v/>
      </c>
      <c r="AF3387" s="0" t="str">
        <f aca="false">IF(AA3387=1,"",IF(AND(AB3387=1,AD3387&lt;&gt;1),1,0))</f>
        <v/>
      </c>
      <c r="AG3387" s="0" t="str">
        <f aca="false">IF(AA3387=1,"",IF(AND(AC3387=1,AE3387&lt;&gt;1),1,0))</f>
        <v/>
      </c>
      <c r="AH3387" s="51" t="str">
        <f aca="false">IF(AND(E3387&gt;0,AA3387&lt;1,NOT(AND(C3388=C3387,AA3388=AA3387+1))),INDEX(DATAS,AA3387+1),"")</f>
        <v/>
      </c>
      <c r="AI3387" s="51" t="str">
        <f aca="false">IF(AND(AC3387=1,AA3387&lt;1),IF(AND(C3388=C3387,AA3388=AA3387+1),IF(AC3388=1,"",INDEX(DATAS,AA3387+1)),INDEX(DATAS,AA3387+1)),"")</f>
        <v/>
      </c>
    </row>
    <row r="3388" customFormat="false" ht="15" hidden="false" customHeight="false" outlineLevel="0" collapsed="false">
      <c r="A3388" s="51" t="n">
        <v>46309</v>
      </c>
      <c r="B3388" s="0" t="n">
        <v>13</v>
      </c>
      <c r="C3388" s="0" t="n">
        <v>7824</v>
      </c>
      <c r="E3388" s="0" t="n">
        <v>0</v>
      </c>
      <c r="F3388" s="46" t="s">
        <v>1585</v>
      </c>
      <c r="I3388" s="46" t="s">
        <v>179</v>
      </c>
      <c r="U3388" s="0" t="n">
        <v>122</v>
      </c>
      <c r="V3388" s="0" t="n">
        <v>0</v>
      </c>
      <c r="X3388" s="46" t="n">
        <f aca="false">IF(I3388="Male",0,1)</f>
        <v>1</v>
      </c>
      <c r="Y3388" s="46" t="n">
        <f aca="false">IF(OR(I3388="DNB",I3388="Dry DNB"),1,0)</f>
        <v>0</v>
      </c>
      <c r="Z3388" s="0" t="str">
        <f aca="false">IF(ISNUMBER(W3388),A3388-W3388,"")</f>
        <v/>
      </c>
      <c r="AA3388" s="46" t="n">
        <f aca="false">MATCH(A3388,DATAS,0)</f>
        <v>1</v>
      </c>
      <c r="AB3388" s="46" t="n">
        <f aca="false">IF(AND(E3388&gt;0,OR(AND(B3388&gt;=1,B3388&lt;=6),B3388=10)),1,0)</f>
        <v>0</v>
      </c>
      <c r="AC3388" s="46" t="n">
        <f aca="false">IF(AND(E3388&gt;0,B3388=10),1,0)</f>
        <v>0</v>
      </c>
      <c r="AD3388" s="0" t="str">
        <f aca="false">IF(AND(C3387=C3388,AA3387=AA3388-1),AB3387,"")</f>
        <v/>
      </c>
      <c r="AE3388" s="0" t="str">
        <f aca="false">IF(AND(C3387=C3388,AA3387=AA3388-1),AC3387,"")</f>
        <v/>
      </c>
      <c r="AF3388" s="0" t="str">
        <f aca="false">IF(AA3388=1,"",IF(AND(AB3388=1,AD3388&lt;&gt;1),1,0))</f>
        <v/>
      </c>
      <c r="AG3388" s="0" t="str">
        <f aca="false">IF(AA3388=1,"",IF(AND(AC3388=1,AE3388&lt;&gt;1),1,0))</f>
        <v/>
      </c>
      <c r="AH3388" s="51" t="str">
        <f aca="false">IF(AND(E3388&gt;0,AA3388&lt;1,NOT(AND(C3389=C3388,AA3389=AA3388+1))),INDEX(DATAS,AA3388+1),"")</f>
        <v/>
      </c>
      <c r="AI3388" s="51" t="str">
        <f aca="false">IF(AND(AC3388=1,AA3388&lt;1),IF(AND(C3389=C3388,AA3389=AA3388+1),IF(AC3389=1,"",INDEX(DATAS,AA3388+1)),INDEX(DATAS,AA3388+1)),"")</f>
        <v/>
      </c>
    </row>
    <row r="3389" customFormat="false" ht="15" hidden="false" customHeight="false" outlineLevel="0" collapsed="false">
      <c r="A3389" s="51" t="n">
        <v>46309</v>
      </c>
      <c r="B3389" s="0" t="n">
        <v>13</v>
      </c>
      <c r="C3389" s="0" t="n">
        <v>7825</v>
      </c>
      <c r="E3389" s="0" t="n">
        <v>0</v>
      </c>
      <c r="F3389" s="46" t="s">
        <v>1586</v>
      </c>
      <c r="I3389" s="46" t="s">
        <v>179</v>
      </c>
      <c r="U3389" s="0" t="n">
        <v>121</v>
      </c>
      <c r="V3389" s="0" t="n">
        <v>0</v>
      </c>
      <c r="X3389" s="46" t="n">
        <f aca="false">IF(I3389="Male",0,1)</f>
        <v>1</v>
      </c>
      <c r="Y3389" s="46" t="n">
        <f aca="false">IF(OR(I3389="DNB",I3389="Dry DNB"),1,0)</f>
        <v>0</v>
      </c>
      <c r="Z3389" s="0" t="str">
        <f aca="false">IF(ISNUMBER(W3389),A3389-W3389,"")</f>
        <v/>
      </c>
      <c r="AA3389" s="46" t="n">
        <f aca="false">MATCH(A3389,DATAS,0)</f>
        <v>1</v>
      </c>
      <c r="AB3389" s="46" t="n">
        <f aca="false">IF(AND(E3389&gt;0,OR(AND(B3389&gt;=1,B3389&lt;=6),B3389=10)),1,0)</f>
        <v>0</v>
      </c>
      <c r="AC3389" s="46" t="n">
        <f aca="false">IF(AND(E3389&gt;0,B3389=10),1,0)</f>
        <v>0</v>
      </c>
      <c r="AD3389" s="0" t="str">
        <f aca="false">IF(AND(C3388=C3389,AA3388=AA3389-1),AB3388,"")</f>
        <v/>
      </c>
      <c r="AE3389" s="0" t="str">
        <f aca="false">IF(AND(C3388=C3389,AA3388=AA3389-1),AC3388,"")</f>
        <v/>
      </c>
      <c r="AF3389" s="0" t="str">
        <f aca="false">IF(AA3389=1,"",IF(AND(AB3389=1,AD3389&lt;&gt;1),1,0))</f>
        <v/>
      </c>
      <c r="AG3389" s="0" t="str">
        <f aca="false">IF(AA3389=1,"",IF(AND(AC3389=1,AE3389&lt;&gt;1),1,0))</f>
        <v/>
      </c>
      <c r="AH3389" s="51" t="str">
        <f aca="false">IF(AND(E3389&gt;0,AA3389&lt;1,NOT(AND(C3390=C3389,AA3390=AA3389+1))),INDEX(DATAS,AA3389+1),"")</f>
        <v/>
      </c>
      <c r="AI3389" s="51" t="str">
        <f aca="false">IF(AND(AC3389=1,AA3389&lt;1),IF(AND(C3390=C3389,AA3390=AA3389+1),IF(AC3390=1,"",INDEX(DATAS,AA3389+1)),INDEX(DATAS,AA3389+1)),"")</f>
        <v/>
      </c>
    </row>
    <row r="3390" customFormat="false" ht="15" hidden="false" customHeight="false" outlineLevel="0" collapsed="false">
      <c r="A3390" s="51" t="n">
        <v>46309</v>
      </c>
      <c r="B3390" s="0" t="n">
        <v>13</v>
      </c>
      <c r="C3390" s="0" t="n">
        <v>7826</v>
      </c>
      <c r="E3390" s="0" t="n">
        <v>0</v>
      </c>
      <c r="F3390" s="46" t="s">
        <v>1586</v>
      </c>
      <c r="I3390" s="46" t="s">
        <v>179</v>
      </c>
      <c r="U3390" s="0" t="n">
        <v>121</v>
      </c>
      <c r="V3390" s="0" t="n">
        <v>0</v>
      </c>
      <c r="X3390" s="46" t="n">
        <f aca="false">IF(I3390="Male",0,1)</f>
        <v>1</v>
      </c>
      <c r="Y3390" s="46" t="n">
        <f aca="false">IF(OR(I3390="DNB",I3390="Dry DNB"),1,0)</f>
        <v>0</v>
      </c>
      <c r="Z3390" s="0" t="str">
        <f aca="false">IF(ISNUMBER(W3390),A3390-W3390,"")</f>
        <v/>
      </c>
      <c r="AA3390" s="46" t="n">
        <f aca="false">MATCH(A3390,DATAS,0)</f>
        <v>1</v>
      </c>
      <c r="AB3390" s="46" t="n">
        <f aca="false">IF(AND(E3390&gt;0,OR(AND(B3390&gt;=1,B3390&lt;=6),B3390=10)),1,0)</f>
        <v>0</v>
      </c>
      <c r="AC3390" s="46" t="n">
        <f aca="false">IF(AND(E3390&gt;0,B3390=10),1,0)</f>
        <v>0</v>
      </c>
      <c r="AD3390" s="0" t="str">
        <f aca="false">IF(AND(C3389=C3390,AA3389=AA3390-1),AB3389,"")</f>
        <v/>
      </c>
      <c r="AE3390" s="0" t="str">
        <f aca="false">IF(AND(C3389=C3390,AA3389=AA3390-1),AC3389,"")</f>
        <v/>
      </c>
      <c r="AF3390" s="0" t="str">
        <f aca="false">IF(AA3390=1,"",IF(AND(AB3390=1,AD3390&lt;&gt;1),1,0))</f>
        <v/>
      </c>
      <c r="AG3390" s="0" t="str">
        <f aca="false">IF(AA3390=1,"",IF(AND(AC3390=1,AE3390&lt;&gt;1),1,0))</f>
        <v/>
      </c>
      <c r="AH3390" s="51" t="str">
        <f aca="false">IF(AND(E3390&gt;0,AA3390&lt;1,NOT(AND(C3391=C3390,AA3391=AA3390+1))),INDEX(DATAS,AA3390+1),"")</f>
        <v/>
      </c>
      <c r="AI3390" s="51" t="str">
        <f aca="false">IF(AND(AC3390=1,AA3390&lt;1),IF(AND(C3391=C3390,AA3391=AA3390+1),IF(AC3391=1,"",INDEX(DATAS,AA3390+1)),INDEX(DATAS,AA3390+1)),"")</f>
        <v/>
      </c>
    </row>
    <row r="3391" customFormat="false" ht="15" hidden="false" customHeight="false" outlineLevel="0" collapsed="false">
      <c r="A3391" s="51" t="n">
        <v>46309</v>
      </c>
      <c r="B3391" s="0" t="n">
        <v>13</v>
      </c>
      <c r="C3391" s="0" t="n">
        <v>7827</v>
      </c>
      <c r="E3391" s="0" t="n">
        <v>0</v>
      </c>
      <c r="F3391" s="46" t="s">
        <v>1586</v>
      </c>
      <c r="I3391" s="46" t="s">
        <v>179</v>
      </c>
      <c r="U3391" s="0" t="n">
        <v>121</v>
      </c>
      <c r="V3391" s="0" t="n">
        <v>0</v>
      </c>
      <c r="X3391" s="46" t="n">
        <f aca="false">IF(I3391="Male",0,1)</f>
        <v>1</v>
      </c>
      <c r="Y3391" s="46" t="n">
        <f aca="false">IF(OR(I3391="DNB",I3391="Dry DNB"),1,0)</f>
        <v>0</v>
      </c>
      <c r="Z3391" s="0" t="str">
        <f aca="false">IF(ISNUMBER(W3391),A3391-W3391,"")</f>
        <v/>
      </c>
      <c r="AA3391" s="46" t="n">
        <f aca="false">MATCH(A3391,DATAS,0)</f>
        <v>1</v>
      </c>
      <c r="AB3391" s="46" t="n">
        <f aca="false">IF(AND(E3391&gt;0,OR(AND(B3391&gt;=1,B3391&lt;=6),B3391=10)),1,0)</f>
        <v>0</v>
      </c>
      <c r="AC3391" s="46" t="n">
        <f aca="false">IF(AND(E3391&gt;0,B3391=10),1,0)</f>
        <v>0</v>
      </c>
      <c r="AD3391" s="0" t="str">
        <f aca="false">IF(AND(C3390=C3391,AA3390=AA3391-1),AB3390,"")</f>
        <v/>
      </c>
      <c r="AE3391" s="0" t="str">
        <f aca="false">IF(AND(C3390=C3391,AA3390=AA3391-1),AC3390,"")</f>
        <v/>
      </c>
      <c r="AF3391" s="0" t="str">
        <f aca="false">IF(AA3391=1,"",IF(AND(AB3391=1,AD3391&lt;&gt;1),1,0))</f>
        <v/>
      </c>
      <c r="AG3391" s="0" t="str">
        <f aca="false">IF(AA3391=1,"",IF(AND(AC3391=1,AE3391&lt;&gt;1),1,0))</f>
        <v/>
      </c>
      <c r="AH3391" s="51" t="str">
        <f aca="false">IF(AND(E3391&gt;0,AA3391&lt;1,NOT(AND(C3392=C3391,AA3392=AA3391+1))),INDEX(DATAS,AA3391+1),"")</f>
        <v/>
      </c>
      <c r="AI3391" s="51" t="str">
        <f aca="false">IF(AND(AC3391=1,AA3391&lt;1),IF(AND(C3392=C3391,AA3392=AA3391+1),IF(AC3392=1,"",INDEX(DATAS,AA3391+1)),INDEX(DATAS,AA3391+1)),"")</f>
        <v/>
      </c>
    </row>
    <row r="3392" customFormat="false" ht="15" hidden="false" customHeight="false" outlineLevel="0" collapsed="false">
      <c r="A3392" s="51" t="n">
        <v>46309</v>
      </c>
      <c r="B3392" s="0" t="n">
        <v>13</v>
      </c>
      <c r="C3392" s="0" t="n">
        <v>7828</v>
      </c>
      <c r="E3392" s="0" t="n">
        <v>0</v>
      </c>
      <c r="F3392" s="46" t="s">
        <v>1586</v>
      </c>
      <c r="I3392" s="46" t="s">
        <v>179</v>
      </c>
      <c r="U3392" s="0" t="n">
        <v>121</v>
      </c>
      <c r="V3392" s="0" t="n">
        <v>0</v>
      </c>
      <c r="X3392" s="46" t="n">
        <f aca="false">IF(I3392="Male",0,1)</f>
        <v>1</v>
      </c>
      <c r="Y3392" s="46" t="n">
        <f aca="false">IF(OR(I3392="DNB",I3392="Dry DNB"),1,0)</f>
        <v>0</v>
      </c>
      <c r="Z3392" s="0" t="str">
        <f aca="false">IF(ISNUMBER(W3392),A3392-W3392,"")</f>
        <v/>
      </c>
      <c r="AA3392" s="46" t="n">
        <f aca="false">MATCH(A3392,DATAS,0)</f>
        <v>1</v>
      </c>
      <c r="AB3392" s="46" t="n">
        <f aca="false">IF(AND(E3392&gt;0,OR(AND(B3392&gt;=1,B3392&lt;=6),B3392=10)),1,0)</f>
        <v>0</v>
      </c>
      <c r="AC3392" s="46" t="n">
        <f aca="false">IF(AND(E3392&gt;0,B3392=10),1,0)</f>
        <v>0</v>
      </c>
      <c r="AD3392" s="0" t="str">
        <f aca="false">IF(AND(C3391=C3392,AA3391=AA3392-1),AB3391,"")</f>
        <v/>
      </c>
      <c r="AE3392" s="0" t="str">
        <f aca="false">IF(AND(C3391=C3392,AA3391=AA3392-1),AC3391,"")</f>
        <v/>
      </c>
      <c r="AF3392" s="0" t="str">
        <f aca="false">IF(AA3392=1,"",IF(AND(AB3392=1,AD3392&lt;&gt;1),1,0))</f>
        <v/>
      </c>
      <c r="AG3392" s="0" t="str">
        <f aca="false">IF(AA3392=1,"",IF(AND(AC3392=1,AE3392&lt;&gt;1),1,0))</f>
        <v/>
      </c>
      <c r="AH3392" s="51" t="str">
        <f aca="false">IF(AND(E3392&gt;0,AA3392&lt;1,NOT(AND(C3393=C3392,AA3393=AA3392+1))),INDEX(DATAS,AA3392+1),"")</f>
        <v/>
      </c>
      <c r="AI3392" s="51" t="str">
        <f aca="false">IF(AND(AC3392=1,AA3392&lt;1),IF(AND(C3393=C3392,AA3393=AA3392+1),IF(AC3393=1,"",INDEX(DATAS,AA3392+1)),INDEX(DATAS,AA3392+1)),"")</f>
        <v/>
      </c>
    </row>
    <row r="3393" customFormat="false" ht="15" hidden="false" customHeight="false" outlineLevel="0" collapsed="false">
      <c r="A3393" s="51" t="n">
        <v>46309</v>
      </c>
      <c r="B3393" s="0" t="n">
        <v>13</v>
      </c>
      <c r="C3393" s="0" t="n">
        <v>7829</v>
      </c>
      <c r="E3393" s="0" t="n">
        <v>0</v>
      </c>
      <c r="F3393" s="46" t="s">
        <v>1587</v>
      </c>
      <c r="I3393" s="46" t="s">
        <v>179</v>
      </c>
      <c r="U3393" s="0" t="n">
        <v>120</v>
      </c>
      <c r="V3393" s="0" t="n">
        <v>0</v>
      </c>
      <c r="X3393" s="46" t="n">
        <f aca="false">IF(I3393="Male",0,1)</f>
        <v>1</v>
      </c>
      <c r="Y3393" s="46" t="n">
        <f aca="false">IF(OR(I3393="DNB",I3393="Dry DNB"),1,0)</f>
        <v>0</v>
      </c>
      <c r="Z3393" s="0" t="str">
        <f aca="false">IF(ISNUMBER(W3393),A3393-W3393,"")</f>
        <v/>
      </c>
      <c r="AA3393" s="46" t="n">
        <f aca="false">MATCH(A3393,DATAS,0)</f>
        <v>1</v>
      </c>
      <c r="AB3393" s="46" t="n">
        <f aca="false">IF(AND(E3393&gt;0,OR(AND(B3393&gt;=1,B3393&lt;=6),B3393=10)),1,0)</f>
        <v>0</v>
      </c>
      <c r="AC3393" s="46" t="n">
        <f aca="false">IF(AND(E3393&gt;0,B3393=10),1,0)</f>
        <v>0</v>
      </c>
      <c r="AD3393" s="0" t="str">
        <f aca="false">IF(AND(C3392=C3393,AA3392=AA3393-1),AB3392,"")</f>
        <v/>
      </c>
      <c r="AE3393" s="0" t="str">
        <f aca="false">IF(AND(C3392=C3393,AA3392=AA3393-1),AC3392,"")</f>
        <v/>
      </c>
      <c r="AF3393" s="0" t="str">
        <f aca="false">IF(AA3393=1,"",IF(AND(AB3393=1,AD3393&lt;&gt;1),1,0))</f>
        <v/>
      </c>
      <c r="AG3393" s="0" t="str">
        <f aca="false">IF(AA3393=1,"",IF(AND(AC3393=1,AE3393&lt;&gt;1),1,0))</f>
        <v/>
      </c>
      <c r="AH3393" s="51" t="str">
        <f aca="false">IF(AND(E3393&gt;0,AA3393&lt;1,NOT(AND(C3394=C3393,AA3394=AA3393+1))),INDEX(DATAS,AA3393+1),"")</f>
        <v/>
      </c>
      <c r="AI3393" s="51" t="str">
        <f aca="false">IF(AND(AC3393=1,AA3393&lt;1),IF(AND(C3394=C3393,AA3394=AA3393+1),IF(AC3394=1,"",INDEX(DATAS,AA3393+1)),INDEX(DATAS,AA3393+1)),"")</f>
        <v/>
      </c>
    </row>
    <row r="3394" customFormat="false" ht="15" hidden="false" customHeight="false" outlineLevel="0" collapsed="false">
      <c r="A3394" s="51" t="n">
        <v>46309</v>
      </c>
      <c r="B3394" s="0" t="n">
        <v>13</v>
      </c>
      <c r="C3394" s="0" t="n">
        <v>7830</v>
      </c>
      <c r="E3394" s="0" t="n">
        <v>0</v>
      </c>
      <c r="F3394" s="46" t="s">
        <v>1588</v>
      </c>
      <c r="I3394" s="46" t="s">
        <v>179</v>
      </c>
      <c r="U3394" s="0" t="n">
        <v>114</v>
      </c>
      <c r="V3394" s="0" t="n">
        <v>0</v>
      </c>
      <c r="X3394" s="46" t="n">
        <f aca="false">IF(I3394="Male",0,1)</f>
        <v>1</v>
      </c>
      <c r="Y3394" s="46" t="n">
        <f aca="false">IF(OR(I3394="DNB",I3394="Dry DNB"),1,0)</f>
        <v>0</v>
      </c>
      <c r="Z3394" s="0" t="str">
        <f aca="false">IF(ISNUMBER(W3394),A3394-W3394,"")</f>
        <v/>
      </c>
      <c r="AA3394" s="46" t="n">
        <f aca="false">MATCH(A3394,DATAS,0)</f>
        <v>1</v>
      </c>
      <c r="AB3394" s="46" t="n">
        <f aca="false">IF(AND(E3394&gt;0,OR(AND(B3394&gt;=1,B3394&lt;=6),B3394=10)),1,0)</f>
        <v>0</v>
      </c>
      <c r="AC3394" s="46" t="n">
        <f aca="false">IF(AND(E3394&gt;0,B3394=10),1,0)</f>
        <v>0</v>
      </c>
      <c r="AD3394" s="0" t="str">
        <f aca="false">IF(AND(C3393=C3394,AA3393=AA3394-1),AB3393,"")</f>
        <v/>
      </c>
      <c r="AE3394" s="0" t="str">
        <f aca="false">IF(AND(C3393=C3394,AA3393=AA3394-1),AC3393,"")</f>
        <v/>
      </c>
      <c r="AF3394" s="0" t="str">
        <f aca="false">IF(AA3394=1,"",IF(AND(AB3394=1,AD3394&lt;&gt;1),1,0))</f>
        <v/>
      </c>
      <c r="AG3394" s="0" t="str">
        <f aca="false">IF(AA3394=1,"",IF(AND(AC3394=1,AE3394&lt;&gt;1),1,0))</f>
        <v/>
      </c>
      <c r="AH3394" s="51" t="str">
        <f aca="false">IF(AND(E3394&gt;0,AA3394&lt;1,NOT(AND(C3395=C3394,AA3395=AA3394+1))),INDEX(DATAS,AA3394+1),"")</f>
        <v/>
      </c>
      <c r="AI3394" s="51" t="str">
        <f aca="false">IF(AND(AC3394=1,AA3394&lt;1),IF(AND(C3395=C3394,AA3395=AA3394+1),IF(AC3395=1,"",INDEX(DATAS,AA3394+1)),INDEX(DATAS,AA3394+1)),"")</f>
        <v/>
      </c>
    </row>
    <row r="3395" customFormat="false" ht="15" hidden="false" customHeight="false" outlineLevel="0" collapsed="false">
      <c r="A3395" s="51" t="n">
        <v>46309</v>
      </c>
      <c r="B3395" s="0" t="n">
        <v>13</v>
      </c>
      <c r="C3395" s="0" t="n">
        <v>7831</v>
      </c>
      <c r="E3395" s="0" t="n">
        <v>0</v>
      </c>
      <c r="F3395" s="46" t="s">
        <v>1587</v>
      </c>
      <c r="I3395" s="46" t="s">
        <v>179</v>
      </c>
      <c r="U3395" s="0" t="n">
        <v>120</v>
      </c>
      <c r="V3395" s="0" t="n">
        <v>0</v>
      </c>
      <c r="X3395" s="46" t="n">
        <f aca="false">IF(I3395="Male",0,1)</f>
        <v>1</v>
      </c>
      <c r="Y3395" s="46" t="n">
        <f aca="false">IF(OR(I3395="DNB",I3395="Dry DNB"),1,0)</f>
        <v>0</v>
      </c>
      <c r="Z3395" s="0" t="str">
        <f aca="false">IF(ISNUMBER(W3395),A3395-W3395,"")</f>
        <v/>
      </c>
      <c r="AA3395" s="46" t="n">
        <f aca="false">MATCH(A3395,DATAS,0)</f>
        <v>1</v>
      </c>
      <c r="AB3395" s="46" t="n">
        <f aca="false">IF(AND(E3395&gt;0,OR(AND(B3395&gt;=1,B3395&lt;=6),B3395=10)),1,0)</f>
        <v>0</v>
      </c>
      <c r="AC3395" s="46" t="n">
        <f aca="false">IF(AND(E3395&gt;0,B3395=10),1,0)</f>
        <v>0</v>
      </c>
      <c r="AD3395" s="0" t="str">
        <f aca="false">IF(AND(C3394=C3395,AA3394=AA3395-1),AB3394,"")</f>
        <v/>
      </c>
      <c r="AE3395" s="0" t="str">
        <f aca="false">IF(AND(C3394=C3395,AA3394=AA3395-1),AC3394,"")</f>
        <v/>
      </c>
      <c r="AF3395" s="0" t="str">
        <f aca="false">IF(AA3395=1,"",IF(AND(AB3395=1,AD3395&lt;&gt;1),1,0))</f>
        <v/>
      </c>
      <c r="AG3395" s="0" t="str">
        <f aca="false">IF(AA3395=1,"",IF(AND(AC3395=1,AE3395&lt;&gt;1),1,0))</f>
        <v/>
      </c>
      <c r="AH3395" s="51" t="str">
        <f aca="false">IF(AND(E3395&gt;0,AA3395&lt;1,NOT(AND(C3396=C3395,AA3396=AA3395+1))),INDEX(DATAS,AA3395+1),"")</f>
        <v/>
      </c>
      <c r="AI3395" s="51" t="str">
        <f aca="false">IF(AND(AC3395=1,AA3395&lt;1),IF(AND(C3396=C3395,AA3396=AA3395+1),IF(AC3396=1,"",INDEX(DATAS,AA3395+1)),INDEX(DATAS,AA3395+1)),"")</f>
        <v/>
      </c>
    </row>
    <row r="3396" customFormat="false" ht="15" hidden="false" customHeight="false" outlineLevel="0" collapsed="false">
      <c r="A3396" s="51" t="n">
        <v>46309</v>
      </c>
      <c r="B3396" s="0" t="n">
        <v>13</v>
      </c>
      <c r="C3396" s="0" t="n">
        <v>7832</v>
      </c>
      <c r="E3396" s="0" t="n">
        <v>0</v>
      </c>
      <c r="F3396" s="46" t="s">
        <v>1587</v>
      </c>
      <c r="I3396" s="46" t="s">
        <v>179</v>
      </c>
      <c r="U3396" s="0" t="n">
        <v>120</v>
      </c>
      <c r="V3396" s="0" t="n">
        <v>0</v>
      </c>
      <c r="X3396" s="46" t="n">
        <f aca="false">IF(I3396="Male",0,1)</f>
        <v>1</v>
      </c>
      <c r="Y3396" s="46" t="n">
        <f aca="false">IF(OR(I3396="DNB",I3396="Dry DNB"),1,0)</f>
        <v>0</v>
      </c>
      <c r="Z3396" s="0" t="str">
        <f aca="false">IF(ISNUMBER(W3396),A3396-W3396,"")</f>
        <v/>
      </c>
      <c r="AA3396" s="46" t="n">
        <f aca="false">MATCH(A3396,DATAS,0)</f>
        <v>1</v>
      </c>
      <c r="AB3396" s="46" t="n">
        <f aca="false">IF(AND(E3396&gt;0,OR(AND(B3396&gt;=1,B3396&lt;=6),B3396=10)),1,0)</f>
        <v>0</v>
      </c>
      <c r="AC3396" s="46" t="n">
        <f aca="false">IF(AND(E3396&gt;0,B3396=10),1,0)</f>
        <v>0</v>
      </c>
      <c r="AD3396" s="0" t="str">
        <f aca="false">IF(AND(C3395=C3396,AA3395=AA3396-1),AB3395,"")</f>
        <v/>
      </c>
      <c r="AE3396" s="0" t="str">
        <f aca="false">IF(AND(C3395=C3396,AA3395=AA3396-1),AC3395,"")</f>
        <v/>
      </c>
      <c r="AF3396" s="0" t="str">
        <f aca="false">IF(AA3396=1,"",IF(AND(AB3396=1,AD3396&lt;&gt;1),1,0))</f>
        <v/>
      </c>
      <c r="AG3396" s="0" t="str">
        <f aca="false">IF(AA3396=1,"",IF(AND(AC3396=1,AE3396&lt;&gt;1),1,0))</f>
        <v/>
      </c>
      <c r="AH3396" s="51" t="str">
        <f aca="false">IF(AND(E3396&gt;0,AA3396&lt;1,NOT(AND(C3397=C3396,AA3397=AA3396+1))),INDEX(DATAS,AA3396+1),"")</f>
        <v/>
      </c>
      <c r="AI3396" s="51" t="str">
        <f aca="false">IF(AND(AC3396=1,AA3396&lt;1),IF(AND(C3397=C3396,AA3397=AA3396+1),IF(AC3397=1,"",INDEX(DATAS,AA3396+1)),INDEX(DATAS,AA3396+1)),"")</f>
        <v/>
      </c>
    </row>
    <row r="3397" customFormat="false" ht="15" hidden="false" customHeight="false" outlineLevel="0" collapsed="false">
      <c r="A3397" s="51" t="n">
        <v>46309</v>
      </c>
      <c r="B3397" s="0" t="n">
        <v>13</v>
      </c>
      <c r="C3397" s="0" t="n">
        <v>7833</v>
      </c>
      <c r="E3397" s="0" t="n">
        <v>0</v>
      </c>
      <c r="F3397" s="46" t="s">
        <v>1587</v>
      </c>
      <c r="I3397" s="46" t="s">
        <v>179</v>
      </c>
      <c r="U3397" s="0" t="n">
        <v>120</v>
      </c>
      <c r="V3397" s="0" t="n">
        <v>0</v>
      </c>
      <c r="X3397" s="46" t="n">
        <f aca="false">IF(I3397="Male",0,1)</f>
        <v>1</v>
      </c>
      <c r="Y3397" s="46" t="n">
        <f aca="false">IF(OR(I3397="DNB",I3397="Dry DNB"),1,0)</f>
        <v>0</v>
      </c>
      <c r="Z3397" s="0" t="str">
        <f aca="false">IF(ISNUMBER(W3397),A3397-W3397,"")</f>
        <v/>
      </c>
      <c r="AA3397" s="46" t="n">
        <f aca="false">MATCH(A3397,DATAS,0)</f>
        <v>1</v>
      </c>
      <c r="AB3397" s="46" t="n">
        <f aca="false">IF(AND(E3397&gt;0,OR(AND(B3397&gt;=1,B3397&lt;=6),B3397=10)),1,0)</f>
        <v>0</v>
      </c>
      <c r="AC3397" s="46" t="n">
        <f aca="false">IF(AND(E3397&gt;0,B3397=10),1,0)</f>
        <v>0</v>
      </c>
      <c r="AD3397" s="0" t="str">
        <f aca="false">IF(AND(C3396=C3397,AA3396=AA3397-1),AB3396,"")</f>
        <v/>
      </c>
      <c r="AE3397" s="0" t="str">
        <f aca="false">IF(AND(C3396=C3397,AA3396=AA3397-1),AC3396,"")</f>
        <v/>
      </c>
      <c r="AF3397" s="0" t="str">
        <f aca="false">IF(AA3397=1,"",IF(AND(AB3397=1,AD3397&lt;&gt;1),1,0))</f>
        <v/>
      </c>
      <c r="AG3397" s="0" t="str">
        <f aca="false">IF(AA3397=1,"",IF(AND(AC3397=1,AE3397&lt;&gt;1),1,0))</f>
        <v/>
      </c>
      <c r="AH3397" s="51" t="str">
        <f aca="false">IF(AND(E3397&gt;0,AA3397&lt;1,NOT(AND(C3398=C3397,AA3398=AA3397+1))),INDEX(DATAS,AA3397+1),"")</f>
        <v/>
      </c>
      <c r="AI3397" s="51" t="str">
        <f aca="false">IF(AND(AC3397=1,AA3397&lt;1),IF(AND(C3398=C3397,AA3398=AA3397+1),IF(AC3398=1,"",INDEX(DATAS,AA3397+1)),INDEX(DATAS,AA3397+1)),"")</f>
        <v/>
      </c>
    </row>
    <row r="3398" customFormat="false" ht="15" hidden="false" customHeight="false" outlineLevel="0" collapsed="false">
      <c r="A3398" s="51" t="n">
        <v>46309</v>
      </c>
      <c r="B3398" s="0" t="n">
        <v>13</v>
      </c>
      <c r="C3398" s="0" t="n">
        <v>7835</v>
      </c>
      <c r="E3398" s="0" t="n">
        <v>0</v>
      </c>
      <c r="F3398" s="46" t="s">
        <v>1589</v>
      </c>
      <c r="I3398" s="46" t="s">
        <v>179</v>
      </c>
      <c r="U3398" s="0" t="n">
        <v>119</v>
      </c>
      <c r="V3398" s="0" t="n">
        <v>0</v>
      </c>
      <c r="X3398" s="46" t="n">
        <f aca="false">IF(I3398="Male",0,1)</f>
        <v>1</v>
      </c>
      <c r="Y3398" s="46" t="n">
        <f aca="false">IF(OR(I3398="DNB",I3398="Dry DNB"),1,0)</f>
        <v>0</v>
      </c>
      <c r="Z3398" s="0" t="str">
        <f aca="false">IF(ISNUMBER(W3398),A3398-W3398,"")</f>
        <v/>
      </c>
      <c r="AA3398" s="46" t="n">
        <f aca="false">MATCH(A3398,DATAS,0)</f>
        <v>1</v>
      </c>
      <c r="AB3398" s="46" t="n">
        <f aca="false">IF(AND(E3398&gt;0,OR(AND(B3398&gt;=1,B3398&lt;=6),B3398=10)),1,0)</f>
        <v>0</v>
      </c>
      <c r="AC3398" s="46" t="n">
        <f aca="false">IF(AND(E3398&gt;0,B3398=10),1,0)</f>
        <v>0</v>
      </c>
      <c r="AD3398" s="0" t="str">
        <f aca="false">IF(AND(C3397=C3398,AA3397=AA3398-1),AB3397,"")</f>
        <v/>
      </c>
      <c r="AE3398" s="0" t="str">
        <f aca="false">IF(AND(C3397=C3398,AA3397=AA3398-1),AC3397,"")</f>
        <v/>
      </c>
      <c r="AF3398" s="0" t="str">
        <f aca="false">IF(AA3398=1,"",IF(AND(AB3398=1,AD3398&lt;&gt;1),1,0))</f>
        <v/>
      </c>
      <c r="AG3398" s="0" t="str">
        <f aca="false">IF(AA3398=1,"",IF(AND(AC3398=1,AE3398&lt;&gt;1),1,0))</f>
        <v/>
      </c>
      <c r="AH3398" s="51" t="str">
        <f aca="false">IF(AND(E3398&gt;0,AA3398&lt;1,NOT(AND(C3399=C3398,AA3399=AA3398+1))),INDEX(DATAS,AA3398+1),"")</f>
        <v/>
      </c>
      <c r="AI3398" s="51" t="str">
        <f aca="false">IF(AND(AC3398=1,AA3398&lt;1),IF(AND(C3399=C3398,AA3399=AA3398+1),IF(AC3399=1,"",INDEX(DATAS,AA3398+1)),INDEX(DATAS,AA3398+1)),"")</f>
        <v/>
      </c>
    </row>
    <row r="3399" customFormat="false" ht="15" hidden="false" customHeight="false" outlineLevel="0" collapsed="false">
      <c r="A3399" s="51" t="n">
        <v>46309</v>
      </c>
      <c r="B3399" s="0" t="n">
        <v>13</v>
      </c>
      <c r="C3399" s="0" t="n">
        <v>7836</v>
      </c>
      <c r="E3399" s="0" t="n">
        <v>0</v>
      </c>
      <c r="F3399" s="46" t="s">
        <v>1589</v>
      </c>
      <c r="I3399" s="46" t="s">
        <v>179</v>
      </c>
      <c r="U3399" s="0" t="n">
        <v>119</v>
      </c>
      <c r="V3399" s="0" t="n">
        <v>0</v>
      </c>
      <c r="X3399" s="46" t="n">
        <f aca="false">IF(I3399="Male",0,1)</f>
        <v>1</v>
      </c>
      <c r="Y3399" s="46" t="n">
        <f aca="false">IF(OR(I3399="DNB",I3399="Dry DNB"),1,0)</f>
        <v>0</v>
      </c>
      <c r="Z3399" s="0" t="str">
        <f aca="false">IF(ISNUMBER(W3399),A3399-W3399,"")</f>
        <v/>
      </c>
      <c r="AA3399" s="46" t="n">
        <f aca="false">MATCH(A3399,DATAS,0)</f>
        <v>1</v>
      </c>
      <c r="AB3399" s="46" t="n">
        <f aca="false">IF(AND(E3399&gt;0,OR(AND(B3399&gt;=1,B3399&lt;=6),B3399=10)),1,0)</f>
        <v>0</v>
      </c>
      <c r="AC3399" s="46" t="n">
        <f aca="false">IF(AND(E3399&gt;0,B3399=10),1,0)</f>
        <v>0</v>
      </c>
      <c r="AD3399" s="0" t="str">
        <f aca="false">IF(AND(C3398=C3399,AA3398=AA3399-1),AB3398,"")</f>
        <v/>
      </c>
      <c r="AE3399" s="0" t="str">
        <f aca="false">IF(AND(C3398=C3399,AA3398=AA3399-1),AC3398,"")</f>
        <v/>
      </c>
      <c r="AF3399" s="0" t="str">
        <f aca="false">IF(AA3399=1,"",IF(AND(AB3399=1,AD3399&lt;&gt;1),1,0))</f>
        <v/>
      </c>
      <c r="AG3399" s="0" t="str">
        <f aca="false">IF(AA3399=1,"",IF(AND(AC3399=1,AE3399&lt;&gt;1),1,0))</f>
        <v/>
      </c>
      <c r="AH3399" s="51" t="str">
        <f aca="false">IF(AND(E3399&gt;0,AA3399&lt;1,NOT(AND(C3400=C3399,AA3400=AA3399+1))),INDEX(DATAS,AA3399+1),"")</f>
        <v/>
      </c>
      <c r="AI3399" s="51" t="str">
        <f aca="false">IF(AND(AC3399=1,AA3399&lt;1),IF(AND(C3400=C3399,AA3400=AA3399+1),IF(AC3400=1,"",INDEX(DATAS,AA3399+1)),INDEX(DATAS,AA3399+1)),"")</f>
        <v/>
      </c>
    </row>
    <row r="3400" customFormat="false" ht="15" hidden="false" customHeight="false" outlineLevel="0" collapsed="false">
      <c r="A3400" s="51" t="n">
        <v>46309</v>
      </c>
      <c r="B3400" s="0" t="n">
        <v>13</v>
      </c>
      <c r="C3400" s="0" t="n">
        <v>7837</v>
      </c>
      <c r="E3400" s="0" t="n">
        <v>0</v>
      </c>
      <c r="F3400" s="46" t="s">
        <v>1590</v>
      </c>
      <c r="I3400" s="46" t="s">
        <v>179</v>
      </c>
      <c r="U3400" s="0" t="n">
        <v>118</v>
      </c>
      <c r="V3400" s="0" t="n">
        <v>0</v>
      </c>
      <c r="X3400" s="46" t="n">
        <f aca="false">IF(I3400="Male",0,1)</f>
        <v>1</v>
      </c>
      <c r="Y3400" s="46" t="n">
        <f aca="false">IF(OR(I3400="DNB",I3400="Dry DNB"),1,0)</f>
        <v>0</v>
      </c>
      <c r="Z3400" s="0" t="str">
        <f aca="false">IF(ISNUMBER(W3400),A3400-W3400,"")</f>
        <v/>
      </c>
      <c r="AA3400" s="46" t="n">
        <f aca="false">MATCH(A3400,DATAS,0)</f>
        <v>1</v>
      </c>
      <c r="AB3400" s="46" t="n">
        <f aca="false">IF(AND(E3400&gt;0,OR(AND(B3400&gt;=1,B3400&lt;=6),B3400=10)),1,0)</f>
        <v>0</v>
      </c>
      <c r="AC3400" s="46" t="n">
        <f aca="false">IF(AND(E3400&gt;0,B3400=10),1,0)</f>
        <v>0</v>
      </c>
      <c r="AD3400" s="0" t="str">
        <f aca="false">IF(AND(C3399=C3400,AA3399=AA3400-1),AB3399,"")</f>
        <v/>
      </c>
      <c r="AE3400" s="0" t="str">
        <f aca="false">IF(AND(C3399=C3400,AA3399=AA3400-1),AC3399,"")</f>
        <v/>
      </c>
      <c r="AF3400" s="0" t="str">
        <f aca="false">IF(AA3400=1,"",IF(AND(AB3400=1,AD3400&lt;&gt;1),1,0))</f>
        <v/>
      </c>
      <c r="AG3400" s="0" t="str">
        <f aca="false">IF(AA3400=1,"",IF(AND(AC3400=1,AE3400&lt;&gt;1),1,0))</f>
        <v/>
      </c>
      <c r="AH3400" s="51" t="str">
        <f aca="false">IF(AND(E3400&gt;0,AA3400&lt;1,NOT(AND(C3401=C3400,AA3401=AA3400+1))),INDEX(DATAS,AA3400+1),"")</f>
        <v/>
      </c>
      <c r="AI3400" s="51" t="str">
        <f aca="false">IF(AND(AC3400=1,AA3400&lt;1),IF(AND(C3401=C3400,AA3401=AA3400+1),IF(AC3401=1,"",INDEX(DATAS,AA3400+1)),INDEX(DATAS,AA3400+1)),"")</f>
        <v/>
      </c>
    </row>
    <row r="3401" customFormat="false" ht="15" hidden="false" customHeight="false" outlineLevel="0" collapsed="false">
      <c r="A3401" s="51" t="n">
        <v>46309</v>
      </c>
      <c r="B3401" s="0" t="n">
        <v>13</v>
      </c>
      <c r="C3401" s="0" t="n">
        <v>7838</v>
      </c>
      <c r="E3401" s="0" t="n">
        <v>0</v>
      </c>
      <c r="F3401" s="46" t="s">
        <v>1590</v>
      </c>
      <c r="I3401" s="46" t="s">
        <v>179</v>
      </c>
      <c r="U3401" s="0" t="n">
        <v>118</v>
      </c>
      <c r="V3401" s="0" t="n">
        <v>0</v>
      </c>
      <c r="X3401" s="46" t="n">
        <f aca="false">IF(I3401="Male",0,1)</f>
        <v>1</v>
      </c>
      <c r="Y3401" s="46" t="n">
        <f aca="false">IF(OR(I3401="DNB",I3401="Dry DNB"),1,0)</f>
        <v>0</v>
      </c>
      <c r="Z3401" s="0" t="str">
        <f aca="false">IF(ISNUMBER(W3401),A3401-W3401,"")</f>
        <v/>
      </c>
      <c r="AA3401" s="46" t="n">
        <f aca="false">MATCH(A3401,DATAS,0)</f>
        <v>1</v>
      </c>
      <c r="AB3401" s="46" t="n">
        <f aca="false">IF(AND(E3401&gt;0,OR(AND(B3401&gt;=1,B3401&lt;=6),B3401=10)),1,0)</f>
        <v>0</v>
      </c>
      <c r="AC3401" s="46" t="n">
        <f aca="false">IF(AND(E3401&gt;0,B3401=10),1,0)</f>
        <v>0</v>
      </c>
      <c r="AD3401" s="0" t="str">
        <f aca="false">IF(AND(C3400=C3401,AA3400=AA3401-1),AB3400,"")</f>
        <v/>
      </c>
      <c r="AE3401" s="0" t="str">
        <f aca="false">IF(AND(C3400=C3401,AA3400=AA3401-1),AC3400,"")</f>
        <v/>
      </c>
      <c r="AF3401" s="0" t="str">
        <f aca="false">IF(AA3401=1,"",IF(AND(AB3401=1,AD3401&lt;&gt;1),1,0))</f>
        <v/>
      </c>
      <c r="AG3401" s="0" t="str">
        <f aca="false">IF(AA3401=1,"",IF(AND(AC3401=1,AE3401&lt;&gt;1),1,0))</f>
        <v/>
      </c>
      <c r="AH3401" s="51" t="str">
        <f aca="false">IF(AND(E3401&gt;0,AA3401&lt;1,NOT(AND(C3402=C3401,AA3402=AA3401+1))),INDEX(DATAS,AA3401+1),"")</f>
        <v/>
      </c>
      <c r="AI3401" s="51" t="str">
        <f aca="false">IF(AND(AC3401=1,AA3401&lt;1),IF(AND(C3402=C3401,AA3402=AA3401+1),IF(AC3402=1,"",INDEX(DATAS,AA3401+1)),INDEX(DATAS,AA3401+1)),"")</f>
        <v/>
      </c>
    </row>
    <row r="3402" customFormat="false" ht="15" hidden="false" customHeight="false" outlineLevel="0" collapsed="false">
      <c r="A3402" s="51" t="n">
        <v>46309</v>
      </c>
      <c r="B3402" s="0" t="n">
        <v>13</v>
      </c>
      <c r="C3402" s="0" t="n">
        <v>7839</v>
      </c>
      <c r="E3402" s="0" t="n">
        <v>0</v>
      </c>
      <c r="F3402" s="46" t="s">
        <v>1590</v>
      </c>
      <c r="I3402" s="46" t="s">
        <v>179</v>
      </c>
      <c r="U3402" s="0" t="n">
        <v>118</v>
      </c>
      <c r="V3402" s="0" t="n">
        <v>0</v>
      </c>
      <c r="X3402" s="46" t="n">
        <f aca="false">IF(I3402="Male",0,1)</f>
        <v>1</v>
      </c>
      <c r="Y3402" s="46" t="n">
        <f aca="false">IF(OR(I3402="DNB",I3402="Dry DNB"),1,0)</f>
        <v>0</v>
      </c>
      <c r="Z3402" s="0" t="str">
        <f aca="false">IF(ISNUMBER(W3402),A3402-W3402,"")</f>
        <v/>
      </c>
      <c r="AA3402" s="46" t="n">
        <f aca="false">MATCH(A3402,DATAS,0)</f>
        <v>1</v>
      </c>
      <c r="AB3402" s="46" t="n">
        <f aca="false">IF(AND(E3402&gt;0,OR(AND(B3402&gt;=1,B3402&lt;=6),B3402=10)),1,0)</f>
        <v>0</v>
      </c>
      <c r="AC3402" s="46" t="n">
        <f aca="false">IF(AND(E3402&gt;0,B3402=10),1,0)</f>
        <v>0</v>
      </c>
      <c r="AD3402" s="0" t="str">
        <f aca="false">IF(AND(C3401=C3402,AA3401=AA3402-1),AB3401,"")</f>
        <v/>
      </c>
      <c r="AE3402" s="0" t="str">
        <f aca="false">IF(AND(C3401=C3402,AA3401=AA3402-1),AC3401,"")</f>
        <v/>
      </c>
      <c r="AF3402" s="0" t="str">
        <f aca="false">IF(AA3402=1,"",IF(AND(AB3402=1,AD3402&lt;&gt;1),1,0))</f>
        <v/>
      </c>
      <c r="AG3402" s="0" t="str">
        <f aca="false">IF(AA3402=1,"",IF(AND(AC3402=1,AE3402&lt;&gt;1),1,0))</f>
        <v/>
      </c>
      <c r="AH3402" s="51" t="str">
        <f aca="false">IF(AND(E3402&gt;0,AA3402&lt;1,NOT(AND(C3403=C3402,AA3403=AA3402+1))),INDEX(DATAS,AA3402+1),"")</f>
        <v/>
      </c>
      <c r="AI3402" s="51" t="str">
        <f aca="false">IF(AND(AC3402=1,AA3402&lt;1),IF(AND(C3403=C3402,AA3403=AA3402+1),IF(AC3403=1,"",INDEX(DATAS,AA3402+1)),INDEX(DATAS,AA3402+1)),"")</f>
        <v/>
      </c>
    </row>
    <row r="3403" customFormat="false" ht="15" hidden="false" customHeight="false" outlineLevel="0" collapsed="false">
      <c r="A3403" s="51" t="n">
        <v>46309</v>
      </c>
      <c r="B3403" s="0" t="n">
        <v>13</v>
      </c>
      <c r="C3403" s="0" t="n">
        <v>7840</v>
      </c>
      <c r="E3403" s="0" t="n">
        <v>0</v>
      </c>
      <c r="F3403" s="46" t="s">
        <v>1590</v>
      </c>
      <c r="I3403" s="46" t="s">
        <v>179</v>
      </c>
      <c r="U3403" s="0" t="n">
        <v>118</v>
      </c>
      <c r="V3403" s="0" t="n">
        <v>0</v>
      </c>
      <c r="X3403" s="46" t="n">
        <f aca="false">IF(I3403="Male",0,1)</f>
        <v>1</v>
      </c>
      <c r="Y3403" s="46" t="n">
        <f aca="false">IF(OR(I3403="DNB",I3403="Dry DNB"),1,0)</f>
        <v>0</v>
      </c>
      <c r="Z3403" s="0" t="str">
        <f aca="false">IF(ISNUMBER(W3403),A3403-W3403,"")</f>
        <v/>
      </c>
      <c r="AA3403" s="46" t="n">
        <f aca="false">MATCH(A3403,DATAS,0)</f>
        <v>1</v>
      </c>
      <c r="AB3403" s="46" t="n">
        <f aca="false">IF(AND(E3403&gt;0,OR(AND(B3403&gt;=1,B3403&lt;=6),B3403=10)),1,0)</f>
        <v>0</v>
      </c>
      <c r="AC3403" s="46" t="n">
        <f aca="false">IF(AND(E3403&gt;0,B3403=10),1,0)</f>
        <v>0</v>
      </c>
      <c r="AD3403" s="0" t="str">
        <f aca="false">IF(AND(C3402=C3403,AA3402=AA3403-1),AB3402,"")</f>
        <v/>
      </c>
      <c r="AE3403" s="0" t="str">
        <f aca="false">IF(AND(C3402=C3403,AA3402=AA3403-1),AC3402,"")</f>
        <v/>
      </c>
      <c r="AF3403" s="0" t="str">
        <f aca="false">IF(AA3403=1,"",IF(AND(AB3403=1,AD3403&lt;&gt;1),1,0))</f>
        <v/>
      </c>
      <c r="AG3403" s="0" t="str">
        <f aca="false">IF(AA3403=1,"",IF(AND(AC3403=1,AE3403&lt;&gt;1),1,0))</f>
        <v/>
      </c>
      <c r="AH3403" s="51" t="str">
        <f aca="false">IF(AND(E3403&gt;0,AA3403&lt;1,NOT(AND(C3404=C3403,AA3404=AA3403+1))),INDEX(DATAS,AA3403+1),"")</f>
        <v/>
      </c>
      <c r="AI3403" s="51" t="str">
        <f aca="false">IF(AND(AC3403=1,AA3403&lt;1),IF(AND(C3404=C3403,AA3404=AA3403+1),IF(AC3404=1,"",INDEX(DATAS,AA3403+1)),INDEX(DATAS,AA3403+1)),"")</f>
        <v/>
      </c>
    </row>
    <row r="3404" customFormat="false" ht="15" hidden="false" customHeight="false" outlineLevel="0" collapsed="false">
      <c r="A3404" s="51" t="n">
        <v>46309</v>
      </c>
      <c r="B3404" s="0" t="n">
        <v>13</v>
      </c>
      <c r="C3404" s="0" t="n">
        <v>7841</v>
      </c>
      <c r="E3404" s="0" t="n">
        <v>0</v>
      </c>
      <c r="F3404" s="46" t="s">
        <v>1590</v>
      </c>
      <c r="I3404" s="46" t="s">
        <v>179</v>
      </c>
      <c r="U3404" s="0" t="n">
        <v>118</v>
      </c>
      <c r="V3404" s="0" t="n">
        <v>0</v>
      </c>
      <c r="X3404" s="46" t="n">
        <f aca="false">IF(I3404="Male",0,1)</f>
        <v>1</v>
      </c>
      <c r="Y3404" s="46" t="n">
        <f aca="false">IF(OR(I3404="DNB",I3404="Dry DNB"),1,0)</f>
        <v>0</v>
      </c>
      <c r="Z3404" s="0" t="str">
        <f aca="false">IF(ISNUMBER(W3404),A3404-W3404,"")</f>
        <v/>
      </c>
      <c r="AA3404" s="46" t="n">
        <f aca="false">MATCH(A3404,DATAS,0)</f>
        <v>1</v>
      </c>
      <c r="AB3404" s="46" t="n">
        <f aca="false">IF(AND(E3404&gt;0,OR(AND(B3404&gt;=1,B3404&lt;=6),B3404=10)),1,0)</f>
        <v>0</v>
      </c>
      <c r="AC3404" s="46" t="n">
        <f aca="false">IF(AND(E3404&gt;0,B3404=10),1,0)</f>
        <v>0</v>
      </c>
      <c r="AD3404" s="0" t="str">
        <f aca="false">IF(AND(C3403=C3404,AA3403=AA3404-1),AB3403,"")</f>
        <v/>
      </c>
      <c r="AE3404" s="0" t="str">
        <f aca="false">IF(AND(C3403=C3404,AA3403=AA3404-1),AC3403,"")</f>
        <v/>
      </c>
      <c r="AF3404" s="0" t="str">
        <f aca="false">IF(AA3404=1,"",IF(AND(AB3404=1,AD3404&lt;&gt;1),1,0))</f>
        <v/>
      </c>
      <c r="AG3404" s="0" t="str">
        <f aca="false">IF(AA3404=1,"",IF(AND(AC3404=1,AE3404&lt;&gt;1),1,0))</f>
        <v/>
      </c>
      <c r="AH3404" s="51" t="str">
        <f aca="false">IF(AND(E3404&gt;0,AA3404&lt;1,NOT(AND(C3405=C3404,AA3405=AA3404+1))),INDEX(DATAS,AA3404+1),"")</f>
        <v/>
      </c>
      <c r="AI3404" s="51" t="str">
        <f aca="false">IF(AND(AC3404=1,AA3404&lt;1),IF(AND(C3405=C3404,AA3405=AA3404+1),IF(AC3405=1,"",INDEX(DATAS,AA3404+1)),INDEX(DATAS,AA3404+1)),"")</f>
        <v/>
      </c>
    </row>
    <row r="3405" customFormat="false" ht="15" hidden="false" customHeight="false" outlineLevel="0" collapsed="false">
      <c r="A3405" s="51" t="n">
        <v>46309</v>
      </c>
      <c r="B3405" s="0" t="n">
        <v>13</v>
      </c>
      <c r="C3405" s="0" t="n">
        <v>7842</v>
      </c>
      <c r="E3405" s="0" t="n">
        <v>0</v>
      </c>
      <c r="F3405" s="46" t="s">
        <v>1590</v>
      </c>
      <c r="I3405" s="46" t="s">
        <v>179</v>
      </c>
      <c r="U3405" s="0" t="n">
        <v>118</v>
      </c>
      <c r="V3405" s="0" t="n">
        <v>0</v>
      </c>
      <c r="X3405" s="46" t="n">
        <f aca="false">IF(I3405="Male",0,1)</f>
        <v>1</v>
      </c>
      <c r="Y3405" s="46" t="n">
        <f aca="false">IF(OR(I3405="DNB",I3405="Dry DNB"),1,0)</f>
        <v>0</v>
      </c>
      <c r="Z3405" s="0" t="str">
        <f aca="false">IF(ISNUMBER(W3405),A3405-W3405,"")</f>
        <v/>
      </c>
      <c r="AA3405" s="46" t="n">
        <f aca="false">MATCH(A3405,DATAS,0)</f>
        <v>1</v>
      </c>
      <c r="AB3405" s="46" t="n">
        <f aca="false">IF(AND(E3405&gt;0,OR(AND(B3405&gt;=1,B3405&lt;=6),B3405=10)),1,0)</f>
        <v>0</v>
      </c>
      <c r="AC3405" s="46" t="n">
        <f aca="false">IF(AND(E3405&gt;0,B3405=10),1,0)</f>
        <v>0</v>
      </c>
      <c r="AD3405" s="0" t="str">
        <f aca="false">IF(AND(C3404=C3405,AA3404=AA3405-1),AB3404,"")</f>
        <v/>
      </c>
      <c r="AE3405" s="0" t="str">
        <f aca="false">IF(AND(C3404=C3405,AA3404=AA3405-1),AC3404,"")</f>
        <v/>
      </c>
      <c r="AF3405" s="0" t="str">
        <f aca="false">IF(AA3405=1,"",IF(AND(AB3405=1,AD3405&lt;&gt;1),1,0))</f>
        <v/>
      </c>
      <c r="AG3405" s="0" t="str">
        <f aca="false">IF(AA3405=1,"",IF(AND(AC3405=1,AE3405&lt;&gt;1),1,0))</f>
        <v/>
      </c>
      <c r="AH3405" s="51" t="str">
        <f aca="false">IF(AND(E3405&gt;0,AA3405&lt;1,NOT(AND(C3406=C3405,AA3406=AA3405+1))),INDEX(DATAS,AA3405+1),"")</f>
        <v/>
      </c>
      <c r="AI3405" s="51" t="str">
        <f aca="false">IF(AND(AC3405=1,AA3405&lt;1),IF(AND(C3406=C3405,AA3406=AA3405+1),IF(AC3406=1,"",INDEX(DATAS,AA3405+1)),INDEX(DATAS,AA3405+1)),"")</f>
        <v/>
      </c>
    </row>
    <row r="3406" customFormat="false" ht="15" hidden="false" customHeight="false" outlineLevel="0" collapsed="false">
      <c r="A3406" s="51" t="n">
        <v>46309</v>
      </c>
      <c r="B3406" s="0" t="n">
        <v>13</v>
      </c>
      <c r="C3406" s="0" t="n">
        <v>7843</v>
      </c>
      <c r="E3406" s="0" t="n">
        <v>0</v>
      </c>
      <c r="F3406" s="46" t="s">
        <v>1590</v>
      </c>
      <c r="I3406" s="46" t="s">
        <v>179</v>
      </c>
      <c r="U3406" s="0" t="n">
        <v>118</v>
      </c>
      <c r="V3406" s="0" t="n">
        <v>0</v>
      </c>
      <c r="X3406" s="46" t="n">
        <f aca="false">IF(I3406="Male",0,1)</f>
        <v>1</v>
      </c>
      <c r="Y3406" s="46" t="n">
        <f aca="false">IF(OR(I3406="DNB",I3406="Dry DNB"),1,0)</f>
        <v>0</v>
      </c>
      <c r="Z3406" s="0" t="str">
        <f aca="false">IF(ISNUMBER(W3406),A3406-W3406,"")</f>
        <v/>
      </c>
      <c r="AA3406" s="46" t="n">
        <f aca="false">MATCH(A3406,DATAS,0)</f>
        <v>1</v>
      </c>
      <c r="AB3406" s="46" t="n">
        <f aca="false">IF(AND(E3406&gt;0,OR(AND(B3406&gt;=1,B3406&lt;=6),B3406=10)),1,0)</f>
        <v>0</v>
      </c>
      <c r="AC3406" s="46" t="n">
        <f aca="false">IF(AND(E3406&gt;0,B3406=10),1,0)</f>
        <v>0</v>
      </c>
      <c r="AD3406" s="0" t="str">
        <f aca="false">IF(AND(C3405=C3406,AA3405=AA3406-1),AB3405,"")</f>
        <v/>
      </c>
      <c r="AE3406" s="0" t="str">
        <f aca="false">IF(AND(C3405=C3406,AA3405=AA3406-1),AC3405,"")</f>
        <v/>
      </c>
      <c r="AF3406" s="0" t="str">
        <f aca="false">IF(AA3406=1,"",IF(AND(AB3406=1,AD3406&lt;&gt;1),1,0))</f>
        <v/>
      </c>
      <c r="AG3406" s="0" t="str">
        <f aca="false">IF(AA3406=1,"",IF(AND(AC3406=1,AE3406&lt;&gt;1),1,0))</f>
        <v/>
      </c>
      <c r="AH3406" s="51" t="str">
        <f aca="false">IF(AND(E3406&gt;0,AA3406&lt;1,NOT(AND(C3407=C3406,AA3407=AA3406+1))),INDEX(DATAS,AA3406+1),"")</f>
        <v/>
      </c>
      <c r="AI3406" s="51" t="str">
        <f aca="false">IF(AND(AC3406=1,AA3406&lt;1),IF(AND(C3407=C3406,AA3407=AA3406+1),IF(AC3407=1,"",INDEX(DATAS,AA3406+1)),INDEX(DATAS,AA3406+1)),"")</f>
        <v/>
      </c>
    </row>
    <row r="3407" customFormat="false" ht="15" hidden="false" customHeight="false" outlineLevel="0" collapsed="false">
      <c r="A3407" s="51" t="n">
        <v>46309</v>
      </c>
      <c r="B3407" s="0" t="n">
        <v>13</v>
      </c>
      <c r="C3407" s="0" t="n">
        <v>7845</v>
      </c>
      <c r="E3407" s="0" t="n">
        <v>0</v>
      </c>
      <c r="F3407" s="46" t="s">
        <v>1591</v>
      </c>
      <c r="I3407" s="46" t="s">
        <v>179</v>
      </c>
      <c r="U3407" s="0" t="n">
        <v>117</v>
      </c>
      <c r="V3407" s="0" t="n">
        <v>0</v>
      </c>
      <c r="X3407" s="46" t="n">
        <f aca="false">IF(I3407="Male",0,1)</f>
        <v>1</v>
      </c>
      <c r="Y3407" s="46" t="n">
        <f aca="false">IF(OR(I3407="DNB",I3407="Dry DNB"),1,0)</f>
        <v>0</v>
      </c>
      <c r="Z3407" s="0" t="str">
        <f aca="false">IF(ISNUMBER(W3407),A3407-W3407,"")</f>
        <v/>
      </c>
      <c r="AA3407" s="46" t="n">
        <f aca="false">MATCH(A3407,DATAS,0)</f>
        <v>1</v>
      </c>
      <c r="AB3407" s="46" t="n">
        <f aca="false">IF(AND(E3407&gt;0,OR(AND(B3407&gt;=1,B3407&lt;=6),B3407=10)),1,0)</f>
        <v>0</v>
      </c>
      <c r="AC3407" s="46" t="n">
        <f aca="false">IF(AND(E3407&gt;0,B3407=10),1,0)</f>
        <v>0</v>
      </c>
      <c r="AD3407" s="0" t="str">
        <f aca="false">IF(AND(C3406=C3407,AA3406=AA3407-1),AB3406,"")</f>
        <v/>
      </c>
      <c r="AE3407" s="0" t="str">
        <f aca="false">IF(AND(C3406=C3407,AA3406=AA3407-1),AC3406,"")</f>
        <v/>
      </c>
      <c r="AF3407" s="0" t="str">
        <f aca="false">IF(AA3407=1,"",IF(AND(AB3407=1,AD3407&lt;&gt;1),1,0))</f>
        <v/>
      </c>
      <c r="AG3407" s="0" t="str">
        <f aca="false">IF(AA3407=1,"",IF(AND(AC3407=1,AE3407&lt;&gt;1),1,0))</f>
        <v/>
      </c>
      <c r="AH3407" s="51" t="str">
        <f aca="false">IF(AND(E3407&gt;0,AA3407&lt;1,NOT(AND(C3408=C3407,AA3408=AA3407+1))),INDEX(DATAS,AA3407+1),"")</f>
        <v/>
      </c>
      <c r="AI3407" s="51" t="str">
        <f aca="false">IF(AND(AC3407=1,AA3407&lt;1),IF(AND(C3408=C3407,AA3408=AA3407+1),IF(AC3408=1,"",INDEX(DATAS,AA3407+1)),INDEX(DATAS,AA3407+1)),"")</f>
        <v/>
      </c>
    </row>
    <row r="3408" customFormat="false" ht="15" hidden="false" customHeight="false" outlineLevel="0" collapsed="false">
      <c r="A3408" s="51" t="n">
        <v>46309</v>
      </c>
      <c r="B3408" s="0" t="n">
        <v>13</v>
      </c>
      <c r="C3408" s="0" t="n">
        <v>7846</v>
      </c>
      <c r="E3408" s="0" t="n">
        <v>0</v>
      </c>
      <c r="F3408" s="46" t="s">
        <v>1591</v>
      </c>
      <c r="I3408" s="46" t="s">
        <v>179</v>
      </c>
      <c r="U3408" s="0" t="n">
        <v>117</v>
      </c>
      <c r="V3408" s="0" t="n">
        <v>0</v>
      </c>
      <c r="X3408" s="46" t="n">
        <f aca="false">IF(I3408="Male",0,1)</f>
        <v>1</v>
      </c>
      <c r="Y3408" s="46" t="n">
        <f aca="false">IF(OR(I3408="DNB",I3408="Dry DNB"),1,0)</f>
        <v>0</v>
      </c>
      <c r="Z3408" s="0" t="str">
        <f aca="false">IF(ISNUMBER(W3408),A3408-W3408,"")</f>
        <v/>
      </c>
      <c r="AA3408" s="46" t="n">
        <f aca="false">MATCH(A3408,DATAS,0)</f>
        <v>1</v>
      </c>
      <c r="AB3408" s="46" t="n">
        <f aca="false">IF(AND(E3408&gt;0,OR(AND(B3408&gt;=1,B3408&lt;=6),B3408=10)),1,0)</f>
        <v>0</v>
      </c>
      <c r="AC3408" s="46" t="n">
        <f aca="false">IF(AND(E3408&gt;0,B3408=10),1,0)</f>
        <v>0</v>
      </c>
      <c r="AD3408" s="0" t="str">
        <f aca="false">IF(AND(C3407=C3408,AA3407=AA3408-1),AB3407,"")</f>
        <v/>
      </c>
      <c r="AE3408" s="0" t="str">
        <f aca="false">IF(AND(C3407=C3408,AA3407=AA3408-1),AC3407,"")</f>
        <v/>
      </c>
      <c r="AF3408" s="0" t="str">
        <f aca="false">IF(AA3408=1,"",IF(AND(AB3408=1,AD3408&lt;&gt;1),1,0))</f>
        <v/>
      </c>
      <c r="AG3408" s="0" t="str">
        <f aca="false">IF(AA3408=1,"",IF(AND(AC3408=1,AE3408&lt;&gt;1),1,0))</f>
        <v/>
      </c>
      <c r="AH3408" s="51" t="str">
        <f aca="false">IF(AND(E3408&gt;0,AA3408&lt;1,NOT(AND(C3409=C3408,AA3409=AA3408+1))),INDEX(DATAS,AA3408+1),"")</f>
        <v/>
      </c>
      <c r="AI3408" s="51" t="str">
        <f aca="false">IF(AND(AC3408=1,AA3408&lt;1),IF(AND(C3409=C3408,AA3409=AA3408+1),IF(AC3409=1,"",INDEX(DATAS,AA3408+1)),INDEX(DATAS,AA3408+1)),"")</f>
        <v/>
      </c>
    </row>
    <row r="3409" customFormat="false" ht="15" hidden="false" customHeight="false" outlineLevel="0" collapsed="false">
      <c r="A3409" s="51" t="n">
        <v>46309</v>
      </c>
      <c r="B3409" s="0" t="n">
        <v>13</v>
      </c>
      <c r="C3409" s="0" t="n">
        <v>7847</v>
      </c>
      <c r="E3409" s="0" t="n">
        <v>0</v>
      </c>
      <c r="F3409" s="46" t="s">
        <v>1591</v>
      </c>
      <c r="I3409" s="46" t="s">
        <v>179</v>
      </c>
      <c r="U3409" s="0" t="n">
        <v>117</v>
      </c>
      <c r="V3409" s="0" t="n">
        <v>0</v>
      </c>
      <c r="X3409" s="46" t="n">
        <f aca="false">IF(I3409="Male",0,1)</f>
        <v>1</v>
      </c>
      <c r="Y3409" s="46" t="n">
        <f aca="false">IF(OR(I3409="DNB",I3409="Dry DNB"),1,0)</f>
        <v>0</v>
      </c>
      <c r="Z3409" s="0" t="str">
        <f aca="false">IF(ISNUMBER(W3409),A3409-W3409,"")</f>
        <v/>
      </c>
      <c r="AA3409" s="46" t="n">
        <f aca="false">MATCH(A3409,DATAS,0)</f>
        <v>1</v>
      </c>
      <c r="AB3409" s="46" t="n">
        <f aca="false">IF(AND(E3409&gt;0,OR(AND(B3409&gt;=1,B3409&lt;=6),B3409=10)),1,0)</f>
        <v>0</v>
      </c>
      <c r="AC3409" s="46" t="n">
        <f aca="false">IF(AND(E3409&gt;0,B3409=10),1,0)</f>
        <v>0</v>
      </c>
      <c r="AD3409" s="0" t="str">
        <f aca="false">IF(AND(C3408=C3409,AA3408=AA3409-1),AB3408,"")</f>
        <v/>
      </c>
      <c r="AE3409" s="0" t="str">
        <f aca="false">IF(AND(C3408=C3409,AA3408=AA3409-1),AC3408,"")</f>
        <v/>
      </c>
      <c r="AF3409" s="0" t="str">
        <f aca="false">IF(AA3409=1,"",IF(AND(AB3409=1,AD3409&lt;&gt;1),1,0))</f>
        <v/>
      </c>
      <c r="AG3409" s="0" t="str">
        <f aca="false">IF(AA3409=1,"",IF(AND(AC3409=1,AE3409&lt;&gt;1),1,0))</f>
        <v/>
      </c>
      <c r="AH3409" s="51" t="str">
        <f aca="false">IF(AND(E3409&gt;0,AA3409&lt;1,NOT(AND(C3410=C3409,AA3410=AA3409+1))),INDEX(DATAS,AA3409+1),"")</f>
        <v/>
      </c>
      <c r="AI3409" s="51" t="str">
        <f aca="false">IF(AND(AC3409=1,AA3409&lt;1),IF(AND(C3410=C3409,AA3410=AA3409+1),IF(AC3410=1,"",INDEX(DATAS,AA3409+1)),INDEX(DATAS,AA3409+1)),"")</f>
        <v/>
      </c>
    </row>
    <row r="3410" customFormat="false" ht="15" hidden="false" customHeight="false" outlineLevel="0" collapsed="false">
      <c r="A3410" s="51" t="n">
        <v>46309</v>
      </c>
      <c r="B3410" s="0" t="n">
        <v>13</v>
      </c>
      <c r="C3410" s="0" t="n">
        <v>7848</v>
      </c>
      <c r="E3410" s="0" t="n">
        <v>0</v>
      </c>
      <c r="F3410" s="46" t="s">
        <v>1591</v>
      </c>
      <c r="I3410" s="46" t="s">
        <v>179</v>
      </c>
      <c r="U3410" s="0" t="n">
        <v>117</v>
      </c>
      <c r="V3410" s="0" t="n">
        <v>0</v>
      </c>
      <c r="X3410" s="46" t="n">
        <f aca="false">IF(I3410="Male",0,1)</f>
        <v>1</v>
      </c>
      <c r="Y3410" s="46" t="n">
        <f aca="false">IF(OR(I3410="DNB",I3410="Dry DNB"),1,0)</f>
        <v>0</v>
      </c>
      <c r="Z3410" s="0" t="str">
        <f aca="false">IF(ISNUMBER(W3410),A3410-W3410,"")</f>
        <v/>
      </c>
      <c r="AA3410" s="46" t="n">
        <f aca="false">MATCH(A3410,DATAS,0)</f>
        <v>1</v>
      </c>
      <c r="AB3410" s="46" t="n">
        <f aca="false">IF(AND(E3410&gt;0,OR(AND(B3410&gt;=1,B3410&lt;=6),B3410=10)),1,0)</f>
        <v>0</v>
      </c>
      <c r="AC3410" s="46" t="n">
        <f aca="false">IF(AND(E3410&gt;0,B3410=10),1,0)</f>
        <v>0</v>
      </c>
      <c r="AD3410" s="0" t="str">
        <f aca="false">IF(AND(C3409=C3410,AA3409=AA3410-1),AB3409,"")</f>
        <v/>
      </c>
      <c r="AE3410" s="0" t="str">
        <f aca="false">IF(AND(C3409=C3410,AA3409=AA3410-1),AC3409,"")</f>
        <v/>
      </c>
      <c r="AF3410" s="0" t="str">
        <f aca="false">IF(AA3410=1,"",IF(AND(AB3410=1,AD3410&lt;&gt;1),1,0))</f>
        <v/>
      </c>
      <c r="AG3410" s="0" t="str">
        <f aca="false">IF(AA3410=1,"",IF(AND(AC3410=1,AE3410&lt;&gt;1),1,0))</f>
        <v/>
      </c>
      <c r="AH3410" s="51" t="str">
        <f aca="false">IF(AND(E3410&gt;0,AA3410&lt;1,NOT(AND(C3411=C3410,AA3411=AA3410+1))),INDEX(DATAS,AA3410+1),"")</f>
        <v/>
      </c>
      <c r="AI3410" s="51" t="str">
        <f aca="false">IF(AND(AC3410=1,AA3410&lt;1),IF(AND(C3411=C3410,AA3411=AA3410+1),IF(AC3411=1,"",INDEX(DATAS,AA3410+1)),INDEX(DATAS,AA3410+1)),"")</f>
        <v/>
      </c>
    </row>
    <row r="3411" customFormat="false" ht="15" hidden="false" customHeight="false" outlineLevel="0" collapsed="false">
      <c r="A3411" s="51" t="n">
        <v>46309</v>
      </c>
      <c r="B3411" s="0" t="n">
        <v>13</v>
      </c>
      <c r="C3411" s="0" t="n">
        <v>7849</v>
      </c>
      <c r="E3411" s="0" t="n">
        <v>0</v>
      </c>
      <c r="F3411" s="46" t="s">
        <v>1592</v>
      </c>
      <c r="I3411" s="46" t="s">
        <v>179</v>
      </c>
      <c r="U3411" s="0" t="n">
        <v>116</v>
      </c>
      <c r="V3411" s="0" t="n">
        <v>0</v>
      </c>
      <c r="X3411" s="46" t="n">
        <f aca="false">IF(I3411="Male",0,1)</f>
        <v>1</v>
      </c>
      <c r="Y3411" s="46" t="n">
        <f aca="false">IF(OR(I3411="DNB",I3411="Dry DNB"),1,0)</f>
        <v>0</v>
      </c>
      <c r="Z3411" s="0" t="str">
        <f aca="false">IF(ISNUMBER(W3411),A3411-W3411,"")</f>
        <v/>
      </c>
      <c r="AA3411" s="46" t="n">
        <f aca="false">MATCH(A3411,DATAS,0)</f>
        <v>1</v>
      </c>
      <c r="AB3411" s="46" t="n">
        <f aca="false">IF(AND(E3411&gt;0,OR(AND(B3411&gt;=1,B3411&lt;=6),B3411=10)),1,0)</f>
        <v>0</v>
      </c>
      <c r="AC3411" s="46" t="n">
        <f aca="false">IF(AND(E3411&gt;0,B3411=10),1,0)</f>
        <v>0</v>
      </c>
      <c r="AD3411" s="0" t="str">
        <f aca="false">IF(AND(C3410=C3411,AA3410=AA3411-1),AB3410,"")</f>
        <v/>
      </c>
      <c r="AE3411" s="0" t="str">
        <f aca="false">IF(AND(C3410=C3411,AA3410=AA3411-1),AC3410,"")</f>
        <v/>
      </c>
      <c r="AF3411" s="0" t="str">
        <f aca="false">IF(AA3411=1,"",IF(AND(AB3411=1,AD3411&lt;&gt;1),1,0))</f>
        <v/>
      </c>
      <c r="AG3411" s="0" t="str">
        <f aca="false">IF(AA3411=1,"",IF(AND(AC3411=1,AE3411&lt;&gt;1),1,0))</f>
        <v/>
      </c>
      <c r="AH3411" s="51" t="str">
        <f aca="false">IF(AND(E3411&gt;0,AA3411&lt;1,NOT(AND(C3412=C3411,AA3412=AA3411+1))),INDEX(DATAS,AA3411+1),"")</f>
        <v/>
      </c>
      <c r="AI3411" s="51" t="str">
        <f aca="false">IF(AND(AC3411=1,AA3411&lt;1),IF(AND(C3412=C3411,AA3412=AA3411+1),IF(AC3412=1,"",INDEX(DATAS,AA3411+1)),INDEX(DATAS,AA3411+1)),"")</f>
        <v/>
      </c>
    </row>
    <row r="3412" customFormat="false" ht="15" hidden="false" customHeight="false" outlineLevel="0" collapsed="false">
      <c r="A3412" s="51" t="n">
        <v>46309</v>
      </c>
      <c r="B3412" s="0" t="n">
        <v>13</v>
      </c>
      <c r="C3412" s="0" t="n">
        <v>7851</v>
      </c>
      <c r="E3412" s="0" t="n">
        <v>0</v>
      </c>
      <c r="F3412" s="46" t="s">
        <v>1588</v>
      </c>
      <c r="I3412" s="46" t="s">
        <v>179</v>
      </c>
      <c r="U3412" s="0" t="n">
        <v>114</v>
      </c>
      <c r="V3412" s="0" t="n">
        <v>0</v>
      </c>
      <c r="X3412" s="46" t="n">
        <f aca="false">IF(I3412="Male",0,1)</f>
        <v>1</v>
      </c>
      <c r="Y3412" s="46" t="n">
        <f aca="false">IF(OR(I3412="DNB",I3412="Dry DNB"),1,0)</f>
        <v>0</v>
      </c>
      <c r="Z3412" s="0" t="str">
        <f aca="false">IF(ISNUMBER(W3412),A3412-W3412,"")</f>
        <v/>
      </c>
      <c r="AA3412" s="46" t="n">
        <f aca="false">MATCH(A3412,DATAS,0)</f>
        <v>1</v>
      </c>
      <c r="AB3412" s="46" t="n">
        <f aca="false">IF(AND(E3412&gt;0,OR(AND(B3412&gt;=1,B3412&lt;=6),B3412=10)),1,0)</f>
        <v>0</v>
      </c>
      <c r="AC3412" s="46" t="n">
        <f aca="false">IF(AND(E3412&gt;0,B3412=10),1,0)</f>
        <v>0</v>
      </c>
      <c r="AD3412" s="0" t="str">
        <f aca="false">IF(AND(C3411=C3412,AA3411=AA3412-1),AB3411,"")</f>
        <v/>
      </c>
      <c r="AE3412" s="0" t="str">
        <f aca="false">IF(AND(C3411=C3412,AA3411=AA3412-1),AC3411,"")</f>
        <v/>
      </c>
      <c r="AF3412" s="0" t="str">
        <f aca="false">IF(AA3412=1,"",IF(AND(AB3412=1,AD3412&lt;&gt;1),1,0))</f>
        <v/>
      </c>
      <c r="AG3412" s="0" t="str">
        <f aca="false">IF(AA3412=1,"",IF(AND(AC3412=1,AE3412&lt;&gt;1),1,0))</f>
        <v/>
      </c>
      <c r="AH3412" s="51" t="str">
        <f aca="false">IF(AND(E3412&gt;0,AA3412&lt;1,NOT(AND(C3413=C3412,AA3413=AA3412+1))),INDEX(DATAS,AA3412+1),"")</f>
        <v/>
      </c>
      <c r="AI3412" s="51" t="str">
        <f aca="false">IF(AND(AC3412=1,AA3412&lt;1),IF(AND(C3413=C3412,AA3413=AA3412+1),IF(AC3413=1,"",INDEX(DATAS,AA3412+1)),INDEX(DATAS,AA3412+1)),"")</f>
        <v/>
      </c>
    </row>
    <row r="3413" customFormat="false" ht="15" hidden="false" customHeight="false" outlineLevel="0" collapsed="false">
      <c r="A3413" s="51" t="n">
        <v>46309</v>
      </c>
      <c r="B3413" s="0" t="n">
        <v>13</v>
      </c>
      <c r="C3413" s="0" t="n">
        <v>7852</v>
      </c>
      <c r="E3413" s="0" t="n">
        <v>0</v>
      </c>
      <c r="F3413" s="46" t="s">
        <v>1588</v>
      </c>
      <c r="I3413" s="46" t="s">
        <v>179</v>
      </c>
      <c r="U3413" s="0" t="n">
        <v>114</v>
      </c>
      <c r="V3413" s="0" t="n">
        <v>0</v>
      </c>
      <c r="X3413" s="46" t="n">
        <f aca="false">IF(I3413="Male",0,1)</f>
        <v>1</v>
      </c>
      <c r="Y3413" s="46" t="n">
        <f aca="false">IF(OR(I3413="DNB",I3413="Dry DNB"),1,0)</f>
        <v>0</v>
      </c>
      <c r="Z3413" s="0" t="str">
        <f aca="false">IF(ISNUMBER(W3413),A3413-W3413,"")</f>
        <v/>
      </c>
      <c r="AA3413" s="46" t="n">
        <f aca="false">MATCH(A3413,DATAS,0)</f>
        <v>1</v>
      </c>
      <c r="AB3413" s="46" t="n">
        <f aca="false">IF(AND(E3413&gt;0,OR(AND(B3413&gt;=1,B3413&lt;=6),B3413=10)),1,0)</f>
        <v>0</v>
      </c>
      <c r="AC3413" s="46" t="n">
        <f aca="false">IF(AND(E3413&gt;0,B3413=10),1,0)</f>
        <v>0</v>
      </c>
      <c r="AD3413" s="0" t="str">
        <f aca="false">IF(AND(C3412=C3413,AA3412=AA3413-1),AB3412,"")</f>
        <v/>
      </c>
      <c r="AE3413" s="0" t="str">
        <f aca="false">IF(AND(C3412=C3413,AA3412=AA3413-1),AC3412,"")</f>
        <v/>
      </c>
      <c r="AF3413" s="0" t="str">
        <f aca="false">IF(AA3413=1,"",IF(AND(AB3413=1,AD3413&lt;&gt;1),1,0))</f>
        <v/>
      </c>
      <c r="AG3413" s="0" t="str">
        <f aca="false">IF(AA3413=1,"",IF(AND(AC3413=1,AE3413&lt;&gt;1),1,0))</f>
        <v/>
      </c>
      <c r="AH3413" s="51" t="str">
        <f aca="false">IF(AND(E3413&gt;0,AA3413&lt;1,NOT(AND(C3414=C3413,AA3414=AA3413+1))),INDEX(DATAS,AA3413+1),"")</f>
        <v/>
      </c>
      <c r="AI3413" s="51" t="str">
        <f aca="false">IF(AND(AC3413=1,AA3413&lt;1),IF(AND(C3414=C3413,AA3414=AA3413+1),IF(AC3414=1,"",INDEX(DATAS,AA3413+1)),INDEX(DATAS,AA3413+1)),"")</f>
        <v/>
      </c>
    </row>
    <row r="3414" customFormat="false" ht="15" hidden="false" customHeight="false" outlineLevel="0" collapsed="false">
      <c r="A3414" s="51" t="n">
        <v>46309</v>
      </c>
      <c r="B3414" s="0" t="n">
        <v>13</v>
      </c>
      <c r="C3414" s="0" t="n">
        <v>7853</v>
      </c>
      <c r="E3414" s="0" t="n">
        <v>0</v>
      </c>
      <c r="F3414" s="46" t="s">
        <v>1588</v>
      </c>
      <c r="I3414" s="46" t="s">
        <v>179</v>
      </c>
      <c r="U3414" s="0" t="n">
        <v>114</v>
      </c>
      <c r="V3414" s="0" t="n">
        <v>0</v>
      </c>
      <c r="X3414" s="46" t="n">
        <f aca="false">IF(I3414="Male",0,1)</f>
        <v>1</v>
      </c>
      <c r="Y3414" s="46" t="n">
        <f aca="false">IF(OR(I3414="DNB",I3414="Dry DNB"),1,0)</f>
        <v>0</v>
      </c>
      <c r="Z3414" s="0" t="str">
        <f aca="false">IF(ISNUMBER(W3414),A3414-W3414,"")</f>
        <v/>
      </c>
      <c r="AA3414" s="46" t="n">
        <f aca="false">MATCH(A3414,DATAS,0)</f>
        <v>1</v>
      </c>
      <c r="AB3414" s="46" t="n">
        <f aca="false">IF(AND(E3414&gt;0,OR(AND(B3414&gt;=1,B3414&lt;=6),B3414=10)),1,0)</f>
        <v>0</v>
      </c>
      <c r="AC3414" s="46" t="n">
        <f aca="false">IF(AND(E3414&gt;0,B3414=10),1,0)</f>
        <v>0</v>
      </c>
      <c r="AD3414" s="0" t="str">
        <f aca="false">IF(AND(C3413=C3414,AA3413=AA3414-1),AB3413,"")</f>
        <v/>
      </c>
      <c r="AE3414" s="0" t="str">
        <f aca="false">IF(AND(C3413=C3414,AA3413=AA3414-1),AC3413,"")</f>
        <v/>
      </c>
      <c r="AF3414" s="0" t="str">
        <f aca="false">IF(AA3414=1,"",IF(AND(AB3414=1,AD3414&lt;&gt;1),1,0))</f>
        <v/>
      </c>
      <c r="AG3414" s="0" t="str">
        <f aca="false">IF(AA3414=1,"",IF(AND(AC3414=1,AE3414&lt;&gt;1),1,0))</f>
        <v/>
      </c>
      <c r="AH3414" s="51" t="str">
        <f aca="false">IF(AND(E3414&gt;0,AA3414&lt;1,NOT(AND(C3415=C3414,AA3415=AA3414+1))),INDEX(DATAS,AA3414+1),"")</f>
        <v/>
      </c>
      <c r="AI3414" s="51" t="str">
        <f aca="false">IF(AND(AC3414=1,AA3414&lt;1),IF(AND(C3415=C3414,AA3415=AA3414+1),IF(AC3415=1,"",INDEX(DATAS,AA3414+1)),INDEX(DATAS,AA3414+1)),"")</f>
        <v/>
      </c>
    </row>
    <row r="3415" customFormat="false" ht="15" hidden="false" customHeight="false" outlineLevel="0" collapsed="false">
      <c r="A3415" s="51" t="n">
        <v>46309</v>
      </c>
      <c r="B3415" s="0" t="n">
        <v>13</v>
      </c>
      <c r="C3415" s="0" t="n">
        <v>7854</v>
      </c>
      <c r="E3415" s="0" t="n">
        <v>0</v>
      </c>
      <c r="F3415" s="46" t="s">
        <v>1593</v>
      </c>
      <c r="I3415" s="46" t="s">
        <v>179</v>
      </c>
      <c r="U3415" s="0" t="n">
        <v>113</v>
      </c>
      <c r="V3415" s="0" t="n">
        <v>0</v>
      </c>
      <c r="X3415" s="46" t="n">
        <f aca="false">IF(I3415="Male",0,1)</f>
        <v>1</v>
      </c>
      <c r="Y3415" s="46" t="n">
        <f aca="false">IF(OR(I3415="DNB",I3415="Dry DNB"),1,0)</f>
        <v>0</v>
      </c>
      <c r="Z3415" s="0" t="str">
        <f aca="false">IF(ISNUMBER(W3415),A3415-W3415,"")</f>
        <v/>
      </c>
      <c r="AA3415" s="46" t="n">
        <f aca="false">MATCH(A3415,DATAS,0)</f>
        <v>1</v>
      </c>
      <c r="AB3415" s="46" t="n">
        <f aca="false">IF(AND(E3415&gt;0,OR(AND(B3415&gt;=1,B3415&lt;=6),B3415=10)),1,0)</f>
        <v>0</v>
      </c>
      <c r="AC3415" s="46" t="n">
        <f aca="false">IF(AND(E3415&gt;0,B3415=10),1,0)</f>
        <v>0</v>
      </c>
      <c r="AD3415" s="0" t="str">
        <f aca="false">IF(AND(C3414=C3415,AA3414=AA3415-1),AB3414,"")</f>
        <v/>
      </c>
      <c r="AE3415" s="0" t="str">
        <f aca="false">IF(AND(C3414=C3415,AA3414=AA3415-1),AC3414,"")</f>
        <v/>
      </c>
      <c r="AF3415" s="0" t="str">
        <f aca="false">IF(AA3415=1,"",IF(AND(AB3415=1,AD3415&lt;&gt;1),1,0))</f>
        <v/>
      </c>
      <c r="AG3415" s="0" t="str">
        <f aca="false">IF(AA3415=1,"",IF(AND(AC3415=1,AE3415&lt;&gt;1),1,0))</f>
        <v/>
      </c>
      <c r="AH3415" s="51" t="str">
        <f aca="false">IF(AND(E3415&gt;0,AA3415&lt;1,NOT(AND(C3416=C3415,AA3416=AA3415+1))),INDEX(DATAS,AA3415+1),"")</f>
        <v/>
      </c>
      <c r="AI3415" s="51" t="str">
        <f aca="false">IF(AND(AC3415=1,AA3415&lt;1),IF(AND(C3416=C3415,AA3416=AA3415+1),IF(AC3416=1,"",INDEX(DATAS,AA3415+1)),INDEX(DATAS,AA3415+1)),"")</f>
        <v/>
      </c>
    </row>
    <row r="3416" customFormat="false" ht="15" hidden="false" customHeight="false" outlineLevel="0" collapsed="false">
      <c r="A3416" s="51" t="n">
        <v>46309</v>
      </c>
      <c r="B3416" s="0" t="n">
        <v>13</v>
      </c>
      <c r="C3416" s="0" t="n">
        <v>7855</v>
      </c>
      <c r="E3416" s="0" t="n">
        <v>0</v>
      </c>
      <c r="F3416" s="46" t="s">
        <v>1593</v>
      </c>
      <c r="I3416" s="46" t="s">
        <v>179</v>
      </c>
      <c r="U3416" s="0" t="n">
        <v>113</v>
      </c>
      <c r="V3416" s="0" t="n">
        <v>0</v>
      </c>
      <c r="X3416" s="46" t="n">
        <f aca="false">IF(I3416="Male",0,1)</f>
        <v>1</v>
      </c>
      <c r="Y3416" s="46" t="n">
        <f aca="false">IF(OR(I3416="DNB",I3416="Dry DNB"),1,0)</f>
        <v>0</v>
      </c>
      <c r="Z3416" s="0" t="str">
        <f aca="false">IF(ISNUMBER(W3416),A3416-W3416,"")</f>
        <v/>
      </c>
      <c r="AA3416" s="46" t="n">
        <f aca="false">MATCH(A3416,DATAS,0)</f>
        <v>1</v>
      </c>
      <c r="AB3416" s="46" t="n">
        <f aca="false">IF(AND(E3416&gt;0,OR(AND(B3416&gt;=1,B3416&lt;=6),B3416=10)),1,0)</f>
        <v>0</v>
      </c>
      <c r="AC3416" s="46" t="n">
        <f aca="false">IF(AND(E3416&gt;0,B3416=10),1,0)</f>
        <v>0</v>
      </c>
      <c r="AD3416" s="0" t="str">
        <f aca="false">IF(AND(C3415=C3416,AA3415=AA3416-1),AB3415,"")</f>
        <v/>
      </c>
      <c r="AE3416" s="0" t="str">
        <f aca="false">IF(AND(C3415=C3416,AA3415=AA3416-1),AC3415,"")</f>
        <v/>
      </c>
      <c r="AF3416" s="0" t="str">
        <f aca="false">IF(AA3416=1,"",IF(AND(AB3416=1,AD3416&lt;&gt;1),1,0))</f>
        <v/>
      </c>
      <c r="AG3416" s="0" t="str">
        <f aca="false">IF(AA3416=1,"",IF(AND(AC3416=1,AE3416&lt;&gt;1),1,0))</f>
        <v/>
      </c>
      <c r="AH3416" s="51" t="str">
        <f aca="false">IF(AND(E3416&gt;0,AA3416&lt;1,NOT(AND(C3417=C3416,AA3417=AA3416+1))),INDEX(DATAS,AA3416+1),"")</f>
        <v/>
      </c>
      <c r="AI3416" s="51" t="str">
        <f aca="false">IF(AND(AC3416=1,AA3416&lt;1),IF(AND(C3417=C3416,AA3417=AA3416+1),IF(AC3417=1,"",INDEX(DATAS,AA3416+1)),INDEX(DATAS,AA3416+1)),"")</f>
        <v/>
      </c>
    </row>
    <row r="3417" customFormat="false" ht="15" hidden="false" customHeight="false" outlineLevel="0" collapsed="false">
      <c r="A3417" s="51" t="n">
        <v>46309</v>
      </c>
      <c r="B3417" s="0" t="n">
        <v>13</v>
      </c>
      <c r="C3417" s="0" t="n">
        <v>7856</v>
      </c>
      <c r="E3417" s="0" t="n">
        <v>0</v>
      </c>
      <c r="F3417" s="46" t="s">
        <v>1593</v>
      </c>
      <c r="I3417" s="46" t="s">
        <v>179</v>
      </c>
      <c r="U3417" s="0" t="n">
        <v>113</v>
      </c>
      <c r="V3417" s="0" t="n">
        <v>0</v>
      </c>
      <c r="X3417" s="46" t="n">
        <f aca="false">IF(I3417="Male",0,1)</f>
        <v>1</v>
      </c>
      <c r="Y3417" s="46" t="n">
        <f aca="false">IF(OR(I3417="DNB",I3417="Dry DNB"),1,0)</f>
        <v>0</v>
      </c>
      <c r="Z3417" s="0" t="str">
        <f aca="false">IF(ISNUMBER(W3417),A3417-W3417,"")</f>
        <v/>
      </c>
      <c r="AA3417" s="46" t="n">
        <f aca="false">MATCH(A3417,DATAS,0)</f>
        <v>1</v>
      </c>
      <c r="AB3417" s="46" t="n">
        <f aca="false">IF(AND(E3417&gt;0,OR(AND(B3417&gt;=1,B3417&lt;=6),B3417=10)),1,0)</f>
        <v>0</v>
      </c>
      <c r="AC3417" s="46" t="n">
        <f aca="false">IF(AND(E3417&gt;0,B3417=10),1,0)</f>
        <v>0</v>
      </c>
      <c r="AD3417" s="0" t="str">
        <f aca="false">IF(AND(C3416=C3417,AA3416=AA3417-1),AB3416,"")</f>
        <v/>
      </c>
      <c r="AE3417" s="0" t="str">
        <f aca="false">IF(AND(C3416=C3417,AA3416=AA3417-1),AC3416,"")</f>
        <v/>
      </c>
      <c r="AF3417" s="0" t="str">
        <f aca="false">IF(AA3417=1,"",IF(AND(AB3417=1,AD3417&lt;&gt;1),1,0))</f>
        <v/>
      </c>
      <c r="AG3417" s="0" t="str">
        <f aca="false">IF(AA3417=1,"",IF(AND(AC3417=1,AE3417&lt;&gt;1),1,0))</f>
        <v/>
      </c>
      <c r="AH3417" s="51" t="str">
        <f aca="false">IF(AND(E3417&gt;0,AA3417&lt;1,NOT(AND(C3418=C3417,AA3418=AA3417+1))),INDEX(DATAS,AA3417+1),"")</f>
        <v/>
      </c>
      <c r="AI3417" s="51" t="str">
        <f aca="false">IF(AND(AC3417=1,AA3417&lt;1),IF(AND(C3418=C3417,AA3418=AA3417+1),IF(AC3418=1,"",INDEX(DATAS,AA3417+1)),INDEX(DATAS,AA3417+1)),"")</f>
        <v/>
      </c>
    </row>
    <row r="3418" customFormat="false" ht="15" hidden="false" customHeight="false" outlineLevel="0" collapsed="false">
      <c r="A3418" s="51" t="n">
        <v>46309</v>
      </c>
      <c r="B3418" s="0" t="n">
        <v>13</v>
      </c>
      <c r="C3418" s="0" t="n">
        <v>7857</v>
      </c>
      <c r="E3418" s="0" t="n">
        <v>0</v>
      </c>
      <c r="F3418" s="46" t="s">
        <v>1594</v>
      </c>
      <c r="I3418" s="46" t="s">
        <v>179</v>
      </c>
      <c r="U3418" s="0" t="n">
        <v>112</v>
      </c>
      <c r="V3418" s="0" t="n">
        <v>0</v>
      </c>
      <c r="X3418" s="46" t="n">
        <f aca="false">IF(I3418="Male",0,1)</f>
        <v>1</v>
      </c>
      <c r="Y3418" s="46" t="n">
        <f aca="false">IF(OR(I3418="DNB",I3418="Dry DNB"),1,0)</f>
        <v>0</v>
      </c>
      <c r="Z3418" s="0" t="str">
        <f aca="false">IF(ISNUMBER(W3418),A3418-W3418,"")</f>
        <v/>
      </c>
      <c r="AA3418" s="46" t="n">
        <f aca="false">MATCH(A3418,DATAS,0)</f>
        <v>1</v>
      </c>
      <c r="AB3418" s="46" t="n">
        <f aca="false">IF(AND(E3418&gt;0,OR(AND(B3418&gt;=1,B3418&lt;=6),B3418=10)),1,0)</f>
        <v>0</v>
      </c>
      <c r="AC3418" s="46" t="n">
        <f aca="false">IF(AND(E3418&gt;0,B3418=10),1,0)</f>
        <v>0</v>
      </c>
      <c r="AD3418" s="0" t="str">
        <f aca="false">IF(AND(C3417=C3418,AA3417=AA3418-1),AB3417,"")</f>
        <v/>
      </c>
      <c r="AE3418" s="0" t="str">
        <f aca="false">IF(AND(C3417=C3418,AA3417=AA3418-1),AC3417,"")</f>
        <v/>
      </c>
      <c r="AF3418" s="0" t="str">
        <f aca="false">IF(AA3418=1,"",IF(AND(AB3418=1,AD3418&lt;&gt;1),1,0))</f>
        <v/>
      </c>
      <c r="AG3418" s="0" t="str">
        <f aca="false">IF(AA3418=1,"",IF(AND(AC3418=1,AE3418&lt;&gt;1),1,0))</f>
        <v/>
      </c>
      <c r="AH3418" s="51" t="str">
        <f aca="false">IF(AND(E3418&gt;0,AA3418&lt;1,NOT(AND(C3419=C3418,AA3419=AA3418+1))),INDEX(DATAS,AA3418+1),"")</f>
        <v/>
      </c>
      <c r="AI3418" s="51" t="str">
        <f aca="false">IF(AND(AC3418=1,AA3418&lt;1),IF(AND(C3419=C3418,AA3419=AA3418+1),IF(AC3419=1,"",INDEX(DATAS,AA3418+1)),INDEX(DATAS,AA3418+1)),"")</f>
        <v/>
      </c>
    </row>
    <row r="3419" customFormat="false" ht="15" hidden="false" customHeight="false" outlineLevel="0" collapsed="false">
      <c r="A3419" s="51" t="n">
        <v>46309</v>
      </c>
      <c r="B3419" s="0" t="n">
        <v>13</v>
      </c>
      <c r="C3419" s="0" t="n">
        <v>7858</v>
      </c>
      <c r="E3419" s="0" t="n">
        <v>0</v>
      </c>
      <c r="F3419" s="46" t="s">
        <v>1594</v>
      </c>
      <c r="I3419" s="46" t="s">
        <v>179</v>
      </c>
      <c r="U3419" s="0" t="n">
        <v>112</v>
      </c>
      <c r="V3419" s="0" t="n">
        <v>0</v>
      </c>
      <c r="X3419" s="46" t="n">
        <f aca="false">IF(I3419="Male",0,1)</f>
        <v>1</v>
      </c>
      <c r="Y3419" s="46" t="n">
        <f aca="false">IF(OR(I3419="DNB",I3419="Dry DNB"),1,0)</f>
        <v>0</v>
      </c>
      <c r="Z3419" s="0" t="str">
        <f aca="false">IF(ISNUMBER(W3419),A3419-W3419,"")</f>
        <v/>
      </c>
      <c r="AA3419" s="46" t="n">
        <f aca="false">MATCH(A3419,DATAS,0)</f>
        <v>1</v>
      </c>
      <c r="AB3419" s="46" t="n">
        <f aca="false">IF(AND(E3419&gt;0,OR(AND(B3419&gt;=1,B3419&lt;=6),B3419=10)),1,0)</f>
        <v>0</v>
      </c>
      <c r="AC3419" s="46" t="n">
        <f aca="false">IF(AND(E3419&gt;0,B3419=10),1,0)</f>
        <v>0</v>
      </c>
      <c r="AD3419" s="0" t="str">
        <f aca="false">IF(AND(C3418=C3419,AA3418=AA3419-1),AB3418,"")</f>
        <v/>
      </c>
      <c r="AE3419" s="0" t="str">
        <f aca="false">IF(AND(C3418=C3419,AA3418=AA3419-1),AC3418,"")</f>
        <v/>
      </c>
      <c r="AF3419" s="0" t="str">
        <f aca="false">IF(AA3419=1,"",IF(AND(AB3419=1,AD3419&lt;&gt;1),1,0))</f>
        <v/>
      </c>
      <c r="AG3419" s="0" t="str">
        <f aca="false">IF(AA3419=1,"",IF(AND(AC3419=1,AE3419&lt;&gt;1),1,0))</f>
        <v/>
      </c>
      <c r="AH3419" s="51" t="str">
        <f aca="false">IF(AND(E3419&gt;0,AA3419&lt;1,NOT(AND(C3420=C3419,AA3420=AA3419+1))),INDEX(DATAS,AA3419+1),"")</f>
        <v/>
      </c>
      <c r="AI3419" s="51" t="str">
        <f aca="false">IF(AND(AC3419=1,AA3419&lt;1),IF(AND(C3420=C3419,AA3420=AA3419+1),IF(AC3420=1,"",INDEX(DATAS,AA3419+1)),INDEX(DATAS,AA3419+1)),"")</f>
        <v/>
      </c>
    </row>
    <row r="3420" customFormat="false" ht="15" hidden="false" customHeight="false" outlineLevel="0" collapsed="false">
      <c r="A3420" s="51" t="n">
        <v>46309</v>
      </c>
      <c r="B3420" s="0" t="n">
        <v>13</v>
      </c>
      <c r="C3420" s="0" t="n">
        <v>7859</v>
      </c>
      <c r="E3420" s="0" t="n">
        <v>0</v>
      </c>
      <c r="F3420" s="46" t="s">
        <v>1594</v>
      </c>
      <c r="I3420" s="46" t="s">
        <v>179</v>
      </c>
      <c r="U3420" s="0" t="n">
        <v>112</v>
      </c>
      <c r="V3420" s="0" t="n">
        <v>0</v>
      </c>
      <c r="X3420" s="46" t="n">
        <f aca="false">IF(I3420="Male",0,1)</f>
        <v>1</v>
      </c>
      <c r="Y3420" s="46" t="n">
        <f aca="false">IF(OR(I3420="DNB",I3420="Dry DNB"),1,0)</f>
        <v>0</v>
      </c>
      <c r="Z3420" s="0" t="str">
        <f aca="false">IF(ISNUMBER(W3420),A3420-W3420,"")</f>
        <v/>
      </c>
      <c r="AA3420" s="46" t="n">
        <f aca="false">MATCH(A3420,DATAS,0)</f>
        <v>1</v>
      </c>
      <c r="AB3420" s="46" t="n">
        <f aca="false">IF(AND(E3420&gt;0,OR(AND(B3420&gt;=1,B3420&lt;=6),B3420=10)),1,0)</f>
        <v>0</v>
      </c>
      <c r="AC3420" s="46" t="n">
        <f aca="false">IF(AND(E3420&gt;0,B3420=10),1,0)</f>
        <v>0</v>
      </c>
      <c r="AD3420" s="0" t="str">
        <f aca="false">IF(AND(C3419=C3420,AA3419=AA3420-1),AB3419,"")</f>
        <v/>
      </c>
      <c r="AE3420" s="0" t="str">
        <f aca="false">IF(AND(C3419=C3420,AA3419=AA3420-1),AC3419,"")</f>
        <v/>
      </c>
      <c r="AF3420" s="0" t="str">
        <f aca="false">IF(AA3420=1,"",IF(AND(AB3420=1,AD3420&lt;&gt;1),1,0))</f>
        <v/>
      </c>
      <c r="AG3420" s="0" t="str">
        <f aca="false">IF(AA3420=1,"",IF(AND(AC3420=1,AE3420&lt;&gt;1),1,0))</f>
        <v/>
      </c>
      <c r="AH3420" s="51" t="str">
        <f aca="false">IF(AND(E3420&gt;0,AA3420&lt;1,NOT(AND(C3421=C3420,AA3421=AA3420+1))),INDEX(DATAS,AA3420+1),"")</f>
        <v/>
      </c>
      <c r="AI3420" s="51" t="str">
        <f aca="false">IF(AND(AC3420=1,AA3420&lt;1),IF(AND(C3421=C3420,AA3421=AA3420+1),IF(AC3421=1,"",INDEX(DATAS,AA3420+1)),INDEX(DATAS,AA3420+1)),"")</f>
        <v/>
      </c>
    </row>
    <row r="3421" customFormat="false" ht="15" hidden="false" customHeight="false" outlineLevel="0" collapsed="false">
      <c r="A3421" s="51" t="n">
        <v>46309</v>
      </c>
      <c r="B3421" s="0" t="n">
        <v>13</v>
      </c>
      <c r="C3421" s="0" t="n">
        <v>7860</v>
      </c>
      <c r="E3421" s="0" t="n">
        <v>0</v>
      </c>
      <c r="F3421" s="46" t="s">
        <v>1594</v>
      </c>
      <c r="I3421" s="46" t="s">
        <v>179</v>
      </c>
      <c r="U3421" s="0" t="n">
        <v>112</v>
      </c>
      <c r="V3421" s="0" t="n">
        <v>0</v>
      </c>
      <c r="X3421" s="46" t="n">
        <f aca="false">IF(I3421="Male",0,1)</f>
        <v>1</v>
      </c>
      <c r="Y3421" s="46" t="n">
        <f aca="false">IF(OR(I3421="DNB",I3421="Dry DNB"),1,0)</f>
        <v>0</v>
      </c>
      <c r="Z3421" s="0" t="str">
        <f aca="false">IF(ISNUMBER(W3421),A3421-W3421,"")</f>
        <v/>
      </c>
      <c r="AA3421" s="46" t="n">
        <f aca="false">MATCH(A3421,DATAS,0)</f>
        <v>1</v>
      </c>
      <c r="AB3421" s="46" t="n">
        <f aca="false">IF(AND(E3421&gt;0,OR(AND(B3421&gt;=1,B3421&lt;=6),B3421=10)),1,0)</f>
        <v>0</v>
      </c>
      <c r="AC3421" s="46" t="n">
        <f aca="false">IF(AND(E3421&gt;0,B3421=10),1,0)</f>
        <v>0</v>
      </c>
      <c r="AD3421" s="0" t="str">
        <f aca="false">IF(AND(C3420=C3421,AA3420=AA3421-1),AB3420,"")</f>
        <v/>
      </c>
      <c r="AE3421" s="0" t="str">
        <f aca="false">IF(AND(C3420=C3421,AA3420=AA3421-1),AC3420,"")</f>
        <v/>
      </c>
      <c r="AF3421" s="0" t="str">
        <f aca="false">IF(AA3421=1,"",IF(AND(AB3421=1,AD3421&lt;&gt;1),1,0))</f>
        <v/>
      </c>
      <c r="AG3421" s="0" t="str">
        <f aca="false">IF(AA3421=1,"",IF(AND(AC3421=1,AE3421&lt;&gt;1),1,0))</f>
        <v/>
      </c>
      <c r="AH3421" s="51" t="str">
        <f aca="false">IF(AND(E3421&gt;0,AA3421&lt;1,NOT(AND(C3422=C3421,AA3422=AA3421+1))),INDEX(DATAS,AA3421+1),"")</f>
        <v/>
      </c>
      <c r="AI3421" s="51" t="str">
        <f aca="false">IF(AND(AC3421=1,AA3421&lt;1),IF(AND(C3422=C3421,AA3422=AA3421+1),IF(AC3422=1,"",INDEX(DATAS,AA3421+1)),INDEX(DATAS,AA3421+1)),"")</f>
        <v/>
      </c>
    </row>
    <row r="3422" customFormat="false" ht="15" hidden="false" customHeight="false" outlineLevel="0" collapsed="false">
      <c r="A3422" s="51" t="n">
        <v>46309</v>
      </c>
      <c r="B3422" s="0" t="n">
        <v>13</v>
      </c>
      <c r="C3422" s="0" t="n">
        <v>7861</v>
      </c>
      <c r="E3422" s="0" t="n">
        <v>0</v>
      </c>
      <c r="F3422" s="46" t="s">
        <v>1595</v>
      </c>
      <c r="I3422" s="46" t="s">
        <v>179</v>
      </c>
      <c r="U3422" s="0" t="n">
        <v>111</v>
      </c>
      <c r="V3422" s="0" t="n">
        <v>0</v>
      </c>
      <c r="X3422" s="46" t="n">
        <f aca="false">IF(I3422="Male",0,1)</f>
        <v>1</v>
      </c>
      <c r="Y3422" s="46" t="n">
        <f aca="false">IF(OR(I3422="DNB",I3422="Dry DNB"),1,0)</f>
        <v>0</v>
      </c>
      <c r="Z3422" s="0" t="str">
        <f aca="false">IF(ISNUMBER(W3422),A3422-W3422,"")</f>
        <v/>
      </c>
      <c r="AA3422" s="46" t="n">
        <f aca="false">MATCH(A3422,DATAS,0)</f>
        <v>1</v>
      </c>
      <c r="AB3422" s="46" t="n">
        <f aca="false">IF(AND(E3422&gt;0,OR(AND(B3422&gt;=1,B3422&lt;=6),B3422=10)),1,0)</f>
        <v>0</v>
      </c>
      <c r="AC3422" s="46" t="n">
        <f aca="false">IF(AND(E3422&gt;0,B3422=10),1,0)</f>
        <v>0</v>
      </c>
      <c r="AD3422" s="0" t="str">
        <f aca="false">IF(AND(C3421=C3422,AA3421=AA3422-1),AB3421,"")</f>
        <v/>
      </c>
      <c r="AE3422" s="0" t="str">
        <f aca="false">IF(AND(C3421=C3422,AA3421=AA3422-1),AC3421,"")</f>
        <v/>
      </c>
      <c r="AF3422" s="0" t="str">
        <f aca="false">IF(AA3422=1,"",IF(AND(AB3422=1,AD3422&lt;&gt;1),1,0))</f>
        <v/>
      </c>
      <c r="AG3422" s="0" t="str">
        <f aca="false">IF(AA3422=1,"",IF(AND(AC3422=1,AE3422&lt;&gt;1),1,0))</f>
        <v/>
      </c>
      <c r="AH3422" s="51" t="str">
        <f aca="false">IF(AND(E3422&gt;0,AA3422&lt;1,NOT(AND(C3423=C3422,AA3423=AA3422+1))),INDEX(DATAS,AA3422+1),"")</f>
        <v/>
      </c>
      <c r="AI3422" s="51" t="str">
        <f aca="false">IF(AND(AC3422=1,AA3422&lt;1),IF(AND(C3423=C3422,AA3423=AA3422+1),IF(AC3423=1,"",INDEX(DATAS,AA3422+1)),INDEX(DATAS,AA3422+1)),"")</f>
        <v/>
      </c>
    </row>
    <row r="3423" customFormat="false" ht="15" hidden="false" customHeight="false" outlineLevel="0" collapsed="false">
      <c r="A3423" s="51" t="n">
        <v>46309</v>
      </c>
      <c r="B3423" s="0" t="n">
        <v>13</v>
      </c>
      <c r="C3423" s="0" t="n">
        <v>7862</v>
      </c>
      <c r="E3423" s="0" t="n">
        <v>0</v>
      </c>
      <c r="F3423" s="46" t="s">
        <v>1595</v>
      </c>
      <c r="I3423" s="46" t="s">
        <v>179</v>
      </c>
      <c r="U3423" s="0" t="n">
        <v>111</v>
      </c>
      <c r="V3423" s="0" t="n">
        <v>0</v>
      </c>
      <c r="X3423" s="46" t="n">
        <f aca="false">IF(I3423="Male",0,1)</f>
        <v>1</v>
      </c>
      <c r="Y3423" s="46" t="n">
        <f aca="false">IF(OR(I3423="DNB",I3423="Dry DNB"),1,0)</f>
        <v>0</v>
      </c>
      <c r="Z3423" s="0" t="str">
        <f aca="false">IF(ISNUMBER(W3423),A3423-W3423,"")</f>
        <v/>
      </c>
      <c r="AA3423" s="46" t="n">
        <f aca="false">MATCH(A3423,DATAS,0)</f>
        <v>1</v>
      </c>
      <c r="AB3423" s="46" t="n">
        <f aca="false">IF(AND(E3423&gt;0,OR(AND(B3423&gt;=1,B3423&lt;=6),B3423=10)),1,0)</f>
        <v>0</v>
      </c>
      <c r="AC3423" s="46" t="n">
        <f aca="false">IF(AND(E3423&gt;0,B3423=10),1,0)</f>
        <v>0</v>
      </c>
      <c r="AD3423" s="0" t="str">
        <f aca="false">IF(AND(C3422=C3423,AA3422=AA3423-1),AB3422,"")</f>
        <v/>
      </c>
      <c r="AE3423" s="0" t="str">
        <f aca="false">IF(AND(C3422=C3423,AA3422=AA3423-1),AC3422,"")</f>
        <v/>
      </c>
      <c r="AF3423" s="0" t="str">
        <f aca="false">IF(AA3423=1,"",IF(AND(AB3423=1,AD3423&lt;&gt;1),1,0))</f>
        <v/>
      </c>
      <c r="AG3423" s="0" t="str">
        <f aca="false">IF(AA3423=1,"",IF(AND(AC3423=1,AE3423&lt;&gt;1),1,0))</f>
        <v/>
      </c>
      <c r="AH3423" s="51" t="str">
        <f aca="false">IF(AND(E3423&gt;0,AA3423&lt;1,NOT(AND(C3424=C3423,AA3424=AA3423+1))),INDEX(DATAS,AA3423+1),"")</f>
        <v/>
      </c>
      <c r="AI3423" s="51" t="str">
        <f aca="false">IF(AND(AC3423=1,AA3423&lt;1),IF(AND(C3424=C3423,AA3424=AA3423+1),IF(AC3424=1,"",INDEX(DATAS,AA3423+1)),INDEX(DATAS,AA3423+1)),"")</f>
        <v/>
      </c>
    </row>
    <row r="3424" customFormat="false" ht="15" hidden="false" customHeight="false" outlineLevel="0" collapsed="false">
      <c r="A3424" s="51" t="n">
        <v>46309</v>
      </c>
      <c r="B3424" s="0" t="n">
        <v>13</v>
      </c>
      <c r="C3424" s="0" t="n">
        <v>7863</v>
      </c>
      <c r="E3424" s="0" t="n">
        <v>0</v>
      </c>
      <c r="F3424" s="46" t="s">
        <v>1595</v>
      </c>
      <c r="I3424" s="46" t="s">
        <v>179</v>
      </c>
      <c r="U3424" s="0" t="n">
        <v>111</v>
      </c>
      <c r="V3424" s="0" t="n">
        <v>0</v>
      </c>
      <c r="X3424" s="46" t="n">
        <f aca="false">IF(I3424="Male",0,1)</f>
        <v>1</v>
      </c>
      <c r="Y3424" s="46" t="n">
        <f aca="false">IF(OR(I3424="DNB",I3424="Dry DNB"),1,0)</f>
        <v>0</v>
      </c>
      <c r="Z3424" s="0" t="str">
        <f aca="false">IF(ISNUMBER(W3424),A3424-W3424,"")</f>
        <v/>
      </c>
      <c r="AA3424" s="46" t="n">
        <f aca="false">MATCH(A3424,DATAS,0)</f>
        <v>1</v>
      </c>
      <c r="AB3424" s="46" t="n">
        <f aca="false">IF(AND(E3424&gt;0,OR(AND(B3424&gt;=1,B3424&lt;=6),B3424=10)),1,0)</f>
        <v>0</v>
      </c>
      <c r="AC3424" s="46" t="n">
        <f aca="false">IF(AND(E3424&gt;0,B3424=10),1,0)</f>
        <v>0</v>
      </c>
      <c r="AD3424" s="0" t="str">
        <f aca="false">IF(AND(C3423=C3424,AA3423=AA3424-1),AB3423,"")</f>
        <v/>
      </c>
      <c r="AE3424" s="0" t="str">
        <f aca="false">IF(AND(C3423=C3424,AA3423=AA3424-1),AC3423,"")</f>
        <v/>
      </c>
      <c r="AF3424" s="0" t="str">
        <f aca="false">IF(AA3424=1,"",IF(AND(AB3424=1,AD3424&lt;&gt;1),1,0))</f>
        <v/>
      </c>
      <c r="AG3424" s="0" t="str">
        <f aca="false">IF(AA3424=1,"",IF(AND(AC3424=1,AE3424&lt;&gt;1),1,0))</f>
        <v/>
      </c>
      <c r="AH3424" s="51" t="str">
        <f aca="false">IF(AND(E3424&gt;0,AA3424&lt;1,NOT(AND(C3425=C3424,AA3425=AA3424+1))),INDEX(DATAS,AA3424+1),"")</f>
        <v/>
      </c>
      <c r="AI3424" s="51" t="str">
        <f aca="false">IF(AND(AC3424=1,AA3424&lt;1),IF(AND(C3425=C3424,AA3425=AA3424+1),IF(AC3425=1,"",INDEX(DATAS,AA3424+1)),INDEX(DATAS,AA3424+1)),"")</f>
        <v/>
      </c>
    </row>
    <row r="3425" customFormat="false" ht="15" hidden="false" customHeight="false" outlineLevel="0" collapsed="false">
      <c r="A3425" s="51" t="n">
        <v>46309</v>
      </c>
      <c r="B3425" s="0" t="n">
        <v>13</v>
      </c>
      <c r="C3425" s="0" t="n">
        <v>7864</v>
      </c>
      <c r="E3425" s="0" t="n">
        <v>0</v>
      </c>
      <c r="F3425" s="46" t="s">
        <v>1595</v>
      </c>
      <c r="I3425" s="46" t="s">
        <v>179</v>
      </c>
      <c r="U3425" s="0" t="n">
        <v>111</v>
      </c>
      <c r="V3425" s="0" t="n">
        <v>0</v>
      </c>
      <c r="X3425" s="46" t="n">
        <f aca="false">IF(I3425="Male",0,1)</f>
        <v>1</v>
      </c>
      <c r="Y3425" s="46" t="n">
        <f aca="false">IF(OR(I3425="DNB",I3425="Dry DNB"),1,0)</f>
        <v>0</v>
      </c>
      <c r="Z3425" s="0" t="str">
        <f aca="false">IF(ISNUMBER(W3425),A3425-W3425,"")</f>
        <v/>
      </c>
      <c r="AA3425" s="46" t="n">
        <f aca="false">MATCH(A3425,DATAS,0)</f>
        <v>1</v>
      </c>
      <c r="AB3425" s="46" t="n">
        <f aca="false">IF(AND(E3425&gt;0,OR(AND(B3425&gt;=1,B3425&lt;=6),B3425=10)),1,0)</f>
        <v>0</v>
      </c>
      <c r="AC3425" s="46" t="n">
        <f aca="false">IF(AND(E3425&gt;0,B3425=10),1,0)</f>
        <v>0</v>
      </c>
      <c r="AD3425" s="0" t="str">
        <f aca="false">IF(AND(C3424=C3425,AA3424=AA3425-1),AB3424,"")</f>
        <v/>
      </c>
      <c r="AE3425" s="0" t="str">
        <f aca="false">IF(AND(C3424=C3425,AA3424=AA3425-1),AC3424,"")</f>
        <v/>
      </c>
      <c r="AF3425" s="0" t="str">
        <f aca="false">IF(AA3425=1,"",IF(AND(AB3425=1,AD3425&lt;&gt;1),1,0))</f>
        <v/>
      </c>
      <c r="AG3425" s="0" t="str">
        <f aca="false">IF(AA3425=1,"",IF(AND(AC3425=1,AE3425&lt;&gt;1),1,0))</f>
        <v/>
      </c>
      <c r="AH3425" s="51" t="str">
        <f aca="false">IF(AND(E3425&gt;0,AA3425&lt;1,NOT(AND(C3426=C3425,AA3426=AA3425+1))),INDEX(DATAS,AA3425+1),"")</f>
        <v/>
      </c>
      <c r="AI3425" s="51" t="str">
        <f aca="false">IF(AND(AC3425=1,AA3425&lt;1),IF(AND(C3426=C3425,AA3426=AA3425+1),IF(AC3426=1,"",INDEX(DATAS,AA3425+1)),INDEX(DATAS,AA3425+1)),"")</f>
        <v/>
      </c>
    </row>
    <row r="3426" customFormat="false" ht="15" hidden="false" customHeight="false" outlineLevel="0" collapsed="false">
      <c r="A3426" s="51" t="n">
        <v>46309</v>
      </c>
      <c r="B3426" s="0" t="n">
        <v>13</v>
      </c>
      <c r="C3426" s="0" t="n">
        <v>7865</v>
      </c>
      <c r="E3426" s="0" t="n">
        <v>0</v>
      </c>
      <c r="F3426" s="46" t="s">
        <v>1595</v>
      </c>
      <c r="I3426" s="46" t="s">
        <v>179</v>
      </c>
      <c r="U3426" s="0" t="n">
        <v>111</v>
      </c>
      <c r="V3426" s="0" t="n">
        <v>0</v>
      </c>
      <c r="X3426" s="46" t="n">
        <f aca="false">IF(I3426="Male",0,1)</f>
        <v>1</v>
      </c>
      <c r="Y3426" s="46" t="n">
        <f aca="false">IF(OR(I3426="DNB",I3426="Dry DNB"),1,0)</f>
        <v>0</v>
      </c>
      <c r="Z3426" s="0" t="str">
        <f aca="false">IF(ISNUMBER(W3426),A3426-W3426,"")</f>
        <v/>
      </c>
      <c r="AA3426" s="46" t="n">
        <f aca="false">MATCH(A3426,DATAS,0)</f>
        <v>1</v>
      </c>
      <c r="AB3426" s="46" t="n">
        <f aca="false">IF(AND(E3426&gt;0,OR(AND(B3426&gt;=1,B3426&lt;=6),B3426=10)),1,0)</f>
        <v>0</v>
      </c>
      <c r="AC3426" s="46" t="n">
        <f aca="false">IF(AND(E3426&gt;0,B3426=10),1,0)</f>
        <v>0</v>
      </c>
      <c r="AD3426" s="0" t="str">
        <f aca="false">IF(AND(C3425=C3426,AA3425=AA3426-1),AB3425,"")</f>
        <v/>
      </c>
      <c r="AE3426" s="0" t="str">
        <f aca="false">IF(AND(C3425=C3426,AA3425=AA3426-1),AC3425,"")</f>
        <v/>
      </c>
      <c r="AF3426" s="0" t="str">
        <f aca="false">IF(AA3426=1,"",IF(AND(AB3426=1,AD3426&lt;&gt;1),1,0))</f>
        <v/>
      </c>
      <c r="AG3426" s="0" t="str">
        <f aca="false">IF(AA3426=1,"",IF(AND(AC3426=1,AE3426&lt;&gt;1),1,0))</f>
        <v/>
      </c>
      <c r="AH3426" s="51" t="str">
        <f aca="false">IF(AND(E3426&gt;0,AA3426&lt;1,NOT(AND(C3427=C3426,AA3427=AA3426+1))),INDEX(DATAS,AA3426+1),"")</f>
        <v/>
      </c>
      <c r="AI3426" s="51" t="str">
        <f aca="false">IF(AND(AC3426=1,AA3426&lt;1),IF(AND(C3427=C3426,AA3427=AA3426+1),IF(AC3427=1,"",INDEX(DATAS,AA3426+1)),INDEX(DATAS,AA3426+1)),"")</f>
        <v/>
      </c>
    </row>
    <row r="3427" customFormat="false" ht="15" hidden="false" customHeight="false" outlineLevel="0" collapsed="false">
      <c r="A3427" s="51" t="n">
        <v>46309</v>
      </c>
      <c r="B3427" s="0" t="n">
        <v>13</v>
      </c>
      <c r="C3427" s="0" t="n">
        <v>7867</v>
      </c>
      <c r="E3427" s="0" t="n">
        <v>0</v>
      </c>
      <c r="F3427" s="46" t="s">
        <v>1595</v>
      </c>
      <c r="I3427" s="46" t="s">
        <v>179</v>
      </c>
      <c r="U3427" s="0" t="n">
        <v>111</v>
      </c>
      <c r="V3427" s="0" t="n">
        <v>0</v>
      </c>
      <c r="X3427" s="46" t="n">
        <f aca="false">IF(I3427="Male",0,1)</f>
        <v>1</v>
      </c>
      <c r="Y3427" s="46" t="n">
        <f aca="false">IF(OR(I3427="DNB",I3427="Dry DNB"),1,0)</f>
        <v>0</v>
      </c>
      <c r="Z3427" s="0" t="str">
        <f aca="false">IF(ISNUMBER(W3427),A3427-W3427,"")</f>
        <v/>
      </c>
      <c r="AA3427" s="46" t="n">
        <f aca="false">MATCH(A3427,DATAS,0)</f>
        <v>1</v>
      </c>
      <c r="AB3427" s="46" t="n">
        <f aca="false">IF(AND(E3427&gt;0,OR(AND(B3427&gt;=1,B3427&lt;=6),B3427=10)),1,0)</f>
        <v>0</v>
      </c>
      <c r="AC3427" s="46" t="n">
        <f aca="false">IF(AND(E3427&gt;0,B3427=10),1,0)</f>
        <v>0</v>
      </c>
      <c r="AD3427" s="0" t="str">
        <f aca="false">IF(AND(C3426=C3427,AA3426=AA3427-1),AB3426,"")</f>
        <v/>
      </c>
      <c r="AE3427" s="0" t="str">
        <f aca="false">IF(AND(C3426=C3427,AA3426=AA3427-1),AC3426,"")</f>
        <v/>
      </c>
      <c r="AF3427" s="0" t="str">
        <f aca="false">IF(AA3427=1,"",IF(AND(AB3427=1,AD3427&lt;&gt;1),1,0))</f>
        <v/>
      </c>
      <c r="AG3427" s="0" t="str">
        <f aca="false">IF(AA3427=1,"",IF(AND(AC3427=1,AE3427&lt;&gt;1),1,0))</f>
        <v/>
      </c>
      <c r="AH3427" s="51" t="str">
        <f aca="false">IF(AND(E3427&gt;0,AA3427&lt;1,NOT(AND(C3428=C3427,AA3428=AA3427+1))),INDEX(DATAS,AA3427+1),"")</f>
        <v/>
      </c>
      <c r="AI3427" s="51" t="str">
        <f aca="false">IF(AND(AC3427=1,AA3427&lt;1),IF(AND(C3428=C3427,AA3428=AA3427+1),IF(AC3428=1,"",INDEX(DATAS,AA3427+1)),INDEX(DATAS,AA3427+1)),"")</f>
        <v/>
      </c>
    </row>
    <row r="3428" customFormat="false" ht="15" hidden="false" customHeight="false" outlineLevel="0" collapsed="false">
      <c r="A3428" s="51" t="n">
        <v>46309</v>
      </c>
      <c r="B3428" s="0" t="n">
        <v>13</v>
      </c>
      <c r="C3428" s="0" t="n">
        <v>7868</v>
      </c>
      <c r="E3428" s="0" t="n">
        <v>0</v>
      </c>
      <c r="F3428" s="46" t="s">
        <v>1596</v>
      </c>
      <c r="I3428" s="46" t="s">
        <v>179</v>
      </c>
      <c r="U3428" s="0" t="n">
        <v>110</v>
      </c>
      <c r="V3428" s="0" t="n">
        <v>0</v>
      </c>
      <c r="X3428" s="46" t="n">
        <f aca="false">IF(I3428="Male",0,1)</f>
        <v>1</v>
      </c>
      <c r="Y3428" s="46" t="n">
        <f aca="false">IF(OR(I3428="DNB",I3428="Dry DNB"),1,0)</f>
        <v>0</v>
      </c>
      <c r="Z3428" s="0" t="str">
        <f aca="false">IF(ISNUMBER(W3428),A3428-W3428,"")</f>
        <v/>
      </c>
      <c r="AA3428" s="46" t="n">
        <f aca="false">MATCH(A3428,DATAS,0)</f>
        <v>1</v>
      </c>
      <c r="AB3428" s="46" t="n">
        <f aca="false">IF(AND(E3428&gt;0,OR(AND(B3428&gt;=1,B3428&lt;=6),B3428=10)),1,0)</f>
        <v>0</v>
      </c>
      <c r="AC3428" s="46" t="n">
        <f aca="false">IF(AND(E3428&gt;0,B3428=10),1,0)</f>
        <v>0</v>
      </c>
      <c r="AD3428" s="0" t="str">
        <f aca="false">IF(AND(C3427=C3428,AA3427=AA3428-1),AB3427,"")</f>
        <v/>
      </c>
      <c r="AE3428" s="0" t="str">
        <f aca="false">IF(AND(C3427=C3428,AA3427=AA3428-1),AC3427,"")</f>
        <v/>
      </c>
      <c r="AF3428" s="0" t="str">
        <f aca="false">IF(AA3428=1,"",IF(AND(AB3428=1,AD3428&lt;&gt;1),1,0))</f>
        <v/>
      </c>
      <c r="AG3428" s="0" t="str">
        <f aca="false">IF(AA3428=1,"",IF(AND(AC3428=1,AE3428&lt;&gt;1),1,0))</f>
        <v/>
      </c>
      <c r="AH3428" s="51" t="str">
        <f aca="false">IF(AND(E3428&gt;0,AA3428&lt;1,NOT(AND(C3429=C3428,AA3429=AA3428+1))),INDEX(DATAS,AA3428+1),"")</f>
        <v/>
      </c>
      <c r="AI3428" s="51" t="str">
        <f aca="false">IF(AND(AC3428=1,AA3428&lt;1),IF(AND(C3429=C3428,AA3429=AA3428+1),IF(AC3429=1,"",INDEX(DATAS,AA3428+1)),INDEX(DATAS,AA3428+1)),"")</f>
        <v/>
      </c>
    </row>
    <row r="3429" customFormat="false" ht="15" hidden="false" customHeight="false" outlineLevel="0" collapsed="false">
      <c r="A3429" s="51" t="n">
        <v>46309</v>
      </c>
      <c r="B3429" s="0" t="n">
        <v>13</v>
      </c>
      <c r="C3429" s="0" t="n">
        <v>7869</v>
      </c>
      <c r="E3429" s="0" t="n">
        <v>0</v>
      </c>
      <c r="F3429" s="46" t="s">
        <v>1596</v>
      </c>
      <c r="I3429" s="46" t="s">
        <v>179</v>
      </c>
      <c r="U3429" s="0" t="n">
        <v>110</v>
      </c>
      <c r="V3429" s="0" t="n">
        <v>0</v>
      </c>
      <c r="X3429" s="46" t="n">
        <f aca="false">IF(I3429="Male",0,1)</f>
        <v>1</v>
      </c>
      <c r="Y3429" s="46" t="n">
        <f aca="false">IF(OR(I3429="DNB",I3429="Dry DNB"),1,0)</f>
        <v>0</v>
      </c>
      <c r="Z3429" s="0" t="str">
        <f aca="false">IF(ISNUMBER(W3429),A3429-W3429,"")</f>
        <v/>
      </c>
      <c r="AA3429" s="46" t="n">
        <f aca="false">MATCH(A3429,DATAS,0)</f>
        <v>1</v>
      </c>
      <c r="AB3429" s="46" t="n">
        <f aca="false">IF(AND(E3429&gt;0,OR(AND(B3429&gt;=1,B3429&lt;=6),B3429=10)),1,0)</f>
        <v>0</v>
      </c>
      <c r="AC3429" s="46" t="n">
        <f aca="false">IF(AND(E3429&gt;0,B3429=10),1,0)</f>
        <v>0</v>
      </c>
      <c r="AD3429" s="0" t="str">
        <f aca="false">IF(AND(C3428=C3429,AA3428=AA3429-1),AB3428,"")</f>
        <v/>
      </c>
      <c r="AE3429" s="0" t="str">
        <f aca="false">IF(AND(C3428=C3429,AA3428=AA3429-1),AC3428,"")</f>
        <v/>
      </c>
      <c r="AF3429" s="0" t="str">
        <f aca="false">IF(AA3429=1,"",IF(AND(AB3429=1,AD3429&lt;&gt;1),1,0))</f>
        <v/>
      </c>
      <c r="AG3429" s="0" t="str">
        <f aca="false">IF(AA3429=1,"",IF(AND(AC3429=1,AE3429&lt;&gt;1),1,0))</f>
        <v/>
      </c>
      <c r="AH3429" s="51" t="str">
        <f aca="false">IF(AND(E3429&gt;0,AA3429&lt;1,NOT(AND(C3430=C3429,AA3430=AA3429+1))),INDEX(DATAS,AA3429+1),"")</f>
        <v/>
      </c>
      <c r="AI3429" s="51" t="str">
        <f aca="false">IF(AND(AC3429=1,AA3429&lt;1),IF(AND(C3430=C3429,AA3430=AA3429+1),IF(AC3430=1,"",INDEX(DATAS,AA3429+1)),INDEX(DATAS,AA3429+1)),"")</f>
        <v/>
      </c>
    </row>
    <row r="3430" customFormat="false" ht="15" hidden="false" customHeight="false" outlineLevel="0" collapsed="false">
      <c r="A3430" s="51" t="n">
        <v>46309</v>
      </c>
      <c r="B3430" s="0" t="n">
        <v>13</v>
      </c>
      <c r="C3430" s="0" t="n">
        <v>7870</v>
      </c>
      <c r="E3430" s="0" t="n">
        <v>0</v>
      </c>
      <c r="F3430" s="46" t="s">
        <v>1596</v>
      </c>
      <c r="I3430" s="46" t="s">
        <v>179</v>
      </c>
      <c r="U3430" s="0" t="n">
        <v>110</v>
      </c>
      <c r="V3430" s="0" t="n">
        <v>0</v>
      </c>
      <c r="X3430" s="46" t="n">
        <f aca="false">IF(I3430="Male",0,1)</f>
        <v>1</v>
      </c>
      <c r="Y3430" s="46" t="n">
        <f aca="false">IF(OR(I3430="DNB",I3430="Dry DNB"),1,0)</f>
        <v>0</v>
      </c>
      <c r="Z3430" s="0" t="str">
        <f aca="false">IF(ISNUMBER(W3430),A3430-W3430,"")</f>
        <v/>
      </c>
      <c r="AA3430" s="46" t="n">
        <f aca="false">MATCH(A3430,DATAS,0)</f>
        <v>1</v>
      </c>
      <c r="AB3430" s="46" t="n">
        <f aca="false">IF(AND(E3430&gt;0,OR(AND(B3430&gt;=1,B3430&lt;=6),B3430=10)),1,0)</f>
        <v>0</v>
      </c>
      <c r="AC3430" s="46" t="n">
        <f aca="false">IF(AND(E3430&gt;0,B3430=10),1,0)</f>
        <v>0</v>
      </c>
      <c r="AD3430" s="0" t="str">
        <f aca="false">IF(AND(C3429=C3430,AA3429=AA3430-1),AB3429,"")</f>
        <v/>
      </c>
      <c r="AE3430" s="0" t="str">
        <f aca="false">IF(AND(C3429=C3430,AA3429=AA3430-1),AC3429,"")</f>
        <v/>
      </c>
      <c r="AF3430" s="0" t="str">
        <f aca="false">IF(AA3430=1,"",IF(AND(AB3430=1,AD3430&lt;&gt;1),1,0))</f>
        <v/>
      </c>
      <c r="AG3430" s="0" t="str">
        <f aca="false">IF(AA3430=1,"",IF(AND(AC3430=1,AE3430&lt;&gt;1),1,0))</f>
        <v/>
      </c>
      <c r="AH3430" s="51" t="str">
        <f aca="false">IF(AND(E3430&gt;0,AA3430&lt;1,NOT(AND(C3431=C3430,AA3431=AA3430+1))),INDEX(DATAS,AA3430+1),"")</f>
        <v/>
      </c>
      <c r="AI3430" s="51" t="str">
        <f aca="false">IF(AND(AC3430=1,AA3430&lt;1),IF(AND(C3431=C3430,AA3431=AA3430+1),IF(AC3431=1,"",INDEX(DATAS,AA3430+1)),INDEX(DATAS,AA3430+1)),"")</f>
        <v/>
      </c>
    </row>
    <row r="3431" customFormat="false" ht="15" hidden="false" customHeight="false" outlineLevel="0" collapsed="false">
      <c r="A3431" s="51" t="n">
        <v>46309</v>
      </c>
      <c r="B3431" s="0" t="n">
        <v>13</v>
      </c>
      <c r="C3431" s="0" t="n">
        <v>7871</v>
      </c>
      <c r="E3431" s="0" t="n">
        <v>0</v>
      </c>
      <c r="F3431" s="46" t="s">
        <v>1596</v>
      </c>
      <c r="I3431" s="46" t="s">
        <v>179</v>
      </c>
      <c r="U3431" s="0" t="n">
        <v>110</v>
      </c>
      <c r="V3431" s="0" t="n">
        <v>0</v>
      </c>
      <c r="X3431" s="46" t="n">
        <f aca="false">IF(I3431="Male",0,1)</f>
        <v>1</v>
      </c>
      <c r="Y3431" s="46" t="n">
        <f aca="false">IF(OR(I3431="DNB",I3431="Dry DNB"),1,0)</f>
        <v>0</v>
      </c>
      <c r="Z3431" s="0" t="str">
        <f aca="false">IF(ISNUMBER(W3431),A3431-W3431,"")</f>
        <v/>
      </c>
      <c r="AA3431" s="46" t="n">
        <f aca="false">MATCH(A3431,DATAS,0)</f>
        <v>1</v>
      </c>
      <c r="AB3431" s="46" t="n">
        <f aca="false">IF(AND(E3431&gt;0,OR(AND(B3431&gt;=1,B3431&lt;=6),B3431=10)),1,0)</f>
        <v>0</v>
      </c>
      <c r="AC3431" s="46" t="n">
        <f aca="false">IF(AND(E3431&gt;0,B3431=10),1,0)</f>
        <v>0</v>
      </c>
      <c r="AD3431" s="0" t="str">
        <f aca="false">IF(AND(C3430=C3431,AA3430=AA3431-1),AB3430,"")</f>
        <v/>
      </c>
      <c r="AE3431" s="0" t="str">
        <f aca="false">IF(AND(C3430=C3431,AA3430=AA3431-1),AC3430,"")</f>
        <v/>
      </c>
      <c r="AF3431" s="0" t="str">
        <f aca="false">IF(AA3431=1,"",IF(AND(AB3431=1,AD3431&lt;&gt;1),1,0))</f>
        <v/>
      </c>
      <c r="AG3431" s="0" t="str">
        <f aca="false">IF(AA3431=1,"",IF(AND(AC3431=1,AE3431&lt;&gt;1),1,0))</f>
        <v/>
      </c>
      <c r="AH3431" s="51" t="str">
        <f aca="false">IF(AND(E3431&gt;0,AA3431&lt;1,NOT(AND(C3432=C3431,AA3432=AA3431+1))),INDEX(DATAS,AA3431+1),"")</f>
        <v/>
      </c>
      <c r="AI3431" s="51" t="str">
        <f aca="false">IF(AND(AC3431=1,AA3431&lt;1),IF(AND(C3432=C3431,AA3432=AA3431+1),IF(AC3432=1,"",INDEX(DATAS,AA3431+1)),INDEX(DATAS,AA3431+1)),"")</f>
        <v/>
      </c>
    </row>
    <row r="3432" customFormat="false" ht="15" hidden="false" customHeight="false" outlineLevel="0" collapsed="false">
      <c r="A3432" s="51" t="n">
        <v>46309</v>
      </c>
      <c r="B3432" s="0" t="n">
        <v>13</v>
      </c>
      <c r="C3432" s="0" t="n">
        <v>7872</v>
      </c>
      <c r="E3432" s="0" t="n">
        <v>0</v>
      </c>
      <c r="F3432" s="46" t="s">
        <v>1597</v>
      </c>
      <c r="I3432" s="46" t="s">
        <v>179</v>
      </c>
      <c r="U3432" s="0" t="n">
        <v>109</v>
      </c>
      <c r="V3432" s="0" t="n">
        <v>0</v>
      </c>
      <c r="X3432" s="46" t="n">
        <f aca="false">IF(I3432="Male",0,1)</f>
        <v>1</v>
      </c>
      <c r="Y3432" s="46" t="n">
        <f aca="false">IF(OR(I3432="DNB",I3432="Dry DNB"),1,0)</f>
        <v>0</v>
      </c>
      <c r="Z3432" s="0" t="str">
        <f aca="false">IF(ISNUMBER(W3432),A3432-W3432,"")</f>
        <v/>
      </c>
      <c r="AA3432" s="46" t="n">
        <f aca="false">MATCH(A3432,DATAS,0)</f>
        <v>1</v>
      </c>
      <c r="AB3432" s="46" t="n">
        <f aca="false">IF(AND(E3432&gt;0,OR(AND(B3432&gt;=1,B3432&lt;=6),B3432=10)),1,0)</f>
        <v>0</v>
      </c>
      <c r="AC3432" s="46" t="n">
        <f aca="false">IF(AND(E3432&gt;0,B3432=10),1,0)</f>
        <v>0</v>
      </c>
      <c r="AD3432" s="0" t="str">
        <f aca="false">IF(AND(C3431=C3432,AA3431=AA3432-1),AB3431,"")</f>
        <v/>
      </c>
      <c r="AE3432" s="0" t="str">
        <f aca="false">IF(AND(C3431=C3432,AA3431=AA3432-1),AC3431,"")</f>
        <v/>
      </c>
      <c r="AF3432" s="0" t="str">
        <f aca="false">IF(AA3432=1,"",IF(AND(AB3432=1,AD3432&lt;&gt;1),1,0))</f>
        <v/>
      </c>
      <c r="AG3432" s="0" t="str">
        <f aca="false">IF(AA3432=1,"",IF(AND(AC3432=1,AE3432&lt;&gt;1),1,0))</f>
        <v/>
      </c>
      <c r="AH3432" s="51" t="str">
        <f aca="false">IF(AND(E3432&gt;0,AA3432&lt;1,NOT(AND(C3433=C3432,AA3433=AA3432+1))),INDEX(DATAS,AA3432+1),"")</f>
        <v/>
      </c>
      <c r="AI3432" s="51" t="str">
        <f aca="false">IF(AND(AC3432=1,AA3432&lt;1),IF(AND(C3433=C3432,AA3433=AA3432+1),IF(AC3433=1,"",INDEX(DATAS,AA3432+1)),INDEX(DATAS,AA3432+1)),"")</f>
        <v/>
      </c>
    </row>
    <row r="3433" customFormat="false" ht="15" hidden="false" customHeight="false" outlineLevel="0" collapsed="false">
      <c r="A3433" s="51" t="n">
        <v>46309</v>
      </c>
      <c r="B3433" s="0" t="n">
        <v>13</v>
      </c>
      <c r="C3433" s="0" t="n">
        <v>7873</v>
      </c>
      <c r="E3433" s="0" t="n">
        <v>0</v>
      </c>
      <c r="F3433" s="46" t="s">
        <v>1598</v>
      </c>
      <c r="I3433" s="46" t="s">
        <v>179</v>
      </c>
      <c r="U3433" s="0" t="n">
        <v>108</v>
      </c>
      <c r="V3433" s="0" t="n">
        <v>0</v>
      </c>
      <c r="X3433" s="46" t="n">
        <f aca="false">IF(I3433="Male",0,1)</f>
        <v>1</v>
      </c>
      <c r="Y3433" s="46" t="n">
        <f aca="false">IF(OR(I3433="DNB",I3433="Dry DNB"),1,0)</f>
        <v>0</v>
      </c>
      <c r="Z3433" s="0" t="str">
        <f aca="false">IF(ISNUMBER(W3433),A3433-W3433,"")</f>
        <v/>
      </c>
      <c r="AA3433" s="46" t="n">
        <f aca="false">MATCH(A3433,DATAS,0)</f>
        <v>1</v>
      </c>
      <c r="AB3433" s="46" t="n">
        <f aca="false">IF(AND(E3433&gt;0,OR(AND(B3433&gt;=1,B3433&lt;=6),B3433=10)),1,0)</f>
        <v>0</v>
      </c>
      <c r="AC3433" s="46" t="n">
        <f aca="false">IF(AND(E3433&gt;0,B3433=10),1,0)</f>
        <v>0</v>
      </c>
      <c r="AD3433" s="0" t="str">
        <f aca="false">IF(AND(C3432=C3433,AA3432=AA3433-1),AB3432,"")</f>
        <v/>
      </c>
      <c r="AE3433" s="0" t="str">
        <f aca="false">IF(AND(C3432=C3433,AA3432=AA3433-1),AC3432,"")</f>
        <v/>
      </c>
      <c r="AF3433" s="0" t="str">
        <f aca="false">IF(AA3433=1,"",IF(AND(AB3433=1,AD3433&lt;&gt;1),1,0))</f>
        <v/>
      </c>
      <c r="AG3433" s="0" t="str">
        <f aca="false">IF(AA3433=1,"",IF(AND(AC3433=1,AE3433&lt;&gt;1),1,0))</f>
        <v/>
      </c>
      <c r="AH3433" s="51" t="str">
        <f aca="false">IF(AND(E3433&gt;0,AA3433&lt;1,NOT(AND(C3434=C3433,AA3434=AA3433+1))),INDEX(DATAS,AA3433+1),"")</f>
        <v/>
      </c>
      <c r="AI3433" s="51" t="str">
        <f aca="false">IF(AND(AC3433=1,AA3433&lt;1),IF(AND(C3434=C3433,AA3434=AA3433+1),IF(AC3434=1,"",INDEX(DATAS,AA3433+1)),INDEX(DATAS,AA3433+1)),"")</f>
        <v/>
      </c>
    </row>
    <row r="3434" customFormat="false" ht="15" hidden="false" customHeight="false" outlineLevel="0" collapsed="false">
      <c r="A3434" s="51" t="n">
        <v>46309</v>
      </c>
      <c r="B3434" s="0" t="n">
        <v>13</v>
      </c>
      <c r="C3434" s="0" t="n">
        <v>7874</v>
      </c>
      <c r="E3434" s="0" t="n">
        <v>0</v>
      </c>
      <c r="F3434" s="46" t="s">
        <v>1598</v>
      </c>
      <c r="I3434" s="46" t="s">
        <v>179</v>
      </c>
      <c r="U3434" s="0" t="n">
        <v>108</v>
      </c>
      <c r="V3434" s="0" t="n">
        <v>0</v>
      </c>
      <c r="X3434" s="46" t="n">
        <f aca="false">IF(I3434="Male",0,1)</f>
        <v>1</v>
      </c>
      <c r="Y3434" s="46" t="n">
        <f aca="false">IF(OR(I3434="DNB",I3434="Dry DNB"),1,0)</f>
        <v>0</v>
      </c>
      <c r="Z3434" s="0" t="str">
        <f aca="false">IF(ISNUMBER(W3434),A3434-W3434,"")</f>
        <v/>
      </c>
      <c r="AA3434" s="46" t="n">
        <f aca="false">MATCH(A3434,DATAS,0)</f>
        <v>1</v>
      </c>
      <c r="AB3434" s="46" t="n">
        <f aca="false">IF(AND(E3434&gt;0,OR(AND(B3434&gt;=1,B3434&lt;=6),B3434=10)),1,0)</f>
        <v>0</v>
      </c>
      <c r="AC3434" s="46" t="n">
        <f aca="false">IF(AND(E3434&gt;0,B3434=10),1,0)</f>
        <v>0</v>
      </c>
      <c r="AD3434" s="0" t="str">
        <f aca="false">IF(AND(C3433=C3434,AA3433=AA3434-1),AB3433,"")</f>
        <v/>
      </c>
      <c r="AE3434" s="0" t="str">
        <f aca="false">IF(AND(C3433=C3434,AA3433=AA3434-1),AC3433,"")</f>
        <v/>
      </c>
      <c r="AF3434" s="0" t="str">
        <f aca="false">IF(AA3434=1,"",IF(AND(AB3434=1,AD3434&lt;&gt;1),1,0))</f>
        <v/>
      </c>
      <c r="AG3434" s="0" t="str">
        <f aca="false">IF(AA3434=1,"",IF(AND(AC3434=1,AE3434&lt;&gt;1),1,0))</f>
        <v/>
      </c>
      <c r="AH3434" s="51" t="str">
        <f aca="false">IF(AND(E3434&gt;0,AA3434&lt;1,NOT(AND(C3435=C3434,AA3435=AA3434+1))),INDEX(DATAS,AA3434+1),"")</f>
        <v/>
      </c>
      <c r="AI3434" s="51" t="str">
        <f aca="false">IF(AND(AC3434=1,AA3434&lt;1),IF(AND(C3435=C3434,AA3435=AA3434+1),IF(AC3435=1,"",INDEX(DATAS,AA3434+1)),INDEX(DATAS,AA3434+1)),"")</f>
        <v/>
      </c>
    </row>
    <row r="3435" customFormat="false" ht="15" hidden="false" customHeight="false" outlineLevel="0" collapsed="false">
      <c r="A3435" s="51" t="n">
        <v>46309</v>
      </c>
      <c r="B3435" s="0" t="n">
        <v>13</v>
      </c>
      <c r="C3435" s="0" t="n">
        <v>7875</v>
      </c>
      <c r="E3435" s="0" t="n">
        <v>0</v>
      </c>
      <c r="F3435" s="46" t="s">
        <v>1598</v>
      </c>
      <c r="I3435" s="46" t="s">
        <v>179</v>
      </c>
      <c r="U3435" s="0" t="n">
        <v>108</v>
      </c>
      <c r="V3435" s="0" t="n">
        <v>0</v>
      </c>
      <c r="X3435" s="46" t="n">
        <f aca="false">IF(I3435="Male",0,1)</f>
        <v>1</v>
      </c>
      <c r="Y3435" s="46" t="n">
        <f aca="false">IF(OR(I3435="DNB",I3435="Dry DNB"),1,0)</f>
        <v>0</v>
      </c>
      <c r="Z3435" s="0" t="str">
        <f aca="false">IF(ISNUMBER(W3435),A3435-W3435,"")</f>
        <v/>
      </c>
      <c r="AA3435" s="46" t="n">
        <f aca="false">MATCH(A3435,DATAS,0)</f>
        <v>1</v>
      </c>
      <c r="AB3435" s="46" t="n">
        <f aca="false">IF(AND(E3435&gt;0,OR(AND(B3435&gt;=1,B3435&lt;=6),B3435=10)),1,0)</f>
        <v>0</v>
      </c>
      <c r="AC3435" s="46" t="n">
        <f aca="false">IF(AND(E3435&gt;0,B3435=10),1,0)</f>
        <v>0</v>
      </c>
      <c r="AD3435" s="0" t="str">
        <f aca="false">IF(AND(C3434=C3435,AA3434=AA3435-1),AB3434,"")</f>
        <v/>
      </c>
      <c r="AE3435" s="0" t="str">
        <f aca="false">IF(AND(C3434=C3435,AA3434=AA3435-1),AC3434,"")</f>
        <v/>
      </c>
      <c r="AF3435" s="0" t="str">
        <f aca="false">IF(AA3435=1,"",IF(AND(AB3435=1,AD3435&lt;&gt;1),1,0))</f>
        <v/>
      </c>
      <c r="AG3435" s="0" t="str">
        <f aca="false">IF(AA3435=1,"",IF(AND(AC3435=1,AE3435&lt;&gt;1),1,0))</f>
        <v/>
      </c>
      <c r="AH3435" s="51" t="str">
        <f aca="false">IF(AND(E3435&gt;0,AA3435&lt;1,NOT(AND(C3436=C3435,AA3436=AA3435+1))),INDEX(DATAS,AA3435+1),"")</f>
        <v/>
      </c>
      <c r="AI3435" s="51" t="str">
        <f aca="false">IF(AND(AC3435=1,AA3435&lt;1),IF(AND(C3436=C3435,AA3436=AA3435+1),IF(AC3436=1,"",INDEX(DATAS,AA3435+1)),INDEX(DATAS,AA3435+1)),"")</f>
        <v/>
      </c>
    </row>
    <row r="3436" customFormat="false" ht="15" hidden="false" customHeight="false" outlineLevel="0" collapsed="false">
      <c r="A3436" s="51" t="n">
        <v>46309</v>
      </c>
      <c r="B3436" s="0" t="n">
        <v>13</v>
      </c>
      <c r="C3436" s="0" t="n">
        <v>7877</v>
      </c>
      <c r="E3436" s="0" t="n">
        <v>0</v>
      </c>
      <c r="F3436" s="46" t="s">
        <v>1599</v>
      </c>
      <c r="I3436" s="46" t="s">
        <v>179</v>
      </c>
      <c r="U3436" s="0" t="n">
        <v>106</v>
      </c>
      <c r="V3436" s="0" t="n">
        <v>0</v>
      </c>
      <c r="X3436" s="46" t="n">
        <f aca="false">IF(I3436="Male",0,1)</f>
        <v>1</v>
      </c>
      <c r="Y3436" s="46" t="n">
        <f aca="false">IF(OR(I3436="DNB",I3436="Dry DNB"),1,0)</f>
        <v>0</v>
      </c>
      <c r="Z3436" s="0" t="str">
        <f aca="false">IF(ISNUMBER(W3436),A3436-W3436,"")</f>
        <v/>
      </c>
      <c r="AA3436" s="46" t="n">
        <f aca="false">MATCH(A3436,DATAS,0)</f>
        <v>1</v>
      </c>
      <c r="AB3436" s="46" t="n">
        <f aca="false">IF(AND(E3436&gt;0,OR(AND(B3436&gt;=1,B3436&lt;=6),B3436=10)),1,0)</f>
        <v>0</v>
      </c>
      <c r="AC3436" s="46" t="n">
        <f aca="false">IF(AND(E3436&gt;0,B3436=10),1,0)</f>
        <v>0</v>
      </c>
      <c r="AD3436" s="0" t="str">
        <f aca="false">IF(AND(C3435=C3436,AA3435=AA3436-1),AB3435,"")</f>
        <v/>
      </c>
      <c r="AE3436" s="0" t="str">
        <f aca="false">IF(AND(C3435=C3436,AA3435=AA3436-1),AC3435,"")</f>
        <v/>
      </c>
      <c r="AF3436" s="0" t="str">
        <f aca="false">IF(AA3436=1,"",IF(AND(AB3436=1,AD3436&lt;&gt;1),1,0))</f>
        <v/>
      </c>
      <c r="AG3436" s="0" t="str">
        <f aca="false">IF(AA3436=1,"",IF(AND(AC3436=1,AE3436&lt;&gt;1),1,0))</f>
        <v/>
      </c>
      <c r="AH3436" s="51" t="str">
        <f aca="false">IF(AND(E3436&gt;0,AA3436&lt;1,NOT(AND(C3437=C3436,AA3437=AA3436+1))),INDEX(DATAS,AA3436+1),"")</f>
        <v/>
      </c>
      <c r="AI3436" s="51" t="str">
        <f aca="false">IF(AND(AC3436=1,AA3436&lt;1),IF(AND(C3437=C3436,AA3437=AA3436+1),IF(AC3437=1,"",INDEX(DATAS,AA3436+1)),INDEX(DATAS,AA3436+1)),"")</f>
        <v/>
      </c>
    </row>
    <row r="3437" customFormat="false" ht="15" hidden="false" customHeight="false" outlineLevel="0" collapsed="false">
      <c r="A3437" s="51" t="n">
        <v>46309</v>
      </c>
      <c r="B3437" s="0" t="n">
        <v>13</v>
      </c>
      <c r="C3437" s="0" t="n">
        <v>7878</v>
      </c>
      <c r="E3437" s="0" t="n">
        <v>0</v>
      </c>
      <c r="F3437" s="46" t="s">
        <v>1599</v>
      </c>
      <c r="I3437" s="46" t="s">
        <v>179</v>
      </c>
      <c r="U3437" s="0" t="n">
        <v>106</v>
      </c>
      <c r="V3437" s="0" t="n">
        <v>0</v>
      </c>
      <c r="X3437" s="46" t="n">
        <f aca="false">IF(I3437="Male",0,1)</f>
        <v>1</v>
      </c>
      <c r="Y3437" s="46" t="n">
        <f aca="false">IF(OR(I3437="DNB",I3437="Dry DNB"),1,0)</f>
        <v>0</v>
      </c>
      <c r="Z3437" s="0" t="str">
        <f aca="false">IF(ISNUMBER(W3437),A3437-W3437,"")</f>
        <v/>
      </c>
      <c r="AA3437" s="46" t="n">
        <f aca="false">MATCH(A3437,DATAS,0)</f>
        <v>1</v>
      </c>
      <c r="AB3437" s="46" t="n">
        <f aca="false">IF(AND(E3437&gt;0,OR(AND(B3437&gt;=1,B3437&lt;=6),B3437=10)),1,0)</f>
        <v>0</v>
      </c>
      <c r="AC3437" s="46" t="n">
        <f aca="false">IF(AND(E3437&gt;0,B3437=10),1,0)</f>
        <v>0</v>
      </c>
      <c r="AD3437" s="0" t="str">
        <f aca="false">IF(AND(C3436=C3437,AA3436=AA3437-1),AB3436,"")</f>
        <v/>
      </c>
      <c r="AE3437" s="0" t="str">
        <f aca="false">IF(AND(C3436=C3437,AA3436=AA3437-1),AC3436,"")</f>
        <v/>
      </c>
      <c r="AF3437" s="0" t="str">
        <f aca="false">IF(AA3437=1,"",IF(AND(AB3437=1,AD3437&lt;&gt;1),1,0))</f>
        <v/>
      </c>
      <c r="AG3437" s="0" t="str">
        <f aca="false">IF(AA3437=1,"",IF(AND(AC3437=1,AE3437&lt;&gt;1),1,0))</f>
        <v/>
      </c>
      <c r="AH3437" s="51" t="str">
        <f aca="false">IF(AND(E3437&gt;0,AA3437&lt;1,NOT(AND(C3438=C3437,AA3438=AA3437+1))),INDEX(DATAS,AA3437+1),"")</f>
        <v/>
      </c>
      <c r="AI3437" s="51" t="str">
        <f aca="false">IF(AND(AC3437=1,AA3437&lt;1),IF(AND(C3438=C3437,AA3438=AA3437+1),IF(AC3438=1,"",INDEX(DATAS,AA3437+1)),INDEX(DATAS,AA3437+1)),"")</f>
        <v/>
      </c>
    </row>
    <row r="3438" customFormat="false" ht="15" hidden="false" customHeight="false" outlineLevel="0" collapsed="false">
      <c r="A3438" s="51" t="n">
        <v>46309</v>
      </c>
      <c r="B3438" s="0" t="n">
        <v>13</v>
      </c>
      <c r="C3438" s="0" t="n">
        <v>7879</v>
      </c>
      <c r="E3438" s="0" t="n">
        <v>0</v>
      </c>
      <c r="F3438" s="46" t="s">
        <v>1599</v>
      </c>
      <c r="I3438" s="46" t="s">
        <v>179</v>
      </c>
      <c r="U3438" s="0" t="n">
        <v>106</v>
      </c>
      <c r="V3438" s="0" t="n">
        <v>0</v>
      </c>
      <c r="X3438" s="46" t="n">
        <f aca="false">IF(I3438="Male",0,1)</f>
        <v>1</v>
      </c>
      <c r="Y3438" s="46" t="n">
        <f aca="false">IF(OR(I3438="DNB",I3438="Dry DNB"),1,0)</f>
        <v>0</v>
      </c>
      <c r="Z3438" s="0" t="str">
        <f aca="false">IF(ISNUMBER(W3438),A3438-W3438,"")</f>
        <v/>
      </c>
      <c r="AA3438" s="46" t="n">
        <f aca="false">MATCH(A3438,DATAS,0)</f>
        <v>1</v>
      </c>
      <c r="AB3438" s="46" t="n">
        <f aca="false">IF(AND(E3438&gt;0,OR(AND(B3438&gt;=1,B3438&lt;=6),B3438=10)),1,0)</f>
        <v>0</v>
      </c>
      <c r="AC3438" s="46" t="n">
        <f aca="false">IF(AND(E3438&gt;0,B3438=10),1,0)</f>
        <v>0</v>
      </c>
      <c r="AD3438" s="0" t="str">
        <f aca="false">IF(AND(C3437=C3438,AA3437=AA3438-1),AB3437,"")</f>
        <v/>
      </c>
      <c r="AE3438" s="0" t="str">
        <f aca="false">IF(AND(C3437=C3438,AA3437=AA3438-1),AC3437,"")</f>
        <v/>
      </c>
      <c r="AF3438" s="0" t="str">
        <f aca="false">IF(AA3438=1,"",IF(AND(AB3438=1,AD3438&lt;&gt;1),1,0))</f>
        <v/>
      </c>
      <c r="AG3438" s="0" t="str">
        <f aca="false">IF(AA3438=1,"",IF(AND(AC3438=1,AE3438&lt;&gt;1),1,0))</f>
        <v/>
      </c>
      <c r="AH3438" s="51" t="str">
        <f aca="false">IF(AND(E3438&gt;0,AA3438&lt;1,NOT(AND(C3439=C3438,AA3439=AA3438+1))),INDEX(DATAS,AA3438+1),"")</f>
        <v/>
      </c>
      <c r="AI3438" s="51" t="str">
        <f aca="false">IF(AND(AC3438=1,AA3438&lt;1),IF(AND(C3439=C3438,AA3439=AA3438+1),IF(AC3439=1,"",INDEX(DATAS,AA3438+1)),INDEX(DATAS,AA3438+1)),"")</f>
        <v/>
      </c>
    </row>
    <row r="3439" customFormat="false" ht="15" hidden="false" customHeight="false" outlineLevel="0" collapsed="false">
      <c r="A3439" s="51" t="n">
        <v>46309</v>
      </c>
      <c r="B3439" s="0" t="n">
        <v>13</v>
      </c>
      <c r="C3439" s="0" t="n">
        <v>7880</v>
      </c>
      <c r="E3439" s="0" t="n">
        <v>0</v>
      </c>
      <c r="F3439" s="46" t="s">
        <v>1599</v>
      </c>
      <c r="I3439" s="46" t="s">
        <v>179</v>
      </c>
      <c r="U3439" s="0" t="n">
        <v>106</v>
      </c>
      <c r="V3439" s="0" t="n">
        <v>0</v>
      </c>
      <c r="X3439" s="46" t="n">
        <f aca="false">IF(I3439="Male",0,1)</f>
        <v>1</v>
      </c>
      <c r="Y3439" s="46" t="n">
        <f aca="false">IF(OR(I3439="DNB",I3439="Dry DNB"),1,0)</f>
        <v>0</v>
      </c>
      <c r="Z3439" s="0" t="str">
        <f aca="false">IF(ISNUMBER(W3439),A3439-W3439,"")</f>
        <v/>
      </c>
      <c r="AA3439" s="46" t="n">
        <f aca="false">MATCH(A3439,DATAS,0)</f>
        <v>1</v>
      </c>
      <c r="AB3439" s="46" t="n">
        <f aca="false">IF(AND(E3439&gt;0,OR(AND(B3439&gt;=1,B3439&lt;=6),B3439=10)),1,0)</f>
        <v>0</v>
      </c>
      <c r="AC3439" s="46" t="n">
        <f aca="false">IF(AND(E3439&gt;0,B3439=10),1,0)</f>
        <v>0</v>
      </c>
      <c r="AD3439" s="0" t="str">
        <f aca="false">IF(AND(C3438=C3439,AA3438=AA3439-1),AB3438,"")</f>
        <v/>
      </c>
      <c r="AE3439" s="0" t="str">
        <f aca="false">IF(AND(C3438=C3439,AA3438=AA3439-1),AC3438,"")</f>
        <v/>
      </c>
      <c r="AF3439" s="0" t="str">
        <f aca="false">IF(AA3439=1,"",IF(AND(AB3439=1,AD3439&lt;&gt;1),1,0))</f>
        <v/>
      </c>
      <c r="AG3439" s="0" t="str">
        <f aca="false">IF(AA3439=1,"",IF(AND(AC3439=1,AE3439&lt;&gt;1),1,0))</f>
        <v/>
      </c>
      <c r="AH3439" s="51" t="str">
        <f aca="false">IF(AND(E3439&gt;0,AA3439&lt;1,NOT(AND(C3440=C3439,AA3440=AA3439+1))),INDEX(DATAS,AA3439+1),"")</f>
        <v/>
      </c>
      <c r="AI3439" s="51" t="str">
        <f aca="false">IF(AND(AC3439=1,AA3439&lt;1),IF(AND(C3440=C3439,AA3440=AA3439+1),IF(AC3440=1,"",INDEX(DATAS,AA3439+1)),INDEX(DATAS,AA3439+1)),"")</f>
        <v/>
      </c>
    </row>
    <row r="3440" customFormat="false" ht="15" hidden="false" customHeight="false" outlineLevel="0" collapsed="false">
      <c r="A3440" s="51" t="n">
        <v>46309</v>
      </c>
      <c r="B3440" s="0" t="n">
        <v>13</v>
      </c>
      <c r="C3440" s="0" t="n">
        <v>7881</v>
      </c>
      <c r="E3440" s="0" t="n">
        <v>0</v>
      </c>
      <c r="F3440" s="46" t="s">
        <v>1599</v>
      </c>
      <c r="I3440" s="46" t="s">
        <v>179</v>
      </c>
      <c r="U3440" s="0" t="n">
        <v>106</v>
      </c>
      <c r="V3440" s="0" t="n">
        <v>0</v>
      </c>
      <c r="X3440" s="46" t="n">
        <f aca="false">IF(I3440="Male",0,1)</f>
        <v>1</v>
      </c>
      <c r="Y3440" s="46" t="n">
        <f aca="false">IF(OR(I3440="DNB",I3440="Dry DNB"),1,0)</f>
        <v>0</v>
      </c>
      <c r="Z3440" s="0" t="str">
        <f aca="false">IF(ISNUMBER(W3440),A3440-W3440,"")</f>
        <v/>
      </c>
      <c r="AA3440" s="46" t="n">
        <f aca="false">MATCH(A3440,DATAS,0)</f>
        <v>1</v>
      </c>
      <c r="AB3440" s="46" t="n">
        <f aca="false">IF(AND(E3440&gt;0,OR(AND(B3440&gt;=1,B3440&lt;=6),B3440=10)),1,0)</f>
        <v>0</v>
      </c>
      <c r="AC3440" s="46" t="n">
        <f aca="false">IF(AND(E3440&gt;0,B3440=10),1,0)</f>
        <v>0</v>
      </c>
      <c r="AD3440" s="0" t="str">
        <f aca="false">IF(AND(C3439=C3440,AA3439=AA3440-1),AB3439,"")</f>
        <v/>
      </c>
      <c r="AE3440" s="0" t="str">
        <f aca="false">IF(AND(C3439=C3440,AA3439=AA3440-1),AC3439,"")</f>
        <v/>
      </c>
      <c r="AF3440" s="0" t="str">
        <f aca="false">IF(AA3440=1,"",IF(AND(AB3440=1,AD3440&lt;&gt;1),1,0))</f>
        <v/>
      </c>
      <c r="AG3440" s="0" t="str">
        <f aca="false">IF(AA3440=1,"",IF(AND(AC3440=1,AE3440&lt;&gt;1),1,0))</f>
        <v/>
      </c>
      <c r="AH3440" s="51" t="str">
        <f aca="false">IF(AND(E3440&gt;0,AA3440&lt;1,NOT(AND(C3441=C3440,AA3441=AA3440+1))),INDEX(DATAS,AA3440+1),"")</f>
        <v/>
      </c>
      <c r="AI3440" s="51" t="str">
        <f aca="false">IF(AND(AC3440=1,AA3440&lt;1),IF(AND(C3441=C3440,AA3441=AA3440+1),IF(AC3441=1,"",INDEX(DATAS,AA3440+1)),INDEX(DATAS,AA3440+1)),"")</f>
        <v/>
      </c>
    </row>
    <row r="3441" customFormat="false" ht="15" hidden="false" customHeight="false" outlineLevel="0" collapsed="false">
      <c r="A3441" s="51" t="n">
        <v>46309</v>
      </c>
      <c r="B3441" s="0" t="n">
        <v>13</v>
      </c>
      <c r="C3441" s="0" t="n">
        <v>7882</v>
      </c>
      <c r="E3441" s="0" t="n">
        <v>0</v>
      </c>
      <c r="F3441" s="46" t="s">
        <v>1599</v>
      </c>
      <c r="I3441" s="46" t="s">
        <v>179</v>
      </c>
      <c r="U3441" s="0" t="n">
        <v>106</v>
      </c>
      <c r="V3441" s="0" t="n">
        <v>0</v>
      </c>
      <c r="X3441" s="46" t="n">
        <f aca="false">IF(I3441="Male",0,1)</f>
        <v>1</v>
      </c>
      <c r="Y3441" s="46" t="n">
        <f aca="false">IF(OR(I3441="DNB",I3441="Dry DNB"),1,0)</f>
        <v>0</v>
      </c>
      <c r="Z3441" s="0" t="str">
        <f aca="false">IF(ISNUMBER(W3441),A3441-W3441,"")</f>
        <v/>
      </c>
      <c r="AA3441" s="46" t="n">
        <f aca="false">MATCH(A3441,DATAS,0)</f>
        <v>1</v>
      </c>
      <c r="AB3441" s="46" t="n">
        <f aca="false">IF(AND(E3441&gt;0,OR(AND(B3441&gt;=1,B3441&lt;=6),B3441=10)),1,0)</f>
        <v>0</v>
      </c>
      <c r="AC3441" s="46" t="n">
        <f aca="false">IF(AND(E3441&gt;0,B3441=10),1,0)</f>
        <v>0</v>
      </c>
      <c r="AD3441" s="0" t="str">
        <f aca="false">IF(AND(C3440=C3441,AA3440=AA3441-1),AB3440,"")</f>
        <v/>
      </c>
      <c r="AE3441" s="0" t="str">
        <f aca="false">IF(AND(C3440=C3441,AA3440=AA3441-1),AC3440,"")</f>
        <v/>
      </c>
      <c r="AF3441" s="0" t="str">
        <f aca="false">IF(AA3441=1,"",IF(AND(AB3441=1,AD3441&lt;&gt;1),1,0))</f>
        <v/>
      </c>
      <c r="AG3441" s="0" t="str">
        <f aca="false">IF(AA3441=1,"",IF(AND(AC3441=1,AE3441&lt;&gt;1),1,0))</f>
        <v/>
      </c>
      <c r="AH3441" s="51" t="str">
        <f aca="false">IF(AND(E3441&gt;0,AA3441&lt;1,NOT(AND(C3442=C3441,AA3442=AA3441+1))),INDEX(DATAS,AA3441+1),"")</f>
        <v/>
      </c>
      <c r="AI3441" s="51" t="str">
        <f aca="false">IF(AND(AC3441=1,AA3441&lt;1),IF(AND(C3442=C3441,AA3442=AA3441+1),IF(AC3442=1,"",INDEX(DATAS,AA3441+1)),INDEX(DATAS,AA3441+1)),"")</f>
        <v/>
      </c>
    </row>
    <row r="3442" customFormat="false" ht="15" hidden="false" customHeight="false" outlineLevel="0" collapsed="false">
      <c r="A3442" s="51" t="n">
        <v>46309</v>
      </c>
      <c r="B3442" s="0" t="n">
        <v>13</v>
      </c>
      <c r="C3442" s="0" t="n">
        <v>7883</v>
      </c>
      <c r="E3442" s="0" t="n">
        <v>0</v>
      </c>
      <c r="F3442" s="46" t="s">
        <v>1599</v>
      </c>
      <c r="I3442" s="46" t="s">
        <v>179</v>
      </c>
      <c r="U3442" s="0" t="n">
        <v>106</v>
      </c>
      <c r="V3442" s="0" t="n">
        <v>0</v>
      </c>
      <c r="X3442" s="46" t="n">
        <f aca="false">IF(I3442="Male",0,1)</f>
        <v>1</v>
      </c>
      <c r="Y3442" s="46" t="n">
        <f aca="false">IF(OR(I3442="DNB",I3442="Dry DNB"),1,0)</f>
        <v>0</v>
      </c>
      <c r="Z3442" s="0" t="str">
        <f aca="false">IF(ISNUMBER(W3442),A3442-W3442,"")</f>
        <v/>
      </c>
      <c r="AA3442" s="46" t="n">
        <f aca="false">MATCH(A3442,DATAS,0)</f>
        <v>1</v>
      </c>
      <c r="AB3442" s="46" t="n">
        <f aca="false">IF(AND(E3442&gt;0,OR(AND(B3442&gt;=1,B3442&lt;=6),B3442=10)),1,0)</f>
        <v>0</v>
      </c>
      <c r="AC3442" s="46" t="n">
        <f aca="false">IF(AND(E3442&gt;0,B3442=10),1,0)</f>
        <v>0</v>
      </c>
      <c r="AD3442" s="0" t="str">
        <f aca="false">IF(AND(C3441=C3442,AA3441=AA3442-1),AB3441,"")</f>
        <v/>
      </c>
      <c r="AE3442" s="0" t="str">
        <f aca="false">IF(AND(C3441=C3442,AA3441=AA3442-1),AC3441,"")</f>
        <v/>
      </c>
      <c r="AF3442" s="0" t="str">
        <f aca="false">IF(AA3442=1,"",IF(AND(AB3442=1,AD3442&lt;&gt;1),1,0))</f>
        <v/>
      </c>
      <c r="AG3442" s="0" t="str">
        <f aca="false">IF(AA3442=1,"",IF(AND(AC3442=1,AE3442&lt;&gt;1),1,0))</f>
        <v/>
      </c>
      <c r="AH3442" s="51" t="str">
        <f aca="false">IF(AND(E3442&gt;0,AA3442&lt;1,NOT(AND(C3443=C3442,AA3443=AA3442+1))),INDEX(DATAS,AA3442+1),"")</f>
        <v/>
      </c>
      <c r="AI3442" s="51" t="str">
        <f aca="false">IF(AND(AC3442=1,AA3442&lt;1),IF(AND(C3443=C3442,AA3443=AA3442+1),IF(AC3443=1,"",INDEX(DATAS,AA3442+1)),INDEX(DATAS,AA3442+1)),"")</f>
        <v/>
      </c>
    </row>
    <row r="3443" customFormat="false" ht="15" hidden="false" customHeight="false" outlineLevel="0" collapsed="false">
      <c r="A3443" s="51" t="n">
        <v>46309</v>
      </c>
      <c r="B3443" s="0" t="n">
        <v>13</v>
      </c>
      <c r="C3443" s="0" t="n">
        <v>7884</v>
      </c>
      <c r="E3443" s="0" t="n">
        <v>0</v>
      </c>
      <c r="F3443" s="46" t="s">
        <v>1599</v>
      </c>
      <c r="I3443" s="46" t="s">
        <v>179</v>
      </c>
      <c r="U3443" s="0" t="n">
        <v>106</v>
      </c>
      <c r="V3443" s="0" t="n">
        <v>0</v>
      </c>
      <c r="X3443" s="46" t="n">
        <f aca="false">IF(I3443="Male",0,1)</f>
        <v>1</v>
      </c>
      <c r="Y3443" s="46" t="n">
        <f aca="false">IF(OR(I3443="DNB",I3443="Dry DNB"),1,0)</f>
        <v>0</v>
      </c>
      <c r="Z3443" s="0" t="str">
        <f aca="false">IF(ISNUMBER(W3443),A3443-W3443,"")</f>
        <v/>
      </c>
      <c r="AA3443" s="46" t="n">
        <f aca="false">MATCH(A3443,DATAS,0)</f>
        <v>1</v>
      </c>
      <c r="AB3443" s="46" t="n">
        <f aca="false">IF(AND(E3443&gt;0,OR(AND(B3443&gt;=1,B3443&lt;=6),B3443=10)),1,0)</f>
        <v>0</v>
      </c>
      <c r="AC3443" s="46" t="n">
        <f aca="false">IF(AND(E3443&gt;0,B3443=10),1,0)</f>
        <v>0</v>
      </c>
      <c r="AD3443" s="0" t="str">
        <f aca="false">IF(AND(C3442=C3443,AA3442=AA3443-1),AB3442,"")</f>
        <v/>
      </c>
      <c r="AE3443" s="0" t="str">
        <f aca="false">IF(AND(C3442=C3443,AA3442=AA3443-1),AC3442,"")</f>
        <v/>
      </c>
      <c r="AF3443" s="0" t="str">
        <f aca="false">IF(AA3443=1,"",IF(AND(AB3443=1,AD3443&lt;&gt;1),1,0))</f>
        <v/>
      </c>
      <c r="AG3443" s="0" t="str">
        <f aca="false">IF(AA3443=1,"",IF(AND(AC3443=1,AE3443&lt;&gt;1),1,0))</f>
        <v/>
      </c>
      <c r="AH3443" s="51" t="str">
        <f aca="false">IF(AND(E3443&gt;0,AA3443&lt;1,NOT(AND(C3444=C3443,AA3444=AA3443+1))),INDEX(DATAS,AA3443+1),"")</f>
        <v/>
      </c>
      <c r="AI3443" s="51" t="str">
        <f aca="false">IF(AND(AC3443=1,AA3443&lt;1),IF(AND(C3444=C3443,AA3444=AA3443+1),IF(AC3444=1,"",INDEX(DATAS,AA3443+1)),INDEX(DATAS,AA3443+1)),"")</f>
        <v/>
      </c>
    </row>
    <row r="3444" customFormat="false" ht="15" hidden="false" customHeight="false" outlineLevel="0" collapsed="false">
      <c r="A3444" s="51" t="n">
        <v>46309</v>
      </c>
      <c r="B3444" s="0" t="n">
        <v>13</v>
      </c>
      <c r="C3444" s="0" t="n">
        <v>7885</v>
      </c>
      <c r="E3444" s="0" t="n">
        <v>0</v>
      </c>
      <c r="F3444" s="46" t="s">
        <v>1599</v>
      </c>
      <c r="I3444" s="46" t="s">
        <v>179</v>
      </c>
      <c r="U3444" s="0" t="n">
        <v>106</v>
      </c>
      <c r="V3444" s="0" t="n">
        <v>0</v>
      </c>
      <c r="X3444" s="46" t="n">
        <f aca="false">IF(I3444="Male",0,1)</f>
        <v>1</v>
      </c>
      <c r="Y3444" s="46" t="n">
        <f aca="false">IF(OR(I3444="DNB",I3444="Dry DNB"),1,0)</f>
        <v>0</v>
      </c>
      <c r="Z3444" s="0" t="str">
        <f aca="false">IF(ISNUMBER(W3444),A3444-W3444,"")</f>
        <v/>
      </c>
      <c r="AA3444" s="46" t="n">
        <f aca="false">MATCH(A3444,DATAS,0)</f>
        <v>1</v>
      </c>
      <c r="AB3444" s="46" t="n">
        <f aca="false">IF(AND(E3444&gt;0,OR(AND(B3444&gt;=1,B3444&lt;=6),B3444=10)),1,0)</f>
        <v>0</v>
      </c>
      <c r="AC3444" s="46" t="n">
        <f aca="false">IF(AND(E3444&gt;0,B3444=10),1,0)</f>
        <v>0</v>
      </c>
      <c r="AD3444" s="0" t="str">
        <f aca="false">IF(AND(C3443=C3444,AA3443=AA3444-1),AB3443,"")</f>
        <v/>
      </c>
      <c r="AE3444" s="0" t="str">
        <f aca="false">IF(AND(C3443=C3444,AA3443=AA3444-1),AC3443,"")</f>
        <v/>
      </c>
      <c r="AF3444" s="0" t="str">
        <f aca="false">IF(AA3444=1,"",IF(AND(AB3444=1,AD3444&lt;&gt;1),1,0))</f>
        <v/>
      </c>
      <c r="AG3444" s="0" t="str">
        <f aca="false">IF(AA3444=1,"",IF(AND(AC3444=1,AE3444&lt;&gt;1),1,0))</f>
        <v/>
      </c>
      <c r="AH3444" s="51" t="str">
        <f aca="false">IF(AND(E3444&gt;0,AA3444&lt;1,NOT(AND(C3445=C3444,AA3445=AA3444+1))),INDEX(DATAS,AA3444+1),"")</f>
        <v/>
      </c>
      <c r="AI3444" s="51" t="str">
        <f aca="false">IF(AND(AC3444=1,AA3444&lt;1),IF(AND(C3445=C3444,AA3445=AA3444+1),IF(AC3445=1,"",INDEX(DATAS,AA3444+1)),INDEX(DATAS,AA3444+1)),"")</f>
        <v/>
      </c>
    </row>
    <row r="3445" customFormat="false" ht="15" hidden="false" customHeight="false" outlineLevel="0" collapsed="false">
      <c r="A3445" s="51" t="n">
        <v>46309</v>
      </c>
      <c r="B3445" s="0" t="n">
        <v>13</v>
      </c>
      <c r="C3445" s="0" t="n">
        <v>7886</v>
      </c>
      <c r="E3445" s="0" t="n">
        <v>0</v>
      </c>
      <c r="F3445" s="46" t="s">
        <v>1599</v>
      </c>
      <c r="I3445" s="46" t="s">
        <v>179</v>
      </c>
      <c r="U3445" s="0" t="n">
        <v>106</v>
      </c>
      <c r="V3445" s="0" t="n">
        <v>0</v>
      </c>
      <c r="X3445" s="46" t="n">
        <f aca="false">IF(I3445="Male",0,1)</f>
        <v>1</v>
      </c>
      <c r="Y3445" s="46" t="n">
        <f aca="false">IF(OR(I3445="DNB",I3445="Dry DNB"),1,0)</f>
        <v>0</v>
      </c>
      <c r="Z3445" s="0" t="str">
        <f aca="false">IF(ISNUMBER(W3445),A3445-W3445,"")</f>
        <v/>
      </c>
      <c r="AA3445" s="46" t="n">
        <f aca="false">MATCH(A3445,DATAS,0)</f>
        <v>1</v>
      </c>
      <c r="AB3445" s="46" t="n">
        <f aca="false">IF(AND(E3445&gt;0,OR(AND(B3445&gt;=1,B3445&lt;=6),B3445=10)),1,0)</f>
        <v>0</v>
      </c>
      <c r="AC3445" s="46" t="n">
        <f aca="false">IF(AND(E3445&gt;0,B3445=10),1,0)</f>
        <v>0</v>
      </c>
      <c r="AD3445" s="0" t="str">
        <f aca="false">IF(AND(C3444=C3445,AA3444=AA3445-1),AB3444,"")</f>
        <v/>
      </c>
      <c r="AE3445" s="0" t="str">
        <f aca="false">IF(AND(C3444=C3445,AA3444=AA3445-1),AC3444,"")</f>
        <v/>
      </c>
      <c r="AF3445" s="0" t="str">
        <f aca="false">IF(AA3445=1,"",IF(AND(AB3445=1,AD3445&lt;&gt;1),1,0))</f>
        <v/>
      </c>
      <c r="AG3445" s="0" t="str">
        <f aca="false">IF(AA3445=1,"",IF(AND(AC3445=1,AE3445&lt;&gt;1),1,0))</f>
        <v/>
      </c>
      <c r="AH3445" s="51" t="str">
        <f aca="false">IF(AND(E3445&gt;0,AA3445&lt;1,NOT(AND(C3446=C3445,AA3446=AA3445+1))),INDEX(DATAS,AA3445+1),"")</f>
        <v/>
      </c>
      <c r="AI3445" s="51" t="str">
        <f aca="false">IF(AND(AC3445=1,AA3445&lt;1),IF(AND(C3446=C3445,AA3446=AA3445+1),IF(AC3446=1,"",INDEX(DATAS,AA3445+1)),INDEX(DATAS,AA3445+1)),"")</f>
        <v/>
      </c>
    </row>
    <row r="3446" customFormat="false" ht="15" hidden="false" customHeight="false" outlineLevel="0" collapsed="false">
      <c r="A3446" s="51" t="n">
        <v>46309</v>
      </c>
      <c r="B3446" s="0" t="n">
        <v>13</v>
      </c>
      <c r="C3446" s="0" t="n">
        <v>7887</v>
      </c>
      <c r="E3446" s="0" t="n">
        <v>0</v>
      </c>
      <c r="F3446" s="46" t="s">
        <v>1599</v>
      </c>
      <c r="I3446" s="46" t="s">
        <v>179</v>
      </c>
      <c r="U3446" s="0" t="n">
        <v>106</v>
      </c>
      <c r="V3446" s="0" t="n">
        <v>0</v>
      </c>
      <c r="X3446" s="46" t="n">
        <f aca="false">IF(I3446="Male",0,1)</f>
        <v>1</v>
      </c>
      <c r="Y3446" s="46" t="n">
        <f aca="false">IF(OR(I3446="DNB",I3446="Dry DNB"),1,0)</f>
        <v>0</v>
      </c>
      <c r="Z3446" s="0" t="str">
        <f aca="false">IF(ISNUMBER(W3446),A3446-W3446,"")</f>
        <v/>
      </c>
      <c r="AA3446" s="46" t="n">
        <f aca="false">MATCH(A3446,DATAS,0)</f>
        <v>1</v>
      </c>
      <c r="AB3446" s="46" t="n">
        <f aca="false">IF(AND(E3446&gt;0,OR(AND(B3446&gt;=1,B3446&lt;=6),B3446=10)),1,0)</f>
        <v>0</v>
      </c>
      <c r="AC3446" s="46" t="n">
        <f aca="false">IF(AND(E3446&gt;0,B3446=10),1,0)</f>
        <v>0</v>
      </c>
      <c r="AD3446" s="0" t="str">
        <f aca="false">IF(AND(C3445=C3446,AA3445=AA3446-1),AB3445,"")</f>
        <v/>
      </c>
      <c r="AE3446" s="0" t="str">
        <f aca="false">IF(AND(C3445=C3446,AA3445=AA3446-1),AC3445,"")</f>
        <v/>
      </c>
      <c r="AF3446" s="0" t="str">
        <f aca="false">IF(AA3446=1,"",IF(AND(AB3446=1,AD3446&lt;&gt;1),1,0))</f>
        <v/>
      </c>
      <c r="AG3446" s="0" t="str">
        <f aca="false">IF(AA3446=1,"",IF(AND(AC3446=1,AE3446&lt;&gt;1),1,0))</f>
        <v/>
      </c>
      <c r="AH3446" s="51" t="str">
        <f aca="false">IF(AND(E3446&gt;0,AA3446&lt;1,NOT(AND(C3447=C3446,AA3447=AA3446+1))),INDEX(DATAS,AA3446+1),"")</f>
        <v/>
      </c>
      <c r="AI3446" s="51" t="str">
        <f aca="false">IF(AND(AC3446=1,AA3446&lt;1),IF(AND(C3447=C3446,AA3447=AA3446+1),IF(AC3447=1,"",INDEX(DATAS,AA3446+1)),INDEX(DATAS,AA3446+1)),"")</f>
        <v/>
      </c>
    </row>
    <row r="3447" customFormat="false" ht="15" hidden="false" customHeight="false" outlineLevel="0" collapsed="false">
      <c r="A3447" s="51" t="n">
        <v>46309</v>
      </c>
      <c r="B3447" s="0" t="n">
        <v>13</v>
      </c>
      <c r="C3447" s="0" t="n">
        <v>7888</v>
      </c>
      <c r="E3447" s="0" t="n">
        <v>0</v>
      </c>
      <c r="F3447" s="46" t="s">
        <v>1599</v>
      </c>
      <c r="I3447" s="46" t="s">
        <v>179</v>
      </c>
      <c r="U3447" s="0" t="n">
        <v>106</v>
      </c>
      <c r="V3447" s="0" t="n">
        <v>0</v>
      </c>
      <c r="X3447" s="46" t="n">
        <f aca="false">IF(I3447="Male",0,1)</f>
        <v>1</v>
      </c>
      <c r="Y3447" s="46" t="n">
        <f aca="false">IF(OR(I3447="DNB",I3447="Dry DNB"),1,0)</f>
        <v>0</v>
      </c>
      <c r="Z3447" s="0" t="str">
        <f aca="false">IF(ISNUMBER(W3447),A3447-W3447,"")</f>
        <v/>
      </c>
      <c r="AA3447" s="46" t="n">
        <f aca="false">MATCH(A3447,DATAS,0)</f>
        <v>1</v>
      </c>
      <c r="AB3447" s="46" t="n">
        <f aca="false">IF(AND(E3447&gt;0,OR(AND(B3447&gt;=1,B3447&lt;=6),B3447=10)),1,0)</f>
        <v>0</v>
      </c>
      <c r="AC3447" s="46" t="n">
        <f aca="false">IF(AND(E3447&gt;0,B3447=10),1,0)</f>
        <v>0</v>
      </c>
      <c r="AD3447" s="0" t="str">
        <f aca="false">IF(AND(C3446=C3447,AA3446=AA3447-1),AB3446,"")</f>
        <v/>
      </c>
      <c r="AE3447" s="0" t="str">
        <f aca="false">IF(AND(C3446=C3447,AA3446=AA3447-1),AC3446,"")</f>
        <v/>
      </c>
      <c r="AF3447" s="0" t="str">
        <f aca="false">IF(AA3447=1,"",IF(AND(AB3447=1,AD3447&lt;&gt;1),1,0))</f>
        <v/>
      </c>
      <c r="AG3447" s="0" t="str">
        <f aca="false">IF(AA3447=1,"",IF(AND(AC3447=1,AE3447&lt;&gt;1),1,0))</f>
        <v/>
      </c>
      <c r="AH3447" s="51" t="str">
        <f aca="false">IF(AND(E3447&gt;0,AA3447&lt;1,NOT(AND(C3448=C3447,AA3448=AA3447+1))),INDEX(DATAS,AA3447+1),"")</f>
        <v/>
      </c>
      <c r="AI3447" s="51" t="str">
        <f aca="false">IF(AND(AC3447=1,AA3447&lt;1),IF(AND(C3448=C3447,AA3448=AA3447+1),IF(AC3448=1,"",INDEX(DATAS,AA3447+1)),INDEX(DATAS,AA3447+1)),"")</f>
        <v/>
      </c>
    </row>
    <row r="3448" customFormat="false" ht="15" hidden="false" customHeight="false" outlineLevel="0" collapsed="false">
      <c r="A3448" s="51" t="n">
        <v>46309</v>
      </c>
      <c r="B3448" s="0" t="n">
        <v>13</v>
      </c>
      <c r="C3448" s="0" t="n">
        <v>7890</v>
      </c>
      <c r="E3448" s="0" t="n">
        <v>0</v>
      </c>
      <c r="F3448" s="46" t="s">
        <v>1600</v>
      </c>
      <c r="I3448" s="46" t="s">
        <v>179</v>
      </c>
      <c r="U3448" s="0" t="n">
        <v>104</v>
      </c>
      <c r="V3448" s="0" t="n">
        <v>0</v>
      </c>
      <c r="X3448" s="46" t="n">
        <f aca="false">IF(I3448="Male",0,1)</f>
        <v>1</v>
      </c>
      <c r="Y3448" s="46" t="n">
        <f aca="false">IF(OR(I3448="DNB",I3448="Dry DNB"),1,0)</f>
        <v>0</v>
      </c>
      <c r="Z3448" s="0" t="str">
        <f aca="false">IF(ISNUMBER(W3448),A3448-W3448,"")</f>
        <v/>
      </c>
      <c r="AA3448" s="46" t="n">
        <f aca="false">MATCH(A3448,DATAS,0)</f>
        <v>1</v>
      </c>
      <c r="AB3448" s="46" t="n">
        <f aca="false">IF(AND(E3448&gt;0,OR(AND(B3448&gt;=1,B3448&lt;=6),B3448=10)),1,0)</f>
        <v>0</v>
      </c>
      <c r="AC3448" s="46" t="n">
        <f aca="false">IF(AND(E3448&gt;0,B3448=10),1,0)</f>
        <v>0</v>
      </c>
      <c r="AD3448" s="0" t="str">
        <f aca="false">IF(AND(C3447=C3448,AA3447=AA3448-1),AB3447,"")</f>
        <v/>
      </c>
      <c r="AE3448" s="0" t="str">
        <f aca="false">IF(AND(C3447=C3448,AA3447=AA3448-1),AC3447,"")</f>
        <v/>
      </c>
      <c r="AF3448" s="0" t="str">
        <f aca="false">IF(AA3448=1,"",IF(AND(AB3448=1,AD3448&lt;&gt;1),1,0))</f>
        <v/>
      </c>
      <c r="AG3448" s="0" t="str">
        <f aca="false">IF(AA3448=1,"",IF(AND(AC3448=1,AE3448&lt;&gt;1),1,0))</f>
        <v/>
      </c>
      <c r="AH3448" s="51" t="str">
        <f aca="false">IF(AND(E3448&gt;0,AA3448&lt;1,NOT(AND(C3449=C3448,AA3449=AA3448+1))),INDEX(DATAS,AA3448+1),"")</f>
        <v/>
      </c>
      <c r="AI3448" s="51" t="str">
        <f aca="false">IF(AND(AC3448=1,AA3448&lt;1),IF(AND(C3449=C3448,AA3449=AA3448+1),IF(AC3449=1,"",INDEX(DATAS,AA3448+1)),INDEX(DATAS,AA3448+1)),"")</f>
        <v/>
      </c>
    </row>
    <row r="3449" customFormat="false" ht="15" hidden="false" customHeight="false" outlineLevel="0" collapsed="false">
      <c r="A3449" s="51" t="n">
        <v>46309</v>
      </c>
      <c r="B3449" s="0" t="n">
        <v>13</v>
      </c>
      <c r="C3449" s="0" t="n">
        <v>7891</v>
      </c>
      <c r="E3449" s="0" t="n">
        <v>0</v>
      </c>
      <c r="F3449" s="46" t="s">
        <v>1600</v>
      </c>
      <c r="I3449" s="46" t="s">
        <v>179</v>
      </c>
      <c r="U3449" s="0" t="n">
        <v>104</v>
      </c>
      <c r="V3449" s="0" t="n">
        <v>0</v>
      </c>
      <c r="X3449" s="46" t="n">
        <f aca="false">IF(I3449="Male",0,1)</f>
        <v>1</v>
      </c>
      <c r="Y3449" s="46" t="n">
        <f aca="false">IF(OR(I3449="DNB",I3449="Dry DNB"),1,0)</f>
        <v>0</v>
      </c>
      <c r="Z3449" s="0" t="str">
        <f aca="false">IF(ISNUMBER(W3449),A3449-W3449,"")</f>
        <v/>
      </c>
      <c r="AA3449" s="46" t="n">
        <f aca="false">MATCH(A3449,DATAS,0)</f>
        <v>1</v>
      </c>
      <c r="AB3449" s="46" t="n">
        <f aca="false">IF(AND(E3449&gt;0,OR(AND(B3449&gt;=1,B3449&lt;=6),B3449=10)),1,0)</f>
        <v>0</v>
      </c>
      <c r="AC3449" s="46" t="n">
        <f aca="false">IF(AND(E3449&gt;0,B3449=10),1,0)</f>
        <v>0</v>
      </c>
      <c r="AD3449" s="0" t="str">
        <f aca="false">IF(AND(C3448=C3449,AA3448=AA3449-1),AB3448,"")</f>
        <v/>
      </c>
      <c r="AE3449" s="0" t="str">
        <f aca="false">IF(AND(C3448=C3449,AA3448=AA3449-1),AC3448,"")</f>
        <v/>
      </c>
      <c r="AF3449" s="0" t="str">
        <f aca="false">IF(AA3449=1,"",IF(AND(AB3449=1,AD3449&lt;&gt;1),1,0))</f>
        <v/>
      </c>
      <c r="AG3449" s="0" t="str">
        <f aca="false">IF(AA3449=1,"",IF(AND(AC3449=1,AE3449&lt;&gt;1),1,0))</f>
        <v/>
      </c>
      <c r="AH3449" s="51" t="str">
        <f aca="false">IF(AND(E3449&gt;0,AA3449&lt;1,NOT(AND(C3450=C3449,AA3450=AA3449+1))),INDEX(DATAS,AA3449+1),"")</f>
        <v/>
      </c>
      <c r="AI3449" s="51" t="str">
        <f aca="false">IF(AND(AC3449=1,AA3449&lt;1),IF(AND(C3450=C3449,AA3450=AA3449+1),IF(AC3450=1,"",INDEX(DATAS,AA3449+1)),INDEX(DATAS,AA3449+1)),"")</f>
        <v/>
      </c>
    </row>
    <row r="3450" customFormat="false" ht="15" hidden="false" customHeight="false" outlineLevel="0" collapsed="false">
      <c r="A3450" s="51" t="n">
        <v>46309</v>
      </c>
      <c r="B3450" s="0" t="n">
        <v>13</v>
      </c>
      <c r="C3450" s="0" t="n">
        <v>7892</v>
      </c>
      <c r="E3450" s="0" t="n">
        <v>0</v>
      </c>
      <c r="F3450" s="46" t="s">
        <v>1600</v>
      </c>
      <c r="I3450" s="46" t="s">
        <v>179</v>
      </c>
      <c r="U3450" s="0" t="n">
        <v>104</v>
      </c>
      <c r="V3450" s="0" t="n">
        <v>0</v>
      </c>
      <c r="X3450" s="46" t="n">
        <f aca="false">IF(I3450="Male",0,1)</f>
        <v>1</v>
      </c>
      <c r="Y3450" s="46" t="n">
        <f aca="false">IF(OR(I3450="DNB",I3450="Dry DNB"),1,0)</f>
        <v>0</v>
      </c>
      <c r="Z3450" s="0" t="str">
        <f aca="false">IF(ISNUMBER(W3450),A3450-W3450,"")</f>
        <v/>
      </c>
      <c r="AA3450" s="46" t="n">
        <f aca="false">MATCH(A3450,DATAS,0)</f>
        <v>1</v>
      </c>
      <c r="AB3450" s="46" t="n">
        <f aca="false">IF(AND(E3450&gt;0,OR(AND(B3450&gt;=1,B3450&lt;=6),B3450=10)),1,0)</f>
        <v>0</v>
      </c>
      <c r="AC3450" s="46" t="n">
        <f aca="false">IF(AND(E3450&gt;0,B3450=10),1,0)</f>
        <v>0</v>
      </c>
      <c r="AD3450" s="0" t="str">
        <f aca="false">IF(AND(C3449=C3450,AA3449=AA3450-1),AB3449,"")</f>
        <v/>
      </c>
      <c r="AE3450" s="0" t="str">
        <f aca="false">IF(AND(C3449=C3450,AA3449=AA3450-1),AC3449,"")</f>
        <v/>
      </c>
      <c r="AF3450" s="0" t="str">
        <f aca="false">IF(AA3450=1,"",IF(AND(AB3450=1,AD3450&lt;&gt;1),1,0))</f>
        <v/>
      </c>
      <c r="AG3450" s="0" t="str">
        <f aca="false">IF(AA3450=1,"",IF(AND(AC3450=1,AE3450&lt;&gt;1),1,0))</f>
        <v/>
      </c>
      <c r="AH3450" s="51" t="str">
        <f aca="false">IF(AND(E3450&gt;0,AA3450&lt;1,NOT(AND(C3451=C3450,AA3451=AA3450+1))),INDEX(DATAS,AA3450+1),"")</f>
        <v/>
      </c>
      <c r="AI3450" s="51" t="str">
        <f aca="false">IF(AND(AC3450=1,AA3450&lt;1),IF(AND(C3451=C3450,AA3451=AA3450+1),IF(AC3451=1,"",INDEX(DATAS,AA3450+1)),INDEX(DATAS,AA3450+1)),"")</f>
        <v/>
      </c>
    </row>
    <row r="3451" customFormat="false" ht="15" hidden="false" customHeight="false" outlineLevel="0" collapsed="false">
      <c r="A3451" s="51" t="n">
        <v>46309</v>
      </c>
      <c r="B3451" s="0" t="n">
        <v>13</v>
      </c>
      <c r="C3451" s="0" t="n">
        <v>7893</v>
      </c>
      <c r="E3451" s="0" t="n">
        <v>0</v>
      </c>
      <c r="F3451" s="46" t="s">
        <v>1601</v>
      </c>
      <c r="I3451" s="46" t="s">
        <v>179</v>
      </c>
      <c r="U3451" s="0" t="n">
        <v>103</v>
      </c>
      <c r="V3451" s="0" t="n">
        <v>0</v>
      </c>
      <c r="X3451" s="46" t="n">
        <f aca="false">IF(I3451="Male",0,1)</f>
        <v>1</v>
      </c>
      <c r="Y3451" s="46" t="n">
        <f aca="false">IF(OR(I3451="DNB",I3451="Dry DNB"),1,0)</f>
        <v>0</v>
      </c>
      <c r="Z3451" s="0" t="str">
        <f aca="false">IF(ISNUMBER(W3451),A3451-W3451,"")</f>
        <v/>
      </c>
      <c r="AA3451" s="46" t="n">
        <f aca="false">MATCH(A3451,DATAS,0)</f>
        <v>1</v>
      </c>
      <c r="AB3451" s="46" t="n">
        <f aca="false">IF(AND(E3451&gt;0,OR(AND(B3451&gt;=1,B3451&lt;=6),B3451=10)),1,0)</f>
        <v>0</v>
      </c>
      <c r="AC3451" s="46" t="n">
        <f aca="false">IF(AND(E3451&gt;0,B3451=10),1,0)</f>
        <v>0</v>
      </c>
      <c r="AD3451" s="0" t="str">
        <f aca="false">IF(AND(C3450=C3451,AA3450=AA3451-1),AB3450,"")</f>
        <v/>
      </c>
      <c r="AE3451" s="0" t="str">
        <f aca="false">IF(AND(C3450=C3451,AA3450=AA3451-1),AC3450,"")</f>
        <v/>
      </c>
      <c r="AF3451" s="0" t="str">
        <f aca="false">IF(AA3451=1,"",IF(AND(AB3451=1,AD3451&lt;&gt;1),1,0))</f>
        <v/>
      </c>
      <c r="AG3451" s="0" t="str">
        <f aca="false">IF(AA3451=1,"",IF(AND(AC3451=1,AE3451&lt;&gt;1),1,0))</f>
        <v/>
      </c>
      <c r="AH3451" s="51" t="str">
        <f aca="false">IF(AND(E3451&gt;0,AA3451&lt;1,NOT(AND(C3452=C3451,AA3452=AA3451+1))),INDEX(DATAS,AA3451+1),"")</f>
        <v/>
      </c>
      <c r="AI3451" s="51" t="str">
        <f aca="false">IF(AND(AC3451=1,AA3451&lt;1),IF(AND(C3452=C3451,AA3452=AA3451+1),IF(AC3452=1,"",INDEX(DATAS,AA3451+1)),INDEX(DATAS,AA3451+1)),"")</f>
        <v/>
      </c>
    </row>
    <row r="3452" customFormat="false" ht="15" hidden="false" customHeight="false" outlineLevel="0" collapsed="false">
      <c r="A3452" s="51" t="n">
        <v>46309</v>
      </c>
      <c r="B3452" s="0" t="n">
        <v>13</v>
      </c>
      <c r="C3452" s="0" t="n">
        <v>7894</v>
      </c>
      <c r="E3452" s="0" t="n">
        <v>0</v>
      </c>
      <c r="F3452" s="46" t="s">
        <v>1601</v>
      </c>
      <c r="I3452" s="46" t="s">
        <v>179</v>
      </c>
      <c r="U3452" s="0" t="n">
        <v>103</v>
      </c>
      <c r="V3452" s="0" t="n">
        <v>0</v>
      </c>
      <c r="X3452" s="46" t="n">
        <f aca="false">IF(I3452="Male",0,1)</f>
        <v>1</v>
      </c>
      <c r="Y3452" s="46" t="n">
        <f aca="false">IF(OR(I3452="DNB",I3452="Dry DNB"),1,0)</f>
        <v>0</v>
      </c>
      <c r="Z3452" s="0" t="str">
        <f aca="false">IF(ISNUMBER(W3452),A3452-W3452,"")</f>
        <v/>
      </c>
      <c r="AA3452" s="46" t="n">
        <f aca="false">MATCH(A3452,DATAS,0)</f>
        <v>1</v>
      </c>
      <c r="AB3452" s="46" t="n">
        <f aca="false">IF(AND(E3452&gt;0,OR(AND(B3452&gt;=1,B3452&lt;=6),B3452=10)),1,0)</f>
        <v>0</v>
      </c>
      <c r="AC3452" s="46" t="n">
        <f aca="false">IF(AND(E3452&gt;0,B3452=10),1,0)</f>
        <v>0</v>
      </c>
      <c r="AD3452" s="0" t="str">
        <f aca="false">IF(AND(C3451=C3452,AA3451=AA3452-1),AB3451,"")</f>
        <v/>
      </c>
      <c r="AE3452" s="0" t="str">
        <f aca="false">IF(AND(C3451=C3452,AA3451=AA3452-1),AC3451,"")</f>
        <v/>
      </c>
      <c r="AF3452" s="0" t="str">
        <f aca="false">IF(AA3452=1,"",IF(AND(AB3452=1,AD3452&lt;&gt;1),1,0))</f>
        <v/>
      </c>
      <c r="AG3452" s="0" t="str">
        <f aca="false">IF(AA3452=1,"",IF(AND(AC3452=1,AE3452&lt;&gt;1),1,0))</f>
        <v/>
      </c>
      <c r="AH3452" s="51" t="str">
        <f aca="false">IF(AND(E3452&gt;0,AA3452&lt;1,NOT(AND(C3453=C3452,AA3453=AA3452+1))),INDEX(DATAS,AA3452+1),"")</f>
        <v/>
      </c>
      <c r="AI3452" s="51" t="str">
        <f aca="false">IF(AND(AC3452=1,AA3452&lt;1),IF(AND(C3453=C3452,AA3453=AA3452+1),IF(AC3453=1,"",INDEX(DATAS,AA3452+1)),INDEX(DATAS,AA3452+1)),"")</f>
        <v/>
      </c>
    </row>
    <row r="3453" customFormat="false" ht="15" hidden="false" customHeight="false" outlineLevel="0" collapsed="false">
      <c r="A3453" s="51" t="n">
        <v>46309</v>
      </c>
      <c r="B3453" s="0" t="n">
        <v>13</v>
      </c>
      <c r="C3453" s="0" t="n">
        <v>7895</v>
      </c>
      <c r="E3453" s="0" t="n">
        <v>0</v>
      </c>
      <c r="F3453" s="46" t="s">
        <v>1601</v>
      </c>
      <c r="I3453" s="46" t="s">
        <v>179</v>
      </c>
      <c r="U3453" s="0" t="n">
        <v>103</v>
      </c>
      <c r="V3453" s="0" t="n">
        <v>0</v>
      </c>
      <c r="X3453" s="46" t="n">
        <f aca="false">IF(I3453="Male",0,1)</f>
        <v>1</v>
      </c>
      <c r="Y3453" s="46" t="n">
        <f aca="false">IF(OR(I3453="DNB",I3453="Dry DNB"),1,0)</f>
        <v>0</v>
      </c>
      <c r="Z3453" s="0" t="str">
        <f aca="false">IF(ISNUMBER(W3453),A3453-W3453,"")</f>
        <v/>
      </c>
      <c r="AA3453" s="46" t="n">
        <f aca="false">MATCH(A3453,DATAS,0)</f>
        <v>1</v>
      </c>
      <c r="AB3453" s="46" t="n">
        <f aca="false">IF(AND(E3453&gt;0,OR(AND(B3453&gt;=1,B3453&lt;=6),B3453=10)),1,0)</f>
        <v>0</v>
      </c>
      <c r="AC3453" s="46" t="n">
        <f aca="false">IF(AND(E3453&gt;0,B3453=10),1,0)</f>
        <v>0</v>
      </c>
      <c r="AD3453" s="0" t="str">
        <f aca="false">IF(AND(C3452=C3453,AA3452=AA3453-1),AB3452,"")</f>
        <v/>
      </c>
      <c r="AE3453" s="0" t="str">
        <f aca="false">IF(AND(C3452=C3453,AA3452=AA3453-1),AC3452,"")</f>
        <v/>
      </c>
      <c r="AF3453" s="0" t="str">
        <f aca="false">IF(AA3453=1,"",IF(AND(AB3453=1,AD3453&lt;&gt;1),1,0))</f>
        <v/>
      </c>
      <c r="AG3453" s="0" t="str">
        <f aca="false">IF(AA3453=1,"",IF(AND(AC3453=1,AE3453&lt;&gt;1),1,0))</f>
        <v/>
      </c>
      <c r="AH3453" s="51" t="str">
        <f aca="false">IF(AND(E3453&gt;0,AA3453&lt;1,NOT(AND(C3454=C3453,AA3454=AA3453+1))),INDEX(DATAS,AA3453+1),"")</f>
        <v/>
      </c>
      <c r="AI3453" s="51" t="str">
        <f aca="false">IF(AND(AC3453=1,AA3453&lt;1),IF(AND(C3454=C3453,AA3454=AA3453+1),IF(AC3454=1,"",INDEX(DATAS,AA3453+1)),INDEX(DATAS,AA3453+1)),"")</f>
        <v/>
      </c>
    </row>
    <row r="3454" customFormat="false" ht="15" hidden="false" customHeight="false" outlineLevel="0" collapsed="false">
      <c r="A3454" s="51" t="n">
        <v>46309</v>
      </c>
      <c r="B3454" s="0" t="n">
        <v>13</v>
      </c>
      <c r="C3454" s="0" t="n">
        <v>7896</v>
      </c>
      <c r="E3454" s="0" t="n">
        <v>0</v>
      </c>
      <c r="F3454" s="46" t="s">
        <v>1601</v>
      </c>
      <c r="I3454" s="46" t="s">
        <v>179</v>
      </c>
      <c r="U3454" s="0" t="n">
        <v>103</v>
      </c>
      <c r="V3454" s="0" t="n">
        <v>0</v>
      </c>
      <c r="X3454" s="46" t="n">
        <f aca="false">IF(I3454="Male",0,1)</f>
        <v>1</v>
      </c>
      <c r="Y3454" s="46" t="n">
        <f aca="false">IF(OR(I3454="DNB",I3454="Dry DNB"),1,0)</f>
        <v>0</v>
      </c>
      <c r="Z3454" s="0" t="str">
        <f aca="false">IF(ISNUMBER(W3454),A3454-W3454,"")</f>
        <v/>
      </c>
      <c r="AA3454" s="46" t="n">
        <f aca="false">MATCH(A3454,DATAS,0)</f>
        <v>1</v>
      </c>
      <c r="AB3454" s="46" t="n">
        <f aca="false">IF(AND(E3454&gt;0,OR(AND(B3454&gt;=1,B3454&lt;=6),B3454=10)),1,0)</f>
        <v>0</v>
      </c>
      <c r="AC3454" s="46" t="n">
        <f aca="false">IF(AND(E3454&gt;0,B3454=10),1,0)</f>
        <v>0</v>
      </c>
      <c r="AD3454" s="0" t="str">
        <f aca="false">IF(AND(C3453=C3454,AA3453=AA3454-1),AB3453,"")</f>
        <v/>
      </c>
      <c r="AE3454" s="0" t="str">
        <f aca="false">IF(AND(C3453=C3454,AA3453=AA3454-1),AC3453,"")</f>
        <v/>
      </c>
      <c r="AF3454" s="0" t="str">
        <f aca="false">IF(AA3454=1,"",IF(AND(AB3454=1,AD3454&lt;&gt;1),1,0))</f>
        <v/>
      </c>
      <c r="AG3454" s="0" t="str">
        <f aca="false">IF(AA3454=1,"",IF(AND(AC3454=1,AE3454&lt;&gt;1),1,0))</f>
        <v/>
      </c>
      <c r="AH3454" s="51" t="str">
        <f aca="false">IF(AND(E3454&gt;0,AA3454&lt;1,NOT(AND(C3455=C3454,AA3455=AA3454+1))),INDEX(DATAS,AA3454+1),"")</f>
        <v/>
      </c>
      <c r="AI3454" s="51" t="str">
        <f aca="false">IF(AND(AC3454=1,AA3454&lt;1),IF(AND(C3455=C3454,AA3455=AA3454+1),IF(AC3455=1,"",INDEX(DATAS,AA3454+1)),INDEX(DATAS,AA3454+1)),"")</f>
        <v/>
      </c>
    </row>
    <row r="3455" customFormat="false" ht="15" hidden="false" customHeight="false" outlineLevel="0" collapsed="false">
      <c r="A3455" s="51" t="n">
        <v>46309</v>
      </c>
      <c r="B3455" s="0" t="n">
        <v>13</v>
      </c>
      <c r="C3455" s="0" t="n">
        <v>7897</v>
      </c>
      <c r="E3455" s="0" t="n">
        <v>0</v>
      </c>
      <c r="F3455" s="46" t="s">
        <v>1601</v>
      </c>
      <c r="I3455" s="46" t="s">
        <v>179</v>
      </c>
      <c r="U3455" s="0" t="n">
        <v>103</v>
      </c>
      <c r="V3455" s="0" t="n">
        <v>0</v>
      </c>
      <c r="X3455" s="46" t="n">
        <f aca="false">IF(I3455="Male",0,1)</f>
        <v>1</v>
      </c>
      <c r="Y3455" s="46" t="n">
        <f aca="false">IF(OR(I3455="DNB",I3455="Dry DNB"),1,0)</f>
        <v>0</v>
      </c>
      <c r="Z3455" s="0" t="str">
        <f aca="false">IF(ISNUMBER(W3455),A3455-W3455,"")</f>
        <v/>
      </c>
      <c r="AA3455" s="46" t="n">
        <f aca="false">MATCH(A3455,DATAS,0)</f>
        <v>1</v>
      </c>
      <c r="AB3455" s="46" t="n">
        <f aca="false">IF(AND(E3455&gt;0,OR(AND(B3455&gt;=1,B3455&lt;=6),B3455=10)),1,0)</f>
        <v>0</v>
      </c>
      <c r="AC3455" s="46" t="n">
        <f aca="false">IF(AND(E3455&gt;0,B3455=10),1,0)</f>
        <v>0</v>
      </c>
      <c r="AD3455" s="0" t="str">
        <f aca="false">IF(AND(C3454=C3455,AA3454=AA3455-1),AB3454,"")</f>
        <v/>
      </c>
      <c r="AE3455" s="0" t="str">
        <f aca="false">IF(AND(C3454=C3455,AA3454=AA3455-1),AC3454,"")</f>
        <v/>
      </c>
      <c r="AF3455" s="0" t="str">
        <f aca="false">IF(AA3455=1,"",IF(AND(AB3455=1,AD3455&lt;&gt;1),1,0))</f>
        <v/>
      </c>
      <c r="AG3455" s="0" t="str">
        <f aca="false">IF(AA3455=1,"",IF(AND(AC3455=1,AE3455&lt;&gt;1),1,0))</f>
        <v/>
      </c>
      <c r="AH3455" s="51" t="str">
        <f aca="false">IF(AND(E3455&gt;0,AA3455&lt;1,NOT(AND(C3456=C3455,AA3456=AA3455+1))),INDEX(DATAS,AA3455+1),"")</f>
        <v/>
      </c>
      <c r="AI3455" s="51" t="str">
        <f aca="false">IF(AND(AC3455=1,AA3455&lt;1),IF(AND(C3456=C3455,AA3456=AA3455+1),IF(AC3456=1,"",INDEX(DATAS,AA3455+1)),INDEX(DATAS,AA3455+1)),"")</f>
        <v/>
      </c>
    </row>
    <row r="3456" customFormat="false" ht="15" hidden="false" customHeight="false" outlineLevel="0" collapsed="false">
      <c r="A3456" s="51" t="n">
        <v>46309</v>
      </c>
      <c r="B3456" s="0" t="n">
        <v>13</v>
      </c>
      <c r="C3456" s="0" t="n">
        <v>7898</v>
      </c>
      <c r="E3456" s="0" t="n">
        <v>0</v>
      </c>
      <c r="F3456" s="46" t="s">
        <v>1602</v>
      </c>
      <c r="I3456" s="46" t="s">
        <v>179</v>
      </c>
      <c r="U3456" s="0" t="n">
        <v>102</v>
      </c>
      <c r="V3456" s="0" t="n">
        <v>0</v>
      </c>
      <c r="X3456" s="46" t="n">
        <f aca="false">IF(I3456="Male",0,1)</f>
        <v>1</v>
      </c>
      <c r="Y3456" s="46" t="n">
        <f aca="false">IF(OR(I3456="DNB",I3456="Dry DNB"),1,0)</f>
        <v>0</v>
      </c>
      <c r="Z3456" s="0" t="str">
        <f aca="false">IF(ISNUMBER(W3456),A3456-W3456,"")</f>
        <v/>
      </c>
      <c r="AA3456" s="46" t="n">
        <f aca="false">MATCH(A3456,DATAS,0)</f>
        <v>1</v>
      </c>
      <c r="AB3456" s="46" t="n">
        <f aca="false">IF(AND(E3456&gt;0,OR(AND(B3456&gt;=1,B3456&lt;=6),B3456=10)),1,0)</f>
        <v>0</v>
      </c>
      <c r="AC3456" s="46" t="n">
        <f aca="false">IF(AND(E3456&gt;0,B3456=10),1,0)</f>
        <v>0</v>
      </c>
      <c r="AD3456" s="0" t="str">
        <f aca="false">IF(AND(C3455=C3456,AA3455=AA3456-1),AB3455,"")</f>
        <v/>
      </c>
      <c r="AE3456" s="0" t="str">
        <f aca="false">IF(AND(C3455=C3456,AA3455=AA3456-1),AC3455,"")</f>
        <v/>
      </c>
      <c r="AF3456" s="0" t="str">
        <f aca="false">IF(AA3456=1,"",IF(AND(AB3456=1,AD3456&lt;&gt;1),1,0))</f>
        <v/>
      </c>
      <c r="AG3456" s="0" t="str">
        <f aca="false">IF(AA3456=1,"",IF(AND(AC3456=1,AE3456&lt;&gt;1),1,0))</f>
        <v/>
      </c>
      <c r="AH3456" s="51" t="str">
        <f aca="false">IF(AND(E3456&gt;0,AA3456&lt;1,NOT(AND(C3457=C3456,AA3457=AA3456+1))),INDEX(DATAS,AA3456+1),"")</f>
        <v/>
      </c>
      <c r="AI3456" s="51" t="str">
        <f aca="false">IF(AND(AC3456=1,AA3456&lt;1),IF(AND(C3457=C3456,AA3457=AA3456+1),IF(AC3457=1,"",INDEX(DATAS,AA3456+1)),INDEX(DATAS,AA3456+1)),"")</f>
        <v/>
      </c>
    </row>
    <row r="3457" customFormat="false" ht="15" hidden="false" customHeight="false" outlineLevel="0" collapsed="false">
      <c r="A3457" s="51" t="n">
        <v>46309</v>
      </c>
      <c r="B3457" s="0" t="n">
        <v>13</v>
      </c>
      <c r="C3457" s="0" t="n">
        <v>7899</v>
      </c>
      <c r="E3457" s="0" t="n">
        <v>0</v>
      </c>
      <c r="F3457" s="46" t="s">
        <v>1602</v>
      </c>
      <c r="I3457" s="46" t="s">
        <v>179</v>
      </c>
      <c r="U3457" s="0" t="n">
        <v>102</v>
      </c>
      <c r="V3457" s="0" t="n">
        <v>0</v>
      </c>
      <c r="X3457" s="46" t="n">
        <f aca="false">IF(I3457="Male",0,1)</f>
        <v>1</v>
      </c>
      <c r="Y3457" s="46" t="n">
        <f aca="false">IF(OR(I3457="DNB",I3457="Dry DNB"),1,0)</f>
        <v>0</v>
      </c>
      <c r="Z3457" s="0" t="str">
        <f aca="false">IF(ISNUMBER(W3457),A3457-W3457,"")</f>
        <v/>
      </c>
      <c r="AA3457" s="46" t="n">
        <f aca="false">MATCH(A3457,DATAS,0)</f>
        <v>1</v>
      </c>
      <c r="AB3457" s="46" t="n">
        <f aca="false">IF(AND(E3457&gt;0,OR(AND(B3457&gt;=1,B3457&lt;=6),B3457=10)),1,0)</f>
        <v>0</v>
      </c>
      <c r="AC3457" s="46" t="n">
        <f aca="false">IF(AND(E3457&gt;0,B3457=10),1,0)</f>
        <v>0</v>
      </c>
      <c r="AD3457" s="0" t="str">
        <f aca="false">IF(AND(C3456=C3457,AA3456=AA3457-1),AB3456,"")</f>
        <v/>
      </c>
      <c r="AE3457" s="0" t="str">
        <f aca="false">IF(AND(C3456=C3457,AA3456=AA3457-1),AC3456,"")</f>
        <v/>
      </c>
      <c r="AF3457" s="0" t="str">
        <f aca="false">IF(AA3457=1,"",IF(AND(AB3457=1,AD3457&lt;&gt;1),1,0))</f>
        <v/>
      </c>
      <c r="AG3457" s="0" t="str">
        <f aca="false">IF(AA3457=1,"",IF(AND(AC3457=1,AE3457&lt;&gt;1),1,0))</f>
        <v/>
      </c>
      <c r="AH3457" s="51" t="str">
        <f aca="false">IF(AND(E3457&gt;0,AA3457&lt;1,NOT(AND(C3458=C3457,AA3458=AA3457+1))),INDEX(DATAS,AA3457+1),"")</f>
        <v/>
      </c>
      <c r="AI3457" s="51" t="str">
        <f aca="false">IF(AND(AC3457=1,AA3457&lt;1),IF(AND(C3458=C3457,AA3458=AA3457+1),IF(AC3458=1,"",INDEX(DATAS,AA3457+1)),INDEX(DATAS,AA3457+1)),"")</f>
        <v/>
      </c>
    </row>
    <row r="3458" customFormat="false" ht="15" hidden="false" customHeight="false" outlineLevel="0" collapsed="false">
      <c r="A3458" s="51" t="n">
        <v>46309</v>
      </c>
      <c r="B3458" s="0" t="n">
        <v>13</v>
      </c>
      <c r="C3458" s="0" t="n">
        <v>7900</v>
      </c>
      <c r="E3458" s="0" t="n">
        <v>0</v>
      </c>
      <c r="F3458" s="46" t="s">
        <v>1602</v>
      </c>
      <c r="I3458" s="46" t="s">
        <v>179</v>
      </c>
      <c r="U3458" s="0" t="n">
        <v>102</v>
      </c>
      <c r="V3458" s="0" t="n">
        <v>0</v>
      </c>
      <c r="X3458" s="46" t="n">
        <f aca="false">IF(I3458="Male",0,1)</f>
        <v>1</v>
      </c>
      <c r="Y3458" s="46" t="n">
        <f aca="false">IF(OR(I3458="DNB",I3458="Dry DNB"),1,0)</f>
        <v>0</v>
      </c>
      <c r="Z3458" s="0" t="str">
        <f aca="false">IF(ISNUMBER(W3458),A3458-W3458,"")</f>
        <v/>
      </c>
      <c r="AA3458" s="46" t="n">
        <f aca="false">MATCH(A3458,DATAS,0)</f>
        <v>1</v>
      </c>
      <c r="AB3458" s="46" t="n">
        <f aca="false">IF(AND(E3458&gt;0,OR(AND(B3458&gt;=1,B3458&lt;=6),B3458=10)),1,0)</f>
        <v>0</v>
      </c>
      <c r="AC3458" s="46" t="n">
        <f aca="false">IF(AND(E3458&gt;0,B3458=10),1,0)</f>
        <v>0</v>
      </c>
      <c r="AD3458" s="0" t="str">
        <f aca="false">IF(AND(C3457=C3458,AA3457=AA3458-1),AB3457,"")</f>
        <v/>
      </c>
      <c r="AE3458" s="0" t="str">
        <f aca="false">IF(AND(C3457=C3458,AA3457=AA3458-1),AC3457,"")</f>
        <v/>
      </c>
      <c r="AF3458" s="0" t="str">
        <f aca="false">IF(AA3458=1,"",IF(AND(AB3458=1,AD3458&lt;&gt;1),1,0))</f>
        <v/>
      </c>
      <c r="AG3458" s="0" t="str">
        <f aca="false">IF(AA3458=1,"",IF(AND(AC3458=1,AE3458&lt;&gt;1),1,0))</f>
        <v/>
      </c>
      <c r="AH3458" s="51" t="str">
        <f aca="false">IF(AND(E3458&gt;0,AA3458&lt;1,NOT(AND(C3459=C3458,AA3459=AA3458+1))),INDEX(DATAS,AA3458+1),"")</f>
        <v/>
      </c>
      <c r="AI3458" s="51" t="str">
        <f aca="false">IF(AND(AC3458=1,AA3458&lt;1),IF(AND(C3459=C3458,AA3459=AA3458+1),IF(AC3459=1,"",INDEX(DATAS,AA3458+1)),INDEX(DATAS,AA3458+1)),"")</f>
        <v/>
      </c>
    </row>
    <row r="3459" customFormat="false" ht="15" hidden="false" customHeight="false" outlineLevel="0" collapsed="false">
      <c r="A3459" s="51" t="n">
        <v>46309</v>
      </c>
      <c r="B3459" s="0" t="n">
        <v>13</v>
      </c>
      <c r="C3459" s="0" t="n">
        <v>7901</v>
      </c>
      <c r="E3459" s="0" t="n">
        <v>0</v>
      </c>
      <c r="F3459" s="46" t="s">
        <v>1602</v>
      </c>
      <c r="I3459" s="46" t="s">
        <v>179</v>
      </c>
      <c r="U3459" s="0" t="n">
        <v>102</v>
      </c>
      <c r="V3459" s="0" t="n">
        <v>0</v>
      </c>
      <c r="X3459" s="46" t="n">
        <f aca="false">IF(I3459="Male",0,1)</f>
        <v>1</v>
      </c>
      <c r="Y3459" s="46" t="n">
        <f aca="false">IF(OR(I3459="DNB",I3459="Dry DNB"),1,0)</f>
        <v>0</v>
      </c>
      <c r="Z3459" s="0" t="str">
        <f aca="false">IF(ISNUMBER(W3459),A3459-W3459,"")</f>
        <v/>
      </c>
      <c r="AA3459" s="46" t="n">
        <f aca="false">MATCH(A3459,DATAS,0)</f>
        <v>1</v>
      </c>
      <c r="AB3459" s="46" t="n">
        <f aca="false">IF(AND(E3459&gt;0,OR(AND(B3459&gt;=1,B3459&lt;=6),B3459=10)),1,0)</f>
        <v>0</v>
      </c>
      <c r="AC3459" s="46" t="n">
        <f aca="false">IF(AND(E3459&gt;0,B3459=10),1,0)</f>
        <v>0</v>
      </c>
      <c r="AD3459" s="0" t="str">
        <f aca="false">IF(AND(C3458=C3459,AA3458=AA3459-1),AB3458,"")</f>
        <v/>
      </c>
      <c r="AE3459" s="0" t="str">
        <f aca="false">IF(AND(C3458=C3459,AA3458=AA3459-1),AC3458,"")</f>
        <v/>
      </c>
      <c r="AF3459" s="0" t="str">
        <f aca="false">IF(AA3459=1,"",IF(AND(AB3459=1,AD3459&lt;&gt;1),1,0))</f>
        <v/>
      </c>
      <c r="AG3459" s="0" t="str">
        <f aca="false">IF(AA3459=1,"",IF(AND(AC3459=1,AE3459&lt;&gt;1),1,0))</f>
        <v/>
      </c>
      <c r="AH3459" s="51" t="str">
        <f aca="false">IF(AND(E3459&gt;0,AA3459&lt;1,NOT(AND(C3460=C3459,AA3460=AA3459+1))),INDEX(DATAS,AA3459+1),"")</f>
        <v/>
      </c>
      <c r="AI3459" s="51" t="str">
        <f aca="false">IF(AND(AC3459=1,AA3459&lt;1),IF(AND(C3460=C3459,AA3460=AA3459+1),IF(AC3460=1,"",INDEX(DATAS,AA3459+1)),INDEX(DATAS,AA3459+1)),"")</f>
        <v/>
      </c>
    </row>
    <row r="3460" customFormat="false" ht="15" hidden="false" customHeight="false" outlineLevel="0" collapsed="false">
      <c r="A3460" s="51" t="n">
        <v>46309</v>
      </c>
      <c r="B3460" s="0" t="n">
        <v>13</v>
      </c>
      <c r="C3460" s="0" t="n">
        <v>7902</v>
      </c>
      <c r="E3460" s="0" t="n">
        <v>0</v>
      </c>
      <c r="F3460" s="46" t="s">
        <v>1602</v>
      </c>
      <c r="I3460" s="46" t="s">
        <v>179</v>
      </c>
      <c r="U3460" s="0" t="n">
        <v>102</v>
      </c>
      <c r="V3460" s="0" t="n">
        <v>0</v>
      </c>
      <c r="X3460" s="46" t="n">
        <f aca="false">IF(I3460="Male",0,1)</f>
        <v>1</v>
      </c>
      <c r="Y3460" s="46" t="n">
        <f aca="false">IF(OR(I3460="DNB",I3460="Dry DNB"),1,0)</f>
        <v>0</v>
      </c>
      <c r="Z3460" s="0" t="str">
        <f aca="false">IF(ISNUMBER(W3460),A3460-W3460,"")</f>
        <v/>
      </c>
      <c r="AA3460" s="46" t="n">
        <f aca="false">MATCH(A3460,DATAS,0)</f>
        <v>1</v>
      </c>
      <c r="AB3460" s="46" t="n">
        <f aca="false">IF(AND(E3460&gt;0,OR(AND(B3460&gt;=1,B3460&lt;=6),B3460=10)),1,0)</f>
        <v>0</v>
      </c>
      <c r="AC3460" s="46" t="n">
        <f aca="false">IF(AND(E3460&gt;0,B3460=10),1,0)</f>
        <v>0</v>
      </c>
      <c r="AD3460" s="0" t="str">
        <f aca="false">IF(AND(C3459=C3460,AA3459=AA3460-1),AB3459,"")</f>
        <v/>
      </c>
      <c r="AE3460" s="0" t="str">
        <f aca="false">IF(AND(C3459=C3460,AA3459=AA3460-1),AC3459,"")</f>
        <v/>
      </c>
      <c r="AF3460" s="0" t="str">
        <f aca="false">IF(AA3460=1,"",IF(AND(AB3460=1,AD3460&lt;&gt;1),1,0))</f>
        <v/>
      </c>
      <c r="AG3460" s="0" t="str">
        <f aca="false">IF(AA3460=1,"",IF(AND(AC3460=1,AE3460&lt;&gt;1),1,0))</f>
        <v/>
      </c>
      <c r="AH3460" s="51" t="str">
        <f aca="false">IF(AND(E3460&gt;0,AA3460&lt;1,NOT(AND(C3461=C3460,AA3461=AA3460+1))),INDEX(DATAS,AA3460+1),"")</f>
        <v/>
      </c>
      <c r="AI3460" s="51" t="str">
        <f aca="false">IF(AND(AC3460=1,AA3460&lt;1),IF(AND(C3461=C3460,AA3461=AA3460+1),IF(AC3461=1,"",INDEX(DATAS,AA3460+1)),INDEX(DATAS,AA3460+1)),"")</f>
        <v/>
      </c>
    </row>
    <row r="3461" customFormat="false" ht="15" hidden="false" customHeight="false" outlineLevel="0" collapsed="false">
      <c r="A3461" s="51" t="n">
        <v>46309</v>
      </c>
      <c r="B3461" s="0" t="n">
        <v>13</v>
      </c>
      <c r="C3461" s="0" t="n">
        <v>7903</v>
      </c>
      <c r="E3461" s="0" t="n">
        <v>0</v>
      </c>
      <c r="F3461" s="46" t="s">
        <v>1603</v>
      </c>
      <c r="I3461" s="46" t="s">
        <v>179</v>
      </c>
      <c r="U3461" s="0" t="n">
        <v>101</v>
      </c>
      <c r="V3461" s="0" t="n">
        <v>0</v>
      </c>
      <c r="X3461" s="46" t="n">
        <f aca="false">IF(I3461="Male",0,1)</f>
        <v>1</v>
      </c>
      <c r="Y3461" s="46" t="n">
        <f aca="false">IF(OR(I3461="DNB",I3461="Dry DNB"),1,0)</f>
        <v>0</v>
      </c>
      <c r="Z3461" s="0" t="str">
        <f aca="false">IF(ISNUMBER(W3461),A3461-W3461,"")</f>
        <v/>
      </c>
      <c r="AA3461" s="46" t="n">
        <f aca="false">MATCH(A3461,DATAS,0)</f>
        <v>1</v>
      </c>
      <c r="AB3461" s="46" t="n">
        <f aca="false">IF(AND(E3461&gt;0,OR(AND(B3461&gt;=1,B3461&lt;=6),B3461=10)),1,0)</f>
        <v>0</v>
      </c>
      <c r="AC3461" s="46" t="n">
        <f aca="false">IF(AND(E3461&gt;0,B3461=10),1,0)</f>
        <v>0</v>
      </c>
      <c r="AD3461" s="0" t="str">
        <f aca="false">IF(AND(C3460=C3461,AA3460=AA3461-1),AB3460,"")</f>
        <v/>
      </c>
      <c r="AE3461" s="0" t="str">
        <f aca="false">IF(AND(C3460=C3461,AA3460=AA3461-1),AC3460,"")</f>
        <v/>
      </c>
      <c r="AF3461" s="0" t="str">
        <f aca="false">IF(AA3461=1,"",IF(AND(AB3461=1,AD3461&lt;&gt;1),1,0))</f>
        <v/>
      </c>
      <c r="AG3461" s="0" t="str">
        <f aca="false">IF(AA3461=1,"",IF(AND(AC3461=1,AE3461&lt;&gt;1),1,0))</f>
        <v/>
      </c>
      <c r="AH3461" s="51" t="str">
        <f aca="false">IF(AND(E3461&gt;0,AA3461&lt;1,NOT(AND(C3462=C3461,AA3462=AA3461+1))),INDEX(DATAS,AA3461+1),"")</f>
        <v/>
      </c>
      <c r="AI3461" s="51" t="str">
        <f aca="false">IF(AND(AC3461=1,AA3461&lt;1),IF(AND(C3462=C3461,AA3462=AA3461+1),IF(AC3462=1,"",INDEX(DATAS,AA3461+1)),INDEX(DATAS,AA3461+1)),"")</f>
        <v/>
      </c>
    </row>
    <row r="3462" customFormat="false" ht="15" hidden="false" customHeight="false" outlineLevel="0" collapsed="false">
      <c r="A3462" s="51" t="n">
        <v>46309</v>
      </c>
      <c r="B3462" s="0" t="n">
        <v>13</v>
      </c>
      <c r="C3462" s="0" t="n">
        <v>7904</v>
      </c>
      <c r="E3462" s="0" t="n">
        <v>0</v>
      </c>
      <c r="F3462" s="46" t="s">
        <v>1603</v>
      </c>
      <c r="I3462" s="46" t="s">
        <v>179</v>
      </c>
      <c r="U3462" s="0" t="n">
        <v>101</v>
      </c>
      <c r="V3462" s="0" t="n">
        <v>0</v>
      </c>
      <c r="X3462" s="46" t="n">
        <f aca="false">IF(I3462="Male",0,1)</f>
        <v>1</v>
      </c>
      <c r="Y3462" s="46" t="n">
        <f aca="false">IF(OR(I3462="DNB",I3462="Dry DNB"),1,0)</f>
        <v>0</v>
      </c>
      <c r="Z3462" s="0" t="str">
        <f aca="false">IF(ISNUMBER(W3462),A3462-W3462,"")</f>
        <v/>
      </c>
      <c r="AA3462" s="46" t="n">
        <f aca="false">MATCH(A3462,DATAS,0)</f>
        <v>1</v>
      </c>
      <c r="AB3462" s="46" t="n">
        <f aca="false">IF(AND(E3462&gt;0,OR(AND(B3462&gt;=1,B3462&lt;=6),B3462=10)),1,0)</f>
        <v>0</v>
      </c>
      <c r="AC3462" s="46" t="n">
        <f aca="false">IF(AND(E3462&gt;0,B3462=10),1,0)</f>
        <v>0</v>
      </c>
      <c r="AD3462" s="0" t="str">
        <f aca="false">IF(AND(C3461=C3462,AA3461=AA3462-1),AB3461,"")</f>
        <v/>
      </c>
      <c r="AE3462" s="0" t="str">
        <f aca="false">IF(AND(C3461=C3462,AA3461=AA3462-1),AC3461,"")</f>
        <v/>
      </c>
      <c r="AF3462" s="0" t="str">
        <f aca="false">IF(AA3462=1,"",IF(AND(AB3462=1,AD3462&lt;&gt;1),1,0))</f>
        <v/>
      </c>
      <c r="AG3462" s="0" t="str">
        <f aca="false">IF(AA3462=1,"",IF(AND(AC3462=1,AE3462&lt;&gt;1),1,0))</f>
        <v/>
      </c>
      <c r="AH3462" s="51" t="str">
        <f aca="false">IF(AND(E3462&gt;0,AA3462&lt;1,NOT(AND(C3463=C3462,AA3463=AA3462+1))),INDEX(DATAS,AA3462+1),"")</f>
        <v/>
      </c>
      <c r="AI3462" s="51" t="str">
        <f aca="false">IF(AND(AC3462=1,AA3462&lt;1),IF(AND(C3463=C3462,AA3463=AA3462+1),IF(AC3463=1,"",INDEX(DATAS,AA3462+1)),INDEX(DATAS,AA3462+1)),"")</f>
        <v/>
      </c>
    </row>
    <row r="3463" customFormat="false" ht="15" hidden="false" customHeight="false" outlineLevel="0" collapsed="false">
      <c r="A3463" s="51" t="n">
        <v>46309</v>
      </c>
      <c r="B3463" s="0" t="n">
        <v>13</v>
      </c>
      <c r="C3463" s="0" t="n">
        <v>7905</v>
      </c>
      <c r="E3463" s="0" t="n">
        <v>0</v>
      </c>
      <c r="F3463" s="46" t="s">
        <v>1603</v>
      </c>
      <c r="I3463" s="46" t="s">
        <v>179</v>
      </c>
      <c r="U3463" s="0" t="n">
        <v>101</v>
      </c>
      <c r="V3463" s="0" t="n">
        <v>0</v>
      </c>
      <c r="X3463" s="46" t="n">
        <f aca="false">IF(I3463="Male",0,1)</f>
        <v>1</v>
      </c>
      <c r="Y3463" s="46" t="n">
        <f aca="false">IF(OR(I3463="DNB",I3463="Dry DNB"),1,0)</f>
        <v>0</v>
      </c>
      <c r="Z3463" s="0" t="str">
        <f aca="false">IF(ISNUMBER(W3463),A3463-W3463,"")</f>
        <v/>
      </c>
      <c r="AA3463" s="46" t="n">
        <f aca="false">MATCH(A3463,DATAS,0)</f>
        <v>1</v>
      </c>
      <c r="AB3463" s="46" t="n">
        <f aca="false">IF(AND(E3463&gt;0,OR(AND(B3463&gt;=1,B3463&lt;=6),B3463=10)),1,0)</f>
        <v>0</v>
      </c>
      <c r="AC3463" s="46" t="n">
        <f aca="false">IF(AND(E3463&gt;0,B3463=10),1,0)</f>
        <v>0</v>
      </c>
      <c r="AD3463" s="0" t="str">
        <f aca="false">IF(AND(C3462=C3463,AA3462=AA3463-1),AB3462,"")</f>
        <v/>
      </c>
      <c r="AE3463" s="0" t="str">
        <f aca="false">IF(AND(C3462=C3463,AA3462=AA3463-1),AC3462,"")</f>
        <v/>
      </c>
      <c r="AF3463" s="0" t="str">
        <f aca="false">IF(AA3463=1,"",IF(AND(AB3463=1,AD3463&lt;&gt;1),1,0))</f>
        <v/>
      </c>
      <c r="AG3463" s="0" t="str">
        <f aca="false">IF(AA3463=1,"",IF(AND(AC3463=1,AE3463&lt;&gt;1),1,0))</f>
        <v/>
      </c>
      <c r="AH3463" s="51" t="str">
        <f aca="false">IF(AND(E3463&gt;0,AA3463&lt;1,NOT(AND(C3464=C3463,AA3464=AA3463+1))),INDEX(DATAS,AA3463+1),"")</f>
        <v/>
      </c>
      <c r="AI3463" s="51" t="str">
        <f aca="false">IF(AND(AC3463=1,AA3463&lt;1),IF(AND(C3464=C3463,AA3464=AA3463+1),IF(AC3464=1,"",INDEX(DATAS,AA3463+1)),INDEX(DATAS,AA3463+1)),"")</f>
        <v/>
      </c>
    </row>
    <row r="3464" customFormat="false" ht="15" hidden="false" customHeight="false" outlineLevel="0" collapsed="false">
      <c r="A3464" s="51" t="n">
        <v>46309</v>
      </c>
      <c r="B3464" s="0" t="n">
        <v>13</v>
      </c>
      <c r="C3464" s="0" t="n">
        <v>7906</v>
      </c>
      <c r="E3464" s="0" t="n">
        <v>0</v>
      </c>
      <c r="F3464" s="46" t="s">
        <v>1603</v>
      </c>
      <c r="I3464" s="46" t="s">
        <v>179</v>
      </c>
      <c r="U3464" s="0" t="n">
        <v>101</v>
      </c>
      <c r="V3464" s="0" t="n">
        <v>0</v>
      </c>
      <c r="X3464" s="46" t="n">
        <f aca="false">IF(I3464="Male",0,1)</f>
        <v>1</v>
      </c>
      <c r="Y3464" s="46" t="n">
        <f aca="false">IF(OR(I3464="DNB",I3464="Dry DNB"),1,0)</f>
        <v>0</v>
      </c>
      <c r="Z3464" s="0" t="str">
        <f aca="false">IF(ISNUMBER(W3464),A3464-W3464,"")</f>
        <v/>
      </c>
      <c r="AA3464" s="46" t="n">
        <f aca="false">MATCH(A3464,DATAS,0)</f>
        <v>1</v>
      </c>
      <c r="AB3464" s="46" t="n">
        <f aca="false">IF(AND(E3464&gt;0,OR(AND(B3464&gt;=1,B3464&lt;=6),B3464=10)),1,0)</f>
        <v>0</v>
      </c>
      <c r="AC3464" s="46" t="n">
        <f aca="false">IF(AND(E3464&gt;0,B3464=10),1,0)</f>
        <v>0</v>
      </c>
      <c r="AD3464" s="0" t="str">
        <f aca="false">IF(AND(C3463=C3464,AA3463=AA3464-1),AB3463,"")</f>
        <v/>
      </c>
      <c r="AE3464" s="0" t="str">
        <f aca="false">IF(AND(C3463=C3464,AA3463=AA3464-1),AC3463,"")</f>
        <v/>
      </c>
      <c r="AF3464" s="0" t="str">
        <f aca="false">IF(AA3464=1,"",IF(AND(AB3464=1,AD3464&lt;&gt;1),1,0))</f>
        <v/>
      </c>
      <c r="AG3464" s="0" t="str">
        <f aca="false">IF(AA3464=1,"",IF(AND(AC3464=1,AE3464&lt;&gt;1),1,0))</f>
        <v/>
      </c>
      <c r="AH3464" s="51" t="str">
        <f aca="false">IF(AND(E3464&gt;0,AA3464&lt;1,NOT(AND(C3465=C3464,AA3465=AA3464+1))),INDEX(DATAS,AA3464+1),"")</f>
        <v/>
      </c>
      <c r="AI3464" s="51" t="str">
        <f aca="false">IF(AND(AC3464=1,AA3464&lt;1),IF(AND(C3465=C3464,AA3465=AA3464+1),IF(AC3465=1,"",INDEX(DATAS,AA3464+1)),INDEX(DATAS,AA3464+1)),"")</f>
        <v/>
      </c>
    </row>
    <row r="3465" customFormat="false" ht="15" hidden="false" customHeight="false" outlineLevel="0" collapsed="false">
      <c r="A3465" s="51" t="n">
        <v>46309</v>
      </c>
      <c r="B3465" s="0" t="n">
        <v>13</v>
      </c>
      <c r="C3465" s="0" t="n">
        <v>7909</v>
      </c>
      <c r="E3465" s="0" t="n">
        <v>0</v>
      </c>
      <c r="F3465" s="46" t="s">
        <v>1604</v>
      </c>
      <c r="I3465" s="46" t="s">
        <v>179</v>
      </c>
      <c r="U3465" s="0" t="n">
        <v>100</v>
      </c>
      <c r="V3465" s="0" t="n">
        <v>0</v>
      </c>
      <c r="X3465" s="46" t="n">
        <f aca="false">IF(I3465="Male",0,1)</f>
        <v>1</v>
      </c>
      <c r="Y3465" s="46" t="n">
        <f aca="false">IF(OR(I3465="DNB",I3465="Dry DNB"),1,0)</f>
        <v>0</v>
      </c>
      <c r="Z3465" s="0" t="str">
        <f aca="false">IF(ISNUMBER(W3465),A3465-W3465,"")</f>
        <v/>
      </c>
      <c r="AA3465" s="46" t="n">
        <f aca="false">MATCH(A3465,DATAS,0)</f>
        <v>1</v>
      </c>
      <c r="AB3465" s="46" t="n">
        <f aca="false">IF(AND(E3465&gt;0,OR(AND(B3465&gt;=1,B3465&lt;=6),B3465=10)),1,0)</f>
        <v>0</v>
      </c>
      <c r="AC3465" s="46" t="n">
        <f aca="false">IF(AND(E3465&gt;0,B3465=10),1,0)</f>
        <v>0</v>
      </c>
      <c r="AD3465" s="0" t="str">
        <f aca="false">IF(AND(C3464=C3465,AA3464=AA3465-1),AB3464,"")</f>
        <v/>
      </c>
      <c r="AE3465" s="0" t="str">
        <f aca="false">IF(AND(C3464=C3465,AA3464=AA3465-1),AC3464,"")</f>
        <v/>
      </c>
      <c r="AF3465" s="0" t="str">
        <f aca="false">IF(AA3465=1,"",IF(AND(AB3465=1,AD3465&lt;&gt;1),1,0))</f>
        <v/>
      </c>
      <c r="AG3465" s="0" t="str">
        <f aca="false">IF(AA3465=1,"",IF(AND(AC3465=1,AE3465&lt;&gt;1),1,0))</f>
        <v/>
      </c>
      <c r="AH3465" s="51" t="str">
        <f aca="false">IF(AND(E3465&gt;0,AA3465&lt;1,NOT(AND(C3466=C3465,AA3466=AA3465+1))),INDEX(DATAS,AA3465+1),"")</f>
        <v/>
      </c>
      <c r="AI3465" s="51" t="str">
        <f aca="false">IF(AND(AC3465=1,AA3465&lt;1),IF(AND(C3466=C3465,AA3466=AA3465+1),IF(AC3466=1,"",INDEX(DATAS,AA3465+1)),INDEX(DATAS,AA3465+1)),"")</f>
        <v/>
      </c>
    </row>
    <row r="3466" customFormat="false" ht="15" hidden="false" customHeight="false" outlineLevel="0" collapsed="false">
      <c r="A3466" s="51" t="n">
        <v>46309</v>
      </c>
      <c r="B3466" s="0" t="n">
        <v>13</v>
      </c>
      <c r="C3466" s="0" t="n">
        <v>7910</v>
      </c>
      <c r="E3466" s="0" t="n">
        <v>0</v>
      </c>
      <c r="F3466" s="46" t="s">
        <v>1604</v>
      </c>
      <c r="I3466" s="46" t="s">
        <v>179</v>
      </c>
      <c r="U3466" s="0" t="n">
        <v>100</v>
      </c>
      <c r="V3466" s="0" t="n">
        <v>0</v>
      </c>
      <c r="X3466" s="46" t="n">
        <f aca="false">IF(I3466="Male",0,1)</f>
        <v>1</v>
      </c>
      <c r="Y3466" s="46" t="n">
        <f aca="false">IF(OR(I3466="DNB",I3466="Dry DNB"),1,0)</f>
        <v>0</v>
      </c>
      <c r="Z3466" s="0" t="str">
        <f aca="false">IF(ISNUMBER(W3466),A3466-W3466,"")</f>
        <v/>
      </c>
      <c r="AA3466" s="46" t="n">
        <f aca="false">MATCH(A3466,DATAS,0)</f>
        <v>1</v>
      </c>
      <c r="AB3466" s="46" t="n">
        <f aca="false">IF(AND(E3466&gt;0,OR(AND(B3466&gt;=1,B3466&lt;=6),B3466=10)),1,0)</f>
        <v>0</v>
      </c>
      <c r="AC3466" s="46" t="n">
        <f aca="false">IF(AND(E3466&gt;0,B3466=10),1,0)</f>
        <v>0</v>
      </c>
      <c r="AD3466" s="0" t="str">
        <f aca="false">IF(AND(C3465=C3466,AA3465=AA3466-1),AB3465,"")</f>
        <v/>
      </c>
      <c r="AE3466" s="0" t="str">
        <f aca="false">IF(AND(C3465=C3466,AA3465=AA3466-1),AC3465,"")</f>
        <v/>
      </c>
      <c r="AF3466" s="0" t="str">
        <f aca="false">IF(AA3466=1,"",IF(AND(AB3466=1,AD3466&lt;&gt;1),1,0))</f>
        <v/>
      </c>
      <c r="AG3466" s="0" t="str">
        <f aca="false">IF(AA3466=1,"",IF(AND(AC3466=1,AE3466&lt;&gt;1),1,0))</f>
        <v/>
      </c>
      <c r="AH3466" s="51" t="str">
        <f aca="false">IF(AND(E3466&gt;0,AA3466&lt;1,NOT(AND(C3467=C3466,AA3467=AA3466+1))),INDEX(DATAS,AA3466+1),"")</f>
        <v/>
      </c>
      <c r="AI3466" s="51" t="str">
        <f aca="false">IF(AND(AC3466=1,AA3466&lt;1),IF(AND(C3467=C3466,AA3467=AA3466+1),IF(AC3467=1,"",INDEX(DATAS,AA3466+1)),INDEX(DATAS,AA3466+1)),"")</f>
        <v/>
      </c>
    </row>
    <row r="3467" customFormat="false" ht="15" hidden="false" customHeight="false" outlineLevel="0" collapsed="false">
      <c r="A3467" s="51" t="n">
        <v>46309</v>
      </c>
      <c r="B3467" s="0" t="n">
        <v>13</v>
      </c>
      <c r="C3467" s="0" t="n">
        <v>7911</v>
      </c>
      <c r="E3467" s="0" t="n">
        <v>0</v>
      </c>
      <c r="F3467" s="46" t="s">
        <v>1604</v>
      </c>
      <c r="I3467" s="46" t="s">
        <v>179</v>
      </c>
      <c r="U3467" s="0" t="n">
        <v>100</v>
      </c>
      <c r="V3467" s="0" t="n">
        <v>0</v>
      </c>
      <c r="X3467" s="46" t="n">
        <f aca="false">IF(I3467="Male",0,1)</f>
        <v>1</v>
      </c>
      <c r="Y3467" s="46" t="n">
        <f aca="false">IF(OR(I3467="DNB",I3467="Dry DNB"),1,0)</f>
        <v>0</v>
      </c>
      <c r="Z3467" s="0" t="str">
        <f aca="false">IF(ISNUMBER(W3467),A3467-W3467,"")</f>
        <v/>
      </c>
      <c r="AA3467" s="46" t="n">
        <f aca="false">MATCH(A3467,DATAS,0)</f>
        <v>1</v>
      </c>
      <c r="AB3467" s="46" t="n">
        <f aca="false">IF(AND(E3467&gt;0,OR(AND(B3467&gt;=1,B3467&lt;=6),B3467=10)),1,0)</f>
        <v>0</v>
      </c>
      <c r="AC3467" s="46" t="n">
        <f aca="false">IF(AND(E3467&gt;0,B3467=10),1,0)</f>
        <v>0</v>
      </c>
      <c r="AD3467" s="0" t="str">
        <f aca="false">IF(AND(C3466=C3467,AA3466=AA3467-1),AB3466,"")</f>
        <v/>
      </c>
      <c r="AE3467" s="0" t="str">
        <f aca="false">IF(AND(C3466=C3467,AA3466=AA3467-1),AC3466,"")</f>
        <v/>
      </c>
      <c r="AF3467" s="0" t="str">
        <f aca="false">IF(AA3467=1,"",IF(AND(AB3467=1,AD3467&lt;&gt;1),1,0))</f>
        <v/>
      </c>
      <c r="AG3467" s="0" t="str">
        <f aca="false">IF(AA3467=1,"",IF(AND(AC3467=1,AE3467&lt;&gt;1),1,0))</f>
        <v/>
      </c>
      <c r="AH3467" s="51" t="str">
        <f aca="false">IF(AND(E3467&gt;0,AA3467&lt;1,NOT(AND(C3468=C3467,AA3468=AA3467+1))),INDEX(DATAS,AA3467+1),"")</f>
        <v/>
      </c>
      <c r="AI3467" s="51" t="str">
        <f aca="false">IF(AND(AC3467=1,AA3467&lt;1),IF(AND(C3468=C3467,AA3468=AA3467+1),IF(AC3468=1,"",INDEX(DATAS,AA3467+1)),INDEX(DATAS,AA3467+1)),"")</f>
        <v/>
      </c>
    </row>
    <row r="3468" customFormat="false" ht="15" hidden="false" customHeight="false" outlineLevel="0" collapsed="false">
      <c r="A3468" s="51" t="n">
        <v>46309</v>
      </c>
      <c r="B3468" s="0" t="n">
        <v>13</v>
      </c>
      <c r="C3468" s="0" t="n">
        <v>7912</v>
      </c>
      <c r="E3468" s="0" t="n">
        <v>0</v>
      </c>
      <c r="F3468" s="46" t="s">
        <v>1604</v>
      </c>
      <c r="I3468" s="46" t="s">
        <v>179</v>
      </c>
      <c r="U3468" s="0" t="n">
        <v>100</v>
      </c>
      <c r="V3468" s="0" t="n">
        <v>0</v>
      </c>
      <c r="X3468" s="46" t="n">
        <f aca="false">IF(I3468="Male",0,1)</f>
        <v>1</v>
      </c>
      <c r="Y3468" s="46" t="n">
        <f aca="false">IF(OR(I3468="DNB",I3468="Dry DNB"),1,0)</f>
        <v>0</v>
      </c>
      <c r="Z3468" s="0" t="str">
        <f aca="false">IF(ISNUMBER(W3468),A3468-W3468,"")</f>
        <v/>
      </c>
      <c r="AA3468" s="46" t="n">
        <f aca="false">MATCH(A3468,DATAS,0)</f>
        <v>1</v>
      </c>
      <c r="AB3468" s="46" t="n">
        <f aca="false">IF(AND(E3468&gt;0,OR(AND(B3468&gt;=1,B3468&lt;=6),B3468=10)),1,0)</f>
        <v>0</v>
      </c>
      <c r="AC3468" s="46" t="n">
        <f aca="false">IF(AND(E3468&gt;0,B3468=10),1,0)</f>
        <v>0</v>
      </c>
      <c r="AD3468" s="0" t="str">
        <f aca="false">IF(AND(C3467=C3468,AA3467=AA3468-1),AB3467,"")</f>
        <v/>
      </c>
      <c r="AE3468" s="0" t="str">
        <f aca="false">IF(AND(C3467=C3468,AA3467=AA3468-1),AC3467,"")</f>
        <v/>
      </c>
      <c r="AF3468" s="0" t="str">
        <f aca="false">IF(AA3468=1,"",IF(AND(AB3468=1,AD3468&lt;&gt;1),1,0))</f>
        <v/>
      </c>
      <c r="AG3468" s="0" t="str">
        <f aca="false">IF(AA3468=1,"",IF(AND(AC3468=1,AE3468&lt;&gt;1),1,0))</f>
        <v/>
      </c>
      <c r="AH3468" s="51" t="str">
        <f aca="false">IF(AND(E3468&gt;0,AA3468&lt;1,NOT(AND(C3469=C3468,AA3469=AA3468+1))),INDEX(DATAS,AA3468+1),"")</f>
        <v/>
      </c>
      <c r="AI3468" s="51" t="str">
        <f aca="false">IF(AND(AC3468=1,AA3468&lt;1),IF(AND(C3469=C3468,AA3469=AA3468+1),IF(AC3469=1,"",INDEX(DATAS,AA3468+1)),INDEX(DATAS,AA3468+1)),"")</f>
        <v/>
      </c>
    </row>
    <row r="3469" customFormat="false" ht="15" hidden="false" customHeight="false" outlineLevel="0" collapsed="false">
      <c r="A3469" s="51" t="n">
        <v>46309</v>
      </c>
      <c r="B3469" s="0" t="n">
        <v>13</v>
      </c>
      <c r="C3469" s="0" t="n">
        <v>7913</v>
      </c>
      <c r="E3469" s="0" t="n">
        <v>0</v>
      </c>
      <c r="F3469" s="46" t="s">
        <v>1604</v>
      </c>
      <c r="I3469" s="46" t="s">
        <v>179</v>
      </c>
      <c r="U3469" s="0" t="n">
        <v>100</v>
      </c>
      <c r="V3469" s="0" t="n">
        <v>0</v>
      </c>
      <c r="X3469" s="46" t="n">
        <f aca="false">IF(I3469="Male",0,1)</f>
        <v>1</v>
      </c>
      <c r="Y3469" s="46" t="n">
        <f aca="false">IF(OR(I3469="DNB",I3469="Dry DNB"),1,0)</f>
        <v>0</v>
      </c>
      <c r="Z3469" s="0" t="str">
        <f aca="false">IF(ISNUMBER(W3469),A3469-W3469,"")</f>
        <v/>
      </c>
      <c r="AA3469" s="46" t="n">
        <f aca="false">MATCH(A3469,DATAS,0)</f>
        <v>1</v>
      </c>
      <c r="AB3469" s="46" t="n">
        <f aca="false">IF(AND(E3469&gt;0,OR(AND(B3469&gt;=1,B3469&lt;=6),B3469=10)),1,0)</f>
        <v>0</v>
      </c>
      <c r="AC3469" s="46" t="n">
        <f aca="false">IF(AND(E3469&gt;0,B3469=10),1,0)</f>
        <v>0</v>
      </c>
      <c r="AD3469" s="0" t="str">
        <f aca="false">IF(AND(C3468=C3469,AA3468=AA3469-1),AB3468,"")</f>
        <v/>
      </c>
      <c r="AE3469" s="0" t="str">
        <f aca="false">IF(AND(C3468=C3469,AA3468=AA3469-1),AC3468,"")</f>
        <v/>
      </c>
      <c r="AF3469" s="0" t="str">
        <f aca="false">IF(AA3469=1,"",IF(AND(AB3469=1,AD3469&lt;&gt;1),1,0))</f>
        <v/>
      </c>
      <c r="AG3469" s="0" t="str">
        <f aca="false">IF(AA3469=1,"",IF(AND(AC3469=1,AE3469&lt;&gt;1),1,0))</f>
        <v/>
      </c>
      <c r="AH3469" s="51" t="str">
        <f aca="false">IF(AND(E3469&gt;0,AA3469&lt;1,NOT(AND(C3470=C3469,AA3470=AA3469+1))),INDEX(DATAS,AA3469+1),"")</f>
        <v/>
      </c>
      <c r="AI3469" s="51" t="str">
        <f aca="false">IF(AND(AC3469=1,AA3469&lt;1),IF(AND(C3470=C3469,AA3470=AA3469+1),IF(AC3470=1,"",INDEX(DATAS,AA3469+1)),INDEX(DATAS,AA3469+1)),"")</f>
        <v/>
      </c>
    </row>
    <row r="3470" customFormat="false" ht="15" hidden="false" customHeight="false" outlineLevel="0" collapsed="false">
      <c r="A3470" s="51" t="n">
        <v>46309</v>
      </c>
      <c r="B3470" s="0" t="n">
        <v>13</v>
      </c>
      <c r="C3470" s="0" t="n">
        <v>7914</v>
      </c>
      <c r="E3470" s="0" t="n">
        <v>0</v>
      </c>
      <c r="F3470" s="46" t="s">
        <v>1604</v>
      </c>
      <c r="I3470" s="46" t="s">
        <v>179</v>
      </c>
      <c r="U3470" s="0" t="n">
        <v>100</v>
      </c>
      <c r="V3470" s="0" t="n">
        <v>0</v>
      </c>
      <c r="X3470" s="46" t="n">
        <f aca="false">IF(I3470="Male",0,1)</f>
        <v>1</v>
      </c>
      <c r="Y3470" s="46" t="n">
        <f aca="false">IF(OR(I3470="DNB",I3470="Dry DNB"),1,0)</f>
        <v>0</v>
      </c>
      <c r="Z3470" s="0" t="str">
        <f aca="false">IF(ISNUMBER(W3470),A3470-W3470,"")</f>
        <v/>
      </c>
      <c r="AA3470" s="46" t="n">
        <f aca="false">MATCH(A3470,DATAS,0)</f>
        <v>1</v>
      </c>
      <c r="AB3470" s="46" t="n">
        <f aca="false">IF(AND(E3470&gt;0,OR(AND(B3470&gt;=1,B3470&lt;=6),B3470=10)),1,0)</f>
        <v>0</v>
      </c>
      <c r="AC3470" s="46" t="n">
        <f aca="false">IF(AND(E3470&gt;0,B3470=10),1,0)</f>
        <v>0</v>
      </c>
      <c r="AD3470" s="0" t="str">
        <f aca="false">IF(AND(C3469=C3470,AA3469=AA3470-1),AB3469,"")</f>
        <v/>
      </c>
      <c r="AE3470" s="0" t="str">
        <f aca="false">IF(AND(C3469=C3470,AA3469=AA3470-1),AC3469,"")</f>
        <v/>
      </c>
      <c r="AF3470" s="0" t="str">
        <f aca="false">IF(AA3470=1,"",IF(AND(AB3470=1,AD3470&lt;&gt;1),1,0))</f>
        <v/>
      </c>
      <c r="AG3470" s="0" t="str">
        <f aca="false">IF(AA3470=1,"",IF(AND(AC3470=1,AE3470&lt;&gt;1),1,0))</f>
        <v/>
      </c>
      <c r="AH3470" s="51" t="str">
        <f aca="false">IF(AND(E3470&gt;0,AA3470&lt;1,NOT(AND(C3471=C3470,AA3471=AA3470+1))),INDEX(DATAS,AA3470+1),"")</f>
        <v/>
      </c>
      <c r="AI3470" s="51" t="str">
        <f aca="false">IF(AND(AC3470=1,AA3470&lt;1),IF(AND(C3471=C3470,AA3471=AA3470+1),IF(AC3471=1,"",INDEX(DATAS,AA3470+1)),INDEX(DATAS,AA3470+1)),"")</f>
        <v/>
      </c>
    </row>
    <row r="3471" customFormat="false" ht="15" hidden="false" customHeight="false" outlineLevel="0" collapsed="false">
      <c r="A3471" s="51" t="n">
        <v>46309</v>
      </c>
      <c r="B3471" s="0" t="n">
        <v>13</v>
      </c>
      <c r="C3471" s="0" t="n">
        <v>7915</v>
      </c>
      <c r="E3471" s="0" t="n">
        <v>0</v>
      </c>
      <c r="F3471" s="46" t="s">
        <v>1604</v>
      </c>
      <c r="I3471" s="46" t="s">
        <v>179</v>
      </c>
      <c r="U3471" s="0" t="n">
        <v>100</v>
      </c>
      <c r="V3471" s="0" t="n">
        <v>0</v>
      </c>
      <c r="X3471" s="46" t="n">
        <f aca="false">IF(I3471="Male",0,1)</f>
        <v>1</v>
      </c>
      <c r="Y3471" s="46" t="n">
        <f aca="false">IF(OR(I3471="DNB",I3471="Dry DNB"),1,0)</f>
        <v>0</v>
      </c>
      <c r="Z3471" s="0" t="str">
        <f aca="false">IF(ISNUMBER(W3471),A3471-W3471,"")</f>
        <v/>
      </c>
      <c r="AA3471" s="46" t="n">
        <f aca="false">MATCH(A3471,DATAS,0)</f>
        <v>1</v>
      </c>
      <c r="AB3471" s="46" t="n">
        <f aca="false">IF(AND(E3471&gt;0,OR(AND(B3471&gt;=1,B3471&lt;=6),B3471=10)),1,0)</f>
        <v>0</v>
      </c>
      <c r="AC3471" s="46" t="n">
        <f aca="false">IF(AND(E3471&gt;0,B3471=10),1,0)</f>
        <v>0</v>
      </c>
      <c r="AD3471" s="0" t="str">
        <f aca="false">IF(AND(C3470=C3471,AA3470=AA3471-1),AB3470,"")</f>
        <v/>
      </c>
      <c r="AE3471" s="0" t="str">
        <f aca="false">IF(AND(C3470=C3471,AA3470=AA3471-1),AC3470,"")</f>
        <v/>
      </c>
      <c r="AF3471" s="0" t="str">
        <f aca="false">IF(AA3471=1,"",IF(AND(AB3471=1,AD3471&lt;&gt;1),1,0))</f>
        <v/>
      </c>
      <c r="AG3471" s="0" t="str">
        <f aca="false">IF(AA3471=1,"",IF(AND(AC3471=1,AE3471&lt;&gt;1),1,0))</f>
        <v/>
      </c>
      <c r="AH3471" s="51" t="str">
        <f aca="false">IF(AND(E3471&gt;0,AA3471&lt;1,NOT(AND(C3472=C3471,AA3472=AA3471+1))),INDEX(DATAS,AA3471+1),"")</f>
        <v/>
      </c>
      <c r="AI3471" s="51" t="str">
        <f aca="false">IF(AND(AC3471=1,AA3471&lt;1),IF(AND(C3472=C3471,AA3472=AA3471+1),IF(AC3472=1,"",INDEX(DATAS,AA3471+1)),INDEX(DATAS,AA3471+1)),"")</f>
        <v/>
      </c>
    </row>
    <row r="3472" customFormat="false" ht="15" hidden="false" customHeight="false" outlineLevel="0" collapsed="false">
      <c r="A3472" s="51" t="n">
        <v>46309</v>
      </c>
      <c r="B3472" s="0" t="n">
        <v>13</v>
      </c>
      <c r="C3472" s="0" t="n">
        <v>7916</v>
      </c>
      <c r="E3472" s="0" t="n">
        <v>0</v>
      </c>
      <c r="F3472" s="46" t="s">
        <v>1605</v>
      </c>
      <c r="I3472" s="46" t="s">
        <v>179</v>
      </c>
      <c r="U3472" s="0" t="n">
        <v>99</v>
      </c>
      <c r="V3472" s="0" t="n">
        <v>0</v>
      </c>
      <c r="X3472" s="46" t="n">
        <f aca="false">IF(I3472="Male",0,1)</f>
        <v>1</v>
      </c>
      <c r="Y3472" s="46" t="n">
        <f aca="false">IF(OR(I3472="DNB",I3472="Dry DNB"),1,0)</f>
        <v>0</v>
      </c>
      <c r="Z3472" s="0" t="str">
        <f aca="false">IF(ISNUMBER(W3472),A3472-W3472,"")</f>
        <v/>
      </c>
      <c r="AA3472" s="46" t="n">
        <f aca="false">MATCH(A3472,DATAS,0)</f>
        <v>1</v>
      </c>
      <c r="AB3472" s="46" t="n">
        <f aca="false">IF(AND(E3472&gt;0,OR(AND(B3472&gt;=1,B3472&lt;=6),B3472=10)),1,0)</f>
        <v>0</v>
      </c>
      <c r="AC3472" s="46" t="n">
        <f aca="false">IF(AND(E3472&gt;0,B3472=10),1,0)</f>
        <v>0</v>
      </c>
      <c r="AD3472" s="0" t="str">
        <f aca="false">IF(AND(C3471=C3472,AA3471=AA3472-1),AB3471,"")</f>
        <v/>
      </c>
      <c r="AE3472" s="0" t="str">
        <f aca="false">IF(AND(C3471=C3472,AA3471=AA3472-1),AC3471,"")</f>
        <v/>
      </c>
      <c r="AF3472" s="0" t="str">
        <f aca="false">IF(AA3472=1,"",IF(AND(AB3472=1,AD3472&lt;&gt;1),1,0))</f>
        <v/>
      </c>
      <c r="AG3472" s="0" t="str">
        <f aca="false">IF(AA3472=1,"",IF(AND(AC3472=1,AE3472&lt;&gt;1),1,0))</f>
        <v/>
      </c>
      <c r="AH3472" s="51" t="str">
        <f aca="false">IF(AND(E3472&gt;0,AA3472&lt;1,NOT(AND(C3473=C3472,AA3473=AA3472+1))),INDEX(DATAS,AA3472+1),"")</f>
        <v/>
      </c>
      <c r="AI3472" s="51" t="str">
        <f aca="false">IF(AND(AC3472=1,AA3472&lt;1),IF(AND(C3473=C3472,AA3473=AA3472+1),IF(AC3473=1,"",INDEX(DATAS,AA3472+1)),INDEX(DATAS,AA3472+1)),"")</f>
        <v/>
      </c>
    </row>
    <row r="3473" customFormat="false" ht="15" hidden="false" customHeight="false" outlineLevel="0" collapsed="false">
      <c r="A3473" s="51" t="n">
        <v>46309</v>
      </c>
      <c r="B3473" s="0" t="n">
        <v>13</v>
      </c>
      <c r="C3473" s="0" t="n">
        <v>7917</v>
      </c>
      <c r="E3473" s="0" t="n">
        <v>0</v>
      </c>
      <c r="F3473" s="46" t="s">
        <v>1605</v>
      </c>
      <c r="I3473" s="46" t="s">
        <v>179</v>
      </c>
      <c r="U3473" s="0" t="n">
        <v>99</v>
      </c>
      <c r="V3473" s="0" t="n">
        <v>0</v>
      </c>
      <c r="X3473" s="46" t="n">
        <f aca="false">IF(I3473="Male",0,1)</f>
        <v>1</v>
      </c>
      <c r="Y3473" s="46" t="n">
        <f aca="false">IF(OR(I3473="DNB",I3473="Dry DNB"),1,0)</f>
        <v>0</v>
      </c>
      <c r="Z3473" s="0" t="str">
        <f aca="false">IF(ISNUMBER(W3473),A3473-W3473,"")</f>
        <v/>
      </c>
      <c r="AA3473" s="46" t="n">
        <f aca="false">MATCH(A3473,DATAS,0)</f>
        <v>1</v>
      </c>
      <c r="AB3473" s="46" t="n">
        <f aca="false">IF(AND(E3473&gt;0,OR(AND(B3473&gt;=1,B3473&lt;=6),B3473=10)),1,0)</f>
        <v>0</v>
      </c>
      <c r="AC3473" s="46" t="n">
        <f aca="false">IF(AND(E3473&gt;0,B3473=10),1,0)</f>
        <v>0</v>
      </c>
      <c r="AD3473" s="0" t="str">
        <f aca="false">IF(AND(C3472=C3473,AA3472=AA3473-1),AB3472,"")</f>
        <v/>
      </c>
      <c r="AE3473" s="0" t="str">
        <f aca="false">IF(AND(C3472=C3473,AA3472=AA3473-1),AC3472,"")</f>
        <v/>
      </c>
      <c r="AF3473" s="0" t="str">
        <f aca="false">IF(AA3473=1,"",IF(AND(AB3473=1,AD3473&lt;&gt;1),1,0))</f>
        <v/>
      </c>
      <c r="AG3473" s="0" t="str">
        <f aca="false">IF(AA3473=1,"",IF(AND(AC3473=1,AE3473&lt;&gt;1),1,0))</f>
        <v/>
      </c>
      <c r="AH3473" s="51" t="str">
        <f aca="false">IF(AND(E3473&gt;0,AA3473&lt;1,NOT(AND(C3474=C3473,AA3474=AA3473+1))),INDEX(DATAS,AA3473+1),"")</f>
        <v/>
      </c>
      <c r="AI3473" s="51" t="str">
        <f aca="false">IF(AND(AC3473=1,AA3473&lt;1),IF(AND(C3474=C3473,AA3474=AA3473+1),IF(AC3474=1,"",INDEX(DATAS,AA3473+1)),INDEX(DATAS,AA3473+1)),"")</f>
        <v/>
      </c>
    </row>
    <row r="3474" customFormat="false" ht="15" hidden="false" customHeight="false" outlineLevel="0" collapsed="false">
      <c r="A3474" s="51" t="n">
        <v>46309</v>
      </c>
      <c r="B3474" s="0" t="n">
        <v>13</v>
      </c>
      <c r="C3474" s="0" t="n">
        <v>7918</v>
      </c>
      <c r="E3474" s="0" t="n">
        <v>0</v>
      </c>
      <c r="F3474" s="46" t="s">
        <v>1605</v>
      </c>
      <c r="I3474" s="46" t="s">
        <v>179</v>
      </c>
      <c r="U3474" s="0" t="n">
        <v>99</v>
      </c>
      <c r="V3474" s="0" t="n">
        <v>0</v>
      </c>
      <c r="X3474" s="46" t="n">
        <f aca="false">IF(I3474="Male",0,1)</f>
        <v>1</v>
      </c>
      <c r="Y3474" s="46" t="n">
        <f aca="false">IF(OR(I3474="DNB",I3474="Dry DNB"),1,0)</f>
        <v>0</v>
      </c>
      <c r="Z3474" s="0" t="str">
        <f aca="false">IF(ISNUMBER(W3474),A3474-W3474,"")</f>
        <v/>
      </c>
      <c r="AA3474" s="46" t="n">
        <f aca="false">MATCH(A3474,DATAS,0)</f>
        <v>1</v>
      </c>
      <c r="AB3474" s="46" t="n">
        <f aca="false">IF(AND(E3474&gt;0,OR(AND(B3474&gt;=1,B3474&lt;=6),B3474=10)),1,0)</f>
        <v>0</v>
      </c>
      <c r="AC3474" s="46" t="n">
        <f aca="false">IF(AND(E3474&gt;0,B3474=10),1,0)</f>
        <v>0</v>
      </c>
      <c r="AD3474" s="0" t="str">
        <f aca="false">IF(AND(C3473=C3474,AA3473=AA3474-1),AB3473,"")</f>
        <v/>
      </c>
      <c r="AE3474" s="0" t="str">
        <f aca="false">IF(AND(C3473=C3474,AA3473=AA3474-1),AC3473,"")</f>
        <v/>
      </c>
      <c r="AF3474" s="0" t="str">
        <f aca="false">IF(AA3474=1,"",IF(AND(AB3474=1,AD3474&lt;&gt;1),1,0))</f>
        <v/>
      </c>
      <c r="AG3474" s="0" t="str">
        <f aca="false">IF(AA3474=1,"",IF(AND(AC3474=1,AE3474&lt;&gt;1),1,0))</f>
        <v/>
      </c>
      <c r="AH3474" s="51" t="str">
        <f aca="false">IF(AND(E3474&gt;0,AA3474&lt;1,NOT(AND(C3475=C3474,AA3475=AA3474+1))),INDEX(DATAS,AA3474+1),"")</f>
        <v/>
      </c>
      <c r="AI3474" s="51" t="str">
        <f aca="false">IF(AND(AC3474=1,AA3474&lt;1),IF(AND(C3475=C3474,AA3475=AA3474+1),IF(AC3475=1,"",INDEX(DATAS,AA3474+1)),INDEX(DATAS,AA3474+1)),"")</f>
        <v/>
      </c>
    </row>
    <row r="3475" customFormat="false" ht="15" hidden="false" customHeight="false" outlineLevel="0" collapsed="false">
      <c r="A3475" s="51" t="n">
        <v>46309</v>
      </c>
      <c r="B3475" s="0" t="n">
        <v>13</v>
      </c>
      <c r="C3475" s="0" t="n">
        <v>7919</v>
      </c>
      <c r="E3475" s="0" t="n">
        <v>0</v>
      </c>
      <c r="F3475" s="46" t="s">
        <v>1605</v>
      </c>
      <c r="I3475" s="46" t="s">
        <v>179</v>
      </c>
      <c r="U3475" s="0" t="n">
        <v>99</v>
      </c>
      <c r="V3475" s="0" t="n">
        <v>0</v>
      </c>
      <c r="X3475" s="46" t="n">
        <f aca="false">IF(I3475="Male",0,1)</f>
        <v>1</v>
      </c>
      <c r="Y3475" s="46" t="n">
        <f aca="false">IF(OR(I3475="DNB",I3475="Dry DNB"),1,0)</f>
        <v>0</v>
      </c>
      <c r="Z3475" s="0" t="str">
        <f aca="false">IF(ISNUMBER(W3475),A3475-W3475,"")</f>
        <v/>
      </c>
      <c r="AA3475" s="46" t="n">
        <f aca="false">MATCH(A3475,DATAS,0)</f>
        <v>1</v>
      </c>
      <c r="AB3475" s="46" t="n">
        <f aca="false">IF(AND(E3475&gt;0,OR(AND(B3475&gt;=1,B3475&lt;=6),B3475=10)),1,0)</f>
        <v>0</v>
      </c>
      <c r="AC3475" s="46" t="n">
        <f aca="false">IF(AND(E3475&gt;0,B3475=10),1,0)</f>
        <v>0</v>
      </c>
      <c r="AD3475" s="0" t="str">
        <f aca="false">IF(AND(C3474=C3475,AA3474=AA3475-1),AB3474,"")</f>
        <v/>
      </c>
      <c r="AE3475" s="0" t="str">
        <f aca="false">IF(AND(C3474=C3475,AA3474=AA3475-1),AC3474,"")</f>
        <v/>
      </c>
      <c r="AF3475" s="0" t="str">
        <f aca="false">IF(AA3475=1,"",IF(AND(AB3475=1,AD3475&lt;&gt;1),1,0))</f>
        <v/>
      </c>
      <c r="AG3475" s="0" t="str">
        <f aca="false">IF(AA3475=1,"",IF(AND(AC3475=1,AE3475&lt;&gt;1),1,0))</f>
        <v/>
      </c>
      <c r="AH3475" s="51" t="str">
        <f aca="false">IF(AND(E3475&gt;0,AA3475&lt;1,NOT(AND(C3476=C3475,AA3476=AA3475+1))),INDEX(DATAS,AA3475+1),"")</f>
        <v/>
      </c>
      <c r="AI3475" s="51" t="str">
        <f aca="false">IF(AND(AC3475=1,AA3475&lt;1),IF(AND(C3476=C3475,AA3476=AA3475+1),IF(AC3476=1,"",INDEX(DATAS,AA3475+1)),INDEX(DATAS,AA3475+1)),"")</f>
        <v/>
      </c>
    </row>
    <row r="3476" customFormat="false" ht="15" hidden="false" customHeight="false" outlineLevel="0" collapsed="false">
      <c r="A3476" s="51" t="n">
        <v>46309</v>
      </c>
      <c r="B3476" s="0" t="n">
        <v>13</v>
      </c>
      <c r="C3476" s="0" t="n">
        <v>7920</v>
      </c>
      <c r="E3476" s="0" t="n">
        <v>0</v>
      </c>
      <c r="F3476" s="46" t="s">
        <v>1605</v>
      </c>
      <c r="I3476" s="46" t="s">
        <v>179</v>
      </c>
      <c r="U3476" s="0" t="n">
        <v>99</v>
      </c>
      <c r="V3476" s="0" t="n">
        <v>0</v>
      </c>
      <c r="X3476" s="46" t="n">
        <f aca="false">IF(I3476="Male",0,1)</f>
        <v>1</v>
      </c>
      <c r="Y3476" s="46" t="n">
        <f aca="false">IF(OR(I3476="DNB",I3476="Dry DNB"),1,0)</f>
        <v>0</v>
      </c>
      <c r="Z3476" s="0" t="str">
        <f aca="false">IF(ISNUMBER(W3476),A3476-W3476,"")</f>
        <v/>
      </c>
      <c r="AA3476" s="46" t="n">
        <f aca="false">MATCH(A3476,DATAS,0)</f>
        <v>1</v>
      </c>
      <c r="AB3476" s="46" t="n">
        <f aca="false">IF(AND(E3476&gt;0,OR(AND(B3476&gt;=1,B3476&lt;=6),B3476=10)),1,0)</f>
        <v>0</v>
      </c>
      <c r="AC3476" s="46" t="n">
        <f aca="false">IF(AND(E3476&gt;0,B3476=10),1,0)</f>
        <v>0</v>
      </c>
      <c r="AD3476" s="0" t="str">
        <f aca="false">IF(AND(C3475=C3476,AA3475=AA3476-1),AB3475,"")</f>
        <v/>
      </c>
      <c r="AE3476" s="0" t="str">
        <f aca="false">IF(AND(C3475=C3476,AA3475=AA3476-1),AC3475,"")</f>
        <v/>
      </c>
      <c r="AF3476" s="0" t="str">
        <f aca="false">IF(AA3476=1,"",IF(AND(AB3476=1,AD3476&lt;&gt;1),1,0))</f>
        <v/>
      </c>
      <c r="AG3476" s="0" t="str">
        <f aca="false">IF(AA3476=1,"",IF(AND(AC3476=1,AE3476&lt;&gt;1),1,0))</f>
        <v/>
      </c>
      <c r="AH3476" s="51" t="str">
        <f aca="false">IF(AND(E3476&gt;0,AA3476&lt;1,NOT(AND(C3477=C3476,AA3477=AA3476+1))),INDEX(DATAS,AA3476+1),"")</f>
        <v/>
      </c>
      <c r="AI3476" s="51" t="str">
        <f aca="false">IF(AND(AC3476=1,AA3476&lt;1),IF(AND(C3477=C3476,AA3477=AA3476+1),IF(AC3477=1,"",INDEX(DATAS,AA3476+1)),INDEX(DATAS,AA3476+1)),"")</f>
        <v/>
      </c>
    </row>
    <row r="3477" customFormat="false" ht="15" hidden="false" customHeight="false" outlineLevel="0" collapsed="false">
      <c r="A3477" s="51" t="n">
        <v>46309</v>
      </c>
      <c r="B3477" s="0" t="n">
        <v>13</v>
      </c>
      <c r="C3477" s="0" t="n">
        <v>7921</v>
      </c>
      <c r="E3477" s="0" t="n">
        <v>0</v>
      </c>
      <c r="F3477" s="46" t="s">
        <v>1606</v>
      </c>
      <c r="I3477" s="46" t="s">
        <v>179</v>
      </c>
      <c r="U3477" s="0" t="n">
        <v>98</v>
      </c>
      <c r="V3477" s="0" t="n">
        <v>0</v>
      </c>
      <c r="X3477" s="46" t="n">
        <f aca="false">IF(I3477="Male",0,1)</f>
        <v>1</v>
      </c>
      <c r="Y3477" s="46" t="n">
        <f aca="false">IF(OR(I3477="DNB",I3477="Dry DNB"),1,0)</f>
        <v>0</v>
      </c>
      <c r="Z3477" s="0" t="str">
        <f aca="false">IF(ISNUMBER(W3477),A3477-W3477,"")</f>
        <v/>
      </c>
      <c r="AA3477" s="46" t="n">
        <f aca="false">MATCH(A3477,DATAS,0)</f>
        <v>1</v>
      </c>
      <c r="AB3477" s="46" t="n">
        <f aca="false">IF(AND(E3477&gt;0,OR(AND(B3477&gt;=1,B3477&lt;=6),B3477=10)),1,0)</f>
        <v>0</v>
      </c>
      <c r="AC3477" s="46" t="n">
        <f aca="false">IF(AND(E3477&gt;0,B3477=10),1,0)</f>
        <v>0</v>
      </c>
      <c r="AD3477" s="0" t="str">
        <f aca="false">IF(AND(C3476=C3477,AA3476=AA3477-1),AB3476,"")</f>
        <v/>
      </c>
      <c r="AE3477" s="0" t="str">
        <f aca="false">IF(AND(C3476=C3477,AA3476=AA3477-1),AC3476,"")</f>
        <v/>
      </c>
      <c r="AF3477" s="0" t="str">
        <f aca="false">IF(AA3477=1,"",IF(AND(AB3477=1,AD3477&lt;&gt;1),1,0))</f>
        <v/>
      </c>
      <c r="AG3477" s="0" t="str">
        <f aca="false">IF(AA3477=1,"",IF(AND(AC3477=1,AE3477&lt;&gt;1),1,0))</f>
        <v/>
      </c>
      <c r="AH3477" s="51" t="str">
        <f aca="false">IF(AND(E3477&gt;0,AA3477&lt;1,NOT(AND(C3478=C3477,AA3478=AA3477+1))),INDEX(DATAS,AA3477+1),"")</f>
        <v/>
      </c>
      <c r="AI3477" s="51" t="str">
        <f aca="false">IF(AND(AC3477=1,AA3477&lt;1),IF(AND(C3478=C3477,AA3478=AA3477+1),IF(AC3478=1,"",INDEX(DATAS,AA3477+1)),INDEX(DATAS,AA3477+1)),"")</f>
        <v/>
      </c>
    </row>
    <row r="3478" customFormat="false" ht="15" hidden="false" customHeight="false" outlineLevel="0" collapsed="false">
      <c r="A3478" s="51" t="n">
        <v>46309</v>
      </c>
      <c r="B3478" s="0" t="n">
        <v>13</v>
      </c>
      <c r="C3478" s="0" t="n">
        <v>7922</v>
      </c>
      <c r="E3478" s="0" t="n">
        <v>0</v>
      </c>
      <c r="F3478" s="46" t="s">
        <v>1607</v>
      </c>
      <c r="I3478" s="46" t="s">
        <v>179</v>
      </c>
      <c r="U3478" s="0" t="n">
        <v>97</v>
      </c>
      <c r="V3478" s="0" t="n">
        <v>0</v>
      </c>
      <c r="X3478" s="46" t="n">
        <f aca="false">IF(I3478="Male",0,1)</f>
        <v>1</v>
      </c>
      <c r="Y3478" s="46" t="n">
        <f aca="false">IF(OR(I3478="DNB",I3478="Dry DNB"),1,0)</f>
        <v>0</v>
      </c>
      <c r="Z3478" s="0" t="str">
        <f aca="false">IF(ISNUMBER(W3478),A3478-W3478,"")</f>
        <v/>
      </c>
      <c r="AA3478" s="46" t="n">
        <f aca="false">MATCH(A3478,DATAS,0)</f>
        <v>1</v>
      </c>
      <c r="AB3478" s="46" t="n">
        <f aca="false">IF(AND(E3478&gt;0,OR(AND(B3478&gt;=1,B3478&lt;=6),B3478=10)),1,0)</f>
        <v>0</v>
      </c>
      <c r="AC3478" s="46" t="n">
        <f aca="false">IF(AND(E3478&gt;0,B3478=10),1,0)</f>
        <v>0</v>
      </c>
      <c r="AD3478" s="0" t="str">
        <f aca="false">IF(AND(C3477=C3478,AA3477=AA3478-1),AB3477,"")</f>
        <v/>
      </c>
      <c r="AE3478" s="0" t="str">
        <f aca="false">IF(AND(C3477=C3478,AA3477=AA3478-1),AC3477,"")</f>
        <v/>
      </c>
      <c r="AF3478" s="0" t="str">
        <f aca="false">IF(AA3478=1,"",IF(AND(AB3478=1,AD3478&lt;&gt;1),1,0))</f>
        <v/>
      </c>
      <c r="AG3478" s="0" t="str">
        <f aca="false">IF(AA3478=1,"",IF(AND(AC3478=1,AE3478&lt;&gt;1),1,0))</f>
        <v/>
      </c>
      <c r="AH3478" s="51" t="str">
        <f aca="false">IF(AND(E3478&gt;0,AA3478&lt;1,NOT(AND(C3479=C3478,AA3479=AA3478+1))),INDEX(DATAS,AA3478+1),"")</f>
        <v/>
      </c>
      <c r="AI3478" s="51" t="str">
        <f aca="false">IF(AND(AC3478=1,AA3478&lt;1),IF(AND(C3479=C3478,AA3479=AA3478+1),IF(AC3479=1,"",INDEX(DATAS,AA3478+1)),INDEX(DATAS,AA3478+1)),"")</f>
        <v/>
      </c>
    </row>
    <row r="3479" customFormat="false" ht="15" hidden="false" customHeight="false" outlineLevel="0" collapsed="false">
      <c r="A3479" s="51" t="n">
        <v>46309</v>
      </c>
      <c r="B3479" s="0" t="n">
        <v>13</v>
      </c>
      <c r="C3479" s="0" t="n">
        <v>7923</v>
      </c>
      <c r="E3479" s="0" t="n">
        <v>0</v>
      </c>
      <c r="F3479" s="46" t="s">
        <v>1607</v>
      </c>
      <c r="I3479" s="46" t="s">
        <v>179</v>
      </c>
      <c r="U3479" s="0" t="n">
        <v>97</v>
      </c>
      <c r="V3479" s="0" t="n">
        <v>0</v>
      </c>
      <c r="X3479" s="46" t="n">
        <f aca="false">IF(I3479="Male",0,1)</f>
        <v>1</v>
      </c>
      <c r="Y3479" s="46" t="n">
        <f aca="false">IF(OR(I3479="DNB",I3479="Dry DNB"),1,0)</f>
        <v>0</v>
      </c>
      <c r="Z3479" s="0" t="str">
        <f aca="false">IF(ISNUMBER(W3479),A3479-W3479,"")</f>
        <v/>
      </c>
      <c r="AA3479" s="46" t="n">
        <f aca="false">MATCH(A3479,DATAS,0)</f>
        <v>1</v>
      </c>
      <c r="AB3479" s="46" t="n">
        <f aca="false">IF(AND(E3479&gt;0,OR(AND(B3479&gt;=1,B3479&lt;=6),B3479=10)),1,0)</f>
        <v>0</v>
      </c>
      <c r="AC3479" s="46" t="n">
        <f aca="false">IF(AND(E3479&gt;0,B3479=10),1,0)</f>
        <v>0</v>
      </c>
      <c r="AD3479" s="0" t="str">
        <f aca="false">IF(AND(C3478=C3479,AA3478=AA3479-1),AB3478,"")</f>
        <v/>
      </c>
      <c r="AE3479" s="0" t="str">
        <f aca="false">IF(AND(C3478=C3479,AA3478=AA3479-1),AC3478,"")</f>
        <v/>
      </c>
      <c r="AF3479" s="0" t="str">
        <f aca="false">IF(AA3479=1,"",IF(AND(AB3479=1,AD3479&lt;&gt;1),1,0))</f>
        <v/>
      </c>
      <c r="AG3479" s="0" t="str">
        <f aca="false">IF(AA3479=1,"",IF(AND(AC3479=1,AE3479&lt;&gt;1),1,0))</f>
        <v/>
      </c>
      <c r="AH3479" s="51" t="str">
        <f aca="false">IF(AND(E3479&gt;0,AA3479&lt;1,NOT(AND(C3480=C3479,AA3480=AA3479+1))),INDEX(DATAS,AA3479+1),"")</f>
        <v/>
      </c>
      <c r="AI3479" s="51" t="str">
        <f aca="false">IF(AND(AC3479=1,AA3479&lt;1),IF(AND(C3480=C3479,AA3480=AA3479+1),IF(AC3480=1,"",INDEX(DATAS,AA3479+1)),INDEX(DATAS,AA3479+1)),"")</f>
        <v/>
      </c>
    </row>
    <row r="3480" customFormat="false" ht="15" hidden="false" customHeight="false" outlineLevel="0" collapsed="false">
      <c r="A3480" s="51" t="n">
        <v>46309</v>
      </c>
      <c r="B3480" s="0" t="n">
        <v>13</v>
      </c>
      <c r="C3480" s="0" t="n">
        <v>7924</v>
      </c>
      <c r="E3480" s="0" t="n">
        <v>0</v>
      </c>
      <c r="F3480" s="46" t="s">
        <v>1607</v>
      </c>
      <c r="I3480" s="46" t="s">
        <v>179</v>
      </c>
      <c r="U3480" s="0" t="n">
        <v>97</v>
      </c>
      <c r="V3480" s="0" t="n">
        <v>0</v>
      </c>
      <c r="X3480" s="46" t="n">
        <f aca="false">IF(I3480="Male",0,1)</f>
        <v>1</v>
      </c>
      <c r="Y3480" s="46" t="n">
        <f aca="false">IF(OR(I3480="DNB",I3480="Dry DNB"),1,0)</f>
        <v>0</v>
      </c>
      <c r="Z3480" s="0" t="str">
        <f aca="false">IF(ISNUMBER(W3480),A3480-W3480,"")</f>
        <v/>
      </c>
      <c r="AA3480" s="46" t="n">
        <f aca="false">MATCH(A3480,DATAS,0)</f>
        <v>1</v>
      </c>
      <c r="AB3480" s="46" t="n">
        <f aca="false">IF(AND(E3480&gt;0,OR(AND(B3480&gt;=1,B3480&lt;=6),B3480=10)),1,0)</f>
        <v>0</v>
      </c>
      <c r="AC3480" s="46" t="n">
        <f aca="false">IF(AND(E3480&gt;0,B3480=10),1,0)</f>
        <v>0</v>
      </c>
      <c r="AD3480" s="0" t="str">
        <f aca="false">IF(AND(C3479=C3480,AA3479=AA3480-1),AB3479,"")</f>
        <v/>
      </c>
      <c r="AE3480" s="0" t="str">
        <f aca="false">IF(AND(C3479=C3480,AA3479=AA3480-1),AC3479,"")</f>
        <v/>
      </c>
      <c r="AF3480" s="0" t="str">
        <f aca="false">IF(AA3480=1,"",IF(AND(AB3480=1,AD3480&lt;&gt;1),1,0))</f>
        <v/>
      </c>
      <c r="AG3480" s="0" t="str">
        <f aca="false">IF(AA3480=1,"",IF(AND(AC3480=1,AE3480&lt;&gt;1),1,0))</f>
        <v/>
      </c>
      <c r="AH3480" s="51" t="str">
        <f aca="false">IF(AND(E3480&gt;0,AA3480&lt;1,NOT(AND(C3481=C3480,AA3481=AA3480+1))),INDEX(DATAS,AA3480+1),"")</f>
        <v/>
      </c>
      <c r="AI3480" s="51" t="str">
        <f aca="false">IF(AND(AC3480=1,AA3480&lt;1),IF(AND(C3481=C3480,AA3481=AA3480+1),IF(AC3481=1,"",INDEX(DATAS,AA3480+1)),INDEX(DATAS,AA3480+1)),"")</f>
        <v/>
      </c>
    </row>
    <row r="3481" customFormat="false" ht="15" hidden="false" customHeight="false" outlineLevel="0" collapsed="false">
      <c r="A3481" s="51" t="n">
        <v>46309</v>
      </c>
      <c r="B3481" s="0" t="n">
        <v>13</v>
      </c>
      <c r="C3481" s="0" t="n">
        <v>7925</v>
      </c>
      <c r="E3481" s="0" t="n">
        <v>0</v>
      </c>
      <c r="F3481" s="46" t="s">
        <v>1607</v>
      </c>
      <c r="I3481" s="46" t="s">
        <v>179</v>
      </c>
      <c r="U3481" s="0" t="n">
        <v>97</v>
      </c>
      <c r="V3481" s="0" t="n">
        <v>0</v>
      </c>
      <c r="X3481" s="46" t="n">
        <f aca="false">IF(I3481="Male",0,1)</f>
        <v>1</v>
      </c>
      <c r="Y3481" s="46" t="n">
        <f aca="false">IF(OR(I3481="DNB",I3481="Dry DNB"),1,0)</f>
        <v>0</v>
      </c>
      <c r="Z3481" s="0" t="str">
        <f aca="false">IF(ISNUMBER(W3481),A3481-W3481,"")</f>
        <v/>
      </c>
      <c r="AA3481" s="46" t="n">
        <f aca="false">MATCH(A3481,DATAS,0)</f>
        <v>1</v>
      </c>
      <c r="AB3481" s="46" t="n">
        <f aca="false">IF(AND(E3481&gt;0,OR(AND(B3481&gt;=1,B3481&lt;=6),B3481=10)),1,0)</f>
        <v>0</v>
      </c>
      <c r="AC3481" s="46" t="n">
        <f aca="false">IF(AND(E3481&gt;0,B3481=10),1,0)</f>
        <v>0</v>
      </c>
      <c r="AD3481" s="0" t="str">
        <f aca="false">IF(AND(C3480=C3481,AA3480=AA3481-1),AB3480,"")</f>
        <v/>
      </c>
      <c r="AE3481" s="0" t="str">
        <f aca="false">IF(AND(C3480=C3481,AA3480=AA3481-1),AC3480,"")</f>
        <v/>
      </c>
      <c r="AF3481" s="0" t="str">
        <f aca="false">IF(AA3481=1,"",IF(AND(AB3481=1,AD3481&lt;&gt;1),1,0))</f>
        <v/>
      </c>
      <c r="AG3481" s="0" t="str">
        <f aca="false">IF(AA3481=1,"",IF(AND(AC3481=1,AE3481&lt;&gt;1),1,0))</f>
        <v/>
      </c>
      <c r="AH3481" s="51" t="str">
        <f aca="false">IF(AND(E3481&gt;0,AA3481&lt;1,NOT(AND(C3482=C3481,AA3482=AA3481+1))),INDEX(DATAS,AA3481+1),"")</f>
        <v/>
      </c>
      <c r="AI3481" s="51" t="str">
        <f aca="false">IF(AND(AC3481=1,AA3481&lt;1),IF(AND(C3482=C3481,AA3482=AA3481+1),IF(AC3482=1,"",INDEX(DATAS,AA3481+1)),INDEX(DATAS,AA3481+1)),"")</f>
        <v/>
      </c>
    </row>
    <row r="3482" customFormat="false" ht="15" hidden="false" customHeight="false" outlineLevel="0" collapsed="false">
      <c r="A3482" s="51" t="n">
        <v>46309</v>
      </c>
      <c r="B3482" s="0" t="n">
        <v>13</v>
      </c>
      <c r="C3482" s="0" t="n">
        <v>7926</v>
      </c>
      <c r="E3482" s="0" t="n">
        <v>0</v>
      </c>
      <c r="F3482" s="46" t="s">
        <v>1607</v>
      </c>
      <c r="I3482" s="46" t="s">
        <v>179</v>
      </c>
      <c r="U3482" s="0" t="n">
        <v>97</v>
      </c>
      <c r="V3482" s="0" t="n">
        <v>0</v>
      </c>
      <c r="X3482" s="46" t="n">
        <f aca="false">IF(I3482="Male",0,1)</f>
        <v>1</v>
      </c>
      <c r="Y3482" s="46" t="n">
        <f aca="false">IF(OR(I3482="DNB",I3482="Dry DNB"),1,0)</f>
        <v>0</v>
      </c>
      <c r="Z3482" s="0" t="str">
        <f aca="false">IF(ISNUMBER(W3482),A3482-W3482,"")</f>
        <v/>
      </c>
      <c r="AA3482" s="46" t="n">
        <f aca="false">MATCH(A3482,DATAS,0)</f>
        <v>1</v>
      </c>
      <c r="AB3482" s="46" t="n">
        <f aca="false">IF(AND(E3482&gt;0,OR(AND(B3482&gt;=1,B3482&lt;=6),B3482=10)),1,0)</f>
        <v>0</v>
      </c>
      <c r="AC3482" s="46" t="n">
        <f aca="false">IF(AND(E3482&gt;0,B3482=10),1,0)</f>
        <v>0</v>
      </c>
      <c r="AD3482" s="0" t="str">
        <f aca="false">IF(AND(C3481=C3482,AA3481=AA3482-1),AB3481,"")</f>
        <v/>
      </c>
      <c r="AE3482" s="0" t="str">
        <f aca="false">IF(AND(C3481=C3482,AA3481=AA3482-1),AC3481,"")</f>
        <v/>
      </c>
      <c r="AF3482" s="0" t="str">
        <f aca="false">IF(AA3482=1,"",IF(AND(AB3482=1,AD3482&lt;&gt;1),1,0))</f>
        <v/>
      </c>
      <c r="AG3482" s="0" t="str">
        <f aca="false">IF(AA3482=1,"",IF(AND(AC3482=1,AE3482&lt;&gt;1),1,0))</f>
        <v/>
      </c>
      <c r="AH3482" s="51" t="str">
        <f aca="false">IF(AND(E3482&gt;0,AA3482&lt;1,NOT(AND(C3483=C3482,AA3483=AA3482+1))),INDEX(DATAS,AA3482+1),"")</f>
        <v/>
      </c>
      <c r="AI3482" s="51" t="str">
        <f aca="false">IF(AND(AC3482=1,AA3482&lt;1),IF(AND(C3483=C3482,AA3483=AA3482+1),IF(AC3483=1,"",INDEX(DATAS,AA3482+1)),INDEX(DATAS,AA3482+1)),"")</f>
        <v/>
      </c>
    </row>
    <row r="3483" customFormat="false" ht="15" hidden="false" customHeight="false" outlineLevel="0" collapsed="false">
      <c r="A3483" s="51" t="n">
        <v>46309</v>
      </c>
      <c r="B3483" s="0" t="n">
        <v>13</v>
      </c>
      <c r="C3483" s="0" t="n">
        <v>7927</v>
      </c>
      <c r="E3483" s="0" t="n">
        <v>0</v>
      </c>
      <c r="F3483" s="46" t="s">
        <v>1607</v>
      </c>
      <c r="I3483" s="46" t="s">
        <v>179</v>
      </c>
      <c r="U3483" s="0" t="n">
        <v>97</v>
      </c>
      <c r="V3483" s="0" t="n">
        <v>0</v>
      </c>
      <c r="X3483" s="46" t="n">
        <f aca="false">IF(I3483="Male",0,1)</f>
        <v>1</v>
      </c>
      <c r="Y3483" s="46" t="n">
        <f aca="false">IF(OR(I3483="DNB",I3483="Dry DNB"),1,0)</f>
        <v>0</v>
      </c>
      <c r="Z3483" s="0" t="str">
        <f aca="false">IF(ISNUMBER(W3483),A3483-W3483,"")</f>
        <v/>
      </c>
      <c r="AA3483" s="46" t="n">
        <f aca="false">MATCH(A3483,DATAS,0)</f>
        <v>1</v>
      </c>
      <c r="AB3483" s="46" t="n">
        <f aca="false">IF(AND(E3483&gt;0,OR(AND(B3483&gt;=1,B3483&lt;=6),B3483=10)),1,0)</f>
        <v>0</v>
      </c>
      <c r="AC3483" s="46" t="n">
        <f aca="false">IF(AND(E3483&gt;0,B3483=10),1,0)</f>
        <v>0</v>
      </c>
      <c r="AD3483" s="0" t="str">
        <f aca="false">IF(AND(C3482=C3483,AA3482=AA3483-1),AB3482,"")</f>
        <v/>
      </c>
      <c r="AE3483" s="0" t="str">
        <f aca="false">IF(AND(C3482=C3483,AA3482=AA3483-1),AC3482,"")</f>
        <v/>
      </c>
      <c r="AF3483" s="0" t="str">
        <f aca="false">IF(AA3483=1,"",IF(AND(AB3483=1,AD3483&lt;&gt;1),1,0))</f>
        <v/>
      </c>
      <c r="AG3483" s="0" t="str">
        <f aca="false">IF(AA3483=1,"",IF(AND(AC3483=1,AE3483&lt;&gt;1),1,0))</f>
        <v/>
      </c>
      <c r="AH3483" s="51" t="str">
        <f aca="false">IF(AND(E3483&gt;0,AA3483&lt;1,NOT(AND(C3484=C3483,AA3484=AA3483+1))),INDEX(DATAS,AA3483+1),"")</f>
        <v/>
      </c>
      <c r="AI3483" s="51" t="str">
        <f aca="false">IF(AND(AC3483=1,AA3483&lt;1),IF(AND(C3484=C3483,AA3484=AA3483+1),IF(AC3484=1,"",INDEX(DATAS,AA3483+1)),INDEX(DATAS,AA3483+1)),"")</f>
        <v/>
      </c>
    </row>
    <row r="3484" customFormat="false" ht="15" hidden="false" customHeight="false" outlineLevel="0" collapsed="false">
      <c r="A3484" s="51" t="n">
        <v>46309</v>
      </c>
      <c r="B3484" s="0" t="n">
        <v>16</v>
      </c>
      <c r="C3484" s="0" t="n">
        <v>7928</v>
      </c>
      <c r="E3484" s="0" t="n">
        <v>0</v>
      </c>
      <c r="F3484" s="46" t="s">
        <v>1607</v>
      </c>
      <c r="I3484" s="46" t="s">
        <v>179</v>
      </c>
      <c r="U3484" s="0" t="n">
        <v>97</v>
      </c>
      <c r="V3484" s="0" t="n">
        <v>0</v>
      </c>
      <c r="X3484" s="46" t="n">
        <f aca="false">IF(I3484="Male",0,1)</f>
        <v>1</v>
      </c>
      <c r="Y3484" s="46" t="n">
        <f aca="false">IF(OR(I3484="DNB",I3484="Dry DNB"),1,0)</f>
        <v>0</v>
      </c>
      <c r="Z3484" s="0" t="str">
        <f aca="false">IF(ISNUMBER(W3484),A3484-W3484,"")</f>
        <v/>
      </c>
      <c r="AA3484" s="46" t="n">
        <f aca="false">MATCH(A3484,DATAS,0)</f>
        <v>1</v>
      </c>
      <c r="AB3484" s="46" t="n">
        <f aca="false">IF(AND(E3484&gt;0,OR(AND(B3484&gt;=1,B3484&lt;=6),B3484=10)),1,0)</f>
        <v>0</v>
      </c>
      <c r="AC3484" s="46" t="n">
        <f aca="false">IF(AND(E3484&gt;0,B3484=10),1,0)</f>
        <v>0</v>
      </c>
      <c r="AD3484" s="0" t="str">
        <f aca="false">IF(AND(C3483=C3484,AA3483=AA3484-1),AB3483,"")</f>
        <v/>
      </c>
      <c r="AE3484" s="0" t="str">
        <f aca="false">IF(AND(C3483=C3484,AA3483=AA3484-1),AC3483,"")</f>
        <v/>
      </c>
      <c r="AF3484" s="0" t="str">
        <f aca="false">IF(AA3484=1,"",IF(AND(AB3484=1,AD3484&lt;&gt;1),1,0))</f>
        <v/>
      </c>
      <c r="AG3484" s="0" t="str">
        <f aca="false">IF(AA3484=1,"",IF(AND(AC3484=1,AE3484&lt;&gt;1),1,0))</f>
        <v/>
      </c>
      <c r="AH3484" s="51" t="str">
        <f aca="false">IF(AND(E3484&gt;0,AA3484&lt;1,NOT(AND(C3485=C3484,AA3485=AA3484+1))),INDEX(DATAS,AA3484+1),"")</f>
        <v/>
      </c>
      <c r="AI3484" s="51" t="str">
        <f aca="false">IF(AND(AC3484=1,AA3484&lt;1),IF(AND(C3485=C3484,AA3485=AA3484+1),IF(AC3485=1,"",INDEX(DATAS,AA3484+1)),INDEX(DATAS,AA3484+1)),"")</f>
        <v/>
      </c>
    </row>
    <row r="3485" customFormat="false" ht="15" hidden="false" customHeight="false" outlineLevel="0" collapsed="false">
      <c r="A3485" s="51" t="n">
        <v>46309</v>
      </c>
      <c r="B3485" s="0" t="n">
        <v>16</v>
      </c>
      <c r="C3485" s="0" t="n">
        <v>7929</v>
      </c>
      <c r="E3485" s="0" t="n">
        <v>0</v>
      </c>
      <c r="F3485" s="46" t="s">
        <v>1607</v>
      </c>
      <c r="I3485" s="46" t="s">
        <v>179</v>
      </c>
      <c r="U3485" s="0" t="n">
        <v>97</v>
      </c>
      <c r="V3485" s="0" t="n">
        <v>0</v>
      </c>
      <c r="X3485" s="46" t="n">
        <f aca="false">IF(I3485="Male",0,1)</f>
        <v>1</v>
      </c>
      <c r="Y3485" s="46" t="n">
        <f aca="false">IF(OR(I3485="DNB",I3485="Dry DNB"),1,0)</f>
        <v>0</v>
      </c>
      <c r="Z3485" s="0" t="str">
        <f aca="false">IF(ISNUMBER(W3485),A3485-W3485,"")</f>
        <v/>
      </c>
      <c r="AA3485" s="46" t="n">
        <f aca="false">MATCH(A3485,DATAS,0)</f>
        <v>1</v>
      </c>
      <c r="AB3485" s="46" t="n">
        <f aca="false">IF(AND(E3485&gt;0,OR(AND(B3485&gt;=1,B3485&lt;=6),B3485=10)),1,0)</f>
        <v>0</v>
      </c>
      <c r="AC3485" s="46" t="n">
        <f aca="false">IF(AND(E3485&gt;0,B3485=10),1,0)</f>
        <v>0</v>
      </c>
      <c r="AD3485" s="0" t="str">
        <f aca="false">IF(AND(C3484=C3485,AA3484=AA3485-1),AB3484,"")</f>
        <v/>
      </c>
      <c r="AE3485" s="0" t="str">
        <f aca="false">IF(AND(C3484=C3485,AA3484=AA3485-1),AC3484,"")</f>
        <v/>
      </c>
      <c r="AF3485" s="0" t="str">
        <f aca="false">IF(AA3485=1,"",IF(AND(AB3485=1,AD3485&lt;&gt;1),1,0))</f>
        <v/>
      </c>
      <c r="AG3485" s="0" t="str">
        <f aca="false">IF(AA3485=1,"",IF(AND(AC3485=1,AE3485&lt;&gt;1),1,0))</f>
        <v/>
      </c>
      <c r="AH3485" s="51" t="str">
        <f aca="false">IF(AND(E3485&gt;0,AA3485&lt;1,NOT(AND(C3486=C3485,AA3486=AA3485+1))),INDEX(DATAS,AA3485+1),"")</f>
        <v/>
      </c>
      <c r="AI3485" s="51" t="str">
        <f aca="false">IF(AND(AC3485=1,AA3485&lt;1),IF(AND(C3486=C3485,AA3486=AA3485+1),IF(AC3486=1,"",INDEX(DATAS,AA3485+1)),INDEX(DATAS,AA3485+1)),"")</f>
        <v/>
      </c>
    </row>
    <row r="3486" customFormat="false" ht="15" hidden="false" customHeight="false" outlineLevel="0" collapsed="false">
      <c r="A3486" s="51" t="n">
        <v>46309</v>
      </c>
      <c r="B3486" s="0" t="n">
        <v>16</v>
      </c>
      <c r="C3486" s="0" t="n">
        <v>7930</v>
      </c>
      <c r="E3486" s="0" t="n">
        <v>0</v>
      </c>
      <c r="F3486" s="46" t="s">
        <v>1608</v>
      </c>
      <c r="I3486" s="46" t="s">
        <v>179</v>
      </c>
      <c r="U3486" s="0" t="n">
        <v>96</v>
      </c>
      <c r="V3486" s="0" t="n">
        <v>0</v>
      </c>
      <c r="X3486" s="46" t="n">
        <f aca="false">IF(I3486="Male",0,1)</f>
        <v>1</v>
      </c>
      <c r="Y3486" s="46" t="n">
        <f aca="false">IF(OR(I3486="DNB",I3486="Dry DNB"),1,0)</f>
        <v>0</v>
      </c>
      <c r="Z3486" s="0" t="str">
        <f aca="false">IF(ISNUMBER(W3486),A3486-W3486,"")</f>
        <v/>
      </c>
      <c r="AA3486" s="46" t="n">
        <f aca="false">MATCH(A3486,DATAS,0)</f>
        <v>1</v>
      </c>
      <c r="AB3486" s="46" t="n">
        <f aca="false">IF(AND(E3486&gt;0,OR(AND(B3486&gt;=1,B3486&lt;=6),B3486=10)),1,0)</f>
        <v>0</v>
      </c>
      <c r="AC3486" s="46" t="n">
        <f aca="false">IF(AND(E3486&gt;0,B3486=10),1,0)</f>
        <v>0</v>
      </c>
      <c r="AD3486" s="0" t="str">
        <f aca="false">IF(AND(C3485=C3486,AA3485=AA3486-1),AB3485,"")</f>
        <v/>
      </c>
      <c r="AE3486" s="0" t="str">
        <f aca="false">IF(AND(C3485=C3486,AA3485=AA3486-1),AC3485,"")</f>
        <v/>
      </c>
      <c r="AF3486" s="0" t="str">
        <f aca="false">IF(AA3486=1,"",IF(AND(AB3486=1,AD3486&lt;&gt;1),1,0))</f>
        <v/>
      </c>
      <c r="AG3486" s="0" t="str">
        <f aca="false">IF(AA3486=1,"",IF(AND(AC3486=1,AE3486&lt;&gt;1),1,0))</f>
        <v/>
      </c>
      <c r="AH3486" s="51" t="str">
        <f aca="false">IF(AND(E3486&gt;0,AA3486&lt;1,NOT(AND(C3487=C3486,AA3487=AA3486+1))),INDEX(DATAS,AA3486+1),"")</f>
        <v/>
      </c>
      <c r="AI3486" s="51" t="str">
        <f aca="false">IF(AND(AC3486=1,AA3486&lt;1),IF(AND(C3487=C3486,AA3487=AA3486+1),IF(AC3487=1,"",INDEX(DATAS,AA3486+1)),INDEX(DATAS,AA3486+1)),"")</f>
        <v/>
      </c>
    </row>
    <row r="3487" customFormat="false" ht="15" hidden="false" customHeight="false" outlineLevel="0" collapsed="false">
      <c r="A3487" s="51" t="n">
        <v>46309</v>
      </c>
      <c r="B3487" s="0" t="n">
        <v>16</v>
      </c>
      <c r="C3487" s="0" t="n">
        <v>7931</v>
      </c>
      <c r="E3487" s="0" t="n">
        <v>0</v>
      </c>
      <c r="F3487" s="46" t="s">
        <v>1608</v>
      </c>
      <c r="I3487" s="46" t="s">
        <v>179</v>
      </c>
      <c r="U3487" s="0" t="n">
        <v>96</v>
      </c>
      <c r="V3487" s="0" t="n">
        <v>0</v>
      </c>
      <c r="X3487" s="46" t="n">
        <f aca="false">IF(I3487="Male",0,1)</f>
        <v>1</v>
      </c>
      <c r="Y3487" s="46" t="n">
        <f aca="false">IF(OR(I3487="DNB",I3487="Dry DNB"),1,0)</f>
        <v>0</v>
      </c>
      <c r="Z3487" s="0" t="str">
        <f aca="false">IF(ISNUMBER(W3487),A3487-W3487,"")</f>
        <v/>
      </c>
      <c r="AA3487" s="46" t="n">
        <f aca="false">MATCH(A3487,DATAS,0)</f>
        <v>1</v>
      </c>
      <c r="AB3487" s="46" t="n">
        <f aca="false">IF(AND(E3487&gt;0,OR(AND(B3487&gt;=1,B3487&lt;=6),B3487=10)),1,0)</f>
        <v>0</v>
      </c>
      <c r="AC3487" s="46" t="n">
        <f aca="false">IF(AND(E3487&gt;0,B3487=10),1,0)</f>
        <v>0</v>
      </c>
      <c r="AD3487" s="0" t="str">
        <f aca="false">IF(AND(C3486=C3487,AA3486=AA3487-1),AB3486,"")</f>
        <v/>
      </c>
      <c r="AE3487" s="0" t="str">
        <f aca="false">IF(AND(C3486=C3487,AA3486=AA3487-1),AC3486,"")</f>
        <v/>
      </c>
      <c r="AF3487" s="0" t="str">
        <f aca="false">IF(AA3487=1,"",IF(AND(AB3487=1,AD3487&lt;&gt;1),1,0))</f>
        <v/>
      </c>
      <c r="AG3487" s="0" t="str">
        <f aca="false">IF(AA3487=1,"",IF(AND(AC3487=1,AE3487&lt;&gt;1),1,0))</f>
        <v/>
      </c>
      <c r="AH3487" s="51" t="str">
        <f aca="false">IF(AND(E3487&gt;0,AA3487&lt;1,NOT(AND(C3488=C3487,AA3488=AA3487+1))),INDEX(DATAS,AA3487+1),"")</f>
        <v/>
      </c>
      <c r="AI3487" s="51" t="str">
        <f aca="false">IF(AND(AC3487=1,AA3487&lt;1),IF(AND(C3488=C3487,AA3488=AA3487+1),IF(AC3488=1,"",INDEX(DATAS,AA3487+1)),INDEX(DATAS,AA3487+1)),"")</f>
        <v/>
      </c>
    </row>
    <row r="3488" customFormat="false" ht="15" hidden="false" customHeight="false" outlineLevel="0" collapsed="false">
      <c r="A3488" s="51" t="n">
        <v>46309</v>
      </c>
      <c r="B3488" s="0" t="n">
        <v>16</v>
      </c>
      <c r="C3488" s="0" t="n">
        <v>7932</v>
      </c>
      <c r="E3488" s="0" t="n">
        <v>0</v>
      </c>
      <c r="F3488" s="46" t="s">
        <v>1608</v>
      </c>
      <c r="I3488" s="46" t="s">
        <v>179</v>
      </c>
      <c r="U3488" s="0" t="n">
        <v>96</v>
      </c>
      <c r="V3488" s="0" t="n">
        <v>0</v>
      </c>
      <c r="X3488" s="46" t="n">
        <f aca="false">IF(I3488="Male",0,1)</f>
        <v>1</v>
      </c>
      <c r="Y3488" s="46" t="n">
        <f aca="false">IF(OR(I3488="DNB",I3488="Dry DNB"),1,0)</f>
        <v>0</v>
      </c>
      <c r="Z3488" s="0" t="str">
        <f aca="false">IF(ISNUMBER(W3488),A3488-W3488,"")</f>
        <v/>
      </c>
      <c r="AA3488" s="46" t="n">
        <f aca="false">MATCH(A3488,DATAS,0)</f>
        <v>1</v>
      </c>
      <c r="AB3488" s="46" t="n">
        <f aca="false">IF(AND(E3488&gt;0,OR(AND(B3488&gt;=1,B3488&lt;=6),B3488=10)),1,0)</f>
        <v>0</v>
      </c>
      <c r="AC3488" s="46" t="n">
        <f aca="false">IF(AND(E3488&gt;0,B3488=10),1,0)</f>
        <v>0</v>
      </c>
      <c r="AD3488" s="0" t="str">
        <f aca="false">IF(AND(C3487=C3488,AA3487=AA3488-1),AB3487,"")</f>
        <v/>
      </c>
      <c r="AE3488" s="0" t="str">
        <f aca="false">IF(AND(C3487=C3488,AA3487=AA3488-1),AC3487,"")</f>
        <v/>
      </c>
      <c r="AF3488" s="0" t="str">
        <f aca="false">IF(AA3488=1,"",IF(AND(AB3488=1,AD3488&lt;&gt;1),1,0))</f>
        <v/>
      </c>
      <c r="AG3488" s="0" t="str">
        <f aca="false">IF(AA3488=1,"",IF(AND(AC3488=1,AE3488&lt;&gt;1),1,0))</f>
        <v/>
      </c>
      <c r="AH3488" s="51" t="str">
        <f aca="false">IF(AND(E3488&gt;0,AA3488&lt;1,NOT(AND(C3489=C3488,AA3489=AA3488+1))),INDEX(DATAS,AA3488+1),"")</f>
        <v/>
      </c>
      <c r="AI3488" s="51" t="str">
        <f aca="false">IF(AND(AC3488=1,AA3488&lt;1),IF(AND(C3489=C3488,AA3489=AA3488+1),IF(AC3489=1,"",INDEX(DATAS,AA3488+1)),INDEX(DATAS,AA3488+1)),"")</f>
        <v/>
      </c>
    </row>
    <row r="3489" customFormat="false" ht="15" hidden="false" customHeight="false" outlineLevel="0" collapsed="false">
      <c r="A3489" s="51" t="n">
        <v>46309</v>
      </c>
      <c r="B3489" s="0" t="n">
        <v>16</v>
      </c>
      <c r="C3489" s="0" t="n">
        <v>7933</v>
      </c>
      <c r="E3489" s="0" t="n">
        <v>0</v>
      </c>
      <c r="F3489" s="46" t="s">
        <v>1609</v>
      </c>
      <c r="I3489" s="46" t="s">
        <v>179</v>
      </c>
      <c r="U3489" s="0" t="n">
        <v>95</v>
      </c>
      <c r="V3489" s="0" t="n">
        <v>0</v>
      </c>
      <c r="X3489" s="46" t="n">
        <f aca="false">IF(I3489="Male",0,1)</f>
        <v>1</v>
      </c>
      <c r="Y3489" s="46" t="n">
        <f aca="false">IF(OR(I3489="DNB",I3489="Dry DNB"),1,0)</f>
        <v>0</v>
      </c>
      <c r="Z3489" s="0" t="str">
        <f aca="false">IF(ISNUMBER(W3489),A3489-W3489,"")</f>
        <v/>
      </c>
      <c r="AA3489" s="46" t="n">
        <f aca="false">MATCH(A3489,DATAS,0)</f>
        <v>1</v>
      </c>
      <c r="AB3489" s="46" t="n">
        <f aca="false">IF(AND(E3489&gt;0,OR(AND(B3489&gt;=1,B3489&lt;=6),B3489=10)),1,0)</f>
        <v>0</v>
      </c>
      <c r="AC3489" s="46" t="n">
        <f aca="false">IF(AND(E3489&gt;0,B3489=10),1,0)</f>
        <v>0</v>
      </c>
      <c r="AD3489" s="0" t="str">
        <f aca="false">IF(AND(C3488=C3489,AA3488=AA3489-1),AB3488,"")</f>
        <v/>
      </c>
      <c r="AE3489" s="0" t="str">
        <f aca="false">IF(AND(C3488=C3489,AA3488=AA3489-1),AC3488,"")</f>
        <v/>
      </c>
      <c r="AF3489" s="0" t="str">
        <f aca="false">IF(AA3489=1,"",IF(AND(AB3489=1,AD3489&lt;&gt;1),1,0))</f>
        <v/>
      </c>
      <c r="AG3489" s="0" t="str">
        <f aca="false">IF(AA3489=1,"",IF(AND(AC3489=1,AE3489&lt;&gt;1),1,0))</f>
        <v/>
      </c>
      <c r="AH3489" s="51" t="str">
        <f aca="false">IF(AND(E3489&gt;0,AA3489&lt;1,NOT(AND(C3490=C3489,AA3490=AA3489+1))),INDEX(DATAS,AA3489+1),"")</f>
        <v/>
      </c>
      <c r="AI3489" s="51" t="str">
        <f aca="false">IF(AND(AC3489=1,AA3489&lt;1),IF(AND(C3490=C3489,AA3490=AA3489+1),IF(AC3490=1,"",INDEX(DATAS,AA3489+1)),INDEX(DATAS,AA3489+1)),"")</f>
        <v/>
      </c>
    </row>
    <row r="3490" customFormat="false" ht="15" hidden="false" customHeight="false" outlineLevel="0" collapsed="false">
      <c r="A3490" s="51" t="n">
        <v>46309</v>
      </c>
      <c r="B3490" s="0" t="n">
        <v>16</v>
      </c>
      <c r="C3490" s="0" t="n">
        <v>7934</v>
      </c>
      <c r="E3490" s="0" t="n">
        <v>0</v>
      </c>
      <c r="F3490" s="46" t="s">
        <v>1609</v>
      </c>
      <c r="I3490" s="46" t="s">
        <v>179</v>
      </c>
      <c r="U3490" s="0" t="n">
        <v>95</v>
      </c>
      <c r="V3490" s="0" t="n">
        <v>0</v>
      </c>
      <c r="X3490" s="46" t="n">
        <f aca="false">IF(I3490="Male",0,1)</f>
        <v>1</v>
      </c>
      <c r="Y3490" s="46" t="n">
        <f aca="false">IF(OR(I3490="DNB",I3490="Dry DNB"),1,0)</f>
        <v>0</v>
      </c>
      <c r="Z3490" s="0" t="str">
        <f aca="false">IF(ISNUMBER(W3490),A3490-W3490,"")</f>
        <v/>
      </c>
      <c r="AA3490" s="46" t="n">
        <f aca="false">MATCH(A3490,DATAS,0)</f>
        <v>1</v>
      </c>
      <c r="AB3490" s="46" t="n">
        <f aca="false">IF(AND(E3490&gt;0,OR(AND(B3490&gt;=1,B3490&lt;=6),B3490=10)),1,0)</f>
        <v>0</v>
      </c>
      <c r="AC3490" s="46" t="n">
        <f aca="false">IF(AND(E3490&gt;0,B3490=10),1,0)</f>
        <v>0</v>
      </c>
      <c r="AD3490" s="0" t="str">
        <f aca="false">IF(AND(C3489=C3490,AA3489=AA3490-1),AB3489,"")</f>
        <v/>
      </c>
      <c r="AE3490" s="0" t="str">
        <f aca="false">IF(AND(C3489=C3490,AA3489=AA3490-1),AC3489,"")</f>
        <v/>
      </c>
      <c r="AF3490" s="0" t="str">
        <f aca="false">IF(AA3490=1,"",IF(AND(AB3490=1,AD3490&lt;&gt;1),1,0))</f>
        <v/>
      </c>
      <c r="AG3490" s="0" t="str">
        <f aca="false">IF(AA3490=1,"",IF(AND(AC3490=1,AE3490&lt;&gt;1),1,0))</f>
        <v/>
      </c>
      <c r="AH3490" s="51" t="str">
        <f aca="false">IF(AND(E3490&gt;0,AA3490&lt;1,NOT(AND(C3491=C3490,AA3491=AA3490+1))),INDEX(DATAS,AA3490+1),"")</f>
        <v/>
      </c>
      <c r="AI3490" s="51" t="str">
        <f aca="false">IF(AND(AC3490=1,AA3490&lt;1),IF(AND(C3491=C3490,AA3491=AA3490+1),IF(AC3491=1,"",INDEX(DATAS,AA3490+1)),INDEX(DATAS,AA3490+1)),"")</f>
        <v/>
      </c>
    </row>
    <row r="3491" customFormat="false" ht="15" hidden="false" customHeight="false" outlineLevel="0" collapsed="false">
      <c r="A3491" s="51" t="n">
        <v>46309</v>
      </c>
      <c r="B3491" s="0" t="n">
        <v>16</v>
      </c>
      <c r="C3491" s="0" t="n">
        <v>7935</v>
      </c>
      <c r="E3491" s="0" t="n">
        <v>0</v>
      </c>
      <c r="F3491" s="46" t="s">
        <v>1610</v>
      </c>
      <c r="I3491" s="46" t="s">
        <v>179</v>
      </c>
      <c r="U3491" s="0" t="n">
        <v>94</v>
      </c>
      <c r="V3491" s="0" t="n">
        <v>0</v>
      </c>
      <c r="X3491" s="46" t="n">
        <f aca="false">IF(I3491="Male",0,1)</f>
        <v>1</v>
      </c>
      <c r="Y3491" s="46" t="n">
        <f aca="false">IF(OR(I3491="DNB",I3491="Dry DNB"),1,0)</f>
        <v>0</v>
      </c>
      <c r="Z3491" s="0" t="str">
        <f aca="false">IF(ISNUMBER(W3491),A3491-W3491,"")</f>
        <v/>
      </c>
      <c r="AA3491" s="46" t="n">
        <f aca="false">MATCH(A3491,DATAS,0)</f>
        <v>1</v>
      </c>
      <c r="AB3491" s="46" t="n">
        <f aca="false">IF(AND(E3491&gt;0,OR(AND(B3491&gt;=1,B3491&lt;=6),B3491=10)),1,0)</f>
        <v>0</v>
      </c>
      <c r="AC3491" s="46" t="n">
        <f aca="false">IF(AND(E3491&gt;0,B3491=10),1,0)</f>
        <v>0</v>
      </c>
      <c r="AD3491" s="0" t="str">
        <f aca="false">IF(AND(C3490=C3491,AA3490=AA3491-1),AB3490,"")</f>
        <v/>
      </c>
      <c r="AE3491" s="0" t="str">
        <f aca="false">IF(AND(C3490=C3491,AA3490=AA3491-1),AC3490,"")</f>
        <v/>
      </c>
      <c r="AF3491" s="0" t="str">
        <f aca="false">IF(AA3491=1,"",IF(AND(AB3491=1,AD3491&lt;&gt;1),1,0))</f>
        <v/>
      </c>
      <c r="AG3491" s="0" t="str">
        <f aca="false">IF(AA3491=1,"",IF(AND(AC3491=1,AE3491&lt;&gt;1),1,0))</f>
        <v/>
      </c>
      <c r="AH3491" s="51" t="str">
        <f aca="false">IF(AND(E3491&gt;0,AA3491&lt;1,NOT(AND(C3492=C3491,AA3492=AA3491+1))),INDEX(DATAS,AA3491+1),"")</f>
        <v/>
      </c>
      <c r="AI3491" s="51" t="str">
        <f aca="false">IF(AND(AC3491=1,AA3491&lt;1),IF(AND(C3492=C3491,AA3492=AA3491+1),IF(AC3492=1,"",INDEX(DATAS,AA3491+1)),INDEX(DATAS,AA3491+1)),"")</f>
        <v/>
      </c>
    </row>
    <row r="3492" customFormat="false" ht="15" hidden="false" customHeight="false" outlineLevel="0" collapsed="false">
      <c r="A3492" s="51" t="n">
        <v>46309</v>
      </c>
      <c r="B3492" s="0" t="n">
        <v>16</v>
      </c>
      <c r="C3492" s="0" t="n">
        <v>7936</v>
      </c>
      <c r="E3492" s="0" t="n">
        <v>0</v>
      </c>
      <c r="F3492" s="46" t="s">
        <v>1610</v>
      </c>
      <c r="I3492" s="46" t="s">
        <v>179</v>
      </c>
      <c r="U3492" s="0" t="n">
        <v>94</v>
      </c>
      <c r="V3492" s="0" t="n">
        <v>0</v>
      </c>
      <c r="X3492" s="46" t="n">
        <f aca="false">IF(I3492="Male",0,1)</f>
        <v>1</v>
      </c>
      <c r="Y3492" s="46" t="n">
        <f aca="false">IF(OR(I3492="DNB",I3492="Dry DNB"),1,0)</f>
        <v>0</v>
      </c>
      <c r="Z3492" s="0" t="str">
        <f aca="false">IF(ISNUMBER(W3492),A3492-W3492,"")</f>
        <v/>
      </c>
      <c r="AA3492" s="46" t="n">
        <f aca="false">MATCH(A3492,DATAS,0)</f>
        <v>1</v>
      </c>
      <c r="AB3492" s="46" t="n">
        <f aca="false">IF(AND(E3492&gt;0,OR(AND(B3492&gt;=1,B3492&lt;=6),B3492=10)),1,0)</f>
        <v>0</v>
      </c>
      <c r="AC3492" s="46" t="n">
        <f aca="false">IF(AND(E3492&gt;0,B3492=10),1,0)</f>
        <v>0</v>
      </c>
      <c r="AD3492" s="0" t="str">
        <f aca="false">IF(AND(C3491=C3492,AA3491=AA3492-1),AB3491,"")</f>
        <v/>
      </c>
      <c r="AE3492" s="0" t="str">
        <f aca="false">IF(AND(C3491=C3492,AA3491=AA3492-1),AC3491,"")</f>
        <v/>
      </c>
      <c r="AF3492" s="0" t="str">
        <f aca="false">IF(AA3492=1,"",IF(AND(AB3492=1,AD3492&lt;&gt;1),1,0))</f>
        <v/>
      </c>
      <c r="AG3492" s="0" t="str">
        <f aca="false">IF(AA3492=1,"",IF(AND(AC3492=1,AE3492&lt;&gt;1),1,0))</f>
        <v/>
      </c>
      <c r="AH3492" s="51" t="str">
        <f aca="false">IF(AND(E3492&gt;0,AA3492&lt;1,NOT(AND(C3493=C3492,AA3493=AA3492+1))),INDEX(DATAS,AA3492+1),"")</f>
        <v/>
      </c>
      <c r="AI3492" s="51" t="str">
        <f aca="false">IF(AND(AC3492=1,AA3492&lt;1),IF(AND(C3493=C3492,AA3493=AA3492+1),IF(AC3493=1,"",INDEX(DATAS,AA3492+1)),INDEX(DATAS,AA3492+1)),"")</f>
        <v/>
      </c>
    </row>
    <row r="3493" customFormat="false" ht="15" hidden="false" customHeight="false" outlineLevel="0" collapsed="false">
      <c r="A3493" s="51" t="n">
        <v>46309</v>
      </c>
      <c r="B3493" s="0" t="n">
        <v>16</v>
      </c>
      <c r="C3493" s="0" t="n">
        <v>7937</v>
      </c>
      <c r="E3493" s="0" t="n">
        <v>0</v>
      </c>
      <c r="F3493" s="46" t="s">
        <v>1611</v>
      </c>
      <c r="I3493" s="46" t="s">
        <v>179</v>
      </c>
      <c r="U3493" s="0" t="n">
        <v>93</v>
      </c>
      <c r="V3493" s="0" t="n">
        <v>0</v>
      </c>
      <c r="X3493" s="46" t="n">
        <f aca="false">IF(I3493="Male",0,1)</f>
        <v>1</v>
      </c>
      <c r="Y3493" s="46" t="n">
        <f aca="false">IF(OR(I3493="DNB",I3493="Dry DNB"),1,0)</f>
        <v>0</v>
      </c>
      <c r="Z3493" s="0" t="str">
        <f aca="false">IF(ISNUMBER(W3493),A3493-W3493,"")</f>
        <v/>
      </c>
      <c r="AA3493" s="46" t="n">
        <f aca="false">MATCH(A3493,DATAS,0)</f>
        <v>1</v>
      </c>
      <c r="AB3493" s="46" t="n">
        <f aca="false">IF(AND(E3493&gt;0,OR(AND(B3493&gt;=1,B3493&lt;=6),B3493=10)),1,0)</f>
        <v>0</v>
      </c>
      <c r="AC3493" s="46" t="n">
        <f aca="false">IF(AND(E3493&gt;0,B3493=10),1,0)</f>
        <v>0</v>
      </c>
      <c r="AD3493" s="0" t="str">
        <f aca="false">IF(AND(C3492=C3493,AA3492=AA3493-1),AB3492,"")</f>
        <v/>
      </c>
      <c r="AE3493" s="0" t="str">
        <f aca="false">IF(AND(C3492=C3493,AA3492=AA3493-1),AC3492,"")</f>
        <v/>
      </c>
      <c r="AF3493" s="0" t="str">
        <f aca="false">IF(AA3493=1,"",IF(AND(AB3493=1,AD3493&lt;&gt;1),1,0))</f>
        <v/>
      </c>
      <c r="AG3493" s="0" t="str">
        <f aca="false">IF(AA3493=1,"",IF(AND(AC3493=1,AE3493&lt;&gt;1),1,0))</f>
        <v/>
      </c>
      <c r="AH3493" s="51" t="str">
        <f aca="false">IF(AND(E3493&gt;0,AA3493&lt;1,NOT(AND(C3494=C3493,AA3494=AA3493+1))),INDEX(DATAS,AA3493+1),"")</f>
        <v/>
      </c>
      <c r="AI3493" s="51" t="str">
        <f aca="false">IF(AND(AC3493=1,AA3493&lt;1),IF(AND(C3494=C3493,AA3494=AA3493+1),IF(AC3494=1,"",INDEX(DATAS,AA3493+1)),INDEX(DATAS,AA3493+1)),"")</f>
        <v/>
      </c>
    </row>
    <row r="3494" customFormat="false" ht="15" hidden="false" customHeight="false" outlineLevel="0" collapsed="false">
      <c r="A3494" s="51" t="n">
        <v>46309</v>
      </c>
      <c r="B3494" s="0" t="n">
        <v>16</v>
      </c>
      <c r="C3494" s="0" t="n">
        <v>7938</v>
      </c>
      <c r="E3494" s="0" t="n">
        <v>0</v>
      </c>
      <c r="F3494" s="46" t="s">
        <v>1611</v>
      </c>
      <c r="I3494" s="46" t="s">
        <v>179</v>
      </c>
      <c r="U3494" s="0" t="n">
        <v>93</v>
      </c>
      <c r="V3494" s="0" t="n">
        <v>0</v>
      </c>
      <c r="X3494" s="46" t="n">
        <f aca="false">IF(I3494="Male",0,1)</f>
        <v>1</v>
      </c>
      <c r="Y3494" s="46" t="n">
        <f aca="false">IF(OR(I3494="DNB",I3494="Dry DNB"),1,0)</f>
        <v>0</v>
      </c>
      <c r="Z3494" s="0" t="str">
        <f aca="false">IF(ISNUMBER(W3494),A3494-W3494,"")</f>
        <v/>
      </c>
      <c r="AA3494" s="46" t="n">
        <f aca="false">MATCH(A3494,DATAS,0)</f>
        <v>1</v>
      </c>
      <c r="AB3494" s="46" t="n">
        <f aca="false">IF(AND(E3494&gt;0,OR(AND(B3494&gt;=1,B3494&lt;=6),B3494=10)),1,0)</f>
        <v>0</v>
      </c>
      <c r="AC3494" s="46" t="n">
        <f aca="false">IF(AND(E3494&gt;0,B3494=10),1,0)</f>
        <v>0</v>
      </c>
      <c r="AD3494" s="0" t="str">
        <f aca="false">IF(AND(C3493=C3494,AA3493=AA3494-1),AB3493,"")</f>
        <v/>
      </c>
      <c r="AE3494" s="0" t="str">
        <f aca="false">IF(AND(C3493=C3494,AA3493=AA3494-1),AC3493,"")</f>
        <v/>
      </c>
      <c r="AF3494" s="0" t="str">
        <f aca="false">IF(AA3494=1,"",IF(AND(AB3494=1,AD3494&lt;&gt;1),1,0))</f>
        <v/>
      </c>
      <c r="AG3494" s="0" t="str">
        <f aca="false">IF(AA3494=1,"",IF(AND(AC3494=1,AE3494&lt;&gt;1),1,0))</f>
        <v/>
      </c>
      <c r="AH3494" s="51" t="str">
        <f aca="false">IF(AND(E3494&gt;0,AA3494&lt;1,NOT(AND(C3495=C3494,AA3495=AA3494+1))),INDEX(DATAS,AA3494+1),"")</f>
        <v/>
      </c>
      <c r="AI3494" s="51" t="str">
        <f aca="false">IF(AND(AC3494=1,AA3494&lt;1),IF(AND(C3495=C3494,AA3495=AA3494+1),IF(AC3495=1,"",INDEX(DATAS,AA3494+1)),INDEX(DATAS,AA3494+1)),"")</f>
        <v/>
      </c>
    </row>
    <row r="3495" customFormat="false" ht="15" hidden="false" customHeight="false" outlineLevel="0" collapsed="false">
      <c r="A3495" s="51" t="n">
        <v>46309</v>
      </c>
      <c r="B3495" s="0" t="n">
        <v>16</v>
      </c>
      <c r="C3495" s="0" t="n">
        <v>7939</v>
      </c>
      <c r="E3495" s="0" t="n">
        <v>0</v>
      </c>
      <c r="F3495" s="46" t="s">
        <v>1611</v>
      </c>
      <c r="I3495" s="46" t="s">
        <v>179</v>
      </c>
      <c r="U3495" s="0" t="n">
        <v>93</v>
      </c>
      <c r="V3495" s="0" t="n">
        <v>0</v>
      </c>
      <c r="X3495" s="46" t="n">
        <f aca="false">IF(I3495="Male",0,1)</f>
        <v>1</v>
      </c>
      <c r="Y3495" s="46" t="n">
        <f aca="false">IF(OR(I3495="DNB",I3495="Dry DNB"),1,0)</f>
        <v>0</v>
      </c>
      <c r="Z3495" s="0" t="str">
        <f aca="false">IF(ISNUMBER(W3495),A3495-W3495,"")</f>
        <v/>
      </c>
      <c r="AA3495" s="46" t="n">
        <f aca="false">MATCH(A3495,DATAS,0)</f>
        <v>1</v>
      </c>
      <c r="AB3495" s="46" t="n">
        <f aca="false">IF(AND(E3495&gt;0,OR(AND(B3495&gt;=1,B3495&lt;=6),B3495=10)),1,0)</f>
        <v>0</v>
      </c>
      <c r="AC3495" s="46" t="n">
        <f aca="false">IF(AND(E3495&gt;0,B3495=10),1,0)</f>
        <v>0</v>
      </c>
      <c r="AD3495" s="0" t="str">
        <f aca="false">IF(AND(C3494=C3495,AA3494=AA3495-1),AB3494,"")</f>
        <v/>
      </c>
      <c r="AE3495" s="0" t="str">
        <f aca="false">IF(AND(C3494=C3495,AA3494=AA3495-1),AC3494,"")</f>
        <v/>
      </c>
      <c r="AF3495" s="0" t="str">
        <f aca="false">IF(AA3495=1,"",IF(AND(AB3495=1,AD3495&lt;&gt;1),1,0))</f>
        <v/>
      </c>
      <c r="AG3495" s="0" t="str">
        <f aca="false">IF(AA3495=1,"",IF(AND(AC3495=1,AE3495&lt;&gt;1),1,0))</f>
        <v/>
      </c>
      <c r="AH3495" s="51" t="str">
        <f aca="false">IF(AND(E3495&gt;0,AA3495&lt;1,NOT(AND(C3496=C3495,AA3496=AA3495+1))),INDEX(DATAS,AA3495+1),"")</f>
        <v/>
      </c>
      <c r="AI3495" s="51" t="str">
        <f aca="false">IF(AND(AC3495=1,AA3495&lt;1),IF(AND(C3496=C3495,AA3496=AA3495+1),IF(AC3496=1,"",INDEX(DATAS,AA3495+1)),INDEX(DATAS,AA3495+1)),"")</f>
        <v/>
      </c>
    </row>
    <row r="3496" customFormat="false" ht="15" hidden="false" customHeight="false" outlineLevel="0" collapsed="false">
      <c r="A3496" s="51" t="n">
        <v>46309</v>
      </c>
      <c r="B3496" s="0" t="n">
        <v>16</v>
      </c>
      <c r="C3496" s="0" t="n">
        <v>7940</v>
      </c>
      <c r="E3496" s="0" t="n">
        <v>0</v>
      </c>
      <c r="F3496" s="46" t="s">
        <v>1612</v>
      </c>
      <c r="I3496" s="46" t="s">
        <v>179</v>
      </c>
      <c r="U3496" s="0" t="n">
        <v>92</v>
      </c>
      <c r="V3496" s="0" t="n">
        <v>0</v>
      </c>
      <c r="X3496" s="46" t="n">
        <f aca="false">IF(I3496="Male",0,1)</f>
        <v>1</v>
      </c>
      <c r="Y3496" s="46" t="n">
        <f aca="false">IF(OR(I3496="DNB",I3496="Dry DNB"),1,0)</f>
        <v>0</v>
      </c>
      <c r="Z3496" s="0" t="str">
        <f aca="false">IF(ISNUMBER(W3496),A3496-W3496,"")</f>
        <v/>
      </c>
      <c r="AA3496" s="46" t="n">
        <f aca="false">MATCH(A3496,DATAS,0)</f>
        <v>1</v>
      </c>
      <c r="AB3496" s="46" t="n">
        <f aca="false">IF(AND(E3496&gt;0,OR(AND(B3496&gt;=1,B3496&lt;=6),B3496=10)),1,0)</f>
        <v>0</v>
      </c>
      <c r="AC3496" s="46" t="n">
        <f aca="false">IF(AND(E3496&gt;0,B3496=10),1,0)</f>
        <v>0</v>
      </c>
      <c r="AD3496" s="0" t="str">
        <f aca="false">IF(AND(C3495=C3496,AA3495=AA3496-1),AB3495,"")</f>
        <v/>
      </c>
      <c r="AE3496" s="0" t="str">
        <f aca="false">IF(AND(C3495=C3496,AA3495=AA3496-1),AC3495,"")</f>
        <v/>
      </c>
      <c r="AF3496" s="0" t="str">
        <f aca="false">IF(AA3496=1,"",IF(AND(AB3496=1,AD3496&lt;&gt;1),1,0))</f>
        <v/>
      </c>
      <c r="AG3496" s="0" t="str">
        <f aca="false">IF(AA3496=1,"",IF(AND(AC3496=1,AE3496&lt;&gt;1),1,0))</f>
        <v/>
      </c>
      <c r="AH3496" s="51" t="str">
        <f aca="false">IF(AND(E3496&gt;0,AA3496&lt;1,NOT(AND(C3497=C3496,AA3497=AA3496+1))),INDEX(DATAS,AA3496+1),"")</f>
        <v/>
      </c>
      <c r="AI3496" s="51" t="str">
        <f aca="false">IF(AND(AC3496=1,AA3496&lt;1),IF(AND(C3497=C3496,AA3497=AA3496+1),IF(AC3497=1,"",INDEX(DATAS,AA3496+1)),INDEX(DATAS,AA3496+1)),"")</f>
        <v/>
      </c>
    </row>
    <row r="3497" customFormat="false" ht="15" hidden="false" customHeight="false" outlineLevel="0" collapsed="false">
      <c r="A3497" s="51" t="n">
        <v>46309</v>
      </c>
      <c r="B3497" s="0" t="n">
        <v>16</v>
      </c>
      <c r="C3497" s="0" t="n">
        <v>7941</v>
      </c>
      <c r="E3497" s="0" t="n">
        <v>0</v>
      </c>
      <c r="F3497" s="46" t="s">
        <v>1612</v>
      </c>
      <c r="I3497" s="46" t="s">
        <v>179</v>
      </c>
      <c r="U3497" s="0" t="n">
        <v>92</v>
      </c>
      <c r="V3497" s="0" t="n">
        <v>0</v>
      </c>
      <c r="X3497" s="46" t="n">
        <f aca="false">IF(I3497="Male",0,1)</f>
        <v>1</v>
      </c>
      <c r="Y3497" s="46" t="n">
        <f aca="false">IF(OR(I3497="DNB",I3497="Dry DNB"),1,0)</f>
        <v>0</v>
      </c>
      <c r="Z3497" s="0" t="str">
        <f aca="false">IF(ISNUMBER(W3497),A3497-W3497,"")</f>
        <v/>
      </c>
      <c r="AA3497" s="46" t="n">
        <f aca="false">MATCH(A3497,DATAS,0)</f>
        <v>1</v>
      </c>
      <c r="AB3497" s="46" t="n">
        <f aca="false">IF(AND(E3497&gt;0,OR(AND(B3497&gt;=1,B3497&lt;=6),B3497=10)),1,0)</f>
        <v>0</v>
      </c>
      <c r="AC3497" s="46" t="n">
        <f aca="false">IF(AND(E3497&gt;0,B3497=10),1,0)</f>
        <v>0</v>
      </c>
      <c r="AD3497" s="0" t="str">
        <f aca="false">IF(AND(C3496=C3497,AA3496=AA3497-1),AB3496,"")</f>
        <v/>
      </c>
      <c r="AE3497" s="0" t="str">
        <f aca="false">IF(AND(C3496=C3497,AA3496=AA3497-1),AC3496,"")</f>
        <v/>
      </c>
      <c r="AF3497" s="0" t="str">
        <f aca="false">IF(AA3497=1,"",IF(AND(AB3497=1,AD3497&lt;&gt;1),1,0))</f>
        <v/>
      </c>
      <c r="AG3497" s="0" t="str">
        <f aca="false">IF(AA3497=1,"",IF(AND(AC3497=1,AE3497&lt;&gt;1),1,0))</f>
        <v/>
      </c>
      <c r="AH3497" s="51" t="str">
        <f aca="false">IF(AND(E3497&gt;0,AA3497&lt;1,NOT(AND(C3498=C3497,AA3498=AA3497+1))),INDEX(DATAS,AA3497+1),"")</f>
        <v/>
      </c>
      <c r="AI3497" s="51" t="str">
        <f aca="false">IF(AND(AC3497=1,AA3497&lt;1),IF(AND(C3498=C3497,AA3498=AA3497+1),IF(AC3498=1,"",INDEX(DATAS,AA3497+1)),INDEX(DATAS,AA3497+1)),"")</f>
        <v/>
      </c>
    </row>
    <row r="3498" customFormat="false" ht="15" hidden="false" customHeight="false" outlineLevel="0" collapsed="false">
      <c r="A3498" s="51" t="n">
        <v>46309</v>
      </c>
      <c r="B3498" s="0" t="n">
        <v>16</v>
      </c>
      <c r="C3498" s="0" t="n">
        <v>7942</v>
      </c>
      <c r="E3498" s="0" t="n">
        <v>0</v>
      </c>
      <c r="F3498" s="46" t="s">
        <v>1613</v>
      </c>
      <c r="I3498" s="46" t="s">
        <v>179</v>
      </c>
      <c r="U3498" s="0" t="n">
        <v>91</v>
      </c>
      <c r="V3498" s="0" t="n">
        <v>0</v>
      </c>
      <c r="X3498" s="46" t="n">
        <f aca="false">IF(I3498="Male",0,1)</f>
        <v>1</v>
      </c>
      <c r="Y3498" s="46" t="n">
        <f aca="false">IF(OR(I3498="DNB",I3498="Dry DNB"),1,0)</f>
        <v>0</v>
      </c>
      <c r="Z3498" s="0" t="str">
        <f aca="false">IF(ISNUMBER(W3498),A3498-W3498,"")</f>
        <v/>
      </c>
      <c r="AA3498" s="46" t="n">
        <f aca="false">MATCH(A3498,DATAS,0)</f>
        <v>1</v>
      </c>
      <c r="AB3498" s="46" t="n">
        <f aca="false">IF(AND(E3498&gt;0,OR(AND(B3498&gt;=1,B3498&lt;=6),B3498=10)),1,0)</f>
        <v>0</v>
      </c>
      <c r="AC3498" s="46" t="n">
        <f aca="false">IF(AND(E3498&gt;0,B3498=10),1,0)</f>
        <v>0</v>
      </c>
      <c r="AD3498" s="0" t="str">
        <f aca="false">IF(AND(C3497=C3498,AA3497=AA3498-1),AB3497,"")</f>
        <v/>
      </c>
      <c r="AE3498" s="0" t="str">
        <f aca="false">IF(AND(C3497=C3498,AA3497=AA3498-1),AC3497,"")</f>
        <v/>
      </c>
      <c r="AF3498" s="0" t="str">
        <f aca="false">IF(AA3498=1,"",IF(AND(AB3498=1,AD3498&lt;&gt;1),1,0))</f>
        <v/>
      </c>
      <c r="AG3498" s="0" t="str">
        <f aca="false">IF(AA3498=1,"",IF(AND(AC3498=1,AE3498&lt;&gt;1),1,0))</f>
        <v/>
      </c>
      <c r="AH3498" s="51" t="str">
        <f aca="false">IF(AND(E3498&gt;0,AA3498&lt;1,NOT(AND(C3499=C3498,AA3499=AA3498+1))),INDEX(DATAS,AA3498+1),"")</f>
        <v/>
      </c>
      <c r="AI3498" s="51" t="str">
        <f aca="false">IF(AND(AC3498=1,AA3498&lt;1),IF(AND(C3499=C3498,AA3499=AA3498+1),IF(AC3499=1,"",INDEX(DATAS,AA3498+1)),INDEX(DATAS,AA3498+1)),"")</f>
        <v/>
      </c>
    </row>
    <row r="3499" customFormat="false" ht="15" hidden="false" customHeight="false" outlineLevel="0" collapsed="false">
      <c r="A3499" s="51" t="n">
        <v>46309</v>
      </c>
      <c r="B3499" s="0" t="n">
        <v>16</v>
      </c>
      <c r="C3499" s="0" t="n">
        <v>7943</v>
      </c>
      <c r="E3499" s="0" t="n">
        <v>0</v>
      </c>
      <c r="F3499" s="46" t="s">
        <v>1614</v>
      </c>
      <c r="I3499" s="46" t="s">
        <v>179</v>
      </c>
      <c r="U3499" s="0" t="n">
        <v>90</v>
      </c>
      <c r="V3499" s="0" t="n">
        <v>0</v>
      </c>
      <c r="X3499" s="46" t="n">
        <f aca="false">IF(I3499="Male",0,1)</f>
        <v>1</v>
      </c>
      <c r="Y3499" s="46" t="n">
        <f aca="false">IF(OR(I3499="DNB",I3499="Dry DNB"),1,0)</f>
        <v>0</v>
      </c>
      <c r="Z3499" s="0" t="str">
        <f aca="false">IF(ISNUMBER(W3499),A3499-W3499,"")</f>
        <v/>
      </c>
      <c r="AA3499" s="46" t="n">
        <f aca="false">MATCH(A3499,DATAS,0)</f>
        <v>1</v>
      </c>
      <c r="AB3499" s="46" t="n">
        <f aca="false">IF(AND(E3499&gt;0,OR(AND(B3499&gt;=1,B3499&lt;=6),B3499=10)),1,0)</f>
        <v>0</v>
      </c>
      <c r="AC3499" s="46" t="n">
        <f aca="false">IF(AND(E3499&gt;0,B3499=10),1,0)</f>
        <v>0</v>
      </c>
      <c r="AD3499" s="0" t="str">
        <f aca="false">IF(AND(C3498=C3499,AA3498=AA3499-1),AB3498,"")</f>
        <v/>
      </c>
      <c r="AE3499" s="0" t="str">
        <f aca="false">IF(AND(C3498=C3499,AA3498=AA3499-1),AC3498,"")</f>
        <v/>
      </c>
      <c r="AF3499" s="0" t="str">
        <f aca="false">IF(AA3499=1,"",IF(AND(AB3499=1,AD3499&lt;&gt;1),1,0))</f>
        <v/>
      </c>
      <c r="AG3499" s="0" t="str">
        <f aca="false">IF(AA3499=1,"",IF(AND(AC3499=1,AE3499&lt;&gt;1),1,0))</f>
        <v/>
      </c>
      <c r="AH3499" s="51" t="str">
        <f aca="false">IF(AND(E3499&gt;0,AA3499&lt;1,NOT(AND(C3500=C3499,AA3500=AA3499+1))),INDEX(DATAS,AA3499+1),"")</f>
        <v/>
      </c>
      <c r="AI3499" s="51" t="str">
        <f aca="false">IF(AND(AC3499=1,AA3499&lt;1),IF(AND(C3500=C3499,AA3500=AA3499+1),IF(AC3500=1,"",INDEX(DATAS,AA3499+1)),INDEX(DATAS,AA3499+1)),"")</f>
        <v/>
      </c>
    </row>
    <row r="3500" customFormat="false" ht="15" hidden="false" customHeight="false" outlineLevel="0" collapsed="false">
      <c r="A3500" s="51" t="n">
        <v>46309</v>
      </c>
      <c r="B3500" s="0" t="n">
        <v>16</v>
      </c>
      <c r="C3500" s="0" t="n">
        <v>7944</v>
      </c>
      <c r="E3500" s="0" t="n">
        <v>0</v>
      </c>
      <c r="F3500" s="46" t="s">
        <v>1614</v>
      </c>
      <c r="I3500" s="46" t="s">
        <v>179</v>
      </c>
      <c r="U3500" s="0" t="n">
        <v>90</v>
      </c>
      <c r="V3500" s="0" t="n">
        <v>0</v>
      </c>
      <c r="X3500" s="46" t="n">
        <f aca="false">IF(I3500="Male",0,1)</f>
        <v>1</v>
      </c>
      <c r="Y3500" s="46" t="n">
        <f aca="false">IF(OR(I3500="DNB",I3500="Dry DNB"),1,0)</f>
        <v>0</v>
      </c>
      <c r="Z3500" s="0" t="str">
        <f aca="false">IF(ISNUMBER(W3500),A3500-W3500,"")</f>
        <v/>
      </c>
      <c r="AA3500" s="46" t="n">
        <f aca="false">MATCH(A3500,DATAS,0)</f>
        <v>1</v>
      </c>
      <c r="AB3500" s="46" t="n">
        <f aca="false">IF(AND(E3500&gt;0,OR(AND(B3500&gt;=1,B3500&lt;=6),B3500=10)),1,0)</f>
        <v>0</v>
      </c>
      <c r="AC3500" s="46" t="n">
        <f aca="false">IF(AND(E3500&gt;0,B3500=10),1,0)</f>
        <v>0</v>
      </c>
      <c r="AD3500" s="0" t="str">
        <f aca="false">IF(AND(C3499=C3500,AA3499=AA3500-1),AB3499,"")</f>
        <v/>
      </c>
      <c r="AE3500" s="0" t="str">
        <f aca="false">IF(AND(C3499=C3500,AA3499=AA3500-1),AC3499,"")</f>
        <v/>
      </c>
      <c r="AF3500" s="0" t="str">
        <f aca="false">IF(AA3500=1,"",IF(AND(AB3500=1,AD3500&lt;&gt;1),1,0))</f>
        <v/>
      </c>
      <c r="AG3500" s="0" t="str">
        <f aca="false">IF(AA3500=1,"",IF(AND(AC3500=1,AE3500&lt;&gt;1),1,0))</f>
        <v/>
      </c>
      <c r="AH3500" s="51" t="str">
        <f aca="false">IF(AND(E3500&gt;0,AA3500&lt;1,NOT(AND(C3501=C3500,AA3501=AA3500+1))),INDEX(DATAS,AA3500+1),"")</f>
        <v/>
      </c>
      <c r="AI3500" s="51" t="str">
        <f aca="false">IF(AND(AC3500=1,AA3500&lt;1),IF(AND(C3501=C3500,AA3501=AA3500+1),IF(AC3501=1,"",INDEX(DATAS,AA3500+1)),INDEX(DATAS,AA3500+1)),"")</f>
        <v/>
      </c>
    </row>
    <row r="3501" customFormat="false" ht="15" hidden="false" customHeight="false" outlineLevel="0" collapsed="false">
      <c r="A3501" s="51" t="n">
        <v>46309</v>
      </c>
      <c r="B3501" s="0" t="n">
        <v>16</v>
      </c>
      <c r="C3501" s="0" t="n">
        <v>7945</v>
      </c>
      <c r="E3501" s="0" t="n">
        <v>0</v>
      </c>
      <c r="F3501" s="46" t="s">
        <v>1614</v>
      </c>
      <c r="I3501" s="46" t="s">
        <v>179</v>
      </c>
      <c r="U3501" s="0" t="n">
        <v>90</v>
      </c>
      <c r="V3501" s="0" t="n">
        <v>0</v>
      </c>
      <c r="X3501" s="46" t="n">
        <f aca="false">IF(I3501="Male",0,1)</f>
        <v>1</v>
      </c>
      <c r="Y3501" s="46" t="n">
        <f aca="false">IF(OR(I3501="DNB",I3501="Dry DNB"),1,0)</f>
        <v>0</v>
      </c>
      <c r="Z3501" s="0" t="str">
        <f aca="false">IF(ISNUMBER(W3501),A3501-W3501,"")</f>
        <v/>
      </c>
      <c r="AA3501" s="46" t="n">
        <f aca="false">MATCH(A3501,DATAS,0)</f>
        <v>1</v>
      </c>
      <c r="AB3501" s="46" t="n">
        <f aca="false">IF(AND(E3501&gt;0,OR(AND(B3501&gt;=1,B3501&lt;=6),B3501=10)),1,0)</f>
        <v>0</v>
      </c>
      <c r="AC3501" s="46" t="n">
        <f aca="false">IF(AND(E3501&gt;0,B3501=10),1,0)</f>
        <v>0</v>
      </c>
      <c r="AD3501" s="0" t="str">
        <f aca="false">IF(AND(C3500=C3501,AA3500=AA3501-1),AB3500,"")</f>
        <v/>
      </c>
      <c r="AE3501" s="0" t="str">
        <f aca="false">IF(AND(C3500=C3501,AA3500=AA3501-1),AC3500,"")</f>
        <v/>
      </c>
      <c r="AF3501" s="0" t="str">
        <f aca="false">IF(AA3501=1,"",IF(AND(AB3501=1,AD3501&lt;&gt;1),1,0))</f>
        <v/>
      </c>
      <c r="AG3501" s="0" t="str">
        <f aca="false">IF(AA3501=1,"",IF(AND(AC3501=1,AE3501&lt;&gt;1),1,0))</f>
        <v/>
      </c>
      <c r="AH3501" s="51" t="str">
        <f aca="false">IF(AND(E3501&gt;0,AA3501&lt;1,NOT(AND(C3502=C3501,AA3502=AA3501+1))),INDEX(DATAS,AA3501+1),"")</f>
        <v/>
      </c>
      <c r="AI3501" s="51" t="str">
        <f aca="false">IF(AND(AC3501=1,AA3501&lt;1),IF(AND(C3502=C3501,AA3502=AA3501+1),IF(AC3502=1,"",INDEX(DATAS,AA3501+1)),INDEX(DATAS,AA3501+1)),"")</f>
        <v/>
      </c>
    </row>
    <row r="3502" customFormat="false" ht="15" hidden="false" customHeight="false" outlineLevel="0" collapsed="false">
      <c r="A3502" s="51" t="n">
        <v>46309</v>
      </c>
      <c r="B3502" s="0" t="n">
        <v>16</v>
      </c>
      <c r="C3502" s="0" t="n">
        <v>7946</v>
      </c>
      <c r="E3502" s="0" t="n">
        <v>0</v>
      </c>
      <c r="F3502" s="46" t="s">
        <v>1614</v>
      </c>
      <c r="I3502" s="46" t="s">
        <v>179</v>
      </c>
      <c r="U3502" s="0" t="n">
        <v>90</v>
      </c>
      <c r="V3502" s="0" t="n">
        <v>0</v>
      </c>
      <c r="X3502" s="46" t="n">
        <f aca="false">IF(I3502="Male",0,1)</f>
        <v>1</v>
      </c>
      <c r="Y3502" s="46" t="n">
        <f aca="false">IF(OR(I3502="DNB",I3502="Dry DNB"),1,0)</f>
        <v>0</v>
      </c>
      <c r="Z3502" s="0" t="str">
        <f aca="false">IF(ISNUMBER(W3502),A3502-W3502,"")</f>
        <v/>
      </c>
      <c r="AA3502" s="46" t="n">
        <f aca="false">MATCH(A3502,DATAS,0)</f>
        <v>1</v>
      </c>
      <c r="AB3502" s="46" t="n">
        <f aca="false">IF(AND(E3502&gt;0,OR(AND(B3502&gt;=1,B3502&lt;=6),B3502=10)),1,0)</f>
        <v>0</v>
      </c>
      <c r="AC3502" s="46" t="n">
        <f aca="false">IF(AND(E3502&gt;0,B3502=10),1,0)</f>
        <v>0</v>
      </c>
      <c r="AD3502" s="0" t="str">
        <f aca="false">IF(AND(C3501=C3502,AA3501=AA3502-1),AB3501,"")</f>
        <v/>
      </c>
      <c r="AE3502" s="0" t="str">
        <f aca="false">IF(AND(C3501=C3502,AA3501=AA3502-1),AC3501,"")</f>
        <v/>
      </c>
      <c r="AF3502" s="0" t="str">
        <f aca="false">IF(AA3502=1,"",IF(AND(AB3502=1,AD3502&lt;&gt;1),1,0))</f>
        <v/>
      </c>
      <c r="AG3502" s="0" t="str">
        <f aca="false">IF(AA3502=1,"",IF(AND(AC3502=1,AE3502&lt;&gt;1),1,0))</f>
        <v/>
      </c>
      <c r="AH3502" s="51" t="str">
        <f aca="false">IF(AND(E3502&gt;0,AA3502&lt;1,NOT(AND(C3503=C3502,AA3503=AA3502+1))),INDEX(DATAS,AA3502+1),"")</f>
        <v/>
      </c>
      <c r="AI3502" s="51" t="str">
        <f aca="false">IF(AND(AC3502=1,AA3502&lt;1),IF(AND(C3503=C3502,AA3503=AA3502+1),IF(AC3503=1,"",INDEX(DATAS,AA3502+1)),INDEX(DATAS,AA3502+1)),"")</f>
        <v/>
      </c>
    </row>
    <row r="3503" customFormat="false" ht="15" hidden="false" customHeight="false" outlineLevel="0" collapsed="false">
      <c r="A3503" s="51" t="n">
        <v>46309</v>
      </c>
      <c r="B3503" s="0" t="n">
        <v>16</v>
      </c>
      <c r="C3503" s="0" t="n">
        <v>7947</v>
      </c>
      <c r="E3503" s="0" t="n">
        <v>0</v>
      </c>
      <c r="F3503" s="46" t="s">
        <v>1614</v>
      </c>
      <c r="I3503" s="46" t="s">
        <v>179</v>
      </c>
      <c r="U3503" s="0" t="n">
        <v>90</v>
      </c>
      <c r="V3503" s="0" t="n">
        <v>0</v>
      </c>
      <c r="X3503" s="46" t="n">
        <f aca="false">IF(I3503="Male",0,1)</f>
        <v>1</v>
      </c>
      <c r="Y3503" s="46" t="n">
        <f aca="false">IF(OR(I3503="DNB",I3503="Dry DNB"),1,0)</f>
        <v>0</v>
      </c>
      <c r="Z3503" s="0" t="str">
        <f aca="false">IF(ISNUMBER(W3503),A3503-W3503,"")</f>
        <v/>
      </c>
      <c r="AA3503" s="46" t="n">
        <f aca="false">MATCH(A3503,DATAS,0)</f>
        <v>1</v>
      </c>
      <c r="AB3503" s="46" t="n">
        <f aca="false">IF(AND(E3503&gt;0,OR(AND(B3503&gt;=1,B3503&lt;=6),B3503=10)),1,0)</f>
        <v>0</v>
      </c>
      <c r="AC3503" s="46" t="n">
        <f aca="false">IF(AND(E3503&gt;0,B3503=10),1,0)</f>
        <v>0</v>
      </c>
      <c r="AD3503" s="0" t="str">
        <f aca="false">IF(AND(C3502=C3503,AA3502=AA3503-1),AB3502,"")</f>
        <v/>
      </c>
      <c r="AE3503" s="0" t="str">
        <f aca="false">IF(AND(C3502=C3503,AA3502=AA3503-1),AC3502,"")</f>
        <v/>
      </c>
      <c r="AF3503" s="0" t="str">
        <f aca="false">IF(AA3503=1,"",IF(AND(AB3503=1,AD3503&lt;&gt;1),1,0))</f>
        <v/>
      </c>
      <c r="AG3503" s="0" t="str">
        <f aca="false">IF(AA3503=1,"",IF(AND(AC3503=1,AE3503&lt;&gt;1),1,0))</f>
        <v/>
      </c>
      <c r="AH3503" s="51" t="str">
        <f aca="false">IF(AND(E3503&gt;0,AA3503&lt;1,NOT(AND(C3504=C3503,AA3504=AA3503+1))),INDEX(DATAS,AA3503+1),"")</f>
        <v/>
      </c>
      <c r="AI3503" s="51" t="str">
        <f aca="false">IF(AND(AC3503=1,AA3503&lt;1),IF(AND(C3504=C3503,AA3504=AA3503+1),IF(AC3504=1,"",INDEX(DATAS,AA3503+1)),INDEX(DATAS,AA3503+1)),"")</f>
        <v/>
      </c>
    </row>
    <row r="3504" customFormat="false" ht="15" hidden="false" customHeight="false" outlineLevel="0" collapsed="false">
      <c r="A3504" s="51" t="n">
        <v>46309</v>
      </c>
      <c r="B3504" s="0" t="n">
        <v>16</v>
      </c>
      <c r="C3504" s="0" t="n">
        <v>7948</v>
      </c>
      <c r="E3504" s="0" t="n">
        <v>0</v>
      </c>
      <c r="F3504" s="46" t="s">
        <v>1614</v>
      </c>
      <c r="I3504" s="46" t="s">
        <v>179</v>
      </c>
      <c r="U3504" s="0" t="n">
        <v>90</v>
      </c>
      <c r="V3504" s="0" t="n">
        <v>0</v>
      </c>
      <c r="X3504" s="46" t="n">
        <f aca="false">IF(I3504="Male",0,1)</f>
        <v>1</v>
      </c>
      <c r="Y3504" s="46" t="n">
        <f aca="false">IF(OR(I3504="DNB",I3504="Dry DNB"),1,0)</f>
        <v>0</v>
      </c>
      <c r="Z3504" s="0" t="str">
        <f aca="false">IF(ISNUMBER(W3504),A3504-W3504,"")</f>
        <v/>
      </c>
      <c r="AA3504" s="46" t="n">
        <f aca="false">MATCH(A3504,DATAS,0)</f>
        <v>1</v>
      </c>
      <c r="AB3504" s="46" t="n">
        <f aca="false">IF(AND(E3504&gt;0,OR(AND(B3504&gt;=1,B3504&lt;=6),B3504=10)),1,0)</f>
        <v>0</v>
      </c>
      <c r="AC3504" s="46" t="n">
        <f aca="false">IF(AND(E3504&gt;0,B3504=10),1,0)</f>
        <v>0</v>
      </c>
      <c r="AD3504" s="0" t="str">
        <f aca="false">IF(AND(C3503=C3504,AA3503=AA3504-1),AB3503,"")</f>
        <v/>
      </c>
      <c r="AE3504" s="0" t="str">
        <f aca="false">IF(AND(C3503=C3504,AA3503=AA3504-1),AC3503,"")</f>
        <v/>
      </c>
      <c r="AF3504" s="0" t="str">
        <f aca="false">IF(AA3504=1,"",IF(AND(AB3504=1,AD3504&lt;&gt;1),1,0))</f>
        <v/>
      </c>
      <c r="AG3504" s="0" t="str">
        <f aca="false">IF(AA3504=1,"",IF(AND(AC3504=1,AE3504&lt;&gt;1),1,0))</f>
        <v/>
      </c>
      <c r="AH3504" s="51" t="str">
        <f aca="false">IF(AND(E3504&gt;0,AA3504&lt;1,NOT(AND(C3505=C3504,AA3505=AA3504+1))),INDEX(DATAS,AA3504+1),"")</f>
        <v/>
      </c>
      <c r="AI3504" s="51" t="str">
        <f aca="false">IF(AND(AC3504=1,AA3504&lt;1),IF(AND(C3505=C3504,AA3505=AA3504+1),IF(AC3505=1,"",INDEX(DATAS,AA3504+1)),INDEX(DATAS,AA3504+1)),"")</f>
        <v/>
      </c>
    </row>
    <row r="3505" customFormat="false" ht="15" hidden="false" customHeight="false" outlineLevel="0" collapsed="false">
      <c r="A3505" s="51" t="n">
        <v>46309</v>
      </c>
      <c r="B3505" s="0" t="n">
        <v>16</v>
      </c>
      <c r="C3505" s="0" t="n">
        <v>7949</v>
      </c>
      <c r="E3505" s="0" t="n">
        <v>0</v>
      </c>
      <c r="F3505" s="46" t="s">
        <v>1614</v>
      </c>
      <c r="I3505" s="46" t="s">
        <v>179</v>
      </c>
      <c r="U3505" s="0" t="n">
        <v>90</v>
      </c>
      <c r="V3505" s="0" t="n">
        <v>0</v>
      </c>
      <c r="X3505" s="46" t="n">
        <f aca="false">IF(I3505="Male",0,1)</f>
        <v>1</v>
      </c>
      <c r="Y3505" s="46" t="n">
        <f aca="false">IF(OR(I3505="DNB",I3505="Dry DNB"),1,0)</f>
        <v>0</v>
      </c>
      <c r="Z3505" s="0" t="str">
        <f aca="false">IF(ISNUMBER(W3505),A3505-W3505,"")</f>
        <v/>
      </c>
      <c r="AA3505" s="46" t="n">
        <f aca="false">MATCH(A3505,DATAS,0)</f>
        <v>1</v>
      </c>
      <c r="AB3505" s="46" t="n">
        <f aca="false">IF(AND(E3505&gt;0,OR(AND(B3505&gt;=1,B3505&lt;=6),B3505=10)),1,0)</f>
        <v>0</v>
      </c>
      <c r="AC3505" s="46" t="n">
        <f aca="false">IF(AND(E3505&gt;0,B3505=10),1,0)</f>
        <v>0</v>
      </c>
      <c r="AD3505" s="0" t="str">
        <f aca="false">IF(AND(C3504=C3505,AA3504=AA3505-1),AB3504,"")</f>
        <v/>
      </c>
      <c r="AE3505" s="0" t="str">
        <f aca="false">IF(AND(C3504=C3505,AA3504=AA3505-1),AC3504,"")</f>
        <v/>
      </c>
      <c r="AF3505" s="0" t="str">
        <f aca="false">IF(AA3505=1,"",IF(AND(AB3505=1,AD3505&lt;&gt;1),1,0))</f>
        <v/>
      </c>
      <c r="AG3505" s="0" t="str">
        <f aca="false">IF(AA3505=1,"",IF(AND(AC3505=1,AE3505&lt;&gt;1),1,0))</f>
        <v/>
      </c>
      <c r="AH3505" s="51" t="str">
        <f aca="false">IF(AND(E3505&gt;0,AA3505&lt;1,NOT(AND(C3506=C3505,AA3506=AA3505+1))),INDEX(DATAS,AA3505+1),"")</f>
        <v/>
      </c>
      <c r="AI3505" s="51" t="str">
        <f aca="false">IF(AND(AC3505=1,AA3505&lt;1),IF(AND(C3506=C3505,AA3506=AA3505+1),IF(AC3506=1,"",INDEX(DATAS,AA3505+1)),INDEX(DATAS,AA3505+1)),"")</f>
        <v/>
      </c>
    </row>
    <row r="3506" customFormat="false" ht="15" hidden="false" customHeight="false" outlineLevel="0" collapsed="false">
      <c r="A3506" s="51" t="n">
        <v>46309</v>
      </c>
      <c r="B3506" s="0" t="n">
        <v>16</v>
      </c>
      <c r="C3506" s="0" t="n">
        <v>7951</v>
      </c>
      <c r="E3506" s="0" t="n">
        <v>0</v>
      </c>
      <c r="F3506" s="46" t="s">
        <v>1615</v>
      </c>
      <c r="I3506" s="46" t="s">
        <v>179</v>
      </c>
      <c r="U3506" s="0" t="n">
        <v>89</v>
      </c>
      <c r="V3506" s="0" t="n">
        <v>0</v>
      </c>
      <c r="X3506" s="46" t="n">
        <f aca="false">IF(I3506="Male",0,1)</f>
        <v>1</v>
      </c>
      <c r="Y3506" s="46" t="n">
        <f aca="false">IF(OR(I3506="DNB",I3506="Dry DNB"),1,0)</f>
        <v>0</v>
      </c>
      <c r="Z3506" s="0" t="str">
        <f aca="false">IF(ISNUMBER(W3506),A3506-W3506,"")</f>
        <v/>
      </c>
      <c r="AA3506" s="46" t="n">
        <f aca="false">MATCH(A3506,DATAS,0)</f>
        <v>1</v>
      </c>
      <c r="AB3506" s="46" t="n">
        <f aca="false">IF(AND(E3506&gt;0,OR(AND(B3506&gt;=1,B3506&lt;=6),B3506=10)),1,0)</f>
        <v>0</v>
      </c>
      <c r="AC3506" s="46" t="n">
        <f aca="false">IF(AND(E3506&gt;0,B3506=10),1,0)</f>
        <v>0</v>
      </c>
      <c r="AD3506" s="0" t="str">
        <f aca="false">IF(AND(C3505=C3506,AA3505=AA3506-1),AB3505,"")</f>
        <v/>
      </c>
      <c r="AE3506" s="0" t="str">
        <f aca="false">IF(AND(C3505=C3506,AA3505=AA3506-1),AC3505,"")</f>
        <v/>
      </c>
      <c r="AF3506" s="0" t="str">
        <f aca="false">IF(AA3506=1,"",IF(AND(AB3506=1,AD3506&lt;&gt;1),1,0))</f>
        <v/>
      </c>
      <c r="AG3506" s="0" t="str">
        <f aca="false">IF(AA3506=1,"",IF(AND(AC3506=1,AE3506&lt;&gt;1),1,0))</f>
        <v/>
      </c>
      <c r="AH3506" s="51" t="str">
        <f aca="false">IF(AND(E3506&gt;0,AA3506&lt;1,NOT(AND(C3507=C3506,AA3507=AA3506+1))),INDEX(DATAS,AA3506+1),"")</f>
        <v/>
      </c>
      <c r="AI3506" s="51" t="str">
        <f aca="false">IF(AND(AC3506=1,AA3506&lt;1),IF(AND(C3507=C3506,AA3507=AA3506+1),IF(AC3507=1,"",INDEX(DATAS,AA3506+1)),INDEX(DATAS,AA3506+1)),"")</f>
        <v/>
      </c>
    </row>
    <row r="3507" customFormat="false" ht="15" hidden="false" customHeight="false" outlineLevel="0" collapsed="false">
      <c r="A3507" s="51" t="n">
        <v>46309</v>
      </c>
      <c r="B3507" s="0" t="n">
        <v>16</v>
      </c>
      <c r="C3507" s="0" t="n">
        <v>7953</v>
      </c>
      <c r="E3507" s="0" t="n">
        <v>0</v>
      </c>
      <c r="F3507" s="46" t="s">
        <v>1616</v>
      </c>
      <c r="I3507" s="46" t="s">
        <v>179</v>
      </c>
      <c r="U3507" s="0" t="n">
        <v>88</v>
      </c>
      <c r="V3507" s="0" t="n">
        <v>0</v>
      </c>
      <c r="X3507" s="46" t="n">
        <f aca="false">IF(I3507="Male",0,1)</f>
        <v>1</v>
      </c>
      <c r="Y3507" s="46" t="n">
        <f aca="false">IF(OR(I3507="DNB",I3507="Dry DNB"),1,0)</f>
        <v>0</v>
      </c>
      <c r="Z3507" s="0" t="str">
        <f aca="false">IF(ISNUMBER(W3507),A3507-W3507,"")</f>
        <v/>
      </c>
      <c r="AA3507" s="46" t="n">
        <f aca="false">MATCH(A3507,DATAS,0)</f>
        <v>1</v>
      </c>
      <c r="AB3507" s="46" t="n">
        <f aca="false">IF(AND(E3507&gt;0,OR(AND(B3507&gt;=1,B3507&lt;=6),B3507=10)),1,0)</f>
        <v>0</v>
      </c>
      <c r="AC3507" s="46" t="n">
        <f aca="false">IF(AND(E3507&gt;0,B3507=10),1,0)</f>
        <v>0</v>
      </c>
      <c r="AD3507" s="0" t="str">
        <f aca="false">IF(AND(C3506=C3507,AA3506=AA3507-1),AB3506,"")</f>
        <v/>
      </c>
      <c r="AE3507" s="0" t="str">
        <f aca="false">IF(AND(C3506=C3507,AA3506=AA3507-1),AC3506,"")</f>
        <v/>
      </c>
      <c r="AF3507" s="0" t="str">
        <f aca="false">IF(AA3507=1,"",IF(AND(AB3507=1,AD3507&lt;&gt;1),1,0))</f>
        <v/>
      </c>
      <c r="AG3507" s="0" t="str">
        <f aca="false">IF(AA3507=1,"",IF(AND(AC3507=1,AE3507&lt;&gt;1),1,0))</f>
        <v/>
      </c>
      <c r="AH3507" s="51" t="str">
        <f aca="false">IF(AND(E3507&gt;0,AA3507&lt;1,NOT(AND(C3508=C3507,AA3508=AA3507+1))),INDEX(DATAS,AA3507+1),"")</f>
        <v/>
      </c>
      <c r="AI3507" s="51" t="str">
        <f aca="false">IF(AND(AC3507=1,AA3507&lt;1),IF(AND(C3508=C3507,AA3508=AA3507+1),IF(AC3508=1,"",INDEX(DATAS,AA3507+1)),INDEX(DATAS,AA3507+1)),"")</f>
        <v/>
      </c>
    </row>
    <row r="3508" customFormat="false" ht="15" hidden="false" customHeight="false" outlineLevel="0" collapsed="false">
      <c r="A3508" s="51" t="n">
        <v>46309</v>
      </c>
      <c r="B3508" s="0" t="n">
        <v>16</v>
      </c>
      <c r="C3508" s="0" t="n">
        <v>7954</v>
      </c>
      <c r="E3508" s="0" t="n">
        <v>0</v>
      </c>
      <c r="F3508" s="46" t="s">
        <v>1616</v>
      </c>
      <c r="I3508" s="46" t="s">
        <v>179</v>
      </c>
      <c r="U3508" s="0" t="n">
        <v>88</v>
      </c>
      <c r="V3508" s="0" t="n">
        <v>0</v>
      </c>
      <c r="X3508" s="46" t="n">
        <f aca="false">IF(I3508="Male",0,1)</f>
        <v>1</v>
      </c>
      <c r="Y3508" s="46" t="n">
        <f aca="false">IF(OR(I3508="DNB",I3508="Dry DNB"),1,0)</f>
        <v>0</v>
      </c>
      <c r="Z3508" s="0" t="str">
        <f aca="false">IF(ISNUMBER(W3508),A3508-W3508,"")</f>
        <v/>
      </c>
      <c r="AA3508" s="46" t="n">
        <f aca="false">MATCH(A3508,DATAS,0)</f>
        <v>1</v>
      </c>
      <c r="AB3508" s="46" t="n">
        <f aca="false">IF(AND(E3508&gt;0,OR(AND(B3508&gt;=1,B3508&lt;=6),B3508=10)),1,0)</f>
        <v>0</v>
      </c>
      <c r="AC3508" s="46" t="n">
        <f aca="false">IF(AND(E3508&gt;0,B3508=10),1,0)</f>
        <v>0</v>
      </c>
      <c r="AD3508" s="0" t="str">
        <f aca="false">IF(AND(C3507=C3508,AA3507=AA3508-1),AB3507,"")</f>
        <v/>
      </c>
      <c r="AE3508" s="0" t="str">
        <f aca="false">IF(AND(C3507=C3508,AA3507=AA3508-1),AC3507,"")</f>
        <v/>
      </c>
      <c r="AF3508" s="0" t="str">
        <f aca="false">IF(AA3508=1,"",IF(AND(AB3508=1,AD3508&lt;&gt;1),1,0))</f>
        <v/>
      </c>
      <c r="AG3508" s="0" t="str">
        <f aca="false">IF(AA3508=1,"",IF(AND(AC3508=1,AE3508&lt;&gt;1),1,0))</f>
        <v/>
      </c>
      <c r="AH3508" s="51" t="str">
        <f aca="false">IF(AND(E3508&gt;0,AA3508&lt;1,NOT(AND(C3509=C3508,AA3509=AA3508+1))),INDEX(DATAS,AA3508+1),"")</f>
        <v/>
      </c>
      <c r="AI3508" s="51" t="str">
        <f aca="false">IF(AND(AC3508=1,AA3508&lt;1),IF(AND(C3509=C3508,AA3509=AA3508+1),IF(AC3509=1,"",INDEX(DATAS,AA3508+1)),INDEX(DATAS,AA3508+1)),"")</f>
        <v/>
      </c>
    </row>
    <row r="3509" customFormat="false" ht="15" hidden="false" customHeight="false" outlineLevel="0" collapsed="false">
      <c r="A3509" s="51" t="n">
        <v>46309</v>
      </c>
      <c r="B3509" s="0" t="n">
        <v>16</v>
      </c>
      <c r="C3509" s="0" t="n">
        <v>7955</v>
      </c>
      <c r="E3509" s="0" t="n">
        <v>0</v>
      </c>
      <c r="F3509" s="46" t="s">
        <v>1616</v>
      </c>
      <c r="I3509" s="46" t="s">
        <v>179</v>
      </c>
      <c r="U3509" s="0" t="n">
        <v>88</v>
      </c>
      <c r="V3509" s="0" t="n">
        <v>0</v>
      </c>
      <c r="X3509" s="46" t="n">
        <f aca="false">IF(I3509="Male",0,1)</f>
        <v>1</v>
      </c>
      <c r="Y3509" s="46" t="n">
        <f aca="false">IF(OR(I3509="DNB",I3509="Dry DNB"),1,0)</f>
        <v>0</v>
      </c>
      <c r="Z3509" s="0" t="str">
        <f aca="false">IF(ISNUMBER(W3509),A3509-W3509,"")</f>
        <v/>
      </c>
      <c r="AA3509" s="46" t="n">
        <f aca="false">MATCH(A3509,DATAS,0)</f>
        <v>1</v>
      </c>
      <c r="AB3509" s="46" t="n">
        <f aca="false">IF(AND(E3509&gt;0,OR(AND(B3509&gt;=1,B3509&lt;=6),B3509=10)),1,0)</f>
        <v>0</v>
      </c>
      <c r="AC3509" s="46" t="n">
        <f aca="false">IF(AND(E3509&gt;0,B3509=10),1,0)</f>
        <v>0</v>
      </c>
      <c r="AD3509" s="0" t="str">
        <f aca="false">IF(AND(C3508=C3509,AA3508=AA3509-1),AB3508,"")</f>
        <v/>
      </c>
      <c r="AE3509" s="0" t="str">
        <f aca="false">IF(AND(C3508=C3509,AA3508=AA3509-1),AC3508,"")</f>
        <v/>
      </c>
      <c r="AF3509" s="0" t="str">
        <f aca="false">IF(AA3509=1,"",IF(AND(AB3509=1,AD3509&lt;&gt;1),1,0))</f>
        <v/>
      </c>
      <c r="AG3509" s="0" t="str">
        <f aca="false">IF(AA3509=1,"",IF(AND(AC3509=1,AE3509&lt;&gt;1),1,0))</f>
        <v/>
      </c>
      <c r="AH3509" s="51" t="str">
        <f aca="false">IF(AND(E3509&gt;0,AA3509&lt;1,NOT(AND(C3510=C3509,AA3510=AA3509+1))),INDEX(DATAS,AA3509+1),"")</f>
        <v/>
      </c>
      <c r="AI3509" s="51" t="str">
        <f aca="false">IF(AND(AC3509=1,AA3509&lt;1),IF(AND(C3510=C3509,AA3510=AA3509+1),IF(AC3510=1,"",INDEX(DATAS,AA3509+1)),INDEX(DATAS,AA3509+1)),"")</f>
        <v/>
      </c>
    </row>
    <row r="3510" customFormat="false" ht="15" hidden="false" customHeight="false" outlineLevel="0" collapsed="false">
      <c r="A3510" s="51" t="n">
        <v>46309</v>
      </c>
      <c r="B3510" s="0" t="n">
        <v>16</v>
      </c>
      <c r="C3510" s="0" t="n">
        <v>7956</v>
      </c>
      <c r="E3510" s="0" t="n">
        <v>0</v>
      </c>
      <c r="F3510" s="46" t="s">
        <v>1616</v>
      </c>
      <c r="I3510" s="46" t="s">
        <v>179</v>
      </c>
      <c r="U3510" s="0" t="n">
        <v>88</v>
      </c>
      <c r="V3510" s="0" t="n">
        <v>0</v>
      </c>
      <c r="X3510" s="46" t="n">
        <f aca="false">IF(I3510="Male",0,1)</f>
        <v>1</v>
      </c>
      <c r="Y3510" s="46" t="n">
        <f aca="false">IF(OR(I3510="DNB",I3510="Dry DNB"),1,0)</f>
        <v>0</v>
      </c>
      <c r="Z3510" s="0" t="str">
        <f aca="false">IF(ISNUMBER(W3510),A3510-W3510,"")</f>
        <v/>
      </c>
      <c r="AA3510" s="46" t="n">
        <f aca="false">MATCH(A3510,DATAS,0)</f>
        <v>1</v>
      </c>
      <c r="AB3510" s="46" t="n">
        <f aca="false">IF(AND(E3510&gt;0,OR(AND(B3510&gt;=1,B3510&lt;=6),B3510=10)),1,0)</f>
        <v>0</v>
      </c>
      <c r="AC3510" s="46" t="n">
        <f aca="false">IF(AND(E3510&gt;0,B3510=10),1,0)</f>
        <v>0</v>
      </c>
      <c r="AD3510" s="0" t="str">
        <f aca="false">IF(AND(C3509=C3510,AA3509=AA3510-1),AB3509,"")</f>
        <v/>
      </c>
      <c r="AE3510" s="0" t="str">
        <f aca="false">IF(AND(C3509=C3510,AA3509=AA3510-1),AC3509,"")</f>
        <v/>
      </c>
      <c r="AF3510" s="0" t="str">
        <f aca="false">IF(AA3510=1,"",IF(AND(AB3510=1,AD3510&lt;&gt;1),1,0))</f>
        <v/>
      </c>
      <c r="AG3510" s="0" t="str">
        <f aca="false">IF(AA3510=1,"",IF(AND(AC3510=1,AE3510&lt;&gt;1),1,0))</f>
        <v/>
      </c>
      <c r="AH3510" s="51" t="str">
        <f aca="false">IF(AND(E3510&gt;0,AA3510&lt;1,NOT(AND(C3511=C3510,AA3511=AA3510+1))),INDEX(DATAS,AA3510+1),"")</f>
        <v/>
      </c>
      <c r="AI3510" s="51" t="str">
        <f aca="false">IF(AND(AC3510=1,AA3510&lt;1),IF(AND(C3511=C3510,AA3511=AA3510+1),IF(AC3511=1,"",INDEX(DATAS,AA3510+1)),INDEX(DATAS,AA3510+1)),"")</f>
        <v/>
      </c>
    </row>
    <row r="3511" customFormat="false" ht="15" hidden="false" customHeight="false" outlineLevel="0" collapsed="false">
      <c r="A3511" s="51" t="n">
        <v>46309</v>
      </c>
      <c r="B3511" s="0" t="n">
        <v>16</v>
      </c>
      <c r="C3511" s="0" t="n">
        <v>7957</v>
      </c>
      <c r="E3511" s="0" t="n">
        <v>0</v>
      </c>
      <c r="F3511" s="46" t="s">
        <v>1617</v>
      </c>
      <c r="I3511" s="46" t="s">
        <v>179</v>
      </c>
      <c r="U3511" s="0" t="n">
        <v>87</v>
      </c>
      <c r="V3511" s="0" t="n">
        <v>0</v>
      </c>
      <c r="X3511" s="46" t="n">
        <f aca="false">IF(I3511="Male",0,1)</f>
        <v>1</v>
      </c>
      <c r="Y3511" s="46" t="n">
        <f aca="false">IF(OR(I3511="DNB",I3511="Dry DNB"),1,0)</f>
        <v>0</v>
      </c>
      <c r="Z3511" s="0" t="str">
        <f aca="false">IF(ISNUMBER(W3511),A3511-W3511,"")</f>
        <v/>
      </c>
      <c r="AA3511" s="46" t="n">
        <f aca="false">MATCH(A3511,DATAS,0)</f>
        <v>1</v>
      </c>
      <c r="AB3511" s="46" t="n">
        <f aca="false">IF(AND(E3511&gt;0,OR(AND(B3511&gt;=1,B3511&lt;=6),B3511=10)),1,0)</f>
        <v>0</v>
      </c>
      <c r="AC3511" s="46" t="n">
        <f aca="false">IF(AND(E3511&gt;0,B3511=10),1,0)</f>
        <v>0</v>
      </c>
      <c r="AD3511" s="0" t="str">
        <f aca="false">IF(AND(C3510=C3511,AA3510=AA3511-1),AB3510,"")</f>
        <v/>
      </c>
      <c r="AE3511" s="0" t="str">
        <f aca="false">IF(AND(C3510=C3511,AA3510=AA3511-1),AC3510,"")</f>
        <v/>
      </c>
      <c r="AF3511" s="0" t="str">
        <f aca="false">IF(AA3511=1,"",IF(AND(AB3511=1,AD3511&lt;&gt;1),1,0))</f>
        <v/>
      </c>
      <c r="AG3511" s="0" t="str">
        <f aca="false">IF(AA3511=1,"",IF(AND(AC3511=1,AE3511&lt;&gt;1),1,0))</f>
        <v/>
      </c>
      <c r="AH3511" s="51" t="str">
        <f aca="false">IF(AND(E3511&gt;0,AA3511&lt;1,NOT(AND(C3512=C3511,AA3512=AA3511+1))),INDEX(DATAS,AA3511+1),"")</f>
        <v/>
      </c>
      <c r="AI3511" s="51" t="str">
        <f aca="false">IF(AND(AC3511=1,AA3511&lt;1),IF(AND(C3512=C3511,AA3512=AA3511+1),IF(AC3512=1,"",INDEX(DATAS,AA3511+1)),INDEX(DATAS,AA3511+1)),"")</f>
        <v/>
      </c>
    </row>
    <row r="3512" customFormat="false" ht="15" hidden="false" customHeight="false" outlineLevel="0" collapsed="false">
      <c r="A3512" s="51" t="n">
        <v>46309</v>
      </c>
      <c r="B3512" s="0" t="n">
        <v>16</v>
      </c>
      <c r="C3512" s="0" t="n">
        <v>7958</v>
      </c>
      <c r="E3512" s="0" t="n">
        <v>0</v>
      </c>
      <c r="F3512" s="46" t="s">
        <v>1617</v>
      </c>
      <c r="I3512" s="46" t="s">
        <v>179</v>
      </c>
      <c r="U3512" s="0" t="n">
        <v>87</v>
      </c>
      <c r="V3512" s="0" t="n">
        <v>0</v>
      </c>
      <c r="X3512" s="46" t="n">
        <f aca="false">IF(I3512="Male",0,1)</f>
        <v>1</v>
      </c>
      <c r="Y3512" s="46" t="n">
        <f aca="false">IF(OR(I3512="DNB",I3512="Dry DNB"),1,0)</f>
        <v>0</v>
      </c>
      <c r="Z3512" s="0" t="str">
        <f aca="false">IF(ISNUMBER(W3512),A3512-W3512,"")</f>
        <v/>
      </c>
      <c r="AA3512" s="46" t="n">
        <f aca="false">MATCH(A3512,DATAS,0)</f>
        <v>1</v>
      </c>
      <c r="AB3512" s="46" t="n">
        <f aca="false">IF(AND(E3512&gt;0,OR(AND(B3512&gt;=1,B3512&lt;=6),B3512=10)),1,0)</f>
        <v>0</v>
      </c>
      <c r="AC3512" s="46" t="n">
        <f aca="false">IF(AND(E3512&gt;0,B3512=10),1,0)</f>
        <v>0</v>
      </c>
      <c r="AD3512" s="0" t="str">
        <f aca="false">IF(AND(C3511=C3512,AA3511=AA3512-1),AB3511,"")</f>
        <v/>
      </c>
      <c r="AE3512" s="0" t="str">
        <f aca="false">IF(AND(C3511=C3512,AA3511=AA3512-1),AC3511,"")</f>
        <v/>
      </c>
      <c r="AF3512" s="0" t="str">
        <f aca="false">IF(AA3512=1,"",IF(AND(AB3512=1,AD3512&lt;&gt;1),1,0))</f>
        <v/>
      </c>
      <c r="AG3512" s="0" t="str">
        <f aca="false">IF(AA3512=1,"",IF(AND(AC3512=1,AE3512&lt;&gt;1),1,0))</f>
        <v/>
      </c>
      <c r="AH3512" s="51" t="str">
        <f aca="false">IF(AND(E3512&gt;0,AA3512&lt;1,NOT(AND(C3513=C3512,AA3513=AA3512+1))),INDEX(DATAS,AA3512+1),"")</f>
        <v/>
      </c>
      <c r="AI3512" s="51" t="str">
        <f aca="false">IF(AND(AC3512=1,AA3512&lt;1),IF(AND(C3513=C3512,AA3513=AA3512+1),IF(AC3513=1,"",INDEX(DATAS,AA3512+1)),INDEX(DATAS,AA3512+1)),"")</f>
        <v/>
      </c>
    </row>
    <row r="3513" customFormat="false" ht="15" hidden="false" customHeight="false" outlineLevel="0" collapsed="false">
      <c r="A3513" s="51" t="n">
        <v>46309</v>
      </c>
      <c r="B3513" s="0" t="n">
        <v>16</v>
      </c>
      <c r="C3513" s="0" t="n">
        <v>7959</v>
      </c>
      <c r="E3513" s="0" t="n">
        <v>0</v>
      </c>
      <c r="F3513" s="46" t="s">
        <v>1618</v>
      </c>
      <c r="I3513" s="46" t="s">
        <v>179</v>
      </c>
      <c r="U3513" s="0" t="n">
        <v>86</v>
      </c>
      <c r="V3513" s="0" t="n">
        <v>0</v>
      </c>
      <c r="X3513" s="46" t="n">
        <f aca="false">IF(I3513="Male",0,1)</f>
        <v>1</v>
      </c>
      <c r="Y3513" s="46" t="n">
        <f aca="false">IF(OR(I3513="DNB",I3513="Dry DNB"),1,0)</f>
        <v>0</v>
      </c>
      <c r="Z3513" s="0" t="str">
        <f aca="false">IF(ISNUMBER(W3513),A3513-W3513,"")</f>
        <v/>
      </c>
      <c r="AA3513" s="46" t="n">
        <f aca="false">MATCH(A3513,DATAS,0)</f>
        <v>1</v>
      </c>
      <c r="AB3513" s="46" t="n">
        <f aca="false">IF(AND(E3513&gt;0,OR(AND(B3513&gt;=1,B3513&lt;=6),B3513=10)),1,0)</f>
        <v>0</v>
      </c>
      <c r="AC3513" s="46" t="n">
        <f aca="false">IF(AND(E3513&gt;0,B3513=10),1,0)</f>
        <v>0</v>
      </c>
      <c r="AD3513" s="0" t="str">
        <f aca="false">IF(AND(C3512=C3513,AA3512=AA3513-1),AB3512,"")</f>
        <v/>
      </c>
      <c r="AE3513" s="0" t="str">
        <f aca="false">IF(AND(C3512=C3513,AA3512=AA3513-1),AC3512,"")</f>
        <v/>
      </c>
      <c r="AF3513" s="0" t="str">
        <f aca="false">IF(AA3513=1,"",IF(AND(AB3513=1,AD3513&lt;&gt;1),1,0))</f>
        <v/>
      </c>
      <c r="AG3513" s="0" t="str">
        <f aca="false">IF(AA3513=1,"",IF(AND(AC3513=1,AE3513&lt;&gt;1),1,0))</f>
        <v/>
      </c>
      <c r="AH3513" s="51" t="str">
        <f aca="false">IF(AND(E3513&gt;0,AA3513&lt;1,NOT(AND(C3514=C3513,AA3514=AA3513+1))),INDEX(DATAS,AA3513+1),"")</f>
        <v/>
      </c>
      <c r="AI3513" s="51" t="str">
        <f aca="false">IF(AND(AC3513=1,AA3513&lt;1),IF(AND(C3514=C3513,AA3514=AA3513+1),IF(AC3514=1,"",INDEX(DATAS,AA3513+1)),INDEX(DATAS,AA3513+1)),"")</f>
        <v/>
      </c>
    </row>
    <row r="3514" customFormat="false" ht="15" hidden="false" customHeight="false" outlineLevel="0" collapsed="false">
      <c r="A3514" s="51" t="n">
        <v>46309</v>
      </c>
      <c r="B3514" s="0" t="n">
        <v>16</v>
      </c>
      <c r="C3514" s="0" t="n">
        <v>7960</v>
      </c>
      <c r="E3514" s="0" t="n">
        <v>0</v>
      </c>
      <c r="F3514" s="46" t="s">
        <v>1618</v>
      </c>
      <c r="I3514" s="46" t="s">
        <v>179</v>
      </c>
      <c r="U3514" s="0" t="n">
        <v>86</v>
      </c>
      <c r="V3514" s="0" t="n">
        <v>0</v>
      </c>
      <c r="X3514" s="46" t="n">
        <f aca="false">IF(I3514="Male",0,1)</f>
        <v>1</v>
      </c>
      <c r="Y3514" s="46" t="n">
        <f aca="false">IF(OR(I3514="DNB",I3514="Dry DNB"),1,0)</f>
        <v>0</v>
      </c>
      <c r="Z3514" s="0" t="str">
        <f aca="false">IF(ISNUMBER(W3514),A3514-W3514,"")</f>
        <v/>
      </c>
      <c r="AA3514" s="46" t="n">
        <f aca="false">MATCH(A3514,DATAS,0)</f>
        <v>1</v>
      </c>
      <c r="AB3514" s="46" t="n">
        <f aca="false">IF(AND(E3514&gt;0,OR(AND(B3514&gt;=1,B3514&lt;=6),B3514=10)),1,0)</f>
        <v>0</v>
      </c>
      <c r="AC3514" s="46" t="n">
        <f aca="false">IF(AND(E3514&gt;0,B3514=10),1,0)</f>
        <v>0</v>
      </c>
      <c r="AD3514" s="0" t="str">
        <f aca="false">IF(AND(C3513=C3514,AA3513=AA3514-1),AB3513,"")</f>
        <v/>
      </c>
      <c r="AE3514" s="0" t="str">
        <f aca="false">IF(AND(C3513=C3514,AA3513=AA3514-1),AC3513,"")</f>
        <v/>
      </c>
      <c r="AF3514" s="0" t="str">
        <f aca="false">IF(AA3514=1,"",IF(AND(AB3514=1,AD3514&lt;&gt;1),1,0))</f>
        <v/>
      </c>
      <c r="AG3514" s="0" t="str">
        <f aca="false">IF(AA3514=1,"",IF(AND(AC3514=1,AE3514&lt;&gt;1),1,0))</f>
        <v/>
      </c>
      <c r="AH3514" s="51" t="str">
        <f aca="false">IF(AND(E3514&gt;0,AA3514&lt;1,NOT(AND(C3515=C3514,AA3515=AA3514+1))),INDEX(DATAS,AA3514+1),"")</f>
        <v/>
      </c>
      <c r="AI3514" s="51" t="str">
        <f aca="false">IF(AND(AC3514=1,AA3514&lt;1),IF(AND(C3515=C3514,AA3515=AA3514+1),IF(AC3515=1,"",INDEX(DATAS,AA3514+1)),INDEX(DATAS,AA3514+1)),"")</f>
        <v/>
      </c>
    </row>
    <row r="3515" customFormat="false" ht="15" hidden="false" customHeight="false" outlineLevel="0" collapsed="false">
      <c r="A3515" s="51" t="n">
        <v>46309</v>
      </c>
      <c r="B3515" s="0" t="n">
        <v>16</v>
      </c>
      <c r="C3515" s="0" t="n">
        <v>7962</v>
      </c>
      <c r="E3515" s="0" t="n">
        <v>0</v>
      </c>
      <c r="F3515" s="46" t="s">
        <v>1619</v>
      </c>
      <c r="I3515" s="46" t="s">
        <v>179</v>
      </c>
      <c r="U3515" s="0" t="n">
        <v>84</v>
      </c>
      <c r="V3515" s="0" t="n">
        <v>0</v>
      </c>
      <c r="X3515" s="46" t="n">
        <f aca="false">IF(I3515="Male",0,1)</f>
        <v>1</v>
      </c>
      <c r="Y3515" s="46" t="n">
        <f aca="false">IF(OR(I3515="DNB",I3515="Dry DNB"),1,0)</f>
        <v>0</v>
      </c>
      <c r="Z3515" s="0" t="str">
        <f aca="false">IF(ISNUMBER(W3515),A3515-W3515,"")</f>
        <v/>
      </c>
      <c r="AA3515" s="46" t="n">
        <f aca="false">MATCH(A3515,DATAS,0)</f>
        <v>1</v>
      </c>
      <c r="AB3515" s="46" t="n">
        <f aca="false">IF(AND(E3515&gt;0,OR(AND(B3515&gt;=1,B3515&lt;=6),B3515=10)),1,0)</f>
        <v>0</v>
      </c>
      <c r="AC3515" s="46" t="n">
        <f aca="false">IF(AND(E3515&gt;0,B3515=10),1,0)</f>
        <v>0</v>
      </c>
      <c r="AD3515" s="0" t="str">
        <f aca="false">IF(AND(C3514=C3515,AA3514=AA3515-1),AB3514,"")</f>
        <v/>
      </c>
      <c r="AE3515" s="0" t="str">
        <f aca="false">IF(AND(C3514=C3515,AA3514=AA3515-1),AC3514,"")</f>
        <v/>
      </c>
      <c r="AF3515" s="0" t="str">
        <f aca="false">IF(AA3515=1,"",IF(AND(AB3515=1,AD3515&lt;&gt;1),1,0))</f>
        <v/>
      </c>
      <c r="AG3515" s="0" t="str">
        <f aca="false">IF(AA3515=1,"",IF(AND(AC3515=1,AE3515&lt;&gt;1),1,0))</f>
        <v/>
      </c>
      <c r="AH3515" s="51" t="str">
        <f aca="false">IF(AND(E3515&gt;0,AA3515&lt;1,NOT(AND(C3516=C3515,AA3516=AA3515+1))),INDEX(DATAS,AA3515+1),"")</f>
        <v/>
      </c>
      <c r="AI3515" s="51" t="str">
        <f aca="false">IF(AND(AC3515=1,AA3515&lt;1),IF(AND(C3516=C3515,AA3516=AA3515+1),IF(AC3516=1,"",INDEX(DATAS,AA3515+1)),INDEX(DATAS,AA3515+1)),"")</f>
        <v/>
      </c>
    </row>
    <row r="3516" customFormat="false" ht="15" hidden="false" customHeight="false" outlineLevel="0" collapsed="false">
      <c r="A3516" s="51" t="n">
        <v>46309</v>
      </c>
      <c r="B3516" s="0" t="n">
        <v>16</v>
      </c>
      <c r="C3516" s="0" t="n">
        <v>7963</v>
      </c>
      <c r="E3516" s="0" t="n">
        <v>0</v>
      </c>
      <c r="F3516" s="46" t="s">
        <v>1619</v>
      </c>
      <c r="I3516" s="46" t="s">
        <v>179</v>
      </c>
      <c r="U3516" s="0" t="n">
        <v>84</v>
      </c>
      <c r="V3516" s="0" t="n">
        <v>0</v>
      </c>
      <c r="X3516" s="46" t="n">
        <f aca="false">IF(I3516="Male",0,1)</f>
        <v>1</v>
      </c>
      <c r="Y3516" s="46" t="n">
        <f aca="false">IF(OR(I3516="DNB",I3516="Dry DNB"),1,0)</f>
        <v>0</v>
      </c>
      <c r="Z3516" s="0" t="str">
        <f aca="false">IF(ISNUMBER(W3516),A3516-W3516,"")</f>
        <v/>
      </c>
      <c r="AA3516" s="46" t="n">
        <f aca="false">MATCH(A3516,DATAS,0)</f>
        <v>1</v>
      </c>
      <c r="AB3516" s="46" t="n">
        <f aca="false">IF(AND(E3516&gt;0,OR(AND(B3516&gt;=1,B3516&lt;=6),B3516=10)),1,0)</f>
        <v>0</v>
      </c>
      <c r="AC3516" s="46" t="n">
        <f aca="false">IF(AND(E3516&gt;0,B3516=10),1,0)</f>
        <v>0</v>
      </c>
      <c r="AD3516" s="0" t="str">
        <f aca="false">IF(AND(C3515=C3516,AA3515=AA3516-1),AB3515,"")</f>
        <v/>
      </c>
      <c r="AE3516" s="0" t="str">
        <f aca="false">IF(AND(C3515=C3516,AA3515=AA3516-1),AC3515,"")</f>
        <v/>
      </c>
      <c r="AF3516" s="0" t="str">
        <f aca="false">IF(AA3516=1,"",IF(AND(AB3516=1,AD3516&lt;&gt;1),1,0))</f>
        <v/>
      </c>
      <c r="AG3516" s="0" t="str">
        <f aca="false">IF(AA3516=1,"",IF(AND(AC3516=1,AE3516&lt;&gt;1),1,0))</f>
        <v/>
      </c>
      <c r="AH3516" s="51" t="str">
        <f aca="false">IF(AND(E3516&gt;0,AA3516&lt;1,NOT(AND(C3517=C3516,AA3517=AA3516+1))),INDEX(DATAS,AA3516+1),"")</f>
        <v/>
      </c>
      <c r="AI3516" s="51" t="str">
        <f aca="false">IF(AND(AC3516=1,AA3516&lt;1),IF(AND(C3517=C3516,AA3517=AA3516+1),IF(AC3517=1,"",INDEX(DATAS,AA3516+1)),INDEX(DATAS,AA3516+1)),"")</f>
        <v/>
      </c>
    </row>
    <row r="3517" customFormat="false" ht="15" hidden="false" customHeight="false" outlineLevel="0" collapsed="false">
      <c r="A3517" s="51" t="n">
        <v>46309</v>
      </c>
      <c r="B3517" s="0" t="n">
        <v>16</v>
      </c>
      <c r="C3517" s="0" t="n">
        <v>7964</v>
      </c>
      <c r="E3517" s="0" t="n">
        <v>0</v>
      </c>
      <c r="F3517" s="46" t="s">
        <v>1620</v>
      </c>
      <c r="I3517" s="46" t="s">
        <v>179</v>
      </c>
      <c r="U3517" s="0" t="n">
        <v>83</v>
      </c>
      <c r="V3517" s="0" t="n">
        <v>0</v>
      </c>
      <c r="X3517" s="46" t="n">
        <f aca="false">IF(I3517="Male",0,1)</f>
        <v>1</v>
      </c>
      <c r="Y3517" s="46" t="n">
        <f aca="false">IF(OR(I3517="DNB",I3517="Dry DNB"),1,0)</f>
        <v>0</v>
      </c>
      <c r="Z3517" s="0" t="str">
        <f aca="false">IF(ISNUMBER(W3517),A3517-W3517,"")</f>
        <v/>
      </c>
      <c r="AA3517" s="46" t="n">
        <f aca="false">MATCH(A3517,DATAS,0)</f>
        <v>1</v>
      </c>
      <c r="AB3517" s="46" t="n">
        <f aca="false">IF(AND(E3517&gt;0,OR(AND(B3517&gt;=1,B3517&lt;=6),B3517=10)),1,0)</f>
        <v>0</v>
      </c>
      <c r="AC3517" s="46" t="n">
        <f aca="false">IF(AND(E3517&gt;0,B3517=10),1,0)</f>
        <v>0</v>
      </c>
      <c r="AD3517" s="0" t="str">
        <f aca="false">IF(AND(C3516=C3517,AA3516=AA3517-1),AB3516,"")</f>
        <v/>
      </c>
      <c r="AE3517" s="0" t="str">
        <f aca="false">IF(AND(C3516=C3517,AA3516=AA3517-1),AC3516,"")</f>
        <v/>
      </c>
      <c r="AF3517" s="0" t="str">
        <f aca="false">IF(AA3517=1,"",IF(AND(AB3517=1,AD3517&lt;&gt;1),1,0))</f>
        <v/>
      </c>
      <c r="AG3517" s="0" t="str">
        <f aca="false">IF(AA3517=1,"",IF(AND(AC3517=1,AE3517&lt;&gt;1),1,0))</f>
        <v/>
      </c>
      <c r="AH3517" s="51" t="str">
        <f aca="false">IF(AND(E3517&gt;0,AA3517&lt;1,NOT(AND(C3518=C3517,AA3518=AA3517+1))),INDEX(DATAS,AA3517+1),"")</f>
        <v/>
      </c>
      <c r="AI3517" s="51" t="str">
        <f aca="false">IF(AND(AC3517=1,AA3517&lt;1),IF(AND(C3518=C3517,AA3518=AA3517+1),IF(AC3518=1,"",INDEX(DATAS,AA3517+1)),INDEX(DATAS,AA3517+1)),"")</f>
        <v/>
      </c>
    </row>
    <row r="3518" customFormat="false" ht="15" hidden="false" customHeight="false" outlineLevel="0" collapsed="false">
      <c r="A3518" s="51" t="n">
        <v>46309</v>
      </c>
      <c r="B3518" s="0" t="n">
        <v>16</v>
      </c>
      <c r="C3518" s="0" t="n">
        <v>7965</v>
      </c>
      <c r="E3518" s="0" t="n">
        <v>0</v>
      </c>
      <c r="F3518" s="46" t="s">
        <v>1620</v>
      </c>
      <c r="I3518" s="46" t="s">
        <v>179</v>
      </c>
      <c r="U3518" s="0" t="n">
        <v>83</v>
      </c>
      <c r="V3518" s="0" t="n">
        <v>0</v>
      </c>
      <c r="X3518" s="46" t="n">
        <f aca="false">IF(I3518="Male",0,1)</f>
        <v>1</v>
      </c>
      <c r="Y3518" s="46" t="n">
        <f aca="false">IF(OR(I3518="DNB",I3518="Dry DNB"),1,0)</f>
        <v>0</v>
      </c>
      <c r="Z3518" s="0" t="str">
        <f aca="false">IF(ISNUMBER(W3518),A3518-W3518,"")</f>
        <v/>
      </c>
      <c r="AA3518" s="46" t="n">
        <f aca="false">MATCH(A3518,DATAS,0)</f>
        <v>1</v>
      </c>
      <c r="AB3518" s="46" t="n">
        <f aca="false">IF(AND(E3518&gt;0,OR(AND(B3518&gt;=1,B3518&lt;=6),B3518=10)),1,0)</f>
        <v>0</v>
      </c>
      <c r="AC3518" s="46" t="n">
        <f aca="false">IF(AND(E3518&gt;0,B3518=10),1,0)</f>
        <v>0</v>
      </c>
      <c r="AD3518" s="0" t="str">
        <f aca="false">IF(AND(C3517=C3518,AA3517=AA3518-1),AB3517,"")</f>
        <v/>
      </c>
      <c r="AE3518" s="0" t="str">
        <f aca="false">IF(AND(C3517=C3518,AA3517=AA3518-1),AC3517,"")</f>
        <v/>
      </c>
      <c r="AF3518" s="0" t="str">
        <f aca="false">IF(AA3518=1,"",IF(AND(AB3518=1,AD3518&lt;&gt;1),1,0))</f>
        <v/>
      </c>
      <c r="AG3518" s="0" t="str">
        <f aca="false">IF(AA3518=1,"",IF(AND(AC3518=1,AE3518&lt;&gt;1),1,0))</f>
        <v/>
      </c>
      <c r="AH3518" s="51" t="str">
        <f aca="false">IF(AND(E3518&gt;0,AA3518&lt;1,NOT(AND(C3519=C3518,AA3519=AA3518+1))),INDEX(DATAS,AA3518+1),"")</f>
        <v/>
      </c>
      <c r="AI3518" s="51" t="str">
        <f aca="false">IF(AND(AC3518=1,AA3518&lt;1),IF(AND(C3519=C3518,AA3519=AA3518+1),IF(AC3519=1,"",INDEX(DATAS,AA3518+1)),INDEX(DATAS,AA3518+1)),"")</f>
        <v/>
      </c>
    </row>
    <row r="3519" customFormat="false" ht="15" hidden="false" customHeight="false" outlineLevel="0" collapsed="false">
      <c r="A3519" s="51" t="n">
        <v>46309</v>
      </c>
      <c r="B3519" s="0" t="n">
        <v>16</v>
      </c>
      <c r="C3519" s="0" t="n">
        <v>7966</v>
      </c>
      <c r="E3519" s="0" t="n">
        <v>0</v>
      </c>
      <c r="F3519" s="46" t="s">
        <v>1621</v>
      </c>
      <c r="I3519" s="46" t="s">
        <v>179</v>
      </c>
      <c r="U3519" s="0" t="n">
        <v>82</v>
      </c>
      <c r="V3519" s="0" t="n">
        <v>0</v>
      </c>
      <c r="X3519" s="46" t="n">
        <f aca="false">IF(I3519="Male",0,1)</f>
        <v>1</v>
      </c>
      <c r="Y3519" s="46" t="n">
        <f aca="false">IF(OR(I3519="DNB",I3519="Dry DNB"),1,0)</f>
        <v>0</v>
      </c>
      <c r="Z3519" s="0" t="str">
        <f aca="false">IF(ISNUMBER(W3519),A3519-W3519,"")</f>
        <v/>
      </c>
      <c r="AA3519" s="46" t="n">
        <f aca="false">MATCH(A3519,DATAS,0)</f>
        <v>1</v>
      </c>
      <c r="AB3519" s="46" t="n">
        <f aca="false">IF(AND(E3519&gt;0,OR(AND(B3519&gt;=1,B3519&lt;=6),B3519=10)),1,0)</f>
        <v>0</v>
      </c>
      <c r="AC3519" s="46" t="n">
        <f aca="false">IF(AND(E3519&gt;0,B3519=10),1,0)</f>
        <v>0</v>
      </c>
      <c r="AD3519" s="0" t="str">
        <f aca="false">IF(AND(C3518=C3519,AA3518=AA3519-1),AB3518,"")</f>
        <v/>
      </c>
      <c r="AE3519" s="0" t="str">
        <f aca="false">IF(AND(C3518=C3519,AA3518=AA3519-1),AC3518,"")</f>
        <v/>
      </c>
      <c r="AF3519" s="0" t="str">
        <f aca="false">IF(AA3519=1,"",IF(AND(AB3519=1,AD3519&lt;&gt;1),1,0))</f>
        <v/>
      </c>
      <c r="AG3519" s="0" t="str">
        <f aca="false">IF(AA3519=1,"",IF(AND(AC3519=1,AE3519&lt;&gt;1),1,0))</f>
        <v/>
      </c>
      <c r="AH3519" s="51" t="str">
        <f aca="false">IF(AND(E3519&gt;0,AA3519&lt;1,NOT(AND(C3520=C3519,AA3520=AA3519+1))),INDEX(DATAS,AA3519+1),"")</f>
        <v/>
      </c>
      <c r="AI3519" s="51" t="str">
        <f aca="false">IF(AND(AC3519=1,AA3519&lt;1),IF(AND(C3520=C3519,AA3520=AA3519+1),IF(AC3520=1,"",INDEX(DATAS,AA3519+1)),INDEX(DATAS,AA3519+1)),"")</f>
        <v/>
      </c>
    </row>
    <row r="3520" customFormat="false" ht="15" hidden="false" customHeight="false" outlineLevel="0" collapsed="false">
      <c r="A3520" s="51" t="n">
        <v>46309</v>
      </c>
      <c r="B3520" s="0" t="n">
        <v>16</v>
      </c>
      <c r="C3520" s="0" t="n">
        <v>7967</v>
      </c>
      <c r="E3520" s="0" t="n">
        <v>0</v>
      </c>
      <c r="F3520" s="46" t="s">
        <v>1621</v>
      </c>
      <c r="I3520" s="46" t="s">
        <v>179</v>
      </c>
      <c r="U3520" s="0" t="n">
        <v>82</v>
      </c>
      <c r="V3520" s="0" t="n">
        <v>0</v>
      </c>
      <c r="X3520" s="46" t="n">
        <f aca="false">IF(I3520="Male",0,1)</f>
        <v>1</v>
      </c>
      <c r="Y3520" s="46" t="n">
        <f aca="false">IF(OR(I3520="DNB",I3520="Dry DNB"),1,0)</f>
        <v>0</v>
      </c>
      <c r="Z3520" s="0" t="str">
        <f aca="false">IF(ISNUMBER(W3520),A3520-W3520,"")</f>
        <v/>
      </c>
      <c r="AA3520" s="46" t="n">
        <f aca="false">MATCH(A3520,DATAS,0)</f>
        <v>1</v>
      </c>
      <c r="AB3520" s="46" t="n">
        <f aca="false">IF(AND(E3520&gt;0,OR(AND(B3520&gt;=1,B3520&lt;=6),B3520=10)),1,0)</f>
        <v>0</v>
      </c>
      <c r="AC3520" s="46" t="n">
        <f aca="false">IF(AND(E3520&gt;0,B3520=10),1,0)</f>
        <v>0</v>
      </c>
      <c r="AD3520" s="0" t="str">
        <f aca="false">IF(AND(C3519=C3520,AA3519=AA3520-1),AB3519,"")</f>
        <v/>
      </c>
      <c r="AE3520" s="0" t="str">
        <f aca="false">IF(AND(C3519=C3520,AA3519=AA3520-1),AC3519,"")</f>
        <v/>
      </c>
      <c r="AF3520" s="0" t="str">
        <f aca="false">IF(AA3520=1,"",IF(AND(AB3520=1,AD3520&lt;&gt;1),1,0))</f>
        <v/>
      </c>
      <c r="AG3520" s="0" t="str">
        <f aca="false">IF(AA3520=1,"",IF(AND(AC3520=1,AE3520&lt;&gt;1),1,0))</f>
        <v/>
      </c>
      <c r="AH3520" s="51" t="str">
        <f aca="false">IF(AND(E3520&gt;0,AA3520&lt;1,NOT(AND(C3521=C3520,AA3521=AA3520+1))),INDEX(DATAS,AA3520+1),"")</f>
        <v/>
      </c>
      <c r="AI3520" s="51" t="str">
        <f aca="false">IF(AND(AC3520=1,AA3520&lt;1),IF(AND(C3521=C3520,AA3521=AA3520+1),IF(AC3521=1,"",INDEX(DATAS,AA3520+1)),INDEX(DATAS,AA3520+1)),"")</f>
        <v/>
      </c>
    </row>
    <row r="3521" customFormat="false" ht="15" hidden="false" customHeight="false" outlineLevel="0" collapsed="false">
      <c r="A3521" s="51" t="n">
        <v>46309</v>
      </c>
      <c r="B3521" s="0" t="n">
        <v>16</v>
      </c>
      <c r="C3521" s="0" t="n">
        <v>7968</v>
      </c>
      <c r="E3521" s="0" t="n">
        <v>0</v>
      </c>
      <c r="F3521" s="46" t="s">
        <v>1622</v>
      </c>
      <c r="I3521" s="46" t="s">
        <v>179</v>
      </c>
      <c r="U3521" s="0" t="n">
        <v>81</v>
      </c>
      <c r="V3521" s="0" t="n">
        <v>0</v>
      </c>
      <c r="X3521" s="46" t="n">
        <f aca="false">IF(I3521="Male",0,1)</f>
        <v>1</v>
      </c>
      <c r="Y3521" s="46" t="n">
        <f aca="false">IF(OR(I3521="DNB",I3521="Dry DNB"),1,0)</f>
        <v>0</v>
      </c>
      <c r="Z3521" s="0" t="str">
        <f aca="false">IF(ISNUMBER(W3521),A3521-W3521,"")</f>
        <v/>
      </c>
      <c r="AA3521" s="46" t="n">
        <f aca="false">MATCH(A3521,DATAS,0)</f>
        <v>1</v>
      </c>
      <c r="AB3521" s="46" t="n">
        <f aca="false">IF(AND(E3521&gt;0,OR(AND(B3521&gt;=1,B3521&lt;=6),B3521=10)),1,0)</f>
        <v>0</v>
      </c>
      <c r="AC3521" s="46" t="n">
        <f aca="false">IF(AND(E3521&gt;0,B3521=10),1,0)</f>
        <v>0</v>
      </c>
      <c r="AD3521" s="0" t="str">
        <f aca="false">IF(AND(C3520=C3521,AA3520=AA3521-1),AB3520,"")</f>
        <v/>
      </c>
      <c r="AE3521" s="0" t="str">
        <f aca="false">IF(AND(C3520=C3521,AA3520=AA3521-1),AC3520,"")</f>
        <v/>
      </c>
      <c r="AF3521" s="0" t="str">
        <f aca="false">IF(AA3521=1,"",IF(AND(AB3521=1,AD3521&lt;&gt;1),1,0))</f>
        <v/>
      </c>
      <c r="AG3521" s="0" t="str">
        <f aca="false">IF(AA3521=1,"",IF(AND(AC3521=1,AE3521&lt;&gt;1),1,0))</f>
        <v/>
      </c>
      <c r="AH3521" s="51" t="str">
        <f aca="false">IF(AND(E3521&gt;0,AA3521&lt;1,NOT(AND(C3522=C3521,AA3522=AA3521+1))),INDEX(DATAS,AA3521+1),"")</f>
        <v/>
      </c>
      <c r="AI3521" s="51" t="str">
        <f aca="false">IF(AND(AC3521=1,AA3521&lt;1),IF(AND(C3522=C3521,AA3522=AA3521+1),IF(AC3522=1,"",INDEX(DATAS,AA3521+1)),INDEX(DATAS,AA3521+1)),"")</f>
        <v/>
      </c>
    </row>
    <row r="3522" customFormat="false" ht="15" hidden="false" customHeight="false" outlineLevel="0" collapsed="false">
      <c r="A3522" s="51" t="n">
        <v>46309</v>
      </c>
      <c r="B3522" s="0" t="n">
        <v>16</v>
      </c>
      <c r="C3522" s="0" t="n">
        <v>7970</v>
      </c>
      <c r="E3522" s="0" t="n">
        <v>0</v>
      </c>
      <c r="F3522" s="46" t="s">
        <v>1623</v>
      </c>
      <c r="I3522" s="46" t="s">
        <v>179</v>
      </c>
      <c r="U3522" s="0" t="n">
        <v>79</v>
      </c>
      <c r="V3522" s="0" t="n">
        <v>0</v>
      </c>
      <c r="X3522" s="46" t="n">
        <f aca="false">IF(I3522="Male",0,1)</f>
        <v>1</v>
      </c>
      <c r="Y3522" s="46" t="n">
        <f aca="false">IF(OR(I3522="DNB",I3522="Dry DNB"),1,0)</f>
        <v>0</v>
      </c>
      <c r="Z3522" s="0" t="str">
        <f aca="false">IF(ISNUMBER(W3522),A3522-W3522,"")</f>
        <v/>
      </c>
      <c r="AA3522" s="46" t="n">
        <f aca="false">MATCH(A3522,DATAS,0)</f>
        <v>1</v>
      </c>
      <c r="AB3522" s="46" t="n">
        <f aca="false">IF(AND(E3522&gt;0,OR(AND(B3522&gt;=1,B3522&lt;=6),B3522=10)),1,0)</f>
        <v>0</v>
      </c>
      <c r="AC3522" s="46" t="n">
        <f aca="false">IF(AND(E3522&gt;0,B3522=10),1,0)</f>
        <v>0</v>
      </c>
      <c r="AD3522" s="0" t="str">
        <f aca="false">IF(AND(C3521=C3522,AA3521=AA3522-1),AB3521,"")</f>
        <v/>
      </c>
      <c r="AE3522" s="0" t="str">
        <f aca="false">IF(AND(C3521=C3522,AA3521=AA3522-1),AC3521,"")</f>
        <v/>
      </c>
      <c r="AF3522" s="0" t="str">
        <f aca="false">IF(AA3522=1,"",IF(AND(AB3522=1,AD3522&lt;&gt;1),1,0))</f>
        <v/>
      </c>
      <c r="AG3522" s="0" t="str">
        <f aca="false">IF(AA3522=1,"",IF(AND(AC3522=1,AE3522&lt;&gt;1),1,0))</f>
        <v/>
      </c>
      <c r="AH3522" s="51" t="str">
        <f aca="false">IF(AND(E3522&gt;0,AA3522&lt;1,NOT(AND(C3523=C3522,AA3523=AA3522+1))),INDEX(DATAS,AA3522+1),"")</f>
        <v/>
      </c>
      <c r="AI3522" s="51" t="str">
        <f aca="false">IF(AND(AC3522=1,AA3522&lt;1),IF(AND(C3523=C3522,AA3523=AA3522+1),IF(AC3523=1,"",INDEX(DATAS,AA3522+1)),INDEX(DATAS,AA3522+1)),"")</f>
        <v/>
      </c>
    </row>
    <row r="3523" customFormat="false" ht="15" hidden="false" customHeight="false" outlineLevel="0" collapsed="false">
      <c r="A3523" s="51" t="n">
        <v>46309</v>
      </c>
      <c r="B3523" s="0" t="n">
        <v>16</v>
      </c>
      <c r="C3523" s="0" t="n">
        <v>7971</v>
      </c>
      <c r="E3523" s="0" t="n">
        <v>0</v>
      </c>
      <c r="F3523" s="46" t="s">
        <v>1623</v>
      </c>
      <c r="I3523" s="46" t="s">
        <v>179</v>
      </c>
      <c r="U3523" s="0" t="n">
        <v>79</v>
      </c>
      <c r="V3523" s="0" t="n">
        <v>0</v>
      </c>
      <c r="X3523" s="46" t="n">
        <f aca="false">IF(I3523="Male",0,1)</f>
        <v>1</v>
      </c>
      <c r="Y3523" s="46" t="n">
        <f aca="false">IF(OR(I3523="DNB",I3523="Dry DNB"),1,0)</f>
        <v>0</v>
      </c>
      <c r="Z3523" s="0" t="str">
        <f aca="false">IF(ISNUMBER(W3523),A3523-W3523,"")</f>
        <v/>
      </c>
      <c r="AA3523" s="46" t="n">
        <f aca="false">MATCH(A3523,DATAS,0)</f>
        <v>1</v>
      </c>
      <c r="AB3523" s="46" t="n">
        <f aca="false">IF(AND(E3523&gt;0,OR(AND(B3523&gt;=1,B3523&lt;=6),B3523=10)),1,0)</f>
        <v>0</v>
      </c>
      <c r="AC3523" s="46" t="n">
        <f aca="false">IF(AND(E3523&gt;0,B3523=10),1,0)</f>
        <v>0</v>
      </c>
      <c r="AD3523" s="0" t="str">
        <f aca="false">IF(AND(C3522=C3523,AA3522=AA3523-1),AB3522,"")</f>
        <v/>
      </c>
      <c r="AE3523" s="0" t="str">
        <f aca="false">IF(AND(C3522=C3523,AA3522=AA3523-1),AC3522,"")</f>
        <v/>
      </c>
      <c r="AF3523" s="0" t="str">
        <f aca="false">IF(AA3523=1,"",IF(AND(AB3523=1,AD3523&lt;&gt;1),1,0))</f>
        <v/>
      </c>
      <c r="AG3523" s="0" t="str">
        <f aca="false">IF(AA3523=1,"",IF(AND(AC3523=1,AE3523&lt;&gt;1),1,0))</f>
        <v/>
      </c>
      <c r="AH3523" s="51" t="str">
        <f aca="false">IF(AND(E3523&gt;0,AA3523&lt;1,NOT(AND(C3524=C3523,AA3524=AA3523+1))),INDEX(DATAS,AA3523+1),"")</f>
        <v/>
      </c>
      <c r="AI3523" s="51" t="str">
        <f aca="false">IF(AND(AC3523=1,AA3523&lt;1),IF(AND(C3524=C3523,AA3524=AA3523+1),IF(AC3524=1,"",INDEX(DATAS,AA3523+1)),INDEX(DATAS,AA3523+1)),"")</f>
        <v/>
      </c>
    </row>
    <row r="3524" customFormat="false" ht="15" hidden="false" customHeight="false" outlineLevel="0" collapsed="false">
      <c r="A3524" s="51" t="n">
        <v>46309</v>
      </c>
      <c r="B3524" s="0" t="n">
        <v>16</v>
      </c>
      <c r="C3524" s="0" t="n">
        <v>7973</v>
      </c>
      <c r="E3524" s="0" t="n">
        <v>0</v>
      </c>
      <c r="F3524" s="46" t="s">
        <v>1624</v>
      </c>
      <c r="I3524" s="46" t="s">
        <v>179</v>
      </c>
      <c r="U3524" s="0" t="n">
        <v>78</v>
      </c>
      <c r="V3524" s="0" t="n">
        <v>0</v>
      </c>
      <c r="X3524" s="46" t="n">
        <f aca="false">IF(I3524="Male",0,1)</f>
        <v>1</v>
      </c>
      <c r="Y3524" s="46" t="n">
        <f aca="false">IF(OR(I3524="DNB",I3524="Dry DNB"),1,0)</f>
        <v>0</v>
      </c>
      <c r="Z3524" s="0" t="str">
        <f aca="false">IF(ISNUMBER(W3524),A3524-W3524,"")</f>
        <v/>
      </c>
      <c r="AA3524" s="46" t="n">
        <f aca="false">MATCH(A3524,DATAS,0)</f>
        <v>1</v>
      </c>
      <c r="AB3524" s="46" t="n">
        <f aca="false">IF(AND(E3524&gt;0,OR(AND(B3524&gt;=1,B3524&lt;=6),B3524=10)),1,0)</f>
        <v>0</v>
      </c>
      <c r="AC3524" s="46" t="n">
        <f aca="false">IF(AND(E3524&gt;0,B3524=10),1,0)</f>
        <v>0</v>
      </c>
      <c r="AD3524" s="0" t="str">
        <f aca="false">IF(AND(C3523=C3524,AA3523=AA3524-1),AB3523,"")</f>
        <v/>
      </c>
      <c r="AE3524" s="0" t="str">
        <f aca="false">IF(AND(C3523=C3524,AA3523=AA3524-1),AC3523,"")</f>
        <v/>
      </c>
      <c r="AF3524" s="0" t="str">
        <f aca="false">IF(AA3524=1,"",IF(AND(AB3524=1,AD3524&lt;&gt;1),1,0))</f>
        <v/>
      </c>
      <c r="AG3524" s="0" t="str">
        <f aca="false">IF(AA3524=1,"",IF(AND(AC3524=1,AE3524&lt;&gt;1),1,0))</f>
        <v/>
      </c>
      <c r="AH3524" s="51" t="str">
        <f aca="false">IF(AND(E3524&gt;0,AA3524&lt;1,NOT(AND(C3525=C3524,AA3525=AA3524+1))),INDEX(DATAS,AA3524+1),"")</f>
        <v/>
      </c>
      <c r="AI3524" s="51" t="str">
        <f aca="false">IF(AND(AC3524=1,AA3524&lt;1),IF(AND(C3525=C3524,AA3525=AA3524+1),IF(AC3525=1,"",INDEX(DATAS,AA3524+1)),INDEX(DATAS,AA3524+1)),"")</f>
        <v/>
      </c>
    </row>
    <row r="3525" customFormat="false" ht="15" hidden="false" customHeight="false" outlineLevel="0" collapsed="false">
      <c r="A3525" s="51" t="n">
        <v>46309</v>
      </c>
      <c r="B3525" s="0" t="n">
        <v>16</v>
      </c>
      <c r="C3525" s="0" t="n">
        <v>7974</v>
      </c>
      <c r="E3525" s="0" t="n">
        <v>0</v>
      </c>
      <c r="F3525" s="46" t="s">
        <v>1624</v>
      </c>
      <c r="I3525" s="46" t="s">
        <v>179</v>
      </c>
      <c r="U3525" s="0" t="n">
        <v>78</v>
      </c>
      <c r="V3525" s="0" t="n">
        <v>0</v>
      </c>
      <c r="X3525" s="46" t="n">
        <f aca="false">IF(I3525="Male",0,1)</f>
        <v>1</v>
      </c>
      <c r="Y3525" s="46" t="n">
        <f aca="false">IF(OR(I3525="DNB",I3525="Dry DNB"),1,0)</f>
        <v>0</v>
      </c>
      <c r="Z3525" s="0" t="str">
        <f aca="false">IF(ISNUMBER(W3525),A3525-W3525,"")</f>
        <v/>
      </c>
      <c r="AA3525" s="46" t="n">
        <f aca="false">MATCH(A3525,DATAS,0)</f>
        <v>1</v>
      </c>
      <c r="AB3525" s="46" t="n">
        <f aca="false">IF(AND(E3525&gt;0,OR(AND(B3525&gt;=1,B3525&lt;=6),B3525=10)),1,0)</f>
        <v>0</v>
      </c>
      <c r="AC3525" s="46" t="n">
        <f aca="false">IF(AND(E3525&gt;0,B3525=10),1,0)</f>
        <v>0</v>
      </c>
      <c r="AD3525" s="0" t="str">
        <f aca="false">IF(AND(C3524=C3525,AA3524=AA3525-1),AB3524,"")</f>
        <v/>
      </c>
      <c r="AE3525" s="0" t="str">
        <f aca="false">IF(AND(C3524=C3525,AA3524=AA3525-1),AC3524,"")</f>
        <v/>
      </c>
      <c r="AF3525" s="0" t="str">
        <f aca="false">IF(AA3525=1,"",IF(AND(AB3525=1,AD3525&lt;&gt;1),1,0))</f>
        <v/>
      </c>
      <c r="AG3525" s="0" t="str">
        <f aca="false">IF(AA3525=1,"",IF(AND(AC3525=1,AE3525&lt;&gt;1),1,0))</f>
        <v/>
      </c>
      <c r="AH3525" s="51" t="str">
        <f aca="false">IF(AND(E3525&gt;0,AA3525&lt;1,NOT(AND(C3526=C3525,AA3526=AA3525+1))),INDEX(DATAS,AA3525+1),"")</f>
        <v/>
      </c>
      <c r="AI3525" s="51" t="str">
        <f aca="false">IF(AND(AC3525=1,AA3525&lt;1),IF(AND(C3526=C3525,AA3526=AA3525+1),IF(AC3526=1,"",INDEX(DATAS,AA3525+1)),INDEX(DATAS,AA3525+1)),"")</f>
        <v/>
      </c>
    </row>
    <row r="3526" customFormat="false" ht="15" hidden="false" customHeight="false" outlineLevel="0" collapsed="false">
      <c r="A3526" s="51" t="n">
        <v>46309</v>
      </c>
      <c r="B3526" s="0" t="n">
        <v>16</v>
      </c>
      <c r="C3526" s="0" t="n">
        <v>7975</v>
      </c>
      <c r="E3526" s="0" t="n">
        <v>0</v>
      </c>
      <c r="F3526" s="46" t="s">
        <v>1624</v>
      </c>
      <c r="I3526" s="46" t="s">
        <v>179</v>
      </c>
      <c r="U3526" s="0" t="n">
        <v>78</v>
      </c>
      <c r="V3526" s="0" t="n">
        <v>0</v>
      </c>
      <c r="X3526" s="46" t="n">
        <f aca="false">IF(I3526="Male",0,1)</f>
        <v>1</v>
      </c>
      <c r="Y3526" s="46" t="n">
        <f aca="false">IF(OR(I3526="DNB",I3526="Dry DNB"),1,0)</f>
        <v>0</v>
      </c>
      <c r="Z3526" s="0" t="str">
        <f aca="false">IF(ISNUMBER(W3526),A3526-W3526,"")</f>
        <v/>
      </c>
      <c r="AA3526" s="46" t="n">
        <f aca="false">MATCH(A3526,DATAS,0)</f>
        <v>1</v>
      </c>
      <c r="AB3526" s="46" t="n">
        <f aca="false">IF(AND(E3526&gt;0,OR(AND(B3526&gt;=1,B3526&lt;=6),B3526=10)),1,0)</f>
        <v>0</v>
      </c>
      <c r="AC3526" s="46" t="n">
        <f aca="false">IF(AND(E3526&gt;0,B3526=10),1,0)</f>
        <v>0</v>
      </c>
      <c r="AD3526" s="0" t="str">
        <f aca="false">IF(AND(C3525=C3526,AA3525=AA3526-1),AB3525,"")</f>
        <v/>
      </c>
      <c r="AE3526" s="0" t="str">
        <f aca="false">IF(AND(C3525=C3526,AA3525=AA3526-1),AC3525,"")</f>
        <v/>
      </c>
      <c r="AF3526" s="0" t="str">
        <f aca="false">IF(AA3526=1,"",IF(AND(AB3526=1,AD3526&lt;&gt;1),1,0))</f>
        <v/>
      </c>
      <c r="AG3526" s="0" t="str">
        <f aca="false">IF(AA3526=1,"",IF(AND(AC3526=1,AE3526&lt;&gt;1),1,0))</f>
        <v/>
      </c>
      <c r="AH3526" s="51" t="str">
        <f aca="false">IF(AND(E3526&gt;0,AA3526&lt;1,NOT(AND(C3527=C3526,AA3527=AA3526+1))),INDEX(DATAS,AA3526+1),"")</f>
        <v/>
      </c>
      <c r="AI3526" s="51" t="str">
        <f aca="false">IF(AND(AC3526=1,AA3526&lt;1),IF(AND(C3527=C3526,AA3527=AA3526+1),IF(AC3527=1,"",INDEX(DATAS,AA3526+1)),INDEX(DATAS,AA3526+1)),"")</f>
        <v/>
      </c>
    </row>
    <row r="3527" customFormat="false" ht="15" hidden="false" customHeight="false" outlineLevel="0" collapsed="false">
      <c r="A3527" s="51" t="n">
        <v>46309</v>
      </c>
      <c r="B3527" s="0" t="n">
        <v>16</v>
      </c>
      <c r="C3527" s="0" t="n">
        <v>7977</v>
      </c>
      <c r="E3527" s="0" t="n">
        <v>0</v>
      </c>
      <c r="F3527" s="46" t="s">
        <v>1625</v>
      </c>
      <c r="I3527" s="46" t="s">
        <v>179</v>
      </c>
      <c r="U3527" s="0" t="n">
        <v>77</v>
      </c>
      <c r="V3527" s="0" t="n">
        <v>0</v>
      </c>
      <c r="X3527" s="46" t="n">
        <f aca="false">IF(I3527="Male",0,1)</f>
        <v>1</v>
      </c>
      <c r="Y3527" s="46" t="n">
        <f aca="false">IF(OR(I3527="DNB",I3527="Dry DNB"),1,0)</f>
        <v>0</v>
      </c>
      <c r="Z3527" s="0" t="str">
        <f aca="false">IF(ISNUMBER(W3527),A3527-W3527,"")</f>
        <v/>
      </c>
      <c r="AA3527" s="46" t="n">
        <f aca="false">MATCH(A3527,DATAS,0)</f>
        <v>1</v>
      </c>
      <c r="AB3527" s="46" t="n">
        <f aca="false">IF(AND(E3527&gt;0,OR(AND(B3527&gt;=1,B3527&lt;=6),B3527=10)),1,0)</f>
        <v>0</v>
      </c>
      <c r="AC3527" s="46" t="n">
        <f aca="false">IF(AND(E3527&gt;0,B3527=10),1,0)</f>
        <v>0</v>
      </c>
      <c r="AD3527" s="0" t="str">
        <f aca="false">IF(AND(C3526=C3527,AA3526=AA3527-1),AB3526,"")</f>
        <v/>
      </c>
      <c r="AE3527" s="0" t="str">
        <f aca="false">IF(AND(C3526=C3527,AA3526=AA3527-1),AC3526,"")</f>
        <v/>
      </c>
      <c r="AF3527" s="0" t="str">
        <f aca="false">IF(AA3527=1,"",IF(AND(AB3527=1,AD3527&lt;&gt;1),1,0))</f>
        <v/>
      </c>
      <c r="AG3527" s="0" t="str">
        <f aca="false">IF(AA3527=1,"",IF(AND(AC3527=1,AE3527&lt;&gt;1),1,0))</f>
        <v/>
      </c>
      <c r="AH3527" s="51" t="str">
        <f aca="false">IF(AND(E3527&gt;0,AA3527&lt;1,NOT(AND(C3528=C3527,AA3528=AA3527+1))),INDEX(DATAS,AA3527+1),"")</f>
        <v/>
      </c>
      <c r="AI3527" s="51" t="str">
        <f aca="false">IF(AND(AC3527=1,AA3527&lt;1),IF(AND(C3528=C3527,AA3528=AA3527+1),IF(AC3528=1,"",INDEX(DATAS,AA3527+1)),INDEX(DATAS,AA3527+1)),"")</f>
        <v/>
      </c>
    </row>
    <row r="3528" customFormat="false" ht="15" hidden="false" customHeight="false" outlineLevel="0" collapsed="false">
      <c r="A3528" s="51" t="n">
        <v>46309</v>
      </c>
      <c r="B3528" s="0" t="n">
        <v>16</v>
      </c>
      <c r="C3528" s="0" t="n">
        <v>7979</v>
      </c>
      <c r="E3528" s="0" t="n">
        <v>0</v>
      </c>
      <c r="F3528" s="46" t="s">
        <v>1626</v>
      </c>
      <c r="I3528" s="46" t="s">
        <v>179</v>
      </c>
      <c r="U3528" s="0" t="n">
        <v>75</v>
      </c>
      <c r="V3528" s="0" t="n">
        <v>0</v>
      </c>
      <c r="X3528" s="46" t="n">
        <f aca="false">IF(I3528="Male",0,1)</f>
        <v>1</v>
      </c>
      <c r="Y3528" s="46" t="n">
        <f aca="false">IF(OR(I3528="DNB",I3528="Dry DNB"),1,0)</f>
        <v>0</v>
      </c>
      <c r="Z3528" s="0" t="str">
        <f aca="false">IF(ISNUMBER(W3528),A3528-W3528,"")</f>
        <v/>
      </c>
      <c r="AA3528" s="46" t="n">
        <f aca="false">MATCH(A3528,DATAS,0)</f>
        <v>1</v>
      </c>
      <c r="AB3528" s="46" t="n">
        <f aca="false">IF(AND(E3528&gt;0,OR(AND(B3528&gt;=1,B3528&lt;=6),B3528=10)),1,0)</f>
        <v>0</v>
      </c>
      <c r="AC3528" s="46" t="n">
        <f aca="false">IF(AND(E3528&gt;0,B3528=10),1,0)</f>
        <v>0</v>
      </c>
      <c r="AD3528" s="0" t="str">
        <f aca="false">IF(AND(C3527=C3528,AA3527=AA3528-1),AB3527,"")</f>
        <v/>
      </c>
      <c r="AE3528" s="0" t="str">
        <f aca="false">IF(AND(C3527=C3528,AA3527=AA3528-1),AC3527,"")</f>
        <v/>
      </c>
      <c r="AF3528" s="0" t="str">
        <f aca="false">IF(AA3528=1,"",IF(AND(AB3528=1,AD3528&lt;&gt;1),1,0))</f>
        <v/>
      </c>
      <c r="AG3528" s="0" t="str">
        <f aca="false">IF(AA3528=1,"",IF(AND(AC3528=1,AE3528&lt;&gt;1),1,0))</f>
        <v/>
      </c>
      <c r="AH3528" s="51" t="str">
        <f aca="false">IF(AND(E3528&gt;0,AA3528&lt;1,NOT(AND(C3529=C3528,AA3529=AA3528+1))),INDEX(DATAS,AA3528+1),"")</f>
        <v/>
      </c>
      <c r="AI3528" s="51" t="str">
        <f aca="false">IF(AND(AC3528=1,AA3528&lt;1),IF(AND(C3529=C3528,AA3529=AA3528+1),IF(AC3529=1,"",INDEX(DATAS,AA3528+1)),INDEX(DATAS,AA3528+1)),"")</f>
        <v/>
      </c>
    </row>
    <row r="3529" customFormat="false" ht="15" hidden="false" customHeight="false" outlineLevel="0" collapsed="false">
      <c r="A3529" s="51" t="n">
        <v>46309</v>
      </c>
      <c r="B3529" s="0" t="n">
        <v>16</v>
      </c>
      <c r="C3529" s="0" t="n">
        <v>7980</v>
      </c>
      <c r="E3529" s="0" t="n">
        <v>0</v>
      </c>
      <c r="F3529" s="46" t="s">
        <v>1626</v>
      </c>
      <c r="I3529" s="46" t="s">
        <v>179</v>
      </c>
      <c r="U3529" s="0" t="n">
        <v>75</v>
      </c>
      <c r="V3529" s="0" t="n">
        <v>0</v>
      </c>
      <c r="X3529" s="46" t="n">
        <f aca="false">IF(I3529="Male",0,1)</f>
        <v>1</v>
      </c>
      <c r="Y3529" s="46" t="n">
        <f aca="false">IF(OR(I3529="DNB",I3529="Dry DNB"),1,0)</f>
        <v>0</v>
      </c>
      <c r="Z3529" s="0" t="str">
        <f aca="false">IF(ISNUMBER(W3529),A3529-W3529,"")</f>
        <v/>
      </c>
      <c r="AA3529" s="46" t="n">
        <f aca="false">MATCH(A3529,DATAS,0)</f>
        <v>1</v>
      </c>
      <c r="AB3529" s="46" t="n">
        <f aca="false">IF(AND(E3529&gt;0,OR(AND(B3529&gt;=1,B3529&lt;=6),B3529=10)),1,0)</f>
        <v>0</v>
      </c>
      <c r="AC3529" s="46" t="n">
        <f aca="false">IF(AND(E3529&gt;0,B3529=10),1,0)</f>
        <v>0</v>
      </c>
      <c r="AD3529" s="0" t="str">
        <f aca="false">IF(AND(C3528=C3529,AA3528=AA3529-1),AB3528,"")</f>
        <v/>
      </c>
      <c r="AE3529" s="0" t="str">
        <f aca="false">IF(AND(C3528=C3529,AA3528=AA3529-1),AC3528,"")</f>
        <v/>
      </c>
      <c r="AF3529" s="0" t="str">
        <f aca="false">IF(AA3529=1,"",IF(AND(AB3529=1,AD3529&lt;&gt;1),1,0))</f>
        <v/>
      </c>
      <c r="AG3529" s="0" t="str">
        <f aca="false">IF(AA3529=1,"",IF(AND(AC3529=1,AE3529&lt;&gt;1),1,0))</f>
        <v/>
      </c>
      <c r="AH3529" s="51" t="str">
        <f aca="false">IF(AND(E3529&gt;0,AA3529&lt;1,NOT(AND(C3530=C3529,AA3530=AA3529+1))),INDEX(DATAS,AA3529+1),"")</f>
        <v/>
      </c>
      <c r="AI3529" s="51" t="str">
        <f aca="false">IF(AND(AC3529=1,AA3529&lt;1),IF(AND(C3530=C3529,AA3530=AA3529+1),IF(AC3530=1,"",INDEX(DATAS,AA3529+1)),INDEX(DATAS,AA3529+1)),"")</f>
        <v/>
      </c>
    </row>
    <row r="3530" customFormat="false" ht="15" hidden="false" customHeight="false" outlineLevel="0" collapsed="false">
      <c r="A3530" s="51" t="n">
        <v>46309</v>
      </c>
      <c r="B3530" s="0" t="n">
        <v>16</v>
      </c>
      <c r="C3530" s="0" t="n">
        <v>7981</v>
      </c>
      <c r="E3530" s="0" t="n">
        <v>0</v>
      </c>
      <c r="F3530" s="46" t="s">
        <v>1626</v>
      </c>
      <c r="I3530" s="46" t="s">
        <v>179</v>
      </c>
      <c r="U3530" s="0" t="n">
        <v>75</v>
      </c>
      <c r="V3530" s="0" t="n">
        <v>0</v>
      </c>
      <c r="X3530" s="46" t="n">
        <f aca="false">IF(I3530="Male",0,1)</f>
        <v>1</v>
      </c>
      <c r="Y3530" s="46" t="n">
        <f aca="false">IF(OR(I3530="DNB",I3530="Dry DNB"),1,0)</f>
        <v>0</v>
      </c>
      <c r="Z3530" s="0" t="str">
        <f aca="false">IF(ISNUMBER(W3530),A3530-W3530,"")</f>
        <v/>
      </c>
      <c r="AA3530" s="46" t="n">
        <f aca="false">MATCH(A3530,DATAS,0)</f>
        <v>1</v>
      </c>
      <c r="AB3530" s="46" t="n">
        <f aca="false">IF(AND(E3530&gt;0,OR(AND(B3530&gt;=1,B3530&lt;=6),B3530=10)),1,0)</f>
        <v>0</v>
      </c>
      <c r="AC3530" s="46" t="n">
        <f aca="false">IF(AND(E3530&gt;0,B3530=10),1,0)</f>
        <v>0</v>
      </c>
      <c r="AD3530" s="0" t="str">
        <f aca="false">IF(AND(C3529=C3530,AA3529=AA3530-1),AB3529,"")</f>
        <v/>
      </c>
      <c r="AE3530" s="0" t="str">
        <f aca="false">IF(AND(C3529=C3530,AA3529=AA3530-1),AC3529,"")</f>
        <v/>
      </c>
      <c r="AF3530" s="0" t="str">
        <f aca="false">IF(AA3530=1,"",IF(AND(AB3530=1,AD3530&lt;&gt;1),1,0))</f>
        <v/>
      </c>
      <c r="AG3530" s="0" t="str">
        <f aca="false">IF(AA3530=1,"",IF(AND(AC3530=1,AE3530&lt;&gt;1),1,0))</f>
        <v/>
      </c>
      <c r="AH3530" s="51" t="str">
        <f aca="false">IF(AND(E3530&gt;0,AA3530&lt;1,NOT(AND(C3531=C3530,AA3531=AA3530+1))),INDEX(DATAS,AA3530+1),"")</f>
        <v/>
      </c>
      <c r="AI3530" s="51" t="str">
        <f aca="false">IF(AND(AC3530=1,AA3530&lt;1),IF(AND(C3531=C3530,AA3531=AA3530+1),IF(AC3531=1,"",INDEX(DATAS,AA3530+1)),INDEX(DATAS,AA3530+1)),"")</f>
        <v/>
      </c>
    </row>
    <row r="3531" customFormat="false" ht="15" hidden="false" customHeight="false" outlineLevel="0" collapsed="false">
      <c r="A3531" s="51" t="n">
        <v>46309</v>
      </c>
      <c r="B3531" s="0" t="n">
        <v>16</v>
      </c>
      <c r="C3531" s="0" t="n">
        <v>7982</v>
      </c>
      <c r="E3531" s="0" t="n">
        <v>0</v>
      </c>
      <c r="F3531" s="46" t="s">
        <v>1626</v>
      </c>
      <c r="I3531" s="46" t="s">
        <v>179</v>
      </c>
      <c r="U3531" s="0" t="n">
        <v>75</v>
      </c>
      <c r="V3531" s="0" t="n">
        <v>0</v>
      </c>
      <c r="X3531" s="46" t="n">
        <f aca="false">IF(I3531="Male",0,1)</f>
        <v>1</v>
      </c>
      <c r="Y3531" s="46" t="n">
        <f aca="false">IF(OR(I3531="DNB",I3531="Dry DNB"),1,0)</f>
        <v>0</v>
      </c>
      <c r="Z3531" s="0" t="str">
        <f aca="false">IF(ISNUMBER(W3531),A3531-W3531,"")</f>
        <v/>
      </c>
      <c r="AA3531" s="46" t="n">
        <f aca="false">MATCH(A3531,DATAS,0)</f>
        <v>1</v>
      </c>
      <c r="AB3531" s="46" t="n">
        <f aca="false">IF(AND(E3531&gt;0,OR(AND(B3531&gt;=1,B3531&lt;=6),B3531=10)),1,0)</f>
        <v>0</v>
      </c>
      <c r="AC3531" s="46" t="n">
        <f aca="false">IF(AND(E3531&gt;0,B3531=10),1,0)</f>
        <v>0</v>
      </c>
      <c r="AD3531" s="0" t="str">
        <f aca="false">IF(AND(C3530=C3531,AA3530=AA3531-1),AB3530,"")</f>
        <v/>
      </c>
      <c r="AE3531" s="0" t="str">
        <f aca="false">IF(AND(C3530=C3531,AA3530=AA3531-1),AC3530,"")</f>
        <v/>
      </c>
      <c r="AF3531" s="0" t="str">
        <f aca="false">IF(AA3531=1,"",IF(AND(AB3531=1,AD3531&lt;&gt;1),1,0))</f>
        <v/>
      </c>
      <c r="AG3531" s="0" t="str">
        <f aca="false">IF(AA3531=1,"",IF(AND(AC3531=1,AE3531&lt;&gt;1),1,0))</f>
        <v/>
      </c>
      <c r="AH3531" s="51" t="str">
        <f aca="false">IF(AND(E3531&gt;0,AA3531&lt;1,NOT(AND(C3532=C3531,AA3532=AA3531+1))),INDEX(DATAS,AA3531+1),"")</f>
        <v/>
      </c>
      <c r="AI3531" s="51" t="str">
        <f aca="false">IF(AND(AC3531=1,AA3531&lt;1),IF(AND(C3532=C3531,AA3532=AA3531+1),IF(AC3532=1,"",INDEX(DATAS,AA3531+1)),INDEX(DATAS,AA3531+1)),"")</f>
        <v/>
      </c>
    </row>
    <row r="3532" customFormat="false" ht="15" hidden="false" customHeight="false" outlineLevel="0" collapsed="false">
      <c r="A3532" s="51" t="n">
        <v>46309</v>
      </c>
      <c r="B3532" s="0" t="n">
        <v>16</v>
      </c>
      <c r="C3532" s="0" t="n">
        <v>7983</v>
      </c>
      <c r="E3532" s="0" t="n">
        <v>0</v>
      </c>
      <c r="F3532" s="46" t="s">
        <v>1626</v>
      </c>
      <c r="I3532" s="46" t="s">
        <v>179</v>
      </c>
      <c r="U3532" s="0" t="n">
        <v>75</v>
      </c>
      <c r="V3532" s="0" t="n">
        <v>0</v>
      </c>
      <c r="X3532" s="46" t="n">
        <f aca="false">IF(I3532="Male",0,1)</f>
        <v>1</v>
      </c>
      <c r="Y3532" s="46" t="n">
        <f aca="false">IF(OR(I3532="DNB",I3532="Dry DNB"),1,0)</f>
        <v>0</v>
      </c>
      <c r="Z3532" s="0" t="str">
        <f aca="false">IF(ISNUMBER(W3532),A3532-W3532,"")</f>
        <v/>
      </c>
      <c r="AA3532" s="46" t="n">
        <f aca="false">MATCH(A3532,DATAS,0)</f>
        <v>1</v>
      </c>
      <c r="AB3532" s="46" t="n">
        <f aca="false">IF(AND(E3532&gt;0,OR(AND(B3532&gt;=1,B3532&lt;=6),B3532=10)),1,0)</f>
        <v>0</v>
      </c>
      <c r="AC3532" s="46" t="n">
        <f aca="false">IF(AND(E3532&gt;0,B3532=10),1,0)</f>
        <v>0</v>
      </c>
      <c r="AD3532" s="0" t="str">
        <f aca="false">IF(AND(C3531=C3532,AA3531=AA3532-1),AB3531,"")</f>
        <v/>
      </c>
      <c r="AE3532" s="0" t="str">
        <f aca="false">IF(AND(C3531=C3532,AA3531=AA3532-1),AC3531,"")</f>
        <v/>
      </c>
      <c r="AF3532" s="0" t="str">
        <f aca="false">IF(AA3532=1,"",IF(AND(AB3532=1,AD3532&lt;&gt;1),1,0))</f>
        <v/>
      </c>
      <c r="AG3532" s="0" t="str">
        <f aca="false">IF(AA3532=1,"",IF(AND(AC3532=1,AE3532&lt;&gt;1),1,0))</f>
        <v/>
      </c>
      <c r="AH3532" s="51" t="str">
        <f aca="false">IF(AND(E3532&gt;0,AA3532&lt;1,NOT(AND(C3533=C3532,AA3533=AA3532+1))),INDEX(DATAS,AA3532+1),"")</f>
        <v/>
      </c>
      <c r="AI3532" s="51" t="str">
        <f aca="false">IF(AND(AC3532=1,AA3532&lt;1),IF(AND(C3533=C3532,AA3533=AA3532+1),IF(AC3533=1,"",INDEX(DATAS,AA3532+1)),INDEX(DATAS,AA3532+1)),"")</f>
        <v/>
      </c>
    </row>
    <row r="3533" customFormat="false" ht="15" hidden="false" customHeight="false" outlineLevel="0" collapsed="false">
      <c r="A3533" s="51" t="n">
        <v>46309</v>
      </c>
      <c r="B3533" s="0" t="n">
        <v>16</v>
      </c>
      <c r="C3533" s="0" t="n">
        <v>7984</v>
      </c>
      <c r="E3533" s="0" t="n">
        <v>0</v>
      </c>
      <c r="F3533" s="46" t="s">
        <v>1626</v>
      </c>
      <c r="I3533" s="46" t="s">
        <v>179</v>
      </c>
      <c r="U3533" s="0" t="n">
        <v>75</v>
      </c>
      <c r="V3533" s="0" t="n">
        <v>0</v>
      </c>
      <c r="X3533" s="46" t="n">
        <f aca="false">IF(I3533="Male",0,1)</f>
        <v>1</v>
      </c>
      <c r="Y3533" s="46" t="n">
        <f aca="false">IF(OR(I3533="DNB",I3533="Dry DNB"),1,0)</f>
        <v>0</v>
      </c>
      <c r="Z3533" s="0" t="str">
        <f aca="false">IF(ISNUMBER(W3533),A3533-W3533,"")</f>
        <v/>
      </c>
      <c r="AA3533" s="46" t="n">
        <f aca="false">MATCH(A3533,DATAS,0)</f>
        <v>1</v>
      </c>
      <c r="AB3533" s="46" t="n">
        <f aca="false">IF(AND(E3533&gt;0,OR(AND(B3533&gt;=1,B3533&lt;=6),B3533=10)),1,0)</f>
        <v>0</v>
      </c>
      <c r="AC3533" s="46" t="n">
        <f aca="false">IF(AND(E3533&gt;0,B3533=10),1,0)</f>
        <v>0</v>
      </c>
      <c r="AD3533" s="0" t="str">
        <f aca="false">IF(AND(C3532=C3533,AA3532=AA3533-1),AB3532,"")</f>
        <v/>
      </c>
      <c r="AE3533" s="0" t="str">
        <f aca="false">IF(AND(C3532=C3533,AA3532=AA3533-1),AC3532,"")</f>
        <v/>
      </c>
      <c r="AF3533" s="0" t="str">
        <f aca="false">IF(AA3533=1,"",IF(AND(AB3533=1,AD3533&lt;&gt;1),1,0))</f>
        <v/>
      </c>
      <c r="AG3533" s="0" t="str">
        <f aca="false">IF(AA3533=1,"",IF(AND(AC3533=1,AE3533&lt;&gt;1),1,0))</f>
        <v/>
      </c>
      <c r="AH3533" s="51" t="str">
        <f aca="false">IF(AND(E3533&gt;0,AA3533&lt;1,NOT(AND(C3534=C3533,AA3534=AA3533+1))),INDEX(DATAS,AA3533+1),"")</f>
        <v/>
      </c>
      <c r="AI3533" s="51" t="str">
        <f aca="false">IF(AND(AC3533=1,AA3533&lt;1),IF(AND(C3534=C3533,AA3534=AA3533+1),IF(AC3534=1,"",INDEX(DATAS,AA3533+1)),INDEX(DATAS,AA3533+1)),"")</f>
        <v/>
      </c>
    </row>
    <row r="3534" customFormat="false" ht="15" hidden="false" customHeight="false" outlineLevel="0" collapsed="false">
      <c r="A3534" s="51" t="n">
        <v>46309</v>
      </c>
      <c r="B3534" s="0" t="n">
        <v>16</v>
      </c>
      <c r="C3534" s="0" t="n">
        <v>7985</v>
      </c>
      <c r="E3534" s="0" t="n">
        <v>0</v>
      </c>
      <c r="F3534" s="46" t="s">
        <v>1626</v>
      </c>
      <c r="I3534" s="46" t="s">
        <v>179</v>
      </c>
      <c r="U3534" s="0" t="n">
        <v>75</v>
      </c>
      <c r="V3534" s="0" t="n">
        <v>0</v>
      </c>
      <c r="X3534" s="46" t="n">
        <f aca="false">IF(I3534="Male",0,1)</f>
        <v>1</v>
      </c>
      <c r="Y3534" s="46" t="n">
        <f aca="false">IF(OR(I3534="DNB",I3534="Dry DNB"),1,0)</f>
        <v>0</v>
      </c>
      <c r="Z3534" s="0" t="str">
        <f aca="false">IF(ISNUMBER(W3534),A3534-W3534,"")</f>
        <v/>
      </c>
      <c r="AA3534" s="46" t="n">
        <f aca="false">MATCH(A3534,DATAS,0)</f>
        <v>1</v>
      </c>
      <c r="AB3534" s="46" t="n">
        <f aca="false">IF(AND(E3534&gt;0,OR(AND(B3534&gt;=1,B3534&lt;=6),B3534=10)),1,0)</f>
        <v>0</v>
      </c>
      <c r="AC3534" s="46" t="n">
        <f aca="false">IF(AND(E3534&gt;0,B3534=10),1,0)</f>
        <v>0</v>
      </c>
      <c r="AD3534" s="0" t="str">
        <f aca="false">IF(AND(C3533=C3534,AA3533=AA3534-1),AB3533,"")</f>
        <v/>
      </c>
      <c r="AE3534" s="0" t="str">
        <f aca="false">IF(AND(C3533=C3534,AA3533=AA3534-1),AC3533,"")</f>
        <v/>
      </c>
      <c r="AF3534" s="0" t="str">
        <f aca="false">IF(AA3534=1,"",IF(AND(AB3534=1,AD3534&lt;&gt;1),1,0))</f>
        <v/>
      </c>
      <c r="AG3534" s="0" t="str">
        <f aca="false">IF(AA3534=1,"",IF(AND(AC3534=1,AE3534&lt;&gt;1),1,0))</f>
        <v/>
      </c>
      <c r="AH3534" s="51" t="str">
        <f aca="false">IF(AND(E3534&gt;0,AA3534&lt;1,NOT(AND(C3535=C3534,AA3535=AA3534+1))),INDEX(DATAS,AA3534+1),"")</f>
        <v/>
      </c>
      <c r="AI3534" s="51" t="str">
        <f aca="false">IF(AND(AC3534=1,AA3534&lt;1),IF(AND(C3535=C3534,AA3535=AA3534+1),IF(AC3535=1,"",INDEX(DATAS,AA3534+1)),INDEX(DATAS,AA3534+1)),"")</f>
        <v/>
      </c>
    </row>
    <row r="3535" customFormat="false" ht="15" hidden="false" customHeight="false" outlineLevel="0" collapsed="false">
      <c r="A3535" s="51" t="n">
        <v>46309</v>
      </c>
      <c r="B3535" s="0" t="n">
        <v>16</v>
      </c>
      <c r="C3535" s="0" t="n">
        <v>7986</v>
      </c>
      <c r="E3535" s="0" t="n">
        <v>0</v>
      </c>
      <c r="F3535" s="46" t="s">
        <v>1626</v>
      </c>
      <c r="I3535" s="46" t="s">
        <v>179</v>
      </c>
      <c r="U3535" s="0" t="n">
        <v>75</v>
      </c>
      <c r="V3535" s="0" t="n">
        <v>0</v>
      </c>
      <c r="X3535" s="46" t="n">
        <f aca="false">IF(I3535="Male",0,1)</f>
        <v>1</v>
      </c>
      <c r="Y3535" s="46" t="n">
        <f aca="false">IF(OR(I3535="DNB",I3535="Dry DNB"),1,0)</f>
        <v>0</v>
      </c>
      <c r="Z3535" s="0" t="str">
        <f aca="false">IF(ISNUMBER(W3535),A3535-W3535,"")</f>
        <v/>
      </c>
      <c r="AA3535" s="46" t="n">
        <f aca="false">MATCH(A3535,DATAS,0)</f>
        <v>1</v>
      </c>
      <c r="AB3535" s="46" t="n">
        <f aca="false">IF(AND(E3535&gt;0,OR(AND(B3535&gt;=1,B3535&lt;=6),B3535=10)),1,0)</f>
        <v>0</v>
      </c>
      <c r="AC3535" s="46" t="n">
        <f aca="false">IF(AND(E3535&gt;0,B3535=10),1,0)</f>
        <v>0</v>
      </c>
      <c r="AD3535" s="0" t="str">
        <f aca="false">IF(AND(C3534=C3535,AA3534=AA3535-1),AB3534,"")</f>
        <v/>
      </c>
      <c r="AE3535" s="0" t="str">
        <f aca="false">IF(AND(C3534=C3535,AA3534=AA3535-1),AC3534,"")</f>
        <v/>
      </c>
      <c r="AF3535" s="0" t="str">
        <f aca="false">IF(AA3535=1,"",IF(AND(AB3535=1,AD3535&lt;&gt;1),1,0))</f>
        <v/>
      </c>
      <c r="AG3535" s="0" t="str">
        <f aca="false">IF(AA3535=1,"",IF(AND(AC3535=1,AE3535&lt;&gt;1),1,0))</f>
        <v/>
      </c>
      <c r="AH3535" s="51" t="str">
        <f aca="false">IF(AND(E3535&gt;0,AA3535&lt;1,NOT(AND(C3536=C3535,AA3536=AA3535+1))),INDEX(DATAS,AA3535+1),"")</f>
        <v/>
      </c>
      <c r="AI3535" s="51" t="str">
        <f aca="false">IF(AND(AC3535=1,AA3535&lt;1),IF(AND(C3536=C3535,AA3536=AA3535+1),IF(AC3536=1,"",INDEX(DATAS,AA3535+1)),INDEX(DATAS,AA3535+1)),"")</f>
        <v/>
      </c>
    </row>
    <row r="3536" customFormat="false" ht="15" hidden="false" customHeight="false" outlineLevel="0" collapsed="false">
      <c r="A3536" s="51" t="n">
        <v>46309</v>
      </c>
      <c r="B3536" s="0" t="n">
        <v>16</v>
      </c>
      <c r="C3536" s="0" t="n">
        <v>7987</v>
      </c>
      <c r="E3536" s="0" t="n">
        <v>0</v>
      </c>
      <c r="F3536" s="46" t="s">
        <v>1627</v>
      </c>
      <c r="I3536" s="46" t="s">
        <v>179</v>
      </c>
      <c r="U3536" s="0" t="n">
        <v>74</v>
      </c>
      <c r="V3536" s="0" t="n">
        <v>0</v>
      </c>
      <c r="X3536" s="46" t="n">
        <f aca="false">IF(I3536="Male",0,1)</f>
        <v>1</v>
      </c>
      <c r="Y3536" s="46" t="n">
        <f aca="false">IF(OR(I3536="DNB",I3536="Dry DNB"),1,0)</f>
        <v>0</v>
      </c>
      <c r="Z3536" s="0" t="str">
        <f aca="false">IF(ISNUMBER(W3536),A3536-W3536,"")</f>
        <v/>
      </c>
      <c r="AA3536" s="46" t="n">
        <f aca="false">MATCH(A3536,DATAS,0)</f>
        <v>1</v>
      </c>
      <c r="AB3536" s="46" t="n">
        <f aca="false">IF(AND(E3536&gt;0,OR(AND(B3536&gt;=1,B3536&lt;=6),B3536=10)),1,0)</f>
        <v>0</v>
      </c>
      <c r="AC3536" s="46" t="n">
        <f aca="false">IF(AND(E3536&gt;0,B3536=10),1,0)</f>
        <v>0</v>
      </c>
      <c r="AD3536" s="0" t="str">
        <f aca="false">IF(AND(C3535=C3536,AA3535=AA3536-1),AB3535,"")</f>
        <v/>
      </c>
      <c r="AE3536" s="0" t="str">
        <f aca="false">IF(AND(C3535=C3536,AA3535=AA3536-1),AC3535,"")</f>
        <v/>
      </c>
      <c r="AF3536" s="0" t="str">
        <f aca="false">IF(AA3536=1,"",IF(AND(AB3536=1,AD3536&lt;&gt;1),1,0))</f>
        <v/>
      </c>
      <c r="AG3536" s="0" t="str">
        <f aca="false">IF(AA3536=1,"",IF(AND(AC3536=1,AE3536&lt;&gt;1),1,0))</f>
        <v/>
      </c>
      <c r="AH3536" s="51" t="str">
        <f aca="false">IF(AND(E3536&gt;0,AA3536&lt;1,NOT(AND(C3537=C3536,AA3537=AA3536+1))),INDEX(DATAS,AA3536+1),"")</f>
        <v/>
      </c>
      <c r="AI3536" s="51" t="str">
        <f aca="false">IF(AND(AC3536=1,AA3536&lt;1),IF(AND(C3537=C3536,AA3537=AA3536+1),IF(AC3537=1,"",INDEX(DATAS,AA3536+1)),INDEX(DATAS,AA3536+1)),"")</f>
        <v/>
      </c>
    </row>
    <row r="3537" customFormat="false" ht="15" hidden="false" customHeight="false" outlineLevel="0" collapsed="false">
      <c r="A3537" s="51" t="n">
        <v>46309</v>
      </c>
      <c r="B3537" s="0" t="n">
        <v>16</v>
      </c>
      <c r="C3537" s="0" t="n">
        <v>7988</v>
      </c>
      <c r="E3537" s="0" t="n">
        <v>0</v>
      </c>
      <c r="F3537" s="46" t="s">
        <v>1627</v>
      </c>
      <c r="I3537" s="46" t="s">
        <v>179</v>
      </c>
      <c r="U3537" s="0" t="n">
        <v>74</v>
      </c>
      <c r="V3537" s="0" t="n">
        <v>0</v>
      </c>
      <c r="X3537" s="46" t="n">
        <f aca="false">IF(I3537="Male",0,1)</f>
        <v>1</v>
      </c>
      <c r="Y3537" s="46" t="n">
        <f aca="false">IF(OR(I3537="DNB",I3537="Dry DNB"),1,0)</f>
        <v>0</v>
      </c>
      <c r="Z3537" s="0" t="str">
        <f aca="false">IF(ISNUMBER(W3537),A3537-W3537,"")</f>
        <v/>
      </c>
      <c r="AA3537" s="46" t="n">
        <f aca="false">MATCH(A3537,DATAS,0)</f>
        <v>1</v>
      </c>
      <c r="AB3537" s="46" t="n">
        <f aca="false">IF(AND(E3537&gt;0,OR(AND(B3537&gt;=1,B3537&lt;=6),B3537=10)),1,0)</f>
        <v>0</v>
      </c>
      <c r="AC3537" s="46" t="n">
        <f aca="false">IF(AND(E3537&gt;0,B3537=10),1,0)</f>
        <v>0</v>
      </c>
      <c r="AD3537" s="0" t="str">
        <f aca="false">IF(AND(C3536=C3537,AA3536=AA3537-1),AB3536,"")</f>
        <v/>
      </c>
      <c r="AE3537" s="0" t="str">
        <f aca="false">IF(AND(C3536=C3537,AA3536=AA3537-1),AC3536,"")</f>
        <v/>
      </c>
      <c r="AF3537" s="0" t="str">
        <f aca="false">IF(AA3537=1,"",IF(AND(AB3537=1,AD3537&lt;&gt;1),1,0))</f>
        <v/>
      </c>
      <c r="AG3537" s="0" t="str">
        <f aca="false">IF(AA3537=1,"",IF(AND(AC3537=1,AE3537&lt;&gt;1),1,0))</f>
        <v/>
      </c>
      <c r="AH3537" s="51" t="str">
        <f aca="false">IF(AND(E3537&gt;0,AA3537&lt;1,NOT(AND(C3538=C3537,AA3538=AA3537+1))),INDEX(DATAS,AA3537+1),"")</f>
        <v/>
      </c>
      <c r="AI3537" s="51" t="str">
        <f aca="false">IF(AND(AC3537=1,AA3537&lt;1),IF(AND(C3538=C3537,AA3538=AA3537+1),IF(AC3538=1,"",INDEX(DATAS,AA3537+1)),INDEX(DATAS,AA3537+1)),"")</f>
        <v/>
      </c>
    </row>
    <row r="3538" customFormat="false" ht="15" hidden="false" customHeight="false" outlineLevel="0" collapsed="false">
      <c r="A3538" s="51" t="n">
        <v>46309</v>
      </c>
      <c r="B3538" s="0" t="n">
        <v>16</v>
      </c>
      <c r="C3538" s="0" t="n">
        <v>7989</v>
      </c>
      <c r="E3538" s="0" t="n">
        <v>0</v>
      </c>
      <c r="F3538" s="46" t="s">
        <v>1627</v>
      </c>
      <c r="I3538" s="46" t="s">
        <v>179</v>
      </c>
      <c r="U3538" s="0" t="n">
        <v>74</v>
      </c>
      <c r="V3538" s="0" t="n">
        <v>0</v>
      </c>
      <c r="X3538" s="46" t="n">
        <f aca="false">IF(I3538="Male",0,1)</f>
        <v>1</v>
      </c>
      <c r="Y3538" s="46" t="n">
        <f aca="false">IF(OR(I3538="DNB",I3538="Dry DNB"),1,0)</f>
        <v>0</v>
      </c>
      <c r="Z3538" s="0" t="str">
        <f aca="false">IF(ISNUMBER(W3538),A3538-W3538,"")</f>
        <v/>
      </c>
      <c r="AA3538" s="46" t="n">
        <f aca="false">MATCH(A3538,DATAS,0)</f>
        <v>1</v>
      </c>
      <c r="AB3538" s="46" t="n">
        <f aca="false">IF(AND(E3538&gt;0,OR(AND(B3538&gt;=1,B3538&lt;=6),B3538=10)),1,0)</f>
        <v>0</v>
      </c>
      <c r="AC3538" s="46" t="n">
        <f aca="false">IF(AND(E3538&gt;0,B3538=10),1,0)</f>
        <v>0</v>
      </c>
      <c r="AD3538" s="0" t="str">
        <f aca="false">IF(AND(C3537=C3538,AA3537=AA3538-1),AB3537,"")</f>
        <v/>
      </c>
      <c r="AE3538" s="0" t="str">
        <f aca="false">IF(AND(C3537=C3538,AA3537=AA3538-1),AC3537,"")</f>
        <v/>
      </c>
      <c r="AF3538" s="0" t="str">
        <f aca="false">IF(AA3538=1,"",IF(AND(AB3538=1,AD3538&lt;&gt;1),1,0))</f>
        <v/>
      </c>
      <c r="AG3538" s="0" t="str">
        <f aca="false">IF(AA3538=1,"",IF(AND(AC3538=1,AE3538&lt;&gt;1),1,0))</f>
        <v/>
      </c>
      <c r="AH3538" s="51" t="str">
        <f aca="false">IF(AND(E3538&gt;0,AA3538&lt;1,NOT(AND(C3539=C3538,AA3539=AA3538+1))),INDEX(DATAS,AA3538+1),"")</f>
        <v/>
      </c>
      <c r="AI3538" s="51" t="str">
        <f aca="false">IF(AND(AC3538=1,AA3538&lt;1),IF(AND(C3539=C3538,AA3539=AA3538+1),IF(AC3539=1,"",INDEX(DATAS,AA3538+1)),INDEX(DATAS,AA3538+1)),"")</f>
        <v/>
      </c>
    </row>
    <row r="3539" customFormat="false" ht="15" hidden="false" customHeight="false" outlineLevel="0" collapsed="false">
      <c r="A3539" s="51" t="n">
        <v>46309</v>
      </c>
      <c r="B3539" s="0" t="n">
        <v>16</v>
      </c>
      <c r="C3539" s="0" t="n">
        <v>7990</v>
      </c>
      <c r="E3539" s="0" t="n">
        <v>0</v>
      </c>
      <c r="F3539" s="46" t="s">
        <v>1627</v>
      </c>
      <c r="I3539" s="46" t="s">
        <v>179</v>
      </c>
      <c r="U3539" s="0" t="n">
        <v>74</v>
      </c>
      <c r="V3539" s="0" t="n">
        <v>0</v>
      </c>
      <c r="X3539" s="46" t="n">
        <f aca="false">IF(I3539="Male",0,1)</f>
        <v>1</v>
      </c>
      <c r="Y3539" s="46" t="n">
        <f aca="false">IF(OR(I3539="DNB",I3539="Dry DNB"),1,0)</f>
        <v>0</v>
      </c>
      <c r="Z3539" s="0" t="str">
        <f aca="false">IF(ISNUMBER(W3539),A3539-W3539,"")</f>
        <v/>
      </c>
      <c r="AA3539" s="46" t="n">
        <f aca="false">MATCH(A3539,DATAS,0)</f>
        <v>1</v>
      </c>
      <c r="AB3539" s="46" t="n">
        <f aca="false">IF(AND(E3539&gt;0,OR(AND(B3539&gt;=1,B3539&lt;=6),B3539=10)),1,0)</f>
        <v>0</v>
      </c>
      <c r="AC3539" s="46" t="n">
        <f aca="false">IF(AND(E3539&gt;0,B3539=10),1,0)</f>
        <v>0</v>
      </c>
      <c r="AD3539" s="0" t="str">
        <f aca="false">IF(AND(C3538=C3539,AA3538=AA3539-1),AB3538,"")</f>
        <v/>
      </c>
      <c r="AE3539" s="0" t="str">
        <f aca="false">IF(AND(C3538=C3539,AA3538=AA3539-1),AC3538,"")</f>
        <v/>
      </c>
      <c r="AF3539" s="0" t="str">
        <f aca="false">IF(AA3539=1,"",IF(AND(AB3539=1,AD3539&lt;&gt;1),1,0))</f>
        <v/>
      </c>
      <c r="AG3539" s="0" t="str">
        <f aca="false">IF(AA3539=1,"",IF(AND(AC3539=1,AE3539&lt;&gt;1),1,0))</f>
        <v/>
      </c>
      <c r="AH3539" s="51" t="str">
        <f aca="false">IF(AND(E3539&gt;0,AA3539&lt;1,NOT(AND(C3540=C3539,AA3540=AA3539+1))),INDEX(DATAS,AA3539+1),"")</f>
        <v/>
      </c>
      <c r="AI3539" s="51" t="str">
        <f aca="false">IF(AND(AC3539=1,AA3539&lt;1),IF(AND(C3540=C3539,AA3540=AA3539+1),IF(AC3540=1,"",INDEX(DATAS,AA3539+1)),INDEX(DATAS,AA3539+1)),"")</f>
        <v/>
      </c>
    </row>
    <row r="3540" customFormat="false" ht="15" hidden="false" customHeight="false" outlineLevel="0" collapsed="false">
      <c r="A3540" s="51" t="n">
        <v>46309</v>
      </c>
      <c r="B3540" s="0" t="n">
        <v>16</v>
      </c>
      <c r="C3540" s="0" t="n">
        <v>7991</v>
      </c>
      <c r="E3540" s="0" t="n">
        <v>0</v>
      </c>
      <c r="F3540" s="46" t="s">
        <v>1627</v>
      </c>
      <c r="I3540" s="46" t="s">
        <v>179</v>
      </c>
      <c r="U3540" s="0" t="n">
        <v>74</v>
      </c>
      <c r="V3540" s="0" t="n">
        <v>0</v>
      </c>
      <c r="X3540" s="46" t="n">
        <f aca="false">IF(I3540="Male",0,1)</f>
        <v>1</v>
      </c>
      <c r="Y3540" s="46" t="n">
        <f aca="false">IF(OR(I3540="DNB",I3540="Dry DNB"),1,0)</f>
        <v>0</v>
      </c>
      <c r="Z3540" s="0" t="str">
        <f aca="false">IF(ISNUMBER(W3540),A3540-W3540,"")</f>
        <v/>
      </c>
      <c r="AA3540" s="46" t="n">
        <f aca="false">MATCH(A3540,DATAS,0)</f>
        <v>1</v>
      </c>
      <c r="AB3540" s="46" t="n">
        <f aca="false">IF(AND(E3540&gt;0,OR(AND(B3540&gt;=1,B3540&lt;=6),B3540=10)),1,0)</f>
        <v>0</v>
      </c>
      <c r="AC3540" s="46" t="n">
        <f aca="false">IF(AND(E3540&gt;0,B3540=10),1,0)</f>
        <v>0</v>
      </c>
      <c r="AD3540" s="0" t="str">
        <f aca="false">IF(AND(C3539=C3540,AA3539=AA3540-1),AB3539,"")</f>
        <v/>
      </c>
      <c r="AE3540" s="0" t="str">
        <f aca="false">IF(AND(C3539=C3540,AA3539=AA3540-1),AC3539,"")</f>
        <v/>
      </c>
      <c r="AF3540" s="0" t="str">
        <f aca="false">IF(AA3540=1,"",IF(AND(AB3540=1,AD3540&lt;&gt;1),1,0))</f>
        <v/>
      </c>
      <c r="AG3540" s="0" t="str">
        <f aca="false">IF(AA3540=1,"",IF(AND(AC3540=1,AE3540&lt;&gt;1),1,0))</f>
        <v/>
      </c>
      <c r="AH3540" s="51" t="str">
        <f aca="false">IF(AND(E3540&gt;0,AA3540&lt;1,NOT(AND(C3541=C3540,AA3541=AA3540+1))),INDEX(DATAS,AA3540+1),"")</f>
        <v/>
      </c>
      <c r="AI3540" s="51" t="str">
        <f aca="false">IF(AND(AC3540=1,AA3540&lt;1),IF(AND(C3541=C3540,AA3541=AA3540+1),IF(AC3541=1,"",INDEX(DATAS,AA3540+1)),INDEX(DATAS,AA3540+1)),"")</f>
        <v/>
      </c>
    </row>
    <row r="3541" customFormat="false" ht="15" hidden="false" customHeight="false" outlineLevel="0" collapsed="false">
      <c r="A3541" s="51" t="n">
        <v>46309</v>
      </c>
      <c r="B3541" s="0" t="n">
        <v>16</v>
      </c>
      <c r="C3541" s="0" t="n">
        <v>7992</v>
      </c>
      <c r="E3541" s="0" t="n">
        <v>0</v>
      </c>
      <c r="F3541" s="46" t="s">
        <v>1628</v>
      </c>
      <c r="I3541" s="46" t="s">
        <v>179</v>
      </c>
      <c r="U3541" s="0" t="n">
        <v>73</v>
      </c>
      <c r="V3541" s="0" t="n">
        <v>0</v>
      </c>
      <c r="X3541" s="46" t="n">
        <f aca="false">IF(I3541="Male",0,1)</f>
        <v>1</v>
      </c>
      <c r="Y3541" s="46" t="n">
        <f aca="false">IF(OR(I3541="DNB",I3541="Dry DNB"),1,0)</f>
        <v>0</v>
      </c>
      <c r="Z3541" s="0" t="str">
        <f aca="false">IF(ISNUMBER(W3541),A3541-W3541,"")</f>
        <v/>
      </c>
      <c r="AA3541" s="46" t="n">
        <f aca="false">MATCH(A3541,DATAS,0)</f>
        <v>1</v>
      </c>
      <c r="AB3541" s="46" t="n">
        <f aca="false">IF(AND(E3541&gt;0,OR(AND(B3541&gt;=1,B3541&lt;=6),B3541=10)),1,0)</f>
        <v>0</v>
      </c>
      <c r="AC3541" s="46" t="n">
        <f aca="false">IF(AND(E3541&gt;0,B3541=10),1,0)</f>
        <v>0</v>
      </c>
      <c r="AD3541" s="0" t="str">
        <f aca="false">IF(AND(C3540=C3541,AA3540=AA3541-1),AB3540,"")</f>
        <v/>
      </c>
      <c r="AE3541" s="0" t="str">
        <f aca="false">IF(AND(C3540=C3541,AA3540=AA3541-1),AC3540,"")</f>
        <v/>
      </c>
      <c r="AF3541" s="0" t="str">
        <f aca="false">IF(AA3541=1,"",IF(AND(AB3541=1,AD3541&lt;&gt;1),1,0))</f>
        <v/>
      </c>
      <c r="AG3541" s="0" t="str">
        <f aca="false">IF(AA3541=1,"",IF(AND(AC3541=1,AE3541&lt;&gt;1),1,0))</f>
        <v/>
      </c>
      <c r="AH3541" s="51" t="str">
        <f aca="false">IF(AND(E3541&gt;0,AA3541&lt;1,NOT(AND(C3542=C3541,AA3542=AA3541+1))),INDEX(DATAS,AA3541+1),"")</f>
        <v/>
      </c>
      <c r="AI3541" s="51" t="str">
        <f aca="false">IF(AND(AC3541=1,AA3541&lt;1),IF(AND(C3542=C3541,AA3542=AA3541+1),IF(AC3542=1,"",INDEX(DATAS,AA3541+1)),INDEX(DATAS,AA3541+1)),"")</f>
        <v/>
      </c>
    </row>
    <row r="3542" customFormat="false" ht="15" hidden="false" customHeight="false" outlineLevel="0" collapsed="false">
      <c r="A3542" s="51" t="n">
        <v>46309</v>
      </c>
      <c r="B3542" s="0" t="n">
        <v>16</v>
      </c>
      <c r="C3542" s="0" t="n">
        <v>7993</v>
      </c>
      <c r="E3542" s="0" t="n">
        <v>0</v>
      </c>
      <c r="F3542" s="46" t="s">
        <v>1628</v>
      </c>
      <c r="I3542" s="46" t="s">
        <v>179</v>
      </c>
      <c r="U3542" s="0" t="n">
        <v>73</v>
      </c>
      <c r="V3542" s="0" t="n">
        <v>0</v>
      </c>
      <c r="X3542" s="46" t="n">
        <f aca="false">IF(I3542="Male",0,1)</f>
        <v>1</v>
      </c>
      <c r="Y3542" s="46" t="n">
        <f aca="false">IF(OR(I3542="DNB",I3542="Dry DNB"),1,0)</f>
        <v>0</v>
      </c>
      <c r="Z3542" s="0" t="str">
        <f aca="false">IF(ISNUMBER(W3542),A3542-W3542,"")</f>
        <v/>
      </c>
      <c r="AA3542" s="46" t="n">
        <f aca="false">MATCH(A3542,DATAS,0)</f>
        <v>1</v>
      </c>
      <c r="AB3542" s="46" t="n">
        <f aca="false">IF(AND(E3542&gt;0,OR(AND(B3542&gt;=1,B3542&lt;=6),B3542=10)),1,0)</f>
        <v>0</v>
      </c>
      <c r="AC3542" s="46" t="n">
        <f aca="false">IF(AND(E3542&gt;0,B3542=10),1,0)</f>
        <v>0</v>
      </c>
      <c r="AD3542" s="0" t="str">
        <f aca="false">IF(AND(C3541=C3542,AA3541=AA3542-1),AB3541,"")</f>
        <v/>
      </c>
      <c r="AE3542" s="0" t="str">
        <f aca="false">IF(AND(C3541=C3542,AA3541=AA3542-1),AC3541,"")</f>
        <v/>
      </c>
      <c r="AF3542" s="0" t="str">
        <f aca="false">IF(AA3542=1,"",IF(AND(AB3542=1,AD3542&lt;&gt;1),1,0))</f>
        <v/>
      </c>
      <c r="AG3542" s="0" t="str">
        <f aca="false">IF(AA3542=1,"",IF(AND(AC3542=1,AE3542&lt;&gt;1),1,0))</f>
        <v/>
      </c>
      <c r="AH3542" s="51" t="str">
        <f aca="false">IF(AND(E3542&gt;0,AA3542&lt;1,NOT(AND(C3543=C3542,AA3543=AA3542+1))),INDEX(DATAS,AA3542+1),"")</f>
        <v/>
      </c>
      <c r="AI3542" s="51" t="str">
        <f aca="false">IF(AND(AC3542=1,AA3542&lt;1),IF(AND(C3543=C3542,AA3543=AA3542+1),IF(AC3543=1,"",INDEX(DATAS,AA3542+1)),INDEX(DATAS,AA3542+1)),"")</f>
        <v/>
      </c>
    </row>
    <row r="3543" customFormat="false" ht="15" hidden="false" customHeight="false" outlineLevel="0" collapsed="false">
      <c r="A3543" s="51" t="n">
        <v>46309</v>
      </c>
      <c r="B3543" s="0" t="n">
        <v>16</v>
      </c>
      <c r="C3543" s="0" t="n">
        <v>7994</v>
      </c>
      <c r="E3543" s="0" t="n">
        <v>0</v>
      </c>
      <c r="F3543" s="46" t="s">
        <v>1629</v>
      </c>
      <c r="I3543" s="46" t="s">
        <v>179</v>
      </c>
      <c r="U3543" s="0" t="n">
        <v>72</v>
      </c>
      <c r="V3543" s="0" t="n">
        <v>0</v>
      </c>
      <c r="X3543" s="46" t="n">
        <f aca="false">IF(I3543="Male",0,1)</f>
        <v>1</v>
      </c>
      <c r="Y3543" s="46" t="n">
        <f aca="false">IF(OR(I3543="DNB",I3543="Dry DNB"),1,0)</f>
        <v>0</v>
      </c>
      <c r="Z3543" s="0" t="str">
        <f aca="false">IF(ISNUMBER(W3543),A3543-W3543,"")</f>
        <v/>
      </c>
      <c r="AA3543" s="46" t="n">
        <f aca="false">MATCH(A3543,DATAS,0)</f>
        <v>1</v>
      </c>
      <c r="AB3543" s="46" t="n">
        <f aca="false">IF(AND(E3543&gt;0,OR(AND(B3543&gt;=1,B3543&lt;=6),B3543=10)),1,0)</f>
        <v>0</v>
      </c>
      <c r="AC3543" s="46" t="n">
        <f aca="false">IF(AND(E3543&gt;0,B3543=10),1,0)</f>
        <v>0</v>
      </c>
      <c r="AD3543" s="0" t="str">
        <f aca="false">IF(AND(C3542=C3543,AA3542=AA3543-1),AB3542,"")</f>
        <v/>
      </c>
      <c r="AE3543" s="0" t="str">
        <f aca="false">IF(AND(C3542=C3543,AA3542=AA3543-1),AC3542,"")</f>
        <v/>
      </c>
      <c r="AF3543" s="0" t="str">
        <f aca="false">IF(AA3543=1,"",IF(AND(AB3543=1,AD3543&lt;&gt;1),1,0))</f>
        <v/>
      </c>
      <c r="AG3543" s="0" t="str">
        <f aca="false">IF(AA3543=1,"",IF(AND(AC3543=1,AE3543&lt;&gt;1),1,0))</f>
        <v/>
      </c>
      <c r="AH3543" s="51" t="str">
        <f aca="false">IF(AND(E3543&gt;0,AA3543&lt;1,NOT(AND(C3544=C3543,AA3544=AA3543+1))),INDEX(DATAS,AA3543+1),"")</f>
        <v/>
      </c>
      <c r="AI3543" s="51" t="str">
        <f aca="false">IF(AND(AC3543=1,AA3543&lt;1),IF(AND(C3544=C3543,AA3544=AA3543+1),IF(AC3544=1,"",INDEX(DATAS,AA3543+1)),INDEX(DATAS,AA3543+1)),"")</f>
        <v/>
      </c>
    </row>
    <row r="3544" customFormat="false" ht="15" hidden="false" customHeight="false" outlineLevel="0" collapsed="false">
      <c r="A3544" s="51" t="n">
        <v>46309</v>
      </c>
      <c r="B3544" s="0" t="n">
        <v>16</v>
      </c>
      <c r="C3544" s="0" t="n">
        <v>7995</v>
      </c>
      <c r="E3544" s="0" t="n">
        <v>0</v>
      </c>
      <c r="F3544" s="46" t="s">
        <v>1629</v>
      </c>
      <c r="I3544" s="46" t="s">
        <v>179</v>
      </c>
      <c r="U3544" s="0" t="n">
        <v>72</v>
      </c>
      <c r="V3544" s="0" t="n">
        <v>0</v>
      </c>
      <c r="X3544" s="46" t="n">
        <f aca="false">IF(I3544="Male",0,1)</f>
        <v>1</v>
      </c>
      <c r="Y3544" s="46" t="n">
        <f aca="false">IF(OR(I3544="DNB",I3544="Dry DNB"),1,0)</f>
        <v>0</v>
      </c>
      <c r="Z3544" s="0" t="str">
        <f aca="false">IF(ISNUMBER(W3544),A3544-W3544,"")</f>
        <v/>
      </c>
      <c r="AA3544" s="46" t="n">
        <f aca="false">MATCH(A3544,DATAS,0)</f>
        <v>1</v>
      </c>
      <c r="AB3544" s="46" t="n">
        <f aca="false">IF(AND(E3544&gt;0,OR(AND(B3544&gt;=1,B3544&lt;=6),B3544=10)),1,0)</f>
        <v>0</v>
      </c>
      <c r="AC3544" s="46" t="n">
        <f aca="false">IF(AND(E3544&gt;0,B3544=10),1,0)</f>
        <v>0</v>
      </c>
      <c r="AD3544" s="0" t="str">
        <f aca="false">IF(AND(C3543=C3544,AA3543=AA3544-1),AB3543,"")</f>
        <v/>
      </c>
      <c r="AE3544" s="0" t="str">
        <f aca="false">IF(AND(C3543=C3544,AA3543=AA3544-1),AC3543,"")</f>
        <v/>
      </c>
      <c r="AF3544" s="0" t="str">
        <f aca="false">IF(AA3544=1,"",IF(AND(AB3544=1,AD3544&lt;&gt;1),1,0))</f>
        <v/>
      </c>
      <c r="AG3544" s="0" t="str">
        <f aca="false">IF(AA3544=1,"",IF(AND(AC3544=1,AE3544&lt;&gt;1),1,0))</f>
        <v/>
      </c>
      <c r="AH3544" s="51" t="str">
        <f aca="false">IF(AND(E3544&gt;0,AA3544&lt;1,NOT(AND(C3545=C3544,AA3545=AA3544+1))),INDEX(DATAS,AA3544+1),"")</f>
        <v/>
      </c>
      <c r="AI3544" s="51" t="str">
        <f aca="false">IF(AND(AC3544=1,AA3544&lt;1),IF(AND(C3545=C3544,AA3545=AA3544+1),IF(AC3545=1,"",INDEX(DATAS,AA3544+1)),INDEX(DATAS,AA3544+1)),"")</f>
        <v/>
      </c>
    </row>
    <row r="3545" customFormat="false" ht="15" hidden="false" customHeight="false" outlineLevel="0" collapsed="false">
      <c r="A3545" s="51" t="n">
        <v>46309</v>
      </c>
      <c r="B3545" s="0" t="n">
        <v>16</v>
      </c>
      <c r="C3545" s="0" t="n">
        <v>7996</v>
      </c>
      <c r="E3545" s="0" t="n">
        <v>0</v>
      </c>
      <c r="F3545" s="46" t="s">
        <v>1629</v>
      </c>
      <c r="I3545" s="46" t="s">
        <v>179</v>
      </c>
      <c r="U3545" s="0" t="n">
        <v>72</v>
      </c>
      <c r="V3545" s="0" t="n">
        <v>0</v>
      </c>
      <c r="X3545" s="46" t="n">
        <f aca="false">IF(I3545="Male",0,1)</f>
        <v>1</v>
      </c>
      <c r="Y3545" s="46" t="n">
        <f aca="false">IF(OR(I3545="DNB",I3545="Dry DNB"),1,0)</f>
        <v>0</v>
      </c>
      <c r="Z3545" s="0" t="str">
        <f aca="false">IF(ISNUMBER(W3545),A3545-W3545,"")</f>
        <v/>
      </c>
      <c r="AA3545" s="46" t="n">
        <f aca="false">MATCH(A3545,DATAS,0)</f>
        <v>1</v>
      </c>
      <c r="AB3545" s="46" t="n">
        <f aca="false">IF(AND(E3545&gt;0,OR(AND(B3545&gt;=1,B3545&lt;=6),B3545=10)),1,0)</f>
        <v>0</v>
      </c>
      <c r="AC3545" s="46" t="n">
        <f aca="false">IF(AND(E3545&gt;0,B3545=10),1,0)</f>
        <v>0</v>
      </c>
      <c r="AD3545" s="0" t="str">
        <f aca="false">IF(AND(C3544=C3545,AA3544=AA3545-1),AB3544,"")</f>
        <v/>
      </c>
      <c r="AE3545" s="0" t="str">
        <f aca="false">IF(AND(C3544=C3545,AA3544=AA3545-1),AC3544,"")</f>
        <v/>
      </c>
      <c r="AF3545" s="0" t="str">
        <f aca="false">IF(AA3545=1,"",IF(AND(AB3545=1,AD3545&lt;&gt;1),1,0))</f>
        <v/>
      </c>
      <c r="AG3545" s="0" t="str">
        <f aca="false">IF(AA3545=1,"",IF(AND(AC3545=1,AE3545&lt;&gt;1),1,0))</f>
        <v/>
      </c>
      <c r="AH3545" s="51" t="str">
        <f aca="false">IF(AND(E3545&gt;0,AA3545&lt;1,NOT(AND(C3546=C3545,AA3546=AA3545+1))),INDEX(DATAS,AA3545+1),"")</f>
        <v/>
      </c>
      <c r="AI3545" s="51" t="str">
        <f aca="false">IF(AND(AC3545=1,AA3545&lt;1),IF(AND(C3546=C3545,AA3546=AA3545+1),IF(AC3546=1,"",INDEX(DATAS,AA3545+1)),INDEX(DATAS,AA3545+1)),"")</f>
        <v/>
      </c>
    </row>
    <row r="3546" customFormat="false" ht="15" hidden="false" customHeight="false" outlineLevel="0" collapsed="false">
      <c r="A3546" s="51" t="n">
        <v>46309</v>
      </c>
      <c r="B3546" s="0" t="n">
        <v>16</v>
      </c>
      <c r="C3546" s="0" t="n">
        <v>7997</v>
      </c>
      <c r="E3546" s="0" t="n">
        <v>0</v>
      </c>
      <c r="F3546" s="46" t="s">
        <v>1630</v>
      </c>
      <c r="I3546" s="46" t="s">
        <v>179</v>
      </c>
      <c r="U3546" s="0" t="n">
        <v>71</v>
      </c>
      <c r="V3546" s="0" t="n">
        <v>0</v>
      </c>
      <c r="X3546" s="46" t="n">
        <f aca="false">IF(I3546="Male",0,1)</f>
        <v>1</v>
      </c>
      <c r="Y3546" s="46" t="n">
        <f aca="false">IF(OR(I3546="DNB",I3546="Dry DNB"),1,0)</f>
        <v>0</v>
      </c>
      <c r="Z3546" s="0" t="str">
        <f aca="false">IF(ISNUMBER(W3546),A3546-W3546,"")</f>
        <v/>
      </c>
      <c r="AA3546" s="46" t="n">
        <f aca="false">MATCH(A3546,DATAS,0)</f>
        <v>1</v>
      </c>
      <c r="AB3546" s="46" t="n">
        <f aca="false">IF(AND(E3546&gt;0,OR(AND(B3546&gt;=1,B3546&lt;=6),B3546=10)),1,0)</f>
        <v>0</v>
      </c>
      <c r="AC3546" s="46" t="n">
        <f aca="false">IF(AND(E3546&gt;0,B3546=10),1,0)</f>
        <v>0</v>
      </c>
      <c r="AD3546" s="0" t="str">
        <f aca="false">IF(AND(C3545=C3546,AA3545=AA3546-1),AB3545,"")</f>
        <v/>
      </c>
      <c r="AE3546" s="0" t="str">
        <f aca="false">IF(AND(C3545=C3546,AA3545=AA3546-1),AC3545,"")</f>
        <v/>
      </c>
      <c r="AF3546" s="0" t="str">
        <f aca="false">IF(AA3546=1,"",IF(AND(AB3546=1,AD3546&lt;&gt;1),1,0))</f>
        <v/>
      </c>
      <c r="AG3546" s="0" t="str">
        <f aca="false">IF(AA3546=1,"",IF(AND(AC3546=1,AE3546&lt;&gt;1),1,0))</f>
        <v/>
      </c>
      <c r="AH3546" s="51" t="str">
        <f aca="false">IF(AND(E3546&gt;0,AA3546&lt;1,NOT(AND(C3547=C3546,AA3547=AA3546+1))),INDEX(DATAS,AA3546+1),"")</f>
        <v/>
      </c>
      <c r="AI3546" s="51" t="str">
        <f aca="false">IF(AND(AC3546=1,AA3546&lt;1),IF(AND(C3547=C3546,AA3547=AA3546+1),IF(AC3547=1,"",INDEX(DATAS,AA3546+1)),INDEX(DATAS,AA3546+1)),"")</f>
        <v/>
      </c>
    </row>
    <row r="3547" customFormat="false" ht="15" hidden="false" customHeight="false" outlineLevel="0" collapsed="false">
      <c r="A3547" s="51" t="n">
        <v>46309</v>
      </c>
      <c r="B3547" s="0" t="n">
        <v>16</v>
      </c>
      <c r="C3547" s="0" t="n">
        <v>7998</v>
      </c>
      <c r="E3547" s="0" t="n">
        <v>0</v>
      </c>
      <c r="F3547" s="46" t="s">
        <v>1630</v>
      </c>
      <c r="I3547" s="46" t="s">
        <v>179</v>
      </c>
      <c r="U3547" s="0" t="n">
        <v>71</v>
      </c>
      <c r="V3547" s="0" t="n">
        <v>0</v>
      </c>
      <c r="X3547" s="46" t="n">
        <f aca="false">IF(I3547="Male",0,1)</f>
        <v>1</v>
      </c>
      <c r="Y3547" s="46" t="n">
        <f aca="false">IF(OR(I3547="DNB",I3547="Dry DNB"),1,0)</f>
        <v>0</v>
      </c>
      <c r="Z3547" s="0" t="str">
        <f aca="false">IF(ISNUMBER(W3547),A3547-W3547,"")</f>
        <v/>
      </c>
      <c r="AA3547" s="46" t="n">
        <f aca="false">MATCH(A3547,DATAS,0)</f>
        <v>1</v>
      </c>
      <c r="AB3547" s="46" t="n">
        <f aca="false">IF(AND(E3547&gt;0,OR(AND(B3547&gt;=1,B3547&lt;=6),B3547=10)),1,0)</f>
        <v>0</v>
      </c>
      <c r="AC3547" s="46" t="n">
        <f aca="false">IF(AND(E3547&gt;0,B3547=10),1,0)</f>
        <v>0</v>
      </c>
      <c r="AD3547" s="0" t="str">
        <f aca="false">IF(AND(C3546=C3547,AA3546=AA3547-1),AB3546,"")</f>
        <v/>
      </c>
      <c r="AE3547" s="0" t="str">
        <f aca="false">IF(AND(C3546=C3547,AA3546=AA3547-1),AC3546,"")</f>
        <v/>
      </c>
      <c r="AF3547" s="0" t="str">
        <f aca="false">IF(AA3547=1,"",IF(AND(AB3547=1,AD3547&lt;&gt;1),1,0))</f>
        <v/>
      </c>
      <c r="AG3547" s="0" t="str">
        <f aca="false">IF(AA3547=1,"",IF(AND(AC3547=1,AE3547&lt;&gt;1),1,0))</f>
        <v/>
      </c>
      <c r="AH3547" s="51" t="str">
        <f aca="false">IF(AND(E3547&gt;0,AA3547&lt;1,NOT(AND(C3548=C3547,AA3548=AA3547+1))),INDEX(DATAS,AA3547+1),"")</f>
        <v/>
      </c>
      <c r="AI3547" s="51" t="str">
        <f aca="false">IF(AND(AC3547=1,AA3547&lt;1),IF(AND(C3548=C3547,AA3548=AA3547+1),IF(AC3548=1,"",INDEX(DATAS,AA3547+1)),INDEX(DATAS,AA3547+1)),"")</f>
        <v/>
      </c>
    </row>
    <row r="3548" customFormat="false" ht="15" hidden="false" customHeight="false" outlineLevel="0" collapsed="false">
      <c r="A3548" s="51" t="n">
        <v>46309</v>
      </c>
      <c r="B3548" s="0" t="n">
        <v>16</v>
      </c>
      <c r="C3548" s="0" t="n">
        <v>8000</v>
      </c>
      <c r="E3548" s="0" t="n">
        <v>0</v>
      </c>
      <c r="F3548" s="46" t="s">
        <v>1631</v>
      </c>
      <c r="I3548" s="46" t="s">
        <v>179</v>
      </c>
      <c r="U3548" s="0" t="n">
        <v>70</v>
      </c>
      <c r="V3548" s="0" t="n">
        <v>0</v>
      </c>
      <c r="X3548" s="46" t="n">
        <f aca="false">IF(I3548="Male",0,1)</f>
        <v>1</v>
      </c>
      <c r="Y3548" s="46" t="n">
        <f aca="false">IF(OR(I3548="DNB",I3548="Dry DNB"),1,0)</f>
        <v>0</v>
      </c>
      <c r="Z3548" s="0" t="str">
        <f aca="false">IF(ISNUMBER(W3548),A3548-W3548,"")</f>
        <v/>
      </c>
      <c r="AA3548" s="46" t="n">
        <f aca="false">MATCH(A3548,DATAS,0)</f>
        <v>1</v>
      </c>
      <c r="AB3548" s="46" t="n">
        <f aca="false">IF(AND(E3548&gt;0,OR(AND(B3548&gt;=1,B3548&lt;=6),B3548=10)),1,0)</f>
        <v>0</v>
      </c>
      <c r="AC3548" s="46" t="n">
        <f aca="false">IF(AND(E3548&gt;0,B3548=10),1,0)</f>
        <v>0</v>
      </c>
      <c r="AD3548" s="0" t="str">
        <f aca="false">IF(AND(C3547=C3548,AA3547=AA3548-1),AB3547,"")</f>
        <v/>
      </c>
      <c r="AE3548" s="0" t="str">
        <f aca="false">IF(AND(C3547=C3548,AA3547=AA3548-1),AC3547,"")</f>
        <v/>
      </c>
      <c r="AF3548" s="0" t="str">
        <f aca="false">IF(AA3548=1,"",IF(AND(AB3548=1,AD3548&lt;&gt;1),1,0))</f>
        <v/>
      </c>
      <c r="AG3548" s="0" t="str">
        <f aca="false">IF(AA3548=1,"",IF(AND(AC3548=1,AE3548&lt;&gt;1),1,0))</f>
        <v/>
      </c>
      <c r="AH3548" s="51" t="str">
        <f aca="false">IF(AND(E3548&gt;0,AA3548&lt;1,NOT(AND(C3549=C3548,AA3549=AA3548+1))),INDEX(DATAS,AA3548+1),"")</f>
        <v/>
      </c>
      <c r="AI3548" s="51" t="str">
        <f aca="false">IF(AND(AC3548=1,AA3548&lt;1),IF(AND(C3549=C3548,AA3549=AA3548+1),IF(AC3549=1,"",INDEX(DATAS,AA3548+1)),INDEX(DATAS,AA3548+1)),"")</f>
        <v/>
      </c>
    </row>
    <row r="3549" customFormat="false" ht="15" hidden="false" customHeight="false" outlineLevel="0" collapsed="false">
      <c r="A3549" s="51" t="n">
        <v>46309</v>
      </c>
      <c r="B3549" s="0" t="n">
        <v>16</v>
      </c>
      <c r="C3549" s="0" t="n">
        <v>8001</v>
      </c>
      <c r="E3549" s="0" t="n">
        <v>0</v>
      </c>
      <c r="F3549" s="46" t="s">
        <v>1631</v>
      </c>
      <c r="I3549" s="46" t="s">
        <v>179</v>
      </c>
      <c r="U3549" s="0" t="n">
        <v>70</v>
      </c>
      <c r="V3549" s="0" t="n">
        <v>0</v>
      </c>
      <c r="X3549" s="46" t="n">
        <f aca="false">IF(I3549="Male",0,1)</f>
        <v>1</v>
      </c>
      <c r="Y3549" s="46" t="n">
        <f aca="false">IF(OR(I3549="DNB",I3549="Dry DNB"),1,0)</f>
        <v>0</v>
      </c>
      <c r="Z3549" s="0" t="str">
        <f aca="false">IF(ISNUMBER(W3549),A3549-W3549,"")</f>
        <v/>
      </c>
      <c r="AA3549" s="46" t="n">
        <f aca="false">MATCH(A3549,DATAS,0)</f>
        <v>1</v>
      </c>
      <c r="AB3549" s="46" t="n">
        <f aca="false">IF(AND(E3549&gt;0,OR(AND(B3549&gt;=1,B3549&lt;=6),B3549=10)),1,0)</f>
        <v>0</v>
      </c>
      <c r="AC3549" s="46" t="n">
        <f aca="false">IF(AND(E3549&gt;0,B3549=10),1,0)</f>
        <v>0</v>
      </c>
      <c r="AD3549" s="0" t="str">
        <f aca="false">IF(AND(C3548=C3549,AA3548=AA3549-1),AB3548,"")</f>
        <v/>
      </c>
      <c r="AE3549" s="0" t="str">
        <f aca="false">IF(AND(C3548=C3549,AA3548=AA3549-1),AC3548,"")</f>
        <v/>
      </c>
      <c r="AF3549" s="0" t="str">
        <f aca="false">IF(AA3549=1,"",IF(AND(AB3549=1,AD3549&lt;&gt;1),1,0))</f>
        <v/>
      </c>
      <c r="AG3549" s="0" t="str">
        <f aca="false">IF(AA3549=1,"",IF(AND(AC3549=1,AE3549&lt;&gt;1),1,0))</f>
        <v/>
      </c>
      <c r="AH3549" s="51" t="str">
        <f aca="false">IF(AND(E3549&gt;0,AA3549&lt;1,NOT(AND(C3550=C3549,AA3550=AA3549+1))),INDEX(DATAS,AA3549+1),"")</f>
        <v/>
      </c>
      <c r="AI3549" s="51" t="str">
        <f aca="false">IF(AND(AC3549=1,AA3549&lt;1),IF(AND(C3550=C3549,AA3550=AA3549+1),IF(AC3550=1,"",INDEX(DATAS,AA3549+1)),INDEX(DATAS,AA3549+1)),"")</f>
        <v/>
      </c>
    </row>
    <row r="3550" customFormat="false" ht="15" hidden="false" customHeight="false" outlineLevel="0" collapsed="false">
      <c r="A3550" s="51" t="n">
        <v>46309</v>
      </c>
      <c r="B3550" s="0" t="n">
        <v>16</v>
      </c>
      <c r="C3550" s="0" t="n">
        <v>8002</v>
      </c>
      <c r="E3550" s="0" t="n">
        <v>0</v>
      </c>
      <c r="F3550" s="46" t="s">
        <v>1631</v>
      </c>
      <c r="I3550" s="46" t="s">
        <v>179</v>
      </c>
      <c r="U3550" s="0" t="n">
        <v>70</v>
      </c>
      <c r="V3550" s="0" t="n">
        <v>0</v>
      </c>
      <c r="X3550" s="46" t="n">
        <f aca="false">IF(I3550="Male",0,1)</f>
        <v>1</v>
      </c>
      <c r="Y3550" s="46" t="n">
        <f aca="false">IF(OR(I3550="DNB",I3550="Dry DNB"),1,0)</f>
        <v>0</v>
      </c>
      <c r="Z3550" s="0" t="str">
        <f aca="false">IF(ISNUMBER(W3550),A3550-W3550,"")</f>
        <v/>
      </c>
      <c r="AA3550" s="46" t="n">
        <f aca="false">MATCH(A3550,DATAS,0)</f>
        <v>1</v>
      </c>
      <c r="AB3550" s="46" t="n">
        <f aca="false">IF(AND(E3550&gt;0,OR(AND(B3550&gt;=1,B3550&lt;=6),B3550=10)),1,0)</f>
        <v>0</v>
      </c>
      <c r="AC3550" s="46" t="n">
        <f aca="false">IF(AND(E3550&gt;0,B3550=10),1,0)</f>
        <v>0</v>
      </c>
      <c r="AD3550" s="0" t="str">
        <f aca="false">IF(AND(C3549=C3550,AA3549=AA3550-1),AB3549,"")</f>
        <v/>
      </c>
      <c r="AE3550" s="0" t="str">
        <f aca="false">IF(AND(C3549=C3550,AA3549=AA3550-1),AC3549,"")</f>
        <v/>
      </c>
      <c r="AF3550" s="0" t="str">
        <f aca="false">IF(AA3550=1,"",IF(AND(AB3550=1,AD3550&lt;&gt;1),1,0))</f>
        <v/>
      </c>
      <c r="AG3550" s="0" t="str">
        <f aca="false">IF(AA3550=1,"",IF(AND(AC3550=1,AE3550&lt;&gt;1),1,0))</f>
        <v/>
      </c>
      <c r="AH3550" s="51" t="str">
        <f aca="false">IF(AND(E3550&gt;0,AA3550&lt;1,NOT(AND(C3551=C3550,AA3551=AA3550+1))),INDEX(DATAS,AA3550+1),"")</f>
        <v/>
      </c>
      <c r="AI3550" s="51" t="str">
        <f aca="false">IF(AND(AC3550=1,AA3550&lt;1),IF(AND(C3551=C3550,AA3551=AA3550+1),IF(AC3551=1,"",INDEX(DATAS,AA3550+1)),INDEX(DATAS,AA3550+1)),"")</f>
        <v/>
      </c>
    </row>
    <row r="3551" customFormat="false" ht="15" hidden="false" customHeight="false" outlineLevel="0" collapsed="false">
      <c r="A3551" s="51" t="n">
        <v>46309</v>
      </c>
      <c r="B3551" s="0" t="n">
        <v>16</v>
      </c>
      <c r="C3551" s="0" t="n">
        <v>8003</v>
      </c>
      <c r="E3551" s="0" t="n">
        <v>0</v>
      </c>
      <c r="F3551" s="46" t="s">
        <v>1632</v>
      </c>
      <c r="I3551" s="46" t="s">
        <v>179</v>
      </c>
      <c r="U3551" s="0" t="n">
        <v>69</v>
      </c>
      <c r="V3551" s="0" t="n">
        <v>0</v>
      </c>
      <c r="X3551" s="46" t="n">
        <f aca="false">IF(I3551="Male",0,1)</f>
        <v>1</v>
      </c>
      <c r="Y3551" s="46" t="n">
        <f aca="false">IF(OR(I3551="DNB",I3551="Dry DNB"),1,0)</f>
        <v>0</v>
      </c>
      <c r="Z3551" s="0" t="str">
        <f aca="false">IF(ISNUMBER(W3551),A3551-W3551,"")</f>
        <v/>
      </c>
      <c r="AA3551" s="46" t="n">
        <f aca="false">MATCH(A3551,DATAS,0)</f>
        <v>1</v>
      </c>
      <c r="AB3551" s="46" t="n">
        <f aca="false">IF(AND(E3551&gt;0,OR(AND(B3551&gt;=1,B3551&lt;=6),B3551=10)),1,0)</f>
        <v>0</v>
      </c>
      <c r="AC3551" s="46" t="n">
        <f aca="false">IF(AND(E3551&gt;0,B3551=10),1,0)</f>
        <v>0</v>
      </c>
      <c r="AD3551" s="0" t="str">
        <f aca="false">IF(AND(C3550=C3551,AA3550=AA3551-1),AB3550,"")</f>
        <v/>
      </c>
      <c r="AE3551" s="0" t="str">
        <f aca="false">IF(AND(C3550=C3551,AA3550=AA3551-1),AC3550,"")</f>
        <v/>
      </c>
      <c r="AF3551" s="0" t="str">
        <f aca="false">IF(AA3551=1,"",IF(AND(AB3551=1,AD3551&lt;&gt;1),1,0))</f>
        <v/>
      </c>
      <c r="AG3551" s="0" t="str">
        <f aca="false">IF(AA3551=1,"",IF(AND(AC3551=1,AE3551&lt;&gt;1),1,0))</f>
        <v/>
      </c>
      <c r="AH3551" s="51" t="str">
        <f aca="false">IF(AND(E3551&gt;0,AA3551&lt;1,NOT(AND(C3552=C3551,AA3552=AA3551+1))),INDEX(DATAS,AA3551+1),"")</f>
        <v/>
      </c>
      <c r="AI3551" s="51" t="str">
        <f aca="false">IF(AND(AC3551=1,AA3551&lt;1),IF(AND(C3552=C3551,AA3552=AA3551+1),IF(AC3552=1,"",INDEX(DATAS,AA3551+1)),INDEX(DATAS,AA3551+1)),"")</f>
        <v/>
      </c>
    </row>
    <row r="3552" customFormat="false" ht="15" hidden="false" customHeight="false" outlineLevel="0" collapsed="false">
      <c r="A3552" s="51" t="n">
        <v>46309</v>
      </c>
      <c r="B3552" s="0" t="n">
        <v>16</v>
      </c>
      <c r="C3552" s="0" t="n">
        <v>8004</v>
      </c>
      <c r="E3552" s="0" t="n">
        <v>0</v>
      </c>
      <c r="F3552" s="46" t="s">
        <v>1632</v>
      </c>
      <c r="I3552" s="46" t="s">
        <v>179</v>
      </c>
      <c r="U3552" s="0" t="n">
        <v>69</v>
      </c>
      <c r="V3552" s="0" t="n">
        <v>0</v>
      </c>
      <c r="X3552" s="46" t="n">
        <f aca="false">IF(I3552="Male",0,1)</f>
        <v>1</v>
      </c>
      <c r="Y3552" s="46" t="n">
        <f aca="false">IF(OR(I3552="DNB",I3552="Dry DNB"),1,0)</f>
        <v>0</v>
      </c>
      <c r="Z3552" s="0" t="str">
        <f aca="false">IF(ISNUMBER(W3552),A3552-W3552,"")</f>
        <v/>
      </c>
      <c r="AA3552" s="46" t="n">
        <f aca="false">MATCH(A3552,DATAS,0)</f>
        <v>1</v>
      </c>
      <c r="AB3552" s="46" t="n">
        <f aca="false">IF(AND(E3552&gt;0,OR(AND(B3552&gt;=1,B3552&lt;=6),B3552=10)),1,0)</f>
        <v>0</v>
      </c>
      <c r="AC3552" s="46" t="n">
        <f aca="false">IF(AND(E3552&gt;0,B3552=10),1,0)</f>
        <v>0</v>
      </c>
      <c r="AD3552" s="0" t="str">
        <f aca="false">IF(AND(C3551=C3552,AA3551=AA3552-1),AB3551,"")</f>
        <v/>
      </c>
      <c r="AE3552" s="0" t="str">
        <f aca="false">IF(AND(C3551=C3552,AA3551=AA3552-1),AC3551,"")</f>
        <v/>
      </c>
      <c r="AF3552" s="0" t="str">
        <f aca="false">IF(AA3552=1,"",IF(AND(AB3552=1,AD3552&lt;&gt;1),1,0))</f>
        <v/>
      </c>
      <c r="AG3552" s="0" t="str">
        <f aca="false">IF(AA3552=1,"",IF(AND(AC3552=1,AE3552&lt;&gt;1),1,0))</f>
        <v/>
      </c>
      <c r="AH3552" s="51" t="str">
        <f aca="false">IF(AND(E3552&gt;0,AA3552&lt;1,NOT(AND(C3553=C3552,AA3553=AA3552+1))),INDEX(DATAS,AA3552+1),"")</f>
        <v/>
      </c>
      <c r="AI3552" s="51" t="str">
        <f aca="false">IF(AND(AC3552=1,AA3552&lt;1),IF(AND(C3553=C3552,AA3553=AA3552+1),IF(AC3553=1,"",INDEX(DATAS,AA3552+1)),INDEX(DATAS,AA3552+1)),"")</f>
        <v/>
      </c>
    </row>
    <row r="3553" customFormat="false" ht="15" hidden="false" customHeight="false" outlineLevel="0" collapsed="false">
      <c r="A3553" s="51" t="n">
        <v>46309</v>
      </c>
      <c r="B3553" s="0" t="n">
        <v>16</v>
      </c>
      <c r="C3553" s="0" t="n">
        <v>8005</v>
      </c>
      <c r="E3553" s="0" t="n">
        <v>0</v>
      </c>
      <c r="F3553" s="46" t="s">
        <v>1633</v>
      </c>
      <c r="I3553" s="46" t="s">
        <v>179</v>
      </c>
      <c r="U3553" s="0" t="n">
        <v>68</v>
      </c>
      <c r="V3553" s="0" t="n">
        <v>0</v>
      </c>
      <c r="X3553" s="46" t="n">
        <f aca="false">IF(I3553="Male",0,1)</f>
        <v>1</v>
      </c>
      <c r="Y3553" s="46" t="n">
        <f aca="false">IF(OR(I3553="DNB",I3553="Dry DNB"),1,0)</f>
        <v>0</v>
      </c>
      <c r="Z3553" s="0" t="str">
        <f aca="false">IF(ISNUMBER(W3553),A3553-W3553,"")</f>
        <v/>
      </c>
      <c r="AA3553" s="46" t="n">
        <f aca="false">MATCH(A3553,DATAS,0)</f>
        <v>1</v>
      </c>
      <c r="AB3553" s="46" t="n">
        <f aca="false">IF(AND(E3553&gt;0,OR(AND(B3553&gt;=1,B3553&lt;=6),B3553=10)),1,0)</f>
        <v>0</v>
      </c>
      <c r="AC3553" s="46" t="n">
        <f aca="false">IF(AND(E3553&gt;0,B3553=10),1,0)</f>
        <v>0</v>
      </c>
      <c r="AD3553" s="0" t="str">
        <f aca="false">IF(AND(C3552=C3553,AA3552=AA3553-1),AB3552,"")</f>
        <v/>
      </c>
      <c r="AE3553" s="0" t="str">
        <f aca="false">IF(AND(C3552=C3553,AA3552=AA3553-1),AC3552,"")</f>
        <v/>
      </c>
      <c r="AF3553" s="0" t="str">
        <f aca="false">IF(AA3553=1,"",IF(AND(AB3553=1,AD3553&lt;&gt;1),1,0))</f>
        <v/>
      </c>
      <c r="AG3553" s="0" t="str">
        <f aca="false">IF(AA3553=1,"",IF(AND(AC3553=1,AE3553&lt;&gt;1),1,0))</f>
        <v/>
      </c>
      <c r="AH3553" s="51" t="str">
        <f aca="false">IF(AND(E3553&gt;0,AA3553&lt;1,NOT(AND(C3554=C3553,AA3554=AA3553+1))),INDEX(DATAS,AA3553+1),"")</f>
        <v/>
      </c>
      <c r="AI3553" s="51" t="str">
        <f aca="false">IF(AND(AC3553=1,AA3553&lt;1),IF(AND(C3554=C3553,AA3554=AA3553+1),IF(AC3554=1,"",INDEX(DATAS,AA3553+1)),INDEX(DATAS,AA3553+1)),"")</f>
        <v/>
      </c>
    </row>
    <row r="3554" customFormat="false" ht="15" hidden="false" customHeight="false" outlineLevel="0" collapsed="false">
      <c r="A3554" s="51" t="n">
        <v>46309</v>
      </c>
      <c r="B3554" s="0" t="n">
        <v>16</v>
      </c>
      <c r="C3554" s="0" t="n">
        <v>8006</v>
      </c>
      <c r="E3554" s="0" t="n">
        <v>0</v>
      </c>
      <c r="F3554" s="46" t="s">
        <v>1633</v>
      </c>
      <c r="I3554" s="46" t="s">
        <v>179</v>
      </c>
      <c r="U3554" s="0" t="n">
        <v>68</v>
      </c>
      <c r="V3554" s="0" t="n">
        <v>0</v>
      </c>
      <c r="X3554" s="46" t="n">
        <f aca="false">IF(I3554="Male",0,1)</f>
        <v>1</v>
      </c>
      <c r="Y3554" s="46" t="n">
        <f aca="false">IF(OR(I3554="DNB",I3554="Dry DNB"),1,0)</f>
        <v>0</v>
      </c>
      <c r="Z3554" s="0" t="str">
        <f aca="false">IF(ISNUMBER(W3554),A3554-W3554,"")</f>
        <v/>
      </c>
      <c r="AA3554" s="46" t="n">
        <f aca="false">MATCH(A3554,DATAS,0)</f>
        <v>1</v>
      </c>
      <c r="AB3554" s="46" t="n">
        <f aca="false">IF(AND(E3554&gt;0,OR(AND(B3554&gt;=1,B3554&lt;=6),B3554=10)),1,0)</f>
        <v>0</v>
      </c>
      <c r="AC3554" s="46" t="n">
        <f aca="false">IF(AND(E3554&gt;0,B3554=10),1,0)</f>
        <v>0</v>
      </c>
      <c r="AD3554" s="0" t="str">
        <f aca="false">IF(AND(C3553=C3554,AA3553=AA3554-1),AB3553,"")</f>
        <v/>
      </c>
      <c r="AE3554" s="0" t="str">
        <f aca="false">IF(AND(C3553=C3554,AA3553=AA3554-1),AC3553,"")</f>
        <v/>
      </c>
      <c r="AF3554" s="0" t="str">
        <f aca="false">IF(AA3554=1,"",IF(AND(AB3554=1,AD3554&lt;&gt;1),1,0))</f>
        <v/>
      </c>
      <c r="AG3554" s="0" t="str">
        <f aca="false">IF(AA3554=1,"",IF(AND(AC3554=1,AE3554&lt;&gt;1),1,0))</f>
        <v/>
      </c>
      <c r="AH3554" s="51" t="str">
        <f aca="false">IF(AND(E3554&gt;0,AA3554&lt;1,NOT(AND(C3555=C3554,AA3555=AA3554+1))),INDEX(DATAS,AA3554+1),"")</f>
        <v/>
      </c>
      <c r="AI3554" s="51" t="str">
        <f aca="false">IF(AND(AC3554=1,AA3554&lt;1),IF(AND(C3555=C3554,AA3555=AA3554+1),IF(AC3555=1,"",INDEX(DATAS,AA3554+1)),INDEX(DATAS,AA3554+1)),"")</f>
        <v/>
      </c>
    </row>
    <row r="3555" customFormat="false" ht="15" hidden="false" customHeight="false" outlineLevel="0" collapsed="false">
      <c r="A3555" s="51" t="n">
        <v>46309</v>
      </c>
      <c r="B3555" s="0" t="n">
        <v>16</v>
      </c>
      <c r="C3555" s="0" t="n">
        <v>8007</v>
      </c>
      <c r="E3555" s="0" t="n">
        <v>0</v>
      </c>
      <c r="F3555" s="46" t="s">
        <v>1633</v>
      </c>
      <c r="I3555" s="46" t="s">
        <v>179</v>
      </c>
      <c r="U3555" s="0" t="n">
        <v>68</v>
      </c>
      <c r="V3555" s="0" t="n">
        <v>0</v>
      </c>
      <c r="X3555" s="46" t="n">
        <f aca="false">IF(I3555="Male",0,1)</f>
        <v>1</v>
      </c>
      <c r="Y3555" s="46" t="n">
        <f aca="false">IF(OR(I3555="DNB",I3555="Dry DNB"),1,0)</f>
        <v>0</v>
      </c>
      <c r="Z3555" s="0" t="str">
        <f aca="false">IF(ISNUMBER(W3555),A3555-W3555,"")</f>
        <v/>
      </c>
      <c r="AA3555" s="46" t="n">
        <f aca="false">MATCH(A3555,DATAS,0)</f>
        <v>1</v>
      </c>
      <c r="AB3555" s="46" t="n">
        <f aca="false">IF(AND(E3555&gt;0,OR(AND(B3555&gt;=1,B3555&lt;=6),B3555=10)),1,0)</f>
        <v>0</v>
      </c>
      <c r="AC3555" s="46" t="n">
        <f aca="false">IF(AND(E3555&gt;0,B3555=10),1,0)</f>
        <v>0</v>
      </c>
      <c r="AD3555" s="0" t="str">
        <f aca="false">IF(AND(C3554=C3555,AA3554=AA3555-1),AB3554,"")</f>
        <v/>
      </c>
      <c r="AE3555" s="0" t="str">
        <f aca="false">IF(AND(C3554=C3555,AA3554=AA3555-1),AC3554,"")</f>
        <v/>
      </c>
      <c r="AF3555" s="0" t="str">
        <f aca="false">IF(AA3555=1,"",IF(AND(AB3555=1,AD3555&lt;&gt;1),1,0))</f>
        <v/>
      </c>
      <c r="AG3555" s="0" t="str">
        <f aca="false">IF(AA3555=1,"",IF(AND(AC3555=1,AE3555&lt;&gt;1),1,0))</f>
        <v/>
      </c>
      <c r="AH3555" s="51" t="str">
        <f aca="false">IF(AND(E3555&gt;0,AA3555&lt;1,NOT(AND(C3556=C3555,AA3556=AA3555+1))),INDEX(DATAS,AA3555+1),"")</f>
        <v/>
      </c>
      <c r="AI3555" s="51" t="str">
        <f aca="false">IF(AND(AC3555=1,AA3555&lt;1),IF(AND(C3556=C3555,AA3556=AA3555+1),IF(AC3556=1,"",INDEX(DATAS,AA3555+1)),INDEX(DATAS,AA3555+1)),"")</f>
        <v/>
      </c>
    </row>
    <row r="3556" customFormat="false" ht="15" hidden="false" customHeight="false" outlineLevel="0" collapsed="false">
      <c r="A3556" s="51" t="n">
        <v>46309</v>
      </c>
      <c r="B3556" s="0" t="n">
        <v>16</v>
      </c>
      <c r="C3556" s="0" t="n">
        <v>8008</v>
      </c>
      <c r="E3556" s="0" t="n">
        <v>0</v>
      </c>
      <c r="F3556" s="46" t="s">
        <v>1633</v>
      </c>
      <c r="I3556" s="46" t="s">
        <v>179</v>
      </c>
      <c r="U3556" s="0" t="n">
        <v>68</v>
      </c>
      <c r="V3556" s="0" t="n">
        <v>0</v>
      </c>
      <c r="X3556" s="46" t="n">
        <f aca="false">IF(I3556="Male",0,1)</f>
        <v>1</v>
      </c>
      <c r="Y3556" s="46" t="n">
        <f aca="false">IF(OR(I3556="DNB",I3556="Dry DNB"),1,0)</f>
        <v>0</v>
      </c>
      <c r="Z3556" s="0" t="str">
        <f aca="false">IF(ISNUMBER(W3556),A3556-W3556,"")</f>
        <v/>
      </c>
      <c r="AA3556" s="46" t="n">
        <f aca="false">MATCH(A3556,DATAS,0)</f>
        <v>1</v>
      </c>
      <c r="AB3556" s="46" t="n">
        <f aca="false">IF(AND(E3556&gt;0,OR(AND(B3556&gt;=1,B3556&lt;=6),B3556=10)),1,0)</f>
        <v>0</v>
      </c>
      <c r="AC3556" s="46" t="n">
        <f aca="false">IF(AND(E3556&gt;0,B3556=10),1,0)</f>
        <v>0</v>
      </c>
      <c r="AD3556" s="0" t="str">
        <f aca="false">IF(AND(C3555=C3556,AA3555=AA3556-1),AB3555,"")</f>
        <v/>
      </c>
      <c r="AE3556" s="0" t="str">
        <f aca="false">IF(AND(C3555=C3556,AA3555=AA3556-1),AC3555,"")</f>
        <v/>
      </c>
      <c r="AF3556" s="0" t="str">
        <f aca="false">IF(AA3556=1,"",IF(AND(AB3556=1,AD3556&lt;&gt;1),1,0))</f>
        <v/>
      </c>
      <c r="AG3556" s="0" t="str">
        <f aca="false">IF(AA3556=1,"",IF(AND(AC3556=1,AE3556&lt;&gt;1),1,0))</f>
        <v/>
      </c>
      <c r="AH3556" s="51" t="str">
        <f aca="false">IF(AND(E3556&gt;0,AA3556&lt;1,NOT(AND(C3557=C3556,AA3557=AA3556+1))),INDEX(DATAS,AA3556+1),"")</f>
        <v/>
      </c>
      <c r="AI3556" s="51" t="str">
        <f aca="false">IF(AND(AC3556=1,AA3556&lt;1),IF(AND(C3557=C3556,AA3557=AA3556+1),IF(AC3557=1,"",INDEX(DATAS,AA3556+1)),INDEX(DATAS,AA3556+1)),"")</f>
        <v/>
      </c>
    </row>
    <row r="3557" customFormat="false" ht="15" hidden="false" customHeight="false" outlineLevel="0" collapsed="false">
      <c r="A3557" s="51" t="n">
        <v>46309</v>
      </c>
      <c r="B3557" s="0" t="n">
        <v>16</v>
      </c>
      <c r="C3557" s="0" t="n">
        <v>8009</v>
      </c>
      <c r="E3557" s="0" t="n">
        <v>0</v>
      </c>
      <c r="F3557" s="46" t="s">
        <v>1633</v>
      </c>
      <c r="I3557" s="46" t="s">
        <v>179</v>
      </c>
      <c r="U3557" s="0" t="n">
        <v>68</v>
      </c>
      <c r="V3557" s="0" t="n">
        <v>0</v>
      </c>
      <c r="X3557" s="46" t="n">
        <f aca="false">IF(I3557="Male",0,1)</f>
        <v>1</v>
      </c>
      <c r="Y3557" s="46" t="n">
        <f aca="false">IF(OR(I3557="DNB",I3557="Dry DNB"),1,0)</f>
        <v>0</v>
      </c>
      <c r="Z3557" s="0" t="str">
        <f aca="false">IF(ISNUMBER(W3557),A3557-W3557,"")</f>
        <v/>
      </c>
      <c r="AA3557" s="46" t="n">
        <f aca="false">MATCH(A3557,DATAS,0)</f>
        <v>1</v>
      </c>
      <c r="AB3557" s="46" t="n">
        <f aca="false">IF(AND(E3557&gt;0,OR(AND(B3557&gt;=1,B3557&lt;=6),B3557=10)),1,0)</f>
        <v>0</v>
      </c>
      <c r="AC3557" s="46" t="n">
        <f aca="false">IF(AND(E3557&gt;0,B3557=10),1,0)</f>
        <v>0</v>
      </c>
      <c r="AD3557" s="0" t="str">
        <f aca="false">IF(AND(C3556=C3557,AA3556=AA3557-1),AB3556,"")</f>
        <v/>
      </c>
      <c r="AE3557" s="0" t="str">
        <f aca="false">IF(AND(C3556=C3557,AA3556=AA3557-1),AC3556,"")</f>
        <v/>
      </c>
      <c r="AF3557" s="0" t="str">
        <f aca="false">IF(AA3557=1,"",IF(AND(AB3557=1,AD3557&lt;&gt;1),1,0))</f>
        <v/>
      </c>
      <c r="AG3557" s="0" t="str">
        <f aca="false">IF(AA3557=1,"",IF(AND(AC3557=1,AE3557&lt;&gt;1),1,0))</f>
        <v/>
      </c>
      <c r="AH3557" s="51" t="str">
        <f aca="false">IF(AND(E3557&gt;0,AA3557&lt;1,NOT(AND(C3558=C3557,AA3558=AA3557+1))),INDEX(DATAS,AA3557+1),"")</f>
        <v/>
      </c>
      <c r="AI3557" s="51" t="str">
        <f aca="false">IF(AND(AC3557=1,AA3557&lt;1),IF(AND(C3558=C3557,AA3558=AA3557+1),IF(AC3558=1,"",INDEX(DATAS,AA3557+1)),INDEX(DATAS,AA3557+1)),"")</f>
        <v/>
      </c>
    </row>
    <row r="3558" customFormat="false" ht="15" hidden="false" customHeight="false" outlineLevel="0" collapsed="false">
      <c r="A3558" s="51" t="n">
        <v>46309</v>
      </c>
      <c r="B3558" s="0" t="n">
        <v>16</v>
      </c>
      <c r="C3558" s="0" t="n">
        <v>8010</v>
      </c>
      <c r="E3558" s="0" t="n">
        <v>0</v>
      </c>
      <c r="F3558" s="46" t="s">
        <v>1633</v>
      </c>
      <c r="I3558" s="46" t="s">
        <v>179</v>
      </c>
      <c r="U3558" s="0" t="n">
        <v>68</v>
      </c>
      <c r="V3558" s="0" t="n">
        <v>0</v>
      </c>
      <c r="X3558" s="46" t="n">
        <f aca="false">IF(I3558="Male",0,1)</f>
        <v>1</v>
      </c>
      <c r="Y3558" s="46" t="n">
        <f aca="false">IF(OR(I3558="DNB",I3558="Dry DNB"),1,0)</f>
        <v>0</v>
      </c>
      <c r="Z3558" s="0" t="str">
        <f aca="false">IF(ISNUMBER(W3558),A3558-W3558,"")</f>
        <v/>
      </c>
      <c r="AA3558" s="46" t="n">
        <f aca="false">MATCH(A3558,DATAS,0)</f>
        <v>1</v>
      </c>
      <c r="AB3558" s="46" t="n">
        <f aca="false">IF(AND(E3558&gt;0,OR(AND(B3558&gt;=1,B3558&lt;=6),B3558=10)),1,0)</f>
        <v>0</v>
      </c>
      <c r="AC3558" s="46" t="n">
        <f aca="false">IF(AND(E3558&gt;0,B3558=10),1,0)</f>
        <v>0</v>
      </c>
      <c r="AD3558" s="0" t="str">
        <f aca="false">IF(AND(C3557=C3558,AA3557=AA3558-1),AB3557,"")</f>
        <v/>
      </c>
      <c r="AE3558" s="0" t="str">
        <f aca="false">IF(AND(C3557=C3558,AA3557=AA3558-1),AC3557,"")</f>
        <v/>
      </c>
      <c r="AF3558" s="0" t="str">
        <f aca="false">IF(AA3558=1,"",IF(AND(AB3558=1,AD3558&lt;&gt;1),1,0))</f>
        <v/>
      </c>
      <c r="AG3558" s="0" t="str">
        <f aca="false">IF(AA3558=1,"",IF(AND(AC3558=1,AE3558&lt;&gt;1),1,0))</f>
        <v/>
      </c>
      <c r="AH3558" s="51" t="str">
        <f aca="false">IF(AND(E3558&gt;0,AA3558&lt;1,NOT(AND(C3559=C3558,AA3559=AA3558+1))),INDEX(DATAS,AA3558+1),"")</f>
        <v/>
      </c>
      <c r="AI3558" s="51" t="str">
        <f aca="false">IF(AND(AC3558=1,AA3558&lt;1),IF(AND(C3559=C3558,AA3559=AA3558+1),IF(AC3559=1,"",INDEX(DATAS,AA3558+1)),INDEX(DATAS,AA3558+1)),"")</f>
        <v/>
      </c>
    </row>
    <row r="3559" customFormat="false" ht="15" hidden="false" customHeight="false" outlineLevel="0" collapsed="false">
      <c r="A3559" s="51" t="n">
        <v>46309</v>
      </c>
      <c r="B3559" s="0" t="n">
        <v>16</v>
      </c>
      <c r="C3559" s="0" t="n">
        <v>8011</v>
      </c>
      <c r="E3559" s="0" t="n">
        <v>0</v>
      </c>
      <c r="F3559" s="46" t="s">
        <v>1634</v>
      </c>
      <c r="I3559" s="46" t="s">
        <v>179</v>
      </c>
      <c r="U3559" s="0" t="n">
        <v>67</v>
      </c>
      <c r="V3559" s="0" t="n">
        <v>0</v>
      </c>
      <c r="X3559" s="46" t="n">
        <f aca="false">IF(I3559="Male",0,1)</f>
        <v>1</v>
      </c>
      <c r="Y3559" s="46" t="n">
        <f aca="false">IF(OR(I3559="DNB",I3559="Dry DNB"),1,0)</f>
        <v>0</v>
      </c>
      <c r="Z3559" s="0" t="str">
        <f aca="false">IF(ISNUMBER(W3559),A3559-W3559,"")</f>
        <v/>
      </c>
      <c r="AA3559" s="46" t="n">
        <f aca="false">MATCH(A3559,DATAS,0)</f>
        <v>1</v>
      </c>
      <c r="AB3559" s="46" t="n">
        <f aca="false">IF(AND(E3559&gt;0,OR(AND(B3559&gt;=1,B3559&lt;=6),B3559=10)),1,0)</f>
        <v>0</v>
      </c>
      <c r="AC3559" s="46" t="n">
        <f aca="false">IF(AND(E3559&gt;0,B3559=10),1,0)</f>
        <v>0</v>
      </c>
      <c r="AD3559" s="0" t="str">
        <f aca="false">IF(AND(C3558=C3559,AA3558=AA3559-1),AB3558,"")</f>
        <v/>
      </c>
      <c r="AE3559" s="0" t="str">
        <f aca="false">IF(AND(C3558=C3559,AA3558=AA3559-1),AC3558,"")</f>
        <v/>
      </c>
      <c r="AF3559" s="0" t="str">
        <f aca="false">IF(AA3559=1,"",IF(AND(AB3559=1,AD3559&lt;&gt;1),1,0))</f>
        <v/>
      </c>
      <c r="AG3559" s="0" t="str">
        <f aca="false">IF(AA3559=1,"",IF(AND(AC3559=1,AE3559&lt;&gt;1),1,0))</f>
        <v/>
      </c>
      <c r="AH3559" s="51" t="str">
        <f aca="false">IF(AND(E3559&gt;0,AA3559&lt;1,NOT(AND(C3560=C3559,AA3560=AA3559+1))),INDEX(DATAS,AA3559+1),"")</f>
        <v/>
      </c>
      <c r="AI3559" s="51" t="str">
        <f aca="false">IF(AND(AC3559=1,AA3559&lt;1),IF(AND(C3560=C3559,AA3560=AA3559+1),IF(AC3560=1,"",INDEX(DATAS,AA3559+1)),INDEX(DATAS,AA3559+1)),"")</f>
        <v/>
      </c>
    </row>
    <row r="3560" customFormat="false" ht="15" hidden="false" customHeight="false" outlineLevel="0" collapsed="false">
      <c r="A3560" s="51" t="n">
        <v>46309</v>
      </c>
      <c r="B3560" s="0" t="n">
        <v>16</v>
      </c>
      <c r="C3560" s="0" t="n">
        <v>8012</v>
      </c>
      <c r="E3560" s="0" t="n">
        <v>0</v>
      </c>
      <c r="F3560" s="46" t="s">
        <v>1635</v>
      </c>
      <c r="I3560" s="46" t="s">
        <v>179</v>
      </c>
      <c r="U3560" s="0" t="n">
        <v>66</v>
      </c>
      <c r="V3560" s="0" t="n">
        <v>0</v>
      </c>
      <c r="X3560" s="46" t="n">
        <f aca="false">IF(I3560="Male",0,1)</f>
        <v>1</v>
      </c>
      <c r="Y3560" s="46" t="n">
        <f aca="false">IF(OR(I3560="DNB",I3560="Dry DNB"),1,0)</f>
        <v>0</v>
      </c>
      <c r="Z3560" s="0" t="str">
        <f aca="false">IF(ISNUMBER(W3560),A3560-W3560,"")</f>
        <v/>
      </c>
      <c r="AA3560" s="46" t="n">
        <f aca="false">MATCH(A3560,DATAS,0)</f>
        <v>1</v>
      </c>
      <c r="AB3560" s="46" t="n">
        <f aca="false">IF(AND(E3560&gt;0,OR(AND(B3560&gt;=1,B3560&lt;=6),B3560=10)),1,0)</f>
        <v>0</v>
      </c>
      <c r="AC3560" s="46" t="n">
        <f aca="false">IF(AND(E3560&gt;0,B3560=10),1,0)</f>
        <v>0</v>
      </c>
      <c r="AD3560" s="0" t="str">
        <f aca="false">IF(AND(C3559=C3560,AA3559=AA3560-1),AB3559,"")</f>
        <v/>
      </c>
      <c r="AE3560" s="0" t="str">
        <f aca="false">IF(AND(C3559=C3560,AA3559=AA3560-1),AC3559,"")</f>
        <v/>
      </c>
      <c r="AF3560" s="0" t="str">
        <f aca="false">IF(AA3560=1,"",IF(AND(AB3560=1,AD3560&lt;&gt;1),1,0))</f>
        <v/>
      </c>
      <c r="AG3560" s="0" t="str">
        <f aca="false">IF(AA3560=1,"",IF(AND(AC3560=1,AE3560&lt;&gt;1),1,0))</f>
        <v/>
      </c>
      <c r="AH3560" s="51" t="str">
        <f aca="false">IF(AND(E3560&gt;0,AA3560&lt;1,NOT(AND(C3561=C3560,AA3561=AA3560+1))),INDEX(DATAS,AA3560+1),"")</f>
        <v/>
      </c>
      <c r="AI3560" s="51" t="str">
        <f aca="false">IF(AND(AC3560=1,AA3560&lt;1),IF(AND(C3561=C3560,AA3561=AA3560+1),IF(AC3561=1,"",INDEX(DATAS,AA3560+1)),INDEX(DATAS,AA3560+1)),"")</f>
        <v/>
      </c>
    </row>
    <row r="3561" customFormat="false" ht="15" hidden="false" customHeight="false" outlineLevel="0" collapsed="false">
      <c r="A3561" s="51" t="n">
        <v>46309</v>
      </c>
      <c r="B3561" s="0" t="n">
        <v>16</v>
      </c>
      <c r="C3561" s="0" t="n">
        <v>8013</v>
      </c>
      <c r="E3561" s="0" t="n">
        <v>0</v>
      </c>
      <c r="F3561" s="46" t="s">
        <v>1635</v>
      </c>
      <c r="I3561" s="46" t="s">
        <v>179</v>
      </c>
      <c r="U3561" s="0" t="n">
        <v>66</v>
      </c>
      <c r="V3561" s="0" t="n">
        <v>0</v>
      </c>
      <c r="X3561" s="46" t="n">
        <f aca="false">IF(I3561="Male",0,1)</f>
        <v>1</v>
      </c>
      <c r="Y3561" s="46" t="n">
        <f aca="false">IF(OR(I3561="DNB",I3561="Dry DNB"),1,0)</f>
        <v>0</v>
      </c>
      <c r="Z3561" s="0" t="str">
        <f aca="false">IF(ISNUMBER(W3561),A3561-W3561,"")</f>
        <v/>
      </c>
      <c r="AA3561" s="46" t="n">
        <f aca="false">MATCH(A3561,DATAS,0)</f>
        <v>1</v>
      </c>
      <c r="AB3561" s="46" t="n">
        <f aca="false">IF(AND(E3561&gt;0,OR(AND(B3561&gt;=1,B3561&lt;=6),B3561=10)),1,0)</f>
        <v>0</v>
      </c>
      <c r="AC3561" s="46" t="n">
        <f aca="false">IF(AND(E3561&gt;0,B3561=10),1,0)</f>
        <v>0</v>
      </c>
      <c r="AD3561" s="0" t="str">
        <f aca="false">IF(AND(C3560=C3561,AA3560=AA3561-1),AB3560,"")</f>
        <v/>
      </c>
      <c r="AE3561" s="0" t="str">
        <f aca="false">IF(AND(C3560=C3561,AA3560=AA3561-1),AC3560,"")</f>
        <v/>
      </c>
      <c r="AF3561" s="0" t="str">
        <f aca="false">IF(AA3561=1,"",IF(AND(AB3561=1,AD3561&lt;&gt;1),1,0))</f>
        <v/>
      </c>
      <c r="AG3561" s="0" t="str">
        <f aca="false">IF(AA3561=1,"",IF(AND(AC3561=1,AE3561&lt;&gt;1),1,0))</f>
        <v/>
      </c>
      <c r="AH3561" s="51" t="str">
        <f aca="false">IF(AND(E3561&gt;0,AA3561&lt;1,NOT(AND(C3562=C3561,AA3562=AA3561+1))),INDEX(DATAS,AA3561+1),"")</f>
        <v/>
      </c>
      <c r="AI3561" s="51" t="str">
        <f aca="false">IF(AND(AC3561=1,AA3561&lt;1),IF(AND(C3562=C3561,AA3562=AA3561+1),IF(AC3562=1,"",INDEX(DATAS,AA3561+1)),INDEX(DATAS,AA3561+1)),"")</f>
        <v/>
      </c>
    </row>
    <row r="3562" customFormat="false" ht="15" hidden="false" customHeight="false" outlineLevel="0" collapsed="false">
      <c r="A3562" s="51" t="n">
        <v>46309</v>
      </c>
      <c r="B3562" s="0" t="n">
        <v>16</v>
      </c>
      <c r="C3562" s="0" t="n">
        <v>8014</v>
      </c>
      <c r="E3562" s="0" t="n">
        <v>0</v>
      </c>
      <c r="F3562" s="46" t="s">
        <v>1635</v>
      </c>
      <c r="I3562" s="46" t="s">
        <v>179</v>
      </c>
      <c r="U3562" s="0" t="n">
        <v>66</v>
      </c>
      <c r="V3562" s="0" t="n">
        <v>0</v>
      </c>
      <c r="X3562" s="46" t="n">
        <f aca="false">IF(I3562="Male",0,1)</f>
        <v>1</v>
      </c>
      <c r="Y3562" s="46" t="n">
        <f aca="false">IF(OR(I3562="DNB",I3562="Dry DNB"),1,0)</f>
        <v>0</v>
      </c>
      <c r="Z3562" s="0" t="str">
        <f aca="false">IF(ISNUMBER(W3562),A3562-W3562,"")</f>
        <v/>
      </c>
      <c r="AA3562" s="46" t="n">
        <f aca="false">MATCH(A3562,DATAS,0)</f>
        <v>1</v>
      </c>
      <c r="AB3562" s="46" t="n">
        <f aca="false">IF(AND(E3562&gt;0,OR(AND(B3562&gt;=1,B3562&lt;=6),B3562=10)),1,0)</f>
        <v>0</v>
      </c>
      <c r="AC3562" s="46" t="n">
        <f aca="false">IF(AND(E3562&gt;0,B3562=10),1,0)</f>
        <v>0</v>
      </c>
      <c r="AD3562" s="0" t="str">
        <f aca="false">IF(AND(C3561=C3562,AA3561=AA3562-1),AB3561,"")</f>
        <v/>
      </c>
      <c r="AE3562" s="0" t="str">
        <f aca="false">IF(AND(C3561=C3562,AA3561=AA3562-1),AC3561,"")</f>
        <v/>
      </c>
      <c r="AF3562" s="0" t="str">
        <f aca="false">IF(AA3562=1,"",IF(AND(AB3562=1,AD3562&lt;&gt;1),1,0))</f>
        <v/>
      </c>
      <c r="AG3562" s="0" t="str">
        <f aca="false">IF(AA3562=1,"",IF(AND(AC3562=1,AE3562&lt;&gt;1),1,0))</f>
        <v/>
      </c>
      <c r="AH3562" s="51" t="str">
        <f aca="false">IF(AND(E3562&gt;0,AA3562&lt;1,NOT(AND(C3563=C3562,AA3563=AA3562+1))),INDEX(DATAS,AA3562+1),"")</f>
        <v/>
      </c>
      <c r="AI3562" s="51" t="str">
        <f aca="false">IF(AND(AC3562=1,AA3562&lt;1),IF(AND(C3563=C3562,AA3563=AA3562+1),IF(AC3563=1,"",INDEX(DATAS,AA3562+1)),INDEX(DATAS,AA3562+1)),"")</f>
        <v/>
      </c>
    </row>
    <row r="3563" customFormat="false" ht="15" hidden="false" customHeight="false" outlineLevel="0" collapsed="false">
      <c r="A3563" s="51" t="n">
        <v>46309</v>
      </c>
      <c r="B3563" s="0" t="n">
        <v>16</v>
      </c>
      <c r="C3563" s="0" t="n">
        <v>8015</v>
      </c>
      <c r="E3563" s="0" t="n">
        <v>0</v>
      </c>
      <c r="F3563" s="46" t="s">
        <v>1635</v>
      </c>
      <c r="I3563" s="46" t="s">
        <v>179</v>
      </c>
      <c r="U3563" s="0" t="n">
        <v>66</v>
      </c>
      <c r="V3563" s="0" t="n">
        <v>0</v>
      </c>
      <c r="X3563" s="46" t="n">
        <f aca="false">IF(I3563="Male",0,1)</f>
        <v>1</v>
      </c>
      <c r="Y3563" s="46" t="n">
        <f aca="false">IF(OR(I3563="DNB",I3563="Dry DNB"),1,0)</f>
        <v>0</v>
      </c>
      <c r="Z3563" s="0" t="str">
        <f aca="false">IF(ISNUMBER(W3563),A3563-W3563,"")</f>
        <v/>
      </c>
      <c r="AA3563" s="46" t="n">
        <f aca="false">MATCH(A3563,DATAS,0)</f>
        <v>1</v>
      </c>
      <c r="AB3563" s="46" t="n">
        <f aca="false">IF(AND(E3563&gt;0,OR(AND(B3563&gt;=1,B3563&lt;=6),B3563=10)),1,0)</f>
        <v>0</v>
      </c>
      <c r="AC3563" s="46" t="n">
        <f aca="false">IF(AND(E3563&gt;0,B3563=10),1,0)</f>
        <v>0</v>
      </c>
      <c r="AD3563" s="0" t="str">
        <f aca="false">IF(AND(C3562=C3563,AA3562=AA3563-1),AB3562,"")</f>
        <v/>
      </c>
      <c r="AE3563" s="0" t="str">
        <f aca="false">IF(AND(C3562=C3563,AA3562=AA3563-1),AC3562,"")</f>
        <v/>
      </c>
      <c r="AF3563" s="0" t="str">
        <f aca="false">IF(AA3563=1,"",IF(AND(AB3563=1,AD3563&lt;&gt;1),1,0))</f>
        <v/>
      </c>
      <c r="AG3563" s="0" t="str">
        <f aca="false">IF(AA3563=1,"",IF(AND(AC3563=1,AE3563&lt;&gt;1),1,0))</f>
        <v/>
      </c>
      <c r="AH3563" s="51" t="str">
        <f aca="false">IF(AND(E3563&gt;0,AA3563&lt;1,NOT(AND(C3564=C3563,AA3564=AA3563+1))),INDEX(DATAS,AA3563+1),"")</f>
        <v/>
      </c>
      <c r="AI3563" s="51" t="str">
        <f aca="false">IF(AND(AC3563=1,AA3563&lt;1),IF(AND(C3564=C3563,AA3564=AA3563+1),IF(AC3564=1,"",INDEX(DATAS,AA3563+1)),INDEX(DATAS,AA3563+1)),"")</f>
        <v/>
      </c>
    </row>
    <row r="3564" customFormat="false" ht="15" hidden="false" customHeight="false" outlineLevel="0" collapsed="false">
      <c r="A3564" s="51" t="n">
        <v>46309</v>
      </c>
      <c r="B3564" s="0" t="n">
        <v>16</v>
      </c>
      <c r="C3564" s="0" t="n">
        <v>8018</v>
      </c>
      <c r="E3564" s="0" t="n">
        <v>0</v>
      </c>
      <c r="F3564" s="46" t="s">
        <v>1636</v>
      </c>
      <c r="I3564" s="46" t="s">
        <v>179</v>
      </c>
      <c r="U3564" s="0" t="n">
        <v>65</v>
      </c>
      <c r="V3564" s="0" t="n">
        <v>0</v>
      </c>
      <c r="X3564" s="46" t="n">
        <f aca="false">IF(I3564="Male",0,1)</f>
        <v>1</v>
      </c>
      <c r="Y3564" s="46" t="n">
        <f aca="false">IF(OR(I3564="DNB",I3564="Dry DNB"),1,0)</f>
        <v>0</v>
      </c>
      <c r="Z3564" s="0" t="str">
        <f aca="false">IF(ISNUMBER(W3564),A3564-W3564,"")</f>
        <v/>
      </c>
      <c r="AA3564" s="46" t="n">
        <f aca="false">MATCH(A3564,DATAS,0)</f>
        <v>1</v>
      </c>
      <c r="AB3564" s="46" t="n">
        <f aca="false">IF(AND(E3564&gt;0,OR(AND(B3564&gt;=1,B3564&lt;=6),B3564=10)),1,0)</f>
        <v>0</v>
      </c>
      <c r="AC3564" s="46" t="n">
        <f aca="false">IF(AND(E3564&gt;0,B3564=10),1,0)</f>
        <v>0</v>
      </c>
      <c r="AD3564" s="0" t="str">
        <f aca="false">IF(AND(C3563=C3564,AA3563=AA3564-1),AB3563,"")</f>
        <v/>
      </c>
      <c r="AE3564" s="0" t="str">
        <f aca="false">IF(AND(C3563=C3564,AA3563=AA3564-1),AC3563,"")</f>
        <v/>
      </c>
      <c r="AF3564" s="0" t="str">
        <f aca="false">IF(AA3564=1,"",IF(AND(AB3564=1,AD3564&lt;&gt;1),1,0))</f>
        <v/>
      </c>
      <c r="AG3564" s="0" t="str">
        <f aca="false">IF(AA3564=1,"",IF(AND(AC3564=1,AE3564&lt;&gt;1),1,0))</f>
        <v/>
      </c>
      <c r="AH3564" s="51" t="str">
        <f aca="false">IF(AND(E3564&gt;0,AA3564&lt;1,NOT(AND(C3565=C3564,AA3565=AA3564+1))),INDEX(DATAS,AA3564+1),"")</f>
        <v/>
      </c>
      <c r="AI3564" s="51" t="str">
        <f aca="false">IF(AND(AC3564=1,AA3564&lt;1),IF(AND(C3565=C3564,AA3565=AA3564+1),IF(AC3565=1,"",INDEX(DATAS,AA3564+1)),INDEX(DATAS,AA3564+1)),"")</f>
        <v/>
      </c>
    </row>
    <row r="3565" customFormat="false" ht="15" hidden="false" customHeight="false" outlineLevel="0" collapsed="false">
      <c r="A3565" s="51" t="n">
        <v>46309</v>
      </c>
      <c r="B3565" s="0" t="n">
        <v>16</v>
      </c>
      <c r="C3565" s="0" t="n">
        <v>8019</v>
      </c>
      <c r="E3565" s="0" t="n">
        <v>0</v>
      </c>
      <c r="F3565" s="46" t="s">
        <v>1636</v>
      </c>
      <c r="I3565" s="46" t="s">
        <v>179</v>
      </c>
      <c r="U3565" s="0" t="n">
        <v>65</v>
      </c>
      <c r="V3565" s="0" t="n">
        <v>0</v>
      </c>
      <c r="X3565" s="46" t="n">
        <f aca="false">IF(I3565="Male",0,1)</f>
        <v>1</v>
      </c>
      <c r="Y3565" s="46" t="n">
        <f aca="false">IF(OR(I3565="DNB",I3565="Dry DNB"),1,0)</f>
        <v>0</v>
      </c>
      <c r="Z3565" s="0" t="str">
        <f aca="false">IF(ISNUMBER(W3565),A3565-W3565,"")</f>
        <v/>
      </c>
      <c r="AA3565" s="46" t="n">
        <f aca="false">MATCH(A3565,DATAS,0)</f>
        <v>1</v>
      </c>
      <c r="AB3565" s="46" t="n">
        <f aca="false">IF(AND(E3565&gt;0,OR(AND(B3565&gt;=1,B3565&lt;=6),B3565=10)),1,0)</f>
        <v>0</v>
      </c>
      <c r="AC3565" s="46" t="n">
        <f aca="false">IF(AND(E3565&gt;0,B3565=10),1,0)</f>
        <v>0</v>
      </c>
      <c r="AD3565" s="0" t="str">
        <f aca="false">IF(AND(C3564=C3565,AA3564=AA3565-1),AB3564,"")</f>
        <v/>
      </c>
      <c r="AE3565" s="0" t="str">
        <f aca="false">IF(AND(C3564=C3565,AA3564=AA3565-1),AC3564,"")</f>
        <v/>
      </c>
      <c r="AF3565" s="0" t="str">
        <f aca="false">IF(AA3565=1,"",IF(AND(AB3565=1,AD3565&lt;&gt;1),1,0))</f>
        <v/>
      </c>
      <c r="AG3565" s="0" t="str">
        <f aca="false">IF(AA3565=1,"",IF(AND(AC3565=1,AE3565&lt;&gt;1),1,0))</f>
        <v/>
      </c>
      <c r="AH3565" s="51" t="str">
        <f aca="false">IF(AND(E3565&gt;0,AA3565&lt;1,NOT(AND(C3566=C3565,AA3566=AA3565+1))),INDEX(DATAS,AA3565+1),"")</f>
        <v/>
      </c>
      <c r="AI3565" s="51" t="str">
        <f aca="false">IF(AND(AC3565=1,AA3565&lt;1),IF(AND(C3566=C3565,AA3566=AA3565+1),IF(AC3566=1,"",INDEX(DATAS,AA3565+1)),INDEX(DATAS,AA3565+1)),"")</f>
        <v/>
      </c>
    </row>
    <row r="3566" customFormat="false" ht="15" hidden="false" customHeight="false" outlineLevel="0" collapsed="false">
      <c r="A3566" s="51" t="n">
        <v>46309</v>
      </c>
      <c r="B3566" s="0" t="n">
        <v>16</v>
      </c>
      <c r="C3566" s="0" t="n">
        <v>8020</v>
      </c>
      <c r="E3566" s="0" t="n">
        <v>0</v>
      </c>
      <c r="F3566" s="46" t="s">
        <v>1636</v>
      </c>
      <c r="I3566" s="46" t="s">
        <v>179</v>
      </c>
      <c r="U3566" s="0" t="n">
        <v>65</v>
      </c>
      <c r="V3566" s="0" t="n">
        <v>0</v>
      </c>
      <c r="X3566" s="46" t="n">
        <f aca="false">IF(I3566="Male",0,1)</f>
        <v>1</v>
      </c>
      <c r="Y3566" s="46" t="n">
        <f aca="false">IF(OR(I3566="DNB",I3566="Dry DNB"),1,0)</f>
        <v>0</v>
      </c>
      <c r="Z3566" s="0" t="str">
        <f aca="false">IF(ISNUMBER(W3566),A3566-W3566,"")</f>
        <v/>
      </c>
      <c r="AA3566" s="46" t="n">
        <f aca="false">MATCH(A3566,DATAS,0)</f>
        <v>1</v>
      </c>
      <c r="AB3566" s="46" t="n">
        <f aca="false">IF(AND(E3566&gt;0,OR(AND(B3566&gt;=1,B3566&lt;=6),B3566=10)),1,0)</f>
        <v>0</v>
      </c>
      <c r="AC3566" s="46" t="n">
        <f aca="false">IF(AND(E3566&gt;0,B3566=10),1,0)</f>
        <v>0</v>
      </c>
      <c r="AD3566" s="0" t="str">
        <f aca="false">IF(AND(C3565=C3566,AA3565=AA3566-1),AB3565,"")</f>
        <v/>
      </c>
      <c r="AE3566" s="0" t="str">
        <f aca="false">IF(AND(C3565=C3566,AA3565=AA3566-1),AC3565,"")</f>
        <v/>
      </c>
      <c r="AF3566" s="0" t="str">
        <f aca="false">IF(AA3566=1,"",IF(AND(AB3566=1,AD3566&lt;&gt;1),1,0))</f>
        <v/>
      </c>
      <c r="AG3566" s="0" t="str">
        <f aca="false">IF(AA3566=1,"",IF(AND(AC3566=1,AE3566&lt;&gt;1),1,0))</f>
        <v/>
      </c>
      <c r="AH3566" s="51" t="str">
        <f aca="false">IF(AND(E3566&gt;0,AA3566&lt;1,NOT(AND(C3567=C3566,AA3567=AA3566+1))),INDEX(DATAS,AA3566+1),"")</f>
        <v/>
      </c>
      <c r="AI3566" s="51" t="str">
        <f aca="false">IF(AND(AC3566=1,AA3566&lt;1),IF(AND(C3567=C3566,AA3567=AA3566+1),IF(AC3567=1,"",INDEX(DATAS,AA3566+1)),INDEX(DATAS,AA3566+1)),"")</f>
        <v/>
      </c>
    </row>
    <row r="3567" customFormat="false" ht="15" hidden="false" customHeight="false" outlineLevel="0" collapsed="false">
      <c r="A3567" s="51" t="n">
        <v>46309</v>
      </c>
      <c r="B3567" s="0" t="n">
        <v>16</v>
      </c>
      <c r="C3567" s="0" t="n">
        <v>8021</v>
      </c>
      <c r="E3567" s="0" t="n">
        <v>0</v>
      </c>
      <c r="F3567" s="46" t="s">
        <v>1636</v>
      </c>
      <c r="I3567" s="46" t="s">
        <v>179</v>
      </c>
      <c r="U3567" s="0" t="n">
        <v>65</v>
      </c>
      <c r="V3567" s="0" t="n">
        <v>0</v>
      </c>
      <c r="X3567" s="46" t="n">
        <f aca="false">IF(I3567="Male",0,1)</f>
        <v>1</v>
      </c>
      <c r="Y3567" s="46" t="n">
        <f aca="false">IF(OR(I3567="DNB",I3567="Dry DNB"),1,0)</f>
        <v>0</v>
      </c>
      <c r="Z3567" s="0" t="str">
        <f aca="false">IF(ISNUMBER(W3567),A3567-W3567,"")</f>
        <v/>
      </c>
      <c r="AA3567" s="46" t="n">
        <f aca="false">MATCH(A3567,DATAS,0)</f>
        <v>1</v>
      </c>
      <c r="AB3567" s="46" t="n">
        <f aca="false">IF(AND(E3567&gt;0,OR(AND(B3567&gt;=1,B3567&lt;=6),B3567=10)),1,0)</f>
        <v>0</v>
      </c>
      <c r="AC3567" s="46" t="n">
        <f aca="false">IF(AND(E3567&gt;0,B3567=10),1,0)</f>
        <v>0</v>
      </c>
      <c r="AD3567" s="0" t="str">
        <f aca="false">IF(AND(C3566=C3567,AA3566=AA3567-1),AB3566,"")</f>
        <v/>
      </c>
      <c r="AE3567" s="0" t="str">
        <f aca="false">IF(AND(C3566=C3567,AA3566=AA3567-1),AC3566,"")</f>
        <v/>
      </c>
      <c r="AF3567" s="0" t="str">
        <f aca="false">IF(AA3567=1,"",IF(AND(AB3567=1,AD3567&lt;&gt;1),1,0))</f>
        <v/>
      </c>
      <c r="AG3567" s="0" t="str">
        <f aca="false">IF(AA3567=1,"",IF(AND(AC3567=1,AE3567&lt;&gt;1),1,0))</f>
        <v/>
      </c>
      <c r="AH3567" s="51" t="str">
        <f aca="false">IF(AND(E3567&gt;0,AA3567&lt;1,NOT(AND(C3568=C3567,AA3568=AA3567+1))),INDEX(DATAS,AA3567+1),"")</f>
        <v/>
      </c>
      <c r="AI3567" s="51" t="str">
        <f aca="false">IF(AND(AC3567=1,AA3567&lt;1),IF(AND(C3568=C3567,AA3568=AA3567+1),IF(AC3568=1,"",INDEX(DATAS,AA3567+1)),INDEX(DATAS,AA3567+1)),"")</f>
        <v/>
      </c>
    </row>
    <row r="3568" customFormat="false" ht="15" hidden="false" customHeight="false" outlineLevel="0" collapsed="false">
      <c r="A3568" s="51" t="n">
        <v>46309</v>
      </c>
      <c r="B3568" s="0" t="n">
        <v>16</v>
      </c>
      <c r="C3568" s="0" t="n">
        <v>8023</v>
      </c>
      <c r="E3568" s="0" t="n">
        <v>0</v>
      </c>
      <c r="F3568" s="46" t="s">
        <v>1636</v>
      </c>
      <c r="I3568" s="46" t="s">
        <v>179</v>
      </c>
      <c r="U3568" s="0" t="n">
        <v>65</v>
      </c>
      <c r="V3568" s="0" t="n">
        <v>0</v>
      </c>
      <c r="X3568" s="46" t="n">
        <f aca="false">IF(I3568="Male",0,1)</f>
        <v>1</v>
      </c>
      <c r="Y3568" s="46" t="n">
        <f aca="false">IF(OR(I3568="DNB",I3568="Dry DNB"),1,0)</f>
        <v>0</v>
      </c>
      <c r="Z3568" s="0" t="str">
        <f aca="false">IF(ISNUMBER(W3568),A3568-W3568,"")</f>
        <v/>
      </c>
      <c r="AA3568" s="46" t="n">
        <f aca="false">MATCH(A3568,DATAS,0)</f>
        <v>1</v>
      </c>
      <c r="AB3568" s="46" t="n">
        <f aca="false">IF(AND(E3568&gt;0,OR(AND(B3568&gt;=1,B3568&lt;=6),B3568=10)),1,0)</f>
        <v>0</v>
      </c>
      <c r="AC3568" s="46" t="n">
        <f aca="false">IF(AND(E3568&gt;0,B3568=10),1,0)</f>
        <v>0</v>
      </c>
      <c r="AD3568" s="0" t="str">
        <f aca="false">IF(AND(C3567=C3568,AA3567=AA3568-1),AB3567,"")</f>
        <v/>
      </c>
      <c r="AE3568" s="0" t="str">
        <f aca="false">IF(AND(C3567=C3568,AA3567=AA3568-1),AC3567,"")</f>
        <v/>
      </c>
      <c r="AF3568" s="0" t="str">
        <f aca="false">IF(AA3568=1,"",IF(AND(AB3568=1,AD3568&lt;&gt;1),1,0))</f>
        <v/>
      </c>
      <c r="AG3568" s="0" t="str">
        <f aca="false">IF(AA3568=1,"",IF(AND(AC3568=1,AE3568&lt;&gt;1),1,0))</f>
        <v/>
      </c>
      <c r="AH3568" s="51" t="str">
        <f aca="false">IF(AND(E3568&gt;0,AA3568&lt;1,NOT(AND(C3569=C3568,AA3569=AA3568+1))),INDEX(DATAS,AA3568+1),"")</f>
        <v/>
      </c>
      <c r="AI3568" s="51" t="str">
        <f aca="false">IF(AND(AC3568=1,AA3568&lt;1),IF(AND(C3569=C3568,AA3569=AA3568+1),IF(AC3569=1,"",INDEX(DATAS,AA3568+1)),INDEX(DATAS,AA3568+1)),"")</f>
        <v/>
      </c>
    </row>
    <row r="3569" customFormat="false" ht="15" hidden="false" customHeight="false" outlineLevel="0" collapsed="false">
      <c r="A3569" s="51" t="n">
        <v>46309</v>
      </c>
      <c r="B3569" s="0" t="n">
        <v>16</v>
      </c>
      <c r="C3569" s="0" t="n">
        <v>8025</v>
      </c>
      <c r="E3569" s="0" t="n">
        <v>0</v>
      </c>
      <c r="F3569" s="46" t="s">
        <v>1637</v>
      </c>
      <c r="I3569" s="46" t="s">
        <v>179</v>
      </c>
      <c r="U3569" s="0" t="n">
        <v>64</v>
      </c>
      <c r="V3569" s="0" t="n">
        <v>0</v>
      </c>
      <c r="X3569" s="46" t="n">
        <f aca="false">IF(I3569="Male",0,1)</f>
        <v>1</v>
      </c>
      <c r="Y3569" s="46" t="n">
        <f aca="false">IF(OR(I3569="DNB",I3569="Dry DNB"),1,0)</f>
        <v>0</v>
      </c>
      <c r="Z3569" s="0" t="str">
        <f aca="false">IF(ISNUMBER(W3569),A3569-W3569,"")</f>
        <v/>
      </c>
      <c r="AA3569" s="46" t="n">
        <f aca="false">MATCH(A3569,DATAS,0)</f>
        <v>1</v>
      </c>
      <c r="AB3569" s="46" t="n">
        <f aca="false">IF(AND(E3569&gt;0,OR(AND(B3569&gt;=1,B3569&lt;=6),B3569=10)),1,0)</f>
        <v>0</v>
      </c>
      <c r="AC3569" s="46" t="n">
        <f aca="false">IF(AND(E3569&gt;0,B3569=10),1,0)</f>
        <v>0</v>
      </c>
      <c r="AD3569" s="0" t="str">
        <f aca="false">IF(AND(C3568=C3569,AA3568=AA3569-1),AB3568,"")</f>
        <v/>
      </c>
      <c r="AE3569" s="0" t="str">
        <f aca="false">IF(AND(C3568=C3569,AA3568=AA3569-1),AC3568,"")</f>
        <v/>
      </c>
      <c r="AF3569" s="0" t="str">
        <f aca="false">IF(AA3569=1,"",IF(AND(AB3569=1,AD3569&lt;&gt;1),1,0))</f>
        <v/>
      </c>
      <c r="AG3569" s="0" t="str">
        <f aca="false">IF(AA3569=1,"",IF(AND(AC3569=1,AE3569&lt;&gt;1),1,0))</f>
        <v/>
      </c>
      <c r="AH3569" s="51" t="str">
        <f aca="false">IF(AND(E3569&gt;0,AA3569&lt;1,NOT(AND(C3570=C3569,AA3570=AA3569+1))),INDEX(DATAS,AA3569+1),"")</f>
        <v/>
      </c>
      <c r="AI3569" s="51" t="str">
        <f aca="false">IF(AND(AC3569=1,AA3569&lt;1),IF(AND(C3570=C3569,AA3570=AA3569+1),IF(AC3570=1,"",INDEX(DATAS,AA3569+1)),INDEX(DATAS,AA3569+1)),"")</f>
        <v/>
      </c>
    </row>
    <row r="3570" customFormat="false" ht="15" hidden="false" customHeight="false" outlineLevel="0" collapsed="false">
      <c r="A3570" s="51" t="n">
        <v>46309</v>
      </c>
      <c r="B3570" s="0" t="n">
        <v>16</v>
      </c>
      <c r="C3570" s="0" t="n">
        <v>8026</v>
      </c>
      <c r="E3570" s="0" t="n">
        <v>0</v>
      </c>
      <c r="F3570" s="46" t="s">
        <v>1637</v>
      </c>
      <c r="I3570" s="46" t="s">
        <v>179</v>
      </c>
      <c r="U3570" s="0" t="n">
        <v>64</v>
      </c>
      <c r="V3570" s="0" t="n">
        <v>0</v>
      </c>
      <c r="X3570" s="46" t="n">
        <f aca="false">IF(I3570="Male",0,1)</f>
        <v>1</v>
      </c>
      <c r="Y3570" s="46" t="n">
        <f aca="false">IF(OR(I3570="DNB",I3570="Dry DNB"),1,0)</f>
        <v>0</v>
      </c>
      <c r="Z3570" s="0" t="str">
        <f aca="false">IF(ISNUMBER(W3570),A3570-W3570,"")</f>
        <v/>
      </c>
      <c r="AA3570" s="46" t="n">
        <f aca="false">MATCH(A3570,DATAS,0)</f>
        <v>1</v>
      </c>
      <c r="AB3570" s="46" t="n">
        <f aca="false">IF(AND(E3570&gt;0,OR(AND(B3570&gt;=1,B3570&lt;=6),B3570=10)),1,0)</f>
        <v>0</v>
      </c>
      <c r="AC3570" s="46" t="n">
        <f aca="false">IF(AND(E3570&gt;0,B3570=10),1,0)</f>
        <v>0</v>
      </c>
      <c r="AD3570" s="0" t="str">
        <f aca="false">IF(AND(C3569=C3570,AA3569=AA3570-1),AB3569,"")</f>
        <v/>
      </c>
      <c r="AE3570" s="0" t="str">
        <f aca="false">IF(AND(C3569=C3570,AA3569=AA3570-1),AC3569,"")</f>
        <v/>
      </c>
      <c r="AF3570" s="0" t="str">
        <f aca="false">IF(AA3570=1,"",IF(AND(AB3570=1,AD3570&lt;&gt;1),1,0))</f>
        <v/>
      </c>
      <c r="AG3570" s="0" t="str">
        <f aca="false">IF(AA3570=1,"",IF(AND(AC3570=1,AE3570&lt;&gt;1),1,0))</f>
        <v/>
      </c>
      <c r="AH3570" s="51" t="str">
        <f aca="false">IF(AND(E3570&gt;0,AA3570&lt;1,NOT(AND(C3571=C3570,AA3571=AA3570+1))),INDEX(DATAS,AA3570+1),"")</f>
        <v/>
      </c>
      <c r="AI3570" s="51" t="str">
        <f aca="false">IF(AND(AC3570=1,AA3570&lt;1),IF(AND(C3571=C3570,AA3571=AA3570+1),IF(AC3571=1,"",INDEX(DATAS,AA3570+1)),INDEX(DATAS,AA3570+1)),"")</f>
        <v/>
      </c>
    </row>
    <row r="3571" customFormat="false" ht="15" hidden="false" customHeight="false" outlineLevel="0" collapsed="false">
      <c r="A3571" s="51" t="n">
        <v>46309</v>
      </c>
      <c r="B3571" s="0" t="n">
        <v>16</v>
      </c>
      <c r="C3571" s="0" t="n">
        <v>8027</v>
      </c>
      <c r="E3571" s="0" t="n">
        <v>0</v>
      </c>
      <c r="F3571" s="46" t="s">
        <v>1637</v>
      </c>
      <c r="I3571" s="46" t="s">
        <v>179</v>
      </c>
      <c r="U3571" s="0" t="n">
        <v>64</v>
      </c>
      <c r="V3571" s="0" t="n">
        <v>0</v>
      </c>
      <c r="X3571" s="46" t="n">
        <f aca="false">IF(I3571="Male",0,1)</f>
        <v>1</v>
      </c>
      <c r="Y3571" s="46" t="n">
        <f aca="false">IF(OR(I3571="DNB",I3571="Dry DNB"),1,0)</f>
        <v>0</v>
      </c>
      <c r="Z3571" s="0" t="str">
        <f aca="false">IF(ISNUMBER(W3571),A3571-W3571,"")</f>
        <v/>
      </c>
      <c r="AA3571" s="46" t="n">
        <f aca="false">MATCH(A3571,DATAS,0)</f>
        <v>1</v>
      </c>
      <c r="AB3571" s="46" t="n">
        <f aca="false">IF(AND(E3571&gt;0,OR(AND(B3571&gt;=1,B3571&lt;=6),B3571=10)),1,0)</f>
        <v>0</v>
      </c>
      <c r="AC3571" s="46" t="n">
        <f aca="false">IF(AND(E3571&gt;0,B3571=10),1,0)</f>
        <v>0</v>
      </c>
      <c r="AD3571" s="0" t="str">
        <f aca="false">IF(AND(C3570=C3571,AA3570=AA3571-1),AB3570,"")</f>
        <v/>
      </c>
      <c r="AE3571" s="0" t="str">
        <f aca="false">IF(AND(C3570=C3571,AA3570=AA3571-1),AC3570,"")</f>
        <v/>
      </c>
      <c r="AF3571" s="0" t="str">
        <f aca="false">IF(AA3571=1,"",IF(AND(AB3571=1,AD3571&lt;&gt;1),1,0))</f>
        <v/>
      </c>
      <c r="AG3571" s="0" t="str">
        <f aca="false">IF(AA3571=1,"",IF(AND(AC3571=1,AE3571&lt;&gt;1),1,0))</f>
        <v/>
      </c>
      <c r="AH3571" s="51" t="str">
        <f aca="false">IF(AND(E3571&gt;0,AA3571&lt;1,NOT(AND(C3572=C3571,AA3572=AA3571+1))),INDEX(DATAS,AA3571+1),"")</f>
        <v/>
      </c>
      <c r="AI3571" s="51" t="str">
        <f aca="false">IF(AND(AC3571=1,AA3571&lt;1),IF(AND(C3572=C3571,AA3572=AA3571+1),IF(AC3572=1,"",INDEX(DATAS,AA3571+1)),INDEX(DATAS,AA3571+1)),"")</f>
        <v/>
      </c>
    </row>
    <row r="3572" customFormat="false" ht="15" hidden="false" customHeight="false" outlineLevel="0" collapsed="false">
      <c r="A3572" s="51" t="n">
        <v>46309</v>
      </c>
      <c r="B3572" s="0" t="n">
        <v>16</v>
      </c>
      <c r="C3572" s="0" t="n">
        <v>8028</v>
      </c>
      <c r="E3572" s="0" t="n">
        <v>0</v>
      </c>
      <c r="F3572" s="46" t="s">
        <v>1638</v>
      </c>
      <c r="I3572" s="46" t="s">
        <v>179</v>
      </c>
      <c r="U3572" s="0" t="n">
        <v>63</v>
      </c>
      <c r="V3572" s="0" t="n">
        <v>0</v>
      </c>
      <c r="X3572" s="46" t="n">
        <f aca="false">IF(I3572="Male",0,1)</f>
        <v>1</v>
      </c>
      <c r="Y3572" s="46" t="n">
        <f aca="false">IF(OR(I3572="DNB",I3572="Dry DNB"),1,0)</f>
        <v>0</v>
      </c>
      <c r="Z3572" s="0" t="str">
        <f aca="false">IF(ISNUMBER(W3572),A3572-W3572,"")</f>
        <v/>
      </c>
      <c r="AA3572" s="46" t="n">
        <f aca="false">MATCH(A3572,DATAS,0)</f>
        <v>1</v>
      </c>
      <c r="AB3572" s="46" t="n">
        <f aca="false">IF(AND(E3572&gt;0,OR(AND(B3572&gt;=1,B3572&lt;=6),B3572=10)),1,0)</f>
        <v>0</v>
      </c>
      <c r="AC3572" s="46" t="n">
        <f aca="false">IF(AND(E3572&gt;0,B3572=10),1,0)</f>
        <v>0</v>
      </c>
      <c r="AD3572" s="0" t="str">
        <f aca="false">IF(AND(C3571=C3572,AA3571=AA3572-1),AB3571,"")</f>
        <v/>
      </c>
      <c r="AE3572" s="0" t="str">
        <f aca="false">IF(AND(C3571=C3572,AA3571=AA3572-1),AC3571,"")</f>
        <v/>
      </c>
      <c r="AF3572" s="0" t="str">
        <f aca="false">IF(AA3572=1,"",IF(AND(AB3572=1,AD3572&lt;&gt;1),1,0))</f>
        <v/>
      </c>
      <c r="AG3572" s="0" t="str">
        <f aca="false">IF(AA3572=1,"",IF(AND(AC3572=1,AE3572&lt;&gt;1),1,0))</f>
        <v/>
      </c>
      <c r="AH3572" s="51" t="str">
        <f aca="false">IF(AND(E3572&gt;0,AA3572&lt;1,NOT(AND(C3573=C3572,AA3573=AA3572+1))),INDEX(DATAS,AA3572+1),"")</f>
        <v/>
      </c>
      <c r="AI3572" s="51" t="str">
        <f aca="false">IF(AND(AC3572=1,AA3572&lt;1),IF(AND(C3573=C3572,AA3573=AA3572+1),IF(AC3573=1,"",INDEX(DATAS,AA3572+1)),INDEX(DATAS,AA3572+1)),"")</f>
        <v/>
      </c>
    </row>
    <row r="3573" customFormat="false" ht="15" hidden="false" customHeight="false" outlineLevel="0" collapsed="false">
      <c r="A3573" s="51" t="n">
        <v>46309</v>
      </c>
      <c r="B3573" s="0" t="n">
        <v>16</v>
      </c>
      <c r="C3573" s="0" t="n">
        <v>8030</v>
      </c>
      <c r="E3573" s="0" t="n">
        <v>0</v>
      </c>
      <c r="F3573" s="46" t="s">
        <v>1639</v>
      </c>
      <c r="I3573" s="46" t="s">
        <v>179</v>
      </c>
      <c r="U3573" s="0" t="n">
        <v>62</v>
      </c>
      <c r="V3573" s="0" t="n">
        <v>0</v>
      </c>
      <c r="X3573" s="46" t="n">
        <f aca="false">IF(I3573="Male",0,1)</f>
        <v>1</v>
      </c>
      <c r="Y3573" s="46" t="n">
        <f aca="false">IF(OR(I3573="DNB",I3573="Dry DNB"),1,0)</f>
        <v>0</v>
      </c>
      <c r="Z3573" s="0" t="str">
        <f aca="false">IF(ISNUMBER(W3573),A3573-W3573,"")</f>
        <v/>
      </c>
      <c r="AA3573" s="46" t="n">
        <f aca="false">MATCH(A3573,DATAS,0)</f>
        <v>1</v>
      </c>
      <c r="AB3573" s="46" t="n">
        <f aca="false">IF(AND(E3573&gt;0,OR(AND(B3573&gt;=1,B3573&lt;=6),B3573=10)),1,0)</f>
        <v>0</v>
      </c>
      <c r="AC3573" s="46" t="n">
        <f aca="false">IF(AND(E3573&gt;0,B3573=10),1,0)</f>
        <v>0</v>
      </c>
      <c r="AD3573" s="0" t="str">
        <f aca="false">IF(AND(C3572=C3573,AA3572=AA3573-1),AB3572,"")</f>
        <v/>
      </c>
      <c r="AE3573" s="0" t="str">
        <f aca="false">IF(AND(C3572=C3573,AA3572=AA3573-1),AC3572,"")</f>
        <v/>
      </c>
      <c r="AF3573" s="0" t="str">
        <f aca="false">IF(AA3573=1,"",IF(AND(AB3573=1,AD3573&lt;&gt;1),1,0))</f>
        <v/>
      </c>
      <c r="AG3573" s="0" t="str">
        <f aca="false">IF(AA3573=1,"",IF(AND(AC3573=1,AE3573&lt;&gt;1),1,0))</f>
        <v/>
      </c>
      <c r="AH3573" s="51" t="str">
        <f aca="false">IF(AND(E3573&gt;0,AA3573&lt;1,NOT(AND(C3574=C3573,AA3574=AA3573+1))),INDEX(DATAS,AA3573+1),"")</f>
        <v/>
      </c>
      <c r="AI3573" s="51" t="str">
        <f aca="false">IF(AND(AC3573=1,AA3573&lt;1),IF(AND(C3574=C3573,AA3574=AA3573+1),IF(AC3574=1,"",INDEX(DATAS,AA3573+1)),INDEX(DATAS,AA3573+1)),"")</f>
        <v/>
      </c>
    </row>
    <row r="3574" customFormat="false" ht="15" hidden="false" customHeight="false" outlineLevel="0" collapsed="false">
      <c r="A3574" s="51" t="n">
        <v>46309</v>
      </c>
      <c r="B3574" s="0" t="n">
        <v>16</v>
      </c>
      <c r="C3574" s="0" t="n">
        <v>8031</v>
      </c>
      <c r="E3574" s="0" t="n">
        <v>0</v>
      </c>
      <c r="F3574" s="46" t="s">
        <v>1639</v>
      </c>
      <c r="I3574" s="46" t="s">
        <v>179</v>
      </c>
      <c r="U3574" s="0" t="n">
        <v>62</v>
      </c>
      <c r="V3574" s="0" t="n">
        <v>0</v>
      </c>
      <c r="X3574" s="46" t="n">
        <f aca="false">IF(I3574="Male",0,1)</f>
        <v>1</v>
      </c>
      <c r="Y3574" s="46" t="n">
        <f aca="false">IF(OR(I3574="DNB",I3574="Dry DNB"),1,0)</f>
        <v>0</v>
      </c>
      <c r="Z3574" s="0" t="str">
        <f aca="false">IF(ISNUMBER(W3574),A3574-W3574,"")</f>
        <v/>
      </c>
      <c r="AA3574" s="46" t="n">
        <f aca="false">MATCH(A3574,DATAS,0)</f>
        <v>1</v>
      </c>
      <c r="AB3574" s="46" t="n">
        <f aca="false">IF(AND(E3574&gt;0,OR(AND(B3574&gt;=1,B3574&lt;=6),B3574=10)),1,0)</f>
        <v>0</v>
      </c>
      <c r="AC3574" s="46" t="n">
        <f aca="false">IF(AND(E3574&gt;0,B3574=10),1,0)</f>
        <v>0</v>
      </c>
      <c r="AD3574" s="0" t="str">
        <f aca="false">IF(AND(C3573=C3574,AA3573=AA3574-1),AB3573,"")</f>
        <v/>
      </c>
      <c r="AE3574" s="0" t="str">
        <f aca="false">IF(AND(C3573=C3574,AA3573=AA3574-1),AC3573,"")</f>
        <v/>
      </c>
      <c r="AF3574" s="0" t="str">
        <f aca="false">IF(AA3574=1,"",IF(AND(AB3574=1,AD3574&lt;&gt;1),1,0))</f>
        <v/>
      </c>
      <c r="AG3574" s="0" t="str">
        <f aca="false">IF(AA3574=1,"",IF(AND(AC3574=1,AE3574&lt;&gt;1),1,0))</f>
        <v/>
      </c>
      <c r="AH3574" s="51" t="str">
        <f aca="false">IF(AND(E3574&gt;0,AA3574&lt;1,NOT(AND(C3575=C3574,AA3575=AA3574+1))),INDEX(DATAS,AA3574+1),"")</f>
        <v/>
      </c>
      <c r="AI3574" s="51" t="str">
        <f aca="false">IF(AND(AC3574=1,AA3574&lt;1),IF(AND(C3575=C3574,AA3575=AA3574+1),IF(AC3575=1,"",INDEX(DATAS,AA3574+1)),INDEX(DATAS,AA3574+1)),"")</f>
        <v/>
      </c>
    </row>
    <row r="3575" customFormat="false" ht="15" hidden="false" customHeight="false" outlineLevel="0" collapsed="false">
      <c r="A3575" s="51" t="n">
        <v>46309</v>
      </c>
      <c r="B3575" s="0" t="n">
        <v>16</v>
      </c>
      <c r="C3575" s="0" t="n">
        <v>8032</v>
      </c>
      <c r="E3575" s="0" t="n">
        <v>0</v>
      </c>
      <c r="F3575" s="46" t="s">
        <v>1639</v>
      </c>
      <c r="I3575" s="46" t="s">
        <v>179</v>
      </c>
      <c r="U3575" s="0" t="n">
        <v>62</v>
      </c>
      <c r="V3575" s="0" t="n">
        <v>0</v>
      </c>
      <c r="X3575" s="46" t="n">
        <f aca="false">IF(I3575="Male",0,1)</f>
        <v>1</v>
      </c>
      <c r="Y3575" s="46" t="n">
        <f aca="false">IF(OR(I3575="DNB",I3575="Dry DNB"),1,0)</f>
        <v>0</v>
      </c>
      <c r="Z3575" s="0" t="str">
        <f aca="false">IF(ISNUMBER(W3575),A3575-W3575,"")</f>
        <v/>
      </c>
      <c r="AA3575" s="46" t="n">
        <f aca="false">MATCH(A3575,DATAS,0)</f>
        <v>1</v>
      </c>
      <c r="AB3575" s="46" t="n">
        <f aca="false">IF(AND(E3575&gt;0,OR(AND(B3575&gt;=1,B3575&lt;=6),B3575=10)),1,0)</f>
        <v>0</v>
      </c>
      <c r="AC3575" s="46" t="n">
        <f aca="false">IF(AND(E3575&gt;0,B3575=10),1,0)</f>
        <v>0</v>
      </c>
      <c r="AD3575" s="0" t="str">
        <f aca="false">IF(AND(C3574=C3575,AA3574=AA3575-1),AB3574,"")</f>
        <v/>
      </c>
      <c r="AE3575" s="0" t="str">
        <f aca="false">IF(AND(C3574=C3575,AA3574=AA3575-1),AC3574,"")</f>
        <v/>
      </c>
      <c r="AF3575" s="0" t="str">
        <f aca="false">IF(AA3575=1,"",IF(AND(AB3575=1,AD3575&lt;&gt;1),1,0))</f>
        <v/>
      </c>
      <c r="AG3575" s="0" t="str">
        <f aca="false">IF(AA3575=1,"",IF(AND(AC3575=1,AE3575&lt;&gt;1),1,0))</f>
        <v/>
      </c>
      <c r="AH3575" s="51" t="str">
        <f aca="false">IF(AND(E3575&gt;0,AA3575&lt;1,NOT(AND(C3576=C3575,AA3576=AA3575+1))),INDEX(DATAS,AA3575+1),"")</f>
        <v/>
      </c>
      <c r="AI3575" s="51" t="str">
        <f aca="false">IF(AND(AC3575=1,AA3575&lt;1),IF(AND(C3576=C3575,AA3576=AA3575+1),IF(AC3576=1,"",INDEX(DATAS,AA3575+1)),INDEX(DATAS,AA3575+1)),"")</f>
        <v/>
      </c>
    </row>
    <row r="3576" customFormat="false" ht="15" hidden="false" customHeight="false" outlineLevel="0" collapsed="false">
      <c r="A3576" s="51" t="n">
        <v>46309</v>
      </c>
      <c r="B3576" s="0" t="n">
        <v>16</v>
      </c>
      <c r="C3576" s="0" t="n">
        <v>8034</v>
      </c>
      <c r="E3576" s="0" t="n">
        <v>0</v>
      </c>
      <c r="F3576" s="46" t="s">
        <v>1640</v>
      </c>
      <c r="I3576" s="46" t="s">
        <v>179</v>
      </c>
      <c r="U3576" s="0" t="n">
        <v>61</v>
      </c>
      <c r="V3576" s="0" t="n">
        <v>0</v>
      </c>
      <c r="X3576" s="46" t="n">
        <f aca="false">IF(I3576="Male",0,1)</f>
        <v>1</v>
      </c>
      <c r="Y3576" s="46" t="n">
        <f aca="false">IF(OR(I3576="DNB",I3576="Dry DNB"),1,0)</f>
        <v>0</v>
      </c>
      <c r="Z3576" s="0" t="str">
        <f aca="false">IF(ISNUMBER(W3576),A3576-W3576,"")</f>
        <v/>
      </c>
      <c r="AA3576" s="46" t="n">
        <f aca="false">MATCH(A3576,DATAS,0)</f>
        <v>1</v>
      </c>
      <c r="AB3576" s="46" t="n">
        <f aca="false">IF(AND(E3576&gt;0,OR(AND(B3576&gt;=1,B3576&lt;=6),B3576=10)),1,0)</f>
        <v>0</v>
      </c>
      <c r="AC3576" s="46" t="n">
        <f aca="false">IF(AND(E3576&gt;0,B3576=10),1,0)</f>
        <v>0</v>
      </c>
      <c r="AD3576" s="0" t="str">
        <f aca="false">IF(AND(C3575=C3576,AA3575=AA3576-1),AB3575,"")</f>
        <v/>
      </c>
      <c r="AE3576" s="0" t="str">
        <f aca="false">IF(AND(C3575=C3576,AA3575=AA3576-1),AC3575,"")</f>
        <v/>
      </c>
      <c r="AF3576" s="0" t="str">
        <f aca="false">IF(AA3576=1,"",IF(AND(AB3576=1,AD3576&lt;&gt;1),1,0))</f>
        <v/>
      </c>
      <c r="AG3576" s="0" t="str">
        <f aca="false">IF(AA3576=1,"",IF(AND(AC3576=1,AE3576&lt;&gt;1),1,0))</f>
        <v/>
      </c>
      <c r="AH3576" s="51" t="str">
        <f aca="false">IF(AND(E3576&gt;0,AA3576&lt;1,NOT(AND(C3577=C3576,AA3577=AA3576+1))),INDEX(DATAS,AA3576+1),"")</f>
        <v/>
      </c>
      <c r="AI3576" s="51" t="str">
        <f aca="false">IF(AND(AC3576=1,AA3576&lt;1),IF(AND(C3577=C3576,AA3577=AA3576+1),IF(AC3577=1,"",INDEX(DATAS,AA3576+1)),INDEX(DATAS,AA3576+1)),"")</f>
        <v/>
      </c>
    </row>
    <row r="3577" customFormat="false" ht="15" hidden="false" customHeight="false" outlineLevel="0" collapsed="false">
      <c r="A3577" s="51" t="n">
        <v>46309</v>
      </c>
      <c r="B3577" s="0" t="n">
        <v>16</v>
      </c>
      <c r="C3577" s="0" t="n">
        <v>8035</v>
      </c>
      <c r="E3577" s="0" t="n">
        <v>0</v>
      </c>
      <c r="F3577" s="46" t="s">
        <v>1641</v>
      </c>
      <c r="I3577" s="46" t="s">
        <v>179</v>
      </c>
      <c r="U3577" s="0" t="n">
        <v>60</v>
      </c>
      <c r="V3577" s="0" t="n">
        <v>0</v>
      </c>
      <c r="X3577" s="46" t="n">
        <f aca="false">IF(I3577="Male",0,1)</f>
        <v>1</v>
      </c>
      <c r="Y3577" s="46" t="n">
        <f aca="false">IF(OR(I3577="DNB",I3577="Dry DNB"),1,0)</f>
        <v>0</v>
      </c>
      <c r="Z3577" s="0" t="str">
        <f aca="false">IF(ISNUMBER(W3577),A3577-W3577,"")</f>
        <v/>
      </c>
      <c r="AA3577" s="46" t="n">
        <f aca="false">MATCH(A3577,DATAS,0)</f>
        <v>1</v>
      </c>
      <c r="AB3577" s="46" t="n">
        <f aca="false">IF(AND(E3577&gt;0,OR(AND(B3577&gt;=1,B3577&lt;=6),B3577=10)),1,0)</f>
        <v>0</v>
      </c>
      <c r="AC3577" s="46" t="n">
        <f aca="false">IF(AND(E3577&gt;0,B3577=10),1,0)</f>
        <v>0</v>
      </c>
      <c r="AD3577" s="0" t="str">
        <f aca="false">IF(AND(C3576=C3577,AA3576=AA3577-1),AB3576,"")</f>
        <v/>
      </c>
      <c r="AE3577" s="0" t="str">
        <f aca="false">IF(AND(C3576=C3577,AA3576=AA3577-1),AC3576,"")</f>
        <v/>
      </c>
      <c r="AF3577" s="0" t="str">
        <f aca="false">IF(AA3577=1,"",IF(AND(AB3577=1,AD3577&lt;&gt;1),1,0))</f>
        <v/>
      </c>
      <c r="AG3577" s="0" t="str">
        <f aca="false">IF(AA3577=1,"",IF(AND(AC3577=1,AE3577&lt;&gt;1),1,0))</f>
        <v/>
      </c>
      <c r="AH3577" s="51" t="str">
        <f aca="false">IF(AND(E3577&gt;0,AA3577&lt;1,NOT(AND(C3578=C3577,AA3578=AA3577+1))),INDEX(DATAS,AA3577+1),"")</f>
        <v/>
      </c>
      <c r="AI3577" s="51" t="str">
        <f aca="false">IF(AND(AC3577=1,AA3577&lt;1),IF(AND(C3578=C3577,AA3578=AA3577+1),IF(AC3578=1,"",INDEX(DATAS,AA3577+1)),INDEX(DATAS,AA3577+1)),"")</f>
        <v/>
      </c>
    </row>
    <row r="3578" customFormat="false" ht="15" hidden="false" customHeight="false" outlineLevel="0" collapsed="false">
      <c r="A3578" s="51" t="n">
        <v>46309</v>
      </c>
      <c r="B3578" s="0" t="n">
        <v>16</v>
      </c>
      <c r="C3578" s="0" t="n">
        <v>8036</v>
      </c>
      <c r="E3578" s="0" t="n">
        <v>0</v>
      </c>
      <c r="F3578" s="46" t="s">
        <v>1641</v>
      </c>
      <c r="I3578" s="46" t="s">
        <v>179</v>
      </c>
      <c r="U3578" s="0" t="n">
        <v>60</v>
      </c>
      <c r="V3578" s="0" t="n">
        <v>0</v>
      </c>
      <c r="X3578" s="46" t="n">
        <f aca="false">IF(I3578="Male",0,1)</f>
        <v>1</v>
      </c>
      <c r="Y3578" s="46" t="n">
        <f aca="false">IF(OR(I3578="DNB",I3578="Dry DNB"),1,0)</f>
        <v>0</v>
      </c>
      <c r="Z3578" s="0" t="str">
        <f aca="false">IF(ISNUMBER(W3578),A3578-W3578,"")</f>
        <v/>
      </c>
      <c r="AA3578" s="46" t="n">
        <f aca="false">MATCH(A3578,DATAS,0)</f>
        <v>1</v>
      </c>
      <c r="AB3578" s="46" t="n">
        <f aca="false">IF(AND(E3578&gt;0,OR(AND(B3578&gt;=1,B3578&lt;=6),B3578=10)),1,0)</f>
        <v>0</v>
      </c>
      <c r="AC3578" s="46" t="n">
        <f aca="false">IF(AND(E3578&gt;0,B3578=10),1,0)</f>
        <v>0</v>
      </c>
      <c r="AD3578" s="0" t="str">
        <f aca="false">IF(AND(C3577=C3578,AA3577=AA3578-1),AB3577,"")</f>
        <v/>
      </c>
      <c r="AE3578" s="0" t="str">
        <f aca="false">IF(AND(C3577=C3578,AA3577=AA3578-1),AC3577,"")</f>
        <v/>
      </c>
      <c r="AF3578" s="0" t="str">
        <f aca="false">IF(AA3578=1,"",IF(AND(AB3578=1,AD3578&lt;&gt;1),1,0))</f>
        <v/>
      </c>
      <c r="AG3578" s="0" t="str">
        <f aca="false">IF(AA3578=1,"",IF(AND(AC3578=1,AE3578&lt;&gt;1),1,0))</f>
        <v/>
      </c>
      <c r="AH3578" s="51" t="str">
        <f aca="false">IF(AND(E3578&gt;0,AA3578&lt;1,NOT(AND(C3579=C3578,AA3579=AA3578+1))),INDEX(DATAS,AA3578+1),"")</f>
        <v/>
      </c>
      <c r="AI3578" s="51" t="str">
        <f aca="false">IF(AND(AC3578=1,AA3578&lt;1),IF(AND(C3579=C3578,AA3579=AA3578+1),IF(AC3579=1,"",INDEX(DATAS,AA3578+1)),INDEX(DATAS,AA3578+1)),"")</f>
        <v/>
      </c>
    </row>
    <row r="3579" customFormat="false" ht="15" hidden="false" customHeight="false" outlineLevel="0" collapsed="false">
      <c r="A3579" s="51" t="n">
        <v>46309</v>
      </c>
      <c r="B3579" s="0" t="n">
        <v>16</v>
      </c>
      <c r="C3579" s="0" t="n">
        <v>8037</v>
      </c>
      <c r="E3579" s="0" t="n">
        <v>0</v>
      </c>
      <c r="F3579" s="46" t="s">
        <v>1641</v>
      </c>
      <c r="I3579" s="46" t="s">
        <v>179</v>
      </c>
      <c r="U3579" s="0" t="n">
        <v>60</v>
      </c>
      <c r="V3579" s="0" t="n">
        <v>0</v>
      </c>
      <c r="X3579" s="46" t="n">
        <f aca="false">IF(I3579="Male",0,1)</f>
        <v>1</v>
      </c>
      <c r="Y3579" s="46" t="n">
        <f aca="false">IF(OR(I3579="DNB",I3579="Dry DNB"),1,0)</f>
        <v>0</v>
      </c>
      <c r="Z3579" s="0" t="str">
        <f aca="false">IF(ISNUMBER(W3579),A3579-W3579,"")</f>
        <v/>
      </c>
      <c r="AA3579" s="46" t="n">
        <f aca="false">MATCH(A3579,DATAS,0)</f>
        <v>1</v>
      </c>
      <c r="AB3579" s="46" t="n">
        <f aca="false">IF(AND(E3579&gt;0,OR(AND(B3579&gt;=1,B3579&lt;=6),B3579=10)),1,0)</f>
        <v>0</v>
      </c>
      <c r="AC3579" s="46" t="n">
        <f aca="false">IF(AND(E3579&gt;0,B3579=10),1,0)</f>
        <v>0</v>
      </c>
      <c r="AD3579" s="0" t="str">
        <f aca="false">IF(AND(C3578=C3579,AA3578=AA3579-1),AB3578,"")</f>
        <v/>
      </c>
      <c r="AE3579" s="0" t="str">
        <f aca="false">IF(AND(C3578=C3579,AA3578=AA3579-1),AC3578,"")</f>
        <v/>
      </c>
      <c r="AF3579" s="0" t="str">
        <f aca="false">IF(AA3579=1,"",IF(AND(AB3579=1,AD3579&lt;&gt;1),1,0))</f>
        <v/>
      </c>
      <c r="AG3579" s="0" t="str">
        <f aca="false">IF(AA3579=1,"",IF(AND(AC3579=1,AE3579&lt;&gt;1),1,0))</f>
        <v/>
      </c>
      <c r="AH3579" s="51" t="str">
        <f aca="false">IF(AND(E3579&gt;0,AA3579&lt;1,NOT(AND(C3580=C3579,AA3580=AA3579+1))),INDEX(DATAS,AA3579+1),"")</f>
        <v/>
      </c>
      <c r="AI3579" s="51" t="str">
        <f aca="false">IF(AND(AC3579=1,AA3579&lt;1),IF(AND(C3580=C3579,AA3580=AA3579+1),IF(AC3580=1,"",INDEX(DATAS,AA3579+1)),INDEX(DATAS,AA3579+1)),"")</f>
        <v/>
      </c>
    </row>
    <row r="3580" customFormat="false" ht="15" hidden="false" customHeight="false" outlineLevel="0" collapsed="false">
      <c r="A3580" s="51" t="n">
        <v>46309</v>
      </c>
      <c r="B3580" s="0" t="n">
        <v>16</v>
      </c>
      <c r="C3580" s="0" t="n">
        <v>8038</v>
      </c>
      <c r="E3580" s="0" t="n">
        <v>0</v>
      </c>
      <c r="F3580" s="46" t="s">
        <v>1641</v>
      </c>
      <c r="I3580" s="46" t="s">
        <v>179</v>
      </c>
      <c r="U3580" s="0" t="n">
        <v>60</v>
      </c>
      <c r="V3580" s="0" t="n">
        <v>0</v>
      </c>
      <c r="X3580" s="46" t="n">
        <f aca="false">IF(I3580="Male",0,1)</f>
        <v>1</v>
      </c>
      <c r="Y3580" s="46" t="n">
        <f aca="false">IF(OR(I3580="DNB",I3580="Dry DNB"),1,0)</f>
        <v>0</v>
      </c>
      <c r="Z3580" s="0" t="str">
        <f aca="false">IF(ISNUMBER(W3580),A3580-W3580,"")</f>
        <v/>
      </c>
      <c r="AA3580" s="46" t="n">
        <f aca="false">MATCH(A3580,DATAS,0)</f>
        <v>1</v>
      </c>
      <c r="AB3580" s="46" t="n">
        <f aca="false">IF(AND(E3580&gt;0,OR(AND(B3580&gt;=1,B3580&lt;=6),B3580=10)),1,0)</f>
        <v>0</v>
      </c>
      <c r="AC3580" s="46" t="n">
        <f aca="false">IF(AND(E3580&gt;0,B3580=10),1,0)</f>
        <v>0</v>
      </c>
      <c r="AD3580" s="0" t="str">
        <f aca="false">IF(AND(C3579=C3580,AA3579=AA3580-1),AB3579,"")</f>
        <v/>
      </c>
      <c r="AE3580" s="0" t="str">
        <f aca="false">IF(AND(C3579=C3580,AA3579=AA3580-1),AC3579,"")</f>
        <v/>
      </c>
      <c r="AF3580" s="0" t="str">
        <f aca="false">IF(AA3580=1,"",IF(AND(AB3580=1,AD3580&lt;&gt;1),1,0))</f>
        <v/>
      </c>
      <c r="AG3580" s="0" t="str">
        <f aca="false">IF(AA3580=1,"",IF(AND(AC3580=1,AE3580&lt;&gt;1),1,0))</f>
        <v/>
      </c>
      <c r="AH3580" s="51" t="str">
        <f aca="false">IF(AND(E3580&gt;0,AA3580&lt;1,NOT(AND(C3581=C3580,AA3581=AA3580+1))),INDEX(DATAS,AA3580+1),"")</f>
        <v/>
      </c>
      <c r="AI3580" s="51" t="str">
        <f aca="false">IF(AND(AC3580=1,AA3580&lt;1),IF(AND(C3581=C3580,AA3581=AA3580+1),IF(AC3581=1,"",INDEX(DATAS,AA3580+1)),INDEX(DATAS,AA3580+1)),"")</f>
        <v/>
      </c>
    </row>
    <row r="3581" customFormat="false" ht="15" hidden="false" customHeight="false" outlineLevel="0" collapsed="false">
      <c r="A3581" s="51" t="n">
        <v>46309</v>
      </c>
      <c r="B3581" s="0" t="n">
        <v>16</v>
      </c>
      <c r="C3581" s="0" t="n">
        <v>8039</v>
      </c>
      <c r="E3581" s="0" t="n">
        <v>0</v>
      </c>
      <c r="F3581" s="46" t="s">
        <v>1642</v>
      </c>
      <c r="I3581" s="46" t="s">
        <v>179</v>
      </c>
      <c r="U3581" s="0" t="n">
        <v>59</v>
      </c>
      <c r="V3581" s="0" t="n">
        <v>0</v>
      </c>
      <c r="X3581" s="46" t="n">
        <f aca="false">IF(I3581="Male",0,1)</f>
        <v>1</v>
      </c>
      <c r="Y3581" s="46" t="n">
        <f aca="false">IF(OR(I3581="DNB",I3581="Dry DNB"),1,0)</f>
        <v>0</v>
      </c>
      <c r="Z3581" s="0" t="str">
        <f aca="false">IF(ISNUMBER(W3581),A3581-W3581,"")</f>
        <v/>
      </c>
      <c r="AA3581" s="46" t="n">
        <f aca="false">MATCH(A3581,DATAS,0)</f>
        <v>1</v>
      </c>
      <c r="AB3581" s="46" t="n">
        <f aca="false">IF(AND(E3581&gt;0,OR(AND(B3581&gt;=1,B3581&lt;=6),B3581=10)),1,0)</f>
        <v>0</v>
      </c>
      <c r="AC3581" s="46" t="n">
        <f aca="false">IF(AND(E3581&gt;0,B3581=10),1,0)</f>
        <v>0</v>
      </c>
      <c r="AD3581" s="0" t="str">
        <f aca="false">IF(AND(C3580=C3581,AA3580=AA3581-1),AB3580,"")</f>
        <v/>
      </c>
      <c r="AE3581" s="0" t="str">
        <f aca="false">IF(AND(C3580=C3581,AA3580=AA3581-1),AC3580,"")</f>
        <v/>
      </c>
      <c r="AF3581" s="0" t="str">
        <f aca="false">IF(AA3581=1,"",IF(AND(AB3581=1,AD3581&lt;&gt;1),1,0))</f>
        <v/>
      </c>
      <c r="AG3581" s="0" t="str">
        <f aca="false">IF(AA3581=1,"",IF(AND(AC3581=1,AE3581&lt;&gt;1),1,0))</f>
        <v/>
      </c>
      <c r="AH3581" s="51" t="str">
        <f aca="false">IF(AND(E3581&gt;0,AA3581&lt;1,NOT(AND(C3582=C3581,AA3582=AA3581+1))),INDEX(DATAS,AA3581+1),"")</f>
        <v/>
      </c>
      <c r="AI3581" s="51" t="str">
        <f aca="false">IF(AND(AC3581=1,AA3581&lt;1),IF(AND(C3582=C3581,AA3582=AA3581+1),IF(AC3582=1,"",INDEX(DATAS,AA3581+1)),INDEX(DATAS,AA3581+1)),"")</f>
        <v/>
      </c>
    </row>
    <row r="3582" customFormat="false" ht="15" hidden="false" customHeight="false" outlineLevel="0" collapsed="false">
      <c r="A3582" s="51" t="n">
        <v>46309</v>
      </c>
      <c r="B3582" s="0" t="n">
        <v>16</v>
      </c>
      <c r="C3582" s="0" t="n">
        <v>8040</v>
      </c>
      <c r="E3582" s="0" t="n">
        <v>0</v>
      </c>
      <c r="F3582" s="46" t="s">
        <v>1642</v>
      </c>
      <c r="I3582" s="46" t="s">
        <v>179</v>
      </c>
      <c r="U3582" s="0" t="n">
        <v>59</v>
      </c>
      <c r="V3582" s="0" t="n">
        <v>0</v>
      </c>
      <c r="X3582" s="46" t="n">
        <f aca="false">IF(I3582="Male",0,1)</f>
        <v>1</v>
      </c>
      <c r="Y3582" s="46" t="n">
        <f aca="false">IF(OR(I3582="DNB",I3582="Dry DNB"),1,0)</f>
        <v>0</v>
      </c>
      <c r="Z3582" s="0" t="str">
        <f aca="false">IF(ISNUMBER(W3582),A3582-W3582,"")</f>
        <v/>
      </c>
      <c r="AA3582" s="46" t="n">
        <f aca="false">MATCH(A3582,DATAS,0)</f>
        <v>1</v>
      </c>
      <c r="AB3582" s="46" t="n">
        <f aca="false">IF(AND(E3582&gt;0,OR(AND(B3582&gt;=1,B3582&lt;=6),B3582=10)),1,0)</f>
        <v>0</v>
      </c>
      <c r="AC3582" s="46" t="n">
        <f aca="false">IF(AND(E3582&gt;0,B3582=10),1,0)</f>
        <v>0</v>
      </c>
      <c r="AD3582" s="0" t="str">
        <f aca="false">IF(AND(C3581=C3582,AA3581=AA3582-1),AB3581,"")</f>
        <v/>
      </c>
      <c r="AE3582" s="0" t="str">
        <f aca="false">IF(AND(C3581=C3582,AA3581=AA3582-1),AC3581,"")</f>
        <v/>
      </c>
      <c r="AF3582" s="0" t="str">
        <f aca="false">IF(AA3582=1,"",IF(AND(AB3582=1,AD3582&lt;&gt;1),1,0))</f>
        <v/>
      </c>
      <c r="AG3582" s="0" t="str">
        <f aca="false">IF(AA3582=1,"",IF(AND(AC3582=1,AE3582&lt;&gt;1),1,0))</f>
        <v/>
      </c>
      <c r="AH3582" s="51" t="str">
        <f aca="false">IF(AND(E3582&gt;0,AA3582&lt;1,NOT(AND(C3583=C3582,AA3583=AA3582+1))),INDEX(DATAS,AA3582+1),"")</f>
        <v/>
      </c>
      <c r="AI3582" s="51" t="str">
        <f aca="false">IF(AND(AC3582=1,AA3582&lt;1),IF(AND(C3583=C3582,AA3583=AA3582+1),IF(AC3583=1,"",INDEX(DATAS,AA3582+1)),INDEX(DATAS,AA3582+1)),"")</f>
        <v/>
      </c>
    </row>
    <row r="3583" customFormat="false" ht="15" hidden="false" customHeight="false" outlineLevel="0" collapsed="false">
      <c r="A3583" s="51" t="n">
        <v>46309</v>
      </c>
      <c r="B3583" s="0" t="n">
        <v>16</v>
      </c>
      <c r="C3583" s="0" t="n">
        <v>8041</v>
      </c>
      <c r="E3583" s="0" t="n">
        <v>0</v>
      </c>
      <c r="F3583" s="46" t="s">
        <v>1642</v>
      </c>
      <c r="I3583" s="46" t="s">
        <v>179</v>
      </c>
      <c r="U3583" s="0" t="n">
        <v>59</v>
      </c>
      <c r="V3583" s="0" t="n">
        <v>0</v>
      </c>
      <c r="X3583" s="46" t="n">
        <f aca="false">IF(I3583="Male",0,1)</f>
        <v>1</v>
      </c>
      <c r="Y3583" s="46" t="n">
        <f aca="false">IF(OR(I3583="DNB",I3583="Dry DNB"),1,0)</f>
        <v>0</v>
      </c>
      <c r="Z3583" s="0" t="str">
        <f aca="false">IF(ISNUMBER(W3583),A3583-W3583,"")</f>
        <v/>
      </c>
      <c r="AA3583" s="46" t="n">
        <f aca="false">MATCH(A3583,DATAS,0)</f>
        <v>1</v>
      </c>
      <c r="AB3583" s="46" t="n">
        <f aca="false">IF(AND(E3583&gt;0,OR(AND(B3583&gt;=1,B3583&lt;=6),B3583=10)),1,0)</f>
        <v>0</v>
      </c>
      <c r="AC3583" s="46" t="n">
        <f aca="false">IF(AND(E3583&gt;0,B3583=10),1,0)</f>
        <v>0</v>
      </c>
      <c r="AD3583" s="0" t="str">
        <f aca="false">IF(AND(C3582=C3583,AA3582=AA3583-1),AB3582,"")</f>
        <v/>
      </c>
      <c r="AE3583" s="0" t="str">
        <f aca="false">IF(AND(C3582=C3583,AA3582=AA3583-1),AC3582,"")</f>
        <v/>
      </c>
      <c r="AF3583" s="0" t="str">
        <f aca="false">IF(AA3583=1,"",IF(AND(AB3583=1,AD3583&lt;&gt;1),1,0))</f>
        <v/>
      </c>
      <c r="AG3583" s="0" t="str">
        <f aca="false">IF(AA3583=1,"",IF(AND(AC3583=1,AE3583&lt;&gt;1),1,0))</f>
        <v/>
      </c>
      <c r="AH3583" s="51" t="str">
        <f aca="false">IF(AND(E3583&gt;0,AA3583&lt;1,NOT(AND(C3584=C3583,AA3584=AA3583+1))),INDEX(DATAS,AA3583+1),"")</f>
        <v/>
      </c>
      <c r="AI3583" s="51" t="str">
        <f aca="false">IF(AND(AC3583=1,AA3583&lt;1),IF(AND(C3584=C3583,AA3584=AA3583+1),IF(AC3584=1,"",INDEX(DATAS,AA3583+1)),INDEX(DATAS,AA3583+1)),"")</f>
        <v/>
      </c>
    </row>
    <row r="3584" customFormat="false" ht="15" hidden="false" customHeight="false" outlineLevel="0" collapsed="false">
      <c r="A3584" s="51" t="n">
        <v>46309</v>
      </c>
      <c r="B3584" s="0" t="n">
        <v>16</v>
      </c>
      <c r="C3584" s="0" t="n">
        <v>8042</v>
      </c>
      <c r="E3584" s="0" t="n">
        <v>0</v>
      </c>
      <c r="F3584" s="46" t="s">
        <v>1642</v>
      </c>
      <c r="I3584" s="46" t="s">
        <v>179</v>
      </c>
      <c r="U3584" s="0" t="n">
        <v>59</v>
      </c>
      <c r="V3584" s="0" t="n">
        <v>0</v>
      </c>
      <c r="X3584" s="46" t="n">
        <f aca="false">IF(I3584="Male",0,1)</f>
        <v>1</v>
      </c>
      <c r="Y3584" s="46" t="n">
        <f aca="false">IF(OR(I3584="DNB",I3584="Dry DNB"),1,0)</f>
        <v>0</v>
      </c>
      <c r="Z3584" s="0" t="str">
        <f aca="false">IF(ISNUMBER(W3584),A3584-W3584,"")</f>
        <v/>
      </c>
      <c r="AA3584" s="46" t="n">
        <f aca="false">MATCH(A3584,DATAS,0)</f>
        <v>1</v>
      </c>
      <c r="AB3584" s="46" t="n">
        <f aca="false">IF(AND(E3584&gt;0,OR(AND(B3584&gt;=1,B3584&lt;=6),B3584=10)),1,0)</f>
        <v>0</v>
      </c>
      <c r="AC3584" s="46" t="n">
        <f aca="false">IF(AND(E3584&gt;0,B3584=10),1,0)</f>
        <v>0</v>
      </c>
      <c r="AD3584" s="0" t="str">
        <f aca="false">IF(AND(C3583=C3584,AA3583=AA3584-1),AB3583,"")</f>
        <v/>
      </c>
      <c r="AE3584" s="0" t="str">
        <f aca="false">IF(AND(C3583=C3584,AA3583=AA3584-1),AC3583,"")</f>
        <v/>
      </c>
      <c r="AF3584" s="0" t="str">
        <f aca="false">IF(AA3584=1,"",IF(AND(AB3584=1,AD3584&lt;&gt;1),1,0))</f>
        <v/>
      </c>
      <c r="AG3584" s="0" t="str">
        <f aca="false">IF(AA3584=1,"",IF(AND(AC3584=1,AE3584&lt;&gt;1),1,0))</f>
        <v/>
      </c>
      <c r="AH3584" s="51" t="str">
        <f aca="false">IF(AND(E3584&gt;0,AA3584&lt;1,NOT(AND(C3585=C3584,AA3585=AA3584+1))),INDEX(DATAS,AA3584+1),"")</f>
        <v/>
      </c>
      <c r="AI3584" s="51" t="str">
        <f aca="false">IF(AND(AC3584=1,AA3584&lt;1),IF(AND(C3585=C3584,AA3585=AA3584+1),IF(AC3585=1,"",INDEX(DATAS,AA3584+1)),INDEX(DATAS,AA3584+1)),"")</f>
        <v/>
      </c>
    </row>
    <row r="3585" customFormat="false" ht="15" hidden="false" customHeight="false" outlineLevel="0" collapsed="false">
      <c r="A3585" s="51" t="n">
        <v>46309</v>
      </c>
      <c r="B3585" s="0" t="n">
        <v>16</v>
      </c>
      <c r="C3585" s="0" t="n">
        <v>8043</v>
      </c>
      <c r="E3585" s="0" t="n">
        <v>0</v>
      </c>
      <c r="F3585" s="46" t="s">
        <v>1642</v>
      </c>
      <c r="I3585" s="46" t="s">
        <v>179</v>
      </c>
      <c r="U3585" s="0" t="n">
        <v>59</v>
      </c>
      <c r="V3585" s="0" t="n">
        <v>0</v>
      </c>
      <c r="X3585" s="46" t="n">
        <f aca="false">IF(I3585="Male",0,1)</f>
        <v>1</v>
      </c>
      <c r="Y3585" s="46" t="n">
        <f aca="false">IF(OR(I3585="DNB",I3585="Dry DNB"),1,0)</f>
        <v>0</v>
      </c>
      <c r="Z3585" s="0" t="str">
        <f aca="false">IF(ISNUMBER(W3585),A3585-W3585,"")</f>
        <v/>
      </c>
      <c r="AA3585" s="46" t="n">
        <f aca="false">MATCH(A3585,DATAS,0)</f>
        <v>1</v>
      </c>
      <c r="AB3585" s="46" t="n">
        <f aca="false">IF(AND(E3585&gt;0,OR(AND(B3585&gt;=1,B3585&lt;=6),B3585=10)),1,0)</f>
        <v>0</v>
      </c>
      <c r="AC3585" s="46" t="n">
        <f aca="false">IF(AND(E3585&gt;0,B3585=10),1,0)</f>
        <v>0</v>
      </c>
      <c r="AD3585" s="0" t="str">
        <f aca="false">IF(AND(C3584=C3585,AA3584=AA3585-1),AB3584,"")</f>
        <v/>
      </c>
      <c r="AE3585" s="0" t="str">
        <f aca="false">IF(AND(C3584=C3585,AA3584=AA3585-1),AC3584,"")</f>
        <v/>
      </c>
      <c r="AF3585" s="0" t="str">
        <f aca="false">IF(AA3585=1,"",IF(AND(AB3585=1,AD3585&lt;&gt;1),1,0))</f>
        <v/>
      </c>
      <c r="AG3585" s="0" t="str">
        <f aca="false">IF(AA3585=1,"",IF(AND(AC3585=1,AE3585&lt;&gt;1),1,0))</f>
        <v/>
      </c>
      <c r="AH3585" s="51" t="str">
        <f aca="false">IF(AND(E3585&gt;0,AA3585&lt;1,NOT(AND(C3586=C3585,AA3586=AA3585+1))),INDEX(DATAS,AA3585+1),"")</f>
        <v/>
      </c>
      <c r="AI3585" s="51" t="str">
        <f aca="false">IF(AND(AC3585=1,AA3585&lt;1),IF(AND(C3586=C3585,AA3586=AA3585+1),IF(AC3586=1,"",INDEX(DATAS,AA3585+1)),INDEX(DATAS,AA3585+1)),"")</f>
        <v/>
      </c>
    </row>
    <row r="3586" customFormat="false" ht="15" hidden="false" customHeight="false" outlineLevel="0" collapsed="false">
      <c r="A3586" s="51" t="n">
        <v>46309</v>
      </c>
      <c r="B3586" s="0" t="n">
        <v>16</v>
      </c>
      <c r="C3586" s="0" t="n">
        <v>8045</v>
      </c>
      <c r="E3586" s="0" t="n">
        <v>0</v>
      </c>
      <c r="F3586" s="46" t="s">
        <v>1643</v>
      </c>
      <c r="I3586" s="46" t="s">
        <v>179</v>
      </c>
      <c r="U3586" s="0" t="n">
        <v>58</v>
      </c>
      <c r="V3586" s="0" t="n">
        <v>0</v>
      </c>
      <c r="X3586" s="46" t="n">
        <f aca="false">IF(I3586="Male",0,1)</f>
        <v>1</v>
      </c>
      <c r="Y3586" s="46" t="n">
        <f aca="false">IF(OR(I3586="DNB",I3586="Dry DNB"),1,0)</f>
        <v>0</v>
      </c>
      <c r="Z3586" s="0" t="str">
        <f aca="false">IF(ISNUMBER(W3586),A3586-W3586,"")</f>
        <v/>
      </c>
      <c r="AA3586" s="46" t="n">
        <f aca="false">MATCH(A3586,DATAS,0)</f>
        <v>1</v>
      </c>
      <c r="AB3586" s="46" t="n">
        <f aca="false">IF(AND(E3586&gt;0,OR(AND(B3586&gt;=1,B3586&lt;=6),B3586=10)),1,0)</f>
        <v>0</v>
      </c>
      <c r="AC3586" s="46" t="n">
        <f aca="false">IF(AND(E3586&gt;0,B3586=10),1,0)</f>
        <v>0</v>
      </c>
      <c r="AD3586" s="0" t="str">
        <f aca="false">IF(AND(C3585=C3586,AA3585=AA3586-1),AB3585,"")</f>
        <v/>
      </c>
      <c r="AE3586" s="0" t="str">
        <f aca="false">IF(AND(C3585=C3586,AA3585=AA3586-1),AC3585,"")</f>
        <v/>
      </c>
      <c r="AF3586" s="0" t="str">
        <f aca="false">IF(AA3586=1,"",IF(AND(AB3586=1,AD3586&lt;&gt;1),1,0))</f>
        <v/>
      </c>
      <c r="AG3586" s="0" t="str">
        <f aca="false">IF(AA3586=1,"",IF(AND(AC3586=1,AE3586&lt;&gt;1),1,0))</f>
        <v/>
      </c>
      <c r="AH3586" s="51" t="str">
        <f aca="false">IF(AND(E3586&gt;0,AA3586&lt;1,NOT(AND(C3587=C3586,AA3587=AA3586+1))),INDEX(DATAS,AA3586+1),"")</f>
        <v/>
      </c>
      <c r="AI3586" s="51" t="str">
        <f aca="false">IF(AND(AC3586=1,AA3586&lt;1),IF(AND(C3587=C3586,AA3587=AA3586+1),IF(AC3587=1,"",INDEX(DATAS,AA3586+1)),INDEX(DATAS,AA3586+1)),"")</f>
        <v/>
      </c>
    </row>
    <row r="3587" customFormat="false" ht="15" hidden="false" customHeight="false" outlineLevel="0" collapsed="false">
      <c r="A3587" s="51" t="n">
        <v>46309</v>
      </c>
      <c r="B3587" s="0" t="n">
        <v>16</v>
      </c>
      <c r="C3587" s="0" t="n">
        <v>8046</v>
      </c>
      <c r="E3587" s="0" t="n">
        <v>0</v>
      </c>
      <c r="F3587" s="46" t="s">
        <v>1643</v>
      </c>
      <c r="I3587" s="46" t="s">
        <v>179</v>
      </c>
      <c r="U3587" s="0" t="n">
        <v>58</v>
      </c>
      <c r="V3587" s="0" t="n">
        <v>0</v>
      </c>
      <c r="X3587" s="46" t="n">
        <f aca="false">IF(I3587="Male",0,1)</f>
        <v>1</v>
      </c>
      <c r="Y3587" s="46" t="n">
        <f aca="false">IF(OR(I3587="DNB",I3587="Dry DNB"),1,0)</f>
        <v>0</v>
      </c>
      <c r="Z3587" s="0" t="str">
        <f aca="false">IF(ISNUMBER(W3587),A3587-W3587,"")</f>
        <v/>
      </c>
      <c r="AA3587" s="46" t="n">
        <f aca="false">MATCH(A3587,DATAS,0)</f>
        <v>1</v>
      </c>
      <c r="AB3587" s="46" t="n">
        <f aca="false">IF(AND(E3587&gt;0,OR(AND(B3587&gt;=1,B3587&lt;=6),B3587=10)),1,0)</f>
        <v>0</v>
      </c>
      <c r="AC3587" s="46" t="n">
        <f aca="false">IF(AND(E3587&gt;0,B3587=10),1,0)</f>
        <v>0</v>
      </c>
      <c r="AD3587" s="0" t="str">
        <f aca="false">IF(AND(C3586=C3587,AA3586=AA3587-1),AB3586,"")</f>
        <v/>
      </c>
      <c r="AE3587" s="0" t="str">
        <f aca="false">IF(AND(C3586=C3587,AA3586=AA3587-1),AC3586,"")</f>
        <v/>
      </c>
      <c r="AF3587" s="0" t="str">
        <f aca="false">IF(AA3587=1,"",IF(AND(AB3587=1,AD3587&lt;&gt;1),1,0))</f>
        <v/>
      </c>
      <c r="AG3587" s="0" t="str">
        <f aca="false">IF(AA3587=1,"",IF(AND(AC3587=1,AE3587&lt;&gt;1),1,0))</f>
        <v/>
      </c>
      <c r="AH3587" s="51" t="str">
        <f aca="false">IF(AND(E3587&gt;0,AA3587&lt;1,NOT(AND(C3588=C3587,AA3588=AA3587+1))),INDEX(DATAS,AA3587+1),"")</f>
        <v/>
      </c>
      <c r="AI3587" s="51" t="str">
        <f aca="false">IF(AND(AC3587=1,AA3587&lt;1),IF(AND(C3588=C3587,AA3588=AA3587+1),IF(AC3588=1,"",INDEX(DATAS,AA3587+1)),INDEX(DATAS,AA3587+1)),"")</f>
        <v/>
      </c>
    </row>
    <row r="3588" customFormat="false" ht="15" hidden="false" customHeight="false" outlineLevel="0" collapsed="false">
      <c r="A3588" s="51" t="n">
        <v>46309</v>
      </c>
      <c r="B3588" s="0" t="n">
        <v>16</v>
      </c>
      <c r="C3588" s="0" t="n">
        <v>8047</v>
      </c>
      <c r="E3588" s="0" t="n">
        <v>0</v>
      </c>
      <c r="F3588" s="46" t="s">
        <v>1643</v>
      </c>
      <c r="I3588" s="46" t="s">
        <v>179</v>
      </c>
      <c r="U3588" s="0" t="n">
        <v>58</v>
      </c>
      <c r="V3588" s="0" t="n">
        <v>0</v>
      </c>
      <c r="X3588" s="46" t="n">
        <f aca="false">IF(I3588="Male",0,1)</f>
        <v>1</v>
      </c>
      <c r="Y3588" s="46" t="n">
        <f aca="false">IF(OR(I3588="DNB",I3588="Dry DNB"),1,0)</f>
        <v>0</v>
      </c>
      <c r="Z3588" s="0" t="str">
        <f aca="false">IF(ISNUMBER(W3588),A3588-W3588,"")</f>
        <v/>
      </c>
      <c r="AA3588" s="46" t="n">
        <f aca="false">MATCH(A3588,DATAS,0)</f>
        <v>1</v>
      </c>
      <c r="AB3588" s="46" t="n">
        <f aca="false">IF(AND(E3588&gt;0,OR(AND(B3588&gt;=1,B3588&lt;=6),B3588=10)),1,0)</f>
        <v>0</v>
      </c>
      <c r="AC3588" s="46" t="n">
        <f aca="false">IF(AND(E3588&gt;0,B3588=10),1,0)</f>
        <v>0</v>
      </c>
      <c r="AD3588" s="0" t="str">
        <f aca="false">IF(AND(C3587=C3588,AA3587=AA3588-1),AB3587,"")</f>
        <v/>
      </c>
      <c r="AE3588" s="0" t="str">
        <f aca="false">IF(AND(C3587=C3588,AA3587=AA3588-1),AC3587,"")</f>
        <v/>
      </c>
      <c r="AF3588" s="0" t="str">
        <f aca="false">IF(AA3588=1,"",IF(AND(AB3588=1,AD3588&lt;&gt;1),1,0))</f>
        <v/>
      </c>
      <c r="AG3588" s="0" t="str">
        <f aca="false">IF(AA3588=1,"",IF(AND(AC3588=1,AE3588&lt;&gt;1),1,0))</f>
        <v/>
      </c>
      <c r="AH3588" s="51" t="str">
        <f aca="false">IF(AND(E3588&gt;0,AA3588&lt;1,NOT(AND(C3589=C3588,AA3589=AA3588+1))),INDEX(DATAS,AA3588+1),"")</f>
        <v/>
      </c>
      <c r="AI3588" s="51" t="str">
        <f aca="false">IF(AND(AC3588=1,AA3588&lt;1),IF(AND(C3589=C3588,AA3589=AA3588+1),IF(AC3589=1,"",INDEX(DATAS,AA3588+1)),INDEX(DATAS,AA3588+1)),"")</f>
        <v/>
      </c>
    </row>
    <row r="3589" customFormat="false" ht="15" hidden="false" customHeight="false" outlineLevel="0" collapsed="false">
      <c r="A3589" s="51" t="n">
        <v>46309</v>
      </c>
      <c r="B3589" s="0" t="n">
        <v>16</v>
      </c>
      <c r="C3589" s="0" t="n">
        <v>8048</v>
      </c>
      <c r="E3589" s="0" t="n">
        <v>0</v>
      </c>
      <c r="F3589" s="46" t="s">
        <v>1643</v>
      </c>
      <c r="I3589" s="46" t="s">
        <v>179</v>
      </c>
      <c r="U3589" s="0" t="n">
        <v>58</v>
      </c>
      <c r="V3589" s="0" t="n">
        <v>0</v>
      </c>
      <c r="X3589" s="46" t="n">
        <f aca="false">IF(I3589="Male",0,1)</f>
        <v>1</v>
      </c>
      <c r="Y3589" s="46" t="n">
        <f aca="false">IF(OR(I3589="DNB",I3589="Dry DNB"),1,0)</f>
        <v>0</v>
      </c>
      <c r="Z3589" s="0" t="str">
        <f aca="false">IF(ISNUMBER(W3589),A3589-W3589,"")</f>
        <v/>
      </c>
      <c r="AA3589" s="46" t="n">
        <f aca="false">MATCH(A3589,DATAS,0)</f>
        <v>1</v>
      </c>
      <c r="AB3589" s="46" t="n">
        <f aca="false">IF(AND(E3589&gt;0,OR(AND(B3589&gt;=1,B3589&lt;=6),B3589=10)),1,0)</f>
        <v>0</v>
      </c>
      <c r="AC3589" s="46" t="n">
        <f aca="false">IF(AND(E3589&gt;0,B3589=10),1,0)</f>
        <v>0</v>
      </c>
      <c r="AD3589" s="0" t="str">
        <f aca="false">IF(AND(C3588=C3589,AA3588=AA3589-1),AB3588,"")</f>
        <v/>
      </c>
      <c r="AE3589" s="0" t="str">
        <f aca="false">IF(AND(C3588=C3589,AA3588=AA3589-1),AC3588,"")</f>
        <v/>
      </c>
      <c r="AF3589" s="0" t="str">
        <f aca="false">IF(AA3589=1,"",IF(AND(AB3589=1,AD3589&lt;&gt;1),1,0))</f>
        <v/>
      </c>
      <c r="AG3589" s="0" t="str">
        <f aca="false">IF(AA3589=1,"",IF(AND(AC3589=1,AE3589&lt;&gt;1),1,0))</f>
        <v/>
      </c>
      <c r="AH3589" s="51" t="str">
        <f aca="false">IF(AND(E3589&gt;0,AA3589&lt;1,NOT(AND(C3590=C3589,AA3590=AA3589+1))),INDEX(DATAS,AA3589+1),"")</f>
        <v/>
      </c>
      <c r="AI3589" s="51" t="str">
        <f aca="false">IF(AND(AC3589=1,AA3589&lt;1),IF(AND(C3590=C3589,AA3590=AA3589+1),IF(AC3590=1,"",INDEX(DATAS,AA3589+1)),INDEX(DATAS,AA3589+1)),"")</f>
        <v/>
      </c>
    </row>
    <row r="3590" customFormat="false" ht="15" hidden="false" customHeight="false" outlineLevel="0" collapsed="false">
      <c r="A3590" s="51" t="n">
        <v>46309</v>
      </c>
      <c r="B3590" s="0" t="n">
        <v>16</v>
      </c>
      <c r="C3590" s="0" t="n">
        <v>8049</v>
      </c>
      <c r="E3590" s="0" t="n">
        <v>0</v>
      </c>
      <c r="F3590" s="46" t="s">
        <v>1644</v>
      </c>
      <c r="I3590" s="46" t="s">
        <v>179</v>
      </c>
      <c r="U3590" s="0" t="n">
        <v>57</v>
      </c>
      <c r="V3590" s="0" t="n">
        <v>0</v>
      </c>
      <c r="X3590" s="46" t="n">
        <f aca="false">IF(I3590="Male",0,1)</f>
        <v>1</v>
      </c>
      <c r="Y3590" s="46" t="n">
        <f aca="false">IF(OR(I3590="DNB",I3590="Dry DNB"),1,0)</f>
        <v>0</v>
      </c>
      <c r="Z3590" s="0" t="str">
        <f aca="false">IF(ISNUMBER(W3590),A3590-W3590,"")</f>
        <v/>
      </c>
      <c r="AA3590" s="46" t="n">
        <f aca="false">MATCH(A3590,DATAS,0)</f>
        <v>1</v>
      </c>
      <c r="AB3590" s="46" t="n">
        <f aca="false">IF(AND(E3590&gt;0,OR(AND(B3590&gt;=1,B3590&lt;=6),B3590=10)),1,0)</f>
        <v>0</v>
      </c>
      <c r="AC3590" s="46" t="n">
        <f aca="false">IF(AND(E3590&gt;0,B3590=10),1,0)</f>
        <v>0</v>
      </c>
      <c r="AD3590" s="0" t="str">
        <f aca="false">IF(AND(C3589=C3590,AA3589=AA3590-1),AB3589,"")</f>
        <v/>
      </c>
      <c r="AE3590" s="0" t="str">
        <f aca="false">IF(AND(C3589=C3590,AA3589=AA3590-1),AC3589,"")</f>
        <v/>
      </c>
      <c r="AF3590" s="0" t="str">
        <f aca="false">IF(AA3590=1,"",IF(AND(AB3590=1,AD3590&lt;&gt;1),1,0))</f>
        <v/>
      </c>
      <c r="AG3590" s="0" t="str">
        <f aca="false">IF(AA3590=1,"",IF(AND(AC3590=1,AE3590&lt;&gt;1),1,0))</f>
        <v/>
      </c>
      <c r="AH3590" s="51" t="str">
        <f aca="false">IF(AND(E3590&gt;0,AA3590&lt;1,NOT(AND(C3591=C3590,AA3591=AA3590+1))),INDEX(DATAS,AA3590+1),"")</f>
        <v/>
      </c>
      <c r="AI3590" s="51" t="str">
        <f aca="false">IF(AND(AC3590=1,AA3590&lt;1),IF(AND(C3591=C3590,AA3591=AA3590+1),IF(AC3591=1,"",INDEX(DATAS,AA3590+1)),INDEX(DATAS,AA3590+1)),"")</f>
        <v/>
      </c>
    </row>
    <row r="3591" customFormat="false" ht="15" hidden="false" customHeight="false" outlineLevel="0" collapsed="false">
      <c r="A3591" s="51" t="n">
        <v>46309</v>
      </c>
      <c r="B3591" s="0" t="n">
        <v>16</v>
      </c>
      <c r="C3591" s="0" t="n">
        <v>8050</v>
      </c>
      <c r="E3591" s="0" t="n">
        <v>0</v>
      </c>
      <c r="F3591" s="46" t="s">
        <v>1644</v>
      </c>
      <c r="I3591" s="46" t="s">
        <v>179</v>
      </c>
      <c r="U3591" s="0" t="n">
        <v>57</v>
      </c>
      <c r="V3591" s="0" t="n">
        <v>0</v>
      </c>
      <c r="X3591" s="46" t="n">
        <f aca="false">IF(I3591="Male",0,1)</f>
        <v>1</v>
      </c>
      <c r="Y3591" s="46" t="n">
        <f aca="false">IF(OR(I3591="DNB",I3591="Dry DNB"),1,0)</f>
        <v>0</v>
      </c>
      <c r="Z3591" s="0" t="str">
        <f aca="false">IF(ISNUMBER(W3591),A3591-W3591,"")</f>
        <v/>
      </c>
      <c r="AA3591" s="46" t="n">
        <f aca="false">MATCH(A3591,DATAS,0)</f>
        <v>1</v>
      </c>
      <c r="AB3591" s="46" t="n">
        <f aca="false">IF(AND(E3591&gt;0,OR(AND(B3591&gt;=1,B3591&lt;=6),B3591=10)),1,0)</f>
        <v>0</v>
      </c>
      <c r="AC3591" s="46" t="n">
        <f aca="false">IF(AND(E3591&gt;0,B3591=10),1,0)</f>
        <v>0</v>
      </c>
      <c r="AD3591" s="0" t="str">
        <f aca="false">IF(AND(C3590=C3591,AA3590=AA3591-1),AB3590,"")</f>
        <v/>
      </c>
      <c r="AE3591" s="0" t="str">
        <f aca="false">IF(AND(C3590=C3591,AA3590=AA3591-1),AC3590,"")</f>
        <v/>
      </c>
      <c r="AF3591" s="0" t="str">
        <f aca="false">IF(AA3591=1,"",IF(AND(AB3591=1,AD3591&lt;&gt;1),1,0))</f>
        <v/>
      </c>
      <c r="AG3591" s="0" t="str">
        <f aca="false">IF(AA3591=1,"",IF(AND(AC3591=1,AE3591&lt;&gt;1),1,0))</f>
        <v/>
      </c>
      <c r="AH3591" s="51" t="str">
        <f aca="false">IF(AND(E3591&gt;0,AA3591&lt;1,NOT(AND(C3592=C3591,AA3592=AA3591+1))),INDEX(DATAS,AA3591+1),"")</f>
        <v/>
      </c>
      <c r="AI3591" s="51" t="str">
        <f aca="false">IF(AND(AC3591=1,AA3591&lt;1),IF(AND(C3592=C3591,AA3592=AA3591+1),IF(AC3592=1,"",INDEX(DATAS,AA3591+1)),INDEX(DATAS,AA3591+1)),"")</f>
        <v/>
      </c>
    </row>
    <row r="3592" customFormat="false" ht="15" hidden="false" customHeight="false" outlineLevel="0" collapsed="false">
      <c r="A3592" s="51" t="n">
        <v>46309</v>
      </c>
      <c r="B3592" s="0" t="n">
        <v>16</v>
      </c>
      <c r="C3592" s="0" t="n">
        <v>8051</v>
      </c>
      <c r="E3592" s="0" t="n">
        <v>0</v>
      </c>
      <c r="F3592" s="46" t="s">
        <v>1644</v>
      </c>
      <c r="I3592" s="46" t="s">
        <v>179</v>
      </c>
      <c r="U3592" s="0" t="n">
        <v>57</v>
      </c>
      <c r="V3592" s="0" t="n">
        <v>0</v>
      </c>
      <c r="X3592" s="46" t="n">
        <f aca="false">IF(I3592="Male",0,1)</f>
        <v>1</v>
      </c>
      <c r="Y3592" s="46" t="n">
        <f aca="false">IF(OR(I3592="DNB",I3592="Dry DNB"),1,0)</f>
        <v>0</v>
      </c>
      <c r="Z3592" s="0" t="str">
        <f aca="false">IF(ISNUMBER(W3592),A3592-W3592,"")</f>
        <v/>
      </c>
      <c r="AA3592" s="46" t="n">
        <f aca="false">MATCH(A3592,DATAS,0)</f>
        <v>1</v>
      </c>
      <c r="AB3592" s="46" t="n">
        <f aca="false">IF(AND(E3592&gt;0,OR(AND(B3592&gt;=1,B3592&lt;=6),B3592=10)),1,0)</f>
        <v>0</v>
      </c>
      <c r="AC3592" s="46" t="n">
        <f aca="false">IF(AND(E3592&gt;0,B3592=10),1,0)</f>
        <v>0</v>
      </c>
      <c r="AD3592" s="0" t="str">
        <f aca="false">IF(AND(C3591=C3592,AA3591=AA3592-1),AB3591,"")</f>
        <v/>
      </c>
      <c r="AE3592" s="0" t="str">
        <f aca="false">IF(AND(C3591=C3592,AA3591=AA3592-1),AC3591,"")</f>
        <v/>
      </c>
      <c r="AF3592" s="0" t="str">
        <f aca="false">IF(AA3592=1,"",IF(AND(AB3592=1,AD3592&lt;&gt;1),1,0))</f>
        <v/>
      </c>
      <c r="AG3592" s="0" t="str">
        <f aca="false">IF(AA3592=1,"",IF(AND(AC3592=1,AE3592&lt;&gt;1),1,0))</f>
        <v/>
      </c>
      <c r="AH3592" s="51" t="str">
        <f aca="false">IF(AND(E3592&gt;0,AA3592&lt;1,NOT(AND(C3593=C3592,AA3593=AA3592+1))),INDEX(DATAS,AA3592+1),"")</f>
        <v/>
      </c>
      <c r="AI3592" s="51" t="str">
        <f aca="false">IF(AND(AC3592=1,AA3592&lt;1),IF(AND(C3593=C3592,AA3593=AA3592+1),IF(AC3593=1,"",INDEX(DATAS,AA3592+1)),INDEX(DATAS,AA3592+1)),"")</f>
        <v/>
      </c>
    </row>
    <row r="3593" customFormat="false" ht="15" hidden="false" customHeight="false" outlineLevel="0" collapsed="false">
      <c r="A3593" s="51" t="n">
        <v>46309</v>
      </c>
      <c r="B3593" s="0" t="n">
        <v>16</v>
      </c>
      <c r="C3593" s="0" t="n">
        <v>8054</v>
      </c>
      <c r="E3593" s="0" t="n">
        <v>0</v>
      </c>
      <c r="F3593" s="46" t="s">
        <v>1645</v>
      </c>
      <c r="I3593" s="46" t="s">
        <v>179</v>
      </c>
      <c r="U3593" s="0" t="n">
        <v>56</v>
      </c>
      <c r="V3593" s="0" t="n">
        <v>0</v>
      </c>
      <c r="X3593" s="46" t="n">
        <f aca="false">IF(I3593="Male",0,1)</f>
        <v>1</v>
      </c>
      <c r="Y3593" s="46" t="n">
        <f aca="false">IF(OR(I3593="DNB",I3593="Dry DNB"),1,0)</f>
        <v>0</v>
      </c>
      <c r="Z3593" s="0" t="str">
        <f aca="false">IF(ISNUMBER(W3593),A3593-W3593,"")</f>
        <v/>
      </c>
      <c r="AA3593" s="46" t="n">
        <f aca="false">MATCH(A3593,DATAS,0)</f>
        <v>1</v>
      </c>
      <c r="AB3593" s="46" t="n">
        <f aca="false">IF(AND(E3593&gt;0,OR(AND(B3593&gt;=1,B3593&lt;=6),B3593=10)),1,0)</f>
        <v>0</v>
      </c>
      <c r="AC3593" s="46" t="n">
        <f aca="false">IF(AND(E3593&gt;0,B3593=10),1,0)</f>
        <v>0</v>
      </c>
      <c r="AD3593" s="0" t="str">
        <f aca="false">IF(AND(C3592=C3593,AA3592=AA3593-1),AB3592,"")</f>
        <v/>
      </c>
      <c r="AE3593" s="0" t="str">
        <f aca="false">IF(AND(C3592=C3593,AA3592=AA3593-1),AC3592,"")</f>
        <v/>
      </c>
      <c r="AF3593" s="0" t="str">
        <f aca="false">IF(AA3593=1,"",IF(AND(AB3593=1,AD3593&lt;&gt;1),1,0))</f>
        <v/>
      </c>
      <c r="AG3593" s="0" t="str">
        <f aca="false">IF(AA3593=1,"",IF(AND(AC3593=1,AE3593&lt;&gt;1),1,0))</f>
        <v/>
      </c>
      <c r="AH3593" s="51" t="str">
        <f aca="false">IF(AND(E3593&gt;0,AA3593&lt;1,NOT(AND(C3594=C3593,AA3594=AA3593+1))),INDEX(DATAS,AA3593+1),"")</f>
        <v/>
      </c>
      <c r="AI3593" s="51" t="str">
        <f aca="false">IF(AND(AC3593=1,AA3593&lt;1),IF(AND(C3594=C3593,AA3594=AA3593+1),IF(AC3594=1,"",INDEX(DATAS,AA3593+1)),INDEX(DATAS,AA3593+1)),"")</f>
        <v/>
      </c>
    </row>
    <row r="3594" customFormat="false" ht="15" hidden="false" customHeight="false" outlineLevel="0" collapsed="false">
      <c r="A3594" s="51" t="n">
        <v>46309</v>
      </c>
      <c r="B3594" s="0" t="n">
        <v>16</v>
      </c>
      <c r="C3594" s="0" t="n">
        <v>8055</v>
      </c>
      <c r="E3594" s="0" t="n">
        <v>0</v>
      </c>
      <c r="F3594" s="46" t="s">
        <v>1646</v>
      </c>
      <c r="I3594" s="46" t="s">
        <v>179</v>
      </c>
      <c r="U3594" s="0" t="n">
        <v>55</v>
      </c>
      <c r="V3594" s="0" t="n">
        <v>0</v>
      </c>
      <c r="X3594" s="46" t="n">
        <f aca="false">IF(I3594="Male",0,1)</f>
        <v>1</v>
      </c>
      <c r="Y3594" s="46" t="n">
        <f aca="false">IF(OR(I3594="DNB",I3594="Dry DNB"),1,0)</f>
        <v>0</v>
      </c>
      <c r="Z3594" s="0" t="str">
        <f aca="false">IF(ISNUMBER(W3594),A3594-W3594,"")</f>
        <v/>
      </c>
      <c r="AA3594" s="46" t="n">
        <f aca="false">MATCH(A3594,DATAS,0)</f>
        <v>1</v>
      </c>
      <c r="AB3594" s="46" t="n">
        <f aca="false">IF(AND(E3594&gt;0,OR(AND(B3594&gt;=1,B3594&lt;=6),B3594=10)),1,0)</f>
        <v>0</v>
      </c>
      <c r="AC3594" s="46" t="n">
        <f aca="false">IF(AND(E3594&gt;0,B3594=10),1,0)</f>
        <v>0</v>
      </c>
      <c r="AD3594" s="0" t="str">
        <f aca="false">IF(AND(C3593=C3594,AA3593=AA3594-1),AB3593,"")</f>
        <v/>
      </c>
      <c r="AE3594" s="0" t="str">
        <f aca="false">IF(AND(C3593=C3594,AA3593=AA3594-1),AC3593,"")</f>
        <v/>
      </c>
      <c r="AF3594" s="0" t="str">
        <f aca="false">IF(AA3594=1,"",IF(AND(AB3594=1,AD3594&lt;&gt;1),1,0))</f>
        <v/>
      </c>
      <c r="AG3594" s="0" t="str">
        <f aca="false">IF(AA3594=1,"",IF(AND(AC3594=1,AE3594&lt;&gt;1),1,0))</f>
        <v/>
      </c>
      <c r="AH3594" s="51" t="str">
        <f aca="false">IF(AND(E3594&gt;0,AA3594&lt;1,NOT(AND(C3595=C3594,AA3595=AA3594+1))),INDEX(DATAS,AA3594+1),"")</f>
        <v/>
      </c>
      <c r="AI3594" s="51" t="str">
        <f aca="false">IF(AND(AC3594=1,AA3594&lt;1),IF(AND(C3595=C3594,AA3595=AA3594+1),IF(AC3595=1,"",INDEX(DATAS,AA3594+1)),INDEX(DATAS,AA3594+1)),"")</f>
        <v/>
      </c>
    </row>
    <row r="3595" customFormat="false" ht="15" hidden="false" customHeight="false" outlineLevel="0" collapsed="false">
      <c r="A3595" s="51" t="n">
        <v>46309</v>
      </c>
      <c r="B3595" s="0" t="n">
        <v>16</v>
      </c>
      <c r="C3595" s="0" t="n">
        <v>8056</v>
      </c>
      <c r="E3595" s="0" t="n">
        <v>0</v>
      </c>
      <c r="F3595" s="46" t="s">
        <v>1646</v>
      </c>
      <c r="I3595" s="46" t="s">
        <v>179</v>
      </c>
      <c r="U3595" s="0" t="n">
        <v>55</v>
      </c>
      <c r="V3595" s="0" t="n">
        <v>0</v>
      </c>
      <c r="X3595" s="46" t="n">
        <f aca="false">IF(I3595="Male",0,1)</f>
        <v>1</v>
      </c>
      <c r="Y3595" s="46" t="n">
        <f aca="false">IF(OR(I3595="DNB",I3595="Dry DNB"),1,0)</f>
        <v>0</v>
      </c>
      <c r="Z3595" s="0" t="str">
        <f aca="false">IF(ISNUMBER(W3595),A3595-W3595,"")</f>
        <v/>
      </c>
      <c r="AA3595" s="46" t="n">
        <f aca="false">MATCH(A3595,DATAS,0)</f>
        <v>1</v>
      </c>
      <c r="AB3595" s="46" t="n">
        <f aca="false">IF(AND(E3595&gt;0,OR(AND(B3595&gt;=1,B3595&lt;=6),B3595=10)),1,0)</f>
        <v>0</v>
      </c>
      <c r="AC3595" s="46" t="n">
        <f aca="false">IF(AND(E3595&gt;0,B3595=10),1,0)</f>
        <v>0</v>
      </c>
      <c r="AD3595" s="0" t="str">
        <f aca="false">IF(AND(C3594=C3595,AA3594=AA3595-1),AB3594,"")</f>
        <v/>
      </c>
      <c r="AE3595" s="0" t="str">
        <f aca="false">IF(AND(C3594=C3595,AA3594=AA3595-1),AC3594,"")</f>
        <v/>
      </c>
      <c r="AF3595" s="0" t="str">
        <f aca="false">IF(AA3595=1,"",IF(AND(AB3595=1,AD3595&lt;&gt;1),1,0))</f>
        <v/>
      </c>
      <c r="AG3595" s="0" t="str">
        <f aca="false">IF(AA3595=1,"",IF(AND(AC3595=1,AE3595&lt;&gt;1),1,0))</f>
        <v/>
      </c>
      <c r="AH3595" s="51" t="str">
        <f aca="false">IF(AND(E3595&gt;0,AA3595&lt;1,NOT(AND(C3596=C3595,AA3596=AA3595+1))),INDEX(DATAS,AA3595+1),"")</f>
        <v/>
      </c>
      <c r="AI3595" s="51" t="str">
        <f aca="false">IF(AND(AC3595=1,AA3595&lt;1),IF(AND(C3596=C3595,AA3596=AA3595+1),IF(AC3596=1,"",INDEX(DATAS,AA3595+1)),INDEX(DATAS,AA3595+1)),"")</f>
        <v/>
      </c>
    </row>
    <row r="3596" customFormat="false" ht="15" hidden="false" customHeight="false" outlineLevel="0" collapsed="false">
      <c r="A3596" s="51" t="n">
        <v>46309</v>
      </c>
      <c r="B3596" s="0" t="n">
        <v>16</v>
      </c>
      <c r="C3596" s="0" t="n">
        <v>8058</v>
      </c>
      <c r="E3596" s="0" t="n">
        <v>0</v>
      </c>
      <c r="F3596" s="46" t="s">
        <v>1647</v>
      </c>
      <c r="I3596" s="46" t="s">
        <v>179</v>
      </c>
      <c r="U3596" s="0" t="n">
        <v>54</v>
      </c>
      <c r="V3596" s="0" t="n">
        <v>0</v>
      </c>
      <c r="X3596" s="46" t="n">
        <f aca="false">IF(I3596="Male",0,1)</f>
        <v>1</v>
      </c>
      <c r="Y3596" s="46" t="n">
        <f aca="false">IF(OR(I3596="DNB",I3596="Dry DNB"),1,0)</f>
        <v>0</v>
      </c>
      <c r="Z3596" s="0" t="str">
        <f aca="false">IF(ISNUMBER(W3596),A3596-W3596,"")</f>
        <v/>
      </c>
      <c r="AA3596" s="46" t="n">
        <f aca="false">MATCH(A3596,DATAS,0)</f>
        <v>1</v>
      </c>
      <c r="AB3596" s="46" t="n">
        <f aca="false">IF(AND(E3596&gt;0,OR(AND(B3596&gt;=1,B3596&lt;=6),B3596=10)),1,0)</f>
        <v>0</v>
      </c>
      <c r="AC3596" s="46" t="n">
        <f aca="false">IF(AND(E3596&gt;0,B3596=10),1,0)</f>
        <v>0</v>
      </c>
      <c r="AD3596" s="0" t="str">
        <f aca="false">IF(AND(C3595=C3596,AA3595=AA3596-1),AB3595,"")</f>
        <v/>
      </c>
      <c r="AE3596" s="0" t="str">
        <f aca="false">IF(AND(C3595=C3596,AA3595=AA3596-1),AC3595,"")</f>
        <v/>
      </c>
      <c r="AF3596" s="0" t="str">
        <f aca="false">IF(AA3596=1,"",IF(AND(AB3596=1,AD3596&lt;&gt;1),1,0))</f>
        <v/>
      </c>
      <c r="AG3596" s="0" t="str">
        <f aca="false">IF(AA3596=1,"",IF(AND(AC3596=1,AE3596&lt;&gt;1),1,0))</f>
        <v/>
      </c>
      <c r="AH3596" s="51" t="str">
        <f aca="false">IF(AND(E3596&gt;0,AA3596&lt;1,NOT(AND(C3597=C3596,AA3597=AA3596+1))),INDEX(DATAS,AA3596+1),"")</f>
        <v/>
      </c>
      <c r="AI3596" s="51" t="str">
        <f aca="false">IF(AND(AC3596=1,AA3596&lt;1),IF(AND(C3597=C3596,AA3597=AA3596+1),IF(AC3597=1,"",INDEX(DATAS,AA3596+1)),INDEX(DATAS,AA3596+1)),"")</f>
        <v/>
      </c>
    </row>
    <row r="3597" customFormat="false" ht="15" hidden="false" customHeight="false" outlineLevel="0" collapsed="false">
      <c r="A3597" s="51" t="n">
        <v>46309</v>
      </c>
      <c r="B3597" s="0" t="n">
        <v>16</v>
      </c>
      <c r="C3597" s="0" t="n">
        <v>8060</v>
      </c>
      <c r="E3597" s="0" t="n">
        <v>0</v>
      </c>
      <c r="F3597" s="46" t="s">
        <v>1648</v>
      </c>
      <c r="I3597" s="46" t="s">
        <v>179</v>
      </c>
      <c r="U3597" s="0" t="n">
        <v>53</v>
      </c>
      <c r="V3597" s="0" t="n">
        <v>0</v>
      </c>
      <c r="X3597" s="46" t="n">
        <f aca="false">IF(I3597="Male",0,1)</f>
        <v>1</v>
      </c>
      <c r="Y3597" s="46" t="n">
        <f aca="false">IF(OR(I3597="DNB",I3597="Dry DNB"),1,0)</f>
        <v>0</v>
      </c>
      <c r="Z3597" s="0" t="str">
        <f aca="false">IF(ISNUMBER(W3597),A3597-W3597,"")</f>
        <v/>
      </c>
      <c r="AA3597" s="46" t="n">
        <f aca="false">MATCH(A3597,DATAS,0)</f>
        <v>1</v>
      </c>
      <c r="AB3597" s="46" t="n">
        <f aca="false">IF(AND(E3597&gt;0,OR(AND(B3597&gt;=1,B3597&lt;=6),B3597=10)),1,0)</f>
        <v>0</v>
      </c>
      <c r="AC3597" s="46" t="n">
        <f aca="false">IF(AND(E3597&gt;0,B3597=10),1,0)</f>
        <v>0</v>
      </c>
      <c r="AD3597" s="0" t="str">
        <f aca="false">IF(AND(C3596=C3597,AA3596=AA3597-1),AB3596,"")</f>
        <v/>
      </c>
      <c r="AE3597" s="0" t="str">
        <f aca="false">IF(AND(C3596=C3597,AA3596=AA3597-1),AC3596,"")</f>
        <v/>
      </c>
      <c r="AF3597" s="0" t="str">
        <f aca="false">IF(AA3597=1,"",IF(AND(AB3597=1,AD3597&lt;&gt;1),1,0))</f>
        <v/>
      </c>
      <c r="AG3597" s="0" t="str">
        <f aca="false">IF(AA3597=1,"",IF(AND(AC3597=1,AE3597&lt;&gt;1),1,0))</f>
        <v/>
      </c>
      <c r="AH3597" s="51" t="str">
        <f aca="false">IF(AND(E3597&gt;0,AA3597&lt;1,NOT(AND(C3598=C3597,AA3598=AA3597+1))),INDEX(DATAS,AA3597+1),"")</f>
        <v/>
      </c>
      <c r="AI3597" s="51" t="str">
        <f aca="false">IF(AND(AC3597=1,AA3597&lt;1),IF(AND(C3598=C3597,AA3598=AA3597+1),IF(AC3598=1,"",INDEX(DATAS,AA3597+1)),INDEX(DATAS,AA3597+1)),"")</f>
        <v/>
      </c>
    </row>
    <row r="3598" customFormat="false" ht="15" hidden="false" customHeight="false" outlineLevel="0" collapsed="false">
      <c r="A3598" s="51" t="n">
        <v>46309</v>
      </c>
      <c r="B3598" s="0" t="n">
        <v>16</v>
      </c>
      <c r="C3598" s="0" t="n">
        <v>8061</v>
      </c>
      <c r="E3598" s="0" t="n">
        <v>0</v>
      </c>
      <c r="F3598" s="46" t="s">
        <v>1648</v>
      </c>
      <c r="I3598" s="46" t="s">
        <v>179</v>
      </c>
      <c r="U3598" s="0" t="n">
        <v>53</v>
      </c>
      <c r="V3598" s="0" t="n">
        <v>0</v>
      </c>
      <c r="X3598" s="46" t="n">
        <f aca="false">IF(I3598="Male",0,1)</f>
        <v>1</v>
      </c>
      <c r="Y3598" s="46" t="n">
        <f aca="false">IF(OR(I3598="DNB",I3598="Dry DNB"),1,0)</f>
        <v>0</v>
      </c>
      <c r="Z3598" s="0" t="str">
        <f aca="false">IF(ISNUMBER(W3598),A3598-W3598,"")</f>
        <v/>
      </c>
      <c r="AA3598" s="46" t="n">
        <f aca="false">MATCH(A3598,DATAS,0)</f>
        <v>1</v>
      </c>
      <c r="AB3598" s="46" t="n">
        <f aca="false">IF(AND(E3598&gt;0,OR(AND(B3598&gt;=1,B3598&lt;=6),B3598=10)),1,0)</f>
        <v>0</v>
      </c>
      <c r="AC3598" s="46" t="n">
        <f aca="false">IF(AND(E3598&gt;0,B3598=10),1,0)</f>
        <v>0</v>
      </c>
      <c r="AD3598" s="0" t="str">
        <f aca="false">IF(AND(C3597=C3598,AA3597=AA3598-1),AB3597,"")</f>
        <v/>
      </c>
      <c r="AE3598" s="0" t="str">
        <f aca="false">IF(AND(C3597=C3598,AA3597=AA3598-1),AC3597,"")</f>
        <v/>
      </c>
      <c r="AF3598" s="0" t="str">
        <f aca="false">IF(AA3598=1,"",IF(AND(AB3598=1,AD3598&lt;&gt;1),1,0))</f>
        <v/>
      </c>
      <c r="AG3598" s="0" t="str">
        <f aca="false">IF(AA3598=1,"",IF(AND(AC3598=1,AE3598&lt;&gt;1),1,0))</f>
        <v/>
      </c>
      <c r="AH3598" s="51" t="str">
        <f aca="false">IF(AND(E3598&gt;0,AA3598&lt;1,NOT(AND(C3599=C3598,AA3599=AA3598+1))),INDEX(DATAS,AA3598+1),"")</f>
        <v/>
      </c>
      <c r="AI3598" s="51" t="str">
        <f aca="false">IF(AND(AC3598=1,AA3598&lt;1),IF(AND(C3599=C3598,AA3599=AA3598+1),IF(AC3599=1,"",INDEX(DATAS,AA3598+1)),INDEX(DATAS,AA3598+1)),"")</f>
        <v/>
      </c>
    </row>
    <row r="3599" customFormat="false" ht="15" hidden="false" customHeight="false" outlineLevel="0" collapsed="false">
      <c r="A3599" s="51" t="n">
        <v>46309</v>
      </c>
      <c r="B3599" s="0" t="n">
        <v>16</v>
      </c>
      <c r="C3599" s="0" t="n">
        <v>8062</v>
      </c>
      <c r="E3599" s="0" t="n">
        <v>0</v>
      </c>
      <c r="F3599" s="46" t="s">
        <v>1648</v>
      </c>
      <c r="I3599" s="46" t="s">
        <v>179</v>
      </c>
      <c r="U3599" s="0" t="n">
        <v>53</v>
      </c>
      <c r="V3599" s="0" t="n">
        <v>0</v>
      </c>
      <c r="X3599" s="46" t="n">
        <f aca="false">IF(I3599="Male",0,1)</f>
        <v>1</v>
      </c>
      <c r="Y3599" s="46" t="n">
        <f aca="false">IF(OR(I3599="DNB",I3599="Dry DNB"),1,0)</f>
        <v>0</v>
      </c>
      <c r="Z3599" s="0" t="str">
        <f aca="false">IF(ISNUMBER(W3599),A3599-W3599,"")</f>
        <v/>
      </c>
      <c r="AA3599" s="46" t="n">
        <f aca="false">MATCH(A3599,DATAS,0)</f>
        <v>1</v>
      </c>
      <c r="AB3599" s="46" t="n">
        <f aca="false">IF(AND(E3599&gt;0,OR(AND(B3599&gt;=1,B3599&lt;=6),B3599=10)),1,0)</f>
        <v>0</v>
      </c>
      <c r="AC3599" s="46" t="n">
        <f aca="false">IF(AND(E3599&gt;0,B3599=10),1,0)</f>
        <v>0</v>
      </c>
      <c r="AD3599" s="0" t="str">
        <f aca="false">IF(AND(C3598=C3599,AA3598=AA3599-1),AB3598,"")</f>
        <v/>
      </c>
      <c r="AE3599" s="0" t="str">
        <f aca="false">IF(AND(C3598=C3599,AA3598=AA3599-1),AC3598,"")</f>
        <v/>
      </c>
      <c r="AF3599" s="0" t="str">
        <f aca="false">IF(AA3599=1,"",IF(AND(AB3599=1,AD3599&lt;&gt;1),1,0))</f>
        <v/>
      </c>
      <c r="AG3599" s="0" t="str">
        <f aca="false">IF(AA3599=1,"",IF(AND(AC3599=1,AE3599&lt;&gt;1),1,0))</f>
        <v/>
      </c>
      <c r="AH3599" s="51" t="str">
        <f aca="false">IF(AND(E3599&gt;0,AA3599&lt;1,NOT(AND(C3600=C3599,AA3600=AA3599+1))),INDEX(DATAS,AA3599+1),"")</f>
        <v/>
      </c>
      <c r="AI3599" s="51" t="str">
        <f aca="false">IF(AND(AC3599=1,AA3599&lt;1),IF(AND(C3600=C3599,AA3600=AA3599+1),IF(AC3600=1,"",INDEX(DATAS,AA3599+1)),INDEX(DATAS,AA3599+1)),"")</f>
        <v/>
      </c>
    </row>
    <row r="3600" customFormat="false" ht="15" hidden="false" customHeight="false" outlineLevel="0" collapsed="false">
      <c r="A3600" s="51" t="n">
        <v>46309</v>
      </c>
      <c r="B3600" s="0" t="n">
        <v>16</v>
      </c>
      <c r="C3600" s="0" t="n">
        <v>8063</v>
      </c>
      <c r="E3600" s="0" t="n">
        <v>0</v>
      </c>
      <c r="F3600" s="46" t="s">
        <v>1648</v>
      </c>
      <c r="I3600" s="46" t="s">
        <v>179</v>
      </c>
      <c r="U3600" s="0" t="n">
        <v>53</v>
      </c>
      <c r="V3600" s="0" t="n">
        <v>0</v>
      </c>
      <c r="X3600" s="46" t="n">
        <f aca="false">IF(I3600="Male",0,1)</f>
        <v>1</v>
      </c>
      <c r="Y3600" s="46" t="n">
        <f aca="false">IF(OR(I3600="DNB",I3600="Dry DNB"),1,0)</f>
        <v>0</v>
      </c>
      <c r="Z3600" s="0" t="str">
        <f aca="false">IF(ISNUMBER(W3600),A3600-W3600,"")</f>
        <v/>
      </c>
      <c r="AA3600" s="46" t="n">
        <f aca="false">MATCH(A3600,DATAS,0)</f>
        <v>1</v>
      </c>
      <c r="AB3600" s="46" t="n">
        <f aca="false">IF(AND(E3600&gt;0,OR(AND(B3600&gt;=1,B3600&lt;=6),B3600=10)),1,0)</f>
        <v>0</v>
      </c>
      <c r="AC3600" s="46" t="n">
        <f aca="false">IF(AND(E3600&gt;0,B3600=10),1,0)</f>
        <v>0</v>
      </c>
      <c r="AD3600" s="0" t="str">
        <f aca="false">IF(AND(C3599=C3600,AA3599=AA3600-1),AB3599,"")</f>
        <v/>
      </c>
      <c r="AE3600" s="0" t="str">
        <f aca="false">IF(AND(C3599=C3600,AA3599=AA3600-1),AC3599,"")</f>
        <v/>
      </c>
      <c r="AF3600" s="0" t="str">
        <f aca="false">IF(AA3600=1,"",IF(AND(AB3600=1,AD3600&lt;&gt;1),1,0))</f>
        <v/>
      </c>
      <c r="AG3600" s="0" t="str">
        <f aca="false">IF(AA3600=1,"",IF(AND(AC3600=1,AE3600&lt;&gt;1),1,0))</f>
        <v/>
      </c>
      <c r="AH3600" s="51" t="str">
        <f aca="false">IF(AND(E3600&gt;0,AA3600&lt;1,NOT(AND(C3601=C3600,AA3601=AA3600+1))),INDEX(DATAS,AA3600+1),"")</f>
        <v/>
      </c>
      <c r="AI3600" s="51" t="str">
        <f aca="false">IF(AND(AC3600=1,AA3600&lt;1),IF(AND(C3601=C3600,AA3601=AA3600+1),IF(AC3601=1,"",INDEX(DATAS,AA3600+1)),INDEX(DATAS,AA3600+1)),"")</f>
        <v/>
      </c>
    </row>
    <row r="3601" customFormat="false" ht="15" hidden="false" customHeight="false" outlineLevel="0" collapsed="false">
      <c r="A3601" s="51" t="n">
        <v>46309</v>
      </c>
      <c r="B3601" s="0" t="n">
        <v>16</v>
      </c>
      <c r="C3601" s="0" t="n">
        <v>8064</v>
      </c>
      <c r="E3601" s="0" t="n">
        <v>0</v>
      </c>
      <c r="F3601" s="46" t="s">
        <v>1648</v>
      </c>
      <c r="I3601" s="46" t="s">
        <v>179</v>
      </c>
      <c r="U3601" s="0" t="n">
        <v>53</v>
      </c>
      <c r="V3601" s="0" t="n">
        <v>0</v>
      </c>
      <c r="X3601" s="46" t="n">
        <f aca="false">IF(I3601="Male",0,1)</f>
        <v>1</v>
      </c>
      <c r="Y3601" s="46" t="n">
        <f aca="false">IF(OR(I3601="DNB",I3601="Dry DNB"),1,0)</f>
        <v>0</v>
      </c>
      <c r="Z3601" s="0" t="str">
        <f aca="false">IF(ISNUMBER(W3601),A3601-W3601,"")</f>
        <v/>
      </c>
      <c r="AA3601" s="46" t="n">
        <f aca="false">MATCH(A3601,DATAS,0)</f>
        <v>1</v>
      </c>
      <c r="AB3601" s="46" t="n">
        <f aca="false">IF(AND(E3601&gt;0,OR(AND(B3601&gt;=1,B3601&lt;=6),B3601=10)),1,0)</f>
        <v>0</v>
      </c>
      <c r="AC3601" s="46" t="n">
        <f aca="false">IF(AND(E3601&gt;0,B3601=10),1,0)</f>
        <v>0</v>
      </c>
      <c r="AD3601" s="0" t="str">
        <f aca="false">IF(AND(C3600=C3601,AA3600=AA3601-1),AB3600,"")</f>
        <v/>
      </c>
      <c r="AE3601" s="0" t="str">
        <f aca="false">IF(AND(C3600=C3601,AA3600=AA3601-1),AC3600,"")</f>
        <v/>
      </c>
      <c r="AF3601" s="0" t="str">
        <f aca="false">IF(AA3601=1,"",IF(AND(AB3601=1,AD3601&lt;&gt;1),1,0))</f>
        <v/>
      </c>
      <c r="AG3601" s="0" t="str">
        <f aca="false">IF(AA3601=1,"",IF(AND(AC3601=1,AE3601&lt;&gt;1),1,0))</f>
        <v/>
      </c>
      <c r="AH3601" s="51" t="str">
        <f aca="false">IF(AND(E3601&gt;0,AA3601&lt;1,NOT(AND(C3602=C3601,AA3602=AA3601+1))),INDEX(DATAS,AA3601+1),"")</f>
        <v/>
      </c>
      <c r="AI3601" s="51" t="str">
        <f aca="false">IF(AND(AC3601=1,AA3601&lt;1),IF(AND(C3602=C3601,AA3602=AA3601+1),IF(AC3602=1,"",INDEX(DATAS,AA3601+1)),INDEX(DATAS,AA3601+1)),"")</f>
        <v/>
      </c>
    </row>
    <row r="3602" customFormat="false" ht="15" hidden="false" customHeight="false" outlineLevel="0" collapsed="false">
      <c r="A3602" s="51" t="n">
        <v>46309</v>
      </c>
      <c r="B3602" s="0" t="n">
        <v>16</v>
      </c>
      <c r="C3602" s="0" t="n">
        <v>8065</v>
      </c>
      <c r="E3602" s="0" t="n">
        <v>0</v>
      </c>
      <c r="F3602" s="46" t="s">
        <v>1648</v>
      </c>
      <c r="I3602" s="46" t="s">
        <v>179</v>
      </c>
      <c r="U3602" s="0" t="n">
        <v>53</v>
      </c>
      <c r="V3602" s="0" t="n">
        <v>0</v>
      </c>
      <c r="X3602" s="46" t="n">
        <f aca="false">IF(I3602="Male",0,1)</f>
        <v>1</v>
      </c>
      <c r="Y3602" s="46" t="n">
        <f aca="false">IF(OR(I3602="DNB",I3602="Dry DNB"),1,0)</f>
        <v>0</v>
      </c>
      <c r="Z3602" s="0" t="str">
        <f aca="false">IF(ISNUMBER(W3602),A3602-W3602,"")</f>
        <v/>
      </c>
      <c r="AA3602" s="46" t="n">
        <f aca="false">MATCH(A3602,DATAS,0)</f>
        <v>1</v>
      </c>
      <c r="AB3602" s="46" t="n">
        <f aca="false">IF(AND(E3602&gt;0,OR(AND(B3602&gt;=1,B3602&lt;=6),B3602=10)),1,0)</f>
        <v>0</v>
      </c>
      <c r="AC3602" s="46" t="n">
        <f aca="false">IF(AND(E3602&gt;0,B3602=10),1,0)</f>
        <v>0</v>
      </c>
      <c r="AD3602" s="0" t="str">
        <f aca="false">IF(AND(C3601=C3602,AA3601=AA3602-1),AB3601,"")</f>
        <v/>
      </c>
      <c r="AE3602" s="0" t="str">
        <f aca="false">IF(AND(C3601=C3602,AA3601=AA3602-1),AC3601,"")</f>
        <v/>
      </c>
      <c r="AF3602" s="0" t="str">
        <f aca="false">IF(AA3602=1,"",IF(AND(AB3602=1,AD3602&lt;&gt;1),1,0))</f>
        <v/>
      </c>
      <c r="AG3602" s="0" t="str">
        <f aca="false">IF(AA3602=1,"",IF(AND(AC3602=1,AE3602&lt;&gt;1),1,0))</f>
        <v/>
      </c>
      <c r="AH3602" s="51" t="str">
        <f aca="false">IF(AND(E3602&gt;0,AA3602&lt;1,NOT(AND(C3603=C3602,AA3603=AA3602+1))),INDEX(DATAS,AA3602+1),"")</f>
        <v/>
      </c>
      <c r="AI3602" s="51" t="str">
        <f aca="false">IF(AND(AC3602=1,AA3602&lt;1),IF(AND(C3603=C3602,AA3603=AA3602+1),IF(AC3603=1,"",INDEX(DATAS,AA3602+1)),INDEX(DATAS,AA3602+1)),"")</f>
        <v/>
      </c>
    </row>
    <row r="3603" customFormat="false" ht="15" hidden="false" customHeight="false" outlineLevel="0" collapsed="false">
      <c r="A3603" s="51" t="n">
        <v>46309</v>
      </c>
      <c r="B3603" s="0" t="n">
        <v>16</v>
      </c>
      <c r="C3603" s="0" t="n">
        <v>8066</v>
      </c>
      <c r="E3603" s="0" t="n">
        <v>0</v>
      </c>
      <c r="F3603" s="46" t="s">
        <v>1649</v>
      </c>
      <c r="I3603" s="46" t="s">
        <v>179</v>
      </c>
      <c r="U3603" s="0" t="n">
        <v>52</v>
      </c>
      <c r="V3603" s="0" t="n">
        <v>0</v>
      </c>
      <c r="X3603" s="46" t="n">
        <f aca="false">IF(I3603="Male",0,1)</f>
        <v>1</v>
      </c>
      <c r="Y3603" s="46" t="n">
        <f aca="false">IF(OR(I3603="DNB",I3603="Dry DNB"),1,0)</f>
        <v>0</v>
      </c>
      <c r="Z3603" s="0" t="str">
        <f aca="false">IF(ISNUMBER(W3603),A3603-W3603,"")</f>
        <v/>
      </c>
      <c r="AA3603" s="46" t="n">
        <f aca="false">MATCH(A3603,DATAS,0)</f>
        <v>1</v>
      </c>
      <c r="AB3603" s="46" t="n">
        <f aca="false">IF(AND(E3603&gt;0,OR(AND(B3603&gt;=1,B3603&lt;=6),B3603=10)),1,0)</f>
        <v>0</v>
      </c>
      <c r="AC3603" s="46" t="n">
        <f aca="false">IF(AND(E3603&gt;0,B3603=10),1,0)</f>
        <v>0</v>
      </c>
      <c r="AD3603" s="0" t="str">
        <f aca="false">IF(AND(C3602=C3603,AA3602=AA3603-1),AB3602,"")</f>
        <v/>
      </c>
      <c r="AE3603" s="0" t="str">
        <f aca="false">IF(AND(C3602=C3603,AA3602=AA3603-1),AC3602,"")</f>
        <v/>
      </c>
      <c r="AF3603" s="0" t="str">
        <f aca="false">IF(AA3603=1,"",IF(AND(AB3603=1,AD3603&lt;&gt;1),1,0))</f>
        <v/>
      </c>
      <c r="AG3603" s="0" t="str">
        <f aca="false">IF(AA3603=1,"",IF(AND(AC3603=1,AE3603&lt;&gt;1),1,0))</f>
        <v/>
      </c>
      <c r="AH3603" s="51" t="str">
        <f aca="false">IF(AND(E3603&gt;0,AA3603&lt;1,NOT(AND(C3604=C3603,AA3604=AA3603+1))),INDEX(DATAS,AA3603+1),"")</f>
        <v/>
      </c>
      <c r="AI3603" s="51" t="str">
        <f aca="false">IF(AND(AC3603=1,AA3603&lt;1),IF(AND(C3604=C3603,AA3604=AA3603+1),IF(AC3604=1,"",INDEX(DATAS,AA3603+1)),INDEX(DATAS,AA3603+1)),"")</f>
        <v/>
      </c>
    </row>
    <row r="3604" customFormat="false" ht="15" hidden="false" customHeight="false" outlineLevel="0" collapsed="false">
      <c r="A3604" s="51" t="n">
        <v>46309</v>
      </c>
      <c r="B3604" s="0" t="n">
        <v>16</v>
      </c>
      <c r="C3604" s="0" t="n">
        <v>8067</v>
      </c>
      <c r="E3604" s="0" t="n">
        <v>0</v>
      </c>
      <c r="F3604" s="46" t="s">
        <v>1650</v>
      </c>
      <c r="I3604" s="46" t="s">
        <v>179</v>
      </c>
      <c r="U3604" s="0" t="n">
        <v>51</v>
      </c>
      <c r="V3604" s="0" t="n">
        <v>0</v>
      </c>
      <c r="X3604" s="46" t="n">
        <f aca="false">IF(I3604="Male",0,1)</f>
        <v>1</v>
      </c>
      <c r="Y3604" s="46" t="n">
        <f aca="false">IF(OR(I3604="DNB",I3604="Dry DNB"),1,0)</f>
        <v>0</v>
      </c>
      <c r="Z3604" s="0" t="str">
        <f aca="false">IF(ISNUMBER(W3604),A3604-W3604,"")</f>
        <v/>
      </c>
      <c r="AA3604" s="46" t="n">
        <f aca="false">MATCH(A3604,DATAS,0)</f>
        <v>1</v>
      </c>
      <c r="AB3604" s="46" t="n">
        <f aca="false">IF(AND(E3604&gt;0,OR(AND(B3604&gt;=1,B3604&lt;=6),B3604=10)),1,0)</f>
        <v>0</v>
      </c>
      <c r="AC3604" s="46" t="n">
        <f aca="false">IF(AND(E3604&gt;0,B3604=10),1,0)</f>
        <v>0</v>
      </c>
      <c r="AD3604" s="0" t="str">
        <f aca="false">IF(AND(C3603=C3604,AA3603=AA3604-1),AB3603,"")</f>
        <v/>
      </c>
      <c r="AE3604" s="0" t="str">
        <f aca="false">IF(AND(C3603=C3604,AA3603=AA3604-1),AC3603,"")</f>
        <v/>
      </c>
      <c r="AF3604" s="0" t="str">
        <f aca="false">IF(AA3604=1,"",IF(AND(AB3604=1,AD3604&lt;&gt;1),1,0))</f>
        <v/>
      </c>
      <c r="AG3604" s="0" t="str">
        <f aca="false">IF(AA3604=1,"",IF(AND(AC3604=1,AE3604&lt;&gt;1),1,0))</f>
        <v/>
      </c>
      <c r="AH3604" s="51" t="str">
        <f aca="false">IF(AND(E3604&gt;0,AA3604&lt;1,NOT(AND(C3605=C3604,AA3605=AA3604+1))),INDEX(DATAS,AA3604+1),"")</f>
        <v/>
      </c>
      <c r="AI3604" s="51" t="str">
        <f aca="false">IF(AND(AC3604=1,AA3604&lt;1),IF(AND(C3605=C3604,AA3605=AA3604+1),IF(AC3605=1,"",INDEX(DATAS,AA3604+1)),INDEX(DATAS,AA3604+1)),"")</f>
        <v/>
      </c>
    </row>
    <row r="3605" customFormat="false" ht="15" hidden="false" customHeight="false" outlineLevel="0" collapsed="false">
      <c r="A3605" s="51" t="n">
        <v>46309</v>
      </c>
      <c r="B3605" s="0" t="n">
        <v>16</v>
      </c>
      <c r="C3605" s="0" t="n">
        <v>8068</v>
      </c>
      <c r="E3605" s="0" t="n">
        <v>0</v>
      </c>
      <c r="F3605" s="46" t="s">
        <v>1650</v>
      </c>
      <c r="I3605" s="46" t="s">
        <v>179</v>
      </c>
      <c r="U3605" s="0" t="n">
        <v>51</v>
      </c>
      <c r="V3605" s="0" t="n">
        <v>0</v>
      </c>
      <c r="X3605" s="46" t="n">
        <f aca="false">IF(I3605="Male",0,1)</f>
        <v>1</v>
      </c>
      <c r="Y3605" s="46" t="n">
        <f aca="false">IF(OR(I3605="DNB",I3605="Dry DNB"),1,0)</f>
        <v>0</v>
      </c>
      <c r="Z3605" s="0" t="str">
        <f aca="false">IF(ISNUMBER(W3605),A3605-W3605,"")</f>
        <v/>
      </c>
      <c r="AA3605" s="46" t="n">
        <f aca="false">MATCH(A3605,DATAS,0)</f>
        <v>1</v>
      </c>
      <c r="AB3605" s="46" t="n">
        <f aca="false">IF(AND(E3605&gt;0,OR(AND(B3605&gt;=1,B3605&lt;=6),B3605=10)),1,0)</f>
        <v>0</v>
      </c>
      <c r="AC3605" s="46" t="n">
        <f aca="false">IF(AND(E3605&gt;0,B3605=10),1,0)</f>
        <v>0</v>
      </c>
      <c r="AD3605" s="0" t="str">
        <f aca="false">IF(AND(C3604=C3605,AA3604=AA3605-1),AB3604,"")</f>
        <v/>
      </c>
      <c r="AE3605" s="0" t="str">
        <f aca="false">IF(AND(C3604=C3605,AA3604=AA3605-1),AC3604,"")</f>
        <v/>
      </c>
      <c r="AF3605" s="0" t="str">
        <f aca="false">IF(AA3605=1,"",IF(AND(AB3605=1,AD3605&lt;&gt;1),1,0))</f>
        <v/>
      </c>
      <c r="AG3605" s="0" t="str">
        <f aca="false">IF(AA3605=1,"",IF(AND(AC3605=1,AE3605&lt;&gt;1),1,0))</f>
        <v/>
      </c>
      <c r="AH3605" s="51" t="str">
        <f aca="false">IF(AND(E3605&gt;0,AA3605&lt;1,NOT(AND(C3606=C3605,AA3606=AA3605+1))),INDEX(DATAS,AA3605+1),"")</f>
        <v/>
      </c>
      <c r="AI3605" s="51" t="str">
        <f aca="false">IF(AND(AC3605=1,AA3605&lt;1),IF(AND(C3606=C3605,AA3606=AA3605+1),IF(AC3606=1,"",INDEX(DATAS,AA3605+1)),INDEX(DATAS,AA3605+1)),"")</f>
        <v/>
      </c>
    </row>
    <row r="3606" customFormat="false" ht="15" hidden="false" customHeight="false" outlineLevel="0" collapsed="false">
      <c r="A3606" s="51" t="n">
        <v>46309</v>
      </c>
      <c r="B3606" s="0" t="n">
        <v>16</v>
      </c>
      <c r="C3606" s="0" t="n">
        <v>8069</v>
      </c>
      <c r="E3606" s="0" t="n">
        <v>0</v>
      </c>
      <c r="F3606" s="46" t="s">
        <v>1644</v>
      </c>
      <c r="I3606" s="46" t="s">
        <v>179</v>
      </c>
      <c r="U3606" s="0" t="n">
        <v>57</v>
      </c>
      <c r="V3606" s="0" t="n">
        <v>0</v>
      </c>
      <c r="X3606" s="46" t="n">
        <f aca="false">IF(I3606="Male",0,1)</f>
        <v>1</v>
      </c>
      <c r="Y3606" s="46" t="n">
        <f aca="false">IF(OR(I3606="DNB",I3606="Dry DNB"),1,0)</f>
        <v>0</v>
      </c>
      <c r="Z3606" s="0" t="str">
        <f aca="false">IF(ISNUMBER(W3606),A3606-W3606,"")</f>
        <v/>
      </c>
      <c r="AA3606" s="46" t="n">
        <f aca="false">MATCH(A3606,DATAS,0)</f>
        <v>1</v>
      </c>
      <c r="AB3606" s="46" t="n">
        <f aca="false">IF(AND(E3606&gt;0,OR(AND(B3606&gt;=1,B3606&lt;=6),B3606=10)),1,0)</f>
        <v>0</v>
      </c>
      <c r="AC3606" s="46" t="n">
        <f aca="false">IF(AND(E3606&gt;0,B3606=10),1,0)</f>
        <v>0</v>
      </c>
      <c r="AD3606" s="0" t="str">
        <f aca="false">IF(AND(C3605=C3606,AA3605=AA3606-1),AB3605,"")</f>
        <v/>
      </c>
      <c r="AE3606" s="0" t="str">
        <f aca="false">IF(AND(C3605=C3606,AA3605=AA3606-1),AC3605,"")</f>
        <v/>
      </c>
      <c r="AF3606" s="0" t="str">
        <f aca="false">IF(AA3606=1,"",IF(AND(AB3606=1,AD3606&lt;&gt;1),1,0))</f>
        <v/>
      </c>
      <c r="AG3606" s="0" t="str">
        <f aca="false">IF(AA3606=1,"",IF(AND(AC3606=1,AE3606&lt;&gt;1),1,0))</f>
        <v/>
      </c>
      <c r="AH3606" s="51" t="str">
        <f aca="false">IF(AND(E3606&gt;0,AA3606&lt;1,NOT(AND(C3607=C3606,AA3607=AA3606+1))),INDEX(DATAS,AA3606+1),"")</f>
        <v/>
      </c>
      <c r="AI3606" s="51" t="str">
        <f aca="false">IF(AND(AC3606=1,AA3606&lt;1),IF(AND(C3607=C3606,AA3607=AA3606+1),IF(AC3607=1,"",INDEX(DATAS,AA3606+1)),INDEX(DATAS,AA3606+1)),"")</f>
        <v/>
      </c>
    </row>
    <row r="3607" customFormat="false" ht="15" hidden="false" customHeight="false" outlineLevel="0" collapsed="false">
      <c r="A3607" s="51" t="n">
        <v>46309</v>
      </c>
      <c r="B3607" s="0" t="n">
        <v>16</v>
      </c>
      <c r="C3607" s="0" t="n">
        <v>8070</v>
      </c>
      <c r="E3607" s="0" t="n">
        <v>0</v>
      </c>
      <c r="F3607" s="46" t="s">
        <v>1650</v>
      </c>
      <c r="I3607" s="46" t="s">
        <v>179</v>
      </c>
      <c r="U3607" s="0" t="n">
        <v>51</v>
      </c>
      <c r="V3607" s="0" t="n">
        <v>0</v>
      </c>
      <c r="X3607" s="46" t="n">
        <f aca="false">IF(I3607="Male",0,1)</f>
        <v>1</v>
      </c>
      <c r="Y3607" s="46" t="n">
        <f aca="false">IF(OR(I3607="DNB",I3607="Dry DNB"),1,0)</f>
        <v>0</v>
      </c>
      <c r="Z3607" s="0" t="str">
        <f aca="false">IF(ISNUMBER(W3607),A3607-W3607,"")</f>
        <v/>
      </c>
      <c r="AA3607" s="46" t="n">
        <f aca="false">MATCH(A3607,DATAS,0)</f>
        <v>1</v>
      </c>
      <c r="AB3607" s="46" t="n">
        <f aca="false">IF(AND(E3607&gt;0,OR(AND(B3607&gt;=1,B3607&lt;=6),B3607=10)),1,0)</f>
        <v>0</v>
      </c>
      <c r="AC3607" s="46" t="n">
        <f aca="false">IF(AND(E3607&gt;0,B3607=10),1,0)</f>
        <v>0</v>
      </c>
      <c r="AD3607" s="0" t="str">
        <f aca="false">IF(AND(C3606=C3607,AA3606=AA3607-1),AB3606,"")</f>
        <v/>
      </c>
      <c r="AE3607" s="0" t="str">
        <f aca="false">IF(AND(C3606=C3607,AA3606=AA3607-1),AC3606,"")</f>
        <v/>
      </c>
      <c r="AF3607" s="0" t="str">
        <f aca="false">IF(AA3607=1,"",IF(AND(AB3607=1,AD3607&lt;&gt;1),1,0))</f>
        <v/>
      </c>
      <c r="AG3607" s="0" t="str">
        <f aca="false">IF(AA3607=1,"",IF(AND(AC3607=1,AE3607&lt;&gt;1),1,0))</f>
        <v/>
      </c>
      <c r="AH3607" s="51" t="str">
        <f aca="false">IF(AND(E3607&gt;0,AA3607&lt;1,NOT(AND(C3608=C3607,AA3608=AA3607+1))),INDEX(DATAS,AA3607+1),"")</f>
        <v/>
      </c>
      <c r="AI3607" s="51" t="str">
        <f aca="false">IF(AND(AC3607=1,AA3607&lt;1),IF(AND(C3608=C3607,AA3608=AA3607+1),IF(AC3608=1,"",INDEX(DATAS,AA3607+1)),INDEX(DATAS,AA3607+1)),"")</f>
        <v/>
      </c>
    </row>
    <row r="3608" customFormat="false" ht="15" hidden="false" customHeight="false" outlineLevel="0" collapsed="false">
      <c r="A3608" s="51" t="n">
        <v>46309</v>
      </c>
      <c r="B3608" s="0" t="n">
        <v>16</v>
      </c>
      <c r="C3608" s="0" t="n">
        <v>8071</v>
      </c>
      <c r="E3608" s="0" t="n">
        <v>0</v>
      </c>
      <c r="F3608" s="46" t="s">
        <v>1650</v>
      </c>
      <c r="I3608" s="46" t="s">
        <v>179</v>
      </c>
      <c r="U3608" s="0" t="n">
        <v>51</v>
      </c>
      <c r="V3608" s="0" t="n">
        <v>0</v>
      </c>
      <c r="X3608" s="46" t="n">
        <f aca="false">IF(I3608="Male",0,1)</f>
        <v>1</v>
      </c>
      <c r="Y3608" s="46" t="n">
        <f aca="false">IF(OR(I3608="DNB",I3608="Dry DNB"),1,0)</f>
        <v>0</v>
      </c>
      <c r="Z3608" s="0" t="str">
        <f aca="false">IF(ISNUMBER(W3608),A3608-W3608,"")</f>
        <v/>
      </c>
      <c r="AA3608" s="46" t="n">
        <f aca="false">MATCH(A3608,DATAS,0)</f>
        <v>1</v>
      </c>
      <c r="AB3608" s="46" t="n">
        <f aca="false">IF(AND(E3608&gt;0,OR(AND(B3608&gt;=1,B3608&lt;=6),B3608=10)),1,0)</f>
        <v>0</v>
      </c>
      <c r="AC3608" s="46" t="n">
        <f aca="false">IF(AND(E3608&gt;0,B3608=10),1,0)</f>
        <v>0</v>
      </c>
      <c r="AD3608" s="0" t="str">
        <f aca="false">IF(AND(C3607=C3608,AA3607=AA3608-1),AB3607,"")</f>
        <v/>
      </c>
      <c r="AE3608" s="0" t="str">
        <f aca="false">IF(AND(C3607=C3608,AA3607=AA3608-1),AC3607,"")</f>
        <v/>
      </c>
      <c r="AF3608" s="0" t="str">
        <f aca="false">IF(AA3608=1,"",IF(AND(AB3608=1,AD3608&lt;&gt;1),1,0))</f>
        <v/>
      </c>
      <c r="AG3608" s="0" t="str">
        <f aca="false">IF(AA3608=1,"",IF(AND(AC3608=1,AE3608&lt;&gt;1),1,0))</f>
        <v/>
      </c>
      <c r="AH3608" s="51" t="str">
        <f aca="false">IF(AND(E3608&gt;0,AA3608&lt;1,NOT(AND(C3609=C3608,AA3609=AA3608+1))),INDEX(DATAS,AA3608+1),"")</f>
        <v/>
      </c>
      <c r="AI3608" s="51" t="str">
        <f aca="false">IF(AND(AC3608=1,AA3608&lt;1),IF(AND(C3609=C3608,AA3609=AA3608+1),IF(AC3609=1,"",INDEX(DATAS,AA3608+1)),INDEX(DATAS,AA3608+1)),"")</f>
        <v/>
      </c>
    </row>
    <row r="3609" customFormat="false" ht="15" hidden="false" customHeight="false" outlineLevel="0" collapsed="false">
      <c r="A3609" s="51" t="n">
        <v>46309</v>
      </c>
      <c r="B3609" s="0" t="n">
        <v>16</v>
      </c>
      <c r="C3609" s="0" t="n">
        <v>8072</v>
      </c>
      <c r="E3609" s="0" t="n">
        <v>0</v>
      </c>
      <c r="F3609" s="46" t="s">
        <v>1650</v>
      </c>
      <c r="I3609" s="46" t="s">
        <v>179</v>
      </c>
      <c r="U3609" s="0" t="n">
        <v>51</v>
      </c>
      <c r="V3609" s="0" t="n">
        <v>0</v>
      </c>
      <c r="X3609" s="46" t="n">
        <f aca="false">IF(I3609="Male",0,1)</f>
        <v>1</v>
      </c>
      <c r="Y3609" s="46" t="n">
        <f aca="false">IF(OR(I3609="DNB",I3609="Dry DNB"),1,0)</f>
        <v>0</v>
      </c>
      <c r="Z3609" s="0" t="str">
        <f aca="false">IF(ISNUMBER(W3609),A3609-W3609,"")</f>
        <v/>
      </c>
      <c r="AA3609" s="46" t="n">
        <f aca="false">MATCH(A3609,DATAS,0)</f>
        <v>1</v>
      </c>
      <c r="AB3609" s="46" t="n">
        <f aca="false">IF(AND(E3609&gt;0,OR(AND(B3609&gt;=1,B3609&lt;=6),B3609=10)),1,0)</f>
        <v>0</v>
      </c>
      <c r="AC3609" s="46" t="n">
        <f aca="false">IF(AND(E3609&gt;0,B3609=10),1,0)</f>
        <v>0</v>
      </c>
      <c r="AD3609" s="0" t="str">
        <f aca="false">IF(AND(C3608=C3609,AA3608=AA3609-1),AB3608,"")</f>
        <v/>
      </c>
      <c r="AE3609" s="0" t="str">
        <f aca="false">IF(AND(C3608=C3609,AA3608=AA3609-1),AC3608,"")</f>
        <v/>
      </c>
      <c r="AF3609" s="0" t="str">
        <f aca="false">IF(AA3609=1,"",IF(AND(AB3609=1,AD3609&lt;&gt;1),1,0))</f>
        <v/>
      </c>
      <c r="AG3609" s="0" t="str">
        <f aca="false">IF(AA3609=1,"",IF(AND(AC3609=1,AE3609&lt;&gt;1),1,0))</f>
        <v/>
      </c>
      <c r="AH3609" s="51" t="str">
        <f aca="false">IF(AND(E3609&gt;0,AA3609&lt;1,NOT(AND(C3610=C3609,AA3610=AA3609+1))),INDEX(DATAS,AA3609+1),"")</f>
        <v/>
      </c>
      <c r="AI3609" s="51" t="str">
        <f aca="false">IF(AND(AC3609=1,AA3609&lt;1),IF(AND(C3610=C3609,AA3610=AA3609+1),IF(AC3610=1,"",INDEX(DATAS,AA3609+1)),INDEX(DATAS,AA3609+1)),"")</f>
        <v/>
      </c>
    </row>
    <row r="3610" customFormat="false" ht="15" hidden="false" customHeight="false" outlineLevel="0" collapsed="false">
      <c r="A3610" s="51" t="n">
        <v>46309</v>
      </c>
      <c r="B3610" s="0" t="n">
        <v>16</v>
      </c>
      <c r="C3610" s="0" t="n">
        <v>8073</v>
      </c>
      <c r="E3610" s="0" t="n">
        <v>0</v>
      </c>
      <c r="F3610" s="46" t="s">
        <v>1650</v>
      </c>
      <c r="I3610" s="46" t="s">
        <v>179</v>
      </c>
      <c r="U3610" s="0" t="n">
        <v>51</v>
      </c>
      <c r="V3610" s="0" t="n">
        <v>0</v>
      </c>
      <c r="X3610" s="46" t="n">
        <f aca="false">IF(I3610="Male",0,1)</f>
        <v>1</v>
      </c>
      <c r="Y3610" s="46" t="n">
        <f aca="false">IF(OR(I3610="DNB",I3610="Dry DNB"),1,0)</f>
        <v>0</v>
      </c>
      <c r="Z3610" s="0" t="str">
        <f aca="false">IF(ISNUMBER(W3610),A3610-W3610,"")</f>
        <v/>
      </c>
      <c r="AA3610" s="46" t="n">
        <f aca="false">MATCH(A3610,DATAS,0)</f>
        <v>1</v>
      </c>
      <c r="AB3610" s="46" t="n">
        <f aca="false">IF(AND(E3610&gt;0,OR(AND(B3610&gt;=1,B3610&lt;=6),B3610=10)),1,0)</f>
        <v>0</v>
      </c>
      <c r="AC3610" s="46" t="n">
        <f aca="false">IF(AND(E3610&gt;0,B3610=10),1,0)</f>
        <v>0</v>
      </c>
      <c r="AD3610" s="0" t="str">
        <f aca="false">IF(AND(C3609=C3610,AA3609=AA3610-1),AB3609,"")</f>
        <v/>
      </c>
      <c r="AE3610" s="0" t="str">
        <f aca="false">IF(AND(C3609=C3610,AA3609=AA3610-1),AC3609,"")</f>
        <v/>
      </c>
      <c r="AF3610" s="0" t="str">
        <f aca="false">IF(AA3610=1,"",IF(AND(AB3610=1,AD3610&lt;&gt;1),1,0))</f>
        <v/>
      </c>
      <c r="AG3610" s="0" t="str">
        <f aca="false">IF(AA3610=1,"",IF(AND(AC3610=1,AE3610&lt;&gt;1),1,0))</f>
        <v/>
      </c>
      <c r="AH3610" s="51" t="str">
        <f aca="false">IF(AND(E3610&gt;0,AA3610&lt;1,NOT(AND(C3611=C3610,AA3611=AA3610+1))),INDEX(DATAS,AA3610+1),"")</f>
        <v/>
      </c>
      <c r="AI3610" s="51" t="str">
        <f aca="false">IF(AND(AC3610=1,AA3610&lt;1),IF(AND(C3611=C3610,AA3611=AA3610+1),IF(AC3611=1,"",INDEX(DATAS,AA3610+1)),INDEX(DATAS,AA3610+1)),"")</f>
        <v/>
      </c>
    </row>
    <row r="3611" customFormat="false" ht="15" hidden="false" customHeight="false" outlineLevel="0" collapsed="false">
      <c r="A3611" s="51" t="n">
        <v>46309</v>
      </c>
      <c r="B3611" s="0" t="n">
        <v>16</v>
      </c>
      <c r="C3611" s="0" t="n">
        <v>8074</v>
      </c>
      <c r="E3611" s="0" t="n">
        <v>0</v>
      </c>
      <c r="F3611" s="46" t="s">
        <v>1651</v>
      </c>
      <c r="I3611" s="46" t="s">
        <v>179</v>
      </c>
      <c r="U3611" s="0" t="n">
        <v>50</v>
      </c>
      <c r="V3611" s="0" t="n">
        <v>0</v>
      </c>
      <c r="X3611" s="46" t="n">
        <f aca="false">IF(I3611="Male",0,1)</f>
        <v>1</v>
      </c>
      <c r="Y3611" s="46" t="n">
        <f aca="false">IF(OR(I3611="DNB",I3611="Dry DNB"),1,0)</f>
        <v>0</v>
      </c>
      <c r="Z3611" s="0" t="str">
        <f aca="false">IF(ISNUMBER(W3611),A3611-W3611,"")</f>
        <v/>
      </c>
      <c r="AA3611" s="46" t="n">
        <f aca="false">MATCH(A3611,DATAS,0)</f>
        <v>1</v>
      </c>
      <c r="AB3611" s="46" t="n">
        <f aca="false">IF(AND(E3611&gt;0,OR(AND(B3611&gt;=1,B3611&lt;=6),B3611=10)),1,0)</f>
        <v>0</v>
      </c>
      <c r="AC3611" s="46" t="n">
        <f aca="false">IF(AND(E3611&gt;0,B3611=10),1,0)</f>
        <v>0</v>
      </c>
      <c r="AD3611" s="0" t="str">
        <f aca="false">IF(AND(C3610=C3611,AA3610=AA3611-1),AB3610,"")</f>
        <v/>
      </c>
      <c r="AE3611" s="0" t="str">
        <f aca="false">IF(AND(C3610=C3611,AA3610=AA3611-1),AC3610,"")</f>
        <v/>
      </c>
      <c r="AF3611" s="0" t="str">
        <f aca="false">IF(AA3611=1,"",IF(AND(AB3611=1,AD3611&lt;&gt;1),1,0))</f>
        <v/>
      </c>
      <c r="AG3611" s="0" t="str">
        <f aca="false">IF(AA3611=1,"",IF(AND(AC3611=1,AE3611&lt;&gt;1),1,0))</f>
        <v/>
      </c>
      <c r="AH3611" s="51" t="str">
        <f aca="false">IF(AND(E3611&gt;0,AA3611&lt;1,NOT(AND(C3612=C3611,AA3612=AA3611+1))),INDEX(DATAS,AA3611+1),"")</f>
        <v/>
      </c>
      <c r="AI3611" s="51" t="str">
        <f aca="false">IF(AND(AC3611=1,AA3611&lt;1),IF(AND(C3612=C3611,AA3612=AA3611+1),IF(AC3612=1,"",INDEX(DATAS,AA3611+1)),INDEX(DATAS,AA3611+1)),"")</f>
        <v/>
      </c>
    </row>
    <row r="3612" customFormat="false" ht="15" hidden="false" customHeight="false" outlineLevel="0" collapsed="false">
      <c r="A3612" s="51" t="n">
        <v>46309</v>
      </c>
      <c r="B3612" s="0" t="n">
        <v>16</v>
      </c>
      <c r="C3612" s="0" t="n">
        <v>8076</v>
      </c>
      <c r="E3612" s="0" t="n">
        <v>0</v>
      </c>
      <c r="F3612" s="46" t="s">
        <v>1651</v>
      </c>
      <c r="I3612" s="46" t="s">
        <v>179</v>
      </c>
      <c r="U3612" s="0" t="n">
        <v>50</v>
      </c>
      <c r="V3612" s="0" t="n">
        <v>0</v>
      </c>
      <c r="X3612" s="46" t="n">
        <f aca="false">IF(I3612="Male",0,1)</f>
        <v>1</v>
      </c>
      <c r="Y3612" s="46" t="n">
        <f aca="false">IF(OR(I3612="DNB",I3612="Dry DNB"),1,0)</f>
        <v>0</v>
      </c>
      <c r="Z3612" s="0" t="str">
        <f aca="false">IF(ISNUMBER(W3612),A3612-W3612,"")</f>
        <v/>
      </c>
      <c r="AA3612" s="46" t="n">
        <f aca="false">MATCH(A3612,DATAS,0)</f>
        <v>1</v>
      </c>
      <c r="AB3612" s="46" t="n">
        <f aca="false">IF(AND(E3612&gt;0,OR(AND(B3612&gt;=1,B3612&lt;=6),B3612=10)),1,0)</f>
        <v>0</v>
      </c>
      <c r="AC3612" s="46" t="n">
        <f aca="false">IF(AND(E3612&gt;0,B3612=10),1,0)</f>
        <v>0</v>
      </c>
      <c r="AD3612" s="0" t="str">
        <f aca="false">IF(AND(C3611=C3612,AA3611=AA3612-1),AB3611,"")</f>
        <v/>
      </c>
      <c r="AE3612" s="0" t="str">
        <f aca="false">IF(AND(C3611=C3612,AA3611=AA3612-1),AC3611,"")</f>
        <v/>
      </c>
      <c r="AF3612" s="0" t="str">
        <f aca="false">IF(AA3612=1,"",IF(AND(AB3612=1,AD3612&lt;&gt;1),1,0))</f>
        <v/>
      </c>
      <c r="AG3612" s="0" t="str">
        <f aca="false">IF(AA3612=1,"",IF(AND(AC3612=1,AE3612&lt;&gt;1),1,0))</f>
        <v/>
      </c>
      <c r="AH3612" s="51" t="str">
        <f aca="false">IF(AND(E3612&gt;0,AA3612&lt;1,NOT(AND(C3613=C3612,AA3613=AA3612+1))),INDEX(DATAS,AA3612+1),"")</f>
        <v/>
      </c>
      <c r="AI3612" s="51" t="str">
        <f aca="false">IF(AND(AC3612=1,AA3612&lt;1),IF(AND(C3613=C3612,AA3613=AA3612+1),IF(AC3613=1,"",INDEX(DATAS,AA3612+1)),INDEX(DATAS,AA3612+1)),"")</f>
        <v/>
      </c>
    </row>
    <row r="3613" customFormat="false" ht="15" hidden="false" customHeight="false" outlineLevel="0" collapsed="false">
      <c r="A3613" s="51" t="n">
        <v>46309</v>
      </c>
      <c r="B3613" s="0" t="n">
        <v>16</v>
      </c>
      <c r="C3613" s="0" t="n">
        <v>8077</v>
      </c>
      <c r="E3613" s="0" t="n">
        <v>0</v>
      </c>
      <c r="F3613" s="46" t="s">
        <v>1652</v>
      </c>
      <c r="I3613" s="46" t="s">
        <v>179</v>
      </c>
      <c r="U3613" s="0" t="n">
        <v>49</v>
      </c>
      <c r="V3613" s="0" t="n">
        <v>0</v>
      </c>
      <c r="X3613" s="46" t="n">
        <f aca="false">IF(I3613="Male",0,1)</f>
        <v>1</v>
      </c>
      <c r="Y3613" s="46" t="n">
        <f aca="false">IF(OR(I3613="DNB",I3613="Dry DNB"),1,0)</f>
        <v>0</v>
      </c>
      <c r="Z3613" s="0" t="str">
        <f aca="false">IF(ISNUMBER(W3613),A3613-W3613,"")</f>
        <v/>
      </c>
      <c r="AA3613" s="46" t="n">
        <f aca="false">MATCH(A3613,DATAS,0)</f>
        <v>1</v>
      </c>
      <c r="AB3613" s="46" t="n">
        <f aca="false">IF(AND(E3613&gt;0,OR(AND(B3613&gt;=1,B3613&lt;=6),B3613=10)),1,0)</f>
        <v>0</v>
      </c>
      <c r="AC3613" s="46" t="n">
        <f aca="false">IF(AND(E3613&gt;0,B3613=10),1,0)</f>
        <v>0</v>
      </c>
      <c r="AD3613" s="0" t="str">
        <f aca="false">IF(AND(C3612=C3613,AA3612=AA3613-1),AB3612,"")</f>
        <v/>
      </c>
      <c r="AE3613" s="0" t="str">
        <f aca="false">IF(AND(C3612=C3613,AA3612=AA3613-1),AC3612,"")</f>
        <v/>
      </c>
      <c r="AF3613" s="0" t="str">
        <f aca="false">IF(AA3613=1,"",IF(AND(AB3613=1,AD3613&lt;&gt;1),1,0))</f>
        <v/>
      </c>
      <c r="AG3613" s="0" t="str">
        <f aca="false">IF(AA3613=1,"",IF(AND(AC3613=1,AE3613&lt;&gt;1),1,0))</f>
        <v/>
      </c>
      <c r="AH3613" s="51" t="str">
        <f aca="false">IF(AND(E3613&gt;0,AA3613&lt;1,NOT(AND(C3614=C3613,AA3614=AA3613+1))),INDEX(DATAS,AA3613+1),"")</f>
        <v/>
      </c>
      <c r="AI3613" s="51" t="str">
        <f aca="false">IF(AND(AC3613=1,AA3613&lt;1),IF(AND(C3614=C3613,AA3614=AA3613+1),IF(AC3614=1,"",INDEX(DATAS,AA3613+1)),INDEX(DATAS,AA3613+1)),"")</f>
        <v/>
      </c>
    </row>
    <row r="3614" customFormat="false" ht="15" hidden="false" customHeight="false" outlineLevel="0" collapsed="false">
      <c r="A3614" s="51" t="n">
        <v>46309</v>
      </c>
      <c r="B3614" s="0" t="n">
        <v>16</v>
      </c>
      <c r="C3614" s="0" t="n">
        <v>8078</v>
      </c>
      <c r="E3614" s="0" t="n">
        <v>0</v>
      </c>
      <c r="F3614" s="46" t="s">
        <v>1652</v>
      </c>
      <c r="I3614" s="46" t="s">
        <v>179</v>
      </c>
      <c r="U3614" s="0" t="n">
        <v>49</v>
      </c>
      <c r="V3614" s="0" t="n">
        <v>0</v>
      </c>
      <c r="X3614" s="46" t="n">
        <f aca="false">IF(I3614="Male",0,1)</f>
        <v>1</v>
      </c>
      <c r="Y3614" s="46" t="n">
        <f aca="false">IF(OR(I3614="DNB",I3614="Dry DNB"),1,0)</f>
        <v>0</v>
      </c>
      <c r="Z3614" s="0" t="str">
        <f aca="false">IF(ISNUMBER(W3614),A3614-W3614,"")</f>
        <v/>
      </c>
      <c r="AA3614" s="46" t="n">
        <f aca="false">MATCH(A3614,DATAS,0)</f>
        <v>1</v>
      </c>
      <c r="AB3614" s="46" t="n">
        <f aca="false">IF(AND(E3614&gt;0,OR(AND(B3614&gt;=1,B3614&lt;=6),B3614=10)),1,0)</f>
        <v>0</v>
      </c>
      <c r="AC3614" s="46" t="n">
        <f aca="false">IF(AND(E3614&gt;0,B3614=10),1,0)</f>
        <v>0</v>
      </c>
      <c r="AD3614" s="0" t="str">
        <f aca="false">IF(AND(C3613=C3614,AA3613=AA3614-1),AB3613,"")</f>
        <v/>
      </c>
      <c r="AE3614" s="0" t="str">
        <f aca="false">IF(AND(C3613=C3614,AA3613=AA3614-1),AC3613,"")</f>
        <v/>
      </c>
      <c r="AF3614" s="0" t="str">
        <f aca="false">IF(AA3614=1,"",IF(AND(AB3614=1,AD3614&lt;&gt;1),1,0))</f>
        <v/>
      </c>
      <c r="AG3614" s="0" t="str">
        <f aca="false">IF(AA3614=1,"",IF(AND(AC3614=1,AE3614&lt;&gt;1),1,0))</f>
        <v/>
      </c>
      <c r="AH3614" s="51" t="str">
        <f aca="false">IF(AND(E3614&gt;0,AA3614&lt;1,NOT(AND(C3615=C3614,AA3615=AA3614+1))),INDEX(DATAS,AA3614+1),"")</f>
        <v/>
      </c>
      <c r="AI3614" s="51" t="str">
        <f aca="false">IF(AND(AC3614=1,AA3614&lt;1),IF(AND(C3615=C3614,AA3615=AA3614+1),IF(AC3615=1,"",INDEX(DATAS,AA3614+1)),INDEX(DATAS,AA3614+1)),"")</f>
        <v/>
      </c>
    </row>
    <row r="3615" customFormat="false" ht="15" hidden="false" customHeight="false" outlineLevel="0" collapsed="false">
      <c r="A3615" s="51" t="n">
        <v>46309</v>
      </c>
      <c r="B3615" s="0" t="n">
        <v>16</v>
      </c>
      <c r="C3615" s="0" t="n">
        <v>8079</v>
      </c>
      <c r="E3615" s="0" t="n">
        <v>0</v>
      </c>
      <c r="F3615" s="46" t="s">
        <v>1652</v>
      </c>
      <c r="I3615" s="46" t="s">
        <v>179</v>
      </c>
      <c r="U3615" s="0" t="n">
        <v>49</v>
      </c>
      <c r="V3615" s="0" t="n">
        <v>0</v>
      </c>
      <c r="X3615" s="46" t="n">
        <f aca="false">IF(I3615="Male",0,1)</f>
        <v>1</v>
      </c>
      <c r="Y3615" s="46" t="n">
        <f aca="false">IF(OR(I3615="DNB",I3615="Dry DNB"),1,0)</f>
        <v>0</v>
      </c>
      <c r="Z3615" s="0" t="str">
        <f aca="false">IF(ISNUMBER(W3615),A3615-W3615,"")</f>
        <v/>
      </c>
      <c r="AA3615" s="46" t="n">
        <f aca="false">MATCH(A3615,DATAS,0)</f>
        <v>1</v>
      </c>
      <c r="AB3615" s="46" t="n">
        <f aca="false">IF(AND(E3615&gt;0,OR(AND(B3615&gt;=1,B3615&lt;=6),B3615=10)),1,0)</f>
        <v>0</v>
      </c>
      <c r="AC3615" s="46" t="n">
        <f aca="false">IF(AND(E3615&gt;0,B3615=10),1,0)</f>
        <v>0</v>
      </c>
      <c r="AD3615" s="0" t="str">
        <f aca="false">IF(AND(C3614=C3615,AA3614=AA3615-1),AB3614,"")</f>
        <v/>
      </c>
      <c r="AE3615" s="0" t="str">
        <f aca="false">IF(AND(C3614=C3615,AA3614=AA3615-1),AC3614,"")</f>
        <v/>
      </c>
      <c r="AF3615" s="0" t="str">
        <f aca="false">IF(AA3615=1,"",IF(AND(AB3615=1,AD3615&lt;&gt;1),1,0))</f>
        <v/>
      </c>
      <c r="AG3615" s="0" t="str">
        <f aca="false">IF(AA3615=1,"",IF(AND(AC3615=1,AE3615&lt;&gt;1),1,0))</f>
        <v/>
      </c>
      <c r="AH3615" s="51" t="str">
        <f aca="false">IF(AND(E3615&gt;0,AA3615&lt;1,NOT(AND(C3616=C3615,AA3616=AA3615+1))),INDEX(DATAS,AA3615+1),"")</f>
        <v/>
      </c>
      <c r="AI3615" s="51" t="str">
        <f aca="false">IF(AND(AC3615=1,AA3615&lt;1),IF(AND(C3616=C3615,AA3616=AA3615+1),IF(AC3616=1,"",INDEX(DATAS,AA3615+1)),INDEX(DATAS,AA3615+1)),"")</f>
        <v/>
      </c>
    </row>
    <row r="3616" customFormat="false" ht="15" hidden="false" customHeight="false" outlineLevel="0" collapsed="false">
      <c r="A3616" s="51" t="n">
        <v>46309</v>
      </c>
      <c r="B3616" s="0" t="n">
        <v>16</v>
      </c>
      <c r="C3616" s="0" t="n">
        <v>8080</v>
      </c>
      <c r="E3616" s="0" t="n">
        <v>0</v>
      </c>
      <c r="F3616" s="46" t="s">
        <v>1652</v>
      </c>
      <c r="I3616" s="46" t="s">
        <v>179</v>
      </c>
      <c r="U3616" s="0" t="n">
        <v>49</v>
      </c>
      <c r="V3616" s="0" t="n">
        <v>0</v>
      </c>
      <c r="X3616" s="46" t="n">
        <f aca="false">IF(I3616="Male",0,1)</f>
        <v>1</v>
      </c>
      <c r="Y3616" s="46" t="n">
        <f aca="false">IF(OR(I3616="DNB",I3616="Dry DNB"),1,0)</f>
        <v>0</v>
      </c>
      <c r="Z3616" s="0" t="str">
        <f aca="false">IF(ISNUMBER(W3616),A3616-W3616,"")</f>
        <v/>
      </c>
      <c r="AA3616" s="46" t="n">
        <f aca="false">MATCH(A3616,DATAS,0)</f>
        <v>1</v>
      </c>
      <c r="AB3616" s="46" t="n">
        <f aca="false">IF(AND(E3616&gt;0,OR(AND(B3616&gt;=1,B3616&lt;=6),B3616=10)),1,0)</f>
        <v>0</v>
      </c>
      <c r="AC3616" s="46" t="n">
        <f aca="false">IF(AND(E3616&gt;0,B3616=10),1,0)</f>
        <v>0</v>
      </c>
      <c r="AD3616" s="0" t="str">
        <f aca="false">IF(AND(C3615=C3616,AA3615=AA3616-1),AB3615,"")</f>
        <v/>
      </c>
      <c r="AE3616" s="0" t="str">
        <f aca="false">IF(AND(C3615=C3616,AA3615=AA3616-1),AC3615,"")</f>
        <v/>
      </c>
      <c r="AF3616" s="0" t="str">
        <f aca="false">IF(AA3616=1,"",IF(AND(AB3616=1,AD3616&lt;&gt;1),1,0))</f>
        <v/>
      </c>
      <c r="AG3616" s="0" t="str">
        <f aca="false">IF(AA3616=1,"",IF(AND(AC3616=1,AE3616&lt;&gt;1),1,0))</f>
        <v/>
      </c>
      <c r="AH3616" s="51" t="str">
        <f aca="false">IF(AND(E3616&gt;0,AA3616&lt;1,NOT(AND(C3617=C3616,AA3617=AA3616+1))),INDEX(DATAS,AA3616+1),"")</f>
        <v/>
      </c>
      <c r="AI3616" s="51" t="str">
        <f aca="false">IF(AND(AC3616=1,AA3616&lt;1),IF(AND(C3617=C3616,AA3617=AA3616+1),IF(AC3617=1,"",INDEX(DATAS,AA3616+1)),INDEX(DATAS,AA3616+1)),"")</f>
        <v/>
      </c>
    </row>
    <row r="3617" customFormat="false" ht="15" hidden="false" customHeight="false" outlineLevel="0" collapsed="false">
      <c r="A3617" s="51" t="n">
        <v>46309</v>
      </c>
      <c r="B3617" s="0" t="n">
        <v>16</v>
      </c>
      <c r="C3617" s="0" t="n">
        <v>8081</v>
      </c>
      <c r="E3617" s="0" t="n">
        <v>0</v>
      </c>
      <c r="F3617" s="46" t="s">
        <v>1653</v>
      </c>
      <c r="I3617" s="46" t="s">
        <v>179</v>
      </c>
      <c r="U3617" s="0" t="n">
        <v>48</v>
      </c>
      <c r="V3617" s="0" t="n">
        <v>0</v>
      </c>
      <c r="X3617" s="46" t="n">
        <f aca="false">IF(I3617="Male",0,1)</f>
        <v>1</v>
      </c>
      <c r="Y3617" s="46" t="n">
        <f aca="false">IF(OR(I3617="DNB",I3617="Dry DNB"),1,0)</f>
        <v>0</v>
      </c>
      <c r="Z3617" s="0" t="str">
        <f aca="false">IF(ISNUMBER(W3617),A3617-W3617,"")</f>
        <v/>
      </c>
      <c r="AA3617" s="46" t="n">
        <f aca="false">MATCH(A3617,DATAS,0)</f>
        <v>1</v>
      </c>
      <c r="AB3617" s="46" t="n">
        <f aca="false">IF(AND(E3617&gt;0,OR(AND(B3617&gt;=1,B3617&lt;=6),B3617=10)),1,0)</f>
        <v>0</v>
      </c>
      <c r="AC3617" s="46" t="n">
        <f aca="false">IF(AND(E3617&gt;0,B3617=10),1,0)</f>
        <v>0</v>
      </c>
      <c r="AD3617" s="0" t="str">
        <f aca="false">IF(AND(C3616=C3617,AA3616=AA3617-1),AB3616,"")</f>
        <v/>
      </c>
      <c r="AE3617" s="0" t="str">
        <f aca="false">IF(AND(C3616=C3617,AA3616=AA3617-1),AC3616,"")</f>
        <v/>
      </c>
      <c r="AF3617" s="0" t="str">
        <f aca="false">IF(AA3617=1,"",IF(AND(AB3617=1,AD3617&lt;&gt;1),1,0))</f>
        <v/>
      </c>
      <c r="AG3617" s="0" t="str">
        <f aca="false">IF(AA3617=1,"",IF(AND(AC3617=1,AE3617&lt;&gt;1),1,0))</f>
        <v/>
      </c>
      <c r="AH3617" s="51" t="str">
        <f aca="false">IF(AND(E3617&gt;0,AA3617&lt;1,NOT(AND(C3618=C3617,AA3618=AA3617+1))),INDEX(DATAS,AA3617+1),"")</f>
        <v/>
      </c>
      <c r="AI3617" s="51" t="str">
        <f aca="false">IF(AND(AC3617=1,AA3617&lt;1),IF(AND(C3618=C3617,AA3618=AA3617+1),IF(AC3618=1,"",INDEX(DATAS,AA3617+1)),INDEX(DATAS,AA3617+1)),"")</f>
        <v/>
      </c>
    </row>
    <row r="3618" customFormat="false" ht="15" hidden="false" customHeight="false" outlineLevel="0" collapsed="false">
      <c r="A3618" s="51" t="n">
        <v>46309</v>
      </c>
      <c r="B3618" s="0" t="n">
        <v>16</v>
      </c>
      <c r="C3618" s="0" t="n">
        <v>8082</v>
      </c>
      <c r="E3618" s="0" t="n">
        <v>0</v>
      </c>
      <c r="F3618" s="46" t="s">
        <v>1653</v>
      </c>
      <c r="I3618" s="46" t="s">
        <v>179</v>
      </c>
      <c r="U3618" s="0" t="n">
        <v>48</v>
      </c>
      <c r="V3618" s="0" t="n">
        <v>0</v>
      </c>
      <c r="X3618" s="46" t="n">
        <f aca="false">IF(I3618="Male",0,1)</f>
        <v>1</v>
      </c>
      <c r="Y3618" s="46" t="n">
        <f aca="false">IF(OR(I3618="DNB",I3618="Dry DNB"),1,0)</f>
        <v>0</v>
      </c>
      <c r="Z3618" s="0" t="str">
        <f aca="false">IF(ISNUMBER(W3618),A3618-W3618,"")</f>
        <v/>
      </c>
      <c r="AA3618" s="46" t="n">
        <f aca="false">MATCH(A3618,DATAS,0)</f>
        <v>1</v>
      </c>
      <c r="AB3618" s="46" t="n">
        <f aca="false">IF(AND(E3618&gt;0,OR(AND(B3618&gt;=1,B3618&lt;=6),B3618=10)),1,0)</f>
        <v>0</v>
      </c>
      <c r="AC3618" s="46" t="n">
        <f aca="false">IF(AND(E3618&gt;0,B3618=10),1,0)</f>
        <v>0</v>
      </c>
      <c r="AD3618" s="0" t="str">
        <f aca="false">IF(AND(C3617=C3618,AA3617=AA3618-1),AB3617,"")</f>
        <v/>
      </c>
      <c r="AE3618" s="0" t="str">
        <f aca="false">IF(AND(C3617=C3618,AA3617=AA3618-1),AC3617,"")</f>
        <v/>
      </c>
      <c r="AF3618" s="0" t="str">
        <f aca="false">IF(AA3618=1,"",IF(AND(AB3618=1,AD3618&lt;&gt;1),1,0))</f>
        <v/>
      </c>
      <c r="AG3618" s="0" t="str">
        <f aca="false">IF(AA3618=1,"",IF(AND(AC3618=1,AE3618&lt;&gt;1),1,0))</f>
        <v/>
      </c>
      <c r="AH3618" s="51" t="str">
        <f aca="false">IF(AND(E3618&gt;0,AA3618&lt;1,NOT(AND(C3619=C3618,AA3619=AA3618+1))),INDEX(DATAS,AA3618+1),"")</f>
        <v/>
      </c>
      <c r="AI3618" s="51" t="str">
        <f aca="false">IF(AND(AC3618=1,AA3618&lt;1),IF(AND(C3619=C3618,AA3619=AA3618+1),IF(AC3619=1,"",INDEX(DATAS,AA3618+1)),INDEX(DATAS,AA3618+1)),"")</f>
        <v/>
      </c>
    </row>
    <row r="3619" customFormat="false" ht="15" hidden="false" customHeight="false" outlineLevel="0" collapsed="false">
      <c r="A3619" s="51" t="n">
        <v>46309</v>
      </c>
      <c r="B3619" s="0" t="n">
        <v>16</v>
      </c>
      <c r="C3619" s="0" t="n">
        <v>8083</v>
      </c>
      <c r="E3619" s="0" t="n">
        <v>0</v>
      </c>
      <c r="F3619" s="46" t="s">
        <v>1653</v>
      </c>
      <c r="I3619" s="46" t="s">
        <v>179</v>
      </c>
      <c r="U3619" s="0" t="n">
        <v>48</v>
      </c>
      <c r="V3619" s="0" t="n">
        <v>0</v>
      </c>
      <c r="X3619" s="46" t="n">
        <f aca="false">IF(I3619="Male",0,1)</f>
        <v>1</v>
      </c>
      <c r="Y3619" s="46" t="n">
        <f aca="false">IF(OR(I3619="DNB",I3619="Dry DNB"),1,0)</f>
        <v>0</v>
      </c>
      <c r="Z3619" s="0" t="str">
        <f aca="false">IF(ISNUMBER(W3619),A3619-W3619,"")</f>
        <v/>
      </c>
      <c r="AA3619" s="46" t="n">
        <f aca="false">MATCH(A3619,DATAS,0)</f>
        <v>1</v>
      </c>
      <c r="AB3619" s="46" t="n">
        <f aca="false">IF(AND(E3619&gt;0,OR(AND(B3619&gt;=1,B3619&lt;=6),B3619=10)),1,0)</f>
        <v>0</v>
      </c>
      <c r="AC3619" s="46" t="n">
        <f aca="false">IF(AND(E3619&gt;0,B3619=10),1,0)</f>
        <v>0</v>
      </c>
      <c r="AD3619" s="0" t="str">
        <f aca="false">IF(AND(C3618=C3619,AA3618=AA3619-1),AB3618,"")</f>
        <v/>
      </c>
      <c r="AE3619" s="0" t="str">
        <f aca="false">IF(AND(C3618=C3619,AA3618=AA3619-1),AC3618,"")</f>
        <v/>
      </c>
      <c r="AF3619" s="0" t="str">
        <f aca="false">IF(AA3619=1,"",IF(AND(AB3619=1,AD3619&lt;&gt;1),1,0))</f>
        <v/>
      </c>
      <c r="AG3619" s="0" t="str">
        <f aca="false">IF(AA3619=1,"",IF(AND(AC3619=1,AE3619&lt;&gt;1),1,0))</f>
        <v/>
      </c>
      <c r="AH3619" s="51" t="str">
        <f aca="false">IF(AND(E3619&gt;0,AA3619&lt;1,NOT(AND(C3620=C3619,AA3620=AA3619+1))),INDEX(DATAS,AA3619+1),"")</f>
        <v/>
      </c>
      <c r="AI3619" s="51" t="str">
        <f aca="false">IF(AND(AC3619=1,AA3619&lt;1),IF(AND(C3620=C3619,AA3620=AA3619+1),IF(AC3620=1,"",INDEX(DATAS,AA3619+1)),INDEX(DATAS,AA3619+1)),"")</f>
        <v/>
      </c>
    </row>
    <row r="3620" customFormat="false" ht="15" hidden="false" customHeight="false" outlineLevel="0" collapsed="false">
      <c r="A3620" s="51" t="n">
        <v>46309</v>
      </c>
      <c r="B3620" s="0" t="n">
        <v>16</v>
      </c>
      <c r="C3620" s="0" t="n">
        <v>8084</v>
      </c>
      <c r="E3620" s="0" t="n">
        <v>0</v>
      </c>
      <c r="F3620" s="46" t="s">
        <v>1654</v>
      </c>
      <c r="I3620" s="46" t="s">
        <v>179</v>
      </c>
      <c r="U3620" s="0" t="n">
        <v>46</v>
      </c>
      <c r="V3620" s="0" t="n">
        <v>0</v>
      </c>
      <c r="X3620" s="46" t="n">
        <f aca="false">IF(I3620="Male",0,1)</f>
        <v>1</v>
      </c>
      <c r="Y3620" s="46" t="n">
        <f aca="false">IF(OR(I3620="DNB",I3620="Dry DNB"),1,0)</f>
        <v>0</v>
      </c>
      <c r="Z3620" s="0" t="str">
        <f aca="false">IF(ISNUMBER(W3620),A3620-W3620,"")</f>
        <v/>
      </c>
      <c r="AA3620" s="46" t="n">
        <f aca="false">MATCH(A3620,DATAS,0)</f>
        <v>1</v>
      </c>
      <c r="AB3620" s="46" t="n">
        <f aca="false">IF(AND(E3620&gt;0,OR(AND(B3620&gt;=1,B3620&lt;=6),B3620=10)),1,0)</f>
        <v>0</v>
      </c>
      <c r="AC3620" s="46" t="n">
        <f aca="false">IF(AND(E3620&gt;0,B3620=10),1,0)</f>
        <v>0</v>
      </c>
      <c r="AD3620" s="0" t="str">
        <f aca="false">IF(AND(C3619=C3620,AA3619=AA3620-1),AB3619,"")</f>
        <v/>
      </c>
      <c r="AE3620" s="0" t="str">
        <f aca="false">IF(AND(C3619=C3620,AA3619=AA3620-1),AC3619,"")</f>
        <v/>
      </c>
      <c r="AF3620" s="0" t="str">
        <f aca="false">IF(AA3620=1,"",IF(AND(AB3620=1,AD3620&lt;&gt;1),1,0))</f>
        <v/>
      </c>
      <c r="AG3620" s="0" t="str">
        <f aca="false">IF(AA3620=1,"",IF(AND(AC3620=1,AE3620&lt;&gt;1),1,0))</f>
        <v/>
      </c>
      <c r="AH3620" s="51" t="str">
        <f aca="false">IF(AND(E3620&gt;0,AA3620&lt;1,NOT(AND(C3621=C3620,AA3621=AA3620+1))),INDEX(DATAS,AA3620+1),"")</f>
        <v/>
      </c>
      <c r="AI3620" s="51" t="str">
        <f aca="false">IF(AND(AC3620=1,AA3620&lt;1),IF(AND(C3621=C3620,AA3621=AA3620+1),IF(AC3621=1,"",INDEX(DATAS,AA3620+1)),INDEX(DATAS,AA3620+1)),"")</f>
        <v/>
      </c>
    </row>
    <row r="3621" customFormat="false" ht="15" hidden="false" customHeight="false" outlineLevel="0" collapsed="false">
      <c r="A3621" s="51" t="n">
        <v>46309</v>
      </c>
      <c r="B3621" s="0" t="n">
        <v>16</v>
      </c>
      <c r="C3621" s="0" t="n">
        <v>8085</v>
      </c>
      <c r="E3621" s="0" t="n">
        <v>0</v>
      </c>
      <c r="F3621" s="46" t="s">
        <v>1654</v>
      </c>
      <c r="I3621" s="46" t="s">
        <v>179</v>
      </c>
      <c r="U3621" s="0" t="n">
        <v>46</v>
      </c>
      <c r="V3621" s="0" t="n">
        <v>0</v>
      </c>
      <c r="X3621" s="46" t="n">
        <f aca="false">IF(I3621="Male",0,1)</f>
        <v>1</v>
      </c>
      <c r="Y3621" s="46" t="n">
        <f aca="false">IF(OR(I3621="DNB",I3621="Dry DNB"),1,0)</f>
        <v>0</v>
      </c>
      <c r="Z3621" s="0" t="str">
        <f aca="false">IF(ISNUMBER(W3621),A3621-W3621,"")</f>
        <v/>
      </c>
      <c r="AA3621" s="46" t="n">
        <f aca="false">MATCH(A3621,DATAS,0)</f>
        <v>1</v>
      </c>
      <c r="AB3621" s="46" t="n">
        <f aca="false">IF(AND(E3621&gt;0,OR(AND(B3621&gt;=1,B3621&lt;=6),B3621=10)),1,0)</f>
        <v>0</v>
      </c>
      <c r="AC3621" s="46" t="n">
        <f aca="false">IF(AND(E3621&gt;0,B3621=10),1,0)</f>
        <v>0</v>
      </c>
      <c r="AD3621" s="0" t="str">
        <f aca="false">IF(AND(C3620=C3621,AA3620=AA3621-1),AB3620,"")</f>
        <v/>
      </c>
      <c r="AE3621" s="0" t="str">
        <f aca="false">IF(AND(C3620=C3621,AA3620=AA3621-1),AC3620,"")</f>
        <v/>
      </c>
      <c r="AF3621" s="0" t="str">
        <f aca="false">IF(AA3621=1,"",IF(AND(AB3621=1,AD3621&lt;&gt;1),1,0))</f>
        <v/>
      </c>
      <c r="AG3621" s="0" t="str">
        <f aca="false">IF(AA3621=1,"",IF(AND(AC3621=1,AE3621&lt;&gt;1),1,0))</f>
        <v/>
      </c>
      <c r="AH3621" s="51" t="str">
        <f aca="false">IF(AND(E3621&gt;0,AA3621&lt;1,NOT(AND(C3622=C3621,AA3622=AA3621+1))),INDEX(DATAS,AA3621+1),"")</f>
        <v/>
      </c>
      <c r="AI3621" s="51" t="str">
        <f aca="false">IF(AND(AC3621=1,AA3621&lt;1),IF(AND(C3622=C3621,AA3622=AA3621+1),IF(AC3622=1,"",INDEX(DATAS,AA3621+1)),INDEX(DATAS,AA3621+1)),"")</f>
        <v/>
      </c>
    </row>
    <row r="3622" customFormat="false" ht="15" hidden="false" customHeight="false" outlineLevel="0" collapsed="false">
      <c r="A3622" s="51" t="n">
        <v>46309</v>
      </c>
      <c r="B3622" s="0" t="n">
        <v>16</v>
      </c>
      <c r="C3622" s="0" t="n">
        <v>8086</v>
      </c>
      <c r="E3622" s="0" t="n">
        <v>0</v>
      </c>
      <c r="F3622" s="46" t="s">
        <v>1655</v>
      </c>
      <c r="I3622" s="46" t="s">
        <v>179</v>
      </c>
      <c r="U3622" s="0" t="n">
        <v>44</v>
      </c>
      <c r="V3622" s="0" t="n">
        <v>0</v>
      </c>
      <c r="X3622" s="46" t="n">
        <f aca="false">IF(I3622="Male",0,1)</f>
        <v>1</v>
      </c>
      <c r="Y3622" s="46" t="n">
        <f aca="false">IF(OR(I3622="DNB",I3622="Dry DNB"),1,0)</f>
        <v>0</v>
      </c>
      <c r="Z3622" s="0" t="str">
        <f aca="false">IF(ISNUMBER(W3622),A3622-W3622,"")</f>
        <v/>
      </c>
      <c r="AA3622" s="46" t="n">
        <f aca="false">MATCH(A3622,DATAS,0)</f>
        <v>1</v>
      </c>
      <c r="AB3622" s="46" t="n">
        <f aca="false">IF(AND(E3622&gt;0,OR(AND(B3622&gt;=1,B3622&lt;=6),B3622=10)),1,0)</f>
        <v>0</v>
      </c>
      <c r="AC3622" s="46" t="n">
        <f aca="false">IF(AND(E3622&gt;0,B3622=10),1,0)</f>
        <v>0</v>
      </c>
      <c r="AD3622" s="0" t="str">
        <f aca="false">IF(AND(C3621=C3622,AA3621=AA3622-1),AB3621,"")</f>
        <v/>
      </c>
      <c r="AE3622" s="0" t="str">
        <f aca="false">IF(AND(C3621=C3622,AA3621=AA3622-1),AC3621,"")</f>
        <v/>
      </c>
      <c r="AF3622" s="0" t="str">
        <f aca="false">IF(AA3622=1,"",IF(AND(AB3622=1,AD3622&lt;&gt;1),1,0))</f>
        <v/>
      </c>
      <c r="AG3622" s="0" t="str">
        <f aca="false">IF(AA3622=1,"",IF(AND(AC3622=1,AE3622&lt;&gt;1),1,0))</f>
        <v/>
      </c>
      <c r="AH3622" s="51" t="str">
        <f aca="false">IF(AND(E3622&gt;0,AA3622&lt;1,NOT(AND(C3623=C3622,AA3623=AA3622+1))),INDEX(DATAS,AA3622+1),"")</f>
        <v/>
      </c>
      <c r="AI3622" s="51" t="str">
        <f aca="false">IF(AND(AC3622=1,AA3622&lt;1),IF(AND(C3623=C3622,AA3623=AA3622+1),IF(AC3623=1,"",INDEX(DATAS,AA3622+1)),INDEX(DATAS,AA3622+1)),"")</f>
        <v/>
      </c>
    </row>
    <row r="3623" customFormat="false" ht="15" hidden="false" customHeight="false" outlineLevel="0" collapsed="false">
      <c r="A3623" s="51" t="n">
        <v>46309</v>
      </c>
      <c r="B3623" s="0" t="n">
        <v>16</v>
      </c>
      <c r="C3623" s="0" t="n">
        <v>8087</v>
      </c>
      <c r="E3623" s="0" t="n">
        <v>0</v>
      </c>
      <c r="F3623" s="46" t="s">
        <v>1654</v>
      </c>
      <c r="I3623" s="46" t="s">
        <v>179</v>
      </c>
      <c r="U3623" s="0" t="n">
        <v>46</v>
      </c>
      <c r="V3623" s="0" t="n">
        <v>0</v>
      </c>
      <c r="X3623" s="46" t="n">
        <f aca="false">IF(I3623="Male",0,1)</f>
        <v>1</v>
      </c>
      <c r="Y3623" s="46" t="n">
        <f aca="false">IF(OR(I3623="DNB",I3623="Dry DNB"),1,0)</f>
        <v>0</v>
      </c>
      <c r="Z3623" s="0" t="str">
        <f aca="false">IF(ISNUMBER(W3623),A3623-W3623,"")</f>
        <v/>
      </c>
      <c r="AA3623" s="46" t="n">
        <f aca="false">MATCH(A3623,DATAS,0)</f>
        <v>1</v>
      </c>
      <c r="AB3623" s="46" t="n">
        <f aca="false">IF(AND(E3623&gt;0,OR(AND(B3623&gt;=1,B3623&lt;=6),B3623=10)),1,0)</f>
        <v>0</v>
      </c>
      <c r="AC3623" s="46" t="n">
        <f aca="false">IF(AND(E3623&gt;0,B3623=10),1,0)</f>
        <v>0</v>
      </c>
      <c r="AD3623" s="0" t="str">
        <f aca="false">IF(AND(C3622=C3623,AA3622=AA3623-1),AB3622,"")</f>
        <v/>
      </c>
      <c r="AE3623" s="0" t="str">
        <f aca="false">IF(AND(C3622=C3623,AA3622=AA3623-1),AC3622,"")</f>
        <v/>
      </c>
      <c r="AF3623" s="0" t="str">
        <f aca="false">IF(AA3623=1,"",IF(AND(AB3623=1,AD3623&lt;&gt;1),1,0))</f>
        <v/>
      </c>
      <c r="AG3623" s="0" t="str">
        <f aca="false">IF(AA3623=1,"",IF(AND(AC3623=1,AE3623&lt;&gt;1),1,0))</f>
        <v/>
      </c>
      <c r="AH3623" s="51" t="str">
        <f aca="false">IF(AND(E3623&gt;0,AA3623&lt;1,NOT(AND(C3624=C3623,AA3624=AA3623+1))),INDEX(DATAS,AA3623+1),"")</f>
        <v/>
      </c>
      <c r="AI3623" s="51" t="str">
        <f aca="false">IF(AND(AC3623=1,AA3623&lt;1),IF(AND(C3624=C3623,AA3624=AA3623+1),IF(AC3624=1,"",INDEX(DATAS,AA3623+1)),INDEX(DATAS,AA3623+1)),"")</f>
        <v/>
      </c>
    </row>
    <row r="3624" customFormat="false" ht="15" hidden="false" customHeight="false" outlineLevel="0" collapsed="false">
      <c r="A3624" s="51" t="n">
        <v>46309</v>
      </c>
      <c r="B3624" s="0" t="n">
        <v>16</v>
      </c>
      <c r="C3624" s="0" t="n">
        <v>8088</v>
      </c>
      <c r="E3624" s="0" t="n">
        <v>0</v>
      </c>
      <c r="F3624" s="46" t="s">
        <v>1654</v>
      </c>
      <c r="I3624" s="46" t="s">
        <v>179</v>
      </c>
      <c r="U3624" s="0" t="n">
        <v>46</v>
      </c>
      <c r="V3624" s="0" t="n">
        <v>0</v>
      </c>
      <c r="X3624" s="46" t="n">
        <f aca="false">IF(I3624="Male",0,1)</f>
        <v>1</v>
      </c>
      <c r="Y3624" s="46" t="n">
        <f aca="false">IF(OR(I3624="DNB",I3624="Dry DNB"),1,0)</f>
        <v>0</v>
      </c>
      <c r="Z3624" s="0" t="str">
        <f aca="false">IF(ISNUMBER(W3624),A3624-W3624,"")</f>
        <v/>
      </c>
      <c r="AA3624" s="46" t="n">
        <f aca="false">MATCH(A3624,DATAS,0)</f>
        <v>1</v>
      </c>
      <c r="AB3624" s="46" t="n">
        <f aca="false">IF(AND(E3624&gt;0,OR(AND(B3624&gt;=1,B3624&lt;=6),B3624=10)),1,0)</f>
        <v>0</v>
      </c>
      <c r="AC3624" s="46" t="n">
        <f aca="false">IF(AND(E3624&gt;0,B3624=10),1,0)</f>
        <v>0</v>
      </c>
      <c r="AD3624" s="0" t="str">
        <f aca="false">IF(AND(C3623=C3624,AA3623=AA3624-1),AB3623,"")</f>
        <v/>
      </c>
      <c r="AE3624" s="0" t="str">
        <f aca="false">IF(AND(C3623=C3624,AA3623=AA3624-1),AC3623,"")</f>
        <v/>
      </c>
      <c r="AF3624" s="0" t="str">
        <f aca="false">IF(AA3624=1,"",IF(AND(AB3624=1,AD3624&lt;&gt;1),1,0))</f>
        <v/>
      </c>
      <c r="AG3624" s="0" t="str">
        <f aca="false">IF(AA3624=1,"",IF(AND(AC3624=1,AE3624&lt;&gt;1),1,0))</f>
        <v/>
      </c>
      <c r="AH3624" s="51" t="str">
        <f aca="false">IF(AND(E3624&gt;0,AA3624&lt;1,NOT(AND(C3625=C3624,AA3625=AA3624+1))),INDEX(DATAS,AA3624+1),"")</f>
        <v/>
      </c>
      <c r="AI3624" s="51" t="str">
        <f aca="false">IF(AND(AC3624=1,AA3624&lt;1),IF(AND(C3625=C3624,AA3625=AA3624+1),IF(AC3625=1,"",INDEX(DATAS,AA3624+1)),INDEX(DATAS,AA3624+1)),"")</f>
        <v/>
      </c>
    </row>
    <row r="3625" customFormat="false" ht="15" hidden="false" customHeight="false" outlineLevel="0" collapsed="false">
      <c r="A3625" s="51" t="n">
        <v>46309</v>
      </c>
      <c r="B3625" s="0" t="n">
        <v>16</v>
      </c>
      <c r="C3625" s="0" t="n">
        <v>8089</v>
      </c>
      <c r="E3625" s="0" t="n">
        <v>0</v>
      </c>
      <c r="F3625" s="46" t="s">
        <v>1656</v>
      </c>
      <c r="I3625" s="46" t="s">
        <v>179</v>
      </c>
      <c r="U3625" s="0" t="n">
        <v>45</v>
      </c>
      <c r="V3625" s="0" t="n">
        <v>0</v>
      </c>
      <c r="X3625" s="46" t="n">
        <f aca="false">IF(I3625="Male",0,1)</f>
        <v>1</v>
      </c>
      <c r="Y3625" s="46" t="n">
        <f aca="false">IF(OR(I3625="DNB",I3625="Dry DNB"),1,0)</f>
        <v>0</v>
      </c>
      <c r="Z3625" s="0" t="str">
        <f aca="false">IF(ISNUMBER(W3625),A3625-W3625,"")</f>
        <v/>
      </c>
      <c r="AA3625" s="46" t="n">
        <f aca="false">MATCH(A3625,DATAS,0)</f>
        <v>1</v>
      </c>
      <c r="AB3625" s="46" t="n">
        <f aca="false">IF(AND(E3625&gt;0,OR(AND(B3625&gt;=1,B3625&lt;=6),B3625=10)),1,0)</f>
        <v>0</v>
      </c>
      <c r="AC3625" s="46" t="n">
        <f aca="false">IF(AND(E3625&gt;0,B3625=10),1,0)</f>
        <v>0</v>
      </c>
      <c r="AD3625" s="0" t="str">
        <f aca="false">IF(AND(C3624=C3625,AA3624=AA3625-1),AB3624,"")</f>
        <v/>
      </c>
      <c r="AE3625" s="0" t="str">
        <f aca="false">IF(AND(C3624=C3625,AA3624=AA3625-1),AC3624,"")</f>
        <v/>
      </c>
      <c r="AF3625" s="0" t="str">
        <f aca="false">IF(AA3625=1,"",IF(AND(AB3625=1,AD3625&lt;&gt;1),1,0))</f>
        <v/>
      </c>
      <c r="AG3625" s="0" t="str">
        <f aca="false">IF(AA3625=1,"",IF(AND(AC3625=1,AE3625&lt;&gt;1),1,0))</f>
        <v/>
      </c>
      <c r="AH3625" s="51" t="str">
        <f aca="false">IF(AND(E3625&gt;0,AA3625&lt;1,NOT(AND(C3626=C3625,AA3626=AA3625+1))),INDEX(DATAS,AA3625+1),"")</f>
        <v/>
      </c>
      <c r="AI3625" s="51" t="str">
        <f aca="false">IF(AND(AC3625=1,AA3625&lt;1),IF(AND(C3626=C3625,AA3626=AA3625+1),IF(AC3626=1,"",INDEX(DATAS,AA3625+1)),INDEX(DATAS,AA3625+1)),"")</f>
        <v/>
      </c>
    </row>
    <row r="3626" customFormat="false" ht="15" hidden="false" customHeight="false" outlineLevel="0" collapsed="false">
      <c r="A3626" s="51" t="n">
        <v>46309</v>
      </c>
      <c r="B3626" s="0" t="n">
        <v>16</v>
      </c>
      <c r="C3626" s="0" t="n">
        <v>8090</v>
      </c>
      <c r="E3626" s="0" t="n">
        <v>0</v>
      </c>
      <c r="F3626" s="46" t="s">
        <v>1656</v>
      </c>
      <c r="I3626" s="46" t="s">
        <v>179</v>
      </c>
      <c r="U3626" s="0" t="n">
        <v>45</v>
      </c>
      <c r="V3626" s="0" t="n">
        <v>0</v>
      </c>
      <c r="X3626" s="46" t="n">
        <f aca="false">IF(I3626="Male",0,1)</f>
        <v>1</v>
      </c>
      <c r="Y3626" s="46" t="n">
        <f aca="false">IF(OR(I3626="DNB",I3626="Dry DNB"),1,0)</f>
        <v>0</v>
      </c>
      <c r="Z3626" s="0" t="str">
        <f aca="false">IF(ISNUMBER(W3626),A3626-W3626,"")</f>
        <v/>
      </c>
      <c r="AA3626" s="46" t="n">
        <f aca="false">MATCH(A3626,DATAS,0)</f>
        <v>1</v>
      </c>
      <c r="AB3626" s="46" t="n">
        <f aca="false">IF(AND(E3626&gt;0,OR(AND(B3626&gt;=1,B3626&lt;=6),B3626=10)),1,0)</f>
        <v>0</v>
      </c>
      <c r="AC3626" s="46" t="n">
        <f aca="false">IF(AND(E3626&gt;0,B3626=10),1,0)</f>
        <v>0</v>
      </c>
      <c r="AD3626" s="0" t="str">
        <f aca="false">IF(AND(C3625=C3626,AA3625=AA3626-1),AB3625,"")</f>
        <v/>
      </c>
      <c r="AE3626" s="0" t="str">
        <f aca="false">IF(AND(C3625=C3626,AA3625=AA3626-1),AC3625,"")</f>
        <v/>
      </c>
      <c r="AF3626" s="0" t="str">
        <f aca="false">IF(AA3626=1,"",IF(AND(AB3626=1,AD3626&lt;&gt;1),1,0))</f>
        <v/>
      </c>
      <c r="AG3626" s="0" t="str">
        <f aca="false">IF(AA3626=1,"",IF(AND(AC3626=1,AE3626&lt;&gt;1),1,0))</f>
        <v/>
      </c>
      <c r="AH3626" s="51" t="str">
        <f aca="false">IF(AND(E3626&gt;0,AA3626&lt;1,NOT(AND(C3627=C3626,AA3627=AA3626+1))),INDEX(DATAS,AA3626+1),"")</f>
        <v/>
      </c>
      <c r="AI3626" s="51" t="str">
        <f aca="false">IF(AND(AC3626=1,AA3626&lt;1),IF(AND(C3627=C3626,AA3627=AA3626+1),IF(AC3627=1,"",INDEX(DATAS,AA3626+1)),INDEX(DATAS,AA3626+1)),"")</f>
        <v/>
      </c>
    </row>
    <row r="3627" customFormat="false" ht="15" hidden="false" customHeight="false" outlineLevel="0" collapsed="false">
      <c r="A3627" s="51" t="n">
        <v>46309</v>
      </c>
      <c r="B3627" s="0" t="n">
        <v>16</v>
      </c>
      <c r="C3627" s="0" t="n">
        <v>8091</v>
      </c>
      <c r="E3627" s="0" t="n">
        <v>0</v>
      </c>
      <c r="F3627" s="46" t="s">
        <v>1655</v>
      </c>
      <c r="I3627" s="46" t="s">
        <v>179</v>
      </c>
      <c r="U3627" s="0" t="n">
        <v>44</v>
      </c>
      <c r="V3627" s="0" t="n">
        <v>0</v>
      </c>
      <c r="X3627" s="46" t="n">
        <f aca="false">IF(I3627="Male",0,1)</f>
        <v>1</v>
      </c>
      <c r="Y3627" s="46" t="n">
        <f aca="false">IF(OR(I3627="DNB",I3627="Dry DNB"),1,0)</f>
        <v>0</v>
      </c>
      <c r="Z3627" s="0" t="str">
        <f aca="false">IF(ISNUMBER(W3627),A3627-W3627,"")</f>
        <v/>
      </c>
      <c r="AA3627" s="46" t="n">
        <f aca="false">MATCH(A3627,DATAS,0)</f>
        <v>1</v>
      </c>
      <c r="AB3627" s="46" t="n">
        <f aca="false">IF(AND(E3627&gt;0,OR(AND(B3627&gt;=1,B3627&lt;=6),B3627=10)),1,0)</f>
        <v>0</v>
      </c>
      <c r="AC3627" s="46" t="n">
        <f aca="false">IF(AND(E3627&gt;0,B3627=10),1,0)</f>
        <v>0</v>
      </c>
      <c r="AD3627" s="0" t="str">
        <f aca="false">IF(AND(C3626=C3627,AA3626=AA3627-1),AB3626,"")</f>
        <v/>
      </c>
      <c r="AE3627" s="0" t="str">
        <f aca="false">IF(AND(C3626=C3627,AA3626=AA3627-1),AC3626,"")</f>
        <v/>
      </c>
      <c r="AF3627" s="0" t="str">
        <f aca="false">IF(AA3627=1,"",IF(AND(AB3627=1,AD3627&lt;&gt;1),1,0))</f>
        <v/>
      </c>
      <c r="AG3627" s="0" t="str">
        <f aca="false">IF(AA3627=1,"",IF(AND(AC3627=1,AE3627&lt;&gt;1),1,0))</f>
        <v/>
      </c>
      <c r="AH3627" s="51" t="str">
        <f aca="false">IF(AND(E3627&gt;0,AA3627&lt;1,NOT(AND(C3628=C3627,AA3628=AA3627+1))),INDEX(DATAS,AA3627+1),"")</f>
        <v/>
      </c>
      <c r="AI3627" s="51" t="str">
        <f aca="false">IF(AND(AC3627=1,AA3627&lt;1),IF(AND(C3628=C3627,AA3628=AA3627+1),IF(AC3628=1,"",INDEX(DATAS,AA3627+1)),INDEX(DATAS,AA3627+1)),"")</f>
        <v/>
      </c>
    </row>
    <row r="3628" customFormat="false" ht="15" hidden="false" customHeight="false" outlineLevel="0" collapsed="false">
      <c r="A3628" s="51" t="n">
        <v>46309</v>
      </c>
      <c r="B3628" s="0" t="n">
        <v>16</v>
      </c>
      <c r="C3628" s="0" t="n">
        <v>8092</v>
      </c>
      <c r="E3628" s="0" t="n">
        <v>0</v>
      </c>
      <c r="F3628" s="46" t="s">
        <v>1655</v>
      </c>
      <c r="I3628" s="46" t="s">
        <v>179</v>
      </c>
      <c r="U3628" s="0" t="n">
        <v>44</v>
      </c>
      <c r="V3628" s="0" t="n">
        <v>0</v>
      </c>
      <c r="X3628" s="46" t="n">
        <f aca="false">IF(I3628="Male",0,1)</f>
        <v>1</v>
      </c>
      <c r="Y3628" s="46" t="n">
        <f aca="false">IF(OR(I3628="DNB",I3628="Dry DNB"),1,0)</f>
        <v>0</v>
      </c>
      <c r="Z3628" s="0" t="str">
        <f aca="false">IF(ISNUMBER(W3628),A3628-W3628,"")</f>
        <v/>
      </c>
      <c r="AA3628" s="46" t="n">
        <f aca="false">MATCH(A3628,DATAS,0)</f>
        <v>1</v>
      </c>
      <c r="AB3628" s="46" t="n">
        <f aca="false">IF(AND(E3628&gt;0,OR(AND(B3628&gt;=1,B3628&lt;=6),B3628=10)),1,0)</f>
        <v>0</v>
      </c>
      <c r="AC3628" s="46" t="n">
        <f aca="false">IF(AND(E3628&gt;0,B3628=10),1,0)</f>
        <v>0</v>
      </c>
      <c r="AD3628" s="0" t="str">
        <f aca="false">IF(AND(C3627=C3628,AA3627=AA3628-1),AB3627,"")</f>
        <v/>
      </c>
      <c r="AE3628" s="0" t="str">
        <f aca="false">IF(AND(C3627=C3628,AA3627=AA3628-1),AC3627,"")</f>
        <v/>
      </c>
      <c r="AF3628" s="0" t="str">
        <f aca="false">IF(AA3628=1,"",IF(AND(AB3628=1,AD3628&lt;&gt;1),1,0))</f>
        <v/>
      </c>
      <c r="AG3628" s="0" t="str">
        <f aca="false">IF(AA3628=1,"",IF(AND(AC3628=1,AE3628&lt;&gt;1),1,0))</f>
        <v/>
      </c>
      <c r="AH3628" s="51" t="str">
        <f aca="false">IF(AND(E3628&gt;0,AA3628&lt;1,NOT(AND(C3629=C3628,AA3629=AA3628+1))),INDEX(DATAS,AA3628+1),"")</f>
        <v/>
      </c>
      <c r="AI3628" s="51" t="str">
        <f aca="false">IF(AND(AC3628=1,AA3628&lt;1),IF(AND(C3629=C3628,AA3629=AA3628+1),IF(AC3629=1,"",INDEX(DATAS,AA3628+1)),INDEX(DATAS,AA3628+1)),"")</f>
        <v/>
      </c>
    </row>
    <row r="3629" customFormat="false" ht="15" hidden="false" customHeight="false" outlineLevel="0" collapsed="false">
      <c r="A3629" s="51" t="n">
        <v>46309</v>
      </c>
      <c r="B3629" s="0" t="n">
        <v>16</v>
      </c>
      <c r="C3629" s="0" t="n">
        <v>8093</v>
      </c>
      <c r="E3629" s="0" t="n">
        <v>0</v>
      </c>
      <c r="F3629" s="46" t="s">
        <v>1655</v>
      </c>
      <c r="I3629" s="46" t="s">
        <v>179</v>
      </c>
      <c r="U3629" s="0" t="n">
        <v>44</v>
      </c>
      <c r="V3629" s="0" t="n">
        <v>0</v>
      </c>
      <c r="X3629" s="46" t="n">
        <f aca="false">IF(I3629="Male",0,1)</f>
        <v>1</v>
      </c>
      <c r="Y3629" s="46" t="n">
        <f aca="false">IF(OR(I3629="DNB",I3629="Dry DNB"),1,0)</f>
        <v>0</v>
      </c>
      <c r="Z3629" s="0" t="str">
        <f aca="false">IF(ISNUMBER(W3629),A3629-W3629,"")</f>
        <v/>
      </c>
      <c r="AA3629" s="46" t="n">
        <f aca="false">MATCH(A3629,DATAS,0)</f>
        <v>1</v>
      </c>
      <c r="AB3629" s="46" t="n">
        <f aca="false">IF(AND(E3629&gt;0,OR(AND(B3629&gt;=1,B3629&lt;=6),B3629=10)),1,0)</f>
        <v>0</v>
      </c>
      <c r="AC3629" s="46" t="n">
        <f aca="false">IF(AND(E3629&gt;0,B3629=10),1,0)</f>
        <v>0</v>
      </c>
      <c r="AD3629" s="0" t="str">
        <f aca="false">IF(AND(C3628=C3629,AA3628=AA3629-1),AB3628,"")</f>
        <v/>
      </c>
      <c r="AE3629" s="0" t="str">
        <f aca="false">IF(AND(C3628=C3629,AA3628=AA3629-1),AC3628,"")</f>
        <v/>
      </c>
      <c r="AF3629" s="0" t="str">
        <f aca="false">IF(AA3629=1,"",IF(AND(AB3629=1,AD3629&lt;&gt;1),1,0))</f>
        <v/>
      </c>
      <c r="AG3629" s="0" t="str">
        <f aca="false">IF(AA3629=1,"",IF(AND(AC3629=1,AE3629&lt;&gt;1),1,0))</f>
        <v/>
      </c>
      <c r="AH3629" s="51" t="str">
        <f aca="false">IF(AND(E3629&gt;0,AA3629&lt;1,NOT(AND(C3630=C3629,AA3630=AA3629+1))),INDEX(DATAS,AA3629+1),"")</f>
        <v/>
      </c>
      <c r="AI3629" s="51" t="str">
        <f aca="false">IF(AND(AC3629=1,AA3629&lt;1),IF(AND(C3630=C3629,AA3630=AA3629+1),IF(AC3630=1,"",INDEX(DATAS,AA3629+1)),INDEX(DATAS,AA3629+1)),"")</f>
        <v/>
      </c>
    </row>
    <row r="3630" customFormat="false" ht="15" hidden="false" customHeight="false" outlineLevel="0" collapsed="false">
      <c r="A3630" s="51" t="n">
        <v>46309</v>
      </c>
      <c r="B3630" s="0" t="n">
        <v>16</v>
      </c>
      <c r="C3630" s="0" t="n">
        <v>8094</v>
      </c>
      <c r="E3630" s="0" t="n">
        <v>0</v>
      </c>
      <c r="F3630" s="46" t="s">
        <v>1657</v>
      </c>
      <c r="I3630" s="46" t="s">
        <v>179</v>
      </c>
      <c r="U3630" s="0" t="n">
        <v>43</v>
      </c>
      <c r="V3630" s="0" t="n">
        <v>0</v>
      </c>
      <c r="X3630" s="46" t="n">
        <f aca="false">IF(I3630="Male",0,1)</f>
        <v>1</v>
      </c>
      <c r="Y3630" s="46" t="n">
        <f aca="false">IF(OR(I3630="DNB",I3630="Dry DNB"),1,0)</f>
        <v>0</v>
      </c>
      <c r="Z3630" s="0" t="str">
        <f aca="false">IF(ISNUMBER(W3630),A3630-W3630,"")</f>
        <v/>
      </c>
      <c r="AA3630" s="46" t="n">
        <f aca="false">MATCH(A3630,DATAS,0)</f>
        <v>1</v>
      </c>
      <c r="AB3630" s="46" t="n">
        <f aca="false">IF(AND(E3630&gt;0,OR(AND(B3630&gt;=1,B3630&lt;=6),B3630=10)),1,0)</f>
        <v>0</v>
      </c>
      <c r="AC3630" s="46" t="n">
        <f aca="false">IF(AND(E3630&gt;0,B3630=10),1,0)</f>
        <v>0</v>
      </c>
      <c r="AD3630" s="0" t="str">
        <f aca="false">IF(AND(C3629=C3630,AA3629=AA3630-1),AB3629,"")</f>
        <v/>
      </c>
      <c r="AE3630" s="0" t="str">
        <f aca="false">IF(AND(C3629=C3630,AA3629=AA3630-1),AC3629,"")</f>
        <v/>
      </c>
      <c r="AF3630" s="0" t="str">
        <f aca="false">IF(AA3630=1,"",IF(AND(AB3630=1,AD3630&lt;&gt;1),1,0))</f>
        <v/>
      </c>
      <c r="AG3630" s="0" t="str">
        <f aca="false">IF(AA3630=1,"",IF(AND(AC3630=1,AE3630&lt;&gt;1),1,0))</f>
        <v/>
      </c>
      <c r="AH3630" s="51" t="str">
        <f aca="false">IF(AND(E3630&gt;0,AA3630&lt;1,NOT(AND(C3631=C3630,AA3631=AA3630+1))),INDEX(DATAS,AA3630+1),"")</f>
        <v/>
      </c>
      <c r="AI3630" s="51" t="str">
        <f aca="false">IF(AND(AC3630=1,AA3630&lt;1),IF(AND(C3631=C3630,AA3631=AA3630+1),IF(AC3631=1,"",INDEX(DATAS,AA3630+1)),INDEX(DATAS,AA3630+1)),"")</f>
        <v/>
      </c>
    </row>
    <row r="3631" customFormat="false" ht="15" hidden="false" customHeight="false" outlineLevel="0" collapsed="false">
      <c r="A3631" s="51" t="n">
        <v>46309</v>
      </c>
      <c r="B3631" s="0" t="n">
        <v>16</v>
      </c>
      <c r="C3631" s="0" t="n">
        <v>8095</v>
      </c>
      <c r="E3631" s="0" t="n">
        <v>0</v>
      </c>
      <c r="F3631" s="46" t="s">
        <v>1658</v>
      </c>
      <c r="I3631" s="46" t="s">
        <v>179</v>
      </c>
      <c r="U3631" s="0" t="n">
        <v>42</v>
      </c>
      <c r="V3631" s="0" t="n">
        <v>0</v>
      </c>
      <c r="X3631" s="46" t="n">
        <f aca="false">IF(I3631="Male",0,1)</f>
        <v>1</v>
      </c>
      <c r="Y3631" s="46" t="n">
        <f aca="false">IF(OR(I3631="DNB",I3631="Dry DNB"),1,0)</f>
        <v>0</v>
      </c>
      <c r="Z3631" s="0" t="str">
        <f aca="false">IF(ISNUMBER(W3631),A3631-W3631,"")</f>
        <v/>
      </c>
      <c r="AA3631" s="46" t="n">
        <f aca="false">MATCH(A3631,DATAS,0)</f>
        <v>1</v>
      </c>
      <c r="AB3631" s="46" t="n">
        <f aca="false">IF(AND(E3631&gt;0,OR(AND(B3631&gt;=1,B3631&lt;=6),B3631=10)),1,0)</f>
        <v>0</v>
      </c>
      <c r="AC3631" s="46" t="n">
        <f aca="false">IF(AND(E3631&gt;0,B3631=10),1,0)</f>
        <v>0</v>
      </c>
      <c r="AD3631" s="0" t="str">
        <f aca="false">IF(AND(C3630=C3631,AA3630=AA3631-1),AB3630,"")</f>
        <v/>
      </c>
      <c r="AE3631" s="0" t="str">
        <f aca="false">IF(AND(C3630=C3631,AA3630=AA3631-1),AC3630,"")</f>
        <v/>
      </c>
      <c r="AF3631" s="0" t="str">
        <f aca="false">IF(AA3631=1,"",IF(AND(AB3631=1,AD3631&lt;&gt;1),1,0))</f>
        <v/>
      </c>
      <c r="AG3631" s="0" t="str">
        <f aca="false">IF(AA3631=1,"",IF(AND(AC3631=1,AE3631&lt;&gt;1),1,0))</f>
        <v/>
      </c>
      <c r="AH3631" s="51" t="str">
        <f aca="false">IF(AND(E3631&gt;0,AA3631&lt;1,NOT(AND(C3632=C3631,AA3632=AA3631+1))),INDEX(DATAS,AA3631+1),"")</f>
        <v/>
      </c>
      <c r="AI3631" s="51" t="str">
        <f aca="false">IF(AND(AC3631=1,AA3631&lt;1),IF(AND(C3632=C3631,AA3632=AA3631+1),IF(AC3632=1,"",INDEX(DATAS,AA3631+1)),INDEX(DATAS,AA3631+1)),"")</f>
        <v/>
      </c>
    </row>
    <row r="3632" customFormat="false" ht="15" hidden="false" customHeight="false" outlineLevel="0" collapsed="false">
      <c r="A3632" s="51" t="n">
        <v>46309</v>
      </c>
      <c r="B3632" s="0" t="n">
        <v>16</v>
      </c>
      <c r="C3632" s="0" t="n">
        <v>8096</v>
      </c>
      <c r="E3632" s="0" t="n">
        <v>0</v>
      </c>
      <c r="F3632" s="46" t="s">
        <v>1658</v>
      </c>
      <c r="I3632" s="46" t="s">
        <v>179</v>
      </c>
      <c r="U3632" s="0" t="n">
        <v>42</v>
      </c>
      <c r="V3632" s="0" t="n">
        <v>0</v>
      </c>
      <c r="X3632" s="46" t="n">
        <f aca="false">IF(I3632="Male",0,1)</f>
        <v>1</v>
      </c>
      <c r="Y3632" s="46" t="n">
        <f aca="false">IF(OR(I3632="DNB",I3632="Dry DNB"),1,0)</f>
        <v>0</v>
      </c>
      <c r="Z3632" s="0" t="str">
        <f aca="false">IF(ISNUMBER(W3632),A3632-W3632,"")</f>
        <v/>
      </c>
      <c r="AA3632" s="46" t="n">
        <f aca="false">MATCH(A3632,DATAS,0)</f>
        <v>1</v>
      </c>
      <c r="AB3632" s="46" t="n">
        <f aca="false">IF(AND(E3632&gt;0,OR(AND(B3632&gt;=1,B3632&lt;=6),B3632=10)),1,0)</f>
        <v>0</v>
      </c>
      <c r="AC3632" s="46" t="n">
        <f aca="false">IF(AND(E3632&gt;0,B3632=10),1,0)</f>
        <v>0</v>
      </c>
      <c r="AD3632" s="0" t="str">
        <f aca="false">IF(AND(C3631=C3632,AA3631=AA3632-1),AB3631,"")</f>
        <v/>
      </c>
      <c r="AE3632" s="0" t="str">
        <f aca="false">IF(AND(C3631=C3632,AA3631=AA3632-1),AC3631,"")</f>
        <v/>
      </c>
      <c r="AF3632" s="0" t="str">
        <f aca="false">IF(AA3632=1,"",IF(AND(AB3632=1,AD3632&lt;&gt;1),1,0))</f>
        <v/>
      </c>
      <c r="AG3632" s="0" t="str">
        <f aca="false">IF(AA3632=1,"",IF(AND(AC3632=1,AE3632&lt;&gt;1),1,0))</f>
        <v/>
      </c>
      <c r="AH3632" s="51" t="str">
        <f aca="false">IF(AND(E3632&gt;0,AA3632&lt;1,NOT(AND(C3633=C3632,AA3633=AA3632+1))),INDEX(DATAS,AA3632+1),"")</f>
        <v/>
      </c>
      <c r="AI3632" s="51" t="str">
        <f aca="false">IF(AND(AC3632=1,AA3632&lt;1),IF(AND(C3633=C3632,AA3633=AA3632+1),IF(AC3633=1,"",INDEX(DATAS,AA3632+1)),INDEX(DATAS,AA3632+1)),"")</f>
        <v/>
      </c>
    </row>
    <row r="3633" customFormat="false" ht="15" hidden="false" customHeight="false" outlineLevel="0" collapsed="false">
      <c r="A3633" s="51" t="n">
        <v>46309</v>
      </c>
      <c r="B3633" s="0" t="n">
        <v>16</v>
      </c>
      <c r="C3633" s="0" t="n">
        <v>8097</v>
      </c>
      <c r="E3633" s="0" t="n">
        <v>0</v>
      </c>
      <c r="F3633" s="46" t="s">
        <v>1658</v>
      </c>
      <c r="I3633" s="46" t="s">
        <v>179</v>
      </c>
      <c r="U3633" s="0" t="n">
        <v>42</v>
      </c>
      <c r="V3633" s="0" t="n">
        <v>0</v>
      </c>
      <c r="X3633" s="46" t="n">
        <f aca="false">IF(I3633="Male",0,1)</f>
        <v>1</v>
      </c>
      <c r="Y3633" s="46" t="n">
        <f aca="false">IF(OR(I3633="DNB",I3633="Dry DNB"),1,0)</f>
        <v>0</v>
      </c>
      <c r="Z3633" s="0" t="str">
        <f aca="false">IF(ISNUMBER(W3633),A3633-W3633,"")</f>
        <v/>
      </c>
      <c r="AA3633" s="46" t="n">
        <f aca="false">MATCH(A3633,DATAS,0)</f>
        <v>1</v>
      </c>
      <c r="AB3633" s="46" t="n">
        <f aca="false">IF(AND(E3633&gt;0,OR(AND(B3633&gt;=1,B3633&lt;=6),B3633=10)),1,0)</f>
        <v>0</v>
      </c>
      <c r="AC3633" s="46" t="n">
        <f aca="false">IF(AND(E3633&gt;0,B3633=10),1,0)</f>
        <v>0</v>
      </c>
      <c r="AD3633" s="0" t="str">
        <f aca="false">IF(AND(C3632=C3633,AA3632=AA3633-1),AB3632,"")</f>
        <v/>
      </c>
      <c r="AE3633" s="0" t="str">
        <f aca="false">IF(AND(C3632=C3633,AA3632=AA3633-1),AC3632,"")</f>
        <v/>
      </c>
      <c r="AF3633" s="0" t="str">
        <f aca="false">IF(AA3633=1,"",IF(AND(AB3633=1,AD3633&lt;&gt;1),1,0))</f>
        <v/>
      </c>
      <c r="AG3633" s="0" t="str">
        <f aca="false">IF(AA3633=1,"",IF(AND(AC3633=1,AE3633&lt;&gt;1),1,0))</f>
        <v/>
      </c>
      <c r="AH3633" s="51" t="str">
        <f aca="false">IF(AND(E3633&gt;0,AA3633&lt;1,NOT(AND(C3634=C3633,AA3634=AA3633+1))),INDEX(DATAS,AA3633+1),"")</f>
        <v/>
      </c>
      <c r="AI3633" s="51" t="str">
        <f aca="false">IF(AND(AC3633=1,AA3633&lt;1),IF(AND(C3634=C3633,AA3634=AA3633+1),IF(AC3634=1,"",INDEX(DATAS,AA3633+1)),INDEX(DATAS,AA3633+1)),"")</f>
        <v/>
      </c>
    </row>
    <row r="3634" customFormat="false" ht="15" hidden="false" customHeight="false" outlineLevel="0" collapsed="false">
      <c r="A3634" s="51" t="n">
        <v>46309</v>
      </c>
      <c r="B3634" s="0" t="n">
        <v>16</v>
      </c>
      <c r="C3634" s="0" t="n">
        <v>8098</v>
      </c>
      <c r="E3634" s="0" t="n">
        <v>0</v>
      </c>
      <c r="F3634" s="46" t="s">
        <v>1658</v>
      </c>
      <c r="I3634" s="46" t="s">
        <v>179</v>
      </c>
      <c r="U3634" s="0" t="n">
        <v>42</v>
      </c>
      <c r="V3634" s="0" t="n">
        <v>0</v>
      </c>
      <c r="X3634" s="46" t="n">
        <f aca="false">IF(I3634="Male",0,1)</f>
        <v>1</v>
      </c>
      <c r="Y3634" s="46" t="n">
        <f aca="false">IF(OR(I3634="DNB",I3634="Dry DNB"),1,0)</f>
        <v>0</v>
      </c>
      <c r="Z3634" s="0" t="str">
        <f aca="false">IF(ISNUMBER(W3634),A3634-W3634,"")</f>
        <v/>
      </c>
      <c r="AA3634" s="46" t="n">
        <f aca="false">MATCH(A3634,DATAS,0)</f>
        <v>1</v>
      </c>
      <c r="AB3634" s="46" t="n">
        <f aca="false">IF(AND(E3634&gt;0,OR(AND(B3634&gt;=1,B3634&lt;=6),B3634=10)),1,0)</f>
        <v>0</v>
      </c>
      <c r="AC3634" s="46" t="n">
        <f aca="false">IF(AND(E3634&gt;0,B3634=10),1,0)</f>
        <v>0</v>
      </c>
      <c r="AD3634" s="0" t="str">
        <f aca="false">IF(AND(C3633=C3634,AA3633=AA3634-1),AB3633,"")</f>
        <v/>
      </c>
      <c r="AE3634" s="0" t="str">
        <f aca="false">IF(AND(C3633=C3634,AA3633=AA3634-1),AC3633,"")</f>
        <v/>
      </c>
      <c r="AF3634" s="0" t="str">
        <f aca="false">IF(AA3634=1,"",IF(AND(AB3634=1,AD3634&lt;&gt;1),1,0))</f>
        <v/>
      </c>
      <c r="AG3634" s="0" t="str">
        <f aca="false">IF(AA3634=1,"",IF(AND(AC3634=1,AE3634&lt;&gt;1),1,0))</f>
        <v/>
      </c>
      <c r="AH3634" s="51" t="str">
        <f aca="false">IF(AND(E3634&gt;0,AA3634&lt;1,NOT(AND(C3635=C3634,AA3635=AA3634+1))),INDEX(DATAS,AA3634+1),"")</f>
        <v/>
      </c>
      <c r="AI3634" s="51" t="str">
        <f aca="false">IF(AND(AC3634=1,AA3634&lt;1),IF(AND(C3635=C3634,AA3635=AA3634+1),IF(AC3635=1,"",INDEX(DATAS,AA3634+1)),INDEX(DATAS,AA3634+1)),"")</f>
        <v/>
      </c>
    </row>
    <row r="3635" customFormat="false" ht="15" hidden="false" customHeight="false" outlineLevel="0" collapsed="false">
      <c r="A3635" s="51" t="n">
        <v>46309</v>
      </c>
      <c r="B3635" s="0" t="n">
        <v>16</v>
      </c>
      <c r="C3635" s="0" t="n">
        <v>8099</v>
      </c>
      <c r="E3635" s="0" t="n">
        <v>0</v>
      </c>
      <c r="F3635" s="46" t="s">
        <v>1659</v>
      </c>
      <c r="I3635" s="46" t="s">
        <v>179</v>
      </c>
      <c r="U3635" s="0" t="n">
        <v>41</v>
      </c>
      <c r="V3635" s="0" t="n">
        <v>0</v>
      </c>
      <c r="X3635" s="46" t="n">
        <f aca="false">IF(I3635="Male",0,1)</f>
        <v>1</v>
      </c>
      <c r="Y3635" s="46" t="n">
        <f aca="false">IF(OR(I3635="DNB",I3635="Dry DNB"),1,0)</f>
        <v>0</v>
      </c>
      <c r="Z3635" s="0" t="str">
        <f aca="false">IF(ISNUMBER(W3635),A3635-W3635,"")</f>
        <v/>
      </c>
      <c r="AA3635" s="46" t="n">
        <f aca="false">MATCH(A3635,DATAS,0)</f>
        <v>1</v>
      </c>
      <c r="AB3635" s="46" t="n">
        <f aca="false">IF(AND(E3635&gt;0,OR(AND(B3635&gt;=1,B3635&lt;=6),B3635=10)),1,0)</f>
        <v>0</v>
      </c>
      <c r="AC3635" s="46" t="n">
        <f aca="false">IF(AND(E3635&gt;0,B3635=10),1,0)</f>
        <v>0</v>
      </c>
      <c r="AD3635" s="0" t="str">
        <f aca="false">IF(AND(C3634=C3635,AA3634=AA3635-1),AB3634,"")</f>
        <v/>
      </c>
      <c r="AE3635" s="0" t="str">
        <f aca="false">IF(AND(C3634=C3635,AA3634=AA3635-1),AC3634,"")</f>
        <v/>
      </c>
      <c r="AF3635" s="0" t="str">
        <f aca="false">IF(AA3635=1,"",IF(AND(AB3635=1,AD3635&lt;&gt;1),1,0))</f>
        <v/>
      </c>
      <c r="AG3635" s="0" t="str">
        <f aca="false">IF(AA3635=1,"",IF(AND(AC3635=1,AE3635&lt;&gt;1),1,0))</f>
        <v/>
      </c>
      <c r="AH3635" s="51" t="str">
        <f aca="false">IF(AND(E3635&gt;0,AA3635&lt;1,NOT(AND(C3636=C3635,AA3636=AA3635+1))),INDEX(DATAS,AA3635+1),"")</f>
        <v/>
      </c>
      <c r="AI3635" s="51" t="str">
        <f aca="false">IF(AND(AC3635=1,AA3635&lt;1),IF(AND(C3636=C3635,AA3636=AA3635+1),IF(AC3636=1,"",INDEX(DATAS,AA3635+1)),INDEX(DATAS,AA3635+1)),"")</f>
        <v/>
      </c>
    </row>
    <row r="3636" customFormat="false" ht="15" hidden="false" customHeight="false" outlineLevel="0" collapsed="false">
      <c r="A3636" s="51" t="n">
        <v>46309</v>
      </c>
      <c r="B3636" s="0" t="n">
        <v>16</v>
      </c>
      <c r="C3636" s="0" t="n">
        <v>8100</v>
      </c>
      <c r="E3636" s="0" t="n">
        <v>0</v>
      </c>
      <c r="F3636" s="46" t="s">
        <v>1659</v>
      </c>
      <c r="I3636" s="46" t="s">
        <v>179</v>
      </c>
      <c r="U3636" s="0" t="n">
        <v>41</v>
      </c>
      <c r="V3636" s="0" t="n">
        <v>0</v>
      </c>
      <c r="X3636" s="46" t="n">
        <f aca="false">IF(I3636="Male",0,1)</f>
        <v>1</v>
      </c>
      <c r="Y3636" s="46" t="n">
        <f aca="false">IF(OR(I3636="DNB",I3636="Dry DNB"),1,0)</f>
        <v>0</v>
      </c>
      <c r="Z3636" s="0" t="str">
        <f aca="false">IF(ISNUMBER(W3636),A3636-W3636,"")</f>
        <v/>
      </c>
      <c r="AA3636" s="46" t="n">
        <f aca="false">MATCH(A3636,DATAS,0)</f>
        <v>1</v>
      </c>
      <c r="AB3636" s="46" t="n">
        <f aca="false">IF(AND(E3636&gt;0,OR(AND(B3636&gt;=1,B3636&lt;=6),B3636=10)),1,0)</f>
        <v>0</v>
      </c>
      <c r="AC3636" s="46" t="n">
        <f aca="false">IF(AND(E3636&gt;0,B3636=10),1,0)</f>
        <v>0</v>
      </c>
      <c r="AD3636" s="0" t="str">
        <f aca="false">IF(AND(C3635=C3636,AA3635=AA3636-1),AB3635,"")</f>
        <v/>
      </c>
      <c r="AE3636" s="0" t="str">
        <f aca="false">IF(AND(C3635=C3636,AA3635=AA3636-1),AC3635,"")</f>
        <v/>
      </c>
      <c r="AF3636" s="0" t="str">
        <f aca="false">IF(AA3636=1,"",IF(AND(AB3636=1,AD3636&lt;&gt;1),1,0))</f>
        <v/>
      </c>
      <c r="AG3636" s="0" t="str">
        <f aca="false">IF(AA3636=1,"",IF(AND(AC3636=1,AE3636&lt;&gt;1),1,0))</f>
        <v/>
      </c>
      <c r="AH3636" s="51" t="str">
        <f aca="false">IF(AND(E3636&gt;0,AA3636&lt;1,NOT(AND(C3637=C3636,AA3637=AA3636+1))),INDEX(DATAS,AA3636+1),"")</f>
        <v/>
      </c>
      <c r="AI3636" s="51" t="str">
        <f aca="false">IF(AND(AC3636=1,AA3636&lt;1),IF(AND(C3637=C3636,AA3637=AA3636+1),IF(AC3637=1,"",INDEX(DATAS,AA3636+1)),INDEX(DATAS,AA3636+1)),"")</f>
        <v/>
      </c>
    </row>
    <row r="3637" customFormat="false" ht="15" hidden="false" customHeight="false" outlineLevel="0" collapsed="false">
      <c r="A3637" s="51" t="n">
        <v>46309</v>
      </c>
      <c r="B3637" s="0" t="n">
        <v>16</v>
      </c>
      <c r="C3637" s="0" t="n">
        <v>8101</v>
      </c>
      <c r="E3637" s="0" t="n">
        <v>0</v>
      </c>
      <c r="F3637" s="46" t="s">
        <v>1660</v>
      </c>
      <c r="I3637" s="46" t="s">
        <v>179</v>
      </c>
      <c r="U3637" s="0" t="n">
        <v>40</v>
      </c>
      <c r="V3637" s="0" t="n">
        <v>0</v>
      </c>
      <c r="X3637" s="46" t="n">
        <f aca="false">IF(I3637="Male",0,1)</f>
        <v>1</v>
      </c>
      <c r="Y3637" s="46" t="n">
        <f aca="false">IF(OR(I3637="DNB",I3637="Dry DNB"),1,0)</f>
        <v>0</v>
      </c>
      <c r="Z3637" s="0" t="str">
        <f aca="false">IF(ISNUMBER(W3637),A3637-W3637,"")</f>
        <v/>
      </c>
      <c r="AA3637" s="46" t="n">
        <f aca="false">MATCH(A3637,DATAS,0)</f>
        <v>1</v>
      </c>
      <c r="AB3637" s="46" t="n">
        <f aca="false">IF(AND(E3637&gt;0,OR(AND(B3637&gt;=1,B3637&lt;=6),B3637=10)),1,0)</f>
        <v>0</v>
      </c>
      <c r="AC3637" s="46" t="n">
        <f aca="false">IF(AND(E3637&gt;0,B3637=10),1,0)</f>
        <v>0</v>
      </c>
      <c r="AD3637" s="0" t="str">
        <f aca="false">IF(AND(C3636=C3637,AA3636=AA3637-1),AB3636,"")</f>
        <v/>
      </c>
      <c r="AE3637" s="0" t="str">
        <f aca="false">IF(AND(C3636=C3637,AA3636=AA3637-1),AC3636,"")</f>
        <v/>
      </c>
      <c r="AF3637" s="0" t="str">
        <f aca="false">IF(AA3637=1,"",IF(AND(AB3637=1,AD3637&lt;&gt;1),1,0))</f>
        <v/>
      </c>
      <c r="AG3637" s="0" t="str">
        <f aca="false">IF(AA3637=1,"",IF(AND(AC3637=1,AE3637&lt;&gt;1),1,0))</f>
        <v/>
      </c>
      <c r="AH3637" s="51" t="str">
        <f aca="false">IF(AND(E3637&gt;0,AA3637&lt;1,NOT(AND(C3638=C3637,AA3638=AA3637+1))),INDEX(DATAS,AA3637+1),"")</f>
        <v/>
      </c>
      <c r="AI3637" s="51" t="str">
        <f aca="false">IF(AND(AC3637=1,AA3637&lt;1),IF(AND(C3638=C3637,AA3638=AA3637+1),IF(AC3638=1,"",INDEX(DATAS,AA3637+1)),INDEX(DATAS,AA3637+1)),"")</f>
        <v/>
      </c>
    </row>
    <row r="3638" customFormat="false" ht="15" hidden="false" customHeight="false" outlineLevel="0" collapsed="false">
      <c r="A3638" s="51" t="n">
        <v>46309</v>
      </c>
      <c r="B3638" s="0" t="n">
        <v>16</v>
      </c>
      <c r="C3638" s="0" t="n">
        <v>8102</v>
      </c>
      <c r="E3638" s="0" t="n">
        <v>0</v>
      </c>
      <c r="F3638" s="46" t="s">
        <v>1661</v>
      </c>
      <c r="I3638" s="46" t="s">
        <v>179</v>
      </c>
      <c r="U3638" s="0" t="n">
        <v>39</v>
      </c>
      <c r="V3638" s="0" t="n">
        <v>0</v>
      </c>
      <c r="X3638" s="46" t="n">
        <f aca="false">IF(I3638="Male",0,1)</f>
        <v>1</v>
      </c>
      <c r="Y3638" s="46" t="n">
        <f aca="false">IF(OR(I3638="DNB",I3638="Dry DNB"),1,0)</f>
        <v>0</v>
      </c>
      <c r="Z3638" s="0" t="str">
        <f aca="false">IF(ISNUMBER(W3638),A3638-W3638,"")</f>
        <v/>
      </c>
      <c r="AA3638" s="46" t="n">
        <f aca="false">MATCH(A3638,DATAS,0)</f>
        <v>1</v>
      </c>
      <c r="AB3638" s="46" t="n">
        <f aca="false">IF(AND(E3638&gt;0,OR(AND(B3638&gt;=1,B3638&lt;=6),B3638=10)),1,0)</f>
        <v>0</v>
      </c>
      <c r="AC3638" s="46" t="n">
        <f aca="false">IF(AND(E3638&gt;0,B3638=10),1,0)</f>
        <v>0</v>
      </c>
      <c r="AD3638" s="0" t="str">
        <f aca="false">IF(AND(C3637=C3638,AA3637=AA3638-1),AB3637,"")</f>
        <v/>
      </c>
      <c r="AE3638" s="0" t="str">
        <f aca="false">IF(AND(C3637=C3638,AA3637=AA3638-1),AC3637,"")</f>
        <v/>
      </c>
      <c r="AF3638" s="0" t="str">
        <f aca="false">IF(AA3638=1,"",IF(AND(AB3638=1,AD3638&lt;&gt;1),1,0))</f>
        <v/>
      </c>
      <c r="AG3638" s="0" t="str">
        <f aca="false">IF(AA3638=1,"",IF(AND(AC3638=1,AE3638&lt;&gt;1),1,0))</f>
        <v/>
      </c>
      <c r="AH3638" s="51" t="str">
        <f aca="false">IF(AND(E3638&gt;0,AA3638&lt;1,NOT(AND(C3639=C3638,AA3639=AA3638+1))),INDEX(DATAS,AA3638+1),"")</f>
        <v/>
      </c>
      <c r="AI3638" s="51" t="str">
        <f aca="false">IF(AND(AC3638=1,AA3638&lt;1),IF(AND(C3639=C3638,AA3639=AA3638+1),IF(AC3639=1,"",INDEX(DATAS,AA3638+1)),INDEX(DATAS,AA3638+1)),"")</f>
        <v/>
      </c>
    </row>
    <row r="3639" customFormat="false" ht="15" hidden="false" customHeight="false" outlineLevel="0" collapsed="false">
      <c r="A3639" s="51" t="n">
        <v>46309</v>
      </c>
      <c r="B3639" s="0" t="n">
        <v>16</v>
      </c>
      <c r="C3639" s="0" t="n">
        <v>8103</v>
      </c>
      <c r="E3639" s="0" t="n">
        <v>0</v>
      </c>
      <c r="F3639" s="46" t="s">
        <v>1662</v>
      </c>
      <c r="I3639" s="46" t="s">
        <v>179</v>
      </c>
      <c r="U3639" s="0" t="n">
        <v>38</v>
      </c>
      <c r="V3639" s="0" t="n">
        <v>0</v>
      </c>
      <c r="X3639" s="46" t="n">
        <f aca="false">IF(I3639="Male",0,1)</f>
        <v>1</v>
      </c>
      <c r="Y3639" s="46" t="n">
        <f aca="false">IF(OR(I3639="DNB",I3639="Dry DNB"),1,0)</f>
        <v>0</v>
      </c>
      <c r="Z3639" s="0" t="str">
        <f aca="false">IF(ISNUMBER(W3639),A3639-W3639,"")</f>
        <v/>
      </c>
      <c r="AA3639" s="46" t="n">
        <f aca="false">MATCH(A3639,DATAS,0)</f>
        <v>1</v>
      </c>
      <c r="AB3639" s="46" t="n">
        <f aca="false">IF(AND(E3639&gt;0,OR(AND(B3639&gt;=1,B3639&lt;=6),B3639=10)),1,0)</f>
        <v>0</v>
      </c>
      <c r="AC3639" s="46" t="n">
        <f aca="false">IF(AND(E3639&gt;0,B3639=10),1,0)</f>
        <v>0</v>
      </c>
      <c r="AD3639" s="0" t="str">
        <f aca="false">IF(AND(C3638=C3639,AA3638=AA3639-1),AB3638,"")</f>
        <v/>
      </c>
      <c r="AE3639" s="0" t="str">
        <f aca="false">IF(AND(C3638=C3639,AA3638=AA3639-1),AC3638,"")</f>
        <v/>
      </c>
      <c r="AF3639" s="0" t="str">
        <f aca="false">IF(AA3639=1,"",IF(AND(AB3639=1,AD3639&lt;&gt;1),1,0))</f>
        <v/>
      </c>
      <c r="AG3639" s="0" t="str">
        <f aca="false">IF(AA3639=1,"",IF(AND(AC3639=1,AE3639&lt;&gt;1),1,0))</f>
        <v/>
      </c>
      <c r="AH3639" s="51" t="str">
        <f aca="false">IF(AND(E3639&gt;0,AA3639&lt;1,NOT(AND(C3640=C3639,AA3640=AA3639+1))),INDEX(DATAS,AA3639+1),"")</f>
        <v/>
      </c>
      <c r="AI3639" s="51" t="str">
        <f aca="false">IF(AND(AC3639=1,AA3639&lt;1),IF(AND(C3640=C3639,AA3640=AA3639+1),IF(AC3640=1,"",INDEX(DATAS,AA3639+1)),INDEX(DATAS,AA3639+1)),"")</f>
        <v/>
      </c>
    </row>
    <row r="3640" customFormat="false" ht="15" hidden="false" customHeight="false" outlineLevel="0" collapsed="false">
      <c r="A3640" s="51" t="n">
        <v>46309</v>
      </c>
      <c r="B3640" s="0" t="n">
        <v>16</v>
      </c>
      <c r="C3640" s="0" t="n">
        <v>8104</v>
      </c>
      <c r="E3640" s="0" t="n">
        <v>0</v>
      </c>
      <c r="F3640" s="46" t="s">
        <v>1662</v>
      </c>
      <c r="I3640" s="46" t="s">
        <v>179</v>
      </c>
      <c r="U3640" s="0" t="n">
        <v>38</v>
      </c>
      <c r="V3640" s="0" t="n">
        <v>0</v>
      </c>
      <c r="X3640" s="46" t="n">
        <f aca="false">IF(I3640="Male",0,1)</f>
        <v>1</v>
      </c>
      <c r="Y3640" s="46" t="n">
        <f aca="false">IF(OR(I3640="DNB",I3640="Dry DNB"),1,0)</f>
        <v>0</v>
      </c>
      <c r="Z3640" s="0" t="str">
        <f aca="false">IF(ISNUMBER(W3640),A3640-W3640,"")</f>
        <v/>
      </c>
      <c r="AA3640" s="46" t="n">
        <f aca="false">MATCH(A3640,DATAS,0)</f>
        <v>1</v>
      </c>
      <c r="AB3640" s="46" t="n">
        <f aca="false">IF(AND(E3640&gt;0,OR(AND(B3640&gt;=1,B3640&lt;=6),B3640=10)),1,0)</f>
        <v>0</v>
      </c>
      <c r="AC3640" s="46" t="n">
        <f aca="false">IF(AND(E3640&gt;0,B3640=10),1,0)</f>
        <v>0</v>
      </c>
      <c r="AD3640" s="0" t="str">
        <f aca="false">IF(AND(C3639=C3640,AA3639=AA3640-1),AB3639,"")</f>
        <v/>
      </c>
      <c r="AE3640" s="0" t="str">
        <f aca="false">IF(AND(C3639=C3640,AA3639=AA3640-1),AC3639,"")</f>
        <v/>
      </c>
      <c r="AF3640" s="0" t="str">
        <f aca="false">IF(AA3640=1,"",IF(AND(AB3640=1,AD3640&lt;&gt;1),1,0))</f>
        <v/>
      </c>
      <c r="AG3640" s="0" t="str">
        <f aca="false">IF(AA3640=1,"",IF(AND(AC3640=1,AE3640&lt;&gt;1),1,0))</f>
        <v/>
      </c>
      <c r="AH3640" s="51" t="str">
        <f aca="false">IF(AND(E3640&gt;0,AA3640&lt;1,NOT(AND(C3641=C3640,AA3641=AA3640+1))),INDEX(DATAS,AA3640+1),"")</f>
        <v/>
      </c>
      <c r="AI3640" s="51" t="str">
        <f aca="false">IF(AND(AC3640=1,AA3640&lt;1),IF(AND(C3641=C3640,AA3641=AA3640+1),IF(AC3641=1,"",INDEX(DATAS,AA3640+1)),INDEX(DATAS,AA3640+1)),"")</f>
        <v/>
      </c>
    </row>
    <row r="3641" customFormat="false" ht="15" hidden="false" customHeight="false" outlineLevel="0" collapsed="false">
      <c r="A3641" s="51" t="n">
        <v>46309</v>
      </c>
      <c r="B3641" s="0" t="n">
        <v>16</v>
      </c>
      <c r="C3641" s="0" t="n">
        <v>8105</v>
      </c>
      <c r="E3641" s="0" t="n">
        <v>0</v>
      </c>
      <c r="F3641" s="46" t="s">
        <v>1663</v>
      </c>
      <c r="I3641" s="46" t="s">
        <v>179</v>
      </c>
      <c r="U3641" s="0" t="n">
        <v>37</v>
      </c>
      <c r="V3641" s="0" t="n">
        <v>0</v>
      </c>
      <c r="X3641" s="46" t="n">
        <f aca="false">IF(I3641="Male",0,1)</f>
        <v>1</v>
      </c>
      <c r="Y3641" s="46" t="n">
        <f aca="false">IF(OR(I3641="DNB",I3641="Dry DNB"),1,0)</f>
        <v>0</v>
      </c>
      <c r="Z3641" s="0" t="str">
        <f aca="false">IF(ISNUMBER(W3641),A3641-W3641,"")</f>
        <v/>
      </c>
      <c r="AA3641" s="46" t="n">
        <f aca="false">MATCH(A3641,DATAS,0)</f>
        <v>1</v>
      </c>
      <c r="AB3641" s="46" t="n">
        <f aca="false">IF(AND(E3641&gt;0,OR(AND(B3641&gt;=1,B3641&lt;=6),B3641=10)),1,0)</f>
        <v>0</v>
      </c>
      <c r="AC3641" s="46" t="n">
        <f aca="false">IF(AND(E3641&gt;0,B3641=10),1,0)</f>
        <v>0</v>
      </c>
      <c r="AD3641" s="0" t="str">
        <f aca="false">IF(AND(C3640=C3641,AA3640=AA3641-1),AB3640,"")</f>
        <v/>
      </c>
      <c r="AE3641" s="0" t="str">
        <f aca="false">IF(AND(C3640=C3641,AA3640=AA3641-1),AC3640,"")</f>
        <v/>
      </c>
      <c r="AF3641" s="0" t="str">
        <f aca="false">IF(AA3641=1,"",IF(AND(AB3641=1,AD3641&lt;&gt;1),1,0))</f>
        <v/>
      </c>
      <c r="AG3641" s="0" t="str">
        <f aca="false">IF(AA3641=1,"",IF(AND(AC3641=1,AE3641&lt;&gt;1),1,0))</f>
        <v/>
      </c>
      <c r="AH3641" s="51" t="str">
        <f aca="false">IF(AND(E3641&gt;0,AA3641&lt;1,NOT(AND(C3642=C3641,AA3642=AA3641+1))),INDEX(DATAS,AA3641+1),"")</f>
        <v/>
      </c>
      <c r="AI3641" s="51" t="str">
        <f aca="false">IF(AND(AC3641=1,AA3641&lt;1),IF(AND(C3642=C3641,AA3642=AA3641+1),IF(AC3642=1,"",INDEX(DATAS,AA3641+1)),INDEX(DATAS,AA3641+1)),"")</f>
        <v/>
      </c>
    </row>
    <row r="3642" customFormat="false" ht="15" hidden="false" customHeight="false" outlineLevel="0" collapsed="false">
      <c r="A3642" s="51" t="n">
        <v>46309</v>
      </c>
      <c r="B3642" s="0" t="n">
        <v>16</v>
      </c>
      <c r="C3642" s="0" t="n">
        <v>8106</v>
      </c>
      <c r="E3642" s="0" t="n">
        <v>0</v>
      </c>
      <c r="F3642" s="46" t="s">
        <v>1663</v>
      </c>
      <c r="I3642" s="46" t="s">
        <v>179</v>
      </c>
      <c r="U3642" s="0" t="n">
        <v>37</v>
      </c>
      <c r="V3642" s="0" t="n">
        <v>0</v>
      </c>
      <c r="X3642" s="46" t="n">
        <f aca="false">IF(I3642="Male",0,1)</f>
        <v>1</v>
      </c>
      <c r="Y3642" s="46" t="n">
        <f aca="false">IF(OR(I3642="DNB",I3642="Dry DNB"),1,0)</f>
        <v>0</v>
      </c>
      <c r="Z3642" s="0" t="str">
        <f aca="false">IF(ISNUMBER(W3642),A3642-W3642,"")</f>
        <v/>
      </c>
      <c r="AA3642" s="46" t="n">
        <f aca="false">MATCH(A3642,DATAS,0)</f>
        <v>1</v>
      </c>
      <c r="AB3642" s="46" t="n">
        <f aca="false">IF(AND(E3642&gt;0,OR(AND(B3642&gt;=1,B3642&lt;=6),B3642=10)),1,0)</f>
        <v>0</v>
      </c>
      <c r="AC3642" s="46" t="n">
        <f aca="false">IF(AND(E3642&gt;0,B3642=10),1,0)</f>
        <v>0</v>
      </c>
      <c r="AD3642" s="0" t="str">
        <f aca="false">IF(AND(C3641=C3642,AA3641=AA3642-1),AB3641,"")</f>
        <v/>
      </c>
      <c r="AE3642" s="0" t="str">
        <f aca="false">IF(AND(C3641=C3642,AA3641=AA3642-1),AC3641,"")</f>
        <v/>
      </c>
      <c r="AF3642" s="0" t="str">
        <f aca="false">IF(AA3642=1,"",IF(AND(AB3642=1,AD3642&lt;&gt;1),1,0))</f>
        <v/>
      </c>
      <c r="AG3642" s="0" t="str">
        <f aca="false">IF(AA3642=1,"",IF(AND(AC3642=1,AE3642&lt;&gt;1),1,0))</f>
        <v/>
      </c>
      <c r="AH3642" s="51" t="str">
        <f aca="false">IF(AND(E3642&gt;0,AA3642&lt;1,NOT(AND(C3643=C3642,AA3643=AA3642+1))),INDEX(DATAS,AA3642+1),"")</f>
        <v/>
      </c>
      <c r="AI3642" s="51" t="str">
        <f aca="false">IF(AND(AC3642=1,AA3642&lt;1),IF(AND(C3643=C3642,AA3643=AA3642+1),IF(AC3643=1,"",INDEX(DATAS,AA3642+1)),INDEX(DATAS,AA3642+1)),"")</f>
        <v/>
      </c>
    </row>
    <row r="3643" customFormat="false" ht="15" hidden="false" customHeight="false" outlineLevel="0" collapsed="false">
      <c r="A3643" s="51" t="n">
        <v>46309</v>
      </c>
      <c r="B3643" s="0" t="n">
        <v>16</v>
      </c>
      <c r="C3643" s="0" t="n">
        <v>8107</v>
      </c>
      <c r="E3643" s="0" t="n">
        <v>0</v>
      </c>
      <c r="F3643" s="46" t="s">
        <v>1663</v>
      </c>
      <c r="I3643" s="46" t="s">
        <v>179</v>
      </c>
      <c r="U3643" s="0" t="n">
        <v>37</v>
      </c>
      <c r="V3643" s="0" t="n">
        <v>0</v>
      </c>
      <c r="X3643" s="46" t="n">
        <f aca="false">IF(I3643="Male",0,1)</f>
        <v>1</v>
      </c>
      <c r="Y3643" s="46" t="n">
        <f aca="false">IF(OR(I3643="DNB",I3643="Dry DNB"),1,0)</f>
        <v>0</v>
      </c>
      <c r="Z3643" s="0" t="str">
        <f aca="false">IF(ISNUMBER(W3643),A3643-W3643,"")</f>
        <v/>
      </c>
      <c r="AA3643" s="46" t="n">
        <f aca="false">MATCH(A3643,DATAS,0)</f>
        <v>1</v>
      </c>
      <c r="AB3643" s="46" t="n">
        <f aca="false">IF(AND(E3643&gt;0,OR(AND(B3643&gt;=1,B3643&lt;=6),B3643=10)),1,0)</f>
        <v>0</v>
      </c>
      <c r="AC3643" s="46" t="n">
        <f aca="false">IF(AND(E3643&gt;0,B3643=10),1,0)</f>
        <v>0</v>
      </c>
      <c r="AD3643" s="0" t="str">
        <f aca="false">IF(AND(C3642=C3643,AA3642=AA3643-1),AB3642,"")</f>
        <v/>
      </c>
      <c r="AE3643" s="0" t="str">
        <f aca="false">IF(AND(C3642=C3643,AA3642=AA3643-1),AC3642,"")</f>
        <v/>
      </c>
      <c r="AF3643" s="0" t="str">
        <f aca="false">IF(AA3643=1,"",IF(AND(AB3643=1,AD3643&lt;&gt;1),1,0))</f>
        <v/>
      </c>
      <c r="AG3643" s="0" t="str">
        <f aca="false">IF(AA3643=1,"",IF(AND(AC3643=1,AE3643&lt;&gt;1),1,0))</f>
        <v/>
      </c>
      <c r="AH3643" s="51" t="str">
        <f aca="false">IF(AND(E3643&gt;0,AA3643&lt;1,NOT(AND(C3644=C3643,AA3644=AA3643+1))),INDEX(DATAS,AA3643+1),"")</f>
        <v/>
      </c>
      <c r="AI3643" s="51" t="str">
        <f aca="false">IF(AND(AC3643=1,AA3643&lt;1),IF(AND(C3644=C3643,AA3644=AA3643+1),IF(AC3644=1,"",INDEX(DATAS,AA3643+1)),INDEX(DATAS,AA3643+1)),"")</f>
        <v/>
      </c>
    </row>
    <row r="3644" customFormat="false" ht="15" hidden="false" customHeight="false" outlineLevel="0" collapsed="false">
      <c r="A3644" s="51" t="n">
        <v>46309</v>
      </c>
      <c r="B3644" s="0" t="n">
        <v>16</v>
      </c>
      <c r="C3644" s="0" t="n">
        <v>8108</v>
      </c>
      <c r="E3644" s="0" t="n">
        <v>0</v>
      </c>
      <c r="F3644" s="46" t="s">
        <v>1663</v>
      </c>
      <c r="I3644" s="46" t="s">
        <v>179</v>
      </c>
      <c r="U3644" s="0" t="n">
        <v>37</v>
      </c>
      <c r="V3644" s="0" t="n">
        <v>0</v>
      </c>
      <c r="X3644" s="46" t="n">
        <f aca="false">IF(I3644="Male",0,1)</f>
        <v>1</v>
      </c>
      <c r="Y3644" s="46" t="n">
        <f aca="false">IF(OR(I3644="DNB",I3644="Dry DNB"),1,0)</f>
        <v>0</v>
      </c>
      <c r="Z3644" s="0" t="str">
        <f aca="false">IF(ISNUMBER(W3644),A3644-W3644,"")</f>
        <v/>
      </c>
      <c r="AA3644" s="46" t="n">
        <f aca="false">MATCH(A3644,DATAS,0)</f>
        <v>1</v>
      </c>
      <c r="AB3644" s="46" t="n">
        <f aca="false">IF(AND(E3644&gt;0,OR(AND(B3644&gt;=1,B3644&lt;=6),B3644=10)),1,0)</f>
        <v>0</v>
      </c>
      <c r="AC3644" s="46" t="n">
        <f aca="false">IF(AND(E3644&gt;0,B3644=10),1,0)</f>
        <v>0</v>
      </c>
      <c r="AD3644" s="0" t="str">
        <f aca="false">IF(AND(C3643=C3644,AA3643=AA3644-1),AB3643,"")</f>
        <v/>
      </c>
      <c r="AE3644" s="0" t="str">
        <f aca="false">IF(AND(C3643=C3644,AA3643=AA3644-1),AC3643,"")</f>
        <v/>
      </c>
      <c r="AF3644" s="0" t="str">
        <f aca="false">IF(AA3644=1,"",IF(AND(AB3644=1,AD3644&lt;&gt;1),1,0))</f>
        <v/>
      </c>
      <c r="AG3644" s="0" t="str">
        <f aca="false">IF(AA3644=1,"",IF(AND(AC3644=1,AE3644&lt;&gt;1),1,0))</f>
        <v/>
      </c>
      <c r="AH3644" s="51" t="str">
        <f aca="false">IF(AND(E3644&gt;0,AA3644&lt;1,NOT(AND(C3645=C3644,AA3645=AA3644+1))),INDEX(DATAS,AA3644+1),"")</f>
        <v/>
      </c>
      <c r="AI3644" s="51" t="str">
        <f aca="false">IF(AND(AC3644=1,AA3644&lt;1),IF(AND(C3645=C3644,AA3645=AA3644+1),IF(AC3645=1,"",INDEX(DATAS,AA3644+1)),INDEX(DATAS,AA3644+1)),"")</f>
        <v/>
      </c>
    </row>
    <row r="3645" customFormat="false" ht="15" hidden="false" customHeight="false" outlineLevel="0" collapsed="false">
      <c r="A3645" s="51" t="n">
        <v>46309</v>
      </c>
      <c r="B3645" s="0" t="n">
        <v>16</v>
      </c>
      <c r="C3645" s="0" t="n">
        <v>8109</v>
      </c>
      <c r="E3645" s="0" t="n">
        <v>0</v>
      </c>
      <c r="F3645" s="46" t="s">
        <v>1664</v>
      </c>
      <c r="I3645" s="46" t="s">
        <v>179</v>
      </c>
      <c r="U3645" s="0" t="n">
        <v>36</v>
      </c>
      <c r="V3645" s="0" t="n">
        <v>0</v>
      </c>
      <c r="X3645" s="46" t="n">
        <f aca="false">IF(I3645="Male",0,1)</f>
        <v>1</v>
      </c>
      <c r="Y3645" s="46" t="n">
        <f aca="false">IF(OR(I3645="DNB",I3645="Dry DNB"),1,0)</f>
        <v>0</v>
      </c>
      <c r="Z3645" s="0" t="str">
        <f aca="false">IF(ISNUMBER(W3645),A3645-W3645,"")</f>
        <v/>
      </c>
      <c r="AA3645" s="46" t="n">
        <f aca="false">MATCH(A3645,DATAS,0)</f>
        <v>1</v>
      </c>
      <c r="AB3645" s="46" t="n">
        <f aca="false">IF(AND(E3645&gt;0,OR(AND(B3645&gt;=1,B3645&lt;=6),B3645=10)),1,0)</f>
        <v>0</v>
      </c>
      <c r="AC3645" s="46" t="n">
        <f aca="false">IF(AND(E3645&gt;0,B3645=10),1,0)</f>
        <v>0</v>
      </c>
      <c r="AD3645" s="0" t="str">
        <f aca="false">IF(AND(C3644=C3645,AA3644=AA3645-1),AB3644,"")</f>
        <v/>
      </c>
      <c r="AE3645" s="0" t="str">
        <f aca="false">IF(AND(C3644=C3645,AA3644=AA3645-1),AC3644,"")</f>
        <v/>
      </c>
      <c r="AF3645" s="0" t="str">
        <f aca="false">IF(AA3645=1,"",IF(AND(AB3645=1,AD3645&lt;&gt;1),1,0))</f>
        <v/>
      </c>
      <c r="AG3645" s="0" t="str">
        <f aca="false">IF(AA3645=1,"",IF(AND(AC3645=1,AE3645&lt;&gt;1),1,0))</f>
        <v/>
      </c>
      <c r="AH3645" s="51" t="str">
        <f aca="false">IF(AND(E3645&gt;0,AA3645&lt;1,NOT(AND(C3646=C3645,AA3646=AA3645+1))),INDEX(DATAS,AA3645+1),"")</f>
        <v/>
      </c>
      <c r="AI3645" s="51" t="str">
        <f aca="false">IF(AND(AC3645=1,AA3645&lt;1),IF(AND(C3646=C3645,AA3646=AA3645+1),IF(AC3646=1,"",INDEX(DATAS,AA3645+1)),INDEX(DATAS,AA3645+1)),"")</f>
        <v/>
      </c>
    </row>
    <row r="3646" customFormat="false" ht="15" hidden="false" customHeight="false" outlineLevel="0" collapsed="false">
      <c r="A3646" s="51" t="n">
        <v>46309</v>
      </c>
      <c r="B3646" s="0" t="n">
        <v>16</v>
      </c>
      <c r="C3646" s="0" t="n">
        <v>8110</v>
      </c>
      <c r="E3646" s="0" t="n">
        <v>0</v>
      </c>
      <c r="F3646" s="46" t="s">
        <v>1664</v>
      </c>
      <c r="I3646" s="46" t="s">
        <v>179</v>
      </c>
      <c r="U3646" s="0" t="n">
        <v>36</v>
      </c>
      <c r="V3646" s="0" t="n">
        <v>0</v>
      </c>
      <c r="X3646" s="46" t="n">
        <f aca="false">IF(I3646="Male",0,1)</f>
        <v>1</v>
      </c>
      <c r="Y3646" s="46" t="n">
        <f aca="false">IF(OR(I3646="DNB",I3646="Dry DNB"),1,0)</f>
        <v>0</v>
      </c>
      <c r="Z3646" s="0" t="str">
        <f aca="false">IF(ISNUMBER(W3646),A3646-W3646,"")</f>
        <v/>
      </c>
      <c r="AA3646" s="46" t="n">
        <f aca="false">MATCH(A3646,DATAS,0)</f>
        <v>1</v>
      </c>
      <c r="AB3646" s="46" t="n">
        <f aca="false">IF(AND(E3646&gt;0,OR(AND(B3646&gt;=1,B3646&lt;=6),B3646=10)),1,0)</f>
        <v>0</v>
      </c>
      <c r="AC3646" s="46" t="n">
        <f aca="false">IF(AND(E3646&gt;0,B3646=10),1,0)</f>
        <v>0</v>
      </c>
      <c r="AD3646" s="0" t="str">
        <f aca="false">IF(AND(C3645=C3646,AA3645=AA3646-1),AB3645,"")</f>
        <v/>
      </c>
      <c r="AE3646" s="0" t="str">
        <f aca="false">IF(AND(C3645=C3646,AA3645=AA3646-1),AC3645,"")</f>
        <v/>
      </c>
      <c r="AF3646" s="0" t="str">
        <f aca="false">IF(AA3646=1,"",IF(AND(AB3646=1,AD3646&lt;&gt;1),1,0))</f>
        <v/>
      </c>
      <c r="AG3646" s="0" t="str">
        <f aca="false">IF(AA3646=1,"",IF(AND(AC3646=1,AE3646&lt;&gt;1),1,0))</f>
        <v/>
      </c>
      <c r="AH3646" s="51" t="str">
        <f aca="false">IF(AND(E3646&gt;0,AA3646&lt;1,NOT(AND(C3647=C3646,AA3647=AA3646+1))),INDEX(DATAS,AA3646+1),"")</f>
        <v/>
      </c>
      <c r="AI3646" s="51" t="str">
        <f aca="false">IF(AND(AC3646=1,AA3646&lt;1),IF(AND(C3647=C3646,AA3647=AA3646+1),IF(AC3647=1,"",INDEX(DATAS,AA3646+1)),INDEX(DATAS,AA3646+1)),"")</f>
        <v/>
      </c>
    </row>
    <row r="3647" customFormat="false" ht="15" hidden="false" customHeight="false" outlineLevel="0" collapsed="false">
      <c r="A3647" s="51" t="n">
        <v>46309</v>
      </c>
      <c r="B3647" s="0" t="n">
        <v>16</v>
      </c>
      <c r="C3647" s="0" t="n">
        <v>8111</v>
      </c>
      <c r="E3647" s="0" t="n">
        <v>0</v>
      </c>
      <c r="F3647" s="46" t="s">
        <v>1664</v>
      </c>
      <c r="I3647" s="46" t="s">
        <v>179</v>
      </c>
      <c r="U3647" s="0" t="n">
        <v>36</v>
      </c>
      <c r="V3647" s="0" t="n">
        <v>0</v>
      </c>
      <c r="X3647" s="46" t="n">
        <f aca="false">IF(I3647="Male",0,1)</f>
        <v>1</v>
      </c>
      <c r="Y3647" s="46" t="n">
        <f aca="false">IF(OR(I3647="DNB",I3647="Dry DNB"),1,0)</f>
        <v>0</v>
      </c>
      <c r="Z3647" s="0" t="str">
        <f aca="false">IF(ISNUMBER(W3647),A3647-W3647,"")</f>
        <v/>
      </c>
      <c r="AA3647" s="46" t="n">
        <f aca="false">MATCH(A3647,DATAS,0)</f>
        <v>1</v>
      </c>
      <c r="AB3647" s="46" t="n">
        <f aca="false">IF(AND(E3647&gt;0,OR(AND(B3647&gt;=1,B3647&lt;=6),B3647=10)),1,0)</f>
        <v>0</v>
      </c>
      <c r="AC3647" s="46" t="n">
        <f aca="false">IF(AND(E3647&gt;0,B3647=10),1,0)</f>
        <v>0</v>
      </c>
      <c r="AD3647" s="0" t="str">
        <f aca="false">IF(AND(C3646=C3647,AA3646=AA3647-1),AB3646,"")</f>
        <v/>
      </c>
      <c r="AE3647" s="0" t="str">
        <f aca="false">IF(AND(C3646=C3647,AA3646=AA3647-1),AC3646,"")</f>
        <v/>
      </c>
      <c r="AF3647" s="0" t="str">
        <f aca="false">IF(AA3647=1,"",IF(AND(AB3647=1,AD3647&lt;&gt;1),1,0))</f>
        <v/>
      </c>
      <c r="AG3647" s="0" t="str">
        <f aca="false">IF(AA3647=1,"",IF(AND(AC3647=1,AE3647&lt;&gt;1),1,0))</f>
        <v/>
      </c>
      <c r="AH3647" s="51" t="str">
        <f aca="false">IF(AND(E3647&gt;0,AA3647&lt;1,NOT(AND(C3648=C3647,AA3648=AA3647+1))),INDEX(DATAS,AA3647+1),"")</f>
        <v/>
      </c>
      <c r="AI3647" s="51" t="str">
        <f aca="false">IF(AND(AC3647=1,AA3647&lt;1),IF(AND(C3648=C3647,AA3648=AA3647+1),IF(AC3648=1,"",INDEX(DATAS,AA3647+1)),INDEX(DATAS,AA3647+1)),"")</f>
        <v/>
      </c>
    </row>
    <row r="3648" customFormat="false" ht="15" hidden="false" customHeight="false" outlineLevel="0" collapsed="false">
      <c r="A3648" s="51" t="n">
        <v>46309</v>
      </c>
      <c r="B3648" s="0" t="n">
        <v>16</v>
      </c>
      <c r="C3648" s="0" t="n">
        <v>8112</v>
      </c>
      <c r="E3648" s="0" t="n">
        <v>0</v>
      </c>
      <c r="F3648" s="46" t="s">
        <v>1665</v>
      </c>
      <c r="I3648" s="46" t="s">
        <v>179</v>
      </c>
      <c r="U3648" s="0" t="n">
        <v>35</v>
      </c>
      <c r="V3648" s="0" t="n">
        <v>0</v>
      </c>
      <c r="X3648" s="46" t="n">
        <f aca="false">IF(I3648="Male",0,1)</f>
        <v>1</v>
      </c>
      <c r="Y3648" s="46" t="n">
        <f aca="false">IF(OR(I3648="DNB",I3648="Dry DNB"),1,0)</f>
        <v>0</v>
      </c>
      <c r="Z3648" s="0" t="str">
        <f aca="false">IF(ISNUMBER(W3648),A3648-W3648,"")</f>
        <v/>
      </c>
      <c r="AA3648" s="46" t="n">
        <f aca="false">MATCH(A3648,DATAS,0)</f>
        <v>1</v>
      </c>
      <c r="AB3648" s="46" t="n">
        <f aca="false">IF(AND(E3648&gt;0,OR(AND(B3648&gt;=1,B3648&lt;=6),B3648=10)),1,0)</f>
        <v>0</v>
      </c>
      <c r="AC3648" s="46" t="n">
        <f aca="false">IF(AND(E3648&gt;0,B3648=10),1,0)</f>
        <v>0</v>
      </c>
      <c r="AD3648" s="0" t="str">
        <f aca="false">IF(AND(C3647=C3648,AA3647=AA3648-1),AB3647,"")</f>
        <v/>
      </c>
      <c r="AE3648" s="0" t="str">
        <f aca="false">IF(AND(C3647=C3648,AA3647=AA3648-1),AC3647,"")</f>
        <v/>
      </c>
      <c r="AF3648" s="0" t="str">
        <f aca="false">IF(AA3648=1,"",IF(AND(AB3648=1,AD3648&lt;&gt;1),1,0))</f>
        <v/>
      </c>
      <c r="AG3648" s="0" t="str">
        <f aca="false">IF(AA3648=1,"",IF(AND(AC3648=1,AE3648&lt;&gt;1),1,0))</f>
        <v/>
      </c>
      <c r="AH3648" s="51" t="str">
        <f aca="false">IF(AND(E3648&gt;0,AA3648&lt;1,NOT(AND(C3649=C3648,AA3649=AA3648+1))),INDEX(DATAS,AA3648+1),"")</f>
        <v/>
      </c>
      <c r="AI3648" s="51" t="str">
        <f aca="false">IF(AND(AC3648=1,AA3648&lt;1),IF(AND(C3649=C3648,AA3649=AA3648+1),IF(AC3649=1,"",INDEX(DATAS,AA3648+1)),INDEX(DATAS,AA3648+1)),"")</f>
        <v/>
      </c>
    </row>
    <row r="3649" customFormat="false" ht="15" hidden="false" customHeight="false" outlineLevel="0" collapsed="false">
      <c r="A3649" s="51" t="n">
        <v>46309</v>
      </c>
      <c r="B3649" s="0" t="n">
        <v>16</v>
      </c>
      <c r="C3649" s="0" t="n">
        <v>8113</v>
      </c>
      <c r="E3649" s="0" t="n">
        <v>0</v>
      </c>
      <c r="F3649" s="46" t="s">
        <v>1665</v>
      </c>
      <c r="I3649" s="46" t="s">
        <v>179</v>
      </c>
      <c r="U3649" s="0" t="n">
        <v>35</v>
      </c>
      <c r="V3649" s="0" t="n">
        <v>0</v>
      </c>
      <c r="X3649" s="46" t="n">
        <f aca="false">IF(I3649="Male",0,1)</f>
        <v>1</v>
      </c>
      <c r="Y3649" s="46" t="n">
        <f aca="false">IF(OR(I3649="DNB",I3649="Dry DNB"),1,0)</f>
        <v>0</v>
      </c>
      <c r="Z3649" s="0" t="str">
        <f aca="false">IF(ISNUMBER(W3649),A3649-W3649,"")</f>
        <v/>
      </c>
      <c r="AA3649" s="46" t="n">
        <f aca="false">MATCH(A3649,DATAS,0)</f>
        <v>1</v>
      </c>
      <c r="AB3649" s="46" t="n">
        <f aca="false">IF(AND(E3649&gt;0,OR(AND(B3649&gt;=1,B3649&lt;=6),B3649=10)),1,0)</f>
        <v>0</v>
      </c>
      <c r="AC3649" s="46" t="n">
        <f aca="false">IF(AND(E3649&gt;0,B3649=10),1,0)</f>
        <v>0</v>
      </c>
      <c r="AD3649" s="0" t="str">
        <f aca="false">IF(AND(C3648=C3649,AA3648=AA3649-1),AB3648,"")</f>
        <v/>
      </c>
      <c r="AE3649" s="0" t="str">
        <f aca="false">IF(AND(C3648=C3649,AA3648=AA3649-1),AC3648,"")</f>
        <v/>
      </c>
      <c r="AF3649" s="0" t="str">
        <f aca="false">IF(AA3649=1,"",IF(AND(AB3649=1,AD3649&lt;&gt;1),1,0))</f>
        <v/>
      </c>
      <c r="AG3649" s="0" t="str">
        <f aca="false">IF(AA3649=1,"",IF(AND(AC3649=1,AE3649&lt;&gt;1),1,0))</f>
        <v/>
      </c>
      <c r="AH3649" s="51" t="str">
        <f aca="false">IF(AND(E3649&gt;0,AA3649&lt;1,NOT(AND(C3650=C3649,AA3650=AA3649+1))),INDEX(DATAS,AA3649+1),"")</f>
        <v/>
      </c>
      <c r="AI3649" s="51" t="str">
        <f aca="false">IF(AND(AC3649=1,AA3649&lt;1),IF(AND(C3650=C3649,AA3650=AA3649+1),IF(AC3650=1,"",INDEX(DATAS,AA3649+1)),INDEX(DATAS,AA3649+1)),"")</f>
        <v/>
      </c>
    </row>
    <row r="3650" customFormat="false" ht="15" hidden="false" customHeight="false" outlineLevel="0" collapsed="false">
      <c r="A3650" s="51" t="n">
        <v>46309</v>
      </c>
      <c r="B3650" s="0" t="n">
        <v>16</v>
      </c>
      <c r="C3650" s="0" t="n">
        <v>8114</v>
      </c>
      <c r="E3650" s="0" t="n">
        <v>0</v>
      </c>
      <c r="F3650" s="46" t="s">
        <v>1665</v>
      </c>
      <c r="I3650" s="46" t="s">
        <v>179</v>
      </c>
      <c r="U3650" s="0" t="n">
        <v>35</v>
      </c>
      <c r="V3650" s="0" t="n">
        <v>0</v>
      </c>
      <c r="X3650" s="46" t="n">
        <f aca="false">IF(I3650="Male",0,1)</f>
        <v>1</v>
      </c>
      <c r="Y3650" s="46" t="n">
        <f aca="false">IF(OR(I3650="DNB",I3650="Dry DNB"),1,0)</f>
        <v>0</v>
      </c>
      <c r="Z3650" s="0" t="str">
        <f aca="false">IF(ISNUMBER(W3650),A3650-W3650,"")</f>
        <v/>
      </c>
      <c r="AA3650" s="46" t="n">
        <f aca="false">MATCH(A3650,DATAS,0)</f>
        <v>1</v>
      </c>
      <c r="AB3650" s="46" t="n">
        <f aca="false">IF(AND(E3650&gt;0,OR(AND(B3650&gt;=1,B3650&lt;=6),B3650=10)),1,0)</f>
        <v>0</v>
      </c>
      <c r="AC3650" s="46" t="n">
        <f aca="false">IF(AND(E3650&gt;0,B3650=10),1,0)</f>
        <v>0</v>
      </c>
      <c r="AD3650" s="0" t="str">
        <f aca="false">IF(AND(C3649=C3650,AA3649=AA3650-1),AB3649,"")</f>
        <v/>
      </c>
      <c r="AE3650" s="0" t="str">
        <f aca="false">IF(AND(C3649=C3650,AA3649=AA3650-1),AC3649,"")</f>
        <v/>
      </c>
      <c r="AF3650" s="0" t="str">
        <f aca="false">IF(AA3650=1,"",IF(AND(AB3650=1,AD3650&lt;&gt;1),1,0))</f>
        <v/>
      </c>
      <c r="AG3650" s="0" t="str">
        <f aca="false">IF(AA3650=1,"",IF(AND(AC3650=1,AE3650&lt;&gt;1),1,0))</f>
        <v/>
      </c>
      <c r="AH3650" s="51" t="str">
        <f aca="false">IF(AND(E3650&gt;0,AA3650&lt;1,NOT(AND(C3651=C3650,AA3651=AA3650+1))),INDEX(DATAS,AA3650+1),"")</f>
        <v/>
      </c>
      <c r="AI3650" s="51" t="str">
        <f aca="false">IF(AND(AC3650=1,AA3650&lt;1),IF(AND(C3651=C3650,AA3651=AA3650+1),IF(AC3651=1,"",INDEX(DATAS,AA3650+1)),INDEX(DATAS,AA3650+1)),"")</f>
        <v/>
      </c>
    </row>
    <row r="3651" customFormat="false" ht="15" hidden="false" customHeight="false" outlineLevel="0" collapsed="false">
      <c r="A3651" s="51" t="n">
        <v>46309</v>
      </c>
      <c r="B3651" s="0" t="n">
        <v>16</v>
      </c>
      <c r="C3651" s="0" t="n">
        <v>8115</v>
      </c>
      <c r="E3651" s="0" t="n">
        <v>0</v>
      </c>
      <c r="F3651" s="46" t="s">
        <v>1666</v>
      </c>
      <c r="I3651" s="46" t="s">
        <v>179</v>
      </c>
      <c r="U3651" s="0" t="n">
        <v>34</v>
      </c>
      <c r="V3651" s="0" t="n">
        <v>0</v>
      </c>
      <c r="X3651" s="46" t="n">
        <f aca="false">IF(I3651="Male",0,1)</f>
        <v>1</v>
      </c>
      <c r="Y3651" s="46" t="n">
        <f aca="false">IF(OR(I3651="DNB",I3651="Dry DNB"),1,0)</f>
        <v>0</v>
      </c>
      <c r="Z3651" s="0" t="str">
        <f aca="false">IF(ISNUMBER(W3651),A3651-W3651,"")</f>
        <v/>
      </c>
      <c r="AA3651" s="46" t="n">
        <f aca="false">MATCH(A3651,DATAS,0)</f>
        <v>1</v>
      </c>
      <c r="AB3651" s="46" t="n">
        <f aca="false">IF(AND(E3651&gt;0,OR(AND(B3651&gt;=1,B3651&lt;=6),B3651=10)),1,0)</f>
        <v>0</v>
      </c>
      <c r="AC3651" s="46" t="n">
        <f aca="false">IF(AND(E3651&gt;0,B3651=10),1,0)</f>
        <v>0</v>
      </c>
      <c r="AD3651" s="0" t="str">
        <f aca="false">IF(AND(C3650=C3651,AA3650=AA3651-1),AB3650,"")</f>
        <v/>
      </c>
      <c r="AE3651" s="0" t="str">
        <f aca="false">IF(AND(C3650=C3651,AA3650=AA3651-1),AC3650,"")</f>
        <v/>
      </c>
      <c r="AF3651" s="0" t="str">
        <f aca="false">IF(AA3651=1,"",IF(AND(AB3651=1,AD3651&lt;&gt;1),1,0))</f>
        <v/>
      </c>
      <c r="AG3651" s="0" t="str">
        <f aca="false">IF(AA3651=1,"",IF(AND(AC3651=1,AE3651&lt;&gt;1),1,0))</f>
        <v/>
      </c>
      <c r="AH3651" s="51" t="str">
        <f aca="false">IF(AND(E3651&gt;0,AA3651&lt;1,NOT(AND(C3652=C3651,AA3652=AA3651+1))),INDEX(DATAS,AA3651+1),"")</f>
        <v/>
      </c>
      <c r="AI3651" s="51" t="str">
        <f aca="false">IF(AND(AC3651=1,AA3651&lt;1),IF(AND(C3652=C3651,AA3652=AA3651+1),IF(AC3652=1,"",INDEX(DATAS,AA3651+1)),INDEX(DATAS,AA3651+1)),"")</f>
        <v/>
      </c>
    </row>
    <row r="3652" customFormat="false" ht="15" hidden="false" customHeight="false" outlineLevel="0" collapsed="false">
      <c r="A3652" s="51" t="n">
        <v>46309</v>
      </c>
      <c r="B3652" s="0" t="n">
        <v>16</v>
      </c>
      <c r="C3652" s="0" t="n">
        <v>8116</v>
      </c>
      <c r="E3652" s="0" t="n">
        <v>0</v>
      </c>
      <c r="F3652" s="46" t="s">
        <v>1666</v>
      </c>
      <c r="I3652" s="46" t="s">
        <v>179</v>
      </c>
      <c r="U3652" s="0" t="n">
        <v>34</v>
      </c>
      <c r="V3652" s="0" t="n">
        <v>0</v>
      </c>
      <c r="X3652" s="46" t="n">
        <f aca="false">IF(I3652="Male",0,1)</f>
        <v>1</v>
      </c>
      <c r="Y3652" s="46" t="n">
        <f aca="false">IF(OR(I3652="DNB",I3652="Dry DNB"),1,0)</f>
        <v>0</v>
      </c>
      <c r="Z3652" s="0" t="str">
        <f aca="false">IF(ISNUMBER(W3652),A3652-W3652,"")</f>
        <v/>
      </c>
      <c r="AA3652" s="46" t="n">
        <f aca="false">MATCH(A3652,DATAS,0)</f>
        <v>1</v>
      </c>
      <c r="AB3652" s="46" t="n">
        <f aca="false">IF(AND(E3652&gt;0,OR(AND(B3652&gt;=1,B3652&lt;=6),B3652=10)),1,0)</f>
        <v>0</v>
      </c>
      <c r="AC3652" s="46" t="n">
        <f aca="false">IF(AND(E3652&gt;0,B3652=10),1,0)</f>
        <v>0</v>
      </c>
      <c r="AD3652" s="0" t="str">
        <f aca="false">IF(AND(C3651=C3652,AA3651=AA3652-1),AB3651,"")</f>
        <v/>
      </c>
      <c r="AE3652" s="0" t="str">
        <f aca="false">IF(AND(C3651=C3652,AA3651=AA3652-1),AC3651,"")</f>
        <v/>
      </c>
      <c r="AF3652" s="0" t="str">
        <f aca="false">IF(AA3652=1,"",IF(AND(AB3652=1,AD3652&lt;&gt;1),1,0))</f>
        <v/>
      </c>
      <c r="AG3652" s="0" t="str">
        <f aca="false">IF(AA3652=1,"",IF(AND(AC3652=1,AE3652&lt;&gt;1),1,0))</f>
        <v/>
      </c>
      <c r="AH3652" s="51" t="str">
        <f aca="false">IF(AND(E3652&gt;0,AA3652&lt;1,NOT(AND(C3653=C3652,AA3653=AA3652+1))),INDEX(DATAS,AA3652+1),"")</f>
        <v/>
      </c>
      <c r="AI3652" s="51" t="str">
        <f aca="false">IF(AND(AC3652=1,AA3652&lt;1),IF(AND(C3653=C3652,AA3653=AA3652+1),IF(AC3653=1,"",INDEX(DATAS,AA3652+1)),INDEX(DATAS,AA3652+1)),"")</f>
        <v/>
      </c>
    </row>
    <row r="3653" customFormat="false" ht="15" hidden="false" customHeight="false" outlineLevel="0" collapsed="false">
      <c r="A3653" s="51" t="n">
        <v>46309</v>
      </c>
      <c r="B3653" s="0" t="n">
        <v>16</v>
      </c>
      <c r="C3653" s="0" t="n">
        <v>8117</v>
      </c>
      <c r="E3653" s="0" t="n">
        <v>0</v>
      </c>
      <c r="F3653" s="46" t="s">
        <v>1667</v>
      </c>
      <c r="I3653" s="46" t="s">
        <v>179</v>
      </c>
      <c r="U3653" s="0" t="n">
        <v>33</v>
      </c>
      <c r="V3653" s="0" t="n">
        <v>0</v>
      </c>
      <c r="X3653" s="46" t="n">
        <f aca="false">IF(I3653="Male",0,1)</f>
        <v>1</v>
      </c>
      <c r="Y3653" s="46" t="n">
        <f aca="false">IF(OR(I3653="DNB",I3653="Dry DNB"),1,0)</f>
        <v>0</v>
      </c>
      <c r="Z3653" s="0" t="str">
        <f aca="false">IF(ISNUMBER(W3653),A3653-W3653,"")</f>
        <v/>
      </c>
      <c r="AA3653" s="46" t="n">
        <f aca="false">MATCH(A3653,DATAS,0)</f>
        <v>1</v>
      </c>
      <c r="AB3653" s="46" t="n">
        <f aca="false">IF(AND(E3653&gt;0,OR(AND(B3653&gt;=1,B3653&lt;=6),B3653=10)),1,0)</f>
        <v>0</v>
      </c>
      <c r="AC3653" s="46" t="n">
        <f aca="false">IF(AND(E3653&gt;0,B3653=10),1,0)</f>
        <v>0</v>
      </c>
      <c r="AD3653" s="0" t="str">
        <f aca="false">IF(AND(C3652=C3653,AA3652=AA3653-1),AB3652,"")</f>
        <v/>
      </c>
      <c r="AE3653" s="0" t="str">
        <f aca="false">IF(AND(C3652=C3653,AA3652=AA3653-1),AC3652,"")</f>
        <v/>
      </c>
      <c r="AF3653" s="0" t="str">
        <f aca="false">IF(AA3653=1,"",IF(AND(AB3653=1,AD3653&lt;&gt;1),1,0))</f>
        <v/>
      </c>
      <c r="AG3653" s="0" t="str">
        <f aca="false">IF(AA3653=1,"",IF(AND(AC3653=1,AE3653&lt;&gt;1),1,0))</f>
        <v/>
      </c>
      <c r="AH3653" s="51" t="str">
        <f aca="false">IF(AND(E3653&gt;0,AA3653&lt;1,NOT(AND(C3654=C3653,AA3654=AA3653+1))),INDEX(DATAS,AA3653+1),"")</f>
        <v/>
      </c>
      <c r="AI3653" s="51" t="str">
        <f aca="false">IF(AND(AC3653=1,AA3653&lt;1),IF(AND(C3654=C3653,AA3654=AA3653+1),IF(AC3654=1,"",INDEX(DATAS,AA3653+1)),INDEX(DATAS,AA3653+1)),"")</f>
        <v/>
      </c>
    </row>
    <row r="3654" customFormat="false" ht="15" hidden="false" customHeight="false" outlineLevel="0" collapsed="false">
      <c r="A3654" s="51" t="n">
        <v>46309</v>
      </c>
      <c r="B3654" s="0" t="n">
        <v>16</v>
      </c>
      <c r="C3654" s="0" t="n">
        <v>8118</v>
      </c>
      <c r="E3654" s="0" t="n">
        <v>0</v>
      </c>
      <c r="F3654" s="46" t="s">
        <v>1667</v>
      </c>
      <c r="I3654" s="46" t="s">
        <v>179</v>
      </c>
      <c r="U3654" s="0" t="n">
        <v>33</v>
      </c>
      <c r="V3654" s="0" t="n">
        <v>0</v>
      </c>
      <c r="X3654" s="46" t="n">
        <f aca="false">IF(I3654="Male",0,1)</f>
        <v>1</v>
      </c>
      <c r="Y3654" s="46" t="n">
        <f aca="false">IF(OR(I3654="DNB",I3654="Dry DNB"),1,0)</f>
        <v>0</v>
      </c>
      <c r="Z3654" s="0" t="str">
        <f aca="false">IF(ISNUMBER(W3654),A3654-W3654,"")</f>
        <v/>
      </c>
      <c r="AA3654" s="46" t="n">
        <f aca="false">MATCH(A3654,DATAS,0)</f>
        <v>1</v>
      </c>
      <c r="AB3654" s="46" t="n">
        <f aca="false">IF(AND(E3654&gt;0,OR(AND(B3654&gt;=1,B3654&lt;=6),B3654=10)),1,0)</f>
        <v>0</v>
      </c>
      <c r="AC3654" s="46" t="n">
        <f aca="false">IF(AND(E3654&gt;0,B3654=10),1,0)</f>
        <v>0</v>
      </c>
      <c r="AD3654" s="0" t="str">
        <f aca="false">IF(AND(C3653=C3654,AA3653=AA3654-1),AB3653,"")</f>
        <v/>
      </c>
      <c r="AE3654" s="0" t="str">
        <f aca="false">IF(AND(C3653=C3654,AA3653=AA3654-1),AC3653,"")</f>
        <v/>
      </c>
      <c r="AF3654" s="0" t="str">
        <f aca="false">IF(AA3654=1,"",IF(AND(AB3654=1,AD3654&lt;&gt;1),1,0))</f>
        <v/>
      </c>
      <c r="AG3654" s="0" t="str">
        <f aca="false">IF(AA3654=1,"",IF(AND(AC3654=1,AE3654&lt;&gt;1),1,0))</f>
        <v/>
      </c>
      <c r="AH3654" s="51" t="str">
        <f aca="false">IF(AND(E3654&gt;0,AA3654&lt;1,NOT(AND(C3655=C3654,AA3655=AA3654+1))),INDEX(DATAS,AA3654+1),"")</f>
        <v/>
      </c>
      <c r="AI3654" s="51" t="str">
        <f aca="false">IF(AND(AC3654=1,AA3654&lt;1),IF(AND(C3655=C3654,AA3655=AA3654+1),IF(AC3655=1,"",INDEX(DATAS,AA3654+1)),INDEX(DATAS,AA3654+1)),"")</f>
        <v/>
      </c>
    </row>
    <row r="3655" customFormat="false" ht="15" hidden="false" customHeight="false" outlineLevel="0" collapsed="false">
      <c r="A3655" s="51" t="n">
        <v>46309</v>
      </c>
      <c r="B3655" s="0" t="n">
        <v>16</v>
      </c>
      <c r="C3655" s="0" t="n">
        <v>8119</v>
      </c>
      <c r="E3655" s="0" t="n">
        <v>0</v>
      </c>
      <c r="F3655" s="46" t="s">
        <v>1667</v>
      </c>
      <c r="I3655" s="46" t="s">
        <v>179</v>
      </c>
      <c r="U3655" s="0" t="n">
        <v>33</v>
      </c>
      <c r="V3655" s="0" t="n">
        <v>0</v>
      </c>
      <c r="X3655" s="46" t="n">
        <f aca="false">IF(I3655="Male",0,1)</f>
        <v>1</v>
      </c>
      <c r="Y3655" s="46" t="n">
        <f aca="false">IF(OR(I3655="DNB",I3655="Dry DNB"),1,0)</f>
        <v>0</v>
      </c>
      <c r="Z3655" s="0" t="str">
        <f aca="false">IF(ISNUMBER(W3655),A3655-W3655,"")</f>
        <v/>
      </c>
      <c r="AA3655" s="46" t="n">
        <f aca="false">MATCH(A3655,DATAS,0)</f>
        <v>1</v>
      </c>
      <c r="AB3655" s="46" t="n">
        <f aca="false">IF(AND(E3655&gt;0,OR(AND(B3655&gt;=1,B3655&lt;=6),B3655=10)),1,0)</f>
        <v>0</v>
      </c>
      <c r="AC3655" s="46" t="n">
        <f aca="false">IF(AND(E3655&gt;0,B3655=10),1,0)</f>
        <v>0</v>
      </c>
      <c r="AD3655" s="0" t="str">
        <f aca="false">IF(AND(C3654=C3655,AA3654=AA3655-1),AB3654,"")</f>
        <v/>
      </c>
      <c r="AE3655" s="0" t="str">
        <f aca="false">IF(AND(C3654=C3655,AA3654=AA3655-1),AC3654,"")</f>
        <v/>
      </c>
      <c r="AF3655" s="0" t="str">
        <f aca="false">IF(AA3655=1,"",IF(AND(AB3655=1,AD3655&lt;&gt;1),1,0))</f>
        <v/>
      </c>
      <c r="AG3655" s="0" t="str">
        <f aca="false">IF(AA3655=1,"",IF(AND(AC3655=1,AE3655&lt;&gt;1),1,0))</f>
        <v/>
      </c>
      <c r="AH3655" s="51" t="str">
        <f aca="false">IF(AND(E3655&gt;0,AA3655&lt;1,NOT(AND(C3656=C3655,AA3656=AA3655+1))),INDEX(DATAS,AA3655+1),"")</f>
        <v/>
      </c>
      <c r="AI3655" s="51" t="str">
        <f aca="false">IF(AND(AC3655=1,AA3655&lt;1),IF(AND(C3656=C3655,AA3656=AA3655+1),IF(AC3656=1,"",INDEX(DATAS,AA3655+1)),INDEX(DATAS,AA3655+1)),"")</f>
        <v/>
      </c>
    </row>
    <row r="3656" customFormat="false" ht="15" hidden="false" customHeight="false" outlineLevel="0" collapsed="false">
      <c r="A3656" s="51" t="n">
        <v>46309</v>
      </c>
      <c r="B3656" s="0" t="n">
        <v>16</v>
      </c>
      <c r="C3656" s="0" t="n">
        <v>8120</v>
      </c>
      <c r="E3656" s="0" t="n">
        <v>0</v>
      </c>
      <c r="F3656" s="46" t="s">
        <v>1667</v>
      </c>
      <c r="I3656" s="46" t="s">
        <v>179</v>
      </c>
      <c r="U3656" s="0" t="n">
        <v>33</v>
      </c>
      <c r="V3656" s="0" t="n">
        <v>0</v>
      </c>
      <c r="X3656" s="46" t="n">
        <f aca="false">IF(I3656="Male",0,1)</f>
        <v>1</v>
      </c>
      <c r="Y3656" s="46" t="n">
        <f aca="false">IF(OR(I3656="DNB",I3656="Dry DNB"),1,0)</f>
        <v>0</v>
      </c>
      <c r="Z3656" s="0" t="str">
        <f aca="false">IF(ISNUMBER(W3656),A3656-W3656,"")</f>
        <v/>
      </c>
      <c r="AA3656" s="46" t="n">
        <f aca="false">MATCH(A3656,DATAS,0)</f>
        <v>1</v>
      </c>
      <c r="AB3656" s="46" t="n">
        <f aca="false">IF(AND(E3656&gt;0,OR(AND(B3656&gt;=1,B3656&lt;=6),B3656=10)),1,0)</f>
        <v>0</v>
      </c>
      <c r="AC3656" s="46" t="n">
        <f aca="false">IF(AND(E3656&gt;0,B3656=10),1,0)</f>
        <v>0</v>
      </c>
      <c r="AD3656" s="0" t="str">
        <f aca="false">IF(AND(C3655=C3656,AA3655=AA3656-1),AB3655,"")</f>
        <v/>
      </c>
      <c r="AE3656" s="0" t="str">
        <f aca="false">IF(AND(C3655=C3656,AA3655=AA3656-1),AC3655,"")</f>
        <v/>
      </c>
      <c r="AF3656" s="0" t="str">
        <f aca="false">IF(AA3656=1,"",IF(AND(AB3656=1,AD3656&lt;&gt;1),1,0))</f>
        <v/>
      </c>
      <c r="AG3656" s="0" t="str">
        <f aca="false">IF(AA3656=1,"",IF(AND(AC3656=1,AE3656&lt;&gt;1),1,0))</f>
        <v/>
      </c>
      <c r="AH3656" s="51" t="str">
        <f aca="false">IF(AND(E3656&gt;0,AA3656&lt;1,NOT(AND(C3657=C3656,AA3657=AA3656+1))),INDEX(DATAS,AA3656+1),"")</f>
        <v/>
      </c>
      <c r="AI3656" s="51" t="str">
        <f aca="false">IF(AND(AC3656=1,AA3656&lt;1),IF(AND(C3657=C3656,AA3657=AA3656+1),IF(AC3657=1,"",INDEX(DATAS,AA3656+1)),INDEX(DATAS,AA3656+1)),"")</f>
        <v/>
      </c>
    </row>
    <row r="3657" customFormat="false" ht="15" hidden="false" customHeight="false" outlineLevel="0" collapsed="false">
      <c r="A3657" s="51" t="n">
        <v>46309</v>
      </c>
      <c r="B3657" s="0" t="n">
        <v>16</v>
      </c>
      <c r="C3657" s="0" t="n">
        <v>8121</v>
      </c>
      <c r="E3657" s="0" t="n">
        <v>0</v>
      </c>
      <c r="F3657" s="46" t="s">
        <v>1668</v>
      </c>
      <c r="I3657" s="46" t="s">
        <v>179</v>
      </c>
      <c r="U3657" s="0" t="n">
        <v>32</v>
      </c>
      <c r="V3657" s="0" t="n">
        <v>0</v>
      </c>
      <c r="X3657" s="46" t="n">
        <f aca="false">IF(I3657="Male",0,1)</f>
        <v>1</v>
      </c>
      <c r="Y3657" s="46" t="n">
        <f aca="false">IF(OR(I3657="DNB",I3657="Dry DNB"),1,0)</f>
        <v>0</v>
      </c>
      <c r="Z3657" s="0" t="str">
        <f aca="false">IF(ISNUMBER(W3657),A3657-W3657,"")</f>
        <v/>
      </c>
      <c r="AA3657" s="46" t="n">
        <f aca="false">MATCH(A3657,DATAS,0)</f>
        <v>1</v>
      </c>
      <c r="AB3657" s="46" t="n">
        <f aca="false">IF(AND(E3657&gt;0,OR(AND(B3657&gt;=1,B3657&lt;=6),B3657=10)),1,0)</f>
        <v>0</v>
      </c>
      <c r="AC3657" s="46" t="n">
        <f aca="false">IF(AND(E3657&gt;0,B3657=10),1,0)</f>
        <v>0</v>
      </c>
      <c r="AD3657" s="0" t="str">
        <f aca="false">IF(AND(C3656=C3657,AA3656=AA3657-1),AB3656,"")</f>
        <v/>
      </c>
      <c r="AE3657" s="0" t="str">
        <f aca="false">IF(AND(C3656=C3657,AA3656=AA3657-1),AC3656,"")</f>
        <v/>
      </c>
      <c r="AF3657" s="0" t="str">
        <f aca="false">IF(AA3657=1,"",IF(AND(AB3657=1,AD3657&lt;&gt;1),1,0))</f>
        <v/>
      </c>
      <c r="AG3657" s="0" t="str">
        <f aca="false">IF(AA3657=1,"",IF(AND(AC3657=1,AE3657&lt;&gt;1),1,0))</f>
        <v/>
      </c>
      <c r="AH3657" s="51" t="str">
        <f aca="false">IF(AND(E3657&gt;0,AA3657&lt;1,NOT(AND(C3658=C3657,AA3658=AA3657+1))),INDEX(DATAS,AA3657+1),"")</f>
        <v/>
      </c>
      <c r="AI3657" s="51" t="str">
        <f aca="false">IF(AND(AC3657=1,AA3657&lt;1),IF(AND(C3658=C3657,AA3658=AA3657+1),IF(AC3658=1,"",INDEX(DATAS,AA3657+1)),INDEX(DATAS,AA3657+1)),"")</f>
        <v/>
      </c>
    </row>
    <row r="3658" customFormat="false" ht="15" hidden="false" customHeight="false" outlineLevel="0" collapsed="false">
      <c r="A3658" s="51" t="n">
        <v>46309</v>
      </c>
      <c r="B3658" s="0" t="n">
        <v>16</v>
      </c>
      <c r="C3658" s="0" t="n">
        <v>8122</v>
      </c>
      <c r="E3658" s="0" t="n">
        <v>0</v>
      </c>
      <c r="F3658" s="46" t="s">
        <v>1668</v>
      </c>
      <c r="I3658" s="46" t="s">
        <v>179</v>
      </c>
      <c r="U3658" s="0" t="n">
        <v>32</v>
      </c>
      <c r="V3658" s="0" t="n">
        <v>0</v>
      </c>
      <c r="X3658" s="46" t="n">
        <f aca="false">IF(I3658="Male",0,1)</f>
        <v>1</v>
      </c>
      <c r="Y3658" s="46" t="n">
        <f aca="false">IF(OR(I3658="DNB",I3658="Dry DNB"),1,0)</f>
        <v>0</v>
      </c>
      <c r="Z3658" s="0" t="str">
        <f aca="false">IF(ISNUMBER(W3658),A3658-W3658,"")</f>
        <v/>
      </c>
      <c r="AA3658" s="46" t="n">
        <f aca="false">MATCH(A3658,DATAS,0)</f>
        <v>1</v>
      </c>
      <c r="AB3658" s="46" t="n">
        <f aca="false">IF(AND(E3658&gt;0,OR(AND(B3658&gt;=1,B3658&lt;=6),B3658=10)),1,0)</f>
        <v>0</v>
      </c>
      <c r="AC3658" s="46" t="n">
        <f aca="false">IF(AND(E3658&gt;0,B3658=10),1,0)</f>
        <v>0</v>
      </c>
      <c r="AD3658" s="0" t="str">
        <f aca="false">IF(AND(C3657=C3658,AA3657=AA3658-1),AB3657,"")</f>
        <v/>
      </c>
      <c r="AE3658" s="0" t="str">
        <f aca="false">IF(AND(C3657=C3658,AA3657=AA3658-1),AC3657,"")</f>
        <v/>
      </c>
      <c r="AF3658" s="0" t="str">
        <f aca="false">IF(AA3658=1,"",IF(AND(AB3658=1,AD3658&lt;&gt;1),1,0))</f>
        <v/>
      </c>
      <c r="AG3658" s="0" t="str">
        <f aca="false">IF(AA3658=1,"",IF(AND(AC3658=1,AE3658&lt;&gt;1),1,0))</f>
        <v/>
      </c>
      <c r="AH3658" s="51" t="str">
        <f aca="false">IF(AND(E3658&gt;0,AA3658&lt;1,NOT(AND(C3659=C3658,AA3659=AA3658+1))),INDEX(DATAS,AA3658+1),"")</f>
        <v/>
      </c>
      <c r="AI3658" s="51" t="str">
        <f aca="false">IF(AND(AC3658=1,AA3658&lt;1),IF(AND(C3659=C3658,AA3659=AA3658+1),IF(AC3659=1,"",INDEX(DATAS,AA3658+1)),INDEX(DATAS,AA3658+1)),"")</f>
        <v/>
      </c>
    </row>
    <row r="3659" customFormat="false" ht="15" hidden="false" customHeight="false" outlineLevel="0" collapsed="false">
      <c r="A3659" s="51" t="n">
        <v>46309</v>
      </c>
      <c r="B3659" s="0" t="n">
        <v>16</v>
      </c>
      <c r="C3659" s="0" t="n">
        <v>8124</v>
      </c>
      <c r="E3659" s="0" t="n">
        <v>0</v>
      </c>
      <c r="F3659" s="46" t="s">
        <v>1669</v>
      </c>
      <c r="I3659" s="46" t="s">
        <v>179</v>
      </c>
      <c r="U3659" s="0" t="n">
        <v>31</v>
      </c>
      <c r="V3659" s="0" t="n">
        <v>0</v>
      </c>
      <c r="X3659" s="46" t="n">
        <f aca="false">IF(I3659="Male",0,1)</f>
        <v>1</v>
      </c>
      <c r="Y3659" s="46" t="n">
        <f aca="false">IF(OR(I3659="DNB",I3659="Dry DNB"),1,0)</f>
        <v>0</v>
      </c>
      <c r="Z3659" s="0" t="str">
        <f aca="false">IF(ISNUMBER(W3659),A3659-W3659,"")</f>
        <v/>
      </c>
      <c r="AA3659" s="46" t="n">
        <f aca="false">MATCH(A3659,DATAS,0)</f>
        <v>1</v>
      </c>
      <c r="AB3659" s="46" t="n">
        <f aca="false">IF(AND(E3659&gt;0,OR(AND(B3659&gt;=1,B3659&lt;=6),B3659=10)),1,0)</f>
        <v>0</v>
      </c>
      <c r="AC3659" s="46" t="n">
        <f aca="false">IF(AND(E3659&gt;0,B3659=10),1,0)</f>
        <v>0</v>
      </c>
      <c r="AD3659" s="0" t="str">
        <f aca="false">IF(AND(C3658=C3659,AA3658=AA3659-1),AB3658,"")</f>
        <v/>
      </c>
      <c r="AE3659" s="0" t="str">
        <f aca="false">IF(AND(C3658=C3659,AA3658=AA3659-1),AC3658,"")</f>
        <v/>
      </c>
      <c r="AF3659" s="0" t="str">
        <f aca="false">IF(AA3659=1,"",IF(AND(AB3659=1,AD3659&lt;&gt;1),1,0))</f>
        <v/>
      </c>
      <c r="AG3659" s="0" t="str">
        <f aca="false">IF(AA3659=1,"",IF(AND(AC3659=1,AE3659&lt;&gt;1),1,0))</f>
        <v/>
      </c>
      <c r="AH3659" s="51" t="str">
        <f aca="false">IF(AND(E3659&gt;0,AA3659&lt;1,NOT(AND(C3660=C3659,AA3660=AA3659+1))),INDEX(DATAS,AA3659+1),"")</f>
        <v/>
      </c>
      <c r="AI3659" s="51" t="str">
        <f aca="false">IF(AND(AC3659=1,AA3659&lt;1),IF(AND(C3660=C3659,AA3660=AA3659+1),IF(AC3660=1,"",INDEX(DATAS,AA3659+1)),INDEX(DATAS,AA3659+1)),"")</f>
        <v/>
      </c>
    </row>
    <row r="3660" customFormat="false" ht="15" hidden="false" customHeight="false" outlineLevel="0" collapsed="false">
      <c r="A3660" s="51" t="n">
        <v>46309</v>
      </c>
      <c r="B3660" s="0" t="n">
        <v>16</v>
      </c>
      <c r="C3660" s="0" t="n">
        <v>8125</v>
      </c>
      <c r="E3660" s="0" t="n">
        <v>0</v>
      </c>
      <c r="F3660" s="46" t="s">
        <v>1669</v>
      </c>
      <c r="I3660" s="46" t="s">
        <v>179</v>
      </c>
      <c r="U3660" s="0" t="n">
        <v>31</v>
      </c>
      <c r="V3660" s="0" t="n">
        <v>0</v>
      </c>
      <c r="X3660" s="46" t="n">
        <f aca="false">IF(I3660="Male",0,1)</f>
        <v>1</v>
      </c>
      <c r="Y3660" s="46" t="n">
        <f aca="false">IF(OR(I3660="DNB",I3660="Dry DNB"),1,0)</f>
        <v>0</v>
      </c>
      <c r="Z3660" s="0" t="str">
        <f aca="false">IF(ISNUMBER(W3660),A3660-W3660,"")</f>
        <v/>
      </c>
      <c r="AA3660" s="46" t="n">
        <f aca="false">MATCH(A3660,DATAS,0)</f>
        <v>1</v>
      </c>
      <c r="AB3660" s="46" t="n">
        <f aca="false">IF(AND(E3660&gt;0,OR(AND(B3660&gt;=1,B3660&lt;=6),B3660=10)),1,0)</f>
        <v>0</v>
      </c>
      <c r="AC3660" s="46" t="n">
        <f aca="false">IF(AND(E3660&gt;0,B3660=10),1,0)</f>
        <v>0</v>
      </c>
      <c r="AD3660" s="0" t="str">
        <f aca="false">IF(AND(C3659=C3660,AA3659=AA3660-1),AB3659,"")</f>
        <v/>
      </c>
      <c r="AE3660" s="0" t="str">
        <f aca="false">IF(AND(C3659=C3660,AA3659=AA3660-1),AC3659,"")</f>
        <v/>
      </c>
      <c r="AF3660" s="0" t="str">
        <f aca="false">IF(AA3660=1,"",IF(AND(AB3660=1,AD3660&lt;&gt;1),1,0))</f>
        <v/>
      </c>
      <c r="AG3660" s="0" t="str">
        <f aca="false">IF(AA3660=1,"",IF(AND(AC3660=1,AE3660&lt;&gt;1),1,0))</f>
        <v/>
      </c>
      <c r="AH3660" s="51" t="str">
        <f aca="false">IF(AND(E3660&gt;0,AA3660&lt;1,NOT(AND(C3661=C3660,AA3661=AA3660+1))),INDEX(DATAS,AA3660+1),"")</f>
        <v/>
      </c>
      <c r="AI3660" s="51" t="str">
        <f aca="false">IF(AND(AC3660=1,AA3660&lt;1),IF(AND(C3661=C3660,AA3661=AA3660+1),IF(AC3661=1,"",INDEX(DATAS,AA3660+1)),INDEX(DATAS,AA3660+1)),"")</f>
        <v/>
      </c>
    </row>
    <row r="3661" customFormat="false" ht="15" hidden="false" customHeight="false" outlineLevel="0" collapsed="false">
      <c r="A3661" s="51" t="n">
        <v>46309</v>
      </c>
      <c r="B3661" s="0" t="n">
        <v>16</v>
      </c>
      <c r="C3661" s="0" t="n">
        <v>8126</v>
      </c>
      <c r="E3661" s="0" t="n">
        <v>0</v>
      </c>
      <c r="F3661" s="46" t="s">
        <v>1669</v>
      </c>
      <c r="I3661" s="46" t="s">
        <v>179</v>
      </c>
      <c r="U3661" s="0" t="n">
        <v>31</v>
      </c>
      <c r="V3661" s="0" t="n">
        <v>0</v>
      </c>
      <c r="X3661" s="46" t="n">
        <f aca="false">IF(I3661="Male",0,1)</f>
        <v>1</v>
      </c>
      <c r="Y3661" s="46" t="n">
        <f aca="false">IF(OR(I3661="DNB",I3661="Dry DNB"),1,0)</f>
        <v>0</v>
      </c>
      <c r="Z3661" s="0" t="str">
        <f aca="false">IF(ISNUMBER(W3661),A3661-W3661,"")</f>
        <v/>
      </c>
      <c r="AA3661" s="46" t="n">
        <f aca="false">MATCH(A3661,DATAS,0)</f>
        <v>1</v>
      </c>
      <c r="AB3661" s="46" t="n">
        <f aca="false">IF(AND(E3661&gt;0,OR(AND(B3661&gt;=1,B3661&lt;=6),B3661=10)),1,0)</f>
        <v>0</v>
      </c>
      <c r="AC3661" s="46" t="n">
        <f aca="false">IF(AND(E3661&gt;0,B3661=10),1,0)</f>
        <v>0</v>
      </c>
      <c r="AD3661" s="0" t="str">
        <f aca="false">IF(AND(C3660=C3661,AA3660=AA3661-1),AB3660,"")</f>
        <v/>
      </c>
      <c r="AE3661" s="0" t="str">
        <f aca="false">IF(AND(C3660=C3661,AA3660=AA3661-1),AC3660,"")</f>
        <v/>
      </c>
      <c r="AF3661" s="0" t="str">
        <f aca="false">IF(AA3661=1,"",IF(AND(AB3661=1,AD3661&lt;&gt;1),1,0))</f>
        <v/>
      </c>
      <c r="AG3661" s="0" t="str">
        <f aca="false">IF(AA3661=1,"",IF(AND(AC3661=1,AE3661&lt;&gt;1),1,0))</f>
        <v/>
      </c>
      <c r="AH3661" s="51" t="str">
        <f aca="false">IF(AND(E3661&gt;0,AA3661&lt;1,NOT(AND(C3662=C3661,AA3662=AA3661+1))),INDEX(DATAS,AA3661+1),"")</f>
        <v/>
      </c>
      <c r="AI3661" s="51" t="str">
        <f aca="false">IF(AND(AC3661=1,AA3661&lt;1),IF(AND(C3662=C3661,AA3662=AA3661+1),IF(AC3662=1,"",INDEX(DATAS,AA3661+1)),INDEX(DATAS,AA3661+1)),"")</f>
        <v/>
      </c>
    </row>
    <row r="3662" customFormat="false" ht="15" hidden="false" customHeight="false" outlineLevel="0" collapsed="false">
      <c r="A3662" s="51" t="n">
        <v>46309</v>
      </c>
      <c r="B3662" s="0" t="n">
        <v>16</v>
      </c>
      <c r="C3662" s="0" t="n">
        <v>8127</v>
      </c>
      <c r="E3662" s="0" t="n">
        <v>0</v>
      </c>
      <c r="F3662" s="46" t="s">
        <v>1670</v>
      </c>
      <c r="I3662" s="46" t="s">
        <v>179</v>
      </c>
      <c r="U3662" s="0" t="n">
        <v>30</v>
      </c>
      <c r="V3662" s="0" t="n">
        <v>0</v>
      </c>
      <c r="X3662" s="46" t="n">
        <f aca="false">IF(I3662="Male",0,1)</f>
        <v>1</v>
      </c>
      <c r="Y3662" s="46" t="n">
        <f aca="false">IF(OR(I3662="DNB",I3662="Dry DNB"),1,0)</f>
        <v>0</v>
      </c>
      <c r="Z3662" s="0" t="str">
        <f aca="false">IF(ISNUMBER(W3662),A3662-W3662,"")</f>
        <v/>
      </c>
      <c r="AA3662" s="46" t="n">
        <f aca="false">MATCH(A3662,DATAS,0)</f>
        <v>1</v>
      </c>
      <c r="AB3662" s="46" t="n">
        <f aca="false">IF(AND(E3662&gt;0,OR(AND(B3662&gt;=1,B3662&lt;=6),B3662=10)),1,0)</f>
        <v>0</v>
      </c>
      <c r="AC3662" s="46" t="n">
        <f aca="false">IF(AND(E3662&gt;0,B3662=10),1,0)</f>
        <v>0</v>
      </c>
      <c r="AD3662" s="0" t="str">
        <f aca="false">IF(AND(C3661=C3662,AA3661=AA3662-1),AB3661,"")</f>
        <v/>
      </c>
      <c r="AE3662" s="0" t="str">
        <f aca="false">IF(AND(C3661=C3662,AA3661=AA3662-1),AC3661,"")</f>
        <v/>
      </c>
      <c r="AF3662" s="0" t="str">
        <f aca="false">IF(AA3662=1,"",IF(AND(AB3662=1,AD3662&lt;&gt;1),1,0))</f>
        <v/>
      </c>
      <c r="AG3662" s="0" t="str">
        <f aca="false">IF(AA3662=1,"",IF(AND(AC3662=1,AE3662&lt;&gt;1),1,0))</f>
        <v/>
      </c>
      <c r="AH3662" s="51" t="str">
        <f aca="false">IF(AND(E3662&gt;0,AA3662&lt;1,NOT(AND(C3663=C3662,AA3663=AA3662+1))),INDEX(DATAS,AA3662+1),"")</f>
        <v/>
      </c>
      <c r="AI3662" s="51" t="str">
        <f aca="false">IF(AND(AC3662=1,AA3662&lt;1),IF(AND(C3663=C3662,AA3663=AA3662+1),IF(AC3663=1,"",INDEX(DATAS,AA3662+1)),INDEX(DATAS,AA3662+1)),"")</f>
        <v/>
      </c>
    </row>
    <row r="3663" customFormat="false" ht="15" hidden="false" customHeight="false" outlineLevel="0" collapsed="false">
      <c r="A3663" s="51" t="n">
        <v>46309</v>
      </c>
      <c r="B3663" s="0" t="n">
        <v>16</v>
      </c>
      <c r="C3663" s="0" t="n">
        <v>8128</v>
      </c>
      <c r="E3663" s="0" t="n">
        <v>0</v>
      </c>
      <c r="F3663" s="46" t="s">
        <v>1670</v>
      </c>
      <c r="I3663" s="46" t="s">
        <v>179</v>
      </c>
      <c r="U3663" s="0" t="n">
        <v>30</v>
      </c>
      <c r="V3663" s="0" t="n">
        <v>0</v>
      </c>
      <c r="X3663" s="46" t="n">
        <f aca="false">IF(I3663="Male",0,1)</f>
        <v>1</v>
      </c>
      <c r="Y3663" s="46" t="n">
        <f aca="false">IF(OR(I3663="DNB",I3663="Dry DNB"),1,0)</f>
        <v>0</v>
      </c>
      <c r="Z3663" s="0" t="str">
        <f aca="false">IF(ISNUMBER(W3663),A3663-W3663,"")</f>
        <v/>
      </c>
      <c r="AA3663" s="46" t="n">
        <f aca="false">MATCH(A3663,DATAS,0)</f>
        <v>1</v>
      </c>
      <c r="AB3663" s="46" t="n">
        <f aca="false">IF(AND(E3663&gt;0,OR(AND(B3663&gt;=1,B3663&lt;=6),B3663=10)),1,0)</f>
        <v>0</v>
      </c>
      <c r="AC3663" s="46" t="n">
        <f aca="false">IF(AND(E3663&gt;0,B3663=10),1,0)</f>
        <v>0</v>
      </c>
      <c r="AD3663" s="0" t="str">
        <f aca="false">IF(AND(C3662=C3663,AA3662=AA3663-1),AB3662,"")</f>
        <v/>
      </c>
      <c r="AE3663" s="0" t="str">
        <f aca="false">IF(AND(C3662=C3663,AA3662=AA3663-1),AC3662,"")</f>
        <v/>
      </c>
      <c r="AF3663" s="0" t="str">
        <f aca="false">IF(AA3663=1,"",IF(AND(AB3663=1,AD3663&lt;&gt;1),1,0))</f>
        <v/>
      </c>
      <c r="AG3663" s="0" t="str">
        <f aca="false">IF(AA3663=1,"",IF(AND(AC3663=1,AE3663&lt;&gt;1),1,0))</f>
        <v/>
      </c>
      <c r="AH3663" s="51" t="str">
        <f aca="false">IF(AND(E3663&gt;0,AA3663&lt;1,NOT(AND(C3664=C3663,AA3664=AA3663+1))),INDEX(DATAS,AA3663+1),"")</f>
        <v/>
      </c>
      <c r="AI3663" s="51" t="str">
        <f aca="false">IF(AND(AC3663=1,AA3663&lt;1),IF(AND(C3664=C3663,AA3664=AA3663+1),IF(AC3664=1,"",INDEX(DATAS,AA3663+1)),INDEX(DATAS,AA3663+1)),"")</f>
        <v/>
      </c>
    </row>
    <row r="3664" customFormat="false" ht="15" hidden="false" customHeight="false" outlineLevel="0" collapsed="false">
      <c r="A3664" s="51" t="n">
        <v>46309</v>
      </c>
      <c r="B3664" s="0" t="n">
        <v>16</v>
      </c>
      <c r="C3664" s="0" t="n">
        <v>8129</v>
      </c>
      <c r="E3664" s="0" t="n">
        <v>0</v>
      </c>
      <c r="F3664" s="46" t="s">
        <v>1670</v>
      </c>
      <c r="I3664" s="46" t="s">
        <v>179</v>
      </c>
      <c r="U3664" s="0" t="n">
        <v>30</v>
      </c>
      <c r="V3664" s="0" t="n">
        <v>0</v>
      </c>
      <c r="X3664" s="46" t="n">
        <f aca="false">IF(I3664="Male",0,1)</f>
        <v>1</v>
      </c>
      <c r="Y3664" s="46" t="n">
        <f aca="false">IF(OR(I3664="DNB",I3664="Dry DNB"),1,0)</f>
        <v>0</v>
      </c>
      <c r="Z3664" s="0" t="str">
        <f aca="false">IF(ISNUMBER(W3664),A3664-W3664,"")</f>
        <v/>
      </c>
      <c r="AA3664" s="46" t="n">
        <f aca="false">MATCH(A3664,DATAS,0)</f>
        <v>1</v>
      </c>
      <c r="AB3664" s="46" t="n">
        <f aca="false">IF(AND(E3664&gt;0,OR(AND(B3664&gt;=1,B3664&lt;=6),B3664=10)),1,0)</f>
        <v>0</v>
      </c>
      <c r="AC3664" s="46" t="n">
        <f aca="false">IF(AND(E3664&gt;0,B3664=10),1,0)</f>
        <v>0</v>
      </c>
      <c r="AD3664" s="0" t="str">
        <f aca="false">IF(AND(C3663=C3664,AA3663=AA3664-1),AB3663,"")</f>
        <v/>
      </c>
      <c r="AE3664" s="0" t="str">
        <f aca="false">IF(AND(C3663=C3664,AA3663=AA3664-1),AC3663,"")</f>
        <v/>
      </c>
      <c r="AF3664" s="0" t="str">
        <f aca="false">IF(AA3664=1,"",IF(AND(AB3664=1,AD3664&lt;&gt;1),1,0))</f>
        <v/>
      </c>
      <c r="AG3664" s="0" t="str">
        <f aca="false">IF(AA3664=1,"",IF(AND(AC3664=1,AE3664&lt;&gt;1),1,0))</f>
        <v/>
      </c>
      <c r="AH3664" s="51" t="str">
        <f aca="false">IF(AND(E3664&gt;0,AA3664&lt;1,NOT(AND(C3665=C3664,AA3665=AA3664+1))),INDEX(DATAS,AA3664+1),"")</f>
        <v/>
      </c>
      <c r="AI3664" s="51" t="str">
        <f aca="false">IF(AND(AC3664=1,AA3664&lt;1),IF(AND(C3665=C3664,AA3665=AA3664+1),IF(AC3665=1,"",INDEX(DATAS,AA3664+1)),INDEX(DATAS,AA3664+1)),"")</f>
        <v/>
      </c>
    </row>
    <row r="3665" customFormat="false" ht="15" hidden="false" customHeight="false" outlineLevel="0" collapsed="false">
      <c r="A3665" s="51" t="n">
        <v>46309</v>
      </c>
      <c r="B3665" s="0" t="n">
        <v>16</v>
      </c>
      <c r="C3665" s="0" t="n">
        <v>8130</v>
      </c>
      <c r="E3665" s="0" t="n">
        <v>0</v>
      </c>
      <c r="F3665" s="46" t="s">
        <v>1670</v>
      </c>
      <c r="I3665" s="46" t="s">
        <v>179</v>
      </c>
      <c r="U3665" s="0" t="n">
        <v>30</v>
      </c>
      <c r="V3665" s="0" t="n">
        <v>0</v>
      </c>
      <c r="X3665" s="46" t="n">
        <f aca="false">IF(I3665="Male",0,1)</f>
        <v>1</v>
      </c>
      <c r="Y3665" s="46" t="n">
        <f aca="false">IF(OR(I3665="DNB",I3665="Dry DNB"),1,0)</f>
        <v>0</v>
      </c>
      <c r="Z3665" s="0" t="str">
        <f aca="false">IF(ISNUMBER(W3665),A3665-W3665,"")</f>
        <v/>
      </c>
      <c r="AA3665" s="46" t="n">
        <f aca="false">MATCH(A3665,DATAS,0)</f>
        <v>1</v>
      </c>
      <c r="AB3665" s="46" t="n">
        <f aca="false">IF(AND(E3665&gt;0,OR(AND(B3665&gt;=1,B3665&lt;=6),B3665=10)),1,0)</f>
        <v>0</v>
      </c>
      <c r="AC3665" s="46" t="n">
        <f aca="false">IF(AND(E3665&gt;0,B3665=10),1,0)</f>
        <v>0</v>
      </c>
      <c r="AD3665" s="0" t="str">
        <f aca="false">IF(AND(C3664=C3665,AA3664=AA3665-1),AB3664,"")</f>
        <v/>
      </c>
      <c r="AE3665" s="0" t="str">
        <f aca="false">IF(AND(C3664=C3665,AA3664=AA3665-1),AC3664,"")</f>
        <v/>
      </c>
      <c r="AF3665" s="0" t="str">
        <f aca="false">IF(AA3665=1,"",IF(AND(AB3665=1,AD3665&lt;&gt;1),1,0))</f>
        <v/>
      </c>
      <c r="AG3665" s="0" t="str">
        <f aca="false">IF(AA3665=1,"",IF(AND(AC3665=1,AE3665&lt;&gt;1),1,0))</f>
        <v/>
      </c>
      <c r="AH3665" s="51" t="str">
        <f aca="false">IF(AND(E3665&gt;0,AA3665&lt;1,NOT(AND(C3666=C3665,AA3666=AA3665+1))),INDEX(DATAS,AA3665+1),"")</f>
        <v/>
      </c>
      <c r="AI3665" s="51" t="str">
        <f aca="false">IF(AND(AC3665=1,AA3665&lt;1),IF(AND(C3666=C3665,AA3666=AA3665+1),IF(AC3666=1,"",INDEX(DATAS,AA3665+1)),INDEX(DATAS,AA3665+1)),"")</f>
        <v/>
      </c>
    </row>
    <row r="3666" customFormat="false" ht="15" hidden="false" customHeight="false" outlineLevel="0" collapsed="false">
      <c r="A3666" s="51" t="n">
        <v>46309</v>
      </c>
      <c r="B3666" s="0" t="n">
        <v>16</v>
      </c>
      <c r="C3666" s="0" t="n">
        <v>8131</v>
      </c>
      <c r="E3666" s="0" t="n">
        <v>0</v>
      </c>
      <c r="F3666" s="46" t="s">
        <v>1671</v>
      </c>
      <c r="I3666" s="46" t="s">
        <v>179</v>
      </c>
      <c r="U3666" s="0" t="n">
        <v>29</v>
      </c>
      <c r="V3666" s="0" t="n">
        <v>0</v>
      </c>
      <c r="X3666" s="46" t="n">
        <f aca="false">IF(I3666="Male",0,1)</f>
        <v>1</v>
      </c>
      <c r="Y3666" s="46" t="n">
        <f aca="false">IF(OR(I3666="DNB",I3666="Dry DNB"),1,0)</f>
        <v>0</v>
      </c>
      <c r="Z3666" s="0" t="str">
        <f aca="false">IF(ISNUMBER(W3666),A3666-W3666,"")</f>
        <v/>
      </c>
      <c r="AA3666" s="46" t="n">
        <f aca="false">MATCH(A3666,DATAS,0)</f>
        <v>1</v>
      </c>
      <c r="AB3666" s="46" t="n">
        <f aca="false">IF(AND(E3666&gt;0,OR(AND(B3666&gt;=1,B3666&lt;=6),B3666=10)),1,0)</f>
        <v>0</v>
      </c>
      <c r="AC3666" s="46" t="n">
        <f aca="false">IF(AND(E3666&gt;0,B3666=10),1,0)</f>
        <v>0</v>
      </c>
      <c r="AD3666" s="0" t="str">
        <f aca="false">IF(AND(C3665=C3666,AA3665=AA3666-1),AB3665,"")</f>
        <v/>
      </c>
      <c r="AE3666" s="0" t="str">
        <f aca="false">IF(AND(C3665=C3666,AA3665=AA3666-1),AC3665,"")</f>
        <v/>
      </c>
      <c r="AF3666" s="0" t="str">
        <f aca="false">IF(AA3666=1,"",IF(AND(AB3666=1,AD3666&lt;&gt;1),1,0))</f>
        <v/>
      </c>
      <c r="AG3666" s="0" t="str">
        <f aca="false">IF(AA3666=1,"",IF(AND(AC3666=1,AE3666&lt;&gt;1),1,0))</f>
        <v/>
      </c>
      <c r="AH3666" s="51" t="str">
        <f aca="false">IF(AND(E3666&gt;0,AA3666&lt;1,NOT(AND(C3667=C3666,AA3667=AA3666+1))),INDEX(DATAS,AA3666+1),"")</f>
        <v/>
      </c>
      <c r="AI3666" s="51" t="str">
        <f aca="false">IF(AND(AC3666=1,AA3666&lt;1),IF(AND(C3667=C3666,AA3667=AA3666+1),IF(AC3667=1,"",INDEX(DATAS,AA3666+1)),INDEX(DATAS,AA3666+1)),"")</f>
        <v/>
      </c>
    </row>
    <row r="3667" customFormat="false" ht="15" hidden="false" customHeight="false" outlineLevel="0" collapsed="false">
      <c r="A3667" s="51" t="n">
        <v>46309</v>
      </c>
      <c r="B3667" s="0" t="n">
        <v>16</v>
      </c>
      <c r="C3667" s="0" t="n">
        <v>8132</v>
      </c>
      <c r="E3667" s="0" t="n">
        <v>0</v>
      </c>
      <c r="F3667" s="46" t="s">
        <v>1671</v>
      </c>
      <c r="I3667" s="46" t="s">
        <v>179</v>
      </c>
      <c r="U3667" s="0" t="n">
        <v>29</v>
      </c>
      <c r="V3667" s="0" t="n">
        <v>0</v>
      </c>
      <c r="X3667" s="46" t="n">
        <f aca="false">IF(I3667="Male",0,1)</f>
        <v>1</v>
      </c>
      <c r="Y3667" s="46" t="n">
        <f aca="false">IF(OR(I3667="DNB",I3667="Dry DNB"),1,0)</f>
        <v>0</v>
      </c>
      <c r="Z3667" s="0" t="str">
        <f aca="false">IF(ISNUMBER(W3667),A3667-W3667,"")</f>
        <v/>
      </c>
      <c r="AA3667" s="46" t="n">
        <f aca="false">MATCH(A3667,DATAS,0)</f>
        <v>1</v>
      </c>
      <c r="AB3667" s="46" t="n">
        <f aca="false">IF(AND(E3667&gt;0,OR(AND(B3667&gt;=1,B3667&lt;=6),B3667=10)),1,0)</f>
        <v>0</v>
      </c>
      <c r="AC3667" s="46" t="n">
        <f aca="false">IF(AND(E3667&gt;0,B3667=10),1,0)</f>
        <v>0</v>
      </c>
      <c r="AD3667" s="0" t="str">
        <f aca="false">IF(AND(C3666=C3667,AA3666=AA3667-1),AB3666,"")</f>
        <v/>
      </c>
      <c r="AE3667" s="0" t="str">
        <f aca="false">IF(AND(C3666=C3667,AA3666=AA3667-1),AC3666,"")</f>
        <v/>
      </c>
      <c r="AF3667" s="0" t="str">
        <f aca="false">IF(AA3667=1,"",IF(AND(AB3667=1,AD3667&lt;&gt;1),1,0))</f>
        <v/>
      </c>
      <c r="AG3667" s="0" t="str">
        <f aca="false">IF(AA3667=1,"",IF(AND(AC3667=1,AE3667&lt;&gt;1),1,0))</f>
        <v/>
      </c>
      <c r="AH3667" s="51" t="str">
        <f aca="false">IF(AND(E3667&gt;0,AA3667&lt;1,NOT(AND(C3668=C3667,AA3668=AA3667+1))),INDEX(DATAS,AA3667+1),"")</f>
        <v/>
      </c>
      <c r="AI3667" s="51" t="str">
        <f aca="false">IF(AND(AC3667=1,AA3667&lt;1),IF(AND(C3668=C3667,AA3668=AA3667+1),IF(AC3668=1,"",INDEX(DATAS,AA3667+1)),INDEX(DATAS,AA3667+1)),"")</f>
        <v/>
      </c>
    </row>
    <row r="3668" customFormat="false" ht="15" hidden="false" customHeight="false" outlineLevel="0" collapsed="false">
      <c r="A3668" s="51" t="n">
        <v>46309</v>
      </c>
      <c r="B3668" s="0" t="n">
        <v>16</v>
      </c>
      <c r="C3668" s="0" t="n">
        <v>8133</v>
      </c>
      <c r="E3668" s="0" t="n">
        <v>0</v>
      </c>
      <c r="F3668" s="46" t="s">
        <v>1672</v>
      </c>
      <c r="I3668" s="46" t="s">
        <v>179</v>
      </c>
      <c r="U3668" s="0" t="n">
        <v>28</v>
      </c>
      <c r="V3668" s="0" t="n">
        <v>0</v>
      </c>
      <c r="X3668" s="46" t="n">
        <f aca="false">IF(I3668="Male",0,1)</f>
        <v>1</v>
      </c>
      <c r="Y3668" s="46" t="n">
        <f aca="false">IF(OR(I3668="DNB",I3668="Dry DNB"),1,0)</f>
        <v>0</v>
      </c>
      <c r="Z3668" s="0" t="str">
        <f aca="false">IF(ISNUMBER(W3668),A3668-W3668,"")</f>
        <v/>
      </c>
      <c r="AA3668" s="46" t="n">
        <f aca="false">MATCH(A3668,DATAS,0)</f>
        <v>1</v>
      </c>
      <c r="AB3668" s="46" t="n">
        <f aca="false">IF(AND(E3668&gt;0,OR(AND(B3668&gt;=1,B3668&lt;=6),B3668=10)),1,0)</f>
        <v>0</v>
      </c>
      <c r="AC3668" s="46" t="n">
        <f aca="false">IF(AND(E3668&gt;0,B3668=10),1,0)</f>
        <v>0</v>
      </c>
      <c r="AD3668" s="0" t="str">
        <f aca="false">IF(AND(C3667=C3668,AA3667=AA3668-1),AB3667,"")</f>
        <v/>
      </c>
      <c r="AE3668" s="0" t="str">
        <f aca="false">IF(AND(C3667=C3668,AA3667=AA3668-1),AC3667,"")</f>
        <v/>
      </c>
      <c r="AF3668" s="0" t="str">
        <f aca="false">IF(AA3668=1,"",IF(AND(AB3668=1,AD3668&lt;&gt;1),1,0))</f>
        <v/>
      </c>
      <c r="AG3668" s="0" t="str">
        <f aca="false">IF(AA3668=1,"",IF(AND(AC3668=1,AE3668&lt;&gt;1),1,0))</f>
        <v/>
      </c>
      <c r="AH3668" s="51" t="str">
        <f aca="false">IF(AND(E3668&gt;0,AA3668&lt;1,NOT(AND(C3669=C3668,AA3669=AA3668+1))),INDEX(DATAS,AA3668+1),"")</f>
        <v/>
      </c>
      <c r="AI3668" s="51" t="str">
        <f aca="false">IF(AND(AC3668=1,AA3668&lt;1),IF(AND(C3669=C3668,AA3669=AA3668+1),IF(AC3669=1,"",INDEX(DATAS,AA3668+1)),INDEX(DATAS,AA3668+1)),"")</f>
        <v/>
      </c>
    </row>
    <row r="3669" customFormat="false" ht="15" hidden="false" customHeight="false" outlineLevel="0" collapsed="false">
      <c r="A3669" s="51" t="n">
        <v>46309</v>
      </c>
      <c r="B3669" s="0" t="n">
        <v>16</v>
      </c>
      <c r="C3669" s="0" t="n">
        <v>8134</v>
      </c>
      <c r="E3669" s="0" t="n">
        <v>0</v>
      </c>
      <c r="F3669" s="46" t="s">
        <v>1673</v>
      </c>
      <c r="I3669" s="46" t="s">
        <v>179</v>
      </c>
      <c r="U3669" s="0" t="n">
        <v>26</v>
      </c>
      <c r="V3669" s="0" t="n">
        <v>0</v>
      </c>
      <c r="X3669" s="46" t="n">
        <f aca="false">IF(I3669="Male",0,1)</f>
        <v>1</v>
      </c>
      <c r="Y3669" s="46" t="n">
        <f aca="false">IF(OR(I3669="DNB",I3669="Dry DNB"),1,0)</f>
        <v>0</v>
      </c>
      <c r="Z3669" s="0" t="str">
        <f aca="false">IF(ISNUMBER(W3669),A3669-W3669,"")</f>
        <v/>
      </c>
      <c r="AA3669" s="46" t="n">
        <f aca="false">MATCH(A3669,DATAS,0)</f>
        <v>1</v>
      </c>
      <c r="AB3669" s="46" t="n">
        <f aca="false">IF(AND(E3669&gt;0,OR(AND(B3669&gt;=1,B3669&lt;=6),B3669=10)),1,0)</f>
        <v>0</v>
      </c>
      <c r="AC3669" s="46" t="n">
        <f aca="false">IF(AND(E3669&gt;0,B3669=10),1,0)</f>
        <v>0</v>
      </c>
      <c r="AD3669" s="0" t="str">
        <f aca="false">IF(AND(C3668=C3669,AA3668=AA3669-1),AB3668,"")</f>
        <v/>
      </c>
      <c r="AE3669" s="0" t="str">
        <f aca="false">IF(AND(C3668=C3669,AA3668=AA3669-1),AC3668,"")</f>
        <v/>
      </c>
      <c r="AF3669" s="0" t="str">
        <f aca="false">IF(AA3669=1,"",IF(AND(AB3669=1,AD3669&lt;&gt;1),1,0))</f>
        <v/>
      </c>
      <c r="AG3669" s="0" t="str">
        <f aca="false">IF(AA3669=1,"",IF(AND(AC3669=1,AE3669&lt;&gt;1),1,0))</f>
        <v/>
      </c>
      <c r="AH3669" s="51" t="str">
        <f aca="false">IF(AND(E3669&gt;0,AA3669&lt;1,NOT(AND(C3670=C3669,AA3670=AA3669+1))),INDEX(DATAS,AA3669+1),"")</f>
        <v/>
      </c>
      <c r="AI3669" s="51" t="str">
        <f aca="false">IF(AND(AC3669=1,AA3669&lt;1),IF(AND(C3670=C3669,AA3670=AA3669+1),IF(AC3670=1,"",INDEX(DATAS,AA3669+1)),INDEX(DATAS,AA3669+1)),"")</f>
        <v/>
      </c>
    </row>
    <row r="3670" customFormat="false" ht="15" hidden="false" customHeight="false" outlineLevel="0" collapsed="false">
      <c r="A3670" s="51" t="n">
        <v>46309</v>
      </c>
      <c r="B3670" s="0" t="n">
        <v>16</v>
      </c>
      <c r="C3670" s="0" t="n">
        <v>8135</v>
      </c>
      <c r="E3670" s="0" t="n">
        <v>0</v>
      </c>
      <c r="F3670" s="46" t="s">
        <v>1673</v>
      </c>
      <c r="I3670" s="46" t="s">
        <v>179</v>
      </c>
      <c r="U3670" s="0" t="n">
        <v>26</v>
      </c>
      <c r="V3670" s="0" t="n">
        <v>0</v>
      </c>
      <c r="X3670" s="46" t="n">
        <f aca="false">IF(I3670="Male",0,1)</f>
        <v>1</v>
      </c>
      <c r="Y3670" s="46" t="n">
        <f aca="false">IF(OR(I3670="DNB",I3670="Dry DNB"),1,0)</f>
        <v>0</v>
      </c>
      <c r="Z3670" s="0" t="str">
        <f aca="false">IF(ISNUMBER(W3670),A3670-W3670,"")</f>
        <v/>
      </c>
      <c r="AA3670" s="46" t="n">
        <f aca="false">MATCH(A3670,DATAS,0)</f>
        <v>1</v>
      </c>
      <c r="AB3670" s="46" t="n">
        <f aca="false">IF(AND(E3670&gt;0,OR(AND(B3670&gt;=1,B3670&lt;=6),B3670=10)),1,0)</f>
        <v>0</v>
      </c>
      <c r="AC3670" s="46" t="n">
        <f aca="false">IF(AND(E3670&gt;0,B3670=10),1,0)</f>
        <v>0</v>
      </c>
      <c r="AD3670" s="0" t="str">
        <f aca="false">IF(AND(C3669=C3670,AA3669=AA3670-1),AB3669,"")</f>
        <v/>
      </c>
      <c r="AE3670" s="0" t="str">
        <f aca="false">IF(AND(C3669=C3670,AA3669=AA3670-1),AC3669,"")</f>
        <v/>
      </c>
      <c r="AF3670" s="0" t="str">
        <f aca="false">IF(AA3670=1,"",IF(AND(AB3670=1,AD3670&lt;&gt;1),1,0))</f>
        <v/>
      </c>
      <c r="AG3670" s="0" t="str">
        <f aca="false">IF(AA3670=1,"",IF(AND(AC3670=1,AE3670&lt;&gt;1),1,0))</f>
        <v/>
      </c>
      <c r="AH3670" s="51" t="str">
        <f aca="false">IF(AND(E3670&gt;0,AA3670&lt;1,NOT(AND(C3671=C3670,AA3671=AA3670+1))),INDEX(DATAS,AA3670+1),"")</f>
        <v/>
      </c>
      <c r="AI3670" s="51" t="str">
        <f aca="false">IF(AND(AC3670=1,AA3670&lt;1),IF(AND(C3671=C3670,AA3671=AA3670+1),IF(AC3671=1,"",INDEX(DATAS,AA3670+1)),INDEX(DATAS,AA3670+1)),"")</f>
        <v/>
      </c>
    </row>
    <row r="3671" customFormat="false" ht="15" hidden="false" customHeight="false" outlineLevel="0" collapsed="false">
      <c r="A3671" s="51" t="n">
        <v>46309</v>
      </c>
      <c r="B3671" s="0" t="n">
        <v>16</v>
      </c>
      <c r="C3671" s="0" t="n">
        <v>8136</v>
      </c>
      <c r="E3671" s="0" t="n">
        <v>0</v>
      </c>
      <c r="F3671" s="46" t="s">
        <v>1673</v>
      </c>
      <c r="I3671" s="46" t="s">
        <v>179</v>
      </c>
      <c r="U3671" s="0" t="n">
        <v>26</v>
      </c>
      <c r="V3671" s="0" t="n">
        <v>0</v>
      </c>
      <c r="X3671" s="46" t="n">
        <f aca="false">IF(I3671="Male",0,1)</f>
        <v>1</v>
      </c>
      <c r="Y3671" s="46" t="n">
        <f aca="false">IF(OR(I3671="DNB",I3671="Dry DNB"),1,0)</f>
        <v>0</v>
      </c>
      <c r="Z3671" s="0" t="str">
        <f aca="false">IF(ISNUMBER(W3671),A3671-W3671,"")</f>
        <v/>
      </c>
      <c r="AA3671" s="46" t="n">
        <f aca="false">MATCH(A3671,DATAS,0)</f>
        <v>1</v>
      </c>
      <c r="AB3671" s="46" t="n">
        <f aca="false">IF(AND(E3671&gt;0,OR(AND(B3671&gt;=1,B3671&lt;=6),B3671=10)),1,0)</f>
        <v>0</v>
      </c>
      <c r="AC3671" s="46" t="n">
        <f aca="false">IF(AND(E3671&gt;0,B3671=10),1,0)</f>
        <v>0</v>
      </c>
      <c r="AD3671" s="0" t="str">
        <f aca="false">IF(AND(C3670=C3671,AA3670=AA3671-1),AB3670,"")</f>
        <v/>
      </c>
      <c r="AE3671" s="0" t="str">
        <f aca="false">IF(AND(C3670=C3671,AA3670=AA3671-1),AC3670,"")</f>
        <v/>
      </c>
      <c r="AF3671" s="0" t="str">
        <f aca="false">IF(AA3671=1,"",IF(AND(AB3671=1,AD3671&lt;&gt;1),1,0))</f>
        <v/>
      </c>
      <c r="AG3671" s="0" t="str">
        <f aca="false">IF(AA3671=1,"",IF(AND(AC3671=1,AE3671&lt;&gt;1),1,0))</f>
        <v/>
      </c>
      <c r="AH3671" s="51" t="str">
        <f aca="false">IF(AND(E3671&gt;0,AA3671&lt;1,NOT(AND(C3672=C3671,AA3672=AA3671+1))),INDEX(DATAS,AA3671+1),"")</f>
        <v/>
      </c>
      <c r="AI3671" s="51" t="str">
        <f aca="false">IF(AND(AC3671=1,AA3671&lt;1),IF(AND(C3672=C3671,AA3672=AA3671+1),IF(AC3672=1,"",INDEX(DATAS,AA3671+1)),INDEX(DATAS,AA3671+1)),"")</f>
        <v/>
      </c>
    </row>
    <row r="3672" customFormat="false" ht="15" hidden="false" customHeight="false" outlineLevel="0" collapsed="false">
      <c r="A3672" s="51" t="n">
        <v>46309</v>
      </c>
      <c r="B3672" s="0" t="n">
        <v>16</v>
      </c>
      <c r="C3672" s="0" t="n">
        <v>8137</v>
      </c>
      <c r="E3672" s="0" t="n">
        <v>0</v>
      </c>
      <c r="F3672" s="46" t="s">
        <v>1673</v>
      </c>
      <c r="I3672" s="46" t="s">
        <v>179</v>
      </c>
      <c r="U3672" s="0" t="n">
        <v>26</v>
      </c>
      <c r="V3672" s="0" t="n">
        <v>0</v>
      </c>
      <c r="X3672" s="46" t="n">
        <f aca="false">IF(I3672="Male",0,1)</f>
        <v>1</v>
      </c>
      <c r="Y3672" s="46" t="n">
        <f aca="false">IF(OR(I3672="DNB",I3672="Dry DNB"),1,0)</f>
        <v>0</v>
      </c>
      <c r="Z3672" s="0" t="str">
        <f aca="false">IF(ISNUMBER(W3672),A3672-W3672,"")</f>
        <v/>
      </c>
      <c r="AA3672" s="46" t="n">
        <f aca="false">MATCH(A3672,DATAS,0)</f>
        <v>1</v>
      </c>
      <c r="AB3672" s="46" t="n">
        <f aca="false">IF(AND(E3672&gt;0,OR(AND(B3672&gt;=1,B3672&lt;=6),B3672=10)),1,0)</f>
        <v>0</v>
      </c>
      <c r="AC3672" s="46" t="n">
        <f aca="false">IF(AND(E3672&gt;0,B3672=10),1,0)</f>
        <v>0</v>
      </c>
      <c r="AD3672" s="0" t="str">
        <f aca="false">IF(AND(C3671=C3672,AA3671=AA3672-1),AB3671,"")</f>
        <v/>
      </c>
      <c r="AE3672" s="0" t="str">
        <f aca="false">IF(AND(C3671=C3672,AA3671=AA3672-1),AC3671,"")</f>
        <v/>
      </c>
      <c r="AF3672" s="0" t="str">
        <f aca="false">IF(AA3672=1,"",IF(AND(AB3672=1,AD3672&lt;&gt;1),1,0))</f>
        <v/>
      </c>
      <c r="AG3672" s="0" t="str">
        <f aca="false">IF(AA3672=1,"",IF(AND(AC3672=1,AE3672&lt;&gt;1),1,0))</f>
        <v/>
      </c>
      <c r="AH3672" s="51" t="str">
        <f aca="false">IF(AND(E3672&gt;0,AA3672&lt;1,NOT(AND(C3673=C3672,AA3673=AA3672+1))),INDEX(DATAS,AA3672+1),"")</f>
        <v/>
      </c>
      <c r="AI3672" s="51" t="str">
        <f aca="false">IF(AND(AC3672=1,AA3672&lt;1),IF(AND(C3673=C3672,AA3673=AA3672+1),IF(AC3673=1,"",INDEX(DATAS,AA3672+1)),INDEX(DATAS,AA3672+1)),"")</f>
        <v/>
      </c>
    </row>
    <row r="3673" customFormat="false" ht="15" hidden="false" customHeight="false" outlineLevel="0" collapsed="false">
      <c r="A3673" s="51" t="n">
        <v>46309</v>
      </c>
      <c r="B3673" s="0" t="n">
        <v>16</v>
      </c>
      <c r="C3673" s="0" t="n">
        <v>8138</v>
      </c>
      <c r="E3673" s="0" t="n">
        <v>0</v>
      </c>
      <c r="F3673" s="46" t="s">
        <v>1673</v>
      </c>
      <c r="I3673" s="46" t="s">
        <v>179</v>
      </c>
      <c r="U3673" s="0" t="n">
        <v>26</v>
      </c>
      <c r="V3673" s="0" t="n">
        <v>0</v>
      </c>
      <c r="X3673" s="46" t="n">
        <f aca="false">IF(I3673="Male",0,1)</f>
        <v>1</v>
      </c>
      <c r="Y3673" s="46" t="n">
        <f aca="false">IF(OR(I3673="DNB",I3673="Dry DNB"),1,0)</f>
        <v>0</v>
      </c>
      <c r="Z3673" s="0" t="str">
        <f aca="false">IF(ISNUMBER(W3673),A3673-W3673,"")</f>
        <v/>
      </c>
      <c r="AA3673" s="46" t="n">
        <f aca="false">MATCH(A3673,DATAS,0)</f>
        <v>1</v>
      </c>
      <c r="AB3673" s="46" t="n">
        <f aca="false">IF(AND(E3673&gt;0,OR(AND(B3673&gt;=1,B3673&lt;=6),B3673=10)),1,0)</f>
        <v>0</v>
      </c>
      <c r="AC3673" s="46" t="n">
        <f aca="false">IF(AND(E3673&gt;0,B3673=10),1,0)</f>
        <v>0</v>
      </c>
      <c r="AD3673" s="0" t="str">
        <f aca="false">IF(AND(C3672=C3673,AA3672=AA3673-1),AB3672,"")</f>
        <v/>
      </c>
      <c r="AE3673" s="0" t="str">
        <f aca="false">IF(AND(C3672=C3673,AA3672=AA3673-1),AC3672,"")</f>
        <v/>
      </c>
      <c r="AF3673" s="0" t="str">
        <f aca="false">IF(AA3673=1,"",IF(AND(AB3673=1,AD3673&lt;&gt;1),1,0))</f>
        <v/>
      </c>
      <c r="AG3673" s="0" t="str">
        <f aca="false">IF(AA3673=1,"",IF(AND(AC3673=1,AE3673&lt;&gt;1),1,0))</f>
        <v/>
      </c>
      <c r="AH3673" s="51" t="str">
        <f aca="false">IF(AND(E3673&gt;0,AA3673&lt;1,NOT(AND(C3674=C3673,AA3674=AA3673+1))),INDEX(DATAS,AA3673+1),"")</f>
        <v/>
      </c>
      <c r="AI3673" s="51" t="str">
        <f aca="false">IF(AND(AC3673=1,AA3673&lt;1),IF(AND(C3674=C3673,AA3674=AA3673+1),IF(AC3674=1,"",INDEX(DATAS,AA3673+1)),INDEX(DATAS,AA3673+1)),"")</f>
        <v/>
      </c>
    </row>
    <row r="3674" customFormat="false" ht="15" hidden="false" customHeight="false" outlineLevel="0" collapsed="false">
      <c r="A3674" s="51" t="n">
        <v>46309</v>
      </c>
      <c r="B3674" s="0" t="n">
        <v>16</v>
      </c>
      <c r="C3674" s="0" t="n">
        <v>8139</v>
      </c>
      <c r="E3674" s="0" t="n">
        <v>0</v>
      </c>
      <c r="F3674" s="46" t="s">
        <v>1674</v>
      </c>
      <c r="I3674" s="46" t="s">
        <v>179</v>
      </c>
      <c r="U3674" s="0" t="n">
        <v>25</v>
      </c>
      <c r="V3674" s="0" t="n">
        <v>0</v>
      </c>
      <c r="X3674" s="46" t="n">
        <f aca="false">IF(I3674="Male",0,1)</f>
        <v>1</v>
      </c>
      <c r="Y3674" s="46" t="n">
        <f aca="false">IF(OR(I3674="DNB",I3674="Dry DNB"),1,0)</f>
        <v>0</v>
      </c>
      <c r="Z3674" s="0" t="str">
        <f aca="false">IF(ISNUMBER(W3674),A3674-W3674,"")</f>
        <v/>
      </c>
      <c r="AA3674" s="46" t="n">
        <f aca="false">MATCH(A3674,DATAS,0)</f>
        <v>1</v>
      </c>
      <c r="AB3674" s="46" t="n">
        <f aca="false">IF(AND(E3674&gt;0,OR(AND(B3674&gt;=1,B3674&lt;=6),B3674=10)),1,0)</f>
        <v>0</v>
      </c>
      <c r="AC3674" s="46" t="n">
        <f aca="false">IF(AND(E3674&gt;0,B3674=10),1,0)</f>
        <v>0</v>
      </c>
      <c r="AD3674" s="0" t="str">
        <f aca="false">IF(AND(C3673=C3674,AA3673=AA3674-1),AB3673,"")</f>
        <v/>
      </c>
      <c r="AE3674" s="0" t="str">
        <f aca="false">IF(AND(C3673=C3674,AA3673=AA3674-1),AC3673,"")</f>
        <v/>
      </c>
      <c r="AF3674" s="0" t="str">
        <f aca="false">IF(AA3674=1,"",IF(AND(AB3674=1,AD3674&lt;&gt;1),1,0))</f>
        <v/>
      </c>
      <c r="AG3674" s="0" t="str">
        <f aca="false">IF(AA3674=1,"",IF(AND(AC3674=1,AE3674&lt;&gt;1),1,0))</f>
        <v/>
      </c>
      <c r="AH3674" s="51" t="str">
        <f aca="false">IF(AND(E3674&gt;0,AA3674&lt;1,NOT(AND(C3675=C3674,AA3675=AA3674+1))),INDEX(DATAS,AA3674+1),"")</f>
        <v/>
      </c>
      <c r="AI3674" s="51" t="str">
        <f aca="false">IF(AND(AC3674=1,AA3674&lt;1),IF(AND(C3675=C3674,AA3675=AA3674+1),IF(AC3675=1,"",INDEX(DATAS,AA3674+1)),INDEX(DATAS,AA3674+1)),"")</f>
        <v/>
      </c>
    </row>
    <row r="3675" customFormat="false" ht="15" hidden="false" customHeight="false" outlineLevel="0" collapsed="false">
      <c r="A3675" s="51" t="n">
        <v>46309</v>
      </c>
      <c r="B3675" s="0" t="n">
        <v>16</v>
      </c>
      <c r="C3675" s="0" t="n">
        <v>8140</v>
      </c>
      <c r="E3675" s="0" t="n">
        <v>0</v>
      </c>
      <c r="F3675" s="46" t="s">
        <v>1674</v>
      </c>
      <c r="I3675" s="46" t="s">
        <v>179</v>
      </c>
      <c r="U3675" s="0" t="n">
        <v>25</v>
      </c>
      <c r="V3675" s="0" t="n">
        <v>0</v>
      </c>
      <c r="X3675" s="46" t="n">
        <f aca="false">IF(I3675="Male",0,1)</f>
        <v>1</v>
      </c>
      <c r="Y3675" s="46" t="n">
        <f aca="false">IF(OR(I3675="DNB",I3675="Dry DNB"),1,0)</f>
        <v>0</v>
      </c>
      <c r="Z3675" s="0" t="str">
        <f aca="false">IF(ISNUMBER(W3675),A3675-W3675,"")</f>
        <v/>
      </c>
      <c r="AA3675" s="46" t="n">
        <f aca="false">MATCH(A3675,DATAS,0)</f>
        <v>1</v>
      </c>
      <c r="AB3675" s="46" t="n">
        <f aca="false">IF(AND(E3675&gt;0,OR(AND(B3675&gt;=1,B3675&lt;=6),B3675=10)),1,0)</f>
        <v>0</v>
      </c>
      <c r="AC3675" s="46" t="n">
        <f aca="false">IF(AND(E3675&gt;0,B3675=10),1,0)</f>
        <v>0</v>
      </c>
      <c r="AD3675" s="0" t="str">
        <f aca="false">IF(AND(C3674=C3675,AA3674=AA3675-1),AB3674,"")</f>
        <v/>
      </c>
      <c r="AE3675" s="0" t="str">
        <f aca="false">IF(AND(C3674=C3675,AA3674=AA3675-1),AC3674,"")</f>
        <v/>
      </c>
      <c r="AF3675" s="0" t="str">
        <f aca="false">IF(AA3675=1,"",IF(AND(AB3675=1,AD3675&lt;&gt;1),1,0))</f>
        <v/>
      </c>
      <c r="AG3675" s="0" t="str">
        <f aca="false">IF(AA3675=1,"",IF(AND(AC3675=1,AE3675&lt;&gt;1),1,0))</f>
        <v/>
      </c>
      <c r="AH3675" s="51" t="str">
        <f aca="false">IF(AND(E3675&gt;0,AA3675&lt;1,NOT(AND(C3676=C3675,AA3676=AA3675+1))),INDEX(DATAS,AA3675+1),"")</f>
        <v/>
      </c>
      <c r="AI3675" s="51" t="str">
        <f aca="false">IF(AND(AC3675=1,AA3675&lt;1),IF(AND(C3676=C3675,AA3676=AA3675+1),IF(AC3676=1,"",INDEX(DATAS,AA3675+1)),INDEX(DATAS,AA3675+1)),"")</f>
        <v/>
      </c>
    </row>
    <row r="3676" customFormat="false" ht="15" hidden="false" customHeight="false" outlineLevel="0" collapsed="false">
      <c r="A3676" s="51" t="n">
        <v>46309</v>
      </c>
      <c r="B3676" s="0" t="n">
        <v>16</v>
      </c>
      <c r="C3676" s="0" t="n">
        <v>8141</v>
      </c>
      <c r="E3676" s="0" t="n">
        <v>0</v>
      </c>
      <c r="F3676" s="46" t="s">
        <v>1674</v>
      </c>
      <c r="I3676" s="46" t="s">
        <v>179</v>
      </c>
      <c r="U3676" s="0" t="n">
        <v>25</v>
      </c>
      <c r="V3676" s="0" t="n">
        <v>0</v>
      </c>
      <c r="X3676" s="46" t="n">
        <f aca="false">IF(I3676="Male",0,1)</f>
        <v>1</v>
      </c>
      <c r="Y3676" s="46" t="n">
        <f aca="false">IF(OR(I3676="DNB",I3676="Dry DNB"),1,0)</f>
        <v>0</v>
      </c>
      <c r="Z3676" s="0" t="str">
        <f aca="false">IF(ISNUMBER(W3676),A3676-W3676,"")</f>
        <v/>
      </c>
      <c r="AA3676" s="46" t="n">
        <f aca="false">MATCH(A3676,DATAS,0)</f>
        <v>1</v>
      </c>
      <c r="AB3676" s="46" t="n">
        <f aca="false">IF(AND(E3676&gt;0,OR(AND(B3676&gt;=1,B3676&lt;=6),B3676=10)),1,0)</f>
        <v>0</v>
      </c>
      <c r="AC3676" s="46" t="n">
        <f aca="false">IF(AND(E3676&gt;0,B3676=10),1,0)</f>
        <v>0</v>
      </c>
      <c r="AD3676" s="0" t="str">
        <f aca="false">IF(AND(C3675=C3676,AA3675=AA3676-1),AB3675,"")</f>
        <v/>
      </c>
      <c r="AE3676" s="0" t="str">
        <f aca="false">IF(AND(C3675=C3676,AA3675=AA3676-1),AC3675,"")</f>
        <v/>
      </c>
      <c r="AF3676" s="0" t="str">
        <f aca="false">IF(AA3676=1,"",IF(AND(AB3676=1,AD3676&lt;&gt;1),1,0))</f>
        <v/>
      </c>
      <c r="AG3676" s="0" t="str">
        <f aca="false">IF(AA3676=1,"",IF(AND(AC3676=1,AE3676&lt;&gt;1),1,0))</f>
        <v/>
      </c>
      <c r="AH3676" s="51" t="str">
        <f aca="false">IF(AND(E3676&gt;0,AA3676&lt;1,NOT(AND(C3677=C3676,AA3677=AA3676+1))),INDEX(DATAS,AA3676+1),"")</f>
        <v/>
      </c>
      <c r="AI3676" s="51" t="str">
        <f aca="false">IF(AND(AC3676=1,AA3676&lt;1),IF(AND(C3677=C3676,AA3677=AA3676+1),IF(AC3677=1,"",INDEX(DATAS,AA3676+1)),INDEX(DATAS,AA3676+1)),"")</f>
        <v/>
      </c>
    </row>
    <row r="3677" customFormat="false" ht="15" hidden="false" customHeight="false" outlineLevel="0" collapsed="false">
      <c r="A3677" s="51" t="n">
        <v>46309</v>
      </c>
      <c r="B3677" s="0" t="n">
        <v>16</v>
      </c>
      <c r="C3677" s="0" t="n">
        <v>8142</v>
      </c>
      <c r="E3677" s="0" t="n">
        <v>0</v>
      </c>
      <c r="F3677" s="46" t="s">
        <v>1674</v>
      </c>
      <c r="I3677" s="46" t="s">
        <v>179</v>
      </c>
      <c r="U3677" s="0" t="n">
        <v>25</v>
      </c>
      <c r="V3677" s="0" t="n">
        <v>0</v>
      </c>
      <c r="X3677" s="46" t="n">
        <f aca="false">IF(I3677="Male",0,1)</f>
        <v>1</v>
      </c>
      <c r="Y3677" s="46" t="n">
        <f aca="false">IF(OR(I3677="DNB",I3677="Dry DNB"),1,0)</f>
        <v>0</v>
      </c>
      <c r="Z3677" s="0" t="str">
        <f aca="false">IF(ISNUMBER(W3677),A3677-W3677,"")</f>
        <v/>
      </c>
      <c r="AA3677" s="46" t="n">
        <f aca="false">MATCH(A3677,DATAS,0)</f>
        <v>1</v>
      </c>
      <c r="AB3677" s="46" t="n">
        <f aca="false">IF(AND(E3677&gt;0,OR(AND(B3677&gt;=1,B3677&lt;=6),B3677=10)),1,0)</f>
        <v>0</v>
      </c>
      <c r="AC3677" s="46" t="n">
        <f aca="false">IF(AND(E3677&gt;0,B3677=10),1,0)</f>
        <v>0</v>
      </c>
      <c r="AD3677" s="0" t="str">
        <f aca="false">IF(AND(C3676=C3677,AA3676=AA3677-1),AB3676,"")</f>
        <v/>
      </c>
      <c r="AE3677" s="0" t="str">
        <f aca="false">IF(AND(C3676=C3677,AA3676=AA3677-1),AC3676,"")</f>
        <v/>
      </c>
      <c r="AF3677" s="0" t="str">
        <f aca="false">IF(AA3677=1,"",IF(AND(AB3677=1,AD3677&lt;&gt;1),1,0))</f>
        <v/>
      </c>
      <c r="AG3677" s="0" t="str">
        <f aca="false">IF(AA3677=1,"",IF(AND(AC3677=1,AE3677&lt;&gt;1),1,0))</f>
        <v/>
      </c>
      <c r="AH3677" s="51" t="str">
        <f aca="false">IF(AND(E3677&gt;0,AA3677&lt;1,NOT(AND(C3678=C3677,AA3678=AA3677+1))),INDEX(DATAS,AA3677+1),"")</f>
        <v/>
      </c>
      <c r="AI3677" s="51" t="str">
        <f aca="false">IF(AND(AC3677=1,AA3677&lt;1),IF(AND(C3678=C3677,AA3678=AA3677+1),IF(AC3678=1,"",INDEX(DATAS,AA3677+1)),INDEX(DATAS,AA3677+1)),"")</f>
        <v/>
      </c>
    </row>
    <row r="3678" customFormat="false" ht="15" hidden="false" customHeight="false" outlineLevel="0" collapsed="false">
      <c r="A3678" s="51" t="n">
        <v>46309</v>
      </c>
      <c r="B3678" s="0" t="n">
        <v>16</v>
      </c>
      <c r="C3678" s="0" t="n">
        <v>8143</v>
      </c>
      <c r="E3678" s="0" t="n">
        <v>0</v>
      </c>
      <c r="F3678" s="46" t="s">
        <v>1674</v>
      </c>
      <c r="I3678" s="46" t="s">
        <v>179</v>
      </c>
      <c r="U3678" s="0" t="n">
        <v>25</v>
      </c>
      <c r="V3678" s="0" t="n">
        <v>0</v>
      </c>
      <c r="X3678" s="46" t="n">
        <f aca="false">IF(I3678="Male",0,1)</f>
        <v>1</v>
      </c>
      <c r="Y3678" s="46" t="n">
        <f aca="false">IF(OR(I3678="DNB",I3678="Dry DNB"),1,0)</f>
        <v>0</v>
      </c>
      <c r="Z3678" s="0" t="str">
        <f aca="false">IF(ISNUMBER(W3678),A3678-W3678,"")</f>
        <v/>
      </c>
      <c r="AA3678" s="46" t="n">
        <f aca="false">MATCH(A3678,DATAS,0)</f>
        <v>1</v>
      </c>
      <c r="AB3678" s="46" t="n">
        <f aca="false">IF(AND(E3678&gt;0,OR(AND(B3678&gt;=1,B3678&lt;=6),B3678=10)),1,0)</f>
        <v>0</v>
      </c>
      <c r="AC3678" s="46" t="n">
        <f aca="false">IF(AND(E3678&gt;0,B3678=10),1,0)</f>
        <v>0</v>
      </c>
      <c r="AD3678" s="0" t="str">
        <f aca="false">IF(AND(C3677=C3678,AA3677=AA3678-1),AB3677,"")</f>
        <v/>
      </c>
      <c r="AE3678" s="0" t="str">
        <f aca="false">IF(AND(C3677=C3678,AA3677=AA3678-1),AC3677,"")</f>
        <v/>
      </c>
      <c r="AF3678" s="0" t="str">
        <f aca="false">IF(AA3678=1,"",IF(AND(AB3678=1,AD3678&lt;&gt;1),1,0))</f>
        <v/>
      </c>
      <c r="AG3678" s="0" t="str">
        <f aca="false">IF(AA3678=1,"",IF(AND(AC3678=1,AE3678&lt;&gt;1),1,0))</f>
        <v/>
      </c>
      <c r="AH3678" s="51" t="str">
        <f aca="false">IF(AND(E3678&gt;0,AA3678&lt;1,NOT(AND(C3679=C3678,AA3679=AA3678+1))),INDEX(DATAS,AA3678+1),"")</f>
        <v/>
      </c>
      <c r="AI3678" s="51" t="str">
        <f aca="false">IF(AND(AC3678=1,AA3678&lt;1),IF(AND(C3679=C3678,AA3679=AA3678+1),IF(AC3679=1,"",INDEX(DATAS,AA3678+1)),INDEX(DATAS,AA3678+1)),"")</f>
        <v/>
      </c>
    </row>
    <row r="3679" customFormat="false" ht="15" hidden="false" customHeight="false" outlineLevel="0" collapsed="false">
      <c r="A3679" s="51" t="n">
        <v>46309</v>
      </c>
      <c r="B3679" s="0" t="n">
        <v>16</v>
      </c>
      <c r="C3679" s="0" t="n">
        <v>8144</v>
      </c>
      <c r="E3679" s="0" t="n">
        <v>0</v>
      </c>
      <c r="F3679" s="46" t="s">
        <v>1674</v>
      </c>
      <c r="I3679" s="46" t="s">
        <v>179</v>
      </c>
      <c r="U3679" s="0" t="n">
        <v>25</v>
      </c>
      <c r="V3679" s="0" t="n">
        <v>0</v>
      </c>
      <c r="X3679" s="46" t="n">
        <f aca="false">IF(I3679="Male",0,1)</f>
        <v>1</v>
      </c>
      <c r="Y3679" s="46" t="n">
        <f aca="false">IF(OR(I3679="DNB",I3679="Dry DNB"),1,0)</f>
        <v>0</v>
      </c>
      <c r="Z3679" s="0" t="str">
        <f aca="false">IF(ISNUMBER(W3679),A3679-W3679,"")</f>
        <v/>
      </c>
      <c r="AA3679" s="46" t="n">
        <f aca="false">MATCH(A3679,DATAS,0)</f>
        <v>1</v>
      </c>
      <c r="AB3679" s="46" t="n">
        <f aca="false">IF(AND(E3679&gt;0,OR(AND(B3679&gt;=1,B3679&lt;=6),B3679=10)),1,0)</f>
        <v>0</v>
      </c>
      <c r="AC3679" s="46" t="n">
        <f aca="false">IF(AND(E3679&gt;0,B3679=10),1,0)</f>
        <v>0</v>
      </c>
      <c r="AD3679" s="0" t="str">
        <f aca="false">IF(AND(C3678=C3679,AA3678=AA3679-1),AB3678,"")</f>
        <v/>
      </c>
      <c r="AE3679" s="0" t="str">
        <f aca="false">IF(AND(C3678=C3679,AA3678=AA3679-1),AC3678,"")</f>
        <v/>
      </c>
      <c r="AF3679" s="0" t="str">
        <f aca="false">IF(AA3679=1,"",IF(AND(AB3679=1,AD3679&lt;&gt;1),1,0))</f>
        <v/>
      </c>
      <c r="AG3679" s="0" t="str">
        <f aca="false">IF(AA3679=1,"",IF(AND(AC3679=1,AE3679&lt;&gt;1),1,0))</f>
        <v/>
      </c>
      <c r="AH3679" s="51" t="str">
        <f aca="false">IF(AND(E3679&gt;0,AA3679&lt;1,NOT(AND(C3680=C3679,AA3680=AA3679+1))),INDEX(DATAS,AA3679+1),"")</f>
        <v/>
      </c>
      <c r="AI3679" s="51" t="str">
        <f aca="false">IF(AND(AC3679=1,AA3679&lt;1),IF(AND(C3680=C3679,AA3680=AA3679+1),IF(AC3680=1,"",INDEX(DATAS,AA3679+1)),INDEX(DATAS,AA3679+1)),"")</f>
        <v/>
      </c>
    </row>
    <row r="3680" customFormat="false" ht="15" hidden="false" customHeight="false" outlineLevel="0" collapsed="false">
      <c r="A3680" s="51" t="n">
        <v>46309</v>
      </c>
      <c r="B3680" s="0" t="n">
        <v>16</v>
      </c>
      <c r="C3680" s="0" t="n">
        <v>8145</v>
      </c>
      <c r="E3680" s="0" t="n">
        <v>0</v>
      </c>
      <c r="F3680" s="46" t="s">
        <v>1674</v>
      </c>
      <c r="I3680" s="46" t="s">
        <v>179</v>
      </c>
      <c r="U3680" s="0" t="n">
        <v>25</v>
      </c>
      <c r="V3680" s="0" t="n">
        <v>0</v>
      </c>
      <c r="X3680" s="46" t="n">
        <f aca="false">IF(I3680="Male",0,1)</f>
        <v>1</v>
      </c>
      <c r="Y3680" s="46" t="n">
        <f aca="false">IF(OR(I3680="DNB",I3680="Dry DNB"),1,0)</f>
        <v>0</v>
      </c>
      <c r="Z3680" s="0" t="str">
        <f aca="false">IF(ISNUMBER(W3680),A3680-W3680,"")</f>
        <v/>
      </c>
      <c r="AA3680" s="46" t="n">
        <f aca="false">MATCH(A3680,DATAS,0)</f>
        <v>1</v>
      </c>
      <c r="AB3680" s="46" t="n">
        <f aca="false">IF(AND(E3680&gt;0,OR(AND(B3680&gt;=1,B3680&lt;=6),B3680=10)),1,0)</f>
        <v>0</v>
      </c>
      <c r="AC3680" s="46" t="n">
        <f aca="false">IF(AND(E3680&gt;0,B3680=10),1,0)</f>
        <v>0</v>
      </c>
      <c r="AD3680" s="0" t="str">
        <f aca="false">IF(AND(C3679=C3680,AA3679=AA3680-1),AB3679,"")</f>
        <v/>
      </c>
      <c r="AE3680" s="0" t="str">
        <f aca="false">IF(AND(C3679=C3680,AA3679=AA3680-1),AC3679,"")</f>
        <v/>
      </c>
      <c r="AF3680" s="0" t="str">
        <f aca="false">IF(AA3680=1,"",IF(AND(AB3680=1,AD3680&lt;&gt;1),1,0))</f>
        <v/>
      </c>
      <c r="AG3680" s="0" t="str">
        <f aca="false">IF(AA3680=1,"",IF(AND(AC3680=1,AE3680&lt;&gt;1),1,0))</f>
        <v/>
      </c>
      <c r="AH3680" s="51" t="str">
        <f aca="false">IF(AND(E3680&gt;0,AA3680&lt;1,NOT(AND(C3681=C3680,AA3681=AA3680+1))),INDEX(DATAS,AA3680+1),"")</f>
        <v/>
      </c>
      <c r="AI3680" s="51" t="str">
        <f aca="false">IF(AND(AC3680=1,AA3680&lt;1),IF(AND(C3681=C3680,AA3681=AA3680+1),IF(AC3681=1,"",INDEX(DATAS,AA3680+1)),INDEX(DATAS,AA3680+1)),"")</f>
        <v/>
      </c>
    </row>
    <row r="3681" customFormat="false" ht="15" hidden="false" customHeight="false" outlineLevel="0" collapsed="false">
      <c r="A3681" s="51" t="n">
        <v>46309</v>
      </c>
      <c r="B3681" s="0" t="n">
        <v>16</v>
      </c>
      <c r="C3681" s="0" t="n">
        <v>8146</v>
      </c>
      <c r="E3681" s="0" t="n">
        <v>0</v>
      </c>
      <c r="F3681" s="46" t="s">
        <v>1675</v>
      </c>
      <c r="I3681" s="46" t="s">
        <v>179</v>
      </c>
      <c r="U3681" s="0" t="n">
        <v>24</v>
      </c>
      <c r="V3681" s="0" t="n">
        <v>0</v>
      </c>
      <c r="X3681" s="46" t="n">
        <f aca="false">IF(I3681="Male",0,1)</f>
        <v>1</v>
      </c>
      <c r="Y3681" s="46" t="n">
        <f aca="false">IF(OR(I3681="DNB",I3681="Dry DNB"),1,0)</f>
        <v>0</v>
      </c>
      <c r="Z3681" s="0" t="str">
        <f aca="false">IF(ISNUMBER(W3681),A3681-W3681,"")</f>
        <v/>
      </c>
      <c r="AA3681" s="46" t="n">
        <f aca="false">MATCH(A3681,DATAS,0)</f>
        <v>1</v>
      </c>
      <c r="AB3681" s="46" t="n">
        <f aca="false">IF(AND(E3681&gt;0,OR(AND(B3681&gt;=1,B3681&lt;=6),B3681=10)),1,0)</f>
        <v>0</v>
      </c>
      <c r="AC3681" s="46" t="n">
        <f aca="false">IF(AND(E3681&gt;0,B3681=10),1,0)</f>
        <v>0</v>
      </c>
      <c r="AD3681" s="0" t="str">
        <f aca="false">IF(AND(C3680=C3681,AA3680=AA3681-1),AB3680,"")</f>
        <v/>
      </c>
      <c r="AE3681" s="0" t="str">
        <f aca="false">IF(AND(C3680=C3681,AA3680=AA3681-1),AC3680,"")</f>
        <v/>
      </c>
      <c r="AF3681" s="0" t="str">
        <f aca="false">IF(AA3681=1,"",IF(AND(AB3681=1,AD3681&lt;&gt;1),1,0))</f>
        <v/>
      </c>
      <c r="AG3681" s="0" t="str">
        <f aca="false">IF(AA3681=1,"",IF(AND(AC3681=1,AE3681&lt;&gt;1),1,0))</f>
        <v/>
      </c>
      <c r="AH3681" s="51" t="str">
        <f aca="false">IF(AND(E3681&gt;0,AA3681&lt;1,NOT(AND(C3682=C3681,AA3682=AA3681+1))),INDEX(DATAS,AA3681+1),"")</f>
        <v/>
      </c>
      <c r="AI3681" s="51" t="str">
        <f aca="false">IF(AND(AC3681=1,AA3681&lt;1),IF(AND(C3682=C3681,AA3682=AA3681+1),IF(AC3682=1,"",INDEX(DATAS,AA3681+1)),INDEX(DATAS,AA3681+1)),"")</f>
        <v/>
      </c>
    </row>
    <row r="3682" customFormat="false" ht="15" hidden="false" customHeight="false" outlineLevel="0" collapsed="false">
      <c r="A3682" s="51" t="n">
        <v>46309</v>
      </c>
      <c r="B3682" s="0" t="n">
        <v>16</v>
      </c>
      <c r="C3682" s="0" t="n">
        <v>8147</v>
      </c>
      <c r="E3682" s="0" t="n">
        <v>0</v>
      </c>
      <c r="F3682" s="46" t="s">
        <v>1675</v>
      </c>
      <c r="I3682" s="46" t="s">
        <v>179</v>
      </c>
      <c r="U3682" s="0" t="n">
        <v>24</v>
      </c>
      <c r="V3682" s="0" t="n">
        <v>0</v>
      </c>
      <c r="X3682" s="46" t="n">
        <f aca="false">IF(I3682="Male",0,1)</f>
        <v>1</v>
      </c>
      <c r="Y3682" s="46" t="n">
        <f aca="false">IF(OR(I3682="DNB",I3682="Dry DNB"),1,0)</f>
        <v>0</v>
      </c>
      <c r="Z3682" s="0" t="str">
        <f aca="false">IF(ISNUMBER(W3682),A3682-W3682,"")</f>
        <v/>
      </c>
      <c r="AA3682" s="46" t="n">
        <f aca="false">MATCH(A3682,DATAS,0)</f>
        <v>1</v>
      </c>
      <c r="AB3682" s="46" t="n">
        <f aca="false">IF(AND(E3682&gt;0,OR(AND(B3682&gt;=1,B3682&lt;=6),B3682=10)),1,0)</f>
        <v>0</v>
      </c>
      <c r="AC3682" s="46" t="n">
        <f aca="false">IF(AND(E3682&gt;0,B3682=10),1,0)</f>
        <v>0</v>
      </c>
      <c r="AD3682" s="0" t="str">
        <f aca="false">IF(AND(C3681=C3682,AA3681=AA3682-1),AB3681,"")</f>
        <v/>
      </c>
      <c r="AE3682" s="0" t="str">
        <f aca="false">IF(AND(C3681=C3682,AA3681=AA3682-1),AC3681,"")</f>
        <v/>
      </c>
      <c r="AF3682" s="0" t="str">
        <f aca="false">IF(AA3682=1,"",IF(AND(AB3682=1,AD3682&lt;&gt;1),1,0))</f>
        <v/>
      </c>
      <c r="AG3682" s="0" t="str">
        <f aca="false">IF(AA3682=1,"",IF(AND(AC3682=1,AE3682&lt;&gt;1),1,0))</f>
        <v/>
      </c>
      <c r="AH3682" s="51" t="str">
        <f aca="false">IF(AND(E3682&gt;0,AA3682&lt;1,NOT(AND(C3683=C3682,AA3683=AA3682+1))),INDEX(DATAS,AA3682+1),"")</f>
        <v/>
      </c>
      <c r="AI3682" s="51" t="str">
        <f aca="false">IF(AND(AC3682=1,AA3682&lt;1),IF(AND(C3683=C3682,AA3683=AA3682+1),IF(AC3683=1,"",INDEX(DATAS,AA3682+1)),INDEX(DATAS,AA3682+1)),"")</f>
        <v/>
      </c>
    </row>
    <row r="3683" customFormat="false" ht="15" hidden="false" customHeight="false" outlineLevel="0" collapsed="false">
      <c r="A3683" s="51" t="n">
        <v>46309</v>
      </c>
      <c r="B3683" s="0" t="n">
        <v>16</v>
      </c>
      <c r="C3683" s="0" t="n">
        <v>8148</v>
      </c>
      <c r="E3683" s="0" t="n">
        <v>0</v>
      </c>
      <c r="F3683" s="46" t="s">
        <v>1675</v>
      </c>
      <c r="I3683" s="46" t="s">
        <v>179</v>
      </c>
      <c r="U3683" s="0" t="n">
        <v>24</v>
      </c>
      <c r="V3683" s="0" t="n">
        <v>0</v>
      </c>
      <c r="X3683" s="46" t="n">
        <f aca="false">IF(I3683="Male",0,1)</f>
        <v>1</v>
      </c>
      <c r="Y3683" s="46" t="n">
        <f aca="false">IF(OR(I3683="DNB",I3683="Dry DNB"),1,0)</f>
        <v>0</v>
      </c>
      <c r="Z3683" s="0" t="str">
        <f aca="false">IF(ISNUMBER(W3683),A3683-W3683,"")</f>
        <v/>
      </c>
      <c r="AA3683" s="46" t="n">
        <f aca="false">MATCH(A3683,DATAS,0)</f>
        <v>1</v>
      </c>
      <c r="AB3683" s="46" t="n">
        <f aca="false">IF(AND(E3683&gt;0,OR(AND(B3683&gt;=1,B3683&lt;=6),B3683=10)),1,0)</f>
        <v>0</v>
      </c>
      <c r="AC3683" s="46" t="n">
        <f aca="false">IF(AND(E3683&gt;0,B3683=10),1,0)</f>
        <v>0</v>
      </c>
      <c r="AD3683" s="0" t="str">
        <f aca="false">IF(AND(C3682=C3683,AA3682=AA3683-1),AB3682,"")</f>
        <v/>
      </c>
      <c r="AE3683" s="0" t="str">
        <f aca="false">IF(AND(C3682=C3683,AA3682=AA3683-1),AC3682,"")</f>
        <v/>
      </c>
      <c r="AF3683" s="0" t="str">
        <f aca="false">IF(AA3683=1,"",IF(AND(AB3683=1,AD3683&lt;&gt;1),1,0))</f>
        <v/>
      </c>
      <c r="AG3683" s="0" t="str">
        <f aca="false">IF(AA3683=1,"",IF(AND(AC3683=1,AE3683&lt;&gt;1),1,0))</f>
        <v/>
      </c>
      <c r="AH3683" s="51" t="str">
        <f aca="false">IF(AND(E3683&gt;0,AA3683&lt;1,NOT(AND(C3684=C3683,AA3684=AA3683+1))),INDEX(DATAS,AA3683+1),"")</f>
        <v/>
      </c>
      <c r="AI3683" s="51" t="str">
        <f aca="false">IF(AND(AC3683=1,AA3683&lt;1),IF(AND(C3684=C3683,AA3684=AA3683+1),IF(AC3684=1,"",INDEX(DATAS,AA3683+1)),INDEX(DATAS,AA3683+1)),"")</f>
        <v/>
      </c>
    </row>
    <row r="3684" customFormat="false" ht="15" hidden="false" customHeight="false" outlineLevel="0" collapsed="false">
      <c r="A3684" s="51" t="n">
        <v>46309</v>
      </c>
      <c r="B3684" s="0" t="n">
        <v>16</v>
      </c>
      <c r="C3684" s="0" t="n">
        <v>8149</v>
      </c>
      <c r="E3684" s="0" t="n">
        <v>0</v>
      </c>
      <c r="F3684" s="46" t="s">
        <v>1675</v>
      </c>
      <c r="I3684" s="46" t="s">
        <v>179</v>
      </c>
      <c r="U3684" s="0" t="n">
        <v>24</v>
      </c>
      <c r="V3684" s="0" t="n">
        <v>0</v>
      </c>
      <c r="X3684" s="46" t="n">
        <f aca="false">IF(I3684="Male",0,1)</f>
        <v>1</v>
      </c>
      <c r="Y3684" s="46" t="n">
        <f aca="false">IF(OR(I3684="DNB",I3684="Dry DNB"),1,0)</f>
        <v>0</v>
      </c>
      <c r="Z3684" s="0" t="str">
        <f aca="false">IF(ISNUMBER(W3684),A3684-W3684,"")</f>
        <v/>
      </c>
      <c r="AA3684" s="46" t="n">
        <f aca="false">MATCH(A3684,DATAS,0)</f>
        <v>1</v>
      </c>
      <c r="AB3684" s="46" t="n">
        <f aca="false">IF(AND(E3684&gt;0,OR(AND(B3684&gt;=1,B3684&lt;=6),B3684=10)),1,0)</f>
        <v>0</v>
      </c>
      <c r="AC3684" s="46" t="n">
        <f aca="false">IF(AND(E3684&gt;0,B3684=10),1,0)</f>
        <v>0</v>
      </c>
      <c r="AD3684" s="0" t="str">
        <f aca="false">IF(AND(C3683=C3684,AA3683=AA3684-1),AB3683,"")</f>
        <v/>
      </c>
      <c r="AE3684" s="0" t="str">
        <f aca="false">IF(AND(C3683=C3684,AA3683=AA3684-1),AC3683,"")</f>
        <v/>
      </c>
      <c r="AF3684" s="0" t="str">
        <f aca="false">IF(AA3684=1,"",IF(AND(AB3684=1,AD3684&lt;&gt;1),1,0))</f>
        <v/>
      </c>
      <c r="AG3684" s="0" t="str">
        <f aca="false">IF(AA3684=1,"",IF(AND(AC3684=1,AE3684&lt;&gt;1),1,0))</f>
        <v/>
      </c>
      <c r="AH3684" s="51" t="str">
        <f aca="false">IF(AND(E3684&gt;0,AA3684&lt;1,NOT(AND(C3685=C3684,AA3685=AA3684+1))),INDEX(DATAS,AA3684+1),"")</f>
        <v/>
      </c>
      <c r="AI3684" s="51" t="str">
        <f aca="false">IF(AND(AC3684=1,AA3684&lt;1),IF(AND(C3685=C3684,AA3685=AA3684+1),IF(AC3685=1,"",INDEX(DATAS,AA3684+1)),INDEX(DATAS,AA3684+1)),"")</f>
        <v/>
      </c>
    </row>
    <row r="3685" customFormat="false" ht="15" hidden="false" customHeight="false" outlineLevel="0" collapsed="false">
      <c r="A3685" s="51" t="n">
        <v>46309</v>
      </c>
      <c r="B3685" s="0" t="n">
        <v>16</v>
      </c>
      <c r="C3685" s="0" t="n">
        <v>8150</v>
      </c>
      <c r="E3685" s="0" t="n">
        <v>0</v>
      </c>
      <c r="F3685" s="46" t="s">
        <v>1676</v>
      </c>
      <c r="I3685" s="46" t="s">
        <v>179</v>
      </c>
      <c r="U3685" s="0" t="n">
        <v>22</v>
      </c>
      <c r="V3685" s="0" t="n">
        <v>0</v>
      </c>
      <c r="X3685" s="46" t="n">
        <f aca="false">IF(I3685="Male",0,1)</f>
        <v>1</v>
      </c>
      <c r="Y3685" s="46" t="n">
        <f aca="false">IF(OR(I3685="DNB",I3685="Dry DNB"),1,0)</f>
        <v>0</v>
      </c>
      <c r="Z3685" s="0" t="str">
        <f aca="false">IF(ISNUMBER(W3685),A3685-W3685,"")</f>
        <v/>
      </c>
      <c r="AA3685" s="46" t="n">
        <f aca="false">MATCH(A3685,DATAS,0)</f>
        <v>1</v>
      </c>
      <c r="AB3685" s="46" t="n">
        <f aca="false">IF(AND(E3685&gt;0,OR(AND(B3685&gt;=1,B3685&lt;=6),B3685=10)),1,0)</f>
        <v>0</v>
      </c>
      <c r="AC3685" s="46" t="n">
        <f aca="false">IF(AND(E3685&gt;0,B3685=10),1,0)</f>
        <v>0</v>
      </c>
      <c r="AD3685" s="0" t="str">
        <f aca="false">IF(AND(C3684=C3685,AA3684=AA3685-1),AB3684,"")</f>
        <v/>
      </c>
      <c r="AE3685" s="0" t="str">
        <f aca="false">IF(AND(C3684=C3685,AA3684=AA3685-1),AC3684,"")</f>
        <v/>
      </c>
      <c r="AF3685" s="0" t="str">
        <f aca="false">IF(AA3685=1,"",IF(AND(AB3685=1,AD3685&lt;&gt;1),1,0))</f>
        <v/>
      </c>
      <c r="AG3685" s="0" t="str">
        <f aca="false">IF(AA3685=1,"",IF(AND(AC3685=1,AE3685&lt;&gt;1),1,0))</f>
        <v/>
      </c>
      <c r="AH3685" s="51" t="str">
        <f aca="false">IF(AND(E3685&gt;0,AA3685&lt;1,NOT(AND(C3686=C3685,AA3686=AA3685+1))),INDEX(DATAS,AA3685+1),"")</f>
        <v/>
      </c>
      <c r="AI3685" s="51" t="str">
        <f aca="false">IF(AND(AC3685=1,AA3685&lt;1),IF(AND(C3686=C3685,AA3686=AA3685+1),IF(AC3686=1,"",INDEX(DATAS,AA3685+1)),INDEX(DATAS,AA3685+1)),"")</f>
        <v/>
      </c>
    </row>
    <row r="3686" customFormat="false" ht="15" hidden="false" customHeight="false" outlineLevel="0" collapsed="false">
      <c r="A3686" s="51" t="n">
        <v>46309</v>
      </c>
      <c r="B3686" s="0" t="n">
        <v>16</v>
      </c>
      <c r="C3686" s="0" t="n">
        <v>8151</v>
      </c>
      <c r="E3686" s="0" t="n">
        <v>0</v>
      </c>
      <c r="F3686" s="46" t="s">
        <v>1676</v>
      </c>
      <c r="I3686" s="46" t="s">
        <v>179</v>
      </c>
      <c r="U3686" s="0" t="n">
        <v>22</v>
      </c>
      <c r="V3686" s="0" t="n">
        <v>0</v>
      </c>
      <c r="X3686" s="46" t="n">
        <f aca="false">IF(I3686="Male",0,1)</f>
        <v>1</v>
      </c>
      <c r="Y3686" s="46" t="n">
        <f aca="false">IF(OR(I3686="DNB",I3686="Dry DNB"),1,0)</f>
        <v>0</v>
      </c>
      <c r="Z3686" s="0" t="str">
        <f aca="false">IF(ISNUMBER(W3686),A3686-W3686,"")</f>
        <v/>
      </c>
      <c r="AA3686" s="46" t="n">
        <f aca="false">MATCH(A3686,DATAS,0)</f>
        <v>1</v>
      </c>
      <c r="AB3686" s="46" t="n">
        <f aca="false">IF(AND(E3686&gt;0,OR(AND(B3686&gt;=1,B3686&lt;=6),B3686=10)),1,0)</f>
        <v>0</v>
      </c>
      <c r="AC3686" s="46" t="n">
        <f aca="false">IF(AND(E3686&gt;0,B3686=10),1,0)</f>
        <v>0</v>
      </c>
      <c r="AD3686" s="0" t="str">
        <f aca="false">IF(AND(C3685=C3686,AA3685=AA3686-1),AB3685,"")</f>
        <v/>
      </c>
      <c r="AE3686" s="0" t="str">
        <f aca="false">IF(AND(C3685=C3686,AA3685=AA3686-1),AC3685,"")</f>
        <v/>
      </c>
      <c r="AF3686" s="0" t="str">
        <f aca="false">IF(AA3686=1,"",IF(AND(AB3686=1,AD3686&lt;&gt;1),1,0))</f>
        <v/>
      </c>
      <c r="AG3686" s="0" t="str">
        <f aca="false">IF(AA3686=1,"",IF(AND(AC3686=1,AE3686&lt;&gt;1),1,0))</f>
        <v/>
      </c>
      <c r="AH3686" s="51" t="str">
        <f aca="false">IF(AND(E3686&gt;0,AA3686&lt;1,NOT(AND(C3687=C3686,AA3687=AA3686+1))),INDEX(DATAS,AA3686+1),"")</f>
        <v/>
      </c>
      <c r="AI3686" s="51" t="str">
        <f aca="false">IF(AND(AC3686=1,AA3686&lt;1),IF(AND(C3687=C3686,AA3687=AA3686+1),IF(AC3687=1,"",INDEX(DATAS,AA3686+1)),INDEX(DATAS,AA3686+1)),"")</f>
        <v/>
      </c>
    </row>
    <row r="3687" customFormat="false" ht="15" hidden="false" customHeight="false" outlineLevel="0" collapsed="false">
      <c r="A3687" s="51" t="n">
        <v>46309</v>
      </c>
      <c r="B3687" s="0" t="n">
        <v>16</v>
      </c>
      <c r="C3687" s="0" t="n">
        <v>8152</v>
      </c>
      <c r="E3687" s="0" t="n">
        <v>0</v>
      </c>
      <c r="F3687" s="46" t="s">
        <v>1677</v>
      </c>
      <c r="I3687" s="46" t="s">
        <v>179</v>
      </c>
      <c r="U3687" s="0" t="n">
        <v>21</v>
      </c>
      <c r="V3687" s="0" t="n">
        <v>0</v>
      </c>
      <c r="X3687" s="46" t="n">
        <f aca="false">IF(I3687="Male",0,1)</f>
        <v>1</v>
      </c>
      <c r="Y3687" s="46" t="n">
        <f aca="false">IF(OR(I3687="DNB",I3687="Dry DNB"),1,0)</f>
        <v>0</v>
      </c>
      <c r="Z3687" s="0" t="str">
        <f aca="false">IF(ISNUMBER(W3687),A3687-W3687,"")</f>
        <v/>
      </c>
      <c r="AA3687" s="46" t="n">
        <f aca="false">MATCH(A3687,DATAS,0)</f>
        <v>1</v>
      </c>
      <c r="AB3687" s="46" t="n">
        <f aca="false">IF(AND(E3687&gt;0,OR(AND(B3687&gt;=1,B3687&lt;=6),B3687=10)),1,0)</f>
        <v>0</v>
      </c>
      <c r="AC3687" s="46" t="n">
        <f aca="false">IF(AND(E3687&gt;0,B3687=10),1,0)</f>
        <v>0</v>
      </c>
      <c r="AD3687" s="0" t="str">
        <f aca="false">IF(AND(C3686=C3687,AA3686=AA3687-1),AB3686,"")</f>
        <v/>
      </c>
      <c r="AE3687" s="0" t="str">
        <f aca="false">IF(AND(C3686=C3687,AA3686=AA3687-1),AC3686,"")</f>
        <v/>
      </c>
      <c r="AF3687" s="0" t="str">
        <f aca="false">IF(AA3687=1,"",IF(AND(AB3687=1,AD3687&lt;&gt;1),1,0))</f>
        <v/>
      </c>
      <c r="AG3687" s="0" t="str">
        <f aca="false">IF(AA3687=1,"",IF(AND(AC3687=1,AE3687&lt;&gt;1),1,0))</f>
        <v/>
      </c>
      <c r="AH3687" s="51" t="str">
        <f aca="false">IF(AND(E3687&gt;0,AA3687&lt;1,NOT(AND(C3688=C3687,AA3688=AA3687+1))),INDEX(DATAS,AA3687+1),"")</f>
        <v/>
      </c>
      <c r="AI3687" s="51" t="str">
        <f aca="false">IF(AND(AC3687=1,AA3687&lt;1),IF(AND(C3688=C3687,AA3688=AA3687+1),IF(AC3688=1,"",INDEX(DATAS,AA3687+1)),INDEX(DATAS,AA3687+1)),"")</f>
        <v/>
      </c>
    </row>
    <row r="3688" customFormat="false" ht="15" hidden="false" customHeight="false" outlineLevel="0" collapsed="false">
      <c r="A3688" s="51" t="n">
        <v>46309</v>
      </c>
      <c r="B3688" s="0" t="n">
        <v>16</v>
      </c>
      <c r="C3688" s="0" t="n">
        <v>8153</v>
      </c>
      <c r="E3688" s="0" t="n">
        <v>0</v>
      </c>
      <c r="F3688" s="46" t="s">
        <v>1677</v>
      </c>
      <c r="I3688" s="46" t="s">
        <v>179</v>
      </c>
      <c r="U3688" s="0" t="n">
        <v>21</v>
      </c>
      <c r="V3688" s="0" t="n">
        <v>0</v>
      </c>
      <c r="X3688" s="46" t="n">
        <f aca="false">IF(I3688="Male",0,1)</f>
        <v>1</v>
      </c>
      <c r="Y3688" s="46" t="n">
        <f aca="false">IF(OR(I3688="DNB",I3688="Dry DNB"),1,0)</f>
        <v>0</v>
      </c>
      <c r="Z3688" s="0" t="str">
        <f aca="false">IF(ISNUMBER(W3688),A3688-W3688,"")</f>
        <v/>
      </c>
      <c r="AA3688" s="46" t="n">
        <f aca="false">MATCH(A3688,DATAS,0)</f>
        <v>1</v>
      </c>
      <c r="AB3688" s="46" t="n">
        <f aca="false">IF(AND(E3688&gt;0,OR(AND(B3688&gt;=1,B3688&lt;=6),B3688=10)),1,0)</f>
        <v>0</v>
      </c>
      <c r="AC3688" s="46" t="n">
        <f aca="false">IF(AND(E3688&gt;0,B3688=10),1,0)</f>
        <v>0</v>
      </c>
      <c r="AD3688" s="0" t="str">
        <f aca="false">IF(AND(C3687=C3688,AA3687=AA3688-1),AB3687,"")</f>
        <v/>
      </c>
      <c r="AE3688" s="0" t="str">
        <f aca="false">IF(AND(C3687=C3688,AA3687=AA3688-1),AC3687,"")</f>
        <v/>
      </c>
      <c r="AF3688" s="0" t="str">
        <f aca="false">IF(AA3688=1,"",IF(AND(AB3688=1,AD3688&lt;&gt;1),1,0))</f>
        <v/>
      </c>
      <c r="AG3688" s="0" t="str">
        <f aca="false">IF(AA3688=1,"",IF(AND(AC3688=1,AE3688&lt;&gt;1),1,0))</f>
        <v/>
      </c>
      <c r="AH3688" s="51" t="str">
        <f aca="false">IF(AND(E3688&gt;0,AA3688&lt;1,NOT(AND(C3689=C3688,AA3689=AA3688+1))),INDEX(DATAS,AA3688+1),"")</f>
        <v/>
      </c>
      <c r="AI3688" s="51" t="str">
        <f aca="false">IF(AND(AC3688=1,AA3688&lt;1),IF(AND(C3689=C3688,AA3689=AA3688+1),IF(AC3689=1,"",INDEX(DATAS,AA3688+1)),INDEX(DATAS,AA3688+1)),"")</f>
        <v/>
      </c>
    </row>
    <row r="3689" customFormat="false" ht="15" hidden="false" customHeight="false" outlineLevel="0" collapsed="false">
      <c r="A3689" s="51" t="n">
        <v>46309</v>
      </c>
      <c r="B3689" s="0" t="n">
        <v>16</v>
      </c>
      <c r="C3689" s="0" t="n">
        <v>8154</v>
      </c>
      <c r="E3689" s="0" t="n">
        <v>0</v>
      </c>
      <c r="F3689" s="46" t="s">
        <v>1677</v>
      </c>
      <c r="I3689" s="46" t="s">
        <v>179</v>
      </c>
      <c r="U3689" s="0" t="n">
        <v>21</v>
      </c>
      <c r="V3689" s="0" t="n">
        <v>0</v>
      </c>
      <c r="X3689" s="46" t="n">
        <f aca="false">IF(I3689="Male",0,1)</f>
        <v>1</v>
      </c>
      <c r="Y3689" s="46" t="n">
        <f aca="false">IF(OR(I3689="DNB",I3689="Dry DNB"),1,0)</f>
        <v>0</v>
      </c>
      <c r="Z3689" s="0" t="str">
        <f aca="false">IF(ISNUMBER(W3689),A3689-W3689,"")</f>
        <v/>
      </c>
      <c r="AA3689" s="46" t="n">
        <f aca="false">MATCH(A3689,DATAS,0)</f>
        <v>1</v>
      </c>
      <c r="AB3689" s="46" t="n">
        <f aca="false">IF(AND(E3689&gt;0,OR(AND(B3689&gt;=1,B3689&lt;=6),B3689=10)),1,0)</f>
        <v>0</v>
      </c>
      <c r="AC3689" s="46" t="n">
        <f aca="false">IF(AND(E3689&gt;0,B3689=10),1,0)</f>
        <v>0</v>
      </c>
      <c r="AD3689" s="0" t="str">
        <f aca="false">IF(AND(C3688=C3689,AA3688=AA3689-1),AB3688,"")</f>
        <v/>
      </c>
      <c r="AE3689" s="0" t="str">
        <f aca="false">IF(AND(C3688=C3689,AA3688=AA3689-1),AC3688,"")</f>
        <v/>
      </c>
      <c r="AF3689" s="0" t="str">
        <f aca="false">IF(AA3689=1,"",IF(AND(AB3689=1,AD3689&lt;&gt;1),1,0))</f>
        <v/>
      </c>
      <c r="AG3689" s="0" t="str">
        <f aca="false">IF(AA3689=1,"",IF(AND(AC3689=1,AE3689&lt;&gt;1),1,0))</f>
        <v/>
      </c>
      <c r="AH3689" s="51" t="str">
        <f aca="false">IF(AND(E3689&gt;0,AA3689&lt;1,NOT(AND(C3690=C3689,AA3690=AA3689+1))),INDEX(DATAS,AA3689+1),"")</f>
        <v/>
      </c>
      <c r="AI3689" s="51" t="str">
        <f aca="false">IF(AND(AC3689=1,AA3689&lt;1),IF(AND(C3690=C3689,AA3690=AA3689+1),IF(AC3690=1,"",INDEX(DATAS,AA3689+1)),INDEX(DATAS,AA3689+1)),"")</f>
        <v/>
      </c>
    </row>
    <row r="3690" customFormat="false" ht="15" hidden="false" customHeight="false" outlineLevel="0" collapsed="false">
      <c r="A3690" s="51" t="n">
        <v>46309</v>
      </c>
      <c r="B3690" s="0" t="n">
        <v>16</v>
      </c>
      <c r="C3690" s="0" t="n">
        <v>8155</v>
      </c>
      <c r="E3690" s="0" t="n">
        <v>0</v>
      </c>
      <c r="F3690" s="46" t="s">
        <v>1678</v>
      </c>
      <c r="I3690" s="46" t="s">
        <v>179</v>
      </c>
      <c r="U3690" s="0" t="n">
        <v>20</v>
      </c>
      <c r="V3690" s="0" t="n">
        <v>0</v>
      </c>
      <c r="X3690" s="46" t="n">
        <f aca="false">IF(I3690="Male",0,1)</f>
        <v>1</v>
      </c>
      <c r="Y3690" s="46" t="n">
        <f aca="false">IF(OR(I3690="DNB",I3690="Dry DNB"),1,0)</f>
        <v>0</v>
      </c>
      <c r="Z3690" s="0" t="str">
        <f aca="false">IF(ISNUMBER(W3690),A3690-W3690,"")</f>
        <v/>
      </c>
      <c r="AA3690" s="46" t="n">
        <f aca="false">MATCH(A3690,DATAS,0)</f>
        <v>1</v>
      </c>
      <c r="AB3690" s="46" t="n">
        <f aca="false">IF(AND(E3690&gt;0,OR(AND(B3690&gt;=1,B3690&lt;=6),B3690=10)),1,0)</f>
        <v>0</v>
      </c>
      <c r="AC3690" s="46" t="n">
        <f aca="false">IF(AND(E3690&gt;0,B3690=10),1,0)</f>
        <v>0</v>
      </c>
      <c r="AD3690" s="0" t="str">
        <f aca="false">IF(AND(C3689=C3690,AA3689=AA3690-1),AB3689,"")</f>
        <v/>
      </c>
      <c r="AE3690" s="0" t="str">
        <f aca="false">IF(AND(C3689=C3690,AA3689=AA3690-1),AC3689,"")</f>
        <v/>
      </c>
      <c r="AF3690" s="0" t="str">
        <f aca="false">IF(AA3690=1,"",IF(AND(AB3690=1,AD3690&lt;&gt;1),1,0))</f>
        <v/>
      </c>
      <c r="AG3690" s="0" t="str">
        <f aca="false">IF(AA3690=1,"",IF(AND(AC3690=1,AE3690&lt;&gt;1),1,0))</f>
        <v/>
      </c>
      <c r="AH3690" s="51" t="str">
        <f aca="false">IF(AND(E3690&gt;0,AA3690&lt;1,NOT(AND(C3691=C3690,AA3691=AA3690+1))),INDEX(DATAS,AA3690+1),"")</f>
        <v/>
      </c>
      <c r="AI3690" s="51" t="str">
        <f aca="false">IF(AND(AC3690=1,AA3690&lt;1),IF(AND(C3691=C3690,AA3691=AA3690+1),IF(AC3691=1,"",INDEX(DATAS,AA3690+1)),INDEX(DATAS,AA3690+1)),"")</f>
        <v/>
      </c>
    </row>
    <row r="3691" customFormat="false" ht="15" hidden="false" customHeight="false" outlineLevel="0" collapsed="false">
      <c r="A3691" s="51" t="n">
        <v>46309</v>
      </c>
      <c r="B3691" s="0" t="n">
        <v>16</v>
      </c>
      <c r="C3691" s="0" t="n">
        <v>8156</v>
      </c>
      <c r="E3691" s="0" t="n">
        <v>0</v>
      </c>
      <c r="F3691" s="46" t="s">
        <v>1678</v>
      </c>
      <c r="I3691" s="46" t="s">
        <v>179</v>
      </c>
      <c r="U3691" s="0" t="n">
        <v>20</v>
      </c>
      <c r="V3691" s="0" t="n">
        <v>0</v>
      </c>
      <c r="X3691" s="46" t="n">
        <f aca="false">IF(I3691="Male",0,1)</f>
        <v>1</v>
      </c>
      <c r="Y3691" s="46" t="n">
        <f aca="false">IF(OR(I3691="DNB",I3691="Dry DNB"),1,0)</f>
        <v>0</v>
      </c>
      <c r="Z3691" s="0" t="str">
        <f aca="false">IF(ISNUMBER(W3691),A3691-W3691,"")</f>
        <v/>
      </c>
      <c r="AA3691" s="46" t="n">
        <f aca="false">MATCH(A3691,DATAS,0)</f>
        <v>1</v>
      </c>
      <c r="AB3691" s="46" t="n">
        <f aca="false">IF(AND(E3691&gt;0,OR(AND(B3691&gt;=1,B3691&lt;=6),B3691=10)),1,0)</f>
        <v>0</v>
      </c>
      <c r="AC3691" s="46" t="n">
        <f aca="false">IF(AND(E3691&gt;0,B3691=10),1,0)</f>
        <v>0</v>
      </c>
      <c r="AD3691" s="0" t="str">
        <f aca="false">IF(AND(C3690=C3691,AA3690=AA3691-1),AB3690,"")</f>
        <v/>
      </c>
      <c r="AE3691" s="0" t="str">
        <f aca="false">IF(AND(C3690=C3691,AA3690=AA3691-1),AC3690,"")</f>
        <v/>
      </c>
      <c r="AF3691" s="0" t="str">
        <f aca="false">IF(AA3691=1,"",IF(AND(AB3691=1,AD3691&lt;&gt;1),1,0))</f>
        <v/>
      </c>
      <c r="AG3691" s="0" t="str">
        <f aca="false">IF(AA3691=1,"",IF(AND(AC3691=1,AE3691&lt;&gt;1),1,0))</f>
        <v/>
      </c>
      <c r="AH3691" s="51" t="str">
        <f aca="false">IF(AND(E3691&gt;0,AA3691&lt;1,NOT(AND(C3692=C3691,AA3692=AA3691+1))),INDEX(DATAS,AA3691+1),"")</f>
        <v/>
      </c>
      <c r="AI3691" s="51" t="str">
        <f aca="false">IF(AND(AC3691=1,AA3691&lt;1),IF(AND(C3692=C3691,AA3692=AA3691+1),IF(AC3692=1,"",INDEX(DATAS,AA3691+1)),INDEX(DATAS,AA3691+1)),"")</f>
        <v/>
      </c>
    </row>
    <row r="3692" customFormat="false" ht="15" hidden="false" customHeight="false" outlineLevel="0" collapsed="false">
      <c r="A3692" s="51" t="n">
        <v>46309</v>
      </c>
      <c r="B3692" s="0" t="n">
        <v>16</v>
      </c>
      <c r="C3692" s="0" t="n">
        <v>8157</v>
      </c>
      <c r="E3692" s="0" t="n">
        <v>0</v>
      </c>
      <c r="F3692" s="46" t="s">
        <v>1678</v>
      </c>
      <c r="I3692" s="46" t="s">
        <v>179</v>
      </c>
      <c r="U3692" s="0" t="n">
        <v>20</v>
      </c>
      <c r="V3692" s="0" t="n">
        <v>0</v>
      </c>
      <c r="X3692" s="46" t="n">
        <f aca="false">IF(I3692="Male",0,1)</f>
        <v>1</v>
      </c>
      <c r="Y3692" s="46" t="n">
        <f aca="false">IF(OR(I3692="DNB",I3692="Dry DNB"),1,0)</f>
        <v>0</v>
      </c>
      <c r="Z3692" s="0" t="str">
        <f aca="false">IF(ISNUMBER(W3692),A3692-W3692,"")</f>
        <v/>
      </c>
      <c r="AA3692" s="46" t="n">
        <f aca="false">MATCH(A3692,DATAS,0)</f>
        <v>1</v>
      </c>
      <c r="AB3692" s="46" t="n">
        <f aca="false">IF(AND(E3692&gt;0,OR(AND(B3692&gt;=1,B3692&lt;=6),B3692=10)),1,0)</f>
        <v>0</v>
      </c>
      <c r="AC3692" s="46" t="n">
        <f aca="false">IF(AND(E3692&gt;0,B3692=10),1,0)</f>
        <v>0</v>
      </c>
      <c r="AD3692" s="0" t="str">
        <f aca="false">IF(AND(C3691=C3692,AA3691=AA3692-1),AB3691,"")</f>
        <v/>
      </c>
      <c r="AE3692" s="0" t="str">
        <f aca="false">IF(AND(C3691=C3692,AA3691=AA3692-1),AC3691,"")</f>
        <v/>
      </c>
      <c r="AF3692" s="0" t="str">
        <f aca="false">IF(AA3692=1,"",IF(AND(AB3692=1,AD3692&lt;&gt;1),1,0))</f>
        <v/>
      </c>
      <c r="AG3692" s="0" t="str">
        <f aca="false">IF(AA3692=1,"",IF(AND(AC3692=1,AE3692&lt;&gt;1),1,0))</f>
        <v/>
      </c>
      <c r="AH3692" s="51" t="str">
        <f aca="false">IF(AND(E3692&gt;0,AA3692&lt;1,NOT(AND(C3693=C3692,AA3693=AA3692+1))),INDEX(DATAS,AA3692+1),"")</f>
        <v/>
      </c>
      <c r="AI3692" s="51" t="str">
        <f aca="false">IF(AND(AC3692=1,AA3692&lt;1),IF(AND(C3693=C3692,AA3693=AA3692+1),IF(AC3693=1,"",INDEX(DATAS,AA3692+1)),INDEX(DATAS,AA3692+1)),"")</f>
        <v/>
      </c>
    </row>
    <row r="3693" customFormat="false" ht="15" hidden="false" customHeight="false" outlineLevel="0" collapsed="false">
      <c r="A3693" s="51" t="n">
        <v>46309</v>
      </c>
      <c r="B3693" s="0" t="n">
        <v>16</v>
      </c>
      <c r="C3693" s="0" t="n">
        <v>8158</v>
      </c>
      <c r="E3693" s="0" t="n">
        <v>0</v>
      </c>
      <c r="F3693" s="46" t="s">
        <v>1679</v>
      </c>
      <c r="I3693" s="46" t="s">
        <v>179</v>
      </c>
      <c r="U3693" s="0" t="n">
        <v>19</v>
      </c>
      <c r="V3693" s="0" t="n">
        <v>0</v>
      </c>
      <c r="X3693" s="46" t="n">
        <f aca="false">IF(I3693="Male",0,1)</f>
        <v>1</v>
      </c>
      <c r="Y3693" s="46" t="n">
        <f aca="false">IF(OR(I3693="DNB",I3693="Dry DNB"),1,0)</f>
        <v>0</v>
      </c>
      <c r="Z3693" s="0" t="str">
        <f aca="false">IF(ISNUMBER(W3693),A3693-W3693,"")</f>
        <v/>
      </c>
      <c r="AA3693" s="46" t="n">
        <f aca="false">MATCH(A3693,DATAS,0)</f>
        <v>1</v>
      </c>
      <c r="AB3693" s="46" t="n">
        <f aca="false">IF(AND(E3693&gt;0,OR(AND(B3693&gt;=1,B3693&lt;=6),B3693=10)),1,0)</f>
        <v>0</v>
      </c>
      <c r="AC3693" s="46" t="n">
        <f aca="false">IF(AND(E3693&gt;0,B3693=10),1,0)</f>
        <v>0</v>
      </c>
      <c r="AD3693" s="0" t="str">
        <f aca="false">IF(AND(C3692=C3693,AA3692=AA3693-1),AB3692,"")</f>
        <v/>
      </c>
      <c r="AE3693" s="0" t="str">
        <f aca="false">IF(AND(C3692=C3693,AA3692=AA3693-1),AC3692,"")</f>
        <v/>
      </c>
      <c r="AF3693" s="0" t="str">
        <f aca="false">IF(AA3693=1,"",IF(AND(AB3693=1,AD3693&lt;&gt;1),1,0))</f>
        <v/>
      </c>
      <c r="AG3693" s="0" t="str">
        <f aca="false">IF(AA3693=1,"",IF(AND(AC3693=1,AE3693&lt;&gt;1),1,0))</f>
        <v/>
      </c>
      <c r="AH3693" s="51" t="str">
        <f aca="false">IF(AND(E3693&gt;0,AA3693&lt;1,NOT(AND(C3694=C3693,AA3694=AA3693+1))),INDEX(DATAS,AA3693+1),"")</f>
        <v/>
      </c>
      <c r="AI3693" s="51" t="str">
        <f aca="false">IF(AND(AC3693=1,AA3693&lt;1),IF(AND(C3694=C3693,AA3694=AA3693+1),IF(AC3694=1,"",INDEX(DATAS,AA3693+1)),INDEX(DATAS,AA3693+1)),"")</f>
        <v/>
      </c>
    </row>
    <row r="3694" customFormat="false" ht="15" hidden="false" customHeight="false" outlineLevel="0" collapsed="false">
      <c r="A3694" s="51" t="n">
        <v>46309</v>
      </c>
      <c r="B3694" s="0" t="n">
        <v>16</v>
      </c>
      <c r="C3694" s="0" t="n">
        <v>8159</v>
      </c>
      <c r="E3694" s="0" t="n">
        <v>0</v>
      </c>
      <c r="F3694" s="46" t="s">
        <v>1679</v>
      </c>
      <c r="I3694" s="46" t="s">
        <v>179</v>
      </c>
      <c r="U3694" s="0" t="n">
        <v>19</v>
      </c>
      <c r="V3694" s="0" t="n">
        <v>0</v>
      </c>
      <c r="X3694" s="46" t="n">
        <f aca="false">IF(I3694="Male",0,1)</f>
        <v>1</v>
      </c>
      <c r="Y3694" s="46" t="n">
        <f aca="false">IF(OR(I3694="DNB",I3694="Dry DNB"),1,0)</f>
        <v>0</v>
      </c>
      <c r="Z3694" s="0" t="str">
        <f aca="false">IF(ISNUMBER(W3694),A3694-W3694,"")</f>
        <v/>
      </c>
      <c r="AA3694" s="46" t="n">
        <f aca="false">MATCH(A3694,DATAS,0)</f>
        <v>1</v>
      </c>
      <c r="AB3694" s="46" t="n">
        <f aca="false">IF(AND(E3694&gt;0,OR(AND(B3694&gt;=1,B3694&lt;=6),B3694=10)),1,0)</f>
        <v>0</v>
      </c>
      <c r="AC3694" s="46" t="n">
        <f aca="false">IF(AND(E3694&gt;0,B3694=10),1,0)</f>
        <v>0</v>
      </c>
      <c r="AD3694" s="0" t="str">
        <f aca="false">IF(AND(C3693=C3694,AA3693=AA3694-1),AB3693,"")</f>
        <v/>
      </c>
      <c r="AE3694" s="0" t="str">
        <f aca="false">IF(AND(C3693=C3694,AA3693=AA3694-1),AC3693,"")</f>
        <v/>
      </c>
      <c r="AF3694" s="0" t="str">
        <f aca="false">IF(AA3694=1,"",IF(AND(AB3694=1,AD3694&lt;&gt;1),1,0))</f>
        <v/>
      </c>
      <c r="AG3694" s="0" t="str">
        <f aca="false">IF(AA3694=1,"",IF(AND(AC3694=1,AE3694&lt;&gt;1),1,0))</f>
        <v/>
      </c>
      <c r="AH3694" s="51" t="str">
        <f aca="false">IF(AND(E3694&gt;0,AA3694&lt;1,NOT(AND(C3695=C3694,AA3695=AA3694+1))),INDEX(DATAS,AA3694+1),"")</f>
        <v/>
      </c>
      <c r="AI3694" s="51" t="str">
        <f aca="false">IF(AND(AC3694=1,AA3694&lt;1),IF(AND(C3695=C3694,AA3695=AA3694+1),IF(AC3695=1,"",INDEX(DATAS,AA3694+1)),INDEX(DATAS,AA3694+1)),"")</f>
        <v/>
      </c>
    </row>
    <row r="3695" customFormat="false" ht="15" hidden="false" customHeight="false" outlineLevel="0" collapsed="false">
      <c r="A3695" s="51" t="n">
        <v>46309</v>
      </c>
      <c r="B3695" s="0" t="n">
        <v>16</v>
      </c>
      <c r="C3695" s="0" t="n">
        <v>8160</v>
      </c>
      <c r="E3695" s="0" t="n">
        <v>0</v>
      </c>
      <c r="F3695" s="46" t="s">
        <v>1679</v>
      </c>
      <c r="I3695" s="46" t="s">
        <v>179</v>
      </c>
      <c r="U3695" s="0" t="n">
        <v>19</v>
      </c>
      <c r="V3695" s="0" t="n">
        <v>0</v>
      </c>
      <c r="X3695" s="46" t="n">
        <f aca="false">IF(I3695="Male",0,1)</f>
        <v>1</v>
      </c>
      <c r="Y3695" s="46" t="n">
        <f aca="false">IF(OR(I3695="DNB",I3695="Dry DNB"),1,0)</f>
        <v>0</v>
      </c>
      <c r="Z3695" s="0" t="str">
        <f aca="false">IF(ISNUMBER(W3695),A3695-W3695,"")</f>
        <v/>
      </c>
      <c r="AA3695" s="46" t="n">
        <f aca="false">MATCH(A3695,DATAS,0)</f>
        <v>1</v>
      </c>
      <c r="AB3695" s="46" t="n">
        <f aca="false">IF(AND(E3695&gt;0,OR(AND(B3695&gt;=1,B3695&lt;=6),B3695=10)),1,0)</f>
        <v>0</v>
      </c>
      <c r="AC3695" s="46" t="n">
        <f aca="false">IF(AND(E3695&gt;0,B3695=10),1,0)</f>
        <v>0</v>
      </c>
      <c r="AD3695" s="0" t="str">
        <f aca="false">IF(AND(C3694=C3695,AA3694=AA3695-1),AB3694,"")</f>
        <v/>
      </c>
      <c r="AE3695" s="0" t="str">
        <f aca="false">IF(AND(C3694=C3695,AA3694=AA3695-1),AC3694,"")</f>
        <v/>
      </c>
      <c r="AF3695" s="0" t="str">
        <f aca="false">IF(AA3695=1,"",IF(AND(AB3695=1,AD3695&lt;&gt;1),1,0))</f>
        <v/>
      </c>
      <c r="AG3695" s="0" t="str">
        <f aca="false">IF(AA3695=1,"",IF(AND(AC3695=1,AE3695&lt;&gt;1),1,0))</f>
        <v/>
      </c>
      <c r="AH3695" s="51" t="str">
        <f aca="false">IF(AND(E3695&gt;0,AA3695&lt;1,NOT(AND(C3696=C3695,AA3696=AA3695+1))),INDEX(DATAS,AA3695+1),"")</f>
        <v/>
      </c>
      <c r="AI3695" s="51" t="str">
        <f aca="false">IF(AND(AC3695=1,AA3695&lt;1),IF(AND(C3696=C3695,AA3696=AA3695+1),IF(AC3696=1,"",INDEX(DATAS,AA3695+1)),INDEX(DATAS,AA3695+1)),"")</f>
        <v/>
      </c>
    </row>
    <row r="3696" customFormat="false" ht="15" hidden="false" customHeight="false" outlineLevel="0" collapsed="false">
      <c r="A3696" s="51" t="n">
        <v>46309</v>
      </c>
      <c r="B3696" s="0" t="n">
        <v>16</v>
      </c>
      <c r="C3696" s="0" t="n">
        <v>8161</v>
      </c>
      <c r="E3696" s="0" t="n">
        <v>0</v>
      </c>
      <c r="F3696" s="46" t="s">
        <v>1679</v>
      </c>
      <c r="I3696" s="46" t="s">
        <v>179</v>
      </c>
      <c r="U3696" s="0" t="n">
        <v>19</v>
      </c>
      <c r="V3696" s="0" t="n">
        <v>0</v>
      </c>
      <c r="X3696" s="46" t="n">
        <f aca="false">IF(I3696="Male",0,1)</f>
        <v>1</v>
      </c>
      <c r="Y3696" s="46" t="n">
        <f aca="false">IF(OR(I3696="DNB",I3696="Dry DNB"),1,0)</f>
        <v>0</v>
      </c>
      <c r="Z3696" s="0" t="str">
        <f aca="false">IF(ISNUMBER(W3696),A3696-W3696,"")</f>
        <v/>
      </c>
      <c r="AA3696" s="46" t="n">
        <f aca="false">MATCH(A3696,DATAS,0)</f>
        <v>1</v>
      </c>
      <c r="AB3696" s="46" t="n">
        <f aca="false">IF(AND(E3696&gt;0,OR(AND(B3696&gt;=1,B3696&lt;=6),B3696=10)),1,0)</f>
        <v>0</v>
      </c>
      <c r="AC3696" s="46" t="n">
        <f aca="false">IF(AND(E3696&gt;0,B3696=10),1,0)</f>
        <v>0</v>
      </c>
      <c r="AD3696" s="0" t="str">
        <f aca="false">IF(AND(C3695=C3696,AA3695=AA3696-1),AB3695,"")</f>
        <v/>
      </c>
      <c r="AE3696" s="0" t="str">
        <f aca="false">IF(AND(C3695=C3696,AA3695=AA3696-1),AC3695,"")</f>
        <v/>
      </c>
      <c r="AF3696" s="0" t="str">
        <f aca="false">IF(AA3696=1,"",IF(AND(AB3696=1,AD3696&lt;&gt;1),1,0))</f>
        <v/>
      </c>
      <c r="AG3696" s="0" t="str">
        <f aca="false">IF(AA3696=1,"",IF(AND(AC3696=1,AE3696&lt;&gt;1),1,0))</f>
        <v/>
      </c>
      <c r="AH3696" s="51" t="str">
        <f aca="false">IF(AND(E3696&gt;0,AA3696&lt;1,NOT(AND(C3697=C3696,AA3697=AA3696+1))),INDEX(DATAS,AA3696+1),"")</f>
        <v/>
      </c>
      <c r="AI3696" s="51" t="str">
        <f aca="false">IF(AND(AC3696=1,AA3696&lt;1),IF(AND(C3697=C3696,AA3697=AA3696+1),IF(AC3697=1,"",INDEX(DATAS,AA3696+1)),INDEX(DATAS,AA3696+1)),"")</f>
        <v/>
      </c>
    </row>
    <row r="3697" customFormat="false" ht="15" hidden="false" customHeight="false" outlineLevel="0" collapsed="false">
      <c r="A3697" s="51" t="n">
        <v>46309</v>
      </c>
      <c r="B3697" s="0" t="n">
        <v>16</v>
      </c>
      <c r="C3697" s="0" t="n">
        <v>8162</v>
      </c>
      <c r="E3697" s="0" t="n">
        <v>0</v>
      </c>
      <c r="F3697" s="46" t="s">
        <v>1680</v>
      </c>
      <c r="I3697" s="46" t="s">
        <v>179</v>
      </c>
      <c r="U3697" s="0" t="n">
        <v>18</v>
      </c>
      <c r="V3697" s="0" t="n">
        <v>0</v>
      </c>
      <c r="X3697" s="46" t="n">
        <f aca="false">IF(I3697="Male",0,1)</f>
        <v>1</v>
      </c>
      <c r="Y3697" s="46" t="n">
        <f aca="false">IF(OR(I3697="DNB",I3697="Dry DNB"),1,0)</f>
        <v>0</v>
      </c>
      <c r="Z3697" s="0" t="str">
        <f aca="false">IF(ISNUMBER(W3697),A3697-W3697,"")</f>
        <v/>
      </c>
      <c r="AA3697" s="46" t="n">
        <f aca="false">MATCH(A3697,DATAS,0)</f>
        <v>1</v>
      </c>
      <c r="AB3697" s="46" t="n">
        <f aca="false">IF(AND(E3697&gt;0,OR(AND(B3697&gt;=1,B3697&lt;=6),B3697=10)),1,0)</f>
        <v>0</v>
      </c>
      <c r="AC3697" s="46" t="n">
        <f aca="false">IF(AND(E3697&gt;0,B3697=10),1,0)</f>
        <v>0</v>
      </c>
      <c r="AD3697" s="0" t="str">
        <f aca="false">IF(AND(C3696=C3697,AA3696=AA3697-1),AB3696,"")</f>
        <v/>
      </c>
      <c r="AE3697" s="0" t="str">
        <f aca="false">IF(AND(C3696=C3697,AA3696=AA3697-1),AC3696,"")</f>
        <v/>
      </c>
      <c r="AF3697" s="0" t="str">
        <f aca="false">IF(AA3697=1,"",IF(AND(AB3697=1,AD3697&lt;&gt;1),1,0))</f>
        <v/>
      </c>
      <c r="AG3697" s="0" t="str">
        <f aca="false">IF(AA3697=1,"",IF(AND(AC3697=1,AE3697&lt;&gt;1),1,0))</f>
        <v/>
      </c>
      <c r="AH3697" s="51" t="str">
        <f aca="false">IF(AND(E3697&gt;0,AA3697&lt;1,NOT(AND(C3698=C3697,AA3698=AA3697+1))),INDEX(DATAS,AA3697+1),"")</f>
        <v/>
      </c>
      <c r="AI3697" s="51" t="str">
        <f aca="false">IF(AND(AC3697=1,AA3697&lt;1),IF(AND(C3698=C3697,AA3698=AA3697+1),IF(AC3698=1,"",INDEX(DATAS,AA3697+1)),INDEX(DATAS,AA3697+1)),"")</f>
        <v/>
      </c>
    </row>
    <row r="3698" customFormat="false" ht="15" hidden="false" customHeight="false" outlineLevel="0" collapsed="false">
      <c r="A3698" s="51" t="n">
        <v>46309</v>
      </c>
      <c r="B3698" s="0" t="n">
        <v>16</v>
      </c>
      <c r="C3698" s="0" t="n">
        <v>8164</v>
      </c>
      <c r="E3698" s="0" t="n">
        <v>0</v>
      </c>
      <c r="F3698" s="46" t="s">
        <v>1680</v>
      </c>
      <c r="I3698" s="46" t="s">
        <v>179</v>
      </c>
      <c r="U3698" s="0" t="n">
        <v>18</v>
      </c>
      <c r="V3698" s="0" t="n">
        <v>0</v>
      </c>
      <c r="X3698" s="46" t="n">
        <f aca="false">IF(I3698="Male",0,1)</f>
        <v>1</v>
      </c>
      <c r="Y3698" s="46" t="n">
        <f aca="false">IF(OR(I3698="DNB",I3698="Dry DNB"),1,0)</f>
        <v>0</v>
      </c>
      <c r="Z3698" s="0" t="str">
        <f aca="false">IF(ISNUMBER(W3698),A3698-W3698,"")</f>
        <v/>
      </c>
      <c r="AA3698" s="46" t="n">
        <f aca="false">MATCH(A3698,DATAS,0)</f>
        <v>1</v>
      </c>
      <c r="AB3698" s="46" t="n">
        <f aca="false">IF(AND(E3698&gt;0,OR(AND(B3698&gt;=1,B3698&lt;=6),B3698=10)),1,0)</f>
        <v>0</v>
      </c>
      <c r="AC3698" s="46" t="n">
        <f aca="false">IF(AND(E3698&gt;0,B3698=10),1,0)</f>
        <v>0</v>
      </c>
      <c r="AD3698" s="0" t="str">
        <f aca="false">IF(AND(C3697=C3698,AA3697=AA3698-1),AB3697,"")</f>
        <v/>
      </c>
      <c r="AE3698" s="0" t="str">
        <f aca="false">IF(AND(C3697=C3698,AA3697=AA3698-1),AC3697,"")</f>
        <v/>
      </c>
      <c r="AF3698" s="0" t="str">
        <f aca="false">IF(AA3698=1,"",IF(AND(AB3698=1,AD3698&lt;&gt;1),1,0))</f>
        <v/>
      </c>
      <c r="AG3698" s="0" t="str">
        <f aca="false">IF(AA3698=1,"",IF(AND(AC3698=1,AE3698&lt;&gt;1),1,0))</f>
        <v/>
      </c>
      <c r="AH3698" s="51" t="str">
        <f aca="false">IF(AND(E3698&gt;0,AA3698&lt;1,NOT(AND(C3699=C3698,AA3699=AA3698+1))),INDEX(DATAS,AA3698+1),"")</f>
        <v/>
      </c>
      <c r="AI3698" s="51" t="str">
        <f aca="false">IF(AND(AC3698=1,AA3698&lt;1),IF(AND(C3699=C3698,AA3699=AA3698+1),IF(AC3699=1,"",INDEX(DATAS,AA3698+1)),INDEX(DATAS,AA3698+1)),"")</f>
        <v/>
      </c>
    </row>
    <row r="3699" customFormat="false" ht="15" hidden="false" customHeight="false" outlineLevel="0" collapsed="false">
      <c r="A3699" s="51" t="n">
        <v>46309</v>
      </c>
      <c r="B3699" s="0" t="n">
        <v>16</v>
      </c>
      <c r="C3699" s="0" t="n">
        <v>8165</v>
      </c>
      <c r="E3699" s="0" t="n">
        <v>0</v>
      </c>
      <c r="F3699" s="46" t="s">
        <v>1680</v>
      </c>
      <c r="I3699" s="46" t="s">
        <v>179</v>
      </c>
      <c r="U3699" s="0" t="n">
        <v>18</v>
      </c>
      <c r="V3699" s="0" t="n">
        <v>0</v>
      </c>
      <c r="X3699" s="46" t="n">
        <f aca="false">IF(I3699="Male",0,1)</f>
        <v>1</v>
      </c>
      <c r="Y3699" s="46" t="n">
        <f aca="false">IF(OR(I3699="DNB",I3699="Dry DNB"),1,0)</f>
        <v>0</v>
      </c>
      <c r="Z3699" s="0" t="str">
        <f aca="false">IF(ISNUMBER(W3699),A3699-W3699,"")</f>
        <v/>
      </c>
      <c r="AA3699" s="46" t="n">
        <f aca="false">MATCH(A3699,DATAS,0)</f>
        <v>1</v>
      </c>
      <c r="AB3699" s="46" t="n">
        <f aca="false">IF(AND(E3699&gt;0,OR(AND(B3699&gt;=1,B3699&lt;=6),B3699=10)),1,0)</f>
        <v>0</v>
      </c>
      <c r="AC3699" s="46" t="n">
        <f aca="false">IF(AND(E3699&gt;0,B3699=10),1,0)</f>
        <v>0</v>
      </c>
      <c r="AD3699" s="0" t="str">
        <f aca="false">IF(AND(C3698=C3699,AA3698=AA3699-1),AB3698,"")</f>
        <v/>
      </c>
      <c r="AE3699" s="0" t="str">
        <f aca="false">IF(AND(C3698=C3699,AA3698=AA3699-1),AC3698,"")</f>
        <v/>
      </c>
      <c r="AF3699" s="0" t="str">
        <f aca="false">IF(AA3699=1,"",IF(AND(AB3699=1,AD3699&lt;&gt;1),1,0))</f>
        <v/>
      </c>
      <c r="AG3699" s="0" t="str">
        <f aca="false">IF(AA3699=1,"",IF(AND(AC3699=1,AE3699&lt;&gt;1),1,0))</f>
        <v/>
      </c>
      <c r="AH3699" s="51" t="str">
        <f aca="false">IF(AND(E3699&gt;0,AA3699&lt;1,NOT(AND(C3700=C3699,AA3700=AA3699+1))),INDEX(DATAS,AA3699+1),"")</f>
        <v/>
      </c>
      <c r="AI3699" s="51" t="str">
        <f aca="false">IF(AND(AC3699=1,AA3699&lt;1),IF(AND(C3700=C3699,AA3700=AA3699+1),IF(AC3700=1,"",INDEX(DATAS,AA3699+1)),INDEX(DATAS,AA3699+1)),"")</f>
        <v/>
      </c>
    </row>
    <row r="3700" customFormat="false" ht="15" hidden="false" customHeight="false" outlineLevel="0" collapsed="false">
      <c r="A3700" s="51" t="n">
        <v>46309</v>
      </c>
      <c r="B3700" s="0" t="n">
        <v>16</v>
      </c>
      <c r="C3700" s="0" t="n">
        <v>8166</v>
      </c>
      <c r="E3700" s="0" t="n">
        <v>0</v>
      </c>
      <c r="F3700" s="46" t="s">
        <v>1681</v>
      </c>
      <c r="I3700" s="46" t="s">
        <v>179</v>
      </c>
      <c r="U3700" s="0" t="n">
        <v>17</v>
      </c>
      <c r="V3700" s="0" t="n">
        <v>0</v>
      </c>
      <c r="X3700" s="46" t="n">
        <f aca="false">IF(I3700="Male",0,1)</f>
        <v>1</v>
      </c>
      <c r="Y3700" s="46" t="n">
        <f aca="false">IF(OR(I3700="DNB",I3700="Dry DNB"),1,0)</f>
        <v>0</v>
      </c>
      <c r="Z3700" s="0" t="str">
        <f aca="false">IF(ISNUMBER(W3700),A3700-W3700,"")</f>
        <v/>
      </c>
      <c r="AA3700" s="46" t="n">
        <f aca="false">MATCH(A3700,DATAS,0)</f>
        <v>1</v>
      </c>
      <c r="AB3700" s="46" t="n">
        <f aca="false">IF(AND(E3700&gt;0,OR(AND(B3700&gt;=1,B3700&lt;=6),B3700=10)),1,0)</f>
        <v>0</v>
      </c>
      <c r="AC3700" s="46" t="n">
        <f aca="false">IF(AND(E3700&gt;0,B3700=10),1,0)</f>
        <v>0</v>
      </c>
      <c r="AD3700" s="0" t="str">
        <f aca="false">IF(AND(C3699=C3700,AA3699=AA3700-1),AB3699,"")</f>
        <v/>
      </c>
      <c r="AE3700" s="0" t="str">
        <f aca="false">IF(AND(C3699=C3700,AA3699=AA3700-1),AC3699,"")</f>
        <v/>
      </c>
      <c r="AF3700" s="0" t="str">
        <f aca="false">IF(AA3700=1,"",IF(AND(AB3700=1,AD3700&lt;&gt;1),1,0))</f>
        <v/>
      </c>
      <c r="AG3700" s="0" t="str">
        <f aca="false">IF(AA3700=1,"",IF(AND(AC3700=1,AE3700&lt;&gt;1),1,0))</f>
        <v/>
      </c>
      <c r="AH3700" s="51" t="str">
        <f aca="false">IF(AND(E3700&gt;0,AA3700&lt;1,NOT(AND(C3701=C3700,AA3701=AA3700+1))),INDEX(DATAS,AA3700+1),"")</f>
        <v/>
      </c>
      <c r="AI3700" s="51" t="str">
        <f aca="false">IF(AND(AC3700=1,AA3700&lt;1),IF(AND(C3701=C3700,AA3701=AA3700+1),IF(AC3701=1,"",INDEX(DATAS,AA3700+1)),INDEX(DATAS,AA3700+1)),"")</f>
        <v/>
      </c>
    </row>
    <row r="3701" customFormat="false" ht="15" hidden="false" customHeight="false" outlineLevel="0" collapsed="false">
      <c r="A3701" s="51" t="n">
        <v>46309</v>
      </c>
      <c r="B3701" s="0" t="n">
        <v>16</v>
      </c>
      <c r="C3701" s="0" t="n">
        <v>8167</v>
      </c>
      <c r="E3701" s="0" t="n">
        <v>0</v>
      </c>
      <c r="F3701" s="46" t="s">
        <v>1681</v>
      </c>
      <c r="I3701" s="46" t="s">
        <v>179</v>
      </c>
      <c r="U3701" s="0" t="n">
        <v>17</v>
      </c>
      <c r="V3701" s="0" t="n">
        <v>0</v>
      </c>
      <c r="X3701" s="46" t="n">
        <f aca="false">IF(I3701="Male",0,1)</f>
        <v>1</v>
      </c>
      <c r="Y3701" s="46" t="n">
        <f aca="false">IF(OR(I3701="DNB",I3701="Dry DNB"),1,0)</f>
        <v>0</v>
      </c>
      <c r="Z3701" s="0" t="str">
        <f aca="false">IF(ISNUMBER(W3701),A3701-W3701,"")</f>
        <v/>
      </c>
      <c r="AA3701" s="46" t="n">
        <f aca="false">MATCH(A3701,DATAS,0)</f>
        <v>1</v>
      </c>
      <c r="AB3701" s="46" t="n">
        <f aca="false">IF(AND(E3701&gt;0,OR(AND(B3701&gt;=1,B3701&lt;=6),B3701=10)),1,0)</f>
        <v>0</v>
      </c>
      <c r="AC3701" s="46" t="n">
        <f aca="false">IF(AND(E3701&gt;0,B3701=10),1,0)</f>
        <v>0</v>
      </c>
      <c r="AD3701" s="0" t="str">
        <f aca="false">IF(AND(C3700=C3701,AA3700=AA3701-1),AB3700,"")</f>
        <v/>
      </c>
      <c r="AE3701" s="0" t="str">
        <f aca="false">IF(AND(C3700=C3701,AA3700=AA3701-1),AC3700,"")</f>
        <v/>
      </c>
      <c r="AF3701" s="0" t="str">
        <f aca="false">IF(AA3701=1,"",IF(AND(AB3701=1,AD3701&lt;&gt;1),1,0))</f>
        <v/>
      </c>
      <c r="AG3701" s="0" t="str">
        <f aca="false">IF(AA3701=1,"",IF(AND(AC3701=1,AE3701&lt;&gt;1),1,0))</f>
        <v/>
      </c>
      <c r="AH3701" s="51" t="str">
        <f aca="false">IF(AND(E3701&gt;0,AA3701&lt;1,NOT(AND(C3702=C3701,AA3702=AA3701+1))),INDEX(DATAS,AA3701+1),"")</f>
        <v/>
      </c>
      <c r="AI3701" s="51" t="str">
        <f aca="false">IF(AND(AC3701=1,AA3701&lt;1),IF(AND(C3702=C3701,AA3702=AA3701+1),IF(AC3702=1,"",INDEX(DATAS,AA3701+1)),INDEX(DATAS,AA3701+1)),"")</f>
        <v/>
      </c>
    </row>
    <row r="3702" customFormat="false" ht="15" hidden="false" customHeight="false" outlineLevel="0" collapsed="false">
      <c r="A3702" s="51" t="n">
        <v>46309</v>
      </c>
      <c r="B3702" s="0" t="n">
        <v>16</v>
      </c>
      <c r="C3702" s="0" t="n">
        <v>8170</v>
      </c>
      <c r="E3702" s="0" t="n">
        <v>0</v>
      </c>
      <c r="F3702" s="46" t="s">
        <v>1682</v>
      </c>
      <c r="I3702" s="46" t="s">
        <v>179</v>
      </c>
      <c r="U3702" s="0" t="n">
        <v>15</v>
      </c>
      <c r="V3702" s="0" t="n">
        <v>0</v>
      </c>
      <c r="X3702" s="46" t="n">
        <f aca="false">IF(I3702="Male",0,1)</f>
        <v>1</v>
      </c>
      <c r="Y3702" s="46" t="n">
        <f aca="false">IF(OR(I3702="DNB",I3702="Dry DNB"),1,0)</f>
        <v>0</v>
      </c>
      <c r="Z3702" s="0" t="str">
        <f aca="false">IF(ISNUMBER(W3702),A3702-W3702,"")</f>
        <v/>
      </c>
      <c r="AA3702" s="46" t="n">
        <f aca="false">MATCH(A3702,DATAS,0)</f>
        <v>1</v>
      </c>
      <c r="AB3702" s="46" t="n">
        <f aca="false">IF(AND(E3702&gt;0,OR(AND(B3702&gt;=1,B3702&lt;=6),B3702=10)),1,0)</f>
        <v>0</v>
      </c>
      <c r="AC3702" s="46" t="n">
        <f aca="false">IF(AND(E3702&gt;0,B3702=10),1,0)</f>
        <v>0</v>
      </c>
      <c r="AD3702" s="0" t="str">
        <f aca="false">IF(AND(C3701=C3702,AA3701=AA3702-1),AB3701,"")</f>
        <v/>
      </c>
      <c r="AE3702" s="0" t="str">
        <f aca="false">IF(AND(C3701=C3702,AA3701=AA3702-1),AC3701,"")</f>
        <v/>
      </c>
      <c r="AF3702" s="0" t="str">
        <f aca="false">IF(AA3702=1,"",IF(AND(AB3702=1,AD3702&lt;&gt;1),1,0))</f>
        <v/>
      </c>
      <c r="AG3702" s="0" t="str">
        <f aca="false">IF(AA3702=1,"",IF(AND(AC3702=1,AE3702&lt;&gt;1),1,0))</f>
        <v/>
      </c>
      <c r="AH3702" s="51" t="str">
        <f aca="false">IF(AND(E3702&gt;0,AA3702&lt;1,NOT(AND(C3703=C3702,AA3703=AA3702+1))),INDEX(DATAS,AA3702+1),"")</f>
        <v/>
      </c>
      <c r="AI3702" s="51" t="str">
        <f aca="false">IF(AND(AC3702=1,AA3702&lt;1),IF(AND(C3703=C3702,AA3703=AA3702+1),IF(AC3703=1,"",INDEX(DATAS,AA3702+1)),INDEX(DATAS,AA3702+1)),"")</f>
        <v/>
      </c>
    </row>
    <row r="3703" customFormat="false" ht="15" hidden="false" customHeight="false" outlineLevel="0" collapsed="false">
      <c r="A3703" s="51" t="n">
        <v>46309</v>
      </c>
      <c r="B3703" s="0" t="n">
        <v>16</v>
      </c>
      <c r="C3703" s="0" t="n">
        <v>8173</v>
      </c>
      <c r="E3703" s="0" t="n">
        <v>0</v>
      </c>
      <c r="F3703" s="46" t="s">
        <v>1682</v>
      </c>
      <c r="I3703" s="46" t="s">
        <v>179</v>
      </c>
      <c r="U3703" s="0" t="n">
        <v>15</v>
      </c>
      <c r="V3703" s="0" t="n">
        <v>0</v>
      </c>
      <c r="X3703" s="46" t="n">
        <f aca="false">IF(I3703="Male",0,1)</f>
        <v>1</v>
      </c>
      <c r="Y3703" s="46" t="n">
        <f aca="false">IF(OR(I3703="DNB",I3703="Dry DNB"),1,0)</f>
        <v>0</v>
      </c>
      <c r="Z3703" s="0" t="str">
        <f aca="false">IF(ISNUMBER(W3703),A3703-W3703,"")</f>
        <v/>
      </c>
      <c r="AA3703" s="46" t="n">
        <f aca="false">MATCH(A3703,DATAS,0)</f>
        <v>1</v>
      </c>
      <c r="AB3703" s="46" t="n">
        <f aca="false">IF(AND(E3703&gt;0,OR(AND(B3703&gt;=1,B3703&lt;=6),B3703=10)),1,0)</f>
        <v>0</v>
      </c>
      <c r="AC3703" s="46" t="n">
        <f aca="false">IF(AND(E3703&gt;0,B3703=10),1,0)</f>
        <v>0</v>
      </c>
      <c r="AD3703" s="0" t="str">
        <f aca="false">IF(AND(C3702=C3703,AA3702=AA3703-1),AB3702,"")</f>
        <v/>
      </c>
      <c r="AE3703" s="0" t="str">
        <f aca="false">IF(AND(C3702=C3703,AA3702=AA3703-1),AC3702,"")</f>
        <v/>
      </c>
      <c r="AF3703" s="0" t="str">
        <f aca="false">IF(AA3703=1,"",IF(AND(AB3703=1,AD3703&lt;&gt;1),1,0))</f>
        <v/>
      </c>
      <c r="AG3703" s="0" t="str">
        <f aca="false">IF(AA3703=1,"",IF(AND(AC3703=1,AE3703&lt;&gt;1),1,0))</f>
        <v/>
      </c>
      <c r="AH3703" s="51" t="str">
        <f aca="false">IF(AND(E3703&gt;0,AA3703&lt;1,NOT(AND(C3704=C3703,AA3704=AA3703+1))),INDEX(DATAS,AA3703+1),"")</f>
        <v/>
      </c>
      <c r="AI3703" s="51" t="str">
        <f aca="false">IF(AND(AC3703=1,AA3703&lt;1),IF(AND(C3704=C3703,AA3704=AA3703+1),IF(AC3704=1,"",INDEX(DATAS,AA3703+1)),INDEX(DATAS,AA3703+1)),"")</f>
        <v/>
      </c>
    </row>
    <row r="3704" customFormat="false" ht="15" hidden="false" customHeight="false" outlineLevel="0" collapsed="false">
      <c r="A3704" s="51" t="n">
        <v>46309</v>
      </c>
      <c r="B3704" s="0" t="n">
        <v>16</v>
      </c>
      <c r="C3704" s="0" t="n">
        <v>8174</v>
      </c>
      <c r="E3704" s="0" t="n">
        <v>0</v>
      </c>
      <c r="F3704" s="46" t="s">
        <v>1682</v>
      </c>
      <c r="I3704" s="46" t="s">
        <v>179</v>
      </c>
      <c r="U3704" s="0" t="n">
        <v>15</v>
      </c>
      <c r="V3704" s="0" t="n">
        <v>0</v>
      </c>
      <c r="X3704" s="46" t="n">
        <f aca="false">IF(I3704="Male",0,1)</f>
        <v>1</v>
      </c>
      <c r="Y3704" s="46" t="n">
        <f aca="false">IF(OR(I3704="DNB",I3704="Dry DNB"),1,0)</f>
        <v>0</v>
      </c>
      <c r="Z3704" s="0" t="str">
        <f aca="false">IF(ISNUMBER(W3704),A3704-W3704,"")</f>
        <v/>
      </c>
      <c r="AA3704" s="46" t="n">
        <f aca="false">MATCH(A3704,DATAS,0)</f>
        <v>1</v>
      </c>
      <c r="AB3704" s="46" t="n">
        <f aca="false">IF(AND(E3704&gt;0,OR(AND(B3704&gt;=1,B3704&lt;=6),B3704=10)),1,0)</f>
        <v>0</v>
      </c>
      <c r="AC3704" s="46" t="n">
        <f aca="false">IF(AND(E3704&gt;0,B3704=10),1,0)</f>
        <v>0</v>
      </c>
      <c r="AD3704" s="0" t="str">
        <f aca="false">IF(AND(C3703=C3704,AA3703=AA3704-1),AB3703,"")</f>
        <v/>
      </c>
      <c r="AE3704" s="0" t="str">
        <f aca="false">IF(AND(C3703=C3704,AA3703=AA3704-1),AC3703,"")</f>
        <v/>
      </c>
      <c r="AF3704" s="0" t="str">
        <f aca="false">IF(AA3704=1,"",IF(AND(AB3704=1,AD3704&lt;&gt;1),1,0))</f>
        <v/>
      </c>
      <c r="AG3704" s="0" t="str">
        <f aca="false">IF(AA3704=1,"",IF(AND(AC3704=1,AE3704&lt;&gt;1),1,0))</f>
        <v/>
      </c>
      <c r="AH3704" s="51" t="str">
        <f aca="false">IF(AND(E3704&gt;0,AA3704&lt;1,NOT(AND(C3705=C3704,AA3705=AA3704+1))),INDEX(DATAS,AA3704+1),"")</f>
        <v/>
      </c>
      <c r="AI3704" s="51" t="str">
        <f aca="false">IF(AND(AC3704=1,AA3704&lt;1),IF(AND(C3705=C3704,AA3705=AA3704+1),IF(AC3705=1,"",INDEX(DATAS,AA3704+1)),INDEX(DATAS,AA3704+1)),"")</f>
        <v/>
      </c>
    </row>
    <row r="3705" customFormat="false" ht="15" hidden="false" customHeight="false" outlineLevel="0" collapsed="false">
      <c r="A3705" s="51" t="n">
        <v>46309</v>
      </c>
      <c r="B3705" s="0" t="n">
        <v>16</v>
      </c>
      <c r="C3705" s="0" t="n">
        <v>8175</v>
      </c>
      <c r="E3705" s="0" t="n">
        <v>0</v>
      </c>
      <c r="F3705" s="46" t="s">
        <v>1682</v>
      </c>
      <c r="I3705" s="46" t="s">
        <v>179</v>
      </c>
      <c r="U3705" s="0" t="n">
        <v>15</v>
      </c>
      <c r="V3705" s="0" t="n">
        <v>0</v>
      </c>
      <c r="X3705" s="46" t="n">
        <f aca="false">IF(I3705="Male",0,1)</f>
        <v>1</v>
      </c>
      <c r="Y3705" s="46" t="n">
        <f aca="false">IF(OR(I3705="DNB",I3705="Dry DNB"),1,0)</f>
        <v>0</v>
      </c>
      <c r="Z3705" s="0" t="str">
        <f aca="false">IF(ISNUMBER(W3705),A3705-W3705,"")</f>
        <v/>
      </c>
      <c r="AA3705" s="46" t="n">
        <f aca="false">MATCH(A3705,DATAS,0)</f>
        <v>1</v>
      </c>
      <c r="AB3705" s="46" t="n">
        <f aca="false">IF(AND(E3705&gt;0,OR(AND(B3705&gt;=1,B3705&lt;=6),B3705=10)),1,0)</f>
        <v>0</v>
      </c>
      <c r="AC3705" s="46" t="n">
        <f aca="false">IF(AND(E3705&gt;0,B3705=10),1,0)</f>
        <v>0</v>
      </c>
      <c r="AD3705" s="0" t="str">
        <f aca="false">IF(AND(C3704=C3705,AA3704=AA3705-1),AB3704,"")</f>
        <v/>
      </c>
      <c r="AE3705" s="0" t="str">
        <f aca="false">IF(AND(C3704=C3705,AA3704=AA3705-1),AC3704,"")</f>
        <v/>
      </c>
      <c r="AF3705" s="0" t="str">
        <f aca="false">IF(AA3705=1,"",IF(AND(AB3705=1,AD3705&lt;&gt;1),1,0))</f>
        <v/>
      </c>
      <c r="AG3705" s="0" t="str">
        <f aca="false">IF(AA3705=1,"",IF(AND(AC3705=1,AE3705&lt;&gt;1),1,0))</f>
        <v/>
      </c>
      <c r="AH3705" s="51" t="str">
        <f aca="false">IF(AND(E3705&gt;0,AA3705&lt;1,NOT(AND(C3706=C3705,AA3706=AA3705+1))),INDEX(DATAS,AA3705+1),"")</f>
        <v/>
      </c>
      <c r="AI3705" s="51" t="str">
        <f aca="false">IF(AND(AC3705=1,AA3705&lt;1),IF(AND(C3706=C3705,AA3706=AA3705+1),IF(AC3706=1,"",INDEX(DATAS,AA3705+1)),INDEX(DATAS,AA3705+1)),"")</f>
        <v/>
      </c>
    </row>
    <row r="3706" customFormat="false" ht="15" hidden="false" customHeight="false" outlineLevel="0" collapsed="false">
      <c r="A3706" s="51" t="n">
        <v>46309</v>
      </c>
      <c r="B3706" s="0" t="n">
        <v>16</v>
      </c>
      <c r="C3706" s="0" t="n">
        <v>8176</v>
      </c>
      <c r="E3706" s="0" t="n">
        <v>0</v>
      </c>
      <c r="F3706" s="46" t="s">
        <v>1682</v>
      </c>
      <c r="I3706" s="46" t="s">
        <v>179</v>
      </c>
      <c r="U3706" s="0" t="n">
        <v>15</v>
      </c>
      <c r="V3706" s="0" t="n">
        <v>0</v>
      </c>
      <c r="X3706" s="46" t="n">
        <f aca="false">IF(I3706="Male",0,1)</f>
        <v>1</v>
      </c>
      <c r="Y3706" s="46" t="n">
        <f aca="false">IF(OR(I3706="DNB",I3706="Dry DNB"),1,0)</f>
        <v>0</v>
      </c>
      <c r="Z3706" s="0" t="str">
        <f aca="false">IF(ISNUMBER(W3706),A3706-W3706,"")</f>
        <v/>
      </c>
      <c r="AA3706" s="46" t="n">
        <f aca="false">MATCH(A3706,DATAS,0)</f>
        <v>1</v>
      </c>
      <c r="AB3706" s="46" t="n">
        <f aca="false">IF(AND(E3706&gt;0,OR(AND(B3706&gt;=1,B3706&lt;=6),B3706=10)),1,0)</f>
        <v>0</v>
      </c>
      <c r="AC3706" s="46" t="n">
        <f aca="false">IF(AND(E3706&gt;0,B3706=10),1,0)</f>
        <v>0</v>
      </c>
      <c r="AD3706" s="0" t="str">
        <f aca="false">IF(AND(C3705=C3706,AA3705=AA3706-1),AB3705,"")</f>
        <v/>
      </c>
      <c r="AE3706" s="0" t="str">
        <f aca="false">IF(AND(C3705=C3706,AA3705=AA3706-1),AC3705,"")</f>
        <v/>
      </c>
      <c r="AF3706" s="0" t="str">
        <f aca="false">IF(AA3706=1,"",IF(AND(AB3706=1,AD3706&lt;&gt;1),1,0))</f>
        <v/>
      </c>
      <c r="AG3706" s="0" t="str">
        <f aca="false">IF(AA3706=1,"",IF(AND(AC3706=1,AE3706&lt;&gt;1),1,0))</f>
        <v/>
      </c>
      <c r="AH3706" s="51" t="str">
        <f aca="false">IF(AND(E3706&gt;0,AA3706&lt;1,NOT(AND(C3707=C3706,AA3707=AA3706+1))),INDEX(DATAS,AA3706+1),"")</f>
        <v/>
      </c>
      <c r="AI3706" s="51" t="str">
        <f aca="false">IF(AND(AC3706=1,AA3706&lt;1),IF(AND(C3707=C3706,AA3707=AA3706+1),IF(AC3707=1,"",INDEX(DATAS,AA3706+1)),INDEX(DATAS,AA3706+1)),"")</f>
        <v/>
      </c>
    </row>
    <row r="3707" customFormat="false" ht="15" hidden="false" customHeight="false" outlineLevel="0" collapsed="false">
      <c r="A3707" s="51" t="n">
        <v>46309</v>
      </c>
      <c r="B3707" s="0" t="n">
        <v>16</v>
      </c>
      <c r="C3707" s="0" t="n">
        <v>8177</v>
      </c>
      <c r="E3707" s="0" t="n">
        <v>0</v>
      </c>
      <c r="F3707" s="46" t="s">
        <v>1683</v>
      </c>
      <c r="I3707" s="46" t="s">
        <v>179</v>
      </c>
      <c r="U3707" s="0" t="n">
        <v>14</v>
      </c>
      <c r="V3707" s="0" t="n">
        <v>0</v>
      </c>
      <c r="X3707" s="46" t="n">
        <f aca="false">IF(I3707="Male",0,1)</f>
        <v>1</v>
      </c>
      <c r="Y3707" s="46" t="n">
        <f aca="false">IF(OR(I3707="DNB",I3707="Dry DNB"),1,0)</f>
        <v>0</v>
      </c>
      <c r="Z3707" s="0" t="str">
        <f aca="false">IF(ISNUMBER(W3707),A3707-W3707,"")</f>
        <v/>
      </c>
      <c r="AA3707" s="46" t="n">
        <f aca="false">MATCH(A3707,DATAS,0)</f>
        <v>1</v>
      </c>
      <c r="AB3707" s="46" t="n">
        <f aca="false">IF(AND(E3707&gt;0,OR(AND(B3707&gt;=1,B3707&lt;=6),B3707=10)),1,0)</f>
        <v>0</v>
      </c>
      <c r="AC3707" s="46" t="n">
        <f aca="false">IF(AND(E3707&gt;0,B3707=10),1,0)</f>
        <v>0</v>
      </c>
      <c r="AD3707" s="0" t="str">
        <f aca="false">IF(AND(C3706=C3707,AA3706=AA3707-1),AB3706,"")</f>
        <v/>
      </c>
      <c r="AE3707" s="0" t="str">
        <f aca="false">IF(AND(C3706=C3707,AA3706=AA3707-1),AC3706,"")</f>
        <v/>
      </c>
      <c r="AF3707" s="0" t="str">
        <f aca="false">IF(AA3707=1,"",IF(AND(AB3707=1,AD3707&lt;&gt;1),1,0))</f>
        <v/>
      </c>
      <c r="AG3707" s="0" t="str">
        <f aca="false">IF(AA3707=1,"",IF(AND(AC3707=1,AE3707&lt;&gt;1),1,0))</f>
        <v/>
      </c>
      <c r="AH3707" s="51" t="str">
        <f aca="false">IF(AND(E3707&gt;0,AA3707&lt;1,NOT(AND(C3708=C3707,AA3708=AA3707+1))),INDEX(DATAS,AA3707+1),"")</f>
        <v/>
      </c>
      <c r="AI3707" s="51" t="str">
        <f aca="false">IF(AND(AC3707=1,AA3707&lt;1),IF(AND(C3708=C3707,AA3708=AA3707+1),IF(AC3708=1,"",INDEX(DATAS,AA3707+1)),INDEX(DATAS,AA3707+1)),"")</f>
        <v/>
      </c>
    </row>
    <row r="3708" customFormat="false" ht="15" hidden="false" customHeight="false" outlineLevel="0" collapsed="false">
      <c r="A3708" s="51" t="n">
        <v>46309</v>
      </c>
      <c r="B3708" s="0" t="n">
        <v>16</v>
      </c>
      <c r="C3708" s="0" t="n">
        <v>8178</v>
      </c>
      <c r="E3708" s="0" t="n">
        <v>0</v>
      </c>
      <c r="F3708" s="46" t="s">
        <v>1683</v>
      </c>
      <c r="I3708" s="46" t="s">
        <v>179</v>
      </c>
      <c r="U3708" s="0" t="n">
        <v>14</v>
      </c>
      <c r="V3708" s="0" t="n">
        <v>0</v>
      </c>
      <c r="X3708" s="46" t="n">
        <f aca="false">IF(I3708="Male",0,1)</f>
        <v>1</v>
      </c>
      <c r="Y3708" s="46" t="n">
        <f aca="false">IF(OR(I3708="DNB",I3708="Dry DNB"),1,0)</f>
        <v>0</v>
      </c>
      <c r="Z3708" s="0" t="str">
        <f aca="false">IF(ISNUMBER(W3708),A3708-W3708,"")</f>
        <v/>
      </c>
      <c r="AA3708" s="46" t="n">
        <f aca="false">MATCH(A3708,DATAS,0)</f>
        <v>1</v>
      </c>
      <c r="AB3708" s="46" t="n">
        <f aca="false">IF(AND(E3708&gt;0,OR(AND(B3708&gt;=1,B3708&lt;=6),B3708=10)),1,0)</f>
        <v>0</v>
      </c>
      <c r="AC3708" s="46" t="n">
        <f aca="false">IF(AND(E3708&gt;0,B3708=10),1,0)</f>
        <v>0</v>
      </c>
      <c r="AD3708" s="0" t="str">
        <f aca="false">IF(AND(C3707=C3708,AA3707=AA3708-1),AB3707,"")</f>
        <v/>
      </c>
      <c r="AE3708" s="0" t="str">
        <f aca="false">IF(AND(C3707=C3708,AA3707=AA3708-1),AC3707,"")</f>
        <v/>
      </c>
      <c r="AF3708" s="0" t="str">
        <f aca="false">IF(AA3708=1,"",IF(AND(AB3708=1,AD3708&lt;&gt;1),1,0))</f>
        <v/>
      </c>
      <c r="AG3708" s="0" t="str">
        <f aca="false">IF(AA3708=1,"",IF(AND(AC3708=1,AE3708&lt;&gt;1),1,0))</f>
        <v/>
      </c>
      <c r="AH3708" s="51" t="str">
        <f aca="false">IF(AND(E3708&gt;0,AA3708&lt;1,NOT(AND(C3709=C3708,AA3709=AA3708+1))),INDEX(DATAS,AA3708+1),"")</f>
        <v/>
      </c>
      <c r="AI3708" s="51" t="str">
        <f aca="false">IF(AND(AC3708=1,AA3708&lt;1),IF(AND(C3709=C3708,AA3709=AA3708+1),IF(AC3709=1,"",INDEX(DATAS,AA3708+1)),INDEX(DATAS,AA3708+1)),"")</f>
        <v/>
      </c>
    </row>
    <row r="3709" customFormat="false" ht="15" hidden="false" customHeight="false" outlineLevel="0" collapsed="false">
      <c r="A3709" s="51" t="n">
        <v>46309</v>
      </c>
      <c r="B3709" s="0" t="n">
        <v>16</v>
      </c>
      <c r="C3709" s="0" t="n">
        <v>8179</v>
      </c>
      <c r="E3709" s="0" t="n">
        <v>0</v>
      </c>
      <c r="F3709" s="46" t="s">
        <v>1683</v>
      </c>
      <c r="I3709" s="46" t="s">
        <v>179</v>
      </c>
      <c r="U3709" s="0" t="n">
        <v>14</v>
      </c>
      <c r="V3709" s="0" t="n">
        <v>0</v>
      </c>
      <c r="X3709" s="46" t="n">
        <f aca="false">IF(I3709="Male",0,1)</f>
        <v>1</v>
      </c>
      <c r="Y3709" s="46" t="n">
        <f aca="false">IF(OR(I3709="DNB",I3709="Dry DNB"),1,0)</f>
        <v>0</v>
      </c>
      <c r="Z3709" s="0" t="str">
        <f aca="false">IF(ISNUMBER(W3709),A3709-W3709,"")</f>
        <v/>
      </c>
      <c r="AA3709" s="46" t="n">
        <f aca="false">MATCH(A3709,DATAS,0)</f>
        <v>1</v>
      </c>
      <c r="AB3709" s="46" t="n">
        <f aca="false">IF(AND(E3709&gt;0,OR(AND(B3709&gt;=1,B3709&lt;=6),B3709=10)),1,0)</f>
        <v>0</v>
      </c>
      <c r="AC3709" s="46" t="n">
        <f aca="false">IF(AND(E3709&gt;0,B3709=10),1,0)</f>
        <v>0</v>
      </c>
      <c r="AD3709" s="0" t="str">
        <f aca="false">IF(AND(C3708=C3709,AA3708=AA3709-1),AB3708,"")</f>
        <v/>
      </c>
      <c r="AE3709" s="0" t="str">
        <f aca="false">IF(AND(C3708=C3709,AA3708=AA3709-1),AC3708,"")</f>
        <v/>
      </c>
      <c r="AF3709" s="0" t="str">
        <f aca="false">IF(AA3709=1,"",IF(AND(AB3709=1,AD3709&lt;&gt;1),1,0))</f>
        <v/>
      </c>
      <c r="AG3709" s="0" t="str">
        <f aca="false">IF(AA3709=1,"",IF(AND(AC3709=1,AE3709&lt;&gt;1),1,0))</f>
        <v/>
      </c>
      <c r="AH3709" s="51" t="str">
        <f aca="false">IF(AND(E3709&gt;0,AA3709&lt;1,NOT(AND(C3710=C3709,AA3710=AA3709+1))),INDEX(DATAS,AA3709+1),"")</f>
        <v/>
      </c>
      <c r="AI3709" s="51" t="str">
        <f aca="false">IF(AND(AC3709=1,AA3709&lt;1),IF(AND(C3710=C3709,AA3710=AA3709+1),IF(AC3710=1,"",INDEX(DATAS,AA3709+1)),INDEX(DATAS,AA3709+1)),"")</f>
        <v/>
      </c>
    </row>
    <row r="3710" customFormat="false" ht="15" hidden="false" customHeight="false" outlineLevel="0" collapsed="false">
      <c r="A3710" s="51" t="n">
        <v>46309</v>
      </c>
      <c r="B3710" s="0" t="n">
        <v>16</v>
      </c>
      <c r="C3710" s="0" t="n">
        <v>8180</v>
      </c>
      <c r="E3710" s="0" t="n">
        <v>0</v>
      </c>
      <c r="F3710" s="46" t="s">
        <v>1684</v>
      </c>
      <c r="I3710" s="46" t="s">
        <v>179</v>
      </c>
      <c r="U3710" s="0" t="n">
        <v>13</v>
      </c>
      <c r="V3710" s="0" t="n">
        <v>0</v>
      </c>
      <c r="X3710" s="46" t="n">
        <f aca="false">IF(I3710="Male",0,1)</f>
        <v>1</v>
      </c>
      <c r="Y3710" s="46" t="n">
        <f aca="false">IF(OR(I3710="DNB",I3710="Dry DNB"),1,0)</f>
        <v>0</v>
      </c>
      <c r="Z3710" s="0" t="str">
        <f aca="false">IF(ISNUMBER(W3710),A3710-W3710,"")</f>
        <v/>
      </c>
      <c r="AA3710" s="46" t="n">
        <f aca="false">MATCH(A3710,DATAS,0)</f>
        <v>1</v>
      </c>
      <c r="AB3710" s="46" t="n">
        <f aca="false">IF(AND(E3710&gt;0,OR(AND(B3710&gt;=1,B3710&lt;=6),B3710=10)),1,0)</f>
        <v>0</v>
      </c>
      <c r="AC3710" s="46" t="n">
        <f aca="false">IF(AND(E3710&gt;0,B3710=10),1,0)</f>
        <v>0</v>
      </c>
      <c r="AD3710" s="0" t="str">
        <f aca="false">IF(AND(C3709=C3710,AA3709=AA3710-1),AB3709,"")</f>
        <v/>
      </c>
      <c r="AE3710" s="0" t="str">
        <f aca="false">IF(AND(C3709=C3710,AA3709=AA3710-1),AC3709,"")</f>
        <v/>
      </c>
      <c r="AF3710" s="0" t="str">
        <f aca="false">IF(AA3710=1,"",IF(AND(AB3710=1,AD3710&lt;&gt;1),1,0))</f>
        <v/>
      </c>
      <c r="AG3710" s="0" t="str">
        <f aca="false">IF(AA3710=1,"",IF(AND(AC3710=1,AE3710&lt;&gt;1),1,0))</f>
        <v/>
      </c>
      <c r="AH3710" s="51" t="str">
        <f aca="false">IF(AND(E3710&gt;0,AA3710&lt;1,NOT(AND(C3711=C3710,AA3711=AA3710+1))),INDEX(DATAS,AA3710+1),"")</f>
        <v/>
      </c>
      <c r="AI3710" s="51" t="str">
        <f aca="false">IF(AND(AC3710=1,AA3710&lt;1),IF(AND(C3711=C3710,AA3711=AA3710+1),IF(AC3711=1,"",INDEX(DATAS,AA3710+1)),INDEX(DATAS,AA3710+1)),"")</f>
        <v/>
      </c>
    </row>
    <row r="3711" customFormat="false" ht="15" hidden="false" customHeight="false" outlineLevel="0" collapsed="false">
      <c r="A3711" s="51" t="n">
        <v>46309</v>
      </c>
      <c r="B3711" s="0" t="n">
        <v>16</v>
      </c>
      <c r="C3711" s="0" t="n">
        <v>8181</v>
      </c>
      <c r="E3711" s="0" t="n">
        <v>0</v>
      </c>
      <c r="F3711" s="46" t="s">
        <v>1684</v>
      </c>
      <c r="I3711" s="46" t="s">
        <v>179</v>
      </c>
      <c r="U3711" s="0" t="n">
        <v>13</v>
      </c>
      <c r="V3711" s="0" t="n">
        <v>0</v>
      </c>
      <c r="X3711" s="46" t="n">
        <f aca="false">IF(I3711="Male",0,1)</f>
        <v>1</v>
      </c>
      <c r="Y3711" s="46" t="n">
        <f aca="false">IF(OR(I3711="DNB",I3711="Dry DNB"),1,0)</f>
        <v>0</v>
      </c>
      <c r="Z3711" s="0" t="str">
        <f aca="false">IF(ISNUMBER(W3711),A3711-W3711,"")</f>
        <v/>
      </c>
      <c r="AA3711" s="46" t="n">
        <f aca="false">MATCH(A3711,DATAS,0)</f>
        <v>1</v>
      </c>
      <c r="AB3711" s="46" t="n">
        <f aca="false">IF(AND(E3711&gt;0,OR(AND(B3711&gt;=1,B3711&lt;=6),B3711=10)),1,0)</f>
        <v>0</v>
      </c>
      <c r="AC3711" s="46" t="n">
        <f aca="false">IF(AND(E3711&gt;0,B3711=10),1,0)</f>
        <v>0</v>
      </c>
      <c r="AD3711" s="0" t="str">
        <f aca="false">IF(AND(C3710=C3711,AA3710=AA3711-1),AB3710,"")</f>
        <v/>
      </c>
      <c r="AE3711" s="0" t="str">
        <f aca="false">IF(AND(C3710=C3711,AA3710=AA3711-1),AC3710,"")</f>
        <v/>
      </c>
      <c r="AF3711" s="0" t="str">
        <f aca="false">IF(AA3711=1,"",IF(AND(AB3711=1,AD3711&lt;&gt;1),1,0))</f>
        <v/>
      </c>
      <c r="AG3711" s="0" t="str">
        <f aca="false">IF(AA3711=1,"",IF(AND(AC3711=1,AE3711&lt;&gt;1),1,0))</f>
        <v/>
      </c>
      <c r="AH3711" s="51" t="str">
        <f aca="false">IF(AND(E3711&gt;0,AA3711&lt;1,NOT(AND(C3712=C3711,AA3712=AA3711+1))),INDEX(DATAS,AA3711+1),"")</f>
        <v/>
      </c>
      <c r="AI3711" s="51" t="str">
        <f aca="false">IF(AND(AC3711=1,AA3711&lt;1),IF(AND(C3712=C3711,AA3712=AA3711+1),IF(AC3712=1,"",INDEX(DATAS,AA3711+1)),INDEX(DATAS,AA3711+1)),"")</f>
        <v/>
      </c>
    </row>
    <row r="3712" customFormat="false" ht="15" hidden="false" customHeight="false" outlineLevel="0" collapsed="false">
      <c r="A3712" s="51" t="n">
        <v>46309</v>
      </c>
      <c r="B3712" s="0" t="n">
        <v>16</v>
      </c>
      <c r="C3712" s="0" t="n">
        <v>8182</v>
      </c>
      <c r="E3712" s="0" t="n">
        <v>0</v>
      </c>
      <c r="F3712" s="46" t="s">
        <v>1684</v>
      </c>
      <c r="I3712" s="46" t="s">
        <v>179</v>
      </c>
      <c r="U3712" s="0" t="n">
        <v>13</v>
      </c>
      <c r="V3712" s="0" t="n">
        <v>0</v>
      </c>
      <c r="X3712" s="46" t="n">
        <f aca="false">IF(I3712="Male",0,1)</f>
        <v>1</v>
      </c>
      <c r="Y3712" s="46" t="n">
        <f aca="false">IF(OR(I3712="DNB",I3712="Dry DNB"),1,0)</f>
        <v>0</v>
      </c>
      <c r="Z3712" s="0" t="str">
        <f aca="false">IF(ISNUMBER(W3712),A3712-W3712,"")</f>
        <v/>
      </c>
      <c r="AA3712" s="46" t="n">
        <f aca="false">MATCH(A3712,DATAS,0)</f>
        <v>1</v>
      </c>
      <c r="AB3712" s="46" t="n">
        <f aca="false">IF(AND(E3712&gt;0,OR(AND(B3712&gt;=1,B3712&lt;=6),B3712=10)),1,0)</f>
        <v>0</v>
      </c>
      <c r="AC3712" s="46" t="n">
        <f aca="false">IF(AND(E3712&gt;0,B3712=10),1,0)</f>
        <v>0</v>
      </c>
      <c r="AD3712" s="0" t="str">
        <f aca="false">IF(AND(C3711=C3712,AA3711=AA3712-1),AB3711,"")</f>
        <v/>
      </c>
      <c r="AE3712" s="0" t="str">
        <f aca="false">IF(AND(C3711=C3712,AA3711=AA3712-1),AC3711,"")</f>
        <v/>
      </c>
      <c r="AF3712" s="0" t="str">
        <f aca="false">IF(AA3712=1,"",IF(AND(AB3712=1,AD3712&lt;&gt;1),1,0))</f>
        <v/>
      </c>
      <c r="AG3712" s="0" t="str">
        <f aca="false">IF(AA3712=1,"",IF(AND(AC3712=1,AE3712&lt;&gt;1),1,0))</f>
        <v/>
      </c>
      <c r="AH3712" s="51" t="str">
        <f aca="false">IF(AND(E3712&gt;0,AA3712&lt;1,NOT(AND(C3713=C3712,AA3713=AA3712+1))),INDEX(DATAS,AA3712+1),"")</f>
        <v/>
      </c>
      <c r="AI3712" s="51" t="str">
        <f aca="false">IF(AND(AC3712=1,AA3712&lt;1),IF(AND(C3713=C3712,AA3713=AA3712+1),IF(AC3713=1,"",INDEX(DATAS,AA3712+1)),INDEX(DATAS,AA3712+1)),"")</f>
        <v/>
      </c>
    </row>
    <row r="3713" customFormat="false" ht="15" hidden="false" customHeight="false" outlineLevel="0" collapsed="false">
      <c r="A3713" s="51" t="n">
        <v>46309</v>
      </c>
      <c r="B3713" s="0" t="n">
        <v>16</v>
      </c>
      <c r="C3713" s="0" t="n">
        <v>8183</v>
      </c>
      <c r="E3713" s="0" t="n">
        <v>0</v>
      </c>
      <c r="F3713" s="46" t="s">
        <v>1685</v>
      </c>
      <c r="I3713" s="46" t="s">
        <v>179</v>
      </c>
      <c r="U3713" s="0" t="n">
        <v>12</v>
      </c>
      <c r="V3713" s="0" t="n">
        <v>0</v>
      </c>
      <c r="X3713" s="46" t="n">
        <f aca="false">IF(I3713="Male",0,1)</f>
        <v>1</v>
      </c>
      <c r="Y3713" s="46" t="n">
        <f aca="false">IF(OR(I3713="DNB",I3713="Dry DNB"),1,0)</f>
        <v>0</v>
      </c>
      <c r="Z3713" s="0" t="str">
        <f aca="false">IF(ISNUMBER(W3713),A3713-W3713,"")</f>
        <v/>
      </c>
      <c r="AA3713" s="46" t="n">
        <f aca="false">MATCH(A3713,DATAS,0)</f>
        <v>1</v>
      </c>
      <c r="AB3713" s="46" t="n">
        <f aca="false">IF(AND(E3713&gt;0,OR(AND(B3713&gt;=1,B3713&lt;=6),B3713=10)),1,0)</f>
        <v>0</v>
      </c>
      <c r="AC3713" s="46" t="n">
        <f aca="false">IF(AND(E3713&gt;0,B3713=10),1,0)</f>
        <v>0</v>
      </c>
      <c r="AD3713" s="0" t="str">
        <f aca="false">IF(AND(C3712=C3713,AA3712=AA3713-1),AB3712,"")</f>
        <v/>
      </c>
      <c r="AE3713" s="0" t="str">
        <f aca="false">IF(AND(C3712=C3713,AA3712=AA3713-1),AC3712,"")</f>
        <v/>
      </c>
      <c r="AF3713" s="0" t="str">
        <f aca="false">IF(AA3713=1,"",IF(AND(AB3713=1,AD3713&lt;&gt;1),1,0))</f>
        <v/>
      </c>
      <c r="AG3713" s="0" t="str">
        <f aca="false">IF(AA3713=1,"",IF(AND(AC3713=1,AE3713&lt;&gt;1),1,0))</f>
        <v/>
      </c>
      <c r="AH3713" s="51" t="str">
        <f aca="false">IF(AND(E3713&gt;0,AA3713&lt;1,NOT(AND(C3714=C3713,AA3714=AA3713+1))),INDEX(DATAS,AA3713+1),"")</f>
        <v/>
      </c>
      <c r="AI3713" s="51" t="str">
        <f aca="false">IF(AND(AC3713=1,AA3713&lt;1),IF(AND(C3714=C3713,AA3714=AA3713+1),IF(AC3714=1,"",INDEX(DATAS,AA3713+1)),INDEX(DATAS,AA3713+1)),"")</f>
        <v/>
      </c>
    </row>
    <row r="3714" customFormat="false" ht="15" hidden="false" customHeight="false" outlineLevel="0" collapsed="false">
      <c r="A3714" s="51" t="n">
        <v>46309</v>
      </c>
      <c r="B3714" s="0" t="n">
        <v>16</v>
      </c>
      <c r="C3714" s="0" t="n">
        <v>8184</v>
      </c>
      <c r="E3714" s="0" t="n">
        <v>0</v>
      </c>
      <c r="F3714" s="46" t="s">
        <v>1685</v>
      </c>
      <c r="I3714" s="46" t="s">
        <v>179</v>
      </c>
      <c r="U3714" s="0" t="n">
        <v>12</v>
      </c>
      <c r="V3714" s="0" t="n">
        <v>0</v>
      </c>
      <c r="X3714" s="46" t="n">
        <f aca="false">IF(I3714="Male",0,1)</f>
        <v>1</v>
      </c>
      <c r="Y3714" s="46" t="n">
        <f aca="false">IF(OR(I3714="DNB",I3714="Dry DNB"),1,0)</f>
        <v>0</v>
      </c>
      <c r="Z3714" s="0" t="str">
        <f aca="false">IF(ISNUMBER(W3714),A3714-W3714,"")</f>
        <v/>
      </c>
      <c r="AA3714" s="46" t="n">
        <f aca="false">MATCH(A3714,DATAS,0)</f>
        <v>1</v>
      </c>
      <c r="AB3714" s="46" t="n">
        <f aca="false">IF(AND(E3714&gt;0,OR(AND(B3714&gt;=1,B3714&lt;=6),B3714=10)),1,0)</f>
        <v>0</v>
      </c>
      <c r="AC3714" s="46" t="n">
        <f aca="false">IF(AND(E3714&gt;0,B3714=10),1,0)</f>
        <v>0</v>
      </c>
      <c r="AD3714" s="0" t="str">
        <f aca="false">IF(AND(C3713=C3714,AA3713=AA3714-1),AB3713,"")</f>
        <v/>
      </c>
      <c r="AE3714" s="0" t="str">
        <f aca="false">IF(AND(C3713=C3714,AA3713=AA3714-1),AC3713,"")</f>
        <v/>
      </c>
      <c r="AF3714" s="0" t="str">
        <f aca="false">IF(AA3714=1,"",IF(AND(AB3714=1,AD3714&lt;&gt;1),1,0))</f>
        <v/>
      </c>
      <c r="AG3714" s="0" t="str">
        <f aca="false">IF(AA3714=1,"",IF(AND(AC3714=1,AE3714&lt;&gt;1),1,0))</f>
        <v/>
      </c>
      <c r="AH3714" s="51" t="str">
        <f aca="false">IF(AND(E3714&gt;0,AA3714&lt;1,NOT(AND(C3715=C3714,AA3715=AA3714+1))),INDEX(DATAS,AA3714+1),"")</f>
        <v/>
      </c>
      <c r="AI3714" s="51" t="str">
        <f aca="false">IF(AND(AC3714=1,AA3714&lt;1),IF(AND(C3715=C3714,AA3715=AA3714+1),IF(AC3715=1,"",INDEX(DATAS,AA3714+1)),INDEX(DATAS,AA3714+1)),"")</f>
        <v/>
      </c>
    </row>
    <row r="3715" customFormat="false" ht="15" hidden="false" customHeight="false" outlineLevel="0" collapsed="false">
      <c r="A3715" s="51" t="n">
        <v>46309</v>
      </c>
      <c r="B3715" s="0" t="n">
        <v>16</v>
      </c>
      <c r="C3715" s="0" t="n">
        <v>8185</v>
      </c>
      <c r="E3715" s="0" t="n">
        <v>0</v>
      </c>
      <c r="F3715" s="46" t="s">
        <v>1685</v>
      </c>
      <c r="I3715" s="46" t="s">
        <v>179</v>
      </c>
      <c r="U3715" s="0" t="n">
        <v>12</v>
      </c>
      <c r="V3715" s="0" t="n">
        <v>0</v>
      </c>
      <c r="X3715" s="46" t="n">
        <f aca="false">IF(I3715="Male",0,1)</f>
        <v>1</v>
      </c>
      <c r="Y3715" s="46" t="n">
        <f aca="false">IF(OR(I3715="DNB",I3715="Dry DNB"),1,0)</f>
        <v>0</v>
      </c>
      <c r="Z3715" s="0" t="str">
        <f aca="false">IF(ISNUMBER(W3715),A3715-W3715,"")</f>
        <v/>
      </c>
      <c r="AA3715" s="46" t="n">
        <f aca="false">MATCH(A3715,DATAS,0)</f>
        <v>1</v>
      </c>
      <c r="AB3715" s="46" t="n">
        <f aca="false">IF(AND(E3715&gt;0,OR(AND(B3715&gt;=1,B3715&lt;=6),B3715=10)),1,0)</f>
        <v>0</v>
      </c>
      <c r="AC3715" s="46" t="n">
        <f aca="false">IF(AND(E3715&gt;0,B3715=10),1,0)</f>
        <v>0</v>
      </c>
      <c r="AD3715" s="0" t="str">
        <f aca="false">IF(AND(C3714=C3715,AA3714=AA3715-1),AB3714,"")</f>
        <v/>
      </c>
      <c r="AE3715" s="0" t="str">
        <f aca="false">IF(AND(C3714=C3715,AA3714=AA3715-1),AC3714,"")</f>
        <v/>
      </c>
      <c r="AF3715" s="0" t="str">
        <f aca="false">IF(AA3715=1,"",IF(AND(AB3715=1,AD3715&lt;&gt;1),1,0))</f>
        <v/>
      </c>
      <c r="AG3715" s="0" t="str">
        <f aca="false">IF(AA3715=1,"",IF(AND(AC3715=1,AE3715&lt;&gt;1),1,0))</f>
        <v/>
      </c>
      <c r="AH3715" s="51" t="str">
        <f aca="false">IF(AND(E3715&gt;0,AA3715&lt;1,NOT(AND(C3716=C3715,AA3716=AA3715+1))),INDEX(DATAS,AA3715+1),"")</f>
        <v/>
      </c>
      <c r="AI3715" s="51" t="str">
        <f aca="false">IF(AND(AC3715=1,AA3715&lt;1),IF(AND(C3716=C3715,AA3716=AA3715+1),IF(AC3716=1,"",INDEX(DATAS,AA3715+1)),INDEX(DATAS,AA3715+1)),"")</f>
        <v/>
      </c>
    </row>
    <row r="3716" customFormat="false" ht="15" hidden="false" customHeight="false" outlineLevel="0" collapsed="false">
      <c r="A3716" s="51" t="n">
        <v>46309</v>
      </c>
      <c r="B3716" s="0" t="n">
        <v>16</v>
      </c>
      <c r="C3716" s="0" t="n">
        <v>8186</v>
      </c>
      <c r="E3716" s="0" t="n">
        <v>0</v>
      </c>
      <c r="F3716" s="46" t="s">
        <v>1686</v>
      </c>
      <c r="I3716" s="46" t="s">
        <v>179</v>
      </c>
      <c r="U3716" s="0" t="n">
        <v>11</v>
      </c>
      <c r="V3716" s="0" t="n">
        <v>0</v>
      </c>
      <c r="X3716" s="46" t="n">
        <f aca="false">IF(I3716="Male",0,1)</f>
        <v>1</v>
      </c>
      <c r="Y3716" s="46" t="n">
        <f aca="false">IF(OR(I3716="DNB",I3716="Dry DNB"),1,0)</f>
        <v>0</v>
      </c>
      <c r="Z3716" s="0" t="str">
        <f aca="false">IF(ISNUMBER(W3716),A3716-W3716,"")</f>
        <v/>
      </c>
      <c r="AA3716" s="46" t="n">
        <f aca="false">MATCH(A3716,DATAS,0)</f>
        <v>1</v>
      </c>
      <c r="AB3716" s="46" t="n">
        <f aca="false">IF(AND(E3716&gt;0,OR(AND(B3716&gt;=1,B3716&lt;=6),B3716=10)),1,0)</f>
        <v>0</v>
      </c>
      <c r="AC3716" s="46" t="n">
        <f aca="false">IF(AND(E3716&gt;0,B3716=10),1,0)</f>
        <v>0</v>
      </c>
      <c r="AD3716" s="0" t="str">
        <f aca="false">IF(AND(C3715=C3716,AA3715=AA3716-1),AB3715,"")</f>
        <v/>
      </c>
      <c r="AE3716" s="0" t="str">
        <f aca="false">IF(AND(C3715=C3716,AA3715=AA3716-1),AC3715,"")</f>
        <v/>
      </c>
      <c r="AF3716" s="0" t="str">
        <f aca="false">IF(AA3716=1,"",IF(AND(AB3716=1,AD3716&lt;&gt;1),1,0))</f>
        <v/>
      </c>
      <c r="AG3716" s="0" t="str">
        <f aca="false">IF(AA3716=1,"",IF(AND(AC3716=1,AE3716&lt;&gt;1),1,0))</f>
        <v/>
      </c>
      <c r="AH3716" s="51" t="str">
        <f aca="false">IF(AND(E3716&gt;0,AA3716&lt;1,NOT(AND(C3717=C3716,AA3717=AA3716+1))),INDEX(DATAS,AA3716+1),"")</f>
        <v/>
      </c>
      <c r="AI3716" s="51" t="str">
        <f aca="false">IF(AND(AC3716=1,AA3716&lt;1),IF(AND(C3717=C3716,AA3717=AA3716+1),IF(AC3717=1,"",INDEX(DATAS,AA3716+1)),INDEX(DATAS,AA3716+1)),"")</f>
        <v/>
      </c>
    </row>
    <row r="3717" customFormat="false" ht="15" hidden="false" customHeight="false" outlineLevel="0" collapsed="false">
      <c r="A3717" s="51" t="n">
        <v>46309</v>
      </c>
      <c r="B3717" s="0" t="n">
        <v>16</v>
      </c>
      <c r="C3717" s="0" t="n">
        <v>8187</v>
      </c>
      <c r="E3717" s="0" t="n">
        <v>0</v>
      </c>
      <c r="F3717" s="46" t="s">
        <v>1686</v>
      </c>
      <c r="I3717" s="46" t="s">
        <v>179</v>
      </c>
      <c r="U3717" s="0" t="n">
        <v>11</v>
      </c>
      <c r="V3717" s="0" t="n">
        <v>0</v>
      </c>
      <c r="X3717" s="46" t="n">
        <f aca="false">IF(I3717="Male",0,1)</f>
        <v>1</v>
      </c>
      <c r="Y3717" s="46" t="n">
        <f aca="false">IF(OR(I3717="DNB",I3717="Dry DNB"),1,0)</f>
        <v>0</v>
      </c>
      <c r="Z3717" s="0" t="str">
        <f aca="false">IF(ISNUMBER(W3717),A3717-W3717,"")</f>
        <v/>
      </c>
      <c r="AA3717" s="46" t="n">
        <f aca="false">MATCH(A3717,DATAS,0)</f>
        <v>1</v>
      </c>
      <c r="AB3717" s="46" t="n">
        <f aca="false">IF(AND(E3717&gt;0,OR(AND(B3717&gt;=1,B3717&lt;=6),B3717=10)),1,0)</f>
        <v>0</v>
      </c>
      <c r="AC3717" s="46" t="n">
        <f aca="false">IF(AND(E3717&gt;0,B3717=10),1,0)</f>
        <v>0</v>
      </c>
      <c r="AD3717" s="0" t="str">
        <f aca="false">IF(AND(C3716=C3717,AA3716=AA3717-1),AB3716,"")</f>
        <v/>
      </c>
      <c r="AE3717" s="0" t="str">
        <f aca="false">IF(AND(C3716=C3717,AA3716=AA3717-1),AC3716,"")</f>
        <v/>
      </c>
      <c r="AF3717" s="0" t="str">
        <f aca="false">IF(AA3717=1,"",IF(AND(AB3717=1,AD3717&lt;&gt;1),1,0))</f>
        <v/>
      </c>
      <c r="AG3717" s="0" t="str">
        <f aca="false">IF(AA3717=1,"",IF(AND(AC3717=1,AE3717&lt;&gt;1),1,0))</f>
        <v/>
      </c>
      <c r="AH3717" s="51" t="str">
        <f aca="false">IF(AND(E3717&gt;0,AA3717&lt;1,NOT(AND(C3718=C3717,AA3718=AA3717+1))),INDEX(DATAS,AA3717+1),"")</f>
        <v/>
      </c>
      <c r="AI3717" s="51" t="str">
        <f aca="false">IF(AND(AC3717=1,AA3717&lt;1),IF(AND(C3718=C3717,AA3718=AA3717+1),IF(AC3718=1,"",INDEX(DATAS,AA3717+1)),INDEX(DATAS,AA3717+1)),"")</f>
        <v/>
      </c>
    </row>
    <row r="3718" customFormat="false" ht="15" hidden="false" customHeight="false" outlineLevel="0" collapsed="false">
      <c r="A3718" s="51" t="n">
        <v>46309</v>
      </c>
      <c r="B3718" s="0" t="n">
        <v>16</v>
      </c>
      <c r="C3718" s="0" t="n">
        <v>8188</v>
      </c>
      <c r="E3718" s="0" t="n">
        <v>0</v>
      </c>
      <c r="F3718" s="46" t="s">
        <v>1686</v>
      </c>
      <c r="I3718" s="46" t="s">
        <v>179</v>
      </c>
      <c r="U3718" s="0" t="n">
        <v>11</v>
      </c>
      <c r="V3718" s="0" t="n">
        <v>0</v>
      </c>
      <c r="X3718" s="46" t="n">
        <f aca="false">IF(I3718="Male",0,1)</f>
        <v>1</v>
      </c>
      <c r="Y3718" s="46" t="n">
        <f aca="false">IF(OR(I3718="DNB",I3718="Dry DNB"),1,0)</f>
        <v>0</v>
      </c>
      <c r="Z3718" s="0" t="str">
        <f aca="false">IF(ISNUMBER(W3718),A3718-W3718,"")</f>
        <v/>
      </c>
      <c r="AA3718" s="46" t="n">
        <f aca="false">MATCH(A3718,DATAS,0)</f>
        <v>1</v>
      </c>
      <c r="AB3718" s="46" t="n">
        <f aca="false">IF(AND(E3718&gt;0,OR(AND(B3718&gt;=1,B3718&lt;=6),B3718=10)),1,0)</f>
        <v>0</v>
      </c>
      <c r="AC3718" s="46" t="n">
        <f aca="false">IF(AND(E3718&gt;0,B3718=10),1,0)</f>
        <v>0</v>
      </c>
      <c r="AD3718" s="0" t="str">
        <f aca="false">IF(AND(C3717=C3718,AA3717=AA3718-1),AB3717,"")</f>
        <v/>
      </c>
      <c r="AE3718" s="0" t="str">
        <f aca="false">IF(AND(C3717=C3718,AA3717=AA3718-1),AC3717,"")</f>
        <v/>
      </c>
      <c r="AF3718" s="0" t="str">
        <f aca="false">IF(AA3718=1,"",IF(AND(AB3718=1,AD3718&lt;&gt;1),1,0))</f>
        <v/>
      </c>
      <c r="AG3718" s="0" t="str">
        <f aca="false">IF(AA3718=1,"",IF(AND(AC3718=1,AE3718&lt;&gt;1),1,0))</f>
        <v/>
      </c>
      <c r="AH3718" s="51" t="str">
        <f aca="false">IF(AND(E3718&gt;0,AA3718&lt;1,NOT(AND(C3719=C3718,AA3719=AA3718+1))),INDEX(DATAS,AA3718+1),"")</f>
        <v/>
      </c>
      <c r="AI3718" s="51" t="str">
        <f aca="false">IF(AND(AC3718=1,AA3718&lt;1),IF(AND(C3719=C3718,AA3719=AA3718+1),IF(AC3719=1,"",INDEX(DATAS,AA3718+1)),INDEX(DATAS,AA3718+1)),"")</f>
        <v/>
      </c>
    </row>
    <row r="3719" customFormat="false" ht="15" hidden="false" customHeight="false" outlineLevel="0" collapsed="false">
      <c r="A3719" s="51" t="n">
        <v>46309</v>
      </c>
      <c r="B3719" s="0" t="n">
        <v>16</v>
      </c>
      <c r="C3719" s="0" t="n">
        <v>8189</v>
      </c>
      <c r="E3719" s="0" t="n">
        <v>0</v>
      </c>
      <c r="F3719" s="46" t="s">
        <v>1686</v>
      </c>
      <c r="I3719" s="46" t="s">
        <v>179</v>
      </c>
      <c r="U3719" s="0" t="n">
        <v>11</v>
      </c>
      <c r="V3719" s="0" t="n">
        <v>0</v>
      </c>
      <c r="X3719" s="46" t="n">
        <f aca="false">IF(I3719="Male",0,1)</f>
        <v>1</v>
      </c>
      <c r="Y3719" s="46" t="n">
        <f aca="false">IF(OR(I3719="DNB",I3719="Dry DNB"),1,0)</f>
        <v>0</v>
      </c>
      <c r="Z3719" s="0" t="str">
        <f aca="false">IF(ISNUMBER(W3719),A3719-W3719,"")</f>
        <v/>
      </c>
      <c r="AA3719" s="46" t="n">
        <f aca="false">MATCH(A3719,DATAS,0)</f>
        <v>1</v>
      </c>
      <c r="AB3719" s="46" t="n">
        <f aca="false">IF(AND(E3719&gt;0,OR(AND(B3719&gt;=1,B3719&lt;=6),B3719=10)),1,0)</f>
        <v>0</v>
      </c>
      <c r="AC3719" s="46" t="n">
        <f aca="false">IF(AND(E3719&gt;0,B3719=10),1,0)</f>
        <v>0</v>
      </c>
      <c r="AD3719" s="0" t="str">
        <f aca="false">IF(AND(C3718=C3719,AA3718=AA3719-1),AB3718,"")</f>
        <v/>
      </c>
      <c r="AE3719" s="0" t="str">
        <f aca="false">IF(AND(C3718=C3719,AA3718=AA3719-1),AC3718,"")</f>
        <v/>
      </c>
      <c r="AF3719" s="0" t="str">
        <f aca="false">IF(AA3719=1,"",IF(AND(AB3719=1,AD3719&lt;&gt;1),1,0))</f>
        <v/>
      </c>
      <c r="AG3719" s="0" t="str">
        <f aca="false">IF(AA3719=1,"",IF(AND(AC3719=1,AE3719&lt;&gt;1),1,0))</f>
        <v/>
      </c>
      <c r="AH3719" s="51" t="str">
        <f aca="false">IF(AND(E3719&gt;0,AA3719&lt;1,NOT(AND(C3720=C3719,AA3720=AA3719+1))),INDEX(DATAS,AA3719+1),"")</f>
        <v/>
      </c>
      <c r="AI3719" s="51" t="str">
        <f aca="false">IF(AND(AC3719=1,AA3719&lt;1),IF(AND(C3720=C3719,AA3720=AA3719+1),IF(AC3720=1,"",INDEX(DATAS,AA3719+1)),INDEX(DATAS,AA3719+1)),"")</f>
        <v/>
      </c>
    </row>
    <row r="3720" customFormat="false" ht="15" hidden="false" customHeight="false" outlineLevel="0" collapsed="false">
      <c r="A3720" s="51" t="n">
        <v>46309</v>
      </c>
      <c r="B3720" s="0" t="n">
        <v>16</v>
      </c>
      <c r="C3720" s="0" t="n">
        <v>8190</v>
      </c>
      <c r="E3720" s="0" t="n">
        <v>0</v>
      </c>
      <c r="F3720" s="46" t="s">
        <v>1686</v>
      </c>
      <c r="I3720" s="46" t="s">
        <v>179</v>
      </c>
      <c r="U3720" s="0" t="n">
        <v>11</v>
      </c>
      <c r="V3720" s="0" t="n">
        <v>0</v>
      </c>
      <c r="X3720" s="46" t="n">
        <f aca="false">IF(I3720="Male",0,1)</f>
        <v>1</v>
      </c>
      <c r="Y3720" s="46" t="n">
        <f aca="false">IF(OR(I3720="DNB",I3720="Dry DNB"),1,0)</f>
        <v>0</v>
      </c>
      <c r="Z3720" s="0" t="str">
        <f aca="false">IF(ISNUMBER(W3720),A3720-W3720,"")</f>
        <v/>
      </c>
      <c r="AA3720" s="46" t="n">
        <f aca="false">MATCH(A3720,DATAS,0)</f>
        <v>1</v>
      </c>
      <c r="AB3720" s="46" t="n">
        <f aca="false">IF(AND(E3720&gt;0,OR(AND(B3720&gt;=1,B3720&lt;=6),B3720=10)),1,0)</f>
        <v>0</v>
      </c>
      <c r="AC3720" s="46" t="n">
        <f aca="false">IF(AND(E3720&gt;0,B3720=10),1,0)</f>
        <v>0</v>
      </c>
      <c r="AD3720" s="0" t="str">
        <f aca="false">IF(AND(C3719=C3720,AA3719=AA3720-1),AB3719,"")</f>
        <v/>
      </c>
      <c r="AE3720" s="0" t="str">
        <f aca="false">IF(AND(C3719=C3720,AA3719=AA3720-1),AC3719,"")</f>
        <v/>
      </c>
      <c r="AF3720" s="0" t="str">
        <f aca="false">IF(AA3720=1,"",IF(AND(AB3720=1,AD3720&lt;&gt;1),1,0))</f>
        <v/>
      </c>
      <c r="AG3720" s="0" t="str">
        <f aca="false">IF(AA3720=1,"",IF(AND(AC3720=1,AE3720&lt;&gt;1),1,0))</f>
        <v/>
      </c>
      <c r="AH3720" s="51" t="str">
        <f aca="false">IF(AND(E3720&gt;0,AA3720&lt;1,NOT(AND(C3721=C3720,AA3721=AA3720+1))),INDEX(DATAS,AA3720+1),"")</f>
        <v/>
      </c>
      <c r="AI3720" s="51" t="str">
        <f aca="false">IF(AND(AC3720=1,AA3720&lt;1),IF(AND(C3721=C3720,AA3721=AA3720+1),IF(AC3721=1,"",INDEX(DATAS,AA3720+1)),INDEX(DATAS,AA3720+1)),"")</f>
        <v/>
      </c>
    </row>
    <row r="3721" customFormat="false" ht="15" hidden="false" customHeight="false" outlineLevel="0" collapsed="false">
      <c r="A3721" s="51" t="n">
        <v>46309</v>
      </c>
      <c r="B3721" s="0" t="n">
        <v>16</v>
      </c>
      <c r="C3721" s="0" t="n">
        <v>8191</v>
      </c>
      <c r="E3721" s="0" t="n">
        <v>0</v>
      </c>
      <c r="F3721" s="46" t="s">
        <v>1686</v>
      </c>
      <c r="I3721" s="46" t="s">
        <v>179</v>
      </c>
      <c r="U3721" s="0" t="n">
        <v>11</v>
      </c>
      <c r="V3721" s="0" t="n">
        <v>0</v>
      </c>
      <c r="X3721" s="46" t="n">
        <f aca="false">IF(I3721="Male",0,1)</f>
        <v>1</v>
      </c>
      <c r="Y3721" s="46" t="n">
        <f aca="false">IF(OR(I3721="DNB",I3721="Dry DNB"),1,0)</f>
        <v>0</v>
      </c>
      <c r="Z3721" s="0" t="str">
        <f aca="false">IF(ISNUMBER(W3721),A3721-W3721,"")</f>
        <v/>
      </c>
      <c r="AA3721" s="46" t="n">
        <f aca="false">MATCH(A3721,DATAS,0)</f>
        <v>1</v>
      </c>
      <c r="AB3721" s="46" t="n">
        <f aca="false">IF(AND(E3721&gt;0,OR(AND(B3721&gt;=1,B3721&lt;=6),B3721=10)),1,0)</f>
        <v>0</v>
      </c>
      <c r="AC3721" s="46" t="n">
        <f aca="false">IF(AND(E3721&gt;0,B3721=10),1,0)</f>
        <v>0</v>
      </c>
      <c r="AD3721" s="0" t="str">
        <f aca="false">IF(AND(C3720=C3721,AA3720=AA3721-1),AB3720,"")</f>
        <v/>
      </c>
      <c r="AE3721" s="0" t="str">
        <f aca="false">IF(AND(C3720=C3721,AA3720=AA3721-1),AC3720,"")</f>
        <v/>
      </c>
      <c r="AF3721" s="0" t="str">
        <f aca="false">IF(AA3721=1,"",IF(AND(AB3721=1,AD3721&lt;&gt;1),1,0))</f>
        <v/>
      </c>
      <c r="AG3721" s="0" t="str">
        <f aca="false">IF(AA3721=1,"",IF(AND(AC3721=1,AE3721&lt;&gt;1),1,0))</f>
        <v/>
      </c>
      <c r="AH3721" s="51" t="str">
        <f aca="false">IF(AND(E3721&gt;0,AA3721&lt;1,NOT(AND(C3722=C3721,AA3722=AA3721+1))),INDEX(DATAS,AA3721+1),"")</f>
        <v/>
      </c>
      <c r="AI3721" s="51" t="str">
        <f aca="false">IF(AND(AC3721=1,AA3721&lt;1),IF(AND(C3722=C3721,AA3722=AA3721+1),IF(AC3722=1,"",INDEX(DATAS,AA3721+1)),INDEX(DATAS,AA3721+1)),"")</f>
        <v/>
      </c>
    </row>
    <row r="3722" customFormat="false" ht="15" hidden="false" customHeight="false" outlineLevel="0" collapsed="false">
      <c r="A3722" s="51" t="n">
        <v>46309</v>
      </c>
      <c r="B3722" s="0" t="n">
        <v>16</v>
      </c>
      <c r="C3722" s="0" t="n">
        <v>8192</v>
      </c>
      <c r="E3722" s="0" t="n">
        <v>0</v>
      </c>
      <c r="F3722" s="46" t="s">
        <v>1686</v>
      </c>
      <c r="I3722" s="46" t="s">
        <v>179</v>
      </c>
      <c r="U3722" s="0" t="n">
        <v>11</v>
      </c>
      <c r="V3722" s="0" t="n">
        <v>0</v>
      </c>
      <c r="X3722" s="46" t="n">
        <f aca="false">IF(I3722="Male",0,1)</f>
        <v>1</v>
      </c>
      <c r="Y3722" s="46" t="n">
        <f aca="false">IF(OR(I3722="DNB",I3722="Dry DNB"),1,0)</f>
        <v>0</v>
      </c>
      <c r="Z3722" s="0" t="str">
        <f aca="false">IF(ISNUMBER(W3722),A3722-W3722,"")</f>
        <v/>
      </c>
      <c r="AA3722" s="46" t="n">
        <f aca="false">MATCH(A3722,DATAS,0)</f>
        <v>1</v>
      </c>
      <c r="AB3722" s="46" t="n">
        <f aca="false">IF(AND(E3722&gt;0,OR(AND(B3722&gt;=1,B3722&lt;=6),B3722=10)),1,0)</f>
        <v>0</v>
      </c>
      <c r="AC3722" s="46" t="n">
        <f aca="false">IF(AND(E3722&gt;0,B3722=10),1,0)</f>
        <v>0</v>
      </c>
      <c r="AD3722" s="0" t="str">
        <f aca="false">IF(AND(C3721=C3722,AA3721=AA3722-1),AB3721,"")</f>
        <v/>
      </c>
      <c r="AE3722" s="0" t="str">
        <f aca="false">IF(AND(C3721=C3722,AA3721=AA3722-1),AC3721,"")</f>
        <v/>
      </c>
      <c r="AF3722" s="0" t="str">
        <f aca="false">IF(AA3722=1,"",IF(AND(AB3722=1,AD3722&lt;&gt;1),1,0))</f>
        <v/>
      </c>
      <c r="AG3722" s="0" t="str">
        <f aca="false">IF(AA3722=1,"",IF(AND(AC3722=1,AE3722&lt;&gt;1),1,0))</f>
        <v/>
      </c>
      <c r="AH3722" s="51" t="str">
        <f aca="false">IF(AND(E3722&gt;0,AA3722&lt;1,NOT(AND(C3723=C3722,AA3723=AA3722+1))),INDEX(DATAS,AA3722+1),"")</f>
        <v/>
      </c>
      <c r="AI3722" s="51" t="str">
        <f aca="false">IF(AND(AC3722=1,AA3722&lt;1),IF(AND(C3723=C3722,AA3723=AA3722+1),IF(AC3723=1,"",INDEX(DATAS,AA3722+1)),INDEX(DATAS,AA3722+1)),"")</f>
        <v/>
      </c>
    </row>
    <row r="3723" customFormat="false" ht="15" hidden="false" customHeight="false" outlineLevel="0" collapsed="false">
      <c r="A3723" s="51" t="n">
        <v>46309</v>
      </c>
      <c r="B3723" s="0" t="n">
        <v>16</v>
      </c>
      <c r="C3723" s="0" t="n">
        <v>8193</v>
      </c>
      <c r="E3723" s="0" t="n">
        <v>0</v>
      </c>
      <c r="F3723" s="46" t="s">
        <v>1687</v>
      </c>
      <c r="I3723" s="46" t="s">
        <v>179</v>
      </c>
      <c r="U3723" s="0" t="n">
        <v>10</v>
      </c>
      <c r="V3723" s="0" t="n">
        <v>0</v>
      </c>
      <c r="X3723" s="46" t="n">
        <f aca="false">IF(I3723="Male",0,1)</f>
        <v>1</v>
      </c>
      <c r="Y3723" s="46" t="n">
        <f aca="false">IF(OR(I3723="DNB",I3723="Dry DNB"),1,0)</f>
        <v>0</v>
      </c>
      <c r="Z3723" s="0" t="str">
        <f aca="false">IF(ISNUMBER(W3723),A3723-W3723,"")</f>
        <v/>
      </c>
      <c r="AA3723" s="46" t="n">
        <f aca="false">MATCH(A3723,DATAS,0)</f>
        <v>1</v>
      </c>
      <c r="AB3723" s="46" t="n">
        <f aca="false">IF(AND(E3723&gt;0,OR(AND(B3723&gt;=1,B3723&lt;=6),B3723=10)),1,0)</f>
        <v>0</v>
      </c>
      <c r="AC3723" s="46" t="n">
        <f aca="false">IF(AND(E3723&gt;0,B3723=10),1,0)</f>
        <v>0</v>
      </c>
      <c r="AD3723" s="0" t="str">
        <f aca="false">IF(AND(C3722=C3723,AA3722=AA3723-1),AB3722,"")</f>
        <v/>
      </c>
      <c r="AE3723" s="0" t="str">
        <f aca="false">IF(AND(C3722=C3723,AA3722=AA3723-1),AC3722,"")</f>
        <v/>
      </c>
      <c r="AF3723" s="0" t="str">
        <f aca="false">IF(AA3723=1,"",IF(AND(AB3723=1,AD3723&lt;&gt;1),1,0))</f>
        <v/>
      </c>
      <c r="AG3723" s="0" t="str">
        <f aca="false">IF(AA3723=1,"",IF(AND(AC3723=1,AE3723&lt;&gt;1),1,0))</f>
        <v/>
      </c>
      <c r="AH3723" s="51" t="str">
        <f aca="false">IF(AND(E3723&gt;0,AA3723&lt;1,NOT(AND(C3724=C3723,AA3724=AA3723+1))),INDEX(DATAS,AA3723+1),"")</f>
        <v/>
      </c>
      <c r="AI3723" s="51" t="str">
        <f aca="false">IF(AND(AC3723=1,AA3723&lt;1),IF(AND(C3724=C3723,AA3724=AA3723+1),IF(AC3724=1,"",INDEX(DATAS,AA3723+1)),INDEX(DATAS,AA3723+1)),"")</f>
        <v/>
      </c>
    </row>
    <row r="3724" customFormat="false" ht="15" hidden="false" customHeight="false" outlineLevel="0" collapsed="false">
      <c r="A3724" s="51" t="n">
        <v>46309</v>
      </c>
      <c r="B3724" s="0" t="n">
        <v>16</v>
      </c>
      <c r="C3724" s="0" t="n">
        <v>8194</v>
      </c>
      <c r="E3724" s="0" t="n">
        <v>0</v>
      </c>
      <c r="F3724" s="46" t="s">
        <v>1687</v>
      </c>
      <c r="I3724" s="46" t="s">
        <v>179</v>
      </c>
      <c r="U3724" s="0" t="n">
        <v>10</v>
      </c>
      <c r="V3724" s="0" t="n">
        <v>0</v>
      </c>
      <c r="X3724" s="46" t="n">
        <f aca="false">IF(I3724="Male",0,1)</f>
        <v>1</v>
      </c>
      <c r="Y3724" s="46" t="n">
        <f aca="false">IF(OR(I3724="DNB",I3724="Dry DNB"),1,0)</f>
        <v>0</v>
      </c>
      <c r="Z3724" s="0" t="str">
        <f aca="false">IF(ISNUMBER(W3724),A3724-W3724,"")</f>
        <v/>
      </c>
      <c r="AA3724" s="46" t="n">
        <f aca="false">MATCH(A3724,DATAS,0)</f>
        <v>1</v>
      </c>
      <c r="AB3724" s="46" t="n">
        <f aca="false">IF(AND(E3724&gt;0,OR(AND(B3724&gt;=1,B3724&lt;=6),B3724=10)),1,0)</f>
        <v>0</v>
      </c>
      <c r="AC3724" s="46" t="n">
        <f aca="false">IF(AND(E3724&gt;0,B3724=10),1,0)</f>
        <v>0</v>
      </c>
      <c r="AD3724" s="0" t="str">
        <f aca="false">IF(AND(C3723=C3724,AA3723=AA3724-1),AB3723,"")</f>
        <v/>
      </c>
      <c r="AE3724" s="0" t="str">
        <f aca="false">IF(AND(C3723=C3724,AA3723=AA3724-1),AC3723,"")</f>
        <v/>
      </c>
      <c r="AF3724" s="0" t="str">
        <f aca="false">IF(AA3724=1,"",IF(AND(AB3724=1,AD3724&lt;&gt;1),1,0))</f>
        <v/>
      </c>
      <c r="AG3724" s="0" t="str">
        <f aca="false">IF(AA3724=1,"",IF(AND(AC3724=1,AE3724&lt;&gt;1),1,0))</f>
        <v/>
      </c>
      <c r="AH3724" s="51" t="str">
        <f aca="false">IF(AND(E3724&gt;0,AA3724&lt;1,NOT(AND(C3725=C3724,AA3725=AA3724+1))),INDEX(DATAS,AA3724+1),"")</f>
        <v/>
      </c>
      <c r="AI3724" s="51" t="str">
        <f aca="false">IF(AND(AC3724=1,AA3724&lt;1),IF(AND(C3725=C3724,AA3725=AA3724+1),IF(AC3725=1,"",INDEX(DATAS,AA3724+1)),INDEX(DATAS,AA3724+1)),"")</f>
        <v/>
      </c>
    </row>
    <row r="3725" customFormat="false" ht="15" hidden="false" customHeight="false" outlineLevel="0" collapsed="false">
      <c r="A3725" s="51" t="n">
        <v>46309</v>
      </c>
      <c r="B3725" s="0" t="n">
        <v>16</v>
      </c>
      <c r="C3725" s="0" t="n">
        <v>8195</v>
      </c>
      <c r="E3725" s="0" t="n">
        <v>0</v>
      </c>
      <c r="F3725" s="46" t="s">
        <v>1687</v>
      </c>
      <c r="I3725" s="46" t="s">
        <v>179</v>
      </c>
      <c r="U3725" s="0" t="n">
        <v>10</v>
      </c>
      <c r="V3725" s="0" t="n">
        <v>0</v>
      </c>
      <c r="X3725" s="46" t="n">
        <f aca="false">IF(I3725="Male",0,1)</f>
        <v>1</v>
      </c>
      <c r="Y3725" s="46" t="n">
        <f aca="false">IF(OR(I3725="DNB",I3725="Dry DNB"),1,0)</f>
        <v>0</v>
      </c>
      <c r="Z3725" s="0" t="str">
        <f aca="false">IF(ISNUMBER(W3725),A3725-W3725,"")</f>
        <v/>
      </c>
      <c r="AA3725" s="46" t="n">
        <f aca="false">MATCH(A3725,DATAS,0)</f>
        <v>1</v>
      </c>
      <c r="AB3725" s="46" t="n">
        <f aca="false">IF(AND(E3725&gt;0,OR(AND(B3725&gt;=1,B3725&lt;=6),B3725=10)),1,0)</f>
        <v>0</v>
      </c>
      <c r="AC3725" s="46" t="n">
        <f aca="false">IF(AND(E3725&gt;0,B3725=10),1,0)</f>
        <v>0</v>
      </c>
      <c r="AD3725" s="0" t="str">
        <f aca="false">IF(AND(C3724=C3725,AA3724=AA3725-1),AB3724,"")</f>
        <v/>
      </c>
      <c r="AE3725" s="0" t="str">
        <f aca="false">IF(AND(C3724=C3725,AA3724=AA3725-1),AC3724,"")</f>
        <v/>
      </c>
      <c r="AF3725" s="0" t="str">
        <f aca="false">IF(AA3725=1,"",IF(AND(AB3725=1,AD3725&lt;&gt;1),1,0))</f>
        <v/>
      </c>
      <c r="AG3725" s="0" t="str">
        <f aca="false">IF(AA3725=1,"",IF(AND(AC3725=1,AE3725&lt;&gt;1),1,0))</f>
        <v/>
      </c>
      <c r="AH3725" s="51" t="str">
        <f aca="false">IF(AND(E3725&gt;0,AA3725&lt;1,NOT(AND(C3726=C3725,AA3726=AA3725+1))),INDEX(DATAS,AA3725+1),"")</f>
        <v/>
      </c>
      <c r="AI3725" s="51" t="str">
        <f aca="false">IF(AND(AC3725=1,AA3725&lt;1),IF(AND(C3726=C3725,AA3726=AA3725+1),IF(AC3726=1,"",INDEX(DATAS,AA3725+1)),INDEX(DATAS,AA3725+1)),"")</f>
        <v/>
      </c>
    </row>
    <row r="3726" customFormat="false" ht="15" hidden="false" customHeight="false" outlineLevel="0" collapsed="false">
      <c r="A3726" s="51" t="n">
        <v>46309</v>
      </c>
      <c r="B3726" s="0" t="n">
        <v>16</v>
      </c>
      <c r="C3726" s="0" t="n">
        <v>8196</v>
      </c>
      <c r="E3726" s="0" t="n">
        <v>0</v>
      </c>
      <c r="F3726" s="46" t="s">
        <v>1687</v>
      </c>
      <c r="I3726" s="46" t="s">
        <v>179</v>
      </c>
      <c r="U3726" s="0" t="n">
        <v>10</v>
      </c>
      <c r="V3726" s="0" t="n">
        <v>0</v>
      </c>
      <c r="X3726" s="46" t="n">
        <f aca="false">IF(I3726="Male",0,1)</f>
        <v>1</v>
      </c>
      <c r="Y3726" s="46" t="n">
        <f aca="false">IF(OR(I3726="DNB",I3726="Dry DNB"),1,0)</f>
        <v>0</v>
      </c>
      <c r="Z3726" s="0" t="str">
        <f aca="false">IF(ISNUMBER(W3726),A3726-W3726,"")</f>
        <v/>
      </c>
      <c r="AA3726" s="46" t="n">
        <f aca="false">MATCH(A3726,DATAS,0)</f>
        <v>1</v>
      </c>
      <c r="AB3726" s="46" t="n">
        <f aca="false">IF(AND(E3726&gt;0,OR(AND(B3726&gt;=1,B3726&lt;=6),B3726=10)),1,0)</f>
        <v>0</v>
      </c>
      <c r="AC3726" s="46" t="n">
        <f aca="false">IF(AND(E3726&gt;0,B3726=10),1,0)</f>
        <v>0</v>
      </c>
      <c r="AD3726" s="0" t="str">
        <f aca="false">IF(AND(C3725=C3726,AA3725=AA3726-1),AB3725,"")</f>
        <v/>
      </c>
      <c r="AE3726" s="0" t="str">
        <f aca="false">IF(AND(C3725=C3726,AA3725=AA3726-1),AC3725,"")</f>
        <v/>
      </c>
      <c r="AF3726" s="0" t="str">
        <f aca="false">IF(AA3726=1,"",IF(AND(AB3726=1,AD3726&lt;&gt;1),1,0))</f>
        <v/>
      </c>
      <c r="AG3726" s="0" t="str">
        <f aca="false">IF(AA3726=1,"",IF(AND(AC3726=1,AE3726&lt;&gt;1),1,0))</f>
        <v/>
      </c>
      <c r="AH3726" s="51" t="str">
        <f aca="false">IF(AND(E3726&gt;0,AA3726&lt;1,NOT(AND(C3727=C3726,AA3727=AA3726+1))),INDEX(DATAS,AA3726+1),"")</f>
        <v/>
      </c>
      <c r="AI3726" s="51" t="str">
        <f aca="false">IF(AND(AC3726=1,AA3726&lt;1),IF(AND(C3727=C3726,AA3727=AA3726+1),IF(AC3727=1,"",INDEX(DATAS,AA3726+1)),INDEX(DATAS,AA3726+1)),"")</f>
        <v/>
      </c>
    </row>
    <row r="3727" customFormat="false" ht="15" hidden="false" customHeight="false" outlineLevel="0" collapsed="false">
      <c r="A3727" s="51" t="n">
        <v>46309</v>
      </c>
      <c r="B3727" s="0" t="n">
        <v>16</v>
      </c>
      <c r="C3727" s="0" t="n">
        <v>8198</v>
      </c>
      <c r="E3727" s="0" t="n">
        <v>0</v>
      </c>
      <c r="F3727" s="46" t="s">
        <v>1687</v>
      </c>
      <c r="I3727" s="46" t="s">
        <v>179</v>
      </c>
      <c r="U3727" s="0" t="n">
        <v>10</v>
      </c>
      <c r="V3727" s="0" t="n">
        <v>0</v>
      </c>
      <c r="X3727" s="46" t="n">
        <f aca="false">IF(I3727="Male",0,1)</f>
        <v>1</v>
      </c>
      <c r="Y3727" s="46" t="n">
        <f aca="false">IF(OR(I3727="DNB",I3727="Dry DNB"),1,0)</f>
        <v>0</v>
      </c>
      <c r="Z3727" s="0" t="str">
        <f aca="false">IF(ISNUMBER(W3727),A3727-W3727,"")</f>
        <v/>
      </c>
      <c r="AA3727" s="46" t="n">
        <f aca="false">MATCH(A3727,DATAS,0)</f>
        <v>1</v>
      </c>
      <c r="AB3727" s="46" t="n">
        <f aca="false">IF(AND(E3727&gt;0,OR(AND(B3727&gt;=1,B3727&lt;=6),B3727=10)),1,0)</f>
        <v>0</v>
      </c>
      <c r="AC3727" s="46" t="n">
        <f aca="false">IF(AND(E3727&gt;0,B3727=10),1,0)</f>
        <v>0</v>
      </c>
      <c r="AD3727" s="0" t="str">
        <f aca="false">IF(AND(C3726=C3727,AA3726=AA3727-1),AB3726,"")</f>
        <v/>
      </c>
      <c r="AE3727" s="0" t="str">
        <f aca="false">IF(AND(C3726=C3727,AA3726=AA3727-1),AC3726,"")</f>
        <v/>
      </c>
      <c r="AF3727" s="0" t="str">
        <f aca="false">IF(AA3727=1,"",IF(AND(AB3727=1,AD3727&lt;&gt;1),1,0))</f>
        <v/>
      </c>
      <c r="AG3727" s="0" t="str">
        <f aca="false">IF(AA3727=1,"",IF(AND(AC3727=1,AE3727&lt;&gt;1),1,0))</f>
        <v/>
      </c>
      <c r="AH3727" s="51" t="str">
        <f aca="false">IF(AND(E3727&gt;0,AA3727&lt;1,NOT(AND(C3728=C3727,AA3728=AA3727+1))),INDEX(DATAS,AA3727+1),"")</f>
        <v/>
      </c>
      <c r="AI3727" s="51" t="str">
        <f aca="false">IF(AND(AC3727=1,AA3727&lt;1),IF(AND(C3728=C3727,AA3728=AA3727+1),IF(AC3728=1,"",INDEX(DATAS,AA3727+1)),INDEX(DATAS,AA3727+1)),"")</f>
        <v/>
      </c>
    </row>
    <row r="3728" customFormat="false" ht="15" hidden="false" customHeight="false" outlineLevel="0" collapsed="false">
      <c r="A3728" s="51" t="n">
        <v>46309</v>
      </c>
      <c r="B3728" s="0" t="n">
        <v>16</v>
      </c>
      <c r="C3728" s="0" t="n">
        <v>8199</v>
      </c>
      <c r="E3728" s="0" t="n">
        <v>0</v>
      </c>
      <c r="F3728" s="46" t="s">
        <v>1688</v>
      </c>
      <c r="I3728" s="46" t="s">
        <v>179</v>
      </c>
      <c r="U3728" s="0" t="n">
        <v>9</v>
      </c>
      <c r="V3728" s="0" t="n">
        <v>0</v>
      </c>
      <c r="X3728" s="46" t="n">
        <f aca="false">IF(I3728="Male",0,1)</f>
        <v>1</v>
      </c>
      <c r="Y3728" s="46" t="n">
        <f aca="false">IF(OR(I3728="DNB",I3728="Dry DNB"),1,0)</f>
        <v>0</v>
      </c>
      <c r="Z3728" s="0" t="str">
        <f aca="false">IF(ISNUMBER(W3728),A3728-W3728,"")</f>
        <v/>
      </c>
      <c r="AA3728" s="46" t="n">
        <f aca="false">MATCH(A3728,DATAS,0)</f>
        <v>1</v>
      </c>
      <c r="AB3728" s="46" t="n">
        <f aca="false">IF(AND(E3728&gt;0,OR(AND(B3728&gt;=1,B3728&lt;=6),B3728=10)),1,0)</f>
        <v>0</v>
      </c>
      <c r="AC3728" s="46" t="n">
        <f aca="false">IF(AND(E3728&gt;0,B3728=10),1,0)</f>
        <v>0</v>
      </c>
      <c r="AD3728" s="0" t="str">
        <f aca="false">IF(AND(C3727=C3728,AA3727=AA3728-1),AB3727,"")</f>
        <v/>
      </c>
      <c r="AE3728" s="0" t="str">
        <f aca="false">IF(AND(C3727=C3728,AA3727=AA3728-1),AC3727,"")</f>
        <v/>
      </c>
      <c r="AF3728" s="0" t="str">
        <f aca="false">IF(AA3728=1,"",IF(AND(AB3728=1,AD3728&lt;&gt;1),1,0))</f>
        <v/>
      </c>
      <c r="AG3728" s="0" t="str">
        <f aca="false">IF(AA3728=1,"",IF(AND(AC3728=1,AE3728&lt;&gt;1),1,0))</f>
        <v/>
      </c>
      <c r="AH3728" s="51" t="str">
        <f aca="false">IF(AND(E3728&gt;0,AA3728&lt;1,NOT(AND(C3729=C3728,AA3729=AA3728+1))),INDEX(DATAS,AA3728+1),"")</f>
        <v/>
      </c>
      <c r="AI3728" s="51" t="str">
        <f aca="false">IF(AND(AC3728=1,AA3728&lt;1),IF(AND(C3729=C3728,AA3729=AA3728+1),IF(AC3729=1,"",INDEX(DATAS,AA3728+1)),INDEX(DATAS,AA3728+1)),"")</f>
        <v/>
      </c>
    </row>
    <row r="3729" customFormat="false" ht="15" hidden="false" customHeight="false" outlineLevel="0" collapsed="false">
      <c r="A3729" s="51" t="n">
        <v>46309</v>
      </c>
      <c r="B3729" s="0" t="n">
        <v>16</v>
      </c>
      <c r="C3729" s="0" t="n">
        <v>8200</v>
      </c>
      <c r="E3729" s="0" t="n">
        <v>0</v>
      </c>
      <c r="F3729" s="46" t="s">
        <v>1688</v>
      </c>
      <c r="I3729" s="46" t="s">
        <v>179</v>
      </c>
      <c r="U3729" s="0" t="n">
        <v>9</v>
      </c>
      <c r="V3729" s="0" t="n">
        <v>0</v>
      </c>
      <c r="X3729" s="46" t="n">
        <f aca="false">IF(I3729="Male",0,1)</f>
        <v>1</v>
      </c>
      <c r="Y3729" s="46" t="n">
        <f aca="false">IF(OR(I3729="DNB",I3729="Dry DNB"),1,0)</f>
        <v>0</v>
      </c>
      <c r="Z3729" s="0" t="str">
        <f aca="false">IF(ISNUMBER(W3729),A3729-W3729,"")</f>
        <v/>
      </c>
      <c r="AA3729" s="46" t="n">
        <f aca="false">MATCH(A3729,DATAS,0)</f>
        <v>1</v>
      </c>
      <c r="AB3729" s="46" t="n">
        <f aca="false">IF(AND(E3729&gt;0,OR(AND(B3729&gt;=1,B3729&lt;=6),B3729=10)),1,0)</f>
        <v>0</v>
      </c>
      <c r="AC3729" s="46" t="n">
        <f aca="false">IF(AND(E3729&gt;0,B3729=10),1,0)</f>
        <v>0</v>
      </c>
      <c r="AD3729" s="0" t="str">
        <f aca="false">IF(AND(C3728=C3729,AA3728=AA3729-1),AB3728,"")</f>
        <v/>
      </c>
      <c r="AE3729" s="0" t="str">
        <f aca="false">IF(AND(C3728=C3729,AA3728=AA3729-1),AC3728,"")</f>
        <v/>
      </c>
      <c r="AF3729" s="0" t="str">
        <f aca="false">IF(AA3729=1,"",IF(AND(AB3729=1,AD3729&lt;&gt;1),1,0))</f>
        <v/>
      </c>
      <c r="AG3729" s="0" t="str">
        <f aca="false">IF(AA3729=1,"",IF(AND(AC3729=1,AE3729&lt;&gt;1),1,0))</f>
        <v/>
      </c>
      <c r="AH3729" s="51" t="str">
        <f aca="false">IF(AND(E3729&gt;0,AA3729&lt;1,NOT(AND(C3730=C3729,AA3730=AA3729+1))),INDEX(DATAS,AA3729+1),"")</f>
        <v/>
      </c>
      <c r="AI3729" s="51" t="str">
        <f aca="false">IF(AND(AC3729=1,AA3729&lt;1),IF(AND(C3730=C3729,AA3730=AA3729+1),IF(AC3730=1,"",INDEX(DATAS,AA3729+1)),INDEX(DATAS,AA3729+1)),"")</f>
        <v/>
      </c>
    </row>
    <row r="3730" customFormat="false" ht="15" hidden="false" customHeight="false" outlineLevel="0" collapsed="false">
      <c r="A3730" s="51" t="n">
        <v>46309</v>
      </c>
      <c r="B3730" s="0" t="n">
        <v>16</v>
      </c>
      <c r="C3730" s="0" t="n">
        <v>8201</v>
      </c>
      <c r="E3730" s="0" t="n">
        <v>0</v>
      </c>
      <c r="F3730" s="46" t="s">
        <v>1688</v>
      </c>
      <c r="I3730" s="46" t="s">
        <v>179</v>
      </c>
      <c r="U3730" s="0" t="n">
        <v>9</v>
      </c>
      <c r="V3730" s="0" t="n">
        <v>0</v>
      </c>
      <c r="X3730" s="46" t="n">
        <f aca="false">IF(I3730="Male",0,1)</f>
        <v>1</v>
      </c>
      <c r="Y3730" s="46" t="n">
        <f aca="false">IF(OR(I3730="DNB",I3730="Dry DNB"),1,0)</f>
        <v>0</v>
      </c>
      <c r="Z3730" s="0" t="str">
        <f aca="false">IF(ISNUMBER(W3730),A3730-W3730,"")</f>
        <v/>
      </c>
      <c r="AA3730" s="46" t="n">
        <f aca="false">MATCH(A3730,DATAS,0)</f>
        <v>1</v>
      </c>
      <c r="AB3730" s="46" t="n">
        <f aca="false">IF(AND(E3730&gt;0,OR(AND(B3730&gt;=1,B3730&lt;=6),B3730=10)),1,0)</f>
        <v>0</v>
      </c>
      <c r="AC3730" s="46" t="n">
        <f aca="false">IF(AND(E3730&gt;0,B3730=10),1,0)</f>
        <v>0</v>
      </c>
      <c r="AD3730" s="0" t="str">
        <f aca="false">IF(AND(C3729=C3730,AA3729=AA3730-1),AB3729,"")</f>
        <v/>
      </c>
      <c r="AE3730" s="0" t="str">
        <f aca="false">IF(AND(C3729=C3730,AA3729=AA3730-1),AC3729,"")</f>
        <v/>
      </c>
      <c r="AF3730" s="0" t="str">
        <f aca="false">IF(AA3730=1,"",IF(AND(AB3730=1,AD3730&lt;&gt;1),1,0))</f>
        <v/>
      </c>
      <c r="AG3730" s="0" t="str">
        <f aca="false">IF(AA3730=1,"",IF(AND(AC3730=1,AE3730&lt;&gt;1),1,0))</f>
        <v/>
      </c>
      <c r="AH3730" s="51" t="str">
        <f aca="false">IF(AND(E3730&gt;0,AA3730&lt;1,NOT(AND(C3731=C3730,AA3731=AA3730+1))),INDEX(DATAS,AA3730+1),"")</f>
        <v/>
      </c>
      <c r="AI3730" s="51" t="str">
        <f aca="false">IF(AND(AC3730=1,AA3730&lt;1),IF(AND(C3731=C3730,AA3731=AA3730+1),IF(AC3731=1,"",INDEX(DATAS,AA3730+1)),INDEX(DATAS,AA3730+1)),"")</f>
        <v/>
      </c>
    </row>
    <row r="3731" customFormat="false" ht="15" hidden="false" customHeight="false" outlineLevel="0" collapsed="false">
      <c r="A3731" s="51" t="n">
        <v>46309</v>
      </c>
      <c r="B3731" s="0" t="n">
        <v>16</v>
      </c>
      <c r="C3731" s="0" t="n">
        <v>8202</v>
      </c>
      <c r="E3731" s="0" t="n">
        <v>0</v>
      </c>
      <c r="F3731" s="46" t="s">
        <v>1689</v>
      </c>
      <c r="I3731" s="46" t="s">
        <v>179</v>
      </c>
      <c r="U3731" s="0" t="n">
        <v>8</v>
      </c>
      <c r="V3731" s="0" t="n">
        <v>0</v>
      </c>
      <c r="X3731" s="46" t="n">
        <f aca="false">IF(I3731="Male",0,1)</f>
        <v>1</v>
      </c>
      <c r="Y3731" s="46" t="n">
        <f aca="false">IF(OR(I3731="DNB",I3731="Dry DNB"),1,0)</f>
        <v>0</v>
      </c>
      <c r="Z3731" s="0" t="str">
        <f aca="false">IF(ISNUMBER(W3731),A3731-W3731,"")</f>
        <v/>
      </c>
      <c r="AA3731" s="46" t="n">
        <f aca="false">MATCH(A3731,DATAS,0)</f>
        <v>1</v>
      </c>
      <c r="AB3731" s="46" t="n">
        <f aca="false">IF(AND(E3731&gt;0,OR(AND(B3731&gt;=1,B3731&lt;=6),B3731=10)),1,0)</f>
        <v>0</v>
      </c>
      <c r="AC3731" s="46" t="n">
        <f aca="false">IF(AND(E3731&gt;0,B3731=10),1,0)</f>
        <v>0</v>
      </c>
      <c r="AD3731" s="0" t="str">
        <f aca="false">IF(AND(C3730=C3731,AA3730=AA3731-1),AB3730,"")</f>
        <v/>
      </c>
      <c r="AE3731" s="0" t="str">
        <f aca="false">IF(AND(C3730=C3731,AA3730=AA3731-1),AC3730,"")</f>
        <v/>
      </c>
      <c r="AF3731" s="0" t="str">
        <f aca="false">IF(AA3731=1,"",IF(AND(AB3731=1,AD3731&lt;&gt;1),1,0))</f>
        <v/>
      </c>
      <c r="AG3731" s="0" t="str">
        <f aca="false">IF(AA3731=1,"",IF(AND(AC3731=1,AE3731&lt;&gt;1),1,0))</f>
        <v/>
      </c>
      <c r="AH3731" s="51" t="str">
        <f aca="false">IF(AND(E3731&gt;0,AA3731&lt;1,NOT(AND(C3732=C3731,AA3732=AA3731+1))),INDEX(DATAS,AA3731+1),"")</f>
        <v/>
      </c>
      <c r="AI3731" s="51" t="str">
        <f aca="false">IF(AND(AC3731=1,AA3731&lt;1),IF(AND(C3732=C3731,AA3732=AA3731+1),IF(AC3732=1,"",INDEX(DATAS,AA3731+1)),INDEX(DATAS,AA3731+1)),"")</f>
        <v/>
      </c>
    </row>
    <row r="3732" customFormat="false" ht="15" hidden="false" customHeight="false" outlineLevel="0" collapsed="false">
      <c r="A3732" s="51" t="n">
        <v>46309</v>
      </c>
      <c r="B3732" s="0" t="n">
        <v>16</v>
      </c>
      <c r="C3732" s="0" t="n">
        <v>8203</v>
      </c>
      <c r="E3732" s="0" t="n">
        <v>0</v>
      </c>
      <c r="F3732" s="46" t="s">
        <v>1689</v>
      </c>
      <c r="I3732" s="46" t="s">
        <v>179</v>
      </c>
      <c r="U3732" s="0" t="n">
        <v>8</v>
      </c>
      <c r="V3732" s="0" t="n">
        <v>0</v>
      </c>
      <c r="X3732" s="46" t="n">
        <f aca="false">IF(I3732="Male",0,1)</f>
        <v>1</v>
      </c>
      <c r="Y3732" s="46" t="n">
        <f aca="false">IF(OR(I3732="DNB",I3732="Dry DNB"),1,0)</f>
        <v>0</v>
      </c>
      <c r="Z3732" s="0" t="str">
        <f aca="false">IF(ISNUMBER(W3732),A3732-W3732,"")</f>
        <v/>
      </c>
      <c r="AA3732" s="46" t="n">
        <f aca="false">MATCH(A3732,DATAS,0)</f>
        <v>1</v>
      </c>
      <c r="AB3732" s="46" t="n">
        <f aca="false">IF(AND(E3732&gt;0,OR(AND(B3732&gt;=1,B3732&lt;=6),B3732=10)),1,0)</f>
        <v>0</v>
      </c>
      <c r="AC3732" s="46" t="n">
        <f aca="false">IF(AND(E3732&gt;0,B3732=10),1,0)</f>
        <v>0</v>
      </c>
      <c r="AD3732" s="0" t="str">
        <f aca="false">IF(AND(C3731=C3732,AA3731=AA3732-1),AB3731,"")</f>
        <v/>
      </c>
      <c r="AE3732" s="0" t="str">
        <f aca="false">IF(AND(C3731=C3732,AA3731=AA3732-1),AC3731,"")</f>
        <v/>
      </c>
      <c r="AF3732" s="0" t="str">
        <f aca="false">IF(AA3732=1,"",IF(AND(AB3732=1,AD3732&lt;&gt;1),1,0))</f>
        <v/>
      </c>
      <c r="AG3732" s="0" t="str">
        <f aca="false">IF(AA3732=1,"",IF(AND(AC3732=1,AE3732&lt;&gt;1),1,0))</f>
        <v/>
      </c>
      <c r="AH3732" s="51" t="str">
        <f aca="false">IF(AND(E3732&gt;0,AA3732&lt;1,NOT(AND(C3733=C3732,AA3733=AA3732+1))),INDEX(DATAS,AA3732+1),"")</f>
        <v/>
      </c>
      <c r="AI3732" s="51" t="str">
        <f aca="false">IF(AND(AC3732=1,AA3732&lt;1),IF(AND(C3733=C3732,AA3733=AA3732+1),IF(AC3733=1,"",INDEX(DATAS,AA3732+1)),INDEX(DATAS,AA3732+1)),"")</f>
        <v/>
      </c>
    </row>
    <row r="3733" customFormat="false" ht="15" hidden="false" customHeight="false" outlineLevel="0" collapsed="false">
      <c r="A3733" s="51" t="n">
        <v>46309</v>
      </c>
      <c r="B3733" s="0" t="n">
        <v>16</v>
      </c>
      <c r="C3733" s="0" t="n">
        <v>8204</v>
      </c>
      <c r="E3733" s="0" t="n">
        <v>0</v>
      </c>
      <c r="F3733" s="46" t="s">
        <v>1689</v>
      </c>
      <c r="I3733" s="46" t="s">
        <v>179</v>
      </c>
      <c r="U3733" s="0" t="n">
        <v>8</v>
      </c>
      <c r="V3733" s="0" t="n">
        <v>0</v>
      </c>
      <c r="X3733" s="46" t="n">
        <f aca="false">IF(I3733="Male",0,1)</f>
        <v>1</v>
      </c>
      <c r="Y3733" s="46" t="n">
        <f aca="false">IF(OR(I3733="DNB",I3733="Dry DNB"),1,0)</f>
        <v>0</v>
      </c>
      <c r="Z3733" s="0" t="str">
        <f aca="false">IF(ISNUMBER(W3733),A3733-W3733,"")</f>
        <v/>
      </c>
      <c r="AA3733" s="46" t="n">
        <f aca="false">MATCH(A3733,DATAS,0)</f>
        <v>1</v>
      </c>
      <c r="AB3733" s="46" t="n">
        <f aca="false">IF(AND(E3733&gt;0,OR(AND(B3733&gt;=1,B3733&lt;=6),B3733=10)),1,0)</f>
        <v>0</v>
      </c>
      <c r="AC3733" s="46" t="n">
        <f aca="false">IF(AND(E3733&gt;0,B3733=10),1,0)</f>
        <v>0</v>
      </c>
      <c r="AD3733" s="0" t="str">
        <f aca="false">IF(AND(C3732=C3733,AA3732=AA3733-1),AB3732,"")</f>
        <v/>
      </c>
      <c r="AE3733" s="0" t="str">
        <f aca="false">IF(AND(C3732=C3733,AA3732=AA3733-1),AC3732,"")</f>
        <v/>
      </c>
      <c r="AF3733" s="0" t="str">
        <f aca="false">IF(AA3733=1,"",IF(AND(AB3733=1,AD3733&lt;&gt;1),1,0))</f>
        <v/>
      </c>
      <c r="AG3733" s="0" t="str">
        <f aca="false">IF(AA3733=1,"",IF(AND(AC3733=1,AE3733&lt;&gt;1),1,0))</f>
        <v/>
      </c>
      <c r="AH3733" s="51" t="str">
        <f aca="false">IF(AND(E3733&gt;0,AA3733&lt;1,NOT(AND(C3734=C3733,AA3734=AA3733+1))),INDEX(DATAS,AA3733+1),"")</f>
        <v/>
      </c>
      <c r="AI3733" s="51" t="str">
        <f aca="false">IF(AND(AC3733=1,AA3733&lt;1),IF(AND(C3734=C3733,AA3734=AA3733+1),IF(AC3734=1,"",INDEX(DATAS,AA3733+1)),INDEX(DATAS,AA3733+1)),"")</f>
        <v/>
      </c>
    </row>
    <row r="3734" customFormat="false" ht="15" hidden="false" customHeight="false" outlineLevel="0" collapsed="false">
      <c r="A3734" s="51" t="n">
        <v>46309</v>
      </c>
      <c r="B3734" s="0" t="n">
        <v>16</v>
      </c>
      <c r="C3734" s="0" t="n">
        <v>8205</v>
      </c>
      <c r="E3734" s="0" t="n">
        <v>0</v>
      </c>
      <c r="F3734" s="46" t="s">
        <v>1689</v>
      </c>
      <c r="I3734" s="46" t="s">
        <v>179</v>
      </c>
      <c r="U3734" s="0" t="n">
        <v>8</v>
      </c>
      <c r="V3734" s="0" t="n">
        <v>0</v>
      </c>
      <c r="X3734" s="46" t="n">
        <f aca="false">IF(I3734="Male",0,1)</f>
        <v>1</v>
      </c>
      <c r="Y3734" s="46" t="n">
        <f aca="false">IF(OR(I3734="DNB",I3734="Dry DNB"),1,0)</f>
        <v>0</v>
      </c>
      <c r="Z3734" s="0" t="str">
        <f aca="false">IF(ISNUMBER(W3734),A3734-W3734,"")</f>
        <v/>
      </c>
      <c r="AA3734" s="46" t="n">
        <f aca="false">MATCH(A3734,DATAS,0)</f>
        <v>1</v>
      </c>
      <c r="AB3734" s="46" t="n">
        <f aca="false">IF(AND(E3734&gt;0,OR(AND(B3734&gt;=1,B3734&lt;=6),B3734=10)),1,0)</f>
        <v>0</v>
      </c>
      <c r="AC3734" s="46" t="n">
        <f aca="false">IF(AND(E3734&gt;0,B3734=10),1,0)</f>
        <v>0</v>
      </c>
      <c r="AD3734" s="0" t="str">
        <f aca="false">IF(AND(C3733=C3734,AA3733=AA3734-1),AB3733,"")</f>
        <v/>
      </c>
      <c r="AE3734" s="0" t="str">
        <f aca="false">IF(AND(C3733=C3734,AA3733=AA3734-1),AC3733,"")</f>
        <v/>
      </c>
      <c r="AF3734" s="0" t="str">
        <f aca="false">IF(AA3734=1,"",IF(AND(AB3734=1,AD3734&lt;&gt;1),1,0))</f>
        <v/>
      </c>
      <c r="AG3734" s="0" t="str">
        <f aca="false">IF(AA3734=1,"",IF(AND(AC3734=1,AE3734&lt;&gt;1),1,0))</f>
        <v/>
      </c>
      <c r="AH3734" s="51" t="str">
        <f aca="false">IF(AND(E3734&gt;0,AA3734&lt;1,NOT(AND(C3735=C3734,AA3735=AA3734+1))),INDEX(DATAS,AA3734+1),"")</f>
        <v/>
      </c>
      <c r="AI3734" s="51" t="str">
        <f aca="false">IF(AND(AC3734=1,AA3734&lt;1),IF(AND(C3735=C3734,AA3735=AA3734+1),IF(AC3735=1,"",INDEX(DATAS,AA3734+1)),INDEX(DATAS,AA3734+1)),"")</f>
        <v/>
      </c>
    </row>
    <row r="3735" customFormat="false" ht="15" hidden="false" customHeight="false" outlineLevel="0" collapsed="false">
      <c r="A3735" s="51" t="n">
        <v>46309</v>
      </c>
      <c r="B3735" s="0" t="n">
        <v>16</v>
      </c>
      <c r="C3735" s="0" t="n">
        <v>8206</v>
      </c>
      <c r="E3735" s="0" t="n">
        <v>0</v>
      </c>
      <c r="F3735" s="46" t="s">
        <v>1689</v>
      </c>
      <c r="I3735" s="46" t="s">
        <v>179</v>
      </c>
      <c r="U3735" s="0" t="n">
        <v>8</v>
      </c>
      <c r="V3735" s="0" t="n">
        <v>0</v>
      </c>
      <c r="X3735" s="46" t="n">
        <f aca="false">IF(I3735="Male",0,1)</f>
        <v>1</v>
      </c>
      <c r="Y3735" s="46" t="n">
        <f aca="false">IF(OR(I3735="DNB",I3735="Dry DNB"),1,0)</f>
        <v>0</v>
      </c>
      <c r="Z3735" s="0" t="str">
        <f aca="false">IF(ISNUMBER(W3735),A3735-W3735,"")</f>
        <v/>
      </c>
      <c r="AA3735" s="46" t="n">
        <f aca="false">MATCH(A3735,DATAS,0)</f>
        <v>1</v>
      </c>
      <c r="AB3735" s="46" t="n">
        <f aca="false">IF(AND(E3735&gt;0,OR(AND(B3735&gt;=1,B3735&lt;=6),B3735=10)),1,0)</f>
        <v>0</v>
      </c>
      <c r="AC3735" s="46" t="n">
        <f aca="false">IF(AND(E3735&gt;0,B3735=10),1,0)</f>
        <v>0</v>
      </c>
      <c r="AD3735" s="0" t="str">
        <f aca="false">IF(AND(C3734=C3735,AA3734=AA3735-1),AB3734,"")</f>
        <v/>
      </c>
      <c r="AE3735" s="0" t="str">
        <f aca="false">IF(AND(C3734=C3735,AA3734=AA3735-1),AC3734,"")</f>
        <v/>
      </c>
      <c r="AF3735" s="0" t="str">
        <f aca="false">IF(AA3735=1,"",IF(AND(AB3735=1,AD3735&lt;&gt;1),1,0))</f>
        <v/>
      </c>
      <c r="AG3735" s="0" t="str">
        <f aca="false">IF(AA3735=1,"",IF(AND(AC3735=1,AE3735&lt;&gt;1),1,0))</f>
        <v/>
      </c>
      <c r="AH3735" s="51" t="str">
        <f aca="false">IF(AND(E3735&gt;0,AA3735&lt;1,NOT(AND(C3736=C3735,AA3736=AA3735+1))),INDEX(DATAS,AA3735+1),"")</f>
        <v/>
      </c>
      <c r="AI3735" s="51" t="str">
        <f aca="false">IF(AND(AC3735=1,AA3735&lt;1),IF(AND(C3736=C3735,AA3736=AA3735+1),IF(AC3736=1,"",INDEX(DATAS,AA3735+1)),INDEX(DATAS,AA3735+1)),"")</f>
        <v/>
      </c>
    </row>
    <row r="3736" customFormat="false" ht="15" hidden="false" customHeight="false" outlineLevel="0" collapsed="false">
      <c r="A3736" s="51" t="n">
        <v>46309</v>
      </c>
      <c r="B3736" s="0" t="n">
        <v>16</v>
      </c>
      <c r="C3736" s="0" t="n">
        <v>8207</v>
      </c>
      <c r="E3736" s="0" t="n">
        <v>0</v>
      </c>
      <c r="F3736" s="46" t="s">
        <v>1690</v>
      </c>
      <c r="I3736" s="46" t="s">
        <v>179</v>
      </c>
      <c r="U3736" s="0" t="n">
        <v>7</v>
      </c>
      <c r="V3736" s="0" t="n">
        <v>0</v>
      </c>
      <c r="X3736" s="46" t="n">
        <f aca="false">IF(I3736="Male",0,1)</f>
        <v>1</v>
      </c>
      <c r="Y3736" s="46" t="n">
        <f aca="false">IF(OR(I3736="DNB",I3736="Dry DNB"),1,0)</f>
        <v>0</v>
      </c>
      <c r="Z3736" s="0" t="str">
        <f aca="false">IF(ISNUMBER(W3736),A3736-W3736,"")</f>
        <v/>
      </c>
      <c r="AA3736" s="46" t="n">
        <f aca="false">MATCH(A3736,DATAS,0)</f>
        <v>1</v>
      </c>
      <c r="AB3736" s="46" t="n">
        <f aca="false">IF(AND(E3736&gt;0,OR(AND(B3736&gt;=1,B3736&lt;=6),B3736=10)),1,0)</f>
        <v>0</v>
      </c>
      <c r="AC3736" s="46" t="n">
        <f aca="false">IF(AND(E3736&gt;0,B3736=10),1,0)</f>
        <v>0</v>
      </c>
      <c r="AD3736" s="0" t="str">
        <f aca="false">IF(AND(C3735=C3736,AA3735=AA3736-1),AB3735,"")</f>
        <v/>
      </c>
      <c r="AE3736" s="0" t="str">
        <f aca="false">IF(AND(C3735=C3736,AA3735=AA3736-1),AC3735,"")</f>
        <v/>
      </c>
      <c r="AF3736" s="0" t="str">
        <f aca="false">IF(AA3736=1,"",IF(AND(AB3736=1,AD3736&lt;&gt;1),1,0))</f>
        <v/>
      </c>
      <c r="AG3736" s="0" t="str">
        <f aca="false">IF(AA3736=1,"",IF(AND(AC3736=1,AE3736&lt;&gt;1),1,0))</f>
        <v/>
      </c>
      <c r="AH3736" s="51" t="str">
        <f aca="false">IF(AND(E3736&gt;0,AA3736&lt;1,NOT(AND(C3737=C3736,AA3737=AA3736+1))),INDEX(DATAS,AA3736+1),"")</f>
        <v/>
      </c>
      <c r="AI3736" s="51" t="str">
        <f aca="false">IF(AND(AC3736=1,AA3736&lt;1),IF(AND(C3737=C3736,AA3737=AA3736+1),IF(AC3737=1,"",INDEX(DATAS,AA3736+1)),INDEX(DATAS,AA3736+1)),"")</f>
        <v/>
      </c>
    </row>
    <row r="3737" customFormat="false" ht="15" hidden="false" customHeight="false" outlineLevel="0" collapsed="false">
      <c r="A3737" s="51" t="n">
        <v>46309</v>
      </c>
      <c r="B3737" s="0" t="n">
        <v>16</v>
      </c>
      <c r="C3737" s="0" t="n">
        <v>8208</v>
      </c>
      <c r="E3737" s="0" t="n">
        <v>0</v>
      </c>
      <c r="F3737" s="46" t="s">
        <v>1691</v>
      </c>
      <c r="I3737" s="46" t="s">
        <v>179</v>
      </c>
      <c r="U3737" s="0" t="n">
        <v>6</v>
      </c>
      <c r="V3737" s="0" t="n">
        <v>0</v>
      </c>
      <c r="X3737" s="46" t="n">
        <f aca="false">IF(I3737="Male",0,1)</f>
        <v>1</v>
      </c>
      <c r="Y3737" s="46" t="n">
        <f aca="false">IF(OR(I3737="DNB",I3737="Dry DNB"),1,0)</f>
        <v>0</v>
      </c>
      <c r="Z3737" s="0" t="str">
        <f aca="false">IF(ISNUMBER(W3737),A3737-W3737,"")</f>
        <v/>
      </c>
      <c r="AA3737" s="46" t="n">
        <f aca="false">MATCH(A3737,DATAS,0)</f>
        <v>1</v>
      </c>
      <c r="AB3737" s="46" t="n">
        <f aca="false">IF(AND(E3737&gt;0,OR(AND(B3737&gt;=1,B3737&lt;=6),B3737=10)),1,0)</f>
        <v>0</v>
      </c>
      <c r="AC3737" s="46" t="n">
        <f aca="false">IF(AND(E3737&gt;0,B3737=10),1,0)</f>
        <v>0</v>
      </c>
      <c r="AD3737" s="0" t="str">
        <f aca="false">IF(AND(C3736=C3737,AA3736=AA3737-1),AB3736,"")</f>
        <v/>
      </c>
      <c r="AE3737" s="0" t="str">
        <f aca="false">IF(AND(C3736=C3737,AA3736=AA3737-1),AC3736,"")</f>
        <v/>
      </c>
      <c r="AF3737" s="0" t="str">
        <f aca="false">IF(AA3737=1,"",IF(AND(AB3737=1,AD3737&lt;&gt;1),1,0))</f>
        <v/>
      </c>
      <c r="AG3737" s="0" t="str">
        <f aca="false">IF(AA3737=1,"",IF(AND(AC3737=1,AE3737&lt;&gt;1),1,0))</f>
        <v/>
      </c>
      <c r="AH3737" s="51" t="str">
        <f aca="false">IF(AND(E3737&gt;0,AA3737&lt;1,NOT(AND(C3738=C3737,AA3738=AA3737+1))),INDEX(DATAS,AA3737+1),"")</f>
        <v/>
      </c>
      <c r="AI3737" s="51" t="str">
        <f aca="false">IF(AND(AC3737=1,AA3737&lt;1),IF(AND(C3738=C3737,AA3738=AA3737+1),IF(AC3738=1,"",INDEX(DATAS,AA3737+1)),INDEX(DATAS,AA3737+1)),"")</f>
        <v/>
      </c>
    </row>
    <row r="3738" customFormat="false" ht="15" hidden="false" customHeight="false" outlineLevel="0" collapsed="false">
      <c r="A3738" s="51" t="n">
        <v>46309</v>
      </c>
      <c r="B3738" s="0" t="n">
        <v>16</v>
      </c>
      <c r="C3738" s="0" t="n">
        <v>8209</v>
      </c>
      <c r="E3738" s="0" t="n">
        <v>0</v>
      </c>
      <c r="F3738" s="46" t="s">
        <v>1691</v>
      </c>
      <c r="I3738" s="46" t="s">
        <v>179</v>
      </c>
      <c r="U3738" s="0" t="n">
        <v>6</v>
      </c>
      <c r="V3738" s="0" t="n">
        <v>0</v>
      </c>
      <c r="X3738" s="46" t="n">
        <f aca="false">IF(I3738="Male",0,1)</f>
        <v>1</v>
      </c>
      <c r="Y3738" s="46" t="n">
        <f aca="false">IF(OR(I3738="DNB",I3738="Dry DNB"),1,0)</f>
        <v>0</v>
      </c>
      <c r="Z3738" s="0" t="str">
        <f aca="false">IF(ISNUMBER(W3738),A3738-W3738,"")</f>
        <v/>
      </c>
      <c r="AA3738" s="46" t="n">
        <f aca="false">MATCH(A3738,DATAS,0)</f>
        <v>1</v>
      </c>
      <c r="AB3738" s="46" t="n">
        <f aca="false">IF(AND(E3738&gt;0,OR(AND(B3738&gt;=1,B3738&lt;=6),B3738=10)),1,0)</f>
        <v>0</v>
      </c>
      <c r="AC3738" s="46" t="n">
        <f aca="false">IF(AND(E3738&gt;0,B3738=10),1,0)</f>
        <v>0</v>
      </c>
      <c r="AD3738" s="0" t="str">
        <f aca="false">IF(AND(C3737=C3738,AA3737=AA3738-1),AB3737,"")</f>
        <v/>
      </c>
      <c r="AE3738" s="0" t="str">
        <f aca="false">IF(AND(C3737=C3738,AA3737=AA3738-1),AC3737,"")</f>
        <v/>
      </c>
      <c r="AF3738" s="0" t="str">
        <f aca="false">IF(AA3738=1,"",IF(AND(AB3738=1,AD3738&lt;&gt;1),1,0))</f>
        <v/>
      </c>
      <c r="AG3738" s="0" t="str">
        <f aca="false">IF(AA3738=1,"",IF(AND(AC3738=1,AE3738&lt;&gt;1),1,0))</f>
        <v/>
      </c>
      <c r="AH3738" s="51" t="str">
        <f aca="false">IF(AND(E3738&gt;0,AA3738&lt;1,NOT(AND(C3739=C3738,AA3739=AA3738+1))),INDEX(DATAS,AA3738+1),"")</f>
        <v/>
      </c>
      <c r="AI3738" s="51" t="str">
        <f aca="false">IF(AND(AC3738=1,AA3738&lt;1),IF(AND(C3739=C3738,AA3739=AA3738+1),IF(AC3739=1,"",INDEX(DATAS,AA3738+1)),INDEX(DATAS,AA3738+1)),"")</f>
        <v/>
      </c>
    </row>
    <row r="3739" customFormat="false" ht="15" hidden="false" customHeight="false" outlineLevel="0" collapsed="false">
      <c r="A3739" s="51" t="n">
        <v>46309</v>
      </c>
      <c r="B3739" s="0" t="n">
        <v>16</v>
      </c>
      <c r="C3739" s="0" t="n">
        <v>8210</v>
      </c>
      <c r="E3739" s="0" t="n">
        <v>0</v>
      </c>
      <c r="F3739" s="46" t="s">
        <v>1692</v>
      </c>
      <c r="I3739" s="46" t="s">
        <v>179</v>
      </c>
      <c r="U3739" s="0" t="n">
        <v>5</v>
      </c>
      <c r="V3739" s="0" t="n">
        <v>0</v>
      </c>
      <c r="X3739" s="46" t="n">
        <f aca="false">IF(I3739="Male",0,1)</f>
        <v>1</v>
      </c>
      <c r="Y3739" s="46" t="n">
        <f aca="false">IF(OR(I3739="DNB",I3739="Dry DNB"),1,0)</f>
        <v>0</v>
      </c>
      <c r="Z3739" s="0" t="str">
        <f aca="false">IF(ISNUMBER(W3739),A3739-W3739,"")</f>
        <v/>
      </c>
      <c r="AA3739" s="46" t="n">
        <f aca="false">MATCH(A3739,DATAS,0)</f>
        <v>1</v>
      </c>
      <c r="AB3739" s="46" t="n">
        <f aca="false">IF(AND(E3739&gt;0,OR(AND(B3739&gt;=1,B3739&lt;=6),B3739=10)),1,0)</f>
        <v>0</v>
      </c>
      <c r="AC3739" s="46" t="n">
        <f aca="false">IF(AND(E3739&gt;0,B3739=10),1,0)</f>
        <v>0</v>
      </c>
      <c r="AD3739" s="0" t="str">
        <f aca="false">IF(AND(C3738=C3739,AA3738=AA3739-1),AB3738,"")</f>
        <v/>
      </c>
      <c r="AE3739" s="0" t="str">
        <f aca="false">IF(AND(C3738=C3739,AA3738=AA3739-1),AC3738,"")</f>
        <v/>
      </c>
      <c r="AF3739" s="0" t="str">
        <f aca="false">IF(AA3739=1,"",IF(AND(AB3739=1,AD3739&lt;&gt;1),1,0))</f>
        <v/>
      </c>
      <c r="AG3739" s="0" t="str">
        <f aca="false">IF(AA3739=1,"",IF(AND(AC3739=1,AE3739&lt;&gt;1),1,0))</f>
        <v/>
      </c>
      <c r="AH3739" s="51" t="str">
        <f aca="false">IF(AND(E3739&gt;0,AA3739&lt;1,NOT(AND(C3740=C3739,AA3740=AA3739+1))),INDEX(DATAS,AA3739+1),"")</f>
        <v/>
      </c>
      <c r="AI3739" s="51" t="str">
        <f aca="false">IF(AND(AC3739=1,AA3739&lt;1),IF(AND(C3740=C3739,AA3740=AA3739+1),IF(AC3740=1,"",INDEX(DATAS,AA3739+1)),INDEX(DATAS,AA3739+1)),"")</f>
        <v/>
      </c>
    </row>
    <row r="3740" customFormat="false" ht="15" hidden="false" customHeight="false" outlineLevel="0" collapsed="false">
      <c r="A3740" s="51" t="n">
        <v>46309</v>
      </c>
      <c r="B3740" s="0" t="n">
        <v>16</v>
      </c>
      <c r="C3740" s="0" t="n">
        <v>8211</v>
      </c>
      <c r="E3740" s="0" t="n">
        <v>0</v>
      </c>
      <c r="F3740" s="46" t="s">
        <v>1692</v>
      </c>
      <c r="I3740" s="46" t="s">
        <v>179</v>
      </c>
      <c r="U3740" s="0" t="n">
        <v>5</v>
      </c>
      <c r="V3740" s="0" t="n">
        <v>0</v>
      </c>
      <c r="X3740" s="46" t="n">
        <f aca="false">IF(I3740="Male",0,1)</f>
        <v>1</v>
      </c>
      <c r="Y3740" s="46" t="n">
        <f aca="false">IF(OR(I3740="DNB",I3740="Dry DNB"),1,0)</f>
        <v>0</v>
      </c>
      <c r="Z3740" s="0" t="str">
        <f aca="false">IF(ISNUMBER(W3740),A3740-W3740,"")</f>
        <v/>
      </c>
      <c r="AA3740" s="46" t="n">
        <f aca="false">MATCH(A3740,DATAS,0)</f>
        <v>1</v>
      </c>
      <c r="AB3740" s="46" t="n">
        <f aca="false">IF(AND(E3740&gt;0,OR(AND(B3740&gt;=1,B3740&lt;=6),B3740=10)),1,0)</f>
        <v>0</v>
      </c>
      <c r="AC3740" s="46" t="n">
        <f aca="false">IF(AND(E3740&gt;0,B3740=10),1,0)</f>
        <v>0</v>
      </c>
      <c r="AD3740" s="0" t="str">
        <f aca="false">IF(AND(C3739=C3740,AA3739=AA3740-1),AB3739,"")</f>
        <v/>
      </c>
      <c r="AE3740" s="0" t="str">
        <f aca="false">IF(AND(C3739=C3740,AA3739=AA3740-1),AC3739,"")</f>
        <v/>
      </c>
      <c r="AF3740" s="0" t="str">
        <f aca="false">IF(AA3740=1,"",IF(AND(AB3740=1,AD3740&lt;&gt;1),1,0))</f>
        <v/>
      </c>
      <c r="AG3740" s="0" t="str">
        <f aca="false">IF(AA3740=1,"",IF(AND(AC3740=1,AE3740&lt;&gt;1),1,0))</f>
        <v/>
      </c>
      <c r="AH3740" s="51" t="str">
        <f aca="false">IF(AND(E3740&gt;0,AA3740&lt;1,NOT(AND(C3741=C3740,AA3741=AA3740+1))),INDEX(DATAS,AA3740+1),"")</f>
        <v/>
      </c>
      <c r="AI3740" s="51" t="str">
        <f aca="false">IF(AND(AC3740=1,AA3740&lt;1),IF(AND(C3741=C3740,AA3741=AA3740+1),IF(AC3741=1,"",INDEX(DATAS,AA3740+1)),INDEX(DATAS,AA3740+1)),"")</f>
        <v/>
      </c>
    </row>
    <row r="3741" customFormat="false" ht="15" hidden="false" customHeight="false" outlineLevel="0" collapsed="false">
      <c r="A3741" s="51" t="n">
        <v>46309</v>
      </c>
      <c r="B3741" s="0" t="n">
        <v>16</v>
      </c>
      <c r="C3741" s="0" t="n">
        <v>8212</v>
      </c>
      <c r="E3741" s="0" t="n">
        <v>0</v>
      </c>
      <c r="F3741" s="46" t="s">
        <v>1692</v>
      </c>
      <c r="I3741" s="46" t="s">
        <v>179</v>
      </c>
      <c r="U3741" s="0" t="n">
        <v>5</v>
      </c>
      <c r="V3741" s="0" t="n">
        <v>0</v>
      </c>
      <c r="X3741" s="46" t="n">
        <f aca="false">IF(I3741="Male",0,1)</f>
        <v>1</v>
      </c>
      <c r="Y3741" s="46" t="n">
        <f aca="false">IF(OR(I3741="DNB",I3741="Dry DNB"),1,0)</f>
        <v>0</v>
      </c>
      <c r="Z3741" s="0" t="str">
        <f aca="false">IF(ISNUMBER(W3741),A3741-W3741,"")</f>
        <v/>
      </c>
      <c r="AA3741" s="46" t="n">
        <f aca="false">MATCH(A3741,DATAS,0)</f>
        <v>1</v>
      </c>
      <c r="AB3741" s="46" t="n">
        <f aca="false">IF(AND(E3741&gt;0,OR(AND(B3741&gt;=1,B3741&lt;=6),B3741=10)),1,0)</f>
        <v>0</v>
      </c>
      <c r="AC3741" s="46" t="n">
        <f aca="false">IF(AND(E3741&gt;0,B3741=10),1,0)</f>
        <v>0</v>
      </c>
      <c r="AD3741" s="0" t="str">
        <f aca="false">IF(AND(C3740=C3741,AA3740=AA3741-1),AB3740,"")</f>
        <v/>
      </c>
      <c r="AE3741" s="0" t="str">
        <f aca="false">IF(AND(C3740=C3741,AA3740=AA3741-1),AC3740,"")</f>
        <v/>
      </c>
      <c r="AF3741" s="0" t="str">
        <f aca="false">IF(AA3741=1,"",IF(AND(AB3741=1,AD3741&lt;&gt;1),1,0))</f>
        <v/>
      </c>
      <c r="AG3741" s="0" t="str">
        <f aca="false">IF(AA3741=1,"",IF(AND(AC3741=1,AE3741&lt;&gt;1),1,0))</f>
        <v/>
      </c>
      <c r="AH3741" s="51" t="str">
        <f aca="false">IF(AND(E3741&gt;0,AA3741&lt;1,NOT(AND(C3742=C3741,AA3742=AA3741+1))),INDEX(DATAS,AA3741+1),"")</f>
        <v/>
      </c>
      <c r="AI3741" s="51" t="str">
        <f aca="false">IF(AND(AC3741=1,AA3741&lt;1),IF(AND(C3742=C3741,AA3742=AA3741+1),IF(AC3742=1,"",INDEX(DATAS,AA3741+1)),INDEX(DATAS,AA3741+1)),"")</f>
        <v/>
      </c>
    </row>
    <row r="3742" customFormat="false" ht="15" hidden="false" customHeight="false" outlineLevel="0" collapsed="false">
      <c r="A3742" s="51" t="n">
        <v>46309</v>
      </c>
      <c r="B3742" s="0" t="n">
        <v>16</v>
      </c>
      <c r="C3742" s="0" t="n">
        <v>8213</v>
      </c>
      <c r="E3742" s="0" t="n">
        <v>0</v>
      </c>
      <c r="F3742" s="46" t="s">
        <v>1692</v>
      </c>
      <c r="I3742" s="46" t="s">
        <v>179</v>
      </c>
      <c r="U3742" s="0" t="n">
        <v>5</v>
      </c>
      <c r="V3742" s="0" t="n">
        <v>0</v>
      </c>
      <c r="X3742" s="46" t="n">
        <f aca="false">IF(I3742="Male",0,1)</f>
        <v>1</v>
      </c>
      <c r="Y3742" s="46" t="n">
        <f aca="false">IF(OR(I3742="DNB",I3742="Dry DNB"),1,0)</f>
        <v>0</v>
      </c>
      <c r="Z3742" s="0" t="str">
        <f aca="false">IF(ISNUMBER(W3742),A3742-W3742,"")</f>
        <v/>
      </c>
      <c r="AA3742" s="46" t="n">
        <f aca="false">MATCH(A3742,DATAS,0)</f>
        <v>1</v>
      </c>
      <c r="AB3742" s="46" t="n">
        <f aca="false">IF(AND(E3742&gt;0,OR(AND(B3742&gt;=1,B3742&lt;=6),B3742=10)),1,0)</f>
        <v>0</v>
      </c>
      <c r="AC3742" s="46" t="n">
        <f aca="false">IF(AND(E3742&gt;0,B3742=10),1,0)</f>
        <v>0</v>
      </c>
      <c r="AD3742" s="0" t="str">
        <f aca="false">IF(AND(C3741=C3742,AA3741=AA3742-1),AB3741,"")</f>
        <v/>
      </c>
      <c r="AE3742" s="0" t="str">
        <f aca="false">IF(AND(C3741=C3742,AA3741=AA3742-1),AC3741,"")</f>
        <v/>
      </c>
      <c r="AF3742" s="0" t="str">
        <f aca="false">IF(AA3742=1,"",IF(AND(AB3742=1,AD3742&lt;&gt;1),1,0))</f>
        <v/>
      </c>
      <c r="AG3742" s="0" t="str">
        <f aca="false">IF(AA3742=1,"",IF(AND(AC3742=1,AE3742&lt;&gt;1),1,0))</f>
        <v/>
      </c>
      <c r="AH3742" s="51" t="str">
        <f aca="false">IF(AND(E3742&gt;0,AA3742&lt;1,NOT(AND(C3743=C3742,AA3743=AA3742+1))),INDEX(DATAS,AA3742+1),"")</f>
        <v/>
      </c>
      <c r="AI3742" s="51" t="str">
        <f aca="false">IF(AND(AC3742=1,AA3742&lt;1),IF(AND(C3743=C3742,AA3743=AA3742+1),IF(AC3743=1,"",INDEX(DATAS,AA3742+1)),INDEX(DATAS,AA3742+1)),"")</f>
        <v/>
      </c>
    </row>
    <row r="3743" customFormat="false" ht="15" hidden="false" customHeight="false" outlineLevel="0" collapsed="false">
      <c r="A3743" s="51" t="n">
        <v>46309</v>
      </c>
      <c r="B3743" s="0" t="n">
        <v>16</v>
      </c>
      <c r="C3743" s="0" t="n">
        <v>8214</v>
      </c>
      <c r="E3743" s="0" t="n">
        <v>0</v>
      </c>
      <c r="F3743" s="46" t="s">
        <v>149</v>
      </c>
      <c r="I3743" s="46" t="s">
        <v>179</v>
      </c>
      <c r="U3743" s="0" t="n">
        <v>4</v>
      </c>
      <c r="V3743" s="0" t="n">
        <v>0</v>
      </c>
      <c r="X3743" s="46" t="n">
        <f aca="false">IF(I3743="Male",0,1)</f>
        <v>1</v>
      </c>
      <c r="Y3743" s="46" t="n">
        <f aca="false">IF(OR(I3743="DNB",I3743="Dry DNB"),1,0)</f>
        <v>0</v>
      </c>
      <c r="Z3743" s="0" t="str">
        <f aca="false">IF(ISNUMBER(W3743),A3743-W3743,"")</f>
        <v/>
      </c>
      <c r="AA3743" s="46" t="n">
        <f aca="false">MATCH(A3743,DATAS,0)</f>
        <v>1</v>
      </c>
      <c r="AB3743" s="46" t="n">
        <f aca="false">IF(AND(E3743&gt;0,OR(AND(B3743&gt;=1,B3743&lt;=6),B3743=10)),1,0)</f>
        <v>0</v>
      </c>
      <c r="AC3743" s="46" t="n">
        <f aca="false">IF(AND(E3743&gt;0,B3743=10),1,0)</f>
        <v>0</v>
      </c>
      <c r="AD3743" s="0" t="str">
        <f aca="false">IF(AND(C3742=C3743,AA3742=AA3743-1),AB3742,"")</f>
        <v/>
      </c>
      <c r="AE3743" s="0" t="str">
        <f aca="false">IF(AND(C3742=C3743,AA3742=AA3743-1),AC3742,"")</f>
        <v/>
      </c>
      <c r="AF3743" s="0" t="str">
        <f aca="false">IF(AA3743=1,"",IF(AND(AB3743=1,AD3743&lt;&gt;1),1,0))</f>
        <v/>
      </c>
      <c r="AG3743" s="0" t="str">
        <f aca="false">IF(AA3743=1,"",IF(AND(AC3743=1,AE3743&lt;&gt;1),1,0))</f>
        <v/>
      </c>
      <c r="AH3743" s="51" t="str">
        <f aca="false">IF(AND(E3743&gt;0,AA3743&lt;1,NOT(AND(C3744=C3743,AA3744=AA3743+1))),INDEX(DATAS,AA3743+1),"")</f>
        <v/>
      </c>
      <c r="AI3743" s="51" t="str">
        <f aca="false">IF(AND(AC3743=1,AA3743&lt;1),IF(AND(C3744=C3743,AA3744=AA3743+1),IF(AC3744=1,"",INDEX(DATAS,AA3743+1)),INDEX(DATAS,AA3743+1)),"")</f>
        <v/>
      </c>
    </row>
    <row r="3744" customFormat="false" ht="15" hidden="false" customHeight="false" outlineLevel="0" collapsed="false">
      <c r="A3744" s="51" t="n">
        <v>46309</v>
      </c>
      <c r="B3744" s="0" t="n">
        <v>16</v>
      </c>
      <c r="C3744" s="0" t="n">
        <v>8215</v>
      </c>
      <c r="E3744" s="0" t="n">
        <v>0</v>
      </c>
      <c r="F3744" s="46" t="s">
        <v>149</v>
      </c>
      <c r="I3744" s="46" t="s">
        <v>179</v>
      </c>
      <c r="U3744" s="0" t="n">
        <v>4</v>
      </c>
      <c r="V3744" s="0" t="n">
        <v>0</v>
      </c>
      <c r="X3744" s="46" t="n">
        <f aca="false">IF(I3744="Male",0,1)</f>
        <v>1</v>
      </c>
      <c r="Y3744" s="46" t="n">
        <f aca="false">IF(OR(I3744="DNB",I3744="Dry DNB"),1,0)</f>
        <v>0</v>
      </c>
      <c r="Z3744" s="0" t="str">
        <f aca="false">IF(ISNUMBER(W3744),A3744-W3744,"")</f>
        <v/>
      </c>
      <c r="AA3744" s="46" t="n">
        <f aca="false">MATCH(A3744,DATAS,0)</f>
        <v>1</v>
      </c>
      <c r="AB3744" s="46" t="n">
        <f aca="false">IF(AND(E3744&gt;0,OR(AND(B3744&gt;=1,B3744&lt;=6),B3744=10)),1,0)</f>
        <v>0</v>
      </c>
      <c r="AC3744" s="46" t="n">
        <f aca="false">IF(AND(E3744&gt;0,B3744=10),1,0)</f>
        <v>0</v>
      </c>
      <c r="AD3744" s="0" t="str">
        <f aca="false">IF(AND(C3743=C3744,AA3743=AA3744-1),AB3743,"")</f>
        <v/>
      </c>
      <c r="AE3744" s="0" t="str">
        <f aca="false">IF(AND(C3743=C3744,AA3743=AA3744-1),AC3743,"")</f>
        <v/>
      </c>
      <c r="AF3744" s="0" t="str">
        <f aca="false">IF(AA3744=1,"",IF(AND(AB3744=1,AD3744&lt;&gt;1),1,0))</f>
        <v/>
      </c>
      <c r="AG3744" s="0" t="str">
        <f aca="false">IF(AA3744=1,"",IF(AND(AC3744=1,AE3744&lt;&gt;1),1,0))</f>
        <v/>
      </c>
      <c r="AH3744" s="51" t="str">
        <f aca="false">IF(AND(E3744&gt;0,AA3744&lt;1,NOT(AND(C3745=C3744,AA3745=AA3744+1))),INDEX(DATAS,AA3744+1),"")</f>
        <v/>
      </c>
      <c r="AI3744" s="51" t="str">
        <f aca="false">IF(AND(AC3744=1,AA3744&lt;1),IF(AND(C3745=C3744,AA3745=AA3744+1),IF(AC3745=1,"",INDEX(DATAS,AA3744+1)),INDEX(DATAS,AA3744+1)),"")</f>
        <v/>
      </c>
    </row>
    <row r="3745" customFormat="false" ht="15" hidden="false" customHeight="false" outlineLevel="0" collapsed="false">
      <c r="A3745" s="51" t="n">
        <v>46309</v>
      </c>
      <c r="B3745" s="0" t="n">
        <v>16</v>
      </c>
      <c r="C3745" s="0" t="n">
        <v>8216</v>
      </c>
      <c r="E3745" s="0" t="n">
        <v>0</v>
      </c>
      <c r="F3745" s="46" t="s">
        <v>1693</v>
      </c>
      <c r="I3745" s="46" t="s">
        <v>179</v>
      </c>
      <c r="U3745" s="0" t="n">
        <v>3</v>
      </c>
      <c r="V3745" s="0" t="n">
        <v>0</v>
      </c>
      <c r="X3745" s="46" t="n">
        <f aca="false">IF(I3745="Male",0,1)</f>
        <v>1</v>
      </c>
      <c r="Y3745" s="46" t="n">
        <f aca="false">IF(OR(I3745="DNB",I3745="Dry DNB"),1,0)</f>
        <v>0</v>
      </c>
      <c r="Z3745" s="0" t="str">
        <f aca="false">IF(ISNUMBER(W3745),A3745-W3745,"")</f>
        <v/>
      </c>
      <c r="AA3745" s="46" t="n">
        <f aca="false">MATCH(A3745,DATAS,0)</f>
        <v>1</v>
      </c>
      <c r="AB3745" s="46" t="n">
        <f aca="false">IF(AND(E3745&gt;0,OR(AND(B3745&gt;=1,B3745&lt;=6),B3745=10)),1,0)</f>
        <v>0</v>
      </c>
      <c r="AC3745" s="46" t="n">
        <f aca="false">IF(AND(E3745&gt;0,B3745=10),1,0)</f>
        <v>0</v>
      </c>
      <c r="AD3745" s="0" t="str">
        <f aca="false">IF(AND(C3744=C3745,AA3744=AA3745-1),AB3744,"")</f>
        <v/>
      </c>
      <c r="AE3745" s="0" t="str">
        <f aca="false">IF(AND(C3744=C3745,AA3744=AA3745-1),AC3744,"")</f>
        <v/>
      </c>
      <c r="AF3745" s="0" t="str">
        <f aca="false">IF(AA3745=1,"",IF(AND(AB3745=1,AD3745&lt;&gt;1),1,0))</f>
        <v/>
      </c>
      <c r="AG3745" s="0" t="str">
        <f aca="false">IF(AA3745=1,"",IF(AND(AC3745=1,AE3745&lt;&gt;1),1,0))</f>
        <v/>
      </c>
      <c r="AH3745" s="51" t="str">
        <f aca="false">IF(AND(E3745&gt;0,AA3745&lt;1,NOT(AND(C3746=C3745,AA3746=AA3745+1))),INDEX(DATAS,AA3745+1),"")</f>
        <v/>
      </c>
      <c r="AI3745" s="51" t="str">
        <f aca="false">IF(AND(AC3745=1,AA3745&lt;1),IF(AND(C3746=C3745,AA3746=AA3745+1),IF(AC3746=1,"",INDEX(DATAS,AA3745+1)),INDEX(DATAS,AA3745+1)),"")</f>
        <v/>
      </c>
    </row>
    <row r="3746" customFormat="false" ht="15" hidden="false" customHeight="false" outlineLevel="0" collapsed="false">
      <c r="A3746" s="51" t="n">
        <v>46309</v>
      </c>
      <c r="B3746" s="0" t="n">
        <v>16</v>
      </c>
      <c r="C3746" s="0" t="n">
        <v>8217</v>
      </c>
      <c r="E3746" s="0" t="n">
        <v>0</v>
      </c>
      <c r="F3746" s="46" t="s">
        <v>1693</v>
      </c>
      <c r="I3746" s="46" t="s">
        <v>179</v>
      </c>
      <c r="U3746" s="0" t="n">
        <v>3</v>
      </c>
      <c r="V3746" s="0" t="n">
        <v>0</v>
      </c>
      <c r="X3746" s="46" t="n">
        <f aca="false">IF(I3746="Male",0,1)</f>
        <v>1</v>
      </c>
      <c r="Y3746" s="46" t="n">
        <f aca="false">IF(OR(I3746="DNB",I3746="Dry DNB"),1,0)</f>
        <v>0</v>
      </c>
      <c r="Z3746" s="0" t="str">
        <f aca="false">IF(ISNUMBER(W3746),A3746-W3746,"")</f>
        <v/>
      </c>
      <c r="AA3746" s="46" t="n">
        <f aca="false">MATCH(A3746,DATAS,0)</f>
        <v>1</v>
      </c>
      <c r="AB3746" s="46" t="n">
        <f aca="false">IF(AND(E3746&gt;0,OR(AND(B3746&gt;=1,B3746&lt;=6),B3746=10)),1,0)</f>
        <v>0</v>
      </c>
      <c r="AC3746" s="46" t="n">
        <f aca="false">IF(AND(E3746&gt;0,B3746=10),1,0)</f>
        <v>0</v>
      </c>
      <c r="AD3746" s="0" t="str">
        <f aca="false">IF(AND(C3745=C3746,AA3745=AA3746-1),AB3745,"")</f>
        <v/>
      </c>
      <c r="AE3746" s="0" t="str">
        <f aca="false">IF(AND(C3745=C3746,AA3745=AA3746-1),AC3745,"")</f>
        <v/>
      </c>
      <c r="AF3746" s="0" t="str">
        <f aca="false">IF(AA3746=1,"",IF(AND(AB3746=1,AD3746&lt;&gt;1),1,0))</f>
        <v/>
      </c>
      <c r="AG3746" s="0" t="str">
        <f aca="false">IF(AA3746=1,"",IF(AND(AC3746=1,AE3746&lt;&gt;1),1,0))</f>
        <v/>
      </c>
      <c r="AH3746" s="51" t="str">
        <f aca="false">IF(AND(E3746&gt;0,AA3746&lt;1,NOT(AND(C3747=C3746,AA3747=AA3746+1))),INDEX(DATAS,AA3746+1),"")</f>
        <v/>
      </c>
      <c r="AI3746" s="51" t="str">
        <f aca="false">IF(AND(AC3746=1,AA3746&lt;1),IF(AND(C3747=C3746,AA3747=AA3746+1),IF(AC3747=1,"",INDEX(DATAS,AA3746+1)),INDEX(DATAS,AA3746+1)),"")</f>
        <v/>
      </c>
    </row>
    <row r="3747" customFormat="false" ht="15" hidden="false" customHeight="false" outlineLevel="0" collapsed="false">
      <c r="A3747" s="51" t="n">
        <v>46309</v>
      </c>
      <c r="B3747" s="0" t="n">
        <v>16</v>
      </c>
      <c r="C3747" s="0" t="n">
        <v>8218</v>
      </c>
      <c r="E3747" s="0" t="n">
        <v>0</v>
      </c>
      <c r="F3747" s="46" t="s">
        <v>1694</v>
      </c>
      <c r="I3747" s="46" t="s">
        <v>179</v>
      </c>
      <c r="U3747" s="0" t="n">
        <v>2</v>
      </c>
      <c r="V3747" s="0" t="n">
        <v>0</v>
      </c>
      <c r="X3747" s="46" t="n">
        <f aca="false">IF(I3747="Male",0,1)</f>
        <v>1</v>
      </c>
      <c r="Y3747" s="46" t="n">
        <f aca="false">IF(OR(I3747="DNB",I3747="Dry DNB"),1,0)</f>
        <v>0</v>
      </c>
      <c r="Z3747" s="0" t="str">
        <f aca="false">IF(ISNUMBER(W3747),A3747-W3747,"")</f>
        <v/>
      </c>
      <c r="AA3747" s="46" t="n">
        <f aca="false">MATCH(A3747,DATAS,0)</f>
        <v>1</v>
      </c>
      <c r="AB3747" s="46" t="n">
        <f aca="false">IF(AND(E3747&gt;0,OR(AND(B3747&gt;=1,B3747&lt;=6),B3747=10)),1,0)</f>
        <v>0</v>
      </c>
      <c r="AC3747" s="46" t="n">
        <f aca="false">IF(AND(E3747&gt;0,B3747=10),1,0)</f>
        <v>0</v>
      </c>
      <c r="AD3747" s="0" t="str">
        <f aca="false">IF(AND(C3746=C3747,AA3746=AA3747-1),AB3746,"")</f>
        <v/>
      </c>
      <c r="AE3747" s="0" t="str">
        <f aca="false">IF(AND(C3746=C3747,AA3746=AA3747-1),AC3746,"")</f>
        <v/>
      </c>
      <c r="AF3747" s="0" t="str">
        <f aca="false">IF(AA3747=1,"",IF(AND(AB3747=1,AD3747&lt;&gt;1),1,0))</f>
        <v/>
      </c>
      <c r="AG3747" s="0" t="str">
        <f aca="false">IF(AA3747=1,"",IF(AND(AC3747=1,AE3747&lt;&gt;1),1,0))</f>
        <v/>
      </c>
      <c r="AH3747" s="51" t="str">
        <f aca="false">IF(AND(E3747&gt;0,AA3747&lt;1,NOT(AND(C3748=C3747,AA3748=AA3747+1))),INDEX(DATAS,AA3747+1),"")</f>
        <v/>
      </c>
      <c r="AI3747" s="51" t="str">
        <f aca="false">IF(AND(AC3747=1,AA3747&lt;1),IF(AND(C3748=C3747,AA3748=AA3747+1),IF(AC3748=1,"",INDEX(DATAS,AA3747+1)),INDEX(DATAS,AA3747+1)),"")</f>
        <v/>
      </c>
    </row>
    <row r="3748" customFormat="false" ht="15" hidden="false" customHeight="false" outlineLevel="0" collapsed="false">
      <c r="A3748" s="51" t="n">
        <v>46309</v>
      </c>
      <c r="B3748" s="0" t="n">
        <v>16</v>
      </c>
      <c r="C3748" s="0" t="n">
        <v>8219</v>
      </c>
      <c r="E3748" s="0" t="n">
        <v>0</v>
      </c>
      <c r="F3748" s="46" t="s">
        <v>1694</v>
      </c>
      <c r="I3748" s="46" t="s">
        <v>179</v>
      </c>
      <c r="U3748" s="0" t="n">
        <v>2</v>
      </c>
      <c r="V3748" s="0" t="n">
        <v>0</v>
      </c>
      <c r="X3748" s="46" t="n">
        <f aca="false">IF(I3748="Male",0,1)</f>
        <v>1</v>
      </c>
      <c r="Y3748" s="46" t="n">
        <f aca="false">IF(OR(I3748="DNB",I3748="Dry DNB"),1,0)</f>
        <v>0</v>
      </c>
      <c r="Z3748" s="0" t="str">
        <f aca="false">IF(ISNUMBER(W3748),A3748-W3748,"")</f>
        <v/>
      </c>
      <c r="AA3748" s="46" t="n">
        <f aca="false">MATCH(A3748,DATAS,0)</f>
        <v>1</v>
      </c>
      <c r="AB3748" s="46" t="n">
        <f aca="false">IF(AND(E3748&gt;0,OR(AND(B3748&gt;=1,B3748&lt;=6),B3748=10)),1,0)</f>
        <v>0</v>
      </c>
      <c r="AC3748" s="46" t="n">
        <f aca="false">IF(AND(E3748&gt;0,B3748=10),1,0)</f>
        <v>0</v>
      </c>
      <c r="AD3748" s="0" t="str">
        <f aca="false">IF(AND(C3747=C3748,AA3747=AA3748-1),AB3747,"")</f>
        <v/>
      </c>
      <c r="AE3748" s="0" t="str">
        <f aca="false">IF(AND(C3747=C3748,AA3747=AA3748-1),AC3747,"")</f>
        <v/>
      </c>
      <c r="AF3748" s="0" t="str">
        <f aca="false">IF(AA3748=1,"",IF(AND(AB3748=1,AD3748&lt;&gt;1),1,0))</f>
        <v/>
      </c>
      <c r="AG3748" s="0" t="str">
        <f aca="false">IF(AA3748=1,"",IF(AND(AC3748=1,AE3748&lt;&gt;1),1,0))</f>
        <v/>
      </c>
      <c r="AH3748" s="51" t="str">
        <f aca="false">IF(AND(E3748&gt;0,AA3748&lt;1,NOT(AND(C3749=C3748,AA3749=AA3748+1))),INDEX(DATAS,AA3748+1),"")</f>
        <v/>
      </c>
      <c r="AI3748" s="51" t="str">
        <f aca="false">IF(AND(AC3748=1,AA3748&lt;1),IF(AND(C3749=C3748,AA3749=AA3748+1),IF(AC3749=1,"",INDEX(DATAS,AA3748+1)),INDEX(DATAS,AA3748+1)),"")</f>
        <v/>
      </c>
    </row>
    <row r="3749" customFormat="false" ht="15" hidden="false" customHeight="false" outlineLevel="0" collapsed="false">
      <c r="A3749" s="51" t="n">
        <v>46309</v>
      </c>
      <c r="B3749" s="0" t="n">
        <v>16</v>
      </c>
      <c r="C3749" s="0" t="n">
        <v>8220</v>
      </c>
      <c r="E3749" s="0" t="n">
        <v>0</v>
      </c>
      <c r="F3749" s="46" t="s">
        <v>1695</v>
      </c>
      <c r="I3749" s="46" t="s">
        <v>179</v>
      </c>
      <c r="U3749" s="0" t="n">
        <v>1</v>
      </c>
      <c r="V3749" s="0" t="n">
        <v>0</v>
      </c>
      <c r="X3749" s="46" t="n">
        <f aca="false">IF(I3749="Male",0,1)</f>
        <v>1</v>
      </c>
      <c r="Y3749" s="46" t="n">
        <f aca="false">IF(OR(I3749="DNB",I3749="Dry DNB"),1,0)</f>
        <v>0</v>
      </c>
      <c r="Z3749" s="0" t="str">
        <f aca="false">IF(ISNUMBER(W3749),A3749-W3749,"")</f>
        <v/>
      </c>
      <c r="AA3749" s="46" t="n">
        <f aca="false">MATCH(A3749,DATAS,0)</f>
        <v>1</v>
      </c>
      <c r="AB3749" s="46" t="n">
        <f aca="false">IF(AND(E3749&gt;0,OR(AND(B3749&gt;=1,B3749&lt;=6),B3749=10)),1,0)</f>
        <v>0</v>
      </c>
      <c r="AC3749" s="46" t="n">
        <f aca="false">IF(AND(E3749&gt;0,B3749=10),1,0)</f>
        <v>0</v>
      </c>
      <c r="AD3749" s="0" t="str">
        <f aca="false">IF(AND(C3748=C3749,AA3748=AA3749-1),AB3748,"")</f>
        <v/>
      </c>
      <c r="AE3749" s="0" t="str">
        <f aca="false">IF(AND(C3748=C3749,AA3748=AA3749-1),AC3748,"")</f>
        <v/>
      </c>
      <c r="AF3749" s="0" t="str">
        <f aca="false">IF(AA3749=1,"",IF(AND(AB3749=1,AD3749&lt;&gt;1),1,0))</f>
        <v/>
      </c>
      <c r="AG3749" s="0" t="str">
        <f aca="false">IF(AA3749=1,"",IF(AND(AC3749=1,AE3749&lt;&gt;1),1,0))</f>
        <v/>
      </c>
      <c r="AH3749" s="51" t="str">
        <f aca="false">IF(AND(E3749&gt;0,AA3749&lt;1,NOT(AND(C3750=C3749,AA3750=AA3749+1))),INDEX(DATAS,AA3749+1),"")</f>
        <v/>
      </c>
      <c r="AI3749" s="51" t="str">
        <f aca="false">IF(AND(AC3749=1,AA3749&lt;1),IF(AND(C3750=C3749,AA3750=AA3749+1),IF(AC3750=1,"",INDEX(DATAS,AA3749+1)),INDEX(DATAS,AA3749+1)),"")</f>
        <v/>
      </c>
    </row>
    <row r="3750" customFormat="false" ht="15" hidden="false" customHeight="false" outlineLevel="0" collapsed="false">
      <c r="A3750" s="51" t="n">
        <v>46309</v>
      </c>
      <c r="B3750" s="0" t="n">
        <v>16</v>
      </c>
      <c r="C3750" s="0" t="n">
        <v>8221</v>
      </c>
      <c r="E3750" s="0" t="n">
        <v>0</v>
      </c>
      <c r="F3750" s="46" t="s">
        <v>1695</v>
      </c>
      <c r="I3750" s="46" t="s">
        <v>179</v>
      </c>
      <c r="U3750" s="0" t="n">
        <v>1</v>
      </c>
      <c r="V3750" s="0" t="n">
        <v>0</v>
      </c>
      <c r="X3750" s="46" t="n">
        <f aca="false">IF(I3750="Male",0,1)</f>
        <v>1</v>
      </c>
      <c r="Y3750" s="46" t="n">
        <f aca="false">IF(OR(I3750="DNB",I3750="Dry DNB"),1,0)</f>
        <v>0</v>
      </c>
      <c r="Z3750" s="0" t="str">
        <f aca="false">IF(ISNUMBER(W3750),A3750-W3750,"")</f>
        <v/>
      </c>
      <c r="AA3750" s="46" t="n">
        <f aca="false">MATCH(A3750,DATAS,0)</f>
        <v>1</v>
      </c>
      <c r="AB3750" s="46" t="n">
        <f aca="false">IF(AND(E3750&gt;0,OR(AND(B3750&gt;=1,B3750&lt;=6),B3750=10)),1,0)</f>
        <v>0</v>
      </c>
      <c r="AC3750" s="46" t="n">
        <f aca="false">IF(AND(E3750&gt;0,B3750=10),1,0)</f>
        <v>0</v>
      </c>
      <c r="AD3750" s="0" t="str">
        <f aca="false">IF(AND(C3749=C3750,AA3749=AA3750-1),AB3749,"")</f>
        <v/>
      </c>
      <c r="AE3750" s="0" t="str">
        <f aca="false">IF(AND(C3749=C3750,AA3749=AA3750-1),AC3749,"")</f>
        <v/>
      </c>
      <c r="AF3750" s="0" t="str">
        <f aca="false">IF(AA3750=1,"",IF(AND(AB3750=1,AD3750&lt;&gt;1),1,0))</f>
        <v/>
      </c>
      <c r="AG3750" s="0" t="str">
        <f aca="false">IF(AA3750=1,"",IF(AND(AC3750=1,AE3750&lt;&gt;1),1,0))</f>
        <v/>
      </c>
      <c r="AH3750" s="51" t="str">
        <f aca="false">IF(AND(E3750&gt;0,AA3750&lt;1,NOT(AND(C3751=C3750,AA3751=AA3750+1))),INDEX(DATAS,AA3750+1),"")</f>
        <v/>
      </c>
      <c r="AI3750" s="51" t="str">
        <f aca="false">IF(AND(AC3750=1,AA3750&lt;1),IF(AND(C3751=C3750,AA3751=AA3750+1),IF(AC3751=1,"",INDEX(DATAS,AA3750+1)),INDEX(DATAS,AA3750+1)),"")</f>
        <v/>
      </c>
    </row>
    <row r="3751" customFormat="false" ht="15" hidden="false" customHeight="false" outlineLevel="0" collapsed="false">
      <c r="A3751" s="51" t="n">
        <v>46309</v>
      </c>
      <c r="B3751" s="0" t="n">
        <v>15</v>
      </c>
      <c r="C3751" s="0" t="n">
        <v>20632</v>
      </c>
      <c r="E3751" s="0" t="n">
        <v>0</v>
      </c>
      <c r="F3751" s="46" t="s">
        <v>952</v>
      </c>
      <c r="I3751" s="46" t="s">
        <v>150</v>
      </c>
      <c r="U3751" s="0" t="n">
        <v>870</v>
      </c>
      <c r="V3751" s="0" t="n">
        <v>0</v>
      </c>
      <c r="X3751" s="46" t="n">
        <f aca="false">IF(I3751="Male",0,1)</f>
        <v>0</v>
      </c>
      <c r="Y3751" s="46" t="n">
        <f aca="false">IF(OR(I3751="DNB",I3751="Dry DNB"),1,0)</f>
        <v>0</v>
      </c>
      <c r="Z3751" s="0" t="str">
        <f aca="false">IF(ISNUMBER(W3751),A3751-W3751,"")</f>
        <v/>
      </c>
      <c r="AA3751" s="46" t="n">
        <f aca="false">MATCH(A3751,DATAS,0)</f>
        <v>1</v>
      </c>
      <c r="AB3751" s="46" t="n">
        <f aca="false">IF(AND(E3751&gt;0,OR(AND(B3751&gt;=1,B3751&lt;=6),B3751=10)),1,0)</f>
        <v>0</v>
      </c>
      <c r="AC3751" s="46" t="n">
        <f aca="false">IF(AND(E3751&gt;0,B3751=10),1,0)</f>
        <v>0</v>
      </c>
      <c r="AD3751" s="0" t="str">
        <f aca="false">IF(AND(C3750=C3751,AA3750=AA3751-1),AB3750,"")</f>
        <v/>
      </c>
      <c r="AE3751" s="0" t="str">
        <f aca="false">IF(AND(C3750=C3751,AA3750=AA3751-1),AC3750,"")</f>
        <v/>
      </c>
      <c r="AF3751" s="0" t="str">
        <f aca="false">IF(AA3751=1,"",IF(AND(AB3751=1,AD3751&lt;&gt;1),1,0))</f>
        <v/>
      </c>
      <c r="AG3751" s="0" t="str">
        <f aca="false">IF(AA3751=1,"",IF(AND(AC3751=1,AE3751&lt;&gt;1),1,0))</f>
        <v/>
      </c>
      <c r="AH3751" s="51" t="str">
        <f aca="false">IF(AND(E3751&gt;0,AA3751&lt;1,NOT(AND(C3752=C3751,AA3752=AA3751+1))),INDEX(DATAS,AA3751+1),"")</f>
        <v/>
      </c>
      <c r="AI3751" s="51" t="str">
        <f aca="false">IF(AND(AC3751=1,AA3751&lt;1),IF(AND(C3752=C3751,AA3752=AA3751+1),IF(AC3752=1,"",INDEX(DATAS,AA3751+1)),INDEX(DATAS,AA3751+1)),"")</f>
        <v/>
      </c>
    </row>
    <row r="3752" customFormat="false" ht="15" hidden="false" customHeight="false" outlineLevel="0" collapsed="false">
      <c r="A3752" s="51" t="n">
        <v>46309</v>
      </c>
      <c r="B3752" s="0" t="n">
        <v>15</v>
      </c>
      <c r="C3752" s="0" t="n">
        <v>20708</v>
      </c>
      <c r="E3752" s="0" t="n">
        <v>0</v>
      </c>
      <c r="F3752" s="46" t="s">
        <v>1010</v>
      </c>
      <c r="I3752" s="46" t="s">
        <v>150</v>
      </c>
      <c r="U3752" s="0" t="n">
        <v>798</v>
      </c>
      <c r="V3752" s="0" t="n">
        <v>0</v>
      </c>
      <c r="X3752" s="46" t="n">
        <f aca="false">IF(I3752="Male",0,1)</f>
        <v>0</v>
      </c>
      <c r="Y3752" s="46" t="n">
        <f aca="false">IF(OR(I3752="DNB",I3752="Dry DNB"),1,0)</f>
        <v>0</v>
      </c>
      <c r="Z3752" s="0" t="str">
        <f aca="false">IF(ISNUMBER(W3752),A3752-W3752,"")</f>
        <v/>
      </c>
      <c r="AA3752" s="46" t="n">
        <f aca="false">MATCH(A3752,DATAS,0)</f>
        <v>1</v>
      </c>
      <c r="AB3752" s="46" t="n">
        <f aca="false">IF(AND(E3752&gt;0,OR(AND(B3752&gt;=1,B3752&lt;=6),B3752=10)),1,0)</f>
        <v>0</v>
      </c>
      <c r="AC3752" s="46" t="n">
        <f aca="false">IF(AND(E3752&gt;0,B3752=10),1,0)</f>
        <v>0</v>
      </c>
      <c r="AD3752" s="0" t="str">
        <f aca="false">IF(AND(C3751=C3752,AA3751=AA3752-1),AB3751,"")</f>
        <v/>
      </c>
      <c r="AE3752" s="0" t="str">
        <f aca="false">IF(AND(C3751=C3752,AA3751=AA3752-1),AC3751,"")</f>
        <v/>
      </c>
      <c r="AF3752" s="0" t="str">
        <f aca="false">IF(AA3752=1,"",IF(AND(AB3752=1,AD3752&lt;&gt;1),1,0))</f>
        <v/>
      </c>
      <c r="AG3752" s="0" t="str">
        <f aca="false">IF(AA3752=1,"",IF(AND(AC3752=1,AE3752&lt;&gt;1),1,0))</f>
        <v/>
      </c>
      <c r="AH3752" s="51" t="str">
        <f aca="false">IF(AND(E3752&gt;0,AA3752&lt;1,NOT(AND(C3753=C3752,AA3753=AA3752+1))),INDEX(DATAS,AA3752+1),"")</f>
        <v/>
      </c>
      <c r="AI3752" s="51" t="str">
        <f aca="false">IF(AND(AC3752=1,AA3752&lt;1),IF(AND(C3753=C3752,AA3753=AA3752+1),IF(AC3753=1,"",INDEX(DATAS,AA3752+1)),INDEX(DATAS,AA3752+1)),"")</f>
        <v/>
      </c>
    </row>
    <row r="3753" customFormat="false" ht="15" hidden="false" customHeight="false" outlineLevel="0" collapsed="false">
      <c r="A3753" s="51" t="n">
        <v>46309</v>
      </c>
      <c r="B3753" s="0" t="n">
        <v>15</v>
      </c>
      <c r="C3753" s="0" t="n">
        <v>20910</v>
      </c>
      <c r="E3753" s="0" t="n">
        <v>0</v>
      </c>
      <c r="F3753" s="46" t="s">
        <v>1119</v>
      </c>
      <c r="I3753" s="46" t="s">
        <v>150</v>
      </c>
      <c r="U3753" s="0" t="n">
        <v>663</v>
      </c>
      <c r="V3753" s="0" t="n">
        <v>0</v>
      </c>
      <c r="X3753" s="46" t="n">
        <f aca="false">IF(I3753="Male",0,1)</f>
        <v>0</v>
      </c>
      <c r="Y3753" s="46" t="n">
        <f aca="false">IF(OR(I3753="DNB",I3753="Dry DNB"),1,0)</f>
        <v>0</v>
      </c>
      <c r="Z3753" s="0" t="str">
        <f aca="false">IF(ISNUMBER(W3753),A3753-W3753,"")</f>
        <v/>
      </c>
      <c r="AA3753" s="46" t="n">
        <f aca="false">MATCH(A3753,DATAS,0)</f>
        <v>1</v>
      </c>
      <c r="AB3753" s="46" t="n">
        <f aca="false">IF(AND(E3753&gt;0,OR(AND(B3753&gt;=1,B3753&lt;=6),B3753=10)),1,0)</f>
        <v>0</v>
      </c>
      <c r="AC3753" s="46" t="n">
        <f aca="false">IF(AND(E3753&gt;0,B3753=10),1,0)</f>
        <v>0</v>
      </c>
      <c r="AD3753" s="0" t="str">
        <f aca="false">IF(AND(C3752=C3753,AA3752=AA3753-1),AB3752,"")</f>
        <v/>
      </c>
      <c r="AE3753" s="0" t="str">
        <f aca="false">IF(AND(C3752=C3753,AA3752=AA3753-1),AC3752,"")</f>
        <v/>
      </c>
      <c r="AF3753" s="0" t="str">
        <f aca="false">IF(AA3753=1,"",IF(AND(AB3753=1,AD3753&lt;&gt;1),1,0))</f>
        <v/>
      </c>
      <c r="AG3753" s="0" t="str">
        <f aca="false">IF(AA3753=1,"",IF(AND(AC3753=1,AE3753&lt;&gt;1),1,0))</f>
        <v/>
      </c>
      <c r="AH3753" s="51" t="str">
        <f aca="false">IF(AND(E3753&gt;0,AA3753&lt;1,NOT(AND(C3754=C3753,AA3754=AA3753+1))),INDEX(DATAS,AA3753+1),"")</f>
        <v/>
      </c>
      <c r="AI3753" s="51" t="str">
        <f aca="false">IF(AND(AC3753=1,AA3753&lt;1),IF(AND(C3754=C3753,AA3754=AA3753+1),IF(AC3754=1,"",INDEX(DATAS,AA3753+1)),INDEX(DATAS,AA3753+1)),"")</f>
        <v/>
      </c>
    </row>
    <row r="3754" customFormat="false" ht="15" hidden="false" customHeight="false" outlineLevel="0" collapsed="false">
      <c r="A3754" s="51" t="n">
        <v>46309</v>
      </c>
      <c r="B3754" s="0" t="n">
        <v>15</v>
      </c>
      <c r="C3754" s="0" t="n">
        <v>20971</v>
      </c>
      <c r="E3754" s="0" t="n">
        <v>0</v>
      </c>
      <c r="F3754" s="46" t="s">
        <v>1153</v>
      </c>
      <c r="I3754" s="46" t="s">
        <v>150</v>
      </c>
      <c r="U3754" s="0" t="n">
        <v>622</v>
      </c>
      <c r="V3754" s="0" t="n">
        <v>0</v>
      </c>
      <c r="X3754" s="46" t="n">
        <f aca="false">IF(I3754="Male",0,1)</f>
        <v>0</v>
      </c>
      <c r="Y3754" s="46" t="n">
        <f aca="false">IF(OR(I3754="DNB",I3754="Dry DNB"),1,0)</f>
        <v>0</v>
      </c>
      <c r="Z3754" s="0" t="str">
        <f aca="false">IF(ISNUMBER(W3754),A3754-W3754,"")</f>
        <v/>
      </c>
      <c r="AA3754" s="46" t="n">
        <f aca="false">MATCH(A3754,DATAS,0)</f>
        <v>1</v>
      </c>
      <c r="AB3754" s="46" t="n">
        <f aca="false">IF(AND(E3754&gt;0,OR(AND(B3754&gt;=1,B3754&lt;=6),B3754=10)),1,0)</f>
        <v>0</v>
      </c>
      <c r="AC3754" s="46" t="n">
        <f aca="false">IF(AND(E3754&gt;0,B3754=10),1,0)</f>
        <v>0</v>
      </c>
      <c r="AD3754" s="0" t="str">
        <f aca="false">IF(AND(C3753=C3754,AA3753=AA3754-1),AB3753,"")</f>
        <v/>
      </c>
      <c r="AE3754" s="0" t="str">
        <f aca="false">IF(AND(C3753=C3754,AA3753=AA3754-1),AC3753,"")</f>
        <v/>
      </c>
      <c r="AF3754" s="0" t="str">
        <f aca="false">IF(AA3754=1,"",IF(AND(AB3754=1,AD3754&lt;&gt;1),1,0))</f>
        <v/>
      </c>
      <c r="AG3754" s="0" t="str">
        <f aca="false">IF(AA3754=1,"",IF(AND(AC3754=1,AE3754&lt;&gt;1),1,0))</f>
        <v/>
      </c>
      <c r="AH3754" s="51" t="str">
        <f aca="false">IF(AND(E3754&gt;0,AA3754&lt;1,NOT(AND(C3755=C3754,AA3755=AA3754+1))),INDEX(DATAS,AA3754+1),"")</f>
        <v/>
      </c>
      <c r="AI3754" s="51" t="str">
        <f aca="false">IF(AND(AC3754=1,AA3754&lt;1),IF(AND(C3755=C3754,AA3755=AA3754+1),IF(AC3755=1,"",INDEX(DATAS,AA3754+1)),INDEX(DATAS,AA3754+1)),"")</f>
        <v/>
      </c>
    </row>
    <row r="3755" customFormat="false" ht="15" hidden="false" customHeight="false" outlineLevel="0" collapsed="false">
      <c r="A3755" s="51" t="n">
        <v>46309</v>
      </c>
      <c r="B3755" s="0" t="n">
        <v>15</v>
      </c>
      <c r="C3755" s="0" t="n">
        <v>30014</v>
      </c>
      <c r="E3755" s="0" t="n">
        <v>0</v>
      </c>
      <c r="F3755" s="46" t="s">
        <v>1171</v>
      </c>
      <c r="I3755" s="46" t="s">
        <v>150</v>
      </c>
      <c r="U3755" s="0" t="n">
        <v>600</v>
      </c>
      <c r="V3755" s="0" t="n">
        <v>0</v>
      </c>
      <c r="X3755" s="46" t="n">
        <f aca="false">IF(I3755="Male",0,1)</f>
        <v>0</v>
      </c>
      <c r="Y3755" s="46" t="n">
        <f aca="false">IF(OR(I3755="DNB",I3755="Dry DNB"),1,0)</f>
        <v>0</v>
      </c>
      <c r="Z3755" s="0" t="str">
        <f aca="false">IF(ISNUMBER(W3755),A3755-W3755,"")</f>
        <v/>
      </c>
      <c r="AA3755" s="46" t="n">
        <f aca="false">MATCH(A3755,DATAS,0)</f>
        <v>1</v>
      </c>
      <c r="AB3755" s="46" t="n">
        <f aca="false">IF(AND(E3755&gt;0,OR(AND(B3755&gt;=1,B3755&lt;=6),B3755=10)),1,0)</f>
        <v>0</v>
      </c>
      <c r="AC3755" s="46" t="n">
        <f aca="false">IF(AND(E3755&gt;0,B3755=10),1,0)</f>
        <v>0</v>
      </c>
      <c r="AD3755" s="0" t="str">
        <f aca="false">IF(AND(C3754=C3755,AA3754=AA3755-1),AB3754,"")</f>
        <v/>
      </c>
      <c r="AE3755" s="0" t="str">
        <f aca="false">IF(AND(C3754=C3755,AA3754=AA3755-1),AC3754,"")</f>
        <v/>
      </c>
      <c r="AF3755" s="0" t="str">
        <f aca="false">IF(AA3755=1,"",IF(AND(AB3755=1,AD3755&lt;&gt;1),1,0))</f>
        <v/>
      </c>
      <c r="AG3755" s="0" t="str">
        <f aca="false">IF(AA3755=1,"",IF(AND(AC3755=1,AE3755&lt;&gt;1),1,0))</f>
        <v/>
      </c>
      <c r="AH3755" s="51" t="str">
        <f aca="false">IF(AND(E3755&gt;0,AA3755&lt;1,NOT(AND(C3756=C3755,AA3756=AA3755+1))),INDEX(DATAS,AA3755+1),"")</f>
        <v/>
      </c>
      <c r="AI3755" s="51" t="str">
        <f aca="false">IF(AND(AC3755=1,AA3755&lt;1),IF(AND(C3756=C3755,AA3756=AA3755+1),IF(AC3756=1,"",INDEX(DATAS,AA3755+1)),INDEX(DATAS,AA3755+1)),"")</f>
        <v/>
      </c>
    </row>
    <row r="3756" customFormat="false" ht="15" hidden="false" customHeight="false" outlineLevel="0" collapsed="false">
      <c r="A3756" s="51" t="n">
        <v>46309</v>
      </c>
      <c r="B3756" s="0" t="n">
        <v>15</v>
      </c>
      <c r="C3756" s="0" t="n">
        <v>30220</v>
      </c>
      <c r="E3756" s="0" t="n">
        <v>0</v>
      </c>
      <c r="F3756" s="46" t="s">
        <v>1273</v>
      </c>
      <c r="I3756" s="46" t="s">
        <v>150</v>
      </c>
      <c r="U3756" s="0" t="n">
        <v>467</v>
      </c>
      <c r="V3756" s="0" t="n">
        <v>0</v>
      </c>
      <c r="X3756" s="46" t="n">
        <f aca="false">IF(I3756="Male",0,1)</f>
        <v>0</v>
      </c>
      <c r="Y3756" s="46" t="n">
        <f aca="false">IF(OR(I3756="DNB",I3756="Dry DNB"),1,0)</f>
        <v>0</v>
      </c>
      <c r="Z3756" s="0" t="str">
        <f aca="false">IF(ISNUMBER(W3756),A3756-W3756,"")</f>
        <v/>
      </c>
      <c r="AA3756" s="46" t="n">
        <f aca="false">MATCH(A3756,DATAS,0)</f>
        <v>1</v>
      </c>
      <c r="AB3756" s="46" t="n">
        <f aca="false">IF(AND(E3756&gt;0,OR(AND(B3756&gt;=1,B3756&lt;=6),B3756=10)),1,0)</f>
        <v>0</v>
      </c>
      <c r="AC3756" s="46" t="n">
        <f aca="false">IF(AND(E3756&gt;0,B3756=10),1,0)</f>
        <v>0</v>
      </c>
      <c r="AD3756" s="0" t="str">
        <f aca="false">IF(AND(C3755=C3756,AA3755=AA3756-1),AB3755,"")</f>
        <v/>
      </c>
      <c r="AE3756" s="0" t="str">
        <f aca="false">IF(AND(C3755=C3756,AA3755=AA3756-1),AC3755,"")</f>
        <v/>
      </c>
      <c r="AF3756" s="0" t="str">
        <f aca="false">IF(AA3756=1,"",IF(AND(AB3756=1,AD3756&lt;&gt;1),1,0))</f>
        <v/>
      </c>
      <c r="AG3756" s="0" t="str">
        <f aca="false">IF(AA3756=1,"",IF(AND(AC3756=1,AE3756&lt;&gt;1),1,0))</f>
        <v/>
      </c>
      <c r="AH3756" s="51" t="str">
        <f aca="false">IF(AND(E3756&gt;0,AA3756&lt;1,NOT(AND(C3757=C3756,AA3757=AA3756+1))),INDEX(DATAS,AA3756+1),"")</f>
        <v/>
      </c>
      <c r="AI3756" s="51" t="str">
        <f aca="false">IF(AND(AC3756=1,AA3756&lt;1),IF(AND(C3757=C3756,AA3757=AA3756+1),IF(AC3757=1,"",INDEX(DATAS,AA3756+1)),INDEX(DATAS,AA3756+1)),"")</f>
        <v/>
      </c>
    </row>
    <row r="3757" customFormat="false" ht="15" hidden="false" customHeight="false" outlineLevel="0" collapsed="false">
      <c r="A3757" s="51" t="n">
        <v>46309</v>
      </c>
      <c r="B3757" s="0" t="n">
        <v>15</v>
      </c>
      <c r="C3757" s="0" t="n">
        <v>30267</v>
      </c>
      <c r="E3757" s="0" t="n">
        <v>0</v>
      </c>
      <c r="F3757" s="46" t="s">
        <v>1301</v>
      </c>
      <c r="I3757" s="46" t="s">
        <v>150</v>
      </c>
      <c r="U3757" s="0" t="n">
        <v>430</v>
      </c>
      <c r="V3757" s="0" t="n">
        <v>0</v>
      </c>
      <c r="X3757" s="46" t="n">
        <f aca="false">IF(I3757="Male",0,1)</f>
        <v>0</v>
      </c>
      <c r="Y3757" s="46" t="n">
        <f aca="false">IF(OR(I3757="DNB",I3757="Dry DNB"),1,0)</f>
        <v>0</v>
      </c>
      <c r="Z3757" s="0" t="str">
        <f aca="false">IF(ISNUMBER(W3757),A3757-W3757,"")</f>
        <v/>
      </c>
      <c r="AA3757" s="46" t="n">
        <f aca="false">MATCH(A3757,DATAS,0)</f>
        <v>1</v>
      </c>
      <c r="AB3757" s="46" t="n">
        <f aca="false">IF(AND(E3757&gt;0,OR(AND(B3757&gt;=1,B3757&lt;=6),B3757=10)),1,0)</f>
        <v>0</v>
      </c>
      <c r="AC3757" s="46" t="n">
        <f aca="false">IF(AND(E3757&gt;0,B3757=10),1,0)</f>
        <v>0</v>
      </c>
      <c r="AD3757" s="0" t="str">
        <f aca="false">IF(AND(C3756=C3757,AA3756=AA3757-1),AB3756,"")</f>
        <v/>
      </c>
      <c r="AE3757" s="0" t="str">
        <f aca="false">IF(AND(C3756=C3757,AA3756=AA3757-1),AC3756,"")</f>
        <v/>
      </c>
      <c r="AF3757" s="0" t="str">
        <f aca="false">IF(AA3757=1,"",IF(AND(AB3757=1,AD3757&lt;&gt;1),1,0))</f>
        <v/>
      </c>
      <c r="AG3757" s="0" t="str">
        <f aca="false">IF(AA3757=1,"",IF(AND(AC3757=1,AE3757&lt;&gt;1),1,0))</f>
        <v/>
      </c>
      <c r="AH3757" s="51" t="str">
        <f aca="false">IF(AND(E3757&gt;0,AA3757&lt;1,NOT(AND(C3758=C3757,AA3758=AA3757+1))),INDEX(DATAS,AA3757+1),"")</f>
        <v/>
      </c>
      <c r="AI3757" s="51" t="str">
        <f aca="false">IF(AND(AC3757=1,AA3757&lt;1),IF(AND(C3758=C3757,AA3758=AA3757+1),IF(AC3758=1,"",INDEX(DATAS,AA3757+1)),INDEX(DATAS,AA3757+1)),"")</f>
        <v/>
      </c>
    </row>
    <row r="3758" customFormat="false" ht="15" hidden="false" customHeight="false" outlineLevel="0" collapsed="false">
      <c r="A3758" s="51" t="n">
        <v>46309</v>
      </c>
      <c r="B3758" s="0" t="n">
        <v>15</v>
      </c>
      <c r="C3758" s="0" t="n">
        <v>30300</v>
      </c>
      <c r="E3758" s="0" t="n">
        <v>0</v>
      </c>
      <c r="F3758" s="46" t="s">
        <v>1696</v>
      </c>
      <c r="I3758" s="46" t="s">
        <v>1697</v>
      </c>
      <c r="U3758" s="0" t="n">
        <v>407</v>
      </c>
      <c r="V3758" s="0" t="n">
        <v>0</v>
      </c>
      <c r="X3758" s="46" t="n">
        <f aca="false">IF(I3758="Male",0,1)</f>
        <v>1</v>
      </c>
      <c r="Y3758" s="46" t="n">
        <f aca="false">IF(OR(I3758="DNB",I3758="Dry DNB"),1,0)</f>
        <v>0</v>
      </c>
      <c r="Z3758" s="0" t="str">
        <f aca="false">IF(ISNUMBER(W3758),A3758-W3758,"")</f>
        <v/>
      </c>
      <c r="AA3758" s="46" t="n">
        <f aca="false">MATCH(A3758,DATAS,0)</f>
        <v>1</v>
      </c>
      <c r="AB3758" s="46" t="n">
        <f aca="false">IF(AND(E3758&gt;0,OR(AND(B3758&gt;=1,B3758&lt;=6),B3758=10)),1,0)</f>
        <v>0</v>
      </c>
      <c r="AC3758" s="46" t="n">
        <f aca="false">IF(AND(E3758&gt;0,B3758=10),1,0)</f>
        <v>0</v>
      </c>
      <c r="AD3758" s="0" t="str">
        <f aca="false">IF(AND(C3757=C3758,AA3757=AA3758-1),AB3757,"")</f>
        <v/>
      </c>
      <c r="AE3758" s="0" t="str">
        <f aca="false">IF(AND(C3757=C3758,AA3757=AA3758-1),AC3757,"")</f>
        <v/>
      </c>
      <c r="AF3758" s="0" t="str">
        <f aca="false">IF(AA3758=1,"",IF(AND(AB3758=1,AD3758&lt;&gt;1),1,0))</f>
        <v/>
      </c>
      <c r="AG3758" s="0" t="str">
        <f aca="false">IF(AA3758=1,"",IF(AND(AC3758=1,AE3758&lt;&gt;1),1,0))</f>
        <v/>
      </c>
      <c r="AH3758" s="51" t="str">
        <f aca="false">IF(AND(E3758&gt;0,AA3758&lt;1,NOT(AND(C3759=C3758,AA3759=AA3758+1))),INDEX(DATAS,AA3758+1),"")</f>
        <v/>
      </c>
      <c r="AI3758" s="51" t="str">
        <f aca="false">IF(AND(AC3758=1,AA3758&lt;1),IF(AND(C3759=C3758,AA3759=AA3758+1),IF(AC3759=1,"",INDEX(DATAS,AA3758+1)),INDEX(DATAS,AA3758+1)),"")</f>
        <v/>
      </c>
    </row>
    <row r="3759" customFormat="false" ht="15" hidden="false" customHeight="false" outlineLevel="0" collapsed="false">
      <c r="A3759" s="51" t="n">
        <v>46309</v>
      </c>
      <c r="B3759" s="0" t="n">
        <v>15</v>
      </c>
      <c r="C3759" s="0" t="n">
        <v>30351</v>
      </c>
      <c r="E3759" s="0" t="n">
        <v>0</v>
      </c>
      <c r="F3759" s="46" t="s">
        <v>1368</v>
      </c>
      <c r="I3759" s="46" t="s">
        <v>150</v>
      </c>
      <c r="U3759" s="0" t="n">
        <v>356</v>
      </c>
      <c r="V3759" s="0" t="n">
        <v>0</v>
      </c>
      <c r="X3759" s="46" t="n">
        <f aca="false">IF(I3759="Male",0,1)</f>
        <v>0</v>
      </c>
      <c r="Y3759" s="46" t="n">
        <f aca="false">IF(OR(I3759="DNB",I3759="Dry DNB"),1,0)</f>
        <v>0</v>
      </c>
      <c r="Z3759" s="0" t="str">
        <f aca="false">IF(ISNUMBER(W3759),A3759-W3759,"")</f>
        <v/>
      </c>
      <c r="AA3759" s="46" t="n">
        <f aca="false">MATCH(A3759,DATAS,0)</f>
        <v>1</v>
      </c>
      <c r="AB3759" s="46" t="n">
        <f aca="false">IF(AND(E3759&gt;0,OR(AND(B3759&gt;=1,B3759&lt;=6),B3759=10)),1,0)</f>
        <v>0</v>
      </c>
      <c r="AC3759" s="46" t="n">
        <f aca="false">IF(AND(E3759&gt;0,B3759=10),1,0)</f>
        <v>0</v>
      </c>
      <c r="AD3759" s="0" t="str">
        <f aca="false">IF(AND(C3758=C3759,AA3758=AA3759-1),AB3758,"")</f>
        <v/>
      </c>
      <c r="AE3759" s="0" t="str">
        <f aca="false">IF(AND(C3758=C3759,AA3758=AA3759-1),AC3758,"")</f>
        <v/>
      </c>
      <c r="AF3759" s="0" t="str">
        <f aca="false">IF(AA3759=1,"",IF(AND(AB3759=1,AD3759&lt;&gt;1),1,0))</f>
        <v/>
      </c>
      <c r="AG3759" s="0" t="str">
        <f aca="false">IF(AA3759=1,"",IF(AND(AC3759=1,AE3759&lt;&gt;1),1,0))</f>
        <v/>
      </c>
      <c r="AH3759" s="51" t="str">
        <f aca="false">IF(AND(E3759&gt;0,AA3759&lt;1,NOT(AND(C3760=C3759,AA3760=AA3759+1))),INDEX(DATAS,AA3759+1),"")</f>
        <v/>
      </c>
      <c r="AI3759" s="51" t="str">
        <f aca="false">IF(AND(AC3759=1,AA3759&lt;1),IF(AND(C3760=C3759,AA3760=AA3759+1),IF(AC3760=1,"",INDEX(DATAS,AA3759+1)),INDEX(DATAS,AA3759+1)),"")</f>
        <v/>
      </c>
    </row>
    <row r="3760" customFormat="false" ht="15" hidden="false" customHeight="false" outlineLevel="0" collapsed="false">
      <c r="A3760" s="51" t="n">
        <v>46309</v>
      </c>
      <c r="B3760" s="0" t="n">
        <v>15</v>
      </c>
      <c r="C3760" s="0" t="n">
        <v>30371</v>
      </c>
      <c r="E3760" s="0" t="n">
        <v>0</v>
      </c>
      <c r="F3760" s="46" t="s">
        <v>1386</v>
      </c>
      <c r="I3760" s="46" t="s">
        <v>150</v>
      </c>
      <c r="U3760" s="0" t="n">
        <v>338</v>
      </c>
      <c r="V3760" s="0" t="n">
        <v>0</v>
      </c>
      <c r="X3760" s="46" t="n">
        <f aca="false">IF(I3760="Male",0,1)</f>
        <v>0</v>
      </c>
      <c r="Y3760" s="46" t="n">
        <f aca="false">IF(OR(I3760="DNB",I3760="Dry DNB"),1,0)</f>
        <v>0</v>
      </c>
      <c r="Z3760" s="0" t="str">
        <f aca="false">IF(ISNUMBER(W3760),A3760-W3760,"")</f>
        <v/>
      </c>
      <c r="AA3760" s="46" t="n">
        <f aca="false">MATCH(A3760,DATAS,0)</f>
        <v>1</v>
      </c>
      <c r="AB3760" s="46" t="n">
        <f aca="false">IF(AND(E3760&gt;0,OR(AND(B3760&gt;=1,B3760&lt;=6),B3760=10)),1,0)</f>
        <v>0</v>
      </c>
      <c r="AC3760" s="46" t="n">
        <f aca="false">IF(AND(E3760&gt;0,B3760=10),1,0)</f>
        <v>0</v>
      </c>
      <c r="AD3760" s="0" t="str">
        <f aca="false">IF(AND(C3759=C3760,AA3759=AA3760-1),AB3759,"")</f>
        <v/>
      </c>
      <c r="AE3760" s="0" t="str">
        <f aca="false">IF(AND(C3759=C3760,AA3759=AA3760-1),AC3759,"")</f>
        <v/>
      </c>
      <c r="AF3760" s="0" t="str">
        <f aca="false">IF(AA3760=1,"",IF(AND(AB3760=1,AD3760&lt;&gt;1),1,0))</f>
        <v/>
      </c>
      <c r="AG3760" s="0" t="str">
        <f aca="false">IF(AA3760=1,"",IF(AND(AC3760=1,AE3760&lt;&gt;1),1,0))</f>
        <v/>
      </c>
      <c r="AH3760" s="51" t="str">
        <f aca="false">IF(AND(E3760&gt;0,AA3760&lt;1,NOT(AND(C3761=C3760,AA3761=AA3760+1))),INDEX(DATAS,AA3760+1),"")</f>
        <v/>
      </c>
      <c r="AI3760" s="51" t="str">
        <f aca="false">IF(AND(AC3760=1,AA3760&lt;1),IF(AND(C3761=C3760,AA3761=AA3760+1),IF(AC3761=1,"",INDEX(DATAS,AA3760+1)),INDEX(DATAS,AA3760+1)),"")</f>
        <v/>
      </c>
    </row>
    <row r="3761" customFormat="false" ht="15" hidden="false" customHeight="false" outlineLevel="0" collapsed="false">
      <c r="A3761" s="51" t="n">
        <v>46309</v>
      </c>
      <c r="B3761" s="0" t="n">
        <v>15</v>
      </c>
      <c r="C3761" s="0" t="n">
        <v>30390</v>
      </c>
      <c r="E3761" s="0" t="n">
        <v>0</v>
      </c>
      <c r="F3761" s="46" t="s">
        <v>1401</v>
      </c>
      <c r="I3761" s="46" t="s">
        <v>150</v>
      </c>
      <c r="U3761" s="0" t="n">
        <v>320</v>
      </c>
      <c r="V3761" s="0" t="n">
        <v>0</v>
      </c>
      <c r="X3761" s="46" t="n">
        <f aca="false">IF(I3761="Male",0,1)</f>
        <v>0</v>
      </c>
      <c r="Y3761" s="46" t="n">
        <f aca="false">IF(OR(I3761="DNB",I3761="Dry DNB"),1,0)</f>
        <v>0</v>
      </c>
      <c r="Z3761" s="0" t="str">
        <f aca="false">IF(ISNUMBER(W3761),A3761-W3761,"")</f>
        <v/>
      </c>
      <c r="AA3761" s="46" t="n">
        <f aca="false">MATCH(A3761,DATAS,0)</f>
        <v>1</v>
      </c>
      <c r="AB3761" s="46" t="n">
        <f aca="false">IF(AND(E3761&gt;0,OR(AND(B3761&gt;=1,B3761&lt;=6),B3761=10)),1,0)</f>
        <v>0</v>
      </c>
      <c r="AC3761" s="46" t="n">
        <f aca="false">IF(AND(E3761&gt;0,B3761=10),1,0)</f>
        <v>0</v>
      </c>
      <c r="AD3761" s="0" t="str">
        <f aca="false">IF(AND(C3760=C3761,AA3760=AA3761-1),AB3760,"")</f>
        <v/>
      </c>
      <c r="AE3761" s="0" t="str">
        <f aca="false">IF(AND(C3760=C3761,AA3760=AA3761-1),AC3760,"")</f>
        <v/>
      </c>
      <c r="AF3761" s="0" t="str">
        <f aca="false">IF(AA3761=1,"",IF(AND(AB3761=1,AD3761&lt;&gt;1),1,0))</f>
        <v/>
      </c>
      <c r="AG3761" s="0" t="str">
        <f aca="false">IF(AA3761=1,"",IF(AND(AC3761=1,AE3761&lt;&gt;1),1,0))</f>
        <v/>
      </c>
      <c r="AH3761" s="51" t="str">
        <f aca="false">IF(AND(E3761&gt;0,AA3761&lt;1,NOT(AND(C3762=C3761,AA3762=AA3761+1))),INDEX(DATAS,AA3761+1),"")</f>
        <v/>
      </c>
      <c r="AI3761" s="51" t="str">
        <f aca="false">IF(AND(AC3761=1,AA3761&lt;1),IF(AND(C3762=C3761,AA3762=AA3761+1),IF(AC3762=1,"",INDEX(DATAS,AA3761+1)),INDEX(DATAS,AA3761+1)),"")</f>
        <v/>
      </c>
    </row>
    <row r="3762" customFormat="false" ht="15" hidden="false" customHeight="false" outlineLevel="0" collapsed="false">
      <c r="A3762" s="51" t="n">
        <v>46309</v>
      </c>
      <c r="B3762" s="0" t="n">
        <v>15</v>
      </c>
      <c r="C3762" s="0" t="n">
        <v>30391</v>
      </c>
      <c r="E3762" s="0" t="n">
        <v>0</v>
      </c>
      <c r="F3762" s="46" t="s">
        <v>1401</v>
      </c>
      <c r="I3762" s="46" t="s">
        <v>150</v>
      </c>
      <c r="U3762" s="0" t="n">
        <v>320</v>
      </c>
      <c r="V3762" s="0" t="n">
        <v>0</v>
      </c>
      <c r="X3762" s="46" t="n">
        <f aca="false">IF(I3762="Male",0,1)</f>
        <v>0</v>
      </c>
      <c r="Y3762" s="46" t="n">
        <f aca="false">IF(OR(I3762="DNB",I3762="Dry DNB"),1,0)</f>
        <v>0</v>
      </c>
      <c r="Z3762" s="0" t="str">
        <f aca="false">IF(ISNUMBER(W3762),A3762-W3762,"")</f>
        <v/>
      </c>
      <c r="AA3762" s="46" t="n">
        <f aca="false">MATCH(A3762,DATAS,0)</f>
        <v>1</v>
      </c>
      <c r="AB3762" s="46" t="n">
        <f aca="false">IF(AND(E3762&gt;0,OR(AND(B3762&gt;=1,B3762&lt;=6),B3762=10)),1,0)</f>
        <v>0</v>
      </c>
      <c r="AC3762" s="46" t="n">
        <f aca="false">IF(AND(E3762&gt;0,B3762=10),1,0)</f>
        <v>0</v>
      </c>
      <c r="AD3762" s="0" t="str">
        <f aca="false">IF(AND(C3761=C3762,AA3761=AA3762-1),AB3761,"")</f>
        <v/>
      </c>
      <c r="AE3762" s="0" t="str">
        <f aca="false">IF(AND(C3761=C3762,AA3761=AA3762-1),AC3761,"")</f>
        <v/>
      </c>
      <c r="AF3762" s="0" t="str">
        <f aca="false">IF(AA3762=1,"",IF(AND(AB3762=1,AD3762&lt;&gt;1),1,0))</f>
        <v/>
      </c>
      <c r="AG3762" s="0" t="str">
        <f aca="false">IF(AA3762=1,"",IF(AND(AC3762=1,AE3762&lt;&gt;1),1,0))</f>
        <v/>
      </c>
      <c r="AH3762" s="51" t="str">
        <f aca="false">IF(AND(E3762&gt;0,AA3762&lt;1,NOT(AND(C3763=C3762,AA3763=AA3762+1))),INDEX(DATAS,AA3762+1),"")</f>
        <v/>
      </c>
      <c r="AI3762" s="51" t="str">
        <f aca="false">IF(AND(AC3762=1,AA3762&lt;1),IF(AND(C3763=C3762,AA3763=AA3762+1),IF(AC3763=1,"",INDEX(DATAS,AA3762+1)),INDEX(DATAS,AA3762+1)),"")</f>
        <v/>
      </c>
    </row>
    <row r="3763" customFormat="false" ht="15" hidden="false" customHeight="false" outlineLevel="0" collapsed="false">
      <c r="A3763" s="51" t="n">
        <v>46309</v>
      </c>
      <c r="B3763" s="0" t="n">
        <v>15</v>
      </c>
      <c r="C3763" s="0" t="n">
        <v>30394</v>
      </c>
      <c r="E3763" s="0" t="n">
        <v>0</v>
      </c>
      <c r="F3763" s="46" t="s">
        <v>1402</v>
      </c>
      <c r="I3763" s="46" t="s">
        <v>150</v>
      </c>
      <c r="U3763" s="0" t="n">
        <v>319</v>
      </c>
      <c r="V3763" s="0" t="n">
        <v>0</v>
      </c>
      <c r="X3763" s="46" t="n">
        <f aca="false">IF(I3763="Male",0,1)</f>
        <v>0</v>
      </c>
      <c r="Y3763" s="46" t="n">
        <f aca="false">IF(OR(I3763="DNB",I3763="Dry DNB"),1,0)</f>
        <v>0</v>
      </c>
      <c r="Z3763" s="0" t="str">
        <f aca="false">IF(ISNUMBER(W3763),A3763-W3763,"")</f>
        <v/>
      </c>
      <c r="AA3763" s="46" t="n">
        <f aca="false">MATCH(A3763,DATAS,0)</f>
        <v>1</v>
      </c>
      <c r="AB3763" s="46" t="n">
        <f aca="false">IF(AND(E3763&gt;0,OR(AND(B3763&gt;=1,B3763&lt;=6),B3763=10)),1,0)</f>
        <v>0</v>
      </c>
      <c r="AC3763" s="46" t="n">
        <f aca="false">IF(AND(E3763&gt;0,B3763=10),1,0)</f>
        <v>0</v>
      </c>
      <c r="AD3763" s="0" t="str">
        <f aca="false">IF(AND(C3762=C3763,AA3762=AA3763-1),AB3762,"")</f>
        <v/>
      </c>
      <c r="AE3763" s="0" t="str">
        <f aca="false">IF(AND(C3762=C3763,AA3762=AA3763-1),AC3762,"")</f>
        <v/>
      </c>
      <c r="AF3763" s="0" t="str">
        <f aca="false">IF(AA3763=1,"",IF(AND(AB3763=1,AD3763&lt;&gt;1),1,0))</f>
        <v/>
      </c>
      <c r="AG3763" s="0" t="str">
        <f aca="false">IF(AA3763=1,"",IF(AND(AC3763=1,AE3763&lt;&gt;1),1,0))</f>
        <v/>
      </c>
      <c r="AH3763" s="51" t="str">
        <f aca="false">IF(AND(E3763&gt;0,AA3763&lt;1,NOT(AND(C3764=C3763,AA3764=AA3763+1))),INDEX(DATAS,AA3763+1),"")</f>
        <v/>
      </c>
      <c r="AI3763" s="51" t="str">
        <f aca="false">IF(AND(AC3763=1,AA3763&lt;1),IF(AND(C3764=C3763,AA3764=AA3763+1),IF(AC3764=1,"",INDEX(DATAS,AA3763+1)),INDEX(DATAS,AA3763+1)),"")</f>
        <v/>
      </c>
    </row>
    <row r="3764" customFormat="false" ht="15" hidden="false" customHeight="false" outlineLevel="0" collapsed="false">
      <c r="A3764" s="51" t="n">
        <v>46309</v>
      </c>
      <c r="B3764" s="0" t="n">
        <v>15</v>
      </c>
      <c r="C3764" s="0" t="n">
        <v>30397</v>
      </c>
      <c r="E3764" s="0" t="n">
        <v>0</v>
      </c>
      <c r="F3764" s="46" t="s">
        <v>1403</v>
      </c>
      <c r="I3764" s="46" t="s">
        <v>150</v>
      </c>
      <c r="U3764" s="0" t="n">
        <v>318</v>
      </c>
      <c r="V3764" s="0" t="n">
        <v>0</v>
      </c>
      <c r="X3764" s="46" t="n">
        <f aca="false">IF(I3764="Male",0,1)</f>
        <v>0</v>
      </c>
      <c r="Y3764" s="46" t="n">
        <f aca="false">IF(OR(I3764="DNB",I3764="Dry DNB"),1,0)</f>
        <v>0</v>
      </c>
      <c r="Z3764" s="0" t="str">
        <f aca="false">IF(ISNUMBER(W3764),A3764-W3764,"")</f>
        <v/>
      </c>
      <c r="AA3764" s="46" t="n">
        <f aca="false">MATCH(A3764,DATAS,0)</f>
        <v>1</v>
      </c>
      <c r="AB3764" s="46" t="n">
        <f aca="false">IF(AND(E3764&gt;0,OR(AND(B3764&gt;=1,B3764&lt;=6),B3764=10)),1,0)</f>
        <v>0</v>
      </c>
      <c r="AC3764" s="46" t="n">
        <f aca="false">IF(AND(E3764&gt;0,B3764=10),1,0)</f>
        <v>0</v>
      </c>
      <c r="AD3764" s="0" t="str">
        <f aca="false">IF(AND(C3763=C3764,AA3763=AA3764-1),AB3763,"")</f>
        <v/>
      </c>
      <c r="AE3764" s="0" t="str">
        <f aca="false">IF(AND(C3763=C3764,AA3763=AA3764-1),AC3763,"")</f>
        <v/>
      </c>
      <c r="AF3764" s="0" t="str">
        <f aca="false">IF(AA3764=1,"",IF(AND(AB3764=1,AD3764&lt;&gt;1),1,0))</f>
        <v/>
      </c>
      <c r="AG3764" s="0" t="str">
        <f aca="false">IF(AA3764=1,"",IF(AND(AC3764=1,AE3764&lt;&gt;1),1,0))</f>
        <v/>
      </c>
      <c r="AH3764" s="51" t="str">
        <f aca="false">IF(AND(E3764&gt;0,AA3764&lt;1,NOT(AND(C3765=C3764,AA3765=AA3764+1))),INDEX(DATAS,AA3764+1),"")</f>
        <v/>
      </c>
      <c r="AI3764" s="51" t="str">
        <f aca="false">IF(AND(AC3764=1,AA3764&lt;1),IF(AND(C3765=C3764,AA3765=AA3764+1),IF(AC3765=1,"",INDEX(DATAS,AA3764+1)),INDEX(DATAS,AA3764+1)),"")</f>
        <v/>
      </c>
    </row>
    <row r="3765" customFormat="false" ht="15" hidden="false" customHeight="false" outlineLevel="0" collapsed="false">
      <c r="A3765" s="51" t="n">
        <v>46309</v>
      </c>
      <c r="B3765" s="0" t="n">
        <v>15</v>
      </c>
      <c r="C3765" s="0" t="n">
        <v>30399</v>
      </c>
      <c r="E3765" s="0" t="n">
        <v>0</v>
      </c>
      <c r="F3765" s="46" t="s">
        <v>1405</v>
      </c>
      <c r="I3765" s="46" t="s">
        <v>150</v>
      </c>
      <c r="U3765" s="0" t="n">
        <v>316</v>
      </c>
      <c r="V3765" s="0" t="n">
        <v>0</v>
      </c>
      <c r="X3765" s="46" t="n">
        <f aca="false">IF(I3765="Male",0,1)</f>
        <v>0</v>
      </c>
      <c r="Y3765" s="46" t="n">
        <f aca="false">IF(OR(I3765="DNB",I3765="Dry DNB"),1,0)</f>
        <v>0</v>
      </c>
      <c r="Z3765" s="0" t="str">
        <f aca="false">IF(ISNUMBER(W3765),A3765-W3765,"")</f>
        <v/>
      </c>
      <c r="AA3765" s="46" t="n">
        <f aca="false">MATCH(A3765,DATAS,0)</f>
        <v>1</v>
      </c>
      <c r="AB3765" s="46" t="n">
        <f aca="false">IF(AND(E3765&gt;0,OR(AND(B3765&gt;=1,B3765&lt;=6),B3765=10)),1,0)</f>
        <v>0</v>
      </c>
      <c r="AC3765" s="46" t="n">
        <f aca="false">IF(AND(E3765&gt;0,B3765=10),1,0)</f>
        <v>0</v>
      </c>
      <c r="AD3765" s="0" t="str">
        <f aca="false">IF(AND(C3764=C3765,AA3764=AA3765-1),AB3764,"")</f>
        <v/>
      </c>
      <c r="AE3765" s="0" t="str">
        <f aca="false">IF(AND(C3764=C3765,AA3764=AA3765-1),AC3764,"")</f>
        <v/>
      </c>
      <c r="AF3765" s="0" t="str">
        <f aca="false">IF(AA3765=1,"",IF(AND(AB3765=1,AD3765&lt;&gt;1),1,0))</f>
        <v/>
      </c>
      <c r="AG3765" s="0" t="str">
        <f aca="false">IF(AA3765=1,"",IF(AND(AC3765=1,AE3765&lt;&gt;1),1,0))</f>
        <v/>
      </c>
      <c r="AH3765" s="51" t="str">
        <f aca="false">IF(AND(E3765&gt;0,AA3765&lt;1,NOT(AND(C3766=C3765,AA3766=AA3765+1))),INDEX(DATAS,AA3765+1),"")</f>
        <v/>
      </c>
      <c r="AI3765" s="51" t="str">
        <f aca="false">IF(AND(AC3765=1,AA3765&lt;1),IF(AND(C3766=C3765,AA3766=AA3765+1),IF(AC3766=1,"",INDEX(DATAS,AA3765+1)),INDEX(DATAS,AA3765+1)),"")</f>
        <v/>
      </c>
    </row>
    <row r="3766" customFormat="false" ht="15" hidden="false" customHeight="false" outlineLevel="0" collapsed="false">
      <c r="A3766" s="51" t="n">
        <v>46309</v>
      </c>
      <c r="B3766" s="0" t="n">
        <v>10</v>
      </c>
      <c r="C3766" s="0" t="n">
        <v>30400</v>
      </c>
      <c r="E3766" s="0" t="n">
        <v>0</v>
      </c>
      <c r="F3766" s="46" t="s">
        <v>1404</v>
      </c>
      <c r="I3766" s="46" t="s">
        <v>150</v>
      </c>
      <c r="U3766" s="0" t="n">
        <v>317</v>
      </c>
      <c r="V3766" s="0" t="n">
        <v>0</v>
      </c>
      <c r="X3766" s="46" t="n">
        <f aca="false">IF(I3766="Male",0,1)</f>
        <v>0</v>
      </c>
      <c r="Y3766" s="46" t="n">
        <f aca="false">IF(OR(I3766="DNB",I3766="Dry DNB"),1,0)</f>
        <v>0</v>
      </c>
      <c r="Z3766" s="0" t="str">
        <f aca="false">IF(ISNUMBER(W3766),A3766-W3766,"")</f>
        <v/>
      </c>
      <c r="AA3766" s="46" t="n">
        <f aca="false">MATCH(A3766,DATAS,0)</f>
        <v>1</v>
      </c>
      <c r="AB3766" s="46" t="n">
        <f aca="false">IF(AND(E3766&gt;0,OR(AND(B3766&gt;=1,B3766&lt;=6),B3766=10)),1,0)</f>
        <v>0</v>
      </c>
      <c r="AC3766" s="46" t="n">
        <f aca="false">IF(AND(E3766&gt;0,B3766=10),1,0)</f>
        <v>0</v>
      </c>
      <c r="AD3766" s="0" t="str">
        <f aca="false">IF(AND(C3765=C3766,AA3765=AA3766-1),AB3765,"")</f>
        <v/>
      </c>
      <c r="AE3766" s="0" t="str">
        <f aca="false">IF(AND(C3765=C3766,AA3765=AA3766-1),AC3765,"")</f>
        <v/>
      </c>
      <c r="AF3766" s="0" t="str">
        <f aca="false">IF(AA3766=1,"",IF(AND(AB3766=1,AD3766&lt;&gt;1),1,0))</f>
        <v/>
      </c>
      <c r="AG3766" s="0" t="str">
        <f aca="false">IF(AA3766=1,"",IF(AND(AC3766=1,AE3766&lt;&gt;1),1,0))</f>
        <v/>
      </c>
      <c r="AH3766" s="51" t="str">
        <f aca="false">IF(AND(E3766&gt;0,AA3766&lt;1,NOT(AND(C3767=C3766,AA3767=AA3766+1))),INDEX(DATAS,AA3766+1),"")</f>
        <v/>
      </c>
      <c r="AI3766" s="51" t="str">
        <f aca="false">IF(AND(AC3766=1,AA3766&lt;1),IF(AND(C3767=C3766,AA3767=AA3766+1),IF(AC3767=1,"",INDEX(DATAS,AA3766+1)),INDEX(DATAS,AA3766+1)),"")</f>
        <v/>
      </c>
    </row>
    <row r="3767" customFormat="false" ht="15" hidden="false" customHeight="false" outlineLevel="0" collapsed="false">
      <c r="A3767" s="51" t="n">
        <v>46309</v>
      </c>
      <c r="B3767" s="0" t="n">
        <v>15</v>
      </c>
      <c r="C3767" s="0" t="n">
        <v>30402</v>
      </c>
      <c r="E3767" s="0" t="n">
        <v>0</v>
      </c>
      <c r="F3767" s="46" t="s">
        <v>1407</v>
      </c>
      <c r="I3767" s="46" t="s">
        <v>150</v>
      </c>
      <c r="U3767" s="0" t="n">
        <v>314</v>
      </c>
      <c r="V3767" s="0" t="n">
        <v>0</v>
      </c>
      <c r="X3767" s="46" t="n">
        <f aca="false">IF(I3767="Male",0,1)</f>
        <v>0</v>
      </c>
      <c r="Y3767" s="46" t="n">
        <f aca="false">IF(OR(I3767="DNB",I3767="Dry DNB"),1,0)</f>
        <v>0</v>
      </c>
      <c r="Z3767" s="0" t="str">
        <f aca="false">IF(ISNUMBER(W3767),A3767-W3767,"")</f>
        <v/>
      </c>
      <c r="AA3767" s="46" t="n">
        <f aca="false">MATCH(A3767,DATAS,0)</f>
        <v>1</v>
      </c>
      <c r="AB3767" s="46" t="n">
        <f aca="false">IF(AND(E3767&gt;0,OR(AND(B3767&gt;=1,B3767&lt;=6),B3767=10)),1,0)</f>
        <v>0</v>
      </c>
      <c r="AC3767" s="46" t="n">
        <f aca="false">IF(AND(E3767&gt;0,B3767=10),1,0)</f>
        <v>0</v>
      </c>
      <c r="AD3767" s="0" t="str">
        <f aca="false">IF(AND(C3766=C3767,AA3766=AA3767-1),AB3766,"")</f>
        <v/>
      </c>
      <c r="AE3767" s="0" t="str">
        <f aca="false">IF(AND(C3766=C3767,AA3766=AA3767-1),AC3766,"")</f>
        <v/>
      </c>
      <c r="AF3767" s="0" t="str">
        <f aca="false">IF(AA3767=1,"",IF(AND(AB3767=1,AD3767&lt;&gt;1),1,0))</f>
        <v/>
      </c>
      <c r="AG3767" s="0" t="str">
        <f aca="false">IF(AA3767=1,"",IF(AND(AC3767=1,AE3767&lt;&gt;1),1,0))</f>
        <v/>
      </c>
      <c r="AH3767" s="51" t="str">
        <f aca="false">IF(AND(E3767&gt;0,AA3767&lt;1,NOT(AND(C3768=C3767,AA3768=AA3767+1))),INDEX(DATAS,AA3767+1),"")</f>
        <v/>
      </c>
      <c r="AI3767" s="51" t="str">
        <f aca="false">IF(AND(AC3767=1,AA3767&lt;1),IF(AND(C3768=C3767,AA3768=AA3767+1),IF(AC3768=1,"",INDEX(DATAS,AA3767+1)),INDEX(DATAS,AA3767+1)),"")</f>
        <v/>
      </c>
    </row>
    <row r="3768" customFormat="false" ht="15" hidden="false" customHeight="false" outlineLevel="0" collapsed="false">
      <c r="A3768" s="51" t="n">
        <v>46309</v>
      </c>
      <c r="B3768" s="0" t="n">
        <v>15</v>
      </c>
      <c r="C3768" s="0" t="n">
        <v>30404</v>
      </c>
      <c r="E3768" s="0" t="n">
        <v>0</v>
      </c>
      <c r="F3768" s="46" t="s">
        <v>1408</v>
      </c>
      <c r="I3768" s="46" t="s">
        <v>150</v>
      </c>
      <c r="U3768" s="0" t="n">
        <v>313</v>
      </c>
      <c r="V3768" s="0" t="n">
        <v>0</v>
      </c>
      <c r="X3768" s="46" t="n">
        <f aca="false">IF(I3768="Male",0,1)</f>
        <v>0</v>
      </c>
      <c r="Y3768" s="46" t="n">
        <f aca="false">IF(OR(I3768="DNB",I3768="Dry DNB"),1,0)</f>
        <v>0</v>
      </c>
      <c r="Z3768" s="0" t="str">
        <f aca="false">IF(ISNUMBER(W3768),A3768-W3768,"")</f>
        <v/>
      </c>
      <c r="AA3768" s="46" t="n">
        <f aca="false">MATCH(A3768,DATAS,0)</f>
        <v>1</v>
      </c>
      <c r="AB3768" s="46" t="n">
        <f aca="false">IF(AND(E3768&gt;0,OR(AND(B3768&gt;=1,B3768&lt;=6),B3768=10)),1,0)</f>
        <v>0</v>
      </c>
      <c r="AC3768" s="46" t="n">
        <f aca="false">IF(AND(E3768&gt;0,B3768=10),1,0)</f>
        <v>0</v>
      </c>
      <c r="AD3768" s="0" t="str">
        <f aca="false">IF(AND(C3767=C3768,AA3767=AA3768-1),AB3767,"")</f>
        <v/>
      </c>
      <c r="AE3768" s="0" t="str">
        <f aca="false">IF(AND(C3767=C3768,AA3767=AA3768-1),AC3767,"")</f>
        <v/>
      </c>
      <c r="AF3768" s="0" t="str">
        <f aca="false">IF(AA3768=1,"",IF(AND(AB3768=1,AD3768&lt;&gt;1),1,0))</f>
        <v/>
      </c>
      <c r="AG3768" s="0" t="str">
        <f aca="false">IF(AA3768=1,"",IF(AND(AC3768=1,AE3768&lt;&gt;1),1,0))</f>
        <v/>
      </c>
      <c r="AH3768" s="51" t="str">
        <f aca="false">IF(AND(E3768&gt;0,AA3768&lt;1,NOT(AND(C3769=C3768,AA3769=AA3768+1))),INDEX(DATAS,AA3768+1),"")</f>
        <v/>
      </c>
      <c r="AI3768" s="51" t="str">
        <f aca="false">IF(AND(AC3768=1,AA3768&lt;1),IF(AND(C3769=C3768,AA3769=AA3768+1),IF(AC3769=1,"",INDEX(DATAS,AA3768+1)),INDEX(DATAS,AA3768+1)),"")</f>
        <v/>
      </c>
    </row>
    <row r="3769" customFormat="false" ht="15" hidden="false" customHeight="false" outlineLevel="0" collapsed="false">
      <c r="A3769" s="51" t="n">
        <v>46309</v>
      </c>
      <c r="B3769" s="0" t="n">
        <v>15</v>
      </c>
      <c r="C3769" s="0" t="n">
        <v>30405</v>
      </c>
      <c r="E3769" s="0" t="n">
        <v>0</v>
      </c>
      <c r="F3769" s="46" t="s">
        <v>1408</v>
      </c>
      <c r="I3769" s="46" t="s">
        <v>150</v>
      </c>
      <c r="U3769" s="0" t="n">
        <v>313</v>
      </c>
      <c r="V3769" s="0" t="n">
        <v>0</v>
      </c>
      <c r="X3769" s="46" t="n">
        <f aca="false">IF(I3769="Male",0,1)</f>
        <v>0</v>
      </c>
      <c r="Y3769" s="46" t="n">
        <f aca="false">IF(OR(I3769="DNB",I3769="Dry DNB"),1,0)</f>
        <v>0</v>
      </c>
      <c r="Z3769" s="0" t="str">
        <f aca="false">IF(ISNUMBER(W3769),A3769-W3769,"")</f>
        <v/>
      </c>
      <c r="AA3769" s="46" t="n">
        <f aca="false">MATCH(A3769,DATAS,0)</f>
        <v>1</v>
      </c>
      <c r="AB3769" s="46" t="n">
        <f aca="false">IF(AND(E3769&gt;0,OR(AND(B3769&gt;=1,B3769&lt;=6),B3769=10)),1,0)</f>
        <v>0</v>
      </c>
      <c r="AC3769" s="46" t="n">
        <f aca="false">IF(AND(E3769&gt;0,B3769=10),1,0)</f>
        <v>0</v>
      </c>
      <c r="AD3769" s="0" t="str">
        <f aca="false">IF(AND(C3768=C3769,AA3768=AA3769-1),AB3768,"")</f>
        <v/>
      </c>
      <c r="AE3769" s="0" t="str">
        <f aca="false">IF(AND(C3768=C3769,AA3768=AA3769-1),AC3768,"")</f>
        <v/>
      </c>
      <c r="AF3769" s="0" t="str">
        <f aca="false">IF(AA3769=1,"",IF(AND(AB3769=1,AD3769&lt;&gt;1),1,0))</f>
        <v/>
      </c>
      <c r="AG3769" s="0" t="str">
        <f aca="false">IF(AA3769=1,"",IF(AND(AC3769=1,AE3769&lt;&gt;1),1,0))</f>
        <v/>
      </c>
      <c r="AH3769" s="51" t="str">
        <f aca="false">IF(AND(E3769&gt;0,AA3769&lt;1,NOT(AND(C3770=C3769,AA3770=AA3769+1))),INDEX(DATAS,AA3769+1),"")</f>
        <v/>
      </c>
      <c r="AI3769" s="51" t="str">
        <f aca="false">IF(AND(AC3769=1,AA3769&lt;1),IF(AND(C3770=C3769,AA3770=AA3769+1),IF(AC3770=1,"",INDEX(DATAS,AA3769+1)),INDEX(DATAS,AA3769+1)),"")</f>
        <v/>
      </c>
    </row>
    <row r="3770" customFormat="false" ht="15" hidden="false" customHeight="false" outlineLevel="0" collapsed="false">
      <c r="A3770" s="51" t="n">
        <v>46309</v>
      </c>
      <c r="B3770" s="0" t="n">
        <v>15</v>
      </c>
      <c r="C3770" s="0" t="n">
        <v>30415</v>
      </c>
      <c r="E3770" s="0" t="n">
        <v>0</v>
      </c>
      <c r="F3770" s="46" t="s">
        <v>1413</v>
      </c>
      <c r="I3770" s="46" t="s">
        <v>150</v>
      </c>
      <c r="U3770" s="0" t="n">
        <v>307</v>
      </c>
      <c r="V3770" s="0" t="n">
        <v>0</v>
      </c>
      <c r="X3770" s="46" t="n">
        <f aca="false">IF(I3770="Male",0,1)</f>
        <v>0</v>
      </c>
      <c r="Y3770" s="46" t="n">
        <f aca="false">IF(OR(I3770="DNB",I3770="Dry DNB"),1,0)</f>
        <v>0</v>
      </c>
      <c r="Z3770" s="0" t="str">
        <f aca="false">IF(ISNUMBER(W3770),A3770-W3770,"")</f>
        <v/>
      </c>
      <c r="AA3770" s="46" t="n">
        <f aca="false">MATCH(A3770,DATAS,0)</f>
        <v>1</v>
      </c>
      <c r="AB3770" s="46" t="n">
        <f aca="false">IF(AND(E3770&gt;0,OR(AND(B3770&gt;=1,B3770&lt;=6),B3770=10)),1,0)</f>
        <v>0</v>
      </c>
      <c r="AC3770" s="46" t="n">
        <f aca="false">IF(AND(E3770&gt;0,B3770=10),1,0)</f>
        <v>0</v>
      </c>
      <c r="AD3770" s="0" t="str">
        <f aca="false">IF(AND(C3769=C3770,AA3769=AA3770-1),AB3769,"")</f>
        <v/>
      </c>
      <c r="AE3770" s="0" t="str">
        <f aca="false">IF(AND(C3769=C3770,AA3769=AA3770-1),AC3769,"")</f>
        <v/>
      </c>
      <c r="AF3770" s="0" t="str">
        <f aca="false">IF(AA3770=1,"",IF(AND(AB3770=1,AD3770&lt;&gt;1),1,0))</f>
        <v/>
      </c>
      <c r="AG3770" s="0" t="str">
        <f aca="false">IF(AA3770=1,"",IF(AND(AC3770=1,AE3770&lt;&gt;1),1,0))</f>
        <v/>
      </c>
      <c r="AH3770" s="51" t="str">
        <f aca="false">IF(AND(E3770&gt;0,AA3770&lt;1,NOT(AND(C3771=C3770,AA3771=AA3770+1))),INDEX(DATAS,AA3770+1),"")</f>
        <v/>
      </c>
      <c r="AI3770" s="51" t="str">
        <f aca="false">IF(AND(AC3770=1,AA3770&lt;1),IF(AND(C3771=C3770,AA3771=AA3770+1),IF(AC3771=1,"",INDEX(DATAS,AA3770+1)),INDEX(DATAS,AA3770+1)),"")</f>
        <v/>
      </c>
    </row>
    <row r="3771" customFormat="false" ht="15" hidden="false" customHeight="false" outlineLevel="0" collapsed="false">
      <c r="A3771" s="51" t="n">
        <v>46309</v>
      </c>
      <c r="B3771" s="0" t="n">
        <v>15</v>
      </c>
      <c r="C3771" s="0" t="n">
        <v>30416</v>
      </c>
      <c r="E3771" s="0" t="n">
        <v>0</v>
      </c>
      <c r="F3771" s="46" t="s">
        <v>1415</v>
      </c>
      <c r="I3771" s="46" t="s">
        <v>150</v>
      </c>
      <c r="U3771" s="0" t="n">
        <v>305</v>
      </c>
      <c r="V3771" s="0" t="n">
        <v>0</v>
      </c>
      <c r="X3771" s="46" t="n">
        <f aca="false">IF(I3771="Male",0,1)</f>
        <v>0</v>
      </c>
      <c r="Y3771" s="46" t="n">
        <f aca="false">IF(OR(I3771="DNB",I3771="Dry DNB"),1,0)</f>
        <v>0</v>
      </c>
      <c r="Z3771" s="0" t="str">
        <f aca="false">IF(ISNUMBER(W3771),A3771-W3771,"")</f>
        <v/>
      </c>
      <c r="AA3771" s="46" t="n">
        <f aca="false">MATCH(A3771,DATAS,0)</f>
        <v>1</v>
      </c>
      <c r="AB3771" s="46" t="n">
        <f aca="false">IF(AND(E3771&gt;0,OR(AND(B3771&gt;=1,B3771&lt;=6),B3771=10)),1,0)</f>
        <v>0</v>
      </c>
      <c r="AC3771" s="46" t="n">
        <f aca="false">IF(AND(E3771&gt;0,B3771=10),1,0)</f>
        <v>0</v>
      </c>
      <c r="AD3771" s="0" t="str">
        <f aca="false">IF(AND(C3770=C3771,AA3770=AA3771-1),AB3770,"")</f>
        <v/>
      </c>
      <c r="AE3771" s="0" t="str">
        <f aca="false">IF(AND(C3770=C3771,AA3770=AA3771-1),AC3770,"")</f>
        <v/>
      </c>
      <c r="AF3771" s="0" t="str">
        <f aca="false">IF(AA3771=1,"",IF(AND(AB3771=1,AD3771&lt;&gt;1),1,0))</f>
        <v/>
      </c>
      <c r="AG3771" s="0" t="str">
        <f aca="false">IF(AA3771=1,"",IF(AND(AC3771=1,AE3771&lt;&gt;1),1,0))</f>
        <v/>
      </c>
      <c r="AH3771" s="51" t="str">
        <f aca="false">IF(AND(E3771&gt;0,AA3771&lt;1,NOT(AND(C3772=C3771,AA3772=AA3771+1))),INDEX(DATAS,AA3771+1),"")</f>
        <v/>
      </c>
      <c r="AI3771" s="51" t="str">
        <f aca="false">IF(AND(AC3771=1,AA3771&lt;1),IF(AND(C3772=C3771,AA3772=AA3771+1),IF(AC3772=1,"",INDEX(DATAS,AA3771+1)),INDEX(DATAS,AA3771+1)),"")</f>
        <v/>
      </c>
    </row>
    <row r="3772" customFormat="false" ht="15" hidden="false" customHeight="false" outlineLevel="0" collapsed="false">
      <c r="A3772" s="51" t="n">
        <v>46309</v>
      </c>
      <c r="B3772" s="0" t="n">
        <v>15</v>
      </c>
      <c r="C3772" s="0" t="n">
        <v>30419</v>
      </c>
      <c r="E3772" s="0" t="n">
        <v>0</v>
      </c>
      <c r="F3772" s="46" t="s">
        <v>1417</v>
      </c>
      <c r="I3772" s="46" t="s">
        <v>150</v>
      </c>
      <c r="U3772" s="0" t="n">
        <v>303</v>
      </c>
      <c r="V3772" s="0" t="n">
        <v>0</v>
      </c>
      <c r="X3772" s="46" t="n">
        <f aca="false">IF(I3772="Male",0,1)</f>
        <v>0</v>
      </c>
      <c r="Y3772" s="46" t="n">
        <f aca="false">IF(OR(I3772="DNB",I3772="Dry DNB"),1,0)</f>
        <v>0</v>
      </c>
      <c r="Z3772" s="0" t="str">
        <f aca="false">IF(ISNUMBER(W3772),A3772-W3772,"")</f>
        <v/>
      </c>
      <c r="AA3772" s="46" t="n">
        <f aca="false">MATCH(A3772,DATAS,0)</f>
        <v>1</v>
      </c>
      <c r="AB3772" s="46" t="n">
        <f aca="false">IF(AND(E3772&gt;0,OR(AND(B3772&gt;=1,B3772&lt;=6),B3772=10)),1,0)</f>
        <v>0</v>
      </c>
      <c r="AC3772" s="46" t="n">
        <f aca="false">IF(AND(E3772&gt;0,B3772=10),1,0)</f>
        <v>0</v>
      </c>
      <c r="AD3772" s="0" t="str">
        <f aca="false">IF(AND(C3771=C3772,AA3771=AA3772-1),AB3771,"")</f>
        <v/>
      </c>
      <c r="AE3772" s="0" t="str">
        <f aca="false">IF(AND(C3771=C3772,AA3771=AA3772-1),AC3771,"")</f>
        <v/>
      </c>
      <c r="AF3772" s="0" t="str">
        <f aca="false">IF(AA3772=1,"",IF(AND(AB3772=1,AD3772&lt;&gt;1),1,0))</f>
        <v/>
      </c>
      <c r="AG3772" s="0" t="str">
        <f aca="false">IF(AA3772=1,"",IF(AND(AC3772=1,AE3772&lt;&gt;1),1,0))</f>
        <v/>
      </c>
      <c r="AH3772" s="51" t="str">
        <f aca="false">IF(AND(E3772&gt;0,AA3772&lt;1,NOT(AND(C3773=C3772,AA3773=AA3772+1))),INDEX(DATAS,AA3772+1),"")</f>
        <v/>
      </c>
      <c r="AI3772" s="51" t="str">
        <f aca="false">IF(AND(AC3772=1,AA3772&lt;1),IF(AND(C3773=C3772,AA3773=AA3772+1),IF(AC3773=1,"",INDEX(DATAS,AA3772+1)),INDEX(DATAS,AA3772+1)),"")</f>
        <v/>
      </c>
    </row>
    <row r="3773" customFormat="false" ht="15" hidden="false" customHeight="false" outlineLevel="0" collapsed="false">
      <c r="A3773" s="51" t="n">
        <v>46309</v>
      </c>
      <c r="B3773" s="0" t="n">
        <v>15</v>
      </c>
      <c r="C3773" s="0" t="n">
        <v>30420</v>
      </c>
      <c r="E3773" s="0" t="n">
        <v>0</v>
      </c>
      <c r="F3773" s="46" t="s">
        <v>1417</v>
      </c>
      <c r="I3773" s="46" t="s">
        <v>150</v>
      </c>
      <c r="U3773" s="0" t="n">
        <v>303</v>
      </c>
      <c r="V3773" s="0" t="n">
        <v>0</v>
      </c>
      <c r="X3773" s="46" t="n">
        <f aca="false">IF(I3773="Male",0,1)</f>
        <v>0</v>
      </c>
      <c r="Y3773" s="46" t="n">
        <f aca="false">IF(OR(I3773="DNB",I3773="Dry DNB"),1,0)</f>
        <v>0</v>
      </c>
      <c r="Z3773" s="0" t="str">
        <f aca="false">IF(ISNUMBER(W3773),A3773-W3773,"")</f>
        <v/>
      </c>
      <c r="AA3773" s="46" t="n">
        <f aca="false">MATCH(A3773,DATAS,0)</f>
        <v>1</v>
      </c>
      <c r="AB3773" s="46" t="n">
        <f aca="false">IF(AND(E3773&gt;0,OR(AND(B3773&gt;=1,B3773&lt;=6),B3773=10)),1,0)</f>
        <v>0</v>
      </c>
      <c r="AC3773" s="46" t="n">
        <f aca="false">IF(AND(E3773&gt;0,B3773=10),1,0)</f>
        <v>0</v>
      </c>
      <c r="AD3773" s="0" t="str">
        <f aca="false">IF(AND(C3772=C3773,AA3772=AA3773-1),AB3772,"")</f>
        <v/>
      </c>
      <c r="AE3773" s="0" t="str">
        <f aca="false">IF(AND(C3772=C3773,AA3772=AA3773-1),AC3772,"")</f>
        <v/>
      </c>
      <c r="AF3773" s="0" t="str">
        <f aca="false">IF(AA3773=1,"",IF(AND(AB3773=1,AD3773&lt;&gt;1),1,0))</f>
        <v/>
      </c>
      <c r="AG3773" s="0" t="str">
        <f aca="false">IF(AA3773=1,"",IF(AND(AC3773=1,AE3773&lt;&gt;1),1,0))</f>
        <v/>
      </c>
      <c r="AH3773" s="51" t="str">
        <f aca="false">IF(AND(E3773&gt;0,AA3773&lt;1,NOT(AND(C3774=C3773,AA3774=AA3773+1))),INDEX(DATAS,AA3773+1),"")</f>
        <v/>
      </c>
      <c r="AI3773" s="51" t="str">
        <f aca="false">IF(AND(AC3773=1,AA3773&lt;1),IF(AND(C3774=C3773,AA3774=AA3773+1),IF(AC3774=1,"",INDEX(DATAS,AA3773+1)),INDEX(DATAS,AA3773+1)),"")</f>
        <v/>
      </c>
    </row>
    <row r="3774" customFormat="false" ht="15" hidden="false" customHeight="false" outlineLevel="0" collapsed="false">
      <c r="A3774" s="51" t="n">
        <v>46309</v>
      </c>
      <c r="B3774" s="0" t="n">
        <v>15</v>
      </c>
      <c r="C3774" s="0" t="n">
        <v>30422</v>
      </c>
      <c r="E3774" s="0" t="n">
        <v>0</v>
      </c>
      <c r="F3774" s="46" t="s">
        <v>1418</v>
      </c>
      <c r="I3774" s="46" t="s">
        <v>150</v>
      </c>
      <c r="U3774" s="0" t="n">
        <v>302</v>
      </c>
      <c r="V3774" s="0" t="n">
        <v>0</v>
      </c>
      <c r="X3774" s="46" t="n">
        <f aca="false">IF(I3774="Male",0,1)</f>
        <v>0</v>
      </c>
      <c r="Y3774" s="46" t="n">
        <f aca="false">IF(OR(I3774="DNB",I3774="Dry DNB"),1,0)</f>
        <v>0</v>
      </c>
      <c r="Z3774" s="0" t="str">
        <f aca="false">IF(ISNUMBER(W3774),A3774-W3774,"")</f>
        <v/>
      </c>
      <c r="AA3774" s="46" t="n">
        <f aca="false">MATCH(A3774,DATAS,0)</f>
        <v>1</v>
      </c>
      <c r="AB3774" s="46" t="n">
        <f aca="false">IF(AND(E3774&gt;0,OR(AND(B3774&gt;=1,B3774&lt;=6),B3774=10)),1,0)</f>
        <v>0</v>
      </c>
      <c r="AC3774" s="46" t="n">
        <f aca="false">IF(AND(E3774&gt;0,B3774=10),1,0)</f>
        <v>0</v>
      </c>
      <c r="AD3774" s="0" t="str">
        <f aca="false">IF(AND(C3773=C3774,AA3773=AA3774-1),AB3773,"")</f>
        <v/>
      </c>
      <c r="AE3774" s="0" t="str">
        <f aca="false">IF(AND(C3773=C3774,AA3773=AA3774-1),AC3773,"")</f>
        <v/>
      </c>
      <c r="AF3774" s="0" t="str">
        <f aca="false">IF(AA3774=1,"",IF(AND(AB3774=1,AD3774&lt;&gt;1),1,0))</f>
        <v/>
      </c>
      <c r="AG3774" s="0" t="str">
        <f aca="false">IF(AA3774=1,"",IF(AND(AC3774=1,AE3774&lt;&gt;1),1,0))</f>
        <v/>
      </c>
      <c r="AH3774" s="51" t="str">
        <f aca="false">IF(AND(E3774&gt;0,AA3774&lt;1,NOT(AND(C3775=C3774,AA3775=AA3774+1))),INDEX(DATAS,AA3774+1),"")</f>
        <v/>
      </c>
      <c r="AI3774" s="51" t="str">
        <f aca="false">IF(AND(AC3774=1,AA3774&lt;1),IF(AND(C3775=C3774,AA3775=AA3774+1),IF(AC3775=1,"",INDEX(DATAS,AA3774+1)),INDEX(DATAS,AA3774+1)),"")</f>
        <v/>
      </c>
    </row>
    <row r="3775" customFormat="false" ht="15" hidden="false" customHeight="false" outlineLevel="0" collapsed="false">
      <c r="A3775" s="51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46" t="s">
        <v>334</v>
      </c>
      <c r="G3775" s="0" t="n">
        <v>30.5</v>
      </c>
      <c r="H3775" s="0" t="n">
        <v>41</v>
      </c>
      <c r="I3775" s="46" t="s">
        <v>181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51" t="n">
        <v>46289</v>
      </c>
      <c r="X3775" s="46" t="n">
        <f aca="false">IF(I3775="Male",0,1)</f>
        <v>1</v>
      </c>
      <c r="Y3775" s="46" t="n">
        <f aca="false">IF(OR(I3775="DNB",I3775="Dry DNB"),1,0)</f>
        <v>0</v>
      </c>
      <c r="Z3775" s="46" t="n">
        <f aca="false">IF(ISNUMBER(W3775),A3775-W3775,"")</f>
        <v>20</v>
      </c>
      <c r="AA3775" s="46" t="n">
        <f aca="false">MATCH(A3775,DATAS,0)</f>
        <v>1</v>
      </c>
      <c r="AB3775" s="46" t="n">
        <f aca="false">IF(AND(E3775&gt;0,OR(AND(B3775&gt;=1,B3775&lt;=6),B3775=10)),1,0)</f>
        <v>1</v>
      </c>
      <c r="AC3775" s="46" t="n">
        <f aca="false">IF(AND(E3775&gt;0,B3775=10),1,0)</f>
        <v>1</v>
      </c>
      <c r="AD3775" s="0" t="str">
        <f aca="false">IF(AND(C3774=C3775,AA3774=AA3775-1),AB3774,"")</f>
        <v/>
      </c>
      <c r="AE3775" s="0" t="str">
        <f aca="false">IF(AND(C3774=C3775,AA3774=AA3775-1),AC3774,"")</f>
        <v/>
      </c>
      <c r="AF3775" s="0" t="str">
        <f aca="false">IF(AA3775=1,"",IF(AND(AB3775=1,AD3775&lt;&gt;1),1,0))</f>
        <v/>
      </c>
      <c r="AG3775" s="0" t="str">
        <f aca="false">IF(AA3775=1,"",IF(AND(AC3775=1,AE3775&lt;&gt;1),1,0))</f>
        <v/>
      </c>
      <c r="AH3775" s="51" t="str">
        <f aca="false">IF(AND(E3775&gt;0,AA3775&lt;1,NOT(AND(C3776=C3775,AA3776=AA3775+1))),INDEX(DATAS,AA3775+1),"")</f>
        <v/>
      </c>
      <c r="AI3775" s="51" t="str">
        <f aca="false">IF(AND(AC3775=1,AA3775&lt;1),IF(AND(C3776=C3775,AA3776=AA3775+1),IF(AC3776=1,"",INDEX(DATAS,AA3775+1)),INDEX(DATAS,AA3775+1)),"")</f>
        <v/>
      </c>
    </row>
    <row r="3776" customFormat="false" ht="15" hidden="false" customHeight="false" outlineLevel="0" collapsed="false">
      <c r="A3776" s="51" t="n">
        <v>46309</v>
      </c>
      <c r="B3776" s="0" t="n">
        <v>15</v>
      </c>
      <c r="C3776" s="0" t="n">
        <v>30425</v>
      </c>
      <c r="E3776" s="0" t="n">
        <v>0</v>
      </c>
      <c r="F3776" s="46" t="s">
        <v>1422</v>
      </c>
      <c r="I3776" s="46" t="s">
        <v>150</v>
      </c>
      <c r="U3776" s="0" t="n">
        <v>297</v>
      </c>
      <c r="V3776" s="0" t="n">
        <v>0</v>
      </c>
      <c r="X3776" s="46" t="n">
        <f aca="false">IF(I3776="Male",0,1)</f>
        <v>0</v>
      </c>
      <c r="Y3776" s="46" t="n">
        <f aca="false">IF(OR(I3776="DNB",I3776="Dry DNB"),1,0)</f>
        <v>0</v>
      </c>
      <c r="Z3776" s="0" t="str">
        <f aca="false">IF(ISNUMBER(W3776),A3776-W3776,"")</f>
        <v/>
      </c>
      <c r="AA3776" s="46" t="n">
        <f aca="false">MATCH(A3776,DATAS,0)</f>
        <v>1</v>
      </c>
      <c r="AB3776" s="46" t="n">
        <f aca="false">IF(AND(E3776&gt;0,OR(AND(B3776&gt;=1,B3776&lt;=6),B3776=10)),1,0)</f>
        <v>0</v>
      </c>
      <c r="AC3776" s="46" t="n">
        <f aca="false">IF(AND(E3776&gt;0,B3776=10),1,0)</f>
        <v>0</v>
      </c>
      <c r="AD3776" s="0" t="str">
        <f aca="false">IF(AND(C3775=C3776,AA3775=AA3776-1),AB3775,"")</f>
        <v/>
      </c>
      <c r="AE3776" s="0" t="str">
        <f aca="false">IF(AND(C3775=C3776,AA3775=AA3776-1),AC3775,"")</f>
        <v/>
      </c>
      <c r="AF3776" s="0" t="str">
        <f aca="false">IF(AA3776=1,"",IF(AND(AB3776=1,AD3776&lt;&gt;1),1,0))</f>
        <v/>
      </c>
      <c r="AG3776" s="0" t="str">
        <f aca="false">IF(AA3776=1,"",IF(AND(AC3776=1,AE3776&lt;&gt;1),1,0))</f>
        <v/>
      </c>
      <c r="AH3776" s="51" t="str">
        <f aca="false">IF(AND(E3776&gt;0,AA3776&lt;1,NOT(AND(C3777=C3776,AA3777=AA3776+1))),INDEX(DATAS,AA3776+1),"")</f>
        <v/>
      </c>
      <c r="AI3776" s="51" t="str">
        <f aca="false">IF(AND(AC3776=1,AA3776&lt;1),IF(AND(C3777=C3776,AA3777=AA3776+1),IF(AC3777=1,"",INDEX(DATAS,AA3776+1)),INDEX(DATAS,AA3776+1)),"")</f>
        <v/>
      </c>
    </row>
    <row r="3777" customFormat="false" ht="15" hidden="false" customHeight="false" outlineLevel="0" collapsed="false">
      <c r="A3777" s="51" t="n">
        <v>46309</v>
      </c>
      <c r="B3777" s="0" t="n">
        <v>15</v>
      </c>
      <c r="C3777" s="0" t="n">
        <v>30430</v>
      </c>
      <c r="E3777" s="0" t="n">
        <v>0</v>
      </c>
      <c r="F3777" s="46" t="s">
        <v>1423</v>
      </c>
      <c r="I3777" s="46" t="s">
        <v>1697</v>
      </c>
      <c r="U3777" s="0" t="n">
        <v>296</v>
      </c>
      <c r="V3777" s="0" t="n">
        <v>0</v>
      </c>
      <c r="X3777" s="46" t="n">
        <f aca="false">IF(I3777="Male",0,1)</f>
        <v>1</v>
      </c>
      <c r="Y3777" s="46" t="n">
        <f aca="false">IF(OR(I3777="DNB",I3777="Dry DNB"),1,0)</f>
        <v>0</v>
      </c>
      <c r="Z3777" s="0" t="str">
        <f aca="false">IF(ISNUMBER(W3777),A3777-W3777,"")</f>
        <v/>
      </c>
      <c r="AA3777" s="46" t="n">
        <f aca="false">MATCH(A3777,DATAS,0)</f>
        <v>1</v>
      </c>
      <c r="AB3777" s="46" t="n">
        <f aca="false">IF(AND(E3777&gt;0,OR(AND(B3777&gt;=1,B3777&lt;=6),B3777=10)),1,0)</f>
        <v>0</v>
      </c>
      <c r="AC3777" s="46" t="n">
        <f aca="false">IF(AND(E3777&gt;0,B3777=10),1,0)</f>
        <v>0</v>
      </c>
      <c r="AD3777" s="0" t="str">
        <f aca="false">IF(AND(C3776=C3777,AA3776=AA3777-1),AB3776,"")</f>
        <v/>
      </c>
      <c r="AE3777" s="0" t="str">
        <f aca="false">IF(AND(C3776=C3777,AA3776=AA3777-1),AC3776,"")</f>
        <v/>
      </c>
      <c r="AF3777" s="0" t="str">
        <f aca="false">IF(AA3777=1,"",IF(AND(AB3777=1,AD3777&lt;&gt;1),1,0))</f>
        <v/>
      </c>
      <c r="AG3777" s="0" t="str">
        <f aca="false">IF(AA3777=1,"",IF(AND(AC3777=1,AE3777&lt;&gt;1),1,0))</f>
        <v/>
      </c>
      <c r="AH3777" s="51" t="str">
        <f aca="false">IF(AND(E3777&gt;0,AA3777&lt;1,NOT(AND(C3778=C3777,AA3778=AA3777+1))),INDEX(DATAS,AA3777+1),"")</f>
        <v/>
      </c>
      <c r="AI3777" s="51" t="str">
        <f aca="false">IF(AND(AC3777=1,AA3777&lt;1),IF(AND(C3778=C3777,AA3778=AA3777+1),IF(AC3778=1,"",INDEX(DATAS,AA3777+1)),INDEX(DATAS,AA3777+1)),"")</f>
        <v/>
      </c>
    </row>
    <row r="3778" customFormat="false" ht="15" hidden="false" customHeight="false" outlineLevel="0" collapsed="false">
      <c r="A3778" s="51" t="n">
        <v>46309</v>
      </c>
      <c r="B3778" s="0" t="n">
        <v>15</v>
      </c>
      <c r="C3778" s="0" t="n">
        <v>30432</v>
      </c>
      <c r="E3778" s="0" t="n">
        <v>0</v>
      </c>
      <c r="F3778" s="46" t="s">
        <v>1423</v>
      </c>
      <c r="I3778" s="46" t="s">
        <v>150</v>
      </c>
      <c r="U3778" s="0" t="n">
        <v>296</v>
      </c>
      <c r="V3778" s="0" t="n">
        <v>0</v>
      </c>
      <c r="X3778" s="46" t="n">
        <f aca="false">IF(I3778="Male",0,1)</f>
        <v>0</v>
      </c>
      <c r="Y3778" s="46" t="n">
        <f aca="false">IF(OR(I3778="DNB",I3778="Dry DNB"),1,0)</f>
        <v>0</v>
      </c>
      <c r="Z3778" s="0" t="str">
        <f aca="false">IF(ISNUMBER(W3778),A3778-W3778,"")</f>
        <v/>
      </c>
      <c r="AA3778" s="46" t="n">
        <f aca="false">MATCH(A3778,DATAS,0)</f>
        <v>1</v>
      </c>
      <c r="AB3778" s="46" t="n">
        <f aca="false">IF(AND(E3778&gt;0,OR(AND(B3778&gt;=1,B3778&lt;=6),B3778=10)),1,0)</f>
        <v>0</v>
      </c>
      <c r="AC3778" s="46" t="n">
        <f aca="false">IF(AND(E3778&gt;0,B3778=10),1,0)</f>
        <v>0</v>
      </c>
      <c r="AD3778" s="0" t="str">
        <f aca="false">IF(AND(C3777=C3778,AA3777=AA3778-1),AB3777,"")</f>
        <v/>
      </c>
      <c r="AE3778" s="0" t="str">
        <f aca="false">IF(AND(C3777=C3778,AA3777=AA3778-1),AC3777,"")</f>
        <v/>
      </c>
      <c r="AF3778" s="0" t="str">
        <f aca="false">IF(AA3778=1,"",IF(AND(AB3778=1,AD3778&lt;&gt;1),1,0))</f>
        <v/>
      </c>
      <c r="AG3778" s="0" t="str">
        <f aca="false">IF(AA3778=1,"",IF(AND(AC3778=1,AE3778&lt;&gt;1),1,0))</f>
        <v/>
      </c>
      <c r="AH3778" s="51" t="str">
        <f aca="false">IF(AND(E3778&gt;0,AA3778&lt;1,NOT(AND(C3779=C3778,AA3779=AA3778+1))),INDEX(DATAS,AA3778+1),"")</f>
        <v/>
      </c>
      <c r="AI3778" s="51" t="str">
        <f aca="false">IF(AND(AC3778=1,AA3778&lt;1),IF(AND(C3779=C3778,AA3779=AA3778+1),IF(AC3779=1,"",INDEX(DATAS,AA3778+1)),INDEX(DATAS,AA3778+1)),"")</f>
        <v/>
      </c>
    </row>
    <row r="3779" customFormat="false" ht="15" hidden="false" customHeight="false" outlineLevel="0" collapsed="false">
      <c r="A3779" s="51" t="n">
        <v>46309</v>
      </c>
      <c r="B3779" s="0" t="n">
        <v>15</v>
      </c>
      <c r="C3779" s="0" t="n">
        <v>30434</v>
      </c>
      <c r="E3779" s="0" t="n">
        <v>0</v>
      </c>
      <c r="F3779" s="46" t="s">
        <v>1425</v>
      </c>
      <c r="I3779" s="46" t="s">
        <v>1697</v>
      </c>
      <c r="U3779" s="0" t="n">
        <v>294</v>
      </c>
      <c r="V3779" s="0" t="n">
        <v>0</v>
      </c>
      <c r="X3779" s="46" t="n">
        <f aca="false">IF(I3779="Male",0,1)</f>
        <v>1</v>
      </c>
      <c r="Y3779" s="46" t="n">
        <f aca="false">IF(OR(I3779="DNB",I3779="Dry DNB"),1,0)</f>
        <v>0</v>
      </c>
      <c r="Z3779" s="0" t="str">
        <f aca="false">IF(ISNUMBER(W3779),A3779-W3779,"")</f>
        <v/>
      </c>
      <c r="AA3779" s="46" t="n">
        <f aca="false">MATCH(A3779,DATAS,0)</f>
        <v>1</v>
      </c>
      <c r="AB3779" s="46" t="n">
        <f aca="false">IF(AND(E3779&gt;0,OR(AND(B3779&gt;=1,B3779&lt;=6),B3779=10)),1,0)</f>
        <v>0</v>
      </c>
      <c r="AC3779" s="46" t="n">
        <f aca="false">IF(AND(E3779&gt;0,B3779=10),1,0)</f>
        <v>0</v>
      </c>
      <c r="AD3779" s="0" t="str">
        <f aca="false">IF(AND(C3778=C3779,AA3778=AA3779-1),AB3778,"")</f>
        <v/>
      </c>
      <c r="AE3779" s="0" t="str">
        <f aca="false">IF(AND(C3778=C3779,AA3778=AA3779-1),AC3778,"")</f>
        <v/>
      </c>
      <c r="AF3779" s="0" t="str">
        <f aca="false">IF(AA3779=1,"",IF(AND(AB3779=1,AD3779&lt;&gt;1),1,0))</f>
        <v/>
      </c>
      <c r="AG3779" s="0" t="str">
        <f aca="false">IF(AA3779=1,"",IF(AND(AC3779=1,AE3779&lt;&gt;1),1,0))</f>
        <v/>
      </c>
      <c r="AH3779" s="51" t="str">
        <f aca="false">IF(AND(E3779&gt;0,AA3779&lt;1,NOT(AND(C3780=C3779,AA3780=AA3779+1))),INDEX(DATAS,AA3779+1),"")</f>
        <v/>
      </c>
      <c r="AI3779" s="51" t="str">
        <f aca="false">IF(AND(AC3779=1,AA3779&lt;1),IF(AND(C3780=C3779,AA3780=AA3779+1),IF(AC3780=1,"",INDEX(DATAS,AA3779+1)),INDEX(DATAS,AA3779+1)),"")</f>
        <v/>
      </c>
    </row>
    <row r="3780" customFormat="false" ht="15" hidden="false" customHeight="false" outlineLevel="0" collapsed="false">
      <c r="A3780" s="51" t="n">
        <v>46309</v>
      </c>
      <c r="B3780" s="0" t="n">
        <v>15</v>
      </c>
      <c r="C3780" s="0" t="n">
        <v>30437</v>
      </c>
      <c r="E3780" s="0" t="n">
        <v>0</v>
      </c>
      <c r="F3780" s="46" t="s">
        <v>1698</v>
      </c>
      <c r="I3780" s="46" t="s">
        <v>150</v>
      </c>
      <c r="U3780" s="0" t="n">
        <v>293</v>
      </c>
      <c r="V3780" s="0" t="n">
        <v>0</v>
      </c>
      <c r="X3780" s="46" t="n">
        <f aca="false">IF(I3780="Male",0,1)</f>
        <v>0</v>
      </c>
      <c r="Y3780" s="46" t="n">
        <f aca="false">IF(OR(I3780="DNB",I3780="Dry DNB"),1,0)</f>
        <v>0</v>
      </c>
      <c r="Z3780" s="0" t="str">
        <f aca="false">IF(ISNUMBER(W3780),A3780-W3780,"")</f>
        <v/>
      </c>
      <c r="AA3780" s="46" t="n">
        <f aca="false">MATCH(A3780,DATAS,0)</f>
        <v>1</v>
      </c>
      <c r="AB3780" s="46" t="n">
        <f aca="false">IF(AND(E3780&gt;0,OR(AND(B3780&gt;=1,B3780&lt;=6),B3780=10)),1,0)</f>
        <v>0</v>
      </c>
      <c r="AC3780" s="46" t="n">
        <f aca="false">IF(AND(E3780&gt;0,B3780=10),1,0)</f>
        <v>0</v>
      </c>
      <c r="AD3780" s="0" t="str">
        <f aca="false">IF(AND(C3779=C3780,AA3779=AA3780-1),AB3779,"")</f>
        <v/>
      </c>
      <c r="AE3780" s="0" t="str">
        <f aca="false">IF(AND(C3779=C3780,AA3779=AA3780-1),AC3779,"")</f>
        <v/>
      </c>
      <c r="AF3780" s="0" t="str">
        <f aca="false">IF(AA3780=1,"",IF(AND(AB3780=1,AD3780&lt;&gt;1),1,0))</f>
        <v/>
      </c>
      <c r="AG3780" s="0" t="str">
        <f aca="false">IF(AA3780=1,"",IF(AND(AC3780=1,AE3780&lt;&gt;1),1,0))</f>
        <v/>
      </c>
      <c r="AH3780" s="51" t="str">
        <f aca="false">IF(AND(E3780&gt;0,AA3780&lt;1,NOT(AND(C3781=C3780,AA3781=AA3780+1))),INDEX(DATAS,AA3780+1),"")</f>
        <v/>
      </c>
      <c r="AI3780" s="51" t="str">
        <f aca="false">IF(AND(AC3780=1,AA3780&lt;1),IF(AND(C3781=C3780,AA3781=AA3780+1),IF(AC3781=1,"",INDEX(DATAS,AA3780+1)),INDEX(DATAS,AA3780+1)),"")</f>
        <v/>
      </c>
    </row>
    <row r="3781" customFormat="false" ht="15" hidden="false" customHeight="false" outlineLevel="0" collapsed="false">
      <c r="A3781" s="51" t="n">
        <v>46309</v>
      </c>
      <c r="B3781" s="0" t="n">
        <v>15</v>
      </c>
      <c r="C3781" s="0" t="n">
        <v>30441</v>
      </c>
      <c r="E3781" s="0" t="n">
        <v>0</v>
      </c>
      <c r="F3781" s="46" t="s">
        <v>1699</v>
      </c>
      <c r="I3781" s="46" t="s">
        <v>150</v>
      </c>
      <c r="U3781" s="0" t="n">
        <v>290</v>
      </c>
      <c r="V3781" s="0" t="n">
        <v>0</v>
      </c>
      <c r="X3781" s="46" t="n">
        <f aca="false">IF(I3781="Male",0,1)</f>
        <v>0</v>
      </c>
      <c r="Y3781" s="46" t="n">
        <f aca="false">IF(OR(I3781="DNB",I3781="Dry DNB"),1,0)</f>
        <v>0</v>
      </c>
      <c r="Z3781" s="0" t="str">
        <f aca="false">IF(ISNUMBER(W3781),A3781-W3781,"")</f>
        <v/>
      </c>
      <c r="AA3781" s="46" t="n">
        <f aca="false">MATCH(A3781,DATAS,0)</f>
        <v>1</v>
      </c>
      <c r="AB3781" s="46" t="n">
        <f aca="false">IF(AND(E3781&gt;0,OR(AND(B3781&gt;=1,B3781&lt;=6),B3781=10)),1,0)</f>
        <v>0</v>
      </c>
      <c r="AC3781" s="46" t="n">
        <f aca="false">IF(AND(E3781&gt;0,B3781=10),1,0)</f>
        <v>0</v>
      </c>
      <c r="AD3781" s="0" t="str">
        <f aca="false">IF(AND(C3780=C3781,AA3780=AA3781-1),AB3780,"")</f>
        <v/>
      </c>
      <c r="AE3781" s="0" t="str">
        <f aca="false">IF(AND(C3780=C3781,AA3780=AA3781-1),AC3780,"")</f>
        <v/>
      </c>
      <c r="AF3781" s="0" t="str">
        <f aca="false">IF(AA3781=1,"",IF(AND(AB3781=1,AD3781&lt;&gt;1),1,0))</f>
        <v/>
      </c>
      <c r="AG3781" s="0" t="str">
        <f aca="false">IF(AA3781=1,"",IF(AND(AC3781=1,AE3781&lt;&gt;1),1,0))</f>
        <v/>
      </c>
      <c r="AH3781" s="51" t="str">
        <f aca="false">IF(AND(E3781&gt;0,AA3781&lt;1,NOT(AND(C3782=C3781,AA3782=AA3781+1))),INDEX(DATAS,AA3781+1),"")</f>
        <v/>
      </c>
      <c r="AI3781" s="51" t="str">
        <f aca="false">IF(AND(AC3781=1,AA3781&lt;1),IF(AND(C3782=C3781,AA3782=AA3781+1),IF(AC3782=1,"",INDEX(DATAS,AA3781+1)),INDEX(DATAS,AA3781+1)),"")</f>
        <v/>
      </c>
    </row>
    <row r="3782" customFormat="false" ht="15" hidden="false" customHeight="false" outlineLevel="0" collapsed="false">
      <c r="A3782" s="51" t="n">
        <v>46309</v>
      </c>
      <c r="B3782" s="0" t="n">
        <v>15</v>
      </c>
      <c r="C3782" s="0" t="n">
        <v>30443</v>
      </c>
      <c r="E3782" s="0" t="n">
        <v>0</v>
      </c>
      <c r="F3782" s="46" t="s">
        <v>1428</v>
      </c>
      <c r="I3782" s="46" t="s">
        <v>150</v>
      </c>
      <c r="U3782" s="0" t="n">
        <v>289</v>
      </c>
      <c r="V3782" s="0" t="n">
        <v>0</v>
      </c>
      <c r="X3782" s="46" t="n">
        <f aca="false">IF(I3782="Male",0,1)</f>
        <v>0</v>
      </c>
      <c r="Y3782" s="46" t="n">
        <f aca="false">IF(OR(I3782="DNB",I3782="Dry DNB"),1,0)</f>
        <v>0</v>
      </c>
      <c r="Z3782" s="0" t="str">
        <f aca="false">IF(ISNUMBER(W3782),A3782-W3782,"")</f>
        <v/>
      </c>
      <c r="AA3782" s="46" t="n">
        <f aca="false">MATCH(A3782,DATAS,0)</f>
        <v>1</v>
      </c>
      <c r="AB3782" s="46" t="n">
        <f aca="false">IF(AND(E3782&gt;0,OR(AND(B3782&gt;=1,B3782&lt;=6),B3782=10)),1,0)</f>
        <v>0</v>
      </c>
      <c r="AC3782" s="46" t="n">
        <f aca="false">IF(AND(E3782&gt;0,B3782=10),1,0)</f>
        <v>0</v>
      </c>
      <c r="AD3782" s="0" t="str">
        <f aca="false">IF(AND(C3781=C3782,AA3781=AA3782-1),AB3781,"")</f>
        <v/>
      </c>
      <c r="AE3782" s="0" t="str">
        <f aca="false">IF(AND(C3781=C3782,AA3781=AA3782-1),AC3781,"")</f>
        <v/>
      </c>
      <c r="AF3782" s="0" t="str">
        <f aca="false">IF(AA3782=1,"",IF(AND(AB3782=1,AD3782&lt;&gt;1),1,0))</f>
        <v/>
      </c>
      <c r="AG3782" s="0" t="str">
        <f aca="false">IF(AA3782=1,"",IF(AND(AC3782=1,AE3782&lt;&gt;1),1,0))</f>
        <v/>
      </c>
      <c r="AH3782" s="51" t="str">
        <f aca="false">IF(AND(E3782&gt;0,AA3782&lt;1,NOT(AND(C3783=C3782,AA3783=AA3782+1))),INDEX(DATAS,AA3782+1),"")</f>
        <v/>
      </c>
      <c r="AI3782" s="51" t="str">
        <f aca="false">IF(AND(AC3782=1,AA3782&lt;1),IF(AND(C3783=C3782,AA3783=AA3782+1),IF(AC3783=1,"",INDEX(DATAS,AA3782+1)),INDEX(DATAS,AA3782+1)),"")</f>
        <v/>
      </c>
    </row>
    <row r="3783" customFormat="false" ht="15" hidden="false" customHeight="false" outlineLevel="0" collapsed="false">
      <c r="A3783" s="51" t="n">
        <v>46309</v>
      </c>
      <c r="B3783" s="0" t="n">
        <v>15</v>
      </c>
      <c r="C3783" s="0" t="n">
        <v>30445</v>
      </c>
      <c r="E3783" s="0" t="n">
        <v>0</v>
      </c>
      <c r="F3783" s="46" t="s">
        <v>1430</v>
      </c>
      <c r="I3783" s="46" t="s">
        <v>150</v>
      </c>
      <c r="U3783" s="0" t="n">
        <v>287</v>
      </c>
      <c r="V3783" s="0" t="n">
        <v>0</v>
      </c>
      <c r="X3783" s="46" t="n">
        <f aca="false">IF(I3783="Male",0,1)</f>
        <v>0</v>
      </c>
      <c r="Y3783" s="46" t="n">
        <f aca="false">IF(OR(I3783="DNB",I3783="Dry DNB"),1,0)</f>
        <v>0</v>
      </c>
      <c r="Z3783" s="0" t="str">
        <f aca="false">IF(ISNUMBER(W3783),A3783-W3783,"")</f>
        <v/>
      </c>
      <c r="AA3783" s="46" t="n">
        <f aca="false">MATCH(A3783,DATAS,0)</f>
        <v>1</v>
      </c>
      <c r="AB3783" s="46" t="n">
        <f aca="false">IF(AND(E3783&gt;0,OR(AND(B3783&gt;=1,B3783&lt;=6),B3783=10)),1,0)</f>
        <v>0</v>
      </c>
      <c r="AC3783" s="46" t="n">
        <f aca="false">IF(AND(E3783&gt;0,B3783=10),1,0)</f>
        <v>0</v>
      </c>
      <c r="AD3783" s="0" t="str">
        <f aca="false">IF(AND(C3782=C3783,AA3782=AA3783-1),AB3782,"")</f>
        <v/>
      </c>
      <c r="AE3783" s="0" t="str">
        <f aca="false">IF(AND(C3782=C3783,AA3782=AA3783-1),AC3782,"")</f>
        <v/>
      </c>
      <c r="AF3783" s="0" t="str">
        <f aca="false">IF(AA3783=1,"",IF(AND(AB3783=1,AD3783&lt;&gt;1),1,0))</f>
        <v/>
      </c>
      <c r="AG3783" s="0" t="str">
        <f aca="false">IF(AA3783=1,"",IF(AND(AC3783=1,AE3783&lt;&gt;1),1,0))</f>
        <v/>
      </c>
      <c r="AH3783" s="51" t="str">
        <f aca="false">IF(AND(E3783&gt;0,AA3783&lt;1,NOT(AND(C3784=C3783,AA3784=AA3783+1))),INDEX(DATAS,AA3783+1),"")</f>
        <v/>
      </c>
      <c r="AI3783" s="51" t="str">
        <f aca="false">IF(AND(AC3783=1,AA3783&lt;1),IF(AND(C3784=C3783,AA3784=AA3783+1),IF(AC3784=1,"",INDEX(DATAS,AA3783+1)),INDEX(DATAS,AA3783+1)),"")</f>
        <v/>
      </c>
    </row>
    <row r="3784" customFormat="false" ht="15" hidden="false" customHeight="false" outlineLevel="0" collapsed="false">
      <c r="A3784" s="51" t="n">
        <v>46309</v>
      </c>
      <c r="B3784" s="0" t="n">
        <v>15</v>
      </c>
      <c r="C3784" s="0" t="n">
        <v>30446</v>
      </c>
      <c r="E3784" s="0" t="n">
        <v>0</v>
      </c>
      <c r="F3784" s="46" t="s">
        <v>1430</v>
      </c>
      <c r="I3784" s="46" t="s">
        <v>150</v>
      </c>
      <c r="U3784" s="0" t="n">
        <v>287</v>
      </c>
      <c r="V3784" s="0" t="n">
        <v>0</v>
      </c>
      <c r="X3784" s="46" t="n">
        <f aca="false">IF(I3784="Male",0,1)</f>
        <v>0</v>
      </c>
      <c r="Y3784" s="46" t="n">
        <f aca="false">IF(OR(I3784="DNB",I3784="Dry DNB"),1,0)</f>
        <v>0</v>
      </c>
      <c r="Z3784" s="0" t="str">
        <f aca="false">IF(ISNUMBER(W3784),A3784-W3784,"")</f>
        <v/>
      </c>
      <c r="AA3784" s="46" t="n">
        <f aca="false">MATCH(A3784,DATAS,0)</f>
        <v>1</v>
      </c>
      <c r="AB3784" s="46" t="n">
        <f aca="false">IF(AND(E3784&gt;0,OR(AND(B3784&gt;=1,B3784&lt;=6),B3784=10)),1,0)</f>
        <v>0</v>
      </c>
      <c r="AC3784" s="46" t="n">
        <f aca="false">IF(AND(E3784&gt;0,B3784=10),1,0)</f>
        <v>0</v>
      </c>
      <c r="AD3784" s="0" t="str">
        <f aca="false">IF(AND(C3783=C3784,AA3783=AA3784-1),AB3783,"")</f>
        <v/>
      </c>
      <c r="AE3784" s="0" t="str">
        <f aca="false">IF(AND(C3783=C3784,AA3783=AA3784-1),AC3783,"")</f>
        <v/>
      </c>
      <c r="AF3784" s="0" t="str">
        <f aca="false">IF(AA3784=1,"",IF(AND(AB3784=1,AD3784&lt;&gt;1),1,0))</f>
        <v/>
      </c>
      <c r="AG3784" s="0" t="str">
        <f aca="false">IF(AA3784=1,"",IF(AND(AC3784=1,AE3784&lt;&gt;1),1,0))</f>
        <v/>
      </c>
      <c r="AH3784" s="51" t="str">
        <f aca="false">IF(AND(E3784&gt;0,AA3784&lt;1,NOT(AND(C3785=C3784,AA3785=AA3784+1))),INDEX(DATAS,AA3784+1),"")</f>
        <v/>
      </c>
      <c r="AI3784" s="51" t="str">
        <f aca="false">IF(AND(AC3784=1,AA3784&lt;1),IF(AND(C3785=C3784,AA3785=AA3784+1),IF(AC3785=1,"",INDEX(DATAS,AA3784+1)),INDEX(DATAS,AA3784+1)),"")</f>
        <v/>
      </c>
    </row>
    <row r="3785" customFormat="false" ht="15" hidden="false" customHeight="false" outlineLevel="0" collapsed="false">
      <c r="A3785" s="51" t="n">
        <v>46309</v>
      </c>
      <c r="B3785" s="0" t="n">
        <v>15</v>
      </c>
      <c r="C3785" s="0" t="n">
        <v>30447</v>
      </c>
      <c r="E3785" s="0" t="n">
        <v>0</v>
      </c>
      <c r="F3785" s="46" t="s">
        <v>1432</v>
      </c>
      <c r="I3785" s="46" t="s">
        <v>150</v>
      </c>
      <c r="U3785" s="0" t="n">
        <v>285</v>
      </c>
      <c r="V3785" s="0" t="n">
        <v>0</v>
      </c>
      <c r="X3785" s="46" t="n">
        <f aca="false">IF(I3785="Male",0,1)</f>
        <v>0</v>
      </c>
      <c r="Y3785" s="46" t="n">
        <f aca="false">IF(OR(I3785="DNB",I3785="Dry DNB"),1,0)</f>
        <v>0</v>
      </c>
      <c r="Z3785" s="0" t="str">
        <f aca="false">IF(ISNUMBER(W3785),A3785-W3785,"")</f>
        <v/>
      </c>
      <c r="AA3785" s="46" t="n">
        <f aca="false">MATCH(A3785,DATAS,0)</f>
        <v>1</v>
      </c>
      <c r="AB3785" s="46" t="n">
        <f aca="false">IF(AND(E3785&gt;0,OR(AND(B3785&gt;=1,B3785&lt;=6),B3785=10)),1,0)</f>
        <v>0</v>
      </c>
      <c r="AC3785" s="46" t="n">
        <f aca="false">IF(AND(E3785&gt;0,B3785=10),1,0)</f>
        <v>0</v>
      </c>
      <c r="AD3785" s="0" t="str">
        <f aca="false">IF(AND(C3784=C3785,AA3784=AA3785-1),AB3784,"")</f>
        <v/>
      </c>
      <c r="AE3785" s="0" t="str">
        <f aca="false">IF(AND(C3784=C3785,AA3784=AA3785-1),AC3784,"")</f>
        <v/>
      </c>
      <c r="AF3785" s="0" t="str">
        <f aca="false">IF(AA3785=1,"",IF(AND(AB3785=1,AD3785&lt;&gt;1),1,0))</f>
        <v/>
      </c>
      <c r="AG3785" s="0" t="str">
        <f aca="false">IF(AA3785=1,"",IF(AND(AC3785=1,AE3785&lt;&gt;1),1,0))</f>
        <v/>
      </c>
      <c r="AH3785" s="51" t="str">
        <f aca="false">IF(AND(E3785&gt;0,AA3785&lt;1,NOT(AND(C3786=C3785,AA3786=AA3785+1))),INDEX(DATAS,AA3785+1),"")</f>
        <v/>
      </c>
      <c r="AI3785" s="51" t="str">
        <f aca="false">IF(AND(AC3785=1,AA3785&lt;1),IF(AND(C3786=C3785,AA3786=AA3785+1),IF(AC3786=1,"",INDEX(DATAS,AA3785+1)),INDEX(DATAS,AA3785+1)),"")</f>
        <v/>
      </c>
    </row>
    <row r="3786" customFormat="false" ht="15" hidden="false" customHeight="false" outlineLevel="0" collapsed="false">
      <c r="A3786" s="51" t="n">
        <v>46309</v>
      </c>
      <c r="B3786" s="0" t="n">
        <v>15</v>
      </c>
      <c r="C3786" s="0" t="n">
        <v>30448</v>
      </c>
      <c r="E3786" s="0" t="n">
        <v>0</v>
      </c>
      <c r="F3786" s="46" t="s">
        <v>1433</v>
      </c>
      <c r="I3786" s="46" t="s">
        <v>150</v>
      </c>
      <c r="U3786" s="0" t="n">
        <v>284</v>
      </c>
      <c r="V3786" s="0" t="n">
        <v>0</v>
      </c>
      <c r="X3786" s="46" t="n">
        <f aca="false">IF(I3786="Male",0,1)</f>
        <v>0</v>
      </c>
      <c r="Y3786" s="46" t="n">
        <f aca="false">IF(OR(I3786="DNB",I3786="Dry DNB"),1,0)</f>
        <v>0</v>
      </c>
      <c r="Z3786" s="0" t="str">
        <f aca="false">IF(ISNUMBER(W3786),A3786-W3786,"")</f>
        <v/>
      </c>
      <c r="AA3786" s="46" t="n">
        <f aca="false">MATCH(A3786,DATAS,0)</f>
        <v>1</v>
      </c>
      <c r="AB3786" s="46" t="n">
        <f aca="false">IF(AND(E3786&gt;0,OR(AND(B3786&gt;=1,B3786&lt;=6),B3786=10)),1,0)</f>
        <v>0</v>
      </c>
      <c r="AC3786" s="46" t="n">
        <f aca="false">IF(AND(E3786&gt;0,B3786=10),1,0)</f>
        <v>0</v>
      </c>
      <c r="AD3786" s="0" t="str">
        <f aca="false">IF(AND(C3785=C3786,AA3785=AA3786-1),AB3785,"")</f>
        <v/>
      </c>
      <c r="AE3786" s="0" t="str">
        <f aca="false">IF(AND(C3785=C3786,AA3785=AA3786-1),AC3785,"")</f>
        <v/>
      </c>
      <c r="AF3786" s="0" t="str">
        <f aca="false">IF(AA3786=1,"",IF(AND(AB3786=1,AD3786&lt;&gt;1),1,0))</f>
        <v/>
      </c>
      <c r="AG3786" s="0" t="str">
        <f aca="false">IF(AA3786=1,"",IF(AND(AC3786=1,AE3786&lt;&gt;1),1,0))</f>
        <v/>
      </c>
      <c r="AH3786" s="51" t="str">
        <f aca="false">IF(AND(E3786&gt;0,AA3786&lt;1,NOT(AND(C3787=C3786,AA3787=AA3786+1))),INDEX(DATAS,AA3786+1),"")</f>
        <v/>
      </c>
      <c r="AI3786" s="51" t="str">
        <f aca="false">IF(AND(AC3786=1,AA3786&lt;1),IF(AND(C3787=C3786,AA3787=AA3786+1),IF(AC3787=1,"",INDEX(DATAS,AA3786+1)),INDEX(DATAS,AA3786+1)),"")</f>
        <v/>
      </c>
    </row>
    <row r="3787" customFormat="false" ht="15" hidden="false" customHeight="false" outlineLevel="0" collapsed="false">
      <c r="A3787" s="51" t="n">
        <v>46309</v>
      </c>
      <c r="B3787" s="0" t="n">
        <v>15</v>
      </c>
      <c r="C3787" s="0" t="n">
        <v>30450</v>
      </c>
      <c r="E3787" s="0" t="n">
        <v>0</v>
      </c>
      <c r="F3787" s="46" t="s">
        <v>1435</v>
      </c>
      <c r="I3787" s="46" t="s">
        <v>150</v>
      </c>
      <c r="U3787" s="0" t="n">
        <v>282</v>
      </c>
      <c r="V3787" s="0" t="n">
        <v>0</v>
      </c>
      <c r="X3787" s="46" t="n">
        <f aca="false">IF(I3787="Male",0,1)</f>
        <v>0</v>
      </c>
      <c r="Y3787" s="46" t="n">
        <f aca="false">IF(OR(I3787="DNB",I3787="Dry DNB"),1,0)</f>
        <v>0</v>
      </c>
      <c r="Z3787" s="0" t="str">
        <f aca="false">IF(ISNUMBER(W3787),A3787-W3787,"")</f>
        <v/>
      </c>
      <c r="AA3787" s="46" t="n">
        <f aca="false">MATCH(A3787,DATAS,0)</f>
        <v>1</v>
      </c>
      <c r="AB3787" s="46" t="n">
        <f aca="false">IF(AND(E3787&gt;0,OR(AND(B3787&gt;=1,B3787&lt;=6),B3787=10)),1,0)</f>
        <v>0</v>
      </c>
      <c r="AC3787" s="46" t="n">
        <f aca="false">IF(AND(E3787&gt;0,B3787=10),1,0)</f>
        <v>0</v>
      </c>
      <c r="AD3787" s="0" t="str">
        <f aca="false">IF(AND(C3786=C3787,AA3786=AA3787-1),AB3786,"")</f>
        <v/>
      </c>
      <c r="AE3787" s="0" t="str">
        <f aca="false">IF(AND(C3786=C3787,AA3786=AA3787-1),AC3786,"")</f>
        <v/>
      </c>
      <c r="AF3787" s="0" t="str">
        <f aca="false">IF(AA3787=1,"",IF(AND(AB3787=1,AD3787&lt;&gt;1),1,0))</f>
        <v/>
      </c>
      <c r="AG3787" s="0" t="str">
        <f aca="false">IF(AA3787=1,"",IF(AND(AC3787=1,AE3787&lt;&gt;1),1,0))</f>
        <v/>
      </c>
      <c r="AH3787" s="51" t="str">
        <f aca="false">IF(AND(E3787&gt;0,AA3787&lt;1,NOT(AND(C3788=C3787,AA3788=AA3787+1))),INDEX(DATAS,AA3787+1),"")</f>
        <v/>
      </c>
      <c r="AI3787" s="51" t="str">
        <f aca="false">IF(AND(AC3787=1,AA3787&lt;1),IF(AND(C3788=C3787,AA3788=AA3787+1),IF(AC3788=1,"",INDEX(DATAS,AA3787+1)),INDEX(DATAS,AA3787+1)),"")</f>
        <v/>
      </c>
    </row>
    <row r="3788" customFormat="false" ht="15" hidden="false" customHeight="false" outlineLevel="0" collapsed="false">
      <c r="A3788" s="51" t="n">
        <v>46309</v>
      </c>
      <c r="B3788" s="0" t="n">
        <v>15</v>
      </c>
      <c r="C3788" s="0" t="n">
        <v>30452</v>
      </c>
      <c r="E3788" s="0" t="n">
        <v>0</v>
      </c>
      <c r="F3788" s="46" t="s">
        <v>1436</v>
      </c>
      <c r="I3788" s="46" t="s">
        <v>150</v>
      </c>
      <c r="U3788" s="0" t="n">
        <v>281</v>
      </c>
      <c r="V3788" s="0" t="n">
        <v>0</v>
      </c>
      <c r="X3788" s="46" t="n">
        <f aca="false">IF(I3788="Male",0,1)</f>
        <v>0</v>
      </c>
      <c r="Y3788" s="46" t="n">
        <f aca="false">IF(OR(I3788="DNB",I3788="Dry DNB"),1,0)</f>
        <v>0</v>
      </c>
      <c r="Z3788" s="0" t="str">
        <f aca="false">IF(ISNUMBER(W3788),A3788-W3788,"")</f>
        <v/>
      </c>
      <c r="AA3788" s="46" t="n">
        <f aca="false">MATCH(A3788,DATAS,0)</f>
        <v>1</v>
      </c>
      <c r="AB3788" s="46" t="n">
        <f aca="false">IF(AND(E3788&gt;0,OR(AND(B3788&gt;=1,B3788&lt;=6),B3788=10)),1,0)</f>
        <v>0</v>
      </c>
      <c r="AC3788" s="46" t="n">
        <f aca="false">IF(AND(E3788&gt;0,B3788=10),1,0)</f>
        <v>0</v>
      </c>
      <c r="AD3788" s="0" t="str">
        <f aca="false">IF(AND(C3787=C3788,AA3787=AA3788-1),AB3787,"")</f>
        <v/>
      </c>
      <c r="AE3788" s="0" t="str">
        <f aca="false">IF(AND(C3787=C3788,AA3787=AA3788-1),AC3787,"")</f>
        <v/>
      </c>
      <c r="AF3788" s="0" t="str">
        <f aca="false">IF(AA3788=1,"",IF(AND(AB3788=1,AD3788&lt;&gt;1),1,0))</f>
        <v/>
      </c>
      <c r="AG3788" s="0" t="str">
        <f aca="false">IF(AA3788=1,"",IF(AND(AC3788=1,AE3788&lt;&gt;1),1,0))</f>
        <v/>
      </c>
      <c r="AH3788" s="51" t="str">
        <f aca="false">IF(AND(E3788&gt;0,AA3788&lt;1,NOT(AND(C3789=C3788,AA3789=AA3788+1))),INDEX(DATAS,AA3788+1),"")</f>
        <v/>
      </c>
      <c r="AI3788" s="51" t="str">
        <f aca="false">IF(AND(AC3788=1,AA3788&lt;1),IF(AND(C3789=C3788,AA3789=AA3788+1),IF(AC3789=1,"",INDEX(DATAS,AA3788+1)),INDEX(DATAS,AA3788+1)),"")</f>
        <v/>
      </c>
    </row>
    <row r="3789" customFormat="false" ht="15" hidden="false" customHeight="false" outlineLevel="0" collapsed="false">
      <c r="A3789" s="51" t="n">
        <v>46309</v>
      </c>
      <c r="B3789" s="0" t="n">
        <v>15</v>
      </c>
      <c r="C3789" s="0" t="n">
        <v>30453</v>
      </c>
      <c r="E3789" s="0" t="n">
        <v>0</v>
      </c>
      <c r="F3789" s="46" t="s">
        <v>1437</v>
      </c>
      <c r="I3789" s="46" t="s">
        <v>150</v>
      </c>
      <c r="U3789" s="0" t="n">
        <v>280</v>
      </c>
      <c r="V3789" s="0" t="n">
        <v>0</v>
      </c>
      <c r="X3789" s="46" t="n">
        <f aca="false">IF(I3789="Male",0,1)</f>
        <v>0</v>
      </c>
      <c r="Y3789" s="46" t="n">
        <f aca="false">IF(OR(I3789="DNB",I3789="Dry DNB"),1,0)</f>
        <v>0</v>
      </c>
      <c r="Z3789" s="0" t="str">
        <f aca="false">IF(ISNUMBER(W3789),A3789-W3789,"")</f>
        <v/>
      </c>
      <c r="AA3789" s="46" t="n">
        <f aca="false">MATCH(A3789,DATAS,0)</f>
        <v>1</v>
      </c>
      <c r="AB3789" s="46" t="n">
        <f aca="false">IF(AND(E3789&gt;0,OR(AND(B3789&gt;=1,B3789&lt;=6),B3789=10)),1,0)</f>
        <v>0</v>
      </c>
      <c r="AC3789" s="46" t="n">
        <f aca="false">IF(AND(E3789&gt;0,B3789=10),1,0)</f>
        <v>0</v>
      </c>
      <c r="AD3789" s="0" t="str">
        <f aca="false">IF(AND(C3788=C3789,AA3788=AA3789-1),AB3788,"")</f>
        <v/>
      </c>
      <c r="AE3789" s="0" t="str">
        <f aca="false">IF(AND(C3788=C3789,AA3788=AA3789-1),AC3788,"")</f>
        <v/>
      </c>
      <c r="AF3789" s="0" t="str">
        <f aca="false">IF(AA3789=1,"",IF(AND(AB3789=1,AD3789&lt;&gt;1),1,0))</f>
        <v/>
      </c>
      <c r="AG3789" s="0" t="str">
        <f aca="false">IF(AA3789=1,"",IF(AND(AC3789=1,AE3789&lt;&gt;1),1,0))</f>
        <v/>
      </c>
      <c r="AH3789" s="51" t="str">
        <f aca="false">IF(AND(E3789&gt;0,AA3789&lt;1,NOT(AND(C3790=C3789,AA3790=AA3789+1))),INDEX(DATAS,AA3789+1),"")</f>
        <v/>
      </c>
      <c r="AI3789" s="51" t="str">
        <f aca="false">IF(AND(AC3789=1,AA3789&lt;1),IF(AND(C3790=C3789,AA3790=AA3789+1),IF(AC3790=1,"",INDEX(DATAS,AA3789+1)),INDEX(DATAS,AA3789+1)),"")</f>
        <v/>
      </c>
    </row>
    <row r="3790" customFormat="false" ht="15" hidden="false" customHeight="false" outlineLevel="0" collapsed="false">
      <c r="A3790" s="51" t="n">
        <v>46309</v>
      </c>
      <c r="B3790" s="0" t="n">
        <v>15</v>
      </c>
      <c r="C3790" s="0" t="n">
        <v>30456</v>
      </c>
      <c r="E3790" s="0" t="n">
        <v>0</v>
      </c>
      <c r="F3790" s="46" t="s">
        <v>1437</v>
      </c>
      <c r="I3790" s="46" t="s">
        <v>1697</v>
      </c>
      <c r="U3790" s="0" t="n">
        <v>280</v>
      </c>
      <c r="V3790" s="0" t="n">
        <v>0</v>
      </c>
      <c r="X3790" s="46" t="n">
        <f aca="false">IF(I3790="Male",0,1)</f>
        <v>1</v>
      </c>
      <c r="Y3790" s="46" t="n">
        <f aca="false">IF(OR(I3790="DNB",I3790="Dry DNB"),1,0)</f>
        <v>0</v>
      </c>
      <c r="Z3790" s="0" t="str">
        <f aca="false">IF(ISNUMBER(W3790),A3790-W3790,"")</f>
        <v/>
      </c>
      <c r="AA3790" s="46" t="n">
        <f aca="false">MATCH(A3790,DATAS,0)</f>
        <v>1</v>
      </c>
      <c r="AB3790" s="46" t="n">
        <f aca="false">IF(AND(E3790&gt;0,OR(AND(B3790&gt;=1,B3790&lt;=6),B3790=10)),1,0)</f>
        <v>0</v>
      </c>
      <c r="AC3790" s="46" t="n">
        <f aca="false">IF(AND(E3790&gt;0,B3790=10),1,0)</f>
        <v>0</v>
      </c>
      <c r="AD3790" s="0" t="str">
        <f aca="false">IF(AND(C3789=C3790,AA3789=AA3790-1),AB3789,"")</f>
        <v/>
      </c>
      <c r="AE3790" s="0" t="str">
        <f aca="false">IF(AND(C3789=C3790,AA3789=AA3790-1),AC3789,"")</f>
        <v/>
      </c>
      <c r="AF3790" s="0" t="str">
        <f aca="false">IF(AA3790=1,"",IF(AND(AB3790=1,AD3790&lt;&gt;1),1,0))</f>
        <v/>
      </c>
      <c r="AG3790" s="0" t="str">
        <f aca="false">IF(AA3790=1,"",IF(AND(AC3790=1,AE3790&lt;&gt;1),1,0))</f>
        <v/>
      </c>
      <c r="AH3790" s="51" t="str">
        <f aca="false">IF(AND(E3790&gt;0,AA3790&lt;1,NOT(AND(C3791=C3790,AA3791=AA3790+1))),INDEX(DATAS,AA3790+1),"")</f>
        <v/>
      </c>
      <c r="AI3790" s="51" t="str">
        <f aca="false">IF(AND(AC3790=1,AA3790&lt;1),IF(AND(C3791=C3790,AA3791=AA3790+1),IF(AC3791=1,"",INDEX(DATAS,AA3790+1)),INDEX(DATAS,AA3790+1)),"")</f>
        <v/>
      </c>
    </row>
    <row r="3791" customFormat="false" ht="15" hidden="false" customHeight="false" outlineLevel="0" collapsed="false">
      <c r="A3791" s="51" t="n">
        <v>46309</v>
      </c>
      <c r="B3791" s="0" t="n">
        <v>15</v>
      </c>
      <c r="C3791" s="0" t="n">
        <v>30457</v>
      </c>
      <c r="E3791" s="0" t="n">
        <v>0</v>
      </c>
      <c r="F3791" s="46" t="s">
        <v>1439</v>
      </c>
      <c r="I3791" s="46" t="s">
        <v>150</v>
      </c>
      <c r="U3791" s="0" t="n">
        <v>278</v>
      </c>
      <c r="V3791" s="0" t="n">
        <v>0</v>
      </c>
      <c r="X3791" s="46" t="n">
        <f aca="false">IF(I3791="Male",0,1)</f>
        <v>0</v>
      </c>
      <c r="Y3791" s="46" t="n">
        <f aca="false">IF(OR(I3791="DNB",I3791="Dry DNB"),1,0)</f>
        <v>0</v>
      </c>
      <c r="Z3791" s="0" t="str">
        <f aca="false">IF(ISNUMBER(W3791),A3791-W3791,"")</f>
        <v/>
      </c>
      <c r="AA3791" s="46" t="n">
        <f aca="false">MATCH(A3791,DATAS,0)</f>
        <v>1</v>
      </c>
      <c r="AB3791" s="46" t="n">
        <f aca="false">IF(AND(E3791&gt;0,OR(AND(B3791&gt;=1,B3791&lt;=6),B3791=10)),1,0)</f>
        <v>0</v>
      </c>
      <c r="AC3791" s="46" t="n">
        <f aca="false">IF(AND(E3791&gt;0,B3791=10),1,0)</f>
        <v>0</v>
      </c>
      <c r="AD3791" s="0" t="str">
        <f aca="false">IF(AND(C3790=C3791,AA3790=AA3791-1),AB3790,"")</f>
        <v/>
      </c>
      <c r="AE3791" s="0" t="str">
        <f aca="false">IF(AND(C3790=C3791,AA3790=AA3791-1),AC3790,"")</f>
        <v/>
      </c>
      <c r="AF3791" s="0" t="str">
        <f aca="false">IF(AA3791=1,"",IF(AND(AB3791=1,AD3791&lt;&gt;1),1,0))</f>
        <v/>
      </c>
      <c r="AG3791" s="0" t="str">
        <f aca="false">IF(AA3791=1,"",IF(AND(AC3791=1,AE3791&lt;&gt;1),1,0))</f>
        <v/>
      </c>
      <c r="AH3791" s="51" t="str">
        <f aca="false">IF(AND(E3791&gt;0,AA3791&lt;1,NOT(AND(C3792=C3791,AA3792=AA3791+1))),INDEX(DATAS,AA3791+1),"")</f>
        <v/>
      </c>
      <c r="AI3791" s="51" t="str">
        <f aca="false">IF(AND(AC3791=1,AA3791&lt;1),IF(AND(C3792=C3791,AA3792=AA3791+1),IF(AC3792=1,"",INDEX(DATAS,AA3791+1)),INDEX(DATAS,AA3791+1)),"")</f>
        <v/>
      </c>
    </row>
    <row r="3792" customFormat="false" ht="15" hidden="false" customHeight="false" outlineLevel="0" collapsed="false">
      <c r="A3792" s="51" t="n">
        <v>46309</v>
      </c>
      <c r="B3792" s="0" t="n">
        <v>15</v>
      </c>
      <c r="C3792" s="0" t="n">
        <v>30461</v>
      </c>
      <c r="E3792" s="0" t="n">
        <v>0</v>
      </c>
      <c r="F3792" s="46" t="s">
        <v>1441</v>
      </c>
      <c r="I3792" s="46" t="s">
        <v>150</v>
      </c>
      <c r="U3792" s="0" t="n">
        <v>276</v>
      </c>
      <c r="V3792" s="0" t="n">
        <v>0</v>
      </c>
      <c r="X3792" s="46" t="n">
        <f aca="false">IF(I3792="Male",0,1)</f>
        <v>0</v>
      </c>
      <c r="Y3792" s="46" t="n">
        <f aca="false">IF(OR(I3792="DNB",I3792="Dry DNB"),1,0)</f>
        <v>0</v>
      </c>
      <c r="Z3792" s="0" t="str">
        <f aca="false">IF(ISNUMBER(W3792),A3792-W3792,"")</f>
        <v/>
      </c>
      <c r="AA3792" s="46" t="n">
        <f aca="false">MATCH(A3792,DATAS,0)</f>
        <v>1</v>
      </c>
      <c r="AB3792" s="46" t="n">
        <f aca="false">IF(AND(E3792&gt;0,OR(AND(B3792&gt;=1,B3792&lt;=6),B3792=10)),1,0)</f>
        <v>0</v>
      </c>
      <c r="AC3792" s="46" t="n">
        <f aca="false">IF(AND(E3792&gt;0,B3792=10),1,0)</f>
        <v>0</v>
      </c>
      <c r="AD3792" s="0" t="str">
        <f aca="false">IF(AND(C3791=C3792,AA3791=AA3792-1),AB3791,"")</f>
        <v/>
      </c>
      <c r="AE3792" s="0" t="str">
        <f aca="false">IF(AND(C3791=C3792,AA3791=AA3792-1),AC3791,"")</f>
        <v/>
      </c>
      <c r="AF3792" s="0" t="str">
        <f aca="false">IF(AA3792=1,"",IF(AND(AB3792=1,AD3792&lt;&gt;1),1,0))</f>
        <v/>
      </c>
      <c r="AG3792" s="0" t="str">
        <f aca="false">IF(AA3792=1,"",IF(AND(AC3792=1,AE3792&lt;&gt;1),1,0))</f>
        <v/>
      </c>
      <c r="AH3792" s="51" t="str">
        <f aca="false">IF(AND(E3792&gt;0,AA3792&lt;1,NOT(AND(C3793=C3792,AA3793=AA3792+1))),INDEX(DATAS,AA3792+1),"")</f>
        <v/>
      </c>
      <c r="AI3792" s="51" t="str">
        <f aca="false">IF(AND(AC3792=1,AA3792&lt;1),IF(AND(C3793=C3792,AA3793=AA3792+1),IF(AC3793=1,"",INDEX(DATAS,AA3792+1)),INDEX(DATAS,AA3792+1)),"")</f>
        <v/>
      </c>
    </row>
    <row r="3793" customFormat="false" ht="15" hidden="false" customHeight="false" outlineLevel="0" collapsed="false">
      <c r="A3793" s="51" t="n">
        <v>46309</v>
      </c>
      <c r="B3793" s="0" t="n">
        <v>15</v>
      </c>
      <c r="C3793" s="0" t="n">
        <v>30462</v>
      </c>
      <c r="E3793" s="0" t="n">
        <v>0</v>
      </c>
      <c r="F3793" s="46" t="s">
        <v>1442</v>
      </c>
      <c r="I3793" s="46" t="s">
        <v>150</v>
      </c>
      <c r="U3793" s="0" t="n">
        <v>275</v>
      </c>
      <c r="V3793" s="0" t="n">
        <v>0</v>
      </c>
      <c r="X3793" s="46" t="n">
        <f aca="false">IF(I3793="Male",0,1)</f>
        <v>0</v>
      </c>
      <c r="Y3793" s="46" t="n">
        <f aca="false">IF(OR(I3793="DNB",I3793="Dry DNB"),1,0)</f>
        <v>0</v>
      </c>
      <c r="Z3793" s="0" t="str">
        <f aca="false">IF(ISNUMBER(W3793),A3793-W3793,"")</f>
        <v/>
      </c>
      <c r="AA3793" s="46" t="n">
        <f aca="false">MATCH(A3793,DATAS,0)</f>
        <v>1</v>
      </c>
      <c r="AB3793" s="46" t="n">
        <f aca="false">IF(AND(E3793&gt;0,OR(AND(B3793&gt;=1,B3793&lt;=6),B3793=10)),1,0)</f>
        <v>0</v>
      </c>
      <c r="AC3793" s="46" t="n">
        <f aca="false">IF(AND(E3793&gt;0,B3793=10),1,0)</f>
        <v>0</v>
      </c>
      <c r="AD3793" s="0" t="str">
        <f aca="false">IF(AND(C3792=C3793,AA3792=AA3793-1),AB3792,"")</f>
        <v/>
      </c>
      <c r="AE3793" s="0" t="str">
        <f aca="false">IF(AND(C3792=C3793,AA3792=AA3793-1),AC3792,"")</f>
        <v/>
      </c>
      <c r="AF3793" s="0" t="str">
        <f aca="false">IF(AA3793=1,"",IF(AND(AB3793=1,AD3793&lt;&gt;1),1,0))</f>
        <v/>
      </c>
      <c r="AG3793" s="0" t="str">
        <f aca="false">IF(AA3793=1,"",IF(AND(AC3793=1,AE3793&lt;&gt;1),1,0))</f>
        <v/>
      </c>
      <c r="AH3793" s="51" t="str">
        <f aca="false">IF(AND(E3793&gt;0,AA3793&lt;1,NOT(AND(C3794=C3793,AA3794=AA3793+1))),INDEX(DATAS,AA3793+1),"")</f>
        <v/>
      </c>
      <c r="AI3793" s="51" t="str">
        <f aca="false">IF(AND(AC3793=1,AA3793&lt;1),IF(AND(C3794=C3793,AA3794=AA3793+1),IF(AC3794=1,"",INDEX(DATAS,AA3793+1)),INDEX(DATAS,AA3793+1)),"")</f>
        <v/>
      </c>
    </row>
    <row r="3794" customFormat="false" ht="15" hidden="false" customHeight="false" outlineLevel="0" collapsed="false">
      <c r="A3794" s="51" t="n">
        <v>46309</v>
      </c>
      <c r="B3794" s="0" t="n">
        <v>15</v>
      </c>
      <c r="C3794" s="0" t="n">
        <v>30463</v>
      </c>
      <c r="E3794" s="0" t="n">
        <v>0</v>
      </c>
      <c r="F3794" s="46" t="s">
        <v>1442</v>
      </c>
      <c r="I3794" s="46" t="s">
        <v>1697</v>
      </c>
      <c r="U3794" s="0" t="n">
        <v>275</v>
      </c>
      <c r="V3794" s="0" t="n">
        <v>0</v>
      </c>
      <c r="X3794" s="46" t="n">
        <f aca="false">IF(I3794="Male",0,1)</f>
        <v>1</v>
      </c>
      <c r="Y3794" s="46" t="n">
        <f aca="false">IF(OR(I3794="DNB",I3794="Dry DNB"),1,0)</f>
        <v>0</v>
      </c>
      <c r="Z3794" s="0" t="str">
        <f aca="false">IF(ISNUMBER(W3794),A3794-W3794,"")</f>
        <v/>
      </c>
      <c r="AA3794" s="46" t="n">
        <f aca="false">MATCH(A3794,DATAS,0)</f>
        <v>1</v>
      </c>
      <c r="AB3794" s="46" t="n">
        <f aca="false">IF(AND(E3794&gt;0,OR(AND(B3794&gt;=1,B3794&lt;=6),B3794=10)),1,0)</f>
        <v>0</v>
      </c>
      <c r="AC3794" s="46" t="n">
        <f aca="false">IF(AND(E3794&gt;0,B3794=10),1,0)</f>
        <v>0</v>
      </c>
      <c r="AD3794" s="0" t="str">
        <f aca="false">IF(AND(C3793=C3794,AA3793=AA3794-1),AB3793,"")</f>
        <v/>
      </c>
      <c r="AE3794" s="0" t="str">
        <f aca="false">IF(AND(C3793=C3794,AA3793=AA3794-1),AC3793,"")</f>
        <v/>
      </c>
      <c r="AF3794" s="0" t="str">
        <f aca="false">IF(AA3794=1,"",IF(AND(AB3794=1,AD3794&lt;&gt;1),1,0))</f>
        <v/>
      </c>
      <c r="AG3794" s="0" t="str">
        <f aca="false">IF(AA3794=1,"",IF(AND(AC3794=1,AE3794&lt;&gt;1),1,0))</f>
        <v/>
      </c>
      <c r="AH3794" s="51" t="str">
        <f aca="false">IF(AND(E3794&gt;0,AA3794&lt;1,NOT(AND(C3795=C3794,AA3795=AA3794+1))),INDEX(DATAS,AA3794+1),"")</f>
        <v/>
      </c>
      <c r="AI3794" s="51" t="str">
        <f aca="false">IF(AND(AC3794=1,AA3794&lt;1),IF(AND(C3795=C3794,AA3795=AA3794+1),IF(AC3795=1,"",INDEX(DATAS,AA3794+1)),INDEX(DATAS,AA3794+1)),"")</f>
        <v/>
      </c>
    </row>
    <row r="3795" customFormat="false" ht="15" hidden="false" customHeight="false" outlineLevel="0" collapsed="false">
      <c r="A3795" s="51" t="n">
        <v>46309</v>
      </c>
      <c r="B3795" s="0" t="n">
        <v>15</v>
      </c>
      <c r="C3795" s="0" t="n">
        <v>30465</v>
      </c>
      <c r="E3795" s="0" t="n">
        <v>0</v>
      </c>
      <c r="F3795" s="46" t="s">
        <v>1443</v>
      </c>
      <c r="I3795" s="46" t="s">
        <v>1697</v>
      </c>
      <c r="U3795" s="0" t="n">
        <v>274</v>
      </c>
      <c r="V3795" s="0" t="n">
        <v>0</v>
      </c>
      <c r="X3795" s="46" t="n">
        <f aca="false">IF(I3795="Male",0,1)</f>
        <v>1</v>
      </c>
      <c r="Y3795" s="46" t="n">
        <f aca="false">IF(OR(I3795="DNB",I3795="Dry DNB"),1,0)</f>
        <v>0</v>
      </c>
      <c r="Z3795" s="0" t="str">
        <f aca="false">IF(ISNUMBER(W3795),A3795-W3795,"")</f>
        <v/>
      </c>
      <c r="AA3795" s="46" t="n">
        <f aca="false">MATCH(A3795,DATAS,0)</f>
        <v>1</v>
      </c>
      <c r="AB3795" s="46" t="n">
        <f aca="false">IF(AND(E3795&gt;0,OR(AND(B3795&gt;=1,B3795&lt;=6),B3795=10)),1,0)</f>
        <v>0</v>
      </c>
      <c r="AC3795" s="46" t="n">
        <f aca="false">IF(AND(E3795&gt;0,B3795=10),1,0)</f>
        <v>0</v>
      </c>
      <c r="AD3795" s="0" t="str">
        <f aca="false">IF(AND(C3794=C3795,AA3794=AA3795-1),AB3794,"")</f>
        <v/>
      </c>
      <c r="AE3795" s="0" t="str">
        <f aca="false">IF(AND(C3794=C3795,AA3794=AA3795-1),AC3794,"")</f>
        <v/>
      </c>
      <c r="AF3795" s="0" t="str">
        <f aca="false">IF(AA3795=1,"",IF(AND(AB3795=1,AD3795&lt;&gt;1),1,0))</f>
        <v/>
      </c>
      <c r="AG3795" s="0" t="str">
        <f aca="false">IF(AA3795=1,"",IF(AND(AC3795=1,AE3795&lt;&gt;1),1,0))</f>
        <v/>
      </c>
      <c r="AH3795" s="51" t="str">
        <f aca="false">IF(AND(E3795&gt;0,AA3795&lt;1,NOT(AND(C3796=C3795,AA3796=AA3795+1))),INDEX(DATAS,AA3795+1),"")</f>
        <v/>
      </c>
      <c r="AI3795" s="51" t="str">
        <f aca="false">IF(AND(AC3795=1,AA3795&lt;1),IF(AND(C3796=C3795,AA3796=AA3795+1),IF(AC3796=1,"",INDEX(DATAS,AA3795+1)),INDEX(DATAS,AA3795+1)),"")</f>
        <v/>
      </c>
    </row>
    <row r="3796" customFormat="false" ht="15" hidden="false" customHeight="false" outlineLevel="0" collapsed="false">
      <c r="A3796" s="51" t="n">
        <v>46309</v>
      </c>
      <c r="B3796" s="0" t="n">
        <v>15</v>
      </c>
      <c r="C3796" s="0" t="n">
        <v>30466</v>
      </c>
      <c r="E3796" s="0" t="n">
        <v>0</v>
      </c>
      <c r="F3796" s="46" t="s">
        <v>1443</v>
      </c>
      <c r="I3796" s="46" t="s">
        <v>150</v>
      </c>
      <c r="U3796" s="0" t="n">
        <v>274</v>
      </c>
      <c r="V3796" s="0" t="n">
        <v>0</v>
      </c>
      <c r="X3796" s="46" t="n">
        <f aca="false">IF(I3796="Male",0,1)</f>
        <v>0</v>
      </c>
      <c r="Y3796" s="46" t="n">
        <f aca="false">IF(OR(I3796="DNB",I3796="Dry DNB"),1,0)</f>
        <v>0</v>
      </c>
      <c r="Z3796" s="0" t="str">
        <f aca="false">IF(ISNUMBER(W3796),A3796-W3796,"")</f>
        <v/>
      </c>
      <c r="AA3796" s="46" t="n">
        <f aca="false">MATCH(A3796,DATAS,0)</f>
        <v>1</v>
      </c>
      <c r="AB3796" s="46" t="n">
        <f aca="false">IF(AND(E3796&gt;0,OR(AND(B3796&gt;=1,B3796&lt;=6),B3796=10)),1,0)</f>
        <v>0</v>
      </c>
      <c r="AC3796" s="46" t="n">
        <f aca="false">IF(AND(E3796&gt;0,B3796=10),1,0)</f>
        <v>0</v>
      </c>
      <c r="AD3796" s="0" t="str">
        <f aca="false">IF(AND(C3795=C3796,AA3795=AA3796-1),AB3795,"")</f>
        <v/>
      </c>
      <c r="AE3796" s="0" t="str">
        <f aca="false">IF(AND(C3795=C3796,AA3795=AA3796-1),AC3795,"")</f>
        <v/>
      </c>
      <c r="AF3796" s="0" t="str">
        <f aca="false">IF(AA3796=1,"",IF(AND(AB3796=1,AD3796&lt;&gt;1),1,0))</f>
        <v/>
      </c>
      <c r="AG3796" s="0" t="str">
        <f aca="false">IF(AA3796=1,"",IF(AND(AC3796=1,AE3796&lt;&gt;1),1,0))</f>
        <v/>
      </c>
      <c r="AH3796" s="51" t="str">
        <f aca="false">IF(AND(E3796&gt;0,AA3796&lt;1,NOT(AND(C3797=C3796,AA3797=AA3796+1))),INDEX(DATAS,AA3796+1),"")</f>
        <v/>
      </c>
      <c r="AI3796" s="51" t="str">
        <f aca="false">IF(AND(AC3796=1,AA3796&lt;1),IF(AND(C3797=C3796,AA3797=AA3796+1),IF(AC3797=1,"",INDEX(DATAS,AA3796+1)),INDEX(DATAS,AA3796+1)),"")</f>
        <v/>
      </c>
    </row>
    <row r="3797" customFormat="false" ht="15" hidden="false" customHeight="false" outlineLevel="0" collapsed="false">
      <c r="A3797" s="51" t="n">
        <v>46309</v>
      </c>
      <c r="B3797" s="0" t="n">
        <v>15</v>
      </c>
      <c r="C3797" s="0" t="n">
        <v>30467</v>
      </c>
      <c r="E3797" s="0" t="n">
        <v>0</v>
      </c>
      <c r="F3797" s="46" t="s">
        <v>1443</v>
      </c>
      <c r="I3797" s="46" t="s">
        <v>150</v>
      </c>
      <c r="U3797" s="0" t="n">
        <v>274</v>
      </c>
      <c r="V3797" s="0" t="n">
        <v>0</v>
      </c>
      <c r="X3797" s="46" t="n">
        <f aca="false">IF(I3797="Male",0,1)</f>
        <v>0</v>
      </c>
      <c r="Y3797" s="46" t="n">
        <f aca="false">IF(OR(I3797="DNB",I3797="Dry DNB"),1,0)</f>
        <v>0</v>
      </c>
      <c r="Z3797" s="0" t="str">
        <f aca="false">IF(ISNUMBER(W3797),A3797-W3797,"")</f>
        <v/>
      </c>
      <c r="AA3797" s="46" t="n">
        <f aca="false">MATCH(A3797,DATAS,0)</f>
        <v>1</v>
      </c>
      <c r="AB3797" s="46" t="n">
        <f aca="false">IF(AND(E3797&gt;0,OR(AND(B3797&gt;=1,B3797&lt;=6),B3797=10)),1,0)</f>
        <v>0</v>
      </c>
      <c r="AC3797" s="46" t="n">
        <f aca="false">IF(AND(E3797&gt;0,B3797=10),1,0)</f>
        <v>0</v>
      </c>
      <c r="AD3797" s="0" t="str">
        <f aca="false">IF(AND(C3796=C3797,AA3796=AA3797-1),AB3796,"")</f>
        <v/>
      </c>
      <c r="AE3797" s="0" t="str">
        <f aca="false">IF(AND(C3796=C3797,AA3796=AA3797-1),AC3796,"")</f>
        <v/>
      </c>
      <c r="AF3797" s="0" t="str">
        <f aca="false">IF(AA3797=1,"",IF(AND(AB3797=1,AD3797&lt;&gt;1),1,0))</f>
        <v/>
      </c>
      <c r="AG3797" s="0" t="str">
        <f aca="false">IF(AA3797=1,"",IF(AND(AC3797=1,AE3797&lt;&gt;1),1,0))</f>
        <v/>
      </c>
      <c r="AH3797" s="51" t="str">
        <f aca="false">IF(AND(E3797&gt;0,AA3797&lt;1,NOT(AND(C3798=C3797,AA3798=AA3797+1))),INDEX(DATAS,AA3797+1),"")</f>
        <v/>
      </c>
      <c r="AI3797" s="51" t="str">
        <f aca="false">IF(AND(AC3797=1,AA3797&lt;1),IF(AND(C3798=C3797,AA3798=AA3797+1),IF(AC3798=1,"",INDEX(DATAS,AA3797+1)),INDEX(DATAS,AA3797+1)),"")</f>
        <v/>
      </c>
    </row>
    <row r="3798" customFormat="false" ht="15" hidden="false" customHeight="false" outlineLevel="0" collapsed="false">
      <c r="A3798" s="51" t="n">
        <v>46309</v>
      </c>
      <c r="B3798" s="0" t="n">
        <v>15</v>
      </c>
      <c r="C3798" s="0" t="n">
        <v>30468</v>
      </c>
      <c r="E3798" s="0" t="n">
        <v>0</v>
      </c>
      <c r="F3798" s="46" t="s">
        <v>1444</v>
      </c>
      <c r="I3798" s="46" t="s">
        <v>150</v>
      </c>
      <c r="U3798" s="0" t="n">
        <v>273</v>
      </c>
      <c r="V3798" s="0" t="n">
        <v>0</v>
      </c>
      <c r="X3798" s="46" t="n">
        <f aca="false">IF(I3798="Male",0,1)</f>
        <v>0</v>
      </c>
      <c r="Y3798" s="46" t="n">
        <f aca="false">IF(OR(I3798="DNB",I3798="Dry DNB"),1,0)</f>
        <v>0</v>
      </c>
      <c r="Z3798" s="0" t="str">
        <f aca="false">IF(ISNUMBER(W3798),A3798-W3798,"")</f>
        <v/>
      </c>
      <c r="AA3798" s="46" t="n">
        <f aca="false">MATCH(A3798,DATAS,0)</f>
        <v>1</v>
      </c>
      <c r="AB3798" s="46" t="n">
        <f aca="false">IF(AND(E3798&gt;0,OR(AND(B3798&gt;=1,B3798&lt;=6),B3798=10)),1,0)</f>
        <v>0</v>
      </c>
      <c r="AC3798" s="46" t="n">
        <f aca="false">IF(AND(E3798&gt;0,B3798=10),1,0)</f>
        <v>0</v>
      </c>
      <c r="AD3798" s="0" t="str">
        <f aca="false">IF(AND(C3797=C3798,AA3797=AA3798-1),AB3797,"")</f>
        <v/>
      </c>
      <c r="AE3798" s="0" t="str">
        <f aca="false">IF(AND(C3797=C3798,AA3797=AA3798-1),AC3797,"")</f>
        <v/>
      </c>
      <c r="AF3798" s="0" t="str">
        <f aca="false">IF(AA3798=1,"",IF(AND(AB3798=1,AD3798&lt;&gt;1),1,0))</f>
        <v/>
      </c>
      <c r="AG3798" s="0" t="str">
        <f aca="false">IF(AA3798=1,"",IF(AND(AC3798=1,AE3798&lt;&gt;1),1,0))</f>
        <v/>
      </c>
      <c r="AH3798" s="51" t="str">
        <f aca="false">IF(AND(E3798&gt;0,AA3798&lt;1,NOT(AND(C3799=C3798,AA3799=AA3798+1))),INDEX(DATAS,AA3798+1),"")</f>
        <v/>
      </c>
      <c r="AI3798" s="51" t="str">
        <f aca="false">IF(AND(AC3798=1,AA3798&lt;1),IF(AND(C3799=C3798,AA3799=AA3798+1),IF(AC3799=1,"",INDEX(DATAS,AA3798+1)),INDEX(DATAS,AA3798+1)),"")</f>
        <v/>
      </c>
    </row>
    <row r="3799" customFormat="false" ht="15" hidden="false" customHeight="false" outlineLevel="0" collapsed="false">
      <c r="A3799" s="51" t="n">
        <v>46309</v>
      </c>
      <c r="B3799" s="0" t="n">
        <v>15</v>
      </c>
      <c r="C3799" s="0" t="n">
        <v>30469</v>
      </c>
      <c r="E3799" s="0" t="n">
        <v>0</v>
      </c>
      <c r="F3799" s="46" t="s">
        <v>1446</v>
      </c>
      <c r="I3799" s="46" t="s">
        <v>150</v>
      </c>
      <c r="U3799" s="0" t="n">
        <v>271</v>
      </c>
      <c r="V3799" s="0" t="n">
        <v>0</v>
      </c>
      <c r="X3799" s="46" t="n">
        <f aca="false">IF(I3799="Male",0,1)</f>
        <v>0</v>
      </c>
      <c r="Y3799" s="46" t="n">
        <f aca="false">IF(OR(I3799="DNB",I3799="Dry DNB"),1,0)</f>
        <v>0</v>
      </c>
      <c r="Z3799" s="0" t="str">
        <f aca="false">IF(ISNUMBER(W3799),A3799-W3799,"")</f>
        <v/>
      </c>
      <c r="AA3799" s="46" t="n">
        <f aca="false">MATCH(A3799,DATAS,0)</f>
        <v>1</v>
      </c>
      <c r="AB3799" s="46" t="n">
        <f aca="false">IF(AND(E3799&gt;0,OR(AND(B3799&gt;=1,B3799&lt;=6),B3799=10)),1,0)</f>
        <v>0</v>
      </c>
      <c r="AC3799" s="46" t="n">
        <f aca="false">IF(AND(E3799&gt;0,B3799=10),1,0)</f>
        <v>0</v>
      </c>
      <c r="AD3799" s="0" t="str">
        <f aca="false">IF(AND(C3798=C3799,AA3798=AA3799-1),AB3798,"")</f>
        <v/>
      </c>
      <c r="AE3799" s="0" t="str">
        <f aca="false">IF(AND(C3798=C3799,AA3798=AA3799-1),AC3798,"")</f>
        <v/>
      </c>
      <c r="AF3799" s="0" t="str">
        <f aca="false">IF(AA3799=1,"",IF(AND(AB3799=1,AD3799&lt;&gt;1),1,0))</f>
        <v/>
      </c>
      <c r="AG3799" s="0" t="str">
        <f aca="false">IF(AA3799=1,"",IF(AND(AC3799=1,AE3799&lt;&gt;1),1,0))</f>
        <v/>
      </c>
      <c r="AH3799" s="51" t="str">
        <f aca="false">IF(AND(E3799&gt;0,AA3799&lt;1,NOT(AND(C3800=C3799,AA3800=AA3799+1))),INDEX(DATAS,AA3799+1),"")</f>
        <v/>
      </c>
      <c r="AI3799" s="51" t="str">
        <f aca="false">IF(AND(AC3799=1,AA3799&lt;1),IF(AND(C3800=C3799,AA3800=AA3799+1),IF(AC3800=1,"",INDEX(DATAS,AA3799+1)),INDEX(DATAS,AA3799+1)),"")</f>
        <v/>
      </c>
    </row>
    <row r="3800" customFormat="false" ht="15" hidden="false" customHeight="false" outlineLevel="0" collapsed="false">
      <c r="A3800" s="51" t="n">
        <v>46309</v>
      </c>
      <c r="B3800" s="0" t="n">
        <v>15</v>
      </c>
      <c r="C3800" s="0" t="n">
        <v>30471</v>
      </c>
      <c r="E3800" s="0" t="n">
        <v>0</v>
      </c>
      <c r="F3800" s="46" t="s">
        <v>1446</v>
      </c>
      <c r="I3800" s="46" t="s">
        <v>150</v>
      </c>
      <c r="U3800" s="0" t="n">
        <v>271</v>
      </c>
      <c r="V3800" s="0" t="n">
        <v>0</v>
      </c>
      <c r="X3800" s="46" t="n">
        <f aca="false">IF(I3800="Male",0,1)</f>
        <v>0</v>
      </c>
      <c r="Y3800" s="46" t="n">
        <f aca="false">IF(OR(I3800="DNB",I3800="Dry DNB"),1,0)</f>
        <v>0</v>
      </c>
      <c r="Z3800" s="0" t="str">
        <f aca="false">IF(ISNUMBER(W3800),A3800-W3800,"")</f>
        <v/>
      </c>
      <c r="AA3800" s="46" t="n">
        <f aca="false">MATCH(A3800,DATAS,0)</f>
        <v>1</v>
      </c>
      <c r="AB3800" s="46" t="n">
        <f aca="false">IF(AND(E3800&gt;0,OR(AND(B3800&gt;=1,B3800&lt;=6),B3800=10)),1,0)</f>
        <v>0</v>
      </c>
      <c r="AC3800" s="46" t="n">
        <f aca="false">IF(AND(E3800&gt;0,B3800=10),1,0)</f>
        <v>0</v>
      </c>
      <c r="AD3800" s="0" t="str">
        <f aca="false">IF(AND(C3799=C3800,AA3799=AA3800-1),AB3799,"")</f>
        <v/>
      </c>
      <c r="AE3800" s="0" t="str">
        <f aca="false">IF(AND(C3799=C3800,AA3799=AA3800-1),AC3799,"")</f>
        <v/>
      </c>
      <c r="AF3800" s="0" t="str">
        <f aca="false">IF(AA3800=1,"",IF(AND(AB3800=1,AD3800&lt;&gt;1),1,0))</f>
        <v/>
      </c>
      <c r="AG3800" s="0" t="str">
        <f aca="false">IF(AA3800=1,"",IF(AND(AC3800=1,AE3800&lt;&gt;1),1,0))</f>
        <v/>
      </c>
      <c r="AH3800" s="51" t="str">
        <f aca="false">IF(AND(E3800&gt;0,AA3800&lt;1,NOT(AND(C3801=C3800,AA3801=AA3800+1))),INDEX(DATAS,AA3800+1),"")</f>
        <v/>
      </c>
      <c r="AI3800" s="51" t="str">
        <f aca="false">IF(AND(AC3800=1,AA3800&lt;1),IF(AND(C3801=C3800,AA3801=AA3800+1),IF(AC3801=1,"",INDEX(DATAS,AA3800+1)),INDEX(DATAS,AA3800+1)),"")</f>
        <v/>
      </c>
    </row>
    <row r="3801" customFormat="false" ht="15" hidden="false" customHeight="false" outlineLevel="0" collapsed="false">
      <c r="A3801" s="51" t="n">
        <v>46309</v>
      </c>
      <c r="B3801" s="0" t="n">
        <v>15</v>
      </c>
      <c r="C3801" s="0" t="n">
        <v>30472</v>
      </c>
      <c r="E3801" s="0" t="n">
        <v>0</v>
      </c>
      <c r="F3801" s="46" t="s">
        <v>1447</v>
      </c>
      <c r="I3801" s="46" t="s">
        <v>150</v>
      </c>
      <c r="U3801" s="0" t="n">
        <v>270</v>
      </c>
      <c r="V3801" s="0" t="n">
        <v>0</v>
      </c>
      <c r="X3801" s="46" t="n">
        <f aca="false">IF(I3801="Male",0,1)</f>
        <v>0</v>
      </c>
      <c r="Y3801" s="46" t="n">
        <f aca="false">IF(OR(I3801="DNB",I3801="Dry DNB"),1,0)</f>
        <v>0</v>
      </c>
      <c r="Z3801" s="0" t="str">
        <f aca="false">IF(ISNUMBER(W3801),A3801-W3801,"")</f>
        <v/>
      </c>
      <c r="AA3801" s="46" t="n">
        <f aca="false">MATCH(A3801,DATAS,0)</f>
        <v>1</v>
      </c>
      <c r="AB3801" s="46" t="n">
        <f aca="false">IF(AND(E3801&gt;0,OR(AND(B3801&gt;=1,B3801&lt;=6),B3801=10)),1,0)</f>
        <v>0</v>
      </c>
      <c r="AC3801" s="46" t="n">
        <f aca="false">IF(AND(E3801&gt;0,B3801=10),1,0)</f>
        <v>0</v>
      </c>
      <c r="AD3801" s="0" t="str">
        <f aca="false">IF(AND(C3800=C3801,AA3800=AA3801-1),AB3800,"")</f>
        <v/>
      </c>
      <c r="AE3801" s="0" t="str">
        <f aca="false">IF(AND(C3800=C3801,AA3800=AA3801-1),AC3800,"")</f>
        <v/>
      </c>
      <c r="AF3801" s="0" t="str">
        <f aca="false">IF(AA3801=1,"",IF(AND(AB3801=1,AD3801&lt;&gt;1),1,0))</f>
        <v/>
      </c>
      <c r="AG3801" s="0" t="str">
        <f aca="false">IF(AA3801=1,"",IF(AND(AC3801=1,AE3801&lt;&gt;1),1,0))</f>
        <v/>
      </c>
      <c r="AH3801" s="51" t="str">
        <f aca="false">IF(AND(E3801&gt;0,AA3801&lt;1,NOT(AND(C3802=C3801,AA3802=AA3801+1))),INDEX(DATAS,AA3801+1),"")</f>
        <v/>
      </c>
      <c r="AI3801" s="51" t="str">
        <f aca="false">IF(AND(AC3801=1,AA3801&lt;1),IF(AND(C3802=C3801,AA3802=AA3801+1),IF(AC3802=1,"",INDEX(DATAS,AA3801+1)),INDEX(DATAS,AA3801+1)),"")</f>
        <v/>
      </c>
    </row>
    <row r="3802" customFormat="false" ht="15" hidden="false" customHeight="false" outlineLevel="0" collapsed="false">
      <c r="A3802" s="51" t="n">
        <v>46309</v>
      </c>
      <c r="B3802" s="0" t="n">
        <v>15</v>
      </c>
      <c r="C3802" s="0" t="n">
        <v>30474</v>
      </c>
      <c r="E3802" s="0" t="n">
        <v>0</v>
      </c>
      <c r="F3802" s="46" t="s">
        <v>1447</v>
      </c>
      <c r="I3802" s="46" t="s">
        <v>150</v>
      </c>
      <c r="U3802" s="0" t="n">
        <v>270</v>
      </c>
      <c r="V3802" s="0" t="n">
        <v>0</v>
      </c>
      <c r="X3802" s="46" t="n">
        <f aca="false">IF(I3802="Male",0,1)</f>
        <v>0</v>
      </c>
      <c r="Y3802" s="46" t="n">
        <f aca="false">IF(OR(I3802="DNB",I3802="Dry DNB"),1,0)</f>
        <v>0</v>
      </c>
      <c r="Z3802" s="0" t="str">
        <f aca="false">IF(ISNUMBER(W3802),A3802-W3802,"")</f>
        <v/>
      </c>
      <c r="AA3802" s="46" t="n">
        <f aca="false">MATCH(A3802,DATAS,0)</f>
        <v>1</v>
      </c>
      <c r="AB3802" s="46" t="n">
        <f aca="false">IF(AND(E3802&gt;0,OR(AND(B3802&gt;=1,B3802&lt;=6),B3802=10)),1,0)</f>
        <v>0</v>
      </c>
      <c r="AC3802" s="46" t="n">
        <f aca="false">IF(AND(E3802&gt;0,B3802=10),1,0)</f>
        <v>0</v>
      </c>
      <c r="AD3802" s="0" t="str">
        <f aca="false">IF(AND(C3801=C3802,AA3801=AA3802-1),AB3801,"")</f>
        <v/>
      </c>
      <c r="AE3802" s="0" t="str">
        <f aca="false">IF(AND(C3801=C3802,AA3801=AA3802-1),AC3801,"")</f>
        <v/>
      </c>
      <c r="AF3802" s="0" t="str">
        <f aca="false">IF(AA3802=1,"",IF(AND(AB3802=1,AD3802&lt;&gt;1),1,0))</f>
        <v/>
      </c>
      <c r="AG3802" s="0" t="str">
        <f aca="false">IF(AA3802=1,"",IF(AND(AC3802=1,AE3802&lt;&gt;1),1,0))</f>
        <v/>
      </c>
      <c r="AH3802" s="51" t="str">
        <f aca="false">IF(AND(E3802&gt;0,AA3802&lt;1,NOT(AND(C3803=C3802,AA3803=AA3802+1))),INDEX(DATAS,AA3802+1),"")</f>
        <v/>
      </c>
      <c r="AI3802" s="51" t="str">
        <f aca="false">IF(AND(AC3802=1,AA3802&lt;1),IF(AND(C3803=C3802,AA3803=AA3802+1),IF(AC3803=1,"",INDEX(DATAS,AA3802+1)),INDEX(DATAS,AA3802+1)),"")</f>
        <v/>
      </c>
    </row>
    <row r="3803" customFormat="false" ht="15" hidden="false" customHeight="false" outlineLevel="0" collapsed="false">
      <c r="A3803" s="51" t="n">
        <v>46309</v>
      </c>
      <c r="B3803" s="0" t="n">
        <v>15</v>
      </c>
      <c r="C3803" s="0" t="n">
        <v>30477</v>
      </c>
      <c r="E3803" s="0" t="n">
        <v>0</v>
      </c>
      <c r="F3803" s="46" t="s">
        <v>1448</v>
      </c>
      <c r="I3803" s="46" t="s">
        <v>150</v>
      </c>
      <c r="U3803" s="0" t="n">
        <v>268</v>
      </c>
      <c r="V3803" s="0" t="n">
        <v>0</v>
      </c>
      <c r="X3803" s="46" t="n">
        <f aca="false">IF(I3803="Male",0,1)</f>
        <v>0</v>
      </c>
      <c r="Y3803" s="46" t="n">
        <f aca="false">IF(OR(I3803="DNB",I3803="Dry DNB"),1,0)</f>
        <v>0</v>
      </c>
      <c r="Z3803" s="0" t="str">
        <f aca="false">IF(ISNUMBER(W3803),A3803-W3803,"")</f>
        <v/>
      </c>
      <c r="AA3803" s="46" t="n">
        <f aca="false">MATCH(A3803,DATAS,0)</f>
        <v>1</v>
      </c>
      <c r="AB3803" s="46" t="n">
        <f aca="false">IF(AND(E3803&gt;0,OR(AND(B3803&gt;=1,B3803&lt;=6),B3803=10)),1,0)</f>
        <v>0</v>
      </c>
      <c r="AC3803" s="46" t="n">
        <f aca="false">IF(AND(E3803&gt;0,B3803=10),1,0)</f>
        <v>0</v>
      </c>
      <c r="AD3803" s="0" t="str">
        <f aca="false">IF(AND(C3802=C3803,AA3802=AA3803-1),AB3802,"")</f>
        <v/>
      </c>
      <c r="AE3803" s="0" t="str">
        <f aca="false">IF(AND(C3802=C3803,AA3802=AA3803-1),AC3802,"")</f>
        <v/>
      </c>
      <c r="AF3803" s="0" t="str">
        <f aca="false">IF(AA3803=1,"",IF(AND(AB3803=1,AD3803&lt;&gt;1),1,0))</f>
        <v/>
      </c>
      <c r="AG3803" s="0" t="str">
        <f aca="false">IF(AA3803=1,"",IF(AND(AC3803=1,AE3803&lt;&gt;1),1,0))</f>
        <v/>
      </c>
      <c r="AH3803" s="51" t="str">
        <f aca="false">IF(AND(E3803&gt;0,AA3803&lt;1,NOT(AND(C3804=C3803,AA3804=AA3803+1))),INDEX(DATAS,AA3803+1),"")</f>
        <v/>
      </c>
      <c r="AI3803" s="51" t="str">
        <f aca="false">IF(AND(AC3803=1,AA3803&lt;1),IF(AND(C3804=C3803,AA3804=AA3803+1),IF(AC3804=1,"",INDEX(DATAS,AA3803+1)),INDEX(DATAS,AA3803+1)),"")</f>
        <v/>
      </c>
    </row>
    <row r="3804" customFormat="false" ht="15" hidden="false" customHeight="false" outlineLevel="0" collapsed="false">
      <c r="A3804" s="51" t="n">
        <v>46309</v>
      </c>
      <c r="B3804" s="0" t="n">
        <v>15</v>
      </c>
      <c r="C3804" s="0" t="n">
        <v>30479</v>
      </c>
      <c r="E3804" s="0" t="n">
        <v>0</v>
      </c>
      <c r="F3804" s="46" t="s">
        <v>1450</v>
      </c>
      <c r="I3804" s="46" t="s">
        <v>150</v>
      </c>
      <c r="U3804" s="0" t="n">
        <v>266</v>
      </c>
      <c r="V3804" s="0" t="n">
        <v>0</v>
      </c>
      <c r="X3804" s="46" t="n">
        <f aca="false">IF(I3804="Male",0,1)</f>
        <v>0</v>
      </c>
      <c r="Y3804" s="46" t="n">
        <f aca="false">IF(OR(I3804="DNB",I3804="Dry DNB"),1,0)</f>
        <v>0</v>
      </c>
      <c r="Z3804" s="0" t="str">
        <f aca="false">IF(ISNUMBER(W3804),A3804-W3804,"")</f>
        <v/>
      </c>
      <c r="AA3804" s="46" t="n">
        <f aca="false">MATCH(A3804,DATAS,0)</f>
        <v>1</v>
      </c>
      <c r="AB3804" s="46" t="n">
        <f aca="false">IF(AND(E3804&gt;0,OR(AND(B3804&gt;=1,B3804&lt;=6),B3804=10)),1,0)</f>
        <v>0</v>
      </c>
      <c r="AC3804" s="46" t="n">
        <f aca="false">IF(AND(E3804&gt;0,B3804=10),1,0)</f>
        <v>0</v>
      </c>
      <c r="AD3804" s="0" t="str">
        <f aca="false">IF(AND(C3803=C3804,AA3803=AA3804-1),AB3803,"")</f>
        <v/>
      </c>
      <c r="AE3804" s="0" t="str">
        <f aca="false">IF(AND(C3803=C3804,AA3803=AA3804-1),AC3803,"")</f>
        <v/>
      </c>
      <c r="AF3804" s="0" t="str">
        <f aca="false">IF(AA3804=1,"",IF(AND(AB3804=1,AD3804&lt;&gt;1),1,0))</f>
        <v/>
      </c>
      <c r="AG3804" s="0" t="str">
        <f aca="false">IF(AA3804=1,"",IF(AND(AC3804=1,AE3804&lt;&gt;1),1,0))</f>
        <v/>
      </c>
      <c r="AH3804" s="51" t="str">
        <f aca="false">IF(AND(E3804&gt;0,AA3804&lt;1,NOT(AND(C3805=C3804,AA3805=AA3804+1))),INDEX(DATAS,AA3804+1),"")</f>
        <v/>
      </c>
      <c r="AI3804" s="51" t="str">
        <f aca="false">IF(AND(AC3804=1,AA3804&lt;1),IF(AND(C3805=C3804,AA3805=AA3804+1),IF(AC3805=1,"",INDEX(DATAS,AA3804+1)),INDEX(DATAS,AA3804+1)),"")</f>
        <v/>
      </c>
    </row>
    <row r="3805" customFormat="false" ht="15" hidden="false" customHeight="false" outlineLevel="0" collapsed="false">
      <c r="A3805" s="51" t="n">
        <v>46309</v>
      </c>
      <c r="B3805" s="0" t="n">
        <v>15</v>
      </c>
      <c r="C3805" s="0" t="n">
        <v>30481</v>
      </c>
      <c r="E3805" s="0" t="n">
        <v>0</v>
      </c>
      <c r="F3805" s="46" t="s">
        <v>1700</v>
      </c>
      <c r="I3805" s="46" t="s">
        <v>150</v>
      </c>
      <c r="U3805" s="0" t="n">
        <v>265</v>
      </c>
      <c r="V3805" s="0" t="n">
        <v>0</v>
      </c>
      <c r="X3805" s="46" t="n">
        <f aca="false">IF(I3805="Male",0,1)</f>
        <v>0</v>
      </c>
      <c r="Y3805" s="46" t="n">
        <f aca="false">IF(OR(I3805="DNB",I3805="Dry DNB"),1,0)</f>
        <v>0</v>
      </c>
      <c r="Z3805" s="0" t="str">
        <f aca="false">IF(ISNUMBER(W3805),A3805-W3805,"")</f>
        <v/>
      </c>
      <c r="AA3805" s="46" t="n">
        <f aca="false">MATCH(A3805,DATAS,0)</f>
        <v>1</v>
      </c>
      <c r="AB3805" s="46" t="n">
        <f aca="false">IF(AND(E3805&gt;0,OR(AND(B3805&gt;=1,B3805&lt;=6),B3805=10)),1,0)</f>
        <v>0</v>
      </c>
      <c r="AC3805" s="46" t="n">
        <f aca="false">IF(AND(E3805&gt;0,B3805=10),1,0)</f>
        <v>0</v>
      </c>
      <c r="AD3805" s="0" t="str">
        <f aca="false">IF(AND(C3804=C3805,AA3804=AA3805-1),AB3804,"")</f>
        <v/>
      </c>
      <c r="AE3805" s="0" t="str">
        <f aca="false">IF(AND(C3804=C3805,AA3804=AA3805-1),AC3804,"")</f>
        <v/>
      </c>
      <c r="AF3805" s="0" t="str">
        <f aca="false">IF(AA3805=1,"",IF(AND(AB3805=1,AD3805&lt;&gt;1),1,0))</f>
        <v/>
      </c>
      <c r="AG3805" s="0" t="str">
        <f aca="false">IF(AA3805=1,"",IF(AND(AC3805=1,AE3805&lt;&gt;1),1,0))</f>
        <v/>
      </c>
      <c r="AH3805" s="51" t="str">
        <f aca="false">IF(AND(E3805&gt;0,AA3805&lt;1,NOT(AND(C3806=C3805,AA3806=AA3805+1))),INDEX(DATAS,AA3805+1),"")</f>
        <v/>
      </c>
      <c r="AI3805" s="51" t="str">
        <f aca="false">IF(AND(AC3805=1,AA3805&lt;1),IF(AND(C3806=C3805,AA3806=AA3805+1),IF(AC3806=1,"",INDEX(DATAS,AA3805+1)),INDEX(DATAS,AA3805+1)),"")</f>
        <v/>
      </c>
    </row>
    <row r="3806" customFormat="false" ht="15" hidden="false" customHeight="false" outlineLevel="0" collapsed="false">
      <c r="A3806" s="51" t="n">
        <v>46309</v>
      </c>
      <c r="B3806" s="0" t="n">
        <v>15</v>
      </c>
      <c r="C3806" s="0" t="n">
        <v>30484</v>
      </c>
      <c r="E3806" s="0" t="n">
        <v>0</v>
      </c>
      <c r="F3806" s="46" t="s">
        <v>1451</v>
      </c>
      <c r="I3806" s="46" t="s">
        <v>150</v>
      </c>
      <c r="U3806" s="0" t="n">
        <v>264</v>
      </c>
      <c r="V3806" s="0" t="n">
        <v>0</v>
      </c>
      <c r="X3806" s="46" t="n">
        <f aca="false">IF(I3806="Male",0,1)</f>
        <v>0</v>
      </c>
      <c r="Y3806" s="46" t="n">
        <f aca="false">IF(OR(I3806="DNB",I3806="Dry DNB"),1,0)</f>
        <v>0</v>
      </c>
      <c r="Z3806" s="0" t="str">
        <f aca="false">IF(ISNUMBER(W3806),A3806-W3806,"")</f>
        <v/>
      </c>
      <c r="AA3806" s="46" t="n">
        <f aca="false">MATCH(A3806,DATAS,0)</f>
        <v>1</v>
      </c>
      <c r="AB3806" s="46" t="n">
        <f aca="false">IF(AND(E3806&gt;0,OR(AND(B3806&gt;=1,B3806&lt;=6),B3806=10)),1,0)</f>
        <v>0</v>
      </c>
      <c r="AC3806" s="46" t="n">
        <f aca="false">IF(AND(E3806&gt;0,B3806=10),1,0)</f>
        <v>0</v>
      </c>
      <c r="AD3806" s="0" t="str">
        <f aca="false">IF(AND(C3805=C3806,AA3805=AA3806-1),AB3805,"")</f>
        <v/>
      </c>
      <c r="AE3806" s="0" t="str">
        <f aca="false">IF(AND(C3805=C3806,AA3805=AA3806-1),AC3805,"")</f>
        <v/>
      </c>
      <c r="AF3806" s="0" t="str">
        <f aca="false">IF(AA3806=1,"",IF(AND(AB3806=1,AD3806&lt;&gt;1),1,0))</f>
        <v/>
      </c>
      <c r="AG3806" s="0" t="str">
        <f aca="false">IF(AA3806=1,"",IF(AND(AC3806=1,AE3806&lt;&gt;1),1,0))</f>
        <v/>
      </c>
      <c r="AH3806" s="51" t="str">
        <f aca="false">IF(AND(E3806&gt;0,AA3806&lt;1,NOT(AND(C3807=C3806,AA3807=AA3806+1))),INDEX(DATAS,AA3806+1),"")</f>
        <v/>
      </c>
      <c r="AI3806" s="51" t="str">
        <f aca="false">IF(AND(AC3806=1,AA3806&lt;1),IF(AND(C3807=C3806,AA3807=AA3806+1),IF(AC3807=1,"",INDEX(DATAS,AA3806+1)),INDEX(DATAS,AA3806+1)),"")</f>
        <v/>
      </c>
    </row>
    <row r="3807" customFormat="false" ht="15" hidden="false" customHeight="false" outlineLevel="0" collapsed="false">
      <c r="A3807" s="51" t="n">
        <v>46309</v>
      </c>
      <c r="B3807" s="0" t="n">
        <v>15</v>
      </c>
      <c r="C3807" s="0" t="n">
        <v>30485</v>
      </c>
      <c r="E3807" s="0" t="n">
        <v>0</v>
      </c>
      <c r="F3807" s="46" t="s">
        <v>1453</v>
      </c>
      <c r="I3807" s="46" t="s">
        <v>150</v>
      </c>
      <c r="U3807" s="0" t="n">
        <v>262</v>
      </c>
      <c r="V3807" s="0" t="n">
        <v>0</v>
      </c>
      <c r="X3807" s="46" t="n">
        <f aca="false">IF(I3807="Male",0,1)</f>
        <v>0</v>
      </c>
      <c r="Y3807" s="46" t="n">
        <f aca="false">IF(OR(I3807="DNB",I3807="Dry DNB"),1,0)</f>
        <v>0</v>
      </c>
      <c r="Z3807" s="0" t="str">
        <f aca="false">IF(ISNUMBER(W3807),A3807-W3807,"")</f>
        <v/>
      </c>
      <c r="AA3807" s="46" t="n">
        <f aca="false">MATCH(A3807,DATAS,0)</f>
        <v>1</v>
      </c>
      <c r="AB3807" s="46" t="n">
        <f aca="false">IF(AND(E3807&gt;0,OR(AND(B3807&gt;=1,B3807&lt;=6),B3807=10)),1,0)</f>
        <v>0</v>
      </c>
      <c r="AC3807" s="46" t="n">
        <f aca="false">IF(AND(E3807&gt;0,B3807=10),1,0)</f>
        <v>0</v>
      </c>
      <c r="AD3807" s="0" t="str">
        <f aca="false">IF(AND(C3806=C3807,AA3806=AA3807-1),AB3806,"")</f>
        <v/>
      </c>
      <c r="AE3807" s="0" t="str">
        <f aca="false">IF(AND(C3806=C3807,AA3806=AA3807-1),AC3806,"")</f>
        <v/>
      </c>
      <c r="AF3807" s="0" t="str">
        <f aca="false">IF(AA3807=1,"",IF(AND(AB3807=1,AD3807&lt;&gt;1),1,0))</f>
        <v/>
      </c>
      <c r="AG3807" s="0" t="str">
        <f aca="false">IF(AA3807=1,"",IF(AND(AC3807=1,AE3807&lt;&gt;1),1,0))</f>
        <v/>
      </c>
      <c r="AH3807" s="51" t="str">
        <f aca="false">IF(AND(E3807&gt;0,AA3807&lt;1,NOT(AND(C3808=C3807,AA3808=AA3807+1))),INDEX(DATAS,AA3807+1),"")</f>
        <v/>
      </c>
      <c r="AI3807" s="51" t="str">
        <f aca="false">IF(AND(AC3807=1,AA3807&lt;1),IF(AND(C3808=C3807,AA3808=AA3807+1),IF(AC3808=1,"",INDEX(DATAS,AA3807+1)),INDEX(DATAS,AA3807+1)),"")</f>
        <v/>
      </c>
    </row>
    <row r="3808" customFormat="false" ht="15" hidden="false" customHeight="false" outlineLevel="0" collapsed="false">
      <c r="A3808" s="51" t="n">
        <v>46309</v>
      </c>
      <c r="B3808" s="0" t="n">
        <v>15</v>
      </c>
      <c r="C3808" s="0" t="n">
        <v>30488</v>
      </c>
      <c r="E3808" s="0" t="n">
        <v>0</v>
      </c>
      <c r="F3808" s="46" t="s">
        <v>1455</v>
      </c>
      <c r="I3808" s="46" t="s">
        <v>150</v>
      </c>
      <c r="U3808" s="0" t="n">
        <v>260</v>
      </c>
      <c r="V3808" s="0" t="n">
        <v>0</v>
      </c>
      <c r="X3808" s="46" t="n">
        <f aca="false">IF(I3808="Male",0,1)</f>
        <v>0</v>
      </c>
      <c r="Y3808" s="46" t="n">
        <f aca="false">IF(OR(I3808="DNB",I3808="Dry DNB"),1,0)</f>
        <v>0</v>
      </c>
      <c r="Z3808" s="0" t="str">
        <f aca="false">IF(ISNUMBER(W3808),A3808-W3808,"")</f>
        <v/>
      </c>
      <c r="AA3808" s="46" t="n">
        <f aca="false">MATCH(A3808,DATAS,0)</f>
        <v>1</v>
      </c>
      <c r="AB3808" s="46" t="n">
        <f aca="false">IF(AND(E3808&gt;0,OR(AND(B3808&gt;=1,B3808&lt;=6),B3808=10)),1,0)</f>
        <v>0</v>
      </c>
      <c r="AC3808" s="46" t="n">
        <f aca="false">IF(AND(E3808&gt;0,B3808=10),1,0)</f>
        <v>0</v>
      </c>
      <c r="AD3808" s="0" t="str">
        <f aca="false">IF(AND(C3807=C3808,AA3807=AA3808-1),AB3807,"")</f>
        <v/>
      </c>
      <c r="AE3808" s="0" t="str">
        <f aca="false">IF(AND(C3807=C3808,AA3807=AA3808-1),AC3807,"")</f>
        <v/>
      </c>
      <c r="AF3808" s="0" t="str">
        <f aca="false">IF(AA3808=1,"",IF(AND(AB3808=1,AD3808&lt;&gt;1),1,0))</f>
        <v/>
      </c>
      <c r="AG3808" s="0" t="str">
        <f aca="false">IF(AA3808=1,"",IF(AND(AC3808=1,AE3808&lt;&gt;1),1,0))</f>
        <v/>
      </c>
      <c r="AH3808" s="51" t="str">
        <f aca="false">IF(AND(E3808&gt;0,AA3808&lt;1,NOT(AND(C3809=C3808,AA3809=AA3808+1))),INDEX(DATAS,AA3808+1),"")</f>
        <v/>
      </c>
      <c r="AI3808" s="51" t="str">
        <f aca="false">IF(AND(AC3808=1,AA3808&lt;1),IF(AND(C3809=C3808,AA3809=AA3808+1),IF(AC3809=1,"",INDEX(DATAS,AA3808+1)),INDEX(DATAS,AA3808+1)),"")</f>
        <v/>
      </c>
    </row>
    <row r="3809" customFormat="false" ht="15" hidden="false" customHeight="false" outlineLevel="0" collapsed="false">
      <c r="A3809" s="51" t="n">
        <v>46309</v>
      </c>
      <c r="B3809" s="0" t="n">
        <v>15</v>
      </c>
      <c r="C3809" s="0" t="n">
        <v>30496</v>
      </c>
      <c r="E3809" s="0" t="n">
        <v>0</v>
      </c>
      <c r="F3809" s="46" t="s">
        <v>1459</v>
      </c>
      <c r="I3809" s="46" t="s">
        <v>150</v>
      </c>
      <c r="U3809" s="0" t="n">
        <v>256</v>
      </c>
      <c r="V3809" s="0" t="n">
        <v>0</v>
      </c>
      <c r="X3809" s="46" t="n">
        <f aca="false">IF(I3809="Male",0,1)</f>
        <v>0</v>
      </c>
      <c r="Y3809" s="46" t="n">
        <f aca="false">IF(OR(I3809="DNB",I3809="Dry DNB"),1,0)</f>
        <v>0</v>
      </c>
      <c r="Z3809" s="0" t="str">
        <f aca="false">IF(ISNUMBER(W3809),A3809-W3809,"")</f>
        <v/>
      </c>
      <c r="AA3809" s="46" t="n">
        <f aca="false">MATCH(A3809,DATAS,0)</f>
        <v>1</v>
      </c>
      <c r="AB3809" s="46" t="n">
        <f aca="false">IF(AND(E3809&gt;0,OR(AND(B3809&gt;=1,B3809&lt;=6),B3809=10)),1,0)</f>
        <v>0</v>
      </c>
      <c r="AC3809" s="46" t="n">
        <f aca="false">IF(AND(E3809&gt;0,B3809=10),1,0)</f>
        <v>0</v>
      </c>
      <c r="AD3809" s="0" t="str">
        <f aca="false">IF(AND(C3808=C3809,AA3808=AA3809-1),AB3808,"")</f>
        <v/>
      </c>
      <c r="AE3809" s="0" t="str">
        <f aca="false">IF(AND(C3808=C3809,AA3808=AA3809-1),AC3808,"")</f>
        <v/>
      </c>
      <c r="AF3809" s="0" t="str">
        <f aca="false">IF(AA3809=1,"",IF(AND(AB3809=1,AD3809&lt;&gt;1),1,0))</f>
        <v/>
      </c>
      <c r="AG3809" s="0" t="str">
        <f aca="false">IF(AA3809=1,"",IF(AND(AC3809=1,AE3809&lt;&gt;1),1,0))</f>
        <v/>
      </c>
      <c r="AH3809" s="51" t="str">
        <f aca="false">IF(AND(E3809&gt;0,AA3809&lt;1,NOT(AND(C3810=C3809,AA3810=AA3809+1))),INDEX(DATAS,AA3809+1),"")</f>
        <v/>
      </c>
      <c r="AI3809" s="51" t="str">
        <f aca="false">IF(AND(AC3809=1,AA3809&lt;1),IF(AND(C3810=C3809,AA3810=AA3809+1),IF(AC3810=1,"",INDEX(DATAS,AA3809+1)),INDEX(DATAS,AA3809+1)),"")</f>
        <v/>
      </c>
    </row>
    <row r="3810" customFormat="false" ht="15" hidden="false" customHeight="false" outlineLevel="0" collapsed="false">
      <c r="A3810" s="51" t="n">
        <v>46309</v>
      </c>
      <c r="B3810" s="0" t="n">
        <v>15</v>
      </c>
      <c r="C3810" s="0" t="n">
        <v>30498</v>
      </c>
      <c r="E3810" s="0" t="n">
        <v>0</v>
      </c>
      <c r="F3810" s="46" t="s">
        <v>1462</v>
      </c>
      <c r="I3810" s="46" t="s">
        <v>150</v>
      </c>
      <c r="U3810" s="0" t="n">
        <v>253</v>
      </c>
      <c r="V3810" s="0" t="n">
        <v>0</v>
      </c>
      <c r="X3810" s="46" t="n">
        <f aca="false">IF(I3810="Male",0,1)</f>
        <v>0</v>
      </c>
      <c r="Y3810" s="46" t="n">
        <f aca="false">IF(OR(I3810="DNB",I3810="Dry DNB"),1,0)</f>
        <v>0</v>
      </c>
      <c r="Z3810" s="0" t="str">
        <f aca="false">IF(ISNUMBER(W3810),A3810-W3810,"")</f>
        <v/>
      </c>
      <c r="AA3810" s="46" t="n">
        <f aca="false">MATCH(A3810,DATAS,0)</f>
        <v>1</v>
      </c>
      <c r="AB3810" s="46" t="n">
        <f aca="false">IF(AND(E3810&gt;0,OR(AND(B3810&gt;=1,B3810&lt;=6),B3810=10)),1,0)</f>
        <v>0</v>
      </c>
      <c r="AC3810" s="46" t="n">
        <f aca="false">IF(AND(E3810&gt;0,B3810=10),1,0)</f>
        <v>0</v>
      </c>
      <c r="AD3810" s="0" t="str">
        <f aca="false">IF(AND(C3809=C3810,AA3809=AA3810-1),AB3809,"")</f>
        <v/>
      </c>
      <c r="AE3810" s="0" t="str">
        <f aca="false">IF(AND(C3809=C3810,AA3809=AA3810-1),AC3809,"")</f>
        <v/>
      </c>
      <c r="AF3810" s="0" t="str">
        <f aca="false">IF(AA3810=1,"",IF(AND(AB3810=1,AD3810&lt;&gt;1),1,0))</f>
        <v/>
      </c>
      <c r="AG3810" s="0" t="str">
        <f aca="false">IF(AA3810=1,"",IF(AND(AC3810=1,AE3810&lt;&gt;1),1,0))</f>
        <v/>
      </c>
      <c r="AH3810" s="51" t="str">
        <f aca="false">IF(AND(E3810&gt;0,AA3810&lt;1,NOT(AND(C3811=C3810,AA3811=AA3810+1))),INDEX(DATAS,AA3810+1),"")</f>
        <v/>
      </c>
      <c r="AI3810" s="51" t="str">
        <f aca="false">IF(AND(AC3810=1,AA3810&lt;1),IF(AND(C3811=C3810,AA3811=AA3810+1),IF(AC3811=1,"",INDEX(DATAS,AA3810+1)),INDEX(DATAS,AA3810+1)),"")</f>
        <v/>
      </c>
    </row>
    <row r="3811" customFormat="false" ht="15" hidden="false" customHeight="false" outlineLevel="0" collapsed="false">
      <c r="A3811" s="51" t="n">
        <v>46309</v>
      </c>
      <c r="B3811" s="0" t="n">
        <v>15</v>
      </c>
      <c r="C3811" s="0" t="n">
        <v>30499</v>
      </c>
      <c r="E3811" s="0" t="n">
        <v>0</v>
      </c>
      <c r="F3811" s="46" t="s">
        <v>1463</v>
      </c>
      <c r="I3811" s="46" t="s">
        <v>1697</v>
      </c>
      <c r="U3811" s="0" t="n">
        <v>252</v>
      </c>
      <c r="V3811" s="0" t="n">
        <v>0</v>
      </c>
      <c r="X3811" s="46" t="n">
        <f aca="false">IF(I3811="Male",0,1)</f>
        <v>1</v>
      </c>
      <c r="Y3811" s="46" t="n">
        <f aca="false">IF(OR(I3811="DNB",I3811="Dry DNB"),1,0)</f>
        <v>0</v>
      </c>
      <c r="Z3811" s="0" t="str">
        <f aca="false">IF(ISNUMBER(W3811),A3811-W3811,"")</f>
        <v/>
      </c>
      <c r="AA3811" s="46" t="n">
        <f aca="false">MATCH(A3811,DATAS,0)</f>
        <v>1</v>
      </c>
      <c r="AB3811" s="46" t="n">
        <f aca="false">IF(AND(E3811&gt;0,OR(AND(B3811&gt;=1,B3811&lt;=6),B3811=10)),1,0)</f>
        <v>0</v>
      </c>
      <c r="AC3811" s="46" t="n">
        <f aca="false">IF(AND(E3811&gt;0,B3811=10),1,0)</f>
        <v>0</v>
      </c>
      <c r="AD3811" s="0" t="str">
        <f aca="false">IF(AND(C3810=C3811,AA3810=AA3811-1),AB3810,"")</f>
        <v/>
      </c>
      <c r="AE3811" s="0" t="str">
        <f aca="false">IF(AND(C3810=C3811,AA3810=AA3811-1),AC3810,"")</f>
        <v/>
      </c>
      <c r="AF3811" s="0" t="str">
        <f aca="false">IF(AA3811=1,"",IF(AND(AB3811=1,AD3811&lt;&gt;1),1,0))</f>
        <v/>
      </c>
      <c r="AG3811" s="0" t="str">
        <f aca="false">IF(AA3811=1,"",IF(AND(AC3811=1,AE3811&lt;&gt;1),1,0))</f>
        <v/>
      </c>
      <c r="AH3811" s="51" t="str">
        <f aca="false">IF(AND(E3811&gt;0,AA3811&lt;1,NOT(AND(C3812=C3811,AA3812=AA3811+1))),INDEX(DATAS,AA3811+1),"")</f>
        <v/>
      </c>
      <c r="AI3811" s="51" t="str">
        <f aca="false">IF(AND(AC3811=1,AA3811&lt;1),IF(AND(C3812=C3811,AA3812=AA3811+1),IF(AC3812=1,"",INDEX(DATAS,AA3811+1)),INDEX(DATAS,AA3811+1)),"")</f>
        <v/>
      </c>
    </row>
    <row r="3812" customFormat="false" ht="15" hidden="false" customHeight="false" outlineLevel="0" collapsed="false">
      <c r="A3812" s="51" t="n">
        <v>46309</v>
      </c>
      <c r="B3812" s="0" t="n">
        <v>15</v>
      </c>
      <c r="C3812" s="0" t="n">
        <v>30501</v>
      </c>
      <c r="E3812" s="0" t="n">
        <v>0</v>
      </c>
      <c r="F3812" s="46" t="s">
        <v>1463</v>
      </c>
      <c r="I3812" s="46" t="s">
        <v>150</v>
      </c>
      <c r="U3812" s="0" t="n">
        <v>252</v>
      </c>
      <c r="V3812" s="0" t="n">
        <v>0</v>
      </c>
      <c r="X3812" s="46" t="n">
        <f aca="false">IF(I3812="Male",0,1)</f>
        <v>0</v>
      </c>
      <c r="Y3812" s="46" t="n">
        <f aca="false">IF(OR(I3812="DNB",I3812="Dry DNB"),1,0)</f>
        <v>0</v>
      </c>
      <c r="Z3812" s="0" t="str">
        <f aca="false">IF(ISNUMBER(W3812),A3812-W3812,"")</f>
        <v/>
      </c>
      <c r="AA3812" s="46" t="n">
        <f aca="false">MATCH(A3812,DATAS,0)</f>
        <v>1</v>
      </c>
      <c r="AB3812" s="46" t="n">
        <f aca="false">IF(AND(E3812&gt;0,OR(AND(B3812&gt;=1,B3812&lt;=6),B3812=10)),1,0)</f>
        <v>0</v>
      </c>
      <c r="AC3812" s="46" t="n">
        <f aca="false">IF(AND(E3812&gt;0,B3812=10),1,0)</f>
        <v>0</v>
      </c>
      <c r="AD3812" s="0" t="str">
        <f aca="false">IF(AND(C3811=C3812,AA3811=AA3812-1),AB3811,"")</f>
        <v/>
      </c>
      <c r="AE3812" s="0" t="str">
        <f aca="false">IF(AND(C3811=C3812,AA3811=AA3812-1),AC3811,"")</f>
        <v/>
      </c>
      <c r="AF3812" s="0" t="str">
        <f aca="false">IF(AA3812=1,"",IF(AND(AB3812=1,AD3812&lt;&gt;1),1,0))</f>
        <v/>
      </c>
      <c r="AG3812" s="0" t="str">
        <f aca="false">IF(AA3812=1,"",IF(AND(AC3812=1,AE3812&lt;&gt;1),1,0))</f>
        <v/>
      </c>
      <c r="AH3812" s="51" t="str">
        <f aca="false">IF(AND(E3812&gt;0,AA3812&lt;1,NOT(AND(C3813=C3812,AA3813=AA3812+1))),INDEX(DATAS,AA3812+1),"")</f>
        <v/>
      </c>
      <c r="AI3812" s="51" t="str">
        <f aca="false">IF(AND(AC3812=1,AA3812&lt;1),IF(AND(C3813=C3812,AA3813=AA3812+1),IF(AC3813=1,"",INDEX(DATAS,AA3812+1)),INDEX(DATAS,AA3812+1)),"")</f>
        <v/>
      </c>
    </row>
    <row r="3813" customFormat="false" ht="15" hidden="false" customHeight="false" outlineLevel="0" collapsed="false">
      <c r="A3813" s="51" t="n">
        <v>46309</v>
      </c>
      <c r="B3813" s="0" t="n">
        <v>15</v>
      </c>
      <c r="C3813" s="0" t="n">
        <v>30502</v>
      </c>
      <c r="E3813" s="0" t="n">
        <v>0</v>
      </c>
      <c r="F3813" s="46" t="s">
        <v>1463</v>
      </c>
      <c r="I3813" s="46" t="s">
        <v>150</v>
      </c>
      <c r="U3813" s="0" t="n">
        <v>252</v>
      </c>
      <c r="V3813" s="0" t="n">
        <v>0</v>
      </c>
      <c r="X3813" s="46" t="n">
        <f aca="false">IF(I3813="Male",0,1)</f>
        <v>0</v>
      </c>
      <c r="Y3813" s="46" t="n">
        <f aca="false">IF(OR(I3813="DNB",I3813="Dry DNB"),1,0)</f>
        <v>0</v>
      </c>
      <c r="Z3813" s="0" t="str">
        <f aca="false">IF(ISNUMBER(W3813),A3813-W3813,"")</f>
        <v/>
      </c>
      <c r="AA3813" s="46" t="n">
        <f aca="false">MATCH(A3813,DATAS,0)</f>
        <v>1</v>
      </c>
      <c r="AB3813" s="46" t="n">
        <f aca="false">IF(AND(E3813&gt;0,OR(AND(B3813&gt;=1,B3813&lt;=6),B3813=10)),1,0)</f>
        <v>0</v>
      </c>
      <c r="AC3813" s="46" t="n">
        <f aca="false">IF(AND(E3813&gt;0,B3813=10),1,0)</f>
        <v>0</v>
      </c>
      <c r="AD3813" s="0" t="str">
        <f aca="false">IF(AND(C3812=C3813,AA3812=AA3813-1),AB3812,"")</f>
        <v/>
      </c>
      <c r="AE3813" s="0" t="str">
        <f aca="false">IF(AND(C3812=C3813,AA3812=AA3813-1),AC3812,"")</f>
        <v/>
      </c>
      <c r="AF3813" s="0" t="str">
        <f aca="false">IF(AA3813=1,"",IF(AND(AB3813=1,AD3813&lt;&gt;1),1,0))</f>
        <v/>
      </c>
      <c r="AG3813" s="0" t="str">
        <f aca="false">IF(AA3813=1,"",IF(AND(AC3813=1,AE3813&lt;&gt;1),1,0))</f>
        <v/>
      </c>
      <c r="AH3813" s="51" t="str">
        <f aca="false">IF(AND(E3813&gt;0,AA3813&lt;1,NOT(AND(C3814=C3813,AA3814=AA3813+1))),INDEX(DATAS,AA3813+1),"")</f>
        <v/>
      </c>
      <c r="AI3813" s="51" t="str">
        <f aca="false">IF(AND(AC3813=1,AA3813&lt;1),IF(AND(C3814=C3813,AA3814=AA3813+1),IF(AC3814=1,"",INDEX(DATAS,AA3813+1)),INDEX(DATAS,AA3813+1)),"")</f>
        <v/>
      </c>
    </row>
    <row r="3814" customFormat="false" ht="15" hidden="false" customHeight="false" outlineLevel="0" collapsed="false">
      <c r="A3814" s="51" t="n">
        <v>46309</v>
      </c>
      <c r="B3814" s="0" t="n">
        <v>15</v>
      </c>
      <c r="C3814" s="0" t="n">
        <v>30503</v>
      </c>
      <c r="E3814" s="0" t="n">
        <v>0</v>
      </c>
      <c r="F3814" s="46" t="s">
        <v>1465</v>
      </c>
      <c r="I3814" s="46" t="s">
        <v>150</v>
      </c>
      <c r="U3814" s="0" t="n">
        <v>250</v>
      </c>
      <c r="V3814" s="0" t="n">
        <v>0</v>
      </c>
      <c r="X3814" s="46" t="n">
        <f aca="false">IF(I3814="Male",0,1)</f>
        <v>0</v>
      </c>
      <c r="Y3814" s="46" t="n">
        <f aca="false">IF(OR(I3814="DNB",I3814="Dry DNB"),1,0)</f>
        <v>0</v>
      </c>
      <c r="Z3814" s="0" t="str">
        <f aca="false">IF(ISNUMBER(W3814),A3814-W3814,"")</f>
        <v/>
      </c>
      <c r="AA3814" s="46" t="n">
        <f aca="false">MATCH(A3814,DATAS,0)</f>
        <v>1</v>
      </c>
      <c r="AB3814" s="46" t="n">
        <f aca="false">IF(AND(E3814&gt;0,OR(AND(B3814&gt;=1,B3814&lt;=6),B3814=10)),1,0)</f>
        <v>0</v>
      </c>
      <c r="AC3814" s="46" t="n">
        <f aca="false">IF(AND(E3814&gt;0,B3814=10),1,0)</f>
        <v>0</v>
      </c>
      <c r="AD3814" s="0" t="str">
        <f aca="false">IF(AND(C3813=C3814,AA3813=AA3814-1),AB3813,"")</f>
        <v/>
      </c>
      <c r="AE3814" s="0" t="str">
        <f aca="false">IF(AND(C3813=C3814,AA3813=AA3814-1),AC3813,"")</f>
        <v/>
      </c>
      <c r="AF3814" s="0" t="str">
        <f aca="false">IF(AA3814=1,"",IF(AND(AB3814=1,AD3814&lt;&gt;1),1,0))</f>
        <v/>
      </c>
      <c r="AG3814" s="0" t="str">
        <f aca="false">IF(AA3814=1,"",IF(AND(AC3814=1,AE3814&lt;&gt;1),1,0))</f>
        <v/>
      </c>
      <c r="AH3814" s="51" t="str">
        <f aca="false">IF(AND(E3814&gt;0,AA3814&lt;1,NOT(AND(C3815=C3814,AA3815=AA3814+1))),INDEX(DATAS,AA3814+1),"")</f>
        <v/>
      </c>
      <c r="AI3814" s="51" t="str">
        <f aca="false">IF(AND(AC3814=1,AA3814&lt;1),IF(AND(C3815=C3814,AA3815=AA3814+1),IF(AC3815=1,"",INDEX(DATAS,AA3814+1)),INDEX(DATAS,AA3814+1)),"")</f>
        <v/>
      </c>
    </row>
    <row r="3815" customFormat="false" ht="15" hidden="false" customHeight="false" outlineLevel="0" collapsed="false">
      <c r="A3815" s="51" t="n">
        <v>46309</v>
      </c>
      <c r="B3815" s="0" t="n">
        <v>15</v>
      </c>
      <c r="C3815" s="0" t="n">
        <v>30504</v>
      </c>
      <c r="E3815" s="0" t="n">
        <v>0</v>
      </c>
      <c r="F3815" s="46" t="s">
        <v>1467</v>
      </c>
      <c r="I3815" s="46" t="s">
        <v>150</v>
      </c>
      <c r="U3815" s="0" t="n">
        <v>248</v>
      </c>
      <c r="V3815" s="0" t="n">
        <v>0</v>
      </c>
      <c r="X3815" s="46" t="n">
        <f aca="false">IF(I3815="Male",0,1)</f>
        <v>0</v>
      </c>
      <c r="Y3815" s="46" t="n">
        <f aca="false">IF(OR(I3815="DNB",I3815="Dry DNB"),1,0)</f>
        <v>0</v>
      </c>
      <c r="Z3815" s="0" t="str">
        <f aca="false">IF(ISNUMBER(W3815),A3815-W3815,"")</f>
        <v/>
      </c>
      <c r="AA3815" s="46" t="n">
        <f aca="false">MATCH(A3815,DATAS,0)</f>
        <v>1</v>
      </c>
      <c r="AB3815" s="46" t="n">
        <f aca="false">IF(AND(E3815&gt;0,OR(AND(B3815&gt;=1,B3815&lt;=6),B3815=10)),1,0)</f>
        <v>0</v>
      </c>
      <c r="AC3815" s="46" t="n">
        <f aca="false">IF(AND(E3815&gt;0,B3815=10),1,0)</f>
        <v>0</v>
      </c>
      <c r="AD3815" s="0" t="str">
        <f aca="false">IF(AND(C3814=C3815,AA3814=AA3815-1),AB3814,"")</f>
        <v/>
      </c>
      <c r="AE3815" s="0" t="str">
        <f aca="false">IF(AND(C3814=C3815,AA3814=AA3815-1),AC3814,"")</f>
        <v/>
      </c>
      <c r="AF3815" s="0" t="str">
        <f aca="false">IF(AA3815=1,"",IF(AND(AB3815=1,AD3815&lt;&gt;1),1,0))</f>
        <v/>
      </c>
      <c r="AG3815" s="0" t="str">
        <f aca="false">IF(AA3815=1,"",IF(AND(AC3815=1,AE3815&lt;&gt;1),1,0))</f>
        <v/>
      </c>
      <c r="AH3815" s="51" t="str">
        <f aca="false">IF(AND(E3815&gt;0,AA3815&lt;1,NOT(AND(C3816=C3815,AA3816=AA3815+1))),INDEX(DATAS,AA3815+1),"")</f>
        <v/>
      </c>
      <c r="AI3815" s="51" t="str">
        <f aca="false">IF(AND(AC3815=1,AA3815&lt;1),IF(AND(C3816=C3815,AA3816=AA3815+1),IF(AC3816=1,"",INDEX(DATAS,AA3815+1)),INDEX(DATAS,AA3815+1)),"")</f>
        <v/>
      </c>
    </row>
    <row r="3816" customFormat="false" ht="15" hidden="false" customHeight="false" outlineLevel="0" collapsed="false">
      <c r="A3816" s="51" t="n">
        <v>46309</v>
      </c>
      <c r="B3816" s="0" t="n">
        <v>15</v>
      </c>
      <c r="C3816" s="0" t="n">
        <v>30507</v>
      </c>
      <c r="E3816" s="0" t="n">
        <v>0</v>
      </c>
      <c r="F3816" s="46" t="s">
        <v>1467</v>
      </c>
      <c r="I3816" s="46" t="s">
        <v>150</v>
      </c>
      <c r="U3816" s="0" t="n">
        <v>248</v>
      </c>
      <c r="V3816" s="0" t="n">
        <v>0</v>
      </c>
      <c r="X3816" s="46" t="n">
        <f aca="false">IF(I3816="Male",0,1)</f>
        <v>0</v>
      </c>
      <c r="Y3816" s="46" t="n">
        <f aca="false">IF(OR(I3816="DNB",I3816="Dry DNB"),1,0)</f>
        <v>0</v>
      </c>
      <c r="Z3816" s="0" t="str">
        <f aca="false">IF(ISNUMBER(W3816),A3816-W3816,"")</f>
        <v/>
      </c>
      <c r="AA3816" s="46" t="n">
        <f aca="false">MATCH(A3816,DATAS,0)</f>
        <v>1</v>
      </c>
      <c r="AB3816" s="46" t="n">
        <f aca="false">IF(AND(E3816&gt;0,OR(AND(B3816&gt;=1,B3816&lt;=6),B3816=10)),1,0)</f>
        <v>0</v>
      </c>
      <c r="AC3816" s="46" t="n">
        <f aca="false">IF(AND(E3816&gt;0,B3816=10),1,0)</f>
        <v>0</v>
      </c>
      <c r="AD3816" s="0" t="str">
        <f aca="false">IF(AND(C3815=C3816,AA3815=AA3816-1),AB3815,"")</f>
        <v/>
      </c>
      <c r="AE3816" s="0" t="str">
        <f aca="false">IF(AND(C3815=C3816,AA3815=AA3816-1),AC3815,"")</f>
        <v/>
      </c>
      <c r="AF3816" s="0" t="str">
        <f aca="false">IF(AA3816=1,"",IF(AND(AB3816=1,AD3816&lt;&gt;1),1,0))</f>
        <v/>
      </c>
      <c r="AG3816" s="0" t="str">
        <f aca="false">IF(AA3816=1,"",IF(AND(AC3816=1,AE3816&lt;&gt;1),1,0))</f>
        <v/>
      </c>
      <c r="AH3816" s="51" t="str">
        <f aca="false">IF(AND(E3816&gt;0,AA3816&lt;1,NOT(AND(C3817=C3816,AA3817=AA3816+1))),INDEX(DATAS,AA3816+1),"")</f>
        <v/>
      </c>
      <c r="AI3816" s="51" t="str">
        <f aca="false">IF(AND(AC3816=1,AA3816&lt;1),IF(AND(C3817=C3816,AA3817=AA3816+1),IF(AC3817=1,"",INDEX(DATAS,AA3816+1)),INDEX(DATAS,AA3816+1)),"")</f>
        <v/>
      </c>
    </row>
    <row r="3817" customFormat="false" ht="15" hidden="false" customHeight="false" outlineLevel="0" collapsed="false">
      <c r="A3817" s="51" t="n">
        <v>46309</v>
      </c>
      <c r="B3817" s="0" t="n">
        <v>15</v>
      </c>
      <c r="C3817" s="0" t="n">
        <v>30514</v>
      </c>
      <c r="E3817" s="0" t="n">
        <v>0</v>
      </c>
      <c r="F3817" s="46" t="s">
        <v>1469</v>
      </c>
      <c r="I3817" s="46" t="s">
        <v>150</v>
      </c>
      <c r="U3817" s="0" t="n">
        <v>246</v>
      </c>
      <c r="V3817" s="0" t="n">
        <v>0</v>
      </c>
      <c r="X3817" s="46" t="n">
        <f aca="false">IF(I3817="Male",0,1)</f>
        <v>0</v>
      </c>
      <c r="Y3817" s="46" t="n">
        <f aca="false">IF(OR(I3817="DNB",I3817="Dry DNB"),1,0)</f>
        <v>0</v>
      </c>
      <c r="Z3817" s="0" t="str">
        <f aca="false">IF(ISNUMBER(W3817),A3817-W3817,"")</f>
        <v/>
      </c>
      <c r="AA3817" s="46" t="n">
        <f aca="false">MATCH(A3817,DATAS,0)</f>
        <v>1</v>
      </c>
      <c r="AB3817" s="46" t="n">
        <f aca="false">IF(AND(E3817&gt;0,OR(AND(B3817&gt;=1,B3817&lt;=6),B3817=10)),1,0)</f>
        <v>0</v>
      </c>
      <c r="AC3817" s="46" t="n">
        <f aca="false">IF(AND(E3817&gt;0,B3817=10),1,0)</f>
        <v>0</v>
      </c>
      <c r="AD3817" s="0" t="str">
        <f aca="false">IF(AND(C3816=C3817,AA3816=AA3817-1),AB3816,"")</f>
        <v/>
      </c>
      <c r="AE3817" s="0" t="str">
        <f aca="false">IF(AND(C3816=C3817,AA3816=AA3817-1),AC3816,"")</f>
        <v/>
      </c>
      <c r="AF3817" s="0" t="str">
        <f aca="false">IF(AA3817=1,"",IF(AND(AB3817=1,AD3817&lt;&gt;1),1,0))</f>
        <v/>
      </c>
      <c r="AG3817" s="0" t="str">
        <f aca="false">IF(AA3817=1,"",IF(AND(AC3817=1,AE3817&lt;&gt;1),1,0))</f>
        <v/>
      </c>
      <c r="AH3817" s="51" t="str">
        <f aca="false">IF(AND(E3817&gt;0,AA3817&lt;1,NOT(AND(C3818=C3817,AA3818=AA3817+1))),INDEX(DATAS,AA3817+1),"")</f>
        <v/>
      </c>
      <c r="AI3817" s="51" t="str">
        <f aca="false">IF(AND(AC3817=1,AA3817&lt;1),IF(AND(C3818=C3817,AA3818=AA3817+1),IF(AC3818=1,"",INDEX(DATAS,AA3817+1)),INDEX(DATAS,AA3817+1)),"")</f>
        <v/>
      </c>
    </row>
    <row r="3818" customFormat="false" ht="15" hidden="false" customHeight="false" outlineLevel="0" collapsed="false">
      <c r="A3818" s="51" t="n">
        <v>46309</v>
      </c>
      <c r="B3818" s="0" t="n">
        <v>15</v>
      </c>
      <c r="C3818" s="0" t="n">
        <v>30523</v>
      </c>
      <c r="E3818" s="0" t="n">
        <v>0</v>
      </c>
      <c r="F3818" s="46" t="s">
        <v>1701</v>
      </c>
      <c r="I3818" s="46" t="s">
        <v>150</v>
      </c>
      <c r="U3818" s="0" t="n">
        <v>243</v>
      </c>
      <c r="V3818" s="0" t="n">
        <v>0</v>
      </c>
      <c r="X3818" s="46" t="n">
        <f aca="false">IF(I3818="Male",0,1)</f>
        <v>0</v>
      </c>
      <c r="Y3818" s="46" t="n">
        <f aca="false">IF(OR(I3818="DNB",I3818="Dry DNB"),1,0)</f>
        <v>0</v>
      </c>
      <c r="Z3818" s="0" t="str">
        <f aca="false">IF(ISNUMBER(W3818),A3818-W3818,"")</f>
        <v/>
      </c>
      <c r="AA3818" s="46" t="n">
        <f aca="false">MATCH(A3818,DATAS,0)</f>
        <v>1</v>
      </c>
      <c r="AB3818" s="46" t="n">
        <f aca="false">IF(AND(E3818&gt;0,OR(AND(B3818&gt;=1,B3818&lt;=6),B3818=10)),1,0)</f>
        <v>0</v>
      </c>
      <c r="AC3818" s="46" t="n">
        <f aca="false">IF(AND(E3818&gt;0,B3818=10),1,0)</f>
        <v>0</v>
      </c>
      <c r="AD3818" s="0" t="str">
        <f aca="false">IF(AND(C3817=C3818,AA3817=AA3818-1),AB3817,"")</f>
        <v/>
      </c>
      <c r="AE3818" s="0" t="str">
        <f aca="false">IF(AND(C3817=C3818,AA3817=AA3818-1),AC3817,"")</f>
        <v/>
      </c>
      <c r="AF3818" s="0" t="str">
        <f aca="false">IF(AA3818=1,"",IF(AND(AB3818=1,AD3818&lt;&gt;1),1,0))</f>
        <v/>
      </c>
      <c r="AG3818" s="0" t="str">
        <f aca="false">IF(AA3818=1,"",IF(AND(AC3818=1,AE3818&lt;&gt;1),1,0))</f>
        <v/>
      </c>
      <c r="AH3818" s="51" t="str">
        <f aca="false">IF(AND(E3818&gt;0,AA3818&lt;1,NOT(AND(C3819=C3818,AA3819=AA3818+1))),INDEX(DATAS,AA3818+1),"")</f>
        <v/>
      </c>
      <c r="AI3818" s="51" t="str">
        <f aca="false">IF(AND(AC3818=1,AA3818&lt;1),IF(AND(C3819=C3818,AA3819=AA3818+1),IF(AC3819=1,"",INDEX(DATAS,AA3818+1)),INDEX(DATAS,AA3818+1)),"")</f>
        <v/>
      </c>
    </row>
    <row r="3819" customFormat="false" ht="15" hidden="false" customHeight="false" outlineLevel="0" collapsed="false">
      <c r="A3819" s="51" t="n">
        <v>46309</v>
      </c>
      <c r="B3819" s="0" t="n">
        <v>15</v>
      </c>
      <c r="C3819" s="0" t="n">
        <v>30529</v>
      </c>
      <c r="E3819" s="0" t="n">
        <v>0</v>
      </c>
      <c r="F3819" s="46" t="s">
        <v>1472</v>
      </c>
      <c r="I3819" s="46" t="s">
        <v>150</v>
      </c>
      <c r="U3819" s="0" t="n">
        <v>242</v>
      </c>
      <c r="V3819" s="0" t="n">
        <v>0</v>
      </c>
      <c r="X3819" s="46" t="n">
        <f aca="false">IF(I3819="Male",0,1)</f>
        <v>0</v>
      </c>
      <c r="Y3819" s="46" t="n">
        <f aca="false">IF(OR(I3819="DNB",I3819="Dry DNB"),1,0)</f>
        <v>0</v>
      </c>
      <c r="Z3819" s="0" t="str">
        <f aca="false">IF(ISNUMBER(W3819),A3819-W3819,"")</f>
        <v/>
      </c>
      <c r="AA3819" s="46" t="n">
        <f aca="false">MATCH(A3819,DATAS,0)</f>
        <v>1</v>
      </c>
      <c r="AB3819" s="46" t="n">
        <f aca="false">IF(AND(E3819&gt;0,OR(AND(B3819&gt;=1,B3819&lt;=6),B3819=10)),1,0)</f>
        <v>0</v>
      </c>
      <c r="AC3819" s="46" t="n">
        <f aca="false">IF(AND(E3819&gt;0,B3819=10),1,0)</f>
        <v>0</v>
      </c>
      <c r="AD3819" s="0" t="str">
        <f aca="false">IF(AND(C3818=C3819,AA3818=AA3819-1),AB3818,"")</f>
        <v/>
      </c>
      <c r="AE3819" s="0" t="str">
        <f aca="false">IF(AND(C3818=C3819,AA3818=AA3819-1),AC3818,"")</f>
        <v/>
      </c>
      <c r="AF3819" s="0" t="str">
        <f aca="false">IF(AA3819=1,"",IF(AND(AB3819=1,AD3819&lt;&gt;1),1,0))</f>
        <v/>
      </c>
      <c r="AG3819" s="0" t="str">
        <f aca="false">IF(AA3819=1,"",IF(AND(AC3819=1,AE3819&lt;&gt;1),1,0))</f>
        <v/>
      </c>
      <c r="AH3819" s="51" t="str">
        <f aca="false">IF(AND(E3819&gt;0,AA3819&lt;1,NOT(AND(C3820=C3819,AA3820=AA3819+1))),INDEX(DATAS,AA3819+1),"")</f>
        <v/>
      </c>
      <c r="AI3819" s="51" t="str">
        <f aca="false">IF(AND(AC3819=1,AA3819&lt;1),IF(AND(C3820=C3819,AA3820=AA3819+1),IF(AC3820=1,"",INDEX(DATAS,AA3819+1)),INDEX(DATAS,AA3819+1)),"")</f>
        <v/>
      </c>
    </row>
    <row r="3820" customFormat="false" ht="15" hidden="false" customHeight="false" outlineLevel="0" collapsed="false">
      <c r="A3820" s="51" t="n">
        <v>46309</v>
      </c>
      <c r="B3820" s="0" t="n">
        <v>15</v>
      </c>
      <c r="C3820" s="0" t="n">
        <v>30531</v>
      </c>
      <c r="E3820" s="0" t="n">
        <v>0</v>
      </c>
      <c r="F3820" s="46" t="s">
        <v>1473</v>
      </c>
      <c r="I3820" s="46" t="s">
        <v>150</v>
      </c>
      <c r="U3820" s="0" t="n">
        <v>241</v>
      </c>
      <c r="V3820" s="0" t="n">
        <v>0</v>
      </c>
      <c r="X3820" s="46" t="n">
        <f aca="false">IF(I3820="Male",0,1)</f>
        <v>0</v>
      </c>
      <c r="Y3820" s="46" t="n">
        <f aca="false">IF(OR(I3820="DNB",I3820="Dry DNB"),1,0)</f>
        <v>0</v>
      </c>
      <c r="Z3820" s="0" t="str">
        <f aca="false">IF(ISNUMBER(W3820),A3820-W3820,"")</f>
        <v/>
      </c>
      <c r="AA3820" s="46" t="n">
        <f aca="false">MATCH(A3820,DATAS,0)</f>
        <v>1</v>
      </c>
      <c r="AB3820" s="46" t="n">
        <f aca="false">IF(AND(E3820&gt;0,OR(AND(B3820&gt;=1,B3820&lt;=6),B3820=10)),1,0)</f>
        <v>0</v>
      </c>
      <c r="AC3820" s="46" t="n">
        <f aca="false">IF(AND(E3820&gt;0,B3820=10),1,0)</f>
        <v>0</v>
      </c>
      <c r="AD3820" s="0" t="str">
        <f aca="false">IF(AND(C3819=C3820,AA3819=AA3820-1),AB3819,"")</f>
        <v/>
      </c>
      <c r="AE3820" s="0" t="str">
        <f aca="false">IF(AND(C3819=C3820,AA3819=AA3820-1),AC3819,"")</f>
        <v/>
      </c>
      <c r="AF3820" s="0" t="str">
        <f aca="false">IF(AA3820=1,"",IF(AND(AB3820=1,AD3820&lt;&gt;1),1,0))</f>
        <v/>
      </c>
      <c r="AG3820" s="0" t="str">
        <f aca="false">IF(AA3820=1,"",IF(AND(AC3820=1,AE3820&lt;&gt;1),1,0))</f>
        <v/>
      </c>
      <c r="AH3820" s="51" t="str">
        <f aca="false">IF(AND(E3820&gt;0,AA3820&lt;1,NOT(AND(C3821=C3820,AA3821=AA3820+1))),INDEX(DATAS,AA3820+1),"")</f>
        <v/>
      </c>
      <c r="AI3820" s="51" t="str">
        <f aca="false">IF(AND(AC3820=1,AA3820&lt;1),IF(AND(C3821=C3820,AA3821=AA3820+1),IF(AC3821=1,"",INDEX(DATAS,AA3820+1)),INDEX(DATAS,AA3820+1)),"")</f>
        <v/>
      </c>
    </row>
    <row r="3821" customFormat="false" ht="15" hidden="false" customHeight="false" outlineLevel="0" collapsed="false">
      <c r="A3821" s="51" t="n">
        <v>46309</v>
      </c>
      <c r="B3821" s="0" t="n">
        <v>15</v>
      </c>
      <c r="C3821" s="0" t="n">
        <v>30532</v>
      </c>
      <c r="E3821" s="0" t="n">
        <v>0</v>
      </c>
      <c r="F3821" s="46" t="s">
        <v>1473</v>
      </c>
      <c r="I3821" s="46" t="s">
        <v>150</v>
      </c>
      <c r="U3821" s="0" t="n">
        <v>241</v>
      </c>
      <c r="V3821" s="0" t="n">
        <v>0</v>
      </c>
      <c r="X3821" s="46" t="n">
        <f aca="false">IF(I3821="Male",0,1)</f>
        <v>0</v>
      </c>
      <c r="Y3821" s="46" t="n">
        <f aca="false">IF(OR(I3821="DNB",I3821="Dry DNB"),1,0)</f>
        <v>0</v>
      </c>
      <c r="Z3821" s="0" t="str">
        <f aca="false">IF(ISNUMBER(W3821),A3821-W3821,"")</f>
        <v/>
      </c>
      <c r="AA3821" s="46" t="n">
        <f aca="false">MATCH(A3821,DATAS,0)</f>
        <v>1</v>
      </c>
      <c r="AB3821" s="46" t="n">
        <f aca="false">IF(AND(E3821&gt;0,OR(AND(B3821&gt;=1,B3821&lt;=6),B3821=10)),1,0)</f>
        <v>0</v>
      </c>
      <c r="AC3821" s="46" t="n">
        <f aca="false">IF(AND(E3821&gt;0,B3821=10),1,0)</f>
        <v>0</v>
      </c>
      <c r="AD3821" s="0" t="str">
        <f aca="false">IF(AND(C3820=C3821,AA3820=AA3821-1),AB3820,"")</f>
        <v/>
      </c>
      <c r="AE3821" s="0" t="str">
        <f aca="false">IF(AND(C3820=C3821,AA3820=AA3821-1),AC3820,"")</f>
        <v/>
      </c>
      <c r="AF3821" s="0" t="str">
        <f aca="false">IF(AA3821=1,"",IF(AND(AB3821=1,AD3821&lt;&gt;1),1,0))</f>
        <v/>
      </c>
      <c r="AG3821" s="0" t="str">
        <f aca="false">IF(AA3821=1,"",IF(AND(AC3821=1,AE3821&lt;&gt;1),1,0))</f>
        <v/>
      </c>
      <c r="AH3821" s="51" t="str">
        <f aca="false">IF(AND(E3821&gt;0,AA3821&lt;1,NOT(AND(C3822=C3821,AA3822=AA3821+1))),INDEX(DATAS,AA3821+1),"")</f>
        <v/>
      </c>
      <c r="AI3821" s="51" t="str">
        <f aca="false">IF(AND(AC3821=1,AA3821&lt;1),IF(AND(C3822=C3821,AA3822=AA3821+1),IF(AC3822=1,"",INDEX(DATAS,AA3821+1)),INDEX(DATAS,AA3821+1)),"")</f>
        <v/>
      </c>
    </row>
    <row r="3822" customFormat="false" ht="15" hidden="false" customHeight="false" outlineLevel="0" collapsed="false">
      <c r="A3822" s="51" t="n">
        <v>46309</v>
      </c>
      <c r="B3822" s="0" t="n">
        <v>15</v>
      </c>
      <c r="C3822" s="0" t="n">
        <v>30536</v>
      </c>
      <c r="E3822" s="0" t="n">
        <v>0</v>
      </c>
      <c r="F3822" s="46" t="s">
        <v>1475</v>
      </c>
      <c r="I3822" s="46" t="s">
        <v>150</v>
      </c>
      <c r="U3822" s="0" t="n">
        <v>239</v>
      </c>
      <c r="V3822" s="0" t="n">
        <v>0</v>
      </c>
      <c r="X3822" s="46" t="n">
        <f aca="false">IF(I3822="Male",0,1)</f>
        <v>0</v>
      </c>
      <c r="Y3822" s="46" t="n">
        <f aca="false">IF(OR(I3822="DNB",I3822="Dry DNB"),1,0)</f>
        <v>0</v>
      </c>
      <c r="Z3822" s="0" t="str">
        <f aca="false">IF(ISNUMBER(W3822),A3822-W3822,"")</f>
        <v/>
      </c>
      <c r="AA3822" s="46" t="n">
        <f aca="false">MATCH(A3822,DATAS,0)</f>
        <v>1</v>
      </c>
      <c r="AB3822" s="46" t="n">
        <f aca="false">IF(AND(E3822&gt;0,OR(AND(B3822&gt;=1,B3822&lt;=6),B3822=10)),1,0)</f>
        <v>0</v>
      </c>
      <c r="AC3822" s="46" t="n">
        <f aca="false">IF(AND(E3822&gt;0,B3822=10),1,0)</f>
        <v>0</v>
      </c>
      <c r="AD3822" s="0" t="str">
        <f aca="false">IF(AND(C3821=C3822,AA3821=AA3822-1),AB3821,"")</f>
        <v/>
      </c>
      <c r="AE3822" s="0" t="str">
        <f aca="false">IF(AND(C3821=C3822,AA3821=AA3822-1),AC3821,"")</f>
        <v/>
      </c>
      <c r="AF3822" s="0" t="str">
        <f aca="false">IF(AA3822=1,"",IF(AND(AB3822=1,AD3822&lt;&gt;1),1,0))</f>
        <v/>
      </c>
      <c r="AG3822" s="0" t="str">
        <f aca="false">IF(AA3822=1,"",IF(AND(AC3822=1,AE3822&lt;&gt;1),1,0))</f>
        <v/>
      </c>
      <c r="AH3822" s="51" t="str">
        <f aca="false">IF(AND(E3822&gt;0,AA3822&lt;1,NOT(AND(C3823=C3822,AA3823=AA3822+1))),INDEX(DATAS,AA3822+1),"")</f>
        <v/>
      </c>
      <c r="AI3822" s="51" t="str">
        <f aca="false">IF(AND(AC3822=1,AA3822&lt;1),IF(AND(C3823=C3822,AA3823=AA3822+1),IF(AC3823=1,"",INDEX(DATAS,AA3822+1)),INDEX(DATAS,AA3822+1)),"")</f>
        <v/>
      </c>
    </row>
    <row r="3823" customFormat="false" ht="15" hidden="false" customHeight="false" outlineLevel="0" collapsed="false">
      <c r="A3823" s="51" t="n">
        <v>46309</v>
      </c>
      <c r="B3823" s="0" t="n">
        <v>15</v>
      </c>
      <c r="C3823" s="0" t="n">
        <v>30539</v>
      </c>
      <c r="E3823" s="0" t="n">
        <v>0</v>
      </c>
      <c r="F3823" s="46" t="s">
        <v>1476</v>
      </c>
      <c r="I3823" s="46" t="s">
        <v>150</v>
      </c>
      <c r="U3823" s="0" t="n">
        <v>238</v>
      </c>
      <c r="V3823" s="0" t="n">
        <v>0</v>
      </c>
      <c r="X3823" s="46" t="n">
        <f aca="false">IF(I3823="Male",0,1)</f>
        <v>0</v>
      </c>
      <c r="Y3823" s="46" t="n">
        <f aca="false">IF(OR(I3823="DNB",I3823="Dry DNB"),1,0)</f>
        <v>0</v>
      </c>
      <c r="Z3823" s="0" t="str">
        <f aca="false">IF(ISNUMBER(W3823),A3823-W3823,"")</f>
        <v/>
      </c>
      <c r="AA3823" s="46" t="n">
        <f aca="false">MATCH(A3823,DATAS,0)</f>
        <v>1</v>
      </c>
      <c r="AB3823" s="46" t="n">
        <f aca="false">IF(AND(E3823&gt;0,OR(AND(B3823&gt;=1,B3823&lt;=6),B3823=10)),1,0)</f>
        <v>0</v>
      </c>
      <c r="AC3823" s="46" t="n">
        <f aca="false">IF(AND(E3823&gt;0,B3823=10),1,0)</f>
        <v>0</v>
      </c>
      <c r="AD3823" s="0" t="str">
        <f aca="false">IF(AND(C3822=C3823,AA3822=AA3823-1),AB3822,"")</f>
        <v/>
      </c>
      <c r="AE3823" s="0" t="str">
        <f aca="false">IF(AND(C3822=C3823,AA3822=AA3823-1),AC3822,"")</f>
        <v/>
      </c>
      <c r="AF3823" s="0" t="str">
        <f aca="false">IF(AA3823=1,"",IF(AND(AB3823=1,AD3823&lt;&gt;1),1,0))</f>
        <v/>
      </c>
      <c r="AG3823" s="0" t="str">
        <f aca="false">IF(AA3823=1,"",IF(AND(AC3823=1,AE3823&lt;&gt;1),1,0))</f>
        <v/>
      </c>
      <c r="AH3823" s="51" t="str">
        <f aca="false">IF(AND(E3823&gt;0,AA3823&lt;1,NOT(AND(C3824=C3823,AA3824=AA3823+1))),INDEX(DATAS,AA3823+1),"")</f>
        <v/>
      </c>
      <c r="AI3823" s="51" t="str">
        <f aca="false">IF(AND(AC3823=1,AA3823&lt;1),IF(AND(C3824=C3823,AA3824=AA3823+1),IF(AC3824=1,"",INDEX(DATAS,AA3823+1)),INDEX(DATAS,AA3823+1)),"")</f>
        <v/>
      </c>
    </row>
    <row r="3824" customFormat="false" ht="15" hidden="false" customHeight="false" outlineLevel="0" collapsed="false">
      <c r="A3824" s="51" t="n">
        <v>46309</v>
      </c>
      <c r="B3824" s="0" t="n">
        <v>15</v>
      </c>
      <c r="C3824" s="0" t="n">
        <v>30552</v>
      </c>
      <c r="E3824" s="0" t="n">
        <v>0</v>
      </c>
      <c r="F3824" s="46" t="s">
        <v>1481</v>
      </c>
      <c r="I3824" s="46" t="s">
        <v>150</v>
      </c>
      <c r="U3824" s="0" t="n">
        <v>232</v>
      </c>
      <c r="V3824" s="0" t="n">
        <v>0</v>
      </c>
      <c r="X3824" s="46" t="n">
        <f aca="false">IF(I3824="Male",0,1)</f>
        <v>0</v>
      </c>
      <c r="Y3824" s="46" t="n">
        <f aca="false">IF(OR(I3824="DNB",I3824="Dry DNB"),1,0)</f>
        <v>0</v>
      </c>
      <c r="Z3824" s="0" t="str">
        <f aca="false">IF(ISNUMBER(W3824),A3824-W3824,"")</f>
        <v/>
      </c>
      <c r="AA3824" s="46" t="n">
        <f aca="false">MATCH(A3824,DATAS,0)</f>
        <v>1</v>
      </c>
      <c r="AB3824" s="46" t="n">
        <f aca="false">IF(AND(E3824&gt;0,OR(AND(B3824&gt;=1,B3824&lt;=6),B3824=10)),1,0)</f>
        <v>0</v>
      </c>
      <c r="AC3824" s="46" t="n">
        <f aca="false">IF(AND(E3824&gt;0,B3824=10),1,0)</f>
        <v>0</v>
      </c>
      <c r="AD3824" s="0" t="str">
        <f aca="false">IF(AND(C3823=C3824,AA3823=AA3824-1),AB3823,"")</f>
        <v/>
      </c>
      <c r="AE3824" s="0" t="str">
        <f aca="false">IF(AND(C3823=C3824,AA3823=AA3824-1),AC3823,"")</f>
        <v/>
      </c>
      <c r="AF3824" s="0" t="str">
        <f aca="false">IF(AA3824=1,"",IF(AND(AB3824=1,AD3824&lt;&gt;1),1,0))</f>
        <v/>
      </c>
      <c r="AG3824" s="0" t="str">
        <f aca="false">IF(AA3824=1,"",IF(AND(AC3824=1,AE3824&lt;&gt;1),1,0))</f>
        <v/>
      </c>
      <c r="AH3824" s="51" t="str">
        <f aca="false">IF(AND(E3824&gt;0,AA3824&lt;1,NOT(AND(C3825=C3824,AA3825=AA3824+1))),INDEX(DATAS,AA3824+1),"")</f>
        <v/>
      </c>
      <c r="AI3824" s="51" t="str">
        <f aca="false">IF(AND(AC3824=1,AA3824&lt;1),IF(AND(C3825=C3824,AA3825=AA3824+1),IF(AC3825=1,"",INDEX(DATAS,AA3824+1)),INDEX(DATAS,AA3824+1)),"")</f>
        <v/>
      </c>
    </row>
    <row r="3825" customFormat="false" ht="15" hidden="false" customHeight="false" outlineLevel="0" collapsed="false">
      <c r="A3825" s="51" t="n">
        <v>46309</v>
      </c>
      <c r="B3825" s="0" t="n">
        <v>15</v>
      </c>
      <c r="C3825" s="0" t="n">
        <v>30553</v>
      </c>
      <c r="E3825" s="0" t="n">
        <v>0</v>
      </c>
      <c r="F3825" s="46" t="s">
        <v>1481</v>
      </c>
      <c r="I3825" s="46" t="s">
        <v>150</v>
      </c>
      <c r="U3825" s="0" t="n">
        <v>232</v>
      </c>
      <c r="V3825" s="0" t="n">
        <v>0</v>
      </c>
      <c r="X3825" s="46" t="n">
        <f aca="false">IF(I3825="Male",0,1)</f>
        <v>0</v>
      </c>
      <c r="Y3825" s="46" t="n">
        <f aca="false">IF(OR(I3825="DNB",I3825="Dry DNB"),1,0)</f>
        <v>0</v>
      </c>
      <c r="Z3825" s="0" t="str">
        <f aca="false">IF(ISNUMBER(W3825),A3825-W3825,"")</f>
        <v/>
      </c>
      <c r="AA3825" s="46" t="n">
        <f aca="false">MATCH(A3825,DATAS,0)</f>
        <v>1</v>
      </c>
      <c r="AB3825" s="46" t="n">
        <f aca="false">IF(AND(E3825&gt;0,OR(AND(B3825&gt;=1,B3825&lt;=6),B3825=10)),1,0)</f>
        <v>0</v>
      </c>
      <c r="AC3825" s="46" t="n">
        <f aca="false">IF(AND(E3825&gt;0,B3825=10),1,0)</f>
        <v>0</v>
      </c>
      <c r="AD3825" s="0" t="str">
        <f aca="false">IF(AND(C3824=C3825,AA3824=AA3825-1),AB3824,"")</f>
        <v/>
      </c>
      <c r="AE3825" s="0" t="str">
        <f aca="false">IF(AND(C3824=C3825,AA3824=AA3825-1),AC3824,"")</f>
        <v/>
      </c>
      <c r="AF3825" s="0" t="str">
        <f aca="false">IF(AA3825=1,"",IF(AND(AB3825=1,AD3825&lt;&gt;1),1,0))</f>
        <v/>
      </c>
      <c r="AG3825" s="0" t="str">
        <f aca="false">IF(AA3825=1,"",IF(AND(AC3825=1,AE3825&lt;&gt;1),1,0))</f>
        <v/>
      </c>
      <c r="AH3825" s="51" t="str">
        <f aca="false">IF(AND(E3825&gt;0,AA3825&lt;1,NOT(AND(C3826=C3825,AA3826=AA3825+1))),INDEX(DATAS,AA3825+1),"")</f>
        <v/>
      </c>
      <c r="AI3825" s="51" t="str">
        <f aca="false">IF(AND(AC3825=1,AA3825&lt;1),IF(AND(C3826=C3825,AA3826=AA3825+1),IF(AC3826=1,"",INDEX(DATAS,AA3825+1)),INDEX(DATAS,AA3825+1)),"")</f>
        <v/>
      </c>
    </row>
    <row r="3826" customFormat="false" ht="15" hidden="false" customHeight="false" outlineLevel="0" collapsed="false">
      <c r="A3826" s="51" t="n">
        <v>46309</v>
      </c>
      <c r="B3826" s="0" t="n">
        <v>15</v>
      </c>
      <c r="C3826" s="0" t="n">
        <v>30559</v>
      </c>
      <c r="E3826" s="0" t="n">
        <v>0</v>
      </c>
      <c r="F3826" s="46" t="s">
        <v>1483</v>
      </c>
      <c r="I3826" s="46" t="s">
        <v>150</v>
      </c>
      <c r="U3826" s="0" t="n">
        <v>230</v>
      </c>
      <c r="V3826" s="0" t="n">
        <v>0</v>
      </c>
      <c r="X3826" s="46" t="n">
        <f aca="false">IF(I3826="Male",0,1)</f>
        <v>0</v>
      </c>
      <c r="Y3826" s="46" t="n">
        <f aca="false">IF(OR(I3826="DNB",I3826="Dry DNB"),1,0)</f>
        <v>0</v>
      </c>
      <c r="Z3826" s="0" t="str">
        <f aca="false">IF(ISNUMBER(W3826),A3826-W3826,"")</f>
        <v/>
      </c>
      <c r="AA3826" s="46" t="n">
        <f aca="false">MATCH(A3826,DATAS,0)</f>
        <v>1</v>
      </c>
      <c r="AB3826" s="46" t="n">
        <f aca="false">IF(AND(E3826&gt;0,OR(AND(B3826&gt;=1,B3826&lt;=6),B3826=10)),1,0)</f>
        <v>0</v>
      </c>
      <c r="AC3826" s="46" t="n">
        <f aca="false">IF(AND(E3826&gt;0,B3826=10),1,0)</f>
        <v>0</v>
      </c>
      <c r="AD3826" s="0" t="str">
        <f aca="false">IF(AND(C3825=C3826,AA3825=AA3826-1),AB3825,"")</f>
        <v/>
      </c>
      <c r="AE3826" s="0" t="str">
        <f aca="false">IF(AND(C3825=C3826,AA3825=AA3826-1),AC3825,"")</f>
        <v/>
      </c>
      <c r="AF3826" s="0" t="str">
        <f aca="false">IF(AA3826=1,"",IF(AND(AB3826=1,AD3826&lt;&gt;1),1,0))</f>
        <v/>
      </c>
      <c r="AG3826" s="0" t="str">
        <f aca="false">IF(AA3826=1,"",IF(AND(AC3826=1,AE3826&lt;&gt;1),1,0))</f>
        <v/>
      </c>
      <c r="AH3826" s="51" t="str">
        <f aca="false">IF(AND(E3826&gt;0,AA3826&lt;1,NOT(AND(C3827=C3826,AA3827=AA3826+1))),INDEX(DATAS,AA3826+1),"")</f>
        <v/>
      </c>
      <c r="AI3826" s="51" t="str">
        <f aca="false">IF(AND(AC3826=1,AA3826&lt;1),IF(AND(C3827=C3826,AA3827=AA3826+1),IF(AC3827=1,"",INDEX(DATAS,AA3826+1)),INDEX(DATAS,AA3826+1)),"")</f>
        <v/>
      </c>
    </row>
    <row r="3827" customFormat="false" ht="15" hidden="false" customHeight="false" outlineLevel="0" collapsed="false">
      <c r="A3827" s="51" t="n">
        <v>46309</v>
      </c>
      <c r="B3827" s="0" t="n">
        <v>15</v>
      </c>
      <c r="C3827" s="0" t="n">
        <v>30564</v>
      </c>
      <c r="E3827" s="0" t="n">
        <v>0</v>
      </c>
      <c r="F3827" s="46" t="s">
        <v>1485</v>
      </c>
      <c r="I3827" s="46" t="s">
        <v>150</v>
      </c>
      <c r="U3827" s="0" t="n">
        <v>228</v>
      </c>
      <c r="V3827" s="0" t="n">
        <v>0</v>
      </c>
      <c r="X3827" s="46" t="n">
        <f aca="false">IF(I3827="Male",0,1)</f>
        <v>0</v>
      </c>
      <c r="Y3827" s="46" t="n">
        <f aca="false">IF(OR(I3827="DNB",I3827="Dry DNB"),1,0)</f>
        <v>0</v>
      </c>
      <c r="Z3827" s="0" t="str">
        <f aca="false">IF(ISNUMBER(W3827),A3827-W3827,"")</f>
        <v/>
      </c>
      <c r="AA3827" s="46" t="n">
        <f aca="false">MATCH(A3827,DATAS,0)</f>
        <v>1</v>
      </c>
      <c r="AB3827" s="46" t="n">
        <f aca="false">IF(AND(E3827&gt;0,OR(AND(B3827&gt;=1,B3827&lt;=6),B3827=10)),1,0)</f>
        <v>0</v>
      </c>
      <c r="AC3827" s="46" t="n">
        <f aca="false">IF(AND(E3827&gt;0,B3827=10),1,0)</f>
        <v>0</v>
      </c>
      <c r="AD3827" s="0" t="str">
        <f aca="false">IF(AND(C3826=C3827,AA3826=AA3827-1),AB3826,"")</f>
        <v/>
      </c>
      <c r="AE3827" s="0" t="str">
        <f aca="false">IF(AND(C3826=C3827,AA3826=AA3827-1),AC3826,"")</f>
        <v/>
      </c>
      <c r="AF3827" s="0" t="str">
        <f aca="false">IF(AA3827=1,"",IF(AND(AB3827=1,AD3827&lt;&gt;1),1,0))</f>
        <v/>
      </c>
      <c r="AG3827" s="0" t="str">
        <f aca="false">IF(AA3827=1,"",IF(AND(AC3827=1,AE3827&lt;&gt;1),1,0))</f>
        <v/>
      </c>
      <c r="AH3827" s="51" t="str">
        <f aca="false">IF(AND(E3827&gt;0,AA3827&lt;1,NOT(AND(C3828=C3827,AA3828=AA3827+1))),INDEX(DATAS,AA3827+1),"")</f>
        <v/>
      </c>
      <c r="AI3827" s="51" t="str">
        <f aca="false">IF(AND(AC3827=1,AA3827&lt;1),IF(AND(C3828=C3827,AA3828=AA3827+1),IF(AC3828=1,"",INDEX(DATAS,AA3827+1)),INDEX(DATAS,AA3827+1)),"")</f>
        <v/>
      </c>
    </row>
    <row r="3828" customFormat="false" ht="15" hidden="false" customHeight="false" outlineLevel="0" collapsed="false">
      <c r="A3828" s="51" t="n">
        <v>46309</v>
      </c>
      <c r="B3828" s="0" t="n">
        <v>15</v>
      </c>
      <c r="C3828" s="0" t="n">
        <v>30565</v>
      </c>
      <c r="E3828" s="0" t="n">
        <v>0</v>
      </c>
      <c r="F3828" s="46" t="s">
        <v>1487</v>
      </c>
      <c r="I3828" s="46" t="s">
        <v>150</v>
      </c>
      <c r="U3828" s="0" t="n">
        <v>226</v>
      </c>
      <c r="V3828" s="0" t="n">
        <v>0</v>
      </c>
      <c r="X3828" s="46" t="n">
        <f aca="false">IF(I3828="Male",0,1)</f>
        <v>0</v>
      </c>
      <c r="Y3828" s="46" t="n">
        <f aca="false">IF(OR(I3828="DNB",I3828="Dry DNB"),1,0)</f>
        <v>0</v>
      </c>
      <c r="Z3828" s="0" t="str">
        <f aca="false">IF(ISNUMBER(W3828),A3828-W3828,"")</f>
        <v/>
      </c>
      <c r="AA3828" s="46" t="n">
        <f aca="false">MATCH(A3828,DATAS,0)</f>
        <v>1</v>
      </c>
      <c r="AB3828" s="46" t="n">
        <f aca="false">IF(AND(E3828&gt;0,OR(AND(B3828&gt;=1,B3828&lt;=6),B3828=10)),1,0)</f>
        <v>0</v>
      </c>
      <c r="AC3828" s="46" t="n">
        <f aca="false">IF(AND(E3828&gt;0,B3828=10),1,0)</f>
        <v>0</v>
      </c>
      <c r="AD3828" s="0" t="str">
        <f aca="false">IF(AND(C3827=C3828,AA3827=AA3828-1),AB3827,"")</f>
        <v/>
      </c>
      <c r="AE3828" s="0" t="str">
        <f aca="false">IF(AND(C3827=C3828,AA3827=AA3828-1),AC3827,"")</f>
        <v/>
      </c>
      <c r="AF3828" s="0" t="str">
        <f aca="false">IF(AA3828=1,"",IF(AND(AB3828=1,AD3828&lt;&gt;1),1,0))</f>
        <v/>
      </c>
      <c r="AG3828" s="0" t="str">
        <f aca="false">IF(AA3828=1,"",IF(AND(AC3828=1,AE3828&lt;&gt;1),1,0))</f>
        <v/>
      </c>
      <c r="AH3828" s="51" t="str">
        <f aca="false">IF(AND(E3828&gt;0,AA3828&lt;1,NOT(AND(C3829=C3828,AA3829=AA3828+1))),INDEX(DATAS,AA3828+1),"")</f>
        <v/>
      </c>
      <c r="AI3828" s="51" t="str">
        <f aca="false">IF(AND(AC3828=1,AA3828&lt;1),IF(AND(C3829=C3828,AA3829=AA3828+1),IF(AC3829=1,"",INDEX(DATAS,AA3828+1)),INDEX(DATAS,AA3828+1)),"")</f>
        <v/>
      </c>
    </row>
    <row r="3829" customFormat="false" ht="15" hidden="false" customHeight="false" outlineLevel="0" collapsed="false">
      <c r="A3829" s="51" t="n">
        <v>46309</v>
      </c>
      <c r="B3829" s="0" t="n">
        <v>15</v>
      </c>
      <c r="C3829" s="0" t="n">
        <v>30572</v>
      </c>
      <c r="E3829" s="0" t="n">
        <v>0</v>
      </c>
      <c r="F3829" s="46" t="s">
        <v>1490</v>
      </c>
      <c r="I3829" s="46" t="s">
        <v>150</v>
      </c>
      <c r="U3829" s="0" t="n">
        <v>223</v>
      </c>
      <c r="V3829" s="0" t="n">
        <v>0</v>
      </c>
      <c r="X3829" s="46" t="n">
        <f aca="false">IF(I3829="Male",0,1)</f>
        <v>0</v>
      </c>
      <c r="Y3829" s="46" t="n">
        <f aca="false">IF(OR(I3829="DNB",I3829="Dry DNB"),1,0)</f>
        <v>0</v>
      </c>
      <c r="Z3829" s="0" t="str">
        <f aca="false">IF(ISNUMBER(W3829),A3829-W3829,"")</f>
        <v/>
      </c>
      <c r="AA3829" s="46" t="n">
        <f aca="false">MATCH(A3829,DATAS,0)</f>
        <v>1</v>
      </c>
      <c r="AB3829" s="46" t="n">
        <f aca="false">IF(AND(E3829&gt;0,OR(AND(B3829&gt;=1,B3829&lt;=6),B3829=10)),1,0)</f>
        <v>0</v>
      </c>
      <c r="AC3829" s="46" t="n">
        <f aca="false">IF(AND(E3829&gt;0,B3829=10),1,0)</f>
        <v>0</v>
      </c>
      <c r="AD3829" s="0" t="str">
        <f aca="false">IF(AND(C3828=C3829,AA3828=AA3829-1),AB3828,"")</f>
        <v/>
      </c>
      <c r="AE3829" s="0" t="str">
        <f aca="false">IF(AND(C3828=C3829,AA3828=AA3829-1),AC3828,"")</f>
        <v/>
      </c>
      <c r="AF3829" s="0" t="str">
        <f aca="false">IF(AA3829=1,"",IF(AND(AB3829=1,AD3829&lt;&gt;1),1,0))</f>
        <v/>
      </c>
      <c r="AG3829" s="0" t="str">
        <f aca="false">IF(AA3829=1,"",IF(AND(AC3829=1,AE3829&lt;&gt;1),1,0))</f>
        <v/>
      </c>
      <c r="AH3829" s="51" t="str">
        <f aca="false">IF(AND(E3829&gt;0,AA3829&lt;1,NOT(AND(C3830=C3829,AA3830=AA3829+1))),INDEX(DATAS,AA3829+1),"")</f>
        <v/>
      </c>
      <c r="AI3829" s="51" t="str">
        <f aca="false">IF(AND(AC3829=1,AA3829&lt;1),IF(AND(C3830=C3829,AA3830=AA3829+1),IF(AC3830=1,"",INDEX(DATAS,AA3829+1)),INDEX(DATAS,AA3829+1)),"")</f>
        <v/>
      </c>
    </row>
    <row r="3830" customFormat="false" ht="15" hidden="false" customHeight="false" outlineLevel="0" collapsed="false">
      <c r="A3830" s="51" t="n">
        <v>46309</v>
      </c>
      <c r="B3830" s="0" t="n">
        <v>15</v>
      </c>
      <c r="C3830" s="0" t="n">
        <v>30573</v>
      </c>
      <c r="E3830" s="0" t="n">
        <v>0</v>
      </c>
      <c r="F3830" s="46" t="s">
        <v>1490</v>
      </c>
      <c r="I3830" s="46" t="s">
        <v>1697</v>
      </c>
      <c r="U3830" s="0" t="n">
        <v>223</v>
      </c>
      <c r="V3830" s="0" t="n">
        <v>0</v>
      </c>
      <c r="X3830" s="46" t="n">
        <f aca="false">IF(I3830="Male",0,1)</f>
        <v>1</v>
      </c>
      <c r="Y3830" s="46" t="n">
        <f aca="false">IF(OR(I3830="DNB",I3830="Dry DNB"),1,0)</f>
        <v>0</v>
      </c>
      <c r="Z3830" s="0" t="str">
        <f aca="false">IF(ISNUMBER(W3830),A3830-W3830,"")</f>
        <v/>
      </c>
      <c r="AA3830" s="46" t="n">
        <f aca="false">MATCH(A3830,DATAS,0)</f>
        <v>1</v>
      </c>
      <c r="AB3830" s="46" t="n">
        <f aca="false">IF(AND(E3830&gt;0,OR(AND(B3830&gt;=1,B3830&lt;=6),B3830=10)),1,0)</f>
        <v>0</v>
      </c>
      <c r="AC3830" s="46" t="n">
        <f aca="false">IF(AND(E3830&gt;0,B3830=10),1,0)</f>
        <v>0</v>
      </c>
      <c r="AD3830" s="0" t="str">
        <f aca="false">IF(AND(C3829=C3830,AA3829=AA3830-1),AB3829,"")</f>
        <v/>
      </c>
      <c r="AE3830" s="0" t="str">
        <f aca="false">IF(AND(C3829=C3830,AA3829=AA3830-1),AC3829,"")</f>
        <v/>
      </c>
      <c r="AF3830" s="0" t="str">
        <f aca="false">IF(AA3830=1,"",IF(AND(AB3830=1,AD3830&lt;&gt;1),1,0))</f>
        <v/>
      </c>
      <c r="AG3830" s="0" t="str">
        <f aca="false">IF(AA3830=1,"",IF(AND(AC3830=1,AE3830&lt;&gt;1),1,0))</f>
        <v/>
      </c>
      <c r="AH3830" s="51" t="str">
        <f aca="false">IF(AND(E3830&gt;0,AA3830&lt;1,NOT(AND(C3831=C3830,AA3831=AA3830+1))),INDEX(DATAS,AA3830+1),"")</f>
        <v/>
      </c>
      <c r="AI3830" s="51" t="str">
        <f aca="false">IF(AND(AC3830=1,AA3830&lt;1),IF(AND(C3831=C3830,AA3831=AA3830+1),IF(AC3831=1,"",INDEX(DATAS,AA3830+1)),INDEX(DATAS,AA3830+1)),"")</f>
        <v/>
      </c>
    </row>
    <row r="3831" customFormat="false" ht="15" hidden="false" customHeight="false" outlineLevel="0" collapsed="false">
      <c r="A3831" s="51" t="n">
        <v>46309</v>
      </c>
      <c r="B3831" s="0" t="n">
        <v>15</v>
      </c>
      <c r="C3831" s="0" t="n">
        <v>30585</v>
      </c>
      <c r="E3831" s="0" t="n">
        <v>0</v>
      </c>
      <c r="F3831" s="46" t="s">
        <v>1496</v>
      </c>
      <c r="I3831" s="46" t="s">
        <v>150</v>
      </c>
      <c r="U3831" s="0" t="n">
        <v>215</v>
      </c>
      <c r="V3831" s="0" t="n">
        <v>0</v>
      </c>
      <c r="X3831" s="46" t="n">
        <f aca="false">IF(I3831="Male",0,1)</f>
        <v>0</v>
      </c>
      <c r="Y3831" s="46" t="n">
        <f aca="false">IF(OR(I3831="DNB",I3831="Dry DNB"),1,0)</f>
        <v>0</v>
      </c>
      <c r="Z3831" s="0" t="str">
        <f aca="false">IF(ISNUMBER(W3831),A3831-W3831,"")</f>
        <v/>
      </c>
      <c r="AA3831" s="46" t="n">
        <f aca="false">MATCH(A3831,DATAS,0)</f>
        <v>1</v>
      </c>
      <c r="AB3831" s="46" t="n">
        <f aca="false">IF(AND(E3831&gt;0,OR(AND(B3831&gt;=1,B3831&lt;=6),B3831=10)),1,0)</f>
        <v>0</v>
      </c>
      <c r="AC3831" s="46" t="n">
        <f aca="false">IF(AND(E3831&gt;0,B3831=10),1,0)</f>
        <v>0</v>
      </c>
      <c r="AD3831" s="0" t="str">
        <f aca="false">IF(AND(C3830=C3831,AA3830=AA3831-1),AB3830,"")</f>
        <v/>
      </c>
      <c r="AE3831" s="0" t="str">
        <f aca="false">IF(AND(C3830=C3831,AA3830=AA3831-1),AC3830,"")</f>
        <v/>
      </c>
      <c r="AF3831" s="0" t="str">
        <f aca="false">IF(AA3831=1,"",IF(AND(AB3831=1,AD3831&lt;&gt;1),1,0))</f>
        <v/>
      </c>
      <c r="AG3831" s="0" t="str">
        <f aca="false">IF(AA3831=1,"",IF(AND(AC3831=1,AE3831&lt;&gt;1),1,0))</f>
        <v/>
      </c>
      <c r="AH3831" s="51" t="str">
        <f aca="false">IF(AND(E3831&gt;0,AA3831&lt;1,NOT(AND(C3832=C3831,AA3832=AA3831+1))),INDEX(DATAS,AA3831+1),"")</f>
        <v/>
      </c>
      <c r="AI3831" s="51" t="str">
        <f aca="false">IF(AND(AC3831=1,AA3831&lt;1),IF(AND(C3832=C3831,AA3832=AA3831+1),IF(AC3832=1,"",INDEX(DATAS,AA3831+1)),INDEX(DATAS,AA3831+1)),"")</f>
        <v/>
      </c>
    </row>
    <row r="3832" customFormat="false" ht="15" hidden="false" customHeight="false" outlineLevel="0" collapsed="false">
      <c r="A3832" s="51" t="n">
        <v>46309</v>
      </c>
      <c r="B3832" s="0" t="n">
        <v>15</v>
      </c>
      <c r="C3832" s="0" t="n">
        <v>30586</v>
      </c>
      <c r="E3832" s="0" t="n">
        <v>0</v>
      </c>
      <c r="F3832" s="46" t="s">
        <v>1702</v>
      </c>
      <c r="I3832" s="46" t="s">
        <v>1697</v>
      </c>
      <c r="U3832" s="0" t="n">
        <v>214</v>
      </c>
      <c r="V3832" s="0" t="n">
        <v>0</v>
      </c>
      <c r="X3832" s="46" t="n">
        <f aca="false">IF(I3832="Male",0,1)</f>
        <v>1</v>
      </c>
      <c r="Y3832" s="46" t="n">
        <f aca="false">IF(OR(I3832="DNB",I3832="Dry DNB"),1,0)</f>
        <v>0</v>
      </c>
      <c r="Z3832" s="0" t="str">
        <f aca="false">IF(ISNUMBER(W3832),A3832-W3832,"")</f>
        <v/>
      </c>
      <c r="AA3832" s="46" t="n">
        <f aca="false">MATCH(A3832,DATAS,0)</f>
        <v>1</v>
      </c>
      <c r="AB3832" s="46" t="n">
        <f aca="false">IF(AND(E3832&gt;0,OR(AND(B3832&gt;=1,B3832&lt;=6),B3832=10)),1,0)</f>
        <v>0</v>
      </c>
      <c r="AC3832" s="46" t="n">
        <f aca="false">IF(AND(E3832&gt;0,B3832=10),1,0)</f>
        <v>0</v>
      </c>
      <c r="AD3832" s="0" t="str">
        <f aca="false">IF(AND(C3831=C3832,AA3831=AA3832-1),AB3831,"")</f>
        <v/>
      </c>
      <c r="AE3832" s="0" t="str">
        <f aca="false">IF(AND(C3831=C3832,AA3831=AA3832-1),AC3831,"")</f>
        <v/>
      </c>
      <c r="AF3832" s="0" t="str">
        <f aca="false">IF(AA3832=1,"",IF(AND(AB3832=1,AD3832&lt;&gt;1),1,0))</f>
        <v/>
      </c>
      <c r="AG3832" s="0" t="str">
        <f aca="false">IF(AA3832=1,"",IF(AND(AC3832=1,AE3832&lt;&gt;1),1,0))</f>
        <v/>
      </c>
      <c r="AH3832" s="51" t="str">
        <f aca="false">IF(AND(E3832&gt;0,AA3832&lt;1,NOT(AND(C3833=C3832,AA3833=AA3832+1))),INDEX(DATAS,AA3832+1),"")</f>
        <v/>
      </c>
      <c r="AI3832" s="51" t="str">
        <f aca="false">IF(AND(AC3832=1,AA3832&lt;1),IF(AND(C3833=C3832,AA3833=AA3832+1),IF(AC3833=1,"",INDEX(DATAS,AA3832+1)),INDEX(DATAS,AA3832+1)),"")</f>
        <v/>
      </c>
    </row>
    <row r="3833" customFormat="false" ht="15" hidden="false" customHeight="false" outlineLevel="0" collapsed="false">
      <c r="A3833" s="51" t="n">
        <v>46309</v>
      </c>
      <c r="B3833" s="0" t="n">
        <v>15</v>
      </c>
      <c r="C3833" s="0" t="n">
        <v>30587</v>
      </c>
      <c r="E3833" s="0" t="n">
        <v>0</v>
      </c>
      <c r="F3833" s="46" t="s">
        <v>1497</v>
      </c>
      <c r="I3833" s="46" t="s">
        <v>1697</v>
      </c>
      <c r="U3833" s="0" t="n">
        <v>213</v>
      </c>
      <c r="V3833" s="0" t="n">
        <v>0</v>
      </c>
      <c r="X3833" s="46" t="n">
        <f aca="false">IF(I3833="Male",0,1)</f>
        <v>1</v>
      </c>
      <c r="Y3833" s="46" t="n">
        <f aca="false">IF(OR(I3833="DNB",I3833="Dry DNB"),1,0)</f>
        <v>0</v>
      </c>
      <c r="Z3833" s="0" t="str">
        <f aca="false">IF(ISNUMBER(W3833),A3833-W3833,"")</f>
        <v/>
      </c>
      <c r="AA3833" s="46" t="n">
        <f aca="false">MATCH(A3833,DATAS,0)</f>
        <v>1</v>
      </c>
      <c r="AB3833" s="46" t="n">
        <f aca="false">IF(AND(E3833&gt;0,OR(AND(B3833&gt;=1,B3833&lt;=6),B3833=10)),1,0)</f>
        <v>0</v>
      </c>
      <c r="AC3833" s="46" t="n">
        <f aca="false">IF(AND(E3833&gt;0,B3833=10),1,0)</f>
        <v>0</v>
      </c>
      <c r="AD3833" s="0" t="str">
        <f aca="false">IF(AND(C3832=C3833,AA3832=AA3833-1),AB3832,"")</f>
        <v/>
      </c>
      <c r="AE3833" s="0" t="str">
        <f aca="false">IF(AND(C3832=C3833,AA3832=AA3833-1),AC3832,"")</f>
        <v/>
      </c>
      <c r="AF3833" s="0" t="str">
        <f aca="false">IF(AA3833=1,"",IF(AND(AB3833=1,AD3833&lt;&gt;1),1,0))</f>
        <v/>
      </c>
      <c r="AG3833" s="0" t="str">
        <f aca="false">IF(AA3833=1,"",IF(AND(AC3833=1,AE3833&lt;&gt;1),1,0))</f>
        <v/>
      </c>
      <c r="AH3833" s="51" t="str">
        <f aca="false">IF(AND(E3833&gt;0,AA3833&lt;1,NOT(AND(C3834=C3833,AA3834=AA3833+1))),INDEX(DATAS,AA3833+1),"")</f>
        <v/>
      </c>
      <c r="AI3833" s="51" t="str">
        <f aca="false">IF(AND(AC3833=1,AA3833&lt;1),IF(AND(C3834=C3833,AA3834=AA3833+1),IF(AC3834=1,"",INDEX(DATAS,AA3833+1)),INDEX(DATAS,AA3833+1)),"")</f>
        <v/>
      </c>
    </row>
    <row r="3834" customFormat="false" ht="15" hidden="false" customHeight="false" outlineLevel="0" collapsed="false">
      <c r="A3834" s="51" t="n">
        <v>46309</v>
      </c>
      <c r="B3834" s="0" t="n">
        <v>15</v>
      </c>
      <c r="C3834" s="0" t="n">
        <v>30589</v>
      </c>
      <c r="E3834" s="0" t="n">
        <v>0</v>
      </c>
      <c r="F3834" s="46" t="s">
        <v>1497</v>
      </c>
      <c r="I3834" s="46" t="s">
        <v>150</v>
      </c>
      <c r="U3834" s="0" t="n">
        <v>213</v>
      </c>
      <c r="V3834" s="0" t="n">
        <v>0</v>
      </c>
      <c r="X3834" s="46" t="n">
        <f aca="false">IF(I3834="Male",0,1)</f>
        <v>0</v>
      </c>
      <c r="Y3834" s="46" t="n">
        <f aca="false">IF(OR(I3834="DNB",I3834="Dry DNB"),1,0)</f>
        <v>0</v>
      </c>
      <c r="Z3834" s="0" t="str">
        <f aca="false">IF(ISNUMBER(W3834),A3834-W3834,"")</f>
        <v/>
      </c>
      <c r="AA3834" s="46" t="n">
        <f aca="false">MATCH(A3834,DATAS,0)</f>
        <v>1</v>
      </c>
      <c r="AB3834" s="46" t="n">
        <f aca="false">IF(AND(E3834&gt;0,OR(AND(B3834&gt;=1,B3834&lt;=6),B3834=10)),1,0)</f>
        <v>0</v>
      </c>
      <c r="AC3834" s="46" t="n">
        <f aca="false">IF(AND(E3834&gt;0,B3834=10),1,0)</f>
        <v>0</v>
      </c>
      <c r="AD3834" s="0" t="str">
        <f aca="false">IF(AND(C3833=C3834,AA3833=AA3834-1),AB3833,"")</f>
        <v/>
      </c>
      <c r="AE3834" s="0" t="str">
        <f aca="false">IF(AND(C3833=C3834,AA3833=AA3834-1),AC3833,"")</f>
        <v/>
      </c>
      <c r="AF3834" s="0" t="str">
        <f aca="false">IF(AA3834=1,"",IF(AND(AB3834=1,AD3834&lt;&gt;1),1,0))</f>
        <v/>
      </c>
      <c r="AG3834" s="0" t="str">
        <f aca="false">IF(AA3834=1,"",IF(AND(AC3834=1,AE3834&lt;&gt;1),1,0))</f>
        <v/>
      </c>
      <c r="AH3834" s="51" t="str">
        <f aca="false">IF(AND(E3834&gt;0,AA3834&lt;1,NOT(AND(C3835=C3834,AA3835=AA3834+1))),INDEX(DATAS,AA3834+1),"")</f>
        <v/>
      </c>
      <c r="AI3834" s="51" t="str">
        <f aca="false">IF(AND(AC3834=1,AA3834&lt;1),IF(AND(C3835=C3834,AA3835=AA3834+1),IF(AC3835=1,"",INDEX(DATAS,AA3834+1)),INDEX(DATAS,AA3834+1)),"")</f>
        <v/>
      </c>
    </row>
    <row r="3835" customFormat="false" ht="15" hidden="false" customHeight="false" outlineLevel="0" collapsed="false">
      <c r="A3835" s="51" t="n">
        <v>46309</v>
      </c>
      <c r="B3835" s="0" t="n">
        <v>15</v>
      </c>
      <c r="C3835" s="0" t="n">
        <v>30590</v>
      </c>
      <c r="E3835" s="0" t="n">
        <v>0</v>
      </c>
      <c r="F3835" s="46" t="s">
        <v>1497</v>
      </c>
      <c r="I3835" s="46" t="s">
        <v>150</v>
      </c>
      <c r="U3835" s="0" t="n">
        <v>213</v>
      </c>
      <c r="V3835" s="0" t="n">
        <v>0</v>
      </c>
      <c r="X3835" s="46" t="n">
        <f aca="false">IF(I3835="Male",0,1)</f>
        <v>0</v>
      </c>
      <c r="Y3835" s="46" t="n">
        <f aca="false">IF(OR(I3835="DNB",I3835="Dry DNB"),1,0)</f>
        <v>0</v>
      </c>
      <c r="Z3835" s="0" t="str">
        <f aca="false">IF(ISNUMBER(W3835),A3835-W3835,"")</f>
        <v/>
      </c>
      <c r="AA3835" s="46" t="n">
        <f aca="false">MATCH(A3835,DATAS,0)</f>
        <v>1</v>
      </c>
      <c r="AB3835" s="46" t="n">
        <f aca="false">IF(AND(E3835&gt;0,OR(AND(B3835&gt;=1,B3835&lt;=6),B3835=10)),1,0)</f>
        <v>0</v>
      </c>
      <c r="AC3835" s="46" t="n">
        <f aca="false">IF(AND(E3835&gt;0,B3835=10),1,0)</f>
        <v>0</v>
      </c>
      <c r="AD3835" s="0" t="str">
        <f aca="false">IF(AND(C3834=C3835,AA3834=AA3835-1),AB3834,"")</f>
        <v/>
      </c>
      <c r="AE3835" s="0" t="str">
        <f aca="false">IF(AND(C3834=C3835,AA3834=AA3835-1),AC3834,"")</f>
        <v/>
      </c>
      <c r="AF3835" s="0" t="str">
        <f aca="false">IF(AA3835=1,"",IF(AND(AB3835=1,AD3835&lt;&gt;1),1,0))</f>
        <v/>
      </c>
      <c r="AG3835" s="0" t="str">
        <f aca="false">IF(AA3835=1,"",IF(AND(AC3835=1,AE3835&lt;&gt;1),1,0))</f>
        <v/>
      </c>
      <c r="AH3835" s="51" t="str">
        <f aca="false">IF(AND(E3835&gt;0,AA3835&lt;1,NOT(AND(C3836=C3835,AA3836=AA3835+1))),INDEX(DATAS,AA3835+1),"")</f>
        <v/>
      </c>
      <c r="AI3835" s="51" t="str">
        <f aca="false">IF(AND(AC3835=1,AA3835&lt;1),IF(AND(C3836=C3835,AA3836=AA3835+1),IF(AC3836=1,"",INDEX(DATAS,AA3835+1)),INDEX(DATAS,AA3835+1)),"")</f>
        <v/>
      </c>
    </row>
    <row r="3836" customFormat="false" ht="15" hidden="false" customHeight="false" outlineLevel="0" collapsed="false">
      <c r="A3836" s="51" t="n">
        <v>46309</v>
      </c>
      <c r="B3836" s="0" t="n">
        <v>15</v>
      </c>
      <c r="C3836" s="0" t="n">
        <v>30594</v>
      </c>
      <c r="E3836" s="0" t="n">
        <v>0</v>
      </c>
      <c r="F3836" s="46" t="s">
        <v>1498</v>
      </c>
      <c r="I3836" s="46" t="s">
        <v>150</v>
      </c>
      <c r="U3836" s="0" t="n">
        <v>212</v>
      </c>
      <c r="V3836" s="0" t="n">
        <v>0</v>
      </c>
      <c r="X3836" s="46" t="n">
        <f aca="false">IF(I3836="Male",0,1)</f>
        <v>0</v>
      </c>
      <c r="Y3836" s="46" t="n">
        <f aca="false">IF(OR(I3836="DNB",I3836="Dry DNB"),1,0)</f>
        <v>0</v>
      </c>
      <c r="Z3836" s="0" t="str">
        <f aca="false">IF(ISNUMBER(W3836),A3836-W3836,"")</f>
        <v/>
      </c>
      <c r="AA3836" s="46" t="n">
        <f aca="false">MATCH(A3836,DATAS,0)</f>
        <v>1</v>
      </c>
      <c r="AB3836" s="46" t="n">
        <f aca="false">IF(AND(E3836&gt;0,OR(AND(B3836&gt;=1,B3836&lt;=6),B3836=10)),1,0)</f>
        <v>0</v>
      </c>
      <c r="AC3836" s="46" t="n">
        <f aca="false">IF(AND(E3836&gt;0,B3836=10),1,0)</f>
        <v>0</v>
      </c>
      <c r="AD3836" s="0" t="str">
        <f aca="false">IF(AND(C3835=C3836,AA3835=AA3836-1),AB3835,"")</f>
        <v/>
      </c>
      <c r="AE3836" s="0" t="str">
        <f aca="false">IF(AND(C3835=C3836,AA3835=AA3836-1),AC3835,"")</f>
        <v/>
      </c>
      <c r="AF3836" s="0" t="str">
        <f aca="false">IF(AA3836=1,"",IF(AND(AB3836=1,AD3836&lt;&gt;1),1,0))</f>
        <v/>
      </c>
      <c r="AG3836" s="0" t="str">
        <f aca="false">IF(AA3836=1,"",IF(AND(AC3836=1,AE3836&lt;&gt;1),1,0))</f>
        <v/>
      </c>
      <c r="AH3836" s="51" t="str">
        <f aca="false">IF(AND(E3836&gt;0,AA3836&lt;1,NOT(AND(C3837=C3836,AA3837=AA3836+1))),INDEX(DATAS,AA3836+1),"")</f>
        <v/>
      </c>
      <c r="AI3836" s="51" t="str">
        <f aca="false">IF(AND(AC3836=1,AA3836&lt;1),IF(AND(C3837=C3836,AA3837=AA3836+1),IF(AC3837=1,"",INDEX(DATAS,AA3836+1)),INDEX(DATAS,AA3836+1)),"")</f>
        <v/>
      </c>
    </row>
    <row r="3837" customFormat="false" ht="15" hidden="false" customHeight="false" outlineLevel="0" collapsed="false">
      <c r="A3837" s="51" t="n">
        <v>46309</v>
      </c>
      <c r="B3837" s="0" t="n">
        <v>15</v>
      </c>
      <c r="C3837" s="0" t="n">
        <v>30595</v>
      </c>
      <c r="E3837" s="0" t="n">
        <v>0</v>
      </c>
      <c r="F3837" s="46" t="s">
        <v>1499</v>
      </c>
      <c r="I3837" s="46" t="s">
        <v>150</v>
      </c>
      <c r="U3837" s="0" t="n">
        <v>211</v>
      </c>
      <c r="V3837" s="0" t="n">
        <v>0</v>
      </c>
      <c r="X3837" s="46" t="n">
        <f aca="false">IF(I3837="Male",0,1)</f>
        <v>0</v>
      </c>
      <c r="Y3837" s="46" t="n">
        <f aca="false">IF(OR(I3837="DNB",I3837="Dry DNB"),1,0)</f>
        <v>0</v>
      </c>
      <c r="Z3837" s="0" t="str">
        <f aca="false">IF(ISNUMBER(W3837),A3837-W3837,"")</f>
        <v/>
      </c>
      <c r="AA3837" s="46" t="n">
        <f aca="false">MATCH(A3837,DATAS,0)</f>
        <v>1</v>
      </c>
      <c r="AB3837" s="46" t="n">
        <f aca="false">IF(AND(E3837&gt;0,OR(AND(B3837&gt;=1,B3837&lt;=6),B3837=10)),1,0)</f>
        <v>0</v>
      </c>
      <c r="AC3837" s="46" t="n">
        <f aca="false">IF(AND(E3837&gt;0,B3837=10),1,0)</f>
        <v>0</v>
      </c>
      <c r="AD3837" s="0" t="str">
        <f aca="false">IF(AND(C3836=C3837,AA3836=AA3837-1),AB3836,"")</f>
        <v/>
      </c>
      <c r="AE3837" s="0" t="str">
        <f aca="false">IF(AND(C3836=C3837,AA3836=AA3837-1),AC3836,"")</f>
        <v/>
      </c>
      <c r="AF3837" s="0" t="str">
        <f aca="false">IF(AA3837=1,"",IF(AND(AB3837=1,AD3837&lt;&gt;1),1,0))</f>
        <v/>
      </c>
      <c r="AG3837" s="0" t="str">
        <f aca="false">IF(AA3837=1,"",IF(AND(AC3837=1,AE3837&lt;&gt;1),1,0))</f>
        <v/>
      </c>
      <c r="AH3837" s="51" t="str">
        <f aca="false">IF(AND(E3837&gt;0,AA3837&lt;1,NOT(AND(C3838=C3837,AA3838=AA3837+1))),INDEX(DATAS,AA3837+1),"")</f>
        <v/>
      </c>
      <c r="AI3837" s="51" t="str">
        <f aca="false">IF(AND(AC3837=1,AA3837&lt;1),IF(AND(C3838=C3837,AA3838=AA3837+1),IF(AC3838=1,"",INDEX(DATAS,AA3837+1)),INDEX(DATAS,AA3837+1)),"")</f>
        <v/>
      </c>
    </row>
    <row r="3838" customFormat="false" ht="15" hidden="false" customHeight="false" outlineLevel="0" collapsed="false">
      <c r="A3838" s="51" t="n">
        <v>46309</v>
      </c>
      <c r="B3838" s="0" t="n">
        <v>15</v>
      </c>
      <c r="C3838" s="0" t="n">
        <v>30597</v>
      </c>
      <c r="E3838" s="0" t="n">
        <v>0</v>
      </c>
      <c r="F3838" s="46" t="s">
        <v>1499</v>
      </c>
      <c r="I3838" s="46" t="s">
        <v>150</v>
      </c>
      <c r="U3838" s="0" t="n">
        <v>211</v>
      </c>
      <c r="V3838" s="0" t="n">
        <v>0</v>
      </c>
      <c r="X3838" s="46" t="n">
        <f aca="false">IF(I3838="Male",0,1)</f>
        <v>0</v>
      </c>
      <c r="Y3838" s="46" t="n">
        <f aca="false">IF(OR(I3838="DNB",I3838="Dry DNB"),1,0)</f>
        <v>0</v>
      </c>
      <c r="Z3838" s="0" t="str">
        <f aca="false">IF(ISNUMBER(W3838),A3838-W3838,"")</f>
        <v/>
      </c>
      <c r="AA3838" s="46" t="n">
        <f aca="false">MATCH(A3838,DATAS,0)</f>
        <v>1</v>
      </c>
      <c r="AB3838" s="46" t="n">
        <f aca="false">IF(AND(E3838&gt;0,OR(AND(B3838&gt;=1,B3838&lt;=6),B3838=10)),1,0)</f>
        <v>0</v>
      </c>
      <c r="AC3838" s="46" t="n">
        <f aca="false">IF(AND(E3838&gt;0,B3838=10),1,0)</f>
        <v>0</v>
      </c>
      <c r="AD3838" s="0" t="str">
        <f aca="false">IF(AND(C3837=C3838,AA3837=AA3838-1),AB3837,"")</f>
        <v/>
      </c>
      <c r="AE3838" s="0" t="str">
        <f aca="false">IF(AND(C3837=C3838,AA3837=AA3838-1),AC3837,"")</f>
        <v/>
      </c>
      <c r="AF3838" s="0" t="str">
        <f aca="false">IF(AA3838=1,"",IF(AND(AB3838=1,AD3838&lt;&gt;1),1,0))</f>
        <v/>
      </c>
      <c r="AG3838" s="0" t="str">
        <f aca="false">IF(AA3838=1,"",IF(AND(AC3838=1,AE3838&lt;&gt;1),1,0))</f>
        <v/>
      </c>
      <c r="AH3838" s="51" t="str">
        <f aca="false">IF(AND(E3838&gt;0,AA3838&lt;1,NOT(AND(C3839=C3838,AA3839=AA3838+1))),INDEX(DATAS,AA3838+1),"")</f>
        <v/>
      </c>
      <c r="AI3838" s="51" t="str">
        <f aca="false">IF(AND(AC3838=1,AA3838&lt;1),IF(AND(C3839=C3838,AA3839=AA3838+1),IF(AC3839=1,"",INDEX(DATAS,AA3838+1)),INDEX(DATAS,AA3838+1)),"")</f>
        <v/>
      </c>
    </row>
    <row r="3839" customFormat="false" ht="15" hidden="false" customHeight="false" outlineLevel="0" collapsed="false">
      <c r="A3839" s="51" t="n">
        <v>46309</v>
      </c>
      <c r="B3839" s="0" t="n">
        <v>15</v>
      </c>
      <c r="C3839" s="0" t="n">
        <v>30604</v>
      </c>
      <c r="E3839" s="0" t="n">
        <v>0</v>
      </c>
      <c r="F3839" s="46" t="s">
        <v>1501</v>
      </c>
      <c r="I3839" s="46" t="s">
        <v>1697</v>
      </c>
      <c r="U3839" s="0" t="n">
        <v>209</v>
      </c>
      <c r="V3839" s="0" t="n">
        <v>0</v>
      </c>
      <c r="X3839" s="46" t="n">
        <f aca="false">IF(I3839="Male",0,1)</f>
        <v>1</v>
      </c>
      <c r="Y3839" s="46" t="n">
        <f aca="false">IF(OR(I3839="DNB",I3839="Dry DNB"),1,0)</f>
        <v>0</v>
      </c>
      <c r="Z3839" s="0" t="str">
        <f aca="false">IF(ISNUMBER(W3839),A3839-W3839,"")</f>
        <v/>
      </c>
      <c r="AA3839" s="46" t="n">
        <f aca="false">MATCH(A3839,DATAS,0)</f>
        <v>1</v>
      </c>
      <c r="AB3839" s="46" t="n">
        <f aca="false">IF(AND(E3839&gt;0,OR(AND(B3839&gt;=1,B3839&lt;=6),B3839=10)),1,0)</f>
        <v>0</v>
      </c>
      <c r="AC3839" s="46" t="n">
        <f aca="false">IF(AND(E3839&gt;0,B3839=10),1,0)</f>
        <v>0</v>
      </c>
      <c r="AD3839" s="0" t="str">
        <f aca="false">IF(AND(C3838=C3839,AA3838=AA3839-1),AB3838,"")</f>
        <v/>
      </c>
      <c r="AE3839" s="0" t="str">
        <f aca="false">IF(AND(C3838=C3839,AA3838=AA3839-1),AC3838,"")</f>
        <v/>
      </c>
      <c r="AF3839" s="0" t="str">
        <f aca="false">IF(AA3839=1,"",IF(AND(AB3839=1,AD3839&lt;&gt;1),1,0))</f>
        <v/>
      </c>
      <c r="AG3839" s="0" t="str">
        <f aca="false">IF(AA3839=1,"",IF(AND(AC3839=1,AE3839&lt;&gt;1),1,0))</f>
        <v/>
      </c>
      <c r="AH3839" s="51" t="str">
        <f aca="false">IF(AND(E3839&gt;0,AA3839&lt;1,NOT(AND(C3840=C3839,AA3840=AA3839+1))),INDEX(DATAS,AA3839+1),"")</f>
        <v/>
      </c>
      <c r="AI3839" s="51" t="str">
        <f aca="false">IF(AND(AC3839=1,AA3839&lt;1),IF(AND(C3840=C3839,AA3840=AA3839+1),IF(AC3840=1,"",INDEX(DATAS,AA3839+1)),INDEX(DATAS,AA3839+1)),"")</f>
        <v/>
      </c>
    </row>
    <row r="3840" customFormat="false" ht="15" hidden="false" customHeight="false" outlineLevel="0" collapsed="false">
      <c r="A3840" s="51" t="n">
        <v>46309</v>
      </c>
      <c r="B3840" s="0" t="n">
        <v>15</v>
      </c>
      <c r="C3840" s="0" t="n">
        <v>30605</v>
      </c>
      <c r="E3840" s="0" t="n">
        <v>0</v>
      </c>
      <c r="F3840" s="46" t="s">
        <v>1502</v>
      </c>
      <c r="I3840" s="46" t="s">
        <v>150</v>
      </c>
      <c r="U3840" s="0" t="n">
        <v>208</v>
      </c>
      <c r="V3840" s="0" t="n">
        <v>0</v>
      </c>
      <c r="X3840" s="46" t="n">
        <f aca="false">IF(I3840="Male",0,1)</f>
        <v>0</v>
      </c>
      <c r="Y3840" s="46" t="n">
        <f aca="false">IF(OR(I3840="DNB",I3840="Dry DNB"),1,0)</f>
        <v>0</v>
      </c>
      <c r="Z3840" s="0" t="str">
        <f aca="false">IF(ISNUMBER(W3840),A3840-W3840,"")</f>
        <v/>
      </c>
      <c r="AA3840" s="46" t="n">
        <f aca="false">MATCH(A3840,DATAS,0)</f>
        <v>1</v>
      </c>
      <c r="AB3840" s="46" t="n">
        <f aca="false">IF(AND(E3840&gt;0,OR(AND(B3840&gt;=1,B3840&lt;=6),B3840=10)),1,0)</f>
        <v>0</v>
      </c>
      <c r="AC3840" s="46" t="n">
        <f aca="false">IF(AND(E3840&gt;0,B3840=10),1,0)</f>
        <v>0</v>
      </c>
      <c r="AD3840" s="0" t="str">
        <f aca="false">IF(AND(C3839=C3840,AA3839=AA3840-1),AB3839,"")</f>
        <v/>
      </c>
      <c r="AE3840" s="0" t="str">
        <f aca="false">IF(AND(C3839=C3840,AA3839=AA3840-1),AC3839,"")</f>
        <v/>
      </c>
      <c r="AF3840" s="0" t="str">
        <f aca="false">IF(AA3840=1,"",IF(AND(AB3840=1,AD3840&lt;&gt;1),1,0))</f>
        <v/>
      </c>
      <c r="AG3840" s="0" t="str">
        <f aca="false">IF(AA3840=1,"",IF(AND(AC3840=1,AE3840&lt;&gt;1),1,0))</f>
        <v/>
      </c>
      <c r="AH3840" s="51" t="str">
        <f aca="false">IF(AND(E3840&gt;0,AA3840&lt;1,NOT(AND(C3841=C3840,AA3841=AA3840+1))),INDEX(DATAS,AA3840+1),"")</f>
        <v/>
      </c>
      <c r="AI3840" s="51" t="str">
        <f aca="false">IF(AND(AC3840=1,AA3840&lt;1),IF(AND(C3841=C3840,AA3841=AA3840+1),IF(AC3841=1,"",INDEX(DATAS,AA3840+1)),INDEX(DATAS,AA3840+1)),"")</f>
        <v/>
      </c>
    </row>
    <row r="3841" customFormat="false" ht="15" hidden="false" customHeight="false" outlineLevel="0" collapsed="false">
      <c r="A3841" s="51" t="n">
        <v>46309</v>
      </c>
      <c r="B3841" s="0" t="n">
        <v>15</v>
      </c>
      <c r="C3841" s="0" t="n">
        <v>30607</v>
      </c>
      <c r="E3841" s="0" t="n">
        <v>0</v>
      </c>
      <c r="F3841" s="46" t="s">
        <v>1503</v>
      </c>
      <c r="I3841" s="46" t="s">
        <v>1697</v>
      </c>
      <c r="U3841" s="0" t="n">
        <v>207</v>
      </c>
      <c r="V3841" s="0" t="n">
        <v>0</v>
      </c>
      <c r="X3841" s="46" t="n">
        <f aca="false">IF(I3841="Male",0,1)</f>
        <v>1</v>
      </c>
      <c r="Y3841" s="46" t="n">
        <f aca="false">IF(OR(I3841="DNB",I3841="Dry DNB"),1,0)</f>
        <v>0</v>
      </c>
      <c r="Z3841" s="0" t="str">
        <f aca="false">IF(ISNUMBER(W3841),A3841-W3841,"")</f>
        <v/>
      </c>
      <c r="AA3841" s="46" t="n">
        <f aca="false">MATCH(A3841,DATAS,0)</f>
        <v>1</v>
      </c>
      <c r="AB3841" s="46" t="n">
        <f aca="false">IF(AND(E3841&gt;0,OR(AND(B3841&gt;=1,B3841&lt;=6),B3841=10)),1,0)</f>
        <v>0</v>
      </c>
      <c r="AC3841" s="46" t="n">
        <f aca="false">IF(AND(E3841&gt;0,B3841=10),1,0)</f>
        <v>0</v>
      </c>
      <c r="AD3841" s="0" t="str">
        <f aca="false">IF(AND(C3840=C3841,AA3840=AA3841-1),AB3840,"")</f>
        <v/>
      </c>
      <c r="AE3841" s="0" t="str">
        <f aca="false">IF(AND(C3840=C3841,AA3840=AA3841-1),AC3840,"")</f>
        <v/>
      </c>
      <c r="AF3841" s="0" t="str">
        <f aca="false">IF(AA3841=1,"",IF(AND(AB3841=1,AD3841&lt;&gt;1),1,0))</f>
        <v/>
      </c>
      <c r="AG3841" s="0" t="str">
        <f aca="false">IF(AA3841=1,"",IF(AND(AC3841=1,AE3841&lt;&gt;1),1,0))</f>
        <v/>
      </c>
      <c r="AH3841" s="51" t="str">
        <f aca="false">IF(AND(E3841&gt;0,AA3841&lt;1,NOT(AND(C3842=C3841,AA3842=AA3841+1))),INDEX(DATAS,AA3841+1),"")</f>
        <v/>
      </c>
      <c r="AI3841" s="51" t="str">
        <f aca="false">IF(AND(AC3841=1,AA3841&lt;1),IF(AND(C3842=C3841,AA3842=AA3841+1),IF(AC3842=1,"",INDEX(DATAS,AA3841+1)),INDEX(DATAS,AA3841+1)),"")</f>
        <v/>
      </c>
    </row>
    <row r="3842" customFormat="false" ht="15" hidden="false" customHeight="false" outlineLevel="0" collapsed="false">
      <c r="A3842" s="51" t="n">
        <v>46309</v>
      </c>
      <c r="B3842" s="0" t="n">
        <v>15</v>
      </c>
      <c r="C3842" s="0" t="n">
        <v>30609</v>
      </c>
      <c r="E3842" s="0" t="n">
        <v>0</v>
      </c>
      <c r="F3842" s="46" t="s">
        <v>1505</v>
      </c>
      <c r="I3842" s="46" t="s">
        <v>1697</v>
      </c>
      <c r="U3842" s="0" t="n">
        <v>205</v>
      </c>
      <c r="V3842" s="0" t="n">
        <v>0</v>
      </c>
      <c r="X3842" s="46" t="n">
        <f aca="false">IF(I3842="Male",0,1)</f>
        <v>1</v>
      </c>
      <c r="Y3842" s="46" t="n">
        <f aca="false">IF(OR(I3842="DNB",I3842="Dry DNB"),1,0)</f>
        <v>0</v>
      </c>
      <c r="Z3842" s="0" t="str">
        <f aca="false">IF(ISNUMBER(W3842),A3842-W3842,"")</f>
        <v/>
      </c>
      <c r="AA3842" s="46" t="n">
        <f aca="false">MATCH(A3842,DATAS,0)</f>
        <v>1</v>
      </c>
      <c r="AB3842" s="46" t="n">
        <f aca="false">IF(AND(E3842&gt;0,OR(AND(B3842&gt;=1,B3842&lt;=6),B3842=10)),1,0)</f>
        <v>0</v>
      </c>
      <c r="AC3842" s="46" t="n">
        <f aca="false">IF(AND(E3842&gt;0,B3842=10),1,0)</f>
        <v>0</v>
      </c>
      <c r="AD3842" s="0" t="str">
        <f aca="false">IF(AND(C3841=C3842,AA3841=AA3842-1),AB3841,"")</f>
        <v/>
      </c>
      <c r="AE3842" s="0" t="str">
        <f aca="false">IF(AND(C3841=C3842,AA3841=AA3842-1),AC3841,"")</f>
        <v/>
      </c>
      <c r="AF3842" s="0" t="str">
        <f aca="false">IF(AA3842=1,"",IF(AND(AB3842=1,AD3842&lt;&gt;1),1,0))</f>
        <v/>
      </c>
      <c r="AG3842" s="0" t="str">
        <f aca="false">IF(AA3842=1,"",IF(AND(AC3842=1,AE3842&lt;&gt;1),1,0))</f>
        <v/>
      </c>
      <c r="AH3842" s="51" t="str">
        <f aca="false">IF(AND(E3842&gt;0,AA3842&lt;1,NOT(AND(C3843=C3842,AA3843=AA3842+1))),INDEX(DATAS,AA3842+1),"")</f>
        <v/>
      </c>
      <c r="AI3842" s="51" t="str">
        <f aca="false">IF(AND(AC3842=1,AA3842&lt;1),IF(AND(C3843=C3842,AA3843=AA3842+1),IF(AC3843=1,"",INDEX(DATAS,AA3842+1)),INDEX(DATAS,AA3842+1)),"")</f>
        <v/>
      </c>
    </row>
    <row r="3843" customFormat="false" ht="15" hidden="false" customHeight="false" outlineLevel="0" collapsed="false">
      <c r="A3843" s="51" t="n">
        <v>46309</v>
      </c>
      <c r="B3843" s="0" t="n">
        <v>15</v>
      </c>
      <c r="C3843" s="0" t="n">
        <v>30610</v>
      </c>
      <c r="E3843" s="0" t="n">
        <v>0</v>
      </c>
      <c r="F3843" s="46" t="s">
        <v>1506</v>
      </c>
      <c r="I3843" s="46" t="s">
        <v>150</v>
      </c>
      <c r="U3843" s="0" t="n">
        <v>204</v>
      </c>
      <c r="V3843" s="0" t="n">
        <v>0</v>
      </c>
      <c r="X3843" s="46" t="n">
        <f aca="false">IF(I3843="Male",0,1)</f>
        <v>0</v>
      </c>
      <c r="Y3843" s="46" t="n">
        <f aca="false">IF(OR(I3843="DNB",I3843="Dry DNB"),1,0)</f>
        <v>0</v>
      </c>
      <c r="Z3843" s="0" t="str">
        <f aca="false">IF(ISNUMBER(W3843),A3843-W3843,"")</f>
        <v/>
      </c>
      <c r="AA3843" s="46" t="n">
        <f aca="false">MATCH(A3843,DATAS,0)</f>
        <v>1</v>
      </c>
      <c r="AB3843" s="46" t="n">
        <f aca="false">IF(AND(E3843&gt;0,OR(AND(B3843&gt;=1,B3843&lt;=6),B3843=10)),1,0)</f>
        <v>0</v>
      </c>
      <c r="AC3843" s="46" t="n">
        <f aca="false">IF(AND(E3843&gt;0,B3843=10),1,0)</f>
        <v>0</v>
      </c>
      <c r="AD3843" s="0" t="str">
        <f aca="false">IF(AND(C3842=C3843,AA3842=AA3843-1),AB3842,"")</f>
        <v/>
      </c>
      <c r="AE3843" s="0" t="str">
        <f aca="false">IF(AND(C3842=C3843,AA3842=AA3843-1),AC3842,"")</f>
        <v/>
      </c>
      <c r="AF3843" s="0" t="str">
        <f aca="false">IF(AA3843=1,"",IF(AND(AB3843=1,AD3843&lt;&gt;1),1,0))</f>
        <v/>
      </c>
      <c r="AG3843" s="0" t="str">
        <f aca="false">IF(AA3843=1,"",IF(AND(AC3843=1,AE3843&lt;&gt;1),1,0))</f>
        <v/>
      </c>
      <c r="AH3843" s="51" t="str">
        <f aca="false">IF(AND(E3843&gt;0,AA3843&lt;1,NOT(AND(C3844=C3843,AA3844=AA3843+1))),INDEX(DATAS,AA3843+1),"")</f>
        <v/>
      </c>
      <c r="AI3843" s="51" t="str">
        <f aca="false">IF(AND(AC3843=1,AA3843&lt;1),IF(AND(C3844=C3843,AA3844=AA3843+1),IF(AC3844=1,"",INDEX(DATAS,AA3843+1)),INDEX(DATAS,AA3843+1)),"")</f>
        <v/>
      </c>
    </row>
    <row r="3844" customFormat="false" ht="15" hidden="false" customHeight="false" outlineLevel="0" collapsed="false">
      <c r="A3844" s="51" t="n">
        <v>46309</v>
      </c>
      <c r="B3844" s="0" t="n">
        <v>15</v>
      </c>
      <c r="C3844" s="0" t="n">
        <v>30611</v>
      </c>
      <c r="E3844" s="0" t="n">
        <v>0</v>
      </c>
      <c r="F3844" s="46" t="s">
        <v>1506</v>
      </c>
      <c r="I3844" s="46" t="s">
        <v>150</v>
      </c>
      <c r="U3844" s="0" t="n">
        <v>204</v>
      </c>
      <c r="V3844" s="0" t="n">
        <v>0</v>
      </c>
      <c r="X3844" s="46" t="n">
        <f aca="false">IF(I3844="Male",0,1)</f>
        <v>0</v>
      </c>
      <c r="Y3844" s="46" t="n">
        <f aca="false">IF(OR(I3844="DNB",I3844="Dry DNB"),1,0)</f>
        <v>0</v>
      </c>
      <c r="Z3844" s="0" t="str">
        <f aca="false">IF(ISNUMBER(W3844),A3844-W3844,"")</f>
        <v/>
      </c>
      <c r="AA3844" s="46" t="n">
        <f aca="false">MATCH(A3844,DATAS,0)</f>
        <v>1</v>
      </c>
      <c r="AB3844" s="46" t="n">
        <f aca="false">IF(AND(E3844&gt;0,OR(AND(B3844&gt;=1,B3844&lt;=6),B3844=10)),1,0)</f>
        <v>0</v>
      </c>
      <c r="AC3844" s="46" t="n">
        <f aca="false">IF(AND(E3844&gt;0,B3844=10),1,0)</f>
        <v>0</v>
      </c>
      <c r="AD3844" s="0" t="str">
        <f aca="false">IF(AND(C3843=C3844,AA3843=AA3844-1),AB3843,"")</f>
        <v/>
      </c>
      <c r="AE3844" s="0" t="str">
        <f aca="false">IF(AND(C3843=C3844,AA3843=AA3844-1),AC3843,"")</f>
        <v/>
      </c>
      <c r="AF3844" s="0" t="str">
        <f aca="false">IF(AA3844=1,"",IF(AND(AB3844=1,AD3844&lt;&gt;1),1,0))</f>
        <v/>
      </c>
      <c r="AG3844" s="0" t="str">
        <f aca="false">IF(AA3844=1,"",IF(AND(AC3844=1,AE3844&lt;&gt;1),1,0))</f>
        <v/>
      </c>
      <c r="AH3844" s="51" t="str">
        <f aca="false">IF(AND(E3844&gt;0,AA3844&lt;1,NOT(AND(C3845=C3844,AA3845=AA3844+1))),INDEX(DATAS,AA3844+1),"")</f>
        <v/>
      </c>
      <c r="AI3844" s="51" t="str">
        <f aca="false">IF(AND(AC3844=1,AA3844&lt;1),IF(AND(C3845=C3844,AA3845=AA3844+1),IF(AC3845=1,"",INDEX(DATAS,AA3844+1)),INDEX(DATAS,AA3844+1)),"")</f>
        <v/>
      </c>
    </row>
    <row r="3845" customFormat="false" ht="15" hidden="false" customHeight="false" outlineLevel="0" collapsed="false">
      <c r="A3845" s="51" t="n">
        <v>46309</v>
      </c>
      <c r="B3845" s="0" t="n">
        <v>15</v>
      </c>
      <c r="C3845" s="0" t="n">
        <v>30614</v>
      </c>
      <c r="E3845" s="0" t="n">
        <v>0</v>
      </c>
      <c r="F3845" s="46" t="s">
        <v>1507</v>
      </c>
      <c r="I3845" s="46" t="s">
        <v>150</v>
      </c>
      <c r="U3845" s="0" t="n">
        <v>203</v>
      </c>
      <c r="V3845" s="0" t="n">
        <v>0</v>
      </c>
      <c r="X3845" s="46" t="n">
        <f aca="false">IF(I3845="Male",0,1)</f>
        <v>0</v>
      </c>
      <c r="Y3845" s="46" t="n">
        <f aca="false">IF(OR(I3845="DNB",I3845="Dry DNB"),1,0)</f>
        <v>0</v>
      </c>
      <c r="Z3845" s="0" t="str">
        <f aca="false">IF(ISNUMBER(W3845),A3845-W3845,"")</f>
        <v/>
      </c>
      <c r="AA3845" s="46" t="n">
        <f aca="false">MATCH(A3845,DATAS,0)</f>
        <v>1</v>
      </c>
      <c r="AB3845" s="46" t="n">
        <f aca="false">IF(AND(E3845&gt;0,OR(AND(B3845&gt;=1,B3845&lt;=6),B3845=10)),1,0)</f>
        <v>0</v>
      </c>
      <c r="AC3845" s="46" t="n">
        <f aca="false">IF(AND(E3845&gt;0,B3845=10),1,0)</f>
        <v>0</v>
      </c>
      <c r="AD3845" s="0" t="str">
        <f aca="false">IF(AND(C3844=C3845,AA3844=AA3845-1),AB3844,"")</f>
        <v/>
      </c>
      <c r="AE3845" s="0" t="str">
        <f aca="false">IF(AND(C3844=C3845,AA3844=AA3845-1),AC3844,"")</f>
        <v/>
      </c>
      <c r="AF3845" s="0" t="str">
        <f aca="false">IF(AA3845=1,"",IF(AND(AB3845=1,AD3845&lt;&gt;1),1,0))</f>
        <v/>
      </c>
      <c r="AG3845" s="0" t="str">
        <f aca="false">IF(AA3845=1,"",IF(AND(AC3845=1,AE3845&lt;&gt;1),1,0))</f>
        <v/>
      </c>
      <c r="AH3845" s="51" t="str">
        <f aca="false">IF(AND(E3845&gt;0,AA3845&lt;1,NOT(AND(C3846=C3845,AA3846=AA3845+1))),INDEX(DATAS,AA3845+1),"")</f>
        <v/>
      </c>
      <c r="AI3845" s="51" t="str">
        <f aca="false">IF(AND(AC3845=1,AA3845&lt;1),IF(AND(C3846=C3845,AA3846=AA3845+1),IF(AC3846=1,"",INDEX(DATAS,AA3845+1)),INDEX(DATAS,AA3845+1)),"")</f>
        <v/>
      </c>
    </row>
    <row r="3846" customFormat="false" ht="15" hidden="false" customHeight="false" outlineLevel="0" collapsed="false">
      <c r="A3846" s="51" t="n">
        <v>46309</v>
      </c>
      <c r="B3846" s="0" t="n">
        <v>15</v>
      </c>
      <c r="C3846" s="0" t="n">
        <v>30620</v>
      </c>
      <c r="E3846" s="0" t="n">
        <v>0</v>
      </c>
      <c r="F3846" s="46" t="s">
        <v>1509</v>
      </c>
      <c r="I3846" s="46" t="s">
        <v>150</v>
      </c>
      <c r="U3846" s="0" t="n">
        <v>201</v>
      </c>
      <c r="V3846" s="0" t="n">
        <v>0</v>
      </c>
      <c r="X3846" s="46" t="n">
        <f aca="false">IF(I3846="Male",0,1)</f>
        <v>0</v>
      </c>
      <c r="Y3846" s="46" t="n">
        <f aca="false">IF(OR(I3846="DNB",I3846="Dry DNB"),1,0)</f>
        <v>0</v>
      </c>
      <c r="Z3846" s="0" t="str">
        <f aca="false">IF(ISNUMBER(W3846),A3846-W3846,"")</f>
        <v/>
      </c>
      <c r="AA3846" s="46" t="n">
        <f aca="false">MATCH(A3846,DATAS,0)</f>
        <v>1</v>
      </c>
      <c r="AB3846" s="46" t="n">
        <f aca="false">IF(AND(E3846&gt;0,OR(AND(B3846&gt;=1,B3846&lt;=6),B3846=10)),1,0)</f>
        <v>0</v>
      </c>
      <c r="AC3846" s="46" t="n">
        <f aca="false">IF(AND(E3846&gt;0,B3846=10),1,0)</f>
        <v>0</v>
      </c>
      <c r="AD3846" s="0" t="str">
        <f aca="false">IF(AND(C3845=C3846,AA3845=AA3846-1),AB3845,"")</f>
        <v/>
      </c>
      <c r="AE3846" s="0" t="str">
        <f aca="false">IF(AND(C3845=C3846,AA3845=AA3846-1),AC3845,"")</f>
        <v/>
      </c>
      <c r="AF3846" s="0" t="str">
        <f aca="false">IF(AA3846=1,"",IF(AND(AB3846=1,AD3846&lt;&gt;1),1,0))</f>
        <v/>
      </c>
      <c r="AG3846" s="0" t="str">
        <f aca="false">IF(AA3846=1,"",IF(AND(AC3846=1,AE3846&lt;&gt;1),1,0))</f>
        <v/>
      </c>
      <c r="AH3846" s="51" t="str">
        <f aca="false">IF(AND(E3846&gt;0,AA3846&lt;1,NOT(AND(C3847=C3846,AA3847=AA3846+1))),INDEX(DATAS,AA3846+1),"")</f>
        <v/>
      </c>
      <c r="AI3846" s="51" t="str">
        <f aca="false">IF(AND(AC3846=1,AA3846&lt;1),IF(AND(C3847=C3846,AA3847=AA3846+1),IF(AC3847=1,"",INDEX(DATAS,AA3846+1)),INDEX(DATAS,AA3846+1)),"")</f>
        <v/>
      </c>
    </row>
    <row r="3847" customFormat="false" ht="15" hidden="false" customHeight="false" outlineLevel="0" collapsed="false">
      <c r="A3847" s="51" t="n">
        <v>46309</v>
      </c>
      <c r="B3847" s="0" t="n">
        <v>15</v>
      </c>
      <c r="C3847" s="0" t="n">
        <v>30621</v>
      </c>
      <c r="E3847" s="0" t="n">
        <v>0</v>
      </c>
      <c r="F3847" s="46" t="s">
        <v>1510</v>
      </c>
      <c r="I3847" s="46" t="s">
        <v>150</v>
      </c>
      <c r="U3847" s="0" t="n">
        <v>200</v>
      </c>
      <c r="V3847" s="0" t="n">
        <v>0</v>
      </c>
      <c r="X3847" s="46" t="n">
        <f aca="false">IF(I3847="Male",0,1)</f>
        <v>0</v>
      </c>
      <c r="Y3847" s="46" t="n">
        <f aca="false">IF(OR(I3847="DNB",I3847="Dry DNB"),1,0)</f>
        <v>0</v>
      </c>
      <c r="Z3847" s="0" t="str">
        <f aca="false">IF(ISNUMBER(W3847),A3847-W3847,"")</f>
        <v/>
      </c>
      <c r="AA3847" s="46" t="n">
        <f aca="false">MATCH(A3847,DATAS,0)</f>
        <v>1</v>
      </c>
      <c r="AB3847" s="46" t="n">
        <f aca="false">IF(AND(E3847&gt;0,OR(AND(B3847&gt;=1,B3847&lt;=6),B3847=10)),1,0)</f>
        <v>0</v>
      </c>
      <c r="AC3847" s="46" t="n">
        <f aca="false">IF(AND(E3847&gt;0,B3847=10),1,0)</f>
        <v>0</v>
      </c>
      <c r="AD3847" s="0" t="str">
        <f aca="false">IF(AND(C3846=C3847,AA3846=AA3847-1),AB3846,"")</f>
        <v/>
      </c>
      <c r="AE3847" s="0" t="str">
        <f aca="false">IF(AND(C3846=C3847,AA3846=AA3847-1),AC3846,"")</f>
        <v/>
      </c>
      <c r="AF3847" s="0" t="str">
        <f aca="false">IF(AA3847=1,"",IF(AND(AB3847=1,AD3847&lt;&gt;1),1,0))</f>
        <v/>
      </c>
      <c r="AG3847" s="0" t="str">
        <f aca="false">IF(AA3847=1,"",IF(AND(AC3847=1,AE3847&lt;&gt;1),1,0))</f>
        <v/>
      </c>
      <c r="AH3847" s="51" t="str">
        <f aca="false">IF(AND(E3847&gt;0,AA3847&lt;1,NOT(AND(C3848=C3847,AA3848=AA3847+1))),INDEX(DATAS,AA3847+1),"")</f>
        <v/>
      </c>
      <c r="AI3847" s="51" t="str">
        <f aca="false">IF(AND(AC3847=1,AA3847&lt;1),IF(AND(C3848=C3847,AA3848=AA3847+1),IF(AC3848=1,"",INDEX(DATAS,AA3847+1)),INDEX(DATAS,AA3847+1)),"")</f>
        <v/>
      </c>
    </row>
    <row r="3848" customFormat="false" ht="15" hidden="false" customHeight="false" outlineLevel="0" collapsed="false">
      <c r="A3848" s="51" t="n">
        <v>46309</v>
      </c>
      <c r="B3848" s="0" t="n">
        <v>15</v>
      </c>
      <c r="C3848" s="0" t="n">
        <v>30626</v>
      </c>
      <c r="E3848" s="0" t="n">
        <v>0</v>
      </c>
      <c r="F3848" s="46" t="s">
        <v>1514</v>
      </c>
      <c r="I3848" s="46" t="s">
        <v>150</v>
      </c>
      <c r="U3848" s="0" t="n">
        <v>196</v>
      </c>
      <c r="V3848" s="0" t="n">
        <v>0</v>
      </c>
      <c r="X3848" s="46" t="n">
        <f aca="false">IF(I3848="Male",0,1)</f>
        <v>0</v>
      </c>
      <c r="Y3848" s="46" t="n">
        <f aca="false">IF(OR(I3848="DNB",I3848="Dry DNB"),1,0)</f>
        <v>0</v>
      </c>
      <c r="Z3848" s="0" t="str">
        <f aca="false">IF(ISNUMBER(W3848),A3848-W3848,"")</f>
        <v/>
      </c>
      <c r="AA3848" s="46" t="n">
        <f aca="false">MATCH(A3848,DATAS,0)</f>
        <v>1</v>
      </c>
      <c r="AB3848" s="46" t="n">
        <f aca="false">IF(AND(E3848&gt;0,OR(AND(B3848&gt;=1,B3848&lt;=6),B3848=10)),1,0)</f>
        <v>0</v>
      </c>
      <c r="AC3848" s="46" t="n">
        <f aca="false">IF(AND(E3848&gt;0,B3848=10),1,0)</f>
        <v>0</v>
      </c>
      <c r="AD3848" s="0" t="str">
        <f aca="false">IF(AND(C3847=C3848,AA3847=AA3848-1),AB3847,"")</f>
        <v/>
      </c>
      <c r="AE3848" s="0" t="str">
        <f aca="false">IF(AND(C3847=C3848,AA3847=AA3848-1),AC3847,"")</f>
        <v/>
      </c>
      <c r="AF3848" s="0" t="str">
        <f aca="false">IF(AA3848=1,"",IF(AND(AB3848=1,AD3848&lt;&gt;1),1,0))</f>
        <v/>
      </c>
      <c r="AG3848" s="0" t="str">
        <f aca="false">IF(AA3848=1,"",IF(AND(AC3848=1,AE3848&lt;&gt;1),1,0))</f>
        <v/>
      </c>
      <c r="AH3848" s="51" t="str">
        <f aca="false">IF(AND(E3848&gt;0,AA3848&lt;1,NOT(AND(C3849=C3848,AA3849=AA3848+1))),INDEX(DATAS,AA3848+1),"")</f>
        <v/>
      </c>
      <c r="AI3848" s="51" t="str">
        <f aca="false">IF(AND(AC3848=1,AA3848&lt;1),IF(AND(C3849=C3848,AA3849=AA3848+1),IF(AC3849=1,"",INDEX(DATAS,AA3848+1)),INDEX(DATAS,AA3848+1)),"")</f>
        <v/>
      </c>
    </row>
    <row r="3849" customFormat="false" ht="15" hidden="false" customHeight="false" outlineLevel="0" collapsed="false">
      <c r="A3849" s="51" t="n">
        <v>46309</v>
      </c>
      <c r="B3849" s="0" t="n">
        <v>15</v>
      </c>
      <c r="C3849" s="0" t="n">
        <v>30630</v>
      </c>
      <c r="E3849" s="0" t="n">
        <v>0</v>
      </c>
      <c r="F3849" s="46" t="s">
        <v>1515</v>
      </c>
      <c r="I3849" s="46" t="s">
        <v>150</v>
      </c>
      <c r="U3849" s="0" t="n">
        <v>195</v>
      </c>
      <c r="V3849" s="0" t="n">
        <v>0</v>
      </c>
      <c r="X3849" s="46" t="n">
        <f aca="false">IF(I3849="Male",0,1)</f>
        <v>0</v>
      </c>
      <c r="Y3849" s="46" t="n">
        <f aca="false">IF(OR(I3849="DNB",I3849="Dry DNB"),1,0)</f>
        <v>0</v>
      </c>
      <c r="Z3849" s="0" t="str">
        <f aca="false">IF(ISNUMBER(W3849),A3849-W3849,"")</f>
        <v/>
      </c>
      <c r="AA3849" s="46" t="n">
        <f aca="false">MATCH(A3849,DATAS,0)</f>
        <v>1</v>
      </c>
      <c r="AB3849" s="46" t="n">
        <f aca="false">IF(AND(E3849&gt;0,OR(AND(B3849&gt;=1,B3849&lt;=6),B3849=10)),1,0)</f>
        <v>0</v>
      </c>
      <c r="AC3849" s="46" t="n">
        <f aca="false">IF(AND(E3849&gt;0,B3849=10),1,0)</f>
        <v>0</v>
      </c>
      <c r="AD3849" s="0" t="str">
        <f aca="false">IF(AND(C3848=C3849,AA3848=AA3849-1),AB3848,"")</f>
        <v/>
      </c>
      <c r="AE3849" s="0" t="str">
        <f aca="false">IF(AND(C3848=C3849,AA3848=AA3849-1),AC3848,"")</f>
        <v/>
      </c>
      <c r="AF3849" s="0" t="str">
        <f aca="false">IF(AA3849=1,"",IF(AND(AB3849=1,AD3849&lt;&gt;1),1,0))</f>
        <v/>
      </c>
      <c r="AG3849" s="0" t="str">
        <f aca="false">IF(AA3849=1,"",IF(AND(AC3849=1,AE3849&lt;&gt;1),1,0))</f>
        <v/>
      </c>
      <c r="AH3849" s="51" t="str">
        <f aca="false">IF(AND(E3849&gt;0,AA3849&lt;1,NOT(AND(C3850=C3849,AA3850=AA3849+1))),INDEX(DATAS,AA3849+1),"")</f>
        <v/>
      </c>
      <c r="AI3849" s="51" t="str">
        <f aca="false">IF(AND(AC3849=1,AA3849&lt;1),IF(AND(C3850=C3849,AA3850=AA3849+1),IF(AC3850=1,"",INDEX(DATAS,AA3849+1)),INDEX(DATAS,AA3849+1)),"")</f>
        <v/>
      </c>
    </row>
    <row r="3850" customFormat="false" ht="15" hidden="false" customHeight="false" outlineLevel="0" collapsed="false">
      <c r="A3850" s="51" t="n">
        <v>46309</v>
      </c>
      <c r="B3850" s="0" t="n">
        <v>15</v>
      </c>
      <c r="C3850" s="0" t="n">
        <v>30643</v>
      </c>
      <c r="E3850" s="0" t="n">
        <v>0</v>
      </c>
      <c r="F3850" s="46" t="s">
        <v>1519</v>
      </c>
      <c r="I3850" s="46" t="s">
        <v>150</v>
      </c>
      <c r="U3850" s="0" t="n">
        <v>191</v>
      </c>
      <c r="V3850" s="0" t="n">
        <v>0</v>
      </c>
      <c r="X3850" s="46" t="n">
        <f aca="false">IF(I3850="Male",0,1)</f>
        <v>0</v>
      </c>
      <c r="Y3850" s="46" t="n">
        <f aca="false">IF(OR(I3850="DNB",I3850="Dry DNB"),1,0)</f>
        <v>0</v>
      </c>
      <c r="Z3850" s="0" t="str">
        <f aca="false">IF(ISNUMBER(W3850),A3850-W3850,"")</f>
        <v/>
      </c>
      <c r="AA3850" s="46" t="n">
        <f aca="false">MATCH(A3850,DATAS,0)</f>
        <v>1</v>
      </c>
      <c r="AB3850" s="46" t="n">
        <f aca="false">IF(AND(E3850&gt;0,OR(AND(B3850&gt;=1,B3850&lt;=6),B3850=10)),1,0)</f>
        <v>0</v>
      </c>
      <c r="AC3850" s="46" t="n">
        <f aca="false">IF(AND(E3850&gt;0,B3850=10),1,0)</f>
        <v>0</v>
      </c>
      <c r="AD3850" s="0" t="str">
        <f aca="false">IF(AND(C3849=C3850,AA3849=AA3850-1),AB3849,"")</f>
        <v/>
      </c>
      <c r="AE3850" s="0" t="str">
        <f aca="false">IF(AND(C3849=C3850,AA3849=AA3850-1),AC3849,"")</f>
        <v/>
      </c>
      <c r="AF3850" s="0" t="str">
        <f aca="false">IF(AA3850=1,"",IF(AND(AB3850=1,AD3850&lt;&gt;1),1,0))</f>
        <v/>
      </c>
      <c r="AG3850" s="0" t="str">
        <f aca="false">IF(AA3850=1,"",IF(AND(AC3850=1,AE3850&lt;&gt;1),1,0))</f>
        <v/>
      </c>
      <c r="AH3850" s="51" t="str">
        <f aca="false">IF(AND(E3850&gt;0,AA3850&lt;1,NOT(AND(C3851=C3850,AA3851=AA3850+1))),INDEX(DATAS,AA3850+1),"")</f>
        <v/>
      </c>
      <c r="AI3850" s="51" t="str">
        <f aca="false">IF(AND(AC3850=1,AA3850&lt;1),IF(AND(C3851=C3850,AA3851=AA3850+1),IF(AC3851=1,"",INDEX(DATAS,AA3850+1)),INDEX(DATAS,AA3850+1)),"")</f>
        <v/>
      </c>
    </row>
    <row r="3851" customFormat="false" ht="15" hidden="false" customHeight="false" outlineLevel="0" collapsed="false">
      <c r="A3851" s="51" t="n">
        <v>46309</v>
      </c>
      <c r="B3851" s="0" t="n">
        <v>15</v>
      </c>
      <c r="C3851" s="0" t="n">
        <v>30644</v>
      </c>
      <c r="E3851" s="0" t="n">
        <v>0</v>
      </c>
      <c r="F3851" s="46" t="s">
        <v>1520</v>
      </c>
      <c r="I3851" s="46" t="s">
        <v>150</v>
      </c>
      <c r="U3851" s="0" t="n">
        <v>190</v>
      </c>
      <c r="V3851" s="0" t="n">
        <v>0</v>
      </c>
      <c r="X3851" s="46" t="n">
        <f aca="false">IF(I3851="Male",0,1)</f>
        <v>0</v>
      </c>
      <c r="Y3851" s="46" t="n">
        <f aca="false">IF(OR(I3851="DNB",I3851="Dry DNB"),1,0)</f>
        <v>0</v>
      </c>
      <c r="Z3851" s="0" t="str">
        <f aca="false">IF(ISNUMBER(W3851),A3851-W3851,"")</f>
        <v/>
      </c>
      <c r="AA3851" s="46" t="n">
        <f aca="false">MATCH(A3851,DATAS,0)</f>
        <v>1</v>
      </c>
      <c r="AB3851" s="46" t="n">
        <f aca="false">IF(AND(E3851&gt;0,OR(AND(B3851&gt;=1,B3851&lt;=6),B3851=10)),1,0)</f>
        <v>0</v>
      </c>
      <c r="AC3851" s="46" t="n">
        <f aca="false">IF(AND(E3851&gt;0,B3851=10),1,0)</f>
        <v>0</v>
      </c>
      <c r="AD3851" s="0" t="str">
        <f aca="false">IF(AND(C3850=C3851,AA3850=AA3851-1),AB3850,"")</f>
        <v/>
      </c>
      <c r="AE3851" s="0" t="str">
        <f aca="false">IF(AND(C3850=C3851,AA3850=AA3851-1),AC3850,"")</f>
        <v/>
      </c>
      <c r="AF3851" s="0" t="str">
        <f aca="false">IF(AA3851=1,"",IF(AND(AB3851=1,AD3851&lt;&gt;1),1,0))</f>
        <v/>
      </c>
      <c r="AG3851" s="0" t="str">
        <f aca="false">IF(AA3851=1,"",IF(AND(AC3851=1,AE3851&lt;&gt;1),1,0))</f>
        <v/>
      </c>
      <c r="AH3851" s="51" t="str">
        <f aca="false">IF(AND(E3851&gt;0,AA3851&lt;1,NOT(AND(C3852=C3851,AA3852=AA3851+1))),INDEX(DATAS,AA3851+1),"")</f>
        <v/>
      </c>
      <c r="AI3851" s="51" t="str">
        <f aca="false">IF(AND(AC3851=1,AA3851&lt;1),IF(AND(C3852=C3851,AA3852=AA3851+1),IF(AC3852=1,"",INDEX(DATAS,AA3851+1)),INDEX(DATAS,AA3851+1)),"")</f>
        <v/>
      </c>
    </row>
    <row r="3852" customFormat="false" ht="15" hidden="false" customHeight="false" outlineLevel="0" collapsed="false">
      <c r="A3852" s="51" t="n">
        <v>46309</v>
      </c>
      <c r="B3852" s="0" t="n">
        <v>15</v>
      </c>
      <c r="C3852" s="0" t="n">
        <v>30645</v>
      </c>
      <c r="E3852" s="0" t="n">
        <v>0</v>
      </c>
      <c r="F3852" s="46" t="s">
        <v>1520</v>
      </c>
      <c r="I3852" s="46" t="s">
        <v>150</v>
      </c>
      <c r="U3852" s="0" t="n">
        <v>190</v>
      </c>
      <c r="V3852" s="0" t="n">
        <v>0</v>
      </c>
      <c r="X3852" s="46" t="n">
        <f aca="false">IF(I3852="Male",0,1)</f>
        <v>0</v>
      </c>
      <c r="Y3852" s="46" t="n">
        <f aca="false">IF(OR(I3852="DNB",I3852="Dry DNB"),1,0)</f>
        <v>0</v>
      </c>
      <c r="Z3852" s="0" t="str">
        <f aca="false">IF(ISNUMBER(W3852),A3852-W3852,"")</f>
        <v/>
      </c>
      <c r="AA3852" s="46" t="n">
        <f aca="false">MATCH(A3852,DATAS,0)</f>
        <v>1</v>
      </c>
      <c r="AB3852" s="46" t="n">
        <f aca="false">IF(AND(E3852&gt;0,OR(AND(B3852&gt;=1,B3852&lt;=6),B3852=10)),1,0)</f>
        <v>0</v>
      </c>
      <c r="AC3852" s="46" t="n">
        <f aca="false">IF(AND(E3852&gt;0,B3852=10),1,0)</f>
        <v>0</v>
      </c>
      <c r="AD3852" s="0" t="str">
        <f aca="false">IF(AND(C3851=C3852,AA3851=AA3852-1),AB3851,"")</f>
        <v/>
      </c>
      <c r="AE3852" s="0" t="str">
        <f aca="false">IF(AND(C3851=C3852,AA3851=AA3852-1),AC3851,"")</f>
        <v/>
      </c>
      <c r="AF3852" s="0" t="str">
        <f aca="false">IF(AA3852=1,"",IF(AND(AB3852=1,AD3852&lt;&gt;1),1,0))</f>
        <v/>
      </c>
      <c r="AG3852" s="0" t="str">
        <f aca="false">IF(AA3852=1,"",IF(AND(AC3852=1,AE3852&lt;&gt;1),1,0))</f>
        <v/>
      </c>
      <c r="AH3852" s="51" t="str">
        <f aca="false">IF(AND(E3852&gt;0,AA3852&lt;1,NOT(AND(C3853=C3852,AA3853=AA3852+1))),INDEX(DATAS,AA3852+1),"")</f>
        <v/>
      </c>
      <c r="AI3852" s="51" t="str">
        <f aca="false">IF(AND(AC3852=1,AA3852&lt;1),IF(AND(C3853=C3852,AA3853=AA3852+1),IF(AC3853=1,"",INDEX(DATAS,AA3852+1)),INDEX(DATAS,AA3852+1)),"")</f>
        <v/>
      </c>
    </row>
    <row r="3853" customFormat="false" ht="15" hidden="false" customHeight="false" outlineLevel="0" collapsed="false">
      <c r="A3853" s="51" t="n">
        <v>46309</v>
      </c>
      <c r="B3853" s="0" t="n">
        <v>15</v>
      </c>
      <c r="C3853" s="0" t="n">
        <v>30647</v>
      </c>
      <c r="E3853" s="0" t="n">
        <v>0</v>
      </c>
      <c r="F3853" s="46" t="s">
        <v>1522</v>
      </c>
      <c r="I3853" s="46" t="s">
        <v>150</v>
      </c>
      <c r="U3853" s="0" t="n">
        <v>188</v>
      </c>
      <c r="V3853" s="0" t="n">
        <v>0</v>
      </c>
      <c r="X3853" s="46" t="n">
        <f aca="false">IF(I3853="Male",0,1)</f>
        <v>0</v>
      </c>
      <c r="Y3853" s="46" t="n">
        <f aca="false">IF(OR(I3853="DNB",I3853="Dry DNB"),1,0)</f>
        <v>0</v>
      </c>
      <c r="Z3853" s="0" t="str">
        <f aca="false">IF(ISNUMBER(W3853),A3853-W3853,"")</f>
        <v/>
      </c>
      <c r="AA3853" s="46" t="n">
        <f aca="false">MATCH(A3853,DATAS,0)</f>
        <v>1</v>
      </c>
      <c r="AB3853" s="46" t="n">
        <f aca="false">IF(AND(E3853&gt;0,OR(AND(B3853&gt;=1,B3853&lt;=6),B3853=10)),1,0)</f>
        <v>0</v>
      </c>
      <c r="AC3853" s="46" t="n">
        <f aca="false">IF(AND(E3853&gt;0,B3853=10),1,0)</f>
        <v>0</v>
      </c>
      <c r="AD3853" s="0" t="str">
        <f aca="false">IF(AND(C3852=C3853,AA3852=AA3853-1),AB3852,"")</f>
        <v/>
      </c>
      <c r="AE3853" s="0" t="str">
        <f aca="false">IF(AND(C3852=C3853,AA3852=AA3853-1),AC3852,"")</f>
        <v/>
      </c>
      <c r="AF3853" s="0" t="str">
        <f aca="false">IF(AA3853=1,"",IF(AND(AB3853=1,AD3853&lt;&gt;1),1,0))</f>
        <v/>
      </c>
      <c r="AG3853" s="0" t="str">
        <f aca="false">IF(AA3853=1,"",IF(AND(AC3853=1,AE3853&lt;&gt;1),1,0))</f>
        <v/>
      </c>
      <c r="AH3853" s="51" t="str">
        <f aca="false">IF(AND(E3853&gt;0,AA3853&lt;1,NOT(AND(C3854=C3853,AA3854=AA3853+1))),INDEX(DATAS,AA3853+1),"")</f>
        <v/>
      </c>
      <c r="AI3853" s="51" t="str">
        <f aca="false">IF(AND(AC3853=1,AA3853&lt;1),IF(AND(C3854=C3853,AA3854=AA3853+1),IF(AC3854=1,"",INDEX(DATAS,AA3853+1)),INDEX(DATAS,AA3853+1)),"")</f>
        <v/>
      </c>
    </row>
    <row r="3854" customFormat="false" ht="15" hidden="false" customHeight="false" outlineLevel="0" collapsed="false">
      <c r="A3854" s="51" t="n">
        <v>46309</v>
      </c>
      <c r="B3854" s="0" t="n">
        <v>15</v>
      </c>
      <c r="C3854" s="0" t="n">
        <v>30653</v>
      </c>
      <c r="E3854" s="0" t="n">
        <v>0</v>
      </c>
      <c r="F3854" s="46" t="s">
        <v>1525</v>
      </c>
      <c r="I3854" s="46" t="s">
        <v>150</v>
      </c>
      <c r="U3854" s="0" t="n">
        <v>185</v>
      </c>
      <c r="V3854" s="0" t="n">
        <v>0</v>
      </c>
      <c r="X3854" s="46" t="n">
        <f aca="false">IF(I3854="Male",0,1)</f>
        <v>0</v>
      </c>
      <c r="Y3854" s="46" t="n">
        <f aca="false">IF(OR(I3854="DNB",I3854="Dry DNB"),1,0)</f>
        <v>0</v>
      </c>
      <c r="Z3854" s="0" t="str">
        <f aca="false">IF(ISNUMBER(W3854),A3854-W3854,"")</f>
        <v/>
      </c>
      <c r="AA3854" s="46" t="n">
        <f aca="false">MATCH(A3854,DATAS,0)</f>
        <v>1</v>
      </c>
      <c r="AB3854" s="46" t="n">
        <f aca="false">IF(AND(E3854&gt;0,OR(AND(B3854&gt;=1,B3854&lt;=6),B3854=10)),1,0)</f>
        <v>0</v>
      </c>
      <c r="AC3854" s="46" t="n">
        <f aca="false">IF(AND(E3854&gt;0,B3854=10),1,0)</f>
        <v>0</v>
      </c>
      <c r="AD3854" s="0" t="str">
        <f aca="false">IF(AND(C3853=C3854,AA3853=AA3854-1),AB3853,"")</f>
        <v/>
      </c>
      <c r="AE3854" s="0" t="str">
        <f aca="false">IF(AND(C3853=C3854,AA3853=AA3854-1),AC3853,"")</f>
        <v/>
      </c>
      <c r="AF3854" s="0" t="str">
        <f aca="false">IF(AA3854=1,"",IF(AND(AB3854=1,AD3854&lt;&gt;1),1,0))</f>
        <v/>
      </c>
      <c r="AG3854" s="0" t="str">
        <f aca="false">IF(AA3854=1,"",IF(AND(AC3854=1,AE3854&lt;&gt;1),1,0))</f>
        <v/>
      </c>
      <c r="AH3854" s="51" t="str">
        <f aca="false">IF(AND(E3854&gt;0,AA3854&lt;1,NOT(AND(C3855=C3854,AA3855=AA3854+1))),INDEX(DATAS,AA3854+1),"")</f>
        <v/>
      </c>
      <c r="AI3854" s="51" t="str">
        <f aca="false">IF(AND(AC3854=1,AA3854&lt;1),IF(AND(C3855=C3854,AA3855=AA3854+1),IF(AC3855=1,"",INDEX(DATAS,AA3854+1)),INDEX(DATAS,AA3854+1)),"")</f>
        <v/>
      </c>
    </row>
    <row r="3855" customFormat="false" ht="15" hidden="false" customHeight="false" outlineLevel="0" collapsed="false">
      <c r="A3855" s="51" t="n">
        <v>46309</v>
      </c>
      <c r="B3855" s="0" t="n">
        <v>15</v>
      </c>
      <c r="C3855" s="0" t="n">
        <v>30655</v>
      </c>
      <c r="E3855" s="0" t="n">
        <v>0</v>
      </c>
      <c r="F3855" s="46" t="s">
        <v>1525</v>
      </c>
      <c r="I3855" s="46" t="s">
        <v>150</v>
      </c>
      <c r="U3855" s="0" t="n">
        <v>185</v>
      </c>
      <c r="V3855" s="0" t="n">
        <v>0</v>
      </c>
      <c r="X3855" s="46" t="n">
        <f aca="false">IF(I3855="Male",0,1)</f>
        <v>0</v>
      </c>
      <c r="Y3855" s="46" t="n">
        <f aca="false">IF(OR(I3855="DNB",I3855="Dry DNB"),1,0)</f>
        <v>0</v>
      </c>
      <c r="Z3855" s="0" t="str">
        <f aca="false">IF(ISNUMBER(W3855),A3855-W3855,"")</f>
        <v/>
      </c>
      <c r="AA3855" s="46" t="n">
        <f aca="false">MATCH(A3855,DATAS,0)</f>
        <v>1</v>
      </c>
      <c r="AB3855" s="46" t="n">
        <f aca="false">IF(AND(E3855&gt;0,OR(AND(B3855&gt;=1,B3855&lt;=6),B3855=10)),1,0)</f>
        <v>0</v>
      </c>
      <c r="AC3855" s="46" t="n">
        <f aca="false">IF(AND(E3855&gt;0,B3855=10),1,0)</f>
        <v>0</v>
      </c>
      <c r="AD3855" s="0" t="str">
        <f aca="false">IF(AND(C3854=C3855,AA3854=AA3855-1),AB3854,"")</f>
        <v/>
      </c>
      <c r="AE3855" s="0" t="str">
        <f aca="false">IF(AND(C3854=C3855,AA3854=AA3855-1),AC3854,"")</f>
        <v/>
      </c>
      <c r="AF3855" s="0" t="str">
        <f aca="false">IF(AA3855=1,"",IF(AND(AB3855=1,AD3855&lt;&gt;1),1,0))</f>
        <v/>
      </c>
      <c r="AG3855" s="0" t="str">
        <f aca="false">IF(AA3855=1,"",IF(AND(AC3855=1,AE3855&lt;&gt;1),1,0))</f>
        <v/>
      </c>
      <c r="AH3855" s="51" t="str">
        <f aca="false">IF(AND(E3855&gt;0,AA3855&lt;1,NOT(AND(C3856=C3855,AA3856=AA3855+1))),INDEX(DATAS,AA3855+1),"")</f>
        <v/>
      </c>
      <c r="AI3855" s="51" t="str">
        <f aca="false">IF(AND(AC3855=1,AA3855&lt;1),IF(AND(C3856=C3855,AA3856=AA3855+1),IF(AC3856=1,"",INDEX(DATAS,AA3855+1)),INDEX(DATAS,AA3855+1)),"")</f>
        <v/>
      </c>
    </row>
    <row r="3856" customFormat="false" ht="15" hidden="false" customHeight="false" outlineLevel="0" collapsed="false">
      <c r="A3856" s="51" t="n">
        <v>46309</v>
      </c>
      <c r="B3856" s="0" t="n">
        <v>15</v>
      </c>
      <c r="C3856" s="0" t="n">
        <v>30659</v>
      </c>
      <c r="E3856" s="0" t="n">
        <v>0</v>
      </c>
      <c r="F3856" s="46" t="s">
        <v>1526</v>
      </c>
      <c r="I3856" s="46" t="s">
        <v>150</v>
      </c>
      <c r="U3856" s="0" t="n">
        <v>184</v>
      </c>
      <c r="V3856" s="0" t="n">
        <v>0</v>
      </c>
      <c r="X3856" s="46" t="n">
        <f aca="false">IF(I3856="Male",0,1)</f>
        <v>0</v>
      </c>
      <c r="Y3856" s="46" t="n">
        <f aca="false">IF(OR(I3856="DNB",I3856="Dry DNB"),1,0)</f>
        <v>0</v>
      </c>
      <c r="Z3856" s="0" t="str">
        <f aca="false">IF(ISNUMBER(W3856),A3856-W3856,"")</f>
        <v/>
      </c>
      <c r="AA3856" s="46" t="n">
        <f aca="false">MATCH(A3856,DATAS,0)</f>
        <v>1</v>
      </c>
      <c r="AB3856" s="46" t="n">
        <f aca="false">IF(AND(E3856&gt;0,OR(AND(B3856&gt;=1,B3856&lt;=6),B3856=10)),1,0)</f>
        <v>0</v>
      </c>
      <c r="AC3856" s="46" t="n">
        <f aca="false">IF(AND(E3856&gt;0,B3856=10),1,0)</f>
        <v>0</v>
      </c>
      <c r="AD3856" s="0" t="str">
        <f aca="false">IF(AND(C3855=C3856,AA3855=AA3856-1),AB3855,"")</f>
        <v/>
      </c>
      <c r="AE3856" s="0" t="str">
        <f aca="false">IF(AND(C3855=C3856,AA3855=AA3856-1),AC3855,"")</f>
        <v/>
      </c>
      <c r="AF3856" s="0" t="str">
        <f aca="false">IF(AA3856=1,"",IF(AND(AB3856=1,AD3856&lt;&gt;1),1,0))</f>
        <v/>
      </c>
      <c r="AG3856" s="0" t="str">
        <f aca="false">IF(AA3856=1,"",IF(AND(AC3856=1,AE3856&lt;&gt;1),1,0))</f>
        <v/>
      </c>
      <c r="AH3856" s="51" t="str">
        <f aca="false">IF(AND(E3856&gt;0,AA3856&lt;1,NOT(AND(C3857=C3856,AA3857=AA3856+1))),INDEX(DATAS,AA3856+1),"")</f>
        <v/>
      </c>
      <c r="AI3856" s="51" t="str">
        <f aca="false">IF(AND(AC3856=1,AA3856&lt;1),IF(AND(C3857=C3856,AA3857=AA3856+1),IF(AC3857=1,"",INDEX(DATAS,AA3856+1)),INDEX(DATAS,AA3856+1)),"")</f>
        <v/>
      </c>
    </row>
    <row r="3857" customFormat="false" ht="15" hidden="false" customHeight="false" outlineLevel="0" collapsed="false">
      <c r="A3857" s="51" t="n">
        <v>46309</v>
      </c>
      <c r="B3857" s="0" t="n">
        <v>15</v>
      </c>
      <c r="C3857" s="0" t="n">
        <v>30669</v>
      </c>
      <c r="E3857" s="0" t="n">
        <v>0</v>
      </c>
      <c r="F3857" s="46" t="s">
        <v>1528</v>
      </c>
      <c r="I3857" s="46" t="s">
        <v>150</v>
      </c>
      <c r="U3857" s="0" t="n">
        <v>182</v>
      </c>
      <c r="V3857" s="0" t="n">
        <v>0</v>
      </c>
      <c r="X3857" s="46" t="n">
        <f aca="false">IF(I3857="Male",0,1)</f>
        <v>0</v>
      </c>
      <c r="Y3857" s="46" t="n">
        <f aca="false">IF(OR(I3857="DNB",I3857="Dry DNB"),1,0)</f>
        <v>0</v>
      </c>
      <c r="Z3857" s="0" t="str">
        <f aca="false">IF(ISNUMBER(W3857),A3857-W3857,"")</f>
        <v/>
      </c>
      <c r="AA3857" s="46" t="n">
        <f aca="false">MATCH(A3857,DATAS,0)</f>
        <v>1</v>
      </c>
      <c r="AB3857" s="46" t="n">
        <f aca="false">IF(AND(E3857&gt;0,OR(AND(B3857&gt;=1,B3857&lt;=6),B3857=10)),1,0)</f>
        <v>0</v>
      </c>
      <c r="AC3857" s="46" t="n">
        <f aca="false">IF(AND(E3857&gt;0,B3857=10),1,0)</f>
        <v>0</v>
      </c>
      <c r="AD3857" s="0" t="str">
        <f aca="false">IF(AND(C3856=C3857,AA3856=AA3857-1),AB3856,"")</f>
        <v/>
      </c>
      <c r="AE3857" s="0" t="str">
        <f aca="false">IF(AND(C3856=C3857,AA3856=AA3857-1),AC3856,"")</f>
        <v/>
      </c>
      <c r="AF3857" s="0" t="str">
        <f aca="false">IF(AA3857=1,"",IF(AND(AB3857=1,AD3857&lt;&gt;1),1,0))</f>
        <v/>
      </c>
      <c r="AG3857" s="0" t="str">
        <f aca="false">IF(AA3857=1,"",IF(AND(AC3857=1,AE3857&lt;&gt;1),1,0))</f>
        <v/>
      </c>
      <c r="AH3857" s="51" t="str">
        <f aca="false">IF(AND(E3857&gt;0,AA3857&lt;1,NOT(AND(C3858=C3857,AA3858=AA3857+1))),INDEX(DATAS,AA3857+1),"")</f>
        <v/>
      </c>
      <c r="AI3857" s="51" t="str">
        <f aca="false">IF(AND(AC3857=1,AA3857&lt;1),IF(AND(C3858=C3857,AA3858=AA3857+1),IF(AC3858=1,"",INDEX(DATAS,AA3857+1)),INDEX(DATAS,AA3857+1)),"")</f>
        <v/>
      </c>
    </row>
    <row r="3858" customFormat="false" ht="15" hidden="false" customHeight="false" outlineLevel="0" collapsed="false">
      <c r="A3858" s="51" t="n">
        <v>46309</v>
      </c>
      <c r="B3858" s="0" t="n">
        <v>15</v>
      </c>
      <c r="C3858" s="0" t="n">
        <v>30672</v>
      </c>
      <c r="E3858" s="0" t="n">
        <v>0</v>
      </c>
      <c r="F3858" s="46" t="s">
        <v>1532</v>
      </c>
      <c r="I3858" s="46" t="s">
        <v>150</v>
      </c>
      <c r="U3858" s="0" t="n">
        <v>178</v>
      </c>
      <c r="V3858" s="0" t="n">
        <v>0</v>
      </c>
      <c r="X3858" s="46" t="n">
        <f aca="false">IF(I3858="Male",0,1)</f>
        <v>0</v>
      </c>
      <c r="Y3858" s="46" t="n">
        <f aca="false">IF(OR(I3858="DNB",I3858="Dry DNB"),1,0)</f>
        <v>0</v>
      </c>
      <c r="Z3858" s="0" t="str">
        <f aca="false">IF(ISNUMBER(W3858),A3858-W3858,"")</f>
        <v/>
      </c>
      <c r="AA3858" s="46" t="n">
        <f aca="false">MATCH(A3858,DATAS,0)</f>
        <v>1</v>
      </c>
      <c r="AB3858" s="46" t="n">
        <f aca="false">IF(AND(E3858&gt;0,OR(AND(B3858&gt;=1,B3858&lt;=6),B3858=10)),1,0)</f>
        <v>0</v>
      </c>
      <c r="AC3858" s="46" t="n">
        <f aca="false">IF(AND(E3858&gt;0,B3858=10),1,0)</f>
        <v>0</v>
      </c>
      <c r="AD3858" s="0" t="str">
        <f aca="false">IF(AND(C3857=C3858,AA3857=AA3858-1),AB3857,"")</f>
        <v/>
      </c>
      <c r="AE3858" s="0" t="str">
        <f aca="false">IF(AND(C3857=C3858,AA3857=AA3858-1),AC3857,"")</f>
        <v/>
      </c>
      <c r="AF3858" s="0" t="str">
        <f aca="false">IF(AA3858=1,"",IF(AND(AB3858=1,AD3858&lt;&gt;1),1,0))</f>
        <v/>
      </c>
      <c r="AG3858" s="0" t="str">
        <f aca="false">IF(AA3858=1,"",IF(AND(AC3858=1,AE3858&lt;&gt;1),1,0))</f>
        <v/>
      </c>
      <c r="AH3858" s="51" t="str">
        <f aca="false">IF(AND(E3858&gt;0,AA3858&lt;1,NOT(AND(C3859=C3858,AA3859=AA3858+1))),INDEX(DATAS,AA3858+1),"")</f>
        <v/>
      </c>
      <c r="AI3858" s="51" t="str">
        <f aca="false">IF(AND(AC3858=1,AA3858&lt;1),IF(AND(C3859=C3858,AA3859=AA3858+1),IF(AC3859=1,"",INDEX(DATAS,AA3858+1)),INDEX(DATAS,AA3858+1)),"")</f>
        <v/>
      </c>
    </row>
    <row r="3859" customFormat="false" ht="15" hidden="false" customHeight="false" outlineLevel="0" collapsed="false">
      <c r="A3859" s="51" t="n">
        <v>46309</v>
      </c>
      <c r="B3859" s="0" t="n">
        <v>15</v>
      </c>
      <c r="C3859" s="0" t="n">
        <v>30682</v>
      </c>
      <c r="E3859" s="0" t="n">
        <v>0</v>
      </c>
      <c r="F3859" s="46" t="s">
        <v>1532</v>
      </c>
      <c r="I3859" s="46" t="s">
        <v>150</v>
      </c>
      <c r="U3859" s="0" t="n">
        <v>178</v>
      </c>
      <c r="V3859" s="0" t="n">
        <v>0</v>
      </c>
      <c r="X3859" s="46" t="n">
        <f aca="false">IF(I3859="Male",0,1)</f>
        <v>0</v>
      </c>
      <c r="Y3859" s="46" t="n">
        <f aca="false">IF(OR(I3859="DNB",I3859="Dry DNB"),1,0)</f>
        <v>0</v>
      </c>
      <c r="Z3859" s="0" t="str">
        <f aca="false">IF(ISNUMBER(W3859),A3859-W3859,"")</f>
        <v/>
      </c>
      <c r="AA3859" s="46" t="n">
        <f aca="false">MATCH(A3859,DATAS,0)</f>
        <v>1</v>
      </c>
      <c r="AB3859" s="46" t="n">
        <f aca="false">IF(AND(E3859&gt;0,OR(AND(B3859&gt;=1,B3859&lt;=6),B3859=10)),1,0)</f>
        <v>0</v>
      </c>
      <c r="AC3859" s="46" t="n">
        <f aca="false">IF(AND(E3859&gt;0,B3859=10),1,0)</f>
        <v>0</v>
      </c>
      <c r="AD3859" s="0" t="str">
        <f aca="false">IF(AND(C3858=C3859,AA3858=AA3859-1),AB3858,"")</f>
        <v/>
      </c>
      <c r="AE3859" s="0" t="str">
        <f aca="false">IF(AND(C3858=C3859,AA3858=AA3859-1),AC3858,"")</f>
        <v/>
      </c>
      <c r="AF3859" s="0" t="str">
        <f aca="false">IF(AA3859=1,"",IF(AND(AB3859=1,AD3859&lt;&gt;1),1,0))</f>
        <v/>
      </c>
      <c r="AG3859" s="0" t="str">
        <f aca="false">IF(AA3859=1,"",IF(AND(AC3859=1,AE3859&lt;&gt;1),1,0))</f>
        <v/>
      </c>
      <c r="AH3859" s="51" t="str">
        <f aca="false">IF(AND(E3859&gt;0,AA3859&lt;1,NOT(AND(C3860=C3859,AA3860=AA3859+1))),INDEX(DATAS,AA3859+1),"")</f>
        <v/>
      </c>
      <c r="AI3859" s="51" t="str">
        <f aca="false">IF(AND(AC3859=1,AA3859&lt;1),IF(AND(C3860=C3859,AA3860=AA3859+1),IF(AC3860=1,"",INDEX(DATAS,AA3859+1)),INDEX(DATAS,AA3859+1)),"")</f>
        <v/>
      </c>
    </row>
    <row r="3860" customFormat="false" ht="15" hidden="false" customHeight="false" outlineLevel="0" collapsed="false">
      <c r="A3860" s="51" t="n">
        <v>46309</v>
      </c>
      <c r="B3860" s="0" t="n">
        <v>15</v>
      </c>
      <c r="C3860" s="0" t="n">
        <v>30684</v>
      </c>
      <c r="E3860" s="0" t="n">
        <v>0</v>
      </c>
      <c r="F3860" s="46" t="s">
        <v>1533</v>
      </c>
      <c r="I3860" s="46" t="s">
        <v>150</v>
      </c>
      <c r="U3860" s="0" t="n">
        <v>177</v>
      </c>
      <c r="V3860" s="0" t="n">
        <v>0</v>
      </c>
      <c r="X3860" s="46" t="n">
        <f aca="false">IF(I3860="Male",0,1)</f>
        <v>0</v>
      </c>
      <c r="Y3860" s="46" t="n">
        <f aca="false">IF(OR(I3860="DNB",I3860="Dry DNB"),1,0)</f>
        <v>0</v>
      </c>
      <c r="Z3860" s="0" t="str">
        <f aca="false">IF(ISNUMBER(W3860),A3860-W3860,"")</f>
        <v/>
      </c>
      <c r="AA3860" s="46" t="n">
        <f aca="false">MATCH(A3860,DATAS,0)</f>
        <v>1</v>
      </c>
      <c r="AB3860" s="46" t="n">
        <f aca="false">IF(AND(E3860&gt;0,OR(AND(B3860&gt;=1,B3860&lt;=6),B3860=10)),1,0)</f>
        <v>0</v>
      </c>
      <c r="AC3860" s="46" t="n">
        <f aca="false">IF(AND(E3860&gt;0,B3860=10),1,0)</f>
        <v>0</v>
      </c>
      <c r="AD3860" s="0" t="str">
        <f aca="false">IF(AND(C3859=C3860,AA3859=AA3860-1),AB3859,"")</f>
        <v/>
      </c>
      <c r="AE3860" s="0" t="str">
        <f aca="false">IF(AND(C3859=C3860,AA3859=AA3860-1),AC3859,"")</f>
        <v/>
      </c>
      <c r="AF3860" s="0" t="str">
        <f aca="false">IF(AA3860=1,"",IF(AND(AB3860=1,AD3860&lt;&gt;1),1,0))</f>
        <v/>
      </c>
      <c r="AG3860" s="0" t="str">
        <f aca="false">IF(AA3860=1,"",IF(AND(AC3860=1,AE3860&lt;&gt;1),1,0))</f>
        <v/>
      </c>
      <c r="AH3860" s="51" t="str">
        <f aca="false">IF(AND(E3860&gt;0,AA3860&lt;1,NOT(AND(C3861=C3860,AA3861=AA3860+1))),INDEX(DATAS,AA3860+1),"")</f>
        <v/>
      </c>
      <c r="AI3860" s="51" t="str">
        <f aca="false">IF(AND(AC3860=1,AA3860&lt;1),IF(AND(C3861=C3860,AA3861=AA3860+1),IF(AC3861=1,"",INDEX(DATAS,AA3860+1)),INDEX(DATAS,AA3860+1)),"")</f>
        <v/>
      </c>
    </row>
    <row r="3861" customFormat="false" ht="15" hidden="false" customHeight="false" outlineLevel="0" collapsed="false">
      <c r="A3861" s="51" t="n">
        <v>46309</v>
      </c>
      <c r="B3861" s="0" t="n">
        <v>15</v>
      </c>
      <c r="C3861" s="0" t="n">
        <v>30688</v>
      </c>
      <c r="E3861" s="0" t="n">
        <v>0</v>
      </c>
      <c r="F3861" s="46" t="s">
        <v>1536</v>
      </c>
      <c r="I3861" s="46" t="s">
        <v>150</v>
      </c>
      <c r="U3861" s="0" t="n">
        <v>174</v>
      </c>
      <c r="V3861" s="0" t="n">
        <v>0</v>
      </c>
      <c r="X3861" s="46" t="n">
        <f aca="false">IF(I3861="Male",0,1)</f>
        <v>0</v>
      </c>
      <c r="Y3861" s="46" t="n">
        <f aca="false">IF(OR(I3861="DNB",I3861="Dry DNB"),1,0)</f>
        <v>0</v>
      </c>
      <c r="Z3861" s="0" t="str">
        <f aca="false">IF(ISNUMBER(W3861),A3861-W3861,"")</f>
        <v/>
      </c>
      <c r="AA3861" s="46" t="n">
        <f aca="false">MATCH(A3861,DATAS,0)</f>
        <v>1</v>
      </c>
      <c r="AB3861" s="46" t="n">
        <f aca="false">IF(AND(E3861&gt;0,OR(AND(B3861&gt;=1,B3861&lt;=6),B3861=10)),1,0)</f>
        <v>0</v>
      </c>
      <c r="AC3861" s="46" t="n">
        <f aca="false">IF(AND(E3861&gt;0,B3861=10),1,0)</f>
        <v>0</v>
      </c>
      <c r="AD3861" s="0" t="str">
        <f aca="false">IF(AND(C3860=C3861,AA3860=AA3861-1),AB3860,"")</f>
        <v/>
      </c>
      <c r="AE3861" s="0" t="str">
        <f aca="false">IF(AND(C3860=C3861,AA3860=AA3861-1),AC3860,"")</f>
        <v/>
      </c>
      <c r="AF3861" s="0" t="str">
        <f aca="false">IF(AA3861=1,"",IF(AND(AB3861=1,AD3861&lt;&gt;1),1,0))</f>
        <v/>
      </c>
      <c r="AG3861" s="0" t="str">
        <f aca="false">IF(AA3861=1,"",IF(AND(AC3861=1,AE3861&lt;&gt;1),1,0))</f>
        <v/>
      </c>
      <c r="AH3861" s="51" t="str">
        <f aca="false">IF(AND(E3861&gt;0,AA3861&lt;1,NOT(AND(C3862=C3861,AA3862=AA3861+1))),INDEX(DATAS,AA3861+1),"")</f>
        <v/>
      </c>
      <c r="AI3861" s="51" t="str">
        <f aca="false">IF(AND(AC3861=1,AA3861&lt;1),IF(AND(C3862=C3861,AA3862=AA3861+1),IF(AC3862=1,"",INDEX(DATAS,AA3861+1)),INDEX(DATAS,AA3861+1)),"")</f>
        <v/>
      </c>
    </row>
    <row r="3862" customFormat="false" ht="15" hidden="false" customHeight="false" outlineLevel="0" collapsed="false">
      <c r="A3862" s="51" t="n">
        <v>46309</v>
      </c>
      <c r="B3862" s="0" t="n">
        <v>15</v>
      </c>
      <c r="C3862" s="0" t="n">
        <v>30699</v>
      </c>
      <c r="E3862" s="0" t="n">
        <v>0</v>
      </c>
      <c r="F3862" s="46" t="s">
        <v>1538</v>
      </c>
      <c r="I3862" s="46" t="s">
        <v>150</v>
      </c>
      <c r="U3862" s="0" t="n">
        <v>171</v>
      </c>
      <c r="V3862" s="0" t="n">
        <v>0</v>
      </c>
      <c r="X3862" s="46" t="n">
        <f aca="false">IF(I3862="Male",0,1)</f>
        <v>0</v>
      </c>
      <c r="Y3862" s="46" t="n">
        <f aca="false">IF(OR(I3862="DNB",I3862="Dry DNB"),1,0)</f>
        <v>0</v>
      </c>
      <c r="Z3862" s="0" t="str">
        <f aca="false">IF(ISNUMBER(W3862),A3862-W3862,"")</f>
        <v/>
      </c>
      <c r="AA3862" s="46" t="n">
        <f aca="false">MATCH(A3862,DATAS,0)</f>
        <v>1</v>
      </c>
      <c r="AB3862" s="46" t="n">
        <f aca="false">IF(AND(E3862&gt;0,OR(AND(B3862&gt;=1,B3862&lt;=6),B3862=10)),1,0)</f>
        <v>0</v>
      </c>
      <c r="AC3862" s="46" t="n">
        <f aca="false">IF(AND(E3862&gt;0,B3862=10),1,0)</f>
        <v>0</v>
      </c>
      <c r="AD3862" s="0" t="str">
        <f aca="false">IF(AND(C3861=C3862,AA3861=AA3862-1),AB3861,"")</f>
        <v/>
      </c>
      <c r="AE3862" s="0" t="str">
        <f aca="false">IF(AND(C3861=C3862,AA3861=AA3862-1),AC3861,"")</f>
        <v/>
      </c>
      <c r="AF3862" s="0" t="str">
        <f aca="false">IF(AA3862=1,"",IF(AND(AB3862=1,AD3862&lt;&gt;1),1,0))</f>
        <v/>
      </c>
      <c r="AG3862" s="0" t="str">
        <f aca="false">IF(AA3862=1,"",IF(AND(AC3862=1,AE3862&lt;&gt;1),1,0))</f>
        <v/>
      </c>
      <c r="AH3862" s="51" t="str">
        <f aca="false">IF(AND(E3862&gt;0,AA3862&lt;1,NOT(AND(C3863=C3862,AA3863=AA3862+1))),INDEX(DATAS,AA3862+1),"")</f>
        <v/>
      </c>
      <c r="AI3862" s="51" t="str">
        <f aca="false">IF(AND(AC3862=1,AA3862&lt;1),IF(AND(C3863=C3862,AA3863=AA3862+1),IF(AC3863=1,"",INDEX(DATAS,AA3862+1)),INDEX(DATAS,AA3862+1)),"")</f>
        <v/>
      </c>
    </row>
    <row r="3863" customFormat="false" ht="15" hidden="false" customHeight="false" outlineLevel="0" collapsed="false">
      <c r="A3863" s="51" t="n">
        <v>46309</v>
      </c>
      <c r="B3863" s="0" t="n">
        <v>15</v>
      </c>
      <c r="C3863" s="0" t="n">
        <v>30706</v>
      </c>
      <c r="E3863" s="0" t="n">
        <v>0</v>
      </c>
      <c r="F3863" s="46" t="s">
        <v>1542</v>
      </c>
      <c r="I3863" s="46" t="s">
        <v>150</v>
      </c>
      <c r="U3863" s="0" t="n">
        <v>167</v>
      </c>
      <c r="V3863" s="0" t="n">
        <v>0</v>
      </c>
      <c r="X3863" s="46" t="n">
        <f aca="false">IF(I3863="Male",0,1)</f>
        <v>0</v>
      </c>
      <c r="Y3863" s="46" t="n">
        <f aca="false">IF(OR(I3863="DNB",I3863="Dry DNB"),1,0)</f>
        <v>0</v>
      </c>
      <c r="Z3863" s="0" t="str">
        <f aca="false">IF(ISNUMBER(W3863),A3863-W3863,"")</f>
        <v/>
      </c>
      <c r="AA3863" s="46" t="n">
        <f aca="false">MATCH(A3863,DATAS,0)</f>
        <v>1</v>
      </c>
      <c r="AB3863" s="46" t="n">
        <f aca="false">IF(AND(E3863&gt;0,OR(AND(B3863&gt;=1,B3863&lt;=6),B3863=10)),1,0)</f>
        <v>0</v>
      </c>
      <c r="AC3863" s="46" t="n">
        <f aca="false">IF(AND(E3863&gt;0,B3863=10),1,0)</f>
        <v>0</v>
      </c>
      <c r="AD3863" s="0" t="str">
        <f aca="false">IF(AND(C3862=C3863,AA3862=AA3863-1),AB3862,"")</f>
        <v/>
      </c>
      <c r="AE3863" s="0" t="str">
        <f aca="false">IF(AND(C3862=C3863,AA3862=AA3863-1),AC3862,"")</f>
        <v/>
      </c>
      <c r="AF3863" s="0" t="str">
        <f aca="false">IF(AA3863=1,"",IF(AND(AB3863=1,AD3863&lt;&gt;1),1,0))</f>
        <v/>
      </c>
      <c r="AG3863" s="0" t="str">
        <f aca="false">IF(AA3863=1,"",IF(AND(AC3863=1,AE3863&lt;&gt;1),1,0))</f>
        <v/>
      </c>
      <c r="AH3863" s="51" t="str">
        <f aca="false">IF(AND(E3863&gt;0,AA3863&lt;1,NOT(AND(C3864=C3863,AA3864=AA3863+1))),INDEX(DATAS,AA3863+1),"")</f>
        <v/>
      </c>
      <c r="AI3863" s="51" t="str">
        <f aca="false">IF(AND(AC3863=1,AA3863&lt;1),IF(AND(C3864=C3863,AA3864=AA3863+1),IF(AC3864=1,"",INDEX(DATAS,AA3863+1)),INDEX(DATAS,AA3863+1)),"")</f>
        <v/>
      </c>
    </row>
    <row r="3864" customFormat="false" ht="15" hidden="false" customHeight="false" outlineLevel="0" collapsed="false">
      <c r="A3864" s="51" t="n">
        <v>46309</v>
      </c>
      <c r="B3864" s="0" t="n">
        <v>15</v>
      </c>
      <c r="C3864" s="0" t="n">
        <v>30709</v>
      </c>
      <c r="E3864" s="0" t="n">
        <v>0</v>
      </c>
      <c r="F3864" s="46" t="s">
        <v>1544</v>
      </c>
      <c r="I3864" s="46" t="s">
        <v>150</v>
      </c>
      <c r="U3864" s="0" t="n">
        <v>165</v>
      </c>
      <c r="V3864" s="0" t="n">
        <v>0</v>
      </c>
      <c r="X3864" s="46" t="n">
        <f aca="false">IF(I3864="Male",0,1)</f>
        <v>0</v>
      </c>
      <c r="Y3864" s="46" t="n">
        <f aca="false">IF(OR(I3864="DNB",I3864="Dry DNB"),1,0)</f>
        <v>0</v>
      </c>
      <c r="Z3864" s="0" t="str">
        <f aca="false">IF(ISNUMBER(W3864),A3864-W3864,"")</f>
        <v/>
      </c>
      <c r="AA3864" s="46" t="n">
        <f aca="false">MATCH(A3864,DATAS,0)</f>
        <v>1</v>
      </c>
      <c r="AB3864" s="46" t="n">
        <f aca="false">IF(AND(E3864&gt;0,OR(AND(B3864&gt;=1,B3864&lt;=6),B3864=10)),1,0)</f>
        <v>0</v>
      </c>
      <c r="AC3864" s="46" t="n">
        <f aca="false">IF(AND(E3864&gt;0,B3864=10),1,0)</f>
        <v>0</v>
      </c>
      <c r="AD3864" s="0" t="str">
        <f aca="false">IF(AND(C3863=C3864,AA3863=AA3864-1),AB3863,"")</f>
        <v/>
      </c>
      <c r="AE3864" s="0" t="str">
        <f aca="false">IF(AND(C3863=C3864,AA3863=AA3864-1),AC3863,"")</f>
        <v/>
      </c>
      <c r="AF3864" s="0" t="str">
        <f aca="false">IF(AA3864=1,"",IF(AND(AB3864=1,AD3864&lt;&gt;1),1,0))</f>
        <v/>
      </c>
      <c r="AG3864" s="0" t="str">
        <f aca="false">IF(AA3864=1,"",IF(AND(AC3864=1,AE3864&lt;&gt;1),1,0))</f>
        <v/>
      </c>
      <c r="AH3864" s="51" t="str">
        <f aca="false">IF(AND(E3864&gt;0,AA3864&lt;1,NOT(AND(C3865=C3864,AA3865=AA3864+1))),INDEX(DATAS,AA3864+1),"")</f>
        <v/>
      </c>
      <c r="AI3864" s="51" t="str">
        <f aca="false">IF(AND(AC3864=1,AA3864&lt;1),IF(AND(C3865=C3864,AA3865=AA3864+1),IF(AC3865=1,"",INDEX(DATAS,AA3864+1)),INDEX(DATAS,AA3864+1)),"")</f>
        <v/>
      </c>
    </row>
    <row r="3865" customFormat="false" ht="15" hidden="false" customHeight="false" outlineLevel="0" collapsed="false">
      <c r="A3865" s="51" t="n">
        <v>46309</v>
      </c>
      <c r="B3865" s="0" t="n">
        <v>15</v>
      </c>
      <c r="C3865" s="0" t="n">
        <v>30711</v>
      </c>
      <c r="E3865" s="0" t="n">
        <v>0</v>
      </c>
      <c r="F3865" s="46" t="s">
        <v>1545</v>
      </c>
      <c r="I3865" s="46" t="s">
        <v>150</v>
      </c>
      <c r="U3865" s="0" t="n">
        <v>164</v>
      </c>
      <c r="V3865" s="0" t="n">
        <v>0</v>
      </c>
      <c r="X3865" s="46" t="n">
        <f aca="false">IF(I3865="Male",0,1)</f>
        <v>0</v>
      </c>
      <c r="Y3865" s="46" t="n">
        <f aca="false">IF(OR(I3865="DNB",I3865="Dry DNB"),1,0)</f>
        <v>0</v>
      </c>
      <c r="Z3865" s="0" t="str">
        <f aca="false">IF(ISNUMBER(W3865),A3865-W3865,"")</f>
        <v/>
      </c>
      <c r="AA3865" s="46" t="n">
        <f aca="false">MATCH(A3865,DATAS,0)</f>
        <v>1</v>
      </c>
      <c r="AB3865" s="46" t="n">
        <f aca="false">IF(AND(E3865&gt;0,OR(AND(B3865&gt;=1,B3865&lt;=6),B3865=10)),1,0)</f>
        <v>0</v>
      </c>
      <c r="AC3865" s="46" t="n">
        <f aca="false">IF(AND(E3865&gt;0,B3865=10),1,0)</f>
        <v>0</v>
      </c>
      <c r="AD3865" s="0" t="str">
        <f aca="false">IF(AND(C3864=C3865,AA3864=AA3865-1),AB3864,"")</f>
        <v/>
      </c>
      <c r="AE3865" s="0" t="str">
        <f aca="false">IF(AND(C3864=C3865,AA3864=AA3865-1),AC3864,"")</f>
        <v/>
      </c>
      <c r="AF3865" s="0" t="str">
        <f aca="false">IF(AA3865=1,"",IF(AND(AB3865=1,AD3865&lt;&gt;1),1,0))</f>
        <v/>
      </c>
      <c r="AG3865" s="0" t="str">
        <f aca="false">IF(AA3865=1,"",IF(AND(AC3865=1,AE3865&lt;&gt;1),1,0))</f>
        <v/>
      </c>
      <c r="AH3865" s="51" t="str">
        <f aca="false">IF(AND(E3865&gt;0,AA3865&lt;1,NOT(AND(C3866=C3865,AA3866=AA3865+1))),INDEX(DATAS,AA3865+1),"")</f>
        <v/>
      </c>
      <c r="AI3865" s="51" t="str">
        <f aca="false">IF(AND(AC3865=1,AA3865&lt;1),IF(AND(C3866=C3865,AA3866=AA3865+1),IF(AC3866=1,"",INDEX(DATAS,AA3865+1)),INDEX(DATAS,AA3865+1)),"")</f>
        <v/>
      </c>
    </row>
    <row r="3866" customFormat="false" ht="15" hidden="false" customHeight="false" outlineLevel="0" collapsed="false">
      <c r="A3866" s="51" t="n">
        <v>46309</v>
      </c>
      <c r="B3866" s="0" t="n">
        <v>15</v>
      </c>
      <c r="C3866" s="0" t="n">
        <v>30716</v>
      </c>
      <c r="E3866" s="0" t="n">
        <v>0</v>
      </c>
      <c r="F3866" s="46" t="s">
        <v>1546</v>
      </c>
      <c r="I3866" s="46" t="s">
        <v>150</v>
      </c>
      <c r="U3866" s="0" t="n">
        <v>163</v>
      </c>
      <c r="V3866" s="0" t="n">
        <v>0</v>
      </c>
      <c r="X3866" s="46" t="n">
        <f aca="false">IF(I3866="Male",0,1)</f>
        <v>0</v>
      </c>
      <c r="Y3866" s="46" t="n">
        <f aca="false">IF(OR(I3866="DNB",I3866="Dry DNB"),1,0)</f>
        <v>0</v>
      </c>
      <c r="Z3866" s="0" t="str">
        <f aca="false">IF(ISNUMBER(W3866),A3866-W3866,"")</f>
        <v/>
      </c>
      <c r="AA3866" s="46" t="n">
        <f aca="false">MATCH(A3866,DATAS,0)</f>
        <v>1</v>
      </c>
      <c r="AB3866" s="46" t="n">
        <f aca="false">IF(AND(E3866&gt;0,OR(AND(B3866&gt;=1,B3866&lt;=6),B3866=10)),1,0)</f>
        <v>0</v>
      </c>
      <c r="AC3866" s="46" t="n">
        <f aca="false">IF(AND(E3866&gt;0,B3866=10),1,0)</f>
        <v>0</v>
      </c>
      <c r="AD3866" s="0" t="str">
        <f aca="false">IF(AND(C3865=C3866,AA3865=AA3866-1),AB3865,"")</f>
        <v/>
      </c>
      <c r="AE3866" s="0" t="str">
        <f aca="false">IF(AND(C3865=C3866,AA3865=AA3866-1),AC3865,"")</f>
        <v/>
      </c>
      <c r="AF3866" s="0" t="str">
        <f aca="false">IF(AA3866=1,"",IF(AND(AB3866=1,AD3866&lt;&gt;1),1,0))</f>
        <v/>
      </c>
      <c r="AG3866" s="0" t="str">
        <f aca="false">IF(AA3866=1,"",IF(AND(AC3866=1,AE3866&lt;&gt;1),1,0))</f>
        <v/>
      </c>
      <c r="AH3866" s="51" t="str">
        <f aca="false">IF(AND(E3866&gt;0,AA3866&lt;1,NOT(AND(C3867=C3866,AA3867=AA3866+1))),INDEX(DATAS,AA3866+1),"")</f>
        <v/>
      </c>
      <c r="AI3866" s="51" t="str">
        <f aca="false">IF(AND(AC3866=1,AA3866&lt;1),IF(AND(C3867=C3866,AA3867=AA3866+1),IF(AC3867=1,"",INDEX(DATAS,AA3866+1)),INDEX(DATAS,AA3866+1)),"")</f>
        <v/>
      </c>
    </row>
    <row r="3867" customFormat="false" ht="15" hidden="false" customHeight="false" outlineLevel="0" collapsed="false">
      <c r="A3867" s="51" t="n">
        <v>46309</v>
      </c>
      <c r="B3867" s="0" t="n">
        <v>15</v>
      </c>
      <c r="C3867" s="0" t="n">
        <v>30718</v>
      </c>
      <c r="E3867" s="0" t="n">
        <v>0</v>
      </c>
      <c r="F3867" s="46" t="s">
        <v>1546</v>
      </c>
      <c r="I3867" s="46" t="s">
        <v>150</v>
      </c>
      <c r="U3867" s="0" t="n">
        <v>163</v>
      </c>
      <c r="V3867" s="0" t="n">
        <v>0</v>
      </c>
      <c r="X3867" s="46" t="n">
        <f aca="false">IF(I3867="Male",0,1)</f>
        <v>0</v>
      </c>
      <c r="Y3867" s="46" t="n">
        <f aca="false">IF(OR(I3867="DNB",I3867="Dry DNB"),1,0)</f>
        <v>0</v>
      </c>
      <c r="Z3867" s="0" t="str">
        <f aca="false">IF(ISNUMBER(W3867),A3867-W3867,"")</f>
        <v/>
      </c>
      <c r="AA3867" s="46" t="n">
        <f aca="false">MATCH(A3867,DATAS,0)</f>
        <v>1</v>
      </c>
      <c r="AB3867" s="46" t="n">
        <f aca="false">IF(AND(E3867&gt;0,OR(AND(B3867&gt;=1,B3867&lt;=6),B3867=10)),1,0)</f>
        <v>0</v>
      </c>
      <c r="AC3867" s="46" t="n">
        <f aca="false">IF(AND(E3867&gt;0,B3867=10),1,0)</f>
        <v>0</v>
      </c>
      <c r="AD3867" s="0" t="str">
        <f aca="false">IF(AND(C3866=C3867,AA3866=AA3867-1),AB3866,"")</f>
        <v/>
      </c>
      <c r="AE3867" s="0" t="str">
        <f aca="false">IF(AND(C3866=C3867,AA3866=AA3867-1),AC3866,"")</f>
        <v/>
      </c>
      <c r="AF3867" s="0" t="str">
        <f aca="false">IF(AA3867=1,"",IF(AND(AB3867=1,AD3867&lt;&gt;1),1,0))</f>
        <v/>
      </c>
      <c r="AG3867" s="0" t="str">
        <f aca="false">IF(AA3867=1,"",IF(AND(AC3867=1,AE3867&lt;&gt;1),1,0))</f>
        <v/>
      </c>
      <c r="AH3867" s="51" t="str">
        <f aca="false">IF(AND(E3867&gt;0,AA3867&lt;1,NOT(AND(C3868=C3867,AA3868=AA3867+1))),INDEX(DATAS,AA3867+1),"")</f>
        <v/>
      </c>
      <c r="AI3867" s="51" t="str">
        <f aca="false">IF(AND(AC3867=1,AA3867&lt;1),IF(AND(C3868=C3867,AA3868=AA3867+1),IF(AC3868=1,"",INDEX(DATAS,AA3867+1)),INDEX(DATAS,AA3867+1)),"")</f>
        <v/>
      </c>
    </row>
    <row r="3868" customFormat="false" ht="15" hidden="false" customHeight="false" outlineLevel="0" collapsed="false">
      <c r="A3868" s="51" t="n">
        <v>46309</v>
      </c>
      <c r="B3868" s="0" t="n">
        <v>15</v>
      </c>
      <c r="C3868" s="0" t="n">
        <v>30726</v>
      </c>
      <c r="E3868" s="0" t="n">
        <v>0</v>
      </c>
      <c r="F3868" s="46" t="s">
        <v>1550</v>
      </c>
      <c r="I3868" s="46" t="s">
        <v>150</v>
      </c>
      <c r="U3868" s="0" t="n">
        <v>159</v>
      </c>
      <c r="V3868" s="0" t="n">
        <v>0</v>
      </c>
      <c r="X3868" s="46" t="n">
        <f aca="false">IF(I3868="Male",0,1)</f>
        <v>0</v>
      </c>
      <c r="Y3868" s="46" t="n">
        <f aca="false">IF(OR(I3868="DNB",I3868="Dry DNB"),1,0)</f>
        <v>0</v>
      </c>
      <c r="Z3868" s="0" t="str">
        <f aca="false">IF(ISNUMBER(W3868),A3868-W3868,"")</f>
        <v/>
      </c>
      <c r="AA3868" s="46" t="n">
        <f aca="false">MATCH(A3868,DATAS,0)</f>
        <v>1</v>
      </c>
      <c r="AB3868" s="46" t="n">
        <f aca="false">IF(AND(E3868&gt;0,OR(AND(B3868&gt;=1,B3868&lt;=6),B3868=10)),1,0)</f>
        <v>0</v>
      </c>
      <c r="AC3868" s="46" t="n">
        <f aca="false">IF(AND(E3868&gt;0,B3868=10),1,0)</f>
        <v>0</v>
      </c>
      <c r="AD3868" s="0" t="str">
        <f aca="false">IF(AND(C3867=C3868,AA3867=AA3868-1),AB3867,"")</f>
        <v/>
      </c>
      <c r="AE3868" s="0" t="str">
        <f aca="false">IF(AND(C3867=C3868,AA3867=AA3868-1),AC3867,"")</f>
        <v/>
      </c>
      <c r="AF3868" s="0" t="str">
        <f aca="false">IF(AA3868=1,"",IF(AND(AB3868=1,AD3868&lt;&gt;1),1,0))</f>
        <v/>
      </c>
      <c r="AG3868" s="0" t="str">
        <f aca="false">IF(AA3868=1,"",IF(AND(AC3868=1,AE3868&lt;&gt;1),1,0))</f>
        <v/>
      </c>
      <c r="AH3868" s="51" t="str">
        <f aca="false">IF(AND(E3868&gt;0,AA3868&lt;1,NOT(AND(C3869=C3868,AA3869=AA3868+1))),INDEX(DATAS,AA3868+1),"")</f>
        <v/>
      </c>
      <c r="AI3868" s="51" t="str">
        <f aca="false">IF(AND(AC3868=1,AA3868&lt;1),IF(AND(C3869=C3868,AA3869=AA3868+1),IF(AC3869=1,"",INDEX(DATAS,AA3868+1)),INDEX(DATAS,AA3868+1)),"")</f>
        <v/>
      </c>
    </row>
    <row r="3869" customFormat="false" ht="15" hidden="false" customHeight="false" outlineLevel="0" collapsed="false">
      <c r="A3869" s="51" t="n">
        <v>46309</v>
      </c>
      <c r="B3869" s="0" t="n">
        <v>15</v>
      </c>
      <c r="C3869" s="0" t="n">
        <v>30728</v>
      </c>
      <c r="E3869" s="0" t="n">
        <v>0</v>
      </c>
      <c r="F3869" s="46" t="s">
        <v>1551</v>
      </c>
      <c r="I3869" s="46" t="s">
        <v>150</v>
      </c>
      <c r="U3869" s="0" t="n">
        <v>158</v>
      </c>
      <c r="V3869" s="0" t="n">
        <v>0</v>
      </c>
      <c r="X3869" s="46" t="n">
        <f aca="false">IF(I3869="Male",0,1)</f>
        <v>0</v>
      </c>
      <c r="Y3869" s="46" t="n">
        <f aca="false">IF(OR(I3869="DNB",I3869="Dry DNB"),1,0)</f>
        <v>0</v>
      </c>
      <c r="Z3869" s="0" t="str">
        <f aca="false">IF(ISNUMBER(W3869),A3869-W3869,"")</f>
        <v/>
      </c>
      <c r="AA3869" s="46" t="n">
        <f aca="false">MATCH(A3869,DATAS,0)</f>
        <v>1</v>
      </c>
      <c r="AB3869" s="46" t="n">
        <f aca="false">IF(AND(E3869&gt;0,OR(AND(B3869&gt;=1,B3869&lt;=6),B3869=10)),1,0)</f>
        <v>0</v>
      </c>
      <c r="AC3869" s="46" t="n">
        <f aca="false">IF(AND(E3869&gt;0,B3869=10),1,0)</f>
        <v>0</v>
      </c>
      <c r="AD3869" s="0" t="str">
        <f aca="false">IF(AND(C3868=C3869,AA3868=AA3869-1),AB3868,"")</f>
        <v/>
      </c>
      <c r="AE3869" s="0" t="str">
        <f aca="false">IF(AND(C3868=C3869,AA3868=AA3869-1),AC3868,"")</f>
        <v/>
      </c>
      <c r="AF3869" s="0" t="str">
        <f aca="false">IF(AA3869=1,"",IF(AND(AB3869=1,AD3869&lt;&gt;1),1,0))</f>
        <v/>
      </c>
      <c r="AG3869" s="0" t="str">
        <f aca="false">IF(AA3869=1,"",IF(AND(AC3869=1,AE3869&lt;&gt;1),1,0))</f>
        <v/>
      </c>
      <c r="AH3869" s="51" t="str">
        <f aca="false">IF(AND(E3869&gt;0,AA3869&lt;1,NOT(AND(C3870=C3869,AA3870=AA3869+1))),INDEX(DATAS,AA3869+1),"")</f>
        <v/>
      </c>
      <c r="AI3869" s="51" t="str">
        <f aca="false">IF(AND(AC3869=1,AA3869&lt;1),IF(AND(C3870=C3869,AA3870=AA3869+1),IF(AC3870=1,"",INDEX(DATAS,AA3869+1)),INDEX(DATAS,AA3869+1)),"")</f>
        <v/>
      </c>
    </row>
    <row r="3870" customFormat="false" ht="15" hidden="false" customHeight="false" outlineLevel="0" collapsed="false">
      <c r="A3870" s="51" t="n">
        <v>46309</v>
      </c>
      <c r="B3870" s="0" t="n">
        <v>15</v>
      </c>
      <c r="C3870" s="0" t="n">
        <v>30729</v>
      </c>
      <c r="E3870" s="0" t="n">
        <v>0</v>
      </c>
      <c r="F3870" s="46" t="s">
        <v>1552</v>
      </c>
      <c r="I3870" s="46" t="s">
        <v>150</v>
      </c>
      <c r="U3870" s="0" t="n">
        <v>157</v>
      </c>
      <c r="V3870" s="0" t="n">
        <v>0</v>
      </c>
      <c r="X3870" s="46" t="n">
        <f aca="false">IF(I3870="Male",0,1)</f>
        <v>0</v>
      </c>
      <c r="Y3870" s="46" t="n">
        <f aca="false">IF(OR(I3870="DNB",I3870="Dry DNB"),1,0)</f>
        <v>0</v>
      </c>
      <c r="Z3870" s="0" t="str">
        <f aca="false">IF(ISNUMBER(W3870),A3870-W3870,"")</f>
        <v/>
      </c>
      <c r="AA3870" s="46" t="n">
        <f aca="false">MATCH(A3870,DATAS,0)</f>
        <v>1</v>
      </c>
      <c r="AB3870" s="46" t="n">
        <f aca="false">IF(AND(E3870&gt;0,OR(AND(B3870&gt;=1,B3870&lt;=6),B3870=10)),1,0)</f>
        <v>0</v>
      </c>
      <c r="AC3870" s="46" t="n">
        <f aca="false">IF(AND(E3870&gt;0,B3870=10),1,0)</f>
        <v>0</v>
      </c>
      <c r="AD3870" s="0" t="str">
        <f aca="false">IF(AND(C3869=C3870,AA3869=AA3870-1),AB3869,"")</f>
        <v/>
      </c>
      <c r="AE3870" s="0" t="str">
        <f aca="false">IF(AND(C3869=C3870,AA3869=AA3870-1),AC3869,"")</f>
        <v/>
      </c>
      <c r="AF3870" s="0" t="str">
        <f aca="false">IF(AA3870=1,"",IF(AND(AB3870=1,AD3870&lt;&gt;1),1,0))</f>
        <v/>
      </c>
      <c r="AG3870" s="0" t="str">
        <f aca="false">IF(AA3870=1,"",IF(AND(AC3870=1,AE3870&lt;&gt;1),1,0))</f>
        <v/>
      </c>
      <c r="AH3870" s="51" t="str">
        <f aca="false">IF(AND(E3870&gt;0,AA3870&lt;1,NOT(AND(C3871=C3870,AA3871=AA3870+1))),INDEX(DATAS,AA3870+1),"")</f>
        <v/>
      </c>
      <c r="AI3870" s="51" t="str">
        <f aca="false">IF(AND(AC3870=1,AA3870&lt;1),IF(AND(C3871=C3870,AA3871=AA3870+1),IF(AC3871=1,"",INDEX(DATAS,AA3870+1)),INDEX(DATAS,AA3870+1)),"")</f>
        <v/>
      </c>
    </row>
    <row r="3871" customFormat="false" ht="15" hidden="false" customHeight="false" outlineLevel="0" collapsed="false">
      <c r="A3871" s="51" t="n">
        <v>46309</v>
      </c>
      <c r="B3871" s="0" t="n">
        <v>15</v>
      </c>
      <c r="C3871" s="0" t="n">
        <v>30732</v>
      </c>
      <c r="E3871" s="0" t="n">
        <v>0</v>
      </c>
      <c r="F3871" s="46" t="s">
        <v>1553</v>
      </c>
      <c r="I3871" s="46" t="s">
        <v>150</v>
      </c>
      <c r="U3871" s="0" t="n">
        <v>156</v>
      </c>
      <c r="V3871" s="0" t="n">
        <v>0</v>
      </c>
      <c r="X3871" s="46" t="n">
        <f aca="false">IF(I3871="Male",0,1)</f>
        <v>0</v>
      </c>
      <c r="Y3871" s="46" t="n">
        <f aca="false">IF(OR(I3871="DNB",I3871="Dry DNB"),1,0)</f>
        <v>0</v>
      </c>
      <c r="Z3871" s="0" t="str">
        <f aca="false">IF(ISNUMBER(W3871),A3871-W3871,"")</f>
        <v/>
      </c>
      <c r="AA3871" s="46" t="n">
        <f aca="false">MATCH(A3871,DATAS,0)</f>
        <v>1</v>
      </c>
      <c r="AB3871" s="46" t="n">
        <f aca="false">IF(AND(E3871&gt;0,OR(AND(B3871&gt;=1,B3871&lt;=6),B3871=10)),1,0)</f>
        <v>0</v>
      </c>
      <c r="AC3871" s="46" t="n">
        <f aca="false">IF(AND(E3871&gt;0,B3871=10),1,0)</f>
        <v>0</v>
      </c>
      <c r="AD3871" s="0" t="str">
        <f aca="false">IF(AND(C3870=C3871,AA3870=AA3871-1),AB3870,"")</f>
        <v/>
      </c>
      <c r="AE3871" s="0" t="str">
        <f aca="false">IF(AND(C3870=C3871,AA3870=AA3871-1),AC3870,"")</f>
        <v/>
      </c>
      <c r="AF3871" s="0" t="str">
        <f aca="false">IF(AA3871=1,"",IF(AND(AB3871=1,AD3871&lt;&gt;1),1,0))</f>
        <v/>
      </c>
      <c r="AG3871" s="0" t="str">
        <f aca="false">IF(AA3871=1,"",IF(AND(AC3871=1,AE3871&lt;&gt;1),1,0))</f>
        <v/>
      </c>
      <c r="AH3871" s="51" t="str">
        <f aca="false">IF(AND(E3871&gt;0,AA3871&lt;1,NOT(AND(C3872=C3871,AA3872=AA3871+1))),INDEX(DATAS,AA3871+1),"")</f>
        <v/>
      </c>
      <c r="AI3871" s="51" t="str">
        <f aca="false">IF(AND(AC3871=1,AA3871&lt;1),IF(AND(C3872=C3871,AA3872=AA3871+1),IF(AC3872=1,"",INDEX(DATAS,AA3871+1)),INDEX(DATAS,AA3871+1)),"")</f>
        <v/>
      </c>
    </row>
    <row r="3872" customFormat="false" ht="15" hidden="false" customHeight="false" outlineLevel="0" collapsed="false">
      <c r="A3872" s="51" t="n">
        <v>46309</v>
      </c>
      <c r="B3872" s="0" t="n">
        <v>15</v>
      </c>
      <c r="C3872" s="0" t="n">
        <v>30733</v>
      </c>
      <c r="E3872" s="0" t="n">
        <v>0</v>
      </c>
      <c r="F3872" s="46" t="s">
        <v>1553</v>
      </c>
      <c r="I3872" s="46" t="s">
        <v>150</v>
      </c>
      <c r="U3872" s="0" t="n">
        <v>156</v>
      </c>
      <c r="V3872" s="0" t="n">
        <v>0</v>
      </c>
      <c r="X3872" s="46" t="n">
        <f aca="false">IF(I3872="Male",0,1)</f>
        <v>0</v>
      </c>
      <c r="Y3872" s="46" t="n">
        <f aca="false">IF(OR(I3872="DNB",I3872="Dry DNB"),1,0)</f>
        <v>0</v>
      </c>
      <c r="Z3872" s="0" t="str">
        <f aca="false">IF(ISNUMBER(W3872),A3872-W3872,"")</f>
        <v/>
      </c>
      <c r="AA3872" s="46" t="n">
        <f aca="false">MATCH(A3872,DATAS,0)</f>
        <v>1</v>
      </c>
      <c r="AB3872" s="46" t="n">
        <f aca="false">IF(AND(E3872&gt;0,OR(AND(B3872&gt;=1,B3872&lt;=6),B3872=10)),1,0)</f>
        <v>0</v>
      </c>
      <c r="AC3872" s="46" t="n">
        <f aca="false">IF(AND(E3872&gt;0,B3872=10),1,0)</f>
        <v>0</v>
      </c>
      <c r="AD3872" s="0" t="str">
        <f aca="false">IF(AND(C3871=C3872,AA3871=AA3872-1),AB3871,"")</f>
        <v/>
      </c>
      <c r="AE3872" s="0" t="str">
        <f aca="false">IF(AND(C3871=C3872,AA3871=AA3872-1),AC3871,"")</f>
        <v/>
      </c>
      <c r="AF3872" s="0" t="str">
        <f aca="false">IF(AA3872=1,"",IF(AND(AB3872=1,AD3872&lt;&gt;1),1,0))</f>
        <v/>
      </c>
      <c r="AG3872" s="0" t="str">
        <f aca="false">IF(AA3872=1,"",IF(AND(AC3872=1,AE3872&lt;&gt;1),1,0))</f>
        <v/>
      </c>
      <c r="AH3872" s="51" t="str">
        <f aca="false">IF(AND(E3872&gt;0,AA3872&lt;1,NOT(AND(C3873=C3872,AA3873=AA3872+1))),INDEX(DATAS,AA3872+1),"")</f>
        <v/>
      </c>
      <c r="AI3872" s="51" t="str">
        <f aca="false">IF(AND(AC3872=1,AA3872&lt;1),IF(AND(C3873=C3872,AA3873=AA3872+1),IF(AC3873=1,"",INDEX(DATAS,AA3872+1)),INDEX(DATAS,AA3872+1)),"")</f>
        <v/>
      </c>
    </row>
    <row r="3873" customFormat="false" ht="15" hidden="false" customHeight="false" outlineLevel="0" collapsed="false">
      <c r="A3873" s="51" t="n">
        <v>46309</v>
      </c>
      <c r="B3873" s="0" t="n">
        <v>15</v>
      </c>
      <c r="C3873" s="0" t="n">
        <v>30734</v>
      </c>
      <c r="E3873" s="0" t="n">
        <v>0</v>
      </c>
      <c r="F3873" s="46" t="s">
        <v>1554</v>
      </c>
      <c r="I3873" s="46" t="s">
        <v>150</v>
      </c>
      <c r="U3873" s="0" t="n">
        <v>155</v>
      </c>
      <c r="V3873" s="0" t="n">
        <v>0</v>
      </c>
      <c r="X3873" s="46" t="n">
        <f aca="false">IF(I3873="Male",0,1)</f>
        <v>0</v>
      </c>
      <c r="Y3873" s="46" t="n">
        <f aca="false">IF(OR(I3873="DNB",I3873="Dry DNB"),1,0)</f>
        <v>0</v>
      </c>
      <c r="Z3873" s="0" t="str">
        <f aca="false">IF(ISNUMBER(W3873),A3873-W3873,"")</f>
        <v/>
      </c>
      <c r="AA3873" s="46" t="n">
        <f aca="false">MATCH(A3873,DATAS,0)</f>
        <v>1</v>
      </c>
      <c r="AB3873" s="46" t="n">
        <f aca="false">IF(AND(E3873&gt;0,OR(AND(B3873&gt;=1,B3873&lt;=6),B3873=10)),1,0)</f>
        <v>0</v>
      </c>
      <c r="AC3873" s="46" t="n">
        <f aca="false">IF(AND(E3873&gt;0,B3873=10),1,0)</f>
        <v>0</v>
      </c>
      <c r="AD3873" s="0" t="str">
        <f aca="false">IF(AND(C3872=C3873,AA3872=AA3873-1),AB3872,"")</f>
        <v/>
      </c>
      <c r="AE3873" s="0" t="str">
        <f aca="false">IF(AND(C3872=C3873,AA3872=AA3873-1),AC3872,"")</f>
        <v/>
      </c>
      <c r="AF3873" s="0" t="str">
        <f aca="false">IF(AA3873=1,"",IF(AND(AB3873=1,AD3873&lt;&gt;1),1,0))</f>
        <v/>
      </c>
      <c r="AG3873" s="0" t="str">
        <f aca="false">IF(AA3873=1,"",IF(AND(AC3873=1,AE3873&lt;&gt;1),1,0))</f>
        <v/>
      </c>
      <c r="AH3873" s="51" t="str">
        <f aca="false">IF(AND(E3873&gt;0,AA3873&lt;1,NOT(AND(C3874=C3873,AA3874=AA3873+1))),INDEX(DATAS,AA3873+1),"")</f>
        <v/>
      </c>
      <c r="AI3873" s="51" t="str">
        <f aca="false">IF(AND(AC3873=1,AA3873&lt;1),IF(AND(C3874=C3873,AA3874=AA3873+1),IF(AC3874=1,"",INDEX(DATAS,AA3873+1)),INDEX(DATAS,AA3873+1)),"")</f>
        <v/>
      </c>
    </row>
    <row r="3874" customFormat="false" ht="15" hidden="false" customHeight="false" outlineLevel="0" collapsed="false">
      <c r="A3874" s="51" t="n">
        <v>46309</v>
      </c>
      <c r="B3874" s="0" t="n">
        <v>15</v>
      </c>
      <c r="C3874" s="0" t="n">
        <v>30739</v>
      </c>
      <c r="E3874" s="0" t="n">
        <v>0</v>
      </c>
      <c r="F3874" s="46" t="s">
        <v>1556</v>
      </c>
      <c r="I3874" s="46" t="s">
        <v>150</v>
      </c>
      <c r="U3874" s="0" t="n">
        <v>153</v>
      </c>
      <c r="V3874" s="0" t="n">
        <v>0</v>
      </c>
      <c r="X3874" s="46" t="n">
        <f aca="false">IF(I3874="Male",0,1)</f>
        <v>0</v>
      </c>
      <c r="Y3874" s="46" t="n">
        <f aca="false">IF(OR(I3874="DNB",I3874="Dry DNB"),1,0)</f>
        <v>0</v>
      </c>
      <c r="Z3874" s="0" t="str">
        <f aca="false">IF(ISNUMBER(W3874),A3874-W3874,"")</f>
        <v/>
      </c>
      <c r="AA3874" s="46" t="n">
        <f aca="false">MATCH(A3874,DATAS,0)</f>
        <v>1</v>
      </c>
      <c r="AB3874" s="46" t="n">
        <f aca="false">IF(AND(E3874&gt;0,OR(AND(B3874&gt;=1,B3874&lt;=6),B3874=10)),1,0)</f>
        <v>0</v>
      </c>
      <c r="AC3874" s="46" t="n">
        <f aca="false">IF(AND(E3874&gt;0,B3874=10),1,0)</f>
        <v>0</v>
      </c>
      <c r="AD3874" s="0" t="str">
        <f aca="false">IF(AND(C3873=C3874,AA3873=AA3874-1),AB3873,"")</f>
        <v/>
      </c>
      <c r="AE3874" s="0" t="str">
        <f aca="false">IF(AND(C3873=C3874,AA3873=AA3874-1),AC3873,"")</f>
        <v/>
      </c>
      <c r="AF3874" s="0" t="str">
        <f aca="false">IF(AA3874=1,"",IF(AND(AB3874=1,AD3874&lt;&gt;1),1,0))</f>
        <v/>
      </c>
      <c r="AG3874" s="0" t="str">
        <f aca="false">IF(AA3874=1,"",IF(AND(AC3874=1,AE3874&lt;&gt;1),1,0))</f>
        <v/>
      </c>
      <c r="AH3874" s="51" t="str">
        <f aca="false">IF(AND(E3874&gt;0,AA3874&lt;1,NOT(AND(C3875=C3874,AA3875=AA3874+1))),INDEX(DATAS,AA3874+1),"")</f>
        <v/>
      </c>
      <c r="AI3874" s="51" t="str">
        <f aca="false">IF(AND(AC3874=1,AA3874&lt;1),IF(AND(C3875=C3874,AA3875=AA3874+1),IF(AC3875=1,"",INDEX(DATAS,AA3874+1)),INDEX(DATAS,AA3874+1)),"")</f>
        <v/>
      </c>
    </row>
    <row r="3875" customFormat="false" ht="15" hidden="false" customHeight="false" outlineLevel="0" collapsed="false">
      <c r="A3875" s="51" t="n">
        <v>46309</v>
      </c>
      <c r="B3875" s="0" t="n">
        <v>15</v>
      </c>
      <c r="C3875" s="0" t="n">
        <v>30741</v>
      </c>
      <c r="E3875" s="0" t="n">
        <v>0</v>
      </c>
      <c r="F3875" s="46" t="s">
        <v>1557</v>
      </c>
      <c r="I3875" s="46" t="s">
        <v>150</v>
      </c>
      <c r="U3875" s="0" t="n">
        <v>152</v>
      </c>
      <c r="V3875" s="0" t="n">
        <v>0</v>
      </c>
      <c r="X3875" s="46" t="n">
        <f aca="false">IF(I3875="Male",0,1)</f>
        <v>0</v>
      </c>
      <c r="Y3875" s="46" t="n">
        <f aca="false">IF(OR(I3875="DNB",I3875="Dry DNB"),1,0)</f>
        <v>0</v>
      </c>
      <c r="Z3875" s="0" t="str">
        <f aca="false">IF(ISNUMBER(W3875),A3875-W3875,"")</f>
        <v/>
      </c>
      <c r="AA3875" s="46" t="n">
        <f aca="false">MATCH(A3875,DATAS,0)</f>
        <v>1</v>
      </c>
      <c r="AB3875" s="46" t="n">
        <f aca="false">IF(AND(E3875&gt;0,OR(AND(B3875&gt;=1,B3875&lt;=6),B3875=10)),1,0)</f>
        <v>0</v>
      </c>
      <c r="AC3875" s="46" t="n">
        <f aca="false">IF(AND(E3875&gt;0,B3875=10),1,0)</f>
        <v>0</v>
      </c>
      <c r="AD3875" s="0" t="str">
        <f aca="false">IF(AND(C3874=C3875,AA3874=AA3875-1),AB3874,"")</f>
        <v/>
      </c>
      <c r="AE3875" s="0" t="str">
        <f aca="false">IF(AND(C3874=C3875,AA3874=AA3875-1),AC3874,"")</f>
        <v/>
      </c>
      <c r="AF3875" s="0" t="str">
        <f aca="false">IF(AA3875=1,"",IF(AND(AB3875=1,AD3875&lt;&gt;1),1,0))</f>
        <v/>
      </c>
      <c r="AG3875" s="0" t="str">
        <f aca="false">IF(AA3875=1,"",IF(AND(AC3875=1,AE3875&lt;&gt;1),1,0))</f>
        <v/>
      </c>
      <c r="AH3875" s="51" t="str">
        <f aca="false">IF(AND(E3875&gt;0,AA3875&lt;1,NOT(AND(C3876=C3875,AA3876=AA3875+1))),INDEX(DATAS,AA3875+1),"")</f>
        <v/>
      </c>
      <c r="AI3875" s="51" t="str">
        <f aca="false">IF(AND(AC3875=1,AA3875&lt;1),IF(AND(C3876=C3875,AA3876=AA3875+1),IF(AC3876=1,"",INDEX(DATAS,AA3875+1)),INDEX(DATAS,AA3875+1)),"")</f>
        <v/>
      </c>
    </row>
    <row r="3876" customFormat="false" ht="15" hidden="false" customHeight="false" outlineLevel="0" collapsed="false">
      <c r="A3876" s="51" t="n">
        <v>46309</v>
      </c>
      <c r="B3876" s="0" t="n">
        <v>15</v>
      </c>
      <c r="C3876" s="0" t="n">
        <v>30743</v>
      </c>
      <c r="E3876" s="0" t="n">
        <v>0</v>
      </c>
      <c r="F3876" s="46" t="s">
        <v>1559</v>
      </c>
      <c r="I3876" s="46" t="s">
        <v>150</v>
      </c>
      <c r="U3876" s="0" t="n">
        <v>151</v>
      </c>
      <c r="V3876" s="0" t="n">
        <v>0</v>
      </c>
      <c r="X3876" s="46" t="n">
        <f aca="false">IF(I3876="Male",0,1)</f>
        <v>0</v>
      </c>
      <c r="Y3876" s="46" t="n">
        <f aca="false">IF(OR(I3876="DNB",I3876="Dry DNB"),1,0)</f>
        <v>0</v>
      </c>
      <c r="Z3876" s="0" t="str">
        <f aca="false">IF(ISNUMBER(W3876),A3876-W3876,"")</f>
        <v/>
      </c>
      <c r="AA3876" s="46" t="n">
        <f aca="false">MATCH(A3876,DATAS,0)</f>
        <v>1</v>
      </c>
      <c r="AB3876" s="46" t="n">
        <f aca="false">IF(AND(E3876&gt;0,OR(AND(B3876&gt;=1,B3876&lt;=6),B3876=10)),1,0)</f>
        <v>0</v>
      </c>
      <c r="AC3876" s="46" t="n">
        <f aca="false">IF(AND(E3876&gt;0,B3876=10),1,0)</f>
        <v>0</v>
      </c>
      <c r="AD3876" s="0" t="str">
        <f aca="false">IF(AND(C3875=C3876,AA3875=AA3876-1),AB3875,"")</f>
        <v/>
      </c>
      <c r="AE3876" s="0" t="str">
        <f aca="false">IF(AND(C3875=C3876,AA3875=AA3876-1),AC3875,"")</f>
        <v/>
      </c>
      <c r="AF3876" s="0" t="str">
        <f aca="false">IF(AA3876=1,"",IF(AND(AB3876=1,AD3876&lt;&gt;1),1,0))</f>
        <v/>
      </c>
      <c r="AG3876" s="0" t="str">
        <f aca="false">IF(AA3876=1,"",IF(AND(AC3876=1,AE3876&lt;&gt;1),1,0))</f>
        <v/>
      </c>
      <c r="AH3876" s="51" t="str">
        <f aca="false">IF(AND(E3876&gt;0,AA3876&lt;1,NOT(AND(C3877=C3876,AA3877=AA3876+1))),INDEX(DATAS,AA3876+1),"")</f>
        <v/>
      </c>
      <c r="AI3876" s="51" t="str">
        <f aca="false">IF(AND(AC3876=1,AA3876&lt;1),IF(AND(C3877=C3876,AA3877=AA3876+1),IF(AC3877=1,"",INDEX(DATAS,AA3876+1)),INDEX(DATAS,AA3876+1)),"")</f>
        <v/>
      </c>
    </row>
    <row r="3877" customFormat="false" ht="15" hidden="false" customHeight="false" outlineLevel="0" collapsed="false">
      <c r="A3877" s="51" t="n">
        <v>46309</v>
      </c>
      <c r="B3877" s="0" t="n">
        <v>15</v>
      </c>
      <c r="C3877" s="0" t="n">
        <v>30744</v>
      </c>
      <c r="E3877" s="0" t="n">
        <v>0</v>
      </c>
      <c r="F3877" s="46" t="s">
        <v>1560</v>
      </c>
      <c r="I3877" s="46" t="s">
        <v>150</v>
      </c>
      <c r="U3877" s="0" t="n">
        <v>149</v>
      </c>
      <c r="V3877" s="0" t="n">
        <v>0</v>
      </c>
      <c r="X3877" s="46" t="n">
        <f aca="false">IF(I3877="Male",0,1)</f>
        <v>0</v>
      </c>
      <c r="Y3877" s="46" t="n">
        <f aca="false">IF(OR(I3877="DNB",I3877="Dry DNB"),1,0)</f>
        <v>0</v>
      </c>
      <c r="Z3877" s="0" t="str">
        <f aca="false">IF(ISNUMBER(W3877),A3877-W3877,"")</f>
        <v/>
      </c>
      <c r="AA3877" s="46" t="n">
        <f aca="false">MATCH(A3877,DATAS,0)</f>
        <v>1</v>
      </c>
      <c r="AB3877" s="46" t="n">
        <f aca="false">IF(AND(E3877&gt;0,OR(AND(B3877&gt;=1,B3877&lt;=6),B3877=10)),1,0)</f>
        <v>0</v>
      </c>
      <c r="AC3877" s="46" t="n">
        <f aca="false">IF(AND(E3877&gt;0,B3877=10),1,0)</f>
        <v>0</v>
      </c>
      <c r="AD3877" s="0" t="str">
        <f aca="false">IF(AND(C3876=C3877,AA3876=AA3877-1),AB3876,"")</f>
        <v/>
      </c>
      <c r="AE3877" s="0" t="str">
        <f aca="false">IF(AND(C3876=C3877,AA3876=AA3877-1),AC3876,"")</f>
        <v/>
      </c>
      <c r="AF3877" s="0" t="str">
        <f aca="false">IF(AA3877=1,"",IF(AND(AB3877=1,AD3877&lt;&gt;1),1,0))</f>
        <v/>
      </c>
      <c r="AG3877" s="0" t="str">
        <f aca="false">IF(AA3877=1,"",IF(AND(AC3877=1,AE3877&lt;&gt;1),1,0))</f>
        <v/>
      </c>
      <c r="AH3877" s="51" t="str">
        <f aca="false">IF(AND(E3877&gt;0,AA3877&lt;1,NOT(AND(C3878=C3877,AA3878=AA3877+1))),INDEX(DATAS,AA3877+1),"")</f>
        <v/>
      </c>
      <c r="AI3877" s="51" t="str">
        <f aca="false">IF(AND(AC3877=1,AA3877&lt;1),IF(AND(C3878=C3877,AA3878=AA3877+1),IF(AC3878=1,"",INDEX(DATAS,AA3877+1)),INDEX(DATAS,AA3877+1)),"")</f>
        <v/>
      </c>
    </row>
    <row r="3878" customFormat="false" ht="15" hidden="false" customHeight="false" outlineLevel="0" collapsed="false">
      <c r="A3878" s="51" t="n">
        <v>46309</v>
      </c>
      <c r="B3878" s="0" t="n">
        <v>15</v>
      </c>
      <c r="C3878" s="0" t="n">
        <v>30752</v>
      </c>
      <c r="E3878" s="0" t="n">
        <v>0</v>
      </c>
      <c r="F3878" s="46" t="s">
        <v>1563</v>
      </c>
      <c r="I3878" s="46" t="s">
        <v>150</v>
      </c>
      <c r="U3878" s="0" t="n">
        <v>146</v>
      </c>
      <c r="V3878" s="0" t="n">
        <v>0</v>
      </c>
      <c r="X3878" s="46" t="n">
        <f aca="false">IF(I3878="Male",0,1)</f>
        <v>0</v>
      </c>
      <c r="Y3878" s="46" t="n">
        <f aca="false">IF(OR(I3878="DNB",I3878="Dry DNB"),1,0)</f>
        <v>0</v>
      </c>
      <c r="Z3878" s="0" t="str">
        <f aca="false">IF(ISNUMBER(W3878),A3878-W3878,"")</f>
        <v/>
      </c>
      <c r="AA3878" s="46" t="n">
        <f aca="false">MATCH(A3878,DATAS,0)</f>
        <v>1</v>
      </c>
      <c r="AB3878" s="46" t="n">
        <f aca="false">IF(AND(E3878&gt;0,OR(AND(B3878&gt;=1,B3878&lt;=6),B3878=10)),1,0)</f>
        <v>0</v>
      </c>
      <c r="AC3878" s="46" t="n">
        <f aca="false">IF(AND(E3878&gt;0,B3878=10),1,0)</f>
        <v>0</v>
      </c>
      <c r="AD3878" s="0" t="str">
        <f aca="false">IF(AND(C3877=C3878,AA3877=AA3878-1),AB3877,"")</f>
        <v/>
      </c>
      <c r="AE3878" s="0" t="str">
        <f aca="false">IF(AND(C3877=C3878,AA3877=AA3878-1),AC3877,"")</f>
        <v/>
      </c>
      <c r="AF3878" s="0" t="str">
        <f aca="false">IF(AA3878=1,"",IF(AND(AB3878=1,AD3878&lt;&gt;1),1,0))</f>
        <v/>
      </c>
      <c r="AG3878" s="0" t="str">
        <f aca="false">IF(AA3878=1,"",IF(AND(AC3878=1,AE3878&lt;&gt;1),1,0))</f>
        <v/>
      </c>
      <c r="AH3878" s="51" t="str">
        <f aca="false">IF(AND(E3878&gt;0,AA3878&lt;1,NOT(AND(C3879=C3878,AA3879=AA3878+1))),INDEX(DATAS,AA3878+1),"")</f>
        <v/>
      </c>
      <c r="AI3878" s="51" t="str">
        <f aca="false">IF(AND(AC3878=1,AA3878&lt;1),IF(AND(C3879=C3878,AA3879=AA3878+1),IF(AC3879=1,"",INDEX(DATAS,AA3878+1)),INDEX(DATAS,AA3878+1)),"")</f>
        <v/>
      </c>
    </row>
    <row r="3879" customFormat="false" ht="15" hidden="false" customHeight="false" outlineLevel="0" collapsed="false">
      <c r="A3879" s="51" t="n">
        <v>46309</v>
      </c>
      <c r="B3879" s="0" t="n">
        <v>15</v>
      </c>
      <c r="C3879" s="0" t="n">
        <v>30757</v>
      </c>
      <c r="E3879" s="0" t="n">
        <v>0</v>
      </c>
      <c r="F3879" s="46" t="s">
        <v>1566</v>
      </c>
      <c r="I3879" s="46" t="s">
        <v>150</v>
      </c>
      <c r="U3879" s="0" t="n">
        <v>143</v>
      </c>
      <c r="V3879" s="0" t="n">
        <v>0</v>
      </c>
      <c r="X3879" s="46" t="n">
        <f aca="false">IF(I3879="Male",0,1)</f>
        <v>0</v>
      </c>
      <c r="Y3879" s="46" t="n">
        <f aca="false">IF(OR(I3879="DNB",I3879="Dry DNB"),1,0)</f>
        <v>0</v>
      </c>
      <c r="Z3879" s="0" t="str">
        <f aca="false">IF(ISNUMBER(W3879),A3879-W3879,"")</f>
        <v/>
      </c>
      <c r="AA3879" s="46" t="n">
        <f aca="false">MATCH(A3879,DATAS,0)</f>
        <v>1</v>
      </c>
      <c r="AB3879" s="46" t="n">
        <f aca="false">IF(AND(E3879&gt;0,OR(AND(B3879&gt;=1,B3879&lt;=6),B3879=10)),1,0)</f>
        <v>0</v>
      </c>
      <c r="AC3879" s="46" t="n">
        <f aca="false">IF(AND(E3879&gt;0,B3879=10),1,0)</f>
        <v>0</v>
      </c>
      <c r="AD3879" s="0" t="str">
        <f aca="false">IF(AND(C3878=C3879,AA3878=AA3879-1),AB3878,"")</f>
        <v/>
      </c>
      <c r="AE3879" s="0" t="str">
        <f aca="false">IF(AND(C3878=C3879,AA3878=AA3879-1),AC3878,"")</f>
        <v/>
      </c>
      <c r="AF3879" s="0" t="str">
        <f aca="false">IF(AA3879=1,"",IF(AND(AB3879=1,AD3879&lt;&gt;1),1,0))</f>
        <v/>
      </c>
      <c r="AG3879" s="0" t="str">
        <f aca="false">IF(AA3879=1,"",IF(AND(AC3879=1,AE3879&lt;&gt;1),1,0))</f>
        <v/>
      </c>
      <c r="AH3879" s="51" t="str">
        <f aca="false">IF(AND(E3879&gt;0,AA3879&lt;1,NOT(AND(C3880=C3879,AA3880=AA3879+1))),INDEX(DATAS,AA3879+1),"")</f>
        <v/>
      </c>
      <c r="AI3879" s="51" t="str">
        <f aca="false">IF(AND(AC3879=1,AA3879&lt;1),IF(AND(C3880=C3879,AA3880=AA3879+1),IF(AC3880=1,"",INDEX(DATAS,AA3879+1)),INDEX(DATAS,AA3879+1)),"")</f>
        <v/>
      </c>
    </row>
    <row r="3880" customFormat="false" ht="15" hidden="false" customHeight="false" outlineLevel="0" collapsed="false">
      <c r="A3880" s="51" t="n">
        <v>46309</v>
      </c>
      <c r="B3880" s="0" t="n">
        <v>15</v>
      </c>
      <c r="C3880" s="0" t="n">
        <v>30762</v>
      </c>
      <c r="E3880" s="0" t="n">
        <v>0</v>
      </c>
      <c r="F3880" s="46" t="s">
        <v>1703</v>
      </c>
      <c r="I3880" s="46" t="s">
        <v>150</v>
      </c>
      <c r="U3880" s="0" t="n">
        <v>139</v>
      </c>
      <c r="V3880" s="0" t="n">
        <v>0</v>
      </c>
      <c r="X3880" s="46" t="n">
        <f aca="false">IF(I3880="Male",0,1)</f>
        <v>0</v>
      </c>
      <c r="Y3880" s="46" t="n">
        <f aca="false">IF(OR(I3880="DNB",I3880="Dry DNB"),1,0)</f>
        <v>0</v>
      </c>
      <c r="Z3880" s="0" t="str">
        <f aca="false">IF(ISNUMBER(W3880),A3880-W3880,"")</f>
        <v/>
      </c>
      <c r="AA3880" s="46" t="n">
        <f aca="false">MATCH(A3880,DATAS,0)</f>
        <v>1</v>
      </c>
      <c r="AB3880" s="46" t="n">
        <f aca="false">IF(AND(E3880&gt;0,OR(AND(B3880&gt;=1,B3880&lt;=6),B3880=10)),1,0)</f>
        <v>0</v>
      </c>
      <c r="AC3880" s="46" t="n">
        <f aca="false">IF(AND(E3880&gt;0,B3880=10),1,0)</f>
        <v>0</v>
      </c>
      <c r="AD3880" s="0" t="str">
        <f aca="false">IF(AND(C3879=C3880,AA3879=AA3880-1),AB3879,"")</f>
        <v/>
      </c>
      <c r="AE3880" s="0" t="str">
        <f aca="false">IF(AND(C3879=C3880,AA3879=AA3880-1),AC3879,"")</f>
        <v/>
      </c>
      <c r="AF3880" s="0" t="str">
        <f aca="false">IF(AA3880=1,"",IF(AND(AB3880=1,AD3880&lt;&gt;1),1,0))</f>
        <v/>
      </c>
      <c r="AG3880" s="0" t="str">
        <f aca="false">IF(AA3880=1,"",IF(AND(AC3880=1,AE3880&lt;&gt;1),1,0))</f>
        <v/>
      </c>
      <c r="AH3880" s="51" t="str">
        <f aca="false">IF(AND(E3880&gt;0,AA3880&lt;1,NOT(AND(C3881=C3880,AA3881=AA3880+1))),INDEX(DATAS,AA3880+1),"")</f>
        <v/>
      </c>
      <c r="AI3880" s="51" t="str">
        <f aca="false">IF(AND(AC3880=1,AA3880&lt;1),IF(AND(C3881=C3880,AA3881=AA3880+1),IF(AC3881=1,"",INDEX(DATAS,AA3880+1)),INDEX(DATAS,AA3880+1)),"")</f>
        <v/>
      </c>
    </row>
    <row r="3881" customFormat="false" ht="15" hidden="false" customHeight="false" outlineLevel="0" collapsed="false">
      <c r="A3881" s="51" t="n">
        <v>46309</v>
      </c>
      <c r="B3881" s="0" t="n">
        <v>15</v>
      </c>
      <c r="C3881" s="0" t="n">
        <v>30765</v>
      </c>
      <c r="E3881" s="0" t="n">
        <v>0</v>
      </c>
      <c r="F3881" s="46" t="s">
        <v>1570</v>
      </c>
      <c r="I3881" s="46" t="s">
        <v>150</v>
      </c>
      <c r="U3881" s="0" t="n">
        <v>138</v>
      </c>
      <c r="V3881" s="0" t="n">
        <v>0</v>
      </c>
      <c r="X3881" s="46" t="n">
        <f aca="false">IF(I3881="Male",0,1)</f>
        <v>0</v>
      </c>
      <c r="Y3881" s="46" t="n">
        <f aca="false">IF(OR(I3881="DNB",I3881="Dry DNB"),1,0)</f>
        <v>0</v>
      </c>
      <c r="Z3881" s="0" t="str">
        <f aca="false">IF(ISNUMBER(W3881),A3881-W3881,"")</f>
        <v/>
      </c>
      <c r="AA3881" s="46" t="n">
        <f aca="false">MATCH(A3881,DATAS,0)</f>
        <v>1</v>
      </c>
      <c r="AB3881" s="46" t="n">
        <f aca="false">IF(AND(E3881&gt;0,OR(AND(B3881&gt;=1,B3881&lt;=6),B3881=10)),1,0)</f>
        <v>0</v>
      </c>
      <c r="AC3881" s="46" t="n">
        <f aca="false">IF(AND(E3881&gt;0,B3881=10),1,0)</f>
        <v>0</v>
      </c>
      <c r="AD3881" s="0" t="str">
        <f aca="false">IF(AND(C3880=C3881,AA3880=AA3881-1),AB3880,"")</f>
        <v/>
      </c>
      <c r="AE3881" s="0" t="str">
        <f aca="false">IF(AND(C3880=C3881,AA3880=AA3881-1),AC3880,"")</f>
        <v/>
      </c>
      <c r="AF3881" s="0" t="str">
        <f aca="false">IF(AA3881=1,"",IF(AND(AB3881=1,AD3881&lt;&gt;1),1,0))</f>
        <v/>
      </c>
      <c r="AG3881" s="0" t="str">
        <f aca="false">IF(AA3881=1,"",IF(AND(AC3881=1,AE3881&lt;&gt;1),1,0))</f>
        <v/>
      </c>
      <c r="AH3881" s="51" t="str">
        <f aca="false">IF(AND(E3881&gt;0,AA3881&lt;1,NOT(AND(C3882=C3881,AA3882=AA3881+1))),INDEX(DATAS,AA3881+1),"")</f>
        <v/>
      </c>
      <c r="AI3881" s="51" t="str">
        <f aca="false">IF(AND(AC3881=1,AA3881&lt;1),IF(AND(C3882=C3881,AA3882=AA3881+1),IF(AC3882=1,"",INDEX(DATAS,AA3881+1)),INDEX(DATAS,AA3881+1)),"")</f>
        <v/>
      </c>
    </row>
    <row r="3882" customFormat="false" ht="15" hidden="false" customHeight="false" outlineLevel="0" collapsed="false">
      <c r="A3882" s="51" t="n">
        <v>46309</v>
      </c>
      <c r="B3882" s="0" t="n">
        <v>15</v>
      </c>
      <c r="C3882" s="0" t="n">
        <v>30768</v>
      </c>
      <c r="E3882" s="0" t="n">
        <v>0</v>
      </c>
      <c r="F3882" s="46" t="s">
        <v>1572</v>
      </c>
      <c r="I3882" s="46" t="s">
        <v>150</v>
      </c>
      <c r="U3882" s="0" t="n">
        <v>136</v>
      </c>
      <c r="V3882" s="0" t="n">
        <v>0</v>
      </c>
      <c r="X3882" s="46" t="n">
        <f aca="false">IF(I3882="Male",0,1)</f>
        <v>0</v>
      </c>
      <c r="Y3882" s="46" t="n">
        <f aca="false">IF(OR(I3882="DNB",I3882="Dry DNB"),1,0)</f>
        <v>0</v>
      </c>
      <c r="Z3882" s="0" t="str">
        <f aca="false">IF(ISNUMBER(W3882),A3882-W3882,"")</f>
        <v/>
      </c>
      <c r="AA3882" s="46" t="n">
        <f aca="false">MATCH(A3882,DATAS,0)</f>
        <v>1</v>
      </c>
      <c r="AB3882" s="46" t="n">
        <f aca="false">IF(AND(E3882&gt;0,OR(AND(B3882&gt;=1,B3882&lt;=6),B3882=10)),1,0)</f>
        <v>0</v>
      </c>
      <c r="AC3882" s="46" t="n">
        <f aca="false">IF(AND(E3882&gt;0,B3882=10),1,0)</f>
        <v>0</v>
      </c>
      <c r="AD3882" s="0" t="str">
        <f aca="false">IF(AND(C3881=C3882,AA3881=AA3882-1),AB3881,"")</f>
        <v/>
      </c>
      <c r="AE3882" s="0" t="str">
        <f aca="false">IF(AND(C3881=C3882,AA3881=AA3882-1),AC3881,"")</f>
        <v/>
      </c>
      <c r="AF3882" s="0" t="str">
        <f aca="false">IF(AA3882=1,"",IF(AND(AB3882=1,AD3882&lt;&gt;1),1,0))</f>
        <v/>
      </c>
      <c r="AG3882" s="0" t="str">
        <f aca="false">IF(AA3882=1,"",IF(AND(AC3882=1,AE3882&lt;&gt;1),1,0))</f>
        <v/>
      </c>
      <c r="AH3882" s="51" t="str">
        <f aca="false">IF(AND(E3882&gt;0,AA3882&lt;1,NOT(AND(C3883=C3882,AA3883=AA3882+1))),INDEX(DATAS,AA3882+1),"")</f>
        <v/>
      </c>
      <c r="AI3882" s="51" t="str">
        <f aca="false">IF(AND(AC3882=1,AA3882&lt;1),IF(AND(C3883=C3882,AA3883=AA3882+1),IF(AC3883=1,"",INDEX(DATAS,AA3882+1)),INDEX(DATAS,AA3882+1)),"")</f>
        <v/>
      </c>
    </row>
    <row r="3883" customFormat="false" ht="15" hidden="false" customHeight="false" outlineLevel="0" collapsed="false">
      <c r="A3883" s="51" t="n">
        <v>46309</v>
      </c>
      <c r="B3883" s="0" t="n">
        <v>15</v>
      </c>
      <c r="C3883" s="0" t="n">
        <v>30773</v>
      </c>
      <c r="E3883" s="0" t="n">
        <v>0</v>
      </c>
      <c r="F3883" s="46" t="s">
        <v>1575</v>
      </c>
      <c r="I3883" s="46" t="s">
        <v>150</v>
      </c>
      <c r="U3883" s="0" t="n">
        <v>133</v>
      </c>
      <c r="V3883" s="0" t="n">
        <v>0</v>
      </c>
      <c r="X3883" s="46" t="n">
        <f aca="false">IF(I3883="Male",0,1)</f>
        <v>0</v>
      </c>
      <c r="Y3883" s="46" t="n">
        <f aca="false">IF(OR(I3883="DNB",I3883="Dry DNB"),1,0)</f>
        <v>0</v>
      </c>
      <c r="Z3883" s="0" t="str">
        <f aca="false">IF(ISNUMBER(W3883),A3883-W3883,"")</f>
        <v/>
      </c>
      <c r="AA3883" s="46" t="n">
        <f aca="false">MATCH(A3883,DATAS,0)</f>
        <v>1</v>
      </c>
      <c r="AB3883" s="46" t="n">
        <f aca="false">IF(AND(E3883&gt;0,OR(AND(B3883&gt;=1,B3883&lt;=6),B3883=10)),1,0)</f>
        <v>0</v>
      </c>
      <c r="AC3883" s="46" t="n">
        <f aca="false">IF(AND(E3883&gt;0,B3883=10),1,0)</f>
        <v>0</v>
      </c>
      <c r="AD3883" s="0" t="str">
        <f aca="false">IF(AND(C3882=C3883,AA3882=AA3883-1),AB3882,"")</f>
        <v/>
      </c>
      <c r="AE3883" s="0" t="str">
        <f aca="false">IF(AND(C3882=C3883,AA3882=AA3883-1),AC3882,"")</f>
        <v/>
      </c>
      <c r="AF3883" s="0" t="str">
        <f aca="false">IF(AA3883=1,"",IF(AND(AB3883=1,AD3883&lt;&gt;1),1,0))</f>
        <v/>
      </c>
      <c r="AG3883" s="0" t="str">
        <f aca="false">IF(AA3883=1,"",IF(AND(AC3883=1,AE3883&lt;&gt;1),1,0))</f>
        <v/>
      </c>
      <c r="AH3883" s="51" t="str">
        <f aca="false">IF(AND(E3883&gt;0,AA3883&lt;1,NOT(AND(C3884=C3883,AA3884=AA3883+1))),INDEX(DATAS,AA3883+1),"")</f>
        <v/>
      </c>
      <c r="AI3883" s="51" t="str">
        <f aca="false">IF(AND(AC3883=1,AA3883&lt;1),IF(AND(C3884=C3883,AA3884=AA3883+1),IF(AC3884=1,"",INDEX(DATAS,AA3883+1)),INDEX(DATAS,AA3883+1)),"")</f>
        <v/>
      </c>
    </row>
    <row r="3884" customFormat="false" ht="15" hidden="false" customHeight="false" outlineLevel="0" collapsed="false">
      <c r="A3884" s="51" t="n">
        <v>46309</v>
      </c>
      <c r="B3884" s="0" t="n">
        <v>15</v>
      </c>
      <c r="C3884" s="0" t="n">
        <v>30775</v>
      </c>
      <c r="E3884" s="0" t="n">
        <v>0</v>
      </c>
      <c r="F3884" s="46" t="s">
        <v>1576</v>
      </c>
      <c r="I3884" s="46" t="s">
        <v>150</v>
      </c>
      <c r="U3884" s="0" t="n">
        <v>132</v>
      </c>
      <c r="V3884" s="0" t="n">
        <v>0</v>
      </c>
      <c r="X3884" s="46" t="n">
        <f aca="false">IF(I3884="Male",0,1)</f>
        <v>0</v>
      </c>
      <c r="Y3884" s="46" t="n">
        <f aca="false">IF(OR(I3884="DNB",I3884="Dry DNB"),1,0)</f>
        <v>0</v>
      </c>
      <c r="Z3884" s="0" t="str">
        <f aca="false">IF(ISNUMBER(W3884),A3884-W3884,"")</f>
        <v/>
      </c>
      <c r="AA3884" s="46" t="n">
        <f aca="false">MATCH(A3884,DATAS,0)</f>
        <v>1</v>
      </c>
      <c r="AB3884" s="46" t="n">
        <f aca="false">IF(AND(E3884&gt;0,OR(AND(B3884&gt;=1,B3884&lt;=6),B3884=10)),1,0)</f>
        <v>0</v>
      </c>
      <c r="AC3884" s="46" t="n">
        <f aca="false">IF(AND(E3884&gt;0,B3884=10),1,0)</f>
        <v>0</v>
      </c>
      <c r="AD3884" s="0" t="str">
        <f aca="false">IF(AND(C3883=C3884,AA3883=AA3884-1),AB3883,"")</f>
        <v/>
      </c>
      <c r="AE3884" s="0" t="str">
        <f aca="false">IF(AND(C3883=C3884,AA3883=AA3884-1),AC3883,"")</f>
        <v/>
      </c>
      <c r="AF3884" s="0" t="str">
        <f aca="false">IF(AA3884=1,"",IF(AND(AB3884=1,AD3884&lt;&gt;1),1,0))</f>
        <v/>
      </c>
      <c r="AG3884" s="0" t="str">
        <f aca="false">IF(AA3884=1,"",IF(AND(AC3884=1,AE3884&lt;&gt;1),1,0))</f>
        <v/>
      </c>
      <c r="AH3884" s="51" t="str">
        <f aca="false">IF(AND(E3884&gt;0,AA3884&lt;1,NOT(AND(C3885=C3884,AA3885=AA3884+1))),INDEX(DATAS,AA3884+1),"")</f>
        <v/>
      </c>
      <c r="AI3884" s="51" t="str">
        <f aca="false">IF(AND(AC3884=1,AA3884&lt;1),IF(AND(C3885=C3884,AA3885=AA3884+1),IF(AC3885=1,"",INDEX(DATAS,AA3884+1)),INDEX(DATAS,AA3884+1)),"")</f>
        <v/>
      </c>
    </row>
    <row r="3885" customFormat="false" ht="15" hidden="false" customHeight="false" outlineLevel="0" collapsed="false">
      <c r="A3885" s="51" t="n">
        <v>46309</v>
      </c>
      <c r="B3885" s="0" t="n">
        <v>15</v>
      </c>
      <c r="C3885" s="0" t="n">
        <v>30777</v>
      </c>
      <c r="E3885" s="0" t="n">
        <v>0</v>
      </c>
      <c r="F3885" s="46" t="s">
        <v>1576</v>
      </c>
      <c r="I3885" s="46" t="s">
        <v>150</v>
      </c>
      <c r="U3885" s="0" t="n">
        <v>132</v>
      </c>
      <c r="V3885" s="0" t="n">
        <v>0</v>
      </c>
      <c r="X3885" s="46" t="n">
        <f aca="false">IF(I3885="Male",0,1)</f>
        <v>0</v>
      </c>
      <c r="Y3885" s="46" t="n">
        <f aca="false">IF(OR(I3885="DNB",I3885="Dry DNB"),1,0)</f>
        <v>0</v>
      </c>
      <c r="Z3885" s="0" t="str">
        <f aca="false">IF(ISNUMBER(W3885),A3885-W3885,"")</f>
        <v/>
      </c>
      <c r="AA3885" s="46" t="n">
        <f aca="false">MATCH(A3885,DATAS,0)</f>
        <v>1</v>
      </c>
      <c r="AB3885" s="46" t="n">
        <f aca="false">IF(AND(E3885&gt;0,OR(AND(B3885&gt;=1,B3885&lt;=6),B3885=10)),1,0)</f>
        <v>0</v>
      </c>
      <c r="AC3885" s="46" t="n">
        <f aca="false">IF(AND(E3885&gt;0,B3885=10),1,0)</f>
        <v>0</v>
      </c>
      <c r="AD3885" s="0" t="str">
        <f aca="false">IF(AND(C3884=C3885,AA3884=AA3885-1),AB3884,"")</f>
        <v/>
      </c>
      <c r="AE3885" s="0" t="str">
        <f aca="false">IF(AND(C3884=C3885,AA3884=AA3885-1),AC3884,"")</f>
        <v/>
      </c>
      <c r="AF3885" s="0" t="str">
        <f aca="false">IF(AA3885=1,"",IF(AND(AB3885=1,AD3885&lt;&gt;1),1,0))</f>
        <v/>
      </c>
      <c r="AG3885" s="0" t="str">
        <f aca="false">IF(AA3885=1,"",IF(AND(AC3885=1,AE3885&lt;&gt;1),1,0))</f>
        <v/>
      </c>
      <c r="AH3885" s="51" t="str">
        <f aca="false">IF(AND(E3885&gt;0,AA3885&lt;1,NOT(AND(C3886=C3885,AA3886=AA3885+1))),INDEX(DATAS,AA3885+1),"")</f>
        <v/>
      </c>
      <c r="AI3885" s="51" t="str">
        <f aca="false">IF(AND(AC3885=1,AA3885&lt;1),IF(AND(C3886=C3885,AA3886=AA3885+1),IF(AC3886=1,"",INDEX(DATAS,AA3885+1)),INDEX(DATAS,AA3885+1)),"")</f>
        <v/>
      </c>
    </row>
    <row r="3886" customFormat="false" ht="15" hidden="false" customHeight="false" outlineLevel="0" collapsed="false">
      <c r="A3886" s="51" t="n">
        <v>46309</v>
      </c>
      <c r="B3886" s="0" t="n">
        <v>15</v>
      </c>
      <c r="C3886" s="0" t="n">
        <v>30783</v>
      </c>
      <c r="E3886" s="0" t="n">
        <v>0</v>
      </c>
      <c r="F3886" s="46" t="s">
        <v>1581</v>
      </c>
      <c r="I3886" s="46" t="s">
        <v>150</v>
      </c>
      <c r="U3886" s="0" t="n">
        <v>127</v>
      </c>
      <c r="V3886" s="0" t="n">
        <v>0</v>
      </c>
      <c r="X3886" s="46" t="n">
        <f aca="false">IF(I3886="Male",0,1)</f>
        <v>0</v>
      </c>
      <c r="Y3886" s="46" t="n">
        <f aca="false">IF(OR(I3886="DNB",I3886="Dry DNB"),1,0)</f>
        <v>0</v>
      </c>
      <c r="Z3886" s="0" t="str">
        <f aca="false">IF(ISNUMBER(W3886),A3886-W3886,"")</f>
        <v/>
      </c>
      <c r="AA3886" s="46" t="n">
        <f aca="false">MATCH(A3886,DATAS,0)</f>
        <v>1</v>
      </c>
      <c r="AB3886" s="46" t="n">
        <f aca="false">IF(AND(E3886&gt;0,OR(AND(B3886&gt;=1,B3886&lt;=6),B3886=10)),1,0)</f>
        <v>0</v>
      </c>
      <c r="AC3886" s="46" t="n">
        <f aca="false">IF(AND(E3886&gt;0,B3886=10),1,0)</f>
        <v>0</v>
      </c>
      <c r="AD3886" s="0" t="str">
        <f aca="false">IF(AND(C3885=C3886,AA3885=AA3886-1),AB3885,"")</f>
        <v/>
      </c>
      <c r="AE3886" s="0" t="str">
        <f aca="false">IF(AND(C3885=C3886,AA3885=AA3886-1),AC3885,"")</f>
        <v/>
      </c>
      <c r="AF3886" s="0" t="str">
        <f aca="false">IF(AA3886=1,"",IF(AND(AB3886=1,AD3886&lt;&gt;1),1,0))</f>
        <v/>
      </c>
      <c r="AG3886" s="0" t="str">
        <f aca="false">IF(AA3886=1,"",IF(AND(AC3886=1,AE3886&lt;&gt;1),1,0))</f>
        <v/>
      </c>
      <c r="AH3886" s="51" t="str">
        <f aca="false">IF(AND(E3886&gt;0,AA3886&lt;1,NOT(AND(C3887=C3886,AA3887=AA3886+1))),INDEX(DATAS,AA3886+1),"")</f>
        <v/>
      </c>
      <c r="AI3886" s="51" t="str">
        <f aca="false">IF(AND(AC3886=1,AA3886&lt;1),IF(AND(C3887=C3886,AA3887=AA3886+1),IF(AC3887=1,"",INDEX(DATAS,AA3886+1)),INDEX(DATAS,AA3886+1)),"")</f>
        <v/>
      </c>
    </row>
    <row r="3887" customFormat="false" ht="15" hidden="false" customHeight="false" outlineLevel="0" collapsed="false">
      <c r="A3887" s="51" t="n">
        <v>46309</v>
      </c>
      <c r="B3887" s="0" t="n">
        <v>15</v>
      </c>
      <c r="C3887" s="0" t="n">
        <v>30784</v>
      </c>
      <c r="E3887" s="0" t="n">
        <v>0</v>
      </c>
      <c r="F3887" s="46" t="s">
        <v>1581</v>
      </c>
      <c r="I3887" s="46" t="s">
        <v>150</v>
      </c>
      <c r="U3887" s="0" t="n">
        <v>127</v>
      </c>
      <c r="V3887" s="0" t="n">
        <v>0</v>
      </c>
      <c r="X3887" s="46" t="n">
        <f aca="false">IF(I3887="Male",0,1)</f>
        <v>0</v>
      </c>
      <c r="Y3887" s="46" t="n">
        <f aca="false">IF(OR(I3887="DNB",I3887="Dry DNB"),1,0)</f>
        <v>0</v>
      </c>
      <c r="Z3887" s="0" t="str">
        <f aca="false">IF(ISNUMBER(W3887),A3887-W3887,"")</f>
        <v/>
      </c>
      <c r="AA3887" s="46" t="n">
        <f aca="false">MATCH(A3887,DATAS,0)</f>
        <v>1</v>
      </c>
      <c r="AB3887" s="46" t="n">
        <f aca="false">IF(AND(E3887&gt;0,OR(AND(B3887&gt;=1,B3887&lt;=6),B3887=10)),1,0)</f>
        <v>0</v>
      </c>
      <c r="AC3887" s="46" t="n">
        <f aca="false">IF(AND(E3887&gt;0,B3887=10),1,0)</f>
        <v>0</v>
      </c>
      <c r="AD3887" s="0" t="str">
        <f aca="false">IF(AND(C3886=C3887,AA3886=AA3887-1),AB3886,"")</f>
        <v/>
      </c>
      <c r="AE3887" s="0" t="str">
        <f aca="false">IF(AND(C3886=C3887,AA3886=AA3887-1),AC3886,"")</f>
        <v/>
      </c>
      <c r="AF3887" s="0" t="str">
        <f aca="false">IF(AA3887=1,"",IF(AND(AB3887=1,AD3887&lt;&gt;1),1,0))</f>
        <v/>
      </c>
      <c r="AG3887" s="0" t="str">
        <f aca="false">IF(AA3887=1,"",IF(AND(AC3887=1,AE3887&lt;&gt;1),1,0))</f>
        <v/>
      </c>
      <c r="AH3887" s="51" t="str">
        <f aca="false">IF(AND(E3887&gt;0,AA3887&lt;1,NOT(AND(C3888=C3887,AA3888=AA3887+1))),INDEX(DATAS,AA3887+1),"")</f>
        <v/>
      </c>
      <c r="AI3887" s="51" t="str">
        <f aca="false">IF(AND(AC3887=1,AA3887&lt;1),IF(AND(C3888=C3887,AA3888=AA3887+1),IF(AC3888=1,"",INDEX(DATAS,AA3887+1)),INDEX(DATAS,AA3887+1)),"")</f>
        <v/>
      </c>
    </row>
    <row r="3888" customFormat="false" ht="15" hidden="false" customHeight="false" outlineLevel="0" collapsed="false">
      <c r="A3888" s="51" t="n">
        <v>46309</v>
      </c>
      <c r="B3888" s="0" t="n">
        <v>15</v>
      </c>
      <c r="C3888" s="0" t="n">
        <v>30785</v>
      </c>
      <c r="E3888" s="0" t="n">
        <v>0</v>
      </c>
      <c r="F3888" s="46" t="s">
        <v>1581</v>
      </c>
      <c r="I3888" s="46" t="s">
        <v>150</v>
      </c>
      <c r="U3888" s="0" t="n">
        <v>127</v>
      </c>
      <c r="V3888" s="0" t="n">
        <v>0</v>
      </c>
      <c r="X3888" s="46" t="n">
        <f aca="false">IF(I3888="Male",0,1)</f>
        <v>0</v>
      </c>
      <c r="Y3888" s="46" t="n">
        <f aca="false">IF(OR(I3888="DNB",I3888="Dry DNB"),1,0)</f>
        <v>0</v>
      </c>
      <c r="Z3888" s="0" t="str">
        <f aca="false">IF(ISNUMBER(W3888),A3888-W3888,"")</f>
        <v/>
      </c>
      <c r="AA3888" s="46" t="n">
        <f aca="false">MATCH(A3888,DATAS,0)</f>
        <v>1</v>
      </c>
      <c r="AB3888" s="46" t="n">
        <f aca="false">IF(AND(E3888&gt;0,OR(AND(B3888&gt;=1,B3888&lt;=6),B3888=10)),1,0)</f>
        <v>0</v>
      </c>
      <c r="AC3888" s="46" t="n">
        <f aca="false">IF(AND(E3888&gt;0,B3888=10),1,0)</f>
        <v>0</v>
      </c>
      <c r="AD3888" s="0" t="str">
        <f aca="false">IF(AND(C3887=C3888,AA3887=AA3888-1),AB3887,"")</f>
        <v/>
      </c>
      <c r="AE3888" s="0" t="str">
        <f aca="false">IF(AND(C3887=C3888,AA3887=AA3888-1),AC3887,"")</f>
        <v/>
      </c>
      <c r="AF3888" s="0" t="str">
        <f aca="false">IF(AA3888=1,"",IF(AND(AB3888=1,AD3888&lt;&gt;1),1,0))</f>
        <v/>
      </c>
      <c r="AG3888" s="0" t="str">
        <f aca="false">IF(AA3888=1,"",IF(AND(AC3888=1,AE3888&lt;&gt;1),1,0))</f>
        <v/>
      </c>
      <c r="AH3888" s="51" t="str">
        <f aca="false">IF(AND(E3888&gt;0,AA3888&lt;1,NOT(AND(C3889=C3888,AA3889=AA3888+1))),INDEX(DATAS,AA3888+1),"")</f>
        <v/>
      </c>
      <c r="AI3888" s="51" t="str">
        <f aca="false">IF(AND(AC3888=1,AA3888&lt;1),IF(AND(C3889=C3888,AA3889=AA3888+1),IF(AC3889=1,"",INDEX(DATAS,AA3888+1)),INDEX(DATAS,AA3888+1)),"")</f>
        <v/>
      </c>
    </row>
    <row r="3889" customFormat="false" ht="15" hidden="false" customHeight="false" outlineLevel="0" collapsed="false">
      <c r="A3889" s="51" t="n">
        <v>46309</v>
      </c>
      <c r="B3889" s="0" t="n">
        <v>15</v>
      </c>
      <c r="C3889" s="0" t="n">
        <v>30787</v>
      </c>
      <c r="E3889" s="0" t="n">
        <v>0</v>
      </c>
      <c r="F3889" s="46" t="s">
        <v>1583</v>
      </c>
      <c r="I3889" s="46" t="s">
        <v>150</v>
      </c>
      <c r="U3889" s="0" t="n">
        <v>125</v>
      </c>
      <c r="V3889" s="0" t="n">
        <v>0</v>
      </c>
      <c r="X3889" s="46" t="n">
        <f aca="false">IF(I3889="Male",0,1)</f>
        <v>0</v>
      </c>
      <c r="Y3889" s="46" t="n">
        <f aca="false">IF(OR(I3889="DNB",I3889="Dry DNB"),1,0)</f>
        <v>0</v>
      </c>
      <c r="Z3889" s="0" t="str">
        <f aca="false">IF(ISNUMBER(W3889),A3889-W3889,"")</f>
        <v/>
      </c>
      <c r="AA3889" s="46" t="n">
        <f aca="false">MATCH(A3889,DATAS,0)</f>
        <v>1</v>
      </c>
      <c r="AB3889" s="46" t="n">
        <f aca="false">IF(AND(E3889&gt;0,OR(AND(B3889&gt;=1,B3889&lt;=6),B3889=10)),1,0)</f>
        <v>0</v>
      </c>
      <c r="AC3889" s="46" t="n">
        <f aca="false">IF(AND(E3889&gt;0,B3889=10),1,0)</f>
        <v>0</v>
      </c>
      <c r="AD3889" s="0" t="str">
        <f aca="false">IF(AND(C3888=C3889,AA3888=AA3889-1),AB3888,"")</f>
        <v/>
      </c>
      <c r="AE3889" s="0" t="str">
        <f aca="false">IF(AND(C3888=C3889,AA3888=AA3889-1),AC3888,"")</f>
        <v/>
      </c>
      <c r="AF3889" s="0" t="str">
        <f aca="false">IF(AA3889=1,"",IF(AND(AB3889=1,AD3889&lt;&gt;1),1,0))</f>
        <v/>
      </c>
      <c r="AG3889" s="0" t="str">
        <f aca="false">IF(AA3889=1,"",IF(AND(AC3889=1,AE3889&lt;&gt;1),1,0))</f>
        <v/>
      </c>
      <c r="AH3889" s="51" t="str">
        <f aca="false">IF(AND(E3889&gt;0,AA3889&lt;1,NOT(AND(C3890=C3889,AA3890=AA3889+1))),INDEX(DATAS,AA3889+1),"")</f>
        <v/>
      </c>
      <c r="AI3889" s="51" t="str">
        <f aca="false">IF(AND(AC3889=1,AA3889&lt;1),IF(AND(C3890=C3889,AA3890=AA3889+1),IF(AC3890=1,"",INDEX(DATAS,AA3889+1)),INDEX(DATAS,AA3889+1)),"")</f>
        <v/>
      </c>
    </row>
    <row r="3890" customFormat="false" ht="15" hidden="false" customHeight="false" outlineLevel="0" collapsed="false">
      <c r="A3890" s="51" t="n">
        <v>46309</v>
      </c>
      <c r="B3890" s="0" t="n">
        <v>15</v>
      </c>
      <c r="C3890" s="0" t="n">
        <v>30790</v>
      </c>
      <c r="E3890" s="0" t="n">
        <v>0</v>
      </c>
      <c r="F3890" s="46" t="s">
        <v>1704</v>
      </c>
      <c r="I3890" s="46" t="s">
        <v>150</v>
      </c>
      <c r="U3890" s="0" t="n">
        <v>124</v>
      </c>
      <c r="V3890" s="0" t="n">
        <v>0</v>
      </c>
      <c r="X3890" s="46" t="n">
        <f aca="false">IF(I3890="Male",0,1)</f>
        <v>0</v>
      </c>
      <c r="Y3890" s="46" t="n">
        <f aca="false">IF(OR(I3890="DNB",I3890="Dry DNB"),1,0)</f>
        <v>0</v>
      </c>
      <c r="Z3890" s="0" t="str">
        <f aca="false">IF(ISNUMBER(W3890),A3890-W3890,"")</f>
        <v/>
      </c>
      <c r="AA3890" s="46" t="n">
        <f aca="false">MATCH(A3890,DATAS,0)</f>
        <v>1</v>
      </c>
      <c r="AB3890" s="46" t="n">
        <f aca="false">IF(AND(E3890&gt;0,OR(AND(B3890&gt;=1,B3890&lt;=6),B3890=10)),1,0)</f>
        <v>0</v>
      </c>
      <c r="AC3890" s="46" t="n">
        <f aca="false">IF(AND(E3890&gt;0,B3890=10),1,0)</f>
        <v>0</v>
      </c>
      <c r="AD3890" s="0" t="str">
        <f aca="false">IF(AND(C3889=C3890,AA3889=AA3890-1),AB3889,"")</f>
        <v/>
      </c>
      <c r="AE3890" s="0" t="str">
        <f aca="false">IF(AND(C3889=C3890,AA3889=AA3890-1),AC3889,"")</f>
        <v/>
      </c>
      <c r="AF3890" s="0" t="str">
        <f aca="false">IF(AA3890=1,"",IF(AND(AB3890=1,AD3890&lt;&gt;1),1,0))</f>
        <v/>
      </c>
      <c r="AG3890" s="0" t="str">
        <f aca="false">IF(AA3890=1,"",IF(AND(AC3890=1,AE3890&lt;&gt;1),1,0))</f>
        <v/>
      </c>
      <c r="AH3890" s="51" t="str">
        <f aca="false">IF(AND(E3890&gt;0,AA3890&lt;1,NOT(AND(C3891=C3890,AA3891=AA3890+1))),INDEX(DATAS,AA3890+1),"")</f>
        <v/>
      </c>
      <c r="AI3890" s="51" t="str">
        <f aca="false">IF(AND(AC3890=1,AA3890&lt;1),IF(AND(C3891=C3890,AA3891=AA3890+1),IF(AC3891=1,"",INDEX(DATAS,AA3890+1)),INDEX(DATAS,AA3890+1)),"")</f>
        <v/>
      </c>
    </row>
    <row r="3891" customFormat="false" ht="15" hidden="false" customHeight="false" outlineLevel="0" collapsed="false">
      <c r="A3891" s="51" t="n">
        <v>46309</v>
      </c>
      <c r="B3891" s="0" t="n">
        <v>15</v>
      </c>
      <c r="C3891" s="0" t="n">
        <v>30791</v>
      </c>
      <c r="E3891" s="0" t="n">
        <v>0</v>
      </c>
      <c r="F3891" s="46" t="s">
        <v>1704</v>
      </c>
      <c r="I3891" s="46" t="s">
        <v>150</v>
      </c>
      <c r="U3891" s="0" t="n">
        <v>124</v>
      </c>
      <c r="V3891" s="0" t="n">
        <v>0</v>
      </c>
      <c r="X3891" s="46" t="n">
        <f aca="false">IF(I3891="Male",0,1)</f>
        <v>0</v>
      </c>
      <c r="Y3891" s="46" t="n">
        <f aca="false">IF(OR(I3891="DNB",I3891="Dry DNB"),1,0)</f>
        <v>0</v>
      </c>
      <c r="Z3891" s="0" t="str">
        <f aca="false">IF(ISNUMBER(W3891),A3891-W3891,"")</f>
        <v/>
      </c>
      <c r="AA3891" s="46" t="n">
        <f aca="false">MATCH(A3891,DATAS,0)</f>
        <v>1</v>
      </c>
      <c r="AB3891" s="46" t="n">
        <f aca="false">IF(AND(E3891&gt;0,OR(AND(B3891&gt;=1,B3891&lt;=6),B3891=10)),1,0)</f>
        <v>0</v>
      </c>
      <c r="AC3891" s="46" t="n">
        <f aca="false">IF(AND(E3891&gt;0,B3891=10),1,0)</f>
        <v>0</v>
      </c>
      <c r="AD3891" s="0" t="str">
        <f aca="false">IF(AND(C3890=C3891,AA3890=AA3891-1),AB3890,"")</f>
        <v/>
      </c>
      <c r="AE3891" s="0" t="str">
        <f aca="false">IF(AND(C3890=C3891,AA3890=AA3891-1),AC3890,"")</f>
        <v/>
      </c>
      <c r="AF3891" s="0" t="str">
        <f aca="false">IF(AA3891=1,"",IF(AND(AB3891=1,AD3891&lt;&gt;1),1,0))</f>
        <v/>
      </c>
      <c r="AG3891" s="0" t="str">
        <f aca="false">IF(AA3891=1,"",IF(AND(AC3891=1,AE3891&lt;&gt;1),1,0))</f>
        <v/>
      </c>
      <c r="AH3891" s="51" t="str">
        <f aca="false">IF(AND(E3891&gt;0,AA3891&lt;1,NOT(AND(C3892=C3891,AA3892=AA3891+1))),INDEX(DATAS,AA3891+1),"")</f>
        <v/>
      </c>
      <c r="AI3891" s="51" t="str">
        <f aca="false">IF(AND(AC3891=1,AA3891&lt;1),IF(AND(C3892=C3891,AA3892=AA3891+1),IF(AC3892=1,"",INDEX(DATAS,AA3891+1)),INDEX(DATAS,AA3891+1)),"")</f>
        <v/>
      </c>
    </row>
    <row r="3892" customFormat="false" ht="15" hidden="false" customHeight="false" outlineLevel="0" collapsed="false">
      <c r="A3892" s="51" t="n">
        <v>46309</v>
      </c>
      <c r="B3892" s="0" t="n">
        <v>15</v>
      </c>
      <c r="C3892" s="0" t="n">
        <v>30797</v>
      </c>
      <c r="E3892" s="0" t="n">
        <v>0</v>
      </c>
      <c r="F3892" s="46" t="s">
        <v>1586</v>
      </c>
      <c r="I3892" s="46" t="s">
        <v>150</v>
      </c>
      <c r="U3892" s="0" t="n">
        <v>121</v>
      </c>
      <c r="V3892" s="0" t="n">
        <v>0</v>
      </c>
      <c r="X3892" s="46" t="n">
        <f aca="false">IF(I3892="Male",0,1)</f>
        <v>0</v>
      </c>
      <c r="Y3892" s="46" t="n">
        <f aca="false">IF(OR(I3892="DNB",I3892="Dry DNB"),1,0)</f>
        <v>0</v>
      </c>
      <c r="Z3892" s="0" t="str">
        <f aca="false">IF(ISNUMBER(W3892),A3892-W3892,"")</f>
        <v/>
      </c>
      <c r="AA3892" s="46" t="n">
        <f aca="false">MATCH(A3892,DATAS,0)</f>
        <v>1</v>
      </c>
      <c r="AB3892" s="46" t="n">
        <f aca="false">IF(AND(E3892&gt;0,OR(AND(B3892&gt;=1,B3892&lt;=6),B3892=10)),1,0)</f>
        <v>0</v>
      </c>
      <c r="AC3892" s="46" t="n">
        <f aca="false">IF(AND(E3892&gt;0,B3892=10),1,0)</f>
        <v>0</v>
      </c>
      <c r="AD3892" s="0" t="str">
        <f aca="false">IF(AND(C3891=C3892,AA3891=AA3892-1),AB3891,"")</f>
        <v/>
      </c>
      <c r="AE3892" s="0" t="str">
        <f aca="false">IF(AND(C3891=C3892,AA3891=AA3892-1),AC3891,"")</f>
        <v/>
      </c>
      <c r="AF3892" s="0" t="str">
        <f aca="false">IF(AA3892=1,"",IF(AND(AB3892=1,AD3892&lt;&gt;1),1,0))</f>
        <v/>
      </c>
      <c r="AG3892" s="0" t="str">
        <f aca="false">IF(AA3892=1,"",IF(AND(AC3892=1,AE3892&lt;&gt;1),1,0))</f>
        <v/>
      </c>
      <c r="AH3892" s="51" t="str">
        <f aca="false">IF(AND(E3892&gt;0,AA3892&lt;1,NOT(AND(C3893=C3892,AA3893=AA3892+1))),INDEX(DATAS,AA3892+1),"")</f>
        <v/>
      </c>
      <c r="AI3892" s="51" t="str">
        <f aca="false">IF(AND(AC3892=1,AA3892&lt;1),IF(AND(C3893=C3892,AA3893=AA3892+1),IF(AC3893=1,"",INDEX(DATAS,AA3892+1)),INDEX(DATAS,AA3892+1)),"")</f>
        <v/>
      </c>
    </row>
    <row r="3893" customFormat="false" ht="15" hidden="false" customHeight="false" outlineLevel="0" collapsed="false">
      <c r="A3893" s="51" t="n">
        <v>46309</v>
      </c>
      <c r="B3893" s="0" t="n">
        <v>15</v>
      </c>
      <c r="C3893" s="0" t="n">
        <v>30798</v>
      </c>
      <c r="E3893" s="0" t="n">
        <v>0</v>
      </c>
      <c r="F3893" s="46" t="s">
        <v>1586</v>
      </c>
      <c r="I3893" s="46" t="s">
        <v>150</v>
      </c>
      <c r="U3893" s="0" t="n">
        <v>121</v>
      </c>
      <c r="V3893" s="0" t="n">
        <v>0</v>
      </c>
      <c r="X3893" s="46" t="n">
        <f aca="false">IF(I3893="Male",0,1)</f>
        <v>0</v>
      </c>
      <c r="Y3893" s="46" t="n">
        <f aca="false">IF(OR(I3893="DNB",I3893="Dry DNB"),1,0)</f>
        <v>0</v>
      </c>
      <c r="Z3893" s="0" t="str">
        <f aca="false">IF(ISNUMBER(W3893),A3893-W3893,"")</f>
        <v/>
      </c>
      <c r="AA3893" s="46" t="n">
        <f aca="false">MATCH(A3893,DATAS,0)</f>
        <v>1</v>
      </c>
      <c r="AB3893" s="46" t="n">
        <f aca="false">IF(AND(E3893&gt;0,OR(AND(B3893&gt;=1,B3893&lt;=6),B3893=10)),1,0)</f>
        <v>0</v>
      </c>
      <c r="AC3893" s="46" t="n">
        <f aca="false">IF(AND(E3893&gt;0,B3893=10),1,0)</f>
        <v>0</v>
      </c>
      <c r="AD3893" s="0" t="str">
        <f aca="false">IF(AND(C3892=C3893,AA3892=AA3893-1),AB3892,"")</f>
        <v/>
      </c>
      <c r="AE3893" s="0" t="str">
        <f aca="false">IF(AND(C3892=C3893,AA3892=AA3893-1),AC3892,"")</f>
        <v/>
      </c>
      <c r="AF3893" s="0" t="str">
        <f aca="false">IF(AA3893=1,"",IF(AND(AB3893=1,AD3893&lt;&gt;1),1,0))</f>
        <v/>
      </c>
      <c r="AG3893" s="0" t="str">
        <f aca="false">IF(AA3893=1,"",IF(AND(AC3893=1,AE3893&lt;&gt;1),1,0))</f>
        <v/>
      </c>
      <c r="AH3893" s="51" t="str">
        <f aca="false">IF(AND(E3893&gt;0,AA3893&lt;1,NOT(AND(C3894=C3893,AA3894=AA3893+1))),INDEX(DATAS,AA3893+1),"")</f>
        <v/>
      </c>
      <c r="AI3893" s="51" t="str">
        <f aca="false">IF(AND(AC3893=1,AA3893&lt;1),IF(AND(C3894=C3893,AA3894=AA3893+1),IF(AC3894=1,"",INDEX(DATAS,AA3893+1)),INDEX(DATAS,AA3893+1)),"")</f>
        <v/>
      </c>
    </row>
    <row r="3894" customFormat="false" ht="15" hidden="false" customHeight="false" outlineLevel="0" collapsed="false">
      <c r="A3894" s="51" t="n">
        <v>46309</v>
      </c>
      <c r="B3894" s="0" t="n">
        <v>15</v>
      </c>
      <c r="C3894" s="0" t="n">
        <v>30801</v>
      </c>
      <c r="E3894" s="0" t="n">
        <v>0</v>
      </c>
      <c r="F3894" s="46" t="s">
        <v>1589</v>
      </c>
      <c r="I3894" s="46" t="s">
        <v>150</v>
      </c>
      <c r="U3894" s="0" t="n">
        <v>119</v>
      </c>
      <c r="V3894" s="0" t="n">
        <v>0</v>
      </c>
      <c r="X3894" s="46" t="n">
        <f aca="false">IF(I3894="Male",0,1)</f>
        <v>0</v>
      </c>
      <c r="Y3894" s="46" t="n">
        <f aca="false">IF(OR(I3894="DNB",I3894="Dry DNB"),1,0)</f>
        <v>0</v>
      </c>
      <c r="Z3894" s="0" t="str">
        <f aca="false">IF(ISNUMBER(W3894),A3894-W3894,"")</f>
        <v/>
      </c>
      <c r="AA3894" s="46" t="n">
        <f aca="false">MATCH(A3894,DATAS,0)</f>
        <v>1</v>
      </c>
      <c r="AB3894" s="46" t="n">
        <f aca="false">IF(AND(E3894&gt;0,OR(AND(B3894&gt;=1,B3894&lt;=6),B3894=10)),1,0)</f>
        <v>0</v>
      </c>
      <c r="AC3894" s="46" t="n">
        <f aca="false">IF(AND(E3894&gt;0,B3894=10),1,0)</f>
        <v>0</v>
      </c>
      <c r="AD3894" s="0" t="str">
        <f aca="false">IF(AND(C3893=C3894,AA3893=AA3894-1),AB3893,"")</f>
        <v/>
      </c>
      <c r="AE3894" s="0" t="str">
        <f aca="false">IF(AND(C3893=C3894,AA3893=AA3894-1),AC3893,"")</f>
        <v/>
      </c>
      <c r="AF3894" s="0" t="str">
        <f aca="false">IF(AA3894=1,"",IF(AND(AB3894=1,AD3894&lt;&gt;1),1,0))</f>
        <v/>
      </c>
      <c r="AG3894" s="0" t="str">
        <f aca="false">IF(AA3894=1,"",IF(AND(AC3894=1,AE3894&lt;&gt;1),1,0))</f>
        <v/>
      </c>
      <c r="AH3894" s="51" t="str">
        <f aca="false">IF(AND(E3894&gt;0,AA3894&lt;1,NOT(AND(C3895=C3894,AA3895=AA3894+1))),INDEX(DATAS,AA3894+1),"")</f>
        <v/>
      </c>
      <c r="AI3894" s="51" t="str">
        <f aca="false">IF(AND(AC3894=1,AA3894&lt;1),IF(AND(C3895=C3894,AA3895=AA3894+1),IF(AC3895=1,"",INDEX(DATAS,AA3894+1)),INDEX(DATAS,AA3894+1)),"")</f>
        <v/>
      </c>
    </row>
    <row r="3895" customFormat="false" ht="15" hidden="false" customHeight="false" outlineLevel="0" collapsed="false">
      <c r="A3895" s="51" t="n">
        <v>46309</v>
      </c>
      <c r="B3895" s="0" t="n">
        <v>15</v>
      </c>
      <c r="C3895" s="0" t="n">
        <v>30803</v>
      </c>
      <c r="E3895" s="0" t="n">
        <v>0</v>
      </c>
      <c r="F3895" s="46" t="s">
        <v>1591</v>
      </c>
      <c r="I3895" s="46" t="s">
        <v>150</v>
      </c>
      <c r="U3895" s="0" t="n">
        <v>117</v>
      </c>
      <c r="V3895" s="0" t="n">
        <v>0</v>
      </c>
      <c r="X3895" s="46" t="n">
        <f aca="false">IF(I3895="Male",0,1)</f>
        <v>0</v>
      </c>
      <c r="Y3895" s="46" t="n">
        <f aca="false">IF(OR(I3895="DNB",I3895="Dry DNB"),1,0)</f>
        <v>0</v>
      </c>
      <c r="Z3895" s="0" t="str">
        <f aca="false">IF(ISNUMBER(W3895),A3895-W3895,"")</f>
        <v/>
      </c>
      <c r="AA3895" s="46" t="n">
        <f aca="false">MATCH(A3895,DATAS,0)</f>
        <v>1</v>
      </c>
      <c r="AB3895" s="46" t="n">
        <f aca="false">IF(AND(E3895&gt;0,OR(AND(B3895&gt;=1,B3895&lt;=6),B3895=10)),1,0)</f>
        <v>0</v>
      </c>
      <c r="AC3895" s="46" t="n">
        <f aca="false">IF(AND(E3895&gt;0,B3895=10),1,0)</f>
        <v>0</v>
      </c>
      <c r="AD3895" s="0" t="str">
        <f aca="false">IF(AND(C3894=C3895,AA3894=AA3895-1),AB3894,"")</f>
        <v/>
      </c>
      <c r="AE3895" s="0" t="str">
        <f aca="false">IF(AND(C3894=C3895,AA3894=AA3895-1),AC3894,"")</f>
        <v/>
      </c>
      <c r="AF3895" s="0" t="str">
        <f aca="false">IF(AA3895=1,"",IF(AND(AB3895=1,AD3895&lt;&gt;1),1,0))</f>
        <v/>
      </c>
      <c r="AG3895" s="0" t="str">
        <f aca="false">IF(AA3895=1,"",IF(AND(AC3895=1,AE3895&lt;&gt;1),1,0))</f>
        <v/>
      </c>
      <c r="AH3895" s="51" t="str">
        <f aca="false">IF(AND(E3895&gt;0,AA3895&lt;1,NOT(AND(C3896=C3895,AA3896=AA3895+1))),INDEX(DATAS,AA3895+1),"")</f>
        <v/>
      </c>
      <c r="AI3895" s="51" t="str">
        <f aca="false">IF(AND(AC3895=1,AA3895&lt;1),IF(AND(C3896=C3895,AA3896=AA3895+1),IF(AC3896=1,"",INDEX(DATAS,AA3895+1)),INDEX(DATAS,AA3895+1)),"")</f>
        <v/>
      </c>
    </row>
    <row r="3896" customFormat="false" ht="15" hidden="false" customHeight="false" outlineLevel="0" collapsed="false">
      <c r="A3896" s="51" t="n">
        <v>46309</v>
      </c>
      <c r="B3896" s="0" t="n">
        <v>15</v>
      </c>
      <c r="C3896" s="0" t="n">
        <v>30805</v>
      </c>
      <c r="E3896" s="0" t="n">
        <v>0</v>
      </c>
      <c r="F3896" s="46" t="s">
        <v>1592</v>
      </c>
      <c r="I3896" s="46" t="s">
        <v>150</v>
      </c>
      <c r="U3896" s="0" t="n">
        <v>116</v>
      </c>
      <c r="V3896" s="0" t="n">
        <v>0</v>
      </c>
      <c r="X3896" s="46" t="n">
        <f aca="false">IF(I3896="Male",0,1)</f>
        <v>0</v>
      </c>
      <c r="Y3896" s="46" t="n">
        <f aca="false">IF(OR(I3896="DNB",I3896="Dry DNB"),1,0)</f>
        <v>0</v>
      </c>
      <c r="Z3896" s="0" t="str">
        <f aca="false">IF(ISNUMBER(W3896),A3896-W3896,"")</f>
        <v/>
      </c>
      <c r="AA3896" s="46" t="n">
        <f aca="false">MATCH(A3896,DATAS,0)</f>
        <v>1</v>
      </c>
      <c r="AB3896" s="46" t="n">
        <f aca="false">IF(AND(E3896&gt;0,OR(AND(B3896&gt;=1,B3896&lt;=6),B3896=10)),1,0)</f>
        <v>0</v>
      </c>
      <c r="AC3896" s="46" t="n">
        <f aca="false">IF(AND(E3896&gt;0,B3896=10),1,0)</f>
        <v>0</v>
      </c>
      <c r="AD3896" s="0" t="str">
        <f aca="false">IF(AND(C3895=C3896,AA3895=AA3896-1),AB3895,"")</f>
        <v/>
      </c>
      <c r="AE3896" s="0" t="str">
        <f aca="false">IF(AND(C3895=C3896,AA3895=AA3896-1),AC3895,"")</f>
        <v/>
      </c>
      <c r="AF3896" s="0" t="str">
        <f aca="false">IF(AA3896=1,"",IF(AND(AB3896=1,AD3896&lt;&gt;1),1,0))</f>
        <v/>
      </c>
      <c r="AG3896" s="0" t="str">
        <f aca="false">IF(AA3896=1,"",IF(AND(AC3896=1,AE3896&lt;&gt;1),1,0))</f>
        <v/>
      </c>
      <c r="AH3896" s="51" t="str">
        <f aca="false">IF(AND(E3896&gt;0,AA3896&lt;1,NOT(AND(C3897=C3896,AA3897=AA3896+1))),INDEX(DATAS,AA3896+1),"")</f>
        <v/>
      </c>
      <c r="AI3896" s="51" t="str">
        <f aca="false">IF(AND(AC3896=1,AA3896&lt;1),IF(AND(C3897=C3896,AA3897=AA3896+1),IF(AC3897=1,"",INDEX(DATAS,AA3896+1)),INDEX(DATAS,AA3896+1)),"")</f>
        <v/>
      </c>
    </row>
    <row r="3897" customFormat="false" ht="15" hidden="false" customHeight="false" outlineLevel="0" collapsed="false">
      <c r="A3897" s="51" t="n">
        <v>46309</v>
      </c>
      <c r="B3897" s="0" t="n">
        <v>15</v>
      </c>
      <c r="C3897" s="0" t="n">
        <v>30809</v>
      </c>
      <c r="E3897" s="0" t="n">
        <v>0</v>
      </c>
      <c r="F3897" s="46" t="s">
        <v>1705</v>
      </c>
      <c r="I3897" s="46" t="s">
        <v>150</v>
      </c>
      <c r="U3897" s="0" t="n">
        <v>115</v>
      </c>
      <c r="V3897" s="0" t="n">
        <v>0</v>
      </c>
      <c r="X3897" s="46" t="n">
        <f aca="false">IF(I3897="Male",0,1)</f>
        <v>0</v>
      </c>
      <c r="Y3897" s="46" t="n">
        <f aca="false">IF(OR(I3897="DNB",I3897="Dry DNB"),1,0)</f>
        <v>0</v>
      </c>
      <c r="Z3897" s="0" t="str">
        <f aca="false">IF(ISNUMBER(W3897),A3897-W3897,"")</f>
        <v/>
      </c>
      <c r="AA3897" s="46" t="n">
        <f aca="false">MATCH(A3897,DATAS,0)</f>
        <v>1</v>
      </c>
      <c r="AB3897" s="46" t="n">
        <f aca="false">IF(AND(E3897&gt;0,OR(AND(B3897&gt;=1,B3897&lt;=6),B3897=10)),1,0)</f>
        <v>0</v>
      </c>
      <c r="AC3897" s="46" t="n">
        <f aca="false">IF(AND(E3897&gt;0,B3897=10),1,0)</f>
        <v>0</v>
      </c>
      <c r="AD3897" s="0" t="str">
        <f aca="false">IF(AND(C3896=C3897,AA3896=AA3897-1),AB3896,"")</f>
        <v/>
      </c>
      <c r="AE3897" s="0" t="str">
        <f aca="false">IF(AND(C3896=C3897,AA3896=AA3897-1),AC3896,"")</f>
        <v/>
      </c>
      <c r="AF3897" s="0" t="str">
        <f aca="false">IF(AA3897=1,"",IF(AND(AB3897=1,AD3897&lt;&gt;1),1,0))</f>
        <v/>
      </c>
      <c r="AG3897" s="0" t="str">
        <f aca="false">IF(AA3897=1,"",IF(AND(AC3897=1,AE3897&lt;&gt;1),1,0))</f>
        <v/>
      </c>
      <c r="AH3897" s="51" t="str">
        <f aca="false">IF(AND(E3897&gt;0,AA3897&lt;1,NOT(AND(C3898=C3897,AA3898=AA3897+1))),INDEX(DATAS,AA3897+1),"")</f>
        <v/>
      </c>
      <c r="AI3897" s="51" t="str">
        <f aca="false">IF(AND(AC3897=1,AA3897&lt;1),IF(AND(C3898=C3897,AA3898=AA3897+1),IF(AC3898=1,"",INDEX(DATAS,AA3897+1)),INDEX(DATAS,AA3897+1)),"")</f>
        <v/>
      </c>
    </row>
    <row r="3898" customFormat="false" ht="15" hidden="false" customHeight="false" outlineLevel="0" collapsed="false">
      <c r="A3898" s="51" t="n">
        <v>46309</v>
      </c>
      <c r="B3898" s="0" t="n">
        <v>15</v>
      </c>
      <c r="C3898" s="0" t="n">
        <v>30810</v>
      </c>
      <c r="E3898" s="0" t="n">
        <v>0</v>
      </c>
      <c r="F3898" s="46" t="s">
        <v>1593</v>
      </c>
      <c r="I3898" s="46" t="s">
        <v>150</v>
      </c>
      <c r="U3898" s="0" t="n">
        <v>113</v>
      </c>
      <c r="V3898" s="0" t="n">
        <v>0</v>
      </c>
      <c r="X3898" s="46" t="n">
        <f aca="false">IF(I3898="Male",0,1)</f>
        <v>0</v>
      </c>
      <c r="Y3898" s="46" t="n">
        <f aca="false">IF(OR(I3898="DNB",I3898="Dry DNB"),1,0)</f>
        <v>0</v>
      </c>
      <c r="Z3898" s="0" t="str">
        <f aca="false">IF(ISNUMBER(W3898),A3898-W3898,"")</f>
        <v/>
      </c>
      <c r="AA3898" s="46" t="n">
        <f aca="false">MATCH(A3898,DATAS,0)</f>
        <v>1</v>
      </c>
      <c r="AB3898" s="46" t="n">
        <f aca="false">IF(AND(E3898&gt;0,OR(AND(B3898&gt;=1,B3898&lt;=6),B3898=10)),1,0)</f>
        <v>0</v>
      </c>
      <c r="AC3898" s="46" t="n">
        <f aca="false">IF(AND(E3898&gt;0,B3898=10),1,0)</f>
        <v>0</v>
      </c>
      <c r="AD3898" s="0" t="str">
        <f aca="false">IF(AND(C3897=C3898,AA3897=AA3898-1),AB3897,"")</f>
        <v/>
      </c>
      <c r="AE3898" s="0" t="str">
        <f aca="false">IF(AND(C3897=C3898,AA3897=AA3898-1),AC3897,"")</f>
        <v/>
      </c>
      <c r="AF3898" s="0" t="str">
        <f aca="false">IF(AA3898=1,"",IF(AND(AB3898=1,AD3898&lt;&gt;1),1,0))</f>
        <v/>
      </c>
      <c r="AG3898" s="0" t="str">
        <f aca="false">IF(AA3898=1,"",IF(AND(AC3898=1,AE3898&lt;&gt;1),1,0))</f>
        <v/>
      </c>
      <c r="AH3898" s="51" t="str">
        <f aca="false">IF(AND(E3898&gt;0,AA3898&lt;1,NOT(AND(C3899=C3898,AA3899=AA3898+1))),INDEX(DATAS,AA3898+1),"")</f>
        <v/>
      </c>
      <c r="AI3898" s="51" t="str">
        <f aca="false">IF(AND(AC3898=1,AA3898&lt;1),IF(AND(C3899=C3898,AA3899=AA3898+1),IF(AC3899=1,"",INDEX(DATAS,AA3898+1)),INDEX(DATAS,AA3898+1)),"")</f>
        <v/>
      </c>
    </row>
    <row r="3899" customFormat="false" ht="15" hidden="false" customHeight="false" outlineLevel="0" collapsed="false">
      <c r="A3899" s="51" t="n">
        <v>46309</v>
      </c>
      <c r="B3899" s="0" t="n">
        <v>15</v>
      </c>
      <c r="C3899" s="0" t="n">
        <v>30815</v>
      </c>
      <c r="E3899" s="0" t="n">
        <v>0</v>
      </c>
      <c r="F3899" s="46" t="s">
        <v>1595</v>
      </c>
      <c r="I3899" s="46" t="s">
        <v>150</v>
      </c>
      <c r="U3899" s="0" t="n">
        <v>111</v>
      </c>
      <c r="V3899" s="0" t="n">
        <v>0</v>
      </c>
      <c r="X3899" s="46" t="n">
        <f aca="false">IF(I3899="Male",0,1)</f>
        <v>0</v>
      </c>
      <c r="Y3899" s="46" t="n">
        <f aca="false">IF(OR(I3899="DNB",I3899="Dry DNB"),1,0)</f>
        <v>0</v>
      </c>
      <c r="Z3899" s="0" t="str">
        <f aca="false">IF(ISNUMBER(W3899),A3899-W3899,"")</f>
        <v/>
      </c>
      <c r="AA3899" s="46" t="n">
        <f aca="false">MATCH(A3899,DATAS,0)</f>
        <v>1</v>
      </c>
      <c r="AB3899" s="46" t="n">
        <f aca="false">IF(AND(E3899&gt;0,OR(AND(B3899&gt;=1,B3899&lt;=6),B3899=10)),1,0)</f>
        <v>0</v>
      </c>
      <c r="AC3899" s="46" t="n">
        <f aca="false">IF(AND(E3899&gt;0,B3899=10),1,0)</f>
        <v>0</v>
      </c>
      <c r="AD3899" s="0" t="str">
        <f aca="false">IF(AND(C3898=C3899,AA3898=AA3899-1),AB3898,"")</f>
        <v/>
      </c>
      <c r="AE3899" s="0" t="str">
        <f aca="false">IF(AND(C3898=C3899,AA3898=AA3899-1),AC3898,"")</f>
        <v/>
      </c>
      <c r="AF3899" s="0" t="str">
        <f aca="false">IF(AA3899=1,"",IF(AND(AB3899=1,AD3899&lt;&gt;1),1,0))</f>
        <v/>
      </c>
      <c r="AG3899" s="0" t="str">
        <f aca="false">IF(AA3899=1,"",IF(AND(AC3899=1,AE3899&lt;&gt;1),1,0))</f>
        <v/>
      </c>
      <c r="AH3899" s="51" t="str">
        <f aca="false">IF(AND(E3899&gt;0,AA3899&lt;1,NOT(AND(C3900=C3899,AA3900=AA3899+1))),INDEX(DATAS,AA3899+1),"")</f>
        <v/>
      </c>
      <c r="AI3899" s="51" t="str">
        <f aca="false">IF(AND(AC3899=1,AA3899&lt;1),IF(AND(C3900=C3899,AA3900=AA3899+1),IF(AC3900=1,"",INDEX(DATAS,AA3899+1)),INDEX(DATAS,AA3899+1)),"")</f>
        <v/>
      </c>
    </row>
    <row r="3900" customFormat="false" ht="15" hidden="false" customHeight="false" outlineLevel="0" collapsed="false">
      <c r="A3900" s="51" t="n">
        <v>46309</v>
      </c>
      <c r="B3900" s="0" t="n">
        <v>15</v>
      </c>
      <c r="C3900" s="0" t="n">
        <v>30818</v>
      </c>
      <c r="E3900" s="0" t="n">
        <v>0</v>
      </c>
      <c r="F3900" s="46" t="s">
        <v>1597</v>
      </c>
      <c r="I3900" s="46" t="s">
        <v>150</v>
      </c>
      <c r="U3900" s="0" t="n">
        <v>109</v>
      </c>
      <c r="V3900" s="0" t="n">
        <v>0</v>
      </c>
      <c r="X3900" s="46" t="n">
        <f aca="false">IF(I3900="Male",0,1)</f>
        <v>0</v>
      </c>
      <c r="Y3900" s="46" t="n">
        <f aca="false">IF(OR(I3900="DNB",I3900="Dry DNB"),1,0)</f>
        <v>0</v>
      </c>
      <c r="Z3900" s="0" t="str">
        <f aca="false">IF(ISNUMBER(W3900),A3900-W3900,"")</f>
        <v/>
      </c>
      <c r="AA3900" s="46" t="n">
        <f aca="false">MATCH(A3900,DATAS,0)</f>
        <v>1</v>
      </c>
      <c r="AB3900" s="46" t="n">
        <f aca="false">IF(AND(E3900&gt;0,OR(AND(B3900&gt;=1,B3900&lt;=6),B3900=10)),1,0)</f>
        <v>0</v>
      </c>
      <c r="AC3900" s="46" t="n">
        <f aca="false">IF(AND(E3900&gt;0,B3900=10),1,0)</f>
        <v>0</v>
      </c>
      <c r="AD3900" s="0" t="str">
        <f aca="false">IF(AND(C3899=C3900,AA3899=AA3900-1),AB3899,"")</f>
        <v/>
      </c>
      <c r="AE3900" s="0" t="str">
        <f aca="false">IF(AND(C3899=C3900,AA3899=AA3900-1),AC3899,"")</f>
        <v/>
      </c>
      <c r="AF3900" s="0" t="str">
        <f aca="false">IF(AA3900=1,"",IF(AND(AB3900=1,AD3900&lt;&gt;1),1,0))</f>
        <v/>
      </c>
      <c r="AG3900" s="0" t="str">
        <f aca="false">IF(AA3900=1,"",IF(AND(AC3900=1,AE3900&lt;&gt;1),1,0))</f>
        <v/>
      </c>
      <c r="AH3900" s="51" t="str">
        <f aca="false">IF(AND(E3900&gt;0,AA3900&lt;1,NOT(AND(C3901=C3900,AA3901=AA3900+1))),INDEX(DATAS,AA3900+1),"")</f>
        <v/>
      </c>
      <c r="AI3900" s="51" t="str">
        <f aca="false">IF(AND(AC3900=1,AA3900&lt;1),IF(AND(C3901=C3900,AA3901=AA3900+1),IF(AC3901=1,"",INDEX(DATAS,AA3900+1)),INDEX(DATAS,AA3900+1)),"")</f>
        <v/>
      </c>
    </row>
    <row r="3901" customFormat="false" ht="15" hidden="false" customHeight="false" outlineLevel="0" collapsed="false">
      <c r="A3901" s="51" t="n">
        <v>46309</v>
      </c>
      <c r="B3901" s="0" t="n">
        <v>15</v>
      </c>
      <c r="C3901" s="0" t="n">
        <v>30819</v>
      </c>
      <c r="E3901" s="0" t="n">
        <v>0</v>
      </c>
      <c r="F3901" s="46" t="s">
        <v>1597</v>
      </c>
      <c r="I3901" s="46" t="s">
        <v>150</v>
      </c>
      <c r="U3901" s="0" t="n">
        <v>109</v>
      </c>
      <c r="V3901" s="0" t="n">
        <v>0</v>
      </c>
      <c r="X3901" s="46" t="n">
        <f aca="false">IF(I3901="Male",0,1)</f>
        <v>0</v>
      </c>
      <c r="Y3901" s="46" t="n">
        <f aca="false">IF(OR(I3901="DNB",I3901="Dry DNB"),1,0)</f>
        <v>0</v>
      </c>
      <c r="Z3901" s="0" t="str">
        <f aca="false">IF(ISNUMBER(W3901),A3901-W3901,"")</f>
        <v/>
      </c>
      <c r="AA3901" s="46" t="n">
        <f aca="false">MATCH(A3901,DATAS,0)</f>
        <v>1</v>
      </c>
      <c r="AB3901" s="46" t="n">
        <f aca="false">IF(AND(E3901&gt;0,OR(AND(B3901&gt;=1,B3901&lt;=6),B3901=10)),1,0)</f>
        <v>0</v>
      </c>
      <c r="AC3901" s="46" t="n">
        <f aca="false">IF(AND(E3901&gt;0,B3901=10),1,0)</f>
        <v>0</v>
      </c>
      <c r="AD3901" s="0" t="str">
        <f aca="false">IF(AND(C3900=C3901,AA3900=AA3901-1),AB3900,"")</f>
        <v/>
      </c>
      <c r="AE3901" s="0" t="str">
        <f aca="false">IF(AND(C3900=C3901,AA3900=AA3901-1),AC3900,"")</f>
        <v/>
      </c>
      <c r="AF3901" s="0" t="str">
        <f aca="false">IF(AA3901=1,"",IF(AND(AB3901=1,AD3901&lt;&gt;1),1,0))</f>
        <v/>
      </c>
      <c r="AG3901" s="0" t="str">
        <f aca="false">IF(AA3901=1,"",IF(AND(AC3901=1,AE3901&lt;&gt;1),1,0))</f>
        <v/>
      </c>
      <c r="AH3901" s="51" t="str">
        <f aca="false">IF(AND(E3901&gt;0,AA3901&lt;1,NOT(AND(C3902=C3901,AA3902=AA3901+1))),INDEX(DATAS,AA3901+1),"")</f>
        <v/>
      </c>
      <c r="AI3901" s="51" t="str">
        <f aca="false">IF(AND(AC3901=1,AA3901&lt;1),IF(AND(C3902=C3901,AA3902=AA3901+1),IF(AC3902=1,"",INDEX(DATAS,AA3901+1)),INDEX(DATAS,AA3901+1)),"")</f>
        <v/>
      </c>
    </row>
    <row r="3902" customFormat="false" ht="15" hidden="false" customHeight="false" outlineLevel="0" collapsed="false">
      <c r="A3902" s="51" t="n">
        <v>46309</v>
      </c>
      <c r="B3902" s="0" t="n">
        <v>15</v>
      </c>
      <c r="C3902" s="0" t="n">
        <v>30820</v>
      </c>
      <c r="E3902" s="0" t="n">
        <v>0</v>
      </c>
      <c r="F3902" s="46" t="s">
        <v>1597</v>
      </c>
      <c r="I3902" s="46" t="s">
        <v>150</v>
      </c>
      <c r="U3902" s="0" t="n">
        <v>109</v>
      </c>
      <c r="V3902" s="0" t="n">
        <v>0</v>
      </c>
      <c r="X3902" s="46" t="n">
        <f aca="false">IF(I3902="Male",0,1)</f>
        <v>0</v>
      </c>
      <c r="Y3902" s="46" t="n">
        <f aca="false">IF(OR(I3902="DNB",I3902="Dry DNB"),1,0)</f>
        <v>0</v>
      </c>
      <c r="Z3902" s="0" t="str">
        <f aca="false">IF(ISNUMBER(W3902),A3902-W3902,"")</f>
        <v/>
      </c>
      <c r="AA3902" s="46" t="n">
        <f aca="false">MATCH(A3902,DATAS,0)</f>
        <v>1</v>
      </c>
      <c r="AB3902" s="46" t="n">
        <f aca="false">IF(AND(E3902&gt;0,OR(AND(B3902&gt;=1,B3902&lt;=6),B3902=10)),1,0)</f>
        <v>0</v>
      </c>
      <c r="AC3902" s="46" t="n">
        <f aca="false">IF(AND(E3902&gt;0,B3902=10),1,0)</f>
        <v>0</v>
      </c>
      <c r="AD3902" s="0" t="str">
        <f aca="false">IF(AND(C3901=C3902,AA3901=AA3902-1),AB3901,"")</f>
        <v/>
      </c>
      <c r="AE3902" s="0" t="str">
        <f aca="false">IF(AND(C3901=C3902,AA3901=AA3902-1),AC3901,"")</f>
        <v/>
      </c>
      <c r="AF3902" s="0" t="str">
        <f aca="false">IF(AA3902=1,"",IF(AND(AB3902=1,AD3902&lt;&gt;1),1,0))</f>
        <v/>
      </c>
      <c r="AG3902" s="0" t="str">
        <f aca="false">IF(AA3902=1,"",IF(AND(AC3902=1,AE3902&lt;&gt;1),1,0))</f>
        <v/>
      </c>
      <c r="AH3902" s="51" t="str">
        <f aca="false">IF(AND(E3902&gt;0,AA3902&lt;1,NOT(AND(C3903=C3902,AA3903=AA3902+1))),INDEX(DATAS,AA3902+1),"")</f>
        <v/>
      </c>
      <c r="AI3902" s="51" t="str">
        <f aca="false">IF(AND(AC3902=1,AA3902&lt;1),IF(AND(C3903=C3902,AA3903=AA3902+1),IF(AC3903=1,"",INDEX(DATAS,AA3902+1)),INDEX(DATAS,AA3902+1)),"")</f>
        <v/>
      </c>
    </row>
    <row r="3903" customFormat="false" ht="15" hidden="false" customHeight="false" outlineLevel="0" collapsed="false">
      <c r="A3903" s="51" t="n">
        <v>46309</v>
      </c>
      <c r="B3903" s="0" t="n">
        <v>15</v>
      </c>
      <c r="C3903" s="0" t="n">
        <v>30821</v>
      </c>
      <c r="E3903" s="0" t="n">
        <v>0</v>
      </c>
      <c r="F3903" s="46" t="s">
        <v>1599</v>
      </c>
      <c r="I3903" s="46" t="s">
        <v>150</v>
      </c>
      <c r="U3903" s="0" t="n">
        <v>106</v>
      </c>
      <c r="V3903" s="0" t="n">
        <v>0</v>
      </c>
      <c r="X3903" s="46" t="n">
        <f aca="false">IF(I3903="Male",0,1)</f>
        <v>0</v>
      </c>
      <c r="Y3903" s="46" t="n">
        <f aca="false">IF(OR(I3903="DNB",I3903="Dry DNB"),1,0)</f>
        <v>0</v>
      </c>
      <c r="Z3903" s="0" t="str">
        <f aca="false">IF(ISNUMBER(W3903),A3903-W3903,"")</f>
        <v/>
      </c>
      <c r="AA3903" s="46" t="n">
        <f aca="false">MATCH(A3903,DATAS,0)</f>
        <v>1</v>
      </c>
      <c r="AB3903" s="46" t="n">
        <f aca="false">IF(AND(E3903&gt;0,OR(AND(B3903&gt;=1,B3903&lt;=6),B3903=10)),1,0)</f>
        <v>0</v>
      </c>
      <c r="AC3903" s="46" t="n">
        <f aca="false">IF(AND(E3903&gt;0,B3903=10),1,0)</f>
        <v>0</v>
      </c>
      <c r="AD3903" s="0" t="str">
        <f aca="false">IF(AND(C3902=C3903,AA3902=AA3903-1),AB3902,"")</f>
        <v/>
      </c>
      <c r="AE3903" s="0" t="str">
        <f aca="false">IF(AND(C3902=C3903,AA3902=AA3903-1),AC3902,"")</f>
        <v/>
      </c>
      <c r="AF3903" s="0" t="str">
        <f aca="false">IF(AA3903=1,"",IF(AND(AB3903=1,AD3903&lt;&gt;1),1,0))</f>
        <v/>
      </c>
      <c r="AG3903" s="0" t="str">
        <f aca="false">IF(AA3903=1,"",IF(AND(AC3903=1,AE3903&lt;&gt;1),1,0))</f>
        <v/>
      </c>
      <c r="AH3903" s="51" t="str">
        <f aca="false">IF(AND(E3903&gt;0,AA3903&lt;1,NOT(AND(C3904=C3903,AA3904=AA3903+1))),INDEX(DATAS,AA3903+1),"")</f>
        <v/>
      </c>
      <c r="AI3903" s="51" t="str">
        <f aca="false">IF(AND(AC3903=1,AA3903&lt;1),IF(AND(C3904=C3903,AA3904=AA3903+1),IF(AC3904=1,"",INDEX(DATAS,AA3903+1)),INDEX(DATAS,AA3903+1)),"")</f>
        <v/>
      </c>
    </row>
    <row r="3904" customFormat="false" ht="15" hidden="false" customHeight="false" outlineLevel="0" collapsed="false">
      <c r="A3904" s="51" t="n">
        <v>46309</v>
      </c>
      <c r="B3904" s="0" t="n">
        <v>15</v>
      </c>
      <c r="C3904" s="0" t="n">
        <v>30822</v>
      </c>
      <c r="E3904" s="0" t="n">
        <v>0</v>
      </c>
      <c r="F3904" s="46" t="s">
        <v>1599</v>
      </c>
      <c r="I3904" s="46" t="s">
        <v>150</v>
      </c>
      <c r="U3904" s="0" t="n">
        <v>106</v>
      </c>
      <c r="V3904" s="0" t="n">
        <v>0</v>
      </c>
      <c r="X3904" s="46" t="n">
        <f aca="false">IF(I3904="Male",0,1)</f>
        <v>0</v>
      </c>
      <c r="Y3904" s="46" t="n">
        <f aca="false">IF(OR(I3904="DNB",I3904="Dry DNB"),1,0)</f>
        <v>0</v>
      </c>
      <c r="Z3904" s="0" t="str">
        <f aca="false">IF(ISNUMBER(W3904),A3904-W3904,"")</f>
        <v/>
      </c>
      <c r="AA3904" s="46" t="n">
        <f aca="false">MATCH(A3904,DATAS,0)</f>
        <v>1</v>
      </c>
      <c r="AB3904" s="46" t="n">
        <f aca="false">IF(AND(E3904&gt;0,OR(AND(B3904&gt;=1,B3904&lt;=6),B3904=10)),1,0)</f>
        <v>0</v>
      </c>
      <c r="AC3904" s="46" t="n">
        <f aca="false">IF(AND(E3904&gt;0,B3904=10),1,0)</f>
        <v>0</v>
      </c>
      <c r="AD3904" s="0" t="str">
        <f aca="false">IF(AND(C3903=C3904,AA3903=AA3904-1),AB3903,"")</f>
        <v/>
      </c>
      <c r="AE3904" s="0" t="str">
        <f aca="false">IF(AND(C3903=C3904,AA3903=AA3904-1),AC3903,"")</f>
        <v/>
      </c>
      <c r="AF3904" s="0" t="str">
        <f aca="false">IF(AA3904=1,"",IF(AND(AB3904=1,AD3904&lt;&gt;1),1,0))</f>
        <v/>
      </c>
      <c r="AG3904" s="0" t="str">
        <f aca="false">IF(AA3904=1,"",IF(AND(AC3904=1,AE3904&lt;&gt;1),1,0))</f>
        <v/>
      </c>
      <c r="AH3904" s="51" t="str">
        <f aca="false">IF(AND(E3904&gt;0,AA3904&lt;1,NOT(AND(C3905=C3904,AA3905=AA3904+1))),INDEX(DATAS,AA3904+1),"")</f>
        <v/>
      </c>
      <c r="AI3904" s="51" t="str">
        <f aca="false">IF(AND(AC3904=1,AA3904&lt;1),IF(AND(C3905=C3904,AA3905=AA3904+1),IF(AC3905=1,"",INDEX(DATAS,AA3904+1)),INDEX(DATAS,AA3904+1)),"")</f>
        <v/>
      </c>
    </row>
    <row r="3905" customFormat="false" ht="15" hidden="false" customHeight="false" outlineLevel="0" collapsed="false">
      <c r="A3905" s="51" t="n">
        <v>46309</v>
      </c>
      <c r="B3905" s="0" t="n">
        <v>15</v>
      </c>
      <c r="C3905" s="0" t="n">
        <v>30823</v>
      </c>
      <c r="E3905" s="0" t="n">
        <v>0</v>
      </c>
      <c r="F3905" s="46" t="s">
        <v>1599</v>
      </c>
      <c r="I3905" s="46" t="s">
        <v>150</v>
      </c>
      <c r="U3905" s="0" t="n">
        <v>106</v>
      </c>
      <c r="V3905" s="0" t="n">
        <v>0</v>
      </c>
      <c r="X3905" s="46" t="n">
        <f aca="false">IF(I3905="Male",0,1)</f>
        <v>0</v>
      </c>
      <c r="Y3905" s="46" t="n">
        <f aca="false">IF(OR(I3905="DNB",I3905="Dry DNB"),1,0)</f>
        <v>0</v>
      </c>
      <c r="Z3905" s="0" t="str">
        <f aca="false">IF(ISNUMBER(W3905),A3905-W3905,"")</f>
        <v/>
      </c>
      <c r="AA3905" s="46" t="n">
        <f aca="false">MATCH(A3905,DATAS,0)</f>
        <v>1</v>
      </c>
      <c r="AB3905" s="46" t="n">
        <f aca="false">IF(AND(E3905&gt;0,OR(AND(B3905&gt;=1,B3905&lt;=6),B3905=10)),1,0)</f>
        <v>0</v>
      </c>
      <c r="AC3905" s="46" t="n">
        <f aca="false">IF(AND(E3905&gt;0,B3905=10),1,0)</f>
        <v>0</v>
      </c>
      <c r="AD3905" s="0" t="str">
        <f aca="false">IF(AND(C3904=C3905,AA3904=AA3905-1),AB3904,"")</f>
        <v/>
      </c>
      <c r="AE3905" s="0" t="str">
        <f aca="false">IF(AND(C3904=C3905,AA3904=AA3905-1),AC3904,"")</f>
        <v/>
      </c>
      <c r="AF3905" s="0" t="str">
        <f aca="false">IF(AA3905=1,"",IF(AND(AB3905=1,AD3905&lt;&gt;1),1,0))</f>
        <v/>
      </c>
      <c r="AG3905" s="0" t="str">
        <f aca="false">IF(AA3905=1,"",IF(AND(AC3905=1,AE3905&lt;&gt;1),1,0))</f>
        <v/>
      </c>
      <c r="AH3905" s="51" t="str">
        <f aca="false">IF(AND(E3905&gt;0,AA3905&lt;1,NOT(AND(C3906=C3905,AA3906=AA3905+1))),INDEX(DATAS,AA3905+1),"")</f>
        <v/>
      </c>
      <c r="AI3905" s="51" t="str">
        <f aca="false">IF(AND(AC3905=1,AA3905&lt;1),IF(AND(C3906=C3905,AA3906=AA3905+1),IF(AC3906=1,"",INDEX(DATAS,AA3905+1)),INDEX(DATAS,AA3905+1)),"")</f>
        <v/>
      </c>
    </row>
    <row r="3906" customFormat="false" ht="15" hidden="false" customHeight="false" outlineLevel="0" collapsed="false">
      <c r="A3906" s="51" t="n">
        <v>46309</v>
      </c>
      <c r="B3906" s="0" t="n">
        <v>15</v>
      </c>
      <c r="C3906" s="0" t="n">
        <v>30827</v>
      </c>
      <c r="E3906" s="0" t="n">
        <v>0</v>
      </c>
      <c r="F3906" s="46" t="s">
        <v>1706</v>
      </c>
      <c r="I3906" s="46" t="s">
        <v>150</v>
      </c>
      <c r="U3906" s="0" t="n">
        <v>105</v>
      </c>
      <c r="V3906" s="0" t="n">
        <v>0</v>
      </c>
      <c r="X3906" s="46" t="n">
        <f aca="false">IF(I3906="Male",0,1)</f>
        <v>0</v>
      </c>
      <c r="Y3906" s="46" t="n">
        <f aca="false">IF(OR(I3906="DNB",I3906="Dry DNB"),1,0)</f>
        <v>0</v>
      </c>
      <c r="Z3906" s="0" t="str">
        <f aca="false">IF(ISNUMBER(W3906),A3906-W3906,"")</f>
        <v/>
      </c>
      <c r="AA3906" s="46" t="n">
        <f aca="false">MATCH(A3906,DATAS,0)</f>
        <v>1</v>
      </c>
      <c r="AB3906" s="46" t="n">
        <f aca="false">IF(AND(E3906&gt;0,OR(AND(B3906&gt;=1,B3906&lt;=6),B3906=10)),1,0)</f>
        <v>0</v>
      </c>
      <c r="AC3906" s="46" t="n">
        <f aca="false">IF(AND(E3906&gt;0,B3906=10),1,0)</f>
        <v>0</v>
      </c>
      <c r="AD3906" s="0" t="str">
        <f aca="false">IF(AND(C3905=C3906,AA3905=AA3906-1),AB3905,"")</f>
        <v/>
      </c>
      <c r="AE3906" s="0" t="str">
        <f aca="false">IF(AND(C3905=C3906,AA3905=AA3906-1),AC3905,"")</f>
        <v/>
      </c>
      <c r="AF3906" s="0" t="str">
        <f aca="false">IF(AA3906=1,"",IF(AND(AB3906=1,AD3906&lt;&gt;1),1,0))</f>
        <v/>
      </c>
      <c r="AG3906" s="0" t="str">
        <f aca="false">IF(AA3906=1,"",IF(AND(AC3906=1,AE3906&lt;&gt;1),1,0))</f>
        <v/>
      </c>
      <c r="AH3906" s="51" t="str">
        <f aca="false">IF(AND(E3906&gt;0,AA3906&lt;1,NOT(AND(C3907=C3906,AA3907=AA3906+1))),INDEX(DATAS,AA3906+1),"")</f>
        <v/>
      </c>
      <c r="AI3906" s="51" t="str">
        <f aca="false">IF(AND(AC3906=1,AA3906&lt;1),IF(AND(C3907=C3906,AA3907=AA3906+1),IF(AC3907=1,"",INDEX(DATAS,AA3906+1)),INDEX(DATAS,AA3906+1)),"")</f>
        <v/>
      </c>
    </row>
    <row r="3907" customFormat="false" ht="15" hidden="false" customHeight="false" outlineLevel="0" collapsed="false">
      <c r="A3907" s="51" t="n">
        <v>46309</v>
      </c>
      <c r="B3907" s="0" t="n">
        <v>15</v>
      </c>
      <c r="C3907" s="0" t="n">
        <v>30830</v>
      </c>
      <c r="E3907" s="0" t="n">
        <v>0</v>
      </c>
      <c r="F3907" s="46" t="s">
        <v>1600</v>
      </c>
      <c r="I3907" s="46" t="s">
        <v>150</v>
      </c>
      <c r="U3907" s="0" t="n">
        <v>104</v>
      </c>
      <c r="V3907" s="0" t="n">
        <v>0</v>
      </c>
      <c r="X3907" s="46" t="n">
        <f aca="false">IF(I3907="Male",0,1)</f>
        <v>0</v>
      </c>
      <c r="Y3907" s="46" t="n">
        <f aca="false">IF(OR(I3907="DNB",I3907="Dry DNB"),1,0)</f>
        <v>0</v>
      </c>
      <c r="Z3907" s="0" t="str">
        <f aca="false">IF(ISNUMBER(W3907),A3907-W3907,"")</f>
        <v/>
      </c>
      <c r="AA3907" s="46" t="n">
        <f aca="false">MATCH(A3907,DATAS,0)</f>
        <v>1</v>
      </c>
      <c r="AB3907" s="46" t="n">
        <f aca="false">IF(AND(E3907&gt;0,OR(AND(B3907&gt;=1,B3907&lt;=6),B3907=10)),1,0)</f>
        <v>0</v>
      </c>
      <c r="AC3907" s="46" t="n">
        <f aca="false">IF(AND(E3907&gt;0,B3907=10),1,0)</f>
        <v>0</v>
      </c>
      <c r="AD3907" s="0" t="str">
        <f aca="false">IF(AND(C3906=C3907,AA3906=AA3907-1),AB3906,"")</f>
        <v/>
      </c>
      <c r="AE3907" s="0" t="str">
        <f aca="false">IF(AND(C3906=C3907,AA3906=AA3907-1),AC3906,"")</f>
        <v/>
      </c>
      <c r="AF3907" s="0" t="str">
        <f aca="false">IF(AA3907=1,"",IF(AND(AB3907=1,AD3907&lt;&gt;1),1,0))</f>
        <v/>
      </c>
      <c r="AG3907" s="0" t="str">
        <f aca="false">IF(AA3907=1,"",IF(AND(AC3907=1,AE3907&lt;&gt;1),1,0))</f>
        <v/>
      </c>
      <c r="AH3907" s="51" t="str">
        <f aca="false">IF(AND(E3907&gt;0,AA3907&lt;1,NOT(AND(C3908=C3907,AA3908=AA3907+1))),INDEX(DATAS,AA3907+1),"")</f>
        <v/>
      </c>
      <c r="AI3907" s="51" t="str">
        <f aca="false">IF(AND(AC3907=1,AA3907&lt;1),IF(AND(C3908=C3907,AA3908=AA3907+1),IF(AC3908=1,"",INDEX(DATAS,AA3907+1)),INDEX(DATAS,AA3907+1)),"")</f>
        <v/>
      </c>
    </row>
    <row r="3908" customFormat="false" ht="15" hidden="false" customHeight="false" outlineLevel="0" collapsed="false">
      <c r="A3908" s="51" t="n">
        <v>46309</v>
      </c>
      <c r="B3908" s="0" t="n">
        <v>15</v>
      </c>
      <c r="C3908" s="0" t="n">
        <v>30831</v>
      </c>
      <c r="E3908" s="0" t="n">
        <v>0</v>
      </c>
      <c r="F3908" s="46" t="s">
        <v>1600</v>
      </c>
      <c r="I3908" s="46" t="s">
        <v>150</v>
      </c>
      <c r="U3908" s="0" t="n">
        <v>104</v>
      </c>
      <c r="V3908" s="0" t="n">
        <v>0</v>
      </c>
      <c r="X3908" s="46" t="n">
        <f aca="false">IF(I3908="Male",0,1)</f>
        <v>0</v>
      </c>
      <c r="Y3908" s="46" t="n">
        <f aca="false">IF(OR(I3908="DNB",I3908="Dry DNB"),1,0)</f>
        <v>0</v>
      </c>
      <c r="Z3908" s="0" t="str">
        <f aca="false">IF(ISNUMBER(W3908),A3908-W3908,"")</f>
        <v/>
      </c>
      <c r="AA3908" s="46" t="n">
        <f aca="false">MATCH(A3908,DATAS,0)</f>
        <v>1</v>
      </c>
      <c r="AB3908" s="46" t="n">
        <f aca="false">IF(AND(E3908&gt;0,OR(AND(B3908&gt;=1,B3908&lt;=6),B3908=10)),1,0)</f>
        <v>0</v>
      </c>
      <c r="AC3908" s="46" t="n">
        <f aca="false">IF(AND(E3908&gt;0,B3908=10),1,0)</f>
        <v>0</v>
      </c>
      <c r="AD3908" s="0" t="str">
        <f aca="false">IF(AND(C3907=C3908,AA3907=AA3908-1),AB3907,"")</f>
        <v/>
      </c>
      <c r="AE3908" s="0" t="str">
        <f aca="false">IF(AND(C3907=C3908,AA3907=AA3908-1),AC3907,"")</f>
        <v/>
      </c>
      <c r="AF3908" s="0" t="str">
        <f aca="false">IF(AA3908=1,"",IF(AND(AB3908=1,AD3908&lt;&gt;1),1,0))</f>
        <v/>
      </c>
      <c r="AG3908" s="0" t="str">
        <f aca="false">IF(AA3908=1,"",IF(AND(AC3908=1,AE3908&lt;&gt;1),1,0))</f>
        <v/>
      </c>
      <c r="AH3908" s="51" t="str">
        <f aca="false">IF(AND(E3908&gt;0,AA3908&lt;1,NOT(AND(C3909=C3908,AA3909=AA3908+1))),INDEX(DATAS,AA3908+1),"")</f>
        <v/>
      </c>
      <c r="AI3908" s="51" t="str">
        <f aca="false">IF(AND(AC3908=1,AA3908&lt;1),IF(AND(C3909=C3908,AA3909=AA3908+1),IF(AC3909=1,"",INDEX(DATAS,AA3908+1)),INDEX(DATAS,AA3908+1)),"")</f>
        <v/>
      </c>
    </row>
    <row r="3909" customFormat="false" ht="15" hidden="false" customHeight="false" outlineLevel="0" collapsed="false">
      <c r="A3909" s="51" t="n">
        <v>46309</v>
      </c>
      <c r="B3909" s="0" t="n">
        <v>15</v>
      </c>
      <c r="C3909" s="0" t="n">
        <v>30837</v>
      </c>
      <c r="E3909" s="0" t="n">
        <v>0</v>
      </c>
      <c r="F3909" s="46" t="s">
        <v>1604</v>
      </c>
      <c r="I3909" s="46" t="s">
        <v>150</v>
      </c>
      <c r="U3909" s="0" t="n">
        <v>100</v>
      </c>
      <c r="V3909" s="0" t="n">
        <v>0</v>
      </c>
      <c r="X3909" s="46" t="n">
        <f aca="false">IF(I3909="Male",0,1)</f>
        <v>0</v>
      </c>
      <c r="Y3909" s="46" t="n">
        <f aca="false">IF(OR(I3909="DNB",I3909="Dry DNB"),1,0)</f>
        <v>0</v>
      </c>
      <c r="Z3909" s="0" t="str">
        <f aca="false">IF(ISNUMBER(W3909),A3909-W3909,"")</f>
        <v/>
      </c>
      <c r="AA3909" s="46" t="n">
        <f aca="false">MATCH(A3909,DATAS,0)</f>
        <v>1</v>
      </c>
      <c r="AB3909" s="46" t="n">
        <f aca="false">IF(AND(E3909&gt;0,OR(AND(B3909&gt;=1,B3909&lt;=6),B3909=10)),1,0)</f>
        <v>0</v>
      </c>
      <c r="AC3909" s="46" t="n">
        <f aca="false">IF(AND(E3909&gt;0,B3909=10),1,0)</f>
        <v>0</v>
      </c>
      <c r="AD3909" s="0" t="str">
        <f aca="false">IF(AND(C3908=C3909,AA3908=AA3909-1),AB3908,"")</f>
        <v/>
      </c>
      <c r="AE3909" s="0" t="str">
        <f aca="false">IF(AND(C3908=C3909,AA3908=AA3909-1),AC3908,"")</f>
        <v/>
      </c>
      <c r="AF3909" s="0" t="str">
        <f aca="false">IF(AA3909=1,"",IF(AND(AB3909=1,AD3909&lt;&gt;1),1,0))</f>
        <v/>
      </c>
      <c r="AG3909" s="0" t="str">
        <f aca="false">IF(AA3909=1,"",IF(AND(AC3909=1,AE3909&lt;&gt;1),1,0))</f>
        <v/>
      </c>
      <c r="AH3909" s="51" t="str">
        <f aca="false">IF(AND(E3909&gt;0,AA3909&lt;1,NOT(AND(C3910=C3909,AA3910=AA3909+1))),INDEX(DATAS,AA3909+1),"")</f>
        <v/>
      </c>
      <c r="AI3909" s="51" t="str">
        <f aca="false">IF(AND(AC3909=1,AA3909&lt;1),IF(AND(C3910=C3909,AA3910=AA3909+1),IF(AC3910=1,"",INDEX(DATAS,AA3909+1)),INDEX(DATAS,AA3909+1)),"")</f>
        <v/>
      </c>
    </row>
    <row r="3910" customFormat="false" ht="15" hidden="false" customHeight="false" outlineLevel="0" collapsed="false">
      <c r="A3910" s="51" t="n">
        <v>46309</v>
      </c>
      <c r="B3910" s="0" t="n">
        <v>15</v>
      </c>
      <c r="C3910" s="0" t="n">
        <v>30838</v>
      </c>
      <c r="E3910" s="0" t="n">
        <v>0</v>
      </c>
      <c r="F3910" s="46" t="s">
        <v>1604</v>
      </c>
      <c r="I3910" s="46" t="s">
        <v>150</v>
      </c>
      <c r="U3910" s="0" t="n">
        <v>100</v>
      </c>
      <c r="V3910" s="0" t="n">
        <v>0</v>
      </c>
      <c r="X3910" s="46" t="n">
        <f aca="false">IF(I3910="Male",0,1)</f>
        <v>0</v>
      </c>
      <c r="Y3910" s="46" t="n">
        <f aca="false">IF(OR(I3910="DNB",I3910="Dry DNB"),1,0)</f>
        <v>0</v>
      </c>
      <c r="Z3910" s="0" t="str">
        <f aca="false">IF(ISNUMBER(W3910),A3910-W3910,"")</f>
        <v/>
      </c>
      <c r="AA3910" s="46" t="n">
        <f aca="false">MATCH(A3910,DATAS,0)</f>
        <v>1</v>
      </c>
      <c r="AB3910" s="46" t="n">
        <f aca="false">IF(AND(E3910&gt;0,OR(AND(B3910&gt;=1,B3910&lt;=6),B3910=10)),1,0)</f>
        <v>0</v>
      </c>
      <c r="AC3910" s="46" t="n">
        <f aca="false">IF(AND(E3910&gt;0,B3910=10),1,0)</f>
        <v>0</v>
      </c>
      <c r="AD3910" s="0" t="str">
        <f aca="false">IF(AND(C3909=C3910,AA3909=AA3910-1),AB3909,"")</f>
        <v/>
      </c>
      <c r="AE3910" s="0" t="str">
        <f aca="false">IF(AND(C3909=C3910,AA3909=AA3910-1),AC3909,"")</f>
        <v/>
      </c>
      <c r="AF3910" s="0" t="str">
        <f aca="false">IF(AA3910=1,"",IF(AND(AB3910=1,AD3910&lt;&gt;1),1,0))</f>
        <v/>
      </c>
      <c r="AG3910" s="0" t="str">
        <f aca="false">IF(AA3910=1,"",IF(AND(AC3910=1,AE3910&lt;&gt;1),1,0))</f>
        <v/>
      </c>
      <c r="AH3910" s="51" t="str">
        <f aca="false">IF(AND(E3910&gt;0,AA3910&lt;1,NOT(AND(C3911=C3910,AA3911=AA3910+1))),INDEX(DATAS,AA3910+1),"")</f>
        <v/>
      </c>
      <c r="AI3910" s="51" t="str">
        <f aca="false">IF(AND(AC3910=1,AA3910&lt;1),IF(AND(C3911=C3910,AA3911=AA3910+1),IF(AC3911=1,"",INDEX(DATAS,AA3910+1)),INDEX(DATAS,AA3910+1)),"")</f>
        <v/>
      </c>
    </row>
    <row r="3911" customFormat="false" ht="15" hidden="false" customHeight="false" outlineLevel="0" collapsed="false">
      <c r="A3911" s="51" t="n">
        <v>46309</v>
      </c>
      <c r="B3911" s="0" t="n">
        <v>15</v>
      </c>
      <c r="C3911" s="0" t="n">
        <v>30841</v>
      </c>
      <c r="E3911" s="0" t="n">
        <v>0</v>
      </c>
      <c r="F3911" s="46" t="s">
        <v>1632</v>
      </c>
      <c r="I3911" s="46" t="s">
        <v>150</v>
      </c>
      <c r="U3911" s="0" t="n">
        <v>69</v>
      </c>
      <c r="V3911" s="0" t="n">
        <v>0</v>
      </c>
      <c r="X3911" s="46" t="n">
        <f aca="false">IF(I3911="Male",0,1)</f>
        <v>0</v>
      </c>
      <c r="Y3911" s="46" t="n">
        <f aca="false">IF(OR(I3911="DNB",I3911="Dry DNB"),1,0)</f>
        <v>0</v>
      </c>
      <c r="Z3911" s="0" t="str">
        <f aca="false">IF(ISNUMBER(W3911),A3911-W3911,"")</f>
        <v/>
      </c>
      <c r="AA3911" s="46" t="n">
        <f aca="false">MATCH(A3911,DATAS,0)</f>
        <v>1</v>
      </c>
      <c r="AB3911" s="46" t="n">
        <f aca="false">IF(AND(E3911&gt;0,OR(AND(B3911&gt;=1,B3911&lt;=6),B3911=10)),1,0)</f>
        <v>0</v>
      </c>
      <c r="AC3911" s="46" t="n">
        <f aca="false">IF(AND(E3911&gt;0,B3911=10),1,0)</f>
        <v>0</v>
      </c>
      <c r="AD3911" s="0" t="str">
        <f aca="false">IF(AND(C3910=C3911,AA3910=AA3911-1),AB3910,"")</f>
        <v/>
      </c>
      <c r="AE3911" s="0" t="str">
        <f aca="false">IF(AND(C3910=C3911,AA3910=AA3911-1),AC3910,"")</f>
        <v/>
      </c>
      <c r="AF3911" s="0" t="str">
        <f aca="false">IF(AA3911=1,"",IF(AND(AB3911=1,AD3911&lt;&gt;1),1,0))</f>
        <v/>
      </c>
      <c r="AG3911" s="0" t="str">
        <f aca="false">IF(AA3911=1,"",IF(AND(AC3911=1,AE3911&lt;&gt;1),1,0))</f>
        <v/>
      </c>
      <c r="AH3911" s="51" t="str">
        <f aca="false">IF(AND(E3911&gt;0,AA3911&lt;1,NOT(AND(C3912=C3911,AA3912=AA3911+1))),INDEX(DATAS,AA3911+1),"")</f>
        <v/>
      </c>
      <c r="AI3911" s="51" t="str">
        <f aca="false">IF(AND(AC3911=1,AA3911&lt;1),IF(AND(C3912=C3911,AA3912=AA3911+1),IF(AC3912=1,"",INDEX(DATAS,AA3911+1)),INDEX(DATAS,AA3911+1)),"")</f>
        <v/>
      </c>
    </row>
    <row r="3912" customFormat="false" ht="15" hidden="false" customHeight="false" outlineLevel="0" collapsed="false">
      <c r="A3912" s="51" t="n">
        <v>46309</v>
      </c>
      <c r="B3912" s="0" t="n">
        <v>15</v>
      </c>
      <c r="C3912" s="0" t="n">
        <v>30842</v>
      </c>
      <c r="E3912" s="0" t="n">
        <v>0</v>
      </c>
      <c r="F3912" s="46" t="s">
        <v>1606</v>
      </c>
      <c r="I3912" s="46" t="s">
        <v>150</v>
      </c>
      <c r="U3912" s="0" t="n">
        <v>98</v>
      </c>
      <c r="V3912" s="0" t="n">
        <v>0</v>
      </c>
      <c r="X3912" s="46" t="n">
        <f aca="false">IF(I3912="Male",0,1)</f>
        <v>0</v>
      </c>
      <c r="Y3912" s="46" t="n">
        <f aca="false">IF(OR(I3912="DNB",I3912="Dry DNB"),1,0)</f>
        <v>0</v>
      </c>
      <c r="Z3912" s="0" t="str">
        <f aca="false">IF(ISNUMBER(W3912),A3912-W3912,"")</f>
        <v/>
      </c>
      <c r="AA3912" s="46" t="n">
        <f aca="false">MATCH(A3912,DATAS,0)</f>
        <v>1</v>
      </c>
      <c r="AB3912" s="46" t="n">
        <f aca="false">IF(AND(E3912&gt;0,OR(AND(B3912&gt;=1,B3912&lt;=6),B3912=10)),1,0)</f>
        <v>0</v>
      </c>
      <c r="AC3912" s="46" t="n">
        <f aca="false">IF(AND(E3912&gt;0,B3912=10),1,0)</f>
        <v>0</v>
      </c>
      <c r="AD3912" s="0" t="str">
        <f aca="false">IF(AND(C3911=C3912,AA3911=AA3912-1),AB3911,"")</f>
        <v/>
      </c>
      <c r="AE3912" s="0" t="str">
        <f aca="false">IF(AND(C3911=C3912,AA3911=AA3912-1),AC3911,"")</f>
        <v/>
      </c>
      <c r="AF3912" s="0" t="str">
        <f aca="false">IF(AA3912=1,"",IF(AND(AB3912=1,AD3912&lt;&gt;1),1,0))</f>
        <v/>
      </c>
      <c r="AG3912" s="0" t="str">
        <f aca="false">IF(AA3912=1,"",IF(AND(AC3912=1,AE3912&lt;&gt;1),1,0))</f>
        <v/>
      </c>
      <c r="AH3912" s="51" t="str">
        <f aca="false">IF(AND(E3912&gt;0,AA3912&lt;1,NOT(AND(C3913=C3912,AA3913=AA3912+1))),INDEX(DATAS,AA3912+1),"")</f>
        <v/>
      </c>
      <c r="AI3912" s="51" t="str">
        <f aca="false">IF(AND(AC3912=1,AA3912&lt;1),IF(AND(C3913=C3912,AA3913=AA3912+1),IF(AC3913=1,"",INDEX(DATAS,AA3912+1)),INDEX(DATAS,AA3912+1)),"")</f>
        <v/>
      </c>
    </row>
    <row r="3913" customFormat="false" ht="15" hidden="false" customHeight="false" outlineLevel="0" collapsed="false">
      <c r="A3913" s="51" t="n">
        <v>46309</v>
      </c>
      <c r="B3913" s="0" t="n">
        <v>15</v>
      </c>
      <c r="C3913" s="0" t="n">
        <v>30845</v>
      </c>
      <c r="E3913" s="0" t="n">
        <v>0</v>
      </c>
      <c r="F3913" s="46" t="s">
        <v>1608</v>
      </c>
      <c r="I3913" s="46" t="s">
        <v>150</v>
      </c>
      <c r="U3913" s="0" t="n">
        <v>96</v>
      </c>
      <c r="V3913" s="0" t="n">
        <v>0</v>
      </c>
      <c r="X3913" s="46" t="n">
        <f aca="false">IF(I3913="Male",0,1)</f>
        <v>0</v>
      </c>
      <c r="Y3913" s="46" t="n">
        <f aca="false">IF(OR(I3913="DNB",I3913="Dry DNB"),1,0)</f>
        <v>0</v>
      </c>
      <c r="Z3913" s="0" t="str">
        <f aca="false">IF(ISNUMBER(W3913),A3913-W3913,"")</f>
        <v/>
      </c>
      <c r="AA3913" s="46" t="n">
        <f aca="false">MATCH(A3913,DATAS,0)</f>
        <v>1</v>
      </c>
      <c r="AB3913" s="46" t="n">
        <f aca="false">IF(AND(E3913&gt;0,OR(AND(B3913&gt;=1,B3913&lt;=6),B3913=10)),1,0)</f>
        <v>0</v>
      </c>
      <c r="AC3913" s="46" t="n">
        <f aca="false">IF(AND(E3913&gt;0,B3913=10),1,0)</f>
        <v>0</v>
      </c>
      <c r="AD3913" s="0" t="str">
        <f aca="false">IF(AND(C3912=C3913,AA3912=AA3913-1),AB3912,"")</f>
        <v/>
      </c>
      <c r="AE3913" s="0" t="str">
        <f aca="false">IF(AND(C3912=C3913,AA3912=AA3913-1),AC3912,"")</f>
        <v/>
      </c>
      <c r="AF3913" s="0" t="str">
        <f aca="false">IF(AA3913=1,"",IF(AND(AB3913=1,AD3913&lt;&gt;1),1,0))</f>
        <v/>
      </c>
      <c r="AG3913" s="0" t="str">
        <f aca="false">IF(AA3913=1,"",IF(AND(AC3913=1,AE3913&lt;&gt;1),1,0))</f>
        <v/>
      </c>
      <c r="AH3913" s="51" t="str">
        <f aca="false">IF(AND(E3913&gt;0,AA3913&lt;1,NOT(AND(C3914=C3913,AA3914=AA3913+1))),INDEX(DATAS,AA3913+1),"")</f>
        <v/>
      </c>
      <c r="AI3913" s="51" t="str">
        <f aca="false">IF(AND(AC3913=1,AA3913&lt;1),IF(AND(C3914=C3913,AA3914=AA3913+1),IF(AC3914=1,"",INDEX(DATAS,AA3913+1)),INDEX(DATAS,AA3913+1)),"")</f>
        <v/>
      </c>
    </row>
    <row r="3914" customFormat="false" ht="15" hidden="false" customHeight="false" outlineLevel="0" collapsed="false">
      <c r="A3914" s="51" t="n">
        <v>46309</v>
      </c>
      <c r="B3914" s="0" t="n">
        <v>15</v>
      </c>
      <c r="C3914" s="0" t="n">
        <v>30847</v>
      </c>
      <c r="E3914" s="0" t="n">
        <v>0</v>
      </c>
      <c r="F3914" s="46" t="s">
        <v>1608</v>
      </c>
      <c r="I3914" s="46" t="s">
        <v>150</v>
      </c>
      <c r="U3914" s="0" t="n">
        <v>96</v>
      </c>
      <c r="V3914" s="0" t="n">
        <v>0</v>
      </c>
      <c r="X3914" s="46" t="n">
        <f aca="false">IF(I3914="Male",0,1)</f>
        <v>0</v>
      </c>
      <c r="Y3914" s="46" t="n">
        <f aca="false">IF(OR(I3914="DNB",I3914="Dry DNB"),1,0)</f>
        <v>0</v>
      </c>
      <c r="Z3914" s="0" t="str">
        <f aca="false">IF(ISNUMBER(W3914),A3914-W3914,"")</f>
        <v/>
      </c>
      <c r="AA3914" s="46" t="n">
        <f aca="false">MATCH(A3914,DATAS,0)</f>
        <v>1</v>
      </c>
      <c r="AB3914" s="46" t="n">
        <f aca="false">IF(AND(E3914&gt;0,OR(AND(B3914&gt;=1,B3914&lt;=6),B3914=10)),1,0)</f>
        <v>0</v>
      </c>
      <c r="AC3914" s="46" t="n">
        <f aca="false">IF(AND(E3914&gt;0,B3914=10),1,0)</f>
        <v>0</v>
      </c>
      <c r="AD3914" s="0" t="str">
        <f aca="false">IF(AND(C3913=C3914,AA3913=AA3914-1),AB3913,"")</f>
        <v/>
      </c>
      <c r="AE3914" s="0" t="str">
        <f aca="false">IF(AND(C3913=C3914,AA3913=AA3914-1),AC3913,"")</f>
        <v/>
      </c>
      <c r="AF3914" s="0" t="str">
        <f aca="false">IF(AA3914=1,"",IF(AND(AB3914=1,AD3914&lt;&gt;1),1,0))</f>
        <v/>
      </c>
      <c r="AG3914" s="0" t="str">
        <f aca="false">IF(AA3914=1,"",IF(AND(AC3914=1,AE3914&lt;&gt;1),1,0))</f>
        <v/>
      </c>
      <c r="AH3914" s="51" t="str">
        <f aca="false">IF(AND(E3914&gt;0,AA3914&lt;1,NOT(AND(C3915=C3914,AA3915=AA3914+1))),INDEX(DATAS,AA3914+1),"")</f>
        <v/>
      </c>
      <c r="AI3914" s="51" t="str">
        <f aca="false">IF(AND(AC3914=1,AA3914&lt;1),IF(AND(C3915=C3914,AA3915=AA3914+1),IF(AC3915=1,"",INDEX(DATAS,AA3914+1)),INDEX(DATAS,AA3914+1)),"")</f>
        <v/>
      </c>
    </row>
    <row r="3915" customFormat="false" ht="15" hidden="false" customHeight="false" outlineLevel="0" collapsed="false">
      <c r="A3915" s="51" t="n">
        <v>46309</v>
      </c>
      <c r="B3915" s="0" t="n">
        <v>15</v>
      </c>
      <c r="C3915" s="0" t="n">
        <v>30848</v>
      </c>
      <c r="E3915" s="0" t="n">
        <v>0</v>
      </c>
      <c r="F3915" s="46" t="s">
        <v>1609</v>
      </c>
      <c r="I3915" s="46" t="s">
        <v>150</v>
      </c>
      <c r="U3915" s="0" t="n">
        <v>95</v>
      </c>
      <c r="V3915" s="0" t="n">
        <v>0</v>
      </c>
      <c r="X3915" s="46" t="n">
        <f aca="false">IF(I3915="Male",0,1)</f>
        <v>0</v>
      </c>
      <c r="Y3915" s="46" t="n">
        <f aca="false">IF(OR(I3915="DNB",I3915="Dry DNB"),1,0)</f>
        <v>0</v>
      </c>
      <c r="Z3915" s="0" t="str">
        <f aca="false">IF(ISNUMBER(W3915),A3915-W3915,"")</f>
        <v/>
      </c>
      <c r="AA3915" s="46" t="n">
        <f aca="false">MATCH(A3915,DATAS,0)</f>
        <v>1</v>
      </c>
      <c r="AB3915" s="46" t="n">
        <f aca="false">IF(AND(E3915&gt;0,OR(AND(B3915&gt;=1,B3915&lt;=6),B3915=10)),1,0)</f>
        <v>0</v>
      </c>
      <c r="AC3915" s="46" t="n">
        <f aca="false">IF(AND(E3915&gt;0,B3915=10),1,0)</f>
        <v>0</v>
      </c>
      <c r="AD3915" s="0" t="str">
        <f aca="false">IF(AND(C3914=C3915,AA3914=AA3915-1),AB3914,"")</f>
        <v/>
      </c>
      <c r="AE3915" s="0" t="str">
        <f aca="false">IF(AND(C3914=C3915,AA3914=AA3915-1),AC3914,"")</f>
        <v/>
      </c>
      <c r="AF3915" s="0" t="str">
        <f aca="false">IF(AA3915=1,"",IF(AND(AB3915=1,AD3915&lt;&gt;1),1,0))</f>
        <v/>
      </c>
      <c r="AG3915" s="0" t="str">
        <f aca="false">IF(AA3915=1,"",IF(AND(AC3915=1,AE3915&lt;&gt;1),1,0))</f>
        <v/>
      </c>
      <c r="AH3915" s="51" t="str">
        <f aca="false">IF(AND(E3915&gt;0,AA3915&lt;1,NOT(AND(C3916=C3915,AA3916=AA3915+1))),INDEX(DATAS,AA3915+1),"")</f>
        <v/>
      </c>
      <c r="AI3915" s="51" t="str">
        <f aca="false">IF(AND(AC3915=1,AA3915&lt;1),IF(AND(C3916=C3915,AA3916=AA3915+1),IF(AC3916=1,"",INDEX(DATAS,AA3915+1)),INDEX(DATAS,AA3915+1)),"")</f>
        <v/>
      </c>
    </row>
    <row r="3916" customFormat="false" ht="15" hidden="false" customHeight="false" outlineLevel="0" collapsed="false">
      <c r="A3916" s="51" t="n">
        <v>46309</v>
      </c>
      <c r="B3916" s="0" t="n">
        <v>15</v>
      </c>
      <c r="C3916" s="0" t="n">
        <v>30850</v>
      </c>
      <c r="E3916" s="0" t="n">
        <v>0</v>
      </c>
      <c r="F3916" s="46" t="s">
        <v>1612</v>
      </c>
      <c r="I3916" s="46" t="s">
        <v>150</v>
      </c>
      <c r="U3916" s="0" t="n">
        <v>92</v>
      </c>
      <c r="V3916" s="0" t="n">
        <v>0</v>
      </c>
      <c r="X3916" s="46" t="n">
        <f aca="false">IF(I3916="Male",0,1)</f>
        <v>0</v>
      </c>
      <c r="Y3916" s="46" t="n">
        <f aca="false">IF(OR(I3916="DNB",I3916="Dry DNB"),1,0)</f>
        <v>0</v>
      </c>
      <c r="Z3916" s="0" t="str">
        <f aca="false">IF(ISNUMBER(W3916),A3916-W3916,"")</f>
        <v/>
      </c>
      <c r="AA3916" s="46" t="n">
        <f aca="false">MATCH(A3916,DATAS,0)</f>
        <v>1</v>
      </c>
      <c r="AB3916" s="46" t="n">
        <f aca="false">IF(AND(E3916&gt;0,OR(AND(B3916&gt;=1,B3916&lt;=6),B3916=10)),1,0)</f>
        <v>0</v>
      </c>
      <c r="AC3916" s="46" t="n">
        <f aca="false">IF(AND(E3916&gt;0,B3916=10),1,0)</f>
        <v>0</v>
      </c>
      <c r="AD3916" s="0" t="str">
        <f aca="false">IF(AND(C3915=C3916,AA3915=AA3916-1),AB3915,"")</f>
        <v/>
      </c>
      <c r="AE3916" s="0" t="str">
        <f aca="false">IF(AND(C3915=C3916,AA3915=AA3916-1),AC3915,"")</f>
        <v/>
      </c>
      <c r="AF3916" s="0" t="str">
        <f aca="false">IF(AA3916=1,"",IF(AND(AB3916=1,AD3916&lt;&gt;1),1,0))</f>
        <v/>
      </c>
      <c r="AG3916" s="0" t="str">
        <f aca="false">IF(AA3916=1,"",IF(AND(AC3916=1,AE3916&lt;&gt;1),1,0))</f>
        <v/>
      </c>
      <c r="AH3916" s="51" t="str">
        <f aca="false">IF(AND(E3916&gt;0,AA3916&lt;1,NOT(AND(C3917=C3916,AA3917=AA3916+1))),INDEX(DATAS,AA3916+1),"")</f>
        <v/>
      </c>
      <c r="AI3916" s="51" t="str">
        <f aca="false">IF(AND(AC3916=1,AA3916&lt;1),IF(AND(C3917=C3916,AA3917=AA3916+1),IF(AC3917=1,"",INDEX(DATAS,AA3916+1)),INDEX(DATAS,AA3916+1)),"")</f>
        <v/>
      </c>
    </row>
    <row r="3917" customFormat="false" ht="15" hidden="false" customHeight="false" outlineLevel="0" collapsed="false">
      <c r="A3917" s="51" t="n">
        <v>46309</v>
      </c>
      <c r="B3917" s="0" t="n">
        <v>15</v>
      </c>
      <c r="C3917" s="0" t="n">
        <v>30851</v>
      </c>
      <c r="E3917" s="0" t="n">
        <v>0</v>
      </c>
      <c r="F3917" s="46" t="s">
        <v>1612</v>
      </c>
      <c r="I3917" s="46" t="s">
        <v>150</v>
      </c>
      <c r="U3917" s="0" t="n">
        <v>92</v>
      </c>
      <c r="V3917" s="0" t="n">
        <v>0</v>
      </c>
      <c r="X3917" s="46" t="n">
        <f aca="false">IF(I3917="Male",0,1)</f>
        <v>0</v>
      </c>
      <c r="Y3917" s="46" t="n">
        <f aca="false">IF(OR(I3917="DNB",I3917="Dry DNB"),1,0)</f>
        <v>0</v>
      </c>
      <c r="Z3917" s="0" t="str">
        <f aca="false">IF(ISNUMBER(W3917),A3917-W3917,"")</f>
        <v/>
      </c>
      <c r="AA3917" s="46" t="n">
        <f aca="false">MATCH(A3917,DATAS,0)</f>
        <v>1</v>
      </c>
      <c r="AB3917" s="46" t="n">
        <f aca="false">IF(AND(E3917&gt;0,OR(AND(B3917&gt;=1,B3917&lt;=6),B3917=10)),1,0)</f>
        <v>0</v>
      </c>
      <c r="AC3917" s="46" t="n">
        <f aca="false">IF(AND(E3917&gt;0,B3917=10),1,0)</f>
        <v>0</v>
      </c>
      <c r="AD3917" s="0" t="str">
        <f aca="false">IF(AND(C3916=C3917,AA3916=AA3917-1),AB3916,"")</f>
        <v/>
      </c>
      <c r="AE3917" s="0" t="str">
        <f aca="false">IF(AND(C3916=C3917,AA3916=AA3917-1),AC3916,"")</f>
        <v/>
      </c>
      <c r="AF3917" s="0" t="str">
        <f aca="false">IF(AA3917=1,"",IF(AND(AB3917=1,AD3917&lt;&gt;1),1,0))</f>
        <v/>
      </c>
      <c r="AG3917" s="0" t="str">
        <f aca="false">IF(AA3917=1,"",IF(AND(AC3917=1,AE3917&lt;&gt;1),1,0))</f>
        <v/>
      </c>
      <c r="AH3917" s="51" t="str">
        <f aca="false">IF(AND(E3917&gt;0,AA3917&lt;1,NOT(AND(C3918=C3917,AA3918=AA3917+1))),INDEX(DATAS,AA3917+1),"")</f>
        <v/>
      </c>
      <c r="AI3917" s="51" t="str">
        <f aca="false">IF(AND(AC3917=1,AA3917&lt;1),IF(AND(C3918=C3917,AA3918=AA3917+1),IF(AC3918=1,"",INDEX(DATAS,AA3917+1)),INDEX(DATAS,AA3917+1)),"")</f>
        <v/>
      </c>
    </row>
    <row r="3918" customFormat="false" ht="15" hidden="false" customHeight="false" outlineLevel="0" collapsed="false">
      <c r="A3918" s="51" t="n">
        <v>46309</v>
      </c>
      <c r="B3918" s="0" t="n">
        <v>15</v>
      </c>
      <c r="C3918" s="0" t="n">
        <v>30855</v>
      </c>
      <c r="E3918" s="0" t="n">
        <v>0</v>
      </c>
      <c r="F3918" s="46" t="s">
        <v>1613</v>
      </c>
      <c r="I3918" s="46" t="s">
        <v>150</v>
      </c>
      <c r="U3918" s="0" t="n">
        <v>91</v>
      </c>
      <c r="V3918" s="0" t="n">
        <v>0</v>
      </c>
      <c r="X3918" s="46" t="n">
        <f aca="false">IF(I3918="Male",0,1)</f>
        <v>0</v>
      </c>
      <c r="Y3918" s="46" t="n">
        <f aca="false">IF(OR(I3918="DNB",I3918="Dry DNB"),1,0)</f>
        <v>0</v>
      </c>
      <c r="Z3918" s="0" t="str">
        <f aca="false">IF(ISNUMBER(W3918),A3918-W3918,"")</f>
        <v/>
      </c>
      <c r="AA3918" s="46" t="n">
        <f aca="false">MATCH(A3918,DATAS,0)</f>
        <v>1</v>
      </c>
      <c r="AB3918" s="46" t="n">
        <f aca="false">IF(AND(E3918&gt;0,OR(AND(B3918&gt;=1,B3918&lt;=6),B3918=10)),1,0)</f>
        <v>0</v>
      </c>
      <c r="AC3918" s="46" t="n">
        <f aca="false">IF(AND(E3918&gt;0,B3918=10),1,0)</f>
        <v>0</v>
      </c>
      <c r="AD3918" s="0" t="str">
        <f aca="false">IF(AND(C3917=C3918,AA3917=AA3918-1),AB3917,"")</f>
        <v/>
      </c>
      <c r="AE3918" s="0" t="str">
        <f aca="false">IF(AND(C3917=C3918,AA3917=AA3918-1),AC3917,"")</f>
        <v/>
      </c>
      <c r="AF3918" s="0" t="str">
        <f aca="false">IF(AA3918=1,"",IF(AND(AB3918=1,AD3918&lt;&gt;1),1,0))</f>
        <v/>
      </c>
      <c r="AG3918" s="0" t="str">
        <f aca="false">IF(AA3918=1,"",IF(AND(AC3918=1,AE3918&lt;&gt;1),1,0))</f>
        <v/>
      </c>
      <c r="AH3918" s="51" t="str">
        <f aca="false">IF(AND(E3918&gt;0,AA3918&lt;1,NOT(AND(C3919=C3918,AA3919=AA3918+1))),INDEX(DATAS,AA3918+1),"")</f>
        <v/>
      </c>
      <c r="AI3918" s="51" t="str">
        <f aca="false">IF(AND(AC3918=1,AA3918&lt;1),IF(AND(C3919=C3918,AA3919=AA3918+1),IF(AC3919=1,"",INDEX(DATAS,AA3918+1)),INDEX(DATAS,AA3918+1)),"")</f>
        <v/>
      </c>
    </row>
    <row r="3919" customFormat="false" ht="15" hidden="false" customHeight="false" outlineLevel="0" collapsed="false">
      <c r="A3919" s="51" t="n">
        <v>46309</v>
      </c>
      <c r="B3919" s="0" t="n">
        <v>15</v>
      </c>
      <c r="C3919" s="0" t="n">
        <v>30859</v>
      </c>
      <c r="E3919" s="0" t="n">
        <v>0</v>
      </c>
      <c r="F3919" s="46" t="s">
        <v>1618</v>
      </c>
      <c r="I3919" s="46" t="s">
        <v>150</v>
      </c>
      <c r="U3919" s="0" t="n">
        <v>86</v>
      </c>
      <c r="V3919" s="0" t="n">
        <v>0</v>
      </c>
      <c r="X3919" s="46" t="n">
        <f aca="false">IF(I3919="Male",0,1)</f>
        <v>0</v>
      </c>
      <c r="Y3919" s="46" t="n">
        <f aca="false">IF(OR(I3919="DNB",I3919="Dry DNB"),1,0)</f>
        <v>0</v>
      </c>
      <c r="Z3919" s="0" t="str">
        <f aca="false">IF(ISNUMBER(W3919),A3919-W3919,"")</f>
        <v/>
      </c>
      <c r="AA3919" s="46" t="n">
        <f aca="false">MATCH(A3919,DATAS,0)</f>
        <v>1</v>
      </c>
      <c r="AB3919" s="46" t="n">
        <f aca="false">IF(AND(E3919&gt;0,OR(AND(B3919&gt;=1,B3919&lt;=6),B3919=10)),1,0)</f>
        <v>0</v>
      </c>
      <c r="AC3919" s="46" t="n">
        <f aca="false">IF(AND(E3919&gt;0,B3919=10),1,0)</f>
        <v>0</v>
      </c>
      <c r="AD3919" s="0" t="str">
        <f aca="false">IF(AND(C3918=C3919,AA3918=AA3919-1),AB3918,"")</f>
        <v/>
      </c>
      <c r="AE3919" s="0" t="str">
        <f aca="false">IF(AND(C3918=C3919,AA3918=AA3919-1),AC3918,"")</f>
        <v/>
      </c>
      <c r="AF3919" s="0" t="str">
        <f aca="false">IF(AA3919=1,"",IF(AND(AB3919=1,AD3919&lt;&gt;1),1,0))</f>
        <v/>
      </c>
      <c r="AG3919" s="0" t="str">
        <f aca="false">IF(AA3919=1,"",IF(AND(AC3919=1,AE3919&lt;&gt;1),1,0))</f>
        <v/>
      </c>
      <c r="AH3919" s="51" t="str">
        <f aca="false">IF(AND(E3919&gt;0,AA3919&lt;1,NOT(AND(C3920=C3919,AA3920=AA3919+1))),INDEX(DATAS,AA3919+1),"")</f>
        <v/>
      </c>
      <c r="AI3919" s="51" t="str">
        <f aca="false">IF(AND(AC3919=1,AA3919&lt;1),IF(AND(C3920=C3919,AA3920=AA3919+1),IF(AC3920=1,"",INDEX(DATAS,AA3919+1)),INDEX(DATAS,AA3919+1)),"")</f>
        <v/>
      </c>
    </row>
    <row r="3920" customFormat="false" ht="15" hidden="false" customHeight="false" outlineLevel="0" collapsed="false">
      <c r="A3920" s="51" t="n">
        <v>46309</v>
      </c>
      <c r="B3920" s="0" t="n">
        <v>15</v>
      </c>
      <c r="C3920" s="0" t="n">
        <v>30860</v>
      </c>
      <c r="E3920" s="0" t="n">
        <v>0</v>
      </c>
      <c r="F3920" s="46" t="s">
        <v>1618</v>
      </c>
      <c r="I3920" s="46" t="s">
        <v>150</v>
      </c>
      <c r="U3920" s="0" t="n">
        <v>86</v>
      </c>
      <c r="V3920" s="0" t="n">
        <v>0</v>
      </c>
      <c r="X3920" s="46" t="n">
        <f aca="false">IF(I3920="Male",0,1)</f>
        <v>0</v>
      </c>
      <c r="Y3920" s="46" t="n">
        <f aca="false">IF(OR(I3920="DNB",I3920="Dry DNB"),1,0)</f>
        <v>0</v>
      </c>
      <c r="Z3920" s="0" t="str">
        <f aca="false">IF(ISNUMBER(W3920),A3920-W3920,"")</f>
        <v/>
      </c>
      <c r="AA3920" s="46" t="n">
        <f aca="false">MATCH(A3920,DATAS,0)</f>
        <v>1</v>
      </c>
      <c r="AB3920" s="46" t="n">
        <f aca="false">IF(AND(E3920&gt;0,OR(AND(B3920&gt;=1,B3920&lt;=6),B3920=10)),1,0)</f>
        <v>0</v>
      </c>
      <c r="AC3920" s="46" t="n">
        <f aca="false">IF(AND(E3920&gt;0,B3920=10),1,0)</f>
        <v>0</v>
      </c>
      <c r="AD3920" s="0" t="str">
        <f aca="false">IF(AND(C3919=C3920,AA3919=AA3920-1),AB3919,"")</f>
        <v/>
      </c>
      <c r="AE3920" s="0" t="str">
        <f aca="false">IF(AND(C3919=C3920,AA3919=AA3920-1),AC3919,"")</f>
        <v/>
      </c>
      <c r="AF3920" s="0" t="str">
        <f aca="false">IF(AA3920=1,"",IF(AND(AB3920=1,AD3920&lt;&gt;1),1,0))</f>
        <v/>
      </c>
      <c r="AG3920" s="0" t="str">
        <f aca="false">IF(AA3920=1,"",IF(AND(AC3920=1,AE3920&lt;&gt;1),1,0))</f>
        <v/>
      </c>
      <c r="AH3920" s="51" t="str">
        <f aca="false">IF(AND(E3920&gt;0,AA3920&lt;1,NOT(AND(C3921=C3920,AA3921=AA3920+1))),INDEX(DATAS,AA3920+1),"")</f>
        <v/>
      </c>
      <c r="AI3920" s="51" t="str">
        <f aca="false">IF(AND(AC3920=1,AA3920&lt;1),IF(AND(C3921=C3920,AA3921=AA3920+1),IF(AC3921=1,"",INDEX(DATAS,AA3920+1)),INDEX(DATAS,AA3920+1)),"")</f>
        <v/>
      </c>
    </row>
    <row r="3921" customFormat="false" ht="15" hidden="false" customHeight="false" outlineLevel="0" collapsed="false">
      <c r="A3921" s="51" t="n">
        <v>46309</v>
      </c>
      <c r="B3921" s="0" t="n">
        <v>15</v>
      </c>
      <c r="C3921" s="0" t="n">
        <v>30861</v>
      </c>
      <c r="E3921" s="0" t="n">
        <v>0</v>
      </c>
      <c r="F3921" s="46" t="s">
        <v>1707</v>
      </c>
      <c r="I3921" s="46" t="s">
        <v>150</v>
      </c>
      <c r="U3921" s="0" t="n">
        <v>85</v>
      </c>
      <c r="V3921" s="0" t="n">
        <v>0</v>
      </c>
      <c r="X3921" s="46" t="n">
        <f aca="false">IF(I3921="Male",0,1)</f>
        <v>0</v>
      </c>
      <c r="Y3921" s="46" t="n">
        <f aca="false">IF(OR(I3921="DNB",I3921="Dry DNB"),1,0)</f>
        <v>0</v>
      </c>
      <c r="Z3921" s="0" t="str">
        <f aca="false">IF(ISNUMBER(W3921),A3921-W3921,"")</f>
        <v/>
      </c>
      <c r="AA3921" s="46" t="n">
        <f aca="false">MATCH(A3921,DATAS,0)</f>
        <v>1</v>
      </c>
      <c r="AB3921" s="46" t="n">
        <f aca="false">IF(AND(E3921&gt;0,OR(AND(B3921&gt;=1,B3921&lt;=6),B3921=10)),1,0)</f>
        <v>0</v>
      </c>
      <c r="AC3921" s="46" t="n">
        <f aca="false">IF(AND(E3921&gt;0,B3921=10),1,0)</f>
        <v>0</v>
      </c>
      <c r="AD3921" s="0" t="str">
        <f aca="false">IF(AND(C3920=C3921,AA3920=AA3921-1),AB3920,"")</f>
        <v/>
      </c>
      <c r="AE3921" s="0" t="str">
        <f aca="false">IF(AND(C3920=C3921,AA3920=AA3921-1),AC3920,"")</f>
        <v/>
      </c>
      <c r="AF3921" s="0" t="str">
        <f aca="false">IF(AA3921=1,"",IF(AND(AB3921=1,AD3921&lt;&gt;1),1,0))</f>
        <v/>
      </c>
      <c r="AG3921" s="0" t="str">
        <f aca="false">IF(AA3921=1,"",IF(AND(AC3921=1,AE3921&lt;&gt;1),1,0))</f>
        <v/>
      </c>
      <c r="AH3921" s="51" t="str">
        <f aca="false">IF(AND(E3921&gt;0,AA3921&lt;1,NOT(AND(C3922=C3921,AA3922=AA3921+1))),INDEX(DATAS,AA3921+1),"")</f>
        <v/>
      </c>
      <c r="AI3921" s="51" t="str">
        <f aca="false">IF(AND(AC3921=1,AA3921&lt;1),IF(AND(C3922=C3921,AA3922=AA3921+1),IF(AC3922=1,"",INDEX(DATAS,AA3921+1)),INDEX(DATAS,AA3921+1)),"")</f>
        <v/>
      </c>
    </row>
    <row r="3922" customFormat="false" ht="15" hidden="false" customHeight="false" outlineLevel="0" collapsed="false">
      <c r="A3922" s="51" t="n">
        <v>46309</v>
      </c>
      <c r="B3922" s="0" t="n">
        <v>15</v>
      </c>
      <c r="C3922" s="0" t="n">
        <v>30864</v>
      </c>
      <c r="E3922" s="0" t="n">
        <v>0</v>
      </c>
      <c r="F3922" s="46" t="s">
        <v>1619</v>
      </c>
      <c r="I3922" s="46" t="s">
        <v>150</v>
      </c>
      <c r="U3922" s="0" t="n">
        <v>84</v>
      </c>
      <c r="V3922" s="0" t="n">
        <v>0</v>
      </c>
      <c r="X3922" s="46" t="n">
        <f aca="false">IF(I3922="Male",0,1)</f>
        <v>0</v>
      </c>
      <c r="Y3922" s="46" t="n">
        <f aca="false">IF(OR(I3922="DNB",I3922="Dry DNB"),1,0)</f>
        <v>0</v>
      </c>
      <c r="Z3922" s="0" t="str">
        <f aca="false">IF(ISNUMBER(W3922),A3922-W3922,"")</f>
        <v/>
      </c>
      <c r="AA3922" s="46" t="n">
        <f aca="false">MATCH(A3922,DATAS,0)</f>
        <v>1</v>
      </c>
      <c r="AB3922" s="46" t="n">
        <f aca="false">IF(AND(E3922&gt;0,OR(AND(B3922&gt;=1,B3922&lt;=6),B3922=10)),1,0)</f>
        <v>0</v>
      </c>
      <c r="AC3922" s="46" t="n">
        <f aca="false">IF(AND(E3922&gt;0,B3922=10),1,0)</f>
        <v>0</v>
      </c>
      <c r="AD3922" s="0" t="str">
        <f aca="false">IF(AND(C3921=C3922,AA3921=AA3922-1),AB3921,"")</f>
        <v/>
      </c>
      <c r="AE3922" s="0" t="str">
        <f aca="false">IF(AND(C3921=C3922,AA3921=AA3922-1),AC3921,"")</f>
        <v/>
      </c>
      <c r="AF3922" s="0" t="str">
        <f aca="false">IF(AA3922=1,"",IF(AND(AB3922=1,AD3922&lt;&gt;1),1,0))</f>
        <v/>
      </c>
      <c r="AG3922" s="0" t="str">
        <f aca="false">IF(AA3922=1,"",IF(AND(AC3922=1,AE3922&lt;&gt;1),1,0))</f>
        <v/>
      </c>
      <c r="AH3922" s="51" t="str">
        <f aca="false">IF(AND(E3922&gt;0,AA3922&lt;1,NOT(AND(C3923=C3922,AA3923=AA3922+1))),INDEX(DATAS,AA3922+1),"")</f>
        <v/>
      </c>
      <c r="AI3922" s="51" t="str">
        <f aca="false">IF(AND(AC3922=1,AA3922&lt;1),IF(AND(C3923=C3922,AA3923=AA3922+1),IF(AC3923=1,"",INDEX(DATAS,AA3922+1)),INDEX(DATAS,AA3922+1)),"")</f>
        <v/>
      </c>
    </row>
    <row r="3923" customFormat="false" ht="15" hidden="false" customHeight="false" outlineLevel="0" collapsed="false">
      <c r="A3923" s="51" t="n">
        <v>46309</v>
      </c>
      <c r="B3923" s="0" t="n">
        <v>15</v>
      </c>
      <c r="C3923" s="0" t="n">
        <v>30865</v>
      </c>
      <c r="E3923" s="0" t="n">
        <v>0</v>
      </c>
      <c r="F3923" s="46" t="s">
        <v>1620</v>
      </c>
      <c r="I3923" s="46" t="s">
        <v>150</v>
      </c>
      <c r="U3923" s="0" t="n">
        <v>83</v>
      </c>
      <c r="V3923" s="0" t="n">
        <v>0</v>
      </c>
      <c r="X3923" s="46" t="n">
        <f aca="false">IF(I3923="Male",0,1)</f>
        <v>0</v>
      </c>
      <c r="Y3923" s="46" t="n">
        <f aca="false">IF(OR(I3923="DNB",I3923="Dry DNB"),1,0)</f>
        <v>0</v>
      </c>
      <c r="Z3923" s="0" t="str">
        <f aca="false">IF(ISNUMBER(W3923),A3923-W3923,"")</f>
        <v/>
      </c>
      <c r="AA3923" s="46" t="n">
        <f aca="false">MATCH(A3923,DATAS,0)</f>
        <v>1</v>
      </c>
      <c r="AB3923" s="46" t="n">
        <f aca="false">IF(AND(E3923&gt;0,OR(AND(B3923&gt;=1,B3923&lt;=6),B3923=10)),1,0)</f>
        <v>0</v>
      </c>
      <c r="AC3923" s="46" t="n">
        <f aca="false">IF(AND(E3923&gt;0,B3923=10),1,0)</f>
        <v>0</v>
      </c>
      <c r="AD3923" s="0" t="str">
        <f aca="false">IF(AND(C3922=C3923,AA3922=AA3923-1),AB3922,"")</f>
        <v/>
      </c>
      <c r="AE3923" s="0" t="str">
        <f aca="false">IF(AND(C3922=C3923,AA3922=AA3923-1),AC3922,"")</f>
        <v/>
      </c>
      <c r="AF3923" s="0" t="str">
        <f aca="false">IF(AA3923=1,"",IF(AND(AB3923=1,AD3923&lt;&gt;1),1,0))</f>
        <v/>
      </c>
      <c r="AG3923" s="0" t="str">
        <f aca="false">IF(AA3923=1,"",IF(AND(AC3923=1,AE3923&lt;&gt;1),1,0))</f>
        <v/>
      </c>
      <c r="AH3923" s="51" t="str">
        <f aca="false">IF(AND(E3923&gt;0,AA3923&lt;1,NOT(AND(C3924=C3923,AA3924=AA3923+1))),INDEX(DATAS,AA3923+1),"")</f>
        <v/>
      </c>
      <c r="AI3923" s="51" t="str">
        <f aca="false">IF(AND(AC3923=1,AA3923&lt;1),IF(AND(C3924=C3923,AA3924=AA3923+1),IF(AC3924=1,"",INDEX(DATAS,AA3923+1)),INDEX(DATAS,AA3923+1)),"")</f>
        <v/>
      </c>
    </row>
    <row r="3924" customFormat="false" ht="15" hidden="false" customHeight="false" outlineLevel="0" collapsed="false">
      <c r="A3924" s="51" t="n">
        <v>46309</v>
      </c>
      <c r="B3924" s="0" t="n">
        <v>15</v>
      </c>
      <c r="C3924" s="0" t="n">
        <v>30866</v>
      </c>
      <c r="E3924" s="0" t="n">
        <v>0</v>
      </c>
      <c r="F3924" s="46" t="s">
        <v>1620</v>
      </c>
      <c r="I3924" s="46" t="s">
        <v>150</v>
      </c>
      <c r="U3924" s="0" t="n">
        <v>83</v>
      </c>
      <c r="V3924" s="0" t="n">
        <v>0</v>
      </c>
      <c r="X3924" s="46" t="n">
        <f aca="false">IF(I3924="Male",0,1)</f>
        <v>0</v>
      </c>
      <c r="Y3924" s="46" t="n">
        <f aca="false">IF(OR(I3924="DNB",I3924="Dry DNB"),1,0)</f>
        <v>0</v>
      </c>
      <c r="Z3924" s="0" t="str">
        <f aca="false">IF(ISNUMBER(W3924),A3924-W3924,"")</f>
        <v/>
      </c>
      <c r="AA3924" s="46" t="n">
        <f aca="false">MATCH(A3924,DATAS,0)</f>
        <v>1</v>
      </c>
      <c r="AB3924" s="46" t="n">
        <f aca="false">IF(AND(E3924&gt;0,OR(AND(B3924&gt;=1,B3924&lt;=6),B3924=10)),1,0)</f>
        <v>0</v>
      </c>
      <c r="AC3924" s="46" t="n">
        <f aca="false">IF(AND(E3924&gt;0,B3924=10),1,0)</f>
        <v>0</v>
      </c>
      <c r="AD3924" s="0" t="str">
        <f aca="false">IF(AND(C3923=C3924,AA3923=AA3924-1),AB3923,"")</f>
        <v/>
      </c>
      <c r="AE3924" s="0" t="str">
        <f aca="false">IF(AND(C3923=C3924,AA3923=AA3924-1),AC3923,"")</f>
        <v/>
      </c>
      <c r="AF3924" s="0" t="str">
        <f aca="false">IF(AA3924=1,"",IF(AND(AB3924=1,AD3924&lt;&gt;1),1,0))</f>
        <v/>
      </c>
      <c r="AG3924" s="0" t="str">
        <f aca="false">IF(AA3924=1,"",IF(AND(AC3924=1,AE3924&lt;&gt;1),1,0))</f>
        <v/>
      </c>
      <c r="AH3924" s="51" t="str">
        <f aca="false">IF(AND(E3924&gt;0,AA3924&lt;1,NOT(AND(C3925=C3924,AA3925=AA3924+1))),INDEX(DATAS,AA3924+1),"")</f>
        <v/>
      </c>
      <c r="AI3924" s="51" t="str">
        <f aca="false">IF(AND(AC3924=1,AA3924&lt;1),IF(AND(C3925=C3924,AA3925=AA3924+1),IF(AC3925=1,"",INDEX(DATAS,AA3924+1)),INDEX(DATAS,AA3924+1)),"")</f>
        <v/>
      </c>
    </row>
    <row r="3925" customFormat="false" ht="15" hidden="false" customHeight="false" outlineLevel="0" collapsed="false">
      <c r="A3925" s="51" t="n">
        <v>46309</v>
      </c>
      <c r="B3925" s="0" t="n">
        <v>15</v>
      </c>
      <c r="C3925" s="0" t="n">
        <v>30867</v>
      </c>
      <c r="E3925" s="0" t="n">
        <v>0</v>
      </c>
      <c r="F3925" s="46" t="s">
        <v>1621</v>
      </c>
      <c r="I3925" s="46" t="s">
        <v>150</v>
      </c>
      <c r="U3925" s="0" t="n">
        <v>82</v>
      </c>
      <c r="V3925" s="0" t="n">
        <v>0</v>
      </c>
      <c r="X3925" s="46" t="n">
        <f aca="false">IF(I3925="Male",0,1)</f>
        <v>0</v>
      </c>
      <c r="Y3925" s="46" t="n">
        <f aca="false">IF(OR(I3925="DNB",I3925="Dry DNB"),1,0)</f>
        <v>0</v>
      </c>
      <c r="Z3925" s="0" t="str">
        <f aca="false">IF(ISNUMBER(W3925),A3925-W3925,"")</f>
        <v/>
      </c>
      <c r="AA3925" s="46" t="n">
        <f aca="false">MATCH(A3925,DATAS,0)</f>
        <v>1</v>
      </c>
      <c r="AB3925" s="46" t="n">
        <f aca="false">IF(AND(E3925&gt;0,OR(AND(B3925&gt;=1,B3925&lt;=6),B3925=10)),1,0)</f>
        <v>0</v>
      </c>
      <c r="AC3925" s="46" t="n">
        <f aca="false">IF(AND(E3925&gt;0,B3925=10),1,0)</f>
        <v>0</v>
      </c>
      <c r="AD3925" s="0" t="str">
        <f aca="false">IF(AND(C3924=C3925,AA3924=AA3925-1),AB3924,"")</f>
        <v/>
      </c>
      <c r="AE3925" s="0" t="str">
        <f aca="false">IF(AND(C3924=C3925,AA3924=AA3925-1),AC3924,"")</f>
        <v/>
      </c>
      <c r="AF3925" s="0" t="str">
        <f aca="false">IF(AA3925=1,"",IF(AND(AB3925=1,AD3925&lt;&gt;1),1,0))</f>
        <v/>
      </c>
      <c r="AG3925" s="0" t="str">
        <f aca="false">IF(AA3925=1,"",IF(AND(AC3925=1,AE3925&lt;&gt;1),1,0))</f>
        <v/>
      </c>
      <c r="AH3925" s="51" t="str">
        <f aca="false">IF(AND(E3925&gt;0,AA3925&lt;1,NOT(AND(C3926=C3925,AA3926=AA3925+1))),INDEX(DATAS,AA3925+1),"")</f>
        <v/>
      </c>
      <c r="AI3925" s="51" t="str">
        <f aca="false">IF(AND(AC3925=1,AA3925&lt;1),IF(AND(C3926=C3925,AA3926=AA3925+1),IF(AC3926=1,"",INDEX(DATAS,AA3925+1)),INDEX(DATAS,AA3925+1)),"")</f>
        <v/>
      </c>
    </row>
    <row r="3926" customFormat="false" ht="15" hidden="false" customHeight="false" outlineLevel="0" collapsed="false">
      <c r="A3926" s="51" t="n">
        <v>46309</v>
      </c>
      <c r="B3926" s="0" t="n">
        <v>15</v>
      </c>
      <c r="C3926" s="0" t="n">
        <v>30868</v>
      </c>
      <c r="E3926" s="0" t="n">
        <v>0</v>
      </c>
      <c r="F3926" s="46" t="s">
        <v>1621</v>
      </c>
      <c r="I3926" s="46" t="s">
        <v>150</v>
      </c>
      <c r="U3926" s="0" t="n">
        <v>82</v>
      </c>
      <c r="V3926" s="0" t="n">
        <v>0</v>
      </c>
      <c r="X3926" s="46" t="n">
        <f aca="false">IF(I3926="Male",0,1)</f>
        <v>0</v>
      </c>
      <c r="Y3926" s="46" t="n">
        <f aca="false">IF(OR(I3926="DNB",I3926="Dry DNB"),1,0)</f>
        <v>0</v>
      </c>
      <c r="Z3926" s="0" t="str">
        <f aca="false">IF(ISNUMBER(W3926),A3926-W3926,"")</f>
        <v/>
      </c>
      <c r="AA3926" s="46" t="n">
        <f aca="false">MATCH(A3926,DATAS,0)</f>
        <v>1</v>
      </c>
      <c r="AB3926" s="46" t="n">
        <f aca="false">IF(AND(E3926&gt;0,OR(AND(B3926&gt;=1,B3926&lt;=6),B3926=10)),1,0)</f>
        <v>0</v>
      </c>
      <c r="AC3926" s="46" t="n">
        <f aca="false">IF(AND(E3926&gt;0,B3926=10),1,0)</f>
        <v>0</v>
      </c>
      <c r="AD3926" s="0" t="str">
        <f aca="false">IF(AND(C3925=C3926,AA3925=AA3926-1),AB3925,"")</f>
        <v/>
      </c>
      <c r="AE3926" s="0" t="str">
        <f aca="false">IF(AND(C3925=C3926,AA3925=AA3926-1),AC3925,"")</f>
        <v/>
      </c>
      <c r="AF3926" s="0" t="str">
        <f aca="false">IF(AA3926=1,"",IF(AND(AB3926=1,AD3926&lt;&gt;1),1,0))</f>
        <v/>
      </c>
      <c r="AG3926" s="0" t="str">
        <f aca="false">IF(AA3926=1,"",IF(AND(AC3926=1,AE3926&lt;&gt;1),1,0))</f>
        <v/>
      </c>
      <c r="AH3926" s="51" t="str">
        <f aca="false">IF(AND(E3926&gt;0,AA3926&lt;1,NOT(AND(C3927=C3926,AA3927=AA3926+1))),INDEX(DATAS,AA3926+1),"")</f>
        <v/>
      </c>
      <c r="AI3926" s="51" t="str">
        <f aca="false">IF(AND(AC3926=1,AA3926&lt;1),IF(AND(C3927=C3926,AA3927=AA3926+1),IF(AC3927=1,"",INDEX(DATAS,AA3926+1)),INDEX(DATAS,AA3926+1)),"")</f>
        <v/>
      </c>
    </row>
    <row r="3927" customFormat="false" ht="15" hidden="false" customHeight="false" outlineLevel="0" collapsed="false">
      <c r="A3927" s="51" t="n">
        <v>46309</v>
      </c>
      <c r="B3927" s="0" t="n">
        <v>15</v>
      </c>
      <c r="C3927" s="0" t="n">
        <v>30872</v>
      </c>
      <c r="E3927" s="0" t="n">
        <v>0</v>
      </c>
      <c r="F3927" s="46" t="s">
        <v>1623</v>
      </c>
      <c r="I3927" s="46" t="s">
        <v>150</v>
      </c>
      <c r="U3927" s="0" t="n">
        <v>79</v>
      </c>
      <c r="V3927" s="0" t="n">
        <v>0</v>
      </c>
      <c r="X3927" s="46" t="n">
        <f aca="false">IF(I3927="Male",0,1)</f>
        <v>0</v>
      </c>
      <c r="Y3927" s="46" t="n">
        <f aca="false">IF(OR(I3927="DNB",I3927="Dry DNB"),1,0)</f>
        <v>0</v>
      </c>
      <c r="Z3927" s="0" t="str">
        <f aca="false">IF(ISNUMBER(W3927),A3927-W3927,"")</f>
        <v/>
      </c>
      <c r="AA3927" s="46" t="n">
        <f aca="false">MATCH(A3927,DATAS,0)</f>
        <v>1</v>
      </c>
      <c r="AB3927" s="46" t="n">
        <f aca="false">IF(AND(E3927&gt;0,OR(AND(B3927&gt;=1,B3927&lt;=6),B3927=10)),1,0)</f>
        <v>0</v>
      </c>
      <c r="AC3927" s="46" t="n">
        <f aca="false">IF(AND(E3927&gt;0,B3927=10),1,0)</f>
        <v>0</v>
      </c>
      <c r="AD3927" s="0" t="str">
        <f aca="false">IF(AND(C3926=C3927,AA3926=AA3927-1),AB3926,"")</f>
        <v/>
      </c>
      <c r="AE3927" s="0" t="str">
        <f aca="false">IF(AND(C3926=C3927,AA3926=AA3927-1),AC3926,"")</f>
        <v/>
      </c>
      <c r="AF3927" s="0" t="str">
        <f aca="false">IF(AA3927=1,"",IF(AND(AB3927=1,AD3927&lt;&gt;1),1,0))</f>
        <v/>
      </c>
      <c r="AG3927" s="0" t="str">
        <f aca="false">IF(AA3927=1,"",IF(AND(AC3927=1,AE3927&lt;&gt;1),1,0))</f>
        <v/>
      </c>
      <c r="AH3927" s="51" t="str">
        <f aca="false">IF(AND(E3927&gt;0,AA3927&lt;1,NOT(AND(C3928=C3927,AA3928=AA3927+1))),INDEX(DATAS,AA3927+1),"")</f>
        <v/>
      </c>
      <c r="AI3927" s="51" t="str">
        <f aca="false">IF(AND(AC3927=1,AA3927&lt;1),IF(AND(C3928=C3927,AA3928=AA3927+1),IF(AC3928=1,"",INDEX(DATAS,AA3927+1)),INDEX(DATAS,AA3927+1)),"")</f>
        <v/>
      </c>
    </row>
    <row r="3928" customFormat="false" ht="15" hidden="false" customHeight="false" outlineLevel="0" collapsed="false">
      <c r="A3928" s="51" t="n">
        <v>46309</v>
      </c>
      <c r="B3928" s="0" t="n">
        <v>15</v>
      </c>
      <c r="C3928" s="0" t="n">
        <v>30874</v>
      </c>
      <c r="E3928" s="0" t="n">
        <v>0</v>
      </c>
      <c r="F3928" s="46" t="s">
        <v>1626</v>
      </c>
      <c r="I3928" s="46" t="s">
        <v>150</v>
      </c>
      <c r="U3928" s="0" t="n">
        <v>75</v>
      </c>
      <c r="V3928" s="0" t="n">
        <v>0</v>
      </c>
      <c r="X3928" s="46" t="n">
        <f aca="false">IF(I3928="Male",0,1)</f>
        <v>0</v>
      </c>
      <c r="Y3928" s="46" t="n">
        <f aca="false">IF(OR(I3928="DNB",I3928="Dry DNB"),1,0)</f>
        <v>0</v>
      </c>
      <c r="Z3928" s="0" t="str">
        <f aca="false">IF(ISNUMBER(W3928),A3928-W3928,"")</f>
        <v/>
      </c>
      <c r="AA3928" s="46" t="n">
        <f aca="false">MATCH(A3928,DATAS,0)</f>
        <v>1</v>
      </c>
      <c r="AB3928" s="46" t="n">
        <f aca="false">IF(AND(E3928&gt;0,OR(AND(B3928&gt;=1,B3928&lt;=6),B3928=10)),1,0)</f>
        <v>0</v>
      </c>
      <c r="AC3928" s="46" t="n">
        <f aca="false">IF(AND(E3928&gt;0,B3928=10),1,0)</f>
        <v>0</v>
      </c>
      <c r="AD3928" s="0" t="str">
        <f aca="false">IF(AND(C3927=C3928,AA3927=AA3928-1),AB3927,"")</f>
        <v/>
      </c>
      <c r="AE3928" s="0" t="str">
        <f aca="false">IF(AND(C3927=C3928,AA3927=AA3928-1),AC3927,"")</f>
        <v/>
      </c>
      <c r="AF3928" s="0" t="str">
        <f aca="false">IF(AA3928=1,"",IF(AND(AB3928=1,AD3928&lt;&gt;1),1,0))</f>
        <v/>
      </c>
      <c r="AG3928" s="0" t="str">
        <f aca="false">IF(AA3928=1,"",IF(AND(AC3928=1,AE3928&lt;&gt;1),1,0))</f>
        <v/>
      </c>
      <c r="AH3928" s="51" t="str">
        <f aca="false">IF(AND(E3928&gt;0,AA3928&lt;1,NOT(AND(C3929=C3928,AA3929=AA3928+1))),INDEX(DATAS,AA3928+1),"")</f>
        <v/>
      </c>
      <c r="AI3928" s="51" t="str">
        <f aca="false">IF(AND(AC3928=1,AA3928&lt;1),IF(AND(C3929=C3928,AA3929=AA3928+1),IF(AC3929=1,"",INDEX(DATAS,AA3928+1)),INDEX(DATAS,AA3928+1)),"")</f>
        <v/>
      </c>
    </row>
    <row r="3929" customFormat="false" ht="15" hidden="false" customHeight="false" outlineLevel="0" collapsed="false">
      <c r="A3929" s="51" t="n">
        <v>46309</v>
      </c>
      <c r="B3929" s="0" t="n">
        <v>15</v>
      </c>
      <c r="C3929" s="0" t="n">
        <v>30875</v>
      </c>
      <c r="E3929" s="0" t="n">
        <v>0</v>
      </c>
      <c r="F3929" s="46" t="s">
        <v>1626</v>
      </c>
      <c r="I3929" s="46" t="s">
        <v>150</v>
      </c>
      <c r="U3929" s="0" t="n">
        <v>75</v>
      </c>
      <c r="V3929" s="0" t="n">
        <v>0</v>
      </c>
      <c r="X3929" s="46" t="n">
        <f aca="false">IF(I3929="Male",0,1)</f>
        <v>0</v>
      </c>
      <c r="Y3929" s="46" t="n">
        <f aca="false">IF(OR(I3929="DNB",I3929="Dry DNB"),1,0)</f>
        <v>0</v>
      </c>
      <c r="Z3929" s="0" t="str">
        <f aca="false">IF(ISNUMBER(W3929),A3929-W3929,"")</f>
        <v/>
      </c>
      <c r="AA3929" s="46" t="n">
        <f aca="false">MATCH(A3929,DATAS,0)</f>
        <v>1</v>
      </c>
      <c r="AB3929" s="46" t="n">
        <f aca="false">IF(AND(E3929&gt;0,OR(AND(B3929&gt;=1,B3929&lt;=6),B3929=10)),1,0)</f>
        <v>0</v>
      </c>
      <c r="AC3929" s="46" t="n">
        <f aca="false">IF(AND(E3929&gt;0,B3929=10),1,0)</f>
        <v>0</v>
      </c>
      <c r="AD3929" s="0" t="str">
        <f aca="false">IF(AND(C3928=C3929,AA3928=AA3929-1),AB3928,"")</f>
        <v/>
      </c>
      <c r="AE3929" s="0" t="str">
        <f aca="false">IF(AND(C3928=C3929,AA3928=AA3929-1),AC3928,"")</f>
        <v/>
      </c>
      <c r="AF3929" s="0" t="str">
        <f aca="false">IF(AA3929=1,"",IF(AND(AB3929=1,AD3929&lt;&gt;1),1,0))</f>
        <v/>
      </c>
      <c r="AG3929" s="0" t="str">
        <f aca="false">IF(AA3929=1,"",IF(AND(AC3929=1,AE3929&lt;&gt;1),1,0))</f>
        <v/>
      </c>
      <c r="AH3929" s="51" t="str">
        <f aca="false">IF(AND(E3929&gt;0,AA3929&lt;1,NOT(AND(C3930=C3929,AA3930=AA3929+1))),INDEX(DATAS,AA3929+1),"")</f>
        <v/>
      </c>
      <c r="AI3929" s="51" t="str">
        <f aca="false">IF(AND(AC3929=1,AA3929&lt;1),IF(AND(C3930=C3929,AA3930=AA3929+1),IF(AC3930=1,"",INDEX(DATAS,AA3929+1)),INDEX(DATAS,AA3929+1)),"")</f>
        <v/>
      </c>
    </row>
    <row r="3930" customFormat="false" ht="15" hidden="false" customHeight="false" outlineLevel="0" collapsed="false">
      <c r="A3930" s="51" t="n">
        <v>46309</v>
      </c>
      <c r="B3930" s="0" t="n">
        <v>15</v>
      </c>
      <c r="C3930" s="0" t="n">
        <v>30877</v>
      </c>
      <c r="E3930" s="0" t="n">
        <v>0</v>
      </c>
      <c r="F3930" s="46" t="s">
        <v>1627</v>
      </c>
      <c r="I3930" s="46" t="s">
        <v>150</v>
      </c>
      <c r="U3930" s="0" t="n">
        <v>74</v>
      </c>
      <c r="V3930" s="0" t="n">
        <v>0</v>
      </c>
      <c r="X3930" s="46" t="n">
        <f aca="false">IF(I3930="Male",0,1)</f>
        <v>0</v>
      </c>
      <c r="Y3930" s="46" t="n">
        <f aca="false">IF(OR(I3930="DNB",I3930="Dry DNB"),1,0)</f>
        <v>0</v>
      </c>
      <c r="Z3930" s="0" t="str">
        <f aca="false">IF(ISNUMBER(W3930),A3930-W3930,"")</f>
        <v/>
      </c>
      <c r="AA3930" s="46" t="n">
        <f aca="false">MATCH(A3930,DATAS,0)</f>
        <v>1</v>
      </c>
      <c r="AB3930" s="46" t="n">
        <f aca="false">IF(AND(E3930&gt;0,OR(AND(B3930&gt;=1,B3930&lt;=6),B3930=10)),1,0)</f>
        <v>0</v>
      </c>
      <c r="AC3930" s="46" t="n">
        <f aca="false">IF(AND(E3930&gt;0,B3930=10),1,0)</f>
        <v>0</v>
      </c>
      <c r="AD3930" s="0" t="str">
        <f aca="false">IF(AND(C3929=C3930,AA3929=AA3930-1),AB3929,"")</f>
        <v/>
      </c>
      <c r="AE3930" s="0" t="str">
        <f aca="false">IF(AND(C3929=C3930,AA3929=AA3930-1),AC3929,"")</f>
        <v/>
      </c>
      <c r="AF3930" s="0" t="str">
        <f aca="false">IF(AA3930=1,"",IF(AND(AB3930=1,AD3930&lt;&gt;1),1,0))</f>
        <v/>
      </c>
      <c r="AG3930" s="0" t="str">
        <f aca="false">IF(AA3930=1,"",IF(AND(AC3930=1,AE3930&lt;&gt;1),1,0))</f>
        <v/>
      </c>
      <c r="AH3930" s="51" t="str">
        <f aca="false">IF(AND(E3930&gt;0,AA3930&lt;1,NOT(AND(C3931=C3930,AA3931=AA3930+1))),INDEX(DATAS,AA3930+1),"")</f>
        <v/>
      </c>
      <c r="AI3930" s="51" t="str">
        <f aca="false">IF(AND(AC3930=1,AA3930&lt;1),IF(AND(C3931=C3930,AA3931=AA3930+1),IF(AC3931=1,"",INDEX(DATAS,AA3930+1)),INDEX(DATAS,AA3930+1)),"")</f>
        <v/>
      </c>
    </row>
    <row r="3931" customFormat="false" ht="15" hidden="false" customHeight="false" outlineLevel="0" collapsed="false">
      <c r="A3931" s="51" t="n">
        <v>46309</v>
      </c>
      <c r="B3931" s="0" t="n">
        <v>15</v>
      </c>
      <c r="C3931" s="0" t="n">
        <v>30878</v>
      </c>
      <c r="E3931" s="0" t="n">
        <v>0</v>
      </c>
      <c r="F3931" s="46" t="s">
        <v>1627</v>
      </c>
      <c r="I3931" s="46" t="s">
        <v>150</v>
      </c>
      <c r="U3931" s="0" t="n">
        <v>74</v>
      </c>
      <c r="V3931" s="0" t="n">
        <v>0</v>
      </c>
      <c r="X3931" s="46" t="n">
        <f aca="false">IF(I3931="Male",0,1)</f>
        <v>0</v>
      </c>
      <c r="Y3931" s="46" t="n">
        <f aca="false">IF(OR(I3931="DNB",I3931="Dry DNB"),1,0)</f>
        <v>0</v>
      </c>
      <c r="Z3931" s="0" t="str">
        <f aca="false">IF(ISNUMBER(W3931),A3931-W3931,"")</f>
        <v/>
      </c>
      <c r="AA3931" s="46" t="n">
        <f aca="false">MATCH(A3931,DATAS,0)</f>
        <v>1</v>
      </c>
      <c r="AB3931" s="46" t="n">
        <f aca="false">IF(AND(E3931&gt;0,OR(AND(B3931&gt;=1,B3931&lt;=6),B3931=10)),1,0)</f>
        <v>0</v>
      </c>
      <c r="AC3931" s="46" t="n">
        <f aca="false">IF(AND(E3931&gt;0,B3931=10),1,0)</f>
        <v>0</v>
      </c>
      <c r="AD3931" s="0" t="str">
        <f aca="false">IF(AND(C3930=C3931,AA3930=AA3931-1),AB3930,"")</f>
        <v/>
      </c>
      <c r="AE3931" s="0" t="str">
        <f aca="false">IF(AND(C3930=C3931,AA3930=AA3931-1),AC3930,"")</f>
        <v/>
      </c>
      <c r="AF3931" s="0" t="str">
        <f aca="false">IF(AA3931=1,"",IF(AND(AB3931=1,AD3931&lt;&gt;1),1,0))</f>
        <v/>
      </c>
      <c r="AG3931" s="0" t="str">
        <f aca="false">IF(AA3931=1,"",IF(AND(AC3931=1,AE3931&lt;&gt;1),1,0))</f>
        <v/>
      </c>
      <c r="AH3931" s="51" t="str">
        <f aca="false">IF(AND(E3931&gt;0,AA3931&lt;1,NOT(AND(C3932=C3931,AA3932=AA3931+1))),INDEX(DATAS,AA3931+1),"")</f>
        <v/>
      </c>
      <c r="AI3931" s="51" t="str">
        <f aca="false">IF(AND(AC3931=1,AA3931&lt;1),IF(AND(C3932=C3931,AA3932=AA3931+1),IF(AC3932=1,"",INDEX(DATAS,AA3931+1)),INDEX(DATAS,AA3931+1)),"")</f>
        <v/>
      </c>
    </row>
    <row r="3932" customFormat="false" ht="15" hidden="false" customHeight="false" outlineLevel="0" collapsed="false">
      <c r="A3932" s="51" t="n">
        <v>46309</v>
      </c>
      <c r="B3932" s="0" t="n">
        <v>15</v>
      </c>
      <c r="C3932" s="0" t="n">
        <v>30879</v>
      </c>
      <c r="E3932" s="0" t="n">
        <v>0</v>
      </c>
      <c r="F3932" s="46" t="s">
        <v>1627</v>
      </c>
      <c r="I3932" s="46" t="s">
        <v>150</v>
      </c>
      <c r="U3932" s="0" t="n">
        <v>74</v>
      </c>
      <c r="V3932" s="0" t="n">
        <v>0</v>
      </c>
      <c r="X3932" s="46" t="n">
        <f aca="false">IF(I3932="Male",0,1)</f>
        <v>0</v>
      </c>
      <c r="Y3932" s="46" t="n">
        <f aca="false">IF(OR(I3932="DNB",I3932="Dry DNB"),1,0)</f>
        <v>0</v>
      </c>
      <c r="Z3932" s="0" t="str">
        <f aca="false">IF(ISNUMBER(W3932),A3932-W3932,"")</f>
        <v/>
      </c>
      <c r="AA3932" s="46" t="n">
        <f aca="false">MATCH(A3932,DATAS,0)</f>
        <v>1</v>
      </c>
      <c r="AB3932" s="46" t="n">
        <f aca="false">IF(AND(E3932&gt;0,OR(AND(B3932&gt;=1,B3932&lt;=6),B3932=10)),1,0)</f>
        <v>0</v>
      </c>
      <c r="AC3932" s="46" t="n">
        <f aca="false">IF(AND(E3932&gt;0,B3932=10),1,0)</f>
        <v>0</v>
      </c>
      <c r="AD3932" s="0" t="str">
        <f aca="false">IF(AND(C3931=C3932,AA3931=AA3932-1),AB3931,"")</f>
        <v/>
      </c>
      <c r="AE3932" s="0" t="str">
        <f aca="false">IF(AND(C3931=C3932,AA3931=AA3932-1),AC3931,"")</f>
        <v/>
      </c>
      <c r="AF3932" s="0" t="str">
        <f aca="false">IF(AA3932=1,"",IF(AND(AB3932=1,AD3932&lt;&gt;1),1,0))</f>
        <v/>
      </c>
      <c r="AG3932" s="0" t="str">
        <f aca="false">IF(AA3932=1,"",IF(AND(AC3932=1,AE3932&lt;&gt;1),1,0))</f>
        <v/>
      </c>
      <c r="AH3932" s="51" t="str">
        <f aca="false">IF(AND(E3932&gt;0,AA3932&lt;1,NOT(AND(C3933=C3932,AA3933=AA3932+1))),INDEX(DATAS,AA3932+1),"")</f>
        <v/>
      </c>
      <c r="AI3932" s="51" t="str">
        <f aca="false">IF(AND(AC3932=1,AA3932&lt;1),IF(AND(C3933=C3932,AA3933=AA3932+1),IF(AC3933=1,"",INDEX(DATAS,AA3932+1)),INDEX(DATAS,AA3932+1)),"")</f>
        <v/>
      </c>
    </row>
    <row r="3933" customFormat="false" ht="15" hidden="false" customHeight="false" outlineLevel="0" collapsed="false">
      <c r="A3933" s="51" t="n">
        <v>46309</v>
      </c>
      <c r="B3933" s="0" t="n">
        <v>15</v>
      </c>
      <c r="C3933" s="0" t="n">
        <v>30881</v>
      </c>
      <c r="E3933" s="0" t="n">
        <v>0</v>
      </c>
      <c r="F3933" s="46" t="s">
        <v>1635</v>
      </c>
      <c r="I3933" s="46" t="s">
        <v>150</v>
      </c>
      <c r="U3933" s="0" t="n">
        <v>66</v>
      </c>
      <c r="V3933" s="0" t="n">
        <v>0</v>
      </c>
      <c r="X3933" s="46" t="n">
        <f aca="false">IF(I3933="Male",0,1)</f>
        <v>0</v>
      </c>
      <c r="Y3933" s="46" t="n">
        <f aca="false">IF(OR(I3933="DNB",I3933="Dry DNB"),1,0)</f>
        <v>0</v>
      </c>
      <c r="Z3933" s="0" t="str">
        <f aca="false">IF(ISNUMBER(W3933),A3933-W3933,"")</f>
        <v/>
      </c>
      <c r="AA3933" s="46" t="n">
        <f aca="false">MATCH(A3933,DATAS,0)</f>
        <v>1</v>
      </c>
      <c r="AB3933" s="46" t="n">
        <f aca="false">IF(AND(E3933&gt;0,OR(AND(B3933&gt;=1,B3933&lt;=6),B3933=10)),1,0)</f>
        <v>0</v>
      </c>
      <c r="AC3933" s="46" t="n">
        <f aca="false">IF(AND(E3933&gt;0,B3933=10),1,0)</f>
        <v>0</v>
      </c>
      <c r="AD3933" s="0" t="str">
        <f aca="false">IF(AND(C3932=C3933,AA3932=AA3933-1),AB3932,"")</f>
        <v/>
      </c>
      <c r="AE3933" s="0" t="str">
        <f aca="false">IF(AND(C3932=C3933,AA3932=AA3933-1),AC3932,"")</f>
        <v/>
      </c>
      <c r="AF3933" s="0" t="str">
        <f aca="false">IF(AA3933=1,"",IF(AND(AB3933=1,AD3933&lt;&gt;1),1,0))</f>
        <v/>
      </c>
      <c r="AG3933" s="0" t="str">
        <f aca="false">IF(AA3933=1,"",IF(AND(AC3933=1,AE3933&lt;&gt;1),1,0))</f>
        <v/>
      </c>
      <c r="AH3933" s="51" t="str">
        <f aca="false">IF(AND(E3933&gt;0,AA3933&lt;1,NOT(AND(C3934=C3933,AA3934=AA3933+1))),INDEX(DATAS,AA3933+1),"")</f>
        <v/>
      </c>
      <c r="AI3933" s="51" t="str">
        <f aca="false">IF(AND(AC3933=1,AA3933&lt;1),IF(AND(C3934=C3933,AA3934=AA3933+1),IF(AC3934=1,"",INDEX(DATAS,AA3933+1)),INDEX(DATAS,AA3933+1)),"")</f>
        <v/>
      </c>
    </row>
    <row r="3934" customFormat="false" ht="15" hidden="false" customHeight="false" outlineLevel="0" collapsed="false">
      <c r="A3934" s="51" t="n">
        <v>46309</v>
      </c>
      <c r="B3934" s="0" t="n">
        <v>15</v>
      </c>
      <c r="C3934" s="0" t="n">
        <v>30883</v>
      </c>
      <c r="E3934" s="0" t="n">
        <v>0</v>
      </c>
      <c r="F3934" s="46" t="s">
        <v>1635</v>
      </c>
      <c r="I3934" s="46" t="s">
        <v>150</v>
      </c>
      <c r="U3934" s="0" t="n">
        <v>66</v>
      </c>
      <c r="V3934" s="0" t="n">
        <v>0</v>
      </c>
      <c r="X3934" s="46" t="n">
        <f aca="false">IF(I3934="Male",0,1)</f>
        <v>0</v>
      </c>
      <c r="Y3934" s="46" t="n">
        <f aca="false">IF(OR(I3934="DNB",I3934="Dry DNB"),1,0)</f>
        <v>0</v>
      </c>
      <c r="Z3934" s="0" t="str">
        <f aca="false">IF(ISNUMBER(W3934),A3934-W3934,"")</f>
        <v/>
      </c>
      <c r="AA3934" s="46" t="n">
        <f aca="false">MATCH(A3934,DATAS,0)</f>
        <v>1</v>
      </c>
      <c r="AB3934" s="46" t="n">
        <f aca="false">IF(AND(E3934&gt;0,OR(AND(B3934&gt;=1,B3934&lt;=6),B3934=10)),1,0)</f>
        <v>0</v>
      </c>
      <c r="AC3934" s="46" t="n">
        <f aca="false">IF(AND(E3934&gt;0,B3934=10),1,0)</f>
        <v>0</v>
      </c>
      <c r="AD3934" s="0" t="str">
        <f aca="false">IF(AND(C3933=C3934,AA3933=AA3934-1),AB3933,"")</f>
        <v/>
      </c>
      <c r="AE3934" s="0" t="str">
        <f aca="false">IF(AND(C3933=C3934,AA3933=AA3934-1),AC3933,"")</f>
        <v/>
      </c>
      <c r="AF3934" s="0" t="str">
        <f aca="false">IF(AA3934=1,"",IF(AND(AB3934=1,AD3934&lt;&gt;1),1,0))</f>
        <v/>
      </c>
      <c r="AG3934" s="0" t="str">
        <f aca="false">IF(AA3934=1,"",IF(AND(AC3934=1,AE3934&lt;&gt;1),1,0))</f>
        <v/>
      </c>
      <c r="AH3934" s="51" t="str">
        <f aca="false">IF(AND(E3934&gt;0,AA3934&lt;1,NOT(AND(C3935=C3934,AA3935=AA3934+1))),INDEX(DATAS,AA3934+1),"")</f>
        <v/>
      </c>
      <c r="AI3934" s="51" t="str">
        <f aca="false">IF(AND(AC3934=1,AA3934&lt;1),IF(AND(C3935=C3934,AA3935=AA3934+1),IF(AC3935=1,"",INDEX(DATAS,AA3934+1)),INDEX(DATAS,AA3934+1)),"")</f>
        <v/>
      </c>
    </row>
    <row r="3935" customFormat="false" ht="15" hidden="false" customHeight="false" outlineLevel="0" collapsed="false">
      <c r="A3935" s="51" t="n">
        <v>46309</v>
      </c>
      <c r="B3935" s="0" t="n">
        <v>15</v>
      </c>
      <c r="C3935" s="0" t="n">
        <v>30884</v>
      </c>
      <c r="E3935" s="0" t="n">
        <v>0</v>
      </c>
      <c r="F3935" s="46" t="s">
        <v>1635</v>
      </c>
      <c r="I3935" s="46" t="s">
        <v>150</v>
      </c>
      <c r="U3935" s="0" t="n">
        <v>66</v>
      </c>
      <c r="V3935" s="0" t="n">
        <v>0</v>
      </c>
      <c r="X3935" s="46" t="n">
        <f aca="false">IF(I3935="Male",0,1)</f>
        <v>0</v>
      </c>
      <c r="Y3935" s="46" t="n">
        <f aca="false">IF(OR(I3935="DNB",I3935="Dry DNB"),1,0)</f>
        <v>0</v>
      </c>
      <c r="Z3935" s="0" t="str">
        <f aca="false">IF(ISNUMBER(W3935),A3935-W3935,"")</f>
        <v/>
      </c>
      <c r="AA3935" s="46" t="n">
        <f aca="false">MATCH(A3935,DATAS,0)</f>
        <v>1</v>
      </c>
      <c r="AB3935" s="46" t="n">
        <f aca="false">IF(AND(E3935&gt;0,OR(AND(B3935&gt;=1,B3935&lt;=6),B3935=10)),1,0)</f>
        <v>0</v>
      </c>
      <c r="AC3935" s="46" t="n">
        <f aca="false">IF(AND(E3935&gt;0,B3935=10),1,0)</f>
        <v>0</v>
      </c>
      <c r="AD3935" s="0" t="str">
        <f aca="false">IF(AND(C3934=C3935,AA3934=AA3935-1),AB3934,"")</f>
        <v/>
      </c>
      <c r="AE3935" s="0" t="str">
        <f aca="false">IF(AND(C3934=C3935,AA3934=AA3935-1),AC3934,"")</f>
        <v/>
      </c>
      <c r="AF3935" s="0" t="str">
        <f aca="false">IF(AA3935=1,"",IF(AND(AB3935=1,AD3935&lt;&gt;1),1,0))</f>
        <v/>
      </c>
      <c r="AG3935" s="0" t="str">
        <f aca="false">IF(AA3935=1,"",IF(AND(AC3935=1,AE3935&lt;&gt;1),1,0))</f>
        <v/>
      </c>
      <c r="AH3935" s="51" t="str">
        <f aca="false">IF(AND(E3935&gt;0,AA3935&lt;1,NOT(AND(C3936=C3935,AA3936=AA3935+1))),INDEX(DATAS,AA3935+1),"")</f>
        <v/>
      </c>
      <c r="AI3935" s="51" t="str">
        <f aca="false">IF(AND(AC3935=1,AA3935&lt;1),IF(AND(C3936=C3935,AA3936=AA3935+1),IF(AC3936=1,"",INDEX(DATAS,AA3935+1)),INDEX(DATAS,AA3935+1)),"")</f>
        <v/>
      </c>
    </row>
    <row r="3936" customFormat="false" ht="15" hidden="false" customHeight="false" outlineLevel="0" collapsed="false">
      <c r="A3936" s="51" t="n">
        <v>46309</v>
      </c>
      <c r="B3936" s="0" t="n">
        <v>15</v>
      </c>
      <c r="C3936" s="0" t="n">
        <v>30885</v>
      </c>
      <c r="E3936" s="0" t="n">
        <v>0</v>
      </c>
      <c r="F3936" s="46" t="s">
        <v>1636</v>
      </c>
      <c r="I3936" s="46" t="s">
        <v>150</v>
      </c>
      <c r="U3936" s="0" t="n">
        <v>65</v>
      </c>
      <c r="V3936" s="0" t="n">
        <v>0</v>
      </c>
      <c r="X3936" s="46" t="n">
        <f aca="false">IF(I3936="Male",0,1)</f>
        <v>0</v>
      </c>
      <c r="Y3936" s="46" t="n">
        <f aca="false">IF(OR(I3936="DNB",I3936="Dry DNB"),1,0)</f>
        <v>0</v>
      </c>
      <c r="Z3936" s="0" t="str">
        <f aca="false">IF(ISNUMBER(W3936),A3936-W3936,"")</f>
        <v/>
      </c>
      <c r="AA3936" s="46" t="n">
        <f aca="false">MATCH(A3936,DATAS,0)</f>
        <v>1</v>
      </c>
      <c r="AB3936" s="46" t="n">
        <f aca="false">IF(AND(E3936&gt;0,OR(AND(B3936&gt;=1,B3936&lt;=6),B3936=10)),1,0)</f>
        <v>0</v>
      </c>
      <c r="AC3936" s="46" t="n">
        <f aca="false">IF(AND(E3936&gt;0,B3936=10),1,0)</f>
        <v>0</v>
      </c>
      <c r="AD3936" s="0" t="str">
        <f aca="false">IF(AND(C3935=C3936,AA3935=AA3936-1),AB3935,"")</f>
        <v/>
      </c>
      <c r="AE3936" s="0" t="str">
        <f aca="false">IF(AND(C3935=C3936,AA3935=AA3936-1),AC3935,"")</f>
        <v/>
      </c>
      <c r="AF3936" s="0" t="str">
        <f aca="false">IF(AA3936=1,"",IF(AND(AB3936=1,AD3936&lt;&gt;1),1,0))</f>
        <v/>
      </c>
      <c r="AG3936" s="0" t="str">
        <f aca="false">IF(AA3936=1,"",IF(AND(AC3936=1,AE3936&lt;&gt;1),1,0))</f>
        <v/>
      </c>
      <c r="AH3936" s="51" t="str">
        <f aca="false">IF(AND(E3936&gt;0,AA3936&lt;1,NOT(AND(C3937=C3936,AA3937=AA3936+1))),INDEX(DATAS,AA3936+1),"")</f>
        <v/>
      </c>
      <c r="AI3936" s="51" t="str">
        <f aca="false">IF(AND(AC3936=1,AA3936&lt;1),IF(AND(C3937=C3936,AA3937=AA3936+1),IF(AC3937=1,"",INDEX(DATAS,AA3936+1)),INDEX(DATAS,AA3936+1)),"")</f>
        <v/>
      </c>
    </row>
    <row r="3937" customFormat="false" ht="15" hidden="false" customHeight="false" outlineLevel="0" collapsed="false">
      <c r="A3937" s="51" t="n">
        <v>46309</v>
      </c>
      <c r="B3937" s="0" t="n">
        <v>15</v>
      </c>
      <c r="C3937" s="0" t="n">
        <v>30888</v>
      </c>
      <c r="E3937" s="0" t="n">
        <v>0</v>
      </c>
      <c r="F3937" s="46" t="s">
        <v>1638</v>
      </c>
      <c r="I3937" s="46" t="s">
        <v>150</v>
      </c>
      <c r="U3937" s="0" t="n">
        <v>63</v>
      </c>
      <c r="V3937" s="0" t="n">
        <v>0</v>
      </c>
      <c r="X3937" s="46" t="n">
        <f aca="false">IF(I3937="Male",0,1)</f>
        <v>0</v>
      </c>
      <c r="Y3937" s="46" t="n">
        <f aca="false">IF(OR(I3937="DNB",I3937="Dry DNB"),1,0)</f>
        <v>0</v>
      </c>
      <c r="Z3937" s="0" t="str">
        <f aca="false">IF(ISNUMBER(W3937),A3937-W3937,"")</f>
        <v/>
      </c>
      <c r="AA3937" s="46" t="n">
        <f aca="false">MATCH(A3937,DATAS,0)</f>
        <v>1</v>
      </c>
      <c r="AB3937" s="46" t="n">
        <f aca="false">IF(AND(E3937&gt;0,OR(AND(B3937&gt;=1,B3937&lt;=6),B3937=10)),1,0)</f>
        <v>0</v>
      </c>
      <c r="AC3937" s="46" t="n">
        <f aca="false">IF(AND(E3937&gt;0,B3937=10),1,0)</f>
        <v>0</v>
      </c>
      <c r="AD3937" s="0" t="str">
        <f aca="false">IF(AND(C3936=C3937,AA3936=AA3937-1),AB3936,"")</f>
        <v/>
      </c>
      <c r="AE3937" s="0" t="str">
        <f aca="false">IF(AND(C3936=C3937,AA3936=AA3937-1),AC3936,"")</f>
        <v/>
      </c>
      <c r="AF3937" s="0" t="str">
        <f aca="false">IF(AA3937=1,"",IF(AND(AB3937=1,AD3937&lt;&gt;1),1,0))</f>
        <v/>
      </c>
      <c r="AG3937" s="0" t="str">
        <f aca="false">IF(AA3937=1,"",IF(AND(AC3937=1,AE3937&lt;&gt;1),1,0))</f>
        <v/>
      </c>
      <c r="AH3937" s="51" t="str">
        <f aca="false">IF(AND(E3937&gt;0,AA3937&lt;1,NOT(AND(C3938=C3937,AA3938=AA3937+1))),INDEX(DATAS,AA3937+1),"")</f>
        <v/>
      </c>
      <c r="AI3937" s="51" t="str">
        <f aca="false">IF(AND(AC3937=1,AA3937&lt;1),IF(AND(C3938=C3937,AA3938=AA3937+1),IF(AC3938=1,"",INDEX(DATAS,AA3937+1)),INDEX(DATAS,AA3937+1)),"")</f>
        <v/>
      </c>
    </row>
    <row r="3938" customFormat="false" ht="15" hidden="false" customHeight="false" outlineLevel="0" collapsed="false">
      <c r="A3938" s="51" t="n">
        <v>46309</v>
      </c>
      <c r="B3938" s="0" t="n">
        <v>15</v>
      </c>
      <c r="C3938" s="0" t="n">
        <v>30889</v>
      </c>
      <c r="E3938" s="0" t="n">
        <v>0</v>
      </c>
      <c r="F3938" s="46" t="s">
        <v>1638</v>
      </c>
      <c r="I3938" s="46" t="s">
        <v>150</v>
      </c>
      <c r="U3938" s="0" t="n">
        <v>63</v>
      </c>
      <c r="V3938" s="0" t="n">
        <v>0</v>
      </c>
      <c r="X3938" s="46" t="n">
        <f aca="false">IF(I3938="Male",0,1)</f>
        <v>0</v>
      </c>
      <c r="Y3938" s="46" t="n">
        <f aca="false">IF(OR(I3938="DNB",I3938="Dry DNB"),1,0)</f>
        <v>0</v>
      </c>
      <c r="Z3938" s="0" t="str">
        <f aca="false">IF(ISNUMBER(W3938),A3938-W3938,"")</f>
        <v/>
      </c>
      <c r="AA3938" s="46" t="n">
        <f aca="false">MATCH(A3938,DATAS,0)</f>
        <v>1</v>
      </c>
      <c r="AB3938" s="46" t="n">
        <f aca="false">IF(AND(E3938&gt;0,OR(AND(B3938&gt;=1,B3938&lt;=6),B3938=10)),1,0)</f>
        <v>0</v>
      </c>
      <c r="AC3938" s="46" t="n">
        <f aca="false">IF(AND(E3938&gt;0,B3938=10),1,0)</f>
        <v>0</v>
      </c>
      <c r="AD3938" s="0" t="str">
        <f aca="false">IF(AND(C3937=C3938,AA3937=AA3938-1),AB3937,"")</f>
        <v/>
      </c>
      <c r="AE3938" s="0" t="str">
        <f aca="false">IF(AND(C3937=C3938,AA3937=AA3938-1),AC3937,"")</f>
        <v/>
      </c>
      <c r="AF3938" s="0" t="str">
        <f aca="false">IF(AA3938=1,"",IF(AND(AB3938=1,AD3938&lt;&gt;1),1,0))</f>
        <v/>
      </c>
      <c r="AG3938" s="0" t="str">
        <f aca="false">IF(AA3938=1,"",IF(AND(AC3938=1,AE3938&lt;&gt;1),1,0))</f>
        <v/>
      </c>
      <c r="AH3938" s="51" t="str">
        <f aca="false">IF(AND(E3938&gt;0,AA3938&lt;1,NOT(AND(C3939=C3938,AA3939=AA3938+1))),INDEX(DATAS,AA3938+1),"")</f>
        <v/>
      </c>
      <c r="AI3938" s="51" t="str">
        <f aca="false">IF(AND(AC3938=1,AA3938&lt;1),IF(AND(C3939=C3938,AA3939=AA3938+1),IF(AC3939=1,"",INDEX(DATAS,AA3938+1)),INDEX(DATAS,AA3938+1)),"")</f>
        <v/>
      </c>
    </row>
    <row r="3939" customFormat="false" ht="15" hidden="false" customHeight="false" outlineLevel="0" collapsed="false">
      <c r="A3939" s="51" t="n">
        <v>46309</v>
      </c>
      <c r="B3939" s="0" t="n">
        <v>15</v>
      </c>
      <c r="C3939" s="0" t="n">
        <v>30890</v>
      </c>
      <c r="E3939" s="0" t="n">
        <v>0</v>
      </c>
      <c r="F3939" s="46" t="s">
        <v>1639</v>
      </c>
      <c r="I3939" s="46" t="s">
        <v>150</v>
      </c>
      <c r="U3939" s="0" t="n">
        <v>62</v>
      </c>
      <c r="V3939" s="0" t="n">
        <v>0</v>
      </c>
      <c r="X3939" s="46" t="n">
        <f aca="false">IF(I3939="Male",0,1)</f>
        <v>0</v>
      </c>
      <c r="Y3939" s="46" t="n">
        <f aca="false">IF(OR(I3939="DNB",I3939="Dry DNB"),1,0)</f>
        <v>0</v>
      </c>
      <c r="Z3939" s="0" t="str">
        <f aca="false">IF(ISNUMBER(W3939),A3939-W3939,"")</f>
        <v/>
      </c>
      <c r="AA3939" s="46" t="n">
        <f aca="false">MATCH(A3939,DATAS,0)</f>
        <v>1</v>
      </c>
      <c r="AB3939" s="46" t="n">
        <f aca="false">IF(AND(E3939&gt;0,OR(AND(B3939&gt;=1,B3939&lt;=6),B3939=10)),1,0)</f>
        <v>0</v>
      </c>
      <c r="AC3939" s="46" t="n">
        <f aca="false">IF(AND(E3939&gt;0,B3939=10),1,0)</f>
        <v>0</v>
      </c>
      <c r="AD3939" s="0" t="str">
        <f aca="false">IF(AND(C3938=C3939,AA3938=AA3939-1),AB3938,"")</f>
        <v/>
      </c>
      <c r="AE3939" s="0" t="str">
        <f aca="false">IF(AND(C3938=C3939,AA3938=AA3939-1),AC3938,"")</f>
        <v/>
      </c>
      <c r="AF3939" s="0" t="str">
        <f aca="false">IF(AA3939=1,"",IF(AND(AB3939=1,AD3939&lt;&gt;1),1,0))</f>
        <v/>
      </c>
      <c r="AG3939" s="0" t="str">
        <f aca="false">IF(AA3939=1,"",IF(AND(AC3939=1,AE3939&lt;&gt;1),1,0))</f>
        <v/>
      </c>
      <c r="AH3939" s="51" t="str">
        <f aca="false">IF(AND(E3939&gt;0,AA3939&lt;1,NOT(AND(C3940=C3939,AA3940=AA3939+1))),INDEX(DATAS,AA3939+1),"")</f>
        <v/>
      </c>
      <c r="AI3939" s="51" t="str">
        <f aca="false">IF(AND(AC3939=1,AA3939&lt;1),IF(AND(C3940=C3939,AA3940=AA3939+1),IF(AC3940=1,"",INDEX(DATAS,AA3939+1)),INDEX(DATAS,AA3939+1)),"")</f>
        <v/>
      </c>
    </row>
    <row r="3940" customFormat="false" ht="15" hidden="false" customHeight="false" outlineLevel="0" collapsed="false">
      <c r="A3940" s="51" t="n">
        <v>46309</v>
      </c>
      <c r="B3940" s="0" t="n">
        <v>15</v>
      </c>
      <c r="C3940" s="0" t="n">
        <v>30891</v>
      </c>
      <c r="E3940" s="0" t="n">
        <v>0</v>
      </c>
      <c r="F3940" s="46" t="s">
        <v>1639</v>
      </c>
      <c r="I3940" s="46" t="s">
        <v>150</v>
      </c>
      <c r="U3940" s="0" t="n">
        <v>62</v>
      </c>
      <c r="V3940" s="0" t="n">
        <v>0</v>
      </c>
      <c r="X3940" s="46" t="n">
        <f aca="false">IF(I3940="Male",0,1)</f>
        <v>0</v>
      </c>
      <c r="Y3940" s="46" t="n">
        <f aca="false">IF(OR(I3940="DNB",I3940="Dry DNB"),1,0)</f>
        <v>0</v>
      </c>
      <c r="Z3940" s="0" t="str">
        <f aca="false">IF(ISNUMBER(W3940),A3940-W3940,"")</f>
        <v/>
      </c>
      <c r="AA3940" s="46" t="n">
        <f aca="false">MATCH(A3940,DATAS,0)</f>
        <v>1</v>
      </c>
      <c r="AB3940" s="46" t="n">
        <f aca="false">IF(AND(E3940&gt;0,OR(AND(B3940&gt;=1,B3940&lt;=6),B3940=10)),1,0)</f>
        <v>0</v>
      </c>
      <c r="AC3940" s="46" t="n">
        <f aca="false">IF(AND(E3940&gt;0,B3940=10),1,0)</f>
        <v>0</v>
      </c>
      <c r="AD3940" s="0" t="str">
        <f aca="false">IF(AND(C3939=C3940,AA3939=AA3940-1),AB3939,"")</f>
        <v/>
      </c>
      <c r="AE3940" s="0" t="str">
        <f aca="false">IF(AND(C3939=C3940,AA3939=AA3940-1),AC3939,"")</f>
        <v/>
      </c>
      <c r="AF3940" s="0" t="str">
        <f aca="false">IF(AA3940=1,"",IF(AND(AB3940=1,AD3940&lt;&gt;1),1,0))</f>
        <v/>
      </c>
      <c r="AG3940" s="0" t="str">
        <f aca="false">IF(AA3940=1,"",IF(AND(AC3940=1,AE3940&lt;&gt;1),1,0))</f>
        <v/>
      </c>
      <c r="AH3940" s="51" t="str">
        <f aca="false">IF(AND(E3940&gt;0,AA3940&lt;1,NOT(AND(C3941=C3940,AA3941=AA3940+1))),INDEX(DATAS,AA3940+1),"")</f>
        <v/>
      </c>
      <c r="AI3940" s="51" t="str">
        <f aca="false">IF(AND(AC3940=1,AA3940&lt;1),IF(AND(C3941=C3940,AA3941=AA3940+1),IF(AC3941=1,"",INDEX(DATAS,AA3940+1)),INDEX(DATAS,AA3940+1)),"")</f>
        <v/>
      </c>
    </row>
    <row r="3941" customFormat="false" ht="15" hidden="false" customHeight="false" outlineLevel="0" collapsed="false">
      <c r="A3941" s="51" t="n">
        <v>46309</v>
      </c>
      <c r="B3941" s="0" t="n">
        <v>15</v>
      </c>
      <c r="C3941" s="0" t="n">
        <v>30894</v>
      </c>
      <c r="E3941" s="0" t="n">
        <v>0</v>
      </c>
      <c r="F3941" s="46" t="s">
        <v>1644</v>
      </c>
      <c r="I3941" s="46" t="s">
        <v>150</v>
      </c>
      <c r="U3941" s="0" t="n">
        <v>57</v>
      </c>
      <c r="V3941" s="0" t="n">
        <v>0</v>
      </c>
      <c r="X3941" s="46" t="n">
        <f aca="false">IF(I3941="Male",0,1)</f>
        <v>0</v>
      </c>
      <c r="Y3941" s="46" t="n">
        <f aca="false">IF(OR(I3941="DNB",I3941="Dry DNB"),1,0)</f>
        <v>0</v>
      </c>
      <c r="Z3941" s="0" t="str">
        <f aca="false">IF(ISNUMBER(W3941),A3941-W3941,"")</f>
        <v/>
      </c>
      <c r="AA3941" s="46" t="n">
        <f aca="false">MATCH(A3941,DATAS,0)</f>
        <v>1</v>
      </c>
      <c r="AB3941" s="46" t="n">
        <f aca="false">IF(AND(E3941&gt;0,OR(AND(B3941&gt;=1,B3941&lt;=6),B3941=10)),1,0)</f>
        <v>0</v>
      </c>
      <c r="AC3941" s="46" t="n">
        <f aca="false">IF(AND(E3941&gt;0,B3941=10),1,0)</f>
        <v>0</v>
      </c>
      <c r="AD3941" s="0" t="str">
        <f aca="false">IF(AND(C3940=C3941,AA3940=AA3941-1),AB3940,"")</f>
        <v/>
      </c>
      <c r="AE3941" s="0" t="str">
        <f aca="false">IF(AND(C3940=C3941,AA3940=AA3941-1),AC3940,"")</f>
        <v/>
      </c>
      <c r="AF3941" s="0" t="str">
        <f aca="false">IF(AA3941=1,"",IF(AND(AB3941=1,AD3941&lt;&gt;1),1,0))</f>
        <v/>
      </c>
      <c r="AG3941" s="0" t="str">
        <f aca="false">IF(AA3941=1,"",IF(AND(AC3941=1,AE3941&lt;&gt;1),1,0))</f>
        <v/>
      </c>
      <c r="AH3941" s="51" t="str">
        <f aca="false">IF(AND(E3941&gt;0,AA3941&lt;1,NOT(AND(C3942=C3941,AA3942=AA3941+1))),INDEX(DATAS,AA3941+1),"")</f>
        <v/>
      </c>
      <c r="AI3941" s="51" t="str">
        <f aca="false">IF(AND(AC3941=1,AA3941&lt;1),IF(AND(C3942=C3941,AA3942=AA3941+1),IF(AC3942=1,"",INDEX(DATAS,AA3941+1)),INDEX(DATAS,AA3941+1)),"")</f>
        <v/>
      </c>
    </row>
    <row r="3942" customFormat="false" ht="15" hidden="false" customHeight="false" outlineLevel="0" collapsed="false">
      <c r="A3942" s="51" t="n">
        <v>46309</v>
      </c>
      <c r="B3942" s="0" t="n">
        <v>15</v>
      </c>
      <c r="C3942" s="0" t="n">
        <v>30895</v>
      </c>
      <c r="E3942" s="0" t="n">
        <v>0</v>
      </c>
      <c r="F3942" s="46" t="s">
        <v>1646</v>
      </c>
      <c r="I3942" s="46" t="s">
        <v>150</v>
      </c>
      <c r="U3942" s="0" t="n">
        <v>55</v>
      </c>
      <c r="V3942" s="0" t="n">
        <v>0</v>
      </c>
      <c r="X3942" s="46" t="n">
        <f aca="false">IF(I3942="Male",0,1)</f>
        <v>0</v>
      </c>
      <c r="Y3942" s="46" t="n">
        <f aca="false">IF(OR(I3942="DNB",I3942="Dry DNB"),1,0)</f>
        <v>0</v>
      </c>
      <c r="Z3942" s="0" t="str">
        <f aca="false">IF(ISNUMBER(W3942),A3942-W3942,"")</f>
        <v/>
      </c>
      <c r="AA3942" s="46" t="n">
        <f aca="false">MATCH(A3942,DATAS,0)</f>
        <v>1</v>
      </c>
      <c r="AB3942" s="46" t="n">
        <f aca="false">IF(AND(E3942&gt;0,OR(AND(B3942&gt;=1,B3942&lt;=6),B3942=10)),1,0)</f>
        <v>0</v>
      </c>
      <c r="AC3942" s="46" t="n">
        <f aca="false">IF(AND(E3942&gt;0,B3942=10),1,0)</f>
        <v>0</v>
      </c>
      <c r="AD3942" s="0" t="str">
        <f aca="false">IF(AND(C3941=C3942,AA3941=AA3942-1),AB3941,"")</f>
        <v/>
      </c>
      <c r="AE3942" s="0" t="str">
        <f aca="false">IF(AND(C3941=C3942,AA3941=AA3942-1),AC3941,"")</f>
        <v/>
      </c>
      <c r="AF3942" s="0" t="str">
        <f aca="false">IF(AA3942=1,"",IF(AND(AB3942=1,AD3942&lt;&gt;1),1,0))</f>
        <v/>
      </c>
      <c r="AG3942" s="0" t="str">
        <f aca="false">IF(AA3942=1,"",IF(AND(AC3942=1,AE3942&lt;&gt;1),1,0))</f>
        <v/>
      </c>
      <c r="AH3942" s="51" t="str">
        <f aca="false">IF(AND(E3942&gt;0,AA3942&lt;1,NOT(AND(C3943=C3942,AA3943=AA3942+1))),INDEX(DATAS,AA3942+1),"")</f>
        <v/>
      </c>
      <c r="AI3942" s="51" t="str">
        <f aca="false">IF(AND(AC3942=1,AA3942&lt;1),IF(AND(C3943=C3942,AA3943=AA3942+1),IF(AC3943=1,"",INDEX(DATAS,AA3942+1)),INDEX(DATAS,AA3942+1)),"")</f>
        <v/>
      </c>
    </row>
    <row r="3943" customFormat="false" ht="15" hidden="false" customHeight="false" outlineLevel="0" collapsed="false">
      <c r="A3943" s="51" t="n">
        <v>46309</v>
      </c>
      <c r="B3943" s="0" t="n">
        <v>15</v>
      </c>
      <c r="C3943" s="0" t="n">
        <v>30896</v>
      </c>
      <c r="E3943" s="0" t="n">
        <v>0</v>
      </c>
      <c r="F3943" s="46" t="s">
        <v>1646</v>
      </c>
      <c r="I3943" s="46" t="s">
        <v>150</v>
      </c>
      <c r="U3943" s="0" t="n">
        <v>55</v>
      </c>
      <c r="V3943" s="0" t="n">
        <v>0</v>
      </c>
      <c r="X3943" s="46" t="n">
        <f aca="false">IF(I3943="Male",0,1)</f>
        <v>0</v>
      </c>
      <c r="Y3943" s="46" t="n">
        <f aca="false">IF(OR(I3943="DNB",I3943="Dry DNB"),1,0)</f>
        <v>0</v>
      </c>
      <c r="Z3943" s="0" t="str">
        <f aca="false">IF(ISNUMBER(W3943),A3943-W3943,"")</f>
        <v/>
      </c>
      <c r="AA3943" s="46" t="n">
        <f aca="false">MATCH(A3943,DATAS,0)</f>
        <v>1</v>
      </c>
      <c r="AB3943" s="46" t="n">
        <f aca="false">IF(AND(E3943&gt;0,OR(AND(B3943&gt;=1,B3943&lt;=6),B3943=10)),1,0)</f>
        <v>0</v>
      </c>
      <c r="AC3943" s="46" t="n">
        <f aca="false">IF(AND(E3943&gt;0,B3943=10),1,0)</f>
        <v>0</v>
      </c>
      <c r="AD3943" s="0" t="str">
        <f aca="false">IF(AND(C3942=C3943,AA3942=AA3943-1),AB3942,"")</f>
        <v/>
      </c>
      <c r="AE3943" s="0" t="str">
        <f aca="false">IF(AND(C3942=C3943,AA3942=AA3943-1),AC3942,"")</f>
        <v/>
      </c>
      <c r="AF3943" s="0" t="str">
        <f aca="false">IF(AA3943=1,"",IF(AND(AB3943=1,AD3943&lt;&gt;1),1,0))</f>
        <v/>
      </c>
      <c r="AG3943" s="0" t="str">
        <f aca="false">IF(AA3943=1,"",IF(AND(AC3943=1,AE3943&lt;&gt;1),1,0))</f>
        <v/>
      </c>
      <c r="AH3943" s="51" t="str">
        <f aca="false">IF(AND(E3943&gt;0,AA3943&lt;1,NOT(AND(C3944=C3943,AA3944=AA3943+1))),INDEX(DATAS,AA3943+1),"")</f>
        <v/>
      </c>
      <c r="AI3943" s="51" t="str">
        <f aca="false">IF(AND(AC3943=1,AA3943&lt;1),IF(AND(C3944=C3943,AA3944=AA3943+1),IF(AC3944=1,"",INDEX(DATAS,AA3943+1)),INDEX(DATAS,AA3943+1)),"")</f>
        <v/>
      </c>
    </row>
    <row r="3944" customFormat="false" ht="15" hidden="false" customHeight="false" outlineLevel="0" collapsed="false">
      <c r="A3944" s="51" t="n">
        <v>46309</v>
      </c>
      <c r="B3944" s="0" t="n">
        <v>15</v>
      </c>
      <c r="C3944" s="0" t="n">
        <v>30897</v>
      </c>
      <c r="E3944" s="0" t="n">
        <v>0</v>
      </c>
      <c r="F3944" s="46" t="s">
        <v>1647</v>
      </c>
      <c r="I3944" s="46" t="s">
        <v>150</v>
      </c>
      <c r="U3944" s="0" t="n">
        <v>54</v>
      </c>
      <c r="V3944" s="0" t="n">
        <v>0</v>
      </c>
      <c r="X3944" s="46" t="n">
        <f aca="false">IF(I3944="Male",0,1)</f>
        <v>0</v>
      </c>
      <c r="Y3944" s="46" t="n">
        <f aca="false">IF(OR(I3944="DNB",I3944="Dry DNB"),1,0)</f>
        <v>0</v>
      </c>
      <c r="Z3944" s="0" t="str">
        <f aca="false">IF(ISNUMBER(W3944),A3944-W3944,"")</f>
        <v/>
      </c>
      <c r="AA3944" s="46" t="n">
        <f aca="false">MATCH(A3944,DATAS,0)</f>
        <v>1</v>
      </c>
      <c r="AB3944" s="46" t="n">
        <f aca="false">IF(AND(E3944&gt;0,OR(AND(B3944&gt;=1,B3944&lt;=6),B3944=10)),1,0)</f>
        <v>0</v>
      </c>
      <c r="AC3944" s="46" t="n">
        <f aca="false">IF(AND(E3944&gt;0,B3944=10),1,0)</f>
        <v>0</v>
      </c>
      <c r="AD3944" s="0" t="str">
        <f aca="false">IF(AND(C3943=C3944,AA3943=AA3944-1),AB3943,"")</f>
        <v/>
      </c>
      <c r="AE3944" s="0" t="str">
        <f aca="false">IF(AND(C3943=C3944,AA3943=AA3944-1),AC3943,"")</f>
        <v/>
      </c>
      <c r="AF3944" s="0" t="str">
        <f aca="false">IF(AA3944=1,"",IF(AND(AB3944=1,AD3944&lt;&gt;1),1,0))</f>
        <v/>
      </c>
      <c r="AG3944" s="0" t="str">
        <f aca="false">IF(AA3944=1,"",IF(AND(AC3944=1,AE3944&lt;&gt;1),1,0))</f>
        <v/>
      </c>
      <c r="AH3944" s="51" t="str">
        <f aca="false">IF(AND(E3944&gt;0,AA3944&lt;1,NOT(AND(C3945=C3944,AA3945=AA3944+1))),INDEX(DATAS,AA3944+1),"")</f>
        <v/>
      </c>
      <c r="AI3944" s="51" t="str">
        <f aca="false">IF(AND(AC3944=1,AA3944&lt;1),IF(AND(C3945=C3944,AA3945=AA3944+1),IF(AC3945=1,"",INDEX(DATAS,AA3944+1)),INDEX(DATAS,AA3944+1)),"")</f>
        <v/>
      </c>
    </row>
    <row r="3945" customFormat="false" ht="15" hidden="false" customHeight="false" outlineLevel="0" collapsed="false">
      <c r="A3945" s="51" t="n">
        <v>46309</v>
      </c>
      <c r="B3945" s="0" t="n">
        <v>15</v>
      </c>
      <c r="C3945" s="0" t="n">
        <v>30901</v>
      </c>
      <c r="E3945" s="0" t="n">
        <v>0</v>
      </c>
      <c r="F3945" s="46" t="s">
        <v>1654</v>
      </c>
      <c r="I3945" s="46" t="s">
        <v>150</v>
      </c>
      <c r="U3945" s="0" t="n">
        <v>46</v>
      </c>
      <c r="V3945" s="0" t="n">
        <v>0</v>
      </c>
      <c r="X3945" s="46" t="n">
        <f aca="false">IF(I3945="Male",0,1)</f>
        <v>0</v>
      </c>
      <c r="Y3945" s="46" t="n">
        <f aca="false">IF(OR(I3945="DNB",I3945="Dry DNB"),1,0)</f>
        <v>0</v>
      </c>
      <c r="Z3945" s="0" t="str">
        <f aca="false">IF(ISNUMBER(W3945),A3945-W3945,"")</f>
        <v/>
      </c>
      <c r="AA3945" s="46" t="n">
        <f aca="false">MATCH(A3945,DATAS,0)</f>
        <v>1</v>
      </c>
      <c r="AB3945" s="46" t="n">
        <f aca="false">IF(AND(E3945&gt;0,OR(AND(B3945&gt;=1,B3945&lt;=6),B3945=10)),1,0)</f>
        <v>0</v>
      </c>
      <c r="AC3945" s="46" t="n">
        <f aca="false">IF(AND(E3945&gt;0,B3945=10),1,0)</f>
        <v>0</v>
      </c>
      <c r="AD3945" s="0" t="str">
        <f aca="false">IF(AND(C3944=C3945,AA3944=AA3945-1),AB3944,"")</f>
        <v/>
      </c>
      <c r="AE3945" s="0" t="str">
        <f aca="false">IF(AND(C3944=C3945,AA3944=AA3945-1),AC3944,"")</f>
        <v/>
      </c>
      <c r="AF3945" s="0" t="str">
        <f aca="false">IF(AA3945=1,"",IF(AND(AB3945=1,AD3945&lt;&gt;1),1,0))</f>
        <v/>
      </c>
      <c r="AG3945" s="0" t="str">
        <f aca="false">IF(AA3945=1,"",IF(AND(AC3945=1,AE3945&lt;&gt;1),1,0))</f>
        <v/>
      </c>
      <c r="AH3945" s="51" t="str">
        <f aca="false">IF(AND(E3945&gt;0,AA3945&lt;1,NOT(AND(C3946=C3945,AA3946=AA3945+1))),INDEX(DATAS,AA3945+1),"")</f>
        <v/>
      </c>
      <c r="AI3945" s="51" t="str">
        <f aca="false">IF(AND(AC3945=1,AA3945&lt;1),IF(AND(C3946=C3945,AA3946=AA3945+1),IF(AC3946=1,"",INDEX(DATAS,AA3945+1)),INDEX(DATAS,AA3945+1)),"")</f>
        <v/>
      </c>
    </row>
    <row r="3946" customFormat="false" ht="15" hidden="false" customHeight="false" outlineLevel="0" collapsed="false">
      <c r="A3946" s="51" t="n">
        <v>46309</v>
      </c>
      <c r="B3946" s="0" t="n">
        <v>15</v>
      </c>
      <c r="C3946" s="0" t="n">
        <v>30904</v>
      </c>
      <c r="E3946" s="0" t="n">
        <v>0</v>
      </c>
      <c r="F3946" s="46" t="s">
        <v>1656</v>
      </c>
      <c r="I3946" s="46" t="s">
        <v>150</v>
      </c>
      <c r="U3946" s="0" t="n">
        <v>45</v>
      </c>
      <c r="V3946" s="0" t="n">
        <v>0</v>
      </c>
      <c r="X3946" s="46" t="n">
        <f aca="false">IF(I3946="Male",0,1)</f>
        <v>0</v>
      </c>
      <c r="Y3946" s="46" t="n">
        <f aca="false">IF(OR(I3946="DNB",I3946="Dry DNB"),1,0)</f>
        <v>0</v>
      </c>
      <c r="Z3946" s="0" t="str">
        <f aca="false">IF(ISNUMBER(W3946),A3946-W3946,"")</f>
        <v/>
      </c>
      <c r="AA3946" s="46" t="n">
        <f aca="false">MATCH(A3946,DATAS,0)</f>
        <v>1</v>
      </c>
      <c r="AB3946" s="46" t="n">
        <f aca="false">IF(AND(E3946&gt;0,OR(AND(B3946&gt;=1,B3946&lt;=6),B3946=10)),1,0)</f>
        <v>0</v>
      </c>
      <c r="AC3946" s="46" t="n">
        <f aca="false">IF(AND(E3946&gt;0,B3946=10),1,0)</f>
        <v>0</v>
      </c>
      <c r="AD3946" s="0" t="str">
        <f aca="false">IF(AND(C3945=C3946,AA3945=AA3946-1),AB3945,"")</f>
        <v/>
      </c>
      <c r="AE3946" s="0" t="str">
        <f aca="false">IF(AND(C3945=C3946,AA3945=AA3946-1),AC3945,"")</f>
        <v/>
      </c>
      <c r="AF3946" s="0" t="str">
        <f aca="false">IF(AA3946=1,"",IF(AND(AB3946=1,AD3946&lt;&gt;1),1,0))</f>
        <v/>
      </c>
      <c r="AG3946" s="0" t="str">
        <f aca="false">IF(AA3946=1,"",IF(AND(AC3946=1,AE3946&lt;&gt;1),1,0))</f>
        <v/>
      </c>
      <c r="AH3946" s="51" t="str">
        <f aca="false">IF(AND(E3946&gt;0,AA3946&lt;1,NOT(AND(C3947=C3946,AA3947=AA3946+1))),INDEX(DATAS,AA3946+1),"")</f>
        <v/>
      </c>
      <c r="AI3946" s="51" t="str">
        <f aca="false">IF(AND(AC3946=1,AA3946&lt;1),IF(AND(C3947=C3946,AA3947=AA3946+1),IF(AC3947=1,"",INDEX(DATAS,AA3946+1)),INDEX(DATAS,AA3946+1)),"")</f>
        <v/>
      </c>
    </row>
    <row r="3947" customFormat="false" ht="15" hidden="false" customHeight="false" outlineLevel="0" collapsed="false">
      <c r="A3947" s="51" t="n">
        <v>46309</v>
      </c>
      <c r="B3947" s="0" t="n">
        <v>15</v>
      </c>
      <c r="C3947" s="0" t="n">
        <v>30905</v>
      </c>
      <c r="E3947" s="0" t="n">
        <v>0</v>
      </c>
      <c r="F3947" s="46" t="s">
        <v>1657</v>
      </c>
      <c r="I3947" s="46" t="s">
        <v>150</v>
      </c>
      <c r="U3947" s="0" t="n">
        <v>43</v>
      </c>
      <c r="V3947" s="0" t="n">
        <v>0</v>
      </c>
      <c r="X3947" s="46" t="n">
        <f aca="false">IF(I3947="Male",0,1)</f>
        <v>0</v>
      </c>
      <c r="Y3947" s="46" t="n">
        <f aca="false">IF(OR(I3947="DNB",I3947="Dry DNB"),1,0)</f>
        <v>0</v>
      </c>
      <c r="Z3947" s="0" t="str">
        <f aca="false">IF(ISNUMBER(W3947),A3947-W3947,"")</f>
        <v/>
      </c>
      <c r="AA3947" s="46" t="n">
        <f aca="false">MATCH(A3947,DATAS,0)</f>
        <v>1</v>
      </c>
      <c r="AB3947" s="46" t="n">
        <f aca="false">IF(AND(E3947&gt;0,OR(AND(B3947&gt;=1,B3947&lt;=6),B3947=10)),1,0)</f>
        <v>0</v>
      </c>
      <c r="AC3947" s="46" t="n">
        <f aca="false">IF(AND(E3947&gt;0,B3947=10),1,0)</f>
        <v>0</v>
      </c>
      <c r="AD3947" s="0" t="str">
        <f aca="false">IF(AND(C3946=C3947,AA3946=AA3947-1),AB3946,"")</f>
        <v/>
      </c>
      <c r="AE3947" s="0" t="str">
        <f aca="false">IF(AND(C3946=C3947,AA3946=AA3947-1),AC3946,"")</f>
        <v/>
      </c>
      <c r="AF3947" s="0" t="str">
        <f aca="false">IF(AA3947=1,"",IF(AND(AB3947=1,AD3947&lt;&gt;1),1,0))</f>
        <v/>
      </c>
      <c r="AG3947" s="0" t="str">
        <f aca="false">IF(AA3947=1,"",IF(AND(AC3947=1,AE3947&lt;&gt;1),1,0))</f>
        <v/>
      </c>
      <c r="AH3947" s="51" t="str">
        <f aca="false">IF(AND(E3947&gt;0,AA3947&lt;1,NOT(AND(C3948=C3947,AA3948=AA3947+1))),INDEX(DATAS,AA3947+1),"")</f>
        <v/>
      </c>
      <c r="AI3947" s="51" t="str">
        <f aca="false">IF(AND(AC3947=1,AA3947&lt;1),IF(AND(C3948=C3947,AA3948=AA3947+1),IF(AC3948=1,"",INDEX(DATAS,AA3947+1)),INDEX(DATAS,AA3947+1)),"")</f>
        <v/>
      </c>
    </row>
    <row r="3948" customFormat="false" ht="15" hidden="false" customHeight="false" outlineLevel="0" collapsed="false">
      <c r="A3948" s="51" t="n">
        <v>46309</v>
      </c>
      <c r="B3948" s="0" t="n">
        <v>15</v>
      </c>
      <c r="C3948" s="0" t="n">
        <v>30906</v>
      </c>
      <c r="E3948" s="0" t="n">
        <v>0</v>
      </c>
      <c r="F3948" s="46" t="s">
        <v>1658</v>
      </c>
      <c r="I3948" s="46" t="s">
        <v>150</v>
      </c>
      <c r="U3948" s="0" t="n">
        <v>42</v>
      </c>
      <c r="V3948" s="0" t="n">
        <v>0</v>
      </c>
      <c r="X3948" s="46" t="n">
        <f aca="false">IF(I3948="Male",0,1)</f>
        <v>0</v>
      </c>
      <c r="Y3948" s="46" t="n">
        <f aca="false">IF(OR(I3948="DNB",I3948="Dry DNB"),1,0)</f>
        <v>0</v>
      </c>
      <c r="Z3948" s="0" t="str">
        <f aca="false">IF(ISNUMBER(W3948),A3948-W3948,"")</f>
        <v/>
      </c>
      <c r="AA3948" s="46" t="n">
        <f aca="false">MATCH(A3948,DATAS,0)</f>
        <v>1</v>
      </c>
      <c r="AB3948" s="46" t="n">
        <f aca="false">IF(AND(E3948&gt;0,OR(AND(B3948&gt;=1,B3948&lt;=6),B3948=10)),1,0)</f>
        <v>0</v>
      </c>
      <c r="AC3948" s="46" t="n">
        <f aca="false">IF(AND(E3948&gt;0,B3948=10),1,0)</f>
        <v>0</v>
      </c>
      <c r="AD3948" s="0" t="str">
        <f aca="false">IF(AND(C3947=C3948,AA3947=AA3948-1),AB3947,"")</f>
        <v/>
      </c>
      <c r="AE3948" s="0" t="str">
        <f aca="false">IF(AND(C3947=C3948,AA3947=AA3948-1),AC3947,"")</f>
        <v/>
      </c>
      <c r="AF3948" s="0" t="str">
        <f aca="false">IF(AA3948=1,"",IF(AND(AB3948=1,AD3948&lt;&gt;1),1,0))</f>
        <v/>
      </c>
      <c r="AG3948" s="0" t="str">
        <f aca="false">IF(AA3948=1,"",IF(AND(AC3948=1,AE3948&lt;&gt;1),1,0))</f>
        <v/>
      </c>
      <c r="AH3948" s="51" t="str">
        <f aca="false">IF(AND(E3948&gt;0,AA3948&lt;1,NOT(AND(C3949=C3948,AA3949=AA3948+1))),INDEX(DATAS,AA3948+1),"")</f>
        <v/>
      </c>
      <c r="AI3948" s="51" t="str">
        <f aca="false">IF(AND(AC3948=1,AA3948&lt;1),IF(AND(C3949=C3948,AA3949=AA3948+1),IF(AC3949=1,"",INDEX(DATAS,AA3948+1)),INDEX(DATAS,AA3948+1)),"")</f>
        <v/>
      </c>
    </row>
    <row r="3949" customFormat="false" ht="15" hidden="false" customHeight="false" outlineLevel="0" collapsed="false">
      <c r="A3949" s="51" t="n">
        <v>46309</v>
      </c>
      <c r="B3949" s="0" t="n">
        <v>15</v>
      </c>
      <c r="C3949" s="0" t="n">
        <v>30907</v>
      </c>
      <c r="E3949" s="0" t="n">
        <v>0</v>
      </c>
      <c r="F3949" s="46" t="s">
        <v>1658</v>
      </c>
      <c r="I3949" s="46" t="s">
        <v>150</v>
      </c>
      <c r="U3949" s="0" t="n">
        <v>42</v>
      </c>
      <c r="V3949" s="0" t="n">
        <v>0</v>
      </c>
      <c r="X3949" s="46" t="n">
        <f aca="false">IF(I3949="Male",0,1)</f>
        <v>0</v>
      </c>
      <c r="Y3949" s="46" t="n">
        <f aca="false">IF(OR(I3949="DNB",I3949="Dry DNB"),1,0)</f>
        <v>0</v>
      </c>
      <c r="Z3949" s="0" t="str">
        <f aca="false">IF(ISNUMBER(W3949),A3949-W3949,"")</f>
        <v/>
      </c>
      <c r="AA3949" s="46" t="n">
        <f aca="false">MATCH(A3949,DATAS,0)</f>
        <v>1</v>
      </c>
      <c r="AB3949" s="46" t="n">
        <f aca="false">IF(AND(E3949&gt;0,OR(AND(B3949&gt;=1,B3949&lt;=6),B3949=10)),1,0)</f>
        <v>0</v>
      </c>
      <c r="AC3949" s="46" t="n">
        <f aca="false">IF(AND(E3949&gt;0,B3949=10),1,0)</f>
        <v>0</v>
      </c>
      <c r="AD3949" s="0" t="str">
        <f aca="false">IF(AND(C3948=C3949,AA3948=AA3949-1),AB3948,"")</f>
        <v/>
      </c>
      <c r="AE3949" s="0" t="str">
        <f aca="false">IF(AND(C3948=C3949,AA3948=AA3949-1),AC3948,"")</f>
        <v/>
      </c>
      <c r="AF3949" s="0" t="str">
        <f aca="false">IF(AA3949=1,"",IF(AND(AB3949=1,AD3949&lt;&gt;1),1,0))</f>
        <v/>
      </c>
      <c r="AG3949" s="0" t="str">
        <f aca="false">IF(AA3949=1,"",IF(AND(AC3949=1,AE3949&lt;&gt;1),1,0))</f>
        <v/>
      </c>
      <c r="AH3949" s="51" t="str">
        <f aca="false">IF(AND(E3949&gt;0,AA3949&lt;1,NOT(AND(C3950=C3949,AA3950=AA3949+1))),INDEX(DATAS,AA3949+1),"")</f>
        <v/>
      </c>
      <c r="AI3949" s="51" t="str">
        <f aca="false">IF(AND(AC3949=1,AA3949&lt;1),IF(AND(C3950=C3949,AA3950=AA3949+1),IF(AC3950=1,"",INDEX(DATAS,AA3949+1)),INDEX(DATAS,AA3949+1)),"")</f>
        <v/>
      </c>
    </row>
    <row r="3950" customFormat="false" ht="15" hidden="false" customHeight="false" outlineLevel="0" collapsed="false">
      <c r="A3950" s="51" t="n">
        <v>46309</v>
      </c>
      <c r="B3950" s="0" t="n">
        <v>15</v>
      </c>
      <c r="C3950" s="0" t="n">
        <v>30909</v>
      </c>
      <c r="E3950" s="0" t="n">
        <v>0</v>
      </c>
      <c r="F3950" s="46" t="s">
        <v>1660</v>
      </c>
      <c r="I3950" s="46" t="s">
        <v>150</v>
      </c>
      <c r="U3950" s="0" t="n">
        <v>40</v>
      </c>
      <c r="V3950" s="0" t="n">
        <v>0</v>
      </c>
      <c r="X3950" s="46" t="n">
        <f aca="false">IF(I3950="Male",0,1)</f>
        <v>0</v>
      </c>
      <c r="Y3950" s="46" t="n">
        <f aca="false">IF(OR(I3950="DNB",I3950="Dry DNB"),1,0)</f>
        <v>0</v>
      </c>
      <c r="Z3950" s="0" t="str">
        <f aca="false">IF(ISNUMBER(W3950),A3950-W3950,"")</f>
        <v/>
      </c>
      <c r="AA3950" s="46" t="n">
        <f aca="false">MATCH(A3950,DATAS,0)</f>
        <v>1</v>
      </c>
      <c r="AB3950" s="46" t="n">
        <f aca="false">IF(AND(E3950&gt;0,OR(AND(B3950&gt;=1,B3950&lt;=6),B3950=10)),1,0)</f>
        <v>0</v>
      </c>
      <c r="AC3950" s="46" t="n">
        <f aca="false">IF(AND(E3950&gt;0,B3950=10),1,0)</f>
        <v>0</v>
      </c>
      <c r="AD3950" s="0" t="str">
        <f aca="false">IF(AND(C3949=C3950,AA3949=AA3950-1),AB3949,"")</f>
        <v/>
      </c>
      <c r="AE3950" s="0" t="str">
        <f aca="false">IF(AND(C3949=C3950,AA3949=AA3950-1),AC3949,"")</f>
        <v/>
      </c>
      <c r="AF3950" s="0" t="str">
        <f aca="false">IF(AA3950=1,"",IF(AND(AB3950=1,AD3950&lt;&gt;1),1,0))</f>
        <v/>
      </c>
      <c r="AG3950" s="0" t="str">
        <f aca="false">IF(AA3950=1,"",IF(AND(AC3950=1,AE3950&lt;&gt;1),1,0))</f>
        <v/>
      </c>
      <c r="AH3950" s="51" t="str">
        <f aca="false">IF(AND(E3950&gt;0,AA3950&lt;1,NOT(AND(C3951=C3950,AA3951=AA3950+1))),INDEX(DATAS,AA3950+1),"")</f>
        <v/>
      </c>
      <c r="AI3950" s="51" t="str">
        <f aca="false">IF(AND(AC3950=1,AA3950&lt;1),IF(AND(C3951=C3950,AA3951=AA3950+1),IF(AC3951=1,"",INDEX(DATAS,AA3950+1)),INDEX(DATAS,AA3950+1)),"")</f>
        <v/>
      </c>
    </row>
    <row r="3951" customFormat="false" ht="15" hidden="false" customHeight="false" outlineLevel="0" collapsed="false">
      <c r="A3951" s="51" t="n">
        <v>46309</v>
      </c>
      <c r="B3951" s="0" t="n">
        <v>15</v>
      </c>
      <c r="C3951" s="0" t="n">
        <v>30912</v>
      </c>
      <c r="E3951" s="0" t="n">
        <v>0</v>
      </c>
      <c r="F3951" s="46" t="s">
        <v>1664</v>
      </c>
      <c r="I3951" s="46" t="s">
        <v>150</v>
      </c>
      <c r="U3951" s="0" t="n">
        <v>36</v>
      </c>
      <c r="V3951" s="0" t="n">
        <v>0</v>
      </c>
      <c r="X3951" s="46" t="n">
        <f aca="false">IF(I3951="Male",0,1)</f>
        <v>0</v>
      </c>
      <c r="Y3951" s="46" t="n">
        <f aca="false">IF(OR(I3951="DNB",I3951="Dry DNB"),1,0)</f>
        <v>0</v>
      </c>
      <c r="Z3951" s="0" t="str">
        <f aca="false">IF(ISNUMBER(W3951),A3951-W3951,"")</f>
        <v/>
      </c>
      <c r="AA3951" s="46" t="n">
        <f aca="false">MATCH(A3951,DATAS,0)</f>
        <v>1</v>
      </c>
      <c r="AB3951" s="46" t="n">
        <f aca="false">IF(AND(E3951&gt;0,OR(AND(B3951&gt;=1,B3951&lt;=6),B3951=10)),1,0)</f>
        <v>0</v>
      </c>
      <c r="AC3951" s="46" t="n">
        <f aca="false">IF(AND(E3951&gt;0,B3951=10),1,0)</f>
        <v>0</v>
      </c>
      <c r="AD3951" s="0" t="str">
        <f aca="false">IF(AND(C3950=C3951,AA3950=AA3951-1),AB3950,"")</f>
        <v/>
      </c>
      <c r="AE3951" s="0" t="str">
        <f aca="false">IF(AND(C3950=C3951,AA3950=AA3951-1),AC3950,"")</f>
        <v/>
      </c>
      <c r="AF3951" s="0" t="str">
        <f aca="false">IF(AA3951=1,"",IF(AND(AB3951=1,AD3951&lt;&gt;1),1,0))</f>
        <v/>
      </c>
      <c r="AG3951" s="0" t="str">
        <f aca="false">IF(AA3951=1,"",IF(AND(AC3951=1,AE3951&lt;&gt;1),1,0))</f>
        <v/>
      </c>
      <c r="AH3951" s="51" t="str">
        <f aca="false">IF(AND(E3951&gt;0,AA3951&lt;1,NOT(AND(C3952=C3951,AA3952=AA3951+1))),INDEX(DATAS,AA3951+1),"")</f>
        <v/>
      </c>
      <c r="AI3951" s="51" t="str">
        <f aca="false">IF(AND(AC3951=1,AA3951&lt;1),IF(AND(C3952=C3951,AA3952=AA3951+1),IF(AC3952=1,"",INDEX(DATAS,AA3951+1)),INDEX(DATAS,AA3951+1)),"")</f>
        <v/>
      </c>
    </row>
    <row r="3952" customFormat="false" ht="15" hidden="false" customHeight="false" outlineLevel="0" collapsed="false">
      <c r="A3952" s="51" t="n">
        <v>46309</v>
      </c>
      <c r="B3952" s="0" t="n">
        <v>15</v>
      </c>
      <c r="C3952" s="0" t="n">
        <v>30913</v>
      </c>
      <c r="E3952" s="0" t="n">
        <v>0</v>
      </c>
      <c r="F3952" s="46" t="s">
        <v>1665</v>
      </c>
      <c r="I3952" s="46" t="s">
        <v>150</v>
      </c>
      <c r="U3952" s="0" t="n">
        <v>35</v>
      </c>
      <c r="V3952" s="0" t="n">
        <v>0</v>
      </c>
      <c r="X3952" s="46" t="n">
        <f aca="false">IF(I3952="Male",0,1)</f>
        <v>0</v>
      </c>
      <c r="Y3952" s="46" t="n">
        <f aca="false">IF(OR(I3952="DNB",I3952="Dry DNB"),1,0)</f>
        <v>0</v>
      </c>
      <c r="Z3952" s="0" t="str">
        <f aca="false">IF(ISNUMBER(W3952),A3952-W3952,"")</f>
        <v/>
      </c>
      <c r="AA3952" s="46" t="n">
        <f aca="false">MATCH(A3952,DATAS,0)</f>
        <v>1</v>
      </c>
      <c r="AB3952" s="46" t="n">
        <f aca="false">IF(AND(E3952&gt;0,OR(AND(B3952&gt;=1,B3952&lt;=6),B3952=10)),1,0)</f>
        <v>0</v>
      </c>
      <c r="AC3952" s="46" t="n">
        <f aca="false">IF(AND(E3952&gt;0,B3952=10),1,0)</f>
        <v>0</v>
      </c>
      <c r="AD3952" s="0" t="str">
        <f aca="false">IF(AND(C3951=C3952,AA3951=AA3952-1),AB3951,"")</f>
        <v/>
      </c>
      <c r="AE3952" s="0" t="str">
        <f aca="false">IF(AND(C3951=C3952,AA3951=AA3952-1),AC3951,"")</f>
        <v/>
      </c>
      <c r="AF3952" s="0" t="str">
        <f aca="false">IF(AA3952=1,"",IF(AND(AB3952=1,AD3952&lt;&gt;1),1,0))</f>
        <v/>
      </c>
      <c r="AG3952" s="0" t="str">
        <f aca="false">IF(AA3952=1,"",IF(AND(AC3952=1,AE3952&lt;&gt;1),1,0))</f>
        <v/>
      </c>
      <c r="AH3952" s="51" t="str">
        <f aca="false">IF(AND(E3952&gt;0,AA3952&lt;1,NOT(AND(C3953=C3952,AA3953=AA3952+1))),INDEX(DATAS,AA3952+1),"")</f>
        <v/>
      </c>
      <c r="AI3952" s="51" t="str">
        <f aca="false">IF(AND(AC3952=1,AA3952&lt;1),IF(AND(C3953=C3952,AA3953=AA3952+1),IF(AC3953=1,"",INDEX(DATAS,AA3952+1)),INDEX(DATAS,AA3952+1)),"")</f>
        <v/>
      </c>
    </row>
    <row r="3953" customFormat="false" ht="15" hidden="false" customHeight="false" outlineLevel="0" collapsed="false">
      <c r="A3953" s="51" t="n">
        <v>46309</v>
      </c>
      <c r="B3953" s="0" t="n">
        <v>15</v>
      </c>
      <c r="C3953" s="0" t="n">
        <v>30914</v>
      </c>
      <c r="E3953" s="0" t="n">
        <v>0</v>
      </c>
      <c r="F3953" s="46" t="s">
        <v>1666</v>
      </c>
      <c r="I3953" s="46" t="s">
        <v>150</v>
      </c>
      <c r="U3953" s="0" t="n">
        <v>34</v>
      </c>
      <c r="V3953" s="0" t="n">
        <v>0</v>
      </c>
      <c r="X3953" s="46" t="n">
        <f aca="false">IF(I3953="Male",0,1)</f>
        <v>0</v>
      </c>
      <c r="Y3953" s="46" t="n">
        <f aca="false">IF(OR(I3953="DNB",I3953="Dry DNB"),1,0)</f>
        <v>0</v>
      </c>
      <c r="Z3953" s="0" t="str">
        <f aca="false">IF(ISNUMBER(W3953),A3953-W3953,"")</f>
        <v/>
      </c>
      <c r="AA3953" s="46" t="n">
        <f aca="false">MATCH(A3953,DATAS,0)</f>
        <v>1</v>
      </c>
      <c r="AB3953" s="46" t="n">
        <f aca="false">IF(AND(E3953&gt;0,OR(AND(B3953&gt;=1,B3953&lt;=6),B3953=10)),1,0)</f>
        <v>0</v>
      </c>
      <c r="AC3953" s="46" t="n">
        <f aca="false">IF(AND(E3953&gt;0,B3953=10),1,0)</f>
        <v>0</v>
      </c>
      <c r="AD3953" s="0" t="str">
        <f aca="false">IF(AND(C3952=C3953,AA3952=AA3953-1),AB3952,"")</f>
        <v/>
      </c>
      <c r="AE3953" s="0" t="str">
        <f aca="false">IF(AND(C3952=C3953,AA3952=AA3953-1),AC3952,"")</f>
        <v/>
      </c>
      <c r="AF3953" s="0" t="str">
        <f aca="false">IF(AA3953=1,"",IF(AND(AB3953=1,AD3953&lt;&gt;1),1,0))</f>
        <v/>
      </c>
      <c r="AG3953" s="0" t="str">
        <f aca="false">IF(AA3953=1,"",IF(AND(AC3953=1,AE3953&lt;&gt;1),1,0))</f>
        <v/>
      </c>
      <c r="AH3953" s="51" t="str">
        <f aca="false">IF(AND(E3953&gt;0,AA3953&lt;1,NOT(AND(C3954=C3953,AA3954=AA3953+1))),INDEX(DATAS,AA3953+1),"")</f>
        <v/>
      </c>
      <c r="AI3953" s="51" t="str">
        <f aca="false">IF(AND(AC3953=1,AA3953&lt;1),IF(AND(C3954=C3953,AA3954=AA3953+1),IF(AC3954=1,"",INDEX(DATAS,AA3953+1)),INDEX(DATAS,AA3953+1)),"")</f>
        <v/>
      </c>
    </row>
    <row r="3954" customFormat="false" ht="15" hidden="false" customHeight="false" outlineLevel="0" collapsed="false">
      <c r="A3954" s="51" t="n">
        <v>46309</v>
      </c>
      <c r="B3954" s="0" t="n">
        <v>15</v>
      </c>
      <c r="C3954" s="0" t="n">
        <v>30917</v>
      </c>
      <c r="E3954" s="0" t="n">
        <v>0</v>
      </c>
      <c r="F3954" s="46" t="s">
        <v>1670</v>
      </c>
      <c r="I3954" s="46" t="s">
        <v>150</v>
      </c>
      <c r="U3954" s="0" t="n">
        <v>30</v>
      </c>
      <c r="V3954" s="0" t="n">
        <v>0</v>
      </c>
      <c r="X3954" s="46" t="n">
        <f aca="false">IF(I3954="Male",0,1)</f>
        <v>0</v>
      </c>
      <c r="Y3954" s="46" t="n">
        <f aca="false">IF(OR(I3954="DNB",I3954="Dry DNB"),1,0)</f>
        <v>0</v>
      </c>
      <c r="Z3954" s="0" t="str">
        <f aca="false">IF(ISNUMBER(W3954),A3954-W3954,"")</f>
        <v/>
      </c>
      <c r="AA3954" s="46" t="n">
        <f aca="false">MATCH(A3954,DATAS,0)</f>
        <v>1</v>
      </c>
      <c r="AB3954" s="46" t="n">
        <f aca="false">IF(AND(E3954&gt;0,OR(AND(B3954&gt;=1,B3954&lt;=6),B3954=10)),1,0)</f>
        <v>0</v>
      </c>
      <c r="AC3954" s="46" t="n">
        <f aca="false">IF(AND(E3954&gt;0,B3954=10),1,0)</f>
        <v>0</v>
      </c>
      <c r="AD3954" s="0" t="str">
        <f aca="false">IF(AND(C3953=C3954,AA3953=AA3954-1),AB3953,"")</f>
        <v/>
      </c>
      <c r="AE3954" s="0" t="str">
        <f aca="false">IF(AND(C3953=C3954,AA3953=AA3954-1),AC3953,"")</f>
        <v/>
      </c>
      <c r="AF3954" s="0" t="str">
        <f aca="false">IF(AA3954=1,"",IF(AND(AB3954=1,AD3954&lt;&gt;1),1,0))</f>
        <v/>
      </c>
      <c r="AG3954" s="0" t="str">
        <f aca="false">IF(AA3954=1,"",IF(AND(AC3954=1,AE3954&lt;&gt;1),1,0))</f>
        <v/>
      </c>
      <c r="AH3954" s="51" t="str">
        <f aca="false">IF(AND(E3954&gt;0,AA3954&lt;1,NOT(AND(C3955=C3954,AA3955=AA3954+1))),INDEX(DATAS,AA3954+1),"")</f>
        <v/>
      </c>
      <c r="AI3954" s="51" t="str">
        <f aca="false">IF(AND(AC3954=1,AA3954&lt;1),IF(AND(C3955=C3954,AA3955=AA3954+1),IF(AC3955=1,"",INDEX(DATAS,AA3954+1)),INDEX(DATAS,AA3954+1)),"")</f>
        <v/>
      </c>
    </row>
    <row r="3955" customFormat="false" ht="15" hidden="false" customHeight="false" outlineLevel="0" collapsed="false">
      <c r="A3955" s="51" t="n">
        <v>46309</v>
      </c>
      <c r="B3955" s="0" t="n">
        <v>15</v>
      </c>
      <c r="C3955" s="0" t="n">
        <v>30919</v>
      </c>
      <c r="E3955" s="0" t="n">
        <v>0</v>
      </c>
      <c r="F3955" s="46" t="s">
        <v>1674</v>
      </c>
      <c r="I3955" s="46" t="s">
        <v>150</v>
      </c>
      <c r="U3955" s="0" t="n">
        <v>25</v>
      </c>
      <c r="V3955" s="0" t="n">
        <v>0</v>
      </c>
      <c r="X3955" s="46" t="n">
        <f aca="false">IF(I3955="Male",0,1)</f>
        <v>0</v>
      </c>
      <c r="Y3955" s="46" t="n">
        <f aca="false">IF(OR(I3955="DNB",I3955="Dry DNB"),1,0)</f>
        <v>0</v>
      </c>
      <c r="Z3955" s="0" t="str">
        <f aca="false">IF(ISNUMBER(W3955),A3955-W3955,"")</f>
        <v/>
      </c>
      <c r="AA3955" s="46" t="n">
        <f aca="false">MATCH(A3955,DATAS,0)</f>
        <v>1</v>
      </c>
      <c r="AB3955" s="46" t="n">
        <f aca="false">IF(AND(E3955&gt;0,OR(AND(B3955&gt;=1,B3955&lt;=6),B3955=10)),1,0)</f>
        <v>0</v>
      </c>
      <c r="AC3955" s="46" t="n">
        <f aca="false">IF(AND(E3955&gt;0,B3955=10),1,0)</f>
        <v>0</v>
      </c>
      <c r="AD3955" s="0" t="str">
        <f aca="false">IF(AND(C3954=C3955,AA3954=AA3955-1),AB3954,"")</f>
        <v/>
      </c>
      <c r="AE3955" s="0" t="str">
        <f aca="false">IF(AND(C3954=C3955,AA3954=AA3955-1),AC3954,"")</f>
        <v/>
      </c>
      <c r="AF3955" s="0" t="str">
        <f aca="false">IF(AA3955=1,"",IF(AND(AB3955=1,AD3955&lt;&gt;1),1,0))</f>
        <v/>
      </c>
      <c r="AG3955" s="0" t="str">
        <f aca="false">IF(AA3955=1,"",IF(AND(AC3955=1,AE3955&lt;&gt;1),1,0))</f>
        <v/>
      </c>
      <c r="AH3955" s="51" t="str">
        <f aca="false">IF(AND(E3955&gt;0,AA3955&lt;1,NOT(AND(C3956=C3955,AA3956=AA3955+1))),INDEX(DATAS,AA3955+1),"")</f>
        <v/>
      </c>
      <c r="AI3955" s="51" t="str">
        <f aca="false">IF(AND(AC3955=1,AA3955&lt;1),IF(AND(C3956=C3955,AA3956=AA3955+1),IF(AC3956=1,"",INDEX(DATAS,AA3955+1)),INDEX(DATAS,AA3955+1)),"")</f>
        <v/>
      </c>
    </row>
    <row r="3956" customFormat="false" ht="15" hidden="false" customHeight="false" outlineLevel="0" collapsed="false">
      <c r="A3956" s="51" t="n">
        <v>46309</v>
      </c>
      <c r="B3956" s="0" t="n">
        <v>15</v>
      </c>
      <c r="C3956" s="0" t="n">
        <v>30922</v>
      </c>
      <c r="E3956" s="0" t="n">
        <v>0</v>
      </c>
      <c r="F3956" s="46" t="s">
        <v>1708</v>
      </c>
      <c r="I3956" s="46" t="s">
        <v>150</v>
      </c>
      <c r="U3956" s="0" t="n">
        <v>23</v>
      </c>
      <c r="V3956" s="0" t="n">
        <v>0</v>
      </c>
      <c r="X3956" s="46" t="n">
        <f aca="false">IF(I3956="Male",0,1)</f>
        <v>0</v>
      </c>
      <c r="Y3956" s="46" t="n">
        <f aca="false">IF(OR(I3956="DNB",I3956="Dry DNB"),1,0)</f>
        <v>0</v>
      </c>
      <c r="Z3956" s="0" t="str">
        <f aca="false">IF(ISNUMBER(W3956),A3956-W3956,"")</f>
        <v/>
      </c>
      <c r="AA3956" s="46" t="n">
        <f aca="false">MATCH(A3956,DATAS,0)</f>
        <v>1</v>
      </c>
      <c r="AB3956" s="46" t="n">
        <f aca="false">IF(AND(E3956&gt;0,OR(AND(B3956&gt;=1,B3956&lt;=6),B3956=10)),1,0)</f>
        <v>0</v>
      </c>
      <c r="AC3956" s="46" t="n">
        <f aca="false">IF(AND(E3956&gt;0,B3956=10),1,0)</f>
        <v>0</v>
      </c>
      <c r="AD3956" s="0" t="str">
        <f aca="false">IF(AND(C3955=C3956,AA3955=AA3956-1),AB3955,"")</f>
        <v/>
      </c>
      <c r="AE3956" s="0" t="str">
        <f aca="false">IF(AND(C3955=C3956,AA3955=AA3956-1),AC3955,"")</f>
        <v/>
      </c>
      <c r="AF3956" s="0" t="str">
        <f aca="false">IF(AA3956=1,"",IF(AND(AB3956=1,AD3956&lt;&gt;1),1,0))</f>
        <v/>
      </c>
      <c r="AG3956" s="0" t="str">
        <f aca="false">IF(AA3956=1,"",IF(AND(AC3956=1,AE3956&lt;&gt;1),1,0))</f>
        <v/>
      </c>
      <c r="AH3956" s="51" t="str">
        <f aca="false">IF(AND(E3956&gt;0,AA3956&lt;1,NOT(AND(C3957=C3956,AA3957=AA3956+1))),INDEX(DATAS,AA3956+1),"")</f>
        <v/>
      </c>
      <c r="AI3956" s="51" t="str">
        <f aca="false">IF(AND(AC3956=1,AA3956&lt;1),IF(AND(C3957=C3956,AA3957=AA3956+1),IF(AC3957=1,"",INDEX(DATAS,AA3956+1)),INDEX(DATAS,AA3956+1)),"")</f>
        <v/>
      </c>
    </row>
    <row r="3957" customFormat="false" ht="15" hidden="false" customHeight="false" outlineLevel="0" collapsed="false">
      <c r="A3957" s="51" t="n">
        <v>46309</v>
      </c>
      <c r="B3957" s="0" t="n">
        <v>15</v>
      </c>
      <c r="C3957" s="0" t="n">
        <v>30925</v>
      </c>
      <c r="E3957" s="0" t="n">
        <v>0</v>
      </c>
      <c r="F3957" s="46" t="s">
        <v>1681</v>
      </c>
      <c r="I3957" s="46" t="s">
        <v>150</v>
      </c>
      <c r="U3957" s="0" t="n">
        <v>17</v>
      </c>
      <c r="V3957" s="0" t="n">
        <v>0</v>
      </c>
      <c r="X3957" s="46" t="n">
        <f aca="false">IF(I3957="Male",0,1)</f>
        <v>0</v>
      </c>
      <c r="Y3957" s="46" t="n">
        <f aca="false">IF(OR(I3957="DNB",I3957="Dry DNB"),1,0)</f>
        <v>0</v>
      </c>
      <c r="Z3957" s="0" t="str">
        <f aca="false">IF(ISNUMBER(W3957),A3957-W3957,"")</f>
        <v/>
      </c>
      <c r="AA3957" s="46" t="n">
        <f aca="false">MATCH(A3957,DATAS,0)</f>
        <v>1</v>
      </c>
      <c r="AB3957" s="46" t="n">
        <f aca="false">IF(AND(E3957&gt;0,OR(AND(B3957&gt;=1,B3957&lt;=6),B3957=10)),1,0)</f>
        <v>0</v>
      </c>
      <c r="AC3957" s="46" t="n">
        <f aca="false">IF(AND(E3957&gt;0,B3957=10),1,0)</f>
        <v>0</v>
      </c>
      <c r="AD3957" s="0" t="str">
        <f aca="false">IF(AND(C3956=C3957,AA3956=AA3957-1),AB3956,"")</f>
        <v/>
      </c>
      <c r="AE3957" s="0" t="str">
        <f aca="false">IF(AND(C3956=C3957,AA3956=AA3957-1),AC3956,"")</f>
        <v/>
      </c>
      <c r="AF3957" s="0" t="str">
        <f aca="false">IF(AA3957=1,"",IF(AND(AB3957=1,AD3957&lt;&gt;1),1,0))</f>
        <v/>
      </c>
      <c r="AG3957" s="0" t="str">
        <f aca="false">IF(AA3957=1,"",IF(AND(AC3957=1,AE3957&lt;&gt;1),1,0))</f>
        <v/>
      </c>
      <c r="AH3957" s="51" t="str">
        <f aca="false">IF(AND(E3957&gt;0,AA3957&lt;1,NOT(AND(C3958=C3957,AA3958=AA3957+1))),INDEX(DATAS,AA3957+1),"")</f>
        <v/>
      </c>
      <c r="AI3957" s="51" t="str">
        <f aca="false">IF(AND(AC3957=1,AA3957&lt;1),IF(AND(C3958=C3957,AA3958=AA3957+1),IF(AC3958=1,"",INDEX(DATAS,AA3957+1)),INDEX(DATAS,AA3957+1)),"")</f>
        <v/>
      </c>
    </row>
    <row r="3958" customFormat="false" ht="15" hidden="false" customHeight="false" outlineLevel="0" collapsed="false">
      <c r="A3958" s="51" t="n">
        <v>46309</v>
      </c>
      <c r="B3958" s="0" t="n">
        <v>15</v>
      </c>
      <c r="C3958" s="0" t="n">
        <v>30927</v>
      </c>
      <c r="E3958" s="0" t="n">
        <v>0</v>
      </c>
      <c r="F3958" s="46" t="s">
        <v>1681</v>
      </c>
      <c r="I3958" s="46" t="s">
        <v>150</v>
      </c>
      <c r="U3958" s="0" t="n">
        <v>17</v>
      </c>
      <c r="V3958" s="0" t="n">
        <v>0</v>
      </c>
      <c r="X3958" s="46" t="n">
        <f aca="false">IF(I3958="Male",0,1)</f>
        <v>0</v>
      </c>
      <c r="Y3958" s="46" t="n">
        <f aca="false">IF(OR(I3958="DNB",I3958="Dry DNB"),1,0)</f>
        <v>0</v>
      </c>
      <c r="Z3958" s="0" t="str">
        <f aca="false">IF(ISNUMBER(W3958),A3958-W3958,"")</f>
        <v/>
      </c>
      <c r="AA3958" s="46" t="n">
        <f aca="false">MATCH(A3958,DATAS,0)</f>
        <v>1</v>
      </c>
      <c r="AB3958" s="46" t="n">
        <f aca="false">IF(AND(E3958&gt;0,OR(AND(B3958&gt;=1,B3958&lt;=6),B3958=10)),1,0)</f>
        <v>0</v>
      </c>
      <c r="AC3958" s="46" t="n">
        <f aca="false">IF(AND(E3958&gt;0,B3958=10),1,0)</f>
        <v>0</v>
      </c>
      <c r="AD3958" s="0" t="str">
        <f aca="false">IF(AND(C3957=C3958,AA3957=AA3958-1),AB3957,"")</f>
        <v/>
      </c>
      <c r="AE3958" s="0" t="str">
        <f aca="false">IF(AND(C3957=C3958,AA3957=AA3958-1),AC3957,"")</f>
        <v/>
      </c>
      <c r="AF3958" s="0" t="str">
        <f aca="false">IF(AA3958=1,"",IF(AND(AB3958=1,AD3958&lt;&gt;1),1,0))</f>
        <v/>
      </c>
      <c r="AG3958" s="0" t="str">
        <f aca="false">IF(AA3958=1,"",IF(AND(AC3958=1,AE3958&lt;&gt;1),1,0))</f>
        <v/>
      </c>
      <c r="AH3958" s="51" t="str">
        <f aca="false">IF(AND(E3958&gt;0,AA3958&lt;1,NOT(AND(C3959=C3958,AA3959=AA3958+1))),INDEX(DATAS,AA3958+1),"")</f>
        <v/>
      </c>
      <c r="AI3958" s="51" t="str">
        <f aca="false">IF(AND(AC3958=1,AA3958&lt;1),IF(AND(C3959=C3958,AA3959=AA3958+1),IF(AC3959=1,"",INDEX(DATAS,AA3958+1)),INDEX(DATAS,AA3958+1)),"")</f>
        <v/>
      </c>
    </row>
    <row r="3959" customFormat="false" ht="15" hidden="false" customHeight="false" outlineLevel="0" collapsed="false">
      <c r="A3959" s="51" t="n">
        <v>46309</v>
      </c>
      <c r="B3959" s="0" t="n">
        <v>15</v>
      </c>
      <c r="C3959" s="0" t="n">
        <v>30929</v>
      </c>
      <c r="E3959" s="0" t="n">
        <v>0</v>
      </c>
      <c r="F3959" s="46" t="s">
        <v>1709</v>
      </c>
      <c r="I3959" s="46" t="s">
        <v>150</v>
      </c>
      <c r="U3959" s="0" t="n">
        <v>16</v>
      </c>
      <c r="V3959" s="0" t="n">
        <v>0</v>
      </c>
      <c r="X3959" s="46" t="n">
        <f aca="false">IF(I3959="Male",0,1)</f>
        <v>0</v>
      </c>
      <c r="Y3959" s="46" t="n">
        <f aca="false">IF(OR(I3959="DNB",I3959="Dry DNB"),1,0)</f>
        <v>0</v>
      </c>
      <c r="Z3959" s="0" t="str">
        <f aca="false">IF(ISNUMBER(W3959),A3959-W3959,"")</f>
        <v/>
      </c>
      <c r="AA3959" s="46" t="n">
        <f aca="false">MATCH(A3959,DATAS,0)</f>
        <v>1</v>
      </c>
      <c r="AB3959" s="46" t="n">
        <f aca="false">IF(AND(E3959&gt;0,OR(AND(B3959&gt;=1,B3959&lt;=6),B3959=10)),1,0)</f>
        <v>0</v>
      </c>
      <c r="AC3959" s="46" t="n">
        <f aca="false">IF(AND(E3959&gt;0,B3959=10),1,0)</f>
        <v>0</v>
      </c>
      <c r="AD3959" s="0" t="str">
        <f aca="false">IF(AND(C3958=C3959,AA3958=AA3959-1),AB3958,"")</f>
        <v/>
      </c>
      <c r="AE3959" s="0" t="str">
        <f aca="false">IF(AND(C3958=C3959,AA3958=AA3959-1),AC3958,"")</f>
        <v/>
      </c>
      <c r="AF3959" s="0" t="str">
        <f aca="false">IF(AA3959=1,"",IF(AND(AB3959=1,AD3959&lt;&gt;1),1,0))</f>
        <v/>
      </c>
      <c r="AG3959" s="0" t="str">
        <f aca="false">IF(AA3959=1,"",IF(AND(AC3959=1,AE3959&lt;&gt;1),1,0))</f>
        <v/>
      </c>
      <c r="AH3959" s="51" t="str">
        <f aca="false">IF(AND(E3959&gt;0,AA3959&lt;1,NOT(AND(C3960=C3959,AA3960=AA3959+1))),INDEX(DATAS,AA3959+1),"")</f>
        <v/>
      </c>
      <c r="AI3959" s="51" t="str">
        <f aca="false">IF(AND(AC3959=1,AA3959&lt;1),IF(AND(C3960=C3959,AA3960=AA3959+1),IF(AC3960=1,"",INDEX(DATAS,AA3959+1)),INDEX(DATAS,AA3959+1)),"")</f>
        <v/>
      </c>
    </row>
    <row r="3960" customFormat="false" ht="15" hidden="false" customHeight="false" outlineLevel="0" collapsed="false">
      <c r="A3960" s="51" t="n">
        <v>46309</v>
      </c>
      <c r="B3960" s="0" t="n">
        <v>15</v>
      </c>
      <c r="C3960" s="0" t="n">
        <v>30933</v>
      </c>
      <c r="E3960" s="0" t="n">
        <v>0</v>
      </c>
      <c r="F3960" s="46" t="s">
        <v>1685</v>
      </c>
      <c r="I3960" s="46" t="s">
        <v>150</v>
      </c>
      <c r="U3960" s="0" t="n">
        <v>12</v>
      </c>
      <c r="V3960" s="0" t="n">
        <v>0</v>
      </c>
      <c r="X3960" s="46" t="n">
        <f aca="false">IF(I3960="Male",0,1)</f>
        <v>0</v>
      </c>
      <c r="Y3960" s="46" t="n">
        <f aca="false">IF(OR(I3960="DNB",I3960="Dry DNB"),1,0)</f>
        <v>0</v>
      </c>
      <c r="Z3960" s="0" t="str">
        <f aca="false">IF(ISNUMBER(W3960),A3960-W3960,"")</f>
        <v/>
      </c>
      <c r="AA3960" s="46" t="n">
        <f aca="false">MATCH(A3960,DATAS,0)</f>
        <v>1</v>
      </c>
      <c r="AB3960" s="46" t="n">
        <f aca="false">IF(AND(E3960&gt;0,OR(AND(B3960&gt;=1,B3960&lt;=6),B3960=10)),1,0)</f>
        <v>0</v>
      </c>
      <c r="AC3960" s="46" t="n">
        <f aca="false">IF(AND(E3960&gt;0,B3960=10),1,0)</f>
        <v>0</v>
      </c>
      <c r="AD3960" s="0" t="str">
        <f aca="false">IF(AND(C3959=C3960,AA3959=AA3960-1),AB3959,"")</f>
        <v/>
      </c>
      <c r="AE3960" s="0" t="str">
        <f aca="false">IF(AND(C3959=C3960,AA3959=AA3960-1),AC3959,"")</f>
        <v/>
      </c>
      <c r="AF3960" s="0" t="str">
        <f aca="false">IF(AA3960=1,"",IF(AND(AB3960=1,AD3960&lt;&gt;1),1,0))</f>
        <v/>
      </c>
      <c r="AG3960" s="0" t="str">
        <f aca="false">IF(AA3960=1,"",IF(AND(AC3960=1,AE3960&lt;&gt;1),1,0))</f>
        <v/>
      </c>
      <c r="AH3960" s="51" t="str">
        <f aca="false">IF(AND(E3960&gt;0,AA3960&lt;1,NOT(AND(C3961=C3960,AA3961=AA3960+1))),INDEX(DATAS,AA3960+1),"")</f>
        <v/>
      </c>
      <c r="AI3960" s="51" t="str">
        <f aca="false">IF(AND(AC3960=1,AA3960&lt;1),IF(AND(C3961=C3960,AA3961=AA3960+1),IF(AC3961=1,"",INDEX(DATAS,AA3960+1)),INDEX(DATAS,AA3960+1)),"")</f>
        <v/>
      </c>
    </row>
    <row r="3961" customFormat="false" ht="15" hidden="false" customHeight="false" outlineLevel="0" collapsed="false">
      <c r="A3961" s="51" t="n">
        <v>46309</v>
      </c>
      <c r="B3961" s="0" t="n">
        <v>15</v>
      </c>
      <c r="C3961" s="0" t="n">
        <v>30934</v>
      </c>
      <c r="E3961" s="0" t="n">
        <v>0</v>
      </c>
      <c r="F3961" s="46" t="s">
        <v>1685</v>
      </c>
      <c r="I3961" s="46" t="s">
        <v>150</v>
      </c>
      <c r="U3961" s="0" t="n">
        <v>12</v>
      </c>
      <c r="V3961" s="0" t="n">
        <v>0</v>
      </c>
      <c r="X3961" s="46" t="n">
        <f aca="false">IF(I3961="Male",0,1)</f>
        <v>0</v>
      </c>
      <c r="Y3961" s="46" t="n">
        <f aca="false">IF(OR(I3961="DNB",I3961="Dry DNB"),1,0)</f>
        <v>0</v>
      </c>
      <c r="Z3961" s="0" t="str">
        <f aca="false">IF(ISNUMBER(W3961),A3961-W3961,"")</f>
        <v/>
      </c>
      <c r="AA3961" s="46" t="n">
        <f aca="false">MATCH(A3961,DATAS,0)</f>
        <v>1</v>
      </c>
      <c r="AB3961" s="46" t="n">
        <f aca="false">IF(AND(E3961&gt;0,OR(AND(B3961&gt;=1,B3961&lt;=6),B3961=10)),1,0)</f>
        <v>0</v>
      </c>
      <c r="AC3961" s="46" t="n">
        <f aca="false">IF(AND(E3961&gt;0,B3961=10),1,0)</f>
        <v>0</v>
      </c>
      <c r="AD3961" s="0" t="str">
        <f aca="false">IF(AND(C3960=C3961,AA3960=AA3961-1),AB3960,"")</f>
        <v/>
      </c>
      <c r="AE3961" s="0" t="str">
        <f aca="false">IF(AND(C3960=C3961,AA3960=AA3961-1),AC3960,"")</f>
        <v/>
      </c>
      <c r="AF3961" s="0" t="str">
        <f aca="false">IF(AA3961=1,"",IF(AND(AB3961=1,AD3961&lt;&gt;1),1,0))</f>
        <v/>
      </c>
      <c r="AG3961" s="0" t="str">
        <f aca="false">IF(AA3961=1,"",IF(AND(AC3961=1,AE3961&lt;&gt;1),1,0))</f>
        <v/>
      </c>
      <c r="AH3961" s="51" t="str">
        <f aca="false">IF(AND(E3961&gt;0,AA3961&lt;1,NOT(AND(C3962=C3961,AA3962=AA3961+1))),INDEX(DATAS,AA3961+1),"")</f>
        <v/>
      </c>
      <c r="AI3961" s="51" t="str">
        <f aca="false">IF(AND(AC3961=1,AA3961&lt;1),IF(AND(C3962=C3961,AA3962=AA3961+1),IF(AC3962=1,"",INDEX(DATAS,AA3961+1)),INDEX(DATAS,AA3961+1)),"")</f>
        <v/>
      </c>
    </row>
    <row r="3962" customFormat="false" ht="15" hidden="false" customHeight="false" outlineLevel="0" collapsed="false">
      <c r="A3962" s="51" t="n">
        <v>46309</v>
      </c>
      <c r="B3962" s="0" t="n">
        <v>15</v>
      </c>
      <c r="C3962" s="0" t="n">
        <v>30935</v>
      </c>
      <c r="E3962" s="0" t="n">
        <v>0</v>
      </c>
      <c r="F3962" s="46" t="s">
        <v>1685</v>
      </c>
      <c r="I3962" s="46" t="s">
        <v>150</v>
      </c>
      <c r="U3962" s="0" t="n">
        <v>12</v>
      </c>
      <c r="V3962" s="0" t="n">
        <v>0</v>
      </c>
      <c r="X3962" s="46" t="n">
        <f aca="false">IF(I3962="Male",0,1)</f>
        <v>0</v>
      </c>
      <c r="Y3962" s="46" t="n">
        <f aca="false">IF(OR(I3962="DNB",I3962="Dry DNB"),1,0)</f>
        <v>0</v>
      </c>
      <c r="Z3962" s="0" t="str">
        <f aca="false">IF(ISNUMBER(W3962),A3962-W3962,"")</f>
        <v/>
      </c>
      <c r="AA3962" s="46" t="n">
        <f aca="false">MATCH(A3962,DATAS,0)</f>
        <v>1</v>
      </c>
      <c r="AB3962" s="46" t="n">
        <f aca="false">IF(AND(E3962&gt;0,OR(AND(B3962&gt;=1,B3962&lt;=6),B3962=10)),1,0)</f>
        <v>0</v>
      </c>
      <c r="AC3962" s="46" t="n">
        <f aca="false">IF(AND(E3962&gt;0,B3962=10),1,0)</f>
        <v>0</v>
      </c>
      <c r="AD3962" s="0" t="str">
        <f aca="false">IF(AND(C3961=C3962,AA3961=AA3962-1),AB3961,"")</f>
        <v/>
      </c>
      <c r="AE3962" s="0" t="str">
        <f aca="false">IF(AND(C3961=C3962,AA3961=AA3962-1),AC3961,"")</f>
        <v/>
      </c>
      <c r="AF3962" s="0" t="str">
        <f aca="false">IF(AA3962=1,"",IF(AND(AB3962=1,AD3962&lt;&gt;1),1,0))</f>
        <v/>
      </c>
      <c r="AG3962" s="0" t="str">
        <f aca="false">IF(AA3962=1,"",IF(AND(AC3962=1,AE3962&lt;&gt;1),1,0))</f>
        <v/>
      </c>
      <c r="AH3962" s="51" t="str">
        <f aca="false">IF(AND(E3962&gt;0,AA3962&lt;1,NOT(AND(C3963=C3962,AA3963=AA3962+1))),INDEX(DATAS,AA3962+1),"")</f>
        <v/>
      </c>
      <c r="AI3962" s="51" t="str">
        <f aca="false">IF(AND(AC3962=1,AA3962&lt;1),IF(AND(C3963=C3962,AA3963=AA3962+1),IF(AC3963=1,"",INDEX(DATAS,AA3962+1)),INDEX(DATAS,AA3962+1)),"")</f>
        <v/>
      </c>
    </row>
    <row r="3963" customFormat="false" ht="15" hidden="false" customHeight="false" outlineLevel="0" collapsed="false">
      <c r="A3963" s="51" t="n">
        <v>46309</v>
      </c>
      <c r="B3963" s="0" t="n">
        <v>15</v>
      </c>
      <c r="C3963" s="0" t="n">
        <v>30938</v>
      </c>
      <c r="E3963" s="0" t="n">
        <v>0</v>
      </c>
      <c r="F3963" s="46" t="s">
        <v>1690</v>
      </c>
      <c r="I3963" s="46" t="s">
        <v>150</v>
      </c>
      <c r="U3963" s="0" t="n">
        <v>7</v>
      </c>
      <c r="V3963" s="0" t="n">
        <v>0</v>
      </c>
      <c r="X3963" s="46" t="n">
        <f aca="false">IF(I3963="Male",0,1)</f>
        <v>0</v>
      </c>
      <c r="Y3963" s="46" t="n">
        <f aca="false">IF(OR(I3963="DNB",I3963="Dry DNB"),1,0)</f>
        <v>0</v>
      </c>
      <c r="Z3963" s="0" t="str">
        <f aca="false">IF(ISNUMBER(W3963),A3963-W3963,"")</f>
        <v/>
      </c>
      <c r="AA3963" s="46" t="n">
        <f aca="false">MATCH(A3963,DATAS,0)</f>
        <v>1</v>
      </c>
      <c r="AB3963" s="46" t="n">
        <f aca="false">IF(AND(E3963&gt;0,OR(AND(B3963&gt;=1,B3963&lt;=6),B3963=10)),1,0)</f>
        <v>0</v>
      </c>
      <c r="AC3963" s="46" t="n">
        <f aca="false">IF(AND(E3963&gt;0,B3963=10),1,0)</f>
        <v>0</v>
      </c>
      <c r="AD3963" s="0" t="str">
        <f aca="false">IF(AND(C3962=C3963,AA3962=AA3963-1),AB3962,"")</f>
        <v/>
      </c>
      <c r="AE3963" s="0" t="str">
        <f aca="false">IF(AND(C3962=C3963,AA3962=AA3963-1),AC3962,"")</f>
        <v/>
      </c>
      <c r="AF3963" s="0" t="str">
        <f aca="false">IF(AA3963=1,"",IF(AND(AB3963=1,AD3963&lt;&gt;1),1,0))</f>
        <v/>
      </c>
      <c r="AG3963" s="0" t="str">
        <f aca="false">IF(AA3963=1,"",IF(AND(AC3963=1,AE3963&lt;&gt;1),1,0))</f>
        <v/>
      </c>
      <c r="AH3963" s="51" t="str">
        <f aca="false">IF(AND(E3963&gt;0,AA3963&lt;1,NOT(AND(C3964=C3963,AA3964=AA3963+1))),INDEX(DATAS,AA3963+1),"")</f>
        <v/>
      </c>
      <c r="AI3963" s="51" t="str">
        <f aca="false">IF(AND(AC3963=1,AA3963&lt;1),IF(AND(C3964=C3963,AA3964=AA3963+1),IF(AC3964=1,"",INDEX(DATAS,AA3963+1)),INDEX(DATAS,AA3963+1)),"")</f>
        <v/>
      </c>
    </row>
    <row r="3964" customFormat="false" ht="15" hidden="false" customHeight="false" outlineLevel="0" collapsed="false">
      <c r="A3964" s="51" t="n">
        <v>46309</v>
      </c>
      <c r="B3964" s="0" t="n">
        <v>15</v>
      </c>
      <c r="C3964" s="0" t="n">
        <v>30939</v>
      </c>
      <c r="E3964" s="0" t="n">
        <v>0</v>
      </c>
      <c r="F3964" s="46" t="s">
        <v>1691</v>
      </c>
      <c r="I3964" s="46" t="s">
        <v>150</v>
      </c>
      <c r="U3964" s="0" t="n">
        <v>6</v>
      </c>
      <c r="V3964" s="0" t="n">
        <v>0</v>
      </c>
      <c r="X3964" s="46" t="n">
        <f aca="false">IF(I3964="Male",0,1)</f>
        <v>0</v>
      </c>
      <c r="Y3964" s="46" t="n">
        <f aca="false">IF(OR(I3964="DNB",I3964="Dry DNB"),1,0)</f>
        <v>0</v>
      </c>
      <c r="Z3964" s="0" t="str">
        <f aca="false">IF(ISNUMBER(W3964),A3964-W3964,"")</f>
        <v/>
      </c>
      <c r="AA3964" s="46" t="n">
        <f aca="false">MATCH(A3964,DATAS,0)</f>
        <v>1</v>
      </c>
      <c r="AB3964" s="46" t="n">
        <f aca="false">IF(AND(E3964&gt;0,OR(AND(B3964&gt;=1,B3964&lt;=6),B3964=10)),1,0)</f>
        <v>0</v>
      </c>
      <c r="AC3964" s="46" t="n">
        <f aca="false">IF(AND(E3964&gt;0,B3964=10),1,0)</f>
        <v>0</v>
      </c>
      <c r="AD3964" s="0" t="str">
        <f aca="false">IF(AND(C3963=C3964,AA3963=AA3964-1),AB3963,"")</f>
        <v/>
      </c>
      <c r="AE3964" s="0" t="str">
        <f aca="false">IF(AND(C3963=C3964,AA3963=AA3964-1),AC3963,"")</f>
        <v/>
      </c>
      <c r="AF3964" s="0" t="str">
        <f aca="false">IF(AA3964=1,"",IF(AND(AB3964=1,AD3964&lt;&gt;1),1,0))</f>
        <v/>
      </c>
      <c r="AG3964" s="0" t="str">
        <f aca="false">IF(AA3964=1,"",IF(AND(AC3964=1,AE3964&lt;&gt;1),1,0))</f>
        <v/>
      </c>
      <c r="AH3964" s="51" t="str">
        <f aca="false">IF(AND(E3964&gt;0,AA3964&lt;1,NOT(AND(C3965=C3964,AA3965=AA3964+1))),INDEX(DATAS,AA3964+1),"")</f>
        <v/>
      </c>
      <c r="AI3964" s="51" t="str">
        <f aca="false">IF(AND(AC3964=1,AA3964&lt;1),IF(AND(C3965=C3964,AA3965=AA3964+1),IF(AC3965=1,"",INDEX(DATAS,AA3964+1)),INDEX(DATAS,AA3964+1)),"")</f>
        <v/>
      </c>
    </row>
    <row r="3965" customFormat="false" ht="15" hidden="false" customHeight="false" outlineLevel="0" collapsed="false">
      <c r="A3965" s="51" t="n">
        <v>46309</v>
      </c>
      <c r="B3965" s="0" t="n">
        <v>15</v>
      </c>
      <c r="C3965" s="0" t="n">
        <v>30940</v>
      </c>
      <c r="E3965" s="0" t="n">
        <v>0</v>
      </c>
      <c r="F3965" s="46" t="s">
        <v>1691</v>
      </c>
      <c r="I3965" s="46" t="s">
        <v>150</v>
      </c>
      <c r="U3965" s="0" t="n">
        <v>6</v>
      </c>
      <c r="V3965" s="0" t="n">
        <v>0</v>
      </c>
      <c r="X3965" s="46" t="n">
        <f aca="false">IF(I3965="Male",0,1)</f>
        <v>0</v>
      </c>
      <c r="Y3965" s="46" t="n">
        <f aca="false">IF(OR(I3965="DNB",I3965="Dry DNB"),1,0)</f>
        <v>0</v>
      </c>
      <c r="Z3965" s="0" t="str">
        <f aca="false">IF(ISNUMBER(W3965),A3965-W3965,"")</f>
        <v/>
      </c>
      <c r="AA3965" s="46" t="n">
        <f aca="false">MATCH(A3965,DATAS,0)</f>
        <v>1</v>
      </c>
      <c r="AB3965" s="46" t="n">
        <f aca="false">IF(AND(E3965&gt;0,OR(AND(B3965&gt;=1,B3965&lt;=6),B3965=10)),1,0)</f>
        <v>0</v>
      </c>
      <c r="AC3965" s="46" t="n">
        <f aca="false">IF(AND(E3965&gt;0,B3965=10),1,0)</f>
        <v>0</v>
      </c>
      <c r="AD3965" s="0" t="str">
        <f aca="false">IF(AND(C3964=C3965,AA3964=AA3965-1),AB3964,"")</f>
        <v/>
      </c>
      <c r="AE3965" s="0" t="str">
        <f aca="false">IF(AND(C3964=C3965,AA3964=AA3965-1),AC3964,"")</f>
        <v/>
      </c>
      <c r="AF3965" s="0" t="str">
        <f aca="false">IF(AA3965=1,"",IF(AND(AB3965=1,AD3965&lt;&gt;1),1,0))</f>
        <v/>
      </c>
      <c r="AG3965" s="0" t="str">
        <f aca="false">IF(AA3965=1,"",IF(AND(AC3965=1,AE3965&lt;&gt;1),1,0))</f>
        <v/>
      </c>
      <c r="AH3965" s="51" t="str">
        <f aca="false">IF(AND(E3965&gt;0,AA3965&lt;1,NOT(AND(C3966=C3965,AA3966=AA3965+1))),INDEX(DATAS,AA3965+1),"")</f>
        <v/>
      </c>
      <c r="AI3965" s="51" t="str">
        <f aca="false">IF(AND(AC3965=1,AA3965&lt;1),IF(AND(C3966=C3965,AA3966=AA3965+1),IF(AC3966=1,"",INDEX(DATAS,AA3965+1)),INDEX(DATAS,AA3965+1)),"")</f>
        <v/>
      </c>
    </row>
    <row r="3966" customFormat="false" ht="15" hidden="false" customHeight="false" outlineLevel="0" collapsed="false">
      <c r="A3966" s="51" t="n">
        <v>46309</v>
      </c>
      <c r="B3966" s="0" t="n">
        <v>15</v>
      </c>
      <c r="C3966" s="0" t="n">
        <v>30941</v>
      </c>
      <c r="E3966" s="0" t="n">
        <v>0</v>
      </c>
      <c r="F3966" s="46" t="s">
        <v>1691</v>
      </c>
      <c r="I3966" s="46" t="s">
        <v>150</v>
      </c>
      <c r="U3966" s="0" t="n">
        <v>6</v>
      </c>
      <c r="V3966" s="0" t="n">
        <v>0</v>
      </c>
      <c r="X3966" s="46" t="n">
        <f aca="false">IF(I3966="Male",0,1)</f>
        <v>0</v>
      </c>
      <c r="Y3966" s="46" t="n">
        <f aca="false">IF(OR(I3966="DNB",I3966="Dry DNB"),1,0)</f>
        <v>0</v>
      </c>
      <c r="Z3966" s="0" t="str">
        <f aca="false">IF(ISNUMBER(W3966),A3966-W3966,"")</f>
        <v/>
      </c>
      <c r="AA3966" s="46" t="n">
        <f aca="false">MATCH(A3966,DATAS,0)</f>
        <v>1</v>
      </c>
      <c r="AB3966" s="46" t="n">
        <f aca="false">IF(AND(E3966&gt;0,OR(AND(B3966&gt;=1,B3966&lt;=6),B3966=10)),1,0)</f>
        <v>0</v>
      </c>
      <c r="AC3966" s="46" t="n">
        <f aca="false">IF(AND(E3966&gt;0,B3966=10),1,0)</f>
        <v>0</v>
      </c>
      <c r="AD3966" s="0" t="str">
        <f aca="false">IF(AND(C3965=C3966,AA3965=AA3966-1),AB3965,"")</f>
        <v/>
      </c>
      <c r="AE3966" s="0" t="str">
        <f aca="false">IF(AND(C3965=C3966,AA3965=AA3966-1),AC3965,"")</f>
        <v/>
      </c>
      <c r="AF3966" s="0" t="str">
        <f aca="false">IF(AA3966=1,"",IF(AND(AB3966=1,AD3966&lt;&gt;1),1,0))</f>
        <v/>
      </c>
      <c r="AG3966" s="0" t="str">
        <f aca="false">IF(AA3966=1,"",IF(AND(AC3966=1,AE3966&lt;&gt;1),1,0))</f>
        <v/>
      </c>
      <c r="AH3966" s="51" t="str">
        <f aca="false">IF(AND(E3966&gt;0,AA3966&lt;1,NOT(AND(C3967=C3966,AA3967=AA3966+1))),INDEX(DATAS,AA3966+1),"")</f>
        <v/>
      </c>
      <c r="AI3966" s="51" t="str">
        <f aca="false">IF(AND(AC3966=1,AA3966&lt;1),IF(AND(C3967=C3966,AA3967=AA3966+1),IF(AC3967=1,"",INDEX(DATAS,AA3966+1)),INDEX(DATAS,AA3966+1)),"")</f>
        <v/>
      </c>
    </row>
    <row r="3967" customFormat="false" ht="15" hidden="false" customHeight="false" outlineLevel="0" collapsed="false">
      <c r="A3967" s="51" t="n">
        <v>46309</v>
      </c>
      <c r="B3967" s="0" t="n">
        <v>15</v>
      </c>
      <c r="C3967" s="0" t="n">
        <v>30942</v>
      </c>
      <c r="E3967" s="0" t="n">
        <v>0</v>
      </c>
      <c r="F3967" s="46" t="s">
        <v>1693</v>
      </c>
      <c r="I3967" s="46" t="s">
        <v>150</v>
      </c>
      <c r="U3967" s="0" t="n">
        <v>3</v>
      </c>
      <c r="V3967" s="0" t="n">
        <v>0</v>
      </c>
      <c r="X3967" s="46" t="n">
        <f aca="false">IF(I3967="Male",0,1)</f>
        <v>0</v>
      </c>
      <c r="Y3967" s="46" t="n">
        <f aca="false">IF(OR(I3967="DNB",I3967="Dry DNB"),1,0)</f>
        <v>0</v>
      </c>
      <c r="Z3967" s="0" t="str">
        <f aca="false">IF(ISNUMBER(W3967),A3967-W3967,"")</f>
        <v/>
      </c>
      <c r="AA3967" s="46" t="n">
        <f aca="false">MATCH(A3967,DATAS,0)</f>
        <v>1</v>
      </c>
      <c r="AB3967" s="46" t="n">
        <f aca="false">IF(AND(E3967&gt;0,OR(AND(B3967&gt;=1,B3967&lt;=6),B3967=10)),1,0)</f>
        <v>0</v>
      </c>
      <c r="AC3967" s="46" t="n">
        <f aca="false">IF(AND(E3967&gt;0,B3967=10),1,0)</f>
        <v>0</v>
      </c>
      <c r="AD3967" s="0" t="str">
        <f aca="false">IF(AND(C3966=C3967,AA3966=AA3967-1),AB3966,"")</f>
        <v/>
      </c>
      <c r="AE3967" s="0" t="str">
        <f aca="false">IF(AND(C3966=C3967,AA3966=AA3967-1),AC3966,"")</f>
        <v/>
      </c>
      <c r="AF3967" s="0" t="str">
        <f aca="false">IF(AA3967=1,"",IF(AND(AB3967=1,AD3967&lt;&gt;1),1,0))</f>
        <v/>
      </c>
      <c r="AG3967" s="0" t="str">
        <f aca="false">IF(AA3967=1,"",IF(AND(AC3967=1,AE3967&lt;&gt;1),1,0))</f>
        <v/>
      </c>
      <c r="AH3967" s="51" t="str">
        <f aca="false">IF(AND(E3967&gt;0,AA3967&lt;1,NOT(AND(C3968=C3967,AA3968=AA3967+1))),INDEX(DATAS,AA3967+1),"")</f>
        <v/>
      </c>
      <c r="AI3967" s="51" t="str">
        <f aca="false">IF(AND(AC3967=1,AA3967&lt;1),IF(AND(C3968=C3967,AA3968=AA3967+1),IF(AC3968=1,"",INDEX(DATAS,AA3967+1)),INDEX(DATAS,AA3967+1)),"")</f>
        <v/>
      </c>
    </row>
    <row r="3968" customFormat="false" ht="15" hidden="false" customHeight="false" outlineLevel="0" collapsed="false">
      <c r="A3968" s="51" t="n">
        <v>46309</v>
      </c>
      <c r="B3968" s="0" t="n">
        <v>15</v>
      </c>
      <c r="C3968" s="0" t="n">
        <v>30943</v>
      </c>
      <c r="E3968" s="0" t="n">
        <v>0</v>
      </c>
      <c r="F3968" s="46" t="s">
        <v>1693</v>
      </c>
      <c r="I3968" s="46" t="s">
        <v>150</v>
      </c>
      <c r="U3968" s="0" t="n">
        <v>3</v>
      </c>
      <c r="V3968" s="0" t="n">
        <v>0</v>
      </c>
      <c r="X3968" s="46" t="n">
        <f aca="false">IF(I3968="Male",0,1)</f>
        <v>0</v>
      </c>
      <c r="Y3968" s="46" t="n">
        <f aca="false">IF(OR(I3968="DNB",I3968="Dry DNB"),1,0)</f>
        <v>0</v>
      </c>
      <c r="Z3968" s="0" t="str">
        <f aca="false">IF(ISNUMBER(W3968),A3968-W3968,"")</f>
        <v/>
      </c>
      <c r="AA3968" s="46" t="n">
        <f aca="false">MATCH(A3968,DATAS,0)</f>
        <v>1</v>
      </c>
      <c r="AB3968" s="46" t="n">
        <f aca="false">IF(AND(E3968&gt;0,OR(AND(B3968&gt;=1,B3968&lt;=6),B3968=10)),1,0)</f>
        <v>0</v>
      </c>
      <c r="AC3968" s="46" t="n">
        <f aca="false">IF(AND(E3968&gt;0,B3968=10),1,0)</f>
        <v>0</v>
      </c>
      <c r="AD3968" s="0" t="str">
        <f aca="false">IF(AND(C3967=C3968,AA3967=AA3968-1),AB3967,"")</f>
        <v/>
      </c>
      <c r="AE3968" s="0" t="str">
        <f aca="false">IF(AND(C3967=C3968,AA3967=AA3968-1),AC3967,"")</f>
        <v/>
      </c>
      <c r="AF3968" s="0" t="str">
        <f aca="false">IF(AA3968=1,"",IF(AND(AB3968=1,AD3968&lt;&gt;1),1,0))</f>
        <v/>
      </c>
      <c r="AG3968" s="0" t="str">
        <f aca="false">IF(AA3968=1,"",IF(AND(AC3968=1,AE3968&lt;&gt;1),1,0))</f>
        <v/>
      </c>
      <c r="AH3968" s="51" t="str">
        <f aca="false">IF(AND(E3968&gt;0,AA3968&lt;1,NOT(AND(C3969=C3968,AA3969=AA3968+1))),INDEX(DATAS,AA3968+1),"")</f>
        <v/>
      </c>
      <c r="AI3968" s="51" t="str">
        <f aca="false">IF(AND(AC3968=1,AA3968&lt;1),IF(AND(C3969=C3968,AA3969=AA3968+1),IF(AC3969=1,"",INDEX(DATAS,AA3968+1)),INDEX(DATAS,AA3968+1)),"")</f>
        <v/>
      </c>
    </row>
    <row r="3969" customFormat="false" ht="15" hidden="false" customHeight="false" outlineLevel="0" collapsed="false">
      <c r="A3969" s="51" t="n">
        <v>46309</v>
      </c>
      <c r="B3969" s="0" t="n">
        <v>15</v>
      </c>
      <c r="C3969" s="0" t="n">
        <v>30944</v>
      </c>
      <c r="E3969" s="0" t="n">
        <v>0</v>
      </c>
      <c r="F3969" s="46" t="s">
        <v>1694</v>
      </c>
      <c r="I3969" s="46" t="s">
        <v>150</v>
      </c>
      <c r="U3969" s="0" t="n">
        <v>2</v>
      </c>
      <c r="V3969" s="0" t="n">
        <v>0</v>
      </c>
      <c r="X3969" s="46" t="n">
        <f aca="false">IF(I3969="Male",0,1)</f>
        <v>0</v>
      </c>
      <c r="Y3969" s="46" t="n">
        <f aca="false">IF(OR(I3969="DNB",I3969="Dry DNB"),1,0)</f>
        <v>0</v>
      </c>
      <c r="Z3969" s="0" t="str">
        <f aca="false">IF(ISNUMBER(W3969),A3969-W3969,"")</f>
        <v/>
      </c>
      <c r="AA3969" s="46" t="n">
        <f aca="false">MATCH(A3969,DATAS,0)</f>
        <v>1</v>
      </c>
      <c r="AB3969" s="46" t="n">
        <f aca="false">IF(AND(E3969&gt;0,OR(AND(B3969&gt;=1,B3969&lt;=6),B3969=10)),1,0)</f>
        <v>0</v>
      </c>
      <c r="AC3969" s="46" t="n">
        <f aca="false">IF(AND(E3969&gt;0,B3969=10),1,0)</f>
        <v>0</v>
      </c>
      <c r="AD3969" s="0" t="str">
        <f aca="false">IF(AND(C3968=C3969,AA3968=AA3969-1),AB3968,"")</f>
        <v/>
      </c>
      <c r="AE3969" s="0" t="str">
        <f aca="false">IF(AND(C3968=C3969,AA3968=AA3969-1),AC3968,"")</f>
        <v/>
      </c>
      <c r="AF3969" s="0" t="str">
        <f aca="false">IF(AA3969=1,"",IF(AND(AB3969=1,AD3969&lt;&gt;1),1,0))</f>
        <v/>
      </c>
      <c r="AG3969" s="0" t="str">
        <f aca="false">IF(AA3969=1,"",IF(AND(AC3969=1,AE3969&lt;&gt;1),1,0))</f>
        <v/>
      </c>
      <c r="AH3969" s="51" t="str">
        <f aca="false">IF(AND(E3969&gt;0,AA3969&lt;1,NOT(AND(C3970=C3969,AA3970=AA3969+1))),INDEX(DATAS,AA3969+1),"")</f>
        <v/>
      </c>
      <c r="AI3969" s="51" t="str">
        <f aca="false">IF(AND(AC3969=1,AA3969&lt;1),IF(AND(C3970=C3969,AA3970=AA3969+1),IF(AC3970=1,"",INDEX(DATAS,AA3969+1)),INDEX(DATAS,AA3969+1)),"")</f>
        <v/>
      </c>
    </row>
    <row r="3970" customFormat="false" ht="15" hidden="false" customHeight="false" outlineLevel="0" collapsed="false">
      <c r="A3970" s="51" t="n">
        <v>46309</v>
      </c>
      <c r="B3970" s="0" t="n">
        <v>15</v>
      </c>
      <c r="C3970" s="0" t="n">
        <v>31057</v>
      </c>
      <c r="E3970" s="0" t="n">
        <v>0</v>
      </c>
      <c r="F3970" s="46" t="s">
        <v>1234</v>
      </c>
      <c r="I3970" s="46" t="s">
        <v>150</v>
      </c>
      <c r="U3970" s="0" t="n">
        <v>517</v>
      </c>
      <c r="V3970" s="0" t="n">
        <v>0</v>
      </c>
      <c r="X3970" s="46" t="n">
        <f aca="false">IF(I3970="Male",0,1)</f>
        <v>0</v>
      </c>
      <c r="Y3970" s="46" t="n">
        <f aca="false">IF(OR(I3970="DNB",I3970="Dry DNB"),1,0)</f>
        <v>0</v>
      </c>
      <c r="Z3970" s="0" t="str">
        <f aca="false">IF(ISNUMBER(W3970),A3970-W3970,"")</f>
        <v/>
      </c>
      <c r="AA3970" s="46" t="n">
        <f aca="false">MATCH(A3970,DATAS,0)</f>
        <v>1</v>
      </c>
      <c r="AB3970" s="46" t="n">
        <f aca="false">IF(AND(E3970&gt;0,OR(AND(B3970&gt;=1,B3970&lt;=6),B3970=10)),1,0)</f>
        <v>0</v>
      </c>
      <c r="AC3970" s="46" t="n">
        <f aca="false">IF(AND(E3970&gt;0,B3970=10),1,0)</f>
        <v>0</v>
      </c>
      <c r="AD3970" s="0" t="str">
        <f aca="false">IF(AND(C3969=C3970,AA3969=AA3970-1),AB3969,"")</f>
        <v/>
      </c>
      <c r="AE3970" s="0" t="str">
        <f aca="false">IF(AND(C3969=C3970,AA3969=AA3970-1),AC3969,"")</f>
        <v/>
      </c>
      <c r="AF3970" s="0" t="str">
        <f aca="false">IF(AA3970=1,"",IF(AND(AB3970=1,AD3970&lt;&gt;1),1,0))</f>
        <v/>
      </c>
      <c r="AG3970" s="0" t="str">
        <f aca="false">IF(AA3970=1,"",IF(AND(AC3970=1,AE3970&lt;&gt;1),1,0))</f>
        <v/>
      </c>
      <c r="AH3970" s="51" t="str">
        <f aca="false">IF(AND(E3970&gt;0,AA3970&lt;1,NOT(AND(C3971=C3970,AA3971=AA3970+1))),INDEX(DATAS,AA3970+1),"")</f>
        <v/>
      </c>
      <c r="AI3970" s="51" t="str">
        <f aca="false">IF(AND(AC3970=1,AA3970&lt;1),IF(AND(C3971=C3970,AA3971=AA3970+1),IF(AC3971=1,"",INDEX(DATAS,AA3970+1)),INDEX(DATAS,AA3970+1)),"")</f>
        <v/>
      </c>
    </row>
    <row r="3971" customFormat="false" ht="15" hidden="false" customHeight="false" outlineLevel="0" collapsed="false">
      <c r="A3971" s="51" t="n">
        <v>46309</v>
      </c>
      <c r="B3971" s="0" t="n">
        <v>13</v>
      </c>
      <c r="C3971" s="0" t="n">
        <v>997050</v>
      </c>
      <c r="E3971" s="0" t="n">
        <v>0</v>
      </c>
      <c r="F3971" s="46" t="s">
        <v>1364</v>
      </c>
      <c r="I3971" s="46" t="s">
        <v>179</v>
      </c>
      <c r="U3971" s="0" t="n">
        <v>360</v>
      </c>
      <c r="V3971" s="0" t="n">
        <v>0</v>
      </c>
      <c r="X3971" s="46" t="n">
        <f aca="false">IF(I3971="Male",0,1)</f>
        <v>1</v>
      </c>
      <c r="Y3971" s="46" t="n">
        <f aca="false">IF(OR(I3971="DNB",I3971="Dry DNB"),1,0)</f>
        <v>0</v>
      </c>
      <c r="Z3971" s="0" t="str">
        <f aca="false">IF(ISNUMBER(W3971),A3971-W3971,"")</f>
        <v/>
      </c>
      <c r="AA3971" s="46" t="n">
        <f aca="false">MATCH(A3971,DATAS,0)</f>
        <v>1</v>
      </c>
      <c r="AB3971" s="46" t="n">
        <f aca="false">IF(AND(E3971&gt;0,OR(AND(B3971&gt;=1,B3971&lt;=6),B3971=10)),1,0)</f>
        <v>0</v>
      </c>
      <c r="AC3971" s="46" t="n">
        <f aca="false">IF(AND(E3971&gt;0,B3971=10),1,0)</f>
        <v>0</v>
      </c>
      <c r="AD3971" s="0" t="str">
        <f aca="false">IF(AND(C3970=C3971,AA3970=AA3971-1),AB3970,"")</f>
        <v/>
      </c>
      <c r="AE3971" s="0" t="str">
        <f aca="false">IF(AND(C3970=C3971,AA3970=AA3971-1),AC3970,"")</f>
        <v/>
      </c>
      <c r="AF3971" s="0" t="str">
        <f aca="false">IF(AA3971=1,"",IF(AND(AB3971=1,AD3971&lt;&gt;1),1,0))</f>
        <v/>
      </c>
      <c r="AG3971" s="0" t="str">
        <f aca="false">IF(AA3971=1,"",IF(AND(AC3971=1,AE3971&lt;&gt;1),1,0))</f>
        <v/>
      </c>
      <c r="AH3971" s="51" t="str">
        <f aca="false">IF(AND(E3971&gt;0,AA3971&lt;1,NOT(AND(C3972=C3971,AA3972=AA3971+1))),INDEX(DATAS,AA3971+1),"")</f>
        <v/>
      </c>
      <c r="AI3971" s="51" t="str">
        <f aca="false">IF(AND(AC3971=1,AA3971&lt;1),IF(AND(C3972=C3971,AA3972=AA3971+1),IF(AC3972=1,"",INDEX(DATAS,AA3971+1)),INDEX(DATAS,AA3971+1)),"")</f>
        <v/>
      </c>
    </row>
  </sheetData>
  <autoFilter ref="A1:AI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1710</v>
      </c>
    </row>
    <row r="3" customFormat="false" ht="23.85" hidden="false" customHeight="false" outlineLevel="0" collapsed="false">
      <c r="A3" s="52" t="s">
        <v>85</v>
      </c>
      <c r="B3" s="53" t="s">
        <v>1711</v>
      </c>
    </row>
    <row r="4" customFormat="false" ht="23.85" hidden="false" customHeight="false" outlineLevel="0" collapsed="false">
      <c r="A4" s="52" t="s">
        <v>1712</v>
      </c>
      <c r="B4" s="53" t="s">
        <v>1713</v>
      </c>
    </row>
    <row r="5" customFormat="false" ht="23.85" hidden="false" customHeight="false" outlineLevel="0" collapsed="false">
      <c r="A5" s="52" t="s">
        <v>1714</v>
      </c>
      <c r="B5" s="53" t="s">
        <v>1715</v>
      </c>
    </row>
    <row r="6" customFormat="false" ht="15" hidden="false" customHeight="false" outlineLevel="0" collapsed="false">
      <c r="A6" s="52" t="s">
        <v>1716</v>
      </c>
      <c r="B6" s="53" t="s">
        <v>1717</v>
      </c>
    </row>
    <row r="7" customFormat="false" ht="15" hidden="false" customHeight="false" outlineLevel="0" collapsed="false">
      <c r="A7" s="52" t="s">
        <v>1718</v>
      </c>
      <c r="B7" s="53" t="s">
        <v>1719</v>
      </c>
    </row>
    <row r="8" customFormat="false" ht="15" hidden="false" customHeight="false" outlineLevel="0" collapsed="false">
      <c r="A8" s="52" t="s">
        <v>1720</v>
      </c>
      <c r="B8" s="53" t="s">
        <v>1721</v>
      </c>
    </row>
    <row r="9" customFormat="false" ht="15" hidden="false" customHeight="false" outlineLevel="0" collapsed="false">
      <c r="A9" s="52" t="s">
        <v>1722</v>
      </c>
      <c r="B9" s="53" t="s">
        <v>1723</v>
      </c>
    </row>
    <row r="10" customFormat="false" ht="15" hidden="false" customHeight="false" outlineLevel="0" collapsed="false">
      <c r="A10" s="52" t="s">
        <v>1724</v>
      </c>
      <c r="B10" s="53" t="s">
        <v>1725</v>
      </c>
    </row>
    <row r="11" customFormat="false" ht="46.25" hidden="false" customHeight="false" outlineLevel="0" collapsed="false">
      <c r="A11" s="52" t="s">
        <v>1726</v>
      </c>
      <c r="B11" s="53" t="s">
        <v>1727</v>
      </c>
    </row>
    <row r="12" customFormat="false" ht="23.85" hidden="false" customHeight="false" outlineLevel="0" collapsed="false">
      <c r="A12" s="52" t="s">
        <v>1728</v>
      </c>
      <c r="B12" s="53" t="s">
        <v>1729</v>
      </c>
    </row>
    <row r="13" customFormat="false" ht="23.85" hidden="false" customHeight="false" outlineLevel="0" collapsed="false">
      <c r="A13" s="52" t="s">
        <v>1730</v>
      </c>
      <c r="B13" s="53" t="s">
        <v>1731</v>
      </c>
    </row>
    <row r="14" customFormat="false" ht="23.85" hidden="false" customHeight="false" outlineLevel="0" collapsed="false">
      <c r="A14" s="52" t="s">
        <v>42</v>
      </c>
      <c r="B14" s="53" t="s">
        <v>1732</v>
      </c>
    </row>
    <row r="15" customFormat="false" ht="23.85" hidden="false" customHeight="false" outlineLevel="0" collapsed="false">
      <c r="A15" s="52" t="s">
        <v>138</v>
      </c>
      <c r="B15" s="53" t="s">
        <v>1733</v>
      </c>
    </row>
    <row r="16" customFormat="false" ht="15" hidden="false" customHeight="false" outlineLevel="0" collapsed="false">
      <c r="A16" s="52" t="s">
        <v>1734</v>
      </c>
      <c r="B16" s="53" t="s">
        <v>1735</v>
      </c>
    </row>
    <row r="17" customFormat="false" ht="23.85" hidden="false" customHeight="false" outlineLevel="0" collapsed="false">
      <c r="A17" s="52" t="s">
        <v>1736</v>
      </c>
      <c r="B17" s="53" t="s">
        <v>1737</v>
      </c>
    </row>
    <row r="18" customFormat="false" ht="23.85" hidden="false" customHeight="false" outlineLevel="0" collapsed="false">
      <c r="A18" s="52" t="s">
        <v>1738</v>
      </c>
      <c r="B18" s="53" t="s">
        <v>1739</v>
      </c>
    </row>
    <row r="19" customFormat="false" ht="15" hidden="false" customHeight="false" outlineLevel="0" collapsed="false">
      <c r="A19" s="52" t="s">
        <v>1740</v>
      </c>
      <c r="B19" s="53" t="s">
        <v>1741</v>
      </c>
    </row>
    <row r="20" customFormat="false" ht="23.85" hidden="false" customHeight="false" outlineLevel="0" collapsed="false">
      <c r="A20" s="52" t="s">
        <v>1742</v>
      </c>
      <c r="B20" s="53" t="s">
        <v>1743</v>
      </c>
    </row>
    <row r="21" customFormat="false" ht="15" hidden="false" customHeight="false" outlineLevel="0" collapsed="false">
      <c r="A21" s="52" t="s">
        <v>1744</v>
      </c>
      <c r="B21" s="53" t="s">
        <v>1745</v>
      </c>
    </row>
    <row r="22" customFormat="false" ht="23.85" hidden="false" customHeight="false" outlineLevel="0" collapsed="false">
      <c r="A22" s="52" t="s">
        <v>1746</v>
      </c>
      <c r="B22" s="53" t="s">
        <v>1747</v>
      </c>
    </row>
    <row r="23" customFormat="false" ht="23.85" hidden="false" customHeight="false" outlineLevel="0" collapsed="false">
      <c r="A23" s="52" t="s">
        <v>1748</v>
      </c>
      <c r="B23" s="53" t="s">
        <v>1749</v>
      </c>
    </row>
    <row r="24" customFormat="false" ht="23.85" hidden="false" customHeight="false" outlineLevel="0" collapsed="false">
      <c r="A24" s="52" t="s">
        <v>1750</v>
      </c>
      <c r="B24" s="53" t="s">
        <v>1751</v>
      </c>
    </row>
    <row r="25" customFormat="false" ht="15" hidden="false" customHeight="false" outlineLevel="0" collapsed="false">
      <c r="A25" s="52" t="s">
        <v>76</v>
      </c>
      <c r="B25" s="53" t="s">
        <v>1752</v>
      </c>
    </row>
    <row r="26" customFormat="false" ht="15" hidden="false" customHeight="false" outlineLevel="0" collapsed="false">
      <c r="A26" s="52" t="s">
        <v>1753</v>
      </c>
      <c r="B26" s="53" t="s">
        <v>1754</v>
      </c>
    </row>
    <row r="27" customFormat="false" ht="23.85" hidden="false" customHeight="false" outlineLevel="0" collapsed="false">
      <c r="A27" s="52" t="s">
        <v>1755</v>
      </c>
      <c r="B27" s="53" t="s">
        <v>1756</v>
      </c>
    </row>
    <row r="28" customFormat="false" ht="23.85" hidden="false" customHeight="false" outlineLevel="0" collapsed="false">
      <c r="A28" s="52" t="s">
        <v>1757</v>
      </c>
      <c r="B28" s="53" t="s">
        <v>1758</v>
      </c>
    </row>
    <row r="29" customFormat="false" ht="15" hidden="false" customHeight="false" outlineLevel="0" collapsed="false">
      <c r="A29" s="52" t="s">
        <v>1759</v>
      </c>
      <c r="B29" s="53" t="s">
        <v>1760</v>
      </c>
    </row>
    <row r="30" customFormat="false" ht="15" hidden="false" customHeight="false" outlineLevel="0" collapsed="false">
      <c r="A30" s="52" t="s">
        <v>38</v>
      </c>
      <c r="B30" s="53" t="s">
        <v>1761</v>
      </c>
    </row>
    <row r="31" customFormat="false" ht="15" hidden="false" customHeight="false" outlineLevel="0" collapsed="false">
      <c r="A31" s="52" t="s">
        <v>1762</v>
      </c>
      <c r="B31" s="53" t="s">
        <v>1763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2026-10-15T16:33:48Z</dcterms:created>
  <dc:creator>openpyxl</dc:creator>
  <dc:description/>
  <dc:language>en-US</dc:language>
  <cp:lastModifiedBy/>
  <dcterms:modified xsi:type="dcterms:W3CDTF">2026-10-15T16:33:49Z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